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00A-MBARARA-KIKAGATA\OD\"/>
    </mc:Choice>
  </mc:AlternateContent>
  <xr:revisionPtr revIDLastSave="0" documentId="13_ncr:1_{67AAC629-4FAE-4CF5-A500-F6BD0358D0B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 (3)" sheetId="41" r:id="rId3"/>
    <sheet name="Zone analysis" sheetId="42" r:id="rId4"/>
    <sheet name="26.10 ISINGIRO-MBARARA" sheetId="39" r:id="rId5"/>
    <sheet name="26.10 MBARARA-ISINGIRO" sheetId="38" r:id="rId6"/>
    <sheet name="28.10 MBARARA-ISINGIRO" sheetId="3" r:id="rId7"/>
    <sheet name="RSI FORM" sheetId="4" state="hidden" r:id="rId8"/>
    <sheet name="28.10 ISINGIRO-MBARARA" sheetId="37" r:id="rId9"/>
    <sheet name="Key" sheetId="5" r:id="rId10"/>
  </sheets>
  <externalReferences>
    <externalReference r:id="rId11"/>
    <externalReference r:id="rId12"/>
  </externalReferences>
  <definedNames>
    <definedName name="_xlnm._FilterDatabase" localSheetId="4" hidden="1">'26.10 ISINGIRO-MBARARA'!$B$9:$AB$105</definedName>
    <definedName name="_xlnm._FilterDatabase" localSheetId="5" hidden="1">'26.10 MBARARA-ISINGIRO'!$B$9:$AB$105</definedName>
    <definedName name="_xlnm._FilterDatabase" localSheetId="8" hidden="1">'28.10 ISINGIRO-MBARARA'!$B$9:$AB$105</definedName>
    <definedName name="_xlnm._FilterDatabase" localSheetId="6" hidden="1">'28.10 MBARARA-ISINGIRO'!$B$9:$AB$105</definedName>
    <definedName name="_xlnm._FilterDatabase" localSheetId="1" hidden="1">'ALL DATA'!$AA$271:$AB$369</definedName>
    <definedName name="_xlnm._FilterDatabase" localSheetId="3" hidden="1">'Zone analysis'!$A$1:$E$1532</definedName>
    <definedName name="_xlnm._FilterDatabase" localSheetId="2" hidden="1">'Zones (3)'!$A$1:$N$2392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'26.10 ISINGIRO-MBARARA'!$D$9:$D$37</definedName>
    <definedName name="Veh_Type" localSheetId="8">'28.10 ISINGIRO-MBARARA'!$D$9:$D$37</definedName>
    <definedName name="Veh_Type" localSheetId="1">'ALL DATA'!$D$9:$D$37</definedName>
    <definedName name="Veh_Type" localSheetId="3">'[1]25.07 BUSEGA-NATEETE'!$D:$D</definedName>
    <definedName name="Veh_Type" localSheetId="2">'[1]25.07 BUSEGA-NATEETE'!$D:$D</definedName>
    <definedName name="Veh_Type">'28.10 MBARARA-ISINGIRO'!$D$9:$D$37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Y55" i="43" s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R49" i="43" s="1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T48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R48" i="43" l="1"/>
  <c r="V48" i="43"/>
  <c r="V49" i="43"/>
  <c r="R50" i="43"/>
  <c r="V50" i="43"/>
  <c r="R51" i="43"/>
  <c r="V51" i="43"/>
  <c r="R52" i="43"/>
  <c r="V52" i="43"/>
  <c r="R53" i="43"/>
  <c r="V53" i="43"/>
  <c r="R54" i="43"/>
  <c r="V54" i="43"/>
  <c r="R55" i="43"/>
  <c r="V55" i="43"/>
  <c r="S48" i="43"/>
  <c r="W48" i="43"/>
  <c r="S49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C84" i="43"/>
  <c r="C83" i="43"/>
  <c r="C82" i="43"/>
  <c r="C81" i="43"/>
  <c r="C80" i="43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Q5" i="43" s="1"/>
  <c r="D87" i="43" l="1"/>
  <c r="E87" i="43" s="1"/>
  <c r="C17" i="43"/>
  <c r="D16" i="43" s="1"/>
  <c r="O29" i="43"/>
  <c r="P24" i="43" s="1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D83" i="43"/>
  <c r="E83" i="43" s="1"/>
  <c r="D85" i="43"/>
  <c r="E85" i="43" s="1"/>
  <c r="D86" i="43"/>
  <c r="E86" i="43" s="1"/>
  <c r="P26" i="43"/>
  <c r="C29" i="43"/>
  <c r="D12" i="43"/>
  <c r="D10" i="43"/>
  <c r="D8" i="43"/>
  <c r="D14" i="43"/>
  <c r="D7" i="43"/>
  <c r="D9" i="43"/>
  <c r="D13" i="43"/>
  <c r="D15" i="43"/>
  <c r="P28" i="43"/>
  <c r="P14" i="43"/>
  <c r="Q14" i="43" s="1"/>
  <c r="D80" i="43"/>
  <c r="E80" i="43" s="1"/>
  <c r="D82" i="43"/>
  <c r="E82" i="43" s="1"/>
  <c r="D84" i="43"/>
  <c r="E84" i="43" s="1"/>
  <c r="D88" i="43"/>
  <c r="E88" i="43" s="1"/>
  <c r="P6" i="43"/>
  <c r="Q6" i="43" s="1"/>
  <c r="P8" i="43"/>
  <c r="Q8" i="43" s="1"/>
  <c r="P10" i="43"/>
  <c r="Q10" i="43" s="1"/>
  <c r="P12" i="43"/>
  <c r="Q12" i="43" s="1"/>
  <c r="D5" i="43"/>
  <c r="P23" i="43"/>
  <c r="P25" i="43" l="1"/>
  <c r="D11" i="43"/>
  <c r="D6" i="43"/>
  <c r="P27" i="43"/>
  <c r="C44" i="43"/>
  <c r="C43" i="43" l="1"/>
  <c r="D43" i="43" s="1"/>
  <c r="D42" i="43"/>
  <c r="D2383" i="41" l="1"/>
  <c r="D2384" i="41"/>
  <c r="D2385" i="41"/>
  <c r="D2386" i="41"/>
  <c r="D2387" i="41"/>
  <c r="D2388" i="41"/>
  <c r="D2389" i="41"/>
  <c r="D2390" i="41"/>
  <c r="D2391" i="41"/>
  <c r="D2392" i="41"/>
  <c r="D2393" i="41"/>
  <c r="D2394" i="41"/>
  <c r="D2395" i="41"/>
  <c r="D2396" i="41"/>
  <c r="D2397" i="41"/>
  <c r="D2398" i="41"/>
  <c r="D2399" i="41"/>
  <c r="D2400" i="41"/>
  <c r="D2401" i="41"/>
  <c r="D2402" i="41"/>
  <c r="D2403" i="41"/>
  <c r="D2404" i="41"/>
  <c r="D2405" i="41"/>
  <c r="D2406" i="41"/>
  <c r="D2407" i="41"/>
  <c r="D2408" i="41"/>
  <c r="D2409" i="41"/>
  <c r="D2410" i="41"/>
  <c r="D2411" i="41"/>
  <c r="D2412" i="41"/>
  <c r="D2413" i="41"/>
  <c r="D2414" i="41"/>
  <c r="D2415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1778" i="41"/>
  <c r="D1779" i="41"/>
  <c r="D1780" i="41"/>
  <c r="D1781" i="41"/>
  <c r="D1782" i="41"/>
  <c r="D1783" i="41"/>
  <c r="D1784" i="41"/>
  <c r="D1785" i="41"/>
  <c r="D1786" i="41"/>
  <c r="D1787" i="41"/>
  <c r="D1788" i="41"/>
  <c r="D1789" i="41"/>
  <c r="D1790" i="41"/>
  <c r="D1791" i="41"/>
  <c r="D1792" i="41"/>
  <c r="D1793" i="41"/>
  <c r="D1794" i="41"/>
  <c r="D1795" i="41"/>
  <c r="D1796" i="41"/>
  <c r="D1797" i="41"/>
  <c r="D1798" i="41"/>
  <c r="D1799" i="41"/>
  <c r="D1800" i="41"/>
  <c r="D1801" i="41"/>
  <c r="D1802" i="41"/>
  <c r="D1803" i="41"/>
  <c r="D1804" i="41"/>
  <c r="D1805" i="41"/>
  <c r="D1806" i="41"/>
  <c r="D1807" i="41"/>
  <c r="D1808" i="41"/>
  <c r="D1809" i="41"/>
  <c r="D1810" i="41"/>
  <c r="D1811" i="41"/>
  <c r="D1812" i="41"/>
  <c r="D1813" i="41"/>
  <c r="D1814" i="41"/>
  <c r="D1815" i="41"/>
  <c r="D1816" i="41"/>
  <c r="D1817" i="41"/>
  <c r="D1818" i="41"/>
  <c r="D1819" i="41"/>
  <c r="D1820" i="41"/>
  <c r="D1821" i="41"/>
  <c r="D1822" i="41"/>
  <c r="D1823" i="41"/>
  <c r="D1824" i="41"/>
  <c r="D1825" i="41"/>
  <c r="D1826" i="41"/>
  <c r="D1827" i="41"/>
  <c r="D1828" i="41"/>
  <c r="D1829" i="41"/>
  <c r="D1830" i="41"/>
  <c r="D1831" i="41"/>
  <c r="D1832" i="41"/>
  <c r="D1833" i="41"/>
  <c r="D1834" i="41"/>
  <c r="D1835" i="41"/>
  <c r="D1836" i="41"/>
  <c r="D1837" i="41"/>
  <c r="D1838" i="41"/>
  <c r="D1839" i="41"/>
  <c r="D1840" i="41"/>
  <c r="D1841" i="41"/>
  <c r="D1842" i="41"/>
  <c r="D1843" i="41"/>
  <c r="D1844" i="41"/>
  <c r="D1845" i="41"/>
  <c r="D1846" i="41"/>
  <c r="D1847" i="41"/>
  <c r="D1848" i="41"/>
  <c r="D1849" i="41"/>
  <c r="D1850" i="41"/>
  <c r="D1851" i="41"/>
  <c r="D1852" i="41"/>
  <c r="D1853" i="41"/>
  <c r="D1854" i="41"/>
  <c r="D1855" i="41"/>
  <c r="D1856" i="41"/>
  <c r="D1857" i="41"/>
  <c r="D1858" i="41"/>
  <c r="D1859" i="41"/>
  <c r="D1860" i="41"/>
  <c r="D1861" i="41"/>
  <c r="D1862" i="41"/>
  <c r="D1863" i="41"/>
  <c r="D1864" i="41"/>
  <c r="D1865" i="41"/>
  <c r="D1866" i="41"/>
  <c r="D1867" i="41"/>
  <c r="D1868" i="41"/>
  <c r="D1869" i="41"/>
  <c r="D1870" i="41"/>
  <c r="D1871" i="41"/>
  <c r="D1872" i="41"/>
  <c r="D1873" i="41"/>
  <c r="D1874" i="41"/>
  <c r="D1875" i="41"/>
  <c r="D1876" i="41"/>
  <c r="D1877" i="41"/>
  <c r="D1878" i="41"/>
  <c r="D1879" i="41"/>
  <c r="D1880" i="41"/>
  <c r="D1881" i="41"/>
  <c r="D1882" i="41"/>
  <c r="D1883" i="41"/>
  <c r="D1884" i="41"/>
  <c r="D1885" i="41"/>
  <c r="D1886" i="41"/>
  <c r="D1887" i="41"/>
  <c r="D1888" i="41"/>
  <c r="D1889" i="41"/>
  <c r="D1890" i="41"/>
  <c r="D1891" i="41"/>
  <c r="D1892" i="41"/>
  <c r="D1893" i="41"/>
  <c r="D1894" i="41"/>
  <c r="D1895" i="41"/>
  <c r="D1896" i="41"/>
  <c r="D1897" i="41"/>
  <c r="D1898" i="41"/>
  <c r="D1899" i="41"/>
  <c r="D1900" i="41"/>
  <c r="D1901" i="41"/>
  <c r="D1902" i="41"/>
  <c r="D1903" i="41"/>
  <c r="D1904" i="41"/>
  <c r="D1905" i="41"/>
  <c r="D1906" i="41"/>
  <c r="D1907" i="41"/>
  <c r="D1908" i="41"/>
  <c r="D1909" i="41"/>
  <c r="D1910" i="41"/>
  <c r="D1911" i="41"/>
  <c r="D1912" i="41"/>
  <c r="D1913" i="41"/>
  <c r="D1914" i="41"/>
  <c r="D1915" i="41"/>
  <c r="D1916" i="41"/>
  <c r="D1917" i="41"/>
  <c r="D1918" i="41"/>
  <c r="D1919" i="41"/>
  <c r="D1920" i="41"/>
  <c r="D1921" i="41"/>
  <c r="D1922" i="41"/>
  <c r="D1923" i="41"/>
  <c r="D1924" i="41"/>
  <c r="D1925" i="41"/>
  <c r="D1926" i="41"/>
  <c r="D1927" i="41"/>
  <c r="D1928" i="41"/>
  <c r="D1929" i="41"/>
  <c r="D1930" i="41"/>
  <c r="D1931" i="41"/>
  <c r="D1932" i="41"/>
  <c r="D1933" i="41"/>
  <c r="D1934" i="41"/>
  <c r="D1935" i="41"/>
  <c r="D1936" i="41"/>
  <c r="D1937" i="41"/>
  <c r="D1938" i="41"/>
  <c r="D1939" i="41"/>
  <c r="D1940" i="41"/>
  <c r="D1941" i="41"/>
  <c r="D1942" i="41"/>
  <c r="D1943" i="41"/>
  <c r="D1944" i="41"/>
  <c r="D1945" i="41"/>
  <c r="D1946" i="41"/>
  <c r="D1947" i="41"/>
  <c r="D1948" i="41"/>
  <c r="D1949" i="41"/>
  <c r="D1950" i="41"/>
  <c r="D1951" i="41"/>
  <c r="D1952" i="41"/>
  <c r="D1953" i="41"/>
  <c r="D1954" i="41"/>
  <c r="D1955" i="41"/>
  <c r="D1956" i="41"/>
  <c r="D1957" i="41"/>
  <c r="D1958" i="41"/>
  <c r="D1959" i="41"/>
  <c r="D1960" i="41"/>
  <c r="D1961" i="41"/>
  <c r="D1962" i="41"/>
  <c r="D1963" i="41"/>
  <c r="D1964" i="41"/>
  <c r="D1965" i="41"/>
  <c r="D1966" i="41"/>
  <c r="D1967" i="41"/>
  <c r="D1968" i="41"/>
  <c r="D1969" i="41"/>
  <c r="D1970" i="41"/>
  <c r="D1971" i="41"/>
  <c r="D1972" i="41"/>
  <c r="D1973" i="41"/>
  <c r="D1974" i="41"/>
  <c r="D1975" i="41"/>
  <c r="D1976" i="41"/>
  <c r="D1977" i="41"/>
  <c r="D1978" i="41"/>
  <c r="D1979" i="41"/>
  <c r="D1980" i="41"/>
  <c r="D1981" i="41"/>
  <c r="D1982" i="41"/>
  <c r="D1983" i="41"/>
  <c r="D1984" i="41"/>
  <c r="D1985" i="41"/>
  <c r="D1986" i="41"/>
  <c r="D1987" i="41"/>
  <c r="D1988" i="41"/>
  <c r="D1989" i="41"/>
  <c r="D1990" i="41"/>
  <c r="D1991" i="41"/>
  <c r="D1992" i="41"/>
  <c r="D1993" i="41"/>
  <c r="D1994" i="41"/>
  <c r="D1995" i="41"/>
  <c r="D1996" i="41"/>
  <c r="D1997" i="41"/>
  <c r="D1998" i="41"/>
  <c r="D1999" i="41"/>
  <c r="D2000" i="41"/>
  <c r="D2001" i="41"/>
  <c r="D2002" i="41"/>
  <c r="D2003" i="41"/>
  <c r="D2004" i="41"/>
  <c r="D2005" i="41"/>
  <c r="D2006" i="41"/>
  <c r="D2007" i="41"/>
  <c r="D2008" i="41"/>
  <c r="D2009" i="41"/>
  <c r="D2010" i="41"/>
  <c r="D2011" i="41"/>
  <c r="D2012" i="41"/>
  <c r="D2013" i="41"/>
  <c r="D2014" i="41"/>
  <c r="D2015" i="41"/>
  <c r="D2016" i="41"/>
  <c r="D2017" i="41"/>
  <c r="D2018" i="41"/>
  <c r="D2019" i="41"/>
  <c r="D2020" i="41"/>
  <c r="D2021" i="41"/>
  <c r="D2022" i="41"/>
  <c r="D2023" i="41"/>
  <c r="D2024" i="41"/>
  <c r="D2025" i="41"/>
  <c r="D2026" i="41"/>
  <c r="D2027" i="41"/>
  <c r="D2028" i="41"/>
  <c r="D2029" i="41"/>
  <c r="D2030" i="41"/>
  <c r="D2031" i="41"/>
  <c r="D2032" i="41"/>
  <c r="D2033" i="41"/>
  <c r="D2034" i="41"/>
  <c r="D2035" i="41"/>
  <c r="D2036" i="41"/>
  <c r="D2037" i="41"/>
  <c r="D2038" i="41"/>
  <c r="D2039" i="41"/>
  <c r="D2040" i="41"/>
  <c r="D2041" i="41"/>
  <c r="D2042" i="41"/>
  <c r="D2043" i="41"/>
  <c r="D2044" i="41"/>
  <c r="D2045" i="41"/>
  <c r="D2046" i="41"/>
  <c r="D2047" i="41"/>
  <c r="D2048" i="41"/>
  <c r="D2049" i="41"/>
  <c r="D2050" i="41"/>
  <c r="D2051" i="41"/>
  <c r="D2052" i="41"/>
  <c r="D2053" i="41"/>
  <c r="D2054" i="41"/>
  <c r="D2055" i="41"/>
  <c r="D2056" i="41"/>
  <c r="D2057" i="41"/>
  <c r="D2058" i="41"/>
  <c r="D2059" i="41"/>
  <c r="D2060" i="41"/>
  <c r="D2061" i="41"/>
  <c r="D2062" i="41"/>
  <c r="D2063" i="41"/>
  <c r="D2064" i="41"/>
  <c r="D2065" i="41"/>
  <c r="D2066" i="41"/>
  <c r="D2067" i="41"/>
  <c r="D2068" i="41"/>
  <c r="D2069" i="41"/>
  <c r="D2070" i="41"/>
  <c r="D2071" i="41"/>
  <c r="D2072" i="41"/>
  <c r="D2073" i="41"/>
  <c r="D2074" i="41"/>
  <c r="D2075" i="41"/>
  <c r="D2076" i="41"/>
  <c r="D2077" i="41"/>
  <c r="D2078" i="41"/>
  <c r="D2079" i="41"/>
  <c r="D2080" i="41"/>
  <c r="D2081" i="41"/>
  <c r="D2082" i="41"/>
  <c r="D2083" i="41"/>
  <c r="D2084" i="41"/>
  <c r="D2085" i="41"/>
  <c r="D2086" i="41"/>
  <c r="D2087" i="41"/>
  <c r="D2088" i="41"/>
  <c r="D2089" i="41"/>
  <c r="D2090" i="41"/>
  <c r="D2091" i="41"/>
  <c r="D2092" i="41"/>
  <c r="D2093" i="41"/>
  <c r="D2094" i="41"/>
  <c r="D2095" i="41"/>
  <c r="D2096" i="41"/>
  <c r="D2097" i="41"/>
  <c r="D2098" i="41"/>
  <c r="D2099" i="41"/>
  <c r="D2100" i="41"/>
  <c r="D2101" i="41"/>
  <c r="D2102" i="41"/>
  <c r="D2103" i="41"/>
  <c r="D2104" i="41"/>
  <c r="D2105" i="41"/>
  <c r="D2106" i="41"/>
  <c r="D2107" i="41"/>
  <c r="D2108" i="41"/>
  <c r="D2109" i="41"/>
  <c r="D2110" i="41"/>
  <c r="D2111" i="41"/>
  <c r="D2112" i="41"/>
  <c r="D2113" i="41"/>
  <c r="D2114" i="41"/>
  <c r="D2115" i="41"/>
  <c r="D2116" i="41"/>
  <c r="D2117" i="41"/>
  <c r="D2118" i="41"/>
  <c r="D2119" i="41"/>
  <c r="D2120" i="41"/>
  <c r="D2121" i="41"/>
  <c r="D2122" i="41"/>
  <c r="D2123" i="41"/>
  <c r="D2124" i="41"/>
  <c r="D2125" i="41"/>
  <c r="D2126" i="41"/>
  <c r="D2127" i="41"/>
  <c r="D2128" i="41"/>
  <c r="D2129" i="41"/>
  <c r="D2130" i="41"/>
  <c r="D2131" i="41"/>
  <c r="D2132" i="41"/>
  <c r="D2133" i="41"/>
  <c r="D2134" i="41"/>
  <c r="D2135" i="41"/>
  <c r="D2136" i="41"/>
  <c r="D2137" i="41"/>
  <c r="D2138" i="41"/>
  <c r="D2139" i="41"/>
  <c r="D2140" i="41"/>
  <c r="D2141" i="41"/>
  <c r="D2142" i="41"/>
  <c r="D2143" i="41"/>
  <c r="D2144" i="41"/>
  <c r="D2145" i="41"/>
  <c r="D2146" i="41"/>
  <c r="D2147" i="41"/>
  <c r="D2148" i="41"/>
  <c r="D2149" i="41"/>
  <c r="D2150" i="41"/>
  <c r="D2151" i="41"/>
  <c r="D2152" i="41"/>
  <c r="D2153" i="41"/>
  <c r="D2154" i="41"/>
  <c r="D2155" i="41"/>
  <c r="D2156" i="41"/>
  <c r="D2157" i="41"/>
  <c r="D2158" i="41"/>
  <c r="D2159" i="41"/>
  <c r="D2160" i="41"/>
  <c r="D2161" i="41"/>
  <c r="D2162" i="41"/>
  <c r="D2163" i="41"/>
  <c r="D2164" i="41"/>
  <c r="D2165" i="41"/>
  <c r="D2166" i="41"/>
  <c r="D2167" i="41"/>
  <c r="D2168" i="41"/>
  <c r="D2169" i="41"/>
  <c r="D2170" i="41"/>
  <c r="D2171" i="41"/>
  <c r="D2172" i="41"/>
  <c r="D2173" i="41"/>
  <c r="D2174" i="41"/>
  <c r="D2175" i="41"/>
  <c r="D2176" i="41"/>
  <c r="D2177" i="41"/>
  <c r="D2178" i="41"/>
  <c r="D2179" i="41"/>
  <c r="D2180" i="41"/>
  <c r="D2181" i="41"/>
  <c r="D2182" i="41"/>
  <c r="D2183" i="41"/>
  <c r="D2184" i="41"/>
  <c r="D2185" i="41"/>
  <c r="D2186" i="41"/>
  <c r="D2187" i="41"/>
  <c r="D2188" i="41"/>
  <c r="D2189" i="41"/>
  <c r="D2190" i="41"/>
  <c r="D2191" i="41"/>
  <c r="D2192" i="41"/>
  <c r="D2193" i="41"/>
  <c r="D2194" i="41"/>
  <c r="D2195" i="41"/>
  <c r="D2196" i="41"/>
  <c r="D2197" i="41"/>
  <c r="D2198" i="41"/>
  <c r="D2199" i="41"/>
  <c r="D2200" i="41"/>
  <c r="D2201" i="41"/>
  <c r="D2202" i="41"/>
  <c r="D2203" i="41"/>
  <c r="D2204" i="41"/>
  <c r="D2205" i="41"/>
  <c r="D2206" i="41"/>
  <c r="D2207" i="41"/>
  <c r="D2208" i="41"/>
  <c r="D2209" i="41"/>
  <c r="D2210" i="41"/>
  <c r="D2211" i="41"/>
  <c r="D2212" i="41"/>
  <c r="D2213" i="41"/>
  <c r="D2214" i="41"/>
  <c r="D2215" i="41"/>
  <c r="D2216" i="41"/>
  <c r="D2217" i="41"/>
  <c r="D2218" i="41"/>
  <c r="D2219" i="41"/>
  <c r="D2220" i="41"/>
  <c r="D2221" i="41"/>
  <c r="D2222" i="41"/>
  <c r="D2223" i="41"/>
  <c r="D2224" i="41"/>
  <c r="D2225" i="41"/>
  <c r="D2226" i="41"/>
  <c r="D2227" i="41"/>
  <c r="D2228" i="41"/>
  <c r="D2229" i="41"/>
  <c r="D2230" i="41"/>
  <c r="D2231" i="41"/>
  <c r="D2232" i="41"/>
  <c r="D2233" i="41"/>
  <c r="D2234" i="41"/>
  <c r="D2235" i="41"/>
  <c r="D2236" i="41"/>
  <c r="D2237" i="41"/>
  <c r="D2238" i="41"/>
  <c r="D2239" i="41"/>
  <c r="D2240" i="41"/>
  <c r="D2241" i="41"/>
  <c r="D2242" i="41"/>
  <c r="D2243" i="41"/>
  <c r="D2244" i="41"/>
  <c r="D2245" i="41"/>
  <c r="D2246" i="41"/>
  <c r="D2247" i="41"/>
  <c r="D2248" i="41"/>
  <c r="D2249" i="41"/>
  <c r="D2250" i="41"/>
  <c r="D2251" i="41"/>
  <c r="D2252" i="41"/>
  <c r="D2253" i="41"/>
  <c r="D2254" i="41"/>
  <c r="D2255" i="41"/>
  <c r="D2256" i="41"/>
  <c r="D2257" i="41"/>
  <c r="D2258" i="41"/>
  <c r="D2259" i="41"/>
  <c r="D2260" i="41"/>
  <c r="D2261" i="41"/>
  <c r="D2262" i="41"/>
  <c r="D2263" i="41"/>
  <c r="D2264" i="41"/>
  <c r="D2265" i="41"/>
  <c r="D2266" i="41"/>
  <c r="D2267" i="41"/>
  <c r="D2268" i="41"/>
  <c r="D2269" i="41"/>
  <c r="D2270" i="41"/>
  <c r="D2271" i="41"/>
  <c r="D2272" i="41"/>
  <c r="D2273" i="41"/>
  <c r="D2274" i="41"/>
  <c r="D2275" i="41"/>
  <c r="D2276" i="41"/>
  <c r="D2277" i="41"/>
  <c r="D2278" i="41"/>
  <c r="D2279" i="41"/>
  <c r="D2280" i="41"/>
  <c r="D2281" i="41"/>
  <c r="D2282" i="41"/>
  <c r="D2283" i="41"/>
  <c r="D2284" i="41"/>
  <c r="D2285" i="41"/>
  <c r="D2286" i="41"/>
  <c r="D2287" i="41"/>
  <c r="D2288" i="41"/>
  <c r="D2289" i="41"/>
  <c r="D2290" i="41"/>
  <c r="D2291" i="41"/>
  <c r="D2292" i="41"/>
  <c r="D2293" i="41"/>
  <c r="D2294" i="41"/>
  <c r="D2295" i="41"/>
  <c r="D2296" i="41"/>
  <c r="D2297" i="41"/>
  <c r="D2298" i="41"/>
  <c r="D2299" i="41"/>
  <c r="D2300" i="41"/>
  <c r="D2301" i="41"/>
  <c r="D2302" i="41"/>
  <c r="D2303" i="41"/>
  <c r="D2304" i="41"/>
  <c r="D2305" i="41"/>
  <c r="D2306" i="41"/>
  <c r="D2307" i="41"/>
  <c r="D2308" i="41"/>
  <c r="D2309" i="41"/>
  <c r="D2310" i="41"/>
  <c r="D2311" i="41"/>
  <c r="D2312" i="41"/>
  <c r="D2313" i="41"/>
  <c r="D2314" i="41"/>
  <c r="D2315" i="41"/>
  <c r="D2316" i="41"/>
  <c r="D2317" i="41"/>
  <c r="D2318" i="41"/>
  <c r="D2319" i="41"/>
  <c r="D2320" i="41"/>
  <c r="D2321" i="41"/>
  <c r="D2322" i="41"/>
  <c r="D2323" i="41"/>
  <c r="D2324" i="41"/>
  <c r="D2325" i="41"/>
  <c r="D2326" i="41"/>
  <c r="D2327" i="41"/>
  <c r="D2328" i="41"/>
  <c r="D2329" i="41"/>
  <c r="D2330" i="41"/>
  <c r="D2331" i="41"/>
  <c r="D2332" i="41"/>
  <c r="D2333" i="41"/>
  <c r="D2334" i="41"/>
  <c r="D2335" i="41"/>
  <c r="D2336" i="41"/>
  <c r="D2337" i="41"/>
  <c r="D2338" i="41"/>
  <c r="D2339" i="41"/>
  <c r="D2340" i="41"/>
  <c r="D2341" i="41"/>
  <c r="D2342" i="41"/>
  <c r="D2343" i="41"/>
  <c r="D2344" i="41"/>
  <c r="D2345" i="41"/>
  <c r="D2346" i="41"/>
  <c r="D2347" i="41"/>
  <c r="D2348" i="41"/>
  <c r="D2349" i="41"/>
  <c r="D2350" i="41"/>
  <c r="D2351" i="41"/>
  <c r="D2352" i="41"/>
  <c r="D2353" i="41"/>
  <c r="D2354" i="41"/>
  <c r="D2355" i="41"/>
  <c r="D2356" i="41"/>
  <c r="D2357" i="41"/>
  <c r="D2358" i="41"/>
  <c r="D2359" i="41"/>
  <c r="D2360" i="41"/>
  <c r="D2361" i="41"/>
  <c r="D2362" i="41"/>
  <c r="D2363" i="41"/>
  <c r="D2364" i="41"/>
  <c r="D2365" i="41"/>
  <c r="D2366" i="41"/>
  <c r="D2367" i="41"/>
  <c r="D2368" i="41"/>
  <c r="D2369" i="41"/>
  <c r="D2370" i="41"/>
  <c r="D2371" i="41"/>
  <c r="D2372" i="41"/>
  <c r="D2373" i="41"/>
  <c r="D2374" i="41"/>
  <c r="D2375" i="41"/>
  <c r="D2376" i="41"/>
  <c r="D2377" i="41"/>
  <c r="D2378" i="41"/>
  <c r="D2379" i="41"/>
  <c r="D2380" i="41"/>
  <c r="D2382" i="41"/>
  <c r="AB84" i="40" l="1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83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9" i="40"/>
  <c r="E633" i="41"/>
  <c r="E634" i="41"/>
  <c r="AB272" i="40" l="1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B271" i="40"/>
  <c r="AA27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B151" i="40"/>
  <c r="AA151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83" i="40"/>
  <c r="AA9" i="40"/>
  <c r="G1532" i="42" l="1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E1089" i="41"/>
  <c r="E1088" i="41"/>
  <c r="E1087" i="41"/>
  <c r="E1086" i="41"/>
  <c r="E1085" i="41"/>
  <c r="E1083" i="41"/>
  <c r="E1082" i="41"/>
  <c r="E1081" i="41"/>
  <c r="E1080" i="41"/>
  <c r="E1079" i="41"/>
  <c r="E1078" i="41"/>
  <c r="E1077" i="41"/>
  <c r="E1076" i="41"/>
  <c r="E1075" i="41"/>
  <c r="E1073" i="41"/>
  <c r="E1072" i="41"/>
  <c r="E1071" i="41"/>
  <c r="E1070" i="41"/>
  <c r="E1068" i="41"/>
  <c r="E1066" i="41"/>
  <c r="E1060" i="41"/>
  <c r="E1054" i="41"/>
  <c r="E1053" i="41"/>
  <c r="E1052" i="41"/>
  <c r="E1049" i="41"/>
  <c r="E1048" i="41"/>
  <c r="E1047" i="41"/>
  <c r="E1046" i="41"/>
  <c r="E1045" i="41"/>
  <c r="E1043" i="41"/>
  <c r="E1042" i="41"/>
  <c r="E1041" i="41"/>
  <c r="E1039" i="41"/>
  <c r="E1038" i="41"/>
  <c r="E1036" i="41"/>
  <c r="E1035" i="41"/>
  <c r="E1034" i="41"/>
  <c r="E1033" i="41"/>
  <c r="E1032" i="41"/>
  <c r="E1031" i="41"/>
  <c r="E1030" i="41"/>
  <c r="E1028" i="41"/>
  <c r="E1027" i="41"/>
  <c r="E1026" i="41"/>
  <c r="E1022" i="41"/>
  <c r="E1021" i="41"/>
  <c r="E1020" i="41"/>
  <c r="E1012" i="41"/>
  <c r="E1011" i="41"/>
  <c r="E1008" i="41"/>
  <c r="E1003" i="41"/>
  <c r="E992" i="41"/>
  <c r="E990" i="41"/>
  <c r="E980" i="41"/>
  <c r="E979" i="41"/>
  <c r="E978" i="41"/>
  <c r="E975" i="41"/>
  <c r="E974" i="41"/>
  <c r="E973" i="41"/>
  <c r="E972" i="41"/>
  <c r="E971" i="41"/>
  <c r="E968" i="41"/>
  <c r="E965" i="41"/>
  <c r="E960" i="41"/>
  <c r="E955" i="41"/>
  <c r="E946" i="41"/>
  <c r="E945" i="41"/>
  <c r="E944" i="41"/>
  <c r="E941" i="41"/>
  <c r="E940" i="41"/>
  <c r="E938" i="41"/>
  <c r="E937" i="41"/>
  <c r="E935" i="41"/>
  <c r="E933" i="41"/>
  <c r="E931" i="41"/>
  <c r="E930" i="41"/>
  <c r="E929" i="41"/>
  <c r="E928" i="41"/>
  <c r="E927" i="41"/>
  <c r="E926" i="41"/>
  <c r="E923" i="41"/>
  <c r="E922" i="41"/>
  <c r="E921" i="41"/>
  <c r="E920" i="41"/>
  <c r="E915" i="41"/>
  <c r="E913" i="41"/>
  <c r="E912" i="41"/>
  <c r="E910" i="41"/>
  <c r="E906" i="41"/>
  <c r="E904" i="41"/>
  <c r="E898" i="41"/>
  <c r="E877" i="41"/>
  <c r="E871" i="41"/>
  <c r="E870" i="41"/>
  <c r="E869" i="41"/>
  <c r="E863" i="41"/>
  <c r="E862" i="41"/>
  <c r="E861" i="41"/>
  <c r="E860" i="41"/>
  <c r="E859" i="41"/>
  <c r="E858" i="41"/>
  <c r="E855" i="41"/>
  <c r="E853" i="41"/>
  <c r="E846" i="41"/>
  <c r="E844" i="41"/>
  <c r="E842" i="41"/>
  <c r="E838" i="41"/>
  <c r="E837" i="41"/>
  <c r="E834" i="41"/>
  <c r="E823" i="41"/>
  <c r="E822" i="41"/>
  <c r="E821" i="41"/>
  <c r="E820" i="41"/>
  <c r="E819" i="41"/>
  <c r="E818" i="41"/>
  <c r="E816" i="41"/>
  <c r="E815" i="41"/>
  <c r="E814" i="41"/>
  <c r="E812" i="41"/>
  <c r="E811" i="41"/>
  <c r="E810" i="41"/>
  <c r="E809" i="41"/>
  <c r="E808" i="41"/>
  <c r="E807" i="41"/>
  <c r="E805" i="41"/>
  <c r="E803" i="41"/>
  <c r="E802" i="41"/>
  <c r="E797" i="41"/>
  <c r="E795" i="41"/>
  <c r="E790" i="41"/>
  <c r="E780" i="41"/>
  <c r="E779" i="41"/>
  <c r="E778" i="41"/>
  <c r="E776" i="41"/>
  <c r="E775" i="41"/>
  <c r="E771" i="41"/>
  <c r="E770" i="41"/>
  <c r="E769" i="41"/>
  <c r="E768" i="41"/>
  <c r="E767" i="41"/>
  <c r="E766" i="41"/>
  <c r="E765" i="41"/>
  <c r="E764" i="41"/>
  <c r="E763" i="41"/>
  <c r="E762" i="41"/>
  <c r="E761" i="41"/>
  <c r="E758" i="41"/>
  <c r="E756" i="41"/>
  <c r="E755" i="41"/>
  <c r="E753" i="41"/>
  <c r="E752" i="41"/>
  <c r="E751" i="41"/>
  <c r="E750" i="41"/>
  <c r="E749" i="41"/>
  <c r="E748" i="41"/>
  <c r="E746" i="41"/>
  <c r="E745" i="41"/>
  <c r="E744" i="41"/>
  <c r="E739" i="41"/>
  <c r="E736" i="41"/>
  <c r="E735" i="41"/>
  <c r="E731" i="41"/>
  <c r="E730" i="41"/>
  <c r="E728" i="41"/>
  <c r="E726" i="41"/>
  <c r="E725" i="41"/>
  <c r="E721" i="41"/>
  <c r="E717" i="41"/>
  <c r="E716" i="41"/>
  <c r="E715" i="41"/>
  <c r="E713" i="41"/>
  <c r="E712" i="41"/>
  <c r="E711" i="41"/>
  <c r="E710" i="41"/>
  <c r="E709" i="41"/>
  <c r="E708" i="41"/>
  <c r="E707" i="41"/>
  <c r="E706" i="41"/>
  <c r="E705" i="41"/>
  <c r="E704" i="41"/>
  <c r="E703" i="41"/>
  <c r="E702" i="41"/>
  <c r="E701" i="41"/>
  <c r="E700" i="41"/>
  <c r="E699" i="41"/>
  <c r="E698" i="41"/>
  <c r="E697" i="41"/>
  <c r="E696" i="41"/>
  <c r="E695" i="41"/>
  <c r="E694" i="41"/>
  <c r="E693" i="41"/>
  <c r="E692" i="41"/>
  <c r="E691" i="41"/>
  <c r="E690" i="41"/>
  <c r="E689" i="41"/>
  <c r="E688" i="41"/>
  <c r="E687" i="41"/>
  <c r="E686" i="41"/>
  <c r="E685" i="41"/>
  <c r="E684" i="41"/>
  <c r="E683" i="41"/>
  <c r="E681" i="41"/>
  <c r="E680" i="41"/>
  <c r="E679" i="41"/>
  <c r="E673" i="41"/>
  <c r="E671" i="41"/>
  <c r="E668" i="41"/>
  <c r="E665" i="41"/>
  <c r="E663" i="41"/>
  <c r="E660" i="41"/>
  <c r="E659" i="41"/>
  <c r="E657" i="41"/>
  <c r="E655" i="41"/>
  <c r="E650" i="41"/>
  <c r="E635" i="41"/>
  <c r="E632" i="41"/>
  <c r="E631" i="41"/>
  <c r="E629" i="41"/>
  <c r="E628" i="41"/>
  <c r="E624" i="41"/>
  <c r="E623" i="41"/>
  <c r="E615" i="41"/>
  <c r="E614" i="41"/>
  <c r="E612" i="41"/>
  <c r="E604" i="41"/>
  <c r="E603" i="41"/>
  <c r="D2" i="41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K362" i="40"/>
  <c r="R362" i="40" s="1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Q348" i="40"/>
  <c r="K348" i="40"/>
  <c r="Q347" i="40"/>
  <c r="K347" i="40"/>
  <c r="Q346" i="40"/>
  <c r="K346" i="40"/>
  <c r="K345" i="40"/>
  <c r="R345" i="40" s="1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R300" i="40" s="1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K249" i="40"/>
  <c r="R249" i="40" s="1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R173" i="40" s="1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K166" i="40"/>
  <c r="R166" i="40" s="1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R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R14" i="40" s="1"/>
  <c r="Q13" i="40"/>
  <c r="K13" i="40"/>
  <c r="Q12" i="40"/>
  <c r="K12" i="40"/>
  <c r="Q11" i="40"/>
  <c r="K11" i="40"/>
  <c r="Q10" i="40"/>
  <c r="K10" i="40"/>
  <c r="Q9" i="40"/>
  <c r="K9" i="40"/>
  <c r="R12" i="40" l="1"/>
  <c r="R85" i="40"/>
  <c r="R89" i="40"/>
  <c r="R93" i="40"/>
  <c r="R271" i="40"/>
  <c r="R9" i="40"/>
  <c r="R167" i="40"/>
  <c r="R171" i="40"/>
  <c r="R366" i="40"/>
  <c r="R83" i="40"/>
  <c r="R87" i="40"/>
  <c r="R91" i="40"/>
  <c r="R95" i="40"/>
  <c r="R151" i="40"/>
  <c r="R169" i="40"/>
  <c r="R278" i="40"/>
  <c r="R282" i="40"/>
  <c r="R286" i="40"/>
  <c r="R294" i="40"/>
  <c r="R298" i="40"/>
  <c r="R347" i="40"/>
  <c r="R364" i="40"/>
  <c r="R368" i="40"/>
  <c r="R234" i="40"/>
  <c r="R235" i="40"/>
  <c r="R239" i="40"/>
  <c r="R304" i="40"/>
  <c r="R308" i="40"/>
  <c r="R312" i="40"/>
  <c r="R313" i="40"/>
  <c r="R314" i="40"/>
  <c r="R315" i="40"/>
  <c r="R317" i="40"/>
  <c r="R319" i="40"/>
  <c r="R320" i="40"/>
  <c r="R321" i="40"/>
  <c r="R323" i="40"/>
  <c r="R331" i="40"/>
  <c r="R333" i="40"/>
  <c r="R335" i="40"/>
  <c r="R336" i="40"/>
  <c r="R337" i="40"/>
  <c r="R338" i="40"/>
  <c r="R340" i="40"/>
  <c r="R342" i="40"/>
  <c r="R343" i="40"/>
  <c r="R344" i="40"/>
  <c r="R352" i="40"/>
  <c r="R353" i="40"/>
  <c r="R355" i="40"/>
  <c r="R357" i="40"/>
  <c r="R359" i="40"/>
  <c r="R360" i="40"/>
  <c r="R361" i="40"/>
  <c r="R186" i="40"/>
  <c r="R187" i="40"/>
  <c r="R191" i="40"/>
  <c r="R202" i="40"/>
  <c r="R208" i="40"/>
  <c r="R210" i="40"/>
  <c r="R212" i="40"/>
  <c r="R238" i="40"/>
  <c r="R265" i="40"/>
  <c r="R266" i="40"/>
  <c r="R270" i="40"/>
  <c r="R129" i="40"/>
  <c r="R142" i="40"/>
  <c r="R144" i="40"/>
  <c r="R149" i="40"/>
  <c r="R150" i="40"/>
  <c r="R40" i="40"/>
  <c r="R42" i="40"/>
  <c r="R46" i="40"/>
  <c r="R48" i="40"/>
  <c r="R330" i="40"/>
  <c r="R273" i="40"/>
  <c r="R275" i="40"/>
  <c r="R277" i="40"/>
  <c r="R279" i="40"/>
  <c r="R281" i="40"/>
  <c r="R287" i="40"/>
  <c r="R289" i="40"/>
  <c r="R291" i="40"/>
  <c r="R293" i="40"/>
  <c r="R295" i="40"/>
  <c r="R297" i="40"/>
  <c r="R307" i="40"/>
  <c r="R285" i="40"/>
  <c r="R334" i="40"/>
  <c r="R302" i="40"/>
  <c r="R327" i="40"/>
  <c r="R311" i="40"/>
  <c r="R351" i="40"/>
  <c r="R276" i="40"/>
  <c r="R292" i="40"/>
  <c r="R301" i="40"/>
  <c r="R303" i="40"/>
  <c r="R305" i="40"/>
  <c r="R318" i="40"/>
  <c r="R324" i="40"/>
  <c r="R328" i="40"/>
  <c r="R341" i="40"/>
  <c r="R346" i="40"/>
  <c r="R348" i="40"/>
  <c r="R363" i="40"/>
  <c r="R306" i="40"/>
  <c r="R322" i="40"/>
  <c r="R284" i="40"/>
  <c r="R310" i="40"/>
  <c r="R326" i="40"/>
  <c r="R350" i="40"/>
  <c r="R365" i="40"/>
  <c r="R280" i="40"/>
  <c r="R272" i="40"/>
  <c r="R274" i="40"/>
  <c r="R283" i="40"/>
  <c r="R288" i="40"/>
  <c r="R290" i="40"/>
  <c r="R299" i="40"/>
  <c r="R309" i="40"/>
  <c r="R316" i="40"/>
  <c r="R325" i="40"/>
  <c r="R332" i="40"/>
  <c r="R339" i="40"/>
  <c r="R354" i="40"/>
  <c r="R356" i="40"/>
  <c r="R358" i="40"/>
  <c r="R367" i="40"/>
  <c r="R152" i="40"/>
  <c r="R247" i="40"/>
  <c r="R153" i="40"/>
  <c r="R161" i="40"/>
  <c r="R214" i="40"/>
  <c r="R197" i="40"/>
  <c r="R213" i="40"/>
  <c r="R174" i="40"/>
  <c r="R216" i="40"/>
  <c r="R218" i="40"/>
  <c r="R224" i="40"/>
  <c r="R229" i="40"/>
  <c r="R164" i="40"/>
  <c r="R170" i="40"/>
  <c r="R175" i="40"/>
  <c r="R183" i="40"/>
  <c r="R190" i="40"/>
  <c r="R256" i="40"/>
  <c r="R260" i="40"/>
  <c r="R181" i="40"/>
  <c r="R199" i="40"/>
  <c r="R206" i="40"/>
  <c r="R226" i="40"/>
  <c r="R228" i="40"/>
  <c r="R230" i="40"/>
  <c r="R232" i="40"/>
  <c r="R245" i="40"/>
  <c r="R250" i="40"/>
  <c r="R258" i="40"/>
  <c r="R262" i="40"/>
  <c r="R269" i="40"/>
  <c r="R159" i="40"/>
  <c r="R165" i="40"/>
  <c r="R176" i="40"/>
  <c r="R178" i="40"/>
  <c r="R180" i="40"/>
  <c r="R182" i="40"/>
  <c r="R184" i="40"/>
  <c r="R203" i="40"/>
  <c r="R207" i="40"/>
  <c r="R215" i="40"/>
  <c r="R222" i="40"/>
  <c r="R240" i="40"/>
  <c r="R242" i="40"/>
  <c r="R244" i="40"/>
  <c r="R246" i="40"/>
  <c r="R248" i="40"/>
  <c r="R154" i="40"/>
  <c r="R156" i="40"/>
  <c r="R158" i="40"/>
  <c r="R160" i="40"/>
  <c r="R162" i="40"/>
  <c r="R172" i="40"/>
  <c r="R192" i="40"/>
  <c r="R194" i="40"/>
  <c r="R196" i="40"/>
  <c r="R198" i="40"/>
  <c r="R200" i="40"/>
  <c r="R219" i="40"/>
  <c r="R223" i="40"/>
  <c r="R231" i="40"/>
  <c r="R251" i="40"/>
  <c r="R253" i="40"/>
  <c r="R255" i="40"/>
  <c r="R257" i="40"/>
  <c r="R259" i="40"/>
  <c r="R261" i="40"/>
  <c r="R263" i="40"/>
  <c r="R233" i="40"/>
  <c r="R189" i="40"/>
  <c r="R205" i="40"/>
  <c r="R221" i="40"/>
  <c r="R237" i="40"/>
  <c r="R264" i="40"/>
  <c r="R163" i="40"/>
  <c r="R185" i="40"/>
  <c r="R201" i="40"/>
  <c r="R217" i="40"/>
  <c r="R155" i="40"/>
  <c r="R157" i="40"/>
  <c r="R168" i="40"/>
  <c r="R177" i="40"/>
  <c r="R179" i="40"/>
  <c r="R188" i="40"/>
  <c r="R193" i="40"/>
  <c r="R195" i="40"/>
  <c r="R204" i="40"/>
  <c r="R209" i="40"/>
  <c r="R211" i="40"/>
  <c r="R220" i="40"/>
  <c r="R225" i="40"/>
  <c r="R227" i="40"/>
  <c r="R236" i="40"/>
  <c r="R241" i="40"/>
  <c r="R243" i="40"/>
  <c r="R252" i="40"/>
  <c r="R254" i="40"/>
  <c r="R268" i="40"/>
  <c r="R267" i="40"/>
  <c r="R84" i="40"/>
  <c r="R86" i="40"/>
  <c r="R92" i="40"/>
  <c r="R94" i="40"/>
  <c r="R114" i="40"/>
  <c r="R128" i="40"/>
  <c r="R141" i="40"/>
  <c r="R145" i="40"/>
  <c r="R97" i="40"/>
  <c r="R103" i="40"/>
  <c r="R105" i="40"/>
  <c r="R107" i="40"/>
  <c r="R109" i="40"/>
  <c r="R111" i="40"/>
  <c r="R113" i="40"/>
  <c r="R119" i="40"/>
  <c r="R121" i="40"/>
  <c r="R123" i="40"/>
  <c r="R125" i="40"/>
  <c r="R101" i="40"/>
  <c r="R98" i="40"/>
  <c r="R100" i="40"/>
  <c r="R102" i="40"/>
  <c r="R104" i="40"/>
  <c r="R110" i="40"/>
  <c r="R112" i="40"/>
  <c r="R117" i="40"/>
  <c r="R133" i="40"/>
  <c r="R135" i="40"/>
  <c r="R137" i="40"/>
  <c r="R126" i="40"/>
  <c r="R130" i="40"/>
  <c r="R132" i="40"/>
  <c r="R139" i="40"/>
  <c r="R146" i="40"/>
  <c r="R148" i="40"/>
  <c r="R116" i="40"/>
  <c r="R118" i="40"/>
  <c r="R120" i="40"/>
  <c r="R127" i="40"/>
  <c r="R134" i="40"/>
  <c r="R136" i="40"/>
  <c r="R143" i="40"/>
  <c r="R88" i="40"/>
  <c r="R90" i="40"/>
  <c r="R99" i="40"/>
  <c r="R106" i="40"/>
  <c r="R108" i="40"/>
  <c r="R115" i="40"/>
  <c r="R122" i="40"/>
  <c r="R124" i="40"/>
  <c r="R131" i="40"/>
  <c r="R138" i="40"/>
  <c r="R140" i="40"/>
  <c r="R147" i="40"/>
  <c r="R39" i="40"/>
  <c r="R47" i="40"/>
  <c r="R70" i="40"/>
  <c r="R28" i="40"/>
  <c r="R57" i="40"/>
  <c r="R16" i="40"/>
  <c r="R32" i="40"/>
  <c r="R34" i="40"/>
  <c r="R38" i="40"/>
  <c r="R50" i="40"/>
  <c r="R52" i="40"/>
  <c r="R56" i="40"/>
  <c r="R58" i="40"/>
  <c r="R60" i="40"/>
  <c r="R64" i="40"/>
  <c r="R74" i="40"/>
  <c r="R82" i="40"/>
  <c r="R17" i="40"/>
  <c r="R21" i="40"/>
  <c r="R27" i="40"/>
  <c r="R29" i="40"/>
  <c r="R31" i="40"/>
  <c r="R33" i="40"/>
  <c r="R35" i="40"/>
  <c r="R37" i="40"/>
  <c r="R59" i="40"/>
  <c r="R61" i="40"/>
  <c r="R63" i="40"/>
  <c r="R65" i="40"/>
  <c r="R67" i="40"/>
  <c r="R69" i="40"/>
  <c r="R71" i="40"/>
  <c r="R73" i="40"/>
  <c r="R75" i="40"/>
  <c r="R77" i="40"/>
  <c r="R79" i="40"/>
  <c r="R81" i="40"/>
  <c r="R11" i="40"/>
  <c r="R13" i="40"/>
  <c r="R36" i="40"/>
  <c r="R44" i="40"/>
  <c r="R54" i="40"/>
  <c r="R10" i="40"/>
  <c r="R20" i="40"/>
  <c r="R24" i="40"/>
  <c r="R26" i="40"/>
  <c r="R30" i="40"/>
  <c r="R41" i="40"/>
  <c r="R43" i="40"/>
  <c r="R45" i="40"/>
  <c r="R51" i="40"/>
  <c r="R53" i="40"/>
  <c r="R55" i="40"/>
  <c r="R62" i="40"/>
  <c r="R66" i="40"/>
  <c r="R68" i="40"/>
  <c r="R72" i="40"/>
  <c r="R19" i="40"/>
  <c r="R22" i="40"/>
  <c r="R76" i="40"/>
  <c r="R15" i="40"/>
  <c r="R18" i="40"/>
  <c r="R23" i="40"/>
  <c r="R78" i="40"/>
  <c r="R80" i="40"/>
  <c r="C27" i="43" l="1"/>
  <c r="D27" i="43" s="1"/>
  <c r="C26" i="43"/>
  <c r="D26" i="43" s="1"/>
  <c r="C25" i="43"/>
  <c r="D25" i="43" s="1"/>
  <c r="C24" i="4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1" i="37"/>
  <c r="Q102" i="37"/>
  <c r="Q103" i="37"/>
  <c r="Q104" i="37"/>
  <c r="Q105" i="37"/>
  <c r="Q106" i="37"/>
  <c r="Q107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R62" i="37" s="1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8" i="37"/>
  <c r="K89" i="37"/>
  <c r="K90" i="37"/>
  <c r="K91" i="37"/>
  <c r="K92" i="37"/>
  <c r="K93" i="37"/>
  <c r="K94" i="37"/>
  <c r="K95" i="37"/>
  <c r="R95" i="37" s="1"/>
  <c r="K96" i="37"/>
  <c r="K97" i="37"/>
  <c r="K98" i="37"/>
  <c r="K99" i="37"/>
  <c r="K100" i="37"/>
  <c r="K101" i="37"/>
  <c r="K102" i="37"/>
  <c r="K103" i="37"/>
  <c r="R103" i="37" s="1"/>
  <c r="K104" i="37"/>
  <c r="K105" i="37"/>
  <c r="K106" i="37"/>
  <c r="K107" i="37"/>
  <c r="R105" i="37" l="1"/>
  <c r="D24" i="43"/>
  <c r="C28" i="43"/>
  <c r="D28" i="43" s="1"/>
  <c r="R85" i="37"/>
  <c r="R101" i="37"/>
  <c r="R99" i="37"/>
  <c r="R91" i="37"/>
  <c r="R79" i="39"/>
  <c r="R75" i="39"/>
  <c r="R73" i="39"/>
  <c r="R71" i="39"/>
  <c r="R55" i="39"/>
  <c r="R105" i="3"/>
  <c r="R103" i="3"/>
  <c r="R101" i="3"/>
  <c r="R93" i="3"/>
  <c r="R89" i="3"/>
  <c r="R87" i="3"/>
  <c r="R85" i="3"/>
  <c r="R77" i="3"/>
  <c r="R73" i="3"/>
  <c r="R71" i="3"/>
  <c r="R69" i="3"/>
  <c r="R61" i="3"/>
  <c r="R57" i="3"/>
  <c r="R55" i="3"/>
  <c r="R53" i="3"/>
  <c r="R45" i="3"/>
  <c r="R41" i="3"/>
  <c r="R39" i="3"/>
  <c r="R97" i="37"/>
  <c r="R93" i="37"/>
  <c r="R89" i="37"/>
  <c r="R72" i="39"/>
  <c r="R117" i="3"/>
  <c r="R102" i="3"/>
  <c r="R86" i="3"/>
  <c r="R70" i="3"/>
  <c r="R54" i="3"/>
  <c r="R38" i="3"/>
  <c r="R59" i="37"/>
  <c r="R55" i="37"/>
  <c r="R49" i="37"/>
  <c r="R43" i="37"/>
  <c r="R41" i="37"/>
  <c r="R73" i="38"/>
  <c r="R69" i="38"/>
  <c r="R67" i="38"/>
  <c r="R66" i="38"/>
  <c r="R65" i="38"/>
  <c r="R53" i="38"/>
  <c r="R51" i="38"/>
  <c r="R50" i="38"/>
  <c r="R49" i="38"/>
  <c r="R41" i="38"/>
  <c r="R47" i="39"/>
  <c r="R43" i="39"/>
  <c r="R39" i="39"/>
  <c r="R41" i="39"/>
  <c r="R57" i="38"/>
  <c r="R83" i="37"/>
  <c r="R81" i="37"/>
  <c r="R79" i="37"/>
  <c r="R77" i="37"/>
  <c r="R75" i="37"/>
  <c r="R73" i="37"/>
  <c r="R71" i="37"/>
  <c r="R69" i="37"/>
  <c r="R65" i="37"/>
  <c r="R63" i="37"/>
  <c r="R61" i="37"/>
  <c r="R57" i="37"/>
  <c r="R53" i="37"/>
  <c r="R51" i="37"/>
  <c r="R47" i="37"/>
  <c r="R45" i="37"/>
  <c r="R39" i="37"/>
  <c r="R125" i="3"/>
  <c r="R121" i="3"/>
  <c r="R119" i="3"/>
  <c r="R118" i="3"/>
  <c r="R109" i="3"/>
  <c r="R106" i="37"/>
  <c r="R104" i="37"/>
  <c r="R102" i="37"/>
  <c r="R100" i="37"/>
  <c r="R98" i="37"/>
  <c r="R96" i="37"/>
  <c r="R94" i="37"/>
  <c r="R92" i="37"/>
  <c r="R90" i="37"/>
  <c r="R88" i="37"/>
  <c r="R86" i="37"/>
  <c r="R84" i="37"/>
  <c r="R82" i="37"/>
  <c r="R80" i="37"/>
  <c r="R78" i="37"/>
  <c r="R76" i="37"/>
  <c r="R74" i="37"/>
  <c r="R72" i="37"/>
  <c r="R70" i="37"/>
  <c r="R68" i="37"/>
  <c r="R66" i="37"/>
  <c r="R64" i="37"/>
  <c r="R60" i="37"/>
  <c r="R58" i="37"/>
  <c r="R56" i="37"/>
  <c r="R54" i="37"/>
  <c r="R52" i="37"/>
  <c r="R50" i="37"/>
  <c r="R48" i="37"/>
  <c r="R46" i="37"/>
  <c r="R44" i="37"/>
  <c r="R42" i="37"/>
  <c r="R40" i="37"/>
  <c r="R38" i="37"/>
  <c r="R75" i="38"/>
  <c r="R74" i="38"/>
  <c r="R61" i="38"/>
  <c r="R59" i="38"/>
  <c r="R58" i="38"/>
  <c r="R45" i="38"/>
  <c r="R43" i="38"/>
  <c r="R42" i="38"/>
  <c r="R40" i="39"/>
  <c r="R127" i="3"/>
  <c r="R126" i="3"/>
  <c r="R113" i="3"/>
  <c r="R111" i="3"/>
  <c r="R110" i="3"/>
  <c r="R97" i="3"/>
  <c r="R95" i="3"/>
  <c r="R94" i="3"/>
  <c r="R81" i="3"/>
  <c r="R79" i="3"/>
  <c r="R78" i="3"/>
  <c r="R65" i="3"/>
  <c r="R63" i="3"/>
  <c r="R62" i="3"/>
  <c r="R49" i="3"/>
  <c r="R47" i="3"/>
  <c r="R46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71" i="38"/>
  <c r="R70" i="38"/>
  <c r="R63" i="38"/>
  <c r="R62" i="38"/>
  <c r="R55" i="38"/>
  <c r="R54" i="38"/>
  <c r="R47" i="38"/>
  <c r="R46" i="38"/>
  <c r="R39" i="38"/>
  <c r="R38" i="38"/>
  <c r="R63" i="39"/>
  <c r="R59" i="39"/>
  <c r="R57" i="39"/>
  <c r="R56" i="39"/>
  <c r="R81" i="39"/>
  <c r="R80" i="39"/>
  <c r="R67" i="39"/>
  <c r="R65" i="39"/>
  <c r="R64" i="39"/>
  <c r="R51" i="39"/>
  <c r="R48" i="39"/>
  <c r="R77" i="39"/>
  <c r="R76" i="39"/>
  <c r="R69" i="39"/>
  <c r="R68" i="39"/>
  <c r="R61" i="39"/>
  <c r="R60" i="39"/>
  <c r="R53" i="39"/>
  <c r="R52" i="39"/>
  <c r="R45" i="39"/>
  <c r="R44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76" i="38"/>
  <c r="R72" i="38"/>
  <c r="R68" i="38"/>
  <c r="R64" i="38"/>
  <c r="R60" i="38"/>
  <c r="R56" i="38"/>
  <c r="R52" i="38"/>
  <c r="R48" i="38"/>
  <c r="R44" i="38"/>
  <c r="R40" i="38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Z4" i="38"/>
  <c r="W4" i="38"/>
  <c r="F4" i="38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Q13" i="39"/>
  <c r="K13" i="39"/>
  <c r="Q12" i="39"/>
  <c r="K12" i="39"/>
  <c r="Q11" i="39"/>
  <c r="K11" i="39"/>
  <c r="Q10" i="39"/>
  <c r="K10" i="39"/>
  <c r="Q9" i="39"/>
  <c r="K9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2" i="3"/>
  <c r="K33" i="3"/>
  <c r="K34" i="3"/>
  <c r="K35" i="3"/>
  <c r="K36" i="3"/>
  <c r="K37" i="3"/>
  <c r="K9" i="3"/>
  <c r="K10" i="3"/>
  <c r="Q11" i="3"/>
  <c r="W4" i="39" l="1"/>
  <c r="W4" i="40"/>
  <c r="AB4" i="39"/>
  <c r="AB4" i="40"/>
  <c r="F4" i="39"/>
  <c r="F4" i="40"/>
  <c r="Z4" i="39"/>
  <c r="Z4" i="40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<sst xmlns="http://schemas.openxmlformats.org/spreadsheetml/2006/main" count="18055" uniqueCount="3298">
  <si>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</si>
  <si>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</si>
  <si>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</si>
  <si>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</si>
  <si>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</si>
  <si>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</si>
  <si>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</si>
  <si>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</si>
  <si>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</si>
  <si>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</si>
  <si>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</si>
  <si>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</si>
  <si>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</si>
  <si>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</si>
  <si>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</si>
  <si>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</si>
  <si>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</si>
  <si>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</si>
  <si>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</si>
  <si>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</si>
  <si>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</si>
  <si>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</si>
  <si>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</si>
  <si>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</si>
  <si>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</si>
  <si>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</si>
  <si>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</si>
  <si>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</si>
  <si>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</si>
  <si>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</si>
  <si>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</si>
  <si>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</si>
  <si>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</si>
  <si>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</si>
  <si>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</si>
  <si>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</si>
  <si>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</si>
  <si>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</si>
  <si>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</si>
  <si>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</si>
  <si>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</si>
  <si>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</si>
  <si>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</si>
  <si>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</si>
  <si>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</si>
  <si>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</si>
  <si>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</si>
  <si>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</si>
  <si>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</si>
  <si>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</si>
  <si>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</si>
  <si>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</si>
  <si>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</si>
  <si>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</si>
  <si>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</si>
  <si>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</si>
  <si>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</si>
  <si>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</si>
  <si>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</si>
  <si>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</si>
  <si>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</si>
  <si>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</si>
  <si>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</si>
  <si>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</si>
  <si>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</si>
  <si>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</si>
  <si>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</si>
  <si>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</si>
  <si>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</si>
  <si>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</si>
  <si>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</si>
  <si>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</si>
  <si>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</si>
  <si>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</si>
  <si>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</si>
  <si>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</si>
  <si>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</si>
  <si>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</si>
  <si>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</si>
  <si>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</si>
  <si>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</si>
  <si>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</si>
  <si>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</si>
  <si>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</si>
  <si>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</si>
  <si>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</si>
  <si>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</si>
  <si>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</si>
  <si>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</si>
  <si>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</si>
  <si>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</si>
  <si>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</si>
  <si>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</si>
  <si>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</si>
  <si>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</si>
  <si>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</si>
  <si>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</si>
  <si>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</si>
  <si>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</si>
  <si>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</si>
  <si>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</si>
  <si>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</si>
  <si>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</si>
  <si>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</si>
  <si>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</si>
  <si>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</si>
  <si>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</si>
  <si>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</si>
  <si>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</si>
  <si>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</si>
  <si>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</si>
  <si>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</si>
  <si>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</si>
  <si>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</si>
  <si>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</si>
  <si>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</si>
  <si>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</si>
  <si>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</si>
  <si>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</si>
  <si>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</si>
  <si>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</si>
  <si>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</si>
  <si>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</si>
  <si>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</si>
  <si>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</si>
  <si>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</si>
  <si>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</si>
  <si>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</si>
  <si>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</si>
  <si>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</si>
  <si>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</si>
  <si>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</si>
  <si>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</si>
  <si>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</si>
  <si>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</si>
  <si>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</si>
  <si>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</si>
  <si>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</si>
  <si>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</si>
  <si>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</si>
  <si>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</si>
  <si>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</si>
  <si>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</si>
  <si>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</si>
  <si>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</si>
  <si>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</si>
  <si>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Y</t>
  </si>
  <si>
    <t>UG</t>
  </si>
  <si>
    <t>MBARARA</t>
  </si>
  <si>
    <t>MBARARA-NTUNGAMO ROAD</t>
  </si>
  <si>
    <t>ISINGIRO</t>
  </si>
  <si>
    <t>MIREMBE RUTH</t>
  </si>
  <si>
    <t>AJOK EMILY</t>
  </si>
  <si>
    <t>28.10.2019</t>
  </si>
  <si>
    <t>UAS 796Z</t>
  </si>
  <si>
    <t>MBARARA TOWN</t>
  </si>
  <si>
    <t>NTANTAMUK</t>
  </si>
  <si>
    <t>RAKAYI</t>
  </si>
  <si>
    <t>UAT 802S</t>
  </si>
  <si>
    <t>RWEBIKOONA</t>
  </si>
  <si>
    <t xml:space="preserve">KUUYA </t>
  </si>
  <si>
    <t>UAZ 935N</t>
  </si>
  <si>
    <t>NAKIVALE</t>
  </si>
  <si>
    <t>UAS 153K</t>
  </si>
  <si>
    <t>KASENYI</t>
  </si>
  <si>
    <t>LWAKIRURI</t>
  </si>
  <si>
    <t>UAX 644K</t>
  </si>
  <si>
    <t>RWEZILINGIRO</t>
  </si>
  <si>
    <t>UAB 046H</t>
  </si>
  <si>
    <t>KABEREBERE</t>
  </si>
  <si>
    <t>UAP 783G</t>
  </si>
  <si>
    <t>ISINGIRO TOWN</t>
  </si>
  <si>
    <t>UAF 900S</t>
  </si>
  <si>
    <t>NYAMITANGA</t>
  </si>
  <si>
    <t>UAU 767J</t>
  </si>
  <si>
    <t>MULUTI</t>
  </si>
  <si>
    <t>KIJERA</t>
  </si>
  <si>
    <t>UBD 703R</t>
  </si>
  <si>
    <t>TANZANIA TOWN</t>
  </si>
  <si>
    <t>TANZANIA</t>
  </si>
  <si>
    <t>UAM 083W</t>
  </si>
  <si>
    <t>UBC 487B</t>
  </si>
  <si>
    <t>KWABIRI</t>
  </si>
  <si>
    <t>UAN 954L</t>
  </si>
  <si>
    <t>NYAKAYISHO</t>
  </si>
  <si>
    <t>KITYAZA</t>
  </si>
  <si>
    <t>UEX 927M</t>
  </si>
  <si>
    <t>UAQ 136M</t>
  </si>
  <si>
    <t>UEB 435H</t>
  </si>
  <si>
    <t>KUNYA</t>
  </si>
  <si>
    <t>UAK 962P</t>
  </si>
  <si>
    <t>KABALE</t>
  </si>
  <si>
    <t>UAY 195E</t>
  </si>
  <si>
    <t>UAD 862F</t>
  </si>
  <si>
    <t>UDP 047C</t>
  </si>
  <si>
    <t>KATETE</t>
  </si>
  <si>
    <t>UAD 208W</t>
  </si>
  <si>
    <t>11;55</t>
  </si>
  <si>
    <t>UAX 802B</t>
  </si>
  <si>
    <t>LWAMPALA TOWN</t>
  </si>
  <si>
    <t>LWAMPALA</t>
  </si>
  <si>
    <t>MASHA</t>
  </si>
  <si>
    <t>UAL 413C</t>
  </si>
  <si>
    <t>UAR 047C</t>
  </si>
  <si>
    <t>UAH 549A</t>
  </si>
  <si>
    <t>BUTENGA</t>
  </si>
  <si>
    <t>UAP 864B</t>
  </si>
  <si>
    <t>UAM 364J</t>
  </si>
  <si>
    <t>UAP 659W</t>
  </si>
  <si>
    <t>KIKAGATI</t>
  </si>
  <si>
    <t>UEO 214O</t>
  </si>
  <si>
    <t>KYEMPALA</t>
  </si>
  <si>
    <t>UAX 056C</t>
  </si>
  <si>
    <t>KABINGO</t>
  </si>
  <si>
    <t>UAG 251M</t>
  </si>
  <si>
    <t>IAQ 397A</t>
  </si>
  <si>
    <t>KUMUKAGA</t>
  </si>
  <si>
    <t>UAF 172A</t>
  </si>
  <si>
    <t>UAZ 281T</t>
  </si>
  <si>
    <t>UAV 279N</t>
  </si>
  <si>
    <t>KYAMUSHOKA</t>
  </si>
  <si>
    <t>UEE 743L</t>
  </si>
  <si>
    <t>UDY 793U</t>
  </si>
  <si>
    <t>KAKOBA</t>
  </si>
  <si>
    <t>UER 018Y</t>
  </si>
  <si>
    <t>KISURO</t>
  </si>
  <si>
    <t>UBB 728A</t>
  </si>
  <si>
    <t>UAN 544P</t>
  </si>
  <si>
    <t>UBD 094L</t>
  </si>
  <si>
    <t>UAS 514P</t>
  </si>
  <si>
    <t>MILO</t>
  </si>
  <si>
    <t>UAW 264E</t>
  </si>
  <si>
    <t>KWOKIRURI</t>
  </si>
  <si>
    <t>UAP 989E</t>
  </si>
  <si>
    <t>KAMPALA TOWN</t>
  </si>
  <si>
    <t>KAMPALA</t>
  </si>
  <si>
    <t>UAZ 143Q</t>
  </si>
  <si>
    <t>UBF 618V</t>
  </si>
  <si>
    <t>UDA 914B</t>
  </si>
  <si>
    <t>UAX 164K</t>
  </si>
  <si>
    <t>UAZ 202T</t>
  </si>
  <si>
    <t>KAMBINGO</t>
  </si>
  <si>
    <t>UBB 783L</t>
  </si>
  <si>
    <t>UAB 876G</t>
  </si>
  <si>
    <t>KASHUBA</t>
  </si>
  <si>
    <t>UAL 382F</t>
  </si>
  <si>
    <t>OMUKIHONGO</t>
  </si>
  <si>
    <t>UAY 488M</t>
  </si>
  <si>
    <t>KIBURI</t>
  </si>
  <si>
    <t>UEE 657S</t>
  </si>
  <si>
    <t>KWAKIRURI</t>
  </si>
  <si>
    <t>UAY 294D</t>
  </si>
  <si>
    <t>UAG 409V</t>
  </si>
  <si>
    <t>UBF 910J</t>
  </si>
  <si>
    <t>UAT 241H</t>
  </si>
  <si>
    <t>UAW 605E</t>
  </si>
  <si>
    <t>NYABTUNDA</t>
  </si>
  <si>
    <t>UAG 359Q</t>
  </si>
  <si>
    <t>NTUGAMO</t>
  </si>
  <si>
    <t>UAW 483P</t>
  </si>
  <si>
    <t>KASHENYI</t>
  </si>
  <si>
    <t>UAH 978E</t>
  </si>
  <si>
    <t>KIRUMBA</t>
  </si>
  <si>
    <t>020731 LG</t>
  </si>
  <si>
    <t>RWABIKONA</t>
  </si>
  <si>
    <t>UAJ 927Q</t>
  </si>
  <si>
    <t>UER 066J</t>
  </si>
  <si>
    <t>MUKIHORGO</t>
  </si>
  <si>
    <t>UBD 553T</t>
  </si>
  <si>
    <t>UEV 601Z</t>
  </si>
  <si>
    <t>UED 860S</t>
  </si>
  <si>
    <t>UBD 899R</t>
  </si>
  <si>
    <t>UAL 941M</t>
  </si>
  <si>
    <t>UAP 916D</t>
  </si>
  <si>
    <t>UAU 790R</t>
  </si>
  <si>
    <t>RUGAGA</t>
  </si>
  <si>
    <t>UBE 717D</t>
  </si>
  <si>
    <t>UEU 270K</t>
  </si>
  <si>
    <t>NYAMINDO</t>
  </si>
  <si>
    <t>UAM 860F</t>
  </si>
  <si>
    <t>UAP 692V</t>
  </si>
  <si>
    <t>RUMBIDI</t>
  </si>
  <si>
    <t>UET 903C</t>
  </si>
  <si>
    <t>UDX 414E</t>
  </si>
  <si>
    <t>KAHENDA</t>
  </si>
  <si>
    <t>UEY 812V</t>
  </si>
  <si>
    <t>UAY 290P</t>
  </si>
  <si>
    <t>UED 131B</t>
  </si>
  <si>
    <t>UAP 456R</t>
  </si>
  <si>
    <t>UEW 140Y</t>
  </si>
  <si>
    <t>UAZ 832M</t>
  </si>
  <si>
    <t>UAH 095G</t>
  </si>
  <si>
    <t>UAG 781V</t>
  </si>
  <si>
    <t>UAQ 987V</t>
  </si>
  <si>
    <t>RWAKIRURI</t>
  </si>
  <si>
    <t>UEQ 286C</t>
  </si>
  <si>
    <t>UBA 386H</t>
  </si>
  <si>
    <t>UAU 906Q</t>
  </si>
  <si>
    <t>UAM 736L</t>
  </si>
  <si>
    <t>RUGANJA</t>
  </si>
  <si>
    <t>UAS 278H</t>
  </si>
  <si>
    <t>UAT 936E</t>
  </si>
  <si>
    <t>NYAKITUNDA</t>
  </si>
  <si>
    <t>UDV 335J</t>
  </si>
  <si>
    <t>MABONA</t>
  </si>
  <si>
    <t>UER 628Y</t>
  </si>
  <si>
    <t>UAW 270F</t>
  </si>
  <si>
    <t>UEA 823G</t>
  </si>
  <si>
    <t>UEA 168U</t>
  </si>
  <si>
    <t>KITOMA</t>
  </si>
  <si>
    <t>UEB 983V</t>
  </si>
  <si>
    <t>UEL 972M</t>
  </si>
  <si>
    <t>UBA 764T</t>
  </si>
  <si>
    <t>BIHARWE</t>
  </si>
  <si>
    <t>UAR 357D</t>
  </si>
  <si>
    <t>UAZ 395G</t>
  </si>
  <si>
    <t>KASESE</t>
  </si>
  <si>
    <t>KASESE TOWN</t>
  </si>
  <si>
    <t>UEU 849K</t>
  </si>
  <si>
    <t>UET 350Y</t>
  </si>
  <si>
    <t>UET 102Z</t>
  </si>
  <si>
    <t>UAT 259D</t>
  </si>
  <si>
    <t>UEK 188D</t>
  </si>
  <si>
    <t>UAW 997X</t>
  </si>
  <si>
    <t>UAJ 484W</t>
  </si>
  <si>
    <t>UAF 168U</t>
  </si>
  <si>
    <t>UEW 257Y</t>
  </si>
  <si>
    <t>UBE 030F</t>
  </si>
  <si>
    <t>UER 769X</t>
  </si>
  <si>
    <t>UAR 723M</t>
  </si>
  <si>
    <t>UAX 701A</t>
  </si>
  <si>
    <t>UEU 921S</t>
  </si>
  <si>
    <t>UEM 615E</t>
  </si>
  <si>
    <t>UBC 994C</t>
  </si>
  <si>
    <t>KITAGATI</t>
  </si>
  <si>
    <t>UAF 307R</t>
  </si>
  <si>
    <t>UEC 015A</t>
  </si>
  <si>
    <t>UAR 149Q</t>
  </si>
  <si>
    <t>UBB 896G</t>
  </si>
  <si>
    <t>UAZ 327Q</t>
  </si>
  <si>
    <t>UAW 916S</t>
  </si>
  <si>
    <t>UDL 077W</t>
  </si>
  <si>
    <t>KABARE</t>
  </si>
  <si>
    <t>UAW 174K</t>
  </si>
  <si>
    <t>UAB 105R</t>
  </si>
  <si>
    <t>RWENZIRINGIRO</t>
  </si>
  <si>
    <t>UAW 625J</t>
  </si>
  <si>
    <t>UAX 154K</t>
  </si>
  <si>
    <t>UAD 009J</t>
  </si>
  <si>
    <t>MUKIHOGO</t>
  </si>
  <si>
    <t>UBE 857V</t>
  </si>
  <si>
    <t>UEV 394M</t>
  </si>
  <si>
    <t>UAX 281A</t>
  </si>
  <si>
    <t>UBF 657C</t>
  </si>
  <si>
    <t>UAG 088V</t>
  </si>
  <si>
    <t>KITALE</t>
  </si>
  <si>
    <t>UEL 270F</t>
  </si>
  <si>
    <t>UAL 191G</t>
  </si>
  <si>
    <t>UBA 900T</t>
  </si>
  <si>
    <t>UAS 525D</t>
  </si>
  <si>
    <t>UAW 418D</t>
  </si>
  <si>
    <t>UET 055R</t>
  </si>
  <si>
    <t>UBF 400C</t>
  </si>
  <si>
    <t>UAV 904G</t>
  </si>
  <si>
    <t>NATETE</t>
  </si>
  <si>
    <t>UBE 752Z</t>
  </si>
  <si>
    <t>UAF 932V</t>
  </si>
  <si>
    <t>UAW 751V</t>
  </si>
  <si>
    <t>UBB 441U</t>
  </si>
  <si>
    <t>UES 799S</t>
  </si>
  <si>
    <t>UAV 253M</t>
  </si>
  <si>
    <t>UAS 580J</t>
  </si>
  <si>
    <t>UAV 323C</t>
  </si>
  <si>
    <t>UAW 051P</t>
  </si>
  <si>
    <t>UAT 889P</t>
  </si>
  <si>
    <t>UAX 316M</t>
  </si>
  <si>
    <t>UAX 011J</t>
  </si>
  <si>
    <t>UAR 016T</t>
  </si>
  <si>
    <t>UBC 856C</t>
  </si>
  <si>
    <t>UAG 706J</t>
  </si>
  <si>
    <t>UBD 186Z</t>
  </si>
  <si>
    <t>UBD 483M</t>
  </si>
  <si>
    <t>UBA 363L</t>
  </si>
  <si>
    <t>T478 DBW</t>
  </si>
  <si>
    <t>KYERWA</t>
  </si>
  <si>
    <t>KYERWA TOWN</t>
  </si>
  <si>
    <t>UBE 783N</t>
  </si>
  <si>
    <t>UAU 409L</t>
  </si>
  <si>
    <t>UAT 549N</t>
  </si>
  <si>
    <t>UAY 611P</t>
  </si>
  <si>
    <t>UBB 039H</t>
  </si>
  <si>
    <t>UAX 127C</t>
  </si>
  <si>
    <t>UBD 634Z</t>
  </si>
  <si>
    <t>UBB 137Y</t>
  </si>
  <si>
    <t>UAM 162J</t>
  </si>
  <si>
    <t>UAX 125X</t>
  </si>
  <si>
    <t>UAL 598E</t>
  </si>
  <si>
    <t>UEH 183T</t>
  </si>
  <si>
    <t>UEL 103M</t>
  </si>
  <si>
    <t>UAM 628V</t>
  </si>
  <si>
    <t>NYAMIYANZA</t>
  </si>
  <si>
    <t>UBE 323V</t>
  </si>
  <si>
    <t>UAZ 014U</t>
  </si>
  <si>
    <t>Others-Work</t>
  </si>
  <si>
    <t>UAM 286F</t>
  </si>
  <si>
    <t>UAV 851S</t>
  </si>
  <si>
    <t>UBB 087Z</t>
  </si>
  <si>
    <t>M</t>
  </si>
  <si>
    <t>UAL 955M</t>
  </si>
  <si>
    <t>UAU 097F</t>
  </si>
  <si>
    <t>UAH 948D</t>
  </si>
  <si>
    <t>UAT 656N</t>
  </si>
  <si>
    <t>UBF 669U</t>
  </si>
  <si>
    <t>UAV 238K</t>
  </si>
  <si>
    <t>UDY 391M</t>
  </si>
  <si>
    <t>UEH 445J</t>
  </si>
  <si>
    <t>UET 415W</t>
  </si>
  <si>
    <t>UBB 078P</t>
  </si>
  <si>
    <t>UAJ 623R</t>
  </si>
  <si>
    <t>UBB 142L</t>
  </si>
  <si>
    <t>UAH 136G</t>
  </si>
  <si>
    <t>KABALE TOWN</t>
  </si>
  <si>
    <t>UAK 170D</t>
  </si>
  <si>
    <t>UEY 122Y</t>
  </si>
  <si>
    <t>KIHOGA</t>
  </si>
  <si>
    <t>UAU 262A</t>
  </si>
  <si>
    <t>UAY 762V</t>
  </si>
  <si>
    <t>KYALUKUNDA</t>
  </si>
  <si>
    <t>UAP 461W</t>
  </si>
  <si>
    <t>KAZAHO</t>
  </si>
  <si>
    <t>UEH 508E</t>
  </si>
  <si>
    <t>UAZ 679A</t>
  </si>
  <si>
    <t>UAT 867T</t>
  </si>
  <si>
    <t>RUKUNGIRI TOWN</t>
  </si>
  <si>
    <t>RUKUNGIRI</t>
  </si>
  <si>
    <t>UAG 65G</t>
  </si>
  <si>
    <t>UAS 840K</t>
  </si>
  <si>
    <t>NGARAMA</t>
  </si>
  <si>
    <t>UBA 586D</t>
  </si>
  <si>
    <t>UAK 330P</t>
  </si>
  <si>
    <t>UAS 665A</t>
  </si>
  <si>
    <t>UBA 291W</t>
  </si>
  <si>
    <t xml:space="preserve">KIIRA </t>
  </si>
  <si>
    <t>WAKISO</t>
  </si>
  <si>
    <t>UAB 740H</t>
  </si>
  <si>
    <t>KARUBANDA</t>
  </si>
  <si>
    <t>UEA 586</t>
  </si>
  <si>
    <t>UAR 192U</t>
  </si>
  <si>
    <t>NTALE</t>
  </si>
  <si>
    <t>UBF 932X</t>
  </si>
  <si>
    <t>KIZUNGU</t>
  </si>
  <si>
    <t>UAF 239V</t>
  </si>
  <si>
    <t>UAK 262K</t>
  </si>
  <si>
    <t>UAK 315M</t>
  </si>
  <si>
    <t>UAT 204W</t>
  </si>
  <si>
    <t>UAZ 953E</t>
  </si>
  <si>
    <t>UAR 466V</t>
  </si>
  <si>
    <t>WAKIRURI</t>
  </si>
  <si>
    <t>UEJ 256N</t>
  </si>
  <si>
    <t>MUKIWOGA</t>
  </si>
  <si>
    <t>UBD 241T</t>
  </si>
  <si>
    <t>UAU 338H</t>
  </si>
  <si>
    <t>UBE 962L</t>
  </si>
  <si>
    <t>UAP 691R</t>
  </si>
  <si>
    <t>UAM 835Z</t>
  </si>
  <si>
    <t>UEQ 325M</t>
  </si>
  <si>
    <t>UDG 462S</t>
  </si>
  <si>
    <t>UBE 052G</t>
  </si>
  <si>
    <t>IGANGA TOWN</t>
  </si>
  <si>
    <t>IGANGA</t>
  </si>
  <si>
    <t>UAN 475M</t>
  </si>
  <si>
    <t>UPE 240E</t>
  </si>
  <si>
    <t>UAV 143P</t>
  </si>
  <si>
    <t>UET 325G</t>
  </si>
  <si>
    <t>UAR 049L</t>
  </si>
  <si>
    <t>UAX 096P</t>
  </si>
  <si>
    <t>UEE 491</t>
  </si>
  <si>
    <t>UAX 589Q</t>
  </si>
  <si>
    <t>BUSHENYI TOWN</t>
  </si>
  <si>
    <t>BUSHENYI</t>
  </si>
  <si>
    <t>LG 018,035</t>
  </si>
  <si>
    <t>JINJA TOWN</t>
  </si>
  <si>
    <t>JINJA</t>
  </si>
  <si>
    <t>UAV 933R</t>
  </si>
  <si>
    <t>T612 DFH</t>
  </si>
  <si>
    <t>KIGAGATI</t>
  </si>
  <si>
    <t>UAP 245X</t>
  </si>
  <si>
    <t>UBA 700H</t>
  </si>
  <si>
    <t>UAS 056W</t>
  </si>
  <si>
    <t>UBB 249C</t>
  </si>
  <si>
    <t>NTUNGU</t>
  </si>
  <si>
    <t>UAZ 934U</t>
  </si>
  <si>
    <t>UBE 125F</t>
  </si>
  <si>
    <t>UBE 359F</t>
  </si>
  <si>
    <t>UAT 156X</t>
  </si>
  <si>
    <t>UAQ 562Q</t>
  </si>
  <si>
    <t>UAE 227Y</t>
  </si>
  <si>
    <t>UAY 513E</t>
  </si>
  <si>
    <t xml:space="preserve"> KASESE</t>
  </si>
  <si>
    <t>RWEZIRINGIRO</t>
  </si>
  <si>
    <t>UG 162E</t>
  </si>
  <si>
    <t>MIROTWELVE</t>
  </si>
  <si>
    <t>UAZ 936G</t>
  </si>
  <si>
    <t>KABUYANDA</t>
  </si>
  <si>
    <t>UAG 067H</t>
  </si>
  <si>
    <t>UBD 075Z</t>
  </si>
  <si>
    <t>UAH 766N</t>
  </si>
  <si>
    <t>BULERE</t>
  </si>
  <si>
    <t>UBD 148T</t>
  </si>
  <si>
    <t>UAZ 338M</t>
  </si>
  <si>
    <t>KIBINGO</t>
  </si>
  <si>
    <t>8719 AA 07</t>
  </si>
  <si>
    <t>UAP 814F</t>
  </si>
  <si>
    <t>NYAMISINDO</t>
  </si>
  <si>
    <t>UAX 070S</t>
  </si>
  <si>
    <t>UET 202Q</t>
  </si>
  <si>
    <t>UAP 499D</t>
  </si>
  <si>
    <t>UAY 261G</t>
  </si>
  <si>
    <t>UEP M109R</t>
  </si>
  <si>
    <t>NYARUBUNGO</t>
  </si>
  <si>
    <t>UAZ 110H</t>
  </si>
  <si>
    <t>UAZ 840H</t>
  </si>
  <si>
    <t>UBB 283D</t>
  </si>
  <si>
    <t>MASAKA TOWN</t>
  </si>
  <si>
    <t>MASAKA</t>
  </si>
  <si>
    <t>UAW 979J</t>
  </si>
  <si>
    <t>MAKENKE</t>
  </si>
  <si>
    <t>KYOTERA</t>
  </si>
  <si>
    <t>UAP 080M</t>
  </si>
  <si>
    <t>10;28</t>
  </si>
  <si>
    <t>UBD 799A</t>
  </si>
  <si>
    <t>UBD 144Q</t>
  </si>
  <si>
    <t>UBE 446C</t>
  </si>
  <si>
    <t>UAM 161D</t>
  </si>
  <si>
    <t>UAM 478M</t>
  </si>
  <si>
    <t>UAW 090M</t>
  </si>
  <si>
    <t>LUTI</t>
  </si>
  <si>
    <t>KISHURO</t>
  </si>
  <si>
    <t>UAL 342Q</t>
  </si>
  <si>
    <t>UAP 993L</t>
  </si>
  <si>
    <t>KAKIKA</t>
  </si>
  <si>
    <t>UAF 158V</t>
  </si>
  <si>
    <t>UAH 004K</t>
  </si>
  <si>
    <t>UED 209R</t>
  </si>
  <si>
    <t>UAL 342A</t>
  </si>
  <si>
    <t>UAP 055Y</t>
  </si>
  <si>
    <t>UAS 211N</t>
  </si>
  <si>
    <t>BUKANGA</t>
  </si>
  <si>
    <t>UEP 769Z</t>
  </si>
  <si>
    <t>UAU 995A</t>
  </si>
  <si>
    <t>UAY 487N</t>
  </si>
  <si>
    <t>UAY 682D</t>
  </si>
  <si>
    <t>UAP 980K</t>
  </si>
  <si>
    <t>UAQ 168G</t>
  </si>
  <si>
    <t>UAF 911X</t>
  </si>
  <si>
    <t>CD 103 62U</t>
  </si>
  <si>
    <t>UAX 388M</t>
  </si>
  <si>
    <t>UAS 880K</t>
  </si>
  <si>
    <t>UAR 880V</t>
  </si>
  <si>
    <t>UAY 304Y</t>
  </si>
  <si>
    <t>UBB 721A</t>
  </si>
  <si>
    <t>UAL 702Y</t>
  </si>
  <si>
    <t>UAX 390W</t>
  </si>
  <si>
    <t>UAY 249B</t>
  </si>
  <si>
    <t>UAS 808H</t>
  </si>
  <si>
    <t>T487 BFH</t>
  </si>
  <si>
    <t>UAT 089N</t>
  </si>
  <si>
    <t>Work-Others</t>
  </si>
  <si>
    <t>UAM 124K</t>
  </si>
  <si>
    <t>UAQ 705F</t>
  </si>
  <si>
    <t>RWENJELU</t>
  </si>
  <si>
    <t>UAT 319R</t>
  </si>
  <si>
    <t>UAN 083G</t>
  </si>
  <si>
    <t>NAKIVALA</t>
  </si>
  <si>
    <t>UAZ 098F</t>
  </si>
  <si>
    <t>UAJ 803W</t>
  </si>
  <si>
    <t>UBE 386H</t>
  </si>
  <si>
    <t>UBE 561U</t>
  </si>
  <si>
    <t>UBD 114B</t>
  </si>
  <si>
    <t>UAP 660M</t>
  </si>
  <si>
    <t>UAL 863M</t>
  </si>
  <si>
    <t>UAE 190G</t>
  </si>
  <si>
    <t>UBA 760C</t>
  </si>
  <si>
    <t>UAQ 147X</t>
  </si>
  <si>
    <t>NGALAMA</t>
  </si>
  <si>
    <t>UAW 338V</t>
  </si>
  <si>
    <t>KASHUMBA</t>
  </si>
  <si>
    <t>UET 296F</t>
  </si>
  <si>
    <t>UAT 165X</t>
  </si>
  <si>
    <t>RWIZIRINGIRO</t>
  </si>
  <si>
    <t>UAL 693S</t>
  </si>
  <si>
    <t>UAF 824C</t>
  </si>
  <si>
    <t>UBA 397G</t>
  </si>
  <si>
    <t>UAV 911T</t>
  </si>
  <si>
    <t>Others-Home</t>
  </si>
  <si>
    <t>UBB 457M</t>
  </si>
  <si>
    <t>UAH 651L</t>
  </si>
  <si>
    <t>UAS 400V</t>
  </si>
  <si>
    <t>KOLANOLYA</t>
  </si>
  <si>
    <t>UAW 583E</t>
  </si>
  <si>
    <t>UAS 038R</t>
  </si>
  <si>
    <t>UAR 829U</t>
  </si>
  <si>
    <t>UEV 044V</t>
  </si>
  <si>
    <t>OMUKIHOGO</t>
  </si>
  <si>
    <t>UAL 402T</t>
  </si>
  <si>
    <t>UEM 875L</t>
  </si>
  <si>
    <t>UDZ 915T</t>
  </si>
  <si>
    <t>RWENKWELA</t>
  </si>
  <si>
    <t>UAT 352P</t>
  </si>
  <si>
    <t>KASUMBA</t>
  </si>
  <si>
    <t>UBC 912D</t>
  </si>
  <si>
    <t>UBB 507R</t>
  </si>
  <si>
    <t>UES 545V</t>
  </si>
  <si>
    <t>UAZ 009D</t>
  </si>
  <si>
    <t>UES 289B</t>
  </si>
  <si>
    <t>UAP 472H</t>
  </si>
  <si>
    <t>UBA 631T</t>
  </si>
  <si>
    <t>UAU 692G</t>
  </si>
  <si>
    <t>UAR 567X</t>
  </si>
  <si>
    <t>UBE 908H</t>
  </si>
  <si>
    <t>UAU 481T</t>
  </si>
  <si>
    <t>UBD 149Q</t>
  </si>
  <si>
    <t>UAP 123F</t>
  </si>
  <si>
    <t>UAP 129K</t>
  </si>
  <si>
    <t>UAN 328V</t>
  </si>
  <si>
    <t>UAX 758T</t>
  </si>
  <si>
    <t>UAZ 158C</t>
  </si>
  <si>
    <t>UAX 500C</t>
  </si>
  <si>
    <t>UAD 044P</t>
  </si>
  <si>
    <t>26.10.2019</t>
  </si>
  <si>
    <t>AMOS.A, TUMUKUNDE DEVIS</t>
  </si>
  <si>
    <t>MIREMBE RUTH, NIWAMANYA SAVIOR</t>
  </si>
  <si>
    <t>MUSINGUZI JONNAN, AMOS A</t>
  </si>
  <si>
    <t>UGA</t>
  </si>
  <si>
    <t xml:space="preserve">12;25 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</si>
  <si>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</si>
  <si>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</si>
  <si>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</si>
  <si>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</si>
  <si>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</si>
  <si>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</si>
  <si>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</si>
  <si>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</si>
  <si>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</si>
  <si>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</si>
  <si>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</si>
  <si>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</si>
  <si>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</si>
  <si>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</si>
  <si>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</si>
  <si>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</si>
  <si>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</si>
  <si>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</si>
  <si>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</si>
  <si>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</si>
  <si>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</si>
  <si>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</si>
  <si>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</si>
  <si>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</si>
  <si>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</si>
  <si>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</si>
  <si>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</si>
  <si>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</si>
  <si>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</si>
  <si>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</si>
  <si>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</si>
  <si>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</si>
  <si>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</si>
  <si>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</si>
  <si>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</si>
  <si>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</si>
  <si>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</si>
  <si>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</si>
  <si>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</si>
  <si>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</si>
  <si>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</si>
  <si>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</si>
  <si>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</si>
  <si>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</si>
  <si>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</si>
  <si>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</si>
  <si>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</si>
  <si>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</si>
  <si>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</si>
  <si>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</si>
  <si>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</si>
  <si>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</si>
  <si>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</si>
  <si>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</si>
  <si>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</si>
  <si>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</si>
  <si>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</si>
  <si>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</si>
  <si>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</si>
  <si>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</si>
  <si>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</si>
  <si>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</si>
  <si>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</si>
  <si>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</si>
  <si>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</si>
  <si>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</si>
  <si>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</si>
  <si>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</si>
  <si>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</si>
  <si>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</si>
  <si>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</si>
  <si>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</si>
  <si>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</si>
  <si>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</si>
  <si>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</si>
  <si>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</si>
  <si>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</si>
  <si>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</si>
  <si>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</si>
  <si>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</si>
  <si>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</si>
  <si>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</si>
  <si>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</si>
  <si>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</si>
  <si>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</si>
  <si>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</si>
  <si>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</si>
  <si>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</si>
  <si>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</si>
  <si>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</si>
  <si>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</si>
  <si>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</si>
  <si>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</si>
  <si>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</si>
  <si>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</si>
  <si>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</si>
  <si>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</si>
  <si>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</si>
  <si>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</si>
  <si>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</si>
  <si>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</si>
  <si>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</si>
  <si>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</si>
  <si>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</si>
  <si>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</si>
  <si>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</si>
  <si>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</si>
  <si>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</si>
  <si>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</si>
  <si>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</si>
  <si>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</si>
  <si>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</si>
  <si>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</si>
  <si>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</si>
  <si>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</si>
  <si>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</si>
  <si>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</si>
  <si>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</si>
  <si>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</si>
  <si>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</si>
  <si>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</si>
  <si>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</si>
  <si>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</si>
  <si>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</si>
  <si>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</si>
  <si>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</si>
  <si>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</si>
  <si>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</si>
  <si>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</si>
  <si>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</si>
  <si>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</si>
  <si>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</si>
  <si>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</si>
  <si>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</si>
  <si>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</si>
  <si>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</si>
  <si>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</si>
  <si>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</si>
  <si>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</si>
  <si>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</si>
  <si>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</si>
  <si>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</si>
  <si>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</si>
  <si>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</si>
  <si>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</si>
  <si>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</si>
  <si>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</si>
  <si>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</si>
  <si>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</si>
  <si>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</si>
  <si>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</si>
  <si>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</si>
  <si>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</si>
  <si>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</si>
  <si>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</si>
  <si>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</si>
  <si>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</si>
  <si>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</si>
  <si>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</si>
  <si>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</si>
  <si>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</si>
  <si>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</si>
  <si>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</si>
  <si>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</si>
  <si>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</si>
  <si>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</si>
  <si>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</si>
  <si>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</si>
  <si>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</si>
  <si>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</si>
  <si>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</si>
  <si>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</si>
  <si>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</si>
  <si>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</si>
  <si>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</si>
  <si>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</si>
  <si>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</si>
  <si>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</si>
  <si>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</si>
  <si>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</si>
  <si>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</si>
  <si>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</si>
  <si>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</si>
  <si>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</si>
  <si>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</si>
  <si>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BUHWEJJU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</si>
  <si>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</si>
  <si>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</si>
  <si>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</si>
  <si>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</si>
  <si>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</si>
  <si>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</si>
  <si>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</si>
  <si>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</si>
  <si>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</si>
  <si>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</si>
  <si>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</si>
  <si>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</si>
  <si>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</si>
  <si>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</si>
  <si>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</si>
  <si>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</si>
  <si>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</si>
  <si>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</si>
  <si>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</si>
  <si>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</si>
  <si>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</si>
  <si>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</si>
  <si>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</si>
  <si>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</si>
  <si>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</si>
  <si>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</si>
  <si>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</si>
  <si>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</si>
  <si>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</si>
  <si>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</si>
  <si>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</si>
  <si>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</si>
  <si>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</si>
  <si>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</si>
  <si>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</si>
  <si>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</si>
  <si>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</si>
  <si>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</si>
  <si>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</si>
  <si>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</si>
  <si>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</si>
  <si>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</si>
  <si>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</si>
  <si>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</si>
  <si>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</si>
  <si>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</si>
  <si>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</si>
  <si>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</si>
  <si>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</si>
  <si>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</si>
  <si>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</si>
  <si>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</si>
  <si>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</si>
  <si>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</si>
  <si>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</si>
  <si>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</si>
  <si>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</si>
  <si>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</si>
  <si>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</si>
  <si>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</si>
  <si>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</si>
  <si>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</si>
  <si>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</si>
  <si>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</si>
  <si>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</si>
  <si>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</si>
  <si>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</si>
  <si>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</si>
  <si>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</si>
  <si>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</si>
  <si>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</si>
  <si>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</si>
  <si>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</si>
  <si>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</si>
  <si>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</si>
  <si>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</si>
  <si>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</si>
  <si>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</si>
  <si>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</si>
  <si>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</si>
  <si>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</si>
  <si>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</si>
  <si>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</si>
  <si>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</si>
  <si>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</si>
  <si>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</si>
  <si>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</si>
  <si>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</si>
  <si>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</si>
  <si>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</si>
  <si>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</si>
  <si>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</si>
  <si>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</si>
  <si>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</si>
  <si>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</si>
  <si>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</si>
  <si>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</si>
  <si>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</si>
  <si>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</si>
  <si>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</si>
  <si>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</si>
  <si>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</si>
  <si>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</si>
  <si>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</si>
  <si>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</si>
  <si>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</si>
  <si>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</si>
  <si>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</si>
  <si>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</si>
  <si>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</si>
  <si>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</si>
  <si>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</si>
  <si>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</si>
  <si>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</si>
  <si>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KYAMUNWUGA</t>
  </si>
  <si>
    <t>ISHAKA</t>
  </si>
  <si>
    <t>BWERENYANGI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</si>
  <si>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</si>
  <si>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</si>
  <si>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</si>
  <si>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</si>
  <si>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</si>
  <si>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</si>
  <si>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</si>
  <si>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</si>
  <si>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</si>
  <si>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</si>
  <si>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</si>
  <si>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</si>
  <si>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</si>
  <si>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</si>
  <si>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</si>
  <si>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</si>
  <si>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</si>
  <si>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</si>
  <si>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</si>
  <si>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</si>
  <si>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</si>
  <si>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</si>
  <si>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</si>
  <si>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</si>
  <si>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</si>
  <si>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</si>
  <si>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</si>
  <si>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</si>
  <si>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</si>
  <si>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</si>
  <si>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</si>
  <si>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</si>
  <si>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</si>
  <si>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</si>
  <si>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</si>
  <si>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</si>
  <si>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</si>
  <si>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</si>
  <si>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</si>
  <si>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</si>
  <si>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</si>
  <si>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</si>
  <si>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</si>
  <si>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</si>
  <si>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</si>
  <si>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</si>
  <si>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</si>
  <si>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</si>
  <si>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</si>
  <si>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</si>
  <si>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</si>
  <si>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</si>
  <si>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</si>
  <si>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</si>
  <si>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</si>
  <si>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</si>
  <si>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</si>
  <si>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</si>
  <si>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</si>
  <si>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</si>
  <si>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</si>
  <si>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</si>
  <si>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</si>
  <si>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</si>
  <si>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</si>
  <si>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</si>
  <si>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</si>
  <si>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</si>
  <si>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</si>
  <si>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</si>
  <si>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</si>
  <si>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</si>
  <si>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</si>
  <si>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</si>
  <si>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</si>
  <si>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</si>
  <si>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</si>
  <si>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</si>
  <si>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</si>
  <si>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</si>
  <si>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</si>
  <si>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</si>
  <si>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</si>
  <si>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</si>
  <si>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</si>
  <si>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</si>
  <si>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</si>
  <si>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</si>
  <si>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</si>
  <si>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</si>
  <si>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</si>
  <si>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</si>
  <si>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</si>
  <si>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</si>
  <si>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</si>
  <si>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</si>
  <si>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</si>
  <si>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</si>
  <si>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</si>
  <si>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</si>
  <si>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</si>
  <si>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</si>
  <si>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</si>
  <si>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</si>
  <si>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</si>
  <si>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</si>
  <si>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</si>
  <si>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</si>
  <si>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</si>
  <si>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</si>
  <si>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</si>
  <si>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</si>
  <si>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</si>
  <si>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</si>
  <si>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</si>
  <si>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</si>
  <si>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</si>
  <si>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</si>
  <si>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</si>
  <si>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Bugoma</t>
  </si>
  <si>
    <t>Ibanda Municipality</t>
  </si>
  <si>
    <t>IBANDA</t>
  </si>
  <si>
    <t>IBANDA TOWN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</si>
  <si>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</si>
  <si>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</si>
  <si>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</si>
  <si>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</si>
  <si>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</si>
  <si>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</si>
  <si>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</si>
  <si>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</si>
  <si>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</si>
  <si>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</si>
  <si>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</si>
  <si>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</si>
  <si>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</si>
  <si>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</si>
  <si>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</si>
  <si>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</si>
  <si>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</si>
  <si>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</si>
  <si>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</si>
  <si>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</si>
  <si>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</si>
  <si>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</si>
  <si>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</si>
  <si>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</si>
  <si>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</si>
  <si>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</si>
  <si>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</si>
  <si>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</si>
  <si>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</si>
  <si>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</si>
  <si>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</si>
  <si>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</si>
  <si>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</si>
  <si>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</si>
  <si>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</si>
  <si>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</si>
  <si>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</si>
  <si>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</si>
  <si>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</si>
  <si>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</si>
  <si>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</si>
  <si>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</si>
  <si>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</si>
  <si>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</si>
  <si>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</si>
  <si>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</si>
  <si>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</si>
  <si>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</si>
  <si>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</si>
  <si>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</si>
  <si>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</si>
  <si>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</si>
  <si>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</si>
  <si>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</si>
  <si>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</si>
  <si>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</si>
  <si>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</si>
  <si>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</si>
  <si>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</si>
  <si>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</si>
  <si>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</si>
  <si>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</si>
  <si>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</si>
  <si>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</si>
  <si>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</si>
  <si>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</si>
  <si>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</si>
  <si>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</si>
  <si>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</si>
  <si>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</si>
  <si>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</si>
  <si>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</si>
  <si>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</si>
  <si>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</si>
  <si>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</si>
  <si>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</si>
  <si>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</si>
  <si>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</si>
  <si>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</si>
  <si>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</si>
  <si>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</si>
  <si>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</si>
  <si>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</si>
  <si>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</si>
  <si>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</si>
  <si>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</si>
  <si>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</si>
  <si>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</si>
  <si>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</si>
  <si>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</si>
  <si>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</si>
  <si>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</si>
  <si>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</si>
  <si>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</si>
  <si>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</si>
  <si>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</si>
  <si>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</si>
  <si>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</si>
  <si>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</si>
  <si>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</si>
  <si>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</si>
  <si>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</si>
  <si>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</si>
  <si>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</si>
  <si>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</si>
  <si>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</si>
  <si>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</si>
  <si>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</si>
  <si>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</si>
  <si>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</si>
  <si>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</si>
  <si>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</si>
  <si>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</si>
  <si>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</si>
  <si>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</si>
  <si>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</si>
  <si>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</si>
  <si>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</si>
  <si>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</si>
  <si>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</si>
  <si>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</si>
  <si>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</si>
  <si>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</si>
  <si>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</si>
  <si>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</si>
  <si>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</si>
  <si>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</si>
  <si>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</si>
  <si>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</si>
  <si>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</si>
  <si>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</si>
  <si>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</si>
  <si>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</si>
  <si>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</si>
  <si>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</si>
  <si>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</si>
  <si>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</si>
  <si>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</si>
  <si>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</si>
  <si>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</si>
  <si>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</si>
  <si>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</si>
  <si>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</si>
  <si>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</si>
  <si>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</si>
  <si>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</si>
  <si>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</si>
  <si>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</si>
  <si>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</si>
  <si>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</si>
  <si>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</si>
  <si>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</si>
  <si>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</si>
  <si>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</si>
  <si>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</si>
  <si>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</si>
  <si>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</si>
  <si>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</si>
  <si>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</si>
  <si>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</si>
  <si>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</si>
  <si>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</si>
  <si>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</si>
  <si>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</si>
  <si>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</si>
  <si>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</si>
  <si>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</si>
  <si>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</si>
  <si>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</si>
  <si>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</si>
  <si>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</si>
  <si>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</si>
  <si>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</si>
  <si>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</si>
  <si>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</si>
  <si>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</si>
  <si>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</si>
  <si>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</si>
  <si>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</si>
  <si>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</si>
  <si>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</si>
  <si>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</si>
  <si>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</si>
  <si>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</si>
  <si>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</si>
  <si>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</si>
  <si>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</si>
  <si>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</si>
  <si>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</si>
  <si>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</si>
  <si>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</si>
  <si>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</si>
  <si>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</si>
  <si>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</si>
  <si>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</si>
  <si>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</si>
  <si>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</si>
  <si>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</si>
  <si>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</si>
  <si>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</si>
  <si>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</si>
  <si>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</si>
  <si>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</si>
  <si>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</si>
  <si>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</si>
  <si>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</si>
  <si>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</si>
  <si>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</si>
  <si>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</si>
  <si>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</si>
  <si>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</si>
  <si>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</si>
  <si>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</si>
  <si>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</si>
  <si>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</si>
  <si>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</si>
  <si>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</si>
  <si>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</si>
  <si>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</si>
  <si>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</si>
  <si>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</si>
  <si>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</si>
  <si>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</si>
  <si>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</si>
  <si>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</si>
  <si>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Kirombe</t>
  </si>
  <si>
    <t>Buziga</t>
  </si>
  <si>
    <t>Bwaise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</si>
  <si>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</si>
  <si>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</si>
  <si>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</si>
  <si>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</si>
  <si>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</si>
  <si>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</si>
  <si>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</si>
  <si>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Kamukamu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</si>
  <si>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</si>
  <si>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</si>
  <si>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</si>
  <si>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</si>
  <si>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</si>
  <si>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</si>
  <si>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</si>
  <si>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</si>
  <si>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</si>
  <si>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</si>
  <si>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</si>
  <si>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 xml:space="preserve"> KAMPALA CITY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</si>
  <si>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</si>
  <si>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</si>
  <si>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</si>
  <si>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</si>
  <si>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</si>
  <si>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</si>
  <si>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</si>
  <si>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</si>
  <si>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</si>
  <si>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</si>
  <si>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</si>
  <si>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</si>
  <si>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</si>
  <si>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</si>
  <si>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</si>
  <si>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</si>
  <si>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</si>
  <si>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</si>
  <si>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</si>
  <si>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</si>
  <si>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</si>
  <si>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</si>
  <si>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</si>
  <si>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</si>
  <si>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</si>
  <si>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</si>
  <si>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</si>
  <si>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</si>
  <si>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</si>
  <si>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</si>
  <si>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</si>
  <si>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</si>
  <si>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</si>
  <si>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</si>
  <si>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</si>
  <si>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</si>
  <si>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</si>
  <si>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</si>
  <si>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</si>
  <si>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</si>
  <si>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</si>
  <si>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</si>
  <si>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</si>
  <si>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</si>
  <si>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</si>
  <si>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</si>
  <si>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</si>
  <si>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</si>
  <si>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</si>
  <si>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</si>
  <si>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</si>
  <si>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</si>
  <si>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</si>
  <si>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</si>
  <si>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</si>
  <si>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</si>
  <si>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</si>
  <si>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</si>
  <si>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</si>
  <si>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</si>
  <si>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</si>
  <si>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</si>
  <si>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</si>
  <si>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</si>
  <si>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</si>
  <si>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</si>
  <si>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</si>
  <si>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</si>
  <si>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</si>
  <si>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</si>
  <si>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</si>
  <si>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</si>
  <si>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</si>
  <si>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</si>
  <si>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</si>
  <si>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</si>
  <si>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</si>
  <si>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</si>
  <si>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</si>
  <si>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</si>
  <si>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</si>
  <si>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</si>
  <si>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</si>
  <si>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</si>
  <si>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</si>
  <si>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</si>
  <si>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</si>
  <si>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</si>
  <si>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</si>
  <si>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</si>
  <si>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</si>
  <si>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</si>
  <si>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</si>
  <si>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</si>
  <si>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</si>
  <si>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</si>
  <si>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</si>
  <si>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</si>
  <si>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</si>
  <si>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</si>
  <si>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</si>
  <si>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</si>
  <si>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</si>
  <si>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</si>
  <si>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</si>
  <si>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</si>
  <si>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</si>
  <si>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</si>
  <si>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</si>
  <si>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</si>
  <si>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</si>
  <si>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</si>
  <si>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</si>
  <si>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</si>
  <si>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</si>
  <si>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City center</t>
  </si>
  <si>
    <t>CITY CENTRE</t>
  </si>
  <si>
    <t>CITYCENTRE</t>
  </si>
  <si>
    <t>CITYCENTER</t>
  </si>
  <si>
    <t>Gaba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</si>
  <si>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</si>
  <si>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</si>
  <si>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</si>
  <si>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</si>
  <si>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</si>
  <si>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</si>
  <si>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</si>
  <si>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</si>
  <si>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</si>
  <si>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</si>
  <si>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</si>
  <si>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</si>
  <si>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</si>
  <si>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</si>
  <si>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</si>
  <si>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</si>
  <si>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</si>
  <si>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</si>
  <si>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</si>
  <si>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</si>
  <si>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</si>
  <si>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</si>
  <si>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</si>
  <si>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</si>
  <si>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</si>
  <si>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</si>
  <si>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</si>
  <si>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</si>
  <si>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</si>
  <si>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</si>
  <si>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</si>
  <si>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</si>
  <si>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</si>
  <si>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</si>
  <si>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</si>
  <si>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</si>
  <si>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</si>
  <si>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</si>
  <si>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</si>
  <si>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</si>
  <si>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</si>
  <si>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6th street</t>
  </si>
  <si>
    <t>Itek</t>
  </si>
  <si>
    <t>Kabalagala</t>
  </si>
  <si>
    <t>Muyenga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</si>
  <si>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</si>
  <si>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</si>
  <si>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</si>
  <si>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</si>
  <si>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</si>
  <si>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</si>
  <si>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</si>
  <si>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</si>
  <si>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</si>
  <si>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</si>
  <si>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</si>
  <si>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</si>
  <si>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</si>
  <si>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</si>
  <si>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</si>
  <si>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</si>
  <si>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</si>
  <si>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</si>
  <si>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</si>
  <si>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</si>
  <si>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</si>
  <si>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</si>
  <si>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</si>
  <si>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</si>
  <si>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</si>
  <si>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</si>
  <si>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</si>
  <si>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</si>
  <si>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</si>
  <si>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</si>
  <si>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</si>
  <si>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</si>
  <si>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</si>
  <si>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</si>
  <si>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</si>
  <si>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</si>
  <si>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</si>
  <si>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</si>
  <si>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</si>
  <si>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</si>
  <si>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</si>
  <si>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</si>
  <si>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</si>
  <si>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</si>
  <si>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</si>
  <si>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</si>
  <si>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</si>
  <si>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</si>
  <si>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</si>
  <si>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</si>
  <si>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</si>
  <si>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</si>
  <si>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</si>
  <si>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</si>
  <si>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</si>
  <si>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</si>
  <si>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</si>
  <si>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</si>
  <si>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</si>
  <si>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Garden City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</si>
  <si>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</si>
  <si>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</si>
  <si>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</si>
  <si>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</si>
  <si>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</si>
  <si>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</si>
  <si>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</si>
  <si>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</si>
  <si>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</si>
  <si>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</si>
  <si>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</si>
  <si>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</si>
  <si>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</si>
  <si>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</si>
  <si>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</si>
  <si>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</si>
  <si>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</si>
  <si>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</si>
  <si>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Wampeewo</t>
  </si>
  <si>
    <t>Masoli</t>
  </si>
  <si>
    <t>MASOOLI</t>
  </si>
  <si>
    <t>Luteete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</si>
  <si>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</si>
  <si>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</si>
  <si>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</si>
  <si>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</si>
  <si>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</si>
  <si>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</si>
  <si>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</si>
  <si>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Kyanja</t>
  </si>
  <si>
    <t>Kyanga</t>
  </si>
  <si>
    <t>Kyanjja</t>
  </si>
  <si>
    <t>Kumbuzi</t>
  </si>
  <si>
    <t>Kumbusi</t>
  </si>
  <si>
    <t>Kyebando</t>
  </si>
  <si>
    <t>Kikaya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</si>
  <si>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</si>
  <si>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</si>
  <si>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</si>
  <si>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</si>
  <si>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</si>
  <si>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</si>
  <si>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</si>
  <si>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</si>
  <si>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</si>
  <si>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</si>
  <si>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</si>
  <si>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</si>
  <si>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</si>
  <si>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</si>
  <si>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</si>
  <si>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</si>
  <si>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</si>
  <si>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</si>
  <si>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</si>
  <si>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</si>
  <si>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</si>
  <si>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</si>
  <si>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</si>
  <si>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</si>
  <si>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</si>
  <si>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</si>
  <si>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</si>
  <si>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</si>
  <si>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</si>
  <si>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</si>
  <si>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</si>
  <si>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MPERRWE</t>
  </si>
  <si>
    <t>MPERWERWE</t>
  </si>
  <si>
    <t>MPEREWE</t>
  </si>
  <si>
    <t>MPERERE</t>
  </si>
  <si>
    <t>BUGERERE</t>
  </si>
  <si>
    <t>KAGOMA</t>
  </si>
  <si>
    <t>KATALEMWA</t>
  </si>
  <si>
    <t>Kitezi</t>
  </si>
  <si>
    <t>KITEZII</t>
  </si>
  <si>
    <t>Lusanja-Gayaza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</si>
  <si>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</si>
  <si>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</si>
  <si>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</si>
  <si>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</si>
  <si>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</si>
  <si>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</si>
  <si>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</si>
  <si>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</si>
  <si>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</si>
  <si>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</si>
  <si>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</si>
  <si>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</si>
  <si>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</si>
  <si>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</si>
  <si>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</si>
  <si>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</si>
  <si>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</si>
  <si>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</si>
  <si>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</si>
  <si>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</si>
  <si>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</si>
  <si>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</si>
  <si>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</si>
  <si>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</si>
  <si>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</si>
  <si>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</si>
  <si>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</si>
  <si>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</si>
  <si>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</si>
  <si>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</si>
  <si>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</si>
  <si>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</si>
  <si>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</si>
  <si>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</si>
  <si>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</si>
  <si>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</si>
  <si>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</si>
  <si>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</si>
  <si>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</si>
  <si>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</si>
  <si>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</si>
  <si>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</si>
  <si>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</si>
  <si>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</si>
  <si>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</si>
  <si>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</si>
  <si>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</si>
  <si>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</si>
  <si>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</si>
  <si>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</si>
  <si>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</si>
  <si>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</si>
  <si>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</si>
  <si>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</si>
  <si>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Nakasero</t>
  </si>
  <si>
    <t>NAKASEERO</t>
  </si>
  <si>
    <t>Mboga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</si>
  <si>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</si>
  <si>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</si>
  <si>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</si>
  <si>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</si>
  <si>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</si>
  <si>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</si>
  <si>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</si>
  <si>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</si>
  <si>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</si>
  <si>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</si>
  <si>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</si>
  <si>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</si>
  <si>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</si>
  <si>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</si>
  <si>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</si>
  <si>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</si>
  <si>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</si>
  <si>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</si>
  <si>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</si>
  <si>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</si>
  <si>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</si>
  <si>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</si>
  <si>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</si>
  <si>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</si>
  <si>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</si>
  <si>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</si>
  <si>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</si>
  <si>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</si>
  <si>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</si>
  <si>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</si>
  <si>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</si>
  <si>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</si>
  <si>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</si>
  <si>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</si>
  <si>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</si>
  <si>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</si>
  <si>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</si>
  <si>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</si>
  <si>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</si>
  <si>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</si>
  <si>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</si>
  <si>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</si>
  <si>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</si>
  <si>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Kumunana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</si>
  <si>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</si>
  <si>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</si>
  <si>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</si>
  <si>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</si>
  <si>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</si>
  <si>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</si>
  <si>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</si>
  <si>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</si>
  <si>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</si>
  <si>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</si>
  <si>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</si>
  <si>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</si>
  <si>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</si>
  <si>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</si>
  <si>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</si>
  <si>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</si>
  <si>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</si>
  <si>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</si>
  <si>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</si>
  <si>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</si>
  <si>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</si>
  <si>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</si>
  <si>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</si>
  <si>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</si>
  <si>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</si>
  <si>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</si>
  <si>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</si>
  <si>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</si>
  <si>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</si>
  <si>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</si>
  <si>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</si>
  <si>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</si>
  <si>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</si>
  <si>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</si>
  <si>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</si>
  <si>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</si>
  <si>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</si>
  <si>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</si>
  <si>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</si>
  <si>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</si>
  <si>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</si>
  <si>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</si>
  <si>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</si>
  <si>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</si>
  <si>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</si>
  <si>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</si>
  <si>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</si>
  <si>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</si>
  <si>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</si>
  <si>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</si>
  <si>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</si>
  <si>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</si>
  <si>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</si>
  <si>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</si>
  <si>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</si>
  <si>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</si>
  <si>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</si>
  <si>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</si>
  <si>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</si>
  <si>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</si>
  <si>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ssanga</t>
  </si>
  <si>
    <t>Kungu</t>
  </si>
  <si>
    <t>Kkungu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</si>
  <si>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</si>
  <si>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</si>
  <si>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</si>
  <si>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</si>
  <si>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</si>
  <si>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</si>
  <si>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</si>
  <si>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</si>
  <si>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</si>
  <si>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</si>
  <si>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</si>
  <si>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</si>
  <si>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</si>
  <si>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</si>
  <si>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</si>
  <si>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</si>
  <si>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</si>
  <si>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</si>
  <si>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</si>
  <si>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</si>
  <si>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</si>
  <si>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</si>
  <si>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</si>
  <si>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</si>
  <si>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</si>
  <si>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</si>
  <si>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</si>
  <si>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</si>
  <si>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</si>
  <si>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</si>
  <si>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</si>
  <si>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</si>
  <si>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</si>
  <si>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</si>
  <si>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</si>
  <si>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</si>
  <si>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</si>
  <si>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</si>
  <si>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</si>
  <si>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</si>
  <si>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</si>
  <si>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</si>
  <si>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</si>
  <si>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</si>
  <si>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</si>
  <si>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</si>
  <si>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RWENZORI</t>
  </si>
  <si>
    <t>KASEESE</t>
  </si>
  <si>
    <t>KASEESE TOWN</t>
  </si>
  <si>
    <t>Kasese town</t>
  </si>
  <si>
    <t>Katwe Kabatoro Town Council</t>
  </si>
  <si>
    <t>Kilembe</t>
  </si>
  <si>
    <t>QUEEN ELIZABETH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</si>
  <si>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</si>
  <si>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</si>
  <si>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</si>
  <si>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</si>
  <si>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</si>
  <si>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</si>
  <si>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</si>
  <si>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</si>
  <si>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</si>
  <si>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</si>
  <si>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</si>
  <si>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</si>
  <si>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</si>
  <si>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</si>
  <si>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</si>
  <si>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</si>
  <si>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</si>
  <si>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</si>
  <si>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</si>
  <si>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</si>
  <si>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</si>
  <si>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</si>
  <si>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</si>
  <si>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</si>
  <si>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</si>
  <si>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</si>
  <si>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</si>
  <si>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</si>
  <si>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</si>
  <si>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</si>
  <si>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</si>
  <si>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</si>
  <si>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</si>
  <si>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Kangulumila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</si>
  <si>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</si>
  <si>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</si>
  <si>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</si>
  <si>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</si>
  <si>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</si>
  <si>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</si>
  <si>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</si>
  <si>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</si>
  <si>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</si>
  <si>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</si>
  <si>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</si>
  <si>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</si>
  <si>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</si>
  <si>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</si>
  <si>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</si>
  <si>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</si>
  <si>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</si>
  <si>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</si>
  <si>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</si>
  <si>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</si>
  <si>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</si>
  <si>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</si>
  <si>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KATERA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</si>
  <si>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</si>
  <si>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</si>
  <si>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</si>
  <si>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</si>
  <si>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</si>
  <si>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</si>
  <si>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</si>
  <si>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</si>
  <si>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</si>
  <si>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</si>
  <si>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</si>
  <si>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</si>
  <si>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</si>
  <si>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</si>
  <si>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</si>
  <si>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</si>
  <si>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</si>
  <si>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</si>
  <si>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</si>
  <si>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</si>
  <si>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</si>
  <si>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</si>
  <si>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</si>
  <si>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</si>
  <si>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</si>
  <si>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</si>
  <si>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</si>
  <si>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</si>
  <si>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</si>
  <si>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</si>
  <si>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</si>
  <si>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</si>
  <si>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</si>
  <si>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</si>
  <si>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KIRUHURA</t>
  </si>
  <si>
    <t>KIRIHURA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</si>
  <si>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</si>
  <si>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</si>
  <si>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</si>
  <si>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</si>
  <si>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</si>
  <si>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</si>
  <si>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</si>
  <si>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</si>
  <si>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</si>
  <si>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</si>
  <si>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</si>
  <si>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</si>
  <si>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</si>
  <si>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</si>
  <si>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</si>
  <si>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</si>
  <si>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</si>
  <si>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</si>
  <si>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</si>
  <si>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</si>
  <si>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</si>
  <si>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</si>
  <si>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</si>
  <si>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</si>
  <si>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</si>
  <si>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</si>
  <si>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</si>
  <si>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</si>
  <si>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</si>
  <si>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</si>
  <si>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</si>
  <si>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</si>
  <si>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</si>
  <si>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</si>
  <si>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</si>
  <si>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</si>
  <si>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</si>
  <si>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</si>
  <si>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</si>
  <si>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</si>
  <si>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</si>
  <si>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</si>
  <si>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</si>
  <si>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</si>
  <si>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</si>
  <si>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</si>
  <si>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</si>
  <si>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</si>
  <si>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</si>
  <si>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</si>
  <si>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</si>
  <si>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</si>
  <si>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</si>
  <si>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</si>
  <si>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</si>
  <si>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</si>
  <si>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</si>
  <si>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</si>
  <si>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</si>
  <si>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</si>
  <si>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</si>
  <si>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</si>
  <si>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</si>
  <si>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</si>
  <si>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</si>
  <si>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</si>
  <si>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</si>
  <si>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</si>
  <si>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</si>
  <si>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</si>
  <si>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</si>
  <si>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</si>
  <si>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</si>
  <si>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</si>
  <si>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</si>
  <si>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</si>
  <si>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</si>
  <si>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</si>
  <si>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</si>
  <si>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</si>
  <si>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</si>
  <si>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</si>
  <si>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</si>
  <si>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</si>
  <si>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</si>
  <si>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</si>
  <si>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</si>
  <si>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</si>
  <si>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</si>
  <si>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</si>
  <si>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</si>
  <si>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</si>
  <si>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</si>
  <si>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</si>
  <si>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</si>
  <si>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</si>
  <si>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</si>
  <si>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Kyetune</t>
  </si>
  <si>
    <t>Cannan Estates</t>
  </si>
  <si>
    <t>Kabubu</t>
  </si>
  <si>
    <t>Kumusaanvu</t>
  </si>
  <si>
    <t>Kumusanvu</t>
  </si>
  <si>
    <t>Namavundu</t>
  </si>
  <si>
    <t>Kayebe</t>
  </si>
  <si>
    <t>Kabanyoro</t>
  </si>
  <si>
    <t>Manyangwa</t>
  </si>
  <si>
    <t>Gayaza rd</t>
  </si>
  <si>
    <t>kumunaana</t>
  </si>
  <si>
    <t>NAKWERO</t>
  </si>
  <si>
    <t>Nakweero</t>
  </si>
  <si>
    <t>Kabumba</t>
  </si>
  <si>
    <t>Namulonge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</si>
  <si>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</si>
  <si>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</si>
  <si>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</si>
  <si>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</si>
  <si>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</si>
  <si>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</si>
  <si>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</si>
  <si>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</si>
  <si>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</si>
  <si>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</si>
  <si>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</si>
  <si>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</si>
  <si>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</si>
  <si>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</si>
  <si>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</si>
  <si>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</si>
  <si>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</si>
  <si>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</si>
  <si>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</si>
  <si>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</si>
  <si>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</si>
  <si>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</si>
  <si>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</si>
  <si>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</si>
  <si>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</si>
  <si>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</si>
  <si>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</si>
  <si>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</si>
  <si>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</si>
  <si>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</si>
  <si>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</si>
  <si>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</si>
  <si>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</si>
  <si>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</si>
  <si>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</si>
  <si>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</si>
  <si>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</si>
  <si>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</si>
  <si>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</si>
  <si>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</si>
  <si>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</si>
  <si>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</si>
  <si>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</si>
  <si>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</si>
  <si>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</si>
  <si>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</si>
  <si>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</si>
  <si>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</si>
  <si>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</si>
  <si>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</si>
  <si>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</si>
  <si>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</si>
  <si>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</si>
  <si>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</si>
  <si>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</si>
  <si>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</si>
  <si>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</si>
  <si>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</si>
  <si>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</si>
  <si>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</si>
  <si>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</si>
  <si>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</si>
  <si>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</si>
  <si>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</si>
  <si>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</si>
  <si>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</si>
  <si>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</si>
  <si>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</si>
  <si>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</si>
  <si>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</si>
  <si>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</si>
  <si>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</si>
  <si>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</si>
  <si>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</si>
  <si>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</si>
  <si>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</si>
  <si>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</si>
  <si>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</si>
  <si>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</si>
  <si>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</si>
  <si>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</si>
  <si>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</si>
  <si>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</si>
  <si>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</si>
  <si>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</si>
  <si>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</si>
  <si>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</si>
  <si>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</si>
  <si>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</si>
  <si>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</si>
  <si>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</si>
  <si>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</si>
  <si>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</si>
  <si>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Kikyusa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</si>
  <si>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</si>
  <si>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</si>
  <si>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</si>
  <si>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</si>
  <si>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</si>
  <si>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</si>
  <si>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</si>
  <si>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</si>
  <si>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</si>
  <si>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</si>
  <si>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</si>
  <si>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ZIROBWA ROAD</t>
  </si>
  <si>
    <t>Zirobwa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</si>
  <si>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</si>
  <si>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</si>
  <si>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</si>
  <si>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</si>
  <si>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</si>
  <si>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</si>
  <si>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</si>
  <si>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</si>
  <si>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</si>
  <si>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</si>
  <si>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</si>
  <si>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</si>
  <si>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</si>
  <si>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</si>
  <si>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</si>
  <si>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</si>
  <si>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</si>
  <si>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</si>
  <si>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</si>
  <si>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</si>
  <si>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</si>
  <si>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</si>
  <si>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</si>
  <si>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</si>
  <si>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</si>
  <si>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</si>
  <si>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</si>
  <si>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</si>
  <si>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</si>
  <si>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</si>
  <si>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</si>
  <si>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</si>
  <si>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</si>
  <si>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</si>
  <si>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</si>
  <si>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</si>
  <si>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</si>
  <si>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</si>
  <si>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</si>
  <si>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</si>
  <si>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</si>
  <si>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</si>
  <si>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</si>
  <si>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</si>
  <si>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</si>
  <si>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</si>
  <si>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</si>
  <si>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</si>
  <si>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</si>
  <si>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</si>
  <si>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</si>
  <si>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</si>
  <si>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</si>
  <si>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</si>
  <si>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</si>
  <si>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</si>
  <si>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</si>
  <si>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</si>
  <si>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</si>
  <si>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</si>
  <si>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</si>
  <si>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</si>
  <si>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</si>
  <si>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</si>
  <si>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</si>
  <si>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</si>
  <si>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</si>
  <si>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</si>
  <si>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</si>
  <si>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</si>
  <si>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</si>
  <si>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</si>
  <si>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</si>
  <si>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</si>
  <si>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</si>
  <si>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</si>
  <si>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</si>
  <si>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</si>
  <si>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</si>
  <si>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</si>
  <si>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</si>
  <si>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</si>
  <si>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</si>
  <si>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</si>
  <si>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</si>
  <si>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</si>
  <si>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</si>
  <si>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</si>
  <si>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</si>
  <si>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</si>
  <si>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</si>
  <si>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</si>
  <si>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</si>
  <si>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</si>
  <si>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</si>
  <si>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</si>
  <si>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</si>
  <si>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</si>
  <si>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</si>
  <si>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</si>
  <si>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</si>
  <si>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</si>
  <si>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</si>
  <si>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</si>
  <si>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</si>
  <si>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</si>
  <si>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</si>
  <si>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</si>
  <si>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</si>
  <si>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</si>
  <si>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</si>
  <si>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</si>
  <si>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</si>
  <si>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</si>
  <si>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</si>
  <si>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</si>
  <si>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</si>
  <si>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</si>
  <si>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</si>
  <si>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</si>
  <si>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 CITY</t>
  </si>
  <si>
    <t>KAKIIKA</t>
  </si>
  <si>
    <t>LAKE MBURO PARK</t>
  </si>
  <si>
    <t>KAGANGO</t>
  </si>
  <si>
    <t>Mwizi</t>
  </si>
  <si>
    <t>Ndeija</t>
  </si>
  <si>
    <t>Rubaya-Mbarara</t>
  </si>
  <si>
    <t>KASHAKA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</si>
  <si>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</si>
  <si>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</si>
  <si>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</si>
  <si>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</si>
  <si>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</si>
  <si>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</si>
  <si>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</si>
  <si>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</si>
  <si>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</si>
  <si>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</si>
  <si>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</si>
  <si>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CITY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</si>
  <si>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</si>
  <si>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</si>
  <si>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</si>
  <si>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</si>
  <si>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</si>
  <si>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</si>
  <si>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</si>
  <si>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</si>
  <si>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</si>
  <si>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</si>
  <si>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</si>
  <si>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</si>
  <si>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</si>
  <si>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</si>
  <si>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</si>
  <si>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</si>
  <si>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</si>
  <si>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</si>
  <si>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</si>
  <si>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</si>
  <si>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</si>
  <si>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</si>
  <si>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</si>
  <si>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</si>
  <si>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</si>
  <si>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</si>
  <si>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</si>
  <si>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</si>
  <si>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</si>
  <si>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</si>
  <si>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</si>
  <si>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</si>
  <si>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</si>
  <si>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</si>
  <si>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</si>
  <si>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</si>
  <si>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</si>
  <si>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</si>
  <si>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</si>
  <si>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</si>
  <si>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</si>
  <si>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</si>
  <si>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</si>
  <si>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</si>
  <si>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</si>
  <si>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</si>
  <si>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</si>
  <si>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</si>
  <si>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</si>
  <si>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</si>
  <si>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</si>
  <si>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</si>
  <si>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</si>
  <si>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</si>
  <si>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</si>
  <si>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</si>
  <si>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</si>
  <si>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</si>
  <si>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</si>
  <si>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</si>
  <si>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</si>
  <si>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</si>
  <si>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</si>
  <si>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</si>
  <si>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</si>
  <si>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</si>
  <si>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</si>
  <si>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</si>
  <si>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</si>
  <si>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</si>
  <si>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</si>
  <si>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</si>
  <si>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</si>
  <si>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</si>
  <si>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</si>
  <si>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</si>
  <si>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</si>
  <si>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</si>
  <si>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</si>
  <si>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</si>
  <si>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</si>
  <si>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</si>
  <si>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</si>
  <si>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</si>
  <si>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</si>
  <si>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</si>
  <si>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</si>
  <si>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</si>
  <si>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</si>
  <si>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</si>
  <si>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</si>
  <si>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</si>
  <si>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</si>
  <si>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</si>
  <si>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Ddundu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</si>
  <si>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</si>
  <si>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</si>
  <si>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</si>
  <si>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</si>
  <si>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</si>
  <si>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</si>
  <si>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</si>
  <si>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</si>
  <si>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</si>
  <si>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Nakasajja</t>
  </si>
  <si>
    <t>Namanve</t>
  </si>
  <si>
    <t>NANVE</t>
  </si>
  <si>
    <t>Kalagi</t>
  </si>
  <si>
    <t>NAKIFUMA</t>
  </si>
  <si>
    <t>Nakituma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</si>
  <si>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</si>
  <si>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</si>
  <si>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</si>
  <si>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</si>
  <si>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</si>
  <si>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</si>
  <si>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</si>
  <si>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</si>
  <si>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</si>
  <si>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</si>
  <si>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</si>
  <si>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</si>
  <si>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SEETA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</si>
  <si>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</si>
  <si>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</si>
  <si>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</si>
  <si>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</si>
  <si>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</si>
  <si>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</si>
  <si>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</si>
  <si>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</si>
  <si>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</si>
  <si>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</si>
  <si>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</si>
  <si>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</si>
  <si>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</si>
  <si>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</si>
  <si>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</si>
  <si>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</si>
  <si>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</si>
  <si>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</si>
  <si>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</si>
  <si>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</si>
  <si>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</si>
  <si>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</si>
  <si>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</si>
  <si>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</si>
  <si>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</si>
  <si>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</si>
  <si>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</si>
  <si>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</si>
  <si>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</si>
  <si>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Ssomuto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</si>
  <si>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</si>
  <si>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</si>
  <si>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</si>
  <si>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</si>
  <si>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</si>
  <si>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</si>
  <si>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</si>
  <si>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</si>
  <si>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</si>
  <si>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</si>
  <si>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</si>
  <si>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</si>
  <si>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</si>
  <si>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</si>
  <si>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</si>
  <si>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</si>
  <si>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</si>
  <si>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</si>
  <si>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</si>
  <si>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</si>
  <si>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</si>
  <si>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</si>
  <si>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</si>
  <si>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</si>
  <si>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</si>
  <si>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</si>
  <si>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</si>
  <si>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</si>
  <si>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</si>
  <si>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</si>
  <si>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</si>
  <si>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</si>
  <si>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</si>
  <si>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</si>
  <si>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</si>
  <si>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</si>
  <si>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</si>
  <si>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</si>
  <si>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</si>
  <si>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</si>
  <si>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</si>
  <si>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</si>
  <si>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</si>
  <si>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</si>
  <si>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</si>
  <si>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</si>
  <si>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</si>
  <si>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</si>
  <si>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</si>
  <si>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</si>
  <si>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</si>
  <si>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</si>
  <si>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</si>
  <si>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</si>
  <si>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</si>
  <si>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</si>
  <si>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</si>
  <si>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</si>
  <si>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</si>
  <si>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</si>
  <si>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</si>
  <si>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</si>
  <si>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</si>
  <si>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</si>
  <si>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</si>
  <si>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</si>
  <si>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</si>
  <si>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</si>
  <si>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</si>
  <si>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</si>
  <si>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</si>
  <si>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</si>
  <si>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</si>
  <si>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</si>
  <si>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</si>
  <si>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</si>
  <si>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</si>
  <si>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</si>
  <si>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</si>
  <si>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</si>
  <si>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</si>
  <si>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</si>
  <si>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</si>
  <si>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</si>
  <si>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</si>
  <si>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</si>
  <si>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</si>
  <si>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</si>
  <si>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</si>
  <si>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</si>
  <si>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</si>
  <si>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</si>
  <si>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</si>
  <si>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</si>
  <si>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</si>
  <si>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</si>
  <si>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</si>
  <si>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</si>
  <si>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</si>
  <si>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</si>
  <si>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</si>
  <si>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</si>
  <si>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</si>
  <si>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</si>
  <si>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NTUNGANO</t>
  </si>
  <si>
    <t>NTUNGAMO TOWN</t>
  </si>
  <si>
    <t>NYAMUKANA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</si>
  <si>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</si>
  <si>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</si>
  <si>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</si>
  <si>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</si>
  <si>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</si>
  <si>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</si>
  <si>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</si>
  <si>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</si>
  <si>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</si>
  <si>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</si>
  <si>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</si>
  <si>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</si>
  <si>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</si>
  <si>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</si>
  <si>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</si>
  <si>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</si>
  <si>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</si>
  <si>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</si>
  <si>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</si>
  <si>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</si>
  <si>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</si>
  <si>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</si>
  <si>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</si>
  <si>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</si>
  <si>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</si>
  <si>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</si>
  <si>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</si>
  <si>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</si>
  <si>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</si>
  <si>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</si>
  <si>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</si>
  <si>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</si>
  <si>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</si>
  <si>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</si>
  <si>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</si>
  <si>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</si>
  <si>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</si>
  <si>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</si>
  <si>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</si>
  <si>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</si>
  <si>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</si>
  <si>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</si>
  <si>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</si>
  <si>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</si>
  <si>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</si>
  <si>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</si>
  <si>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</si>
  <si>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</si>
  <si>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</si>
  <si>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</si>
  <si>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</si>
  <si>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</si>
  <si>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</si>
  <si>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</si>
  <si>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</si>
  <si>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</si>
  <si>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</si>
  <si>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</si>
  <si>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</si>
  <si>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</si>
  <si>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</si>
  <si>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</si>
  <si>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</si>
  <si>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</si>
  <si>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</si>
  <si>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</si>
  <si>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</si>
  <si>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</si>
  <si>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</si>
  <si>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</si>
  <si>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</si>
  <si>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</si>
  <si>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</si>
  <si>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</si>
  <si>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</si>
  <si>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</si>
  <si>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</si>
  <si>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</si>
  <si>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</si>
  <si>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</si>
  <si>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</si>
  <si>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</si>
  <si>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</si>
  <si>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</si>
  <si>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</si>
  <si>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</si>
  <si>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</si>
  <si>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</si>
  <si>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</si>
  <si>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Kiluli</t>
  </si>
  <si>
    <t>Kisansa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</si>
  <si>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</si>
  <si>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</si>
  <si>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</si>
  <si>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</si>
  <si>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</si>
  <si>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</si>
  <si>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</si>
  <si>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</si>
  <si>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</si>
  <si>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</si>
  <si>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</si>
  <si>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</si>
  <si>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</si>
  <si>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</si>
  <si>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</si>
  <si>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</si>
  <si>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</si>
  <si>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</si>
  <si>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</si>
  <si>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RUBIRIZI TOWN</t>
  </si>
  <si>
    <t>BUNYARUGURU</t>
  </si>
  <si>
    <t>RUMBIRIZI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</si>
  <si>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</si>
  <si>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</si>
  <si>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</si>
  <si>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</si>
  <si>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</si>
  <si>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</si>
  <si>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</si>
  <si>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</si>
  <si>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</si>
  <si>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</si>
  <si>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</si>
  <si>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</si>
  <si>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</si>
  <si>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</si>
  <si>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</si>
  <si>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</si>
  <si>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</si>
  <si>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</si>
  <si>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</si>
  <si>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</si>
  <si>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</si>
  <si>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</si>
  <si>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</si>
  <si>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</si>
  <si>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</si>
  <si>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</si>
  <si>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</si>
  <si>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</si>
  <si>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</si>
  <si>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</si>
  <si>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</si>
  <si>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</si>
  <si>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</si>
  <si>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</si>
  <si>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</si>
  <si>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</si>
  <si>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KIHUNDA</t>
  </si>
  <si>
    <t>Kakindo Town Council</t>
  </si>
  <si>
    <t>Kabwohe</t>
  </si>
  <si>
    <t>MUSHANGA</t>
  </si>
  <si>
    <t>ITENDERO</t>
  </si>
  <si>
    <t>Kasaana</t>
  </si>
  <si>
    <t>Kigarama</t>
  </si>
  <si>
    <t>Kitagata</t>
  </si>
  <si>
    <t>Kasinga</t>
  </si>
  <si>
    <t>Kyangyenyi</t>
  </si>
  <si>
    <t>Masheruka</t>
  </si>
  <si>
    <t>Rugarama-Sheema</t>
  </si>
  <si>
    <t>SHEEMA</t>
  </si>
  <si>
    <t>SHEEMA TOWN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</si>
  <si>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</si>
  <si>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</si>
  <si>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</si>
  <si>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</si>
  <si>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</si>
  <si>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</si>
  <si>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</si>
  <si>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</si>
  <si>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</si>
  <si>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</si>
  <si>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</si>
  <si>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</si>
  <si>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</si>
  <si>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</si>
  <si>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</si>
  <si>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</si>
  <si>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</si>
  <si>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</si>
  <si>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</si>
  <si>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</si>
  <si>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</si>
  <si>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</si>
  <si>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</si>
  <si>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</si>
  <si>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</si>
  <si>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</si>
  <si>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</si>
  <si>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</si>
  <si>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</si>
  <si>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</si>
  <si>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</si>
  <si>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</si>
  <si>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</si>
  <si>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</si>
  <si>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</si>
  <si>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</si>
  <si>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</si>
  <si>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</si>
  <si>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</si>
  <si>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</si>
  <si>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</si>
  <si>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</si>
  <si>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</si>
  <si>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</si>
  <si>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</si>
  <si>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</si>
  <si>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</si>
  <si>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</si>
  <si>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</si>
  <si>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</si>
  <si>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</si>
  <si>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</si>
  <si>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</si>
  <si>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</si>
  <si>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</si>
  <si>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</si>
  <si>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</si>
  <si>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</si>
  <si>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</si>
  <si>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</si>
  <si>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</si>
  <si>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</si>
  <si>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</si>
  <si>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</si>
  <si>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</si>
  <si>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</si>
  <si>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</si>
  <si>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</si>
  <si>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</si>
  <si>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</si>
  <si>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</si>
  <si>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</si>
  <si>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</si>
  <si>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KINAAWA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</si>
  <si>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</si>
  <si>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</si>
  <si>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</si>
  <si>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</si>
  <si>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</si>
  <si>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</si>
  <si>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</si>
  <si>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</si>
  <si>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</si>
  <si>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</si>
  <si>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</si>
  <si>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</si>
  <si>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</si>
  <si>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</si>
  <si>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</si>
  <si>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</si>
  <si>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</si>
  <si>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</si>
  <si>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</si>
  <si>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</si>
  <si>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</si>
  <si>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</si>
  <si>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</si>
  <si>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</si>
  <si>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</si>
  <si>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</si>
  <si>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</si>
  <si>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</si>
  <si>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</si>
  <si>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</si>
  <si>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</si>
  <si>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</si>
  <si>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</si>
  <si>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</si>
  <si>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</si>
  <si>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Muwana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</si>
  <si>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</si>
  <si>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</si>
  <si>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</si>
  <si>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</si>
  <si>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</si>
  <si>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</si>
  <si>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</si>
  <si>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</si>
  <si>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</si>
  <si>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</si>
  <si>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</si>
  <si>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</si>
  <si>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</si>
  <si>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</si>
  <si>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</si>
  <si>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</si>
  <si>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</si>
  <si>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</si>
  <si>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</si>
  <si>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</si>
  <si>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</si>
  <si>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</si>
  <si>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</si>
  <si>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Miles</t>
  </si>
  <si>
    <t>Kyankima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</si>
  <si>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</si>
  <si>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</si>
  <si>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</si>
  <si>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</si>
  <si>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</si>
  <si>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</si>
  <si>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</si>
  <si>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</si>
  <si>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</si>
  <si>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</si>
  <si>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</si>
  <si>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</si>
  <si>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</si>
  <si>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</si>
  <si>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</si>
  <si>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</si>
  <si>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</si>
  <si>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>Kijabijo</t>
  </si>
  <si>
    <t>KIRA MUNICIPAL</t>
  </si>
  <si>
    <t>Mulawa</t>
  </si>
  <si>
    <t>Kireka</t>
  </si>
  <si>
    <t>Garage</t>
  </si>
  <si>
    <t>KAMULI A ZONE</t>
  </si>
  <si>
    <t>Kamuli rd</t>
  </si>
  <si>
    <t>Agenda</t>
  </si>
  <si>
    <t>Kiira</t>
  </si>
  <si>
    <t>Bulindo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</si>
  <si>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</si>
  <si>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</si>
  <si>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</si>
  <si>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</si>
  <si>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</si>
  <si>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</si>
  <si>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</si>
  <si>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</si>
  <si>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</si>
  <si>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</si>
  <si>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</si>
  <si>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</si>
  <si>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</si>
  <si>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</si>
  <si>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</si>
  <si>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</si>
  <si>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</si>
  <si>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</si>
  <si>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</si>
  <si>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</si>
  <si>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</si>
  <si>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</si>
  <si>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</si>
  <si>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</si>
  <si>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</si>
  <si>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</si>
  <si>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</si>
  <si>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</si>
  <si>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</si>
  <si>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</si>
  <si>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</si>
  <si>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</si>
  <si>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Kawanda</t>
  </si>
  <si>
    <t>Namarere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</si>
  <si>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</si>
  <si>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</si>
  <si>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</si>
  <si>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</si>
  <si>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</si>
  <si>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</si>
  <si>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</si>
  <si>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</si>
  <si>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</si>
  <si>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</si>
  <si>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</si>
  <si>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</si>
  <si>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</si>
  <si>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</si>
  <si>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</si>
  <si>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</si>
  <si>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Matuga</t>
  </si>
  <si>
    <t>Mayirikiti</t>
  </si>
  <si>
    <t>Kiryagonja</t>
  </si>
  <si>
    <t>Watindo</t>
  </si>
  <si>
    <t>Ssemuto</t>
  </si>
  <si>
    <t>Ssemutto</t>
  </si>
  <si>
    <t>Namengo</t>
  </si>
  <si>
    <t>Green valley</t>
  </si>
  <si>
    <t>Namayumba</t>
  </si>
  <si>
    <t>Namayumba Town Council</t>
  </si>
  <si>
    <t>Namugongo</t>
  </si>
  <si>
    <t>NUGONGO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</si>
  <si>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</si>
  <si>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</si>
  <si>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</si>
  <si>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</si>
  <si>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</si>
  <si>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</si>
  <si>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</si>
  <si>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</si>
  <si>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</si>
  <si>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</si>
  <si>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</si>
  <si>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</si>
  <si>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</si>
  <si>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Najjera</t>
  </si>
  <si>
    <t>Nagyera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</si>
  <si>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</si>
  <si>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</si>
  <si>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</si>
  <si>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</si>
  <si>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</si>
  <si>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</si>
  <si>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</si>
  <si>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</si>
  <si>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</si>
  <si>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Bwate</t>
  </si>
  <si>
    <t>BUWATTE</t>
  </si>
  <si>
    <t>Green hill</t>
  </si>
  <si>
    <t>KIBIRA</t>
  </si>
  <si>
    <t>Nansana</t>
  </si>
  <si>
    <t>NANSANA STORES</t>
  </si>
  <si>
    <t>KAZINGA</t>
  </si>
  <si>
    <t>Kaziga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</si>
  <si>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</si>
  <si>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</si>
  <si>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</si>
  <si>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</si>
  <si>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</si>
  <si>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</si>
  <si>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</si>
  <si>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</si>
  <si>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</si>
  <si>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</si>
  <si>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</si>
  <si>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</si>
  <si>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</si>
  <si>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</si>
  <si>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</si>
  <si>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</si>
  <si>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</si>
  <si>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</si>
  <si>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</si>
  <si>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</si>
  <si>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</si>
  <si>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</si>
  <si>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</si>
  <si>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</si>
  <si>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</si>
  <si>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</si>
  <si>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</si>
  <si>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</si>
  <si>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</si>
  <si>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</si>
  <si>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</si>
  <si>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</si>
  <si>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</si>
  <si>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</si>
  <si>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</si>
  <si>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</si>
  <si>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</si>
  <si>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</si>
  <si>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</si>
  <si>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</si>
  <si>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</si>
  <si>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</si>
  <si>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</si>
  <si>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</si>
  <si>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</si>
  <si>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</si>
  <si>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</si>
  <si>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</si>
  <si>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</si>
  <si>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</si>
  <si>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</si>
  <si>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</si>
  <si>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</si>
  <si>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</si>
  <si>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</si>
  <si>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</si>
  <si>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</si>
  <si>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</si>
  <si>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</si>
  <si>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</si>
  <si>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</si>
  <si>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</si>
  <si>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</si>
  <si>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</si>
  <si>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</si>
  <si>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</si>
  <si>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</si>
  <si>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</si>
  <si>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</si>
  <si>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</si>
  <si>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</si>
  <si>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</si>
  <si>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</si>
  <si>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</si>
  <si>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</si>
  <si>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</si>
  <si>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</si>
  <si>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</si>
  <si>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</si>
  <si>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</si>
  <si>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</si>
  <si>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Karegwe</t>
  </si>
  <si>
    <t>Katuna</t>
  </si>
  <si>
    <t>Manzi</t>
  </si>
  <si>
    <t>Cyanika</t>
  </si>
  <si>
    <t>Bunagana</t>
  </si>
  <si>
    <t>D.R.C</t>
  </si>
  <si>
    <t>Goma</t>
  </si>
  <si>
    <t>Busumba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</si>
  <si>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</si>
  <si>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</si>
  <si>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</si>
  <si>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</si>
  <si>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</si>
  <si>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</si>
  <si>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</si>
  <si>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</si>
  <si>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</si>
  <si>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</si>
  <si>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</si>
  <si>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</si>
  <si>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</si>
  <si>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</si>
  <si>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</si>
  <si>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</si>
  <si>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</si>
  <si>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</si>
  <si>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</si>
  <si>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</si>
  <si>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</si>
  <si>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</si>
  <si>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</si>
  <si>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</si>
  <si>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</si>
  <si>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</si>
  <si>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</si>
  <si>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</si>
  <si>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</si>
  <si>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</si>
  <si>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</si>
  <si>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</si>
  <si>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</si>
  <si>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</si>
  <si>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</si>
  <si>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</si>
  <si>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</si>
  <si>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</si>
  <si>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</si>
  <si>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</si>
  <si>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</si>
  <si>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</si>
  <si>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</si>
  <si>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</si>
  <si>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</si>
  <si>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</si>
  <si>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</si>
  <si>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</si>
  <si>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</si>
  <si>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</si>
  <si>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</si>
  <si>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</si>
  <si>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</si>
  <si>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</si>
  <si>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</si>
  <si>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</si>
  <si>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</si>
  <si>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</si>
  <si>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</si>
  <si>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</si>
  <si>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</si>
  <si>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</si>
  <si>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</si>
  <si>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</si>
  <si>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</si>
  <si>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</si>
  <si>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</si>
  <si>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</si>
  <si>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</si>
  <si>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</si>
  <si>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</si>
  <si>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</si>
  <si>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</si>
  <si>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</si>
  <si>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</si>
  <si>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</si>
  <si>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</si>
  <si>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</si>
  <si>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</si>
  <si>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</si>
  <si>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</si>
  <si>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</si>
  <si>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</si>
  <si>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</si>
  <si>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</si>
  <si>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</si>
  <si>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</si>
  <si>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</si>
  <si>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</si>
  <si>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</si>
  <si>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</si>
  <si>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</si>
  <si>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</si>
  <si>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</si>
  <si>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</si>
  <si>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</si>
  <si>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</si>
  <si>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</si>
  <si>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</si>
  <si>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</si>
  <si>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</si>
  <si>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</si>
  <si>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</si>
  <si>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</si>
  <si>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</si>
  <si>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</si>
  <si>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</si>
  <si>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</si>
  <si>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</si>
  <si>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</si>
  <si>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</si>
  <si>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</si>
  <si>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</si>
  <si>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</si>
  <si>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</si>
  <si>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</si>
  <si>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</si>
  <si>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</si>
  <si>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</si>
  <si>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</si>
  <si>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</si>
  <si>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</si>
  <si>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</si>
  <si>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</si>
  <si>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</si>
  <si>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</si>
  <si>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</si>
  <si>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</si>
  <si>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</si>
  <si>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</si>
  <si>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</si>
  <si>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</si>
  <si>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</si>
  <si>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</si>
  <si>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</si>
  <si>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</si>
  <si>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</si>
  <si>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</si>
  <si>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</si>
  <si>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</si>
  <si>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</si>
  <si>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</si>
  <si>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</si>
  <si>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</si>
  <si>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</si>
  <si>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</si>
  <si>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</si>
  <si>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</si>
  <si>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</si>
  <si>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</si>
  <si>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</si>
  <si>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</si>
  <si>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</si>
  <si>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</si>
  <si>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</si>
  <si>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</si>
  <si>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</si>
  <si>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</si>
  <si>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</si>
  <si>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</si>
  <si>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</si>
  <si>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</si>
  <si>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</si>
  <si>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</si>
  <si>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</si>
  <si>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</si>
  <si>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</si>
  <si>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</si>
  <si>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KANUNGU</t>
  </si>
  <si>
    <t>KAMWENGE</t>
  </si>
  <si>
    <t>Nyamitsindo</t>
  </si>
  <si>
    <t>RAKAI</t>
  </si>
  <si>
    <t>KIBALE</t>
  </si>
  <si>
    <t>NTUNGAMO</t>
  </si>
  <si>
    <t>TZ</t>
  </si>
  <si>
    <t>Ntale</t>
  </si>
  <si>
    <t>KAMPALA CITY</t>
  </si>
  <si>
    <t>Kitojjo</t>
  </si>
  <si>
    <t>Kitojo</t>
  </si>
  <si>
    <t>Nyakana</t>
  </si>
  <si>
    <t>Buteraniro</t>
  </si>
  <si>
    <t>Kyema</t>
  </si>
  <si>
    <t>Ruti</t>
  </si>
  <si>
    <t>Nyeihanga</t>
  </si>
  <si>
    <t>Kakigani</t>
  </si>
  <si>
    <t>Rwampala</t>
  </si>
  <si>
    <t>Ndija</t>
  </si>
  <si>
    <t>Nyembaga</t>
  </si>
  <si>
    <t>Wrampara</t>
  </si>
  <si>
    <t>Wampera</t>
  </si>
  <si>
    <t>Kitwe</t>
  </si>
  <si>
    <t>Karegyeya</t>
  </si>
  <si>
    <t>Nyamukanu</t>
  </si>
  <si>
    <t>Kubale</t>
  </si>
  <si>
    <t>Rubare</t>
  </si>
  <si>
    <t>Ruhana</t>
  </si>
  <si>
    <t>Rwoho</t>
  </si>
  <si>
    <t>Rwashamire</t>
  </si>
  <si>
    <t>Kahunga</t>
  </si>
  <si>
    <t>Muhanga</t>
  </si>
  <si>
    <t>Rwenkunjjo</t>
  </si>
  <si>
    <t>Kisizi</t>
  </si>
  <si>
    <t>Kabwo</t>
  </si>
  <si>
    <t>Kakunga</t>
  </si>
  <si>
    <t>Burundi</t>
  </si>
  <si>
    <t>Rwahi</t>
  </si>
  <si>
    <t>Kigali</t>
  </si>
  <si>
    <t>Mirama</t>
  </si>
  <si>
    <t>KYETERA</t>
  </si>
  <si>
    <t>KISORO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</si>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</sst>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9" fillId="0" borderId="0"/>
    <xf numFmtId="164" fontId="5" fillId="0" borderId="0" applyFont="0" applyFill="0" applyBorder="0" applyAlignment="0" applyProtection="0"/>
    <xf numFmtId="0" fontId="11" fillId="0" borderId="0"/>
    <xf numFmtId="0" fontId="13" fillId="0" borderId="0">
      <alignment vertical="center"/>
    </xf>
  </cellStyleXfs>
  <cellXfs count="15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7" fillId="2" borderId="2" xfId="0" applyNumberFormat="1" applyFont="1" applyFill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20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3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3" applyNumberFormat="1" applyFont="1" applyFill="1" applyBorder="1"/>
    <xf numFmtId="3" fontId="0" fillId="3" borderId="3" xfId="0" applyNumberFormat="1" applyFill="1" applyBorder="1"/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2" fillId="5" borderId="7" xfId="4" applyFont="1" applyFill="1" applyBorder="1" applyAlignment="1">
      <alignment horizontal="center"/>
    </xf>
    <xf numFmtId="0" fontId="12" fillId="5" borderId="0" xfId="4" applyFont="1" applyFill="1" applyAlignment="1">
      <alignment horizontal="center"/>
    </xf>
    <xf numFmtId="0" fontId="10" fillId="0" borderId="0" xfId="5" applyFont="1">
      <alignment vertical="center"/>
    </xf>
    <xf numFmtId="0" fontId="13" fillId="0" borderId="0" xfId="5">
      <alignment vertical="center"/>
    </xf>
    <xf numFmtId="0" fontId="13" fillId="6" borderId="0" xfId="5" applyFill="1">
      <alignment vertical="center"/>
    </xf>
    <xf numFmtId="0" fontId="14" fillId="5" borderId="24" xfId="5" applyFont="1" applyFill="1" applyBorder="1" applyAlignment="1">
      <alignment horizontal="center" vertical="center"/>
    </xf>
    <xf numFmtId="0" fontId="12" fillId="5" borderId="24" xfId="4" applyFont="1" applyFill="1" applyBorder="1" applyAlignment="1">
      <alignment horizontal="center"/>
    </xf>
    <xf numFmtId="0" fontId="15" fillId="0" borderId="3" xfId="5" applyFont="1" applyBorder="1" applyAlignment="1">
      <alignment horizontal="center" vertical="center"/>
    </xf>
    <xf numFmtId="0" fontId="11" fillId="0" borderId="3" xfId="4" applyBorder="1" applyAlignment="1">
      <alignment wrapText="1"/>
    </xf>
    <xf numFmtId="0" fontId="15" fillId="0" borderId="2" xfId="5" applyFont="1" applyBorder="1" applyAlignment="1">
      <alignment horizontal="center" vertical="center"/>
    </xf>
    <xf numFmtId="0" fontId="11" fillId="0" borderId="2" xfId="4" applyBorder="1" applyAlignment="1">
      <alignment wrapText="1"/>
    </xf>
    <xf numFmtId="0" fontId="11" fillId="6" borderId="2" xfId="4" applyFill="1" applyBorder="1" applyAlignment="1">
      <alignment wrapText="1"/>
    </xf>
    <xf numFmtId="0" fontId="11" fillId="0" borderId="2" xfId="4" applyBorder="1" applyAlignment="1">
      <alignment vertical="center" wrapText="1"/>
    </xf>
    <xf numFmtId="0" fontId="11" fillId="6" borderId="2" xfId="4" applyFill="1" applyBorder="1" applyAlignment="1">
      <alignment vertical="center" wrapText="1"/>
    </xf>
    <xf numFmtId="0" fontId="11" fillId="2" borderId="2" xfId="4" applyFill="1" applyBorder="1" applyAlignment="1">
      <alignment wrapText="1"/>
    </xf>
    <xf numFmtId="0" fontId="13" fillId="2" borderId="0" xfId="5" applyFill="1">
      <alignment vertical="center"/>
    </xf>
    <xf numFmtId="0" fontId="11" fillId="2" borderId="2" xfId="4" applyFill="1" applyBorder="1" applyAlignment="1">
      <alignment vertical="center" wrapText="1"/>
    </xf>
    <xf numFmtId="0" fontId="15" fillId="2" borderId="2" xfId="5" applyFont="1" applyFill="1" applyBorder="1" applyAlignment="1">
      <alignment horizontal="center" vertical="center"/>
    </xf>
    <xf numFmtId="0" fontId="11" fillId="6" borderId="7" xfId="4" applyFill="1" applyBorder="1" applyAlignment="1">
      <alignment wrapText="1"/>
    </xf>
    <xf numFmtId="0" fontId="15" fillId="0" borderId="0" xfId="5" applyFont="1" applyAlignment="1">
      <alignment horizontal="center" vertical="center"/>
    </xf>
    <xf numFmtId="0" fontId="15" fillId="0" borderId="0" xfId="5" applyFont="1">
      <alignment vertical="center"/>
    </xf>
    <xf numFmtId="0" fontId="10" fillId="7" borderId="0" xfId="5" applyFont="1" applyFill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1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3" applyNumberFormat="1" applyFont="1" applyFill="1" applyBorder="1"/>
    <xf numFmtId="167" fontId="0" fillId="6" borderId="2" xfId="0" applyNumberFormat="1" applyFill="1" applyBorder="1"/>
    <xf numFmtId="168" fontId="0" fillId="6" borderId="2" xfId="1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3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1" applyNumberFormat="1" applyFont="1" applyFill="1" applyBorder="1"/>
    <xf numFmtId="0" fontId="1" fillId="13" borderId="2" xfId="0" applyFont="1" applyFill="1" applyBorder="1"/>
    <xf numFmtId="167" fontId="1" fillId="10" borderId="2" xfId="3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3" applyNumberFormat="1" applyFont="1" applyFill="1" applyBorder="1"/>
    <xf numFmtId="167" fontId="0" fillId="16" borderId="2" xfId="0" applyNumberFormat="1" applyFill="1" applyBorder="1"/>
    <xf numFmtId="168" fontId="0" fillId="16" borderId="2" xfId="1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1" fillId="2" borderId="8" xfId="4" applyFill="1" applyBorder="1" applyAlignment="1">
      <alignment horizontal="left" vertical="center" wrapText="1"/>
    </xf>
    <xf numFmtId="0" fontId="11" fillId="2" borderId="3" xfId="4" applyFill="1" applyBorder="1" applyAlignment="1">
      <alignment horizontal="left" vertical="center" wrapText="1"/>
    </xf>
    <xf numFmtId="0" fontId="11" fillId="2" borderId="7" xfId="4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1" applyNumberFormat="1" applyFont="1" applyFill="1" applyBorder="1"/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_Indicators_12" xfId="4" xr:uid="{00000000-0005-0000-0000-000004000000}"/>
    <cellStyle name="Percent 2" xfId="1" xr:uid="{00000000-0005-0000-0000-000005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77-46B0-8711-8D6773E5D82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77-46B0-8711-8D6773E5D82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77-46B0-8711-8D6773E5D82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77-46B0-8711-8D6773E5D82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77-46B0-8711-8D6773E5D82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277-46B0-8711-8D6773E5D82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277-46B0-8711-8D6773E5D82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277-46B0-8711-8D6773E5D82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277-46B0-8711-8D6773E5D8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277-46B0-8711-8D6773E5D82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277-46B0-8711-8D6773E5D82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277-46B0-8711-8D6773E5D82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277-46B0-8711-8D6773E5D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152</c:v>
                </c:pt>
                <c:pt idx="1">
                  <c:v>34</c:v>
                </c:pt>
                <c:pt idx="2">
                  <c:v>23</c:v>
                </c:pt>
                <c:pt idx="3">
                  <c:v>13</c:v>
                </c:pt>
                <c:pt idx="4">
                  <c:v>1</c:v>
                </c:pt>
                <c:pt idx="5">
                  <c:v>0</c:v>
                </c:pt>
                <c:pt idx="6">
                  <c:v>36</c:v>
                </c:pt>
                <c:pt idx="7">
                  <c:v>35</c:v>
                </c:pt>
                <c:pt idx="8">
                  <c:v>2</c:v>
                </c:pt>
                <c:pt idx="9">
                  <c:v>1</c:v>
                </c:pt>
                <c:pt idx="10">
                  <c:v>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77-46B0-8711-8D6773E5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5C-497D-AB17-388BAB5F8D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5C-497D-AB17-388BAB5F8DE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5C-497D-AB17-388BAB5F8D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E5C-497D-AB17-388BAB5F8DE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E5C-497D-AB17-388BAB5F8DE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5C-497D-AB17-388BAB5F8DE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5C-497D-AB17-388BAB5F8DE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5C-497D-AB17-388BAB5F8DE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5C-497D-AB17-388BAB5F8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52</c:v>
                </c:pt>
                <c:pt idx="1">
                  <c:v>18</c:v>
                </c:pt>
                <c:pt idx="2">
                  <c:v>69</c:v>
                </c:pt>
                <c:pt idx="3">
                  <c:v>47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5C-497D-AB17-388BAB5F8D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18E-B60D-F3D09940B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C-4546-B270-6673C7A26C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12</c:v>
                </c:pt>
                <c:pt idx="1">
                  <c:v>8</c:v>
                </c:pt>
                <c:pt idx="2">
                  <c:v>63</c:v>
                </c:pt>
                <c:pt idx="3">
                  <c:v>61</c:v>
                </c:pt>
                <c:pt idx="4">
                  <c:v>69</c:v>
                </c:pt>
                <c:pt idx="5">
                  <c:v>68</c:v>
                </c:pt>
                <c:pt idx="6">
                  <c:v>19</c:v>
                </c:pt>
                <c:pt idx="7">
                  <c:v>7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D-409A-B105-CDE71BCA1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89</c:v>
                </c:pt>
                <c:pt idx="1">
                  <c:v>120</c:v>
                </c:pt>
                <c:pt idx="2">
                  <c:v>12</c:v>
                </c:pt>
                <c:pt idx="3">
                  <c:v>52</c:v>
                </c:pt>
                <c:pt idx="4">
                  <c:v>20</c:v>
                </c:pt>
                <c:pt idx="5">
                  <c:v>26</c:v>
                </c:pt>
                <c:pt idx="6">
                  <c:v>6</c:v>
                </c:pt>
                <c:pt idx="7">
                  <c:v>10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0-4ACB-B0BF-A7B26126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5E-4810-BF7E-D0BF6E8627E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5E-4810-BF7E-D0BF6E8627E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5E-4810-BF7E-D0BF6E8627E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5E-4810-BF7E-D0BF6E8627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5E-4810-BF7E-D0BF6E8627E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5E-4810-BF7E-D0BF6E8627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74</c:v>
                </c:pt>
                <c:pt idx="1">
                  <c:v>129</c:v>
                </c:pt>
                <c:pt idx="2">
                  <c:v>84</c:v>
                </c:pt>
                <c:pt idx="3">
                  <c:v>44</c:v>
                </c:pt>
                <c:pt idx="4">
                  <c:v>9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5E-4810-BF7E-D0BF6E8627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10748</xdr:rowOff>
    </xdr:from>
    <xdr:to>
      <xdr:col>11</xdr:col>
      <xdr:colOff>44937</xdr:colOff>
      <xdr:row>38</xdr:row>
      <xdr:rowOff>43964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21492</xdr:rowOff>
    </xdr:from>
    <xdr:to>
      <xdr:col>11</xdr:col>
      <xdr:colOff>330687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58</xdr:row>
      <xdr:rowOff>10746</xdr:rowOff>
    </xdr:from>
    <xdr:to>
      <xdr:col>10</xdr:col>
      <xdr:colOff>560754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201246</xdr:rowOff>
    </xdr:from>
    <xdr:to>
      <xdr:col>12</xdr:col>
      <xdr:colOff>571500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25</xdr:col>
      <xdr:colOff>217854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31" zoomScale="65" zoomScaleNormal="65" workbookViewId="0">
      <selection activeCell="P47" sqref="P47:Y76"/>
    </sheetView>
  </sheetViews>
  <sheetFormatPr defaultRowHeight="12.75"/>
  <cols>
    <col min="1" max="1" width="3.85546875" style="54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3"/>
      <c r="B2" s="1"/>
      <c r="C2" s="19"/>
    </row>
    <row r="3" spans="1:17" ht="15">
      <c r="B3" s="87" t="s">
        <v>3258</v>
      </c>
      <c r="N3" s="1" t="s">
        <v>3259</v>
      </c>
    </row>
    <row r="4" spans="1:17" ht="38.25">
      <c r="B4" s="88" t="s">
        <v>137</v>
      </c>
      <c r="C4" s="88" t="s">
        <v>3260</v>
      </c>
      <c r="D4" s="88" t="s">
        <v>3261</v>
      </c>
      <c r="N4" s="89" t="s">
        <v>3262</v>
      </c>
      <c r="O4" s="89" t="s">
        <v>3263</v>
      </c>
      <c r="P4" s="89" t="s">
        <v>3264</v>
      </c>
      <c r="Q4" s="90" t="s">
        <v>3265</v>
      </c>
    </row>
    <row r="5" spans="1:17" ht="15" customHeight="1">
      <c r="B5" s="91" t="s">
        <v>71</v>
      </c>
      <c r="C5" s="92">
        <f>COUNTIF('ALL DATA'!$D$9:$D$5000,"1")</f>
        <v>152</v>
      </c>
      <c r="D5" s="93">
        <f t="shared" ref="D5:D16" si="0">C5/$C$17</f>
        <v>0.42105263157894735</v>
      </c>
      <c r="N5" s="94" t="s">
        <v>3266</v>
      </c>
      <c r="O5" s="95">
        <f>COUNTIF(Jtime,"&lt;=0.25")</f>
        <v>89</v>
      </c>
      <c r="P5" s="96">
        <f>O5</f>
        <v>89</v>
      </c>
      <c r="Q5" s="97">
        <f>P5/$O$15</f>
        <v>0.26176470588235295</v>
      </c>
    </row>
    <row r="6" spans="1:17" ht="15" customHeight="1">
      <c r="B6" s="91" t="s">
        <v>72</v>
      </c>
      <c r="C6" s="92">
        <f>COUNTIF('ALL DATA'!$D$9:$D$5000,"2")</f>
        <v>34</v>
      </c>
      <c r="D6" s="93">
        <f t="shared" si="0"/>
        <v>9.4182825484764546E-2</v>
      </c>
      <c r="N6" s="94" t="s">
        <v>3267</v>
      </c>
      <c r="O6" s="95">
        <f>COUNTIF(Jtime,"&lt;=0.5")</f>
        <v>209</v>
      </c>
      <c r="P6" s="96">
        <f>O6-O5</f>
        <v>120</v>
      </c>
      <c r="Q6" s="97">
        <f t="shared" ref="Q6:Q15" si="1">P6/$O$15</f>
        <v>0.35294117647058826</v>
      </c>
    </row>
    <row r="7" spans="1:17" ht="15" customHeight="1">
      <c r="B7" s="91" t="s">
        <v>73</v>
      </c>
      <c r="C7" s="92">
        <f>COUNTIF('ALL DATA'!$D$9:$D$5000,"3")</f>
        <v>23</v>
      </c>
      <c r="D7" s="93">
        <f t="shared" si="0"/>
        <v>6.3711911357340723E-2</v>
      </c>
      <c r="N7" s="94" t="s">
        <v>3268</v>
      </c>
      <c r="O7" s="95">
        <f>COUNTIF(Jtime,"&lt;=0.75")</f>
        <v>221</v>
      </c>
      <c r="P7" s="96">
        <f t="shared" ref="P7:P15" si="2">O7-O6</f>
        <v>12</v>
      </c>
      <c r="Q7" s="97">
        <f t="shared" si="1"/>
        <v>3.5294117647058823E-2</v>
      </c>
    </row>
    <row r="8" spans="1:17" ht="15" customHeight="1">
      <c r="B8" s="91" t="s">
        <v>74</v>
      </c>
      <c r="C8" s="92">
        <f>COUNTIF('ALL DATA'!$D$9:$D$5000,"4")</f>
        <v>13</v>
      </c>
      <c r="D8" s="93">
        <f t="shared" si="0"/>
        <v>3.6011080332409975E-2</v>
      </c>
      <c r="N8" s="94" t="s">
        <v>3269</v>
      </c>
      <c r="O8" s="95">
        <f>COUNTIF(Jtime,"&lt;=1.0")</f>
        <v>273</v>
      </c>
      <c r="P8" s="96">
        <f t="shared" si="2"/>
        <v>52</v>
      </c>
      <c r="Q8" s="97">
        <f t="shared" si="1"/>
        <v>0.15294117647058825</v>
      </c>
    </row>
    <row r="9" spans="1:17" ht="15" customHeight="1">
      <c r="B9" s="91" t="s">
        <v>75</v>
      </c>
      <c r="C9" s="92">
        <f>COUNTIF('ALL DATA'!$D$9:$D$5000,"5")</f>
        <v>1</v>
      </c>
      <c r="D9" s="93">
        <f t="shared" si="0"/>
        <v>2.7700831024930748E-3</v>
      </c>
      <c r="N9" s="94" t="s">
        <v>3270</v>
      </c>
      <c r="O9" s="95">
        <f>COUNTIF(Jtime,"&lt;=1.5")</f>
        <v>293</v>
      </c>
      <c r="P9" s="96">
        <f t="shared" si="2"/>
        <v>20</v>
      </c>
      <c r="Q9" s="97">
        <f t="shared" si="1"/>
        <v>5.8823529411764705E-2</v>
      </c>
    </row>
    <row r="10" spans="1:17" ht="15" customHeight="1">
      <c r="B10" s="91" t="s">
        <v>76</v>
      </c>
      <c r="C10" s="92">
        <f>COUNTIF('ALL DATA'!$D$9:$D$5000,"6")</f>
        <v>0</v>
      </c>
      <c r="D10" s="93">
        <f t="shared" si="0"/>
        <v>0</v>
      </c>
      <c r="N10" s="94" t="s">
        <v>3271</v>
      </c>
      <c r="O10" s="95">
        <f>COUNTIF(Jtime,"&lt;=2")</f>
        <v>319</v>
      </c>
      <c r="P10" s="96">
        <f t="shared" si="2"/>
        <v>26</v>
      </c>
      <c r="Q10" s="97">
        <f t="shared" si="1"/>
        <v>7.6470588235294124E-2</v>
      </c>
    </row>
    <row r="11" spans="1:17" ht="15" customHeight="1">
      <c r="B11" s="91" t="s">
        <v>77</v>
      </c>
      <c r="C11" s="92">
        <f>COUNTIF('ALL DATA'!$D$9:$D$5000,"7")</f>
        <v>36</v>
      </c>
      <c r="D11" s="93">
        <f t="shared" si="0"/>
        <v>9.9722991689750698E-2</v>
      </c>
      <c r="N11" s="94" t="s">
        <v>3272</v>
      </c>
      <c r="O11" s="95">
        <f>COUNTIF(Jtime,"&lt;=3")</f>
        <v>325</v>
      </c>
      <c r="P11" s="96">
        <f t="shared" si="2"/>
        <v>6</v>
      </c>
      <c r="Q11" s="97">
        <f t="shared" si="1"/>
        <v>1.7647058823529412E-2</v>
      </c>
    </row>
    <row r="12" spans="1:17" ht="15" customHeight="1">
      <c r="B12" s="91" t="s">
        <v>78</v>
      </c>
      <c r="C12" s="92">
        <f>COUNTIF('ALL DATA'!$D$9:$D$5000,"8")</f>
        <v>35</v>
      </c>
      <c r="D12" s="93">
        <f t="shared" si="0"/>
        <v>9.6952908587257622E-2</v>
      </c>
      <c r="N12" s="94" t="s">
        <v>3273</v>
      </c>
      <c r="O12" s="95">
        <f>COUNTIF(Jtime,"&lt;=5")</f>
        <v>335</v>
      </c>
      <c r="P12" s="96">
        <f t="shared" si="2"/>
        <v>10</v>
      </c>
      <c r="Q12" s="97">
        <f t="shared" si="1"/>
        <v>2.9411764705882353E-2</v>
      </c>
    </row>
    <row r="13" spans="1:17" ht="15" customHeight="1">
      <c r="B13" s="91" t="s">
        <v>79</v>
      </c>
      <c r="C13" s="92">
        <f>COUNTIF('ALL DATA'!$D$9:$D$5000,"9")</f>
        <v>2</v>
      </c>
      <c r="D13" s="93">
        <f t="shared" si="0"/>
        <v>5.5401662049861496E-3</v>
      </c>
      <c r="N13" s="94" t="s">
        <v>3274</v>
      </c>
      <c r="O13" s="95">
        <f>COUNTIF(Jtime,"&lt;=7.5")</f>
        <v>339</v>
      </c>
      <c r="P13" s="96">
        <f t="shared" si="2"/>
        <v>4</v>
      </c>
      <c r="Q13" s="97">
        <f t="shared" si="1"/>
        <v>1.1764705882352941E-2</v>
      </c>
    </row>
    <row r="14" spans="1:17" ht="15" customHeight="1">
      <c r="B14" s="91" t="s">
        <v>80</v>
      </c>
      <c r="C14" s="92">
        <f>COUNTIF('ALL DATA'!$D$9:$D$5000,"10")</f>
        <v>1</v>
      </c>
      <c r="D14" s="93">
        <f t="shared" si="0"/>
        <v>2.7700831024930748E-3</v>
      </c>
      <c r="N14" s="94" t="s">
        <v>3275</v>
      </c>
      <c r="O14" s="95">
        <f>COUNTIF(Jtime,"&lt;=10")</f>
        <v>339</v>
      </c>
      <c r="P14" s="96">
        <f t="shared" si="2"/>
        <v>0</v>
      </c>
      <c r="Q14" s="97">
        <f t="shared" si="1"/>
        <v>0</v>
      </c>
    </row>
    <row r="15" spans="1:17" ht="15" customHeight="1">
      <c r="B15" s="91" t="s">
        <v>82</v>
      </c>
      <c r="C15" s="92">
        <f>COUNTIF('ALL DATA'!$D$9:$D$5000,"11")</f>
        <v>64</v>
      </c>
      <c r="D15" s="93">
        <f t="shared" si="0"/>
        <v>0.17728531855955679</v>
      </c>
      <c r="N15" s="94" t="s">
        <v>3276</v>
      </c>
      <c r="O15" s="95">
        <f>COUNTIF(Jtime,"&lt;=15")</f>
        <v>340</v>
      </c>
      <c r="P15" s="96">
        <f t="shared" si="2"/>
        <v>1</v>
      </c>
      <c r="Q15" s="97">
        <f t="shared" si="1"/>
        <v>2.9411764705882353E-3</v>
      </c>
    </row>
    <row r="16" spans="1:17">
      <c r="B16" s="91" t="s">
        <v>81</v>
      </c>
      <c r="C16" s="92">
        <f>COUNTIF('ALL DATA'!$D$9:$D$5000,"12")</f>
        <v>0</v>
      </c>
      <c r="D16" s="93">
        <f t="shared" si="0"/>
        <v>0</v>
      </c>
    </row>
    <row r="17" spans="2:16">
      <c r="B17" s="92"/>
      <c r="C17" s="98">
        <f>SUM(C5:C16)</f>
        <v>361</v>
      </c>
      <c r="D17" s="92"/>
    </row>
    <row r="21" spans="2:16">
      <c r="N21" s="1" t="s">
        <v>108</v>
      </c>
    </row>
    <row r="22" spans="2:16" ht="39">
      <c r="B22" s="87" t="s">
        <v>138</v>
      </c>
      <c r="N22" s="99" t="s">
        <v>108</v>
      </c>
      <c r="O22" s="99" t="s">
        <v>3264</v>
      </c>
      <c r="P22" s="100" t="s">
        <v>3265</v>
      </c>
    </row>
    <row r="23" spans="2:16" ht="15" customHeight="1">
      <c r="B23" s="101" t="s">
        <v>3277</v>
      </c>
      <c r="C23" s="101" t="s">
        <v>3278</v>
      </c>
      <c r="D23" s="101" t="s">
        <v>3279</v>
      </c>
      <c r="N23" s="102" t="s">
        <v>3280</v>
      </c>
      <c r="O23" s="103">
        <f>COUNTIF(Tripfreq,"=1")</f>
        <v>74</v>
      </c>
      <c r="P23" s="93">
        <f>O23/$O$29</f>
        <v>0.20845070422535211</v>
      </c>
    </row>
    <row r="24" spans="2:16" ht="15" customHeight="1">
      <c r="B24" s="104" t="s">
        <v>139</v>
      </c>
      <c r="C24" s="105">
        <f>COUNTIF('ALL DATA'!$R$9:$R$5000,"Home-Work")</f>
        <v>52</v>
      </c>
      <c r="D24" s="106">
        <f>C24/$C$29</f>
        <v>0.1440443213296399</v>
      </c>
      <c r="N24" s="102" t="s">
        <v>110</v>
      </c>
      <c r="O24" s="103">
        <f>COUNTIF(Tripfreq,"=2")</f>
        <v>129</v>
      </c>
      <c r="P24" s="93">
        <f t="shared" ref="P24:P28" si="3">O24/$O$29</f>
        <v>0.36338028169014086</v>
      </c>
    </row>
    <row r="25" spans="2:16" ht="15" customHeight="1">
      <c r="B25" s="104" t="s">
        <v>140</v>
      </c>
      <c r="C25" s="105">
        <f>COUNTIF('ALL DATA'!$R$9:$R$369,"Home-Study")</f>
        <v>18</v>
      </c>
      <c r="D25" s="106">
        <f>C25/$C$29</f>
        <v>4.9861495844875349E-2</v>
      </c>
      <c r="N25" s="102" t="s">
        <v>111</v>
      </c>
      <c r="O25" s="103">
        <f>COUNTIF(Tripfreq,"=3")</f>
        <v>84</v>
      </c>
      <c r="P25" s="93">
        <f t="shared" si="3"/>
        <v>0.23661971830985915</v>
      </c>
    </row>
    <row r="26" spans="2:16" ht="15" customHeight="1">
      <c r="B26" s="104" t="s">
        <v>141</v>
      </c>
      <c r="C26" s="105">
        <f>COUNTIF('ALL DATA'!$R$9:$R$369,"Work-Home")</f>
        <v>69</v>
      </c>
      <c r="D26" s="106">
        <f>C26/$C$29</f>
        <v>0.19113573407202217</v>
      </c>
      <c r="N26" s="102" t="s">
        <v>112</v>
      </c>
      <c r="O26" s="103">
        <f>COUNTIF(Tripfreq,"=4")</f>
        <v>44</v>
      </c>
      <c r="P26" s="93">
        <f t="shared" si="3"/>
        <v>0.12394366197183099</v>
      </c>
    </row>
    <row r="27" spans="2:16" ht="15" customHeight="1">
      <c r="B27" s="104" t="s">
        <v>142</v>
      </c>
      <c r="C27" s="105">
        <f>COUNTIF('ALL DATA'!$R$9:$R$369,"Work-Work")</f>
        <v>47</v>
      </c>
      <c r="D27" s="106">
        <f>C27/$C$29</f>
        <v>0.13019390581717452</v>
      </c>
      <c r="N27" s="102" t="s">
        <v>113</v>
      </c>
      <c r="O27" s="103">
        <f>COUNTIF(Tripfreq,"=5")</f>
        <v>9</v>
      </c>
      <c r="P27" s="93">
        <f t="shared" si="3"/>
        <v>2.5352112676056339E-2</v>
      </c>
    </row>
    <row r="28" spans="2:16" ht="15" customHeight="1">
      <c r="B28" s="104" t="s">
        <v>107</v>
      </c>
      <c r="C28" s="105">
        <f>C29-SUM(C24:C27)</f>
        <v>175</v>
      </c>
      <c r="D28" s="106">
        <f>C28/$C$29</f>
        <v>0.48476454293628807</v>
      </c>
      <c r="N28" s="102" t="s">
        <v>114</v>
      </c>
      <c r="O28" s="103">
        <f>COUNTIF(Tripfreq,"=6")</f>
        <v>15</v>
      </c>
      <c r="P28" s="93">
        <f t="shared" si="3"/>
        <v>4.2253521126760563E-2</v>
      </c>
    </row>
    <row r="29" spans="2:16" ht="15" customHeight="1">
      <c r="B29" s="107" t="s">
        <v>143</v>
      </c>
      <c r="C29" s="107">
        <f>C17</f>
        <v>361</v>
      </c>
      <c r="D29" s="105"/>
      <c r="N29" s="91"/>
      <c r="O29" s="108">
        <f>SUM(O23:O28)</f>
        <v>355</v>
      </c>
      <c r="P29" s="93"/>
    </row>
    <row r="40" spans="2:25">
      <c r="B40" s="1" t="s">
        <v>144</v>
      </c>
    </row>
    <row r="41" spans="2:25">
      <c r="B41" s="109" t="s">
        <v>3281</v>
      </c>
      <c r="C41" s="109" t="s">
        <v>3282</v>
      </c>
      <c r="D41" s="109" t="s">
        <v>3279</v>
      </c>
    </row>
    <row r="42" spans="2:25">
      <c r="B42" s="110" t="s">
        <v>32</v>
      </c>
      <c r="C42" s="111">
        <f>COUNTIF('ALL DATA'!$Y$9:$Y$5000,"Y")</f>
        <v>361</v>
      </c>
      <c r="D42" s="97">
        <f>C42/$C$44</f>
        <v>1</v>
      </c>
    </row>
    <row r="43" spans="2:25">
      <c r="B43" s="110" t="s">
        <v>145</v>
      </c>
      <c r="C43" s="111">
        <f>C44-C42</f>
        <v>0</v>
      </c>
      <c r="D43" s="97">
        <f>C43/$C$44</f>
        <v>0</v>
      </c>
    </row>
    <row r="44" spans="2:25">
      <c r="B44" s="112" t="s">
        <v>143</v>
      </c>
      <c r="C44" s="112">
        <f>C29</f>
        <v>361</v>
      </c>
      <c r="D44" s="111"/>
    </row>
    <row r="47" spans="2:25">
      <c r="R47" s="155" t="s">
        <v>101</v>
      </c>
      <c r="S47" s="155" t="s">
        <v>102</v>
      </c>
      <c r="T47" s="155" t="s">
        <v>103</v>
      </c>
      <c r="U47" s="155" t="s">
        <v>104</v>
      </c>
      <c r="V47" s="155" t="s">
        <v>105</v>
      </c>
      <c r="W47" s="155" t="s">
        <v>106</v>
      </c>
      <c r="X47" s="155" t="s">
        <v>88</v>
      </c>
      <c r="Y47" s="155" t="s">
        <v>107</v>
      </c>
    </row>
    <row r="48" spans="2:25">
      <c r="P48">
        <v>1</v>
      </c>
      <c r="Q48" s="156" t="s">
        <v>101</v>
      </c>
      <c r="R48" s="157">
        <f t="shared" ref="R48:Y55" si="4">R59/SUM($R$59:$Y$66)</f>
        <v>4.7353760445682451E-2</v>
      </c>
      <c r="S48" s="157">
        <f t="shared" si="4"/>
        <v>0.14484679665738162</v>
      </c>
      <c r="T48" s="157">
        <f t="shared" si="4"/>
        <v>5.0139275766016712E-2</v>
      </c>
      <c r="U48" s="157">
        <f t="shared" si="4"/>
        <v>4.456824512534819E-2</v>
      </c>
      <c r="V48" s="157">
        <f t="shared" si="4"/>
        <v>0</v>
      </c>
      <c r="W48" s="157">
        <f t="shared" si="4"/>
        <v>8.356545961002786E-3</v>
      </c>
      <c r="X48" s="157">
        <f t="shared" si="4"/>
        <v>1.9498607242339833E-2</v>
      </c>
      <c r="Y48" s="157">
        <f t="shared" si="4"/>
        <v>5.0139275766016712E-2</v>
      </c>
    </row>
    <row r="49" spans="2:25">
      <c r="P49">
        <v>2</v>
      </c>
      <c r="Q49" s="156" t="s">
        <v>102</v>
      </c>
      <c r="R49" s="157">
        <f t="shared" si="4"/>
        <v>0.19220055710306408</v>
      </c>
      <c r="S49" s="157">
        <f t="shared" si="4"/>
        <v>0.1309192200557103</v>
      </c>
      <c r="T49" s="157">
        <f t="shared" si="4"/>
        <v>5.5710306406685237E-3</v>
      </c>
      <c r="U49" s="157">
        <f t="shared" si="4"/>
        <v>6.6852367688022288E-2</v>
      </c>
      <c r="V49" s="157">
        <f t="shared" si="4"/>
        <v>0</v>
      </c>
      <c r="W49" s="157">
        <f t="shared" si="4"/>
        <v>0</v>
      </c>
      <c r="X49" s="157">
        <f t="shared" si="4"/>
        <v>0</v>
      </c>
      <c r="Y49" s="157">
        <f t="shared" si="4"/>
        <v>5.5710306406685237E-3</v>
      </c>
    </row>
    <row r="50" spans="2:25">
      <c r="P50">
        <v>3</v>
      </c>
      <c r="Q50" s="156" t="s">
        <v>103</v>
      </c>
      <c r="R50" s="157">
        <f t="shared" si="4"/>
        <v>5.2924791086350974E-2</v>
      </c>
      <c r="S50" s="157">
        <f t="shared" si="4"/>
        <v>2.7855153203342618E-3</v>
      </c>
      <c r="T50" s="157">
        <f t="shared" si="4"/>
        <v>5.5710306406685237E-3</v>
      </c>
      <c r="U50" s="157">
        <f t="shared" si="4"/>
        <v>2.7855153203342618E-3</v>
      </c>
      <c r="V50" s="157">
        <f t="shared" si="4"/>
        <v>2.7855153203342618E-3</v>
      </c>
      <c r="W50" s="157">
        <f t="shared" si="4"/>
        <v>0</v>
      </c>
      <c r="X50" s="157">
        <f t="shared" si="4"/>
        <v>0</v>
      </c>
      <c r="Y50" s="157">
        <f t="shared" si="4"/>
        <v>5.5710306406685237E-3</v>
      </c>
    </row>
    <row r="51" spans="2:25">
      <c r="P51">
        <v>4</v>
      </c>
      <c r="Q51" s="156" t="s">
        <v>104</v>
      </c>
      <c r="R51" s="157">
        <f t="shared" si="4"/>
        <v>3.3426183844011144E-2</v>
      </c>
      <c r="S51" s="157">
        <f t="shared" si="4"/>
        <v>2.5069637883008356E-2</v>
      </c>
      <c r="T51" s="157">
        <f t="shared" si="4"/>
        <v>2.7855153203342618E-3</v>
      </c>
      <c r="U51" s="157">
        <f t="shared" si="4"/>
        <v>3.3426183844011144E-2</v>
      </c>
      <c r="V51" s="157">
        <f t="shared" si="4"/>
        <v>0</v>
      </c>
      <c r="W51" s="157">
        <f t="shared" si="4"/>
        <v>0</v>
      </c>
      <c r="X51" s="157">
        <f t="shared" si="4"/>
        <v>0</v>
      </c>
      <c r="Y51" s="157">
        <f t="shared" si="4"/>
        <v>0</v>
      </c>
    </row>
    <row r="52" spans="2:25">
      <c r="P52">
        <v>5</v>
      </c>
      <c r="Q52" s="156" t="s">
        <v>105</v>
      </c>
      <c r="R52" s="157">
        <f t="shared" si="4"/>
        <v>0</v>
      </c>
      <c r="S52" s="157">
        <f t="shared" si="4"/>
        <v>0</v>
      </c>
      <c r="T52" s="157">
        <f t="shared" si="4"/>
        <v>0</v>
      </c>
      <c r="U52" s="157">
        <f t="shared" si="4"/>
        <v>0</v>
      </c>
      <c r="V52" s="157">
        <f t="shared" si="4"/>
        <v>0</v>
      </c>
      <c r="W52" s="157">
        <f t="shared" si="4"/>
        <v>0</v>
      </c>
      <c r="X52" s="157">
        <f t="shared" si="4"/>
        <v>0</v>
      </c>
      <c r="Y52" s="157">
        <f t="shared" si="4"/>
        <v>0</v>
      </c>
    </row>
    <row r="53" spans="2:25">
      <c r="P53">
        <v>6</v>
      </c>
      <c r="Q53" s="156" t="s">
        <v>106</v>
      </c>
      <c r="R53" s="157">
        <f t="shared" si="4"/>
        <v>1.3927576601671309E-2</v>
      </c>
      <c r="S53" s="157">
        <f t="shared" si="4"/>
        <v>0</v>
      </c>
      <c r="T53" s="157">
        <f t="shared" si="4"/>
        <v>0</v>
      </c>
      <c r="U53" s="157">
        <f t="shared" si="4"/>
        <v>0</v>
      </c>
      <c r="V53" s="157">
        <f t="shared" si="4"/>
        <v>0</v>
      </c>
      <c r="W53" s="157">
        <f t="shared" si="4"/>
        <v>0</v>
      </c>
      <c r="X53" s="157">
        <f t="shared" si="4"/>
        <v>0</v>
      </c>
      <c r="Y53" s="157">
        <f t="shared" si="4"/>
        <v>2.7855153203342618E-3</v>
      </c>
    </row>
    <row r="54" spans="2:25">
      <c r="P54">
        <v>7</v>
      </c>
      <c r="Q54" s="156" t="s">
        <v>88</v>
      </c>
      <c r="R54" s="157">
        <f t="shared" si="4"/>
        <v>5.5710306406685237E-3</v>
      </c>
      <c r="S54" s="157">
        <f t="shared" si="4"/>
        <v>0</v>
      </c>
      <c r="T54" s="157">
        <f t="shared" si="4"/>
        <v>0</v>
      </c>
      <c r="U54" s="157">
        <f t="shared" si="4"/>
        <v>0</v>
      </c>
      <c r="V54" s="157">
        <f t="shared" si="4"/>
        <v>0</v>
      </c>
      <c r="W54" s="157">
        <f t="shared" si="4"/>
        <v>0</v>
      </c>
      <c r="X54" s="157">
        <f t="shared" si="4"/>
        <v>8.356545961002786E-3</v>
      </c>
      <c r="Y54" s="157">
        <f t="shared" si="4"/>
        <v>0</v>
      </c>
    </row>
    <row r="55" spans="2:25">
      <c r="P55">
        <v>8</v>
      </c>
      <c r="Q55" s="156" t="s">
        <v>107</v>
      </c>
      <c r="R55" s="157">
        <f t="shared" si="4"/>
        <v>1.9498607242339833E-2</v>
      </c>
      <c r="S55" s="157">
        <f t="shared" si="4"/>
        <v>2.7855153203342618E-3</v>
      </c>
      <c r="T55" s="157">
        <f t="shared" si="4"/>
        <v>0</v>
      </c>
      <c r="U55" s="157">
        <f t="shared" si="4"/>
        <v>2.7855153203342618E-3</v>
      </c>
      <c r="V55" s="157">
        <f t="shared" si="4"/>
        <v>0</v>
      </c>
      <c r="W55" s="157">
        <f t="shared" si="4"/>
        <v>0</v>
      </c>
      <c r="X55" s="157">
        <f t="shared" si="4"/>
        <v>0</v>
      </c>
      <c r="Y55" s="157">
        <f t="shared" si="4"/>
        <v>1.1142061281337047E-2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3283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113" t="s">
        <v>137</v>
      </c>
      <c r="C59" s="114" t="s">
        <v>3284</v>
      </c>
      <c r="P59">
        <v>1</v>
      </c>
      <c r="Q59" t="s">
        <v>101</v>
      </c>
      <c r="R59">
        <f>COUNTIF('ALL DATA'!$R$9:$R$5000,R69)</f>
        <v>17</v>
      </c>
      <c r="S59">
        <f>COUNTIF('ALL DATA'!$R$9:$R$5000,S69)</f>
        <v>52</v>
      </c>
      <c r="T59">
        <f>COUNTIF('ALL DATA'!$R$9:$R$5000,T69)</f>
        <v>18</v>
      </c>
      <c r="U59">
        <f>COUNTIF('ALL DATA'!$R$9:$R$5000,U69)</f>
        <v>16</v>
      </c>
      <c r="V59">
        <f>COUNTIF('ALL DATA'!$R$9:$R$5000,V69)</f>
        <v>0</v>
      </c>
      <c r="W59">
        <f>COUNTIF('ALL DATA'!$R$9:$R$5000,W69)</f>
        <v>3</v>
      </c>
      <c r="X59">
        <f>COUNTIF('ALL DATA'!$R$9:$R$5000,X69)</f>
        <v>7</v>
      </c>
      <c r="Y59">
        <f>COUNTIF('ALL DATA'!$R$9:$R$5000,Y69)</f>
        <v>18</v>
      </c>
    </row>
    <row r="60" spans="2:25" ht="15" customHeight="1">
      <c r="B60" s="94" t="s">
        <v>71</v>
      </c>
      <c r="C60" s="95">
        <v>0</v>
      </c>
      <c r="P60">
        <v>2</v>
      </c>
      <c r="Q60" t="s">
        <v>102</v>
      </c>
      <c r="R60">
        <f>COUNTIF('ALL DATA'!$R$9:$R$5000,R70)</f>
        <v>69</v>
      </c>
      <c r="S60">
        <f>COUNTIF('ALL DATA'!$R$9:$R$5000,S70)</f>
        <v>47</v>
      </c>
      <c r="T60">
        <f>COUNTIF('ALL DATA'!$R$9:$R$5000,T70)</f>
        <v>2</v>
      </c>
      <c r="U60">
        <f>COUNTIF('ALL DATA'!$R$9:$R$5000,U70)</f>
        <v>24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2</v>
      </c>
    </row>
    <row r="61" spans="2:25" ht="15" customHeight="1">
      <c r="B61" s="94" t="s">
        <v>72</v>
      </c>
      <c r="C61" s="95">
        <v>0</v>
      </c>
      <c r="P61">
        <v>3</v>
      </c>
      <c r="Q61" t="s">
        <v>103</v>
      </c>
      <c r="R61">
        <f>COUNTIF('ALL DATA'!$R$9:$R$5000,R71)</f>
        <v>19</v>
      </c>
      <c r="S61">
        <f>COUNTIF('ALL DATA'!$R$9:$R$5000,S71)</f>
        <v>1</v>
      </c>
      <c r="T61">
        <f>COUNTIF('ALL DATA'!$R$9:$R$5000,T71)</f>
        <v>2</v>
      </c>
      <c r="U61">
        <f>COUNTIF('ALL DATA'!$R$9:$R$5000,U71)</f>
        <v>1</v>
      </c>
      <c r="V61">
        <f>COUNTIF('ALL DATA'!$R$9:$R$5000,V71)</f>
        <v>1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2</v>
      </c>
    </row>
    <row r="62" spans="2:25" ht="15" customHeight="1">
      <c r="B62" s="94" t="s">
        <v>73</v>
      </c>
      <c r="C62" s="95">
        <v>0</v>
      </c>
      <c r="P62">
        <v>4</v>
      </c>
      <c r="Q62" t="s">
        <v>104</v>
      </c>
      <c r="R62">
        <f>COUNTIF('ALL DATA'!$R$9:$R$5000,R72)</f>
        <v>12</v>
      </c>
      <c r="S62">
        <f>COUNTIF('ALL DATA'!$R$9:$R$5000,S72)</f>
        <v>9</v>
      </c>
      <c r="T62">
        <f>COUNTIF('ALL DATA'!$R$9:$R$5000,T72)</f>
        <v>1</v>
      </c>
      <c r="U62">
        <f>COUNTIF('ALL DATA'!$R$9:$R$5000,U72)</f>
        <v>12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4" t="s">
        <v>74</v>
      </c>
      <c r="C63" s="95">
        <v>0</v>
      </c>
      <c r="P63">
        <v>5</v>
      </c>
      <c r="Q63" t="s">
        <v>105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4" t="s">
        <v>75</v>
      </c>
      <c r="C64" s="95">
        <v>0</v>
      </c>
      <c r="P64">
        <v>6</v>
      </c>
      <c r="Q64" t="s">
        <v>106</v>
      </c>
      <c r="R64">
        <f>COUNTIF('ALL DATA'!$R$9:$R$5000,R74)</f>
        <v>5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94" t="s">
        <v>76</v>
      </c>
      <c r="C65" s="95">
        <v>0</v>
      </c>
      <c r="P65">
        <v>7</v>
      </c>
      <c r="Q65" t="s">
        <v>88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3</v>
      </c>
      <c r="Y65">
        <f>COUNTIF('ALL DATA'!$R$9:$R$5000,Y75)</f>
        <v>0</v>
      </c>
    </row>
    <row r="66" spans="2:25" ht="15" customHeight="1">
      <c r="B66" s="94" t="s">
        <v>77</v>
      </c>
      <c r="C66" s="95">
        <v>0</v>
      </c>
      <c r="P66">
        <v>8</v>
      </c>
      <c r="Q66" t="s">
        <v>107</v>
      </c>
      <c r="R66">
        <f>COUNTIF('ALL DATA'!$R$9:$R$5000,R76)</f>
        <v>7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1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4</v>
      </c>
    </row>
    <row r="67" spans="2:25" ht="15" customHeight="1">
      <c r="B67" s="94" t="s">
        <v>78</v>
      </c>
      <c r="C67" s="95">
        <v>0</v>
      </c>
    </row>
    <row r="68" spans="2:25" ht="15" customHeight="1">
      <c r="B68" s="94" t="s">
        <v>79</v>
      </c>
      <c r="C68" s="95">
        <v>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94" t="s">
        <v>80</v>
      </c>
      <c r="C69" s="95">
        <v>0</v>
      </c>
      <c r="P69">
        <v>1</v>
      </c>
      <c r="Q69" t="s">
        <v>101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4" t="s">
        <v>82</v>
      </c>
      <c r="C70" s="95">
        <v>0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4" t="s">
        <v>81</v>
      </c>
      <c r="C71" s="95">
        <v>0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3285</v>
      </c>
    </row>
    <row r="79" spans="2:25" ht="25.5">
      <c r="B79" s="115" t="s">
        <v>3286</v>
      </c>
      <c r="C79" s="116" t="s">
        <v>3287</v>
      </c>
      <c r="D79" s="117" t="s">
        <v>3264</v>
      </c>
      <c r="E79" s="118" t="s">
        <v>3288</v>
      </c>
    </row>
    <row r="80" spans="2:25" ht="15" customHeight="1">
      <c r="B80" s="119" t="s">
        <v>3289</v>
      </c>
      <c r="C80" s="120">
        <f>COUNTIF(Dist,"&lt;=1")</f>
        <v>12</v>
      </c>
      <c r="D80" s="121">
        <f>C80</f>
        <v>12</v>
      </c>
      <c r="E80" s="122">
        <f>D80/$C$88</f>
        <v>3.7735849056603772E-2</v>
      </c>
    </row>
    <row r="81" spans="2:5" ht="15" customHeight="1">
      <c r="B81" s="119" t="s">
        <v>3290</v>
      </c>
      <c r="C81" s="120">
        <f>COUNTIF(Dist,"&lt;=2.5")</f>
        <v>20</v>
      </c>
      <c r="D81" s="121">
        <f>C81-C80</f>
        <v>8</v>
      </c>
      <c r="E81" s="122">
        <f t="shared" ref="E81:E88" si="6">D81/$C$88</f>
        <v>2.5157232704402517E-2</v>
      </c>
    </row>
    <row r="82" spans="2:5" ht="15" customHeight="1">
      <c r="B82" s="119" t="s">
        <v>3291</v>
      </c>
      <c r="C82" s="120">
        <f>COUNTIF(Dist,"&lt;=5")</f>
        <v>83</v>
      </c>
      <c r="D82" s="121">
        <f t="shared" ref="D82:D88" si="7">C82-C81</f>
        <v>63</v>
      </c>
      <c r="E82" s="122">
        <f t="shared" si="6"/>
        <v>0.19811320754716982</v>
      </c>
    </row>
    <row r="83" spans="2:5" ht="15" customHeight="1">
      <c r="B83" s="119" t="s">
        <v>3292</v>
      </c>
      <c r="C83" s="120">
        <f>COUNTIF(Dist,"&lt;=10")</f>
        <v>144</v>
      </c>
      <c r="D83" s="121">
        <f t="shared" si="7"/>
        <v>61</v>
      </c>
      <c r="E83" s="122">
        <f t="shared" si="6"/>
        <v>0.1918238993710692</v>
      </c>
    </row>
    <row r="84" spans="2:5" ht="15" customHeight="1">
      <c r="B84" s="119" t="s">
        <v>3293</v>
      </c>
      <c r="C84" s="120">
        <f>COUNTIF(Dist,"&lt;=20")</f>
        <v>213</v>
      </c>
      <c r="D84" s="121">
        <f t="shared" si="7"/>
        <v>69</v>
      </c>
      <c r="E84" s="122">
        <f t="shared" si="6"/>
        <v>0.21698113207547171</v>
      </c>
    </row>
    <row r="85" spans="2:5" ht="15" customHeight="1">
      <c r="B85" s="119" t="s">
        <v>3294</v>
      </c>
      <c r="C85" s="120">
        <f>COUNTIF(Dist,"&lt;=50")</f>
        <v>281</v>
      </c>
      <c r="D85" s="121">
        <f t="shared" si="7"/>
        <v>68</v>
      </c>
      <c r="E85" s="122">
        <f t="shared" si="6"/>
        <v>0.21383647798742139</v>
      </c>
    </row>
    <row r="86" spans="2:5" ht="15" customHeight="1">
      <c r="B86" s="119" t="s">
        <v>3295</v>
      </c>
      <c r="C86" s="120">
        <f>COUNTIF(Dist,"&lt;=100")</f>
        <v>300</v>
      </c>
      <c r="D86" s="121">
        <f t="shared" si="7"/>
        <v>19</v>
      </c>
      <c r="E86" s="122">
        <f t="shared" si="6"/>
        <v>5.9748427672955975E-2</v>
      </c>
    </row>
    <row r="87" spans="2:5" ht="15" customHeight="1">
      <c r="B87" s="119" t="s">
        <v>3296</v>
      </c>
      <c r="C87" s="120">
        <f>COUNTIF(Dist,"&lt;=250")</f>
        <v>307</v>
      </c>
      <c r="D87" s="121">
        <f t="shared" si="7"/>
        <v>7</v>
      </c>
      <c r="E87" s="122">
        <f t="shared" si="6"/>
        <v>2.20125786163522E-2</v>
      </c>
    </row>
    <row r="88" spans="2:5" ht="15" customHeight="1">
      <c r="B88" s="119" t="s">
        <v>3297</v>
      </c>
      <c r="C88" s="120">
        <f>COUNTIF(Dist,"&lt;=700")</f>
        <v>318</v>
      </c>
      <c r="D88" s="121">
        <f t="shared" si="7"/>
        <v>11</v>
      </c>
      <c r="E88" s="122">
        <f t="shared" si="6"/>
        <v>3.4591194968553458E-2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369"/>
  <sheetViews>
    <sheetView zoomScale="70" zoomScaleNormal="7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2:35" ht="15" customHeight="1">
      <c r="B4" s="26" t="s">
        <v>2</v>
      </c>
      <c r="C4" s="31" t="s">
        <v>629</v>
      </c>
      <c r="E4" s="1" t="s">
        <v>65</v>
      </c>
      <c r="F4" s="126" t="str">
        <f>'26.10 MBARARA-ISINGIRO'!F4:G4</f>
        <v>MBARARA-NTUNGAMO ROAD</v>
      </c>
      <c r="G4" s="127"/>
      <c r="I4" s="27" t="s">
        <v>66</v>
      </c>
      <c r="J4" s="5"/>
      <c r="K4" s="5"/>
      <c r="L4" s="50" t="s">
        <v>150</v>
      </c>
      <c r="M4" s="63"/>
      <c r="N4" s="1" t="s">
        <v>68</v>
      </c>
      <c r="O4" s="128" t="s">
        <v>630</v>
      </c>
      <c r="P4" s="129"/>
      <c r="Q4" s="129"/>
      <c r="R4" s="129"/>
      <c r="S4" s="129"/>
      <c r="T4" s="129"/>
      <c r="V4" s="1" t="s">
        <v>69</v>
      </c>
      <c r="W4" s="61" t="str">
        <f>'26.10 MBARARA-ISINGIRO'!W4</f>
        <v>MIREMBE RUTH</v>
      </c>
      <c r="Y4" s="27" t="s">
        <v>6</v>
      </c>
      <c r="Z4" s="62" t="str">
        <f>'26.10 MBARARA-ISINGIRO'!Z4</f>
        <v>AJOK EMILY</v>
      </c>
      <c r="AA4" s="32" t="s">
        <v>7</v>
      </c>
      <c r="AB4" s="38">
        <f>'26.10 MBARARA-ISINGIRO'!AB4</f>
        <v>0</v>
      </c>
      <c r="AE4" s="10"/>
      <c r="AF4" s="5"/>
    </row>
    <row r="5" spans="2:35" ht="15" customHeight="1">
      <c r="B5" s="63"/>
      <c r="C5" s="63"/>
      <c r="D5" s="63"/>
      <c r="E5" s="22"/>
      <c r="F5" s="63"/>
      <c r="G5" s="63"/>
      <c r="I5" s="28" t="s">
        <v>67</v>
      </c>
      <c r="J5" s="63"/>
      <c r="K5" s="63"/>
      <c r="L5" s="51" t="s">
        <v>148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129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130</v>
      </c>
      <c r="R7" s="123" t="s">
        <v>131</v>
      </c>
      <c r="S7" s="123" t="s">
        <v>133</v>
      </c>
      <c r="T7" s="123" t="s">
        <v>132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136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64" t="s">
        <v>70</v>
      </c>
      <c r="G8" s="64" t="s">
        <v>57</v>
      </c>
      <c r="H8" s="24" t="s">
        <v>58</v>
      </c>
      <c r="I8" s="133"/>
      <c r="J8" s="124"/>
      <c r="K8" s="124"/>
      <c r="L8" s="64" t="s">
        <v>70</v>
      </c>
      <c r="M8" s="64" t="s">
        <v>57</v>
      </c>
      <c r="N8" s="64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134</v>
      </c>
      <c r="X8" s="30" t="s">
        <v>135</v>
      </c>
      <c r="Y8" s="124"/>
      <c r="Z8" s="124"/>
      <c r="AA8" s="133"/>
      <c r="AB8" s="139"/>
    </row>
    <row r="9" spans="2:35" s="19" customFormat="1">
      <c r="B9" s="39">
        <v>0.76250000000000007</v>
      </c>
      <c r="C9" s="39" t="s">
        <v>549</v>
      </c>
      <c r="D9" s="40">
        <v>4</v>
      </c>
      <c r="E9" s="41">
        <v>2</v>
      </c>
      <c r="F9" s="41" t="s">
        <v>169</v>
      </c>
      <c r="G9" s="42" t="s">
        <v>150</v>
      </c>
      <c r="H9" s="41" t="s">
        <v>147</v>
      </c>
      <c r="I9" s="42">
        <v>6</v>
      </c>
      <c r="J9" s="42">
        <v>2</v>
      </c>
      <c r="K9" s="25" t="str">
        <f>VLOOKUP(J9,Key!$E$2:$F$9,2,FALSE)</f>
        <v>Work</v>
      </c>
      <c r="L9" s="41" t="s">
        <v>155</v>
      </c>
      <c r="M9" s="42" t="s">
        <v>148</v>
      </c>
      <c r="N9" s="41" t="s">
        <v>147</v>
      </c>
      <c r="O9" s="42">
        <v>6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7">
        <v>15</v>
      </c>
      <c r="T9" s="47">
        <v>0.5</v>
      </c>
      <c r="U9" s="42">
        <v>4</v>
      </c>
      <c r="V9" s="42"/>
      <c r="W9" s="47"/>
      <c r="X9" s="47"/>
      <c r="Y9" s="48" t="s">
        <v>146</v>
      </c>
      <c r="Z9" s="56"/>
      <c r="AA9" s="25">
        <f>VLOOKUP(F9,'Zones (3)'!$A$2:$F$15913,6,FALSE)</f>
        <v>380</v>
      </c>
      <c r="AB9" s="25">
        <f>VLOOKUP(L9,'Zones (3)'!$A$1:$F$15616,6,FALSE)</f>
        <v>987</v>
      </c>
    </row>
    <row r="10" spans="2:35" s="19" customFormat="1">
      <c r="B10" s="39">
        <v>0.75902777777777775</v>
      </c>
      <c r="C10" s="39" t="s">
        <v>550</v>
      </c>
      <c r="D10" s="40">
        <v>2</v>
      </c>
      <c r="E10" s="41">
        <v>2</v>
      </c>
      <c r="F10" s="41" t="s">
        <v>191</v>
      </c>
      <c r="G10" s="42" t="s">
        <v>191</v>
      </c>
      <c r="H10" s="41" t="s">
        <v>147</v>
      </c>
      <c r="I10" s="42">
        <v>1</v>
      </c>
      <c r="J10" s="42">
        <v>1</v>
      </c>
      <c r="K10" s="25" t="str">
        <f>VLOOKUP(J10,Key!$E$2:$F$9,2,FALSE)</f>
        <v>Home</v>
      </c>
      <c r="L10" s="41" t="s">
        <v>155</v>
      </c>
      <c r="M10" s="42" t="s">
        <v>148</v>
      </c>
      <c r="N10" s="41" t="s">
        <v>147</v>
      </c>
      <c r="O10" s="42">
        <v>2</v>
      </c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47">
        <v>5</v>
      </c>
      <c r="T10" s="47">
        <v>0.2</v>
      </c>
      <c r="U10" s="42">
        <v>5</v>
      </c>
      <c r="V10" s="42"/>
      <c r="W10" s="47"/>
      <c r="X10" s="47"/>
      <c r="Y10" s="48" t="s">
        <v>146</v>
      </c>
      <c r="Z10" s="56"/>
      <c r="AA10" s="25">
        <f>VLOOKUP(F10,'Zones (3)'!$A$2:$F$15913,6,FALSE)</f>
        <v>422</v>
      </c>
      <c r="AB10" s="25">
        <f>VLOOKUP(L10,'Zones (3)'!$A$1:$F$15616,6,FALSE)</f>
        <v>987</v>
      </c>
    </row>
    <row r="11" spans="2:35" s="19" customFormat="1">
      <c r="B11" s="39">
        <v>0.75416666666666676</v>
      </c>
      <c r="C11" s="39" t="s">
        <v>551</v>
      </c>
      <c r="D11" s="40">
        <v>1</v>
      </c>
      <c r="E11" s="41">
        <v>2</v>
      </c>
      <c r="F11" s="41" t="s">
        <v>345</v>
      </c>
      <c r="G11" s="42" t="s">
        <v>150</v>
      </c>
      <c r="H11" s="41" t="s">
        <v>147</v>
      </c>
      <c r="I11" s="42">
        <v>4</v>
      </c>
      <c r="J11" s="42">
        <v>3</v>
      </c>
      <c r="K11" s="25" t="str">
        <f>VLOOKUP(J11,Key!$E$2:$F$9,2,FALSE)</f>
        <v>Study</v>
      </c>
      <c r="L11" s="41" t="s">
        <v>155</v>
      </c>
      <c r="M11" s="42" t="s">
        <v>148</v>
      </c>
      <c r="N11" s="41" t="s">
        <v>147</v>
      </c>
      <c r="O11" s="42">
        <v>1</v>
      </c>
      <c r="P11" s="42">
        <v>1</v>
      </c>
      <c r="Q11" s="25" t="str">
        <f>VLOOKUP(P11,Key!$E$2:$F$9,2,FALSE)</f>
        <v>Home</v>
      </c>
      <c r="R11" s="25" t="str">
        <f t="shared" si="0"/>
        <v>Study-Home</v>
      </c>
      <c r="S11" s="47"/>
      <c r="T11" s="47">
        <v>0.3</v>
      </c>
      <c r="U11" s="42">
        <v>3</v>
      </c>
      <c r="V11" s="42"/>
      <c r="W11" s="47"/>
      <c r="X11" s="47"/>
      <c r="Y11" s="48" t="s">
        <v>146</v>
      </c>
      <c r="Z11" s="56"/>
      <c r="AA11" s="25">
        <f>VLOOKUP(F11,'Zones (3)'!$A$2:$F$15913,6,FALSE)</f>
        <v>1439</v>
      </c>
      <c r="AB11" s="25">
        <f>VLOOKUP(L11,'Zones (3)'!$A$1:$F$15616,6,FALSE)</f>
        <v>987</v>
      </c>
    </row>
    <row r="12" spans="2:35" s="19" customFormat="1">
      <c r="B12" s="39">
        <v>0.75208333333333333</v>
      </c>
      <c r="C12" s="39" t="s">
        <v>552</v>
      </c>
      <c r="D12" s="40">
        <v>2</v>
      </c>
      <c r="E12" s="41">
        <v>1</v>
      </c>
      <c r="F12" s="41" t="s">
        <v>191</v>
      </c>
      <c r="G12" s="42" t="s">
        <v>191</v>
      </c>
      <c r="H12" s="41" t="s">
        <v>147</v>
      </c>
      <c r="I12" s="42">
        <v>1</v>
      </c>
      <c r="J12" s="42">
        <v>1</v>
      </c>
      <c r="K12" s="25" t="str">
        <f>VLOOKUP(J12,Key!$E$2:$F$9,2,FALSE)</f>
        <v>Home</v>
      </c>
      <c r="L12" s="41" t="s">
        <v>155</v>
      </c>
      <c r="M12" s="42" t="s">
        <v>148</v>
      </c>
      <c r="N12" s="41" t="s">
        <v>147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47">
        <v>4</v>
      </c>
      <c r="T12" s="47">
        <v>0.2</v>
      </c>
      <c r="U12" s="42">
        <v>3</v>
      </c>
      <c r="V12" s="42"/>
      <c r="W12" s="47"/>
      <c r="X12" s="47"/>
      <c r="Y12" s="48" t="s">
        <v>146</v>
      </c>
      <c r="Z12" s="56"/>
      <c r="AA12" s="25">
        <f>VLOOKUP(F12,'Zones (3)'!$A$2:$F$15913,6,FALSE)</f>
        <v>422</v>
      </c>
      <c r="AB12" s="25">
        <f>VLOOKUP(L12,'Zones (3)'!$A$1:$F$15616,6,FALSE)</f>
        <v>987</v>
      </c>
    </row>
    <row r="13" spans="2:35" s="19" customFormat="1">
      <c r="B13" s="39">
        <v>0.74861111111111101</v>
      </c>
      <c r="C13" s="39" t="s">
        <v>553</v>
      </c>
      <c r="D13" s="40">
        <v>1</v>
      </c>
      <c r="E13" s="41">
        <v>1</v>
      </c>
      <c r="F13" s="41" t="s">
        <v>191</v>
      </c>
      <c r="G13" s="42" t="s">
        <v>191</v>
      </c>
      <c r="H13" s="41" t="s">
        <v>147</v>
      </c>
      <c r="I13" s="42">
        <v>16</v>
      </c>
      <c r="J13" s="42">
        <v>8</v>
      </c>
      <c r="K13" s="25" t="str">
        <f>VLOOKUP(J13,Key!$E$2:$F$9,2,FALSE)</f>
        <v>Others</v>
      </c>
      <c r="L13" s="41" t="s">
        <v>155</v>
      </c>
      <c r="M13" s="42" t="s">
        <v>148</v>
      </c>
      <c r="N13" s="41" t="s">
        <v>147</v>
      </c>
      <c r="O13" s="42">
        <v>16</v>
      </c>
      <c r="P13" s="42">
        <v>8</v>
      </c>
      <c r="Q13" s="25" t="str">
        <f>VLOOKUP(P13,Key!$E$2:$F$9,2,FALSE)</f>
        <v>Others</v>
      </c>
      <c r="R13" s="25" t="str">
        <f t="shared" si="0"/>
        <v>Others-Others</v>
      </c>
      <c r="S13" s="47">
        <v>10</v>
      </c>
      <c r="T13" s="47">
        <v>0.2</v>
      </c>
      <c r="U13" s="42">
        <v>6</v>
      </c>
      <c r="V13" s="42"/>
      <c r="W13" s="47"/>
      <c r="X13" s="47"/>
      <c r="Y13" s="48" t="s">
        <v>146</v>
      </c>
      <c r="Z13" s="56"/>
      <c r="AA13" s="25">
        <f>VLOOKUP(F13,'Zones (3)'!$A$2:$F$15913,6,FALSE)</f>
        <v>422</v>
      </c>
      <c r="AB13" s="25">
        <f>VLOOKUP(L13,'Zones (3)'!$A$1:$F$15616,6,FALSE)</f>
        <v>987</v>
      </c>
    </row>
    <row r="14" spans="2:35" s="19" customFormat="1">
      <c r="B14" s="39">
        <v>0.74513888888888891</v>
      </c>
      <c r="C14" s="39" t="s">
        <v>554</v>
      </c>
      <c r="D14" s="40">
        <v>1</v>
      </c>
      <c r="E14" s="41">
        <v>1</v>
      </c>
      <c r="F14" s="41" t="s">
        <v>169</v>
      </c>
      <c r="G14" s="42" t="s">
        <v>150</v>
      </c>
      <c r="H14" s="41" t="s">
        <v>147</v>
      </c>
      <c r="I14" s="42">
        <v>2</v>
      </c>
      <c r="J14" s="42">
        <v>2</v>
      </c>
      <c r="K14" s="25" t="s">
        <v>102</v>
      </c>
      <c r="L14" s="41" t="s">
        <v>173</v>
      </c>
      <c r="M14" s="42" t="s">
        <v>148</v>
      </c>
      <c r="N14" s="41" t="s">
        <v>147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7">
        <v>13</v>
      </c>
      <c r="T14" s="47">
        <v>0.3</v>
      </c>
      <c r="U14" s="42">
        <v>3</v>
      </c>
      <c r="V14" s="42"/>
      <c r="W14" s="47"/>
      <c r="X14" s="47"/>
      <c r="Y14" s="48" t="s">
        <v>146</v>
      </c>
      <c r="Z14" s="56"/>
      <c r="AA14" s="25">
        <f>VLOOKUP(F14,'Zones (3)'!$A$2:$F$15913,6,FALSE)</f>
        <v>380</v>
      </c>
      <c r="AB14" s="25">
        <f>VLOOKUP(L14,'Zones (3)'!$A$1:$F$15616,6,FALSE)</f>
        <v>987</v>
      </c>
    </row>
    <row r="15" spans="2:35" s="19" customFormat="1">
      <c r="B15" s="39">
        <v>0.7416666666666667</v>
      </c>
      <c r="C15" s="39" t="s">
        <v>555</v>
      </c>
      <c r="D15" s="40">
        <v>2</v>
      </c>
      <c r="E15" s="41">
        <v>2</v>
      </c>
      <c r="F15" s="41" t="s">
        <v>171</v>
      </c>
      <c r="G15" s="42" t="s">
        <v>150</v>
      </c>
      <c r="H15" s="41" t="s">
        <v>147</v>
      </c>
      <c r="I15" s="42">
        <v>2</v>
      </c>
      <c r="J15" s="42">
        <v>2</v>
      </c>
      <c r="K15" s="25" t="str">
        <f>VLOOKUP(J15,Key!$E$2:$F$9,2,FALSE)</f>
        <v>Work</v>
      </c>
      <c r="L15" s="41" t="s">
        <v>155</v>
      </c>
      <c r="M15" s="42" t="s">
        <v>148</v>
      </c>
      <c r="N15" s="41" t="s">
        <v>147</v>
      </c>
      <c r="O15" s="42">
        <v>16</v>
      </c>
      <c r="P15" s="42">
        <v>8</v>
      </c>
      <c r="Q15" s="25" t="str">
        <f>VLOOKUP(P15,Key!$E$2:$F$9,2,FALSE)</f>
        <v>Others</v>
      </c>
      <c r="R15" s="25" t="str">
        <f t="shared" si="0"/>
        <v>Work-Others</v>
      </c>
      <c r="S15" s="47">
        <v>31</v>
      </c>
      <c r="T15" s="47">
        <v>0.8</v>
      </c>
      <c r="U15" s="42">
        <v>2</v>
      </c>
      <c r="V15" s="42"/>
      <c r="W15" s="47"/>
      <c r="X15" s="47"/>
      <c r="Y15" s="48" t="s">
        <v>146</v>
      </c>
      <c r="Z15" s="56"/>
      <c r="AA15" s="25">
        <f>VLOOKUP(F15,'Zones (3)'!$A$2:$F$15913,6,FALSE)</f>
        <v>379</v>
      </c>
      <c r="AB15" s="25">
        <f>VLOOKUP(L15,'Zones (3)'!$A$1:$F$15616,6,FALSE)</f>
        <v>987</v>
      </c>
    </row>
    <row r="16" spans="2:35" s="19" customFormat="1">
      <c r="B16" s="39">
        <v>0.73749999999999993</v>
      </c>
      <c r="C16" s="39" t="s">
        <v>556</v>
      </c>
      <c r="D16" s="40">
        <v>8</v>
      </c>
      <c r="E16" s="41">
        <v>1</v>
      </c>
      <c r="F16" s="41" t="s">
        <v>213</v>
      </c>
      <c r="G16" s="42" t="s">
        <v>150</v>
      </c>
      <c r="H16" s="41" t="s">
        <v>147</v>
      </c>
      <c r="I16" s="42">
        <v>15</v>
      </c>
      <c r="J16" s="42">
        <v>4</v>
      </c>
      <c r="K16" s="25" t="str">
        <f>VLOOKUP(J16,Key!$E$2:$F$9,2,FALSE)</f>
        <v>Commercial</v>
      </c>
      <c r="L16" s="41" t="s">
        <v>155</v>
      </c>
      <c r="M16" s="42" t="s">
        <v>148</v>
      </c>
      <c r="N16" s="41" t="s">
        <v>147</v>
      </c>
      <c r="O16" s="42">
        <v>10</v>
      </c>
      <c r="P16" s="42">
        <v>2</v>
      </c>
      <c r="Q16" s="25" t="str">
        <f>VLOOKUP(P16,Key!$E$2:$F$9,2,FALSE)</f>
        <v>Work</v>
      </c>
      <c r="R16" s="25" t="str">
        <f t="shared" si="0"/>
        <v>Commercial-Work</v>
      </c>
      <c r="S16" s="47">
        <v>12</v>
      </c>
      <c r="T16" s="47">
        <v>0.5</v>
      </c>
      <c r="U16" s="42">
        <v>3</v>
      </c>
      <c r="V16" s="42">
        <v>4</v>
      </c>
      <c r="W16" s="47">
        <v>6</v>
      </c>
      <c r="X16" s="47">
        <v>220000</v>
      </c>
      <c r="Y16" s="48" t="s">
        <v>146</v>
      </c>
      <c r="Z16" s="56"/>
      <c r="AA16" s="25">
        <f>VLOOKUP(F16,'Zones (3)'!$A$2:$F$15913,6,FALSE)</f>
        <v>381</v>
      </c>
      <c r="AB16" s="25">
        <f>VLOOKUP(L16,'Zones (3)'!$A$1:$F$15616,6,FALSE)</f>
        <v>987</v>
      </c>
    </row>
    <row r="17" spans="2:28" s="19" customFormat="1">
      <c r="B17" s="39">
        <v>0.73333333333333339</v>
      </c>
      <c r="C17" s="39" t="s">
        <v>557</v>
      </c>
      <c r="D17" s="40">
        <v>1</v>
      </c>
      <c r="E17" s="41">
        <v>3</v>
      </c>
      <c r="F17" s="41" t="s">
        <v>191</v>
      </c>
      <c r="G17" s="42" t="s">
        <v>150</v>
      </c>
      <c r="H17" s="41" t="s">
        <v>147</v>
      </c>
      <c r="I17" s="42">
        <v>4</v>
      </c>
      <c r="J17" s="42">
        <v>3</v>
      </c>
      <c r="K17" s="25" t="str">
        <f>VLOOKUP(J17,Key!$E$2:$F$9,2,FALSE)</f>
        <v>Study</v>
      </c>
      <c r="L17" s="41" t="s">
        <v>155</v>
      </c>
      <c r="M17" s="42" t="s">
        <v>148</v>
      </c>
      <c r="N17" s="41" t="s">
        <v>147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Study-Home</v>
      </c>
      <c r="S17" s="47">
        <v>5</v>
      </c>
      <c r="T17" s="47">
        <v>0.5</v>
      </c>
      <c r="U17" s="42">
        <v>5</v>
      </c>
      <c r="V17" s="42"/>
      <c r="W17" s="47"/>
      <c r="X17" s="47"/>
      <c r="Y17" s="48" t="s">
        <v>146</v>
      </c>
      <c r="Z17" s="56"/>
      <c r="AA17" s="25">
        <f>VLOOKUP(F17,'Zones (3)'!$A$2:$F$15913,6,FALSE)</f>
        <v>422</v>
      </c>
      <c r="AB17" s="25">
        <f>VLOOKUP(L17,'Zones (3)'!$A$1:$F$15616,6,FALSE)</f>
        <v>987</v>
      </c>
    </row>
    <row r="18" spans="2:28" s="19" customFormat="1">
      <c r="B18" s="39">
        <v>0.72916666666666663</v>
      </c>
      <c r="C18" s="39" t="s">
        <v>558</v>
      </c>
      <c r="D18" s="40">
        <v>1</v>
      </c>
      <c r="E18" s="41">
        <v>1</v>
      </c>
      <c r="F18" s="41" t="s">
        <v>169</v>
      </c>
      <c r="G18" s="42" t="s">
        <v>150</v>
      </c>
      <c r="H18" s="41" t="s">
        <v>147</v>
      </c>
      <c r="I18" s="42">
        <v>2</v>
      </c>
      <c r="J18" s="42">
        <v>2</v>
      </c>
      <c r="K18" s="25" t="str">
        <f>VLOOKUP(J18,Key!$E$2:$F$9,2,FALSE)</f>
        <v>Work</v>
      </c>
      <c r="L18" s="41" t="s">
        <v>155</v>
      </c>
      <c r="M18" s="42" t="s">
        <v>148</v>
      </c>
      <c r="N18" s="41" t="s">
        <v>147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35</v>
      </c>
      <c r="T18" s="47">
        <v>0.4</v>
      </c>
      <c r="U18" s="42">
        <v>4</v>
      </c>
      <c r="V18" s="42"/>
      <c r="W18" s="47"/>
      <c r="X18" s="47"/>
      <c r="Y18" s="48" t="s">
        <v>146</v>
      </c>
      <c r="Z18" s="56"/>
      <c r="AA18" s="25">
        <f>VLOOKUP(F18,'Zones (3)'!$A$2:$F$15913,6,FALSE)</f>
        <v>380</v>
      </c>
      <c r="AB18" s="25">
        <f>VLOOKUP(L18,'Zones (3)'!$A$1:$F$15616,6,FALSE)</f>
        <v>987</v>
      </c>
    </row>
    <row r="19" spans="2:28" s="19" customFormat="1">
      <c r="B19" s="39">
        <v>0.72499999999999998</v>
      </c>
      <c r="C19" s="39" t="s">
        <v>559</v>
      </c>
      <c r="D19" s="40">
        <v>8</v>
      </c>
      <c r="E19" s="41">
        <v>3</v>
      </c>
      <c r="F19" s="41" t="s">
        <v>169</v>
      </c>
      <c r="G19" s="42" t="s">
        <v>150</v>
      </c>
      <c r="H19" s="41" t="s">
        <v>147</v>
      </c>
      <c r="I19" s="42">
        <v>3</v>
      </c>
      <c r="J19" s="42">
        <v>4</v>
      </c>
      <c r="K19" s="25" t="str">
        <f>VLOOKUP(J19,Key!$E$2:$F$9,2,FALSE)</f>
        <v>Commercial</v>
      </c>
      <c r="L19" s="41" t="s">
        <v>155</v>
      </c>
      <c r="M19" s="42" t="s">
        <v>148</v>
      </c>
      <c r="N19" s="41" t="s">
        <v>147</v>
      </c>
      <c r="O19" s="42">
        <v>4</v>
      </c>
      <c r="P19" s="42">
        <v>3</v>
      </c>
      <c r="Q19" s="25" t="str">
        <f>VLOOKUP(P19,Key!$E$2:$F$9,2,FALSE)</f>
        <v>Study</v>
      </c>
      <c r="R19" s="25" t="str">
        <f t="shared" si="0"/>
        <v>Commercial-Study</v>
      </c>
      <c r="S19" s="47">
        <v>10</v>
      </c>
      <c r="T19" s="47">
        <v>0.2</v>
      </c>
      <c r="U19" s="42">
        <v>2</v>
      </c>
      <c r="V19" s="42">
        <v>10</v>
      </c>
      <c r="W19" s="47">
        <v>4</v>
      </c>
      <c r="X19" s="47">
        <v>4500000</v>
      </c>
      <c r="Y19" s="48" t="s">
        <v>146</v>
      </c>
      <c r="Z19" s="56"/>
      <c r="AA19" s="25">
        <f>VLOOKUP(F19,'Zones (3)'!$A$2:$F$15913,6,FALSE)</f>
        <v>380</v>
      </c>
      <c r="AB19" s="25">
        <f>VLOOKUP(L19,'Zones (3)'!$A$1:$F$15616,6,FALSE)</f>
        <v>987</v>
      </c>
    </row>
    <row r="20" spans="2:28" s="19" customFormat="1">
      <c r="B20" s="39">
        <v>0.72083333333333333</v>
      </c>
      <c r="C20" s="39" t="s">
        <v>560</v>
      </c>
      <c r="D20" s="40">
        <v>1</v>
      </c>
      <c r="E20" s="41">
        <v>2</v>
      </c>
      <c r="F20" s="41" t="s">
        <v>169</v>
      </c>
      <c r="G20" s="42" t="s">
        <v>150</v>
      </c>
      <c r="H20" s="41" t="s">
        <v>147</v>
      </c>
      <c r="I20" s="42">
        <v>3</v>
      </c>
      <c r="J20" s="42">
        <v>4</v>
      </c>
      <c r="K20" s="25" t="str">
        <f>VLOOKUP(J20,Key!$E$2:$F$9,2,FALSE)</f>
        <v>Commercial</v>
      </c>
      <c r="L20" s="41" t="s">
        <v>155</v>
      </c>
      <c r="M20" s="42" t="s">
        <v>148</v>
      </c>
      <c r="N20" s="41" t="s">
        <v>147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Commercial-Home</v>
      </c>
      <c r="S20" s="47">
        <v>25</v>
      </c>
      <c r="T20" s="47">
        <v>0.3</v>
      </c>
      <c r="U20" s="42">
        <v>3</v>
      </c>
      <c r="V20" s="42"/>
      <c r="W20" s="47"/>
      <c r="X20" s="47"/>
      <c r="Y20" s="48" t="s">
        <v>146</v>
      </c>
      <c r="Z20" s="56"/>
      <c r="AA20" s="25">
        <f>VLOOKUP(F20,'Zones (3)'!$A$2:$F$15913,6,FALSE)</f>
        <v>380</v>
      </c>
      <c r="AB20" s="25">
        <f>VLOOKUP(L20,'Zones (3)'!$A$1:$F$15616,6,FALSE)</f>
        <v>987</v>
      </c>
    </row>
    <row r="21" spans="2:28" s="19" customFormat="1">
      <c r="B21" s="39">
        <v>0.71666666666666667</v>
      </c>
      <c r="C21" s="39" t="s">
        <v>561</v>
      </c>
      <c r="D21" s="40">
        <v>1</v>
      </c>
      <c r="E21" s="41">
        <v>3</v>
      </c>
      <c r="F21" s="41" t="s">
        <v>169</v>
      </c>
      <c r="G21" s="42" t="s">
        <v>150</v>
      </c>
      <c r="H21" s="41" t="s">
        <v>147</v>
      </c>
      <c r="I21" s="42">
        <v>1</v>
      </c>
      <c r="J21" s="42">
        <v>1</v>
      </c>
      <c r="K21" s="25" t="str">
        <f>VLOOKUP(J21,Key!$E$2:$F$9,2,FALSE)</f>
        <v>Home</v>
      </c>
      <c r="L21" s="41" t="s">
        <v>155</v>
      </c>
      <c r="M21" s="42" t="s">
        <v>148</v>
      </c>
      <c r="N21" s="41" t="s">
        <v>147</v>
      </c>
      <c r="O21" s="42">
        <v>16</v>
      </c>
      <c r="P21" s="42">
        <v>8</v>
      </c>
      <c r="Q21" s="25" t="str">
        <f>VLOOKUP(P21,Key!$E$2:$F$9,2,FALSE)</f>
        <v>Others</v>
      </c>
      <c r="R21" s="25" t="str">
        <f t="shared" si="0"/>
        <v>Home-Others</v>
      </c>
      <c r="S21" s="47">
        <v>35</v>
      </c>
      <c r="T21" s="47">
        <v>1</v>
      </c>
      <c r="U21" s="42">
        <v>4</v>
      </c>
      <c r="V21" s="42">
        <v>11</v>
      </c>
      <c r="W21" s="47"/>
      <c r="X21" s="47"/>
      <c r="Y21" s="48" t="s">
        <v>146</v>
      </c>
      <c r="Z21" s="56"/>
      <c r="AA21" s="25">
        <f>VLOOKUP(F21,'Zones (3)'!$A$2:$F$15913,6,FALSE)</f>
        <v>380</v>
      </c>
      <c r="AB21" s="25">
        <f>VLOOKUP(L21,'Zones (3)'!$A$1:$F$15616,6,FALSE)</f>
        <v>987</v>
      </c>
    </row>
    <row r="22" spans="2:28" s="19" customFormat="1">
      <c r="B22" s="39">
        <v>0.71458333333333324</v>
      </c>
      <c r="C22" s="39" t="s">
        <v>562</v>
      </c>
      <c r="D22" s="40">
        <v>1</v>
      </c>
      <c r="E22" s="41">
        <v>12</v>
      </c>
      <c r="F22" s="41" t="s">
        <v>191</v>
      </c>
      <c r="G22" s="42" t="s">
        <v>150</v>
      </c>
      <c r="H22" s="41" t="s">
        <v>147</v>
      </c>
      <c r="I22" s="42">
        <v>1</v>
      </c>
      <c r="J22" s="42">
        <v>1</v>
      </c>
      <c r="K22" s="25" t="str">
        <f>VLOOKUP(J22,Key!$E$2:$F$9,2,FALSE)</f>
        <v>Home</v>
      </c>
      <c r="L22" s="41" t="s">
        <v>155</v>
      </c>
      <c r="M22" s="42" t="s">
        <v>148</v>
      </c>
      <c r="N22" s="41" t="s">
        <v>147</v>
      </c>
      <c r="O22" s="42">
        <v>16</v>
      </c>
      <c r="P22" s="42">
        <v>8</v>
      </c>
      <c r="Q22" s="25" t="str">
        <f>VLOOKUP(P22,Key!$E$2:$F$9,2,FALSE)</f>
        <v>Others</v>
      </c>
      <c r="R22" s="25" t="str">
        <f t="shared" si="0"/>
        <v>Home-Others</v>
      </c>
      <c r="S22" s="47">
        <v>5</v>
      </c>
      <c r="T22" s="47">
        <v>0.2</v>
      </c>
      <c r="U22" s="42">
        <v>2</v>
      </c>
      <c r="V22" s="42"/>
      <c r="W22" s="47"/>
      <c r="X22" s="47"/>
      <c r="Y22" s="48" t="s">
        <v>146</v>
      </c>
      <c r="Z22" s="56"/>
      <c r="AA22" s="25">
        <f>VLOOKUP(F22,'Zones (3)'!$A$2:$F$15913,6,FALSE)</f>
        <v>422</v>
      </c>
      <c r="AB22" s="25">
        <f>VLOOKUP(L22,'Zones (3)'!$A$1:$F$15616,6,FALSE)</f>
        <v>987</v>
      </c>
    </row>
    <row r="23" spans="2:28" s="19" customFormat="1">
      <c r="B23" s="39">
        <v>0.71111111111111114</v>
      </c>
      <c r="C23" s="39" t="s">
        <v>563</v>
      </c>
      <c r="D23" s="40">
        <v>1</v>
      </c>
      <c r="E23" s="41">
        <v>1</v>
      </c>
      <c r="F23" s="41" t="s">
        <v>164</v>
      </c>
      <c r="G23" s="42" t="s">
        <v>150</v>
      </c>
      <c r="H23" s="41" t="s">
        <v>147</v>
      </c>
      <c r="I23" s="42">
        <v>16</v>
      </c>
      <c r="J23" s="42">
        <v>8</v>
      </c>
      <c r="K23" s="25" t="str">
        <f>VLOOKUP(J23,Key!$E$2:$F$9,2,FALSE)</f>
        <v>Others</v>
      </c>
      <c r="L23" s="41" t="s">
        <v>155</v>
      </c>
      <c r="M23" s="42" t="s">
        <v>148</v>
      </c>
      <c r="N23" s="41" t="s">
        <v>147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Others-Home</v>
      </c>
      <c r="S23" s="47">
        <v>6</v>
      </c>
      <c r="T23" s="47">
        <v>0</v>
      </c>
      <c r="U23" s="42">
        <v>3</v>
      </c>
      <c r="V23" s="42"/>
      <c r="W23" s="47"/>
      <c r="X23" s="47"/>
      <c r="Y23" s="48" t="s">
        <v>146</v>
      </c>
      <c r="Z23" s="56"/>
      <c r="AA23" s="25">
        <f>VLOOKUP(F23,'Zones (3)'!$A$2:$F$15913,6,FALSE)</f>
        <v>538</v>
      </c>
      <c r="AB23" s="25">
        <f>VLOOKUP(L23,'Zones (3)'!$A$1:$F$15616,6,FALSE)</f>
        <v>987</v>
      </c>
    </row>
    <row r="24" spans="2:28" s="19" customFormat="1">
      <c r="B24" s="39">
        <v>0.70833333333333337</v>
      </c>
      <c r="C24" s="39" t="s">
        <v>564</v>
      </c>
      <c r="D24" s="40">
        <v>1</v>
      </c>
      <c r="E24" s="41">
        <v>2</v>
      </c>
      <c r="F24" s="41" t="s">
        <v>164</v>
      </c>
      <c r="G24" s="42" t="s">
        <v>150</v>
      </c>
      <c r="H24" s="41" t="s">
        <v>147</v>
      </c>
      <c r="I24" s="42">
        <v>16</v>
      </c>
      <c r="J24" s="42">
        <v>8</v>
      </c>
      <c r="K24" s="25" t="str">
        <f>VLOOKUP(J24,Key!$E$2:$F$9,2,FALSE)</f>
        <v>Others</v>
      </c>
      <c r="L24" s="41" t="s">
        <v>155</v>
      </c>
      <c r="M24" s="42" t="s">
        <v>148</v>
      </c>
      <c r="N24" s="41" t="s">
        <v>147</v>
      </c>
      <c r="O24" s="42">
        <v>1</v>
      </c>
      <c r="P24" s="42">
        <v>1</v>
      </c>
      <c r="Q24" s="25" t="str">
        <f>VLOOKUP(P24,Key!$E$2:$F$9,2,FALSE)</f>
        <v>Home</v>
      </c>
      <c r="R24" s="25" t="str">
        <f t="shared" si="0"/>
        <v>Others-Home</v>
      </c>
      <c r="S24" s="47">
        <v>5</v>
      </c>
      <c r="T24" s="47">
        <v>0.3</v>
      </c>
      <c r="U24" s="42">
        <v>4</v>
      </c>
      <c r="V24" s="42"/>
      <c r="W24" s="47"/>
      <c r="X24" s="47"/>
      <c r="Y24" s="48" t="s">
        <v>146</v>
      </c>
      <c r="Z24" s="56"/>
      <c r="AA24" s="25">
        <f>VLOOKUP(F24,'Zones (3)'!$A$2:$F$15913,6,FALSE)</f>
        <v>538</v>
      </c>
      <c r="AB24" s="25">
        <f>VLOOKUP(L24,'Zones (3)'!$A$1:$F$15616,6,FALSE)</f>
        <v>987</v>
      </c>
    </row>
    <row r="25" spans="2:28" s="19" customFormat="1">
      <c r="B25" s="39">
        <v>0.70416666666666661</v>
      </c>
      <c r="C25" s="39" t="s">
        <v>565</v>
      </c>
      <c r="D25" s="40">
        <v>10</v>
      </c>
      <c r="E25" s="41">
        <v>3</v>
      </c>
      <c r="F25" s="41" t="s">
        <v>213</v>
      </c>
      <c r="G25" s="42" t="s">
        <v>150</v>
      </c>
      <c r="H25" s="41" t="s">
        <v>147</v>
      </c>
      <c r="I25" s="42">
        <v>13</v>
      </c>
      <c r="J25" s="42">
        <v>4</v>
      </c>
      <c r="K25" s="25" t="str">
        <f>VLOOKUP(J25,Key!$E$2:$F$9,2,FALSE)</f>
        <v>Commercial</v>
      </c>
      <c r="L25" s="41" t="s">
        <v>155</v>
      </c>
      <c r="M25" s="42" t="s">
        <v>148</v>
      </c>
      <c r="N25" s="41" t="s">
        <v>147</v>
      </c>
      <c r="O25" s="42">
        <v>16</v>
      </c>
      <c r="P25" s="42">
        <v>8</v>
      </c>
      <c r="Q25" s="25" t="str">
        <f>VLOOKUP(P25,Key!$E$2:$F$9,2,FALSE)</f>
        <v>Others</v>
      </c>
      <c r="R25" s="25" t="s">
        <v>567</v>
      </c>
      <c r="S25" s="47">
        <v>32</v>
      </c>
      <c r="T25" s="47">
        <v>0.7</v>
      </c>
      <c r="U25" s="42">
        <v>4</v>
      </c>
      <c r="V25" s="42">
        <v>11</v>
      </c>
      <c r="W25" s="47"/>
      <c r="X25" s="47"/>
      <c r="Y25" s="48" t="s">
        <v>146</v>
      </c>
      <c r="Z25" s="56"/>
      <c r="AA25" s="25">
        <f>VLOOKUP(F25,'Zones (3)'!$A$2:$F$15913,6,FALSE)</f>
        <v>381</v>
      </c>
      <c r="AB25" s="25">
        <f>VLOOKUP(L25,'Zones (3)'!$A$1:$F$15616,6,FALSE)</f>
        <v>987</v>
      </c>
    </row>
    <row r="26" spans="2:28" s="19" customFormat="1">
      <c r="B26" s="39">
        <v>0.70138888888888884</v>
      </c>
      <c r="C26" s="39" t="s">
        <v>566</v>
      </c>
      <c r="D26" s="40">
        <v>3</v>
      </c>
      <c r="E26" s="41">
        <v>4</v>
      </c>
      <c r="F26" s="41" t="s">
        <v>209</v>
      </c>
      <c r="G26" s="42" t="s">
        <v>150</v>
      </c>
      <c r="H26" s="41" t="s">
        <v>147</v>
      </c>
      <c r="I26" s="42">
        <v>2</v>
      </c>
      <c r="J26" s="42">
        <v>2</v>
      </c>
      <c r="K26" s="25" t="str">
        <f>VLOOKUP(J26,Key!$E$2:$F$9,2,FALSE)</f>
        <v>Work</v>
      </c>
      <c r="L26" s="41" t="s">
        <v>155</v>
      </c>
      <c r="M26" s="42" t="s">
        <v>148</v>
      </c>
      <c r="N26" s="41" t="s">
        <v>147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7">
        <v>40</v>
      </c>
      <c r="T26" s="47">
        <v>1.5</v>
      </c>
      <c r="U26" s="42">
        <v>6</v>
      </c>
      <c r="V26" s="42"/>
      <c r="W26" s="47"/>
      <c r="X26" s="47"/>
      <c r="Y26" s="48" t="s">
        <v>146</v>
      </c>
      <c r="Z26" s="56"/>
      <c r="AA26" s="25">
        <f>VLOOKUP(F26,'Zones (3)'!$A$2:$F$15913,6,FALSE)</f>
        <v>379</v>
      </c>
      <c r="AB26" s="25">
        <f>VLOOKUP(L26,'Zones (3)'!$A$1:$F$15616,6,FALSE)</f>
        <v>987</v>
      </c>
    </row>
    <row r="27" spans="2:28" s="19" customFormat="1">
      <c r="B27" s="39">
        <v>0.69791666666666663</v>
      </c>
      <c r="C27" s="39" t="s">
        <v>568</v>
      </c>
      <c r="D27" s="40">
        <v>1</v>
      </c>
      <c r="E27" s="41">
        <v>8</v>
      </c>
      <c r="F27" s="41" t="s">
        <v>213</v>
      </c>
      <c r="G27" s="42" t="s">
        <v>150</v>
      </c>
      <c r="H27" s="41" t="s">
        <v>147</v>
      </c>
      <c r="I27" s="42">
        <v>1</v>
      </c>
      <c r="J27" s="42">
        <v>1</v>
      </c>
      <c r="K27" s="25" t="str">
        <f>VLOOKUP(J27,Key!$E$2:$F$9,2,FALSE)</f>
        <v>Home</v>
      </c>
      <c r="L27" s="41" t="s">
        <v>155</v>
      </c>
      <c r="M27" s="42" t="s">
        <v>148</v>
      </c>
      <c r="N27" s="41" t="s">
        <v>147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Home-Home</v>
      </c>
      <c r="S27" s="47"/>
      <c r="T27" s="47">
        <v>0.7</v>
      </c>
      <c r="U27" s="42">
        <v>3</v>
      </c>
      <c r="V27" s="42"/>
      <c r="W27" s="47"/>
      <c r="X27" s="47"/>
      <c r="Y27" s="48" t="s">
        <v>146</v>
      </c>
      <c r="Z27" s="56"/>
      <c r="AA27" s="25">
        <f>VLOOKUP(F27,'Zones (3)'!$A$2:$F$15913,6,FALSE)</f>
        <v>381</v>
      </c>
      <c r="AB27" s="25">
        <f>VLOOKUP(L27,'Zones (3)'!$A$1:$F$15616,6,FALSE)</f>
        <v>987</v>
      </c>
    </row>
    <row r="28" spans="2:28" s="19" customFormat="1">
      <c r="B28" s="39">
        <v>0.69444444444444453</v>
      </c>
      <c r="C28" s="39" t="s">
        <v>569</v>
      </c>
      <c r="D28" s="40">
        <v>1</v>
      </c>
      <c r="E28" s="41">
        <v>2</v>
      </c>
      <c r="F28" s="41" t="s">
        <v>570</v>
      </c>
      <c r="G28" s="42" t="s">
        <v>150</v>
      </c>
      <c r="H28" s="41" t="s">
        <v>147</v>
      </c>
      <c r="I28" s="42">
        <v>4</v>
      </c>
      <c r="J28" s="42">
        <v>3</v>
      </c>
      <c r="K28" s="25" t="str">
        <f>VLOOKUP(J28,Key!$E$2:$F$9,2,FALSE)</f>
        <v>Study</v>
      </c>
      <c r="L28" s="41" t="s">
        <v>155</v>
      </c>
      <c r="M28" s="42" t="s">
        <v>148</v>
      </c>
      <c r="N28" s="41" t="s">
        <v>147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Study-Home</v>
      </c>
      <c r="S28" s="47">
        <v>4</v>
      </c>
      <c r="T28" s="47">
        <v>0.5</v>
      </c>
      <c r="U28" s="42">
        <v>3</v>
      </c>
      <c r="V28" s="42"/>
      <c r="W28" s="47"/>
      <c r="X28" s="47"/>
      <c r="Y28" s="48" t="s">
        <v>146</v>
      </c>
      <c r="Z28" s="56"/>
      <c r="AA28" s="25">
        <f>VLOOKUP(F28,'Zones (3)'!$A$2:$F$15913,6,FALSE)</f>
        <v>379</v>
      </c>
      <c r="AB28" s="25">
        <f>VLOOKUP(L28,'Zones (3)'!$A$1:$F$15616,6,FALSE)</f>
        <v>987</v>
      </c>
    </row>
    <row r="29" spans="2:28" s="19" customFormat="1">
      <c r="B29" s="39">
        <v>0.69027777777777777</v>
      </c>
      <c r="C29" s="39" t="s">
        <v>571</v>
      </c>
      <c r="D29" s="40">
        <v>1</v>
      </c>
      <c r="E29" s="41">
        <v>1</v>
      </c>
      <c r="F29" s="41" t="s">
        <v>164</v>
      </c>
      <c r="G29" s="42" t="s">
        <v>150</v>
      </c>
      <c r="H29" s="41" t="s">
        <v>147</v>
      </c>
      <c r="I29" s="42">
        <v>4</v>
      </c>
      <c r="J29" s="42">
        <v>3</v>
      </c>
      <c r="K29" s="25" t="str">
        <f>VLOOKUP(J29,Key!$E$2:$F$9,2,FALSE)</f>
        <v>Study</v>
      </c>
      <c r="L29" s="41" t="s">
        <v>155</v>
      </c>
      <c r="M29" s="42" t="s">
        <v>148</v>
      </c>
      <c r="N29" s="41" t="s">
        <v>147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Study-Home</v>
      </c>
      <c r="S29" s="47">
        <v>10</v>
      </c>
      <c r="T29" s="47">
        <v>0.3</v>
      </c>
      <c r="U29" s="42">
        <v>3</v>
      </c>
      <c r="V29" s="42"/>
      <c r="W29" s="47"/>
      <c r="X29" s="47"/>
      <c r="Y29" s="48" t="s">
        <v>146</v>
      </c>
      <c r="Z29" s="56"/>
      <c r="AA29" s="25">
        <f>VLOOKUP(F29,'Zones (3)'!$A$2:$F$15913,6,FALSE)</f>
        <v>538</v>
      </c>
      <c r="AB29" s="25">
        <f>VLOOKUP(L29,'Zones (3)'!$A$1:$F$15616,6,FALSE)</f>
        <v>987</v>
      </c>
    </row>
    <row r="30" spans="2:28" s="19" customFormat="1">
      <c r="B30" s="39">
        <v>0.68541666666666667</v>
      </c>
      <c r="C30" s="39" t="s">
        <v>572</v>
      </c>
      <c r="D30" s="40">
        <v>1</v>
      </c>
      <c r="E30" s="41">
        <v>2</v>
      </c>
      <c r="F30" s="41" t="s">
        <v>573</v>
      </c>
      <c r="G30" s="42" t="s">
        <v>150</v>
      </c>
      <c r="H30" s="41" t="s">
        <v>147</v>
      </c>
      <c r="I30" s="42">
        <v>7</v>
      </c>
      <c r="J30" s="42">
        <v>2</v>
      </c>
      <c r="K30" s="25" t="str">
        <f>VLOOKUP(J30,Key!$E$2:$F$9,2,FALSE)</f>
        <v>Work</v>
      </c>
      <c r="L30" s="41" t="s">
        <v>155</v>
      </c>
      <c r="M30" s="42" t="s">
        <v>148</v>
      </c>
      <c r="N30" s="41" t="s">
        <v>147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Work-Home</v>
      </c>
      <c r="S30" s="47">
        <v>30</v>
      </c>
      <c r="T30" s="47">
        <v>2</v>
      </c>
      <c r="U30" s="42">
        <v>4</v>
      </c>
      <c r="V30" s="42">
        <v>10</v>
      </c>
      <c r="W30" s="47"/>
      <c r="X30" s="47"/>
      <c r="Y30" s="48" t="s">
        <v>146</v>
      </c>
      <c r="Z30" s="56"/>
      <c r="AA30" s="25">
        <f>VLOOKUP(F30,'Zones (3)'!$A$2:$F$15913,6,FALSE)</f>
        <v>388</v>
      </c>
      <c r="AB30" s="25">
        <f>VLOOKUP(L30,'Zones (3)'!$A$1:$F$15616,6,FALSE)</f>
        <v>987</v>
      </c>
    </row>
    <row r="31" spans="2:28" s="19" customFormat="1">
      <c r="B31" s="39">
        <v>0.53472222222222221</v>
      </c>
      <c r="C31" s="39" t="s">
        <v>574</v>
      </c>
      <c r="D31" s="40">
        <v>2</v>
      </c>
      <c r="E31" s="41">
        <v>7</v>
      </c>
      <c r="F31" s="41" t="s">
        <v>209</v>
      </c>
      <c r="G31" s="42" t="s">
        <v>150</v>
      </c>
      <c r="H31" s="41" t="s">
        <v>147</v>
      </c>
      <c r="I31" s="42">
        <v>1</v>
      </c>
      <c r="J31" s="42">
        <v>1</v>
      </c>
      <c r="K31" s="25" t="str">
        <f>VLOOKUP(J31,Key!$E$2:$F$9,2,FALSE)</f>
        <v>Home</v>
      </c>
      <c r="L31" s="41" t="s">
        <v>155</v>
      </c>
      <c r="M31" s="42" t="s">
        <v>148</v>
      </c>
      <c r="N31" s="41" t="s">
        <v>147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Home-Home</v>
      </c>
      <c r="S31" s="47">
        <v>69</v>
      </c>
      <c r="T31" s="47">
        <v>1</v>
      </c>
      <c r="U31" s="42">
        <v>4</v>
      </c>
      <c r="V31" s="42"/>
      <c r="W31" s="47"/>
      <c r="X31" s="47"/>
      <c r="Y31" s="48" t="s">
        <v>146</v>
      </c>
      <c r="Z31" s="56"/>
      <c r="AA31" s="25">
        <f>VLOOKUP(F31,'Zones (3)'!$A$2:$F$15913,6,FALSE)</f>
        <v>379</v>
      </c>
      <c r="AB31" s="25">
        <f>VLOOKUP(L31,'Zones (3)'!$A$1:$F$15616,6,FALSE)</f>
        <v>987</v>
      </c>
    </row>
    <row r="32" spans="2:28" s="19" customFormat="1">
      <c r="B32" s="39">
        <v>0.53055555555555556</v>
      </c>
      <c r="C32" s="39" t="s">
        <v>575</v>
      </c>
      <c r="D32" s="40">
        <v>1</v>
      </c>
      <c r="E32" s="41">
        <v>1</v>
      </c>
      <c r="F32" s="41" t="s">
        <v>169</v>
      </c>
      <c r="G32" s="42" t="s">
        <v>150</v>
      </c>
      <c r="H32" s="41" t="s">
        <v>147</v>
      </c>
      <c r="I32" s="42">
        <v>1</v>
      </c>
      <c r="J32" s="42">
        <v>1</v>
      </c>
      <c r="K32" s="25" t="str">
        <f>VLOOKUP(J32,Key!$E$2:$F$9,2,FALSE)</f>
        <v>Home</v>
      </c>
      <c r="L32" s="41" t="s">
        <v>155</v>
      </c>
      <c r="M32" s="42" t="s">
        <v>148</v>
      </c>
      <c r="N32" s="41" t="s">
        <v>147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7">
        <v>9</v>
      </c>
      <c r="T32" s="47">
        <v>0.5</v>
      </c>
      <c r="U32" s="42">
        <v>2</v>
      </c>
      <c r="V32" s="42"/>
      <c r="W32" s="47"/>
      <c r="X32" s="47"/>
      <c r="Y32" s="48" t="s">
        <v>146</v>
      </c>
      <c r="Z32" s="56"/>
      <c r="AA32" s="25">
        <f>VLOOKUP(F32,'Zones (3)'!$A$2:$F$15913,6,FALSE)</f>
        <v>380</v>
      </c>
      <c r="AB32" s="25">
        <f>VLOOKUP(L32,'Zones (3)'!$A$1:$F$15616,6,FALSE)</f>
        <v>987</v>
      </c>
    </row>
    <row r="33" spans="2:28" s="19" customFormat="1">
      <c r="B33" s="39">
        <v>0.52777777777777779</v>
      </c>
      <c r="C33" s="39" t="s">
        <v>576</v>
      </c>
      <c r="D33" s="40">
        <v>1</v>
      </c>
      <c r="E33" s="41">
        <v>4</v>
      </c>
      <c r="F33" s="41" t="s">
        <v>169</v>
      </c>
      <c r="G33" s="42" t="s">
        <v>150</v>
      </c>
      <c r="H33" s="41" t="s">
        <v>147</v>
      </c>
      <c r="I33" s="42">
        <v>4</v>
      </c>
      <c r="J33" s="42">
        <v>3</v>
      </c>
      <c r="K33" s="25" t="str">
        <f>VLOOKUP(J33,Key!$E$2:$F$9,2,FALSE)</f>
        <v>Study</v>
      </c>
      <c r="L33" s="41" t="s">
        <v>155</v>
      </c>
      <c r="M33" s="42" t="s">
        <v>148</v>
      </c>
      <c r="N33" s="41" t="s">
        <v>147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Study-Home</v>
      </c>
      <c r="S33" s="47">
        <v>52</v>
      </c>
      <c r="T33" s="47">
        <v>1</v>
      </c>
      <c r="U33" s="42">
        <v>3</v>
      </c>
      <c r="V33" s="42"/>
      <c r="W33" s="47"/>
      <c r="X33" s="47"/>
      <c r="Y33" s="48" t="s">
        <v>146</v>
      </c>
      <c r="Z33" s="56"/>
      <c r="AA33" s="25">
        <f>VLOOKUP(F33,'Zones (3)'!$A$2:$F$15913,6,FALSE)</f>
        <v>380</v>
      </c>
      <c r="AB33" s="25">
        <f>VLOOKUP(L33,'Zones (3)'!$A$1:$F$15616,6,FALSE)</f>
        <v>987</v>
      </c>
    </row>
    <row r="34" spans="2:28" s="19" customFormat="1">
      <c r="B34" s="39">
        <v>0.52500000000000002</v>
      </c>
      <c r="C34" s="39" t="s">
        <v>577</v>
      </c>
      <c r="D34" s="40">
        <v>2</v>
      </c>
      <c r="E34" s="41">
        <v>1</v>
      </c>
      <c r="F34" s="41" t="s">
        <v>262</v>
      </c>
      <c r="G34" s="42" t="s">
        <v>527</v>
      </c>
      <c r="H34" s="41" t="s">
        <v>147</v>
      </c>
      <c r="I34" s="42">
        <v>16</v>
      </c>
      <c r="J34" s="42">
        <v>8</v>
      </c>
      <c r="K34" s="25" t="str">
        <f>VLOOKUP(J34,Key!$E$2:$F$9,2,FALSE)</f>
        <v>Others</v>
      </c>
      <c r="L34" s="41" t="s">
        <v>3224</v>
      </c>
      <c r="M34" s="42" t="s">
        <v>235</v>
      </c>
      <c r="N34" s="41" t="s">
        <v>147</v>
      </c>
      <c r="O34" s="42">
        <v>1</v>
      </c>
      <c r="P34" s="42">
        <v>1</v>
      </c>
      <c r="Q34" s="25" t="str">
        <f>VLOOKUP(P34,Key!$E$2:$F$9,2,FALSE)</f>
        <v>Home</v>
      </c>
      <c r="R34" s="25" t="str">
        <f t="shared" si="0"/>
        <v>Others-Home</v>
      </c>
      <c r="S34" s="47"/>
      <c r="T34" s="47">
        <v>3</v>
      </c>
      <c r="U34" s="42">
        <v>6</v>
      </c>
      <c r="V34" s="42"/>
      <c r="W34" s="47"/>
      <c r="X34" s="47"/>
      <c r="Y34" s="48" t="s">
        <v>146</v>
      </c>
      <c r="Z34" s="56"/>
      <c r="AA34" s="25">
        <f>VLOOKUP(F34,'Zones (3)'!$A$2:$F$15913,6,FALSE)</f>
        <v>850</v>
      </c>
      <c r="AB34" s="25">
        <f>VLOOKUP(L34,'Zones (3)'!$A$1:$F$15616,6,FALSE)</f>
        <v>521</v>
      </c>
    </row>
    <row r="35" spans="2:28" s="19" customFormat="1">
      <c r="B35" s="39">
        <v>0.52083333333333337</v>
      </c>
      <c r="C35" s="39" t="s">
        <v>578</v>
      </c>
      <c r="D35" s="40">
        <v>1</v>
      </c>
      <c r="E35" s="41">
        <v>3</v>
      </c>
      <c r="F35" s="41" t="s">
        <v>164</v>
      </c>
      <c r="G35" s="42" t="s">
        <v>150</v>
      </c>
      <c r="H35" s="41" t="s">
        <v>147</v>
      </c>
      <c r="I35" s="42">
        <v>1</v>
      </c>
      <c r="J35" s="42">
        <v>1</v>
      </c>
      <c r="K35" s="25" t="str">
        <f>VLOOKUP(J35,Key!$E$2:$F$9,2,FALSE)</f>
        <v>Home</v>
      </c>
      <c r="L35" s="41" t="s">
        <v>155</v>
      </c>
      <c r="M35" s="42" t="s">
        <v>148</v>
      </c>
      <c r="N35" s="41" t="s">
        <v>147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47">
        <v>4</v>
      </c>
      <c r="T35" s="47">
        <v>0.3</v>
      </c>
      <c r="U35" s="42">
        <v>1</v>
      </c>
      <c r="V35" s="42"/>
      <c r="W35" s="47"/>
      <c r="X35" s="47"/>
      <c r="Y35" s="48" t="s">
        <v>146</v>
      </c>
      <c r="Z35" s="56"/>
      <c r="AA35" s="25">
        <f>VLOOKUP(F35,'Zones (3)'!$A$2:$F$15913,6,FALSE)</f>
        <v>538</v>
      </c>
      <c r="AB35" s="25">
        <f>VLOOKUP(L35,'Zones (3)'!$A$1:$F$15616,6,FALSE)</f>
        <v>987</v>
      </c>
    </row>
    <row r="36" spans="2:28" s="19" customFormat="1">
      <c r="B36" s="39">
        <v>0.51736111111111105</v>
      </c>
      <c r="C36" s="39" t="s">
        <v>348</v>
      </c>
      <c r="D36" s="40">
        <v>3</v>
      </c>
      <c r="E36" s="41">
        <v>2</v>
      </c>
      <c r="F36" s="41" t="s">
        <v>169</v>
      </c>
      <c r="G36" s="42" t="s">
        <v>150</v>
      </c>
      <c r="H36" s="41" t="s">
        <v>147</v>
      </c>
      <c r="I36" s="42">
        <v>1</v>
      </c>
      <c r="J36" s="42">
        <v>1</v>
      </c>
      <c r="K36" s="25" t="str">
        <f>VLOOKUP(J36,Key!$E$2:$F$9,2,FALSE)</f>
        <v>Home</v>
      </c>
      <c r="L36" s="41" t="s">
        <v>155</v>
      </c>
      <c r="M36" s="42" t="s">
        <v>148</v>
      </c>
      <c r="N36" s="41" t="s">
        <v>147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Home-Home</v>
      </c>
      <c r="S36" s="47">
        <v>13</v>
      </c>
      <c r="T36" s="47">
        <v>0.5</v>
      </c>
      <c r="U36" s="42">
        <v>4</v>
      </c>
      <c r="V36" s="42">
        <v>10</v>
      </c>
      <c r="W36" s="47"/>
      <c r="X36" s="47"/>
      <c r="Y36" s="48" t="s">
        <v>146</v>
      </c>
      <c r="Z36" s="56"/>
      <c r="AA36" s="25">
        <f>VLOOKUP(F36,'Zones (3)'!$A$2:$F$15913,6,FALSE)</f>
        <v>380</v>
      </c>
      <c r="AB36" s="25">
        <f>VLOOKUP(L36,'Zones (3)'!$A$1:$F$15616,6,FALSE)</f>
        <v>987</v>
      </c>
    </row>
    <row r="37" spans="2:28" s="19" customFormat="1">
      <c r="B37" s="39">
        <v>0.51527777777777783</v>
      </c>
      <c r="C37" s="39" t="s">
        <v>579</v>
      </c>
      <c r="D37" s="40">
        <v>1</v>
      </c>
      <c r="E37" s="41">
        <v>4</v>
      </c>
      <c r="F37" s="41" t="s">
        <v>169</v>
      </c>
      <c r="G37" s="42" t="s">
        <v>150</v>
      </c>
      <c r="H37" s="41" t="s">
        <v>147</v>
      </c>
      <c r="I37" s="42">
        <v>1</v>
      </c>
      <c r="J37" s="42">
        <v>1</v>
      </c>
      <c r="K37" s="25" t="str">
        <f>VLOOKUP(J37,Key!$E$2:$F$9,2,FALSE)</f>
        <v>Home</v>
      </c>
      <c r="L37" s="41" t="s">
        <v>155</v>
      </c>
      <c r="M37" s="42" t="s">
        <v>148</v>
      </c>
      <c r="N37" s="41" t="s">
        <v>147</v>
      </c>
      <c r="O37" s="42">
        <v>16</v>
      </c>
      <c r="P37" s="42">
        <v>8</v>
      </c>
      <c r="Q37" s="25" t="str">
        <f>VLOOKUP(P37,Key!$E$2:$F$9,2,FALSE)</f>
        <v>Others</v>
      </c>
      <c r="R37" s="25" t="str">
        <f t="shared" si="0"/>
        <v>Home-Others</v>
      </c>
      <c r="S37" s="47">
        <v>35</v>
      </c>
      <c r="T37" s="47">
        <v>2</v>
      </c>
      <c r="U37" s="42">
        <v>6</v>
      </c>
      <c r="V37" s="42"/>
      <c r="W37" s="47"/>
      <c r="X37" s="47"/>
      <c r="Y37" s="48" t="s">
        <v>146</v>
      </c>
      <c r="Z37" s="56"/>
      <c r="AA37" s="25">
        <f>VLOOKUP(F37,'Zones (3)'!$A$2:$F$15913,6,FALSE)</f>
        <v>380</v>
      </c>
      <c r="AB37" s="25">
        <f>VLOOKUP(L37,'Zones (3)'!$A$1:$F$15616,6,FALSE)</f>
        <v>987</v>
      </c>
    </row>
    <row r="38" spans="2:28" s="19" customFormat="1">
      <c r="B38" s="39">
        <v>0.5131944444444444</v>
      </c>
      <c r="C38" s="39" t="s">
        <v>580</v>
      </c>
      <c r="D38" s="40">
        <v>2</v>
      </c>
      <c r="E38" s="41">
        <v>3</v>
      </c>
      <c r="F38" s="41" t="s">
        <v>213</v>
      </c>
      <c r="G38" s="42" t="s">
        <v>150</v>
      </c>
      <c r="H38" s="41" t="s">
        <v>147</v>
      </c>
      <c r="I38" s="42">
        <v>1</v>
      </c>
      <c r="J38" s="42">
        <v>1</v>
      </c>
      <c r="K38" s="25" t="str">
        <f>VLOOKUP(J38,Key!$E$2:$F$9,2,FALSE)</f>
        <v>Home</v>
      </c>
      <c r="L38" s="41" t="s">
        <v>155</v>
      </c>
      <c r="M38" s="42" t="s">
        <v>148</v>
      </c>
      <c r="N38" s="41" t="s">
        <v>147</v>
      </c>
      <c r="O38" s="42">
        <v>5</v>
      </c>
      <c r="P38" s="42">
        <v>7</v>
      </c>
      <c r="Q38" s="25" t="str">
        <f>VLOOKUP(P38,Key!$E$2:$F$9,2,FALSE)</f>
        <v>Hospital</v>
      </c>
      <c r="R38" s="25" t="str">
        <f t="shared" si="0"/>
        <v>Home-Hospital</v>
      </c>
      <c r="S38" s="47">
        <v>36</v>
      </c>
      <c r="T38" s="47">
        <v>0.5</v>
      </c>
      <c r="U38" s="42">
        <v>3</v>
      </c>
      <c r="V38" s="42"/>
      <c r="W38" s="47"/>
      <c r="X38" s="47"/>
      <c r="Y38" s="48" t="s">
        <v>146</v>
      </c>
      <c r="Z38" s="56"/>
      <c r="AA38" s="25">
        <f>VLOOKUP(F38,'Zones (3)'!$A$2:$F$15913,6,FALSE)</f>
        <v>381</v>
      </c>
      <c r="AB38" s="25">
        <f>VLOOKUP(L38,'Zones (3)'!$A$1:$F$15616,6,FALSE)</f>
        <v>987</v>
      </c>
    </row>
    <row r="39" spans="2:28" s="19" customFormat="1">
      <c r="B39" s="39">
        <v>0.51041666666666663</v>
      </c>
      <c r="C39" s="39" t="s">
        <v>346</v>
      </c>
      <c r="D39" s="40">
        <v>8</v>
      </c>
      <c r="E39" s="41">
        <v>2</v>
      </c>
      <c r="F39" s="41" t="s">
        <v>169</v>
      </c>
      <c r="G39" s="42" t="s">
        <v>150</v>
      </c>
      <c r="H39" s="41" t="s">
        <v>147</v>
      </c>
      <c r="I39" s="42">
        <v>13</v>
      </c>
      <c r="J39" s="42">
        <v>4</v>
      </c>
      <c r="K39" s="25" t="str">
        <f>VLOOKUP(J39,Key!$E$2:$F$9,2,FALSE)</f>
        <v>Commercial</v>
      </c>
      <c r="L39" s="41" t="s">
        <v>155</v>
      </c>
      <c r="M39" s="42" t="s">
        <v>148</v>
      </c>
      <c r="N39" s="41" t="s">
        <v>147</v>
      </c>
      <c r="O39" s="42">
        <v>10</v>
      </c>
      <c r="P39" s="42">
        <v>2</v>
      </c>
      <c r="Q39" s="25" t="str">
        <f>VLOOKUP(P39,Key!$E$2:$F$9,2,FALSE)</f>
        <v>Work</v>
      </c>
      <c r="R39" s="25" t="str">
        <f t="shared" si="0"/>
        <v>Commercial-Work</v>
      </c>
      <c r="S39" s="47">
        <v>37</v>
      </c>
      <c r="T39" s="47">
        <v>1.5</v>
      </c>
      <c r="U39" s="42">
        <v>2</v>
      </c>
      <c r="V39" s="42">
        <v>4</v>
      </c>
      <c r="W39" s="47">
        <v>6</v>
      </c>
      <c r="X39" s="47">
        <v>40000</v>
      </c>
      <c r="Y39" s="48" t="s">
        <v>146</v>
      </c>
      <c r="Z39" s="56"/>
      <c r="AA39" s="25">
        <f>VLOOKUP(F39,'Zones (3)'!$A$2:$F$15913,6,FALSE)</f>
        <v>380</v>
      </c>
      <c r="AB39" s="25">
        <f>VLOOKUP(L39,'Zones (3)'!$A$1:$F$15616,6,FALSE)</f>
        <v>987</v>
      </c>
    </row>
    <row r="40" spans="2:28" s="19" customFormat="1">
      <c r="B40" s="39">
        <v>0.50763888888888886</v>
      </c>
      <c r="C40" s="39" t="s">
        <v>581</v>
      </c>
      <c r="D40" s="40">
        <v>1</v>
      </c>
      <c r="E40" s="41">
        <v>1</v>
      </c>
      <c r="F40" s="41" t="s">
        <v>164</v>
      </c>
      <c r="G40" s="42" t="s">
        <v>150</v>
      </c>
      <c r="H40" s="41" t="s">
        <v>147</v>
      </c>
      <c r="I40" s="42">
        <v>4</v>
      </c>
      <c r="J40" s="42">
        <v>3</v>
      </c>
      <c r="K40" s="25" t="str">
        <f>VLOOKUP(J40,Key!$E$2:$F$9,2,FALSE)</f>
        <v>Study</v>
      </c>
      <c r="L40" s="41" t="s">
        <v>155</v>
      </c>
      <c r="M40" s="42" t="s">
        <v>148</v>
      </c>
      <c r="N40" s="41" t="s">
        <v>147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0"/>
        <v>Study-Home</v>
      </c>
      <c r="S40" s="47">
        <v>2</v>
      </c>
      <c r="T40" s="47">
        <v>0.2</v>
      </c>
      <c r="U40" s="42">
        <v>2</v>
      </c>
      <c r="V40" s="42"/>
      <c r="W40" s="47"/>
      <c r="X40" s="47"/>
      <c r="Y40" s="48" t="s">
        <v>146</v>
      </c>
      <c r="Z40" s="56"/>
      <c r="AA40" s="25">
        <f>VLOOKUP(F40,'Zones (3)'!$A$2:$F$15913,6,FALSE)</f>
        <v>538</v>
      </c>
      <c r="AB40" s="25">
        <f>VLOOKUP(L40,'Zones (3)'!$A$1:$F$15616,6,FALSE)</f>
        <v>987</v>
      </c>
    </row>
    <row r="41" spans="2:28" s="19" customFormat="1">
      <c r="B41" s="39">
        <v>0.44097222222222227</v>
      </c>
      <c r="C41" s="39" t="s">
        <v>582</v>
      </c>
      <c r="D41" s="40">
        <v>2</v>
      </c>
      <c r="E41" s="41">
        <v>2</v>
      </c>
      <c r="F41" s="41" t="s">
        <v>171</v>
      </c>
      <c r="G41" s="42" t="s">
        <v>150</v>
      </c>
      <c r="H41" s="41" t="s">
        <v>147</v>
      </c>
      <c r="I41" s="42">
        <v>1</v>
      </c>
      <c r="J41" s="42">
        <v>1</v>
      </c>
      <c r="K41" s="25" t="str">
        <f>VLOOKUP(J41,Key!$E$2:$F$9,2,FALSE)</f>
        <v>Home</v>
      </c>
      <c r="L41" s="41" t="s">
        <v>155</v>
      </c>
      <c r="M41" s="42" t="s">
        <v>148</v>
      </c>
      <c r="N41" s="41" t="s">
        <v>147</v>
      </c>
      <c r="O41" s="42">
        <v>4</v>
      </c>
      <c r="P41" s="42">
        <v>3</v>
      </c>
      <c r="Q41" s="25" t="str">
        <f>VLOOKUP(P41,Key!$E$2:$F$9,2,FALSE)</f>
        <v>Study</v>
      </c>
      <c r="R41" s="25" t="str">
        <f t="shared" si="0"/>
        <v>Home-Study</v>
      </c>
      <c r="S41" s="47">
        <v>44</v>
      </c>
      <c r="T41" s="47">
        <v>1</v>
      </c>
      <c r="U41" s="42">
        <v>4</v>
      </c>
      <c r="V41" s="42"/>
      <c r="W41" s="47"/>
      <c r="X41" s="47"/>
      <c r="Y41" s="48" t="s">
        <v>146</v>
      </c>
      <c r="Z41" s="56"/>
      <c r="AA41" s="25">
        <f>VLOOKUP(F41,'Zones (3)'!$A$2:$F$15913,6,FALSE)</f>
        <v>379</v>
      </c>
      <c r="AB41" s="25">
        <f>VLOOKUP(L41,'Zones (3)'!$A$1:$F$15616,6,FALSE)</f>
        <v>987</v>
      </c>
    </row>
    <row r="42" spans="2:28" s="19" customFormat="1">
      <c r="B42" s="39">
        <v>0.4375</v>
      </c>
      <c r="C42" s="39" t="s">
        <v>583</v>
      </c>
      <c r="D42" s="40">
        <v>2</v>
      </c>
      <c r="E42" s="41">
        <v>1</v>
      </c>
      <c r="F42" s="41" t="s">
        <v>584</v>
      </c>
      <c r="G42" s="42" t="s">
        <v>150</v>
      </c>
      <c r="H42" s="41" t="s">
        <v>147</v>
      </c>
      <c r="I42" s="42">
        <v>1</v>
      </c>
      <c r="J42" s="42">
        <v>1</v>
      </c>
      <c r="K42" s="25" t="str">
        <f>VLOOKUP(J42,Key!$E$2:$F$9,2,FALSE)</f>
        <v>Home</v>
      </c>
      <c r="L42" s="41" t="s">
        <v>155</v>
      </c>
      <c r="M42" s="42" t="s">
        <v>148</v>
      </c>
      <c r="N42" s="41" t="s">
        <v>147</v>
      </c>
      <c r="O42" s="42">
        <v>16</v>
      </c>
      <c r="P42" s="42">
        <v>8</v>
      </c>
      <c r="Q42" s="25" t="str">
        <f>VLOOKUP(P42,Key!$E$2:$F$9,2,FALSE)</f>
        <v>Others</v>
      </c>
      <c r="R42" s="25" t="str">
        <f t="shared" si="0"/>
        <v>Home-Others</v>
      </c>
      <c r="S42" s="47">
        <v>33</v>
      </c>
      <c r="T42" s="47">
        <v>1</v>
      </c>
      <c r="U42" s="42">
        <v>4</v>
      </c>
      <c r="V42" s="42"/>
      <c r="W42" s="47"/>
      <c r="X42" s="47"/>
      <c r="Y42" s="48" t="s">
        <v>146</v>
      </c>
      <c r="Z42" s="56"/>
      <c r="AA42" s="25">
        <f>VLOOKUP(F42,'Zones (3)'!$A$2:$F$15913,6,FALSE)</f>
        <v>987</v>
      </c>
      <c r="AB42" s="25">
        <f>VLOOKUP(L42,'Zones (3)'!$A$1:$F$15616,6,FALSE)</f>
        <v>987</v>
      </c>
    </row>
    <row r="43" spans="2:28" s="19" customFormat="1">
      <c r="B43" s="39">
        <v>0.43472222222222223</v>
      </c>
      <c r="C43" s="39" t="s">
        <v>585</v>
      </c>
      <c r="D43" s="40">
        <v>2</v>
      </c>
      <c r="E43" s="41">
        <v>6</v>
      </c>
      <c r="F43" s="41" t="s">
        <v>586</v>
      </c>
      <c r="G43" s="42" t="s">
        <v>150</v>
      </c>
      <c r="H43" s="41" t="s">
        <v>147</v>
      </c>
      <c r="I43" s="42">
        <v>1</v>
      </c>
      <c r="J43" s="42">
        <v>1</v>
      </c>
      <c r="K43" s="25" t="str">
        <f>VLOOKUP(J43,Key!$E$2:$F$9,2,FALSE)</f>
        <v>Home</v>
      </c>
      <c r="L43" s="41" t="s">
        <v>155</v>
      </c>
      <c r="M43" s="42" t="s">
        <v>148</v>
      </c>
      <c r="N43" s="41" t="s">
        <v>147</v>
      </c>
      <c r="O43" s="42">
        <v>4</v>
      </c>
      <c r="P43" s="42">
        <v>3</v>
      </c>
      <c r="Q43" s="25" t="str">
        <f>VLOOKUP(P43,Key!$E$2:$F$9,2,FALSE)</f>
        <v>Study</v>
      </c>
      <c r="R43" s="25" t="str">
        <f t="shared" si="0"/>
        <v>Home-Study</v>
      </c>
      <c r="S43" s="47"/>
      <c r="T43" s="47">
        <v>2</v>
      </c>
      <c r="U43" s="42">
        <v>4</v>
      </c>
      <c r="V43" s="42"/>
      <c r="W43" s="47"/>
      <c r="X43" s="47"/>
      <c r="Y43" s="48" t="s">
        <v>146</v>
      </c>
      <c r="Z43" s="56"/>
      <c r="AA43" s="25">
        <f>VLOOKUP(F43,'Zones (3)'!$A$2:$F$15913,6,FALSE)</f>
        <v>376</v>
      </c>
      <c r="AB43" s="25">
        <f>VLOOKUP(L43,'Zones (3)'!$A$1:$F$15616,6,FALSE)</f>
        <v>987</v>
      </c>
    </row>
    <row r="44" spans="2:28" s="19" customFormat="1">
      <c r="B44" s="39">
        <v>0.43194444444444446</v>
      </c>
      <c r="C44" s="39" t="s">
        <v>587</v>
      </c>
      <c r="D44" s="40">
        <v>11</v>
      </c>
      <c r="E44" s="41">
        <v>2</v>
      </c>
      <c r="F44" s="41" t="s">
        <v>195</v>
      </c>
      <c r="G44" s="42" t="s">
        <v>3216</v>
      </c>
      <c r="H44" s="41" t="s">
        <v>147</v>
      </c>
      <c r="I44" s="42">
        <v>8</v>
      </c>
      <c r="J44" s="42">
        <v>2</v>
      </c>
      <c r="K44" s="25" t="str">
        <f>VLOOKUP(J44,Key!$E$2:$F$9,2,FALSE)</f>
        <v>Work</v>
      </c>
      <c r="L44" s="41" t="s">
        <v>155</v>
      </c>
      <c r="M44" s="42" t="s">
        <v>148</v>
      </c>
      <c r="N44" s="41" t="s">
        <v>147</v>
      </c>
      <c r="O44" s="42">
        <v>8</v>
      </c>
      <c r="P44" s="42">
        <v>2</v>
      </c>
      <c r="Q44" s="25" t="str">
        <f>VLOOKUP(P44,Key!$E$2:$F$9,2,FALSE)</f>
        <v>Work</v>
      </c>
      <c r="R44" s="25" t="str">
        <f t="shared" si="0"/>
        <v>Work-Work</v>
      </c>
      <c r="S44" s="47">
        <v>6</v>
      </c>
      <c r="T44" s="47">
        <v>0.2</v>
      </c>
      <c r="U44" s="42">
        <v>2</v>
      </c>
      <c r="V44" s="42"/>
      <c r="W44" s="47"/>
      <c r="X44" s="47"/>
      <c r="Y44" s="48" t="s">
        <v>146</v>
      </c>
      <c r="Z44" s="56"/>
      <c r="AA44" s="25">
        <f>VLOOKUP(F44,'Zones (3)'!$A$2:$F$15913,6,FALSE)</f>
        <v>618</v>
      </c>
      <c r="AB44" s="25">
        <f>VLOOKUP(L44,'Zones (3)'!$A$1:$F$15616,6,FALSE)</f>
        <v>987</v>
      </c>
    </row>
    <row r="45" spans="2:28" s="19" customFormat="1">
      <c r="B45" s="39">
        <v>0.43055555555555558</v>
      </c>
      <c r="C45" s="39" t="s">
        <v>588</v>
      </c>
      <c r="D45" s="40">
        <v>2</v>
      </c>
      <c r="E45" s="41">
        <v>1</v>
      </c>
      <c r="F45" s="41" t="s">
        <v>589</v>
      </c>
      <c r="G45" s="42" t="s">
        <v>150</v>
      </c>
      <c r="H45" s="41" t="s">
        <v>147</v>
      </c>
      <c r="I45" s="42">
        <v>1</v>
      </c>
      <c r="J45" s="42">
        <v>1</v>
      </c>
      <c r="K45" s="25" t="str">
        <f>VLOOKUP(J45,Key!$E$2:$F$9,2,FALSE)</f>
        <v>Home</v>
      </c>
      <c r="L45" s="41" t="s">
        <v>155</v>
      </c>
      <c r="M45" s="42" t="s">
        <v>148</v>
      </c>
      <c r="N45" s="41" t="s">
        <v>147</v>
      </c>
      <c r="O45" s="42">
        <v>2</v>
      </c>
      <c r="P45" s="42">
        <v>2</v>
      </c>
      <c r="Q45" s="25" t="str">
        <f>VLOOKUP(P45,Key!$E$2:$F$9,2,FALSE)</f>
        <v>Work</v>
      </c>
      <c r="R45" s="25" t="str">
        <f t="shared" si="0"/>
        <v>Home-Work</v>
      </c>
      <c r="S45" s="47">
        <v>8</v>
      </c>
      <c r="T45" s="47">
        <v>0.3</v>
      </c>
      <c r="U45" s="42">
        <v>2</v>
      </c>
      <c r="V45" s="42"/>
      <c r="W45" s="47"/>
      <c r="X45" s="47"/>
      <c r="Y45" s="48" t="s">
        <v>146</v>
      </c>
      <c r="Z45" s="56"/>
      <c r="AA45" s="25">
        <f>VLOOKUP(F45,'Zones (3)'!$A$2:$F$15913,6,FALSE)</f>
        <v>984</v>
      </c>
      <c r="AB45" s="25">
        <f>VLOOKUP(L45,'Zones (3)'!$A$1:$F$15616,6,FALSE)</f>
        <v>987</v>
      </c>
    </row>
    <row r="46" spans="2:28" s="19" customFormat="1">
      <c r="B46" s="39">
        <v>0.40972222222222227</v>
      </c>
      <c r="C46" s="39" t="s">
        <v>590</v>
      </c>
      <c r="D46" s="40">
        <v>1</v>
      </c>
      <c r="E46" s="41">
        <v>2</v>
      </c>
      <c r="F46" s="41" t="s">
        <v>164</v>
      </c>
      <c r="G46" s="42" t="s">
        <v>150</v>
      </c>
      <c r="H46" s="41" t="s">
        <v>147</v>
      </c>
      <c r="I46" s="42">
        <v>1</v>
      </c>
      <c r="J46" s="42">
        <v>1</v>
      </c>
      <c r="K46" s="25" t="str">
        <f>VLOOKUP(J46,Key!$E$2:$F$9,2,FALSE)</f>
        <v>Home</v>
      </c>
      <c r="L46" s="41" t="s">
        <v>155</v>
      </c>
      <c r="M46" s="42" t="s">
        <v>148</v>
      </c>
      <c r="N46" s="41" t="s">
        <v>147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0"/>
        <v>Home-Work</v>
      </c>
      <c r="S46" s="47">
        <v>7</v>
      </c>
      <c r="T46" s="47">
        <v>0.1</v>
      </c>
      <c r="U46" s="42">
        <v>2</v>
      </c>
      <c r="V46" s="42"/>
      <c r="W46" s="47"/>
      <c r="X46" s="47"/>
      <c r="Y46" s="48" t="s">
        <v>146</v>
      </c>
      <c r="Z46" s="56"/>
      <c r="AA46" s="25">
        <f>VLOOKUP(F46,'Zones (3)'!$A$2:$F$15913,6,FALSE)</f>
        <v>538</v>
      </c>
      <c r="AB46" s="25">
        <f>VLOOKUP(L46,'Zones (3)'!$A$1:$F$15616,6,FALSE)</f>
        <v>987</v>
      </c>
    </row>
    <row r="47" spans="2:28" s="19" customFormat="1">
      <c r="B47" s="39">
        <v>0.40277777777777773</v>
      </c>
      <c r="C47" s="39" t="s">
        <v>591</v>
      </c>
      <c r="D47" s="40">
        <v>3</v>
      </c>
      <c r="E47" s="41">
        <v>3</v>
      </c>
      <c r="F47" s="41" t="s">
        <v>164</v>
      </c>
      <c r="G47" s="42" t="s">
        <v>150</v>
      </c>
      <c r="H47" s="41" t="s">
        <v>147</v>
      </c>
      <c r="I47" s="42">
        <v>9</v>
      </c>
      <c r="J47" s="42">
        <v>4</v>
      </c>
      <c r="K47" s="25" t="str">
        <f>VLOOKUP(J47,Key!$E$2:$F$9,2,FALSE)</f>
        <v>Commercial</v>
      </c>
      <c r="L47" s="41" t="s">
        <v>155</v>
      </c>
      <c r="M47" s="42" t="s">
        <v>148</v>
      </c>
      <c r="N47" s="41" t="s">
        <v>147</v>
      </c>
      <c r="O47" s="42">
        <v>9</v>
      </c>
      <c r="P47" s="42">
        <v>4</v>
      </c>
      <c r="Q47" s="25" t="str">
        <f>VLOOKUP(P47,Key!$E$2:$F$9,2,FALSE)</f>
        <v>Commercial</v>
      </c>
      <c r="R47" s="25" t="str">
        <f t="shared" si="0"/>
        <v>Commercial-Commercial</v>
      </c>
      <c r="S47" s="47">
        <v>10</v>
      </c>
      <c r="T47" s="47">
        <v>0.3</v>
      </c>
      <c r="U47" s="42">
        <v>5</v>
      </c>
      <c r="V47" s="42">
        <v>9</v>
      </c>
      <c r="W47" s="47"/>
      <c r="X47" s="47"/>
      <c r="Y47" s="48" t="s">
        <v>146</v>
      </c>
      <c r="Z47" s="56"/>
      <c r="AA47" s="25">
        <f>VLOOKUP(F47,'Zones (3)'!$A$2:$F$15913,6,FALSE)</f>
        <v>538</v>
      </c>
      <c r="AB47" s="25">
        <f>VLOOKUP(L47,'Zones (3)'!$A$1:$F$15616,6,FALSE)</f>
        <v>987</v>
      </c>
    </row>
    <row r="48" spans="2:28" s="19" customFormat="1">
      <c r="B48" s="39">
        <v>0.40138888888888885</v>
      </c>
      <c r="C48" s="39" t="s">
        <v>592</v>
      </c>
      <c r="D48" s="40">
        <v>1</v>
      </c>
      <c r="E48" s="41">
        <v>2</v>
      </c>
      <c r="F48" s="41" t="s">
        <v>164</v>
      </c>
      <c r="G48" s="42" t="s">
        <v>150</v>
      </c>
      <c r="H48" s="41" t="s">
        <v>147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155</v>
      </c>
      <c r="M48" s="42" t="s">
        <v>148</v>
      </c>
      <c r="N48" s="41" t="s">
        <v>147</v>
      </c>
      <c r="O48" s="42">
        <v>16</v>
      </c>
      <c r="P48" s="42">
        <v>8</v>
      </c>
      <c r="Q48" s="25" t="str">
        <f>VLOOKUP(P48,Key!$E$2:$F$9,2,FALSE)</f>
        <v>Others</v>
      </c>
      <c r="R48" s="25" t="str">
        <f t="shared" si="0"/>
        <v>Home-Others</v>
      </c>
      <c r="S48" s="47">
        <v>4</v>
      </c>
      <c r="T48" s="47">
        <v>0.1</v>
      </c>
      <c r="U48" s="42">
        <v>4</v>
      </c>
      <c r="V48" s="42"/>
      <c r="W48" s="47"/>
      <c r="X48" s="47"/>
      <c r="Y48" s="48" t="s">
        <v>146</v>
      </c>
      <c r="Z48" s="56"/>
      <c r="AA48" s="25">
        <f>VLOOKUP(F48,'Zones (3)'!$A$2:$F$15913,6,FALSE)</f>
        <v>538</v>
      </c>
      <c r="AB48" s="25">
        <f>VLOOKUP(L48,'Zones (3)'!$A$1:$F$15616,6,FALSE)</f>
        <v>987</v>
      </c>
    </row>
    <row r="49" spans="2:28" s="19" customFormat="1">
      <c r="B49" s="39">
        <v>0.39861111111111108</v>
      </c>
      <c r="C49" s="39" t="s">
        <v>593</v>
      </c>
      <c r="D49" s="40">
        <v>1</v>
      </c>
      <c r="E49" s="41">
        <v>3</v>
      </c>
      <c r="F49" s="41" t="s">
        <v>169</v>
      </c>
      <c r="G49" s="42" t="s">
        <v>150</v>
      </c>
      <c r="H49" s="41" t="s">
        <v>147</v>
      </c>
      <c r="I49" s="42">
        <v>1</v>
      </c>
      <c r="J49" s="42">
        <v>1</v>
      </c>
      <c r="K49" s="25" t="s">
        <v>407</v>
      </c>
      <c r="L49" s="41" t="s">
        <v>155</v>
      </c>
      <c r="M49" s="42" t="s">
        <v>148</v>
      </c>
      <c r="N49" s="41" t="s">
        <v>147</v>
      </c>
      <c r="O49" s="42">
        <v>16</v>
      </c>
      <c r="P49" s="42">
        <v>8</v>
      </c>
      <c r="Q49" s="25" t="str">
        <f>VLOOKUP(P49,Key!$E$2:$F$9,2,FALSE)</f>
        <v>Others</v>
      </c>
      <c r="R49" s="25" t="s">
        <v>594</v>
      </c>
      <c r="S49" s="47">
        <v>15</v>
      </c>
      <c r="T49" s="47">
        <v>0.3</v>
      </c>
      <c r="U49" s="42">
        <v>2</v>
      </c>
      <c r="V49" s="42"/>
      <c r="W49" s="47"/>
      <c r="X49" s="47"/>
      <c r="Y49" s="48" t="s">
        <v>146</v>
      </c>
      <c r="Z49" s="56"/>
      <c r="AA49" s="25">
        <f>VLOOKUP(F49,'Zones (3)'!$A$2:$F$15913,6,FALSE)</f>
        <v>380</v>
      </c>
      <c r="AB49" s="25">
        <f>VLOOKUP(L49,'Zones (3)'!$A$1:$F$15616,6,FALSE)</f>
        <v>987</v>
      </c>
    </row>
    <row r="50" spans="2:28" s="19" customFormat="1">
      <c r="B50" s="39">
        <v>0.39583333333333331</v>
      </c>
      <c r="C50" s="39" t="s">
        <v>595</v>
      </c>
      <c r="D50" s="40">
        <v>1</v>
      </c>
      <c r="E50" s="41">
        <v>5</v>
      </c>
      <c r="F50" s="41" t="s">
        <v>209</v>
      </c>
      <c r="G50" s="42" t="s">
        <v>150</v>
      </c>
      <c r="H50" s="41" t="s">
        <v>147</v>
      </c>
      <c r="I50" s="42">
        <v>1</v>
      </c>
      <c r="J50" s="42">
        <v>1</v>
      </c>
      <c r="K50" s="25" t="str">
        <f>VLOOKUP(J50,Key!$E$2:$F$9,2,FALSE)</f>
        <v>Home</v>
      </c>
      <c r="L50" s="41" t="s">
        <v>155</v>
      </c>
      <c r="M50" s="42" t="s">
        <v>148</v>
      </c>
      <c r="N50" s="41" t="s">
        <v>147</v>
      </c>
      <c r="O50" s="42">
        <v>2</v>
      </c>
      <c r="P50" s="42">
        <v>2</v>
      </c>
      <c r="Q50" s="25" t="str">
        <f>VLOOKUP(P50,Key!$E$2:$F$9,2,FALSE)</f>
        <v>Work</v>
      </c>
      <c r="R50" s="25" t="str">
        <f t="shared" si="0"/>
        <v>Home-Work</v>
      </c>
      <c r="S50" s="47">
        <v>35</v>
      </c>
      <c r="T50" s="47">
        <v>3</v>
      </c>
      <c r="U50" s="42">
        <v>2</v>
      </c>
      <c r="V50" s="42"/>
      <c r="W50" s="47"/>
      <c r="X50" s="47"/>
      <c r="Y50" s="48" t="s">
        <v>146</v>
      </c>
      <c r="Z50" s="56"/>
      <c r="AA50" s="25">
        <f>VLOOKUP(F50,'Zones (3)'!$A$2:$F$15913,6,FALSE)</f>
        <v>379</v>
      </c>
      <c r="AB50" s="25">
        <f>VLOOKUP(L50,'Zones (3)'!$A$1:$F$15616,6,FALSE)</f>
        <v>987</v>
      </c>
    </row>
    <row r="51" spans="2:28" s="19" customFormat="1">
      <c r="B51" s="39">
        <v>0.39444444444444443</v>
      </c>
      <c r="C51" s="39" t="s">
        <v>596</v>
      </c>
      <c r="D51" s="40">
        <v>1</v>
      </c>
      <c r="E51" s="41">
        <v>5</v>
      </c>
      <c r="F51" s="41" t="s">
        <v>164</v>
      </c>
      <c r="G51" s="42" t="s">
        <v>150</v>
      </c>
      <c r="H51" s="41" t="s">
        <v>147</v>
      </c>
      <c r="I51" s="42">
        <v>1</v>
      </c>
      <c r="J51" s="42">
        <v>1</v>
      </c>
      <c r="K51" s="25" t="str">
        <f>VLOOKUP(J51,Key!$E$2:$F$9,2,FALSE)</f>
        <v>Home</v>
      </c>
      <c r="L51" s="41" t="s">
        <v>155</v>
      </c>
      <c r="M51" s="42" t="s">
        <v>148</v>
      </c>
      <c r="N51" s="41" t="s">
        <v>147</v>
      </c>
      <c r="O51" s="42">
        <v>4</v>
      </c>
      <c r="P51" s="42">
        <v>3</v>
      </c>
      <c r="Q51" s="25" t="str">
        <f>VLOOKUP(P51,Key!$E$2:$F$9,2,FALSE)</f>
        <v>Study</v>
      </c>
      <c r="R51" s="25" t="str">
        <f t="shared" si="0"/>
        <v>Home-Study</v>
      </c>
      <c r="S51" s="47">
        <v>6</v>
      </c>
      <c r="T51" s="47">
        <v>0</v>
      </c>
      <c r="U51" s="42">
        <v>2</v>
      </c>
      <c r="V51" s="42"/>
      <c r="W51" s="47"/>
      <c r="X51" s="47"/>
      <c r="Y51" s="48" t="s">
        <v>146</v>
      </c>
      <c r="Z51" s="56"/>
      <c r="AA51" s="25">
        <f>VLOOKUP(F51,'Zones (3)'!$A$2:$F$15913,6,FALSE)</f>
        <v>538</v>
      </c>
      <c r="AB51" s="25">
        <f>VLOOKUP(L51,'Zones (3)'!$A$1:$F$15616,6,FALSE)</f>
        <v>987</v>
      </c>
    </row>
    <row r="52" spans="2:28" s="19" customFormat="1">
      <c r="B52" s="39">
        <v>0.3923611111111111</v>
      </c>
      <c r="C52" s="39" t="s">
        <v>597</v>
      </c>
      <c r="D52" s="40">
        <v>1</v>
      </c>
      <c r="E52" s="41">
        <v>5</v>
      </c>
      <c r="F52" s="41" t="s">
        <v>573</v>
      </c>
      <c r="G52" s="42" t="s">
        <v>150</v>
      </c>
      <c r="H52" s="41" t="s">
        <v>147</v>
      </c>
      <c r="I52" s="42">
        <v>1</v>
      </c>
      <c r="J52" s="42">
        <v>1</v>
      </c>
      <c r="K52" s="25" t="str">
        <f>VLOOKUP(J52,Key!$E$2:$F$9,2,FALSE)</f>
        <v>Home</v>
      </c>
      <c r="L52" s="41" t="s">
        <v>155</v>
      </c>
      <c r="M52" s="42" t="s">
        <v>148</v>
      </c>
      <c r="N52" s="41" t="s">
        <v>147</v>
      </c>
      <c r="O52" s="42">
        <v>1</v>
      </c>
      <c r="P52" s="42">
        <v>1</v>
      </c>
      <c r="Q52" s="25" t="str">
        <f>VLOOKUP(P52,Key!$E$2:$F$9,2,FALSE)</f>
        <v>Home</v>
      </c>
      <c r="R52" s="25" t="str">
        <f t="shared" si="0"/>
        <v>Home-Home</v>
      </c>
      <c r="S52" s="47">
        <v>4</v>
      </c>
      <c r="T52" s="47">
        <v>0.2</v>
      </c>
      <c r="U52" s="42">
        <v>4</v>
      </c>
      <c r="V52" s="42"/>
      <c r="W52" s="47"/>
      <c r="X52" s="47"/>
      <c r="Y52" s="48" t="s">
        <v>146</v>
      </c>
      <c r="Z52" s="56"/>
      <c r="AA52" s="25">
        <f>VLOOKUP(F52,'Zones (3)'!$A$2:$F$15913,6,FALSE)</f>
        <v>388</v>
      </c>
      <c r="AB52" s="25">
        <f>VLOOKUP(L52,'Zones (3)'!$A$1:$F$15616,6,FALSE)</f>
        <v>987</v>
      </c>
    </row>
    <row r="53" spans="2:28" s="19" customFormat="1">
      <c r="B53" s="39">
        <v>0.39027777777777778</v>
      </c>
      <c r="C53" s="39" t="s">
        <v>453</v>
      </c>
      <c r="D53" s="40">
        <v>1</v>
      </c>
      <c r="E53" s="41">
        <v>1</v>
      </c>
      <c r="F53" s="41" t="s">
        <v>164</v>
      </c>
      <c r="G53" s="42" t="s">
        <v>150</v>
      </c>
      <c r="H53" s="41" t="s">
        <v>147</v>
      </c>
      <c r="I53" s="42">
        <v>1</v>
      </c>
      <c r="J53" s="42">
        <v>1</v>
      </c>
      <c r="K53" s="25" t="str">
        <f>VLOOKUP(J53,Key!$E$2:$F$9,2,FALSE)</f>
        <v>Home</v>
      </c>
      <c r="L53" s="41" t="s">
        <v>598</v>
      </c>
      <c r="M53" s="42" t="s">
        <v>148</v>
      </c>
      <c r="N53" s="41" t="s">
        <v>147</v>
      </c>
      <c r="O53" s="42">
        <v>9</v>
      </c>
      <c r="P53" s="42">
        <v>2</v>
      </c>
      <c r="Q53" s="25" t="str">
        <f>VLOOKUP(P53,Key!$E$2:$F$9,2,FALSE)</f>
        <v>Work</v>
      </c>
      <c r="R53" s="25" t="str">
        <f t="shared" si="0"/>
        <v>Home-Work</v>
      </c>
      <c r="S53" s="47"/>
      <c r="T53" s="47">
        <v>0.3</v>
      </c>
      <c r="U53" s="42">
        <v>2</v>
      </c>
      <c r="V53" s="42"/>
      <c r="W53" s="47"/>
      <c r="X53" s="47"/>
      <c r="Y53" s="48" t="s">
        <v>146</v>
      </c>
      <c r="Z53" s="56"/>
      <c r="AA53" s="25">
        <f>VLOOKUP(F53,'Zones (3)'!$A$2:$F$15913,6,FALSE)</f>
        <v>538</v>
      </c>
      <c r="AB53" s="25">
        <f>VLOOKUP(L53,'Zones (3)'!$A$1:$F$15616,6,FALSE)</f>
        <v>899</v>
      </c>
    </row>
    <row r="54" spans="2:28" s="19" customFormat="1">
      <c r="B54" s="39">
        <v>0.3888888888888889</v>
      </c>
      <c r="C54" s="39" t="s">
        <v>599</v>
      </c>
      <c r="D54" s="40">
        <v>1</v>
      </c>
      <c r="E54" s="41">
        <v>4</v>
      </c>
      <c r="F54" s="41" t="s">
        <v>171</v>
      </c>
      <c r="G54" s="42" t="s">
        <v>150</v>
      </c>
      <c r="H54" s="41" t="s">
        <v>147</v>
      </c>
      <c r="I54" s="42">
        <v>1</v>
      </c>
      <c r="J54" s="42">
        <v>1</v>
      </c>
      <c r="K54" s="25" t="str">
        <f>VLOOKUP(J54,Key!$E$2:$F$9,2,FALSE)</f>
        <v>Home</v>
      </c>
      <c r="L54" s="41" t="s">
        <v>155</v>
      </c>
      <c r="M54" s="42" t="s">
        <v>148</v>
      </c>
      <c r="N54" s="41" t="s">
        <v>147</v>
      </c>
      <c r="O54" s="42">
        <v>4</v>
      </c>
      <c r="P54" s="42">
        <v>3</v>
      </c>
      <c r="Q54" s="25" t="str">
        <f>VLOOKUP(P54,Key!$E$2:$F$9,2,FALSE)</f>
        <v>Study</v>
      </c>
      <c r="R54" s="25" t="str">
        <f t="shared" si="0"/>
        <v>Home-Study</v>
      </c>
      <c r="S54" s="47">
        <v>35</v>
      </c>
      <c r="T54" s="47">
        <v>1.5</v>
      </c>
      <c r="U54" s="42">
        <v>5</v>
      </c>
      <c r="V54" s="42"/>
      <c r="W54" s="47"/>
      <c r="X54" s="47"/>
      <c r="Y54" s="48" t="s">
        <v>146</v>
      </c>
      <c r="Z54" s="56"/>
      <c r="AA54" s="25">
        <f>VLOOKUP(F54,'Zones (3)'!$A$2:$F$15913,6,FALSE)</f>
        <v>379</v>
      </c>
      <c r="AB54" s="25">
        <f>VLOOKUP(L54,'Zones (3)'!$A$1:$F$15616,6,FALSE)</f>
        <v>987</v>
      </c>
    </row>
    <row r="55" spans="2:28" s="19" customFormat="1">
      <c r="B55" s="39">
        <v>0.38541666666666669</v>
      </c>
      <c r="C55" s="39" t="s">
        <v>600</v>
      </c>
      <c r="D55" s="40">
        <v>3</v>
      </c>
      <c r="E55" s="41">
        <v>2</v>
      </c>
      <c r="F55" s="41" t="s">
        <v>171</v>
      </c>
      <c r="G55" s="42" t="s">
        <v>150</v>
      </c>
      <c r="H55" s="41" t="s">
        <v>147</v>
      </c>
      <c r="I55" s="42">
        <v>16</v>
      </c>
      <c r="J55" s="42">
        <v>8</v>
      </c>
      <c r="K55" s="25" t="str">
        <f>VLOOKUP(J55,Key!$E$2:$F$9,2,FALSE)</f>
        <v>Others</v>
      </c>
      <c r="L55" s="41" t="s">
        <v>155</v>
      </c>
      <c r="M55" s="42" t="s">
        <v>148</v>
      </c>
      <c r="N55" s="41" t="s">
        <v>147</v>
      </c>
      <c r="O55" s="42">
        <v>16</v>
      </c>
      <c r="P55" s="42">
        <v>8</v>
      </c>
      <c r="Q55" s="25" t="str">
        <f>VLOOKUP(P55,Key!$E$2:$F$9,2,FALSE)</f>
        <v>Others</v>
      </c>
      <c r="R55" s="25" t="str">
        <f t="shared" si="0"/>
        <v>Others-Others</v>
      </c>
      <c r="S55" s="47">
        <v>32</v>
      </c>
      <c r="T55" s="47">
        <v>0.7</v>
      </c>
      <c r="U55" s="42">
        <v>3</v>
      </c>
      <c r="V55" s="42"/>
      <c r="W55" s="47"/>
      <c r="X55" s="47"/>
      <c r="Y55" s="48" t="s">
        <v>146</v>
      </c>
      <c r="Z55" s="56"/>
      <c r="AA55" s="25">
        <f>VLOOKUP(F55,'Zones (3)'!$A$2:$F$15913,6,FALSE)</f>
        <v>379</v>
      </c>
      <c r="AB55" s="25">
        <f>VLOOKUP(L55,'Zones (3)'!$A$1:$F$15616,6,FALSE)</f>
        <v>987</v>
      </c>
    </row>
    <row r="56" spans="2:28" s="19" customFormat="1">
      <c r="B56" s="39">
        <v>0.38194444444444442</v>
      </c>
      <c r="C56" s="39" t="s">
        <v>601</v>
      </c>
      <c r="D56" s="40">
        <v>3</v>
      </c>
      <c r="E56" s="41">
        <v>5</v>
      </c>
      <c r="F56" s="41" t="s">
        <v>191</v>
      </c>
      <c r="G56" s="42" t="s">
        <v>150</v>
      </c>
      <c r="H56" s="41" t="s">
        <v>147</v>
      </c>
      <c r="I56" s="42">
        <v>1</v>
      </c>
      <c r="J56" s="42">
        <v>1</v>
      </c>
      <c r="K56" s="25" t="str">
        <f>VLOOKUP(J56,Key!$E$2:$F$9,2,FALSE)</f>
        <v>Home</v>
      </c>
      <c r="L56" s="41" t="s">
        <v>155</v>
      </c>
      <c r="M56" s="42" t="s">
        <v>148</v>
      </c>
      <c r="N56" s="41" t="s">
        <v>147</v>
      </c>
      <c r="O56" s="42">
        <v>2</v>
      </c>
      <c r="P56" s="42">
        <v>2</v>
      </c>
      <c r="Q56" s="25" t="str">
        <f>VLOOKUP(P56,Key!$E$2:$F$9,2,FALSE)</f>
        <v>Work</v>
      </c>
      <c r="R56" s="25" t="str">
        <f t="shared" si="0"/>
        <v>Home-Work</v>
      </c>
      <c r="S56" s="47">
        <v>4</v>
      </c>
      <c r="T56" s="47">
        <v>0.2</v>
      </c>
      <c r="U56" s="42">
        <v>2</v>
      </c>
      <c r="V56" s="42"/>
      <c r="W56" s="47"/>
      <c r="X56" s="47"/>
      <c r="Y56" s="48" t="s">
        <v>146</v>
      </c>
      <c r="Z56" s="56"/>
      <c r="AA56" s="25">
        <f>VLOOKUP(F56,'Zones (3)'!$A$2:$F$15913,6,FALSE)</f>
        <v>422</v>
      </c>
      <c r="AB56" s="25">
        <f>VLOOKUP(L56,'Zones (3)'!$A$1:$F$15616,6,FALSE)</f>
        <v>987</v>
      </c>
    </row>
    <row r="57" spans="2:28" s="19" customFormat="1">
      <c r="B57" s="39">
        <v>0.37152777777777773</v>
      </c>
      <c r="C57" s="39" t="s">
        <v>602</v>
      </c>
      <c r="D57" s="40">
        <v>11</v>
      </c>
      <c r="E57" s="41">
        <v>1</v>
      </c>
      <c r="F57" s="41" t="s">
        <v>603</v>
      </c>
      <c r="G57" s="42" t="s">
        <v>3217</v>
      </c>
      <c r="H57" s="41" t="s">
        <v>147</v>
      </c>
      <c r="I57" s="42">
        <v>8</v>
      </c>
      <c r="J57" s="42">
        <v>2</v>
      </c>
      <c r="K57" s="25" t="str">
        <f>VLOOKUP(J57,Key!$E$2:$F$9,2,FALSE)</f>
        <v>Work</v>
      </c>
      <c r="L57" s="41" t="s">
        <v>155</v>
      </c>
      <c r="M57" s="42" t="s">
        <v>148</v>
      </c>
      <c r="N57" s="41" t="s">
        <v>147</v>
      </c>
      <c r="O57" s="42">
        <v>8</v>
      </c>
      <c r="P57" s="42">
        <v>2</v>
      </c>
      <c r="Q57" s="25" t="str">
        <f>VLOOKUP(P57,Key!$E$2:$F$9,2,FALSE)</f>
        <v>Work</v>
      </c>
      <c r="R57" s="25" t="str">
        <f t="shared" si="0"/>
        <v>Work-Work</v>
      </c>
      <c r="S57" s="47">
        <v>4</v>
      </c>
      <c r="T57" s="47">
        <v>0.2</v>
      </c>
      <c r="U57" s="42">
        <v>2</v>
      </c>
      <c r="V57" s="42"/>
      <c r="W57" s="47"/>
      <c r="X57" s="47"/>
      <c r="Y57" s="48" t="s">
        <v>146</v>
      </c>
      <c r="Z57" s="56"/>
      <c r="AA57" s="25">
        <f>VLOOKUP(F57,'Zones (3)'!$A$2:$F$15913,6,FALSE)</f>
        <v>608</v>
      </c>
      <c r="AB57" s="25">
        <f>VLOOKUP(L57,'Zones (3)'!$A$1:$F$15616,6,FALSE)</f>
        <v>987</v>
      </c>
    </row>
    <row r="58" spans="2:28" s="19" customFormat="1">
      <c r="B58" s="39">
        <v>0.36805555555555558</v>
      </c>
      <c r="C58" s="39" t="s">
        <v>604</v>
      </c>
      <c r="D58" s="40">
        <v>1</v>
      </c>
      <c r="E58" s="41">
        <v>2</v>
      </c>
      <c r="F58" s="41" t="s">
        <v>169</v>
      </c>
      <c r="G58" s="42" t="s">
        <v>150</v>
      </c>
      <c r="H58" s="41" t="s">
        <v>147</v>
      </c>
      <c r="I58" s="42">
        <v>1</v>
      </c>
      <c r="J58" s="42">
        <v>1</v>
      </c>
      <c r="K58" s="25" t="str">
        <f>VLOOKUP(J58,Key!$E$2:$F$9,2,FALSE)</f>
        <v>Home</v>
      </c>
      <c r="L58" s="41" t="s">
        <v>155</v>
      </c>
      <c r="M58" s="42" t="s">
        <v>148</v>
      </c>
      <c r="N58" s="41" t="s">
        <v>147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0"/>
        <v>Home-Work</v>
      </c>
      <c r="S58" s="47">
        <v>13</v>
      </c>
      <c r="T58" s="47">
        <v>0.5</v>
      </c>
      <c r="U58" s="42">
        <v>2</v>
      </c>
      <c r="V58" s="42"/>
      <c r="W58" s="47"/>
      <c r="X58" s="47"/>
      <c r="Y58" s="48" t="s">
        <v>146</v>
      </c>
      <c r="Z58" s="56"/>
      <c r="AA58" s="25">
        <f>VLOOKUP(F58,'Zones (3)'!$A$2:$F$15913,6,FALSE)</f>
        <v>380</v>
      </c>
      <c r="AB58" s="25">
        <f>VLOOKUP(L58,'Zones (3)'!$A$1:$F$15616,6,FALSE)</f>
        <v>987</v>
      </c>
    </row>
    <row r="59" spans="2:28" s="19" customFormat="1">
      <c r="B59" s="39">
        <v>0.3666666666666667</v>
      </c>
      <c r="C59" s="39" t="s">
        <v>452</v>
      </c>
      <c r="D59" s="40">
        <v>1</v>
      </c>
      <c r="E59" s="41">
        <v>2</v>
      </c>
      <c r="F59" s="41" t="s">
        <v>201</v>
      </c>
      <c r="G59" s="42" t="s">
        <v>150</v>
      </c>
      <c r="H59" s="41" t="s">
        <v>147</v>
      </c>
      <c r="I59" s="42">
        <v>1</v>
      </c>
      <c r="J59" s="42">
        <v>1</v>
      </c>
      <c r="K59" s="25" t="str">
        <f>VLOOKUP(J59,Key!$E$2:$F$9,2,FALSE)</f>
        <v>Home</v>
      </c>
      <c r="L59" s="41" t="s">
        <v>155</v>
      </c>
      <c r="M59" s="42" t="s">
        <v>148</v>
      </c>
      <c r="N59" s="41" t="s">
        <v>147</v>
      </c>
      <c r="O59" s="42">
        <v>2</v>
      </c>
      <c r="P59" s="42">
        <v>2</v>
      </c>
      <c r="Q59" s="25" t="str">
        <f>VLOOKUP(P59,Key!$E$2:$F$9,2,FALSE)</f>
        <v>Work</v>
      </c>
      <c r="R59" s="25" t="str">
        <f t="shared" si="0"/>
        <v>Home-Work</v>
      </c>
      <c r="S59" s="47">
        <v>12</v>
      </c>
      <c r="T59" s="47">
        <v>0.8</v>
      </c>
      <c r="U59" s="42">
        <v>2</v>
      </c>
      <c r="V59" s="42"/>
      <c r="W59" s="47"/>
      <c r="X59" s="47"/>
      <c r="Y59" s="48" t="s">
        <v>146</v>
      </c>
      <c r="Z59" s="56"/>
      <c r="AA59" s="25">
        <f>VLOOKUP(F59,'Zones (3)'!$A$2:$F$15913,6,FALSE)</f>
        <v>386</v>
      </c>
      <c r="AB59" s="25">
        <f>VLOOKUP(L59,'Zones (3)'!$A$1:$F$15616,6,FALSE)</f>
        <v>987</v>
      </c>
    </row>
    <row r="60" spans="2:28" s="19" customFormat="1">
      <c r="B60" s="39">
        <v>0.36249999999999999</v>
      </c>
      <c r="C60" s="39" t="s">
        <v>605</v>
      </c>
      <c r="D60" s="40">
        <v>11</v>
      </c>
      <c r="E60" s="41">
        <v>1</v>
      </c>
      <c r="F60" s="41" t="s">
        <v>603</v>
      </c>
      <c r="G60" s="42" t="s">
        <v>3217</v>
      </c>
      <c r="H60" s="41" t="s">
        <v>147</v>
      </c>
      <c r="I60" s="42">
        <v>8</v>
      </c>
      <c r="J60" s="42">
        <v>2</v>
      </c>
      <c r="K60" s="25" t="str">
        <f>VLOOKUP(J60,Key!$E$2:$F$9,2,FALSE)</f>
        <v>Work</v>
      </c>
      <c r="L60" s="41" t="s">
        <v>155</v>
      </c>
      <c r="M60" s="42" t="s">
        <v>148</v>
      </c>
      <c r="N60" s="41" t="s">
        <v>147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0"/>
        <v>Work-Work</v>
      </c>
      <c r="S60" s="47">
        <v>4</v>
      </c>
      <c r="T60" s="47">
        <v>0.3</v>
      </c>
      <c r="U60" s="42">
        <v>2</v>
      </c>
      <c r="V60" s="42"/>
      <c r="W60" s="47"/>
      <c r="X60" s="47"/>
      <c r="Y60" s="48" t="s">
        <v>146</v>
      </c>
      <c r="Z60" s="56"/>
      <c r="AA60" s="25">
        <f>VLOOKUP(F60,'Zones (3)'!$A$2:$F$15913,6,FALSE)</f>
        <v>608</v>
      </c>
      <c r="AB60" s="25">
        <f>VLOOKUP(L60,'Zones (3)'!$A$1:$F$15616,6,FALSE)</f>
        <v>987</v>
      </c>
    </row>
    <row r="61" spans="2:28" s="19" customFormat="1">
      <c r="B61" s="39">
        <v>0.3611111111111111</v>
      </c>
      <c r="C61" s="39" t="s">
        <v>606</v>
      </c>
      <c r="D61" s="40">
        <v>11</v>
      </c>
      <c r="E61" s="41">
        <v>1</v>
      </c>
      <c r="F61" s="41" t="s">
        <v>607</v>
      </c>
      <c r="G61" s="42" t="s">
        <v>150</v>
      </c>
      <c r="H61" s="41" t="s">
        <v>147</v>
      </c>
      <c r="I61" s="42">
        <v>8</v>
      </c>
      <c r="J61" s="42">
        <v>2</v>
      </c>
      <c r="K61" s="25" t="str">
        <f>VLOOKUP(J61,Key!$E$2:$F$9,2,FALSE)</f>
        <v>Work</v>
      </c>
      <c r="L61" s="41" t="s">
        <v>155</v>
      </c>
      <c r="M61" s="42" t="s">
        <v>148</v>
      </c>
      <c r="N61" s="41" t="s">
        <v>147</v>
      </c>
      <c r="O61" s="42">
        <v>8</v>
      </c>
      <c r="P61" s="42">
        <v>2</v>
      </c>
      <c r="Q61" s="25" t="str">
        <f>VLOOKUP(P61,Key!$E$2:$F$9,2,FALSE)</f>
        <v>Work</v>
      </c>
      <c r="R61" s="25" t="str">
        <f t="shared" si="0"/>
        <v>Work-Work</v>
      </c>
      <c r="S61" s="47"/>
      <c r="T61" s="47">
        <v>0.5</v>
      </c>
      <c r="U61" s="42">
        <v>2</v>
      </c>
      <c r="V61" s="42"/>
      <c r="W61" s="47"/>
      <c r="X61" s="47"/>
      <c r="Y61" s="48" t="s">
        <v>146</v>
      </c>
      <c r="Z61" s="56"/>
      <c r="AA61" s="25">
        <f>VLOOKUP(F61,'Zones (3)'!$A$2:$F$15913,6,FALSE)</f>
        <v>379</v>
      </c>
      <c r="AB61" s="25">
        <f>VLOOKUP(L61,'Zones (3)'!$A$1:$F$15616,6,FALSE)</f>
        <v>987</v>
      </c>
    </row>
    <row r="62" spans="2:28" s="19" customFormat="1">
      <c r="B62" s="39">
        <v>0.35972222222222222</v>
      </c>
      <c r="C62" s="39" t="s">
        <v>608</v>
      </c>
      <c r="D62" s="40">
        <v>1</v>
      </c>
      <c r="E62" s="41">
        <v>5</v>
      </c>
      <c r="F62" s="41" t="s">
        <v>609</v>
      </c>
      <c r="G62" s="42" t="s">
        <v>150</v>
      </c>
      <c r="H62" s="41" t="s">
        <v>147</v>
      </c>
      <c r="I62" s="42">
        <v>1</v>
      </c>
      <c r="J62" s="42">
        <v>1</v>
      </c>
      <c r="K62" s="25" t="str">
        <f>VLOOKUP(J62,Key!$E$2:$F$9,2,FALSE)</f>
        <v>Home</v>
      </c>
      <c r="L62" s="41" t="s">
        <v>155</v>
      </c>
      <c r="M62" s="42" t="s">
        <v>148</v>
      </c>
      <c r="N62" s="41" t="s">
        <v>147</v>
      </c>
      <c r="O62" s="42">
        <v>16</v>
      </c>
      <c r="P62" s="42">
        <v>8</v>
      </c>
      <c r="Q62" s="25" t="str">
        <f>VLOOKUP(P62,Key!$E$2:$F$9,2,FALSE)</f>
        <v>Others</v>
      </c>
      <c r="R62" s="25" t="str">
        <f t="shared" si="0"/>
        <v>Home-Others</v>
      </c>
      <c r="S62" s="47">
        <v>95</v>
      </c>
      <c r="T62" s="47">
        <v>2</v>
      </c>
      <c r="U62" s="42">
        <v>3</v>
      </c>
      <c r="V62" s="42"/>
      <c r="W62" s="47"/>
      <c r="X62" s="47"/>
      <c r="Y62" s="48" t="s">
        <v>146</v>
      </c>
      <c r="Z62" s="56"/>
      <c r="AA62" s="25">
        <f>VLOOKUP(F62,'Zones (3)'!$A$2:$F$15913,6,FALSE)</f>
        <v>651</v>
      </c>
      <c r="AB62" s="25">
        <f>VLOOKUP(L62,'Zones (3)'!$A$1:$F$15616,6,FALSE)</f>
        <v>987</v>
      </c>
    </row>
    <row r="63" spans="2:28" s="19" customFormat="1">
      <c r="B63" s="39">
        <v>0.3576388888888889</v>
      </c>
      <c r="C63" s="39" t="s">
        <v>610</v>
      </c>
      <c r="D63" s="40">
        <v>7</v>
      </c>
      <c r="E63" s="41">
        <v>1</v>
      </c>
      <c r="F63" s="41" t="s">
        <v>169</v>
      </c>
      <c r="G63" s="42" t="s">
        <v>150</v>
      </c>
      <c r="H63" s="41" t="s">
        <v>147</v>
      </c>
      <c r="I63" s="42">
        <v>11</v>
      </c>
      <c r="J63" s="42">
        <v>2</v>
      </c>
      <c r="K63" s="25" t="str">
        <f>VLOOKUP(J63,Key!$E$2:$F$9,2,FALSE)</f>
        <v>Work</v>
      </c>
      <c r="L63" s="41" t="s">
        <v>155</v>
      </c>
      <c r="M63" s="42" t="s">
        <v>148</v>
      </c>
      <c r="N63" s="41" t="s">
        <v>147</v>
      </c>
      <c r="O63" s="42">
        <v>3</v>
      </c>
      <c r="P63" s="42">
        <v>2</v>
      </c>
      <c r="Q63" s="25" t="str">
        <f>VLOOKUP(P63,Key!$E$2:$F$9,2,FALSE)</f>
        <v>Work</v>
      </c>
      <c r="R63" s="25" t="str">
        <f t="shared" si="0"/>
        <v>Work-Work</v>
      </c>
      <c r="S63" s="47">
        <v>16</v>
      </c>
      <c r="T63" s="47">
        <v>0.3</v>
      </c>
      <c r="U63" s="42">
        <v>3</v>
      </c>
      <c r="V63" s="42">
        <v>11</v>
      </c>
      <c r="W63" s="47"/>
      <c r="X63" s="47"/>
      <c r="Y63" s="48" t="s">
        <v>146</v>
      </c>
      <c r="Z63" s="56"/>
      <c r="AA63" s="25">
        <f>VLOOKUP(F63,'Zones (3)'!$A$2:$F$15913,6,FALSE)</f>
        <v>380</v>
      </c>
      <c r="AB63" s="25">
        <f>VLOOKUP(L63,'Zones (3)'!$A$1:$F$15616,6,FALSE)</f>
        <v>987</v>
      </c>
    </row>
    <row r="64" spans="2:28" s="19" customFormat="1">
      <c r="B64" s="39">
        <v>0.35416666666666669</v>
      </c>
      <c r="C64" s="39" t="s">
        <v>611</v>
      </c>
      <c r="D64" s="40">
        <v>1</v>
      </c>
      <c r="E64" s="41">
        <v>1</v>
      </c>
      <c r="F64" s="41" t="s">
        <v>191</v>
      </c>
      <c r="G64" s="42" t="s">
        <v>150</v>
      </c>
      <c r="H64" s="41" t="s">
        <v>147</v>
      </c>
      <c r="I64" s="42">
        <v>1</v>
      </c>
      <c r="J64" s="42">
        <v>1</v>
      </c>
      <c r="K64" s="25" t="str">
        <f>VLOOKUP(J64,Key!$E$2:$F$9,2,FALSE)</f>
        <v>Home</v>
      </c>
      <c r="L64" s="41" t="s">
        <v>155</v>
      </c>
      <c r="M64" s="42" t="s">
        <v>148</v>
      </c>
      <c r="N64" s="41" t="s">
        <v>147</v>
      </c>
      <c r="O64" s="42">
        <v>2</v>
      </c>
      <c r="P64" s="42">
        <v>2</v>
      </c>
      <c r="Q64" s="25" t="str">
        <f>VLOOKUP(P64,Key!$E$2:$F$9,2,FALSE)</f>
        <v>Work</v>
      </c>
      <c r="R64" s="25" t="str">
        <f t="shared" si="0"/>
        <v>Home-Work</v>
      </c>
      <c r="S64" s="47">
        <v>12</v>
      </c>
      <c r="T64" s="47">
        <v>1</v>
      </c>
      <c r="U64" s="42">
        <v>2</v>
      </c>
      <c r="V64" s="42"/>
      <c r="W64" s="47"/>
      <c r="X64" s="47"/>
      <c r="Y64" s="48" t="s">
        <v>146</v>
      </c>
      <c r="Z64" s="56"/>
      <c r="AA64" s="25">
        <f>VLOOKUP(F64,'Zones (3)'!$A$2:$F$15913,6,FALSE)</f>
        <v>422</v>
      </c>
      <c r="AB64" s="25">
        <f>VLOOKUP(L64,'Zones (3)'!$A$1:$F$15616,6,FALSE)</f>
        <v>987</v>
      </c>
    </row>
    <row r="65" spans="2:28" s="19" customFormat="1">
      <c r="B65" s="39">
        <v>0.35069444444444442</v>
      </c>
      <c r="C65" s="39" t="s">
        <v>612</v>
      </c>
      <c r="D65" s="40">
        <v>11</v>
      </c>
      <c r="E65" s="41">
        <v>1</v>
      </c>
      <c r="F65" s="41" t="s">
        <v>164</v>
      </c>
      <c r="G65" s="42" t="s">
        <v>150</v>
      </c>
      <c r="H65" s="41" t="s">
        <v>147</v>
      </c>
      <c r="I65" s="42">
        <v>8</v>
      </c>
      <c r="J65" s="42">
        <v>2</v>
      </c>
      <c r="K65" s="25" t="str">
        <f>VLOOKUP(J65,Key!$E$2:$F$9,2,FALSE)</f>
        <v>Work</v>
      </c>
      <c r="L65" s="41" t="s">
        <v>164</v>
      </c>
      <c r="M65" s="42" t="s">
        <v>150</v>
      </c>
      <c r="N65" s="41" t="s">
        <v>147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0"/>
        <v>Work-Work</v>
      </c>
      <c r="S65" s="47">
        <v>1</v>
      </c>
      <c r="T65" s="47">
        <v>0</v>
      </c>
      <c r="U65" s="42">
        <v>2</v>
      </c>
      <c r="V65" s="42"/>
      <c r="W65" s="47"/>
      <c r="X65" s="47"/>
      <c r="Y65" s="48" t="s">
        <v>146</v>
      </c>
      <c r="Z65" s="56"/>
      <c r="AA65" s="25">
        <f>VLOOKUP(F65,'Zones (3)'!$A$2:$F$15913,6,FALSE)</f>
        <v>538</v>
      </c>
      <c r="AB65" s="25">
        <f>VLOOKUP(L65,'Zones (3)'!$A$1:$F$15616,6,FALSE)</f>
        <v>538</v>
      </c>
    </row>
    <row r="66" spans="2:28" s="19" customFormat="1">
      <c r="B66" s="39">
        <v>0.34722222222222227</v>
      </c>
      <c r="C66" s="39" t="s">
        <v>613</v>
      </c>
      <c r="D66" s="40">
        <v>1</v>
      </c>
      <c r="E66" s="41">
        <v>2</v>
      </c>
      <c r="F66" s="41" t="s">
        <v>205</v>
      </c>
      <c r="G66" s="42" t="s">
        <v>150</v>
      </c>
      <c r="H66" s="41" t="s">
        <v>147</v>
      </c>
      <c r="I66" s="42">
        <v>1</v>
      </c>
      <c r="J66" s="42">
        <v>1</v>
      </c>
      <c r="K66" s="25" t="str">
        <f>VLOOKUP(J66,Key!$E$2:$F$9,2,FALSE)</f>
        <v>Home</v>
      </c>
      <c r="L66" s="41" t="s">
        <v>155</v>
      </c>
      <c r="M66" s="42" t="s">
        <v>148</v>
      </c>
      <c r="N66" s="41" t="s">
        <v>147</v>
      </c>
      <c r="O66" s="42">
        <v>16</v>
      </c>
      <c r="P66" s="42">
        <v>8</v>
      </c>
      <c r="Q66" s="25" t="str">
        <f>VLOOKUP(P66,Key!$E$2:$F$9,2,FALSE)</f>
        <v>Others</v>
      </c>
      <c r="R66" s="25" t="str">
        <f t="shared" si="0"/>
        <v>Home-Others</v>
      </c>
      <c r="S66" s="47">
        <v>12</v>
      </c>
      <c r="T66" s="47">
        <v>0.2</v>
      </c>
      <c r="U66" s="42">
        <v>3</v>
      </c>
      <c r="V66" s="42"/>
      <c r="W66" s="47"/>
      <c r="X66" s="47"/>
      <c r="Y66" s="48" t="s">
        <v>146</v>
      </c>
      <c r="Z66" s="56"/>
      <c r="AA66" s="25">
        <f>VLOOKUP(F66,'Zones (3)'!$A$2:$F$15913,6,FALSE)</f>
        <v>179</v>
      </c>
      <c r="AB66" s="25">
        <f>VLOOKUP(L66,'Zones (3)'!$A$1:$F$15616,6,FALSE)</f>
        <v>987</v>
      </c>
    </row>
    <row r="67" spans="2:28" s="19" customFormat="1">
      <c r="B67" s="39">
        <v>0.7583333333333333</v>
      </c>
      <c r="C67" s="39" t="s">
        <v>614</v>
      </c>
      <c r="D67" s="40">
        <v>11</v>
      </c>
      <c r="E67" s="41">
        <v>1</v>
      </c>
      <c r="F67" s="41" t="s">
        <v>191</v>
      </c>
      <c r="G67" s="42" t="s">
        <v>150</v>
      </c>
      <c r="H67" s="41" t="s">
        <v>147</v>
      </c>
      <c r="I67" s="42">
        <v>8</v>
      </c>
      <c r="J67" s="42">
        <v>2</v>
      </c>
      <c r="K67" s="25" t="str">
        <f>VLOOKUP(J67,Key!$E$2:$F$9,2,FALSE)</f>
        <v>Work</v>
      </c>
      <c r="L67" s="41" t="s">
        <v>164</v>
      </c>
      <c r="M67" s="42" t="s">
        <v>150</v>
      </c>
      <c r="N67" s="41" t="s">
        <v>147</v>
      </c>
      <c r="O67" s="42">
        <v>8</v>
      </c>
      <c r="P67" s="42">
        <v>2</v>
      </c>
      <c r="Q67" s="25" t="str">
        <f>VLOOKUP(P67,Key!$E$2:$F$9,2,FALSE)</f>
        <v>Work</v>
      </c>
      <c r="R67" s="25" t="str">
        <f t="shared" si="0"/>
        <v>Work-Work</v>
      </c>
      <c r="S67" s="47">
        <v>1</v>
      </c>
      <c r="T67" s="47">
        <v>0.1</v>
      </c>
      <c r="U67" s="42">
        <v>2</v>
      </c>
      <c r="V67" s="42"/>
      <c r="W67" s="47"/>
      <c r="X67" s="47"/>
      <c r="Y67" s="48" t="s">
        <v>146</v>
      </c>
      <c r="Z67" s="56"/>
      <c r="AA67" s="25">
        <f>VLOOKUP(F67,'Zones (3)'!$A$2:$F$15913,6,FALSE)</f>
        <v>422</v>
      </c>
      <c r="AB67" s="25">
        <f>VLOOKUP(L67,'Zones (3)'!$A$1:$F$15616,6,FALSE)</f>
        <v>538</v>
      </c>
    </row>
    <row r="68" spans="2:28" s="19" customFormat="1">
      <c r="B68" s="39">
        <v>0.74652777777777779</v>
      </c>
      <c r="C68" s="39" t="s">
        <v>615</v>
      </c>
      <c r="D68" s="40">
        <v>8</v>
      </c>
      <c r="E68" s="41">
        <v>1</v>
      </c>
      <c r="F68" s="41" t="s">
        <v>164</v>
      </c>
      <c r="G68" s="42" t="s">
        <v>150</v>
      </c>
      <c r="H68" s="41" t="s">
        <v>147</v>
      </c>
      <c r="I68" s="42">
        <v>10</v>
      </c>
      <c r="J68" s="42">
        <v>2</v>
      </c>
      <c r="K68" s="25" t="str">
        <f>VLOOKUP(J68,Key!$E$2:$F$9,2,FALSE)</f>
        <v>Work</v>
      </c>
      <c r="L68" s="41" t="s">
        <v>155</v>
      </c>
      <c r="M68" s="42" t="s">
        <v>148</v>
      </c>
      <c r="N68" s="41" t="s">
        <v>147</v>
      </c>
      <c r="O68" s="42">
        <v>15</v>
      </c>
      <c r="P68" s="42">
        <v>4</v>
      </c>
      <c r="Q68" s="25" t="str">
        <f>VLOOKUP(P68,Key!$E$2:$F$9,2,FALSE)</f>
        <v>Commercial</v>
      </c>
      <c r="R68" s="25" t="str">
        <f t="shared" si="0"/>
        <v>Work-Commercial</v>
      </c>
      <c r="S68" s="47">
        <v>3</v>
      </c>
      <c r="T68" s="47">
        <v>0.1</v>
      </c>
      <c r="U68" s="42">
        <v>2</v>
      </c>
      <c r="V68" s="42">
        <v>11</v>
      </c>
      <c r="W68" s="47"/>
      <c r="X68" s="47"/>
      <c r="Y68" s="48" t="s">
        <v>146</v>
      </c>
      <c r="Z68" s="56"/>
      <c r="AA68" s="25">
        <f>VLOOKUP(F68,'Zones (3)'!$A$2:$F$15913,6,FALSE)</f>
        <v>538</v>
      </c>
      <c r="AB68" s="25">
        <f>VLOOKUP(L68,'Zones (3)'!$A$1:$F$15616,6,FALSE)</f>
        <v>987</v>
      </c>
    </row>
    <row r="69" spans="2:28" s="19" customFormat="1">
      <c r="B69" s="39">
        <v>0.74236111111111114</v>
      </c>
      <c r="C69" s="39" t="s">
        <v>616</v>
      </c>
      <c r="D69" s="40">
        <v>3</v>
      </c>
      <c r="E69" s="41">
        <v>1</v>
      </c>
      <c r="F69" s="41" t="s">
        <v>171</v>
      </c>
      <c r="G69" s="42" t="s">
        <v>150</v>
      </c>
      <c r="H69" s="41" t="s">
        <v>147</v>
      </c>
      <c r="I69" s="42">
        <v>12</v>
      </c>
      <c r="J69" s="42">
        <v>4</v>
      </c>
      <c r="K69" s="25" t="str">
        <f>VLOOKUP(J69,Key!$E$2:$F$9,2,FALSE)</f>
        <v>Commercial</v>
      </c>
      <c r="L69" s="41" t="s">
        <v>155</v>
      </c>
      <c r="M69" s="42" t="s">
        <v>148</v>
      </c>
      <c r="N69" s="41" t="s">
        <v>147</v>
      </c>
      <c r="O69" s="42">
        <v>11</v>
      </c>
      <c r="P69" s="42">
        <v>4</v>
      </c>
      <c r="Q69" s="25" t="str">
        <f>VLOOKUP(P69,Key!$E$2:$F$9,2,FALSE)</f>
        <v>Commercial</v>
      </c>
      <c r="R69" s="25" t="str">
        <f t="shared" si="0"/>
        <v>Commercial-Commercial</v>
      </c>
      <c r="S69" s="47">
        <v>31</v>
      </c>
      <c r="T69" s="47">
        <v>2</v>
      </c>
      <c r="U69" s="42">
        <v>1</v>
      </c>
      <c r="V69" s="42">
        <v>10</v>
      </c>
      <c r="W69" s="47"/>
      <c r="X69" s="47"/>
      <c r="Y69" s="48" t="s">
        <v>146</v>
      </c>
      <c r="Z69" s="56"/>
      <c r="AA69" s="25">
        <f>VLOOKUP(F69,'Zones (3)'!$A$2:$F$15913,6,FALSE)</f>
        <v>379</v>
      </c>
      <c r="AB69" s="25">
        <f>VLOOKUP(L69,'Zones (3)'!$A$1:$F$15616,6,FALSE)</f>
        <v>987</v>
      </c>
    </row>
    <row r="70" spans="2:28" s="19" customFormat="1">
      <c r="B70" s="39">
        <v>0.73402777777777783</v>
      </c>
      <c r="C70" s="39" t="s">
        <v>617</v>
      </c>
      <c r="D70" s="40">
        <v>8</v>
      </c>
      <c r="E70" s="41">
        <v>2</v>
      </c>
      <c r="F70" s="41" t="s">
        <v>349</v>
      </c>
      <c r="G70" s="42" t="s">
        <v>3217</v>
      </c>
      <c r="H70" s="41" t="s">
        <v>147</v>
      </c>
      <c r="I70" s="42">
        <v>15</v>
      </c>
      <c r="J70" s="42">
        <v>4</v>
      </c>
      <c r="K70" s="25" t="str">
        <f>VLOOKUP(J70,Key!$E$2:$F$9,2,FALSE)</f>
        <v>Commercial</v>
      </c>
      <c r="L70" s="41" t="s">
        <v>155</v>
      </c>
      <c r="M70" s="42" t="s">
        <v>148</v>
      </c>
      <c r="N70" s="41" t="s">
        <v>147</v>
      </c>
      <c r="O70" s="42">
        <v>10</v>
      </c>
      <c r="P70" s="42">
        <v>2</v>
      </c>
      <c r="Q70" s="25" t="str">
        <f>VLOOKUP(P70,Key!$E$2:$F$9,2,FALSE)</f>
        <v>Work</v>
      </c>
      <c r="R70" s="25" t="str">
        <f t="shared" si="0"/>
        <v>Commercial-Work</v>
      </c>
      <c r="S70" s="47">
        <v>7</v>
      </c>
      <c r="T70" s="47">
        <v>0.2</v>
      </c>
      <c r="U70" s="42">
        <v>3</v>
      </c>
      <c r="V70" s="42">
        <v>4</v>
      </c>
      <c r="W70" s="47">
        <v>9</v>
      </c>
      <c r="X70" s="47"/>
      <c r="Y70" s="48" t="s">
        <v>146</v>
      </c>
      <c r="Z70" s="56"/>
      <c r="AA70" s="25">
        <f>VLOOKUP(F70,'Zones (3)'!$A$2:$F$15913,6,FALSE)</f>
        <v>608</v>
      </c>
      <c r="AB70" s="25">
        <f>VLOOKUP(L70,'Zones (3)'!$A$1:$F$15616,6,FALSE)</f>
        <v>987</v>
      </c>
    </row>
    <row r="71" spans="2:28" s="19" customFormat="1">
      <c r="B71" s="39">
        <v>0.72777777777777775</v>
      </c>
      <c r="C71" s="39" t="s">
        <v>618</v>
      </c>
      <c r="D71" s="40">
        <v>1</v>
      </c>
      <c r="E71" s="41">
        <v>1</v>
      </c>
      <c r="F71" s="41" t="s">
        <v>573</v>
      </c>
      <c r="G71" s="42" t="s">
        <v>150</v>
      </c>
      <c r="H71" s="41" t="s">
        <v>147</v>
      </c>
      <c r="I71" s="42">
        <v>1</v>
      </c>
      <c r="J71" s="42">
        <v>1</v>
      </c>
      <c r="K71" s="25" t="str">
        <f>VLOOKUP(J71,Key!$E$2:$F$9,2,FALSE)</f>
        <v>Home</v>
      </c>
      <c r="L71" s="41" t="s">
        <v>155</v>
      </c>
      <c r="M71" s="42" t="s">
        <v>148</v>
      </c>
      <c r="N71" s="41" t="s">
        <v>147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0"/>
        <v>Home-Work</v>
      </c>
      <c r="S71" s="47">
        <v>5</v>
      </c>
      <c r="T71" s="47">
        <v>0.2</v>
      </c>
      <c r="U71" s="42">
        <v>2</v>
      </c>
      <c r="V71" s="42"/>
      <c r="W71" s="47"/>
      <c r="X71" s="47"/>
      <c r="Y71" s="48" t="s">
        <v>146</v>
      </c>
      <c r="Z71" s="56"/>
      <c r="AA71" s="25">
        <f>VLOOKUP(F71,'Zones (3)'!$A$2:$F$15913,6,FALSE)</f>
        <v>388</v>
      </c>
      <c r="AB71" s="25">
        <f>VLOOKUP(L71,'Zones (3)'!$A$1:$F$15616,6,FALSE)</f>
        <v>987</v>
      </c>
    </row>
    <row r="72" spans="2:28" s="19" customFormat="1">
      <c r="B72" s="39">
        <v>0.72361111111111109</v>
      </c>
      <c r="C72" s="39" t="s">
        <v>619</v>
      </c>
      <c r="D72" s="40">
        <v>2</v>
      </c>
      <c r="E72" s="41">
        <v>1</v>
      </c>
      <c r="F72" s="41" t="s">
        <v>209</v>
      </c>
      <c r="G72" s="42" t="s">
        <v>150</v>
      </c>
      <c r="H72" s="41" t="s">
        <v>147</v>
      </c>
      <c r="I72" s="42">
        <v>11</v>
      </c>
      <c r="J72" s="42">
        <v>2</v>
      </c>
      <c r="K72" s="25" t="str">
        <f>VLOOKUP(J72,Key!$E$2:$F$9,2,FALSE)</f>
        <v>Work</v>
      </c>
      <c r="L72" s="41" t="s">
        <v>155</v>
      </c>
      <c r="M72" s="42" t="s">
        <v>148</v>
      </c>
      <c r="N72" s="41" t="s">
        <v>147</v>
      </c>
      <c r="O72" s="42">
        <v>7</v>
      </c>
      <c r="P72" s="42">
        <v>2</v>
      </c>
      <c r="Q72" s="25" t="str">
        <f>VLOOKUP(P72,Key!$E$2:$F$9,2,FALSE)</f>
        <v>Work</v>
      </c>
      <c r="R72" s="25" t="str">
        <f t="shared" si="0"/>
        <v>Work-Work</v>
      </c>
      <c r="S72" s="47">
        <v>13</v>
      </c>
      <c r="T72" s="47">
        <v>0.3</v>
      </c>
      <c r="U72" s="42">
        <v>4</v>
      </c>
      <c r="V72" s="42"/>
      <c r="W72" s="47"/>
      <c r="X72" s="47"/>
      <c r="Y72" s="48" t="s">
        <v>146</v>
      </c>
      <c r="Z72" s="56"/>
      <c r="AA72" s="25">
        <f>VLOOKUP(F72,'Zones (3)'!$A$2:$F$15913,6,FALSE)</f>
        <v>379</v>
      </c>
      <c r="AB72" s="25">
        <f>VLOOKUP(L72,'Zones (3)'!$A$1:$F$15616,6,FALSE)</f>
        <v>987</v>
      </c>
    </row>
    <row r="73" spans="2:28" s="19" customFormat="1">
      <c r="B73" s="39">
        <v>0.71527777777777779</v>
      </c>
      <c r="C73" s="39" t="s">
        <v>327</v>
      </c>
      <c r="D73" s="40">
        <v>1</v>
      </c>
      <c r="E73" s="41">
        <v>2</v>
      </c>
      <c r="F73" s="41" t="s">
        <v>171</v>
      </c>
      <c r="G73" s="42" t="s">
        <v>150</v>
      </c>
      <c r="H73" s="41" t="s">
        <v>147</v>
      </c>
      <c r="I73" s="42">
        <v>1</v>
      </c>
      <c r="J73" s="42">
        <v>1</v>
      </c>
      <c r="K73" s="25" t="str">
        <f>VLOOKUP(J73,Key!$E$2:$F$9,2,FALSE)</f>
        <v>Home</v>
      </c>
      <c r="L73" s="41" t="s">
        <v>155</v>
      </c>
      <c r="M73" s="42" t="s">
        <v>148</v>
      </c>
      <c r="N73" s="41" t="s">
        <v>147</v>
      </c>
      <c r="O73" s="42">
        <v>2</v>
      </c>
      <c r="P73" s="42">
        <v>2</v>
      </c>
      <c r="Q73" s="25" t="str">
        <f>VLOOKUP(P73,Key!$E$2:$F$9,2,FALSE)</f>
        <v>Work</v>
      </c>
      <c r="R73" s="25" t="str">
        <f t="shared" si="0"/>
        <v>Home-Work</v>
      </c>
      <c r="S73" s="47">
        <v>31</v>
      </c>
      <c r="T73" s="47">
        <v>2</v>
      </c>
      <c r="U73" s="42">
        <v>2</v>
      </c>
      <c r="V73" s="42"/>
      <c r="W73" s="47"/>
      <c r="X73" s="47"/>
      <c r="Y73" s="48" t="s">
        <v>146</v>
      </c>
      <c r="Z73" s="56"/>
      <c r="AA73" s="25">
        <f>VLOOKUP(F73,'Zones (3)'!$A$2:$F$15913,6,FALSE)</f>
        <v>379</v>
      </c>
      <c r="AB73" s="25">
        <f>VLOOKUP(L73,'Zones (3)'!$A$1:$F$15616,6,FALSE)</f>
        <v>987</v>
      </c>
    </row>
    <row r="74" spans="2:28" s="19" customFormat="1">
      <c r="B74" s="39">
        <v>0.70694444444444438</v>
      </c>
      <c r="C74" s="39" t="s">
        <v>620</v>
      </c>
      <c r="D74" s="40">
        <v>2</v>
      </c>
      <c r="E74" s="41">
        <v>1</v>
      </c>
      <c r="F74" s="41" t="s">
        <v>169</v>
      </c>
      <c r="G74" s="42" t="s">
        <v>150</v>
      </c>
      <c r="H74" s="41" t="s">
        <v>147</v>
      </c>
      <c r="I74" s="42">
        <v>9</v>
      </c>
      <c r="J74" s="42">
        <v>4</v>
      </c>
      <c r="K74" s="25" t="str">
        <f>VLOOKUP(J74,Key!$E$2:$F$9,2,FALSE)</f>
        <v>Commercial</v>
      </c>
      <c r="L74" s="41" t="s">
        <v>155</v>
      </c>
      <c r="M74" s="42" t="s">
        <v>148</v>
      </c>
      <c r="N74" s="41" t="s">
        <v>147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ref="R74:R82" si="1">K74&amp;"-"&amp;Q74</f>
        <v>Commercial-Home</v>
      </c>
      <c r="S74" s="47">
        <v>10</v>
      </c>
      <c r="T74" s="47">
        <v>0.3</v>
      </c>
      <c r="U74" s="42">
        <v>3</v>
      </c>
      <c r="V74" s="42"/>
      <c r="W74" s="47"/>
      <c r="X74" s="47"/>
      <c r="Y74" s="48" t="s">
        <v>146</v>
      </c>
      <c r="Z74" s="56"/>
      <c r="AA74" s="25">
        <f>VLOOKUP(F74,'Zones (3)'!$A$2:$F$15913,6,FALSE)</f>
        <v>380</v>
      </c>
      <c r="AB74" s="25">
        <f>VLOOKUP(L74,'Zones (3)'!$A$1:$F$15616,6,FALSE)</f>
        <v>987</v>
      </c>
    </row>
    <row r="75" spans="2:28" s="19" customFormat="1">
      <c r="B75" s="39">
        <v>0.69513888888888886</v>
      </c>
      <c r="C75" s="39" t="s">
        <v>621</v>
      </c>
      <c r="D75" s="40">
        <v>1</v>
      </c>
      <c r="E75" s="41">
        <v>1</v>
      </c>
      <c r="F75" s="41" t="s">
        <v>164</v>
      </c>
      <c r="G75" s="42" t="s">
        <v>150</v>
      </c>
      <c r="H75" s="41" t="s">
        <v>147</v>
      </c>
      <c r="I75" s="42">
        <v>4</v>
      </c>
      <c r="J75" s="42">
        <v>3</v>
      </c>
      <c r="K75" s="25" t="str">
        <f>VLOOKUP(J75,Key!$E$2:$F$9,2,FALSE)</f>
        <v>Study</v>
      </c>
      <c r="L75" s="41" t="s">
        <v>155</v>
      </c>
      <c r="M75" s="42" t="s">
        <v>148</v>
      </c>
      <c r="N75" s="41" t="s">
        <v>147</v>
      </c>
      <c r="O75" s="42">
        <v>16</v>
      </c>
      <c r="P75" s="42">
        <v>8</v>
      </c>
      <c r="Q75" s="25" t="str">
        <f>VLOOKUP(P75,Key!$E$2:$F$9,2,FALSE)</f>
        <v>Others</v>
      </c>
      <c r="R75" s="25" t="str">
        <f t="shared" si="1"/>
        <v>Study-Others</v>
      </c>
      <c r="S75" s="47">
        <v>5</v>
      </c>
      <c r="T75" s="47">
        <v>0.2</v>
      </c>
      <c r="U75" s="42">
        <v>2</v>
      </c>
      <c r="V75" s="42"/>
      <c r="W75" s="47"/>
      <c r="X75" s="47"/>
      <c r="Y75" s="48" t="s">
        <v>146</v>
      </c>
      <c r="Z75" s="56"/>
      <c r="AA75" s="25">
        <f>VLOOKUP(F75,'Zones (3)'!$A$2:$F$15913,6,FALSE)</f>
        <v>538</v>
      </c>
      <c r="AB75" s="25">
        <f>VLOOKUP(L75,'Zones (3)'!$A$1:$F$15616,6,FALSE)</f>
        <v>987</v>
      </c>
    </row>
    <row r="76" spans="2:28" s="19" customFormat="1">
      <c r="B76" s="39">
        <v>0.6875</v>
      </c>
      <c r="C76" s="39" t="s">
        <v>622</v>
      </c>
      <c r="D76" s="40">
        <v>8</v>
      </c>
      <c r="E76" s="41">
        <v>2</v>
      </c>
      <c r="F76" s="41" t="s">
        <v>171</v>
      </c>
      <c r="G76" s="42" t="s">
        <v>150</v>
      </c>
      <c r="H76" s="41" t="s">
        <v>147</v>
      </c>
      <c r="I76" s="42">
        <v>14</v>
      </c>
      <c r="J76" s="42">
        <v>4</v>
      </c>
      <c r="K76" s="25" t="str">
        <f>VLOOKUP(J76,Key!$E$2:$F$9,2,FALSE)</f>
        <v>Commercial</v>
      </c>
      <c r="L76" s="41" t="s">
        <v>173</v>
      </c>
      <c r="M76" s="42" t="s">
        <v>148</v>
      </c>
      <c r="N76" s="41" t="s">
        <v>147</v>
      </c>
      <c r="O76" s="42">
        <v>12</v>
      </c>
      <c r="P76" s="42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47">
        <v>31</v>
      </c>
      <c r="T76" s="47">
        <v>1</v>
      </c>
      <c r="U76" s="42">
        <v>4</v>
      </c>
      <c r="V76" s="42">
        <v>6</v>
      </c>
      <c r="W76" s="47"/>
      <c r="X76" s="47"/>
      <c r="Y76" s="48" t="s">
        <v>146</v>
      </c>
      <c r="Z76" s="56"/>
      <c r="AA76" s="25">
        <f>VLOOKUP(F76,'Zones (3)'!$A$2:$F$15913,6,FALSE)</f>
        <v>379</v>
      </c>
      <c r="AB76" s="25">
        <f>VLOOKUP(L76,'Zones (3)'!$A$1:$F$15616,6,FALSE)</f>
        <v>987</v>
      </c>
    </row>
    <row r="77" spans="2:28" s="19" customFormat="1">
      <c r="B77" s="39">
        <v>0.53194444444444444</v>
      </c>
      <c r="C77" s="39" t="s">
        <v>623</v>
      </c>
      <c r="D77" s="40">
        <v>1</v>
      </c>
      <c r="E77" s="41">
        <v>3</v>
      </c>
      <c r="F77" s="41" t="s">
        <v>164</v>
      </c>
      <c r="G77" s="42" t="s">
        <v>150</v>
      </c>
      <c r="H77" s="41" t="s">
        <v>147</v>
      </c>
      <c r="I77" s="42">
        <v>1</v>
      </c>
      <c r="J77" s="42">
        <v>1</v>
      </c>
      <c r="K77" s="25" t="str">
        <f>VLOOKUP(J77,Key!$E$2:$F$9,2,FALSE)</f>
        <v>Home</v>
      </c>
      <c r="L77" s="41" t="s">
        <v>155</v>
      </c>
      <c r="M77" s="42" t="s">
        <v>148</v>
      </c>
      <c r="N77" s="41" t="s">
        <v>147</v>
      </c>
      <c r="O77" s="42">
        <v>5</v>
      </c>
      <c r="P77" s="42">
        <v>7</v>
      </c>
      <c r="Q77" s="25" t="str">
        <f>VLOOKUP(P77,Key!$E$2:$F$9,2,FALSE)</f>
        <v>Hospital</v>
      </c>
      <c r="R77" s="25" t="str">
        <f t="shared" si="1"/>
        <v>Home-Hospital</v>
      </c>
      <c r="S77" s="47">
        <v>4</v>
      </c>
      <c r="T77" s="47">
        <v>0.1</v>
      </c>
      <c r="U77" s="42">
        <v>4</v>
      </c>
      <c r="V77" s="42"/>
      <c r="W77" s="47"/>
      <c r="X77" s="47"/>
      <c r="Y77" s="48" t="s">
        <v>146</v>
      </c>
      <c r="Z77" s="56"/>
      <c r="AA77" s="25">
        <f>VLOOKUP(F77,'Zones (3)'!$A$2:$F$15913,6,FALSE)</f>
        <v>538</v>
      </c>
      <c r="AB77" s="25">
        <f>VLOOKUP(L77,'Zones (3)'!$A$1:$F$15616,6,FALSE)</f>
        <v>987</v>
      </c>
    </row>
    <row r="78" spans="2:28" s="19" customFormat="1">
      <c r="B78" s="39">
        <v>0.52708333333333335</v>
      </c>
      <c r="C78" s="39" t="s">
        <v>624</v>
      </c>
      <c r="D78" s="40">
        <v>1</v>
      </c>
      <c r="E78" s="41">
        <v>1</v>
      </c>
      <c r="F78" s="41" t="s">
        <v>262</v>
      </c>
      <c r="G78" s="42" t="s">
        <v>527</v>
      </c>
      <c r="H78" s="41" t="s">
        <v>147</v>
      </c>
      <c r="I78" s="42">
        <v>4</v>
      </c>
      <c r="J78" s="42">
        <v>3</v>
      </c>
      <c r="K78" s="25" t="str">
        <f>VLOOKUP(J78,Key!$E$2:$F$9,2,FALSE)</f>
        <v>Study</v>
      </c>
      <c r="L78" s="41" t="s">
        <v>155</v>
      </c>
      <c r="M78" s="42" t="s">
        <v>148</v>
      </c>
      <c r="N78" s="41" t="s">
        <v>147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1"/>
        <v>Study-Home</v>
      </c>
      <c r="S78" s="47">
        <v>5</v>
      </c>
      <c r="T78" s="47">
        <v>0.2</v>
      </c>
      <c r="U78" s="42">
        <v>2</v>
      </c>
      <c r="V78" s="42"/>
      <c r="W78" s="47"/>
      <c r="X78" s="47"/>
      <c r="Y78" s="48" t="s">
        <v>146</v>
      </c>
      <c r="Z78" s="56"/>
      <c r="AA78" s="25">
        <f>VLOOKUP(F78,'Zones (3)'!$A$2:$F$15913,6,FALSE)</f>
        <v>850</v>
      </c>
      <c r="AB78" s="25">
        <f>VLOOKUP(L78,'Zones (3)'!$A$1:$F$15616,6,FALSE)</f>
        <v>987</v>
      </c>
    </row>
    <row r="79" spans="2:28" s="19" customFormat="1">
      <c r="B79" s="39">
        <v>0.52083333333333337</v>
      </c>
      <c r="C79" s="39" t="s">
        <v>625</v>
      </c>
      <c r="D79" s="40">
        <v>3</v>
      </c>
      <c r="E79" s="41">
        <v>2</v>
      </c>
      <c r="F79" s="41" t="s">
        <v>171</v>
      </c>
      <c r="G79" s="42" t="s">
        <v>150</v>
      </c>
      <c r="H79" s="41" t="s">
        <v>147</v>
      </c>
      <c r="I79" s="42">
        <v>2</v>
      </c>
      <c r="J79" s="42">
        <v>2</v>
      </c>
      <c r="K79" s="25" t="str">
        <f>VLOOKUP(J79,Key!$E$2:$F$9,2,FALSE)</f>
        <v>Work</v>
      </c>
      <c r="L79" s="41" t="s">
        <v>155</v>
      </c>
      <c r="M79" s="42" t="s">
        <v>148</v>
      </c>
      <c r="N79" s="41" t="s">
        <v>147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47">
        <v>31</v>
      </c>
      <c r="T79" s="47">
        <v>1.5</v>
      </c>
      <c r="U79" s="42">
        <v>2</v>
      </c>
      <c r="V79" s="42"/>
      <c r="W79" s="47"/>
      <c r="X79" s="47"/>
      <c r="Y79" s="48" t="s">
        <v>146</v>
      </c>
      <c r="Z79" s="56"/>
      <c r="AA79" s="25">
        <f>VLOOKUP(F79,'Zones (3)'!$A$2:$F$15913,6,FALSE)</f>
        <v>379</v>
      </c>
      <c r="AB79" s="25">
        <f>VLOOKUP(L79,'Zones (3)'!$A$1:$F$15616,6,FALSE)</f>
        <v>987</v>
      </c>
    </row>
    <row r="80" spans="2:28" s="19" customFormat="1">
      <c r="B80" s="39">
        <v>0.51041666666666663</v>
      </c>
      <c r="C80" s="39" t="s">
        <v>626</v>
      </c>
      <c r="D80" s="40">
        <v>1</v>
      </c>
      <c r="E80" s="41">
        <v>1</v>
      </c>
      <c r="F80" s="41" t="s">
        <v>171</v>
      </c>
      <c r="G80" s="42" t="s">
        <v>150</v>
      </c>
      <c r="H80" s="41" t="s">
        <v>147</v>
      </c>
      <c r="I80" s="42">
        <v>1</v>
      </c>
      <c r="J80" s="42">
        <v>1</v>
      </c>
      <c r="K80" s="25" t="str">
        <f>VLOOKUP(J80,Key!$E$2:$F$9,2,FALSE)</f>
        <v>Home</v>
      </c>
      <c r="L80" s="41" t="s">
        <v>155</v>
      </c>
      <c r="M80" s="42" t="s">
        <v>148</v>
      </c>
      <c r="N80" s="41" t="s">
        <v>147</v>
      </c>
      <c r="O80" s="42">
        <v>16</v>
      </c>
      <c r="P80" s="42">
        <v>8</v>
      </c>
      <c r="Q80" s="25" t="str">
        <f>VLOOKUP(P80,Key!$E$2:$F$9,2,FALSE)</f>
        <v>Others</v>
      </c>
      <c r="R80" s="25" t="str">
        <f t="shared" si="1"/>
        <v>Home-Others</v>
      </c>
      <c r="S80" s="47">
        <v>32</v>
      </c>
      <c r="T80" s="47">
        <v>1</v>
      </c>
      <c r="U80" s="42">
        <v>3</v>
      </c>
      <c r="V80" s="42"/>
      <c r="W80" s="47"/>
      <c r="X80" s="47"/>
      <c r="Y80" s="48" t="s">
        <v>146</v>
      </c>
      <c r="Z80" s="56"/>
      <c r="AA80" s="25">
        <f>VLOOKUP(F80,'Zones (3)'!$A$2:$F$15913,6,FALSE)</f>
        <v>379</v>
      </c>
      <c r="AB80" s="25">
        <f>VLOOKUP(L80,'Zones (3)'!$A$1:$F$15616,6,FALSE)</f>
        <v>987</v>
      </c>
    </row>
    <row r="81" spans="2:28" s="19" customFormat="1">
      <c r="B81" s="39">
        <v>0.49722222222222223</v>
      </c>
      <c r="C81" s="39" t="s">
        <v>627</v>
      </c>
      <c r="D81" s="40">
        <v>1</v>
      </c>
      <c r="E81" s="41">
        <v>1</v>
      </c>
      <c r="F81" s="41" t="s">
        <v>349</v>
      </c>
      <c r="G81" s="42" t="s">
        <v>3217</v>
      </c>
      <c r="H81" s="41" t="s">
        <v>147</v>
      </c>
      <c r="I81" s="42">
        <v>1</v>
      </c>
      <c r="J81" s="42">
        <v>1</v>
      </c>
      <c r="K81" s="25" t="str">
        <f>VLOOKUP(J81,Key!$E$2:$F$9,2,FALSE)</f>
        <v>Home</v>
      </c>
      <c r="L81" s="41" t="s">
        <v>155</v>
      </c>
      <c r="M81" s="42" t="s">
        <v>148</v>
      </c>
      <c r="N81" s="41" t="s">
        <v>147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7">
        <v>4</v>
      </c>
      <c r="T81" s="47">
        <v>0.1</v>
      </c>
      <c r="U81" s="42">
        <v>2</v>
      </c>
      <c r="V81" s="42"/>
      <c r="W81" s="47"/>
      <c r="X81" s="47"/>
      <c r="Y81" s="48" t="s">
        <v>146</v>
      </c>
      <c r="Z81" s="56"/>
      <c r="AA81" s="25">
        <f>VLOOKUP(F81,'Zones (3)'!$A$2:$F$15913,6,FALSE)</f>
        <v>608</v>
      </c>
      <c r="AB81" s="25">
        <f>VLOOKUP(L81,'Zones (3)'!$A$1:$F$15616,6,FALSE)</f>
        <v>987</v>
      </c>
    </row>
    <row r="82" spans="2:28" s="19" customFormat="1">
      <c r="B82" s="39">
        <v>0.4916666666666667</v>
      </c>
      <c r="C82" s="39" t="s">
        <v>628</v>
      </c>
      <c r="D82" s="40">
        <v>1</v>
      </c>
      <c r="E82" s="41">
        <v>3</v>
      </c>
      <c r="F82" s="41" t="s">
        <v>169</v>
      </c>
      <c r="G82" s="42" t="s">
        <v>150</v>
      </c>
      <c r="H82" s="41" t="s">
        <v>147</v>
      </c>
      <c r="I82" s="42">
        <v>16</v>
      </c>
      <c r="J82" s="42">
        <v>8</v>
      </c>
      <c r="K82" s="25" t="str">
        <f>VLOOKUP(J82,Key!$E$2:$F$9,2,FALSE)</f>
        <v>Others</v>
      </c>
      <c r="L82" s="41" t="s">
        <v>155</v>
      </c>
      <c r="M82" s="42" t="s">
        <v>148</v>
      </c>
      <c r="N82" s="41" t="s">
        <v>147</v>
      </c>
      <c r="O82" s="42">
        <v>16</v>
      </c>
      <c r="P82" s="42">
        <v>8</v>
      </c>
      <c r="Q82" s="25" t="str">
        <f>VLOOKUP(P82,Key!$E$2:$F$9,2,FALSE)</f>
        <v>Others</v>
      </c>
      <c r="R82" s="25" t="str">
        <f t="shared" si="1"/>
        <v>Others-Others</v>
      </c>
      <c r="S82" s="47"/>
      <c r="T82" s="47">
        <v>1</v>
      </c>
      <c r="U82" s="42">
        <v>2</v>
      </c>
      <c r="V82" s="42"/>
      <c r="W82" s="47"/>
      <c r="X82" s="47"/>
      <c r="Y82" s="48" t="s">
        <v>146</v>
      </c>
      <c r="Z82" s="56"/>
      <c r="AA82" s="25">
        <f>VLOOKUP(F82,'Zones (3)'!$A$2:$F$15913,6,FALSE)</f>
        <v>380</v>
      </c>
      <c r="AB82" s="25">
        <f>VLOOKUP(L82,'Zones (3)'!$A$1:$F$15616,6,FALSE)</f>
        <v>987</v>
      </c>
    </row>
    <row r="83" spans="2:28">
      <c r="B83" s="39">
        <v>0.4861111111111111</v>
      </c>
      <c r="C83" s="39" t="s">
        <v>456</v>
      </c>
      <c r="D83" s="40">
        <v>8</v>
      </c>
      <c r="E83" s="41">
        <v>2</v>
      </c>
      <c r="F83" s="41" t="s">
        <v>155</v>
      </c>
      <c r="G83" s="42" t="s">
        <v>148</v>
      </c>
      <c r="H83" s="41" t="s">
        <v>147</v>
      </c>
      <c r="I83" s="42">
        <v>7</v>
      </c>
      <c r="J83" s="42">
        <v>4</v>
      </c>
      <c r="K83" s="25" t="str">
        <f>VLOOKUP(J83,Key!$E$2:$F$9,2,FALSE)</f>
        <v>Commercial</v>
      </c>
      <c r="L83" s="41" t="s">
        <v>457</v>
      </c>
      <c r="M83" s="42" t="s">
        <v>150</v>
      </c>
      <c r="N83" s="41" t="s">
        <v>147</v>
      </c>
      <c r="O83" s="42">
        <v>10</v>
      </c>
      <c r="P83" s="42">
        <v>2</v>
      </c>
      <c r="Q83" s="25" t="str">
        <f>VLOOKUP(P83,Key!$E$2:$F$9,2,FALSE)</f>
        <v>Work</v>
      </c>
      <c r="R83" s="25" t="str">
        <f>K83&amp;"-"&amp;Q83</f>
        <v>Commercial-Work</v>
      </c>
      <c r="S83" s="47"/>
      <c r="T83" s="47"/>
      <c r="U83" s="42">
        <v>1</v>
      </c>
      <c r="V83" s="42"/>
      <c r="W83" s="47"/>
      <c r="X83" s="47"/>
      <c r="Y83" s="48" t="s">
        <v>146</v>
      </c>
      <c r="Z83" s="56"/>
      <c r="AA83" s="25">
        <f>VLOOKUP(F83,'Zones (3)'!$A$2:$F$15913,6,FALSE)</f>
        <v>987</v>
      </c>
      <c r="AB83" s="25">
        <f>VLOOKUP(L83,'Zones (3)'!$A$2:$F$15616,6,FALSE)</f>
        <v>376</v>
      </c>
    </row>
    <row r="84" spans="2:28">
      <c r="B84" s="39">
        <v>0.5</v>
      </c>
      <c r="C84" s="39" t="s">
        <v>458</v>
      </c>
      <c r="D84" s="40">
        <v>11</v>
      </c>
      <c r="E84" s="41">
        <v>2</v>
      </c>
      <c r="F84" s="41" t="s">
        <v>164</v>
      </c>
      <c r="G84" s="42" t="s">
        <v>150</v>
      </c>
      <c r="H84" s="41" t="s">
        <v>147</v>
      </c>
      <c r="I84" s="42">
        <v>8</v>
      </c>
      <c r="J84" s="42">
        <v>2</v>
      </c>
      <c r="K84" s="25" t="str">
        <f>VLOOKUP(J84,Key!$E$2:$F$9,2,FALSE)</f>
        <v>Work</v>
      </c>
      <c r="L84" s="41" t="s">
        <v>459</v>
      </c>
      <c r="M84" s="42" t="s">
        <v>150</v>
      </c>
      <c r="N84" s="41" t="s">
        <v>147</v>
      </c>
      <c r="O84" s="42">
        <v>8</v>
      </c>
      <c r="P84" s="42">
        <v>4</v>
      </c>
      <c r="Q84" s="25" t="str">
        <f>VLOOKUP(P84,Key!$E$2:$F$9,2,FALSE)</f>
        <v>Commercial</v>
      </c>
      <c r="R84" s="25" t="str">
        <f t="shared" ref="R84:R147" si="2">K84&amp;"-"&amp;Q84</f>
        <v>Work-Commercial</v>
      </c>
      <c r="S84" s="47">
        <v>2</v>
      </c>
      <c r="T84" s="47">
        <v>0.2</v>
      </c>
      <c r="U84" s="42">
        <v>1</v>
      </c>
      <c r="V84" s="42"/>
      <c r="W84" s="47"/>
      <c r="X84" s="47"/>
      <c r="Y84" s="48" t="s">
        <v>146</v>
      </c>
      <c r="Z84" s="56"/>
      <c r="AA84" s="25">
        <f>VLOOKUP(F84,'Zones (3)'!$A$2:$F$15913,6,FALSE)</f>
        <v>538</v>
      </c>
      <c r="AB84" s="25">
        <f>VLOOKUP(L84,'Zones (3)'!$A$2:$F$15616,6,FALSE)</f>
        <v>379</v>
      </c>
    </row>
    <row r="85" spans="2:28">
      <c r="B85" s="39">
        <v>0.50347222222222221</v>
      </c>
      <c r="C85" s="39" t="s">
        <v>460</v>
      </c>
      <c r="D85" s="40">
        <v>8</v>
      </c>
      <c r="E85" s="41">
        <v>1</v>
      </c>
      <c r="F85" s="41" t="s">
        <v>164</v>
      </c>
      <c r="G85" s="42" t="s">
        <v>150</v>
      </c>
      <c r="H85" s="41" t="s">
        <v>147</v>
      </c>
      <c r="I85" s="42">
        <v>10</v>
      </c>
      <c r="J85" s="42">
        <v>2</v>
      </c>
      <c r="K85" s="25" t="str">
        <f>VLOOKUP(J85,Key!$E$2:$F$9,2,FALSE)</f>
        <v>Work</v>
      </c>
      <c r="L85" s="41" t="s">
        <v>191</v>
      </c>
      <c r="M85" s="42" t="s">
        <v>150</v>
      </c>
      <c r="N85" s="41" t="s">
        <v>147</v>
      </c>
      <c r="O85" s="42">
        <v>15</v>
      </c>
      <c r="P85" s="42">
        <v>4</v>
      </c>
      <c r="Q85" s="25" t="str">
        <f>VLOOKUP(P85,Key!$E$2:$F$9,2,FALSE)</f>
        <v>Commercial</v>
      </c>
      <c r="R85" s="25" t="str">
        <f t="shared" si="2"/>
        <v>Work-Commercial</v>
      </c>
      <c r="S85" s="47">
        <v>1</v>
      </c>
      <c r="T85" s="47">
        <v>0</v>
      </c>
      <c r="U85" s="42">
        <v>1</v>
      </c>
      <c r="V85" s="42">
        <v>11</v>
      </c>
      <c r="W85" s="47"/>
      <c r="X85" s="47"/>
      <c r="Y85" s="48" t="s">
        <v>146</v>
      </c>
      <c r="Z85" s="56"/>
      <c r="AA85" s="25">
        <f>VLOOKUP(F85,'Zones (3)'!$A$2:$F$15913,6,FALSE)</f>
        <v>538</v>
      </c>
      <c r="AB85" s="25">
        <f>VLOOKUP(L85,'Zones (3)'!$A$2:$F$15616,6,FALSE)</f>
        <v>422</v>
      </c>
    </row>
    <row r="86" spans="2:28">
      <c r="B86" s="39">
        <v>0.50694444444444442</v>
      </c>
      <c r="C86" s="39" t="s">
        <v>461</v>
      </c>
      <c r="D86" s="40">
        <v>1</v>
      </c>
      <c r="E86" s="41">
        <v>1</v>
      </c>
      <c r="F86" s="41" t="s">
        <v>155</v>
      </c>
      <c r="G86" s="42" t="s">
        <v>148</v>
      </c>
      <c r="H86" s="41" t="s">
        <v>147</v>
      </c>
      <c r="I86" s="42">
        <v>1</v>
      </c>
      <c r="J86" s="42">
        <v>1</v>
      </c>
      <c r="K86" s="25" t="str">
        <f>VLOOKUP(J86,Key!$E$2:$F$9,2,FALSE)</f>
        <v>Home</v>
      </c>
      <c r="L86" s="41" t="s">
        <v>171</v>
      </c>
      <c r="M86" s="42" t="s">
        <v>150</v>
      </c>
      <c r="N86" s="41" t="s">
        <v>147</v>
      </c>
      <c r="O86" s="42">
        <v>1</v>
      </c>
      <c r="P86" s="42">
        <v>1</v>
      </c>
      <c r="Q86" s="25" t="str">
        <f>VLOOKUP(P86,Key!$E$2:$F$9,2,FALSE)</f>
        <v>Home</v>
      </c>
      <c r="R86" s="25" t="str">
        <f t="shared" si="2"/>
        <v>Home-Home</v>
      </c>
      <c r="S86" s="47">
        <v>31</v>
      </c>
      <c r="T86" s="47">
        <v>2</v>
      </c>
      <c r="U86" s="42">
        <v>2</v>
      </c>
      <c r="V86" s="42"/>
      <c r="W86" s="47"/>
      <c r="X86" s="47"/>
      <c r="Y86" s="48" t="s">
        <v>146</v>
      </c>
      <c r="Z86" s="56"/>
      <c r="AA86" s="25">
        <f>VLOOKUP(F86,'Zones (3)'!$A$2:$F$15913,6,FALSE)</f>
        <v>987</v>
      </c>
      <c r="AB86" s="25">
        <f>VLOOKUP(L86,'Zones (3)'!$A$2:$F$15616,6,FALSE)</f>
        <v>379</v>
      </c>
    </row>
    <row r="87" spans="2:28">
      <c r="B87" s="39">
        <v>0.51041666666666663</v>
      </c>
      <c r="C87" s="39" t="s">
        <v>462</v>
      </c>
      <c r="D87" s="40">
        <v>2</v>
      </c>
      <c r="E87" s="41">
        <v>2</v>
      </c>
      <c r="F87" s="41" t="s">
        <v>155</v>
      </c>
      <c r="G87" s="42" t="s">
        <v>148</v>
      </c>
      <c r="H87" s="41" t="s">
        <v>147</v>
      </c>
      <c r="I87" s="42">
        <v>4</v>
      </c>
      <c r="J87" s="42">
        <v>3</v>
      </c>
      <c r="K87" s="25" t="str">
        <f>VLOOKUP(J87,Key!$E$2:$F$9,2,FALSE)</f>
        <v>Study</v>
      </c>
      <c r="L87" s="41" t="s">
        <v>262</v>
      </c>
      <c r="M87" s="42" t="s">
        <v>150</v>
      </c>
      <c r="N87" s="41" t="s">
        <v>147</v>
      </c>
      <c r="O87" s="42">
        <v>1</v>
      </c>
      <c r="P87" s="42">
        <v>1</v>
      </c>
      <c r="Q87" s="25" t="str">
        <f>VLOOKUP(P87,Key!$E$2:$F$9,2,FALSE)</f>
        <v>Home</v>
      </c>
      <c r="R87" s="25" t="str">
        <f t="shared" si="2"/>
        <v>Study-Home</v>
      </c>
      <c r="S87" s="47">
        <v>15</v>
      </c>
      <c r="T87" s="47">
        <v>0.3</v>
      </c>
      <c r="U87" s="42">
        <v>1</v>
      </c>
      <c r="V87" s="42"/>
      <c r="W87" s="47"/>
      <c r="X87" s="47"/>
      <c r="Y87" s="48" t="s">
        <v>146</v>
      </c>
      <c r="Z87" s="56"/>
      <c r="AA87" s="25">
        <f>VLOOKUP(F87,'Zones (3)'!$A$2:$F$15913,6,FALSE)</f>
        <v>987</v>
      </c>
      <c r="AB87" s="25">
        <f>VLOOKUP(L87,'Zones (3)'!$A$2:$F$15616,6,FALSE)</f>
        <v>850</v>
      </c>
    </row>
    <row r="88" spans="2:28">
      <c r="B88" s="39">
        <v>0.51388888888888895</v>
      </c>
      <c r="C88" s="39" t="s">
        <v>463</v>
      </c>
      <c r="D88" s="40">
        <v>1</v>
      </c>
      <c r="E88" s="41">
        <v>2</v>
      </c>
      <c r="F88" s="41" t="s">
        <v>155</v>
      </c>
      <c r="G88" s="42" t="s">
        <v>148</v>
      </c>
      <c r="H88" s="41" t="s">
        <v>147</v>
      </c>
      <c r="I88" s="42">
        <v>1</v>
      </c>
      <c r="J88" s="42">
        <v>1</v>
      </c>
      <c r="K88" s="25" t="str">
        <f>VLOOKUP(J88,Key!$E$2:$F$9,2,FALSE)</f>
        <v>Home</v>
      </c>
      <c r="L88" s="41" t="s">
        <v>209</v>
      </c>
      <c r="M88" s="42" t="s">
        <v>150</v>
      </c>
      <c r="N88" s="41" t="s">
        <v>147</v>
      </c>
      <c r="O88" s="42">
        <v>2</v>
      </c>
      <c r="P88" s="42">
        <v>2</v>
      </c>
      <c r="Q88" s="25" t="str">
        <f>VLOOKUP(P88,Key!$E$2:$F$9,2,FALSE)</f>
        <v>Work</v>
      </c>
      <c r="R88" s="25" t="str">
        <f t="shared" si="2"/>
        <v>Home-Work</v>
      </c>
      <c r="S88" s="47"/>
      <c r="T88" s="47"/>
      <c r="U88" s="42">
        <v>1</v>
      </c>
      <c r="V88" s="42"/>
      <c r="W88" s="47"/>
      <c r="X88" s="47"/>
      <c r="Y88" s="48" t="s">
        <v>146</v>
      </c>
      <c r="Z88" s="56"/>
      <c r="AA88" s="25">
        <f>VLOOKUP(F88,'Zones (3)'!$A$2:$F$15913,6,FALSE)</f>
        <v>987</v>
      </c>
      <c r="AB88" s="25">
        <f>VLOOKUP(L88,'Zones (3)'!$A$2:$F$15616,6,FALSE)</f>
        <v>379</v>
      </c>
    </row>
    <row r="89" spans="2:28">
      <c r="B89" s="39">
        <v>0.51944444444444449</v>
      </c>
      <c r="C89" s="39" t="s">
        <v>464</v>
      </c>
      <c r="D89" s="40">
        <v>2</v>
      </c>
      <c r="E89" s="41">
        <v>1</v>
      </c>
      <c r="F89" s="41" t="s">
        <v>155</v>
      </c>
      <c r="G89" s="42" t="s">
        <v>148</v>
      </c>
      <c r="H89" s="41" t="s">
        <v>147</v>
      </c>
      <c r="I89" s="42">
        <v>1</v>
      </c>
      <c r="J89" s="42">
        <v>1</v>
      </c>
      <c r="K89" s="25" t="str">
        <f>VLOOKUP(J89,Key!$E$2:$F$9,2,FALSE)</f>
        <v>Home</v>
      </c>
      <c r="L89" s="41" t="s">
        <v>171</v>
      </c>
      <c r="M89" s="42" t="s">
        <v>150</v>
      </c>
      <c r="N89" s="41" t="s">
        <v>147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2"/>
        <v>Home-Home</v>
      </c>
      <c r="S89" s="47">
        <v>40</v>
      </c>
      <c r="T89" s="47">
        <v>0.5</v>
      </c>
      <c r="U89" s="42">
        <v>1</v>
      </c>
      <c r="V89" s="42"/>
      <c r="W89" s="47"/>
      <c r="X89" s="47"/>
      <c r="Y89" s="48" t="s">
        <v>146</v>
      </c>
      <c r="Z89" s="56"/>
      <c r="AA89" s="25">
        <f>VLOOKUP(F89,'Zones (3)'!$A$2:$F$15913,6,FALSE)</f>
        <v>987</v>
      </c>
      <c r="AB89" s="25">
        <f>VLOOKUP(L89,'Zones (3)'!$A$2:$F$15616,6,FALSE)</f>
        <v>379</v>
      </c>
    </row>
    <row r="90" spans="2:28">
      <c r="B90" s="39">
        <v>0.52430555555555558</v>
      </c>
      <c r="C90" s="39" t="s">
        <v>465</v>
      </c>
      <c r="D90" s="40">
        <v>11</v>
      </c>
      <c r="E90" s="41">
        <v>1</v>
      </c>
      <c r="F90" s="41" t="s">
        <v>164</v>
      </c>
      <c r="G90" s="42" t="s">
        <v>150</v>
      </c>
      <c r="H90" s="41" t="s">
        <v>147</v>
      </c>
      <c r="I90" s="42">
        <v>8</v>
      </c>
      <c r="J90" s="42">
        <v>2</v>
      </c>
      <c r="K90" s="25" t="str">
        <f>VLOOKUP(J90,Key!$E$2:$F$9,2,FALSE)</f>
        <v>Work</v>
      </c>
      <c r="L90" s="41" t="s">
        <v>169</v>
      </c>
      <c r="M90" s="42" t="s">
        <v>150</v>
      </c>
      <c r="N90" s="41" t="s">
        <v>147</v>
      </c>
      <c r="O90" s="42">
        <v>8</v>
      </c>
      <c r="P90" s="42">
        <v>2</v>
      </c>
      <c r="Q90" s="25" t="str">
        <f>VLOOKUP(P90,Key!$E$2:$F$9,2,FALSE)</f>
        <v>Work</v>
      </c>
      <c r="R90" s="25" t="str">
        <f t="shared" si="2"/>
        <v>Work-Work</v>
      </c>
      <c r="S90" s="47">
        <v>10</v>
      </c>
      <c r="T90" s="47">
        <v>0.5</v>
      </c>
      <c r="U90" s="42">
        <v>1</v>
      </c>
      <c r="V90" s="42"/>
      <c r="W90" s="47"/>
      <c r="X90" s="47"/>
      <c r="Y90" s="48" t="s">
        <v>146</v>
      </c>
      <c r="Z90" s="56"/>
      <c r="AA90" s="25">
        <f>VLOOKUP(F90,'Zones (3)'!$A$2:$F$15913,6,FALSE)</f>
        <v>538</v>
      </c>
      <c r="AB90" s="25">
        <f>VLOOKUP(L90,'Zones (3)'!$A$2:$F$15616,6,FALSE)</f>
        <v>380</v>
      </c>
    </row>
    <row r="91" spans="2:28">
      <c r="B91" s="39">
        <v>0.68055555555555547</v>
      </c>
      <c r="C91" s="39" t="s">
        <v>466</v>
      </c>
      <c r="D91" s="40">
        <v>11</v>
      </c>
      <c r="E91" s="41">
        <v>1</v>
      </c>
      <c r="F91" s="41" t="s">
        <v>155</v>
      </c>
      <c r="G91" s="42" t="s">
        <v>148</v>
      </c>
      <c r="H91" s="41" t="s">
        <v>147</v>
      </c>
      <c r="I91" s="42">
        <v>8</v>
      </c>
      <c r="J91" s="42">
        <v>2</v>
      </c>
      <c r="K91" s="25" t="str">
        <f>VLOOKUP(J91,Key!$E$2:$F$9,2,FALSE)</f>
        <v>Work</v>
      </c>
      <c r="L91" s="41" t="s">
        <v>171</v>
      </c>
      <c r="M91" s="42" t="s">
        <v>150</v>
      </c>
      <c r="N91" s="41" t="s">
        <v>147</v>
      </c>
      <c r="O91" s="42">
        <v>8</v>
      </c>
      <c r="P91" s="42">
        <v>2</v>
      </c>
      <c r="Q91" s="25" t="str">
        <f>VLOOKUP(P91,Key!$E$2:$F$9,2,FALSE)</f>
        <v>Work</v>
      </c>
      <c r="R91" s="25" t="str">
        <f t="shared" si="2"/>
        <v>Work-Work</v>
      </c>
      <c r="S91" s="47">
        <v>40</v>
      </c>
      <c r="T91" s="47">
        <v>1</v>
      </c>
      <c r="U91" s="42">
        <v>1</v>
      </c>
      <c r="V91" s="42"/>
      <c r="W91" s="47"/>
      <c r="X91" s="47"/>
      <c r="Y91" s="48" t="s">
        <v>146</v>
      </c>
      <c r="Z91" s="56"/>
      <c r="AA91" s="25">
        <f>VLOOKUP(F91,'Zones (3)'!$A$2:$F$15913,6,FALSE)</f>
        <v>987</v>
      </c>
      <c r="AB91" s="25">
        <f>VLOOKUP(L91,'Zones (3)'!$A$2:$F$15616,6,FALSE)</f>
        <v>379</v>
      </c>
    </row>
    <row r="92" spans="2:28">
      <c r="B92" s="39">
        <v>0.54513888888888895</v>
      </c>
      <c r="C92" s="39" t="s">
        <v>467</v>
      </c>
      <c r="D92" s="40">
        <v>8</v>
      </c>
      <c r="E92" s="41">
        <v>2</v>
      </c>
      <c r="F92" s="41" t="s">
        <v>468</v>
      </c>
      <c r="G92" s="42" t="s">
        <v>469</v>
      </c>
      <c r="H92" s="41" t="s">
        <v>147</v>
      </c>
      <c r="I92" s="42">
        <v>2</v>
      </c>
      <c r="J92" s="42">
        <v>2</v>
      </c>
      <c r="K92" s="25" t="str">
        <f>VLOOKUP(J92,Key!$E$2:$F$9,2,FALSE)</f>
        <v>Work</v>
      </c>
      <c r="L92" s="41" t="s">
        <v>171</v>
      </c>
      <c r="M92" s="42" t="s">
        <v>150</v>
      </c>
      <c r="N92" s="41" t="s">
        <v>147</v>
      </c>
      <c r="O92" s="42">
        <v>2</v>
      </c>
      <c r="P92" s="42">
        <v>2</v>
      </c>
      <c r="Q92" s="25" t="str">
        <f>VLOOKUP(P92,Key!$E$2:$F$9,2,FALSE)</f>
        <v>Work</v>
      </c>
      <c r="R92" s="25" t="str">
        <f t="shared" si="2"/>
        <v>Work-Work</v>
      </c>
      <c r="S92" s="47">
        <v>260</v>
      </c>
      <c r="T92" s="47">
        <v>0.4</v>
      </c>
      <c r="U92" s="42">
        <v>1</v>
      </c>
      <c r="V92" s="42">
        <v>11</v>
      </c>
      <c r="W92" s="47"/>
      <c r="X92" s="47"/>
      <c r="Y92" s="48" t="s">
        <v>146</v>
      </c>
      <c r="Z92" s="56"/>
      <c r="AA92" s="25">
        <f>VLOOKUP(F92,'Zones (3)'!$A$2:$F$15913,6,FALSE)</f>
        <v>365</v>
      </c>
      <c r="AB92" s="25">
        <f>VLOOKUP(L92,'Zones (3)'!$A$2:$F$15616,6,FALSE)</f>
        <v>379</v>
      </c>
    </row>
    <row r="93" spans="2:28">
      <c r="B93" s="39">
        <v>0.51388888888888895</v>
      </c>
      <c r="C93" s="39" t="s">
        <v>470</v>
      </c>
      <c r="D93" s="40">
        <v>1</v>
      </c>
      <c r="E93" s="41">
        <v>1</v>
      </c>
      <c r="F93" s="41" t="s">
        <v>155</v>
      </c>
      <c r="G93" s="42" t="s">
        <v>148</v>
      </c>
      <c r="H93" s="41" t="s">
        <v>147</v>
      </c>
      <c r="I93" s="42">
        <v>4</v>
      </c>
      <c r="J93" s="42">
        <v>3</v>
      </c>
      <c r="K93" s="25" t="str">
        <f>VLOOKUP(J93,Key!$E$2:$F$9,2,FALSE)</f>
        <v>Study</v>
      </c>
      <c r="L93" s="41" t="s">
        <v>171</v>
      </c>
      <c r="M93" s="42" t="s">
        <v>150</v>
      </c>
      <c r="N93" s="41" t="s">
        <v>147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2"/>
        <v>Study-Home</v>
      </c>
      <c r="S93" s="47">
        <v>20</v>
      </c>
      <c r="T93" s="47">
        <v>2</v>
      </c>
      <c r="U93" s="42">
        <v>4</v>
      </c>
      <c r="V93" s="42"/>
      <c r="W93" s="47"/>
      <c r="X93" s="47"/>
      <c r="Y93" s="48" t="s">
        <v>146</v>
      </c>
      <c r="Z93" s="56"/>
      <c r="AA93" s="25">
        <f>VLOOKUP(F93,'Zones (3)'!$A$2:$F$15913,6,FALSE)</f>
        <v>987</v>
      </c>
      <c r="AB93" s="25">
        <f>VLOOKUP(L93,'Zones (3)'!$A$2:$F$15616,6,FALSE)</f>
        <v>379</v>
      </c>
    </row>
    <row r="94" spans="2:28">
      <c r="B94" s="39">
        <v>0.50763888888888886</v>
      </c>
      <c r="C94" s="39" t="s">
        <v>471</v>
      </c>
      <c r="D94" s="40">
        <v>1</v>
      </c>
      <c r="E94" s="41">
        <v>2</v>
      </c>
      <c r="F94" s="41" t="s">
        <v>155</v>
      </c>
      <c r="G94" s="42" t="s">
        <v>148</v>
      </c>
      <c r="H94" s="41" t="s">
        <v>147</v>
      </c>
      <c r="I94" s="42">
        <v>2</v>
      </c>
      <c r="J94" s="42">
        <v>2</v>
      </c>
      <c r="K94" s="25" t="str">
        <f>VLOOKUP(J94,Key!$E$2:$F$9,2,FALSE)</f>
        <v>Work</v>
      </c>
      <c r="L94" s="41" t="s">
        <v>173</v>
      </c>
      <c r="M94" s="42" t="s">
        <v>150</v>
      </c>
      <c r="N94" s="41" t="s">
        <v>147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2"/>
        <v>Work-Home</v>
      </c>
      <c r="S94" s="47"/>
      <c r="T94" s="47">
        <v>2</v>
      </c>
      <c r="U94" s="42">
        <v>1</v>
      </c>
      <c r="V94" s="42"/>
      <c r="W94" s="47"/>
      <c r="X94" s="47"/>
      <c r="Y94" s="48" t="s">
        <v>146</v>
      </c>
      <c r="Z94" s="56"/>
      <c r="AA94" s="25">
        <f>VLOOKUP(F94,'Zones (3)'!$A$2:$F$15913,6,FALSE)</f>
        <v>987</v>
      </c>
      <c r="AB94" s="25">
        <f>VLOOKUP(L94,'Zones (3)'!$A$2:$F$15616,6,FALSE)</f>
        <v>987</v>
      </c>
    </row>
    <row r="95" spans="2:28">
      <c r="B95" s="39">
        <v>0.52916666666666667</v>
      </c>
      <c r="C95" s="39" t="s">
        <v>472</v>
      </c>
      <c r="D95" s="40">
        <v>11</v>
      </c>
      <c r="E95" s="41">
        <v>2</v>
      </c>
      <c r="F95" s="41" t="s">
        <v>155</v>
      </c>
      <c r="G95" s="42" t="s">
        <v>148</v>
      </c>
      <c r="H95" s="41" t="s">
        <v>147</v>
      </c>
      <c r="I95" s="42">
        <v>1</v>
      </c>
      <c r="J95" s="42">
        <v>1</v>
      </c>
      <c r="K95" s="25" t="str">
        <f>VLOOKUP(J95,Key!$E$2:$F$9,2,FALSE)</f>
        <v>Home</v>
      </c>
      <c r="L95" s="41" t="s">
        <v>169</v>
      </c>
      <c r="M95" s="42" t="s">
        <v>150</v>
      </c>
      <c r="N95" s="41" t="s">
        <v>147</v>
      </c>
      <c r="O95" s="42">
        <v>8</v>
      </c>
      <c r="P95" s="42">
        <v>2</v>
      </c>
      <c r="Q95" s="25" t="str">
        <f>VLOOKUP(P95,Key!$E$2:$F$9,2,FALSE)</f>
        <v>Work</v>
      </c>
      <c r="R95" s="25" t="str">
        <f t="shared" si="2"/>
        <v>Home-Work</v>
      </c>
      <c r="S95" s="47">
        <v>40</v>
      </c>
      <c r="T95" s="47">
        <v>2</v>
      </c>
      <c r="U95" s="42">
        <v>1</v>
      </c>
      <c r="V95" s="42"/>
      <c r="W95" s="47"/>
      <c r="X95" s="47"/>
      <c r="Y95" s="48" t="s">
        <v>146</v>
      </c>
      <c r="Z95" s="56"/>
      <c r="AA95" s="25">
        <f>VLOOKUP(F95,'Zones (3)'!$A$2:$F$15913,6,FALSE)</f>
        <v>987</v>
      </c>
      <c r="AB95" s="25">
        <f>VLOOKUP(L95,'Zones (3)'!$A$2:$F$15616,6,FALSE)</f>
        <v>380</v>
      </c>
    </row>
    <row r="96" spans="2:28">
      <c r="B96" s="39">
        <v>0.52638888888888891</v>
      </c>
      <c r="C96" s="39" t="s">
        <v>473</v>
      </c>
      <c r="D96" s="40">
        <v>1</v>
      </c>
      <c r="E96" s="41">
        <v>2</v>
      </c>
      <c r="F96" s="41" t="s">
        <v>155</v>
      </c>
      <c r="G96" s="42" t="s">
        <v>148</v>
      </c>
      <c r="H96" s="41" t="s">
        <v>147</v>
      </c>
      <c r="I96" s="42">
        <v>2</v>
      </c>
      <c r="J96" s="42">
        <v>2</v>
      </c>
      <c r="K96" s="25" t="s">
        <v>102</v>
      </c>
      <c r="L96" s="41" t="s">
        <v>171</v>
      </c>
      <c r="M96" s="42" t="s">
        <v>150</v>
      </c>
      <c r="N96" s="41" t="s">
        <v>147</v>
      </c>
      <c r="O96" s="42">
        <v>1</v>
      </c>
      <c r="P96" s="42">
        <v>1</v>
      </c>
      <c r="Q96" s="25" t="s">
        <v>101</v>
      </c>
      <c r="R96" s="25" t="str">
        <f t="shared" si="2"/>
        <v>Work-Home</v>
      </c>
      <c r="S96" s="47">
        <v>12</v>
      </c>
      <c r="T96" s="47">
        <v>2</v>
      </c>
      <c r="U96" s="42">
        <v>1</v>
      </c>
      <c r="V96" s="42"/>
      <c r="W96" s="47"/>
      <c r="X96" s="47"/>
      <c r="Y96" s="48" t="s">
        <v>146</v>
      </c>
      <c r="Z96" s="56"/>
      <c r="AA96" s="25">
        <f>VLOOKUP(F96,'Zones (3)'!$A$2:$F$15913,6,FALSE)</f>
        <v>987</v>
      </c>
      <c r="AB96" s="25">
        <f>VLOOKUP(L96,'Zones (3)'!$A$2:$F$15616,6,FALSE)</f>
        <v>379</v>
      </c>
    </row>
    <row r="97" spans="2:28">
      <c r="B97" s="39">
        <v>0.6875</v>
      </c>
      <c r="C97" s="39" t="s">
        <v>474</v>
      </c>
      <c r="D97" s="40">
        <v>1</v>
      </c>
      <c r="E97" s="41">
        <v>1</v>
      </c>
      <c r="F97" s="41" t="s">
        <v>195</v>
      </c>
      <c r="G97" s="42" t="s">
        <v>148</v>
      </c>
      <c r="H97" s="41" t="s">
        <v>147</v>
      </c>
      <c r="I97" s="42">
        <v>3</v>
      </c>
      <c r="J97" s="42">
        <v>4</v>
      </c>
      <c r="K97" s="25" t="str">
        <f>VLOOKUP(J97,Key!$E$2:$F$9,2,FALSE)</f>
        <v>Commercial</v>
      </c>
      <c r="L97" s="41" t="s">
        <v>169</v>
      </c>
      <c r="M97" s="42" t="s">
        <v>150</v>
      </c>
      <c r="N97" s="41" t="s">
        <v>147</v>
      </c>
      <c r="O97" s="42">
        <v>1</v>
      </c>
      <c r="P97" s="42">
        <v>1</v>
      </c>
      <c r="Q97" s="25" t="str">
        <f>VLOOKUP(P97,Key!$E$2:$F$9,2,FALSE)</f>
        <v>Home</v>
      </c>
      <c r="R97" s="25" t="str">
        <f t="shared" si="2"/>
        <v>Commercial-Home</v>
      </c>
      <c r="S97" s="47">
        <v>3</v>
      </c>
      <c r="T97" s="47">
        <v>0.5</v>
      </c>
      <c r="U97" s="42">
        <v>2</v>
      </c>
      <c r="V97" s="42"/>
      <c r="W97" s="47"/>
      <c r="X97" s="47"/>
      <c r="Y97" s="48" t="s">
        <v>146</v>
      </c>
      <c r="Z97" s="56"/>
      <c r="AA97" s="25">
        <f>VLOOKUP(F97,'Zones (3)'!$A$2:$F$15913,6,FALSE)</f>
        <v>618</v>
      </c>
      <c r="AB97" s="25">
        <f>VLOOKUP(L97,'Zones (3)'!$A$2:$F$15616,6,FALSE)</f>
        <v>380</v>
      </c>
    </row>
    <row r="98" spans="2:28">
      <c r="B98" s="39">
        <v>0.69791666666666663</v>
      </c>
      <c r="C98" s="39" t="s">
        <v>475</v>
      </c>
      <c r="D98" s="40">
        <v>7</v>
      </c>
      <c r="E98" s="41">
        <v>3</v>
      </c>
      <c r="F98" s="41" t="s">
        <v>155</v>
      </c>
      <c r="G98" s="42" t="s">
        <v>148</v>
      </c>
      <c r="H98" s="41" t="s">
        <v>147</v>
      </c>
      <c r="I98" s="42">
        <v>10</v>
      </c>
      <c r="J98" s="42">
        <v>4</v>
      </c>
      <c r="K98" s="25" t="str">
        <f>VLOOKUP(J98,Key!$E$2:$F$9,2,FALSE)</f>
        <v>Commercial</v>
      </c>
      <c r="L98" s="41" t="s">
        <v>169</v>
      </c>
      <c r="M98" s="42" t="s">
        <v>150</v>
      </c>
      <c r="N98" s="41" t="s">
        <v>147</v>
      </c>
      <c r="O98" s="42">
        <v>10</v>
      </c>
      <c r="P98" s="42">
        <v>4</v>
      </c>
      <c r="Q98" s="25" t="str">
        <f>VLOOKUP(P98,Key!$E$2:$F$9,2,FALSE)</f>
        <v>Commercial</v>
      </c>
      <c r="R98" s="25" t="str">
        <f t="shared" si="2"/>
        <v>Commercial-Commercial</v>
      </c>
      <c r="S98" s="47">
        <v>8</v>
      </c>
      <c r="T98" s="47">
        <v>0.3</v>
      </c>
      <c r="U98" s="42">
        <v>2</v>
      </c>
      <c r="V98" s="42">
        <v>4</v>
      </c>
      <c r="W98" s="47">
        <v>6</v>
      </c>
      <c r="X98" s="47"/>
      <c r="Y98" s="48" t="s">
        <v>146</v>
      </c>
      <c r="Z98" s="56"/>
      <c r="AA98" s="25">
        <f>VLOOKUP(F98,'Zones (3)'!$A$2:$F$15913,6,FALSE)</f>
        <v>987</v>
      </c>
      <c r="AB98" s="25">
        <f>VLOOKUP(L98,'Zones (3)'!$A$2:$F$15616,6,FALSE)</f>
        <v>380</v>
      </c>
    </row>
    <row r="99" spans="2:28">
      <c r="B99" s="39">
        <v>0.69930555555555562</v>
      </c>
      <c r="C99" s="39" t="s">
        <v>476</v>
      </c>
      <c r="D99" s="40">
        <v>3</v>
      </c>
      <c r="E99" s="41">
        <v>2</v>
      </c>
      <c r="F99" s="41" t="s">
        <v>155</v>
      </c>
      <c r="G99" s="42" t="s">
        <v>148</v>
      </c>
      <c r="H99" s="41" t="s">
        <v>147</v>
      </c>
      <c r="I99" s="42">
        <v>1</v>
      </c>
      <c r="J99" s="42">
        <v>1</v>
      </c>
      <c r="K99" s="25" t="str">
        <f>VLOOKUP(J99,Key!$E$2:$F$9,2,FALSE)</f>
        <v>Home</v>
      </c>
      <c r="L99" s="41" t="s">
        <v>169</v>
      </c>
      <c r="M99" s="42" t="s">
        <v>150</v>
      </c>
      <c r="N99" s="41" t="s">
        <v>147</v>
      </c>
      <c r="O99" s="42">
        <v>2</v>
      </c>
      <c r="P99" s="42">
        <v>2</v>
      </c>
      <c r="Q99" s="25" t="str">
        <f>VLOOKUP(P99,Key!$E$2:$F$9,2,FALSE)</f>
        <v>Work</v>
      </c>
      <c r="R99" s="25" t="str">
        <f t="shared" si="2"/>
        <v>Home-Work</v>
      </c>
      <c r="S99" s="47">
        <v>4</v>
      </c>
      <c r="T99" s="47">
        <v>0.2</v>
      </c>
      <c r="U99" s="42">
        <v>1</v>
      </c>
      <c r="V99" s="42"/>
      <c r="W99" s="47"/>
      <c r="X99" s="47"/>
      <c r="Y99" s="48" t="s">
        <v>146</v>
      </c>
      <c r="Z99" s="56"/>
      <c r="AA99" s="25">
        <f>VLOOKUP(F99,'Zones (3)'!$A$2:$F$15913,6,FALSE)</f>
        <v>987</v>
      </c>
      <c r="AB99" s="25">
        <f>VLOOKUP(L99,'Zones (3)'!$A$2:$F$15616,6,FALSE)</f>
        <v>380</v>
      </c>
    </row>
    <row r="100" spans="2:28">
      <c r="B100" s="39">
        <v>0.70486111111111116</v>
      </c>
      <c r="C100" s="39" t="s">
        <v>477</v>
      </c>
      <c r="D100" s="40">
        <v>1</v>
      </c>
      <c r="E100" s="41">
        <v>2</v>
      </c>
      <c r="F100" s="41" t="s">
        <v>478</v>
      </c>
      <c r="G100" s="42" t="s">
        <v>479</v>
      </c>
      <c r="H100" s="41" t="s">
        <v>147</v>
      </c>
      <c r="I100" s="42">
        <v>4</v>
      </c>
      <c r="J100" s="42">
        <v>3</v>
      </c>
      <c r="K100" s="25" t="str">
        <f>VLOOKUP(J100,Key!$E$2:$F$9,2,FALSE)</f>
        <v>Study</v>
      </c>
      <c r="L100" s="41" t="s">
        <v>171</v>
      </c>
      <c r="M100" s="42" t="s">
        <v>150</v>
      </c>
      <c r="N100" s="41" t="s">
        <v>147</v>
      </c>
      <c r="O100" s="42">
        <v>4</v>
      </c>
      <c r="P100" s="42">
        <v>2</v>
      </c>
      <c r="Q100" s="25" t="str">
        <f>VLOOKUP(P100,Key!$E$2:$F$9,2,FALSE)</f>
        <v>Work</v>
      </c>
      <c r="R100" s="25" t="str">
        <f t="shared" si="2"/>
        <v>Study-Work</v>
      </c>
      <c r="S100" s="47">
        <v>80</v>
      </c>
      <c r="T100" s="47">
        <v>1</v>
      </c>
      <c r="U100" s="42">
        <v>1</v>
      </c>
      <c r="V100" s="42"/>
      <c r="W100" s="47"/>
      <c r="X100" s="47"/>
      <c r="Y100" s="48" t="s">
        <v>146</v>
      </c>
      <c r="Z100" s="56"/>
      <c r="AA100" s="25">
        <f>VLOOKUP(F100,'Zones (3)'!$A$2:$F$15913,6,FALSE)</f>
        <v>253</v>
      </c>
      <c r="AB100" s="25">
        <f>VLOOKUP(L100,'Zones (3)'!$A$2:$F$15616,6,FALSE)</f>
        <v>379</v>
      </c>
    </row>
    <row r="101" spans="2:28">
      <c r="B101" s="39">
        <v>0.71111111111111114</v>
      </c>
      <c r="C101" s="39" t="s">
        <v>480</v>
      </c>
      <c r="D101" s="40">
        <v>3</v>
      </c>
      <c r="E101" s="41">
        <v>1</v>
      </c>
      <c r="F101" s="41" t="s">
        <v>481</v>
      </c>
      <c r="G101" s="42" t="s">
        <v>482</v>
      </c>
      <c r="H101" s="41" t="s">
        <v>147</v>
      </c>
      <c r="I101" s="42">
        <v>2</v>
      </c>
      <c r="J101" s="42">
        <v>2</v>
      </c>
      <c r="K101" s="25" t="str">
        <f>VLOOKUP(J101,Key!$E$2:$F$9,2,FALSE)</f>
        <v>Work</v>
      </c>
      <c r="L101" s="41" t="s">
        <v>169</v>
      </c>
      <c r="M101" s="42" t="s">
        <v>150</v>
      </c>
      <c r="N101" s="41" t="s">
        <v>147</v>
      </c>
      <c r="O101" s="42">
        <v>1</v>
      </c>
      <c r="P101" s="42">
        <v>1</v>
      </c>
      <c r="Q101" s="25" t="str">
        <f>VLOOKUP(P101,Key!$E$2:$F$9,2,FALSE)</f>
        <v>Home</v>
      </c>
      <c r="R101" s="25" t="str">
        <f t="shared" si="2"/>
        <v>Work-Home</v>
      </c>
      <c r="S101" s="47">
        <v>350</v>
      </c>
      <c r="T101" s="47">
        <v>0.2</v>
      </c>
      <c r="U101" s="42">
        <v>1</v>
      </c>
      <c r="V101" s="42"/>
      <c r="W101" s="47"/>
      <c r="X101" s="47"/>
      <c r="Y101" s="48" t="s">
        <v>146</v>
      </c>
      <c r="Z101" s="56"/>
      <c r="AA101" s="25">
        <f>VLOOKUP(F101,'Zones (3)'!$A$2:$F$15913,6,FALSE)</f>
        <v>403</v>
      </c>
      <c r="AB101" s="25">
        <f>VLOOKUP(L101,'Zones (3)'!$A$2:$F$15616,6,FALSE)</f>
        <v>380</v>
      </c>
    </row>
    <row r="102" spans="2:28">
      <c r="B102" s="39">
        <v>0.67361111111111116</v>
      </c>
      <c r="C102" s="39" t="s">
        <v>483</v>
      </c>
      <c r="D102" s="40">
        <v>3</v>
      </c>
      <c r="E102" s="41">
        <v>1</v>
      </c>
      <c r="F102" s="41" t="s">
        <v>155</v>
      </c>
      <c r="G102" s="42" t="s">
        <v>148</v>
      </c>
      <c r="H102" s="41" t="s">
        <v>147</v>
      </c>
      <c r="I102" s="42">
        <v>2</v>
      </c>
      <c r="J102" s="42">
        <v>2</v>
      </c>
      <c r="K102" s="25" t="str">
        <f>VLOOKUP(J102,Key!$E$2:$F$9,2,FALSE)</f>
        <v>Work</v>
      </c>
      <c r="L102" s="41" t="s">
        <v>209</v>
      </c>
      <c r="M102" s="42" t="s">
        <v>150</v>
      </c>
      <c r="N102" s="41" t="s">
        <v>147</v>
      </c>
      <c r="O102" s="42">
        <v>1</v>
      </c>
      <c r="P102" s="42">
        <v>1</v>
      </c>
      <c r="Q102" s="25" t="str">
        <f>VLOOKUP(P102,Key!$E$2:$F$9,2,FALSE)</f>
        <v>Home</v>
      </c>
      <c r="R102" s="25" t="str">
        <f t="shared" si="2"/>
        <v>Work-Home</v>
      </c>
      <c r="S102" s="47"/>
      <c r="T102" s="47"/>
      <c r="U102" s="42">
        <v>1</v>
      </c>
      <c r="V102" s="42"/>
      <c r="W102" s="47"/>
      <c r="X102" s="47"/>
      <c r="Y102" s="48" t="s">
        <v>146</v>
      </c>
      <c r="Z102" s="56"/>
      <c r="AA102" s="25">
        <f>VLOOKUP(F102,'Zones (3)'!$A$2:$F$15913,6,FALSE)</f>
        <v>987</v>
      </c>
      <c r="AB102" s="25">
        <f>VLOOKUP(L102,'Zones (3)'!$A$2:$F$15616,6,FALSE)</f>
        <v>379</v>
      </c>
    </row>
    <row r="103" spans="2:28">
      <c r="B103" s="39">
        <v>0.71875</v>
      </c>
      <c r="C103" s="39" t="s">
        <v>484</v>
      </c>
      <c r="D103" s="40">
        <v>1</v>
      </c>
      <c r="E103" s="41">
        <v>4</v>
      </c>
      <c r="F103" s="41" t="s">
        <v>155</v>
      </c>
      <c r="G103" s="42" t="s">
        <v>148</v>
      </c>
      <c r="H103" s="41" t="s">
        <v>147</v>
      </c>
      <c r="I103" s="42">
        <v>2</v>
      </c>
      <c r="J103" s="42">
        <v>2</v>
      </c>
      <c r="K103" s="25" t="str">
        <f>VLOOKUP(J103,Key!$E$2:$F$9,2,FALSE)</f>
        <v>Work</v>
      </c>
      <c r="L103" s="41" t="s">
        <v>485</v>
      </c>
      <c r="M103" s="42" t="s">
        <v>150</v>
      </c>
      <c r="N103" s="41" t="s">
        <v>147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47">
        <v>58</v>
      </c>
      <c r="T103" s="47">
        <v>1</v>
      </c>
      <c r="U103" s="42">
        <v>1</v>
      </c>
      <c r="V103" s="42"/>
      <c r="W103" s="47"/>
      <c r="X103" s="47"/>
      <c r="Y103" s="48" t="s">
        <v>146</v>
      </c>
      <c r="Z103" s="56"/>
      <c r="AA103" s="25">
        <f>VLOOKUP(F103,'Zones (3)'!$A$2:$F$15913,6,FALSE)</f>
        <v>987</v>
      </c>
      <c r="AB103" s="25">
        <f>VLOOKUP(L103,'Zones (3)'!$A$2:$F$15616,6,FALSE)</f>
        <v>379</v>
      </c>
    </row>
    <row r="104" spans="2:28">
      <c r="B104" s="39">
        <v>0.73125000000000007</v>
      </c>
      <c r="C104" s="39" t="s">
        <v>486</v>
      </c>
      <c r="D104" s="40">
        <v>7</v>
      </c>
      <c r="E104" s="41">
        <v>2</v>
      </c>
      <c r="F104" s="41" t="s">
        <v>155</v>
      </c>
      <c r="G104" s="42" t="s">
        <v>148</v>
      </c>
      <c r="H104" s="41" t="s">
        <v>147</v>
      </c>
      <c r="I104" s="42">
        <v>10</v>
      </c>
      <c r="J104" s="42">
        <v>2</v>
      </c>
      <c r="K104" s="25" t="str">
        <f>VLOOKUP(J104,Key!$E$2:$F$9,2,FALSE)</f>
        <v>Work</v>
      </c>
      <c r="L104" s="41" t="s">
        <v>171</v>
      </c>
      <c r="M104" s="42" t="s">
        <v>150</v>
      </c>
      <c r="N104" s="41" t="s">
        <v>147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2"/>
        <v>Work-Home</v>
      </c>
      <c r="S104" s="47">
        <v>17</v>
      </c>
      <c r="T104" s="47">
        <v>0.2</v>
      </c>
      <c r="U104" s="42">
        <v>1</v>
      </c>
      <c r="V104" s="42">
        <v>11</v>
      </c>
      <c r="W104" s="47"/>
      <c r="X104" s="47"/>
      <c r="Y104" s="48" t="s">
        <v>146</v>
      </c>
      <c r="Z104" s="56"/>
      <c r="AA104" s="25">
        <f>VLOOKUP(F104,'Zones (3)'!$A$2:$F$15913,6,FALSE)</f>
        <v>987</v>
      </c>
      <c r="AB104" s="25">
        <f>VLOOKUP(L104,'Zones (3)'!$A$2:$F$15616,6,FALSE)</f>
        <v>379</v>
      </c>
    </row>
    <row r="105" spans="2:28">
      <c r="B105" s="39">
        <v>0.74583333333333324</v>
      </c>
      <c r="C105" s="39" t="s">
        <v>487</v>
      </c>
      <c r="D105" s="40">
        <v>1</v>
      </c>
      <c r="E105" s="41">
        <v>1</v>
      </c>
      <c r="F105" s="41" t="s">
        <v>155</v>
      </c>
      <c r="G105" s="42" t="s">
        <v>148</v>
      </c>
      <c r="H105" s="41" t="s">
        <v>147</v>
      </c>
      <c r="I105" s="42">
        <v>2</v>
      </c>
      <c r="J105" s="42">
        <v>2</v>
      </c>
      <c r="K105" s="25" t="str">
        <f>VLOOKUP(J105,Key!$E$2:$F$9,2,FALSE)</f>
        <v>Work</v>
      </c>
      <c r="L105" s="41" t="s">
        <v>169</v>
      </c>
      <c r="M105" s="42" t="s">
        <v>150</v>
      </c>
      <c r="N105" s="41" t="s">
        <v>147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2"/>
        <v>Work-Home</v>
      </c>
      <c r="S105" s="47">
        <v>7</v>
      </c>
      <c r="T105" s="47">
        <v>0.2</v>
      </c>
      <c r="U105" s="42">
        <v>1</v>
      </c>
      <c r="V105" s="42"/>
      <c r="W105" s="47"/>
      <c r="X105" s="47"/>
      <c r="Y105" s="48" t="s">
        <v>146</v>
      </c>
      <c r="Z105" s="56"/>
      <c r="AA105" s="25">
        <f>VLOOKUP(F105,'Zones (3)'!$A$2:$F$15913,6,FALSE)</f>
        <v>987</v>
      </c>
      <c r="AB105" s="25">
        <f>VLOOKUP(L105,'Zones (3)'!$A$2:$F$15616,6,FALSE)</f>
        <v>380</v>
      </c>
    </row>
    <row r="106" spans="2:28">
      <c r="B106" s="39">
        <v>0.75</v>
      </c>
      <c r="C106" s="39" t="s">
        <v>488</v>
      </c>
      <c r="D106" s="40">
        <v>1</v>
      </c>
      <c r="E106" s="41">
        <v>3</v>
      </c>
      <c r="F106" s="41" t="s">
        <v>164</v>
      </c>
      <c r="G106" s="42" t="s">
        <v>150</v>
      </c>
      <c r="H106" s="41" t="s">
        <v>147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201</v>
      </c>
      <c r="M106" s="42" t="s">
        <v>150</v>
      </c>
      <c r="N106" s="41" t="s">
        <v>147</v>
      </c>
      <c r="O106" s="42">
        <v>9</v>
      </c>
      <c r="P106" s="42">
        <v>4</v>
      </c>
      <c r="Q106" s="25" t="str">
        <f>VLOOKUP(P106,Key!$E$2:$F$9,2,FALSE)</f>
        <v>Commercial</v>
      </c>
      <c r="R106" s="25" t="str">
        <f t="shared" si="2"/>
        <v>Home-Commercial</v>
      </c>
      <c r="S106" s="47">
        <v>2</v>
      </c>
      <c r="T106" s="47">
        <v>0</v>
      </c>
      <c r="U106" s="42">
        <v>1</v>
      </c>
      <c r="V106" s="42"/>
      <c r="W106" s="47"/>
      <c r="X106" s="47"/>
      <c r="Y106" s="48" t="s">
        <v>146</v>
      </c>
      <c r="Z106" s="56"/>
      <c r="AA106" s="25">
        <f>VLOOKUP(F106,'Zones (3)'!$A$2:$F$15913,6,FALSE)</f>
        <v>538</v>
      </c>
      <c r="AB106" s="25">
        <f>VLOOKUP(L106,'Zones (3)'!$A$2:$F$15616,6,FALSE)</f>
        <v>386</v>
      </c>
    </row>
    <row r="107" spans="2:28">
      <c r="B107" s="39">
        <v>0.76527777777777783</v>
      </c>
      <c r="C107" s="39" t="s">
        <v>489</v>
      </c>
      <c r="D107" s="40">
        <v>2</v>
      </c>
      <c r="E107" s="41">
        <v>1</v>
      </c>
      <c r="F107" s="41" t="s">
        <v>155</v>
      </c>
      <c r="G107" s="42" t="s">
        <v>148</v>
      </c>
      <c r="H107" s="41" t="s">
        <v>147</v>
      </c>
      <c r="I107" s="42">
        <v>2</v>
      </c>
      <c r="J107" s="42">
        <v>2</v>
      </c>
      <c r="K107" s="25" t="str">
        <f>VLOOKUP(J107,Key!$E$2:$F$9,2,FALSE)</f>
        <v>Work</v>
      </c>
      <c r="L107" s="41" t="s">
        <v>490</v>
      </c>
      <c r="M107" s="42" t="s">
        <v>150</v>
      </c>
      <c r="N107" s="41" t="s">
        <v>147</v>
      </c>
      <c r="O107" s="42">
        <v>1</v>
      </c>
      <c r="P107" s="42">
        <v>1</v>
      </c>
      <c r="Q107" s="25" t="str">
        <f>VLOOKUP(P107,Key!$E$2:$F$9,2,FALSE)</f>
        <v>Home</v>
      </c>
      <c r="R107" s="25" t="str">
        <f t="shared" si="2"/>
        <v>Work-Home</v>
      </c>
      <c r="S107" s="47">
        <v>25</v>
      </c>
      <c r="T107" s="47">
        <v>0</v>
      </c>
      <c r="U107" s="42">
        <v>1</v>
      </c>
      <c r="V107" s="42"/>
      <c r="W107" s="47"/>
      <c r="X107" s="47"/>
      <c r="Y107" s="48" t="s">
        <v>146</v>
      </c>
      <c r="Z107" s="56"/>
      <c r="AA107" s="25">
        <f>VLOOKUP(F107,'Zones (3)'!$A$2:$F$15913,6,FALSE)</f>
        <v>987</v>
      </c>
      <c r="AB107" s="25">
        <f>VLOOKUP(L107,'Zones (3)'!$A$2:$F$15616,6,FALSE)</f>
        <v>390</v>
      </c>
    </row>
    <row r="108" spans="2:28">
      <c r="B108" s="39">
        <v>0.76736111111111116</v>
      </c>
      <c r="C108" s="39" t="s">
        <v>491</v>
      </c>
      <c r="D108" s="40">
        <v>1</v>
      </c>
      <c r="E108" s="41">
        <v>1</v>
      </c>
      <c r="F108" s="41" t="s">
        <v>155</v>
      </c>
      <c r="G108" s="42" t="s">
        <v>148</v>
      </c>
      <c r="H108" s="41" t="s">
        <v>147</v>
      </c>
      <c r="I108" s="42">
        <v>2</v>
      </c>
      <c r="J108" s="42">
        <v>2</v>
      </c>
      <c r="K108" s="25" t="str">
        <f>VLOOKUP(J108,Key!$E$2:$F$9,2,FALSE)</f>
        <v>Work</v>
      </c>
      <c r="L108" s="41" t="s">
        <v>191</v>
      </c>
      <c r="M108" s="42" t="s">
        <v>150</v>
      </c>
      <c r="N108" s="41" t="s">
        <v>147</v>
      </c>
      <c r="O108" s="42">
        <v>1</v>
      </c>
      <c r="P108" s="42">
        <v>1</v>
      </c>
      <c r="Q108" s="25" t="str">
        <f>VLOOKUP(P108,Key!$E$2:$F$9,2,FALSE)</f>
        <v>Home</v>
      </c>
      <c r="R108" s="25" t="str">
        <f t="shared" si="2"/>
        <v>Work-Home</v>
      </c>
      <c r="S108" s="47">
        <v>6</v>
      </c>
      <c r="T108" s="47">
        <v>0.2</v>
      </c>
      <c r="U108" s="42">
        <v>2</v>
      </c>
      <c r="V108" s="42"/>
      <c r="W108" s="47"/>
      <c r="X108" s="47"/>
      <c r="Y108" s="48" t="s">
        <v>146</v>
      </c>
      <c r="Z108" s="56"/>
      <c r="AA108" s="25">
        <f>VLOOKUP(F108,'Zones (3)'!$A$2:$F$15913,6,FALSE)</f>
        <v>987</v>
      </c>
      <c r="AB108" s="25">
        <f>VLOOKUP(L108,'Zones (3)'!$A$2:$F$15616,6,FALSE)</f>
        <v>422</v>
      </c>
    </row>
    <row r="109" spans="2:28">
      <c r="B109" s="39">
        <v>0.78125</v>
      </c>
      <c r="C109" s="39" t="s">
        <v>492</v>
      </c>
      <c r="D109" s="40">
        <v>1</v>
      </c>
      <c r="E109" s="41">
        <v>3</v>
      </c>
      <c r="F109" s="41" t="s">
        <v>173</v>
      </c>
      <c r="G109" s="42" t="s">
        <v>148</v>
      </c>
      <c r="H109" s="41" t="s">
        <v>147</v>
      </c>
      <c r="I109" s="42">
        <v>11</v>
      </c>
      <c r="J109" s="42">
        <v>6</v>
      </c>
      <c r="K109" s="25" t="str">
        <f>VLOOKUP(J109,Key!$E$2:$F$9,2,FALSE)</f>
        <v>Leisure/Social</v>
      </c>
      <c r="L109" s="41" t="s">
        <v>171</v>
      </c>
      <c r="M109" s="42" t="s">
        <v>150</v>
      </c>
      <c r="N109" s="41" t="s">
        <v>147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2"/>
        <v>Leisure/Social-Home</v>
      </c>
      <c r="S109" s="47">
        <v>31</v>
      </c>
      <c r="T109" s="47">
        <v>1.5</v>
      </c>
      <c r="U109" s="42">
        <v>3</v>
      </c>
      <c r="V109" s="42"/>
      <c r="W109" s="47"/>
      <c r="X109" s="47"/>
      <c r="Y109" s="48" t="s">
        <v>146</v>
      </c>
      <c r="Z109" s="56"/>
      <c r="AA109" s="25">
        <f>VLOOKUP(F109,'Zones (3)'!$A$2:$F$15913,6,FALSE)</f>
        <v>987</v>
      </c>
      <c r="AB109" s="25">
        <f>VLOOKUP(L109,'Zones (3)'!$A$2:$F$15616,6,FALSE)</f>
        <v>379</v>
      </c>
    </row>
    <row r="110" spans="2:28">
      <c r="B110" s="39">
        <v>0.7715277777777777</v>
      </c>
      <c r="C110" s="39" t="s">
        <v>493</v>
      </c>
      <c r="D110" s="40">
        <v>2</v>
      </c>
      <c r="E110" s="41">
        <v>1</v>
      </c>
      <c r="F110" s="41" t="s">
        <v>155</v>
      </c>
      <c r="G110" s="42" t="s">
        <v>148</v>
      </c>
      <c r="H110" s="41" t="s">
        <v>147</v>
      </c>
      <c r="I110" s="42">
        <v>2</v>
      </c>
      <c r="J110" s="42">
        <v>2</v>
      </c>
      <c r="K110" s="25" t="str">
        <f>VLOOKUP(J110,Key!$E$2:$F$9,2,FALSE)</f>
        <v>Work</v>
      </c>
      <c r="L110" s="41" t="s">
        <v>262</v>
      </c>
      <c r="M110" s="42" t="s">
        <v>150</v>
      </c>
      <c r="N110" s="41" t="s">
        <v>147</v>
      </c>
      <c r="O110" s="42">
        <v>1</v>
      </c>
      <c r="P110" s="42">
        <v>1</v>
      </c>
      <c r="Q110" s="25" t="str">
        <f>VLOOKUP(P110,Key!$E$2:$F$9,2,FALSE)</f>
        <v>Home</v>
      </c>
      <c r="R110" s="25" t="str">
        <f t="shared" si="2"/>
        <v>Work-Home</v>
      </c>
      <c r="S110" s="47">
        <v>15</v>
      </c>
      <c r="T110" s="47">
        <v>0.5</v>
      </c>
      <c r="U110" s="42">
        <v>1</v>
      </c>
      <c r="V110" s="42"/>
      <c r="W110" s="47"/>
      <c r="X110" s="47"/>
      <c r="Y110" s="48" t="s">
        <v>146</v>
      </c>
      <c r="Z110" s="56"/>
      <c r="AA110" s="25">
        <f>VLOOKUP(F110,'Zones (3)'!$A$2:$F$15913,6,FALSE)</f>
        <v>987</v>
      </c>
      <c r="AB110" s="25">
        <f>VLOOKUP(L110,'Zones (3)'!$A$2:$F$15616,6,FALSE)</f>
        <v>850</v>
      </c>
    </row>
    <row r="111" spans="2:28">
      <c r="B111" s="39">
        <v>0.76736111111111116</v>
      </c>
      <c r="C111" s="39" t="s">
        <v>494</v>
      </c>
      <c r="D111" s="40">
        <v>2</v>
      </c>
      <c r="E111" s="41">
        <v>4</v>
      </c>
      <c r="F111" s="41" t="s">
        <v>155</v>
      </c>
      <c r="G111" s="42" t="s">
        <v>148</v>
      </c>
      <c r="H111" s="41" t="s">
        <v>147</v>
      </c>
      <c r="I111" s="42">
        <v>16</v>
      </c>
      <c r="J111" s="42">
        <v>6</v>
      </c>
      <c r="K111" s="25" t="str">
        <f>VLOOKUP(J111,Key!$E$2:$F$9,2,FALSE)</f>
        <v>Leisure/Social</v>
      </c>
      <c r="L111" s="41" t="s">
        <v>162</v>
      </c>
      <c r="M111" s="42" t="s">
        <v>150</v>
      </c>
      <c r="N111" s="41" t="s">
        <v>147</v>
      </c>
      <c r="O111" s="42">
        <v>1</v>
      </c>
      <c r="P111" s="42">
        <v>1</v>
      </c>
      <c r="Q111" s="25" t="str">
        <f>VLOOKUP(P111,Key!$E$2:$F$9,2,FALSE)</f>
        <v>Home</v>
      </c>
      <c r="R111" s="25" t="str">
        <f t="shared" si="2"/>
        <v>Leisure/Social-Home</v>
      </c>
      <c r="S111" s="47">
        <v>6</v>
      </c>
      <c r="T111" s="47">
        <v>0.1</v>
      </c>
      <c r="U111" s="42">
        <v>3</v>
      </c>
      <c r="V111" s="42"/>
      <c r="W111" s="47"/>
      <c r="X111" s="47"/>
      <c r="Y111" s="48" t="s">
        <v>146</v>
      </c>
      <c r="Z111" s="56"/>
      <c r="AA111" s="25">
        <f>VLOOKUP(F111,'Zones (3)'!$A$2:$F$15913,6,FALSE)</f>
        <v>987</v>
      </c>
      <c r="AB111" s="25">
        <f>VLOOKUP(L111,'Zones (3)'!$A$2:$F$15616,6,FALSE)</f>
        <v>388</v>
      </c>
    </row>
    <row r="112" spans="2:28">
      <c r="B112" s="39">
        <v>0.76388888888888884</v>
      </c>
      <c r="C112" s="39" t="s">
        <v>495</v>
      </c>
      <c r="D112" s="40">
        <v>3</v>
      </c>
      <c r="E112" s="41">
        <v>3</v>
      </c>
      <c r="F112" s="41" t="s">
        <v>164</v>
      </c>
      <c r="G112" s="42" t="s">
        <v>150</v>
      </c>
      <c r="H112" s="41" t="s">
        <v>147</v>
      </c>
      <c r="I112" s="42">
        <v>9</v>
      </c>
      <c r="J112" s="42">
        <v>2</v>
      </c>
      <c r="K112" s="25" t="str">
        <f>VLOOKUP(J112,Key!$E$2:$F$9,2,FALSE)</f>
        <v>Work</v>
      </c>
      <c r="L112" s="41" t="s">
        <v>169</v>
      </c>
      <c r="M112" s="42" t="s">
        <v>150</v>
      </c>
      <c r="N112" s="41" t="s">
        <v>147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Work-Home</v>
      </c>
      <c r="S112" s="47"/>
      <c r="T112" s="47"/>
      <c r="U112" s="42">
        <v>3</v>
      </c>
      <c r="V112" s="42"/>
      <c r="W112" s="47"/>
      <c r="X112" s="47"/>
      <c r="Y112" s="48" t="s">
        <v>146</v>
      </c>
      <c r="Z112" s="56"/>
      <c r="AA112" s="25">
        <f>VLOOKUP(F112,'Zones (3)'!$A$2:$F$15913,6,FALSE)</f>
        <v>538</v>
      </c>
      <c r="AB112" s="25">
        <f>VLOOKUP(L112,'Zones (3)'!$A$2:$F$15616,6,FALSE)</f>
        <v>380</v>
      </c>
    </row>
    <row r="113" spans="2:28">
      <c r="B113" s="39">
        <v>0.75763888888888886</v>
      </c>
      <c r="C113" s="39" t="s">
        <v>496</v>
      </c>
      <c r="D113" s="40">
        <v>7</v>
      </c>
      <c r="E113" s="41">
        <v>3</v>
      </c>
      <c r="F113" s="41" t="s">
        <v>155</v>
      </c>
      <c r="G113" s="42" t="s">
        <v>148</v>
      </c>
      <c r="H113" s="41" t="s">
        <v>147</v>
      </c>
      <c r="I113" s="42">
        <v>11</v>
      </c>
      <c r="J113" s="42">
        <v>4</v>
      </c>
      <c r="K113" s="25" t="str">
        <f>VLOOKUP(J113,Key!$E$2:$F$9,2,FALSE)</f>
        <v>Commercial</v>
      </c>
      <c r="L113" s="41" t="s">
        <v>209</v>
      </c>
      <c r="M113" s="42" t="s">
        <v>150</v>
      </c>
      <c r="N113" s="41" t="s">
        <v>147</v>
      </c>
      <c r="O113" s="42">
        <v>11</v>
      </c>
      <c r="P113" s="42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47"/>
      <c r="T113" s="47">
        <v>1.5</v>
      </c>
      <c r="U113" s="42">
        <v>3</v>
      </c>
      <c r="V113" s="42">
        <v>4</v>
      </c>
      <c r="W113" s="47">
        <v>5</v>
      </c>
      <c r="X113" s="47"/>
      <c r="Y113" s="48" t="s">
        <v>146</v>
      </c>
      <c r="Z113" s="56"/>
      <c r="AA113" s="25">
        <f>VLOOKUP(F113,'Zones (3)'!$A$2:$F$15913,6,FALSE)</f>
        <v>987</v>
      </c>
      <c r="AB113" s="25">
        <f>VLOOKUP(L113,'Zones (3)'!$A$2:$F$15616,6,FALSE)</f>
        <v>379</v>
      </c>
    </row>
    <row r="114" spans="2:28">
      <c r="B114" s="39">
        <v>0.75</v>
      </c>
      <c r="C114" s="39" t="s">
        <v>497</v>
      </c>
      <c r="D114" s="40">
        <v>8</v>
      </c>
      <c r="E114" s="41">
        <v>1</v>
      </c>
      <c r="F114" s="41" t="s">
        <v>317</v>
      </c>
      <c r="G114" s="42" t="s">
        <v>498</v>
      </c>
      <c r="H114" s="41" t="s">
        <v>147</v>
      </c>
      <c r="I114" s="42">
        <v>3</v>
      </c>
      <c r="J114" s="42">
        <v>2</v>
      </c>
      <c r="K114" s="25" t="str">
        <f>VLOOKUP(J114,Key!$E$2:$F$9,2,FALSE)</f>
        <v>Work</v>
      </c>
      <c r="L114" s="41" t="s">
        <v>499</v>
      </c>
      <c r="M114" s="42" t="s">
        <v>150</v>
      </c>
      <c r="N114" s="41" t="s">
        <v>147</v>
      </c>
      <c r="O114" s="42">
        <v>11</v>
      </c>
      <c r="P114" s="42">
        <v>4</v>
      </c>
      <c r="Q114" s="25" t="str">
        <f>VLOOKUP(P114,Key!$E$2:$F$9,2,FALSE)</f>
        <v>Commercial</v>
      </c>
      <c r="R114" s="25" t="str">
        <f t="shared" si="2"/>
        <v>Work-Commercial</v>
      </c>
      <c r="S114" s="47">
        <v>100</v>
      </c>
      <c r="T114" s="47"/>
      <c r="U114" s="42">
        <v>3</v>
      </c>
      <c r="V114" s="42">
        <v>11</v>
      </c>
      <c r="W114" s="47"/>
      <c r="X114" s="47"/>
      <c r="Y114" s="48" t="s">
        <v>146</v>
      </c>
      <c r="Z114" s="56"/>
      <c r="AA114" s="25">
        <f>VLOOKUP(F114,'Zones (3)'!$A$2:$F$15913,6,FALSE)</f>
        <v>651</v>
      </c>
      <c r="AB114" s="25">
        <f>VLOOKUP(L114,'Zones (3)'!$A$2:$F$15616,6,FALSE)</f>
        <v>984</v>
      </c>
    </row>
    <row r="115" spans="2:28">
      <c r="B115" s="39">
        <v>0.75138888888888899</v>
      </c>
      <c r="C115" s="39" t="s">
        <v>500</v>
      </c>
      <c r="D115" s="40">
        <v>3</v>
      </c>
      <c r="E115" s="41">
        <v>1</v>
      </c>
      <c r="F115" s="41" t="s">
        <v>213</v>
      </c>
      <c r="G115" s="42" t="s">
        <v>148</v>
      </c>
      <c r="H115" s="41" t="s">
        <v>147</v>
      </c>
      <c r="I115" s="42">
        <v>2</v>
      </c>
      <c r="J115" s="42">
        <v>2</v>
      </c>
      <c r="K115" s="25" t="str">
        <f>VLOOKUP(J115,Key!$E$2:$F$9,2,FALSE)</f>
        <v>Work</v>
      </c>
      <c r="L115" s="41" t="s">
        <v>150</v>
      </c>
      <c r="M115" s="42" t="s">
        <v>150</v>
      </c>
      <c r="N115" s="41" t="s">
        <v>147</v>
      </c>
      <c r="O115" s="42">
        <v>1</v>
      </c>
      <c r="P115" s="42">
        <v>1</v>
      </c>
      <c r="Q115" s="25" t="str">
        <f>VLOOKUP(P115,Key!$E$2:$F$9,2,FALSE)</f>
        <v>Home</v>
      </c>
      <c r="R115" s="25" t="str">
        <f t="shared" si="2"/>
        <v>Work-Home</v>
      </c>
      <c r="S115" s="47"/>
      <c r="T115" s="47">
        <v>0.3</v>
      </c>
      <c r="U115" s="42">
        <v>1</v>
      </c>
      <c r="V115" s="42"/>
      <c r="W115" s="47"/>
      <c r="X115" s="47"/>
      <c r="Y115" s="48" t="s">
        <v>146</v>
      </c>
      <c r="Z115" s="56"/>
      <c r="AA115" s="25">
        <f>VLOOKUP(F115,'Zones (3)'!$A$2:$F$15913,6,FALSE)</f>
        <v>381</v>
      </c>
      <c r="AB115" s="25">
        <f>VLOOKUP(L115,'Zones (3)'!$A$2:$F$15616,6,FALSE)</f>
        <v>379</v>
      </c>
    </row>
    <row r="116" spans="2:28">
      <c r="B116" s="39">
        <v>0.71875</v>
      </c>
      <c r="C116" s="39" t="s">
        <v>502</v>
      </c>
      <c r="D116" s="40">
        <v>1</v>
      </c>
      <c r="E116" s="41">
        <v>4</v>
      </c>
      <c r="F116" s="41" t="s">
        <v>155</v>
      </c>
      <c r="G116" s="42" t="s">
        <v>148</v>
      </c>
      <c r="H116" s="41" t="s">
        <v>147</v>
      </c>
      <c r="I116" s="42">
        <v>11</v>
      </c>
      <c r="J116" s="42">
        <v>6</v>
      </c>
      <c r="K116" s="25" t="str">
        <f>VLOOKUP(J116,Key!$E$2:$F$9,2,FALSE)</f>
        <v>Leisure/Social</v>
      </c>
      <c r="L116" s="41" t="s">
        <v>503</v>
      </c>
      <c r="M116" s="42" t="s">
        <v>150</v>
      </c>
      <c r="N116" s="41" t="s">
        <v>147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2"/>
        <v>Leisure/Social-Home</v>
      </c>
      <c r="S116" s="47"/>
      <c r="T116" s="47">
        <v>1.5</v>
      </c>
      <c r="U116" s="42">
        <v>3</v>
      </c>
      <c r="V116" s="42"/>
      <c r="W116" s="47"/>
      <c r="X116" s="47"/>
      <c r="Y116" s="48" t="s">
        <v>146</v>
      </c>
      <c r="Z116" s="56"/>
      <c r="AA116" s="25">
        <f>VLOOKUP(F116,'Zones (3)'!$A$2:$F$15913,6,FALSE)</f>
        <v>987</v>
      </c>
      <c r="AB116" s="25">
        <f>VLOOKUP(L116,'Zones (3)'!$A$2:$F$15616,6,FALSE)</f>
        <v>382</v>
      </c>
    </row>
    <row r="117" spans="2:28">
      <c r="B117" s="39">
        <v>0.71458333333333324</v>
      </c>
      <c r="C117" s="39" t="s">
        <v>504</v>
      </c>
      <c r="D117" s="40">
        <v>1</v>
      </c>
      <c r="E117" s="41">
        <v>1</v>
      </c>
      <c r="F117" s="41" t="s">
        <v>155</v>
      </c>
      <c r="G117" s="42" t="s">
        <v>148</v>
      </c>
      <c r="H117" s="41" t="s">
        <v>147</v>
      </c>
      <c r="I117" s="42">
        <v>2</v>
      </c>
      <c r="J117" s="42">
        <v>2</v>
      </c>
      <c r="K117" s="25" t="str">
        <f>VLOOKUP(J117,Key!$E$2:$F$9,2,FALSE)</f>
        <v>Work</v>
      </c>
      <c r="L117" s="41" t="s">
        <v>169</v>
      </c>
      <c r="M117" s="42" t="s">
        <v>150</v>
      </c>
      <c r="N117" s="41" t="s">
        <v>147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2"/>
        <v>Work-Home</v>
      </c>
      <c r="S117" s="47">
        <v>8</v>
      </c>
      <c r="T117" s="47">
        <v>0.2</v>
      </c>
      <c r="U117" s="42">
        <v>3</v>
      </c>
      <c r="V117" s="42"/>
      <c r="W117" s="47"/>
      <c r="X117" s="47"/>
      <c r="Y117" s="48" t="s">
        <v>146</v>
      </c>
      <c r="Z117" s="56"/>
      <c r="AA117" s="25">
        <f>VLOOKUP(F117,'Zones (3)'!$A$2:$F$15913,6,FALSE)</f>
        <v>987</v>
      </c>
      <c r="AB117" s="25">
        <f>VLOOKUP(L117,'Zones (3)'!$A$2:$F$15616,6,FALSE)</f>
        <v>380</v>
      </c>
    </row>
    <row r="118" spans="2:28">
      <c r="B118" s="39">
        <v>0.70833333333333337</v>
      </c>
      <c r="C118" s="39" t="s">
        <v>505</v>
      </c>
      <c r="D118" s="40">
        <v>7</v>
      </c>
      <c r="E118" s="41">
        <v>1</v>
      </c>
      <c r="F118" s="41" t="s">
        <v>164</v>
      </c>
      <c r="G118" s="42" t="s">
        <v>150</v>
      </c>
      <c r="H118" s="41" t="s">
        <v>147</v>
      </c>
      <c r="I118" s="42">
        <v>11</v>
      </c>
      <c r="J118" s="42">
        <v>2</v>
      </c>
      <c r="K118" s="25" t="str">
        <f>VLOOKUP(J118,Key!$E$2:$F$9,2,FALSE)</f>
        <v>Work</v>
      </c>
      <c r="L118" s="41" t="s">
        <v>169</v>
      </c>
      <c r="M118" s="42" t="s">
        <v>150</v>
      </c>
      <c r="N118" s="41" t="s">
        <v>147</v>
      </c>
      <c r="O118" s="42">
        <v>11</v>
      </c>
      <c r="P118" s="42">
        <v>4</v>
      </c>
      <c r="Q118" s="25" t="str">
        <f>VLOOKUP(P118,Key!$E$2:$F$9,2,FALSE)</f>
        <v>Commercial</v>
      </c>
      <c r="R118" s="25" t="str">
        <f t="shared" si="2"/>
        <v>Work-Commercial</v>
      </c>
      <c r="S118" s="47"/>
      <c r="T118" s="47">
        <v>0.5</v>
      </c>
      <c r="U118" s="42">
        <v>1</v>
      </c>
      <c r="V118" s="42"/>
      <c r="W118" s="47">
        <v>3</v>
      </c>
      <c r="X118" s="47"/>
      <c r="Y118" s="48" t="s">
        <v>146</v>
      </c>
      <c r="Z118" s="56"/>
      <c r="AA118" s="25">
        <f>VLOOKUP(F118,'Zones (3)'!$A$2:$F$15913,6,FALSE)</f>
        <v>538</v>
      </c>
      <c r="AB118" s="25">
        <f>VLOOKUP(L118,'Zones (3)'!$A$2:$F$15616,6,FALSE)</f>
        <v>380</v>
      </c>
    </row>
    <row r="119" spans="2:28">
      <c r="B119" s="39">
        <v>0.70694444444444438</v>
      </c>
      <c r="C119" s="39" t="s">
        <v>506</v>
      </c>
      <c r="D119" s="40">
        <v>1</v>
      </c>
      <c r="E119" s="41">
        <v>2</v>
      </c>
      <c r="F119" s="41" t="s">
        <v>155</v>
      </c>
      <c r="G119" s="42" t="s">
        <v>148</v>
      </c>
      <c r="H119" s="41" t="s">
        <v>147</v>
      </c>
      <c r="I119" s="42">
        <v>2</v>
      </c>
      <c r="J119" s="42">
        <v>2</v>
      </c>
      <c r="K119" s="25" t="str">
        <f>VLOOKUP(J119,Key!$E$2:$F$9,2,FALSE)</f>
        <v>Work</v>
      </c>
      <c r="L119" s="41" t="s">
        <v>507</v>
      </c>
      <c r="M119" s="42" t="s">
        <v>150</v>
      </c>
      <c r="N119" s="41" t="s">
        <v>147</v>
      </c>
      <c r="O119" s="42">
        <v>1</v>
      </c>
      <c r="P119" s="42">
        <v>1</v>
      </c>
      <c r="Q119" s="25" t="str">
        <f>VLOOKUP(P119,Key!$E$2:$F$9,2,FALSE)</f>
        <v>Home</v>
      </c>
      <c r="R119" s="25" t="str">
        <f t="shared" si="2"/>
        <v>Work-Home</v>
      </c>
      <c r="S119" s="47">
        <v>8</v>
      </c>
      <c r="T119" s="47">
        <v>0</v>
      </c>
      <c r="U119" s="42">
        <v>1</v>
      </c>
      <c r="V119" s="42"/>
      <c r="W119" s="47"/>
      <c r="X119" s="47"/>
      <c r="Y119" s="48" t="s">
        <v>146</v>
      </c>
      <c r="Z119" s="56"/>
      <c r="AA119" s="25">
        <f>VLOOKUP(F119,'Zones (3)'!$A$2:$F$15913,6,FALSE)</f>
        <v>987</v>
      </c>
      <c r="AB119" s="25">
        <f>VLOOKUP(L119,'Zones (3)'!$A$2:$F$15616,6,FALSE)</f>
        <v>380</v>
      </c>
    </row>
    <row r="120" spans="2:28">
      <c r="B120" s="39">
        <v>0.70138888888888884</v>
      </c>
      <c r="C120" s="39" t="s">
        <v>508</v>
      </c>
      <c r="D120" s="40">
        <v>7</v>
      </c>
      <c r="E120" s="41">
        <v>2</v>
      </c>
      <c r="F120" s="41" t="s">
        <v>155</v>
      </c>
      <c r="G120" s="42" t="s">
        <v>148</v>
      </c>
      <c r="H120" s="41" t="s">
        <v>147</v>
      </c>
      <c r="I120" s="42">
        <v>10</v>
      </c>
      <c r="J120" s="42">
        <v>4</v>
      </c>
      <c r="K120" s="25" t="str">
        <f>VLOOKUP(J120,Key!$E$2:$F$9,2,FALSE)</f>
        <v>Commercial</v>
      </c>
      <c r="L120" s="41" t="s">
        <v>169</v>
      </c>
      <c r="M120" s="42" t="s">
        <v>150</v>
      </c>
      <c r="N120" s="41" t="s">
        <v>147</v>
      </c>
      <c r="O120" s="42">
        <v>1</v>
      </c>
      <c r="P120" s="42">
        <v>1</v>
      </c>
      <c r="Q120" s="25" t="str">
        <f>VLOOKUP(P120,Key!$E$2:$F$9,2,FALSE)</f>
        <v>Home</v>
      </c>
      <c r="R120" s="25" t="str">
        <f t="shared" si="2"/>
        <v>Commercial-Home</v>
      </c>
      <c r="S120" s="47">
        <v>14</v>
      </c>
      <c r="T120" s="47">
        <v>0.5</v>
      </c>
      <c r="U120" s="42">
        <v>1</v>
      </c>
      <c r="V120" s="42">
        <v>11</v>
      </c>
      <c r="W120" s="47"/>
      <c r="X120" s="47"/>
      <c r="Y120" s="48" t="s">
        <v>146</v>
      </c>
      <c r="Z120" s="56"/>
      <c r="AA120" s="25">
        <f>VLOOKUP(F120,'Zones (3)'!$A$2:$F$15913,6,FALSE)</f>
        <v>987</v>
      </c>
      <c r="AB120" s="25">
        <f>VLOOKUP(L120,'Zones (3)'!$A$2:$F$15616,6,FALSE)</f>
        <v>380</v>
      </c>
    </row>
    <row r="121" spans="2:28">
      <c r="B121" s="39">
        <v>0.69444444444444453</v>
      </c>
      <c r="C121" s="39" t="s">
        <v>509</v>
      </c>
      <c r="D121" s="40">
        <v>1</v>
      </c>
      <c r="E121" s="41">
        <v>4</v>
      </c>
      <c r="F121" s="41" t="s">
        <v>155</v>
      </c>
      <c r="G121" s="42" t="s">
        <v>148</v>
      </c>
      <c r="H121" s="41" t="s">
        <v>147</v>
      </c>
      <c r="I121" s="42">
        <v>2</v>
      </c>
      <c r="J121" s="42">
        <v>2</v>
      </c>
      <c r="K121" s="25" t="str">
        <f>VLOOKUP(J121,Key!$E$2:$F$9,2,FALSE)</f>
        <v>Work</v>
      </c>
      <c r="L121" s="41" t="s">
        <v>510</v>
      </c>
      <c r="M121" s="42" t="s">
        <v>2701</v>
      </c>
      <c r="N121" s="41" t="s">
        <v>147</v>
      </c>
      <c r="O121" s="42">
        <v>1</v>
      </c>
      <c r="P121" s="42">
        <v>1</v>
      </c>
      <c r="Q121" s="25" t="str">
        <f>VLOOKUP(P121,Key!$E$2:$F$9,2,FALSE)</f>
        <v>Home</v>
      </c>
      <c r="R121" s="25" t="str">
        <f t="shared" si="2"/>
        <v>Work-Home</v>
      </c>
      <c r="S121" s="47">
        <v>20</v>
      </c>
      <c r="T121" s="47">
        <v>0.5</v>
      </c>
      <c r="U121" s="42">
        <v>3</v>
      </c>
      <c r="V121" s="42"/>
      <c r="W121" s="47"/>
      <c r="X121" s="47"/>
      <c r="Y121" s="48" t="s">
        <v>146</v>
      </c>
      <c r="Z121" s="56"/>
      <c r="AA121" s="25">
        <f>VLOOKUP(F121,'Zones (3)'!$A$2:$F$15913,6,FALSE)</f>
        <v>987</v>
      </c>
      <c r="AB121" s="25">
        <f>VLOOKUP(L121,'Zones (3)'!$A$2:$F$15616,6,FALSE)</f>
        <v>1316</v>
      </c>
    </row>
    <row r="122" spans="2:28">
      <c r="B122" s="39">
        <v>0.69097222222222221</v>
      </c>
      <c r="C122" s="39" t="s">
        <v>511</v>
      </c>
      <c r="D122" s="40">
        <v>1</v>
      </c>
      <c r="E122" s="41">
        <v>2</v>
      </c>
      <c r="F122" s="41" t="s">
        <v>317</v>
      </c>
      <c r="G122" s="42" t="s">
        <v>316</v>
      </c>
      <c r="H122" s="41" t="s">
        <v>147</v>
      </c>
      <c r="I122" s="42">
        <v>2</v>
      </c>
      <c r="J122" s="42">
        <v>2</v>
      </c>
      <c r="K122" s="25" t="str">
        <f>VLOOKUP(J122,Key!$E$2:$F$9,2,FALSE)</f>
        <v>Work</v>
      </c>
      <c r="L122" s="41" t="s">
        <v>209</v>
      </c>
      <c r="M122" s="42" t="s">
        <v>150</v>
      </c>
      <c r="N122" s="41" t="s">
        <v>147</v>
      </c>
      <c r="O122" s="42">
        <v>1</v>
      </c>
      <c r="P122" s="42">
        <v>1</v>
      </c>
      <c r="Q122" s="25" t="str">
        <f>VLOOKUP(P122,Key!$E$2:$F$9,2,FALSE)</f>
        <v>Home</v>
      </c>
      <c r="R122" s="25" t="str">
        <f t="shared" si="2"/>
        <v>Work-Home</v>
      </c>
      <c r="S122" s="47"/>
      <c r="T122" s="47"/>
      <c r="U122" s="42">
        <v>6</v>
      </c>
      <c r="V122" s="42"/>
      <c r="W122" s="47"/>
      <c r="X122" s="47"/>
      <c r="Y122" s="48" t="s">
        <v>146</v>
      </c>
      <c r="Z122" s="56"/>
      <c r="AA122" s="25">
        <f>VLOOKUP(F122,'Zones (3)'!$A$2:$F$15913,6,FALSE)</f>
        <v>651</v>
      </c>
      <c r="AB122" s="25">
        <f>VLOOKUP(L122,'Zones (3)'!$A$2:$F$15616,6,FALSE)</f>
        <v>379</v>
      </c>
    </row>
    <row r="123" spans="2:28">
      <c r="B123" s="39">
        <v>0.69027777777777777</v>
      </c>
      <c r="C123" s="39" t="s">
        <v>512</v>
      </c>
      <c r="D123" s="40">
        <v>8</v>
      </c>
      <c r="E123" s="41">
        <v>2</v>
      </c>
      <c r="F123" s="41" t="s">
        <v>155</v>
      </c>
      <c r="G123" s="42" t="s">
        <v>148</v>
      </c>
      <c r="H123" s="41" t="s">
        <v>147</v>
      </c>
      <c r="I123" s="42">
        <v>9</v>
      </c>
      <c r="J123" s="42">
        <v>2</v>
      </c>
      <c r="K123" s="25" t="str">
        <f>VLOOKUP(J123,Key!$E$2:$F$9,2,FALSE)</f>
        <v>Work</v>
      </c>
      <c r="L123" s="41" t="s">
        <v>513</v>
      </c>
      <c r="M123" s="42" t="s">
        <v>150</v>
      </c>
      <c r="N123" s="41" t="s">
        <v>147</v>
      </c>
      <c r="O123" s="42">
        <v>9</v>
      </c>
      <c r="P123" s="42">
        <v>4</v>
      </c>
      <c r="Q123" s="25" t="str">
        <f>VLOOKUP(P123,Key!$E$2:$F$9,2,FALSE)</f>
        <v>Commercial</v>
      </c>
      <c r="R123" s="25" t="str">
        <f t="shared" si="2"/>
        <v>Work-Commercial</v>
      </c>
      <c r="S123" s="47">
        <v>20</v>
      </c>
      <c r="T123" s="47">
        <v>0.8</v>
      </c>
      <c r="U123" s="42">
        <v>1</v>
      </c>
      <c r="V123" s="42">
        <v>11</v>
      </c>
      <c r="W123" s="47"/>
      <c r="X123" s="47"/>
      <c r="Y123" s="48" t="s">
        <v>146</v>
      </c>
      <c r="Z123" s="56"/>
      <c r="AA123" s="25">
        <f>VLOOKUP(F123,'Zones (3)'!$A$2:$F$15913,6,FALSE)</f>
        <v>987</v>
      </c>
      <c r="AB123" s="25">
        <f>VLOOKUP(L123,'Zones (3)'!$A$2:$F$15616,6,FALSE)</f>
        <v>386</v>
      </c>
    </row>
    <row r="124" spans="2:28">
      <c r="B124" s="39">
        <v>0.68611111111111101</v>
      </c>
      <c r="C124" s="39" t="s">
        <v>514</v>
      </c>
      <c r="D124" s="40">
        <v>1</v>
      </c>
      <c r="E124" s="41">
        <v>2</v>
      </c>
      <c r="F124" s="41" t="s">
        <v>155</v>
      </c>
      <c r="G124" s="42" t="s">
        <v>148</v>
      </c>
      <c r="H124" s="41" t="s">
        <v>147</v>
      </c>
      <c r="I124" s="42">
        <v>1</v>
      </c>
      <c r="J124" s="42">
        <v>1</v>
      </c>
      <c r="K124" s="25" t="str">
        <f>VLOOKUP(J124,Key!$E$2:$F$9,2,FALSE)</f>
        <v>Home</v>
      </c>
      <c r="L124" s="41" t="s">
        <v>209</v>
      </c>
      <c r="M124" s="42" t="s">
        <v>150</v>
      </c>
      <c r="N124" s="41" t="s">
        <v>147</v>
      </c>
      <c r="O124" s="42">
        <v>1</v>
      </c>
      <c r="P124" s="42">
        <v>1</v>
      </c>
      <c r="Q124" s="25" t="str">
        <f>VLOOKUP(P124,Key!$E$2:$F$9,2,FALSE)</f>
        <v>Home</v>
      </c>
      <c r="R124" s="25" t="str">
        <f t="shared" si="2"/>
        <v>Home-Home</v>
      </c>
      <c r="S124" s="47">
        <v>78</v>
      </c>
      <c r="T124" s="47"/>
      <c r="U124" s="42">
        <v>1</v>
      </c>
      <c r="V124" s="42"/>
      <c r="W124" s="47"/>
      <c r="X124" s="47"/>
      <c r="Y124" s="48" t="s">
        <v>146</v>
      </c>
      <c r="Z124" s="56"/>
      <c r="AA124" s="25">
        <f>VLOOKUP(F124,'Zones (3)'!$A$2:$F$15913,6,FALSE)</f>
        <v>987</v>
      </c>
      <c r="AB124" s="25">
        <f>VLOOKUP(L124,'Zones (3)'!$A$2:$F$15616,6,FALSE)</f>
        <v>379</v>
      </c>
    </row>
    <row r="125" spans="2:28">
      <c r="B125" s="39">
        <v>0.5229166666666667</v>
      </c>
      <c r="C125" s="39" t="s">
        <v>515</v>
      </c>
      <c r="D125" s="40">
        <v>11</v>
      </c>
      <c r="E125" s="41">
        <v>1</v>
      </c>
      <c r="F125" s="41" t="s">
        <v>155</v>
      </c>
      <c r="G125" s="42" t="s">
        <v>148</v>
      </c>
      <c r="H125" s="41" t="s">
        <v>147</v>
      </c>
      <c r="I125" s="42">
        <v>8</v>
      </c>
      <c r="J125" s="42">
        <v>4</v>
      </c>
      <c r="K125" s="25" t="str">
        <f>VLOOKUP(J125,Key!$E$2:$F$9,2,FALSE)</f>
        <v>Commercial</v>
      </c>
      <c r="L125" s="41" t="s">
        <v>459</v>
      </c>
      <c r="M125" s="42" t="s">
        <v>150</v>
      </c>
      <c r="N125" s="41" t="s">
        <v>147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Commercial-Home</v>
      </c>
      <c r="S125" s="47">
        <v>5</v>
      </c>
      <c r="T125" s="47"/>
      <c r="U125" s="42">
        <v>3</v>
      </c>
      <c r="V125" s="42"/>
      <c r="W125" s="47"/>
      <c r="X125" s="47"/>
      <c r="Y125" s="48" t="s">
        <v>146</v>
      </c>
      <c r="Z125" s="56"/>
      <c r="AA125" s="25">
        <f>VLOOKUP(F125,'Zones (3)'!$A$2:$F$15913,6,FALSE)</f>
        <v>987</v>
      </c>
      <c r="AB125" s="25">
        <f>VLOOKUP(L125,'Zones (3)'!$A$2:$F$15616,6,FALSE)</f>
        <v>379</v>
      </c>
    </row>
    <row r="126" spans="2:28">
      <c r="B126" s="39">
        <v>0.51944444444444449</v>
      </c>
      <c r="C126" s="39" t="s">
        <v>516</v>
      </c>
      <c r="D126" s="40">
        <v>1</v>
      </c>
      <c r="E126" s="41">
        <v>1</v>
      </c>
      <c r="F126" s="41" t="s">
        <v>155</v>
      </c>
      <c r="G126" s="42" t="s">
        <v>148</v>
      </c>
      <c r="H126" s="41" t="s">
        <v>147</v>
      </c>
      <c r="I126" s="42">
        <v>1</v>
      </c>
      <c r="J126" s="42">
        <v>1</v>
      </c>
      <c r="K126" s="25" t="str">
        <f>VLOOKUP(J126,Key!$E$2:$F$9,2,FALSE)</f>
        <v>Home</v>
      </c>
      <c r="L126" s="41" t="s">
        <v>171</v>
      </c>
      <c r="M126" s="42" t="s">
        <v>150</v>
      </c>
      <c r="N126" s="41" t="s">
        <v>147</v>
      </c>
      <c r="O126" s="42">
        <v>1</v>
      </c>
      <c r="P126" s="42">
        <v>1</v>
      </c>
      <c r="Q126" s="25" t="str">
        <f>VLOOKUP(P126,Key!$E$2:$F$9,2,FALSE)</f>
        <v>Home</v>
      </c>
      <c r="R126" s="25" t="str">
        <f t="shared" si="2"/>
        <v>Home-Home</v>
      </c>
      <c r="S126" s="47">
        <v>16</v>
      </c>
      <c r="T126" s="47">
        <v>1</v>
      </c>
      <c r="U126" s="42">
        <v>3</v>
      </c>
      <c r="V126" s="42"/>
      <c r="W126" s="47"/>
      <c r="X126" s="47"/>
      <c r="Y126" s="48" t="s">
        <v>146</v>
      </c>
      <c r="Z126" s="56"/>
      <c r="AA126" s="25">
        <f>VLOOKUP(F126,'Zones (3)'!$A$2:$F$15913,6,FALSE)</f>
        <v>987</v>
      </c>
      <c r="AB126" s="25">
        <f>VLOOKUP(L126,'Zones (3)'!$A$2:$F$15616,6,FALSE)</f>
        <v>379</v>
      </c>
    </row>
    <row r="127" spans="2:28">
      <c r="B127" s="39">
        <v>0.51736111111111105</v>
      </c>
      <c r="C127" s="39" t="s">
        <v>517</v>
      </c>
      <c r="D127" s="40">
        <v>1</v>
      </c>
      <c r="E127" s="41">
        <v>1</v>
      </c>
      <c r="F127" s="41" t="s">
        <v>155</v>
      </c>
      <c r="G127" s="42" t="s">
        <v>148</v>
      </c>
      <c r="H127" s="41" t="s">
        <v>147</v>
      </c>
      <c r="I127" s="42">
        <v>16</v>
      </c>
      <c r="J127" s="42">
        <v>2</v>
      </c>
      <c r="K127" s="25" t="str">
        <f>VLOOKUP(J127,Key!$E$2:$F$9,2,FALSE)</f>
        <v>Work</v>
      </c>
      <c r="L127" s="41" t="s">
        <v>262</v>
      </c>
      <c r="M127" s="42" t="s">
        <v>150</v>
      </c>
      <c r="N127" s="41" t="s">
        <v>147</v>
      </c>
      <c r="O127" s="42">
        <v>16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47">
        <v>15</v>
      </c>
      <c r="T127" s="47">
        <v>0.3</v>
      </c>
      <c r="U127" s="42">
        <v>3</v>
      </c>
      <c r="V127" s="42"/>
      <c r="W127" s="47"/>
      <c r="X127" s="47"/>
      <c r="Y127" s="48" t="s">
        <v>146</v>
      </c>
      <c r="Z127" s="56"/>
      <c r="AA127" s="25">
        <f>VLOOKUP(F127,'Zones (3)'!$A$2:$F$15913,6,FALSE)</f>
        <v>987</v>
      </c>
      <c r="AB127" s="25">
        <f>VLOOKUP(L127,'Zones (3)'!$A$2:$F$15616,6,FALSE)</f>
        <v>850</v>
      </c>
    </row>
    <row r="128" spans="2:28">
      <c r="B128" s="39">
        <v>0.51388888888888895</v>
      </c>
      <c r="C128" s="39" t="s">
        <v>518</v>
      </c>
      <c r="D128" s="40">
        <v>11</v>
      </c>
      <c r="E128" s="41">
        <v>1</v>
      </c>
      <c r="F128" s="41" t="s">
        <v>155</v>
      </c>
      <c r="G128" s="42" t="s">
        <v>148</v>
      </c>
      <c r="H128" s="41" t="s">
        <v>147</v>
      </c>
      <c r="I128" s="42">
        <v>8</v>
      </c>
      <c r="J128" s="42">
        <v>2</v>
      </c>
      <c r="K128" s="25" t="str">
        <f>VLOOKUP(J128,Key!$E$2:$F$9,2,FALSE)</f>
        <v>Work</v>
      </c>
      <c r="L128" s="41" t="s">
        <v>519</v>
      </c>
      <c r="M128" s="42" t="s">
        <v>148</v>
      </c>
      <c r="N128" s="41" t="s">
        <v>147</v>
      </c>
      <c r="O128" s="42">
        <v>1</v>
      </c>
      <c r="P128" s="42">
        <v>1</v>
      </c>
      <c r="Q128" s="25" t="str">
        <f>VLOOKUP(P128,Key!$E$2:$F$9,2,FALSE)</f>
        <v>Home</v>
      </c>
      <c r="R128" s="25" t="str">
        <f t="shared" si="2"/>
        <v>Work-Home</v>
      </c>
      <c r="S128" s="47"/>
      <c r="T128" s="47">
        <v>0.5</v>
      </c>
      <c r="U128" s="42">
        <v>1</v>
      </c>
      <c r="V128" s="42"/>
      <c r="W128" s="47"/>
      <c r="X128" s="47"/>
      <c r="Y128" s="48" t="s">
        <v>146</v>
      </c>
      <c r="Z128" s="56"/>
      <c r="AA128" s="25">
        <f>VLOOKUP(F128,'Zones (3)'!$A$2:$F$15913,6,FALSE)</f>
        <v>987</v>
      </c>
      <c r="AB128" s="25">
        <f>VLOOKUP(L128,'Zones (3)'!$A$2:$F$15616,6,FALSE)</f>
        <v>984</v>
      </c>
    </row>
    <row r="129" spans="2:28">
      <c r="B129" s="39">
        <v>0.51111111111111118</v>
      </c>
      <c r="C129" s="39" t="s">
        <v>520</v>
      </c>
      <c r="D129" s="40">
        <v>1</v>
      </c>
      <c r="E129" s="41">
        <v>1</v>
      </c>
      <c r="F129" s="41" t="s">
        <v>173</v>
      </c>
      <c r="G129" s="42" t="s">
        <v>148</v>
      </c>
      <c r="H129" s="41" t="s">
        <v>147</v>
      </c>
      <c r="I129" s="42">
        <v>1</v>
      </c>
      <c r="J129" s="42">
        <v>1</v>
      </c>
      <c r="K129" s="25" t="str">
        <f>VLOOKUP(J129,Key!$E$2:$F$9,2,FALSE)</f>
        <v>Home</v>
      </c>
      <c r="L129" s="41" t="s">
        <v>457</v>
      </c>
      <c r="M129" s="42" t="s">
        <v>150</v>
      </c>
      <c r="N129" s="41" t="s">
        <v>147</v>
      </c>
      <c r="O129" s="42">
        <v>4</v>
      </c>
      <c r="P129" s="42">
        <v>3</v>
      </c>
      <c r="Q129" s="25" t="str">
        <f>VLOOKUP(P129,Key!$E$2:$F$9,2,FALSE)</f>
        <v>Study</v>
      </c>
      <c r="R129" s="25" t="str">
        <f t="shared" si="2"/>
        <v>Home-Study</v>
      </c>
      <c r="S129" s="47">
        <v>2</v>
      </c>
      <c r="T129" s="47">
        <v>0.2</v>
      </c>
      <c r="U129" s="42">
        <v>1</v>
      </c>
      <c r="V129" s="42"/>
      <c r="W129" s="47"/>
      <c r="X129" s="47"/>
      <c r="Y129" s="48" t="s">
        <v>146</v>
      </c>
      <c r="Z129" s="56"/>
      <c r="AA129" s="25">
        <f>VLOOKUP(F129,'Zones (3)'!$A$2:$F$15913,6,FALSE)</f>
        <v>987</v>
      </c>
      <c r="AB129" s="25">
        <f>VLOOKUP(L129,'Zones (3)'!$A$2:$F$15616,6,FALSE)</f>
        <v>376</v>
      </c>
    </row>
    <row r="130" spans="2:28">
      <c r="B130" s="39">
        <v>0.5083333333333333</v>
      </c>
      <c r="C130" s="39" t="s">
        <v>521</v>
      </c>
      <c r="D130" s="40">
        <v>3</v>
      </c>
      <c r="E130" s="41">
        <v>2</v>
      </c>
      <c r="F130" s="41" t="s">
        <v>164</v>
      </c>
      <c r="G130" s="42" t="s">
        <v>150</v>
      </c>
      <c r="H130" s="41" t="s">
        <v>147</v>
      </c>
      <c r="I130" s="42">
        <v>1</v>
      </c>
      <c r="J130" s="42">
        <v>1</v>
      </c>
      <c r="K130" s="25" t="str">
        <f>VLOOKUP(J130,Key!$E$2:$F$9,2,FALSE)</f>
        <v>Home</v>
      </c>
      <c r="L130" s="41" t="s">
        <v>213</v>
      </c>
      <c r="M130" s="42" t="s">
        <v>150</v>
      </c>
      <c r="N130" s="41" t="s">
        <v>147</v>
      </c>
      <c r="O130" s="42">
        <v>11</v>
      </c>
      <c r="P130" s="42">
        <v>4</v>
      </c>
      <c r="Q130" s="25" t="str">
        <f>VLOOKUP(P130,Key!$E$2:$F$9,2,FALSE)</f>
        <v>Commercial</v>
      </c>
      <c r="R130" s="25" t="str">
        <f t="shared" si="2"/>
        <v>Home-Commercial</v>
      </c>
      <c r="S130" s="47">
        <v>40</v>
      </c>
      <c r="T130" s="47">
        <v>0.8</v>
      </c>
      <c r="U130" s="42">
        <v>4</v>
      </c>
      <c r="V130" s="42">
        <v>10</v>
      </c>
      <c r="W130" s="47">
        <v>0.5</v>
      </c>
      <c r="X130" s="47"/>
      <c r="Y130" s="48" t="s">
        <v>146</v>
      </c>
      <c r="Z130" s="56"/>
      <c r="AA130" s="25">
        <f>VLOOKUP(F130,'Zones (3)'!$A$2:$F$15913,6,FALSE)</f>
        <v>538</v>
      </c>
      <c r="AB130" s="25">
        <f>VLOOKUP(L130,'Zones (3)'!$A$2:$F$15616,6,FALSE)</f>
        <v>381</v>
      </c>
    </row>
    <row r="131" spans="2:28">
      <c r="B131" s="39">
        <v>1.6979166666666667</v>
      </c>
      <c r="C131" s="39" t="s">
        <v>522</v>
      </c>
      <c r="D131" s="40">
        <v>7</v>
      </c>
      <c r="E131" s="41">
        <v>2</v>
      </c>
      <c r="F131" s="41" t="s">
        <v>523</v>
      </c>
      <c r="G131" s="42" t="s">
        <v>524</v>
      </c>
      <c r="H131" s="41" t="s">
        <v>147</v>
      </c>
      <c r="I131" s="42">
        <v>1</v>
      </c>
      <c r="J131" s="42">
        <v>1</v>
      </c>
      <c r="K131" s="25" t="str">
        <f>VLOOKUP(J131,Key!$E$2:$F$9,2,FALSE)</f>
        <v>Home</v>
      </c>
      <c r="L131" s="41" t="s">
        <v>209</v>
      </c>
      <c r="M131" s="42" t="s">
        <v>150</v>
      </c>
      <c r="N131" s="41" t="s">
        <v>147</v>
      </c>
      <c r="O131" s="42">
        <v>11</v>
      </c>
      <c r="P131" s="42">
        <v>4</v>
      </c>
      <c r="Q131" s="25" t="str">
        <f>VLOOKUP(P131,Key!$E$2:$F$9,2,FALSE)</f>
        <v>Commercial</v>
      </c>
      <c r="R131" s="25" t="str">
        <f t="shared" si="2"/>
        <v>Home-Commercial</v>
      </c>
      <c r="S131" s="47">
        <v>100</v>
      </c>
      <c r="T131" s="47">
        <v>5</v>
      </c>
      <c r="U131" s="42">
        <v>3</v>
      </c>
      <c r="V131" s="42">
        <v>10</v>
      </c>
      <c r="W131" s="47">
        <v>0.5</v>
      </c>
      <c r="X131" s="47"/>
      <c r="Y131" s="48" t="s">
        <v>146</v>
      </c>
      <c r="Z131" s="56"/>
      <c r="AA131" s="25">
        <f>VLOOKUP(F131,'Zones (3)'!$A$2:$F$15913,6,FALSE)</f>
        <v>937</v>
      </c>
      <c r="AB131" s="25">
        <f>VLOOKUP(L131,'Zones (3)'!$A$2:$F$15616,6,FALSE)</f>
        <v>379</v>
      </c>
    </row>
    <row r="132" spans="2:28">
      <c r="B132" s="39">
        <v>0.44166666666666665</v>
      </c>
      <c r="C132" s="39" t="s">
        <v>525</v>
      </c>
      <c r="D132" s="40">
        <v>1</v>
      </c>
      <c r="E132" s="41">
        <v>1</v>
      </c>
      <c r="F132" s="41" t="s">
        <v>526</v>
      </c>
      <c r="G132" s="42" t="s">
        <v>148</v>
      </c>
      <c r="H132" s="41" t="s">
        <v>147</v>
      </c>
      <c r="I132" s="42">
        <v>4</v>
      </c>
      <c r="J132" s="42">
        <v>3</v>
      </c>
      <c r="K132" s="25" t="str">
        <f>VLOOKUP(J132,Key!$E$2:$F$9,2,FALSE)</f>
        <v>Study</v>
      </c>
      <c r="L132" s="41" t="s">
        <v>3219</v>
      </c>
      <c r="M132" s="42" t="s">
        <v>3219</v>
      </c>
      <c r="N132" s="41" t="s">
        <v>147</v>
      </c>
      <c r="O132" s="42">
        <v>1</v>
      </c>
      <c r="P132" s="42">
        <v>1</v>
      </c>
      <c r="Q132" s="25" t="str">
        <f>VLOOKUP(P132,Key!$E$2:$F$9,2,FALSE)</f>
        <v>Home</v>
      </c>
      <c r="R132" s="25" t="str">
        <f t="shared" si="2"/>
        <v>Study-Home</v>
      </c>
      <c r="S132" s="47">
        <v>90</v>
      </c>
      <c r="T132" s="47">
        <v>3</v>
      </c>
      <c r="U132" s="42">
        <v>3</v>
      </c>
      <c r="V132" s="42"/>
      <c r="W132" s="47"/>
      <c r="X132" s="47"/>
      <c r="Y132" s="48" t="s">
        <v>146</v>
      </c>
      <c r="Z132" s="56"/>
      <c r="AA132" s="25">
        <f>VLOOKUP(F132,'Zones (3)'!$A$2:$F$15913,6,FALSE)</f>
        <v>987</v>
      </c>
      <c r="AB132" s="25">
        <f>VLOOKUP(L132,'Zones (3)'!$A$2:$F$15616,6,FALSE)</f>
        <v>1265</v>
      </c>
    </row>
    <row r="133" spans="2:28">
      <c r="B133" s="39">
        <v>0.4375</v>
      </c>
      <c r="C133" s="39" t="s">
        <v>528</v>
      </c>
      <c r="D133" s="40">
        <v>1</v>
      </c>
      <c r="E133" s="41">
        <v>3</v>
      </c>
      <c r="F133" s="41" t="s">
        <v>155</v>
      </c>
      <c r="G133" s="42" t="s">
        <v>148</v>
      </c>
      <c r="H133" s="41" t="s">
        <v>147</v>
      </c>
      <c r="I133" s="42">
        <v>16</v>
      </c>
      <c r="J133" s="42">
        <v>8</v>
      </c>
      <c r="K133" s="25" t="str">
        <f>VLOOKUP(J133,Key!$E$2:$F$9,2,FALSE)</f>
        <v>Others</v>
      </c>
      <c r="L133" s="41" t="s">
        <v>519</v>
      </c>
      <c r="M133" s="42" t="s">
        <v>150</v>
      </c>
      <c r="N133" s="41" t="s">
        <v>147</v>
      </c>
      <c r="O133" s="42">
        <v>1</v>
      </c>
      <c r="P133" s="42">
        <v>1</v>
      </c>
      <c r="Q133" s="25" t="str">
        <f>VLOOKUP(P133,Key!$E$2:$F$9,2,FALSE)</f>
        <v>Home</v>
      </c>
      <c r="R133" s="25" t="str">
        <f t="shared" si="2"/>
        <v>Others-Home</v>
      </c>
      <c r="S133" s="47">
        <v>15</v>
      </c>
      <c r="T133" s="47">
        <v>0.3</v>
      </c>
      <c r="U133" s="42">
        <v>1</v>
      </c>
      <c r="V133" s="42"/>
      <c r="W133" s="47"/>
      <c r="X133" s="47"/>
      <c r="Y133" s="48" t="s">
        <v>146</v>
      </c>
      <c r="Z133" s="56"/>
      <c r="AA133" s="25">
        <f>VLOOKUP(F133,'Zones (3)'!$A$2:$F$15913,6,FALSE)</f>
        <v>987</v>
      </c>
      <c r="AB133" s="25">
        <f>VLOOKUP(L133,'Zones (3)'!$A$2:$F$15616,6,FALSE)</f>
        <v>984</v>
      </c>
    </row>
    <row r="134" spans="2:28">
      <c r="B134" s="39" t="s">
        <v>529</v>
      </c>
      <c r="C134" s="39" t="s">
        <v>430</v>
      </c>
      <c r="D134" s="40">
        <v>11</v>
      </c>
      <c r="E134" s="41">
        <v>1</v>
      </c>
      <c r="F134" s="41" t="s">
        <v>155</v>
      </c>
      <c r="G134" s="42" t="s">
        <v>148</v>
      </c>
      <c r="H134" s="41" t="s">
        <v>147</v>
      </c>
      <c r="I134" s="42">
        <v>8</v>
      </c>
      <c r="J134" s="42">
        <v>2</v>
      </c>
      <c r="K134" s="25" t="str">
        <f>VLOOKUP(J134,Key!$E$2:$F$9,2,FALSE)</f>
        <v>Work</v>
      </c>
      <c r="L134" s="41" t="s">
        <v>459</v>
      </c>
      <c r="M134" s="42" t="s">
        <v>150</v>
      </c>
      <c r="N134" s="41" t="s">
        <v>147</v>
      </c>
      <c r="O134" s="42">
        <v>8</v>
      </c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47"/>
      <c r="T134" s="47">
        <v>0.3</v>
      </c>
      <c r="U134" s="42">
        <v>2</v>
      </c>
      <c r="V134" s="42"/>
      <c r="W134" s="47"/>
      <c r="X134" s="47"/>
      <c r="Y134" s="48" t="s">
        <v>146</v>
      </c>
      <c r="Z134" s="56"/>
      <c r="AA134" s="25">
        <f>VLOOKUP(F134,'Zones (3)'!$A$2:$F$15913,6,FALSE)</f>
        <v>987</v>
      </c>
      <c r="AB134" s="25">
        <f>VLOOKUP(L134,'Zones (3)'!$A$2:$F$15616,6,FALSE)</f>
        <v>379</v>
      </c>
    </row>
    <row r="135" spans="2:28">
      <c r="B135" s="39">
        <v>0.43055555555555558</v>
      </c>
      <c r="C135" s="39" t="s">
        <v>530</v>
      </c>
      <c r="D135" s="40">
        <v>1</v>
      </c>
      <c r="E135" s="41">
        <v>1</v>
      </c>
      <c r="F135" s="41" t="s">
        <v>173</v>
      </c>
      <c r="G135" s="42" t="s">
        <v>148</v>
      </c>
      <c r="H135" s="41" t="s">
        <v>147</v>
      </c>
      <c r="I135" s="42">
        <v>1</v>
      </c>
      <c r="J135" s="42">
        <v>1</v>
      </c>
      <c r="K135" s="25" t="str">
        <f>VLOOKUP(J135,Key!$E$2:$F$9,2,FALSE)</f>
        <v>Home</v>
      </c>
      <c r="L135" s="41" t="s">
        <v>213</v>
      </c>
      <c r="M135" s="42" t="s">
        <v>150</v>
      </c>
      <c r="N135" s="41" t="s">
        <v>147</v>
      </c>
      <c r="O135" s="42">
        <v>16</v>
      </c>
      <c r="P135" s="42">
        <v>6</v>
      </c>
      <c r="Q135" s="25" t="str">
        <f>VLOOKUP(P135,Key!$E$2:$F$9,2,FALSE)</f>
        <v>Leisure/Social</v>
      </c>
      <c r="R135" s="25" t="str">
        <f t="shared" si="2"/>
        <v>Home-Leisure/Social</v>
      </c>
      <c r="S135" s="47">
        <v>21</v>
      </c>
      <c r="T135" s="47"/>
      <c r="U135" s="42">
        <v>6</v>
      </c>
      <c r="V135" s="42"/>
      <c r="W135" s="47"/>
      <c r="X135" s="47"/>
      <c r="Y135" s="48" t="s">
        <v>146</v>
      </c>
      <c r="Z135" s="56"/>
      <c r="AA135" s="25">
        <f>VLOOKUP(F135,'Zones (3)'!$A$2:$F$15913,6,FALSE)</f>
        <v>987</v>
      </c>
      <c r="AB135" s="25">
        <f>VLOOKUP(L135,'Zones (3)'!$A$2:$F$15616,6,FALSE)</f>
        <v>381</v>
      </c>
    </row>
    <row r="136" spans="2:28">
      <c r="B136" s="39">
        <v>0.42499999999999999</v>
      </c>
      <c r="C136" s="39" t="s">
        <v>531</v>
      </c>
      <c r="D136" s="40">
        <v>1</v>
      </c>
      <c r="E136" s="41">
        <v>3</v>
      </c>
      <c r="F136" s="41" t="s">
        <v>173</v>
      </c>
      <c r="G136" s="42" t="s">
        <v>148</v>
      </c>
      <c r="H136" s="41" t="s">
        <v>147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165</v>
      </c>
      <c r="M136" s="42" t="s">
        <v>150</v>
      </c>
      <c r="N136" s="41" t="s">
        <v>147</v>
      </c>
      <c r="O136" s="42">
        <v>1</v>
      </c>
      <c r="P136" s="42">
        <v>1</v>
      </c>
      <c r="Q136" s="25" t="str">
        <f>VLOOKUP(P136,Key!$E$2:$F$9,2,FALSE)</f>
        <v>Home</v>
      </c>
      <c r="R136" s="25" t="str">
        <f t="shared" si="2"/>
        <v>Home-Home</v>
      </c>
      <c r="S136" s="47"/>
      <c r="T136" s="47">
        <v>0.5</v>
      </c>
      <c r="U136" s="42">
        <v>3</v>
      </c>
      <c r="V136" s="42"/>
      <c r="W136" s="47"/>
      <c r="X136" s="47"/>
      <c r="Y136" s="48" t="s">
        <v>146</v>
      </c>
      <c r="Z136" s="56"/>
      <c r="AA136" s="25">
        <f>VLOOKUP(F136,'Zones (3)'!$A$2:$F$15913,6,FALSE)</f>
        <v>987</v>
      </c>
      <c r="AB136" s="25">
        <f>VLOOKUP(L136,'Zones (3)'!$A$2:$F$15616,6,FALSE)</f>
        <v>376</v>
      </c>
    </row>
    <row r="137" spans="2:28">
      <c r="B137" s="39">
        <v>0.41666666666666669</v>
      </c>
      <c r="C137" s="39" t="s">
        <v>532</v>
      </c>
      <c r="D137" s="40">
        <v>7</v>
      </c>
      <c r="E137" s="41">
        <v>2</v>
      </c>
      <c r="F137" s="41" t="s">
        <v>155</v>
      </c>
      <c r="G137" s="42" t="s">
        <v>148</v>
      </c>
      <c r="H137" s="41" t="s">
        <v>147</v>
      </c>
      <c r="I137" s="42">
        <v>15</v>
      </c>
      <c r="J137" s="42">
        <v>4</v>
      </c>
      <c r="K137" s="25" t="str">
        <f>VLOOKUP(J137,Key!$E$2:$F$9,2,FALSE)</f>
        <v>Commercial</v>
      </c>
      <c r="L137" s="41" t="s">
        <v>191</v>
      </c>
      <c r="M137" s="42" t="s">
        <v>150</v>
      </c>
      <c r="N137" s="41" t="s">
        <v>147</v>
      </c>
      <c r="O137" s="42">
        <v>10</v>
      </c>
      <c r="P137" s="42">
        <v>2</v>
      </c>
      <c r="Q137" s="25" t="str">
        <f>VLOOKUP(P137,Key!$E$2:$F$9,2,FALSE)</f>
        <v>Work</v>
      </c>
      <c r="R137" s="25" t="str">
        <f t="shared" si="2"/>
        <v>Commercial-Work</v>
      </c>
      <c r="S137" s="47">
        <v>5</v>
      </c>
      <c r="T137" s="47">
        <v>0.2</v>
      </c>
      <c r="U137" s="42">
        <v>1</v>
      </c>
      <c r="V137" s="42">
        <v>4</v>
      </c>
      <c r="W137" s="47">
        <v>1</v>
      </c>
      <c r="X137" s="47">
        <v>150000</v>
      </c>
      <c r="Y137" s="48" t="s">
        <v>146</v>
      </c>
      <c r="Z137" s="56"/>
      <c r="AA137" s="25">
        <f>VLOOKUP(F137,'Zones (3)'!$A$2:$F$15913,6,FALSE)</f>
        <v>987</v>
      </c>
      <c r="AB137" s="25">
        <f>VLOOKUP(L137,'Zones (3)'!$A$2:$F$15616,6,FALSE)</f>
        <v>422</v>
      </c>
    </row>
    <row r="138" spans="2:28">
      <c r="B138" s="39">
        <v>0.39374999999999999</v>
      </c>
      <c r="C138" s="39" t="s">
        <v>533</v>
      </c>
      <c r="D138" s="40">
        <v>1</v>
      </c>
      <c r="E138" s="41">
        <v>1</v>
      </c>
      <c r="F138" s="41" t="s">
        <v>155</v>
      </c>
      <c r="G138" s="42" t="s">
        <v>148</v>
      </c>
      <c r="H138" s="41" t="s">
        <v>147</v>
      </c>
      <c r="I138" s="42">
        <v>1</v>
      </c>
      <c r="J138" s="42">
        <v>1</v>
      </c>
      <c r="K138" s="25" t="str">
        <f>VLOOKUP(J138,Key!$E$2:$F$9,2,FALSE)</f>
        <v>Home</v>
      </c>
      <c r="L138" s="41" t="s">
        <v>209</v>
      </c>
      <c r="M138" s="42" t="s">
        <v>150</v>
      </c>
      <c r="N138" s="41" t="s">
        <v>147</v>
      </c>
      <c r="O138" s="42">
        <v>11</v>
      </c>
      <c r="P138" s="42">
        <v>4</v>
      </c>
      <c r="Q138" s="25" t="str">
        <f>VLOOKUP(P138,Key!$E$2:$F$9,2,FALSE)</f>
        <v>Commercial</v>
      </c>
      <c r="R138" s="25" t="str">
        <f t="shared" si="2"/>
        <v>Home-Commercial</v>
      </c>
      <c r="S138" s="47">
        <v>70</v>
      </c>
      <c r="T138" s="47">
        <v>1</v>
      </c>
      <c r="U138" s="42">
        <v>4</v>
      </c>
      <c r="V138" s="42"/>
      <c r="W138" s="47"/>
      <c r="X138" s="47"/>
      <c r="Y138" s="48" t="s">
        <v>146</v>
      </c>
      <c r="Z138" s="56"/>
      <c r="AA138" s="25">
        <f>VLOOKUP(F138,'Zones (3)'!$A$2:$F$15913,6,FALSE)</f>
        <v>987</v>
      </c>
      <c r="AB138" s="25">
        <f>VLOOKUP(L138,'Zones (3)'!$A$2:$F$15616,6,FALSE)</f>
        <v>379</v>
      </c>
    </row>
    <row r="139" spans="2:28">
      <c r="B139" s="39">
        <v>0.38819444444444445</v>
      </c>
      <c r="C139" s="39" t="s">
        <v>534</v>
      </c>
      <c r="D139" s="40">
        <v>1</v>
      </c>
      <c r="E139" s="41">
        <v>1</v>
      </c>
      <c r="F139" s="41" t="s">
        <v>195</v>
      </c>
      <c r="G139" s="42" t="s">
        <v>148</v>
      </c>
      <c r="H139" s="41" t="s">
        <v>147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169</v>
      </c>
      <c r="M139" s="42" t="s">
        <v>150</v>
      </c>
      <c r="N139" s="41" t="s">
        <v>147</v>
      </c>
      <c r="O139" s="42">
        <v>1</v>
      </c>
      <c r="P139" s="42">
        <v>1</v>
      </c>
      <c r="Q139" s="25" t="str">
        <f>VLOOKUP(P139,Key!$E$2:$F$9,2,FALSE)</f>
        <v>Home</v>
      </c>
      <c r="R139" s="25" t="str">
        <f t="shared" si="2"/>
        <v>Home-Home</v>
      </c>
      <c r="S139" s="47">
        <v>10</v>
      </c>
      <c r="T139" s="47">
        <v>0.1</v>
      </c>
      <c r="U139" s="42">
        <v>1</v>
      </c>
      <c r="V139" s="42"/>
      <c r="W139" s="47"/>
      <c r="X139" s="47"/>
      <c r="Y139" s="48" t="s">
        <v>146</v>
      </c>
      <c r="Z139" s="56"/>
      <c r="AA139" s="25">
        <f>VLOOKUP(F139,'Zones (3)'!$A$2:$F$15913,6,FALSE)</f>
        <v>618</v>
      </c>
      <c r="AB139" s="25">
        <f>VLOOKUP(L139,'Zones (3)'!$A$2:$F$15616,6,FALSE)</f>
        <v>380</v>
      </c>
    </row>
    <row r="140" spans="2:28">
      <c r="B140" s="39">
        <v>0.38194444444444442</v>
      </c>
      <c r="C140" s="39" t="s">
        <v>535</v>
      </c>
      <c r="D140" s="40">
        <v>7</v>
      </c>
      <c r="E140" s="41">
        <v>2</v>
      </c>
      <c r="F140" s="41" t="s">
        <v>536</v>
      </c>
      <c r="G140" s="42" t="s">
        <v>148</v>
      </c>
      <c r="H140" s="41" t="s">
        <v>147</v>
      </c>
      <c r="I140" s="42">
        <v>11</v>
      </c>
      <c r="J140" s="42">
        <v>3</v>
      </c>
      <c r="K140" s="25" t="str">
        <f>VLOOKUP(J140,Key!$E$2:$F$9,2,FALSE)</f>
        <v>Study</v>
      </c>
      <c r="L140" s="41" t="s">
        <v>537</v>
      </c>
      <c r="M140" s="42" t="s">
        <v>150</v>
      </c>
      <c r="N140" s="41" t="s">
        <v>147</v>
      </c>
      <c r="O140" s="42">
        <v>9</v>
      </c>
      <c r="P140" s="42">
        <v>4</v>
      </c>
      <c r="Q140" s="25" t="str">
        <f>VLOOKUP(P140,Key!$E$2:$F$9,2,FALSE)</f>
        <v>Commercial</v>
      </c>
      <c r="R140" s="25" t="str">
        <f t="shared" si="2"/>
        <v>Study-Commercial</v>
      </c>
      <c r="S140" s="47">
        <v>25</v>
      </c>
      <c r="T140" s="47">
        <v>1</v>
      </c>
      <c r="U140" s="42">
        <v>2</v>
      </c>
      <c r="V140" s="42">
        <v>11</v>
      </c>
      <c r="W140" s="47"/>
      <c r="X140" s="47"/>
      <c r="Y140" s="48" t="s">
        <v>146</v>
      </c>
      <c r="Z140" s="56"/>
      <c r="AA140" s="25">
        <f>VLOOKUP(F140,'Zones (3)'!$A$2:$F$15913,6,FALSE)</f>
        <v>987</v>
      </c>
      <c r="AB140" s="25">
        <f>VLOOKUP(L140,'Zones (3)'!$A$2:$F$15616,6,FALSE)</f>
        <v>376</v>
      </c>
    </row>
    <row r="141" spans="2:28">
      <c r="B141" s="39">
        <v>0.3840277777777778</v>
      </c>
      <c r="C141" s="39" t="s">
        <v>538</v>
      </c>
      <c r="D141" s="40">
        <v>2</v>
      </c>
      <c r="E141" s="41">
        <v>1</v>
      </c>
      <c r="F141" s="41" t="s">
        <v>155</v>
      </c>
      <c r="G141" s="42" t="s">
        <v>148</v>
      </c>
      <c r="H141" s="41" t="s">
        <v>147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169</v>
      </c>
      <c r="M141" s="42" t="s">
        <v>150</v>
      </c>
      <c r="N141" s="41" t="s">
        <v>147</v>
      </c>
      <c r="O141" s="42">
        <v>16</v>
      </c>
      <c r="P141" s="42">
        <v>8</v>
      </c>
      <c r="Q141" s="25" t="str">
        <f>VLOOKUP(P141,Key!$E$2:$F$9,2,FALSE)</f>
        <v>Others</v>
      </c>
      <c r="R141" s="25" t="str">
        <f t="shared" si="2"/>
        <v>Home-Others</v>
      </c>
      <c r="S141" s="47">
        <v>12</v>
      </c>
      <c r="T141" s="47">
        <v>0.3</v>
      </c>
      <c r="U141" s="42">
        <v>6</v>
      </c>
      <c r="V141" s="42"/>
      <c r="W141" s="47"/>
      <c r="X141" s="47"/>
      <c r="Y141" s="48" t="s">
        <v>146</v>
      </c>
      <c r="Z141" s="56"/>
      <c r="AA141" s="25">
        <f>VLOOKUP(F141,'Zones (3)'!$A$2:$F$15913,6,FALSE)</f>
        <v>987</v>
      </c>
      <c r="AB141" s="25">
        <f>VLOOKUP(L141,'Zones (3)'!$A$2:$F$15616,6,FALSE)</f>
        <v>380</v>
      </c>
    </row>
    <row r="142" spans="2:28">
      <c r="B142" s="39">
        <v>0.37847222222222227</v>
      </c>
      <c r="C142" s="39" t="s">
        <v>539</v>
      </c>
      <c r="D142" s="40">
        <v>1</v>
      </c>
      <c r="E142" s="41">
        <v>2</v>
      </c>
      <c r="F142" s="41" t="s">
        <v>540</v>
      </c>
      <c r="G142" s="42" t="s">
        <v>148</v>
      </c>
      <c r="H142" s="41" t="s">
        <v>147</v>
      </c>
      <c r="I142" s="42">
        <v>1</v>
      </c>
      <c r="J142" s="42">
        <v>1</v>
      </c>
      <c r="K142" s="25" t="str">
        <f>VLOOKUP(J142,Key!$E$2:$F$9,2,FALSE)</f>
        <v>Home</v>
      </c>
      <c r="L142" s="41" t="s">
        <v>294</v>
      </c>
      <c r="M142" s="42" t="s">
        <v>150</v>
      </c>
      <c r="N142" s="41" t="s">
        <v>147</v>
      </c>
      <c r="O142" s="42">
        <v>1</v>
      </c>
      <c r="P142" s="42">
        <v>1</v>
      </c>
      <c r="Q142" s="25" t="str">
        <f>VLOOKUP(P142,Key!$E$2:$F$9,2,FALSE)</f>
        <v>Home</v>
      </c>
      <c r="R142" s="25" t="str">
        <f t="shared" si="2"/>
        <v>Home-Home</v>
      </c>
      <c r="S142" s="47">
        <v>10</v>
      </c>
      <c r="T142" s="47">
        <v>0.3</v>
      </c>
      <c r="U142" s="42">
        <v>1</v>
      </c>
      <c r="V142" s="42"/>
      <c r="W142" s="47"/>
      <c r="X142" s="47"/>
      <c r="Y142" s="48" t="s">
        <v>146</v>
      </c>
      <c r="Z142" s="56"/>
      <c r="AA142" s="25">
        <f>VLOOKUP(F142,'Zones (3)'!$A$2:$F$15913,6,FALSE)</f>
        <v>987</v>
      </c>
      <c r="AB142" s="25">
        <f>VLOOKUP(L142,'Zones (3)'!$A$2:$F$15616,6,FALSE)</f>
        <v>376</v>
      </c>
    </row>
    <row r="143" spans="2:28">
      <c r="B143" s="39">
        <v>0.375</v>
      </c>
      <c r="C143" s="39" t="s">
        <v>541</v>
      </c>
      <c r="D143" s="40">
        <v>1</v>
      </c>
      <c r="E143" s="41">
        <v>5</v>
      </c>
      <c r="F143" s="41" t="s">
        <v>155</v>
      </c>
      <c r="G143" s="42" t="s">
        <v>148</v>
      </c>
      <c r="H143" s="41" t="s">
        <v>147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182</v>
      </c>
      <c r="M143" s="42" t="s">
        <v>148</v>
      </c>
      <c r="N143" s="41" t="s">
        <v>147</v>
      </c>
      <c r="O143" s="42">
        <v>2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47">
        <v>35</v>
      </c>
      <c r="T143" s="47">
        <v>0.8</v>
      </c>
      <c r="U143" s="42">
        <v>1</v>
      </c>
      <c r="V143" s="42"/>
      <c r="W143" s="47"/>
      <c r="X143" s="47"/>
      <c r="Y143" s="48" t="s">
        <v>146</v>
      </c>
      <c r="Z143" s="56"/>
      <c r="AA143" s="25">
        <f>VLOOKUP(F143,'Zones (3)'!$A$2:$F$15913,6,FALSE)</f>
        <v>987</v>
      </c>
      <c r="AB143" s="25">
        <f>VLOOKUP(L143,'Zones (3)'!$A$2:$F$15616,6,FALSE)</f>
        <v>982</v>
      </c>
    </row>
    <row r="144" spans="2:28">
      <c r="B144" s="39">
        <v>0.37152777777777773</v>
      </c>
      <c r="C144" s="39" t="s">
        <v>542</v>
      </c>
      <c r="D144" s="40">
        <v>1</v>
      </c>
      <c r="E144" s="41">
        <v>3</v>
      </c>
      <c r="F144" s="41" t="s">
        <v>155</v>
      </c>
      <c r="G144" s="42" t="s">
        <v>148</v>
      </c>
      <c r="H144" s="41" t="s">
        <v>147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169</v>
      </c>
      <c r="M144" s="42" t="s">
        <v>150</v>
      </c>
      <c r="N144" s="41" t="s">
        <v>147</v>
      </c>
      <c r="O144" s="42">
        <v>16</v>
      </c>
      <c r="P144" s="42">
        <v>6</v>
      </c>
      <c r="Q144" s="25" t="str">
        <f>VLOOKUP(P144,Key!$E$2:$F$9,2,FALSE)</f>
        <v>Leisure/Social</v>
      </c>
      <c r="R144" s="25" t="str">
        <f t="shared" si="2"/>
        <v>Home-Leisure/Social</v>
      </c>
      <c r="S144" s="47">
        <v>10</v>
      </c>
      <c r="T144" s="47">
        <v>0.2</v>
      </c>
      <c r="U144" s="42">
        <v>1</v>
      </c>
      <c r="V144" s="42"/>
      <c r="W144" s="47"/>
      <c r="X144" s="47"/>
      <c r="Y144" s="48" t="s">
        <v>146</v>
      </c>
      <c r="Z144" s="56"/>
      <c r="AA144" s="25">
        <f>VLOOKUP(F144,'Zones (3)'!$A$2:$F$15913,6,FALSE)</f>
        <v>987</v>
      </c>
      <c r="AB144" s="25">
        <f>VLOOKUP(L144,'Zones (3)'!$A$2:$F$15616,6,FALSE)</f>
        <v>380</v>
      </c>
    </row>
    <row r="145" spans="2:28">
      <c r="B145" s="39">
        <v>0.36944444444444446</v>
      </c>
      <c r="C145" s="39" t="s">
        <v>543</v>
      </c>
      <c r="D145" s="40">
        <v>11</v>
      </c>
      <c r="E145" s="41">
        <v>1</v>
      </c>
      <c r="F145" s="41" t="s">
        <v>195</v>
      </c>
      <c r="G145" s="42" t="s">
        <v>148</v>
      </c>
      <c r="H145" s="41" t="s">
        <v>147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459</v>
      </c>
      <c r="M145" s="42" t="s">
        <v>148</v>
      </c>
      <c r="N145" s="41" t="s">
        <v>147</v>
      </c>
      <c r="O145" s="42">
        <v>11</v>
      </c>
      <c r="P145" s="42">
        <v>4</v>
      </c>
      <c r="Q145" s="25" t="str">
        <f>VLOOKUP(P145,Key!$E$2:$F$9,2,FALSE)</f>
        <v>Commercial</v>
      </c>
      <c r="R145" s="25" t="str">
        <f t="shared" si="2"/>
        <v>Home-Commercial</v>
      </c>
      <c r="S145" s="47">
        <v>3</v>
      </c>
      <c r="T145" s="47">
        <v>0.2</v>
      </c>
      <c r="U145" s="42">
        <v>1</v>
      </c>
      <c r="V145" s="42"/>
      <c r="W145" s="47"/>
      <c r="X145" s="47"/>
      <c r="Y145" s="48" t="s">
        <v>146</v>
      </c>
      <c r="Z145" s="56"/>
      <c r="AA145" s="25">
        <f>VLOOKUP(F145,'Zones (3)'!$A$2:$F$15913,6,FALSE)</f>
        <v>618</v>
      </c>
      <c r="AB145" s="25">
        <f>VLOOKUP(L145,'Zones (3)'!$A$2:$F$15616,6,FALSE)</f>
        <v>379</v>
      </c>
    </row>
    <row r="146" spans="2:28">
      <c r="B146" s="39">
        <v>0.36388888888888887</v>
      </c>
      <c r="C146" s="39" t="s">
        <v>544</v>
      </c>
      <c r="D146" s="40">
        <v>2</v>
      </c>
      <c r="E146" s="41">
        <v>1</v>
      </c>
      <c r="F146" s="41" t="s">
        <v>155</v>
      </c>
      <c r="G146" s="42" t="s">
        <v>148</v>
      </c>
      <c r="H146" s="41" t="s">
        <v>147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169</v>
      </c>
      <c r="M146" s="42" t="s">
        <v>150</v>
      </c>
      <c r="N146" s="41" t="s">
        <v>147</v>
      </c>
      <c r="O146" s="42">
        <v>4</v>
      </c>
      <c r="P146" s="42">
        <v>3</v>
      </c>
      <c r="Q146" s="25" t="str">
        <f>VLOOKUP(P146,Key!$E$2:$F$9,2,FALSE)</f>
        <v>Study</v>
      </c>
      <c r="R146" s="25" t="str">
        <f t="shared" si="2"/>
        <v>Home-Study</v>
      </c>
      <c r="S146" s="47">
        <v>11.26</v>
      </c>
      <c r="T146" s="47">
        <v>0.8</v>
      </c>
      <c r="U146" s="42">
        <v>5</v>
      </c>
      <c r="V146" s="42"/>
      <c r="W146" s="47"/>
      <c r="X146" s="47"/>
      <c r="Y146" s="48" t="s">
        <v>146</v>
      </c>
      <c r="Z146" s="56"/>
      <c r="AA146" s="25">
        <f>VLOOKUP(F146,'Zones (3)'!$A$2:$F$15913,6,FALSE)</f>
        <v>987</v>
      </c>
      <c r="AB146" s="25">
        <f>VLOOKUP(L146,'Zones (3)'!$A$2:$F$15616,6,FALSE)</f>
        <v>380</v>
      </c>
    </row>
    <row r="147" spans="2:28">
      <c r="B147" s="39">
        <v>0.36041666666666666</v>
      </c>
      <c r="C147" s="39" t="s">
        <v>545</v>
      </c>
      <c r="D147" s="40">
        <v>2</v>
      </c>
      <c r="E147" s="41">
        <v>4</v>
      </c>
      <c r="F147" s="41" t="s">
        <v>155</v>
      </c>
      <c r="G147" s="42" t="s">
        <v>148</v>
      </c>
      <c r="H147" s="41" t="s">
        <v>147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169</v>
      </c>
      <c r="M147" s="42" t="s">
        <v>150</v>
      </c>
      <c r="N147" s="41" t="s">
        <v>147</v>
      </c>
      <c r="O147" s="42">
        <v>2</v>
      </c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47">
        <v>10</v>
      </c>
      <c r="T147" s="47">
        <v>0.3</v>
      </c>
      <c r="U147" s="42">
        <v>6</v>
      </c>
      <c r="V147" s="42"/>
      <c r="W147" s="47"/>
      <c r="X147" s="47"/>
      <c r="Y147" s="48" t="s">
        <v>146</v>
      </c>
      <c r="Z147" s="56"/>
      <c r="AA147" s="25">
        <f>VLOOKUP(F147,'Zones (3)'!$A$2:$F$15913,6,FALSE)</f>
        <v>987</v>
      </c>
      <c r="AB147" s="25">
        <f>VLOOKUP(L147,'Zones (3)'!$A$2:$F$15616,6,FALSE)</f>
        <v>380</v>
      </c>
    </row>
    <row r="148" spans="2:28">
      <c r="B148" s="39">
        <v>0.35625000000000001</v>
      </c>
      <c r="C148" s="39" t="s">
        <v>546</v>
      </c>
      <c r="D148" s="40">
        <v>1</v>
      </c>
      <c r="E148" s="41">
        <v>1</v>
      </c>
      <c r="F148" s="41" t="s">
        <v>155</v>
      </c>
      <c r="G148" s="42" t="s">
        <v>148</v>
      </c>
      <c r="H148" s="41" t="s">
        <v>147</v>
      </c>
      <c r="I148" s="42">
        <v>1</v>
      </c>
      <c r="J148" s="42">
        <v>1</v>
      </c>
      <c r="K148" s="25" t="str">
        <f>VLOOKUP(J148,Key!$E$2:$F$9,2,FALSE)</f>
        <v>Home</v>
      </c>
      <c r="L148" s="41" t="s">
        <v>547</v>
      </c>
      <c r="M148" s="42" t="s">
        <v>150</v>
      </c>
      <c r="N148" s="41" t="s">
        <v>147</v>
      </c>
      <c r="O148" s="42">
        <v>9</v>
      </c>
      <c r="P148" s="42">
        <v>4</v>
      </c>
      <c r="Q148" s="25" t="str">
        <f>VLOOKUP(P148,Key!$E$2:$F$9,2,FALSE)</f>
        <v>Commercial</v>
      </c>
      <c r="R148" s="25" t="str">
        <f t="shared" ref="R148:R150" si="3">K148&amp;"-"&amp;Q148</f>
        <v>Home-Commercial</v>
      </c>
      <c r="S148" s="47">
        <v>40</v>
      </c>
      <c r="T148" s="47">
        <v>1.5</v>
      </c>
      <c r="U148" s="42">
        <v>1</v>
      </c>
      <c r="V148" s="42"/>
      <c r="W148" s="47"/>
      <c r="X148" s="47"/>
      <c r="Y148" s="48" t="s">
        <v>146</v>
      </c>
      <c r="Z148" s="56"/>
      <c r="AA148" s="25">
        <f>VLOOKUP(F148,'Zones (3)'!$A$2:$F$15913,6,FALSE)</f>
        <v>987</v>
      </c>
      <c r="AB148" s="25">
        <f>VLOOKUP(L148,'Zones (3)'!$A$2:$F$15616,6,FALSE)</f>
        <v>872</v>
      </c>
    </row>
    <row r="149" spans="2:28">
      <c r="B149" s="39">
        <v>0.35138888888888892</v>
      </c>
      <c r="C149" s="39" t="s">
        <v>374</v>
      </c>
      <c r="D149" s="40">
        <v>1</v>
      </c>
      <c r="E149" s="41">
        <v>2</v>
      </c>
      <c r="F149" s="41" t="s">
        <v>164</v>
      </c>
      <c r="G149" s="42" t="s">
        <v>150</v>
      </c>
      <c r="H149" s="41" t="s">
        <v>147</v>
      </c>
      <c r="I149" s="42">
        <v>1</v>
      </c>
      <c r="J149" s="42">
        <v>1</v>
      </c>
      <c r="K149" s="25" t="str">
        <f>VLOOKUP(J149,Key!$E$2:$F$9,2,FALSE)</f>
        <v>Home</v>
      </c>
      <c r="L149" s="41" t="s">
        <v>164</v>
      </c>
      <c r="M149" s="42" t="s">
        <v>150</v>
      </c>
      <c r="N149" s="41" t="s">
        <v>147</v>
      </c>
      <c r="O149" s="42">
        <v>4</v>
      </c>
      <c r="P149" s="42">
        <v>3</v>
      </c>
      <c r="Q149" s="25" t="str">
        <f>VLOOKUP(P149,Key!$E$2:$F$9,2,FALSE)</f>
        <v>Study</v>
      </c>
      <c r="R149" s="25" t="str">
        <f t="shared" si="3"/>
        <v>Home-Study</v>
      </c>
      <c r="S149" s="47">
        <v>1.5</v>
      </c>
      <c r="T149" s="47">
        <v>0.1</v>
      </c>
      <c r="U149" s="42">
        <v>1</v>
      </c>
      <c r="V149" s="42"/>
      <c r="W149" s="47"/>
      <c r="X149" s="47"/>
      <c r="Y149" s="48" t="s">
        <v>146</v>
      </c>
      <c r="Z149" s="56"/>
      <c r="AA149" s="25">
        <f>VLOOKUP(F149,'Zones (3)'!$A$2:$F$15913,6,FALSE)</f>
        <v>538</v>
      </c>
      <c r="AB149" s="25">
        <f>VLOOKUP(L149,'Zones (3)'!$A$2:$F$15616,6,FALSE)</f>
        <v>538</v>
      </c>
    </row>
    <row r="150" spans="2:28">
      <c r="B150" s="39">
        <v>0.34722222222222227</v>
      </c>
      <c r="C150" s="39" t="s">
        <v>548</v>
      </c>
      <c r="D150" s="40">
        <v>11</v>
      </c>
      <c r="E150" s="41">
        <v>1</v>
      </c>
      <c r="F150" s="41" t="s">
        <v>164</v>
      </c>
      <c r="G150" s="42" t="s">
        <v>150</v>
      </c>
      <c r="H150" s="41" t="s">
        <v>147</v>
      </c>
      <c r="I150" s="42">
        <v>8</v>
      </c>
      <c r="J150" s="42">
        <v>1</v>
      </c>
      <c r="K150" s="25" t="str">
        <f>VLOOKUP(J150,Key!$E$2:$F$9,2,FALSE)</f>
        <v>Home</v>
      </c>
      <c r="L150" s="41" t="s">
        <v>169</v>
      </c>
      <c r="M150" s="42" t="s">
        <v>150</v>
      </c>
      <c r="N150" s="41" t="s">
        <v>147</v>
      </c>
      <c r="O150" s="42">
        <v>8</v>
      </c>
      <c r="P150" s="42">
        <v>3</v>
      </c>
      <c r="Q150" s="25" t="str">
        <f>VLOOKUP(P150,Key!$E$2:$F$9,2,FALSE)</f>
        <v>Study</v>
      </c>
      <c r="R150" s="25" t="str">
        <f t="shared" si="3"/>
        <v>Home-Study</v>
      </c>
      <c r="S150" s="47">
        <v>4</v>
      </c>
      <c r="T150" s="47">
        <v>0.2</v>
      </c>
      <c r="U150" s="42">
        <v>2</v>
      </c>
      <c r="V150" s="42"/>
      <c r="W150" s="47"/>
      <c r="X150" s="47"/>
      <c r="Y150" s="48" t="s">
        <v>146</v>
      </c>
      <c r="Z150" s="56"/>
      <c r="AA150" s="25">
        <f>VLOOKUP(F150,'Zones (3)'!$A$2:$F$15913,6,FALSE)</f>
        <v>538</v>
      </c>
      <c r="AB150" s="25">
        <f>VLOOKUP(L150,'Zones (3)'!$A$2:$F$15616,6,FALSE)</f>
        <v>380</v>
      </c>
    </row>
    <row r="151" spans="2:28">
      <c r="B151" s="39">
        <v>0.34722222222222227</v>
      </c>
      <c r="C151" s="39" t="s">
        <v>154</v>
      </c>
      <c r="D151" s="40">
        <v>3</v>
      </c>
      <c r="E151" s="40">
        <v>3</v>
      </c>
      <c r="F151" s="41" t="s">
        <v>155</v>
      </c>
      <c r="G151" s="41" t="s">
        <v>148</v>
      </c>
      <c r="H151" s="41" t="s">
        <v>633</v>
      </c>
      <c r="I151" s="41">
        <v>1</v>
      </c>
      <c r="J151" s="41">
        <v>1</v>
      </c>
      <c r="K151" s="25" t="str">
        <f>VLOOKUP(J151,Key!$E$2:$F$9,2,FALSE)</f>
        <v>Home</v>
      </c>
      <c r="L151" s="41" t="s">
        <v>156</v>
      </c>
      <c r="M151" s="42" t="s">
        <v>3256</v>
      </c>
      <c r="N151" s="42" t="s">
        <v>633</v>
      </c>
      <c r="O151" s="42">
        <v>11</v>
      </c>
      <c r="P151" s="42">
        <v>4</v>
      </c>
      <c r="Q151" s="25" t="str">
        <f>VLOOKUP(P151,Key!$E$2:$F$9,2,FALSE)</f>
        <v>Commercial</v>
      </c>
      <c r="R151" s="25" t="str">
        <f>K151&amp;"-"&amp;Q151</f>
        <v>Home-Commercial</v>
      </c>
      <c r="S151" s="47">
        <v>120</v>
      </c>
      <c r="T151" s="47">
        <v>4</v>
      </c>
      <c r="U151" s="55">
        <v>4</v>
      </c>
      <c r="V151" s="55">
        <v>1</v>
      </c>
      <c r="W151" s="47"/>
      <c r="X151" s="47"/>
      <c r="Y151" s="48" t="s">
        <v>146</v>
      </c>
      <c r="Z151" s="56"/>
      <c r="AA151" s="25">
        <f>VLOOKUP(F151,'Zones (3)'!$A$2:$F$15913,6,FALSE)</f>
        <v>987</v>
      </c>
      <c r="AB151" s="25">
        <f>VLOOKUP(L151,'Zones (3)'!$A$2:$F$15913,6,FALSE)</f>
        <v>849</v>
      </c>
    </row>
    <row r="152" spans="2:28">
      <c r="B152" s="39">
        <v>0.35416666666666669</v>
      </c>
      <c r="C152" s="39" t="s">
        <v>158</v>
      </c>
      <c r="D152" s="40">
        <v>8</v>
      </c>
      <c r="E152" s="40">
        <v>1</v>
      </c>
      <c r="F152" s="41" t="s">
        <v>159</v>
      </c>
      <c r="G152" s="41" t="s">
        <v>148</v>
      </c>
      <c r="H152" s="41" t="s">
        <v>633</v>
      </c>
      <c r="I152" s="41">
        <v>1</v>
      </c>
      <c r="J152" s="41">
        <v>1</v>
      </c>
      <c r="K152" s="25" t="str">
        <f>VLOOKUP(J152,Key!$E$2:$F$9,2,FALSE)</f>
        <v>Home</v>
      </c>
      <c r="L152" s="41" t="s">
        <v>160</v>
      </c>
      <c r="M152" s="42" t="s">
        <v>150</v>
      </c>
      <c r="N152" s="42" t="s">
        <v>633</v>
      </c>
      <c r="O152" s="42">
        <v>4</v>
      </c>
      <c r="P152" s="42">
        <v>3</v>
      </c>
      <c r="Q152" s="25" t="str">
        <f>VLOOKUP(P152,Key!$E$2:$F$9,2,FALSE)</f>
        <v>Study</v>
      </c>
      <c r="R152" s="25" t="str">
        <f t="shared" ref="R152:R215" si="4">K152&amp;"-"&amp;Q152</f>
        <v>Home-Study</v>
      </c>
      <c r="S152" s="47">
        <v>6</v>
      </c>
      <c r="T152" s="47">
        <v>0</v>
      </c>
      <c r="U152" s="55">
        <v>1</v>
      </c>
      <c r="V152" s="55">
        <v>11</v>
      </c>
      <c r="W152" s="47"/>
      <c r="X152" s="47"/>
      <c r="Y152" s="48" t="s">
        <v>146</v>
      </c>
      <c r="Z152" s="56"/>
      <c r="AA152" s="25">
        <f>VLOOKUP(F152,'Zones (3)'!$A$2:$F$15913,6,FALSE)</f>
        <v>987</v>
      </c>
      <c r="AB152" s="25">
        <f>VLOOKUP(L152,'Zones (3)'!$A$2:$F$15913,6,FALSE)</f>
        <v>379</v>
      </c>
    </row>
    <row r="153" spans="2:28">
      <c r="B153" s="39">
        <v>0.35972222222222222</v>
      </c>
      <c r="C153" s="39" t="s">
        <v>161</v>
      </c>
      <c r="D153" s="40">
        <v>4</v>
      </c>
      <c r="E153" s="40">
        <v>7</v>
      </c>
      <c r="F153" s="41" t="s">
        <v>155</v>
      </c>
      <c r="G153" s="41" t="s">
        <v>148</v>
      </c>
      <c r="H153" s="41" t="s">
        <v>633</v>
      </c>
      <c r="I153" s="41">
        <v>6</v>
      </c>
      <c r="J153" s="41">
        <v>2</v>
      </c>
      <c r="K153" s="25" t="str">
        <f>VLOOKUP(J153,Key!$E$2:$F$9,2,FALSE)</f>
        <v>Work</v>
      </c>
      <c r="L153" s="41" t="s">
        <v>162</v>
      </c>
      <c r="M153" s="42" t="s">
        <v>150</v>
      </c>
      <c r="N153" s="42" t="s">
        <v>633</v>
      </c>
      <c r="O153" s="42">
        <v>6</v>
      </c>
      <c r="P153" s="42">
        <v>2</v>
      </c>
      <c r="Q153" s="25" t="str">
        <f>VLOOKUP(P153,Key!$E$2:$F$9,2,FALSE)</f>
        <v>Work</v>
      </c>
      <c r="R153" s="25" t="str">
        <f t="shared" si="4"/>
        <v>Work-Work</v>
      </c>
      <c r="S153" s="47">
        <v>62</v>
      </c>
      <c r="T153" s="47">
        <v>1.5</v>
      </c>
      <c r="U153" s="55">
        <v>1</v>
      </c>
      <c r="V153" s="55"/>
      <c r="W153" s="47"/>
      <c r="X153" s="47"/>
      <c r="Y153" s="48" t="s">
        <v>146</v>
      </c>
      <c r="Z153" s="56"/>
      <c r="AA153" s="25">
        <f>VLOOKUP(F153,'Zones (3)'!$A$2:$F$15913,6,FALSE)</f>
        <v>987</v>
      </c>
      <c r="AB153" s="25">
        <f>VLOOKUP(L153,'Zones (3)'!$A$2:$F$15913,6,FALSE)</f>
        <v>388</v>
      </c>
    </row>
    <row r="154" spans="2:28">
      <c r="B154" s="39">
        <v>0.36388888888888887</v>
      </c>
      <c r="C154" s="39" t="s">
        <v>163</v>
      </c>
      <c r="D154" s="40">
        <v>1</v>
      </c>
      <c r="E154" s="40">
        <v>2</v>
      </c>
      <c r="F154" s="41" t="s">
        <v>164</v>
      </c>
      <c r="G154" s="41" t="s">
        <v>150</v>
      </c>
      <c r="H154" s="41" t="s">
        <v>633</v>
      </c>
      <c r="I154" s="41">
        <v>1</v>
      </c>
      <c r="J154" s="41">
        <v>1</v>
      </c>
      <c r="K154" s="25" t="str">
        <f>VLOOKUP(J154,Key!$E$2:$F$9,2,FALSE)</f>
        <v>Home</v>
      </c>
      <c r="L154" s="41" t="s">
        <v>165</v>
      </c>
      <c r="M154" s="42" t="s">
        <v>150</v>
      </c>
      <c r="N154" s="42" t="s">
        <v>633</v>
      </c>
      <c r="O154" s="42">
        <v>4</v>
      </c>
      <c r="P154" s="42">
        <v>3</v>
      </c>
      <c r="Q154" s="25" t="str">
        <f>VLOOKUP(P154,Key!$E$2:$F$9,2,FALSE)</f>
        <v>Study</v>
      </c>
      <c r="R154" s="25" t="str">
        <f t="shared" si="4"/>
        <v>Home-Study</v>
      </c>
      <c r="S154" s="47">
        <v>4</v>
      </c>
      <c r="T154" s="47">
        <v>0</v>
      </c>
      <c r="U154" s="55">
        <v>1</v>
      </c>
      <c r="V154" s="55"/>
      <c r="W154" s="47"/>
      <c r="X154" s="47"/>
      <c r="Y154" s="48" t="s">
        <v>146</v>
      </c>
      <c r="Z154" s="56"/>
      <c r="AA154" s="25">
        <f>VLOOKUP(F154,'Zones (3)'!$A$2:$F$15913,6,FALSE)</f>
        <v>538</v>
      </c>
      <c r="AB154" s="25">
        <f>VLOOKUP(L154,'Zones (3)'!$A$2:$F$15913,6,FALSE)</f>
        <v>376</v>
      </c>
    </row>
    <row r="155" spans="2:28">
      <c r="B155" s="39">
        <v>0.37013888888888885</v>
      </c>
      <c r="C155" s="39" t="s">
        <v>166</v>
      </c>
      <c r="D155" s="40">
        <v>1</v>
      </c>
      <c r="E155" s="40">
        <v>3</v>
      </c>
      <c r="F155" s="41" t="s">
        <v>164</v>
      </c>
      <c r="G155" s="41" t="s">
        <v>150</v>
      </c>
      <c r="H155" s="41" t="s">
        <v>633</v>
      </c>
      <c r="I155" s="41">
        <v>1</v>
      </c>
      <c r="J155" s="41">
        <v>1</v>
      </c>
      <c r="K155" s="25" t="str">
        <f>VLOOKUP(J155,Key!$E$2:$F$9,2,FALSE)</f>
        <v>Home</v>
      </c>
      <c r="L155" s="41" t="s">
        <v>167</v>
      </c>
      <c r="M155" s="42" t="s">
        <v>148</v>
      </c>
      <c r="N155" s="42" t="s">
        <v>633</v>
      </c>
      <c r="O155" s="42">
        <v>9</v>
      </c>
      <c r="P155" s="42">
        <v>2</v>
      </c>
      <c r="Q155" s="25" t="str">
        <f>VLOOKUP(P155,Key!$E$2:$F$9,2,FALSE)</f>
        <v>Work</v>
      </c>
      <c r="R155" s="25" t="str">
        <f t="shared" si="4"/>
        <v>Home-Work</v>
      </c>
      <c r="S155" s="47">
        <v>11</v>
      </c>
      <c r="T155" s="47"/>
      <c r="U155" s="55">
        <v>1</v>
      </c>
      <c r="V155" s="55"/>
      <c r="W155" s="47"/>
      <c r="X155" s="47"/>
      <c r="Y155" s="48" t="s">
        <v>146</v>
      </c>
      <c r="Z155" s="56"/>
      <c r="AA155" s="25">
        <f>VLOOKUP(F155,'Zones (3)'!$A$2:$F$15913,6,FALSE)</f>
        <v>538</v>
      </c>
      <c r="AB155" s="25">
        <f>VLOOKUP(L155,'Zones (3)'!$A$2:$F$15913,6,FALSE)</f>
        <v>984</v>
      </c>
    </row>
    <row r="156" spans="2:28">
      <c r="B156" s="39">
        <v>0.37291666666666662</v>
      </c>
      <c r="C156" s="39" t="s">
        <v>168</v>
      </c>
      <c r="D156" s="40">
        <v>1</v>
      </c>
      <c r="E156" s="40">
        <v>1</v>
      </c>
      <c r="F156" s="41" t="s">
        <v>155</v>
      </c>
      <c r="G156" s="41" t="s">
        <v>148</v>
      </c>
      <c r="H156" s="41" t="s">
        <v>633</v>
      </c>
      <c r="I156" s="41">
        <v>1</v>
      </c>
      <c r="J156" s="41">
        <v>1</v>
      </c>
      <c r="K156" s="25" t="str">
        <f>VLOOKUP(J156,Key!$E$2:$F$9,2,FALSE)</f>
        <v>Home</v>
      </c>
      <c r="L156" s="41" t="s">
        <v>169</v>
      </c>
      <c r="M156" s="42" t="s">
        <v>150</v>
      </c>
      <c r="N156" s="42" t="s">
        <v>633</v>
      </c>
      <c r="O156" s="42">
        <v>2</v>
      </c>
      <c r="P156" s="42">
        <v>3</v>
      </c>
      <c r="Q156" s="25" t="str">
        <f>VLOOKUP(P156,Key!$E$2:$F$9,2,FALSE)</f>
        <v>Study</v>
      </c>
      <c r="R156" s="25" t="str">
        <f t="shared" si="4"/>
        <v>Home-Study</v>
      </c>
      <c r="S156" s="47">
        <v>12</v>
      </c>
      <c r="T156" s="47">
        <v>0.3</v>
      </c>
      <c r="U156" s="55">
        <v>1</v>
      </c>
      <c r="V156" s="55"/>
      <c r="W156" s="47"/>
      <c r="X156" s="47"/>
      <c r="Y156" s="48" t="s">
        <v>146</v>
      </c>
      <c r="Z156" s="56"/>
      <c r="AA156" s="25">
        <f>VLOOKUP(F156,'Zones (3)'!$A$2:$F$15913,6,FALSE)</f>
        <v>987</v>
      </c>
      <c r="AB156" s="25">
        <f>VLOOKUP(L156,'Zones (3)'!$A$2:$F$15913,6,FALSE)</f>
        <v>380</v>
      </c>
    </row>
    <row r="157" spans="2:28">
      <c r="B157" s="39">
        <v>0.37638888888888888</v>
      </c>
      <c r="C157" s="39" t="s">
        <v>170</v>
      </c>
      <c r="D157" s="40">
        <v>1</v>
      </c>
      <c r="E157" s="40">
        <v>2</v>
      </c>
      <c r="F157" s="41" t="s">
        <v>155</v>
      </c>
      <c r="G157" s="41" t="s">
        <v>148</v>
      </c>
      <c r="H157" s="41" t="s">
        <v>633</v>
      </c>
      <c r="I157" s="41">
        <v>1</v>
      </c>
      <c r="J157" s="41">
        <v>1</v>
      </c>
      <c r="K157" s="25" t="str">
        <f>VLOOKUP(J157,Key!$E$2:$F$9,2,FALSE)</f>
        <v>Home</v>
      </c>
      <c r="L157" s="41" t="s">
        <v>171</v>
      </c>
      <c r="M157" s="42" t="s">
        <v>150</v>
      </c>
      <c r="N157" s="42" t="s">
        <v>633</v>
      </c>
      <c r="O157" s="42">
        <v>2</v>
      </c>
      <c r="P157" s="42">
        <v>2</v>
      </c>
      <c r="Q157" s="25" t="str">
        <f>VLOOKUP(P157,Key!$E$2:$F$9,2,FALSE)</f>
        <v>Work</v>
      </c>
      <c r="R157" s="25" t="str">
        <f t="shared" si="4"/>
        <v>Home-Work</v>
      </c>
      <c r="S157" s="47">
        <v>32</v>
      </c>
      <c r="T157" s="47">
        <v>1</v>
      </c>
      <c r="U157" s="55">
        <v>2</v>
      </c>
      <c r="V157" s="55"/>
      <c r="W157" s="47"/>
      <c r="X157" s="47"/>
      <c r="Y157" s="48" t="s">
        <v>146</v>
      </c>
      <c r="Z157" s="56"/>
      <c r="AA157" s="25">
        <f>VLOOKUP(F157,'Zones (3)'!$A$2:$F$15913,6,FALSE)</f>
        <v>987</v>
      </c>
      <c r="AB157" s="25">
        <f>VLOOKUP(L157,'Zones (3)'!$A$2:$F$15913,6,FALSE)</f>
        <v>379</v>
      </c>
    </row>
    <row r="158" spans="2:28">
      <c r="B158" s="39">
        <v>0.38125000000000003</v>
      </c>
      <c r="C158" s="39" t="s">
        <v>172</v>
      </c>
      <c r="D158" s="40">
        <v>1</v>
      </c>
      <c r="E158" s="40">
        <v>4</v>
      </c>
      <c r="F158" s="41" t="s">
        <v>173</v>
      </c>
      <c r="G158" s="41" t="s">
        <v>148</v>
      </c>
      <c r="H158" s="41" t="s">
        <v>633</v>
      </c>
      <c r="I158" s="41">
        <v>1</v>
      </c>
      <c r="J158" s="41">
        <v>1</v>
      </c>
      <c r="K158" s="25" t="str">
        <f>VLOOKUP(J158,Key!$E$2:$F$9,2,FALSE)</f>
        <v>Home</v>
      </c>
      <c r="L158" s="41" t="s">
        <v>169</v>
      </c>
      <c r="M158" s="42" t="s">
        <v>150</v>
      </c>
      <c r="N158" s="42" t="s">
        <v>633</v>
      </c>
      <c r="O158" s="42">
        <v>2</v>
      </c>
      <c r="P158" s="42">
        <v>2</v>
      </c>
      <c r="Q158" s="25" t="str">
        <f>VLOOKUP(P158,Key!$E$2:$F$9,2,FALSE)</f>
        <v>Work</v>
      </c>
      <c r="R158" s="25" t="str">
        <f t="shared" si="4"/>
        <v>Home-Work</v>
      </c>
      <c r="S158" s="47">
        <v>4</v>
      </c>
      <c r="T158" s="47">
        <v>0.1</v>
      </c>
      <c r="U158" s="55">
        <v>3</v>
      </c>
      <c r="V158" s="55"/>
      <c r="W158" s="47"/>
      <c r="X158" s="47"/>
      <c r="Y158" s="48" t="s">
        <v>146</v>
      </c>
      <c r="Z158" s="56"/>
      <c r="AA158" s="25">
        <f>VLOOKUP(F158,'Zones (3)'!$A$2:$F$15913,6,FALSE)</f>
        <v>987</v>
      </c>
      <c r="AB158" s="25">
        <f>VLOOKUP(L158,'Zones (3)'!$A$2:$F$15913,6,FALSE)</f>
        <v>380</v>
      </c>
    </row>
    <row r="159" spans="2:28">
      <c r="B159" s="39">
        <v>0.3833333333333333</v>
      </c>
      <c r="C159" s="39" t="s">
        <v>174</v>
      </c>
      <c r="D159" s="40">
        <v>8</v>
      </c>
      <c r="E159" s="40">
        <v>3</v>
      </c>
      <c r="F159" s="41" t="s">
        <v>175</v>
      </c>
      <c r="G159" s="41" t="s">
        <v>148</v>
      </c>
      <c r="H159" s="41" t="s">
        <v>633</v>
      </c>
      <c r="I159" s="41">
        <v>11</v>
      </c>
      <c r="J159" s="41">
        <v>4</v>
      </c>
      <c r="K159" s="25" t="str">
        <f>VLOOKUP(J159,Key!$E$2:$F$9,2,FALSE)</f>
        <v>Commercial</v>
      </c>
      <c r="L159" s="41" t="s">
        <v>176</v>
      </c>
      <c r="M159" s="42" t="s">
        <v>150</v>
      </c>
      <c r="N159" s="42" t="s">
        <v>633</v>
      </c>
      <c r="O159" s="42">
        <v>9</v>
      </c>
      <c r="P159" s="42">
        <v>4</v>
      </c>
      <c r="Q159" s="25" t="str">
        <f>VLOOKUP(P159,Key!$E$2:$F$9,2,FALSE)</f>
        <v>Commercial</v>
      </c>
      <c r="R159" s="25" t="str">
        <f t="shared" si="4"/>
        <v>Commercial-Commercial</v>
      </c>
      <c r="S159" s="47">
        <v>15</v>
      </c>
      <c r="T159" s="47">
        <v>1</v>
      </c>
      <c r="U159" s="55">
        <v>3</v>
      </c>
      <c r="V159" s="55">
        <v>11</v>
      </c>
      <c r="W159" s="47"/>
      <c r="X159" s="47"/>
      <c r="Y159" s="48" t="s">
        <v>146</v>
      </c>
      <c r="Z159" s="56"/>
      <c r="AA159" s="25">
        <f>VLOOKUP(F159,'Zones (3)'!$A$2:$F$15913,6,FALSE)</f>
        <v>987</v>
      </c>
      <c r="AB159" s="25">
        <f>VLOOKUP(L159,'Zones (3)'!$A$2:$F$15913,6,FALSE)</f>
        <v>379</v>
      </c>
    </row>
    <row r="160" spans="2:28">
      <c r="B160" s="39">
        <v>0.3888888888888889</v>
      </c>
      <c r="C160" s="39" t="s">
        <v>177</v>
      </c>
      <c r="D160" s="40">
        <v>7</v>
      </c>
      <c r="E160" s="40">
        <v>4</v>
      </c>
      <c r="F160" s="41" t="s">
        <v>155</v>
      </c>
      <c r="G160" s="41" t="s">
        <v>148</v>
      </c>
      <c r="H160" s="41" t="s">
        <v>633</v>
      </c>
      <c r="I160" s="41">
        <v>3</v>
      </c>
      <c r="J160" s="41">
        <v>2</v>
      </c>
      <c r="K160" s="25" t="str">
        <f>VLOOKUP(J160,Key!$E$2:$F$9,2,FALSE)</f>
        <v>Work</v>
      </c>
      <c r="L160" s="41" t="s">
        <v>178</v>
      </c>
      <c r="M160" s="42" t="s">
        <v>179</v>
      </c>
      <c r="N160" s="42" t="s">
        <v>633</v>
      </c>
      <c r="O160" s="42">
        <v>3</v>
      </c>
      <c r="P160" s="42">
        <v>4</v>
      </c>
      <c r="Q160" s="25" t="str">
        <f>VLOOKUP(P160,Key!$E$2:$F$9,2,FALSE)</f>
        <v>Commercial</v>
      </c>
      <c r="R160" s="25" t="str">
        <f t="shared" si="4"/>
        <v>Work-Commercial</v>
      </c>
      <c r="S160" s="47">
        <v>336</v>
      </c>
      <c r="T160" s="47">
        <v>4</v>
      </c>
      <c r="U160" s="55">
        <v>2</v>
      </c>
      <c r="V160" s="55">
        <v>11</v>
      </c>
      <c r="W160" s="47"/>
      <c r="X160" s="47"/>
      <c r="Y160" s="48" t="s">
        <v>146</v>
      </c>
      <c r="Z160" s="56"/>
      <c r="AA160" s="25">
        <f>VLOOKUP(F160,'Zones (3)'!$A$2:$F$15913,6,FALSE)</f>
        <v>987</v>
      </c>
      <c r="AB160" s="25">
        <f>VLOOKUP(L160,'Zones (3)'!$A$2:$F$15913,6,FALSE)</f>
        <v>1435</v>
      </c>
    </row>
    <row r="161" spans="2:28">
      <c r="B161" s="39">
        <v>0.39861111111111108</v>
      </c>
      <c r="C161" s="39" t="s">
        <v>180</v>
      </c>
      <c r="D161" s="40">
        <v>1</v>
      </c>
      <c r="E161" s="40">
        <v>2</v>
      </c>
      <c r="F161" s="41" t="s">
        <v>155</v>
      </c>
      <c r="G161" s="41" t="s">
        <v>148</v>
      </c>
      <c r="H161" s="41" t="s">
        <v>633</v>
      </c>
      <c r="I161" s="41">
        <v>1</v>
      </c>
      <c r="J161" s="41">
        <v>1</v>
      </c>
      <c r="K161" s="25" t="str">
        <f>VLOOKUP(J161,Key!$E$2:$F$9,2,FALSE)</f>
        <v>Home</v>
      </c>
      <c r="L161" s="41" t="s">
        <v>171</v>
      </c>
      <c r="M161" s="42" t="s">
        <v>150</v>
      </c>
      <c r="N161" s="42" t="s">
        <v>633</v>
      </c>
      <c r="O161" s="42">
        <v>9</v>
      </c>
      <c r="P161" s="42">
        <v>2</v>
      </c>
      <c r="Q161" s="25" t="str">
        <f>VLOOKUP(P161,Key!$E$2:$F$9,2,FALSE)</f>
        <v>Work</v>
      </c>
      <c r="R161" s="25" t="str">
        <f t="shared" si="4"/>
        <v>Home-Work</v>
      </c>
      <c r="S161" s="47"/>
      <c r="T161" s="47">
        <v>2</v>
      </c>
      <c r="U161" s="55">
        <v>2</v>
      </c>
      <c r="V161" s="55"/>
      <c r="W161" s="47"/>
      <c r="X161" s="47"/>
      <c r="Y161" s="48" t="s">
        <v>146</v>
      </c>
      <c r="Z161" s="56"/>
      <c r="AA161" s="25">
        <f>VLOOKUP(F161,'Zones (3)'!$A$2:$F$15913,6,FALSE)</f>
        <v>987</v>
      </c>
      <c r="AB161" s="25">
        <f>VLOOKUP(L161,'Zones (3)'!$A$2:$F$15913,6,FALSE)</f>
        <v>379</v>
      </c>
    </row>
    <row r="162" spans="2:28">
      <c r="B162" s="39">
        <v>0.40486111111111112</v>
      </c>
      <c r="C162" s="39" t="s">
        <v>181</v>
      </c>
      <c r="D162" s="40">
        <v>7</v>
      </c>
      <c r="E162" s="40">
        <v>3</v>
      </c>
      <c r="F162" s="41" t="s">
        <v>155</v>
      </c>
      <c r="G162" s="41" t="s">
        <v>148</v>
      </c>
      <c r="H162" s="41" t="s">
        <v>633</v>
      </c>
      <c r="I162" s="41">
        <v>11</v>
      </c>
      <c r="J162" s="41">
        <v>2</v>
      </c>
      <c r="K162" s="25" t="str">
        <f>VLOOKUP(J162,Key!$E$2:$F$9,2,FALSE)</f>
        <v>Work</v>
      </c>
      <c r="L162" s="41" t="s">
        <v>182</v>
      </c>
      <c r="M162" s="42" t="s">
        <v>150</v>
      </c>
      <c r="N162" s="42" t="s">
        <v>633</v>
      </c>
      <c r="O162" s="42">
        <v>11</v>
      </c>
      <c r="P162" s="42">
        <v>4</v>
      </c>
      <c r="Q162" s="25" t="str">
        <f>VLOOKUP(P162,Key!$E$2:$F$9,2,FALSE)</f>
        <v>Commercial</v>
      </c>
      <c r="R162" s="25" t="str">
        <f t="shared" si="4"/>
        <v>Work-Commercial</v>
      </c>
      <c r="S162" s="47">
        <v>20</v>
      </c>
      <c r="T162" s="47">
        <v>1</v>
      </c>
      <c r="U162" s="55">
        <v>3</v>
      </c>
      <c r="V162" s="55">
        <v>10</v>
      </c>
      <c r="W162" s="47">
        <v>5</v>
      </c>
      <c r="X162" s="47"/>
      <c r="Y162" s="48" t="s">
        <v>146</v>
      </c>
      <c r="Z162" s="56"/>
      <c r="AA162" s="25">
        <f>VLOOKUP(F162,'Zones (3)'!$A$2:$F$15913,6,FALSE)</f>
        <v>987</v>
      </c>
      <c r="AB162" s="25">
        <f>VLOOKUP(L162,'Zones (3)'!$A$2:$F$15913,6,FALSE)</f>
        <v>982</v>
      </c>
    </row>
    <row r="163" spans="2:28">
      <c r="B163" s="39">
        <v>0.44444444444444442</v>
      </c>
      <c r="C163" s="39" t="s">
        <v>183</v>
      </c>
      <c r="D163" s="40">
        <v>4</v>
      </c>
      <c r="E163" s="40">
        <v>9</v>
      </c>
      <c r="F163" s="41" t="s">
        <v>184</v>
      </c>
      <c r="G163" s="41" t="s">
        <v>148</v>
      </c>
      <c r="H163" s="41" t="s">
        <v>633</v>
      </c>
      <c r="I163" s="41">
        <v>6</v>
      </c>
      <c r="J163" s="41">
        <v>2</v>
      </c>
      <c r="K163" s="25" t="str">
        <f>VLOOKUP(J163,Key!$E$2:$F$9,2,FALSE)</f>
        <v>Work</v>
      </c>
      <c r="L163" s="41" t="s">
        <v>185</v>
      </c>
      <c r="M163" s="42" t="s">
        <v>150</v>
      </c>
      <c r="N163" s="42" t="s">
        <v>633</v>
      </c>
      <c r="O163" s="42">
        <v>6</v>
      </c>
      <c r="P163" s="42">
        <v>2</v>
      </c>
      <c r="Q163" s="25" t="str">
        <f>VLOOKUP(P163,Key!$E$2:$F$9,2,FALSE)</f>
        <v>Work</v>
      </c>
      <c r="R163" s="25" t="str">
        <f t="shared" si="4"/>
        <v>Work-Work</v>
      </c>
      <c r="S163" s="47">
        <v>40</v>
      </c>
      <c r="T163" s="47">
        <v>2</v>
      </c>
      <c r="U163" s="55">
        <v>3</v>
      </c>
      <c r="V163" s="55"/>
      <c r="W163" s="47"/>
      <c r="X163" s="47"/>
      <c r="Y163" s="48" t="s">
        <v>146</v>
      </c>
      <c r="Z163" s="56"/>
      <c r="AA163" s="25">
        <f>VLOOKUP(F163,'Zones (3)'!$A$2:$F$15913,6,FALSE)</f>
        <v>987</v>
      </c>
      <c r="AB163" s="25">
        <f>VLOOKUP(L163,'Zones (3)'!$A$2:$F$15913,6,FALSE)</f>
        <v>394</v>
      </c>
    </row>
    <row r="164" spans="2:28">
      <c r="B164" s="39">
        <v>0.4513888888888889</v>
      </c>
      <c r="C164" s="39" t="s">
        <v>186</v>
      </c>
      <c r="D164" s="40">
        <v>11</v>
      </c>
      <c r="E164" s="40">
        <v>1</v>
      </c>
      <c r="F164" s="41" t="s">
        <v>155</v>
      </c>
      <c r="G164" s="41" t="s">
        <v>148</v>
      </c>
      <c r="H164" s="41" t="s">
        <v>633</v>
      </c>
      <c r="I164" s="41">
        <v>8</v>
      </c>
      <c r="J164" s="41">
        <v>2</v>
      </c>
      <c r="K164" s="25" t="str">
        <f>VLOOKUP(J164,Key!$E$2:$F$9,2,FALSE)</f>
        <v>Work</v>
      </c>
      <c r="L164" s="41" t="s">
        <v>169</v>
      </c>
      <c r="M164" s="42" t="s">
        <v>150</v>
      </c>
      <c r="N164" s="42" t="s">
        <v>633</v>
      </c>
      <c r="O164" s="42">
        <v>9</v>
      </c>
      <c r="P164" s="42">
        <v>4</v>
      </c>
      <c r="Q164" s="25" t="str">
        <f>VLOOKUP(P164,Key!$E$2:$F$9,2,FALSE)</f>
        <v>Commercial</v>
      </c>
      <c r="R164" s="25" t="str">
        <f t="shared" si="4"/>
        <v>Work-Commercial</v>
      </c>
      <c r="S164" s="47">
        <v>8</v>
      </c>
      <c r="T164" s="47">
        <v>0.3</v>
      </c>
      <c r="U164" s="55">
        <v>2</v>
      </c>
      <c r="V164" s="55"/>
      <c r="W164" s="47"/>
      <c r="X164" s="47"/>
      <c r="Y164" s="48" t="s">
        <v>146</v>
      </c>
      <c r="Z164" s="56"/>
      <c r="AA164" s="25">
        <f>VLOOKUP(F164,'Zones (3)'!$A$2:$F$15913,6,FALSE)</f>
        <v>987</v>
      </c>
      <c r="AB164" s="25">
        <f>VLOOKUP(L164,'Zones (3)'!$A$2:$F$15913,6,FALSE)</f>
        <v>380</v>
      </c>
    </row>
    <row r="165" spans="2:28">
      <c r="B165" s="39">
        <v>0.4597222222222222</v>
      </c>
      <c r="C165" s="39" t="s">
        <v>187</v>
      </c>
      <c r="D165" s="40">
        <v>4</v>
      </c>
      <c r="E165" s="40">
        <v>9</v>
      </c>
      <c r="F165" s="41" t="s">
        <v>155</v>
      </c>
      <c r="G165" s="41" t="s">
        <v>148</v>
      </c>
      <c r="H165" s="41" t="s">
        <v>633</v>
      </c>
      <c r="I165" s="41">
        <v>6</v>
      </c>
      <c r="J165" s="41">
        <v>2</v>
      </c>
      <c r="K165" s="25" t="str">
        <f>VLOOKUP(J165,Key!$E$2:$F$9,2,FALSE)</f>
        <v>Work</v>
      </c>
      <c r="L165" s="41" t="s">
        <v>171</v>
      </c>
      <c r="M165" s="42" t="s">
        <v>150</v>
      </c>
      <c r="N165" s="42" t="s">
        <v>633</v>
      </c>
      <c r="O165" s="42">
        <v>6</v>
      </c>
      <c r="P165" s="42">
        <v>4</v>
      </c>
      <c r="Q165" s="25" t="str">
        <f>VLOOKUP(P165,Key!$E$2:$F$9,2,FALSE)</f>
        <v>Commercial</v>
      </c>
      <c r="R165" s="25" t="str">
        <f t="shared" si="4"/>
        <v>Work-Commercial</v>
      </c>
      <c r="S165" s="47">
        <v>36</v>
      </c>
      <c r="T165" s="47"/>
      <c r="U165" s="55">
        <v>4</v>
      </c>
      <c r="V165" s="55"/>
      <c r="W165" s="47"/>
      <c r="X165" s="47"/>
      <c r="Y165" s="48" t="s">
        <v>146</v>
      </c>
      <c r="Z165" s="56"/>
      <c r="AA165" s="25">
        <f>VLOOKUP(F165,'Zones (3)'!$A$2:$F$15913,6,FALSE)</f>
        <v>987</v>
      </c>
      <c r="AB165" s="25">
        <f>VLOOKUP(L165,'Zones (3)'!$A$2:$F$15913,6,FALSE)</f>
        <v>379</v>
      </c>
    </row>
    <row r="166" spans="2:28">
      <c r="B166" s="39">
        <v>0.46875</v>
      </c>
      <c r="C166" s="39" t="s">
        <v>188</v>
      </c>
      <c r="D166" s="40">
        <v>11</v>
      </c>
      <c r="E166" s="40">
        <v>1</v>
      </c>
      <c r="F166" s="41" t="s">
        <v>150</v>
      </c>
      <c r="G166" s="41" t="s">
        <v>150</v>
      </c>
      <c r="H166" s="41" t="s">
        <v>633</v>
      </c>
      <c r="I166" s="41">
        <v>6</v>
      </c>
      <c r="J166" s="41">
        <v>2</v>
      </c>
      <c r="K166" s="25" t="str">
        <f>VLOOKUP(J166,Key!$E$2:$F$9,2,FALSE)</f>
        <v>Work</v>
      </c>
      <c r="L166" s="41" t="s">
        <v>169</v>
      </c>
      <c r="M166" s="42" t="s">
        <v>150</v>
      </c>
      <c r="N166" s="42" t="s">
        <v>633</v>
      </c>
      <c r="O166" s="42">
        <v>6</v>
      </c>
      <c r="P166" s="42">
        <v>2</v>
      </c>
      <c r="Q166" s="25" t="s">
        <v>102</v>
      </c>
      <c r="R166" s="25" t="str">
        <f t="shared" si="4"/>
        <v>Work-Work</v>
      </c>
      <c r="S166" s="47"/>
      <c r="T166" s="47">
        <v>0</v>
      </c>
      <c r="U166" s="55">
        <v>3</v>
      </c>
      <c r="V166" s="55"/>
      <c r="W166" s="47"/>
      <c r="X166" s="47"/>
      <c r="Y166" s="48" t="s">
        <v>146</v>
      </c>
      <c r="Z166" s="56"/>
      <c r="AA166" s="25">
        <f>VLOOKUP(F166,'Zones (3)'!$A$2:$F$15913,6,FALSE)</f>
        <v>379</v>
      </c>
      <c r="AB166" s="25">
        <f>VLOOKUP(L166,'Zones (3)'!$A$2:$F$15913,6,FALSE)</f>
        <v>380</v>
      </c>
    </row>
    <row r="167" spans="2:28">
      <c r="B167" s="39">
        <v>0.47500000000000003</v>
      </c>
      <c r="C167" s="39" t="s">
        <v>190</v>
      </c>
      <c r="D167" s="40">
        <v>1</v>
      </c>
      <c r="E167" s="40">
        <v>1</v>
      </c>
      <c r="F167" s="41" t="s">
        <v>155</v>
      </c>
      <c r="G167" s="41" t="s">
        <v>148</v>
      </c>
      <c r="H167" s="41" t="s">
        <v>633</v>
      </c>
      <c r="I167" s="41">
        <v>2</v>
      </c>
      <c r="J167" s="41">
        <v>2</v>
      </c>
      <c r="K167" s="25" t="str">
        <f>VLOOKUP(J167,Key!$E$2:$F$9,2,FALSE)</f>
        <v>Work</v>
      </c>
      <c r="L167" s="41" t="s">
        <v>191</v>
      </c>
      <c r="M167" s="42" t="s">
        <v>150</v>
      </c>
      <c r="N167" s="42" t="s">
        <v>633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4"/>
        <v>Work-Home</v>
      </c>
      <c r="S167" s="47">
        <v>8</v>
      </c>
      <c r="T167" s="47">
        <v>0.2</v>
      </c>
      <c r="U167" s="55">
        <v>2</v>
      </c>
      <c r="V167" s="55"/>
      <c r="W167" s="47"/>
      <c r="X167" s="47"/>
      <c r="Y167" s="48" t="s">
        <v>146</v>
      </c>
      <c r="Z167" s="56"/>
      <c r="AA167" s="25">
        <f>VLOOKUP(F167,'Zones (3)'!$A$2:$F$15913,6,FALSE)</f>
        <v>987</v>
      </c>
      <c r="AB167" s="25">
        <f>VLOOKUP(L167,'Zones (3)'!$A$2:$F$15913,6,FALSE)</f>
        <v>422</v>
      </c>
    </row>
    <row r="168" spans="2:28">
      <c r="B168" s="39">
        <v>0.48055555555555557</v>
      </c>
      <c r="C168" s="39" t="s">
        <v>192</v>
      </c>
      <c r="D168" s="40">
        <v>3</v>
      </c>
      <c r="E168" s="40">
        <v>4</v>
      </c>
      <c r="F168" s="41" t="s">
        <v>155</v>
      </c>
      <c r="G168" s="41" t="s">
        <v>148</v>
      </c>
      <c r="H168" s="41" t="s">
        <v>633</v>
      </c>
      <c r="I168" s="41">
        <v>7</v>
      </c>
      <c r="J168" s="41">
        <v>2</v>
      </c>
      <c r="K168" s="25" t="str">
        <f>VLOOKUP(J168,Key!$E$2:$F$9,2,FALSE)</f>
        <v>Work</v>
      </c>
      <c r="L168" s="41" t="s">
        <v>191</v>
      </c>
      <c r="M168" s="42" t="s">
        <v>150</v>
      </c>
      <c r="N168" s="42" t="s">
        <v>633</v>
      </c>
      <c r="O168" s="42">
        <v>10</v>
      </c>
      <c r="P168" s="42">
        <v>4</v>
      </c>
      <c r="Q168" s="25" t="str">
        <f>VLOOKUP(P168,Key!$E$2:$F$9,2,FALSE)</f>
        <v>Commercial</v>
      </c>
      <c r="R168" s="25" t="str">
        <f t="shared" si="4"/>
        <v>Work-Commercial</v>
      </c>
      <c r="S168" s="47">
        <v>6</v>
      </c>
      <c r="T168" s="47">
        <v>0.5</v>
      </c>
      <c r="U168" s="55">
        <v>4</v>
      </c>
      <c r="V168" s="55"/>
      <c r="W168" s="47">
        <v>0.5</v>
      </c>
      <c r="X168" s="47">
        <v>600000</v>
      </c>
      <c r="Y168" s="48" t="s">
        <v>146</v>
      </c>
      <c r="Z168" s="56"/>
      <c r="AA168" s="25">
        <f>VLOOKUP(F168,'Zones (3)'!$A$2:$F$15913,6,FALSE)</f>
        <v>987</v>
      </c>
      <c r="AB168" s="25">
        <f>VLOOKUP(L168,'Zones (3)'!$A$2:$F$15913,6,FALSE)</f>
        <v>422</v>
      </c>
    </row>
    <row r="169" spans="2:28">
      <c r="B169" s="39">
        <v>0.48472222222222222</v>
      </c>
      <c r="C169" s="39" t="s">
        <v>193</v>
      </c>
      <c r="D169" s="40">
        <v>1</v>
      </c>
      <c r="E169" s="40">
        <v>2</v>
      </c>
      <c r="F169" s="41" t="s">
        <v>155</v>
      </c>
      <c r="G169" s="41" t="s">
        <v>148</v>
      </c>
      <c r="H169" s="41" t="s">
        <v>633</v>
      </c>
      <c r="I169" s="41">
        <v>1</v>
      </c>
      <c r="J169" s="41">
        <v>1</v>
      </c>
      <c r="K169" s="25" t="str">
        <f>VLOOKUP(J169,Key!$E$2:$F$9,2,FALSE)</f>
        <v>Home</v>
      </c>
      <c r="L169" s="41" t="s">
        <v>169</v>
      </c>
      <c r="M169" s="42" t="s">
        <v>150</v>
      </c>
      <c r="N169" s="42" t="s">
        <v>633</v>
      </c>
      <c r="O169" s="42">
        <v>16</v>
      </c>
      <c r="P169" s="42">
        <v>6</v>
      </c>
      <c r="Q169" s="25" t="str">
        <f>VLOOKUP(P169,Key!$E$2:$F$9,2,FALSE)</f>
        <v>Leisure/Social</v>
      </c>
      <c r="R169" s="25" t="str">
        <f t="shared" si="4"/>
        <v>Home-Leisure/Social</v>
      </c>
      <c r="S169" s="47">
        <v>8</v>
      </c>
      <c r="T169" s="47">
        <v>0.4</v>
      </c>
      <c r="U169" s="55">
        <v>4</v>
      </c>
      <c r="V169" s="55"/>
      <c r="W169" s="47"/>
      <c r="X169" s="47"/>
      <c r="Y169" s="48" t="s">
        <v>146</v>
      </c>
      <c r="Z169" s="56"/>
      <c r="AA169" s="25">
        <f>VLOOKUP(F169,'Zones (3)'!$A$2:$F$15913,6,FALSE)</f>
        <v>987</v>
      </c>
      <c r="AB169" s="25">
        <f>VLOOKUP(L169,'Zones (3)'!$A$2:$F$15913,6,FALSE)</f>
        <v>380</v>
      </c>
    </row>
    <row r="170" spans="2:28">
      <c r="B170" s="39">
        <v>0.48958333333333331</v>
      </c>
      <c r="C170" s="39" t="s">
        <v>194</v>
      </c>
      <c r="D170" s="40">
        <v>11</v>
      </c>
      <c r="E170" s="40">
        <v>1</v>
      </c>
      <c r="F170" s="41" t="s">
        <v>195</v>
      </c>
      <c r="G170" s="41" t="s">
        <v>148</v>
      </c>
      <c r="H170" s="41" t="s">
        <v>633</v>
      </c>
      <c r="I170" s="41">
        <v>8</v>
      </c>
      <c r="J170" s="41">
        <v>2</v>
      </c>
      <c r="K170" s="25" t="str">
        <f>VLOOKUP(J170,Key!$E$2:$F$9,2,FALSE)</f>
        <v>Work</v>
      </c>
      <c r="L170" s="41" t="s">
        <v>191</v>
      </c>
      <c r="M170" s="42" t="s">
        <v>150</v>
      </c>
      <c r="N170" s="42" t="s">
        <v>633</v>
      </c>
      <c r="O170" s="42">
        <v>1</v>
      </c>
      <c r="P170" s="42">
        <v>1</v>
      </c>
      <c r="Q170" s="25" t="str">
        <f>VLOOKUP(P170,Key!$E$2:$F$9,2,FALSE)</f>
        <v>Home</v>
      </c>
      <c r="R170" s="25" t="str">
        <f t="shared" si="4"/>
        <v>Work-Home</v>
      </c>
      <c r="S170" s="47">
        <v>1.5</v>
      </c>
      <c r="T170" s="47">
        <v>0.1</v>
      </c>
      <c r="U170" s="55">
        <v>3</v>
      </c>
      <c r="V170" s="55"/>
      <c r="W170" s="47"/>
      <c r="X170" s="47"/>
      <c r="Y170" s="48" t="s">
        <v>146</v>
      </c>
      <c r="Z170" s="56"/>
      <c r="AA170" s="25">
        <f>VLOOKUP(F170,'Zones (3)'!$A$2:$F$15913,6,FALSE)</f>
        <v>618</v>
      </c>
      <c r="AB170" s="25">
        <f>VLOOKUP(L170,'Zones (3)'!$A$2:$F$15913,6,FALSE)</f>
        <v>422</v>
      </c>
    </row>
    <row r="171" spans="2:28">
      <c r="B171" s="39">
        <v>0.49305555555555558</v>
      </c>
      <c r="C171" s="39" t="s">
        <v>196</v>
      </c>
      <c r="D171" s="40">
        <v>1</v>
      </c>
      <c r="E171" s="40">
        <v>3</v>
      </c>
      <c r="F171" s="41" t="s">
        <v>155</v>
      </c>
      <c r="G171" s="41" t="s">
        <v>148</v>
      </c>
      <c r="H171" s="41" t="s">
        <v>633</v>
      </c>
      <c r="I171" s="41">
        <v>2</v>
      </c>
      <c r="J171" s="41">
        <v>2</v>
      </c>
      <c r="K171" s="25" t="str">
        <f>VLOOKUP(J171,Key!$E$2:$F$9,2,FALSE)</f>
        <v>Work</v>
      </c>
      <c r="L171" s="41" t="s">
        <v>169</v>
      </c>
      <c r="M171" s="42" t="s">
        <v>150</v>
      </c>
      <c r="N171" s="42" t="s">
        <v>633</v>
      </c>
      <c r="O171" s="42">
        <v>9</v>
      </c>
      <c r="P171" s="42">
        <v>4</v>
      </c>
      <c r="Q171" s="25" t="str">
        <f>VLOOKUP(P171,Key!$E$2:$F$9,2,FALSE)</f>
        <v>Commercial</v>
      </c>
      <c r="R171" s="25" t="str">
        <f t="shared" si="4"/>
        <v>Work-Commercial</v>
      </c>
      <c r="S171" s="47">
        <v>16</v>
      </c>
      <c r="T171" s="47"/>
      <c r="U171" s="55">
        <v>3</v>
      </c>
      <c r="V171" s="55"/>
      <c r="W171" s="47"/>
      <c r="X171" s="47"/>
      <c r="Y171" s="48" t="s">
        <v>146</v>
      </c>
      <c r="Z171" s="56"/>
      <c r="AA171" s="25">
        <f>VLOOKUP(F171,'Zones (3)'!$A$2:$F$15913,6,FALSE)</f>
        <v>987</v>
      </c>
      <c r="AB171" s="25">
        <f>VLOOKUP(L171,'Zones (3)'!$A$2:$F$15913,6,FALSE)</f>
        <v>380</v>
      </c>
    </row>
    <row r="172" spans="2:28">
      <c r="B172" s="39" t="s">
        <v>197</v>
      </c>
      <c r="C172" s="39" t="s">
        <v>198</v>
      </c>
      <c r="D172" s="40">
        <v>2</v>
      </c>
      <c r="E172" s="40">
        <v>4</v>
      </c>
      <c r="F172" s="41" t="s">
        <v>199</v>
      </c>
      <c r="G172" s="41" t="s">
        <v>200</v>
      </c>
      <c r="H172" s="41" t="s">
        <v>633</v>
      </c>
      <c r="I172" s="41">
        <v>1</v>
      </c>
      <c r="J172" s="41">
        <v>1</v>
      </c>
      <c r="K172" s="25" t="str">
        <f>VLOOKUP(J172,Key!$E$2:$F$9,2,FALSE)</f>
        <v>Home</v>
      </c>
      <c r="L172" s="41" t="s">
        <v>201</v>
      </c>
      <c r="M172" s="42" t="s">
        <v>150</v>
      </c>
      <c r="N172" s="42" t="s">
        <v>633</v>
      </c>
      <c r="O172" s="42">
        <v>9</v>
      </c>
      <c r="P172" s="42">
        <v>4</v>
      </c>
      <c r="Q172" s="25" t="str">
        <f>VLOOKUP(P172,Key!$E$2:$F$9,2,FALSE)</f>
        <v>Commercial</v>
      </c>
      <c r="R172" s="25" t="str">
        <f t="shared" si="4"/>
        <v>Home-Commercial</v>
      </c>
      <c r="S172" s="47">
        <v>50</v>
      </c>
      <c r="T172" s="47">
        <v>0.8</v>
      </c>
      <c r="U172" s="55">
        <v>3</v>
      </c>
      <c r="V172" s="55"/>
      <c r="W172" s="47"/>
      <c r="X172" s="47"/>
      <c r="Y172" s="48" t="s">
        <v>146</v>
      </c>
      <c r="Z172" s="56"/>
      <c r="AA172" s="25">
        <f>VLOOKUP(F172,'Zones (3)'!$A$2:$F$15913,6,FALSE)</f>
        <v>993</v>
      </c>
      <c r="AB172" s="25">
        <f>VLOOKUP(L172,'Zones (3)'!$A$2:$F$15913,6,FALSE)</f>
        <v>386</v>
      </c>
    </row>
    <row r="173" spans="2:28">
      <c r="B173" s="39">
        <v>0.5083333333333333</v>
      </c>
      <c r="C173" s="39" t="s">
        <v>202</v>
      </c>
      <c r="D173" s="40">
        <v>2</v>
      </c>
      <c r="E173" s="40">
        <v>2</v>
      </c>
      <c r="F173" s="41" t="s">
        <v>155</v>
      </c>
      <c r="G173" s="41" t="s">
        <v>148</v>
      </c>
      <c r="H173" s="41" t="s">
        <v>633</v>
      </c>
      <c r="I173" s="41">
        <v>2</v>
      </c>
      <c r="J173" s="41">
        <v>2</v>
      </c>
      <c r="K173" s="25" t="s">
        <v>102</v>
      </c>
      <c r="L173" s="41" t="s">
        <v>164</v>
      </c>
      <c r="M173" s="42" t="s">
        <v>150</v>
      </c>
      <c r="N173" s="42" t="s">
        <v>633</v>
      </c>
      <c r="O173" s="42">
        <v>4</v>
      </c>
      <c r="P173" s="42">
        <v>3</v>
      </c>
      <c r="Q173" s="25" t="str">
        <f>VLOOKUP(P173,Key!$E$2:$F$9,2,FALSE)</f>
        <v>Study</v>
      </c>
      <c r="R173" s="25" t="str">
        <f t="shared" si="4"/>
        <v>Work-Study</v>
      </c>
      <c r="S173" s="47">
        <v>4</v>
      </c>
      <c r="T173" s="47">
        <v>0.4</v>
      </c>
      <c r="U173" s="55">
        <v>2</v>
      </c>
      <c r="V173" s="55"/>
      <c r="W173" s="47"/>
      <c r="X173" s="47"/>
      <c r="Y173" s="48" t="s">
        <v>146</v>
      </c>
      <c r="Z173" s="56"/>
      <c r="AA173" s="25">
        <f>VLOOKUP(F173,'Zones (3)'!$A$2:$F$15913,6,FALSE)</f>
        <v>987</v>
      </c>
      <c r="AB173" s="25">
        <f>VLOOKUP(L173,'Zones (3)'!$A$2:$F$15913,6,FALSE)</f>
        <v>538</v>
      </c>
    </row>
    <row r="174" spans="2:28">
      <c r="B174" s="39">
        <v>0.51388888888888895</v>
      </c>
      <c r="C174" s="39" t="s">
        <v>203</v>
      </c>
      <c r="D174" s="40">
        <v>7</v>
      </c>
      <c r="E174" s="40">
        <v>2</v>
      </c>
      <c r="F174" s="41" t="s">
        <v>155</v>
      </c>
      <c r="G174" s="41" t="s">
        <v>148</v>
      </c>
      <c r="H174" s="41" t="s">
        <v>633</v>
      </c>
      <c r="I174" s="41">
        <v>1</v>
      </c>
      <c r="J174" s="41">
        <v>1</v>
      </c>
      <c r="K174" s="25" t="str">
        <f>VLOOKUP(J174,Key!$E$2:$F$9,2,FALSE)</f>
        <v>Home</v>
      </c>
      <c r="L174" s="41" t="s">
        <v>169</v>
      </c>
      <c r="M174" s="42" t="s">
        <v>150</v>
      </c>
      <c r="N174" s="42" t="s">
        <v>633</v>
      </c>
      <c r="O174" s="42">
        <v>3</v>
      </c>
      <c r="P174" s="42">
        <v>4</v>
      </c>
      <c r="Q174" s="25" t="str">
        <f>VLOOKUP(P174,Key!$E$2:$F$9,2,FALSE)</f>
        <v>Commercial</v>
      </c>
      <c r="R174" s="25" t="str">
        <f t="shared" si="4"/>
        <v>Home-Commercial</v>
      </c>
      <c r="S174" s="47"/>
      <c r="T174" s="47">
        <v>2</v>
      </c>
      <c r="U174" s="55">
        <v>3</v>
      </c>
      <c r="V174" s="55">
        <v>11</v>
      </c>
      <c r="W174" s="47"/>
      <c r="X174" s="47"/>
      <c r="Y174" s="48" t="s">
        <v>146</v>
      </c>
      <c r="Z174" s="56"/>
      <c r="AA174" s="25">
        <f>VLOOKUP(F174,'Zones (3)'!$A$2:$F$15913,6,FALSE)</f>
        <v>987</v>
      </c>
      <c r="AB174" s="25">
        <f>VLOOKUP(L174,'Zones (3)'!$A$2:$F$15913,6,FALSE)</f>
        <v>380</v>
      </c>
    </row>
    <row r="175" spans="2:28">
      <c r="B175" s="39">
        <v>0.51666666666666672</v>
      </c>
      <c r="C175" s="39" t="s">
        <v>204</v>
      </c>
      <c r="D175" s="40">
        <v>1</v>
      </c>
      <c r="E175" s="40">
        <v>1</v>
      </c>
      <c r="F175" s="41" t="s">
        <v>155</v>
      </c>
      <c r="G175" s="41" t="s">
        <v>148</v>
      </c>
      <c r="H175" s="41" t="s">
        <v>633</v>
      </c>
      <c r="I175" s="41">
        <v>11</v>
      </c>
      <c r="J175" s="41">
        <v>6</v>
      </c>
      <c r="K175" s="25" t="str">
        <f>VLOOKUP(J175,Key!$E$2:$F$9,2,FALSE)</f>
        <v>Leisure/Social</v>
      </c>
      <c r="L175" s="41" t="s">
        <v>205</v>
      </c>
      <c r="M175" s="42" t="s">
        <v>150</v>
      </c>
      <c r="N175" s="42" t="s">
        <v>633</v>
      </c>
      <c r="O175" s="42">
        <v>1</v>
      </c>
      <c r="P175" s="42">
        <v>1</v>
      </c>
      <c r="Q175" s="25" t="str">
        <f>VLOOKUP(P175,Key!$E$2:$F$9,2,FALSE)</f>
        <v>Home</v>
      </c>
      <c r="R175" s="25" t="str">
        <f t="shared" si="4"/>
        <v>Leisure/Social-Home</v>
      </c>
      <c r="S175" s="47">
        <v>12</v>
      </c>
      <c r="T175" s="47">
        <v>0.3</v>
      </c>
      <c r="U175" s="55">
        <v>3</v>
      </c>
      <c r="V175" s="55"/>
      <c r="W175" s="47"/>
      <c r="X175" s="47"/>
      <c r="Y175" s="48" t="s">
        <v>146</v>
      </c>
      <c r="Z175" s="56"/>
      <c r="AA175" s="25">
        <f>VLOOKUP(F175,'Zones (3)'!$A$2:$F$15913,6,FALSE)</f>
        <v>987</v>
      </c>
      <c r="AB175" s="25">
        <f>VLOOKUP(L175,'Zones (3)'!$A$2:$F$15913,6,FALSE)</f>
        <v>179</v>
      </c>
    </row>
    <row r="176" spans="2:28">
      <c r="B176" s="39">
        <v>0.52777777777777779</v>
      </c>
      <c r="C176" s="39" t="s">
        <v>206</v>
      </c>
      <c r="D176" s="40">
        <v>7</v>
      </c>
      <c r="E176" s="40">
        <v>1</v>
      </c>
      <c r="F176" s="41" t="s">
        <v>155</v>
      </c>
      <c r="G176" s="41" t="s">
        <v>148</v>
      </c>
      <c r="H176" s="41" t="s">
        <v>633</v>
      </c>
      <c r="I176" s="41">
        <v>14</v>
      </c>
      <c r="J176" s="41">
        <v>2</v>
      </c>
      <c r="K176" s="25" t="str">
        <f>VLOOKUP(J176,Key!$E$2:$F$9,2,FALSE)</f>
        <v>Work</v>
      </c>
      <c r="L176" s="41" t="s">
        <v>169</v>
      </c>
      <c r="M176" s="42" t="s">
        <v>150</v>
      </c>
      <c r="N176" s="42" t="s">
        <v>633</v>
      </c>
      <c r="O176" s="42">
        <v>10</v>
      </c>
      <c r="P176" s="42">
        <v>4</v>
      </c>
      <c r="Q176" s="25" t="str">
        <f>VLOOKUP(P176,Key!$E$2:$F$9,2,FALSE)</f>
        <v>Commercial</v>
      </c>
      <c r="R176" s="25" t="str">
        <f t="shared" si="4"/>
        <v>Work-Commercial</v>
      </c>
      <c r="S176" s="47">
        <v>4</v>
      </c>
      <c r="T176" s="47">
        <v>0.2</v>
      </c>
      <c r="U176" s="55">
        <v>2</v>
      </c>
      <c r="V176" s="55">
        <v>6</v>
      </c>
      <c r="W176" s="47"/>
      <c r="X176" s="47"/>
      <c r="Y176" s="48" t="s">
        <v>146</v>
      </c>
      <c r="Z176" s="56"/>
      <c r="AA176" s="25">
        <f>VLOOKUP(F176,'Zones (3)'!$A$2:$F$15913,6,FALSE)</f>
        <v>987</v>
      </c>
      <c r="AB176" s="25">
        <f>VLOOKUP(L176,'Zones (3)'!$A$2:$F$15913,6,FALSE)</f>
        <v>380</v>
      </c>
    </row>
    <row r="177" spans="2:28">
      <c r="B177" s="39">
        <v>0.58333333333333337</v>
      </c>
      <c r="C177" s="39" t="s">
        <v>207</v>
      </c>
      <c r="D177" s="40">
        <v>11</v>
      </c>
      <c r="E177" s="40">
        <v>1</v>
      </c>
      <c r="F177" s="41" t="s">
        <v>173</v>
      </c>
      <c r="G177" s="41" t="s">
        <v>148</v>
      </c>
      <c r="H177" s="41" t="s">
        <v>633</v>
      </c>
      <c r="I177" s="41">
        <v>8</v>
      </c>
      <c r="J177" s="41">
        <v>2</v>
      </c>
      <c r="K177" s="25" t="str">
        <f>VLOOKUP(J177,Key!$E$2:$F$9,2,FALSE)</f>
        <v>Work</v>
      </c>
      <c r="L177" s="41" t="s">
        <v>169</v>
      </c>
      <c r="M177" s="42" t="s">
        <v>150</v>
      </c>
      <c r="N177" s="42" t="s">
        <v>633</v>
      </c>
      <c r="O177" s="42">
        <v>8</v>
      </c>
      <c r="P177" s="42">
        <v>2</v>
      </c>
      <c r="Q177" s="25" t="str">
        <f>VLOOKUP(P177,Key!$E$2:$F$9,2,FALSE)</f>
        <v>Work</v>
      </c>
      <c r="R177" s="25" t="str">
        <f t="shared" si="4"/>
        <v>Work-Work</v>
      </c>
      <c r="S177" s="47"/>
      <c r="T177" s="47">
        <v>0.2</v>
      </c>
      <c r="U177" s="55">
        <v>2</v>
      </c>
      <c r="V177" s="55"/>
      <c r="W177" s="47"/>
      <c r="X177" s="47"/>
      <c r="Y177" s="48" t="s">
        <v>146</v>
      </c>
      <c r="Z177" s="56"/>
      <c r="AA177" s="25">
        <f>VLOOKUP(F177,'Zones (3)'!$A$2:$F$15913,6,FALSE)</f>
        <v>987</v>
      </c>
      <c r="AB177" s="25">
        <f>VLOOKUP(L177,'Zones (3)'!$A$2:$F$15913,6,FALSE)</f>
        <v>380</v>
      </c>
    </row>
    <row r="178" spans="2:28">
      <c r="B178" s="39">
        <v>0.59375</v>
      </c>
      <c r="C178" s="39" t="s">
        <v>208</v>
      </c>
      <c r="D178" s="40">
        <v>1</v>
      </c>
      <c r="E178" s="40">
        <v>3</v>
      </c>
      <c r="F178" s="41" t="s">
        <v>155</v>
      </c>
      <c r="G178" s="41" t="s">
        <v>148</v>
      </c>
      <c r="H178" s="41" t="s">
        <v>633</v>
      </c>
      <c r="I178" s="41">
        <v>4</v>
      </c>
      <c r="J178" s="41">
        <v>3</v>
      </c>
      <c r="K178" s="25" t="str">
        <f>VLOOKUP(J178,Key!$E$2:$F$9,2,FALSE)</f>
        <v>Study</v>
      </c>
      <c r="L178" s="41" t="s">
        <v>209</v>
      </c>
      <c r="M178" s="42" t="s">
        <v>150</v>
      </c>
      <c r="N178" s="42" t="s">
        <v>633</v>
      </c>
      <c r="O178" s="42">
        <v>1</v>
      </c>
      <c r="P178" s="42">
        <v>1</v>
      </c>
      <c r="Q178" s="25" t="str">
        <f>VLOOKUP(P178,Key!$E$2:$F$9,2,FALSE)</f>
        <v>Home</v>
      </c>
      <c r="R178" s="25" t="str">
        <f t="shared" si="4"/>
        <v>Study-Home</v>
      </c>
      <c r="S178" s="47">
        <v>16</v>
      </c>
      <c r="T178" s="47"/>
      <c r="U178" s="55">
        <v>2</v>
      </c>
      <c r="V178" s="55"/>
      <c r="W178" s="47"/>
      <c r="X178" s="47"/>
      <c r="Y178" s="48" t="s">
        <v>146</v>
      </c>
      <c r="Z178" s="56"/>
      <c r="AA178" s="25">
        <f>VLOOKUP(F178,'Zones (3)'!$A$2:$F$15913,6,FALSE)</f>
        <v>987</v>
      </c>
      <c r="AB178" s="25">
        <f>VLOOKUP(L178,'Zones (3)'!$A$2:$F$15913,6,FALSE)</f>
        <v>379</v>
      </c>
    </row>
    <row r="179" spans="2:28">
      <c r="B179" s="39">
        <v>0.67361111111111116</v>
      </c>
      <c r="C179" s="39" t="s">
        <v>210</v>
      </c>
      <c r="D179" s="40">
        <v>11</v>
      </c>
      <c r="E179" s="40">
        <v>1</v>
      </c>
      <c r="F179" s="41" t="s">
        <v>155</v>
      </c>
      <c r="G179" s="41" t="s">
        <v>148</v>
      </c>
      <c r="H179" s="41" t="s">
        <v>633</v>
      </c>
      <c r="I179" s="41">
        <v>8</v>
      </c>
      <c r="J179" s="41">
        <v>2</v>
      </c>
      <c r="K179" s="25" t="str">
        <f>VLOOKUP(J179,Key!$E$2:$F$9,2,FALSE)</f>
        <v>Work</v>
      </c>
      <c r="L179" s="41" t="s">
        <v>211</v>
      </c>
      <c r="M179" s="42" t="s">
        <v>316</v>
      </c>
      <c r="N179" s="42" t="s">
        <v>633</v>
      </c>
      <c r="O179" s="42">
        <v>1</v>
      </c>
      <c r="P179" s="42">
        <v>1</v>
      </c>
      <c r="Q179" s="25" t="str">
        <f>VLOOKUP(P179,Key!$E$2:$F$9,2,FALSE)</f>
        <v>Home</v>
      </c>
      <c r="R179" s="25" t="str">
        <f t="shared" si="4"/>
        <v>Work-Home</v>
      </c>
      <c r="S179" s="47">
        <v>17</v>
      </c>
      <c r="T179" s="47">
        <v>0.5</v>
      </c>
      <c r="U179" s="55">
        <v>3</v>
      </c>
      <c r="V179" s="55"/>
      <c r="W179" s="47"/>
      <c r="X179" s="47"/>
      <c r="Y179" s="48" t="s">
        <v>146</v>
      </c>
      <c r="Z179" s="56"/>
      <c r="AA179" s="25">
        <f>VLOOKUP(F179,'Zones (3)'!$A$2:$F$15913,6,FALSE)</f>
        <v>987</v>
      </c>
      <c r="AB179" s="25">
        <f>VLOOKUP(L179,'Zones (3)'!$A$2:$F$15913,6,FALSE)</f>
        <v>644</v>
      </c>
    </row>
    <row r="180" spans="2:28">
      <c r="B180" s="39">
        <v>0.68055555555555547</v>
      </c>
      <c r="C180" s="39" t="s">
        <v>212</v>
      </c>
      <c r="D180" s="40">
        <v>8</v>
      </c>
      <c r="E180" s="40">
        <v>3</v>
      </c>
      <c r="F180" s="41" t="s">
        <v>155</v>
      </c>
      <c r="G180" s="41" t="s">
        <v>148</v>
      </c>
      <c r="H180" s="41" t="s">
        <v>633</v>
      </c>
      <c r="I180" s="41">
        <v>10</v>
      </c>
      <c r="J180" s="41">
        <v>2</v>
      </c>
      <c r="K180" s="25" t="str">
        <f>VLOOKUP(J180,Key!$E$2:$F$9,2,FALSE)</f>
        <v>Work</v>
      </c>
      <c r="L180" s="41" t="s">
        <v>213</v>
      </c>
      <c r="M180" s="42" t="s">
        <v>150</v>
      </c>
      <c r="N180" s="42" t="s">
        <v>633</v>
      </c>
      <c r="O180" s="42">
        <v>15</v>
      </c>
      <c r="P180" s="42">
        <v>4</v>
      </c>
      <c r="Q180" s="25" t="str">
        <f>VLOOKUP(P180,Key!$E$2:$F$9,2,FALSE)</f>
        <v>Commercial</v>
      </c>
      <c r="R180" s="25" t="str">
        <f t="shared" si="4"/>
        <v>Work-Commercial</v>
      </c>
      <c r="S180" s="47"/>
      <c r="T180" s="47">
        <v>1</v>
      </c>
      <c r="U180" s="55">
        <v>2</v>
      </c>
      <c r="V180" s="55">
        <v>11</v>
      </c>
      <c r="W180" s="47"/>
      <c r="X180" s="47"/>
      <c r="Y180" s="48" t="s">
        <v>146</v>
      </c>
      <c r="Z180" s="56"/>
      <c r="AA180" s="25">
        <f>VLOOKUP(F180,'Zones (3)'!$A$2:$F$15913,6,FALSE)</f>
        <v>987</v>
      </c>
      <c r="AB180" s="25">
        <f>VLOOKUP(L180,'Zones (3)'!$A$2:$F$15913,6,FALSE)</f>
        <v>381</v>
      </c>
    </row>
    <row r="181" spans="2:28">
      <c r="B181" s="39">
        <v>0.68472222222222223</v>
      </c>
      <c r="C181" s="39" t="s">
        <v>214</v>
      </c>
      <c r="D181" s="40">
        <v>4</v>
      </c>
      <c r="E181" s="40">
        <v>6</v>
      </c>
      <c r="F181" s="41" t="s">
        <v>155</v>
      </c>
      <c r="G181" s="41" t="s">
        <v>148</v>
      </c>
      <c r="H181" s="41" t="s">
        <v>633</v>
      </c>
      <c r="I181" s="41">
        <v>6</v>
      </c>
      <c r="J181" s="41">
        <v>2</v>
      </c>
      <c r="K181" s="25" t="str">
        <f>VLOOKUP(J181,Key!$E$2:$F$9,2,FALSE)</f>
        <v>Work</v>
      </c>
      <c r="L181" s="41" t="s">
        <v>209</v>
      </c>
      <c r="M181" s="42" t="s">
        <v>150</v>
      </c>
      <c r="N181" s="42" t="s">
        <v>633</v>
      </c>
      <c r="O181" s="42">
        <v>6</v>
      </c>
      <c r="P181" s="42">
        <v>2</v>
      </c>
      <c r="Q181" s="25" t="str">
        <f>VLOOKUP(P181,Key!$E$2:$F$9,2,FALSE)</f>
        <v>Work</v>
      </c>
      <c r="R181" s="25" t="str">
        <f t="shared" si="4"/>
        <v>Work-Work</v>
      </c>
      <c r="S181" s="47">
        <v>76</v>
      </c>
      <c r="T181" s="47">
        <v>1.5</v>
      </c>
      <c r="U181" s="55">
        <v>3</v>
      </c>
      <c r="V181" s="55"/>
      <c r="W181" s="47"/>
      <c r="X181" s="47"/>
      <c r="Y181" s="48" t="s">
        <v>146</v>
      </c>
      <c r="Z181" s="56"/>
      <c r="AA181" s="25">
        <f>VLOOKUP(F181,'Zones (3)'!$A$2:$F$15913,6,FALSE)</f>
        <v>987</v>
      </c>
      <c r="AB181" s="25">
        <f>VLOOKUP(L181,'Zones (3)'!$A$2:$F$15913,6,FALSE)</f>
        <v>379</v>
      </c>
    </row>
    <row r="182" spans="2:28">
      <c r="B182" s="39">
        <v>0.6875</v>
      </c>
      <c r="C182" s="39" t="s">
        <v>215</v>
      </c>
      <c r="D182" s="40">
        <v>8</v>
      </c>
      <c r="E182" s="40">
        <v>3</v>
      </c>
      <c r="F182" s="41" t="s">
        <v>155</v>
      </c>
      <c r="G182" s="41" t="s">
        <v>148</v>
      </c>
      <c r="H182" s="41" t="s">
        <v>633</v>
      </c>
      <c r="I182" s="41">
        <v>11</v>
      </c>
      <c r="J182" s="41">
        <v>6</v>
      </c>
      <c r="K182" s="25" t="str">
        <f>VLOOKUP(J182,Key!$E$2:$F$9,2,FALSE)</f>
        <v>Leisure/Social</v>
      </c>
      <c r="L182" s="41" t="s">
        <v>216</v>
      </c>
      <c r="M182" s="42" t="s">
        <v>150</v>
      </c>
      <c r="N182" s="42" t="s">
        <v>633</v>
      </c>
      <c r="O182" s="42">
        <v>16</v>
      </c>
      <c r="P182" s="42">
        <v>8</v>
      </c>
      <c r="Q182" s="25" t="str">
        <f>VLOOKUP(P182,Key!$E$2:$F$9,2,FALSE)</f>
        <v>Others</v>
      </c>
      <c r="R182" s="25" t="str">
        <f t="shared" si="4"/>
        <v>Leisure/Social-Others</v>
      </c>
      <c r="S182" s="47">
        <v>12</v>
      </c>
      <c r="T182" s="47">
        <v>0.5</v>
      </c>
      <c r="U182" s="55">
        <v>4</v>
      </c>
      <c r="V182" s="55">
        <v>11</v>
      </c>
      <c r="W182" s="47"/>
      <c r="X182" s="47"/>
      <c r="Y182" s="48" t="s">
        <v>146</v>
      </c>
      <c r="Z182" s="56"/>
      <c r="AA182" s="25">
        <f>VLOOKUP(F182,'Zones (3)'!$A$2:$F$15913,6,FALSE)</f>
        <v>987</v>
      </c>
      <c r="AB182" s="25">
        <f>VLOOKUP(L182,'Zones (3)'!$A$2:$F$15913,6,FALSE)</f>
        <v>379</v>
      </c>
    </row>
    <row r="183" spans="2:28">
      <c r="B183" s="39">
        <v>0.69097222222222221</v>
      </c>
      <c r="C183" s="39" t="s">
        <v>217</v>
      </c>
      <c r="D183" s="40">
        <v>1</v>
      </c>
      <c r="E183" s="40">
        <v>2</v>
      </c>
      <c r="F183" s="41" t="s">
        <v>155</v>
      </c>
      <c r="G183" s="41" t="s">
        <v>148</v>
      </c>
      <c r="H183" s="41" t="s">
        <v>633</v>
      </c>
      <c r="I183" s="41">
        <v>4</v>
      </c>
      <c r="J183" s="41">
        <v>3</v>
      </c>
      <c r="K183" s="25" t="str">
        <f>VLOOKUP(J183,Key!$E$2:$F$9,2,FALSE)</f>
        <v>Study</v>
      </c>
      <c r="L183" s="41" t="s">
        <v>165</v>
      </c>
      <c r="M183" s="42" t="s">
        <v>150</v>
      </c>
      <c r="N183" s="42" t="s">
        <v>633</v>
      </c>
      <c r="O183" s="42">
        <v>1</v>
      </c>
      <c r="P183" s="42">
        <v>1</v>
      </c>
      <c r="Q183" s="25" t="str">
        <f>VLOOKUP(P183,Key!$E$2:$F$9,2,FALSE)</f>
        <v>Home</v>
      </c>
      <c r="R183" s="25" t="str">
        <f t="shared" si="4"/>
        <v>Study-Home</v>
      </c>
      <c r="S183" s="47">
        <v>4</v>
      </c>
      <c r="T183" s="47">
        <v>0.2</v>
      </c>
      <c r="U183" s="55">
        <v>2</v>
      </c>
      <c r="V183" s="55"/>
      <c r="W183" s="47"/>
      <c r="X183" s="47"/>
      <c r="Y183" s="48" t="s">
        <v>146</v>
      </c>
      <c r="Z183" s="56"/>
      <c r="AA183" s="25">
        <f>VLOOKUP(F183,'Zones (3)'!$A$2:$F$15913,6,FALSE)</f>
        <v>987</v>
      </c>
      <c r="AB183" s="25">
        <f>VLOOKUP(L183,'Zones (3)'!$A$2:$F$15913,6,FALSE)</f>
        <v>376</v>
      </c>
    </row>
    <row r="184" spans="2:28">
      <c r="B184" s="39">
        <v>0.69652777777777775</v>
      </c>
      <c r="C184" s="39" t="s">
        <v>218</v>
      </c>
      <c r="D184" s="40">
        <v>1</v>
      </c>
      <c r="E184" s="40">
        <v>4</v>
      </c>
      <c r="F184" s="41" t="s">
        <v>155</v>
      </c>
      <c r="G184" s="41" t="s">
        <v>148</v>
      </c>
      <c r="H184" s="41" t="s">
        <v>633</v>
      </c>
      <c r="I184" s="41">
        <v>2</v>
      </c>
      <c r="J184" s="41">
        <v>2</v>
      </c>
      <c r="K184" s="25" t="str">
        <f>VLOOKUP(J184,Key!$E$2:$F$9,2,FALSE)</f>
        <v>Work</v>
      </c>
      <c r="L184" s="41" t="s">
        <v>169</v>
      </c>
      <c r="M184" s="42" t="s">
        <v>150</v>
      </c>
      <c r="N184" s="42" t="s">
        <v>633</v>
      </c>
      <c r="O184" s="42">
        <v>1</v>
      </c>
      <c r="P184" s="42">
        <v>1</v>
      </c>
      <c r="Q184" s="25" t="str">
        <f>VLOOKUP(P184,Key!$E$2:$F$9,2,FALSE)</f>
        <v>Home</v>
      </c>
      <c r="R184" s="25" t="str">
        <f t="shared" si="4"/>
        <v>Work-Home</v>
      </c>
      <c r="S184" s="47">
        <v>8</v>
      </c>
      <c r="T184" s="47">
        <v>0.3</v>
      </c>
      <c r="U184" s="55">
        <v>2</v>
      </c>
      <c r="V184" s="55"/>
      <c r="W184" s="47"/>
      <c r="X184" s="47"/>
      <c r="Y184" s="48" t="s">
        <v>146</v>
      </c>
      <c r="Z184" s="56"/>
      <c r="AA184" s="25">
        <f>VLOOKUP(F184,'Zones (3)'!$A$2:$F$15913,6,FALSE)</f>
        <v>987</v>
      </c>
      <c r="AB184" s="25">
        <f>VLOOKUP(L184,'Zones (3)'!$A$2:$F$15913,6,FALSE)</f>
        <v>380</v>
      </c>
    </row>
    <row r="185" spans="2:28">
      <c r="B185" s="39">
        <v>0.70972222222222225</v>
      </c>
      <c r="C185" s="39" t="s">
        <v>219</v>
      </c>
      <c r="D185" s="40">
        <v>3</v>
      </c>
      <c r="E185" s="40">
        <v>1</v>
      </c>
      <c r="F185" s="41" t="s">
        <v>155</v>
      </c>
      <c r="G185" s="41" t="s">
        <v>148</v>
      </c>
      <c r="H185" s="41" t="s">
        <v>633</v>
      </c>
      <c r="I185" s="41">
        <v>9</v>
      </c>
      <c r="J185" s="41">
        <v>2</v>
      </c>
      <c r="K185" s="25" t="str">
        <f>VLOOKUP(J185,Key!$E$2:$F$9,2,FALSE)</f>
        <v>Work</v>
      </c>
      <c r="L185" s="41" t="s">
        <v>220</v>
      </c>
      <c r="M185" s="42" t="s">
        <v>150</v>
      </c>
      <c r="N185" s="42" t="s">
        <v>633</v>
      </c>
      <c r="O185" s="42">
        <v>1</v>
      </c>
      <c r="P185" s="42">
        <v>1</v>
      </c>
      <c r="Q185" s="25" t="str">
        <f>VLOOKUP(P185,Key!$E$2:$F$9,2,FALSE)</f>
        <v>Home</v>
      </c>
      <c r="R185" s="25" t="str">
        <f t="shared" si="4"/>
        <v>Work-Home</v>
      </c>
      <c r="S185" s="47"/>
      <c r="T185" s="47">
        <v>1</v>
      </c>
      <c r="U185" s="55">
        <v>2</v>
      </c>
      <c r="V185" s="55"/>
      <c r="W185" s="47"/>
      <c r="X185" s="47"/>
      <c r="Y185" s="48" t="s">
        <v>146</v>
      </c>
      <c r="Z185" s="56"/>
      <c r="AA185" s="25">
        <f>VLOOKUP(F185,'Zones (3)'!$A$2:$F$15913,6,FALSE)</f>
        <v>987</v>
      </c>
      <c r="AB185" s="25">
        <f>VLOOKUP(L185,'Zones (3)'!$A$2:$F$15913,6,FALSE)</f>
        <v>376</v>
      </c>
    </row>
    <row r="186" spans="2:28">
      <c r="B186" s="39">
        <v>0.71111111111111114</v>
      </c>
      <c r="C186" s="39" t="s">
        <v>221</v>
      </c>
      <c r="D186" s="40">
        <v>11</v>
      </c>
      <c r="E186" s="40">
        <v>1</v>
      </c>
      <c r="F186" s="41" t="s">
        <v>155</v>
      </c>
      <c r="G186" s="41" t="s">
        <v>148</v>
      </c>
      <c r="H186" s="41" t="s">
        <v>633</v>
      </c>
      <c r="I186" s="41">
        <v>8</v>
      </c>
      <c r="J186" s="41">
        <v>2</v>
      </c>
      <c r="K186" s="25" t="str">
        <f>VLOOKUP(J186,Key!$E$2:$F$9,2,FALSE)</f>
        <v>Work</v>
      </c>
      <c r="L186" s="41" t="s">
        <v>169</v>
      </c>
      <c r="M186" s="42" t="s">
        <v>150</v>
      </c>
      <c r="N186" s="42" t="s">
        <v>633</v>
      </c>
      <c r="O186" s="42">
        <v>8</v>
      </c>
      <c r="P186" s="42">
        <v>2</v>
      </c>
      <c r="Q186" s="25" t="str">
        <f>VLOOKUP(P186,Key!$E$2:$F$9,2,FALSE)</f>
        <v>Work</v>
      </c>
      <c r="R186" s="25" t="str">
        <f t="shared" si="4"/>
        <v>Work-Work</v>
      </c>
      <c r="S186" s="47"/>
      <c r="T186" s="47">
        <v>0.5</v>
      </c>
      <c r="U186" s="55">
        <v>3</v>
      </c>
      <c r="V186" s="55"/>
      <c r="W186" s="47"/>
      <c r="X186" s="47"/>
      <c r="Y186" s="48" t="s">
        <v>146</v>
      </c>
      <c r="Z186" s="56"/>
      <c r="AA186" s="25">
        <f>VLOOKUP(F186,'Zones (3)'!$A$2:$F$15913,6,FALSE)</f>
        <v>987</v>
      </c>
      <c r="AB186" s="25">
        <f>VLOOKUP(L186,'Zones (3)'!$A$2:$F$15913,6,FALSE)</f>
        <v>380</v>
      </c>
    </row>
    <row r="187" spans="2:28">
      <c r="B187" s="39">
        <v>0.71527777777777779</v>
      </c>
      <c r="C187" s="39" t="s">
        <v>222</v>
      </c>
      <c r="D187" s="40">
        <v>11</v>
      </c>
      <c r="E187" s="40">
        <v>1</v>
      </c>
      <c r="F187" s="41" t="s">
        <v>223</v>
      </c>
      <c r="G187" s="41" t="s">
        <v>148</v>
      </c>
      <c r="H187" s="41" t="s">
        <v>633</v>
      </c>
      <c r="I187" s="41">
        <v>4</v>
      </c>
      <c r="J187" s="41">
        <v>3</v>
      </c>
      <c r="K187" s="25" t="str">
        <f>VLOOKUP(J187,Key!$E$2:$F$9,2,FALSE)</f>
        <v>Study</v>
      </c>
      <c r="L187" s="41" t="s">
        <v>169</v>
      </c>
      <c r="M187" s="42" t="s">
        <v>150</v>
      </c>
      <c r="N187" s="42" t="s">
        <v>633</v>
      </c>
      <c r="O187" s="42">
        <v>1</v>
      </c>
      <c r="P187" s="42">
        <v>1</v>
      </c>
      <c r="Q187" s="25" t="str">
        <f>VLOOKUP(P187,Key!$E$2:$F$9,2,FALSE)</f>
        <v>Home</v>
      </c>
      <c r="R187" s="25" t="str">
        <f t="shared" si="4"/>
        <v>Study-Home</v>
      </c>
      <c r="S187" s="47">
        <v>12</v>
      </c>
      <c r="T187" s="47">
        <v>0.5</v>
      </c>
      <c r="U187" s="55">
        <v>2</v>
      </c>
      <c r="V187" s="55"/>
      <c r="W187" s="47"/>
      <c r="X187" s="47"/>
      <c r="Y187" s="48" t="s">
        <v>146</v>
      </c>
      <c r="Z187" s="56"/>
      <c r="AA187" s="25">
        <f>VLOOKUP(F187,'Zones (3)'!$A$2:$F$15913,6,FALSE)</f>
        <v>988</v>
      </c>
      <c r="AB187" s="25">
        <f>VLOOKUP(L187,'Zones (3)'!$A$2:$F$15913,6,FALSE)</f>
        <v>380</v>
      </c>
    </row>
    <row r="188" spans="2:28">
      <c r="B188" s="39">
        <v>0.71875</v>
      </c>
      <c r="C188" s="39" t="s">
        <v>224</v>
      </c>
      <c r="D188" s="40">
        <v>11</v>
      </c>
      <c r="E188" s="40">
        <v>1</v>
      </c>
      <c r="F188" s="41" t="s">
        <v>155</v>
      </c>
      <c r="G188" s="41" t="s">
        <v>148</v>
      </c>
      <c r="H188" s="41" t="s">
        <v>633</v>
      </c>
      <c r="I188" s="41">
        <v>8</v>
      </c>
      <c r="J188" s="41">
        <v>2</v>
      </c>
      <c r="K188" s="25" t="str">
        <f>VLOOKUP(J188,Key!$E$2:$F$9,2,FALSE)</f>
        <v>Work</v>
      </c>
      <c r="L188" s="41" t="s">
        <v>3257</v>
      </c>
      <c r="M188" s="42" t="s">
        <v>3257</v>
      </c>
      <c r="N188" s="42" t="s">
        <v>633</v>
      </c>
      <c r="O188" s="42">
        <v>1</v>
      </c>
      <c r="P188" s="42">
        <v>1</v>
      </c>
      <c r="Q188" s="25" t="str">
        <f>VLOOKUP(P188,Key!$E$2:$F$9,2,FALSE)</f>
        <v>Home</v>
      </c>
      <c r="R188" s="25" t="str">
        <f t="shared" si="4"/>
        <v>Work-Home</v>
      </c>
      <c r="S188" s="47"/>
      <c r="T188" s="47">
        <v>1</v>
      </c>
      <c r="U188" s="55">
        <v>4</v>
      </c>
      <c r="V188" s="55"/>
      <c r="W188" s="47"/>
      <c r="X188" s="47"/>
      <c r="Y188" s="48" t="s">
        <v>146</v>
      </c>
      <c r="Z188" s="56"/>
      <c r="AA188" s="25">
        <f>VLOOKUP(F188,'Zones (3)'!$A$2:$F$15913,6,FALSE)</f>
        <v>987</v>
      </c>
      <c r="AB188" s="25">
        <f>VLOOKUP(L188,'Zones (3)'!$A$2:$F$15913,6,FALSE)</f>
        <v>748</v>
      </c>
    </row>
    <row r="189" spans="2:28">
      <c r="B189" s="39">
        <v>0.72430555555555554</v>
      </c>
      <c r="C189" s="39" t="s">
        <v>226</v>
      </c>
      <c r="D189" s="40">
        <v>7</v>
      </c>
      <c r="E189" s="40">
        <v>2</v>
      </c>
      <c r="F189" s="41" t="s">
        <v>155</v>
      </c>
      <c r="G189" s="41" t="s">
        <v>148</v>
      </c>
      <c r="H189" s="41" t="s">
        <v>633</v>
      </c>
      <c r="I189" s="41">
        <v>14</v>
      </c>
      <c r="J189" s="41">
        <v>2</v>
      </c>
      <c r="K189" s="25" t="str">
        <f>VLOOKUP(J189,Key!$E$2:$F$9,2,FALSE)</f>
        <v>Work</v>
      </c>
      <c r="L189" s="41" t="s">
        <v>169</v>
      </c>
      <c r="M189" s="42" t="s">
        <v>150</v>
      </c>
      <c r="N189" s="42" t="s">
        <v>633</v>
      </c>
      <c r="O189" s="42">
        <v>10</v>
      </c>
      <c r="P189" s="42">
        <v>4</v>
      </c>
      <c r="Q189" s="25" t="str">
        <f>VLOOKUP(P189,Key!$E$2:$F$9,2,FALSE)</f>
        <v>Commercial</v>
      </c>
      <c r="R189" s="25" t="str">
        <f t="shared" si="4"/>
        <v>Work-Commercial</v>
      </c>
      <c r="S189" s="47"/>
      <c r="T189" s="47">
        <v>0.3</v>
      </c>
      <c r="U189" s="55">
        <v>2</v>
      </c>
      <c r="V189" s="55">
        <v>6</v>
      </c>
      <c r="W189" s="47">
        <v>1.5</v>
      </c>
      <c r="X189" s="47"/>
      <c r="Y189" s="48" t="s">
        <v>146</v>
      </c>
      <c r="Z189" s="56"/>
      <c r="AA189" s="25">
        <f>VLOOKUP(F189,'Zones (3)'!$A$2:$F$15913,6,FALSE)</f>
        <v>987</v>
      </c>
      <c r="AB189" s="25">
        <f>VLOOKUP(L189,'Zones (3)'!$A$2:$F$15913,6,FALSE)</f>
        <v>380</v>
      </c>
    </row>
    <row r="190" spans="2:28">
      <c r="B190" s="39">
        <v>0.73888888888888893</v>
      </c>
      <c r="C190" s="39" t="s">
        <v>227</v>
      </c>
      <c r="D190" s="40">
        <v>3</v>
      </c>
      <c r="E190" s="40">
        <v>2</v>
      </c>
      <c r="F190" s="41" t="s">
        <v>155</v>
      </c>
      <c r="G190" s="41" t="s">
        <v>148</v>
      </c>
      <c r="H190" s="41" t="s">
        <v>633</v>
      </c>
      <c r="I190" s="41">
        <v>14</v>
      </c>
      <c r="J190" s="41">
        <v>4</v>
      </c>
      <c r="K190" s="25" t="str">
        <f>VLOOKUP(J190,Key!$E$2:$F$9,2,FALSE)</f>
        <v>Commercial</v>
      </c>
      <c r="L190" s="41" t="s">
        <v>169</v>
      </c>
      <c r="M190" s="42" t="s">
        <v>150</v>
      </c>
      <c r="N190" s="42" t="s">
        <v>633</v>
      </c>
      <c r="O190" s="42">
        <v>1</v>
      </c>
      <c r="P190" s="42">
        <v>1</v>
      </c>
      <c r="Q190" s="25" t="str">
        <f>VLOOKUP(P190,Key!$E$2:$F$9,2,FALSE)</f>
        <v>Home</v>
      </c>
      <c r="R190" s="25" t="str">
        <f t="shared" si="4"/>
        <v>Commercial-Home</v>
      </c>
      <c r="S190" s="47">
        <v>8</v>
      </c>
      <c r="T190" s="47">
        <v>0.5</v>
      </c>
      <c r="U190" s="55">
        <v>2</v>
      </c>
      <c r="V190" s="55"/>
      <c r="W190" s="47"/>
      <c r="X190" s="47"/>
      <c r="Y190" s="48" t="s">
        <v>146</v>
      </c>
      <c r="Z190" s="56"/>
      <c r="AA190" s="25">
        <f>VLOOKUP(F190,'Zones (3)'!$A$2:$F$15913,6,FALSE)</f>
        <v>987</v>
      </c>
      <c r="AB190" s="25">
        <f>VLOOKUP(L190,'Zones (3)'!$A$2:$F$15913,6,FALSE)</f>
        <v>380</v>
      </c>
    </row>
    <row r="191" spans="2:28">
      <c r="B191" s="39">
        <v>0.29305555555555557</v>
      </c>
      <c r="C191" s="39" t="s">
        <v>228</v>
      </c>
      <c r="D191" s="40">
        <v>2</v>
      </c>
      <c r="E191" s="40">
        <v>1</v>
      </c>
      <c r="F191" s="41" t="s">
        <v>155</v>
      </c>
      <c r="G191" s="41" t="s">
        <v>148</v>
      </c>
      <c r="H191" s="41" t="s">
        <v>633</v>
      </c>
      <c r="I191" s="41">
        <v>4</v>
      </c>
      <c r="J191" s="41">
        <v>3</v>
      </c>
      <c r="K191" s="25" t="str">
        <f>VLOOKUP(J191,Key!$E$2:$F$9,2,FALSE)</f>
        <v>Study</v>
      </c>
      <c r="L191" s="41" t="s">
        <v>169</v>
      </c>
      <c r="M191" s="42" t="s">
        <v>150</v>
      </c>
      <c r="N191" s="42" t="s">
        <v>633</v>
      </c>
      <c r="O191" s="42">
        <v>4</v>
      </c>
      <c r="P191" s="42">
        <v>1</v>
      </c>
      <c r="Q191" s="25" t="str">
        <f>VLOOKUP(P191,Key!$E$2:$F$9,2,FALSE)</f>
        <v>Home</v>
      </c>
      <c r="R191" s="25" t="str">
        <f t="shared" si="4"/>
        <v>Study-Home</v>
      </c>
      <c r="S191" s="47">
        <v>9</v>
      </c>
      <c r="T191" s="47">
        <v>0.5</v>
      </c>
      <c r="U191" s="55">
        <v>1</v>
      </c>
      <c r="V191" s="55"/>
      <c r="W191" s="47"/>
      <c r="X191" s="47"/>
      <c r="Y191" s="48" t="s">
        <v>146</v>
      </c>
      <c r="Z191" s="56"/>
      <c r="AA191" s="25">
        <f>VLOOKUP(F191,'Zones (3)'!$A$2:$F$15913,6,FALSE)</f>
        <v>987</v>
      </c>
      <c r="AB191" s="25">
        <f>VLOOKUP(L191,'Zones (3)'!$A$2:$F$15913,6,FALSE)</f>
        <v>380</v>
      </c>
    </row>
    <row r="192" spans="2:28">
      <c r="B192" s="39">
        <v>0.2986111111111111</v>
      </c>
      <c r="C192" s="39" t="s">
        <v>229</v>
      </c>
      <c r="D192" s="40">
        <v>1</v>
      </c>
      <c r="E192" s="40">
        <v>2</v>
      </c>
      <c r="F192" s="41" t="s">
        <v>150</v>
      </c>
      <c r="G192" s="41" t="s">
        <v>150</v>
      </c>
      <c r="H192" s="41" t="s">
        <v>633</v>
      </c>
      <c r="I192" s="41">
        <v>4</v>
      </c>
      <c r="J192" s="41">
        <v>3</v>
      </c>
      <c r="K192" s="25" t="str">
        <f>VLOOKUP(J192,Key!$E$2:$F$9,2,FALSE)</f>
        <v>Study</v>
      </c>
      <c r="L192" s="41" t="s">
        <v>191</v>
      </c>
      <c r="M192" s="42" t="s">
        <v>150</v>
      </c>
      <c r="N192" s="42" t="s">
        <v>633</v>
      </c>
      <c r="O192" s="42">
        <v>1</v>
      </c>
      <c r="P192" s="42">
        <v>1</v>
      </c>
      <c r="Q192" s="25" t="str">
        <f>VLOOKUP(P192,Key!$E$2:$F$9,2,FALSE)</f>
        <v>Home</v>
      </c>
      <c r="R192" s="25" t="str">
        <f t="shared" si="4"/>
        <v>Study-Home</v>
      </c>
      <c r="S192" s="47">
        <v>4</v>
      </c>
      <c r="T192" s="47">
        <v>0.5</v>
      </c>
      <c r="U192" s="55">
        <v>1</v>
      </c>
      <c r="V192" s="55"/>
      <c r="W192" s="47"/>
      <c r="X192" s="47"/>
      <c r="Y192" s="48" t="s">
        <v>146</v>
      </c>
      <c r="Z192" s="56"/>
      <c r="AA192" s="25">
        <f>VLOOKUP(F192,'Zones (3)'!$A$2:$F$15913,6,FALSE)</f>
        <v>379</v>
      </c>
      <c r="AB192" s="25">
        <f>VLOOKUP(L192,'Zones (3)'!$A$2:$F$15913,6,FALSE)</f>
        <v>422</v>
      </c>
    </row>
    <row r="193" spans="2:28">
      <c r="B193" s="39">
        <v>0.35347222222222219</v>
      </c>
      <c r="C193" s="39" t="s">
        <v>231</v>
      </c>
      <c r="D193" s="40">
        <v>1</v>
      </c>
      <c r="E193" s="40">
        <v>2</v>
      </c>
      <c r="F193" s="41" t="s">
        <v>173</v>
      </c>
      <c r="G193" s="41" t="s">
        <v>148</v>
      </c>
      <c r="H193" s="41" t="s">
        <v>633</v>
      </c>
      <c r="I193" s="41">
        <v>1</v>
      </c>
      <c r="J193" s="41">
        <v>1</v>
      </c>
      <c r="K193" s="25" t="str">
        <f>VLOOKUP(J193,Key!$E$2:$F$9,2,FALSE)</f>
        <v>Home</v>
      </c>
      <c r="L193" s="41" t="s">
        <v>232</v>
      </c>
      <c r="M193" s="42" t="s">
        <v>150</v>
      </c>
      <c r="N193" s="42" t="s">
        <v>633</v>
      </c>
      <c r="O193" s="42">
        <v>9</v>
      </c>
      <c r="P193" s="42">
        <v>2</v>
      </c>
      <c r="Q193" s="25" t="str">
        <f>VLOOKUP(P193,Key!$E$2:$F$9,2,FALSE)</f>
        <v>Work</v>
      </c>
      <c r="R193" s="25" t="str">
        <f t="shared" si="4"/>
        <v>Home-Work</v>
      </c>
      <c r="S193" s="47">
        <v>4</v>
      </c>
      <c r="T193" s="47">
        <v>0.8</v>
      </c>
      <c r="U193" s="55">
        <v>1</v>
      </c>
      <c r="V193" s="55"/>
      <c r="W193" s="47"/>
      <c r="X193" s="47"/>
      <c r="Y193" s="48" t="s">
        <v>146</v>
      </c>
      <c r="Z193" s="56"/>
      <c r="AA193" s="25">
        <f>VLOOKUP(F193,'Zones (3)'!$A$2:$F$15913,6,FALSE)</f>
        <v>987</v>
      </c>
      <c r="AB193" s="25">
        <f>VLOOKUP(L193,'Zones (3)'!$A$2:$F$15913,6,FALSE)</f>
        <v>376</v>
      </c>
    </row>
    <row r="194" spans="2:28">
      <c r="B194" s="39">
        <v>0.36319444444444443</v>
      </c>
      <c r="C194" s="39" t="s">
        <v>233</v>
      </c>
      <c r="D194" s="40">
        <v>1</v>
      </c>
      <c r="E194" s="40">
        <v>1</v>
      </c>
      <c r="F194" s="41" t="s">
        <v>234</v>
      </c>
      <c r="G194" s="41" t="s">
        <v>235</v>
      </c>
      <c r="H194" s="41" t="s">
        <v>633</v>
      </c>
      <c r="I194" s="41">
        <v>1</v>
      </c>
      <c r="J194" s="41">
        <v>1</v>
      </c>
      <c r="K194" s="25" t="str">
        <f>VLOOKUP(J194,Key!$E$2:$F$9,2,FALSE)</f>
        <v>Home</v>
      </c>
      <c r="L194" s="41" t="s">
        <v>171</v>
      </c>
      <c r="M194" s="42" t="s">
        <v>150</v>
      </c>
      <c r="N194" s="42" t="s">
        <v>633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4"/>
        <v>Home-Work</v>
      </c>
      <c r="S194" s="47">
        <v>300</v>
      </c>
      <c r="T194" s="47">
        <v>3</v>
      </c>
      <c r="U194" s="55">
        <v>1</v>
      </c>
      <c r="V194" s="55"/>
      <c r="W194" s="47"/>
      <c r="X194" s="47"/>
      <c r="Y194" s="48" t="s">
        <v>146</v>
      </c>
      <c r="Z194" s="56"/>
      <c r="AA194" s="25">
        <f>VLOOKUP(F194,'Zones (3)'!$A$2:$F$15913,6,FALSE)</f>
        <v>521</v>
      </c>
      <c r="AB194" s="25">
        <f>VLOOKUP(L194,'Zones (3)'!$A$2:$F$15913,6,FALSE)</f>
        <v>379</v>
      </c>
    </row>
    <row r="195" spans="2:28">
      <c r="B195" s="39">
        <v>0.36458333333333331</v>
      </c>
      <c r="C195" s="39" t="s">
        <v>236</v>
      </c>
      <c r="D195" s="40">
        <v>7</v>
      </c>
      <c r="E195" s="40">
        <v>1</v>
      </c>
      <c r="F195" s="41" t="s">
        <v>155</v>
      </c>
      <c r="G195" s="41" t="s">
        <v>148</v>
      </c>
      <c r="H195" s="41" t="s">
        <v>633</v>
      </c>
      <c r="I195" s="41">
        <v>1</v>
      </c>
      <c r="J195" s="41">
        <v>1</v>
      </c>
      <c r="K195" s="25" t="str">
        <f>VLOOKUP(J195,Key!$E$2:$F$9,2,FALSE)</f>
        <v>Home</v>
      </c>
      <c r="L195" s="41" t="s">
        <v>169</v>
      </c>
      <c r="M195" s="42" t="s">
        <v>150</v>
      </c>
      <c r="N195" s="42" t="s">
        <v>633</v>
      </c>
      <c r="O195" s="42">
        <v>16</v>
      </c>
      <c r="P195" s="42">
        <v>8</v>
      </c>
      <c r="Q195" s="25" t="str">
        <f>VLOOKUP(P195,Key!$E$2:$F$9,2,FALSE)</f>
        <v>Others</v>
      </c>
      <c r="R195" s="25" t="str">
        <f t="shared" si="4"/>
        <v>Home-Others</v>
      </c>
      <c r="S195" s="47">
        <v>6</v>
      </c>
      <c r="T195" s="47">
        <v>0.3</v>
      </c>
      <c r="U195" s="55">
        <v>2</v>
      </c>
      <c r="V195" s="55"/>
      <c r="W195" s="47"/>
      <c r="X195" s="47"/>
      <c r="Y195" s="48" t="s">
        <v>146</v>
      </c>
      <c r="Z195" s="56"/>
      <c r="AA195" s="25">
        <f>VLOOKUP(F195,'Zones (3)'!$A$2:$F$15913,6,FALSE)</f>
        <v>987</v>
      </c>
      <c r="AB195" s="25">
        <f>VLOOKUP(L195,'Zones (3)'!$A$2:$F$15913,6,FALSE)</f>
        <v>380</v>
      </c>
    </row>
    <row r="196" spans="2:28">
      <c r="B196" s="39">
        <v>0.37083333333333335</v>
      </c>
      <c r="C196" s="39" t="s">
        <v>237</v>
      </c>
      <c r="D196" s="40">
        <v>7</v>
      </c>
      <c r="E196" s="40">
        <v>2</v>
      </c>
      <c r="F196" s="41" t="s">
        <v>155</v>
      </c>
      <c r="G196" s="41" t="s">
        <v>148</v>
      </c>
      <c r="H196" s="41" t="s">
        <v>633</v>
      </c>
      <c r="I196" s="41">
        <v>3</v>
      </c>
      <c r="J196" s="41">
        <v>2</v>
      </c>
      <c r="K196" s="25" t="str">
        <f>VLOOKUP(J196,Key!$E$2:$F$9,2,FALSE)</f>
        <v>Work</v>
      </c>
      <c r="L196" s="41" t="s">
        <v>169</v>
      </c>
      <c r="M196" s="42" t="s">
        <v>150</v>
      </c>
      <c r="N196" s="42" t="s">
        <v>633</v>
      </c>
      <c r="O196" s="42">
        <v>9</v>
      </c>
      <c r="P196" s="42">
        <v>2</v>
      </c>
      <c r="Q196" s="25" t="str">
        <f>VLOOKUP(P196,Key!$E$2:$F$9,2,FALSE)</f>
        <v>Work</v>
      </c>
      <c r="R196" s="25" t="str">
        <f t="shared" si="4"/>
        <v>Work-Work</v>
      </c>
      <c r="S196" s="47">
        <v>15</v>
      </c>
      <c r="T196" s="47">
        <v>0.3</v>
      </c>
      <c r="U196" s="55">
        <v>1</v>
      </c>
      <c r="V196" s="55"/>
      <c r="W196" s="47"/>
      <c r="X196" s="47"/>
      <c r="Y196" s="48" t="s">
        <v>146</v>
      </c>
      <c r="Z196" s="56"/>
      <c r="AA196" s="25">
        <f>VLOOKUP(F196,'Zones (3)'!$A$2:$F$15913,6,FALSE)</f>
        <v>987</v>
      </c>
      <c r="AB196" s="25">
        <f>VLOOKUP(L196,'Zones (3)'!$A$2:$F$15913,6,FALSE)</f>
        <v>380</v>
      </c>
    </row>
    <row r="197" spans="2:28">
      <c r="B197" s="39">
        <v>0.37986111111111115</v>
      </c>
      <c r="C197" s="39" t="s">
        <v>238</v>
      </c>
      <c r="D197" s="40">
        <v>11</v>
      </c>
      <c r="E197" s="40">
        <v>1</v>
      </c>
      <c r="F197" s="41" t="s">
        <v>195</v>
      </c>
      <c r="G197" s="41" t="s">
        <v>148</v>
      </c>
      <c r="H197" s="41" t="s">
        <v>633</v>
      </c>
      <c r="I197" s="41">
        <v>5</v>
      </c>
      <c r="J197" s="41">
        <v>7</v>
      </c>
      <c r="K197" s="25" t="str">
        <f>VLOOKUP(J197,Key!$E$2:$F$9,2,FALSE)</f>
        <v>Hospital</v>
      </c>
      <c r="L197" s="41" t="s">
        <v>169</v>
      </c>
      <c r="M197" s="42" t="s">
        <v>150</v>
      </c>
      <c r="N197" s="42" t="s">
        <v>633</v>
      </c>
      <c r="O197" s="42">
        <v>1</v>
      </c>
      <c r="P197" s="42">
        <v>1</v>
      </c>
      <c r="Q197" s="25" t="str">
        <f>VLOOKUP(P197,Key!$E$2:$F$9,2,FALSE)</f>
        <v>Home</v>
      </c>
      <c r="R197" s="25" t="str">
        <f t="shared" si="4"/>
        <v>Hospital-Home</v>
      </c>
      <c r="S197" s="47">
        <v>3</v>
      </c>
      <c r="T197" s="47">
        <v>1</v>
      </c>
      <c r="U197" s="55">
        <v>1</v>
      </c>
      <c r="V197" s="55"/>
      <c r="W197" s="47"/>
      <c r="X197" s="47"/>
      <c r="Y197" s="48" t="s">
        <v>146</v>
      </c>
      <c r="Z197" s="56"/>
      <c r="AA197" s="25">
        <f>VLOOKUP(F197,'Zones (3)'!$A$2:$F$15913,6,FALSE)</f>
        <v>618</v>
      </c>
      <c r="AB197" s="25">
        <f>VLOOKUP(L197,'Zones (3)'!$A$2:$F$15913,6,FALSE)</f>
        <v>380</v>
      </c>
    </row>
    <row r="198" spans="2:28">
      <c r="B198" s="39">
        <v>0.38125000000000003</v>
      </c>
      <c r="C198" s="39" t="s">
        <v>239</v>
      </c>
      <c r="D198" s="40">
        <v>1</v>
      </c>
      <c r="E198" s="40">
        <v>1</v>
      </c>
      <c r="F198" s="41" t="s">
        <v>155</v>
      </c>
      <c r="G198" s="41" t="s">
        <v>148</v>
      </c>
      <c r="H198" s="41" t="s">
        <v>633</v>
      </c>
      <c r="I198" s="41">
        <v>2</v>
      </c>
      <c r="J198" s="41">
        <v>2</v>
      </c>
      <c r="K198" s="25" t="str">
        <f>VLOOKUP(J198,Key!$E$2:$F$9,2,FALSE)</f>
        <v>Work</v>
      </c>
      <c r="L198" s="41" t="s">
        <v>213</v>
      </c>
      <c r="M198" s="42" t="s">
        <v>150</v>
      </c>
      <c r="N198" s="42" t="s">
        <v>633</v>
      </c>
      <c r="O198" s="42">
        <v>1</v>
      </c>
      <c r="P198" s="42">
        <v>1</v>
      </c>
      <c r="Q198" s="25" t="str">
        <f>VLOOKUP(P198,Key!$E$2:$F$9,2,FALSE)</f>
        <v>Home</v>
      </c>
      <c r="R198" s="25" t="str">
        <f t="shared" si="4"/>
        <v>Work-Home</v>
      </c>
      <c r="S198" s="47">
        <v>3</v>
      </c>
      <c r="T198" s="47">
        <v>0.3</v>
      </c>
      <c r="U198" s="55">
        <v>1</v>
      </c>
      <c r="V198" s="55"/>
      <c r="W198" s="47"/>
      <c r="X198" s="47"/>
      <c r="Y198" s="48" t="s">
        <v>146</v>
      </c>
      <c r="Z198" s="56"/>
      <c r="AA198" s="25">
        <f>VLOOKUP(F198,'Zones (3)'!$A$2:$F$15913,6,FALSE)</f>
        <v>987</v>
      </c>
      <c r="AB198" s="25">
        <f>VLOOKUP(L198,'Zones (3)'!$A$2:$F$15913,6,FALSE)</f>
        <v>381</v>
      </c>
    </row>
    <row r="199" spans="2:28">
      <c r="B199" s="39">
        <v>0.38194444444444442</v>
      </c>
      <c r="C199" s="39" t="s">
        <v>240</v>
      </c>
      <c r="D199" s="40">
        <v>1</v>
      </c>
      <c r="E199" s="40">
        <v>1</v>
      </c>
      <c r="F199" s="41" t="s">
        <v>155</v>
      </c>
      <c r="G199" s="41" t="s">
        <v>148</v>
      </c>
      <c r="H199" s="41" t="s">
        <v>633</v>
      </c>
      <c r="I199" s="41">
        <v>1</v>
      </c>
      <c r="J199" s="41">
        <v>1</v>
      </c>
      <c r="K199" s="25" t="str">
        <f>VLOOKUP(J199,Key!$E$2:$F$9,2,FALSE)</f>
        <v>Home</v>
      </c>
      <c r="L199" s="41" t="s">
        <v>241</v>
      </c>
      <c r="M199" s="42" t="s">
        <v>150</v>
      </c>
      <c r="N199" s="42" t="s">
        <v>633</v>
      </c>
      <c r="O199" s="42">
        <v>4</v>
      </c>
      <c r="P199" s="42">
        <v>3</v>
      </c>
      <c r="Q199" s="25" t="str">
        <f>VLOOKUP(P199,Key!$E$2:$F$9,2,FALSE)</f>
        <v>Study</v>
      </c>
      <c r="R199" s="25" t="str">
        <f t="shared" si="4"/>
        <v>Home-Study</v>
      </c>
      <c r="S199" s="47">
        <v>20</v>
      </c>
      <c r="T199" s="47">
        <v>0.5</v>
      </c>
      <c r="U199" s="55">
        <v>2</v>
      </c>
      <c r="V199" s="55"/>
      <c r="W199" s="47"/>
      <c r="X199" s="47"/>
      <c r="Y199" s="48" t="s">
        <v>146</v>
      </c>
      <c r="Z199" s="56"/>
      <c r="AA199" s="25">
        <f>VLOOKUP(F199,'Zones (3)'!$A$2:$F$15913,6,FALSE)</f>
        <v>987</v>
      </c>
      <c r="AB199" s="25">
        <f>VLOOKUP(L199,'Zones (3)'!$A$2:$F$15913,6,FALSE)</f>
        <v>379</v>
      </c>
    </row>
    <row r="200" spans="2:28">
      <c r="B200" s="39">
        <v>0.39097222222222222</v>
      </c>
      <c r="C200" s="39" t="s">
        <v>242</v>
      </c>
      <c r="D200" s="40">
        <v>1</v>
      </c>
      <c r="E200" s="40">
        <v>3</v>
      </c>
      <c r="F200" s="41" t="s">
        <v>155</v>
      </c>
      <c r="G200" s="41" t="s">
        <v>148</v>
      </c>
      <c r="H200" s="41" t="s">
        <v>633</v>
      </c>
      <c r="I200" s="41">
        <v>1</v>
      </c>
      <c r="J200" s="41">
        <v>1</v>
      </c>
      <c r="K200" s="25" t="str">
        <f>VLOOKUP(J200,Key!$E$2:$F$9,2,FALSE)</f>
        <v>Home</v>
      </c>
      <c r="L200" s="41" t="s">
        <v>169</v>
      </c>
      <c r="M200" s="42" t="s">
        <v>150</v>
      </c>
      <c r="N200" s="42" t="s">
        <v>633</v>
      </c>
      <c r="O200" s="42">
        <v>9</v>
      </c>
      <c r="P200" s="42">
        <v>2</v>
      </c>
      <c r="Q200" s="25" t="str">
        <f>VLOOKUP(P200,Key!$E$2:$F$9,2,FALSE)</f>
        <v>Work</v>
      </c>
      <c r="R200" s="25" t="str">
        <f t="shared" si="4"/>
        <v>Home-Work</v>
      </c>
      <c r="S200" s="47">
        <v>7</v>
      </c>
      <c r="T200" s="47">
        <v>0.2</v>
      </c>
      <c r="U200" s="55">
        <v>2</v>
      </c>
      <c r="V200" s="55"/>
      <c r="W200" s="47"/>
      <c r="X200" s="47"/>
      <c r="Y200" s="48" t="s">
        <v>146</v>
      </c>
      <c r="Z200" s="56"/>
      <c r="AA200" s="25">
        <f>VLOOKUP(F200,'Zones (3)'!$A$2:$F$15913,6,FALSE)</f>
        <v>987</v>
      </c>
      <c r="AB200" s="25">
        <f>VLOOKUP(L200,'Zones (3)'!$A$2:$F$15913,6,FALSE)</f>
        <v>380</v>
      </c>
    </row>
    <row r="201" spans="2:28">
      <c r="B201" s="39">
        <v>0.39513888888888887</v>
      </c>
      <c r="C201" s="39" t="s">
        <v>243</v>
      </c>
      <c r="D201" s="40">
        <v>8</v>
      </c>
      <c r="E201" s="40">
        <v>2</v>
      </c>
      <c r="F201" s="41" t="s">
        <v>155</v>
      </c>
      <c r="G201" s="41" t="s">
        <v>148</v>
      </c>
      <c r="H201" s="41" t="s">
        <v>633</v>
      </c>
      <c r="I201" s="41">
        <v>3</v>
      </c>
      <c r="J201" s="41">
        <v>2</v>
      </c>
      <c r="K201" s="25" t="str">
        <f>VLOOKUP(J201,Key!$E$2:$F$9,2,FALSE)</f>
        <v>Work</v>
      </c>
      <c r="L201" s="41" t="s">
        <v>244</v>
      </c>
      <c r="M201" s="42" t="s">
        <v>150</v>
      </c>
      <c r="N201" s="42" t="s">
        <v>633</v>
      </c>
      <c r="O201" s="42">
        <v>11</v>
      </c>
      <c r="P201" s="42">
        <v>4</v>
      </c>
      <c r="Q201" s="25" t="str">
        <f>VLOOKUP(P201,Key!$E$2:$F$9,2,FALSE)</f>
        <v>Commercial</v>
      </c>
      <c r="R201" s="25" t="str">
        <f t="shared" si="4"/>
        <v>Work-Commercial</v>
      </c>
      <c r="S201" s="47">
        <v>4</v>
      </c>
      <c r="T201" s="47">
        <v>17</v>
      </c>
      <c r="U201" s="55">
        <v>3</v>
      </c>
      <c r="V201" s="55">
        <v>10</v>
      </c>
      <c r="W201" s="47">
        <v>6</v>
      </c>
      <c r="X201" s="47">
        <v>80000</v>
      </c>
      <c r="Y201" s="48" t="s">
        <v>146</v>
      </c>
      <c r="Z201" s="56"/>
      <c r="AA201" s="25">
        <f>VLOOKUP(F201,'Zones (3)'!$A$2:$F$15913,6,FALSE)</f>
        <v>987</v>
      </c>
      <c r="AB201" s="25">
        <f>VLOOKUP(L201,'Zones (3)'!$A$2:$F$15913,6,FALSE)</f>
        <v>376</v>
      </c>
    </row>
    <row r="202" spans="2:28">
      <c r="B202" s="39">
        <v>0.39930555555555558</v>
      </c>
      <c r="C202" s="39" t="s">
        <v>245</v>
      </c>
      <c r="D202" s="40">
        <v>7</v>
      </c>
      <c r="E202" s="40">
        <v>1</v>
      </c>
      <c r="F202" s="41" t="s">
        <v>155</v>
      </c>
      <c r="G202" s="41" t="s">
        <v>148</v>
      </c>
      <c r="H202" s="41" t="s">
        <v>633</v>
      </c>
      <c r="I202" s="41">
        <v>3</v>
      </c>
      <c r="J202" s="41">
        <v>2</v>
      </c>
      <c r="K202" s="25" t="str">
        <f>VLOOKUP(J202,Key!$E$2:$F$9,2,FALSE)</f>
        <v>Work</v>
      </c>
      <c r="L202" s="41" t="s">
        <v>246</v>
      </c>
      <c r="M202" s="42" t="s">
        <v>3217</v>
      </c>
      <c r="N202" s="42" t="s">
        <v>633</v>
      </c>
      <c r="O202" s="42">
        <v>3</v>
      </c>
      <c r="P202" s="42">
        <v>4</v>
      </c>
      <c r="Q202" s="25" t="str">
        <f>VLOOKUP(P202,Key!$E$2:$F$9,2,FALSE)</f>
        <v>Commercial</v>
      </c>
      <c r="R202" s="25" t="str">
        <f t="shared" si="4"/>
        <v>Work-Commercial</v>
      </c>
      <c r="S202" s="47">
        <v>4</v>
      </c>
      <c r="T202" s="47">
        <v>0.2</v>
      </c>
      <c r="U202" s="55">
        <v>1</v>
      </c>
      <c r="V202" s="55">
        <v>4</v>
      </c>
      <c r="W202" s="47">
        <v>0.5</v>
      </c>
      <c r="X202" s="47">
        <v>100000</v>
      </c>
      <c r="Y202" s="48" t="s">
        <v>146</v>
      </c>
      <c r="Z202" s="56"/>
      <c r="AA202" s="25">
        <f>VLOOKUP(F202,'Zones (3)'!$A$2:$F$15913,6,FALSE)</f>
        <v>987</v>
      </c>
      <c r="AB202" s="25">
        <f>VLOOKUP(L202,'Zones (3)'!$A$2:$F$15913,6,FALSE)</f>
        <v>608</v>
      </c>
    </row>
    <row r="203" spans="2:28">
      <c r="B203" s="39">
        <v>0.40208333333333335</v>
      </c>
      <c r="C203" s="39" t="s">
        <v>247</v>
      </c>
      <c r="D203" s="40">
        <v>2</v>
      </c>
      <c r="E203" s="40">
        <v>2</v>
      </c>
      <c r="F203" s="41" t="s">
        <v>155</v>
      </c>
      <c r="G203" s="41" t="s">
        <v>150</v>
      </c>
      <c r="H203" s="41" t="s">
        <v>633</v>
      </c>
      <c r="I203" s="41">
        <v>4</v>
      </c>
      <c r="J203" s="41">
        <v>3</v>
      </c>
      <c r="K203" s="25" t="str">
        <f>VLOOKUP(J203,Key!$E$2:$F$9,2,FALSE)</f>
        <v>Study</v>
      </c>
      <c r="L203" s="41" t="s">
        <v>150</v>
      </c>
      <c r="M203" s="42" t="s">
        <v>150</v>
      </c>
      <c r="N203" s="42" t="s">
        <v>633</v>
      </c>
      <c r="O203" s="42">
        <v>4</v>
      </c>
      <c r="P203" s="42">
        <v>3</v>
      </c>
      <c r="Q203" s="25" t="str">
        <f>VLOOKUP(P203,Key!$E$2:$F$9,2,FALSE)</f>
        <v>Study</v>
      </c>
      <c r="R203" s="25" t="str">
        <f t="shared" si="4"/>
        <v>Study-Study</v>
      </c>
      <c r="S203" s="47">
        <v>4</v>
      </c>
      <c r="T203" s="47">
        <v>1</v>
      </c>
      <c r="U203" s="55">
        <v>4</v>
      </c>
      <c r="V203" s="55"/>
      <c r="W203" s="47"/>
      <c r="X203" s="47"/>
      <c r="Y203" s="48" t="s">
        <v>146</v>
      </c>
      <c r="Z203" s="56"/>
      <c r="AA203" s="25">
        <f>VLOOKUP(F203,'Zones (3)'!$A$2:$F$15913,6,FALSE)</f>
        <v>987</v>
      </c>
      <c r="AB203" s="25">
        <f>VLOOKUP(L203,'Zones (3)'!$A$2:$F$15913,6,FALSE)</f>
        <v>379</v>
      </c>
    </row>
    <row r="204" spans="2:28">
      <c r="B204" s="39">
        <v>0.41666666666666669</v>
      </c>
      <c r="C204" s="39" t="s">
        <v>249</v>
      </c>
      <c r="D204" s="40">
        <v>11</v>
      </c>
      <c r="E204" s="40">
        <v>1</v>
      </c>
      <c r="F204" s="41" t="s">
        <v>155</v>
      </c>
      <c r="G204" s="41" t="s">
        <v>148</v>
      </c>
      <c r="H204" s="41" t="s">
        <v>633</v>
      </c>
      <c r="I204" s="41">
        <v>8</v>
      </c>
      <c r="J204" s="41">
        <v>2</v>
      </c>
      <c r="K204" s="25" t="str">
        <f>VLOOKUP(J204,Key!$E$2:$F$9,2,FALSE)</f>
        <v>Work</v>
      </c>
      <c r="L204" s="41" t="s">
        <v>250</v>
      </c>
      <c r="M204" s="42" t="s">
        <v>150</v>
      </c>
      <c r="N204" s="42" t="s">
        <v>633</v>
      </c>
      <c r="O204" s="42">
        <v>8</v>
      </c>
      <c r="P204" s="42">
        <v>2</v>
      </c>
      <c r="Q204" s="25" t="str">
        <f>VLOOKUP(P204,Key!$E$2:$F$9,2,FALSE)</f>
        <v>Work</v>
      </c>
      <c r="R204" s="25" t="str">
        <f t="shared" si="4"/>
        <v>Work-Work</v>
      </c>
      <c r="S204" s="47">
        <v>2</v>
      </c>
      <c r="T204" s="47">
        <v>0.3</v>
      </c>
      <c r="U204" s="55">
        <v>2</v>
      </c>
      <c r="V204" s="55"/>
      <c r="W204" s="47"/>
      <c r="X204" s="47"/>
      <c r="Y204" s="48" t="s">
        <v>146</v>
      </c>
      <c r="Z204" s="56"/>
      <c r="AA204" s="25">
        <f>VLOOKUP(F204,'Zones (3)'!$A$2:$F$15913,6,FALSE)</f>
        <v>987</v>
      </c>
      <c r="AB204" s="25">
        <f>VLOOKUP(L204,'Zones (3)'!$A$2:$F$15913,6,FALSE)</f>
        <v>376</v>
      </c>
    </row>
    <row r="205" spans="2:28">
      <c r="B205" s="39">
        <v>0.44097222222222227</v>
      </c>
      <c r="C205" s="39" t="s">
        <v>251</v>
      </c>
      <c r="D205" s="40">
        <v>7</v>
      </c>
      <c r="E205" s="40">
        <v>3</v>
      </c>
      <c r="F205" s="41" t="s">
        <v>155</v>
      </c>
      <c r="G205" s="41" t="s">
        <v>148</v>
      </c>
      <c r="H205" s="41" t="s">
        <v>633</v>
      </c>
      <c r="I205" s="41">
        <v>7</v>
      </c>
      <c r="J205" s="41">
        <v>2</v>
      </c>
      <c r="K205" s="25" t="str">
        <f>VLOOKUP(J205,Key!$E$2:$F$9,2,FALSE)</f>
        <v>Work</v>
      </c>
      <c r="L205" s="41" t="s">
        <v>213</v>
      </c>
      <c r="M205" s="42" t="s">
        <v>150</v>
      </c>
      <c r="N205" s="42" t="s">
        <v>633</v>
      </c>
      <c r="O205" s="42">
        <v>3</v>
      </c>
      <c r="P205" s="42">
        <v>2</v>
      </c>
      <c r="Q205" s="25" t="str">
        <f>VLOOKUP(P205,Key!$E$2:$F$9,2,FALSE)</f>
        <v>Work</v>
      </c>
      <c r="R205" s="25" t="str">
        <f t="shared" si="4"/>
        <v>Work-Work</v>
      </c>
      <c r="S205" s="47">
        <v>20</v>
      </c>
      <c r="T205" s="47">
        <v>1</v>
      </c>
      <c r="U205" s="55">
        <v>4</v>
      </c>
      <c r="V205" s="55"/>
      <c r="W205" s="47"/>
      <c r="X205" s="47"/>
      <c r="Y205" s="48" t="s">
        <v>146</v>
      </c>
      <c r="Z205" s="56"/>
      <c r="AA205" s="25">
        <f>VLOOKUP(F205,'Zones (3)'!$A$2:$F$15913,6,FALSE)</f>
        <v>987</v>
      </c>
      <c r="AB205" s="25">
        <f>VLOOKUP(L205,'Zones (3)'!$A$2:$F$15913,6,FALSE)</f>
        <v>381</v>
      </c>
    </row>
    <row r="206" spans="2:28">
      <c r="B206" s="39">
        <v>0.45069444444444445</v>
      </c>
      <c r="C206" s="39" t="s">
        <v>252</v>
      </c>
      <c r="D206" s="40">
        <v>1</v>
      </c>
      <c r="E206" s="40">
        <v>1</v>
      </c>
      <c r="F206" s="41" t="s">
        <v>195</v>
      </c>
      <c r="G206" s="41" t="s">
        <v>148</v>
      </c>
      <c r="H206" s="41" t="s">
        <v>633</v>
      </c>
      <c r="I206" s="41">
        <v>1</v>
      </c>
      <c r="J206" s="41">
        <v>1</v>
      </c>
      <c r="K206" s="25" t="str">
        <f>VLOOKUP(J206,Key!$E$2:$F$9,2,FALSE)</f>
        <v>Home</v>
      </c>
      <c r="L206" s="41" t="s">
        <v>201</v>
      </c>
      <c r="M206" s="42" t="s">
        <v>150</v>
      </c>
      <c r="N206" s="42" t="s">
        <v>633</v>
      </c>
      <c r="O206" s="42">
        <v>9</v>
      </c>
      <c r="P206" s="42">
        <v>4</v>
      </c>
      <c r="Q206" s="25" t="str">
        <f>VLOOKUP(P206,Key!$E$2:$F$9,2,FALSE)</f>
        <v>Commercial</v>
      </c>
      <c r="R206" s="25" t="str">
        <f t="shared" si="4"/>
        <v>Home-Commercial</v>
      </c>
      <c r="S206" s="47">
        <v>16</v>
      </c>
      <c r="T206" s="47">
        <v>0.3</v>
      </c>
      <c r="U206" s="55">
        <v>3</v>
      </c>
      <c r="V206" s="55"/>
      <c r="W206" s="47"/>
      <c r="X206" s="47"/>
      <c r="Y206" s="48" t="s">
        <v>146</v>
      </c>
      <c r="Z206" s="56"/>
      <c r="AA206" s="25">
        <f>VLOOKUP(F206,'Zones (3)'!$A$2:$F$15913,6,FALSE)</f>
        <v>618</v>
      </c>
      <c r="AB206" s="25">
        <f>VLOOKUP(L206,'Zones (3)'!$A$2:$F$15913,6,FALSE)</f>
        <v>386</v>
      </c>
    </row>
    <row r="207" spans="2:28">
      <c r="B207" s="39">
        <v>0.45833333333333331</v>
      </c>
      <c r="C207" s="39" t="s">
        <v>253</v>
      </c>
      <c r="D207" s="40">
        <v>1</v>
      </c>
      <c r="E207" s="40">
        <v>3</v>
      </c>
      <c r="F207" s="41" t="s">
        <v>155</v>
      </c>
      <c r="G207" s="41" t="s">
        <v>148</v>
      </c>
      <c r="H207" s="41" t="s">
        <v>633</v>
      </c>
      <c r="I207" s="41">
        <v>2</v>
      </c>
      <c r="J207" s="41">
        <v>2</v>
      </c>
      <c r="K207" s="25" t="str">
        <f>VLOOKUP(J207,Key!$E$2:$F$9,2,FALSE)</f>
        <v>Work</v>
      </c>
      <c r="L207" s="41" t="s">
        <v>162</v>
      </c>
      <c r="M207" s="42" t="s">
        <v>150</v>
      </c>
      <c r="N207" s="42" t="s">
        <v>633</v>
      </c>
      <c r="O207" s="42">
        <v>1</v>
      </c>
      <c r="P207" s="42">
        <v>1</v>
      </c>
      <c r="Q207" s="25" t="str">
        <f>VLOOKUP(P207,Key!$E$2:$F$9,2,FALSE)</f>
        <v>Home</v>
      </c>
      <c r="R207" s="25" t="str">
        <f t="shared" si="4"/>
        <v>Work-Home</v>
      </c>
      <c r="S207" s="47">
        <v>40</v>
      </c>
      <c r="T207" s="47">
        <v>2</v>
      </c>
      <c r="U207" s="55">
        <v>1</v>
      </c>
      <c r="V207" s="55"/>
      <c r="W207" s="47"/>
      <c r="X207" s="47"/>
      <c r="Y207" s="48" t="s">
        <v>146</v>
      </c>
      <c r="Z207" s="56"/>
      <c r="AA207" s="25">
        <f>VLOOKUP(F207,'Zones (3)'!$A$2:$F$15913,6,FALSE)</f>
        <v>987</v>
      </c>
      <c r="AB207" s="25">
        <f>VLOOKUP(L207,'Zones (3)'!$A$2:$F$15913,6,FALSE)</f>
        <v>388</v>
      </c>
    </row>
    <row r="208" spans="2:28">
      <c r="B208" s="39">
        <v>0.46388888888888885</v>
      </c>
      <c r="C208" s="39" t="s">
        <v>254</v>
      </c>
      <c r="D208" s="40">
        <v>7</v>
      </c>
      <c r="E208" s="40">
        <v>4</v>
      </c>
      <c r="F208" s="41" t="s">
        <v>155</v>
      </c>
      <c r="G208" s="41" t="s">
        <v>148</v>
      </c>
      <c r="H208" s="41" t="s">
        <v>633</v>
      </c>
      <c r="I208" s="41">
        <v>10</v>
      </c>
      <c r="J208" s="41">
        <v>2</v>
      </c>
      <c r="K208" s="25" t="str">
        <f>VLOOKUP(J208,Key!$E$2:$F$9,2,FALSE)</f>
        <v>Work</v>
      </c>
      <c r="L208" s="41" t="s">
        <v>169</v>
      </c>
      <c r="M208" s="42" t="s">
        <v>150</v>
      </c>
      <c r="N208" s="42" t="s">
        <v>633</v>
      </c>
      <c r="O208" s="42">
        <v>3</v>
      </c>
      <c r="P208" s="42">
        <v>2</v>
      </c>
      <c r="Q208" s="25" t="str">
        <f>VLOOKUP(P208,Key!$E$2:$F$9,2,FALSE)</f>
        <v>Work</v>
      </c>
      <c r="R208" s="25" t="str">
        <f t="shared" si="4"/>
        <v>Work-Work</v>
      </c>
      <c r="S208" s="47">
        <v>9</v>
      </c>
      <c r="T208" s="47">
        <v>1</v>
      </c>
      <c r="U208" s="55">
        <v>1</v>
      </c>
      <c r="V208" s="55">
        <v>11</v>
      </c>
      <c r="W208" s="47"/>
      <c r="X208" s="47"/>
      <c r="Y208" s="48" t="s">
        <v>146</v>
      </c>
      <c r="Z208" s="56"/>
      <c r="AA208" s="25">
        <f>VLOOKUP(F208,'Zones (3)'!$A$2:$F$15913,6,FALSE)</f>
        <v>987</v>
      </c>
      <c r="AB208" s="25">
        <f>VLOOKUP(L208,'Zones (3)'!$A$2:$F$15913,6,FALSE)</f>
        <v>380</v>
      </c>
    </row>
    <row r="209" spans="2:28">
      <c r="B209" s="39">
        <v>0.4694444444444445</v>
      </c>
      <c r="C209" s="39" t="s">
        <v>255</v>
      </c>
      <c r="D209" s="40">
        <v>8</v>
      </c>
      <c r="E209" s="40">
        <v>2</v>
      </c>
      <c r="F209" s="41" t="s">
        <v>155</v>
      </c>
      <c r="G209" s="41" t="s">
        <v>148</v>
      </c>
      <c r="H209" s="41" t="s">
        <v>633</v>
      </c>
      <c r="I209" s="41">
        <v>3</v>
      </c>
      <c r="J209" s="41">
        <v>2</v>
      </c>
      <c r="K209" s="25" t="str">
        <f>VLOOKUP(J209,Key!$E$2:$F$9,2,FALSE)</f>
        <v>Work</v>
      </c>
      <c r="L209" s="41" t="s">
        <v>256</v>
      </c>
      <c r="M209" s="42" t="s">
        <v>150</v>
      </c>
      <c r="N209" s="42" t="s">
        <v>633</v>
      </c>
      <c r="O209" s="42">
        <v>11</v>
      </c>
      <c r="P209" s="42">
        <v>2</v>
      </c>
      <c r="Q209" s="25" t="str">
        <f>VLOOKUP(P209,Key!$E$2:$F$9,2,FALSE)</f>
        <v>Work</v>
      </c>
      <c r="R209" s="25" t="str">
        <f t="shared" si="4"/>
        <v>Work-Work</v>
      </c>
      <c r="S209" s="47">
        <v>40</v>
      </c>
      <c r="T209" s="47">
        <v>0.3</v>
      </c>
      <c r="U209" s="55">
        <v>1</v>
      </c>
      <c r="V209" s="55">
        <v>10</v>
      </c>
      <c r="W209" s="47">
        <v>3</v>
      </c>
      <c r="X209" s="47">
        <v>4500000</v>
      </c>
      <c r="Y209" s="48" t="s">
        <v>146</v>
      </c>
      <c r="Z209" s="56"/>
      <c r="AA209" s="25">
        <f>VLOOKUP(F209,'Zones (3)'!$A$2:$F$15913,6,FALSE)</f>
        <v>987</v>
      </c>
      <c r="AB209" s="25">
        <f>VLOOKUP(L209,'Zones (3)'!$A$2:$F$15913,6,FALSE)</f>
        <v>390</v>
      </c>
    </row>
    <row r="210" spans="2:28">
      <c r="B210" s="39">
        <v>0.47500000000000003</v>
      </c>
      <c r="C210" s="39" t="s">
        <v>257</v>
      </c>
      <c r="D210" s="40">
        <v>8</v>
      </c>
      <c r="E210" s="40">
        <v>2</v>
      </c>
      <c r="F210" s="41" t="s">
        <v>155</v>
      </c>
      <c r="G210" s="41" t="s">
        <v>148</v>
      </c>
      <c r="H210" s="41" t="s">
        <v>633</v>
      </c>
      <c r="I210" s="41">
        <v>3</v>
      </c>
      <c r="J210" s="41">
        <v>2</v>
      </c>
      <c r="K210" s="25" t="str">
        <f>VLOOKUP(J210,Key!$E$2:$F$9,2,FALSE)</f>
        <v>Work</v>
      </c>
      <c r="L210" s="41" t="s">
        <v>258</v>
      </c>
      <c r="M210" s="42" t="s">
        <v>150</v>
      </c>
      <c r="N210" s="42" t="s">
        <v>633</v>
      </c>
      <c r="O210" s="42">
        <v>11</v>
      </c>
      <c r="P210" s="42">
        <v>4</v>
      </c>
      <c r="Q210" s="25" t="str">
        <f>VLOOKUP(P210,Key!$E$2:$F$9,2,FALSE)</f>
        <v>Commercial</v>
      </c>
      <c r="R210" s="25" t="str">
        <f t="shared" si="4"/>
        <v>Work-Commercial</v>
      </c>
      <c r="S210" s="47">
        <v>120</v>
      </c>
      <c r="T210" s="47">
        <v>6</v>
      </c>
      <c r="U210" s="55">
        <v>4</v>
      </c>
      <c r="V210" s="55">
        <v>10</v>
      </c>
      <c r="W210" s="47">
        <v>3.5</v>
      </c>
      <c r="X210" s="47">
        <v>2500000</v>
      </c>
      <c r="Y210" s="48" t="s">
        <v>146</v>
      </c>
      <c r="Z210" s="56"/>
      <c r="AA210" s="25">
        <f>VLOOKUP(F210,'Zones (3)'!$A$2:$F$15913,6,FALSE)</f>
        <v>987</v>
      </c>
      <c r="AB210" s="25">
        <f>VLOOKUP(L210,'Zones (3)'!$A$2:$F$15913,6,FALSE)</f>
        <v>1182</v>
      </c>
    </row>
    <row r="211" spans="2:28">
      <c r="B211" s="39">
        <v>0.47916666666666669</v>
      </c>
      <c r="C211" s="39" t="s">
        <v>259</v>
      </c>
      <c r="D211" s="40">
        <v>7</v>
      </c>
      <c r="E211" s="40">
        <v>2</v>
      </c>
      <c r="F211" s="41" t="s">
        <v>260</v>
      </c>
      <c r="G211" s="41" t="s">
        <v>150</v>
      </c>
      <c r="H211" s="41" t="s">
        <v>633</v>
      </c>
      <c r="I211" s="41">
        <v>3</v>
      </c>
      <c r="J211" s="41">
        <v>2</v>
      </c>
      <c r="K211" s="25" t="str">
        <f>VLOOKUP(J211,Key!$E$2:$F$9,2,FALSE)</f>
        <v>Work</v>
      </c>
      <c r="L211" s="41" t="s">
        <v>169</v>
      </c>
      <c r="M211" s="42" t="s">
        <v>150</v>
      </c>
      <c r="N211" s="42" t="s">
        <v>633</v>
      </c>
      <c r="O211" s="42">
        <v>3</v>
      </c>
      <c r="P211" s="42">
        <v>2</v>
      </c>
      <c r="Q211" s="25" t="str">
        <f>VLOOKUP(P211,Key!$E$2:$F$9,2,FALSE)</f>
        <v>Work</v>
      </c>
      <c r="R211" s="25" t="str">
        <f t="shared" si="4"/>
        <v>Work-Work</v>
      </c>
      <c r="S211" s="47">
        <v>3</v>
      </c>
      <c r="T211" s="47">
        <v>0.2</v>
      </c>
      <c r="U211" s="55">
        <v>2</v>
      </c>
      <c r="V211" s="55"/>
      <c r="W211" s="47"/>
      <c r="X211" s="47"/>
      <c r="Y211" s="48" t="s">
        <v>146</v>
      </c>
      <c r="Z211" s="56"/>
      <c r="AA211" s="25">
        <f>VLOOKUP(F211,'Zones (3)'!$A$2:$F$15913,6,FALSE)</f>
        <v>1175</v>
      </c>
      <c r="AB211" s="25">
        <f>VLOOKUP(L211,'Zones (3)'!$A$2:$F$15913,6,FALSE)</f>
        <v>380</v>
      </c>
    </row>
    <row r="212" spans="2:28">
      <c r="B212" s="39">
        <v>0.48194444444444445</v>
      </c>
      <c r="C212" s="39" t="s">
        <v>261</v>
      </c>
      <c r="D212" s="40">
        <v>1</v>
      </c>
      <c r="E212" s="40">
        <v>2</v>
      </c>
      <c r="F212" s="41" t="s">
        <v>155</v>
      </c>
      <c r="G212" s="41" t="s">
        <v>148</v>
      </c>
      <c r="H212" s="41" t="s">
        <v>633</v>
      </c>
      <c r="I212" s="41">
        <v>2</v>
      </c>
      <c r="J212" s="41">
        <v>2</v>
      </c>
      <c r="K212" s="25" t="str">
        <f>VLOOKUP(J212,Key!$E$2:$F$9,2,FALSE)</f>
        <v>Work</v>
      </c>
      <c r="L212" s="41" t="s">
        <v>262</v>
      </c>
      <c r="M212" s="42" t="s">
        <v>150</v>
      </c>
      <c r="N212" s="42" t="s">
        <v>633</v>
      </c>
      <c r="O212" s="42">
        <v>9</v>
      </c>
      <c r="P212" s="42">
        <v>4</v>
      </c>
      <c r="Q212" s="25" t="str">
        <f>VLOOKUP(P212,Key!$E$2:$F$9,2,FALSE)</f>
        <v>Commercial</v>
      </c>
      <c r="R212" s="25" t="str">
        <f t="shared" si="4"/>
        <v>Work-Commercial</v>
      </c>
      <c r="S212" s="47">
        <v>20</v>
      </c>
      <c r="T212" s="47">
        <v>0.5</v>
      </c>
      <c r="U212" s="55">
        <v>3</v>
      </c>
      <c r="V212" s="55"/>
      <c r="W212" s="47"/>
      <c r="X212" s="47"/>
      <c r="Y212" s="48" t="s">
        <v>146</v>
      </c>
      <c r="Z212" s="56"/>
      <c r="AA212" s="25">
        <f>VLOOKUP(F212,'Zones (3)'!$A$2:$F$15913,6,FALSE)</f>
        <v>987</v>
      </c>
      <c r="AB212" s="25">
        <f>VLOOKUP(L212,'Zones (3)'!$A$2:$F$15913,6,FALSE)</f>
        <v>850</v>
      </c>
    </row>
    <row r="213" spans="2:28">
      <c r="B213" s="39">
        <v>0.48472222222222222</v>
      </c>
      <c r="C213" s="39" t="s">
        <v>263</v>
      </c>
      <c r="D213" s="40">
        <v>11</v>
      </c>
      <c r="E213" s="40">
        <v>1</v>
      </c>
      <c r="F213" s="41" t="s">
        <v>264</v>
      </c>
      <c r="G213" s="41" t="s">
        <v>148</v>
      </c>
      <c r="H213" s="41" t="s">
        <v>633</v>
      </c>
      <c r="I213" s="41">
        <v>2</v>
      </c>
      <c r="J213" s="41">
        <v>2</v>
      </c>
      <c r="K213" s="25" t="str">
        <f>VLOOKUP(J213,Key!$E$2:$F$9,2,FALSE)</f>
        <v>Work</v>
      </c>
      <c r="L213" s="41" t="s">
        <v>169</v>
      </c>
      <c r="M213" s="42" t="s">
        <v>150</v>
      </c>
      <c r="N213" s="42" t="s">
        <v>633</v>
      </c>
      <c r="O213" s="42">
        <v>2</v>
      </c>
      <c r="P213" s="42">
        <v>2</v>
      </c>
      <c r="Q213" s="25" t="str">
        <f>VLOOKUP(P213,Key!$E$2:$F$9,2,FALSE)</f>
        <v>Work</v>
      </c>
      <c r="R213" s="25" t="str">
        <f t="shared" si="4"/>
        <v>Work-Work</v>
      </c>
      <c r="S213" s="47">
        <v>10</v>
      </c>
      <c r="T213" s="47">
        <v>0.4</v>
      </c>
      <c r="U213" s="55">
        <v>3</v>
      </c>
      <c r="V213" s="55"/>
      <c r="W213" s="47"/>
      <c r="X213" s="47"/>
      <c r="Y213" s="48" t="s">
        <v>146</v>
      </c>
      <c r="Z213" s="56"/>
      <c r="AA213" s="25">
        <f>VLOOKUP(F213,'Zones (3)'!$A$2:$F$15913,6,FALSE)</f>
        <v>987</v>
      </c>
      <c r="AB213" s="25">
        <f>VLOOKUP(L213,'Zones (3)'!$A$2:$F$15913,6,FALSE)</f>
        <v>380</v>
      </c>
    </row>
    <row r="214" spans="2:28">
      <c r="B214" s="39">
        <v>0.48819444444444443</v>
      </c>
      <c r="C214" s="39" t="s">
        <v>265</v>
      </c>
      <c r="D214" s="40">
        <v>5</v>
      </c>
      <c r="E214" s="40">
        <v>6</v>
      </c>
      <c r="F214" s="41" t="s">
        <v>155</v>
      </c>
      <c r="G214" s="41" t="s">
        <v>148</v>
      </c>
      <c r="H214" s="41" t="s">
        <v>633</v>
      </c>
      <c r="I214" s="41">
        <v>6</v>
      </c>
      <c r="J214" s="41">
        <v>2</v>
      </c>
      <c r="K214" s="25" t="str">
        <f>VLOOKUP(J214,Key!$E$2:$F$9,2,FALSE)</f>
        <v>Work</v>
      </c>
      <c r="L214" s="41" t="s">
        <v>171</v>
      </c>
      <c r="M214" s="42" t="s">
        <v>150</v>
      </c>
      <c r="N214" s="42" t="s">
        <v>633</v>
      </c>
      <c r="O214" s="42">
        <v>4</v>
      </c>
      <c r="P214" s="42">
        <v>3</v>
      </c>
      <c r="Q214" s="25" t="str">
        <f>VLOOKUP(P214,Key!$E$2:$F$9,2,FALSE)</f>
        <v>Study</v>
      </c>
      <c r="R214" s="25" t="str">
        <f t="shared" si="4"/>
        <v>Work-Study</v>
      </c>
      <c r="S214" s="47">
        <v>20</v>
      </c>
      <c r="T214" s="47">
        <v>0.7</v>
      </c>
      <c r="U214" s="55">
        <v>3</v>
      </c>
      <c r="V214" s="55"/>
      <c r="W214" s="47"/>
      <c r="X214" s="47"/>
      <c r="Y214" s="48" t="s">
        <v>146</v>
      </c>
      <c r="Z214" s="56"/>
      <c r="AA214" s="25">
        <f>VLOOKUP(F214,'Zones (3)'!$A$2:$F$15913,6,FALSE)</f>
        <v>987</v>
      </c>
      <c r="AB214" s="25">
        <f>VLOOKUP(L214,'Zones (3)'!$A$2:$F$15913,6,FALSE)</f>
        <v>379</v>
      </c>
    </row>
    <row r="215" spans="2:28">
      <c r="B215" s="39">
        <v>0.49236111111111108</v>
      </c>
      <c r="C215" s="39" t="s">
        <v>266</v>
      </c>
      <c r="D215" s="40">
        <v>11</v>
      </c>
      <c r="E215" s="40">
        <v>1</v>
      </c>
      <c r="F215" s="41" t="s">
        <v>195</v>
      </c>
      <c r="G215" s="41" t="s">
        <v>148</v>
      </c>
      <c r="H215" s="41" t="s">
        <v>633</v>
      </c>
      <c r="I215" s="41">
        <v>8</v>
      </c>
      <c r="J215" s="41">
        <v>2</v>
      </c>
      <c r="K215" s="25" t="str">
        <f>VLOOKUP(J215,Key!$E$2:$F$9,2,FALSE)</f>
        <v>Work</v>
      </c>
      <c r="L215" s="41" t="s">
        <v>267</v>
      </c>
      <c r="M215" s="42" t="s">
        <v>3217</v>
      </c>
      <c r="N215" s="42" t="s">
        <v>633</v>
      </c>
      <c r="O215" s="42">
        <v>1</v>
      </c>
      <c r="P215" s="42">
        <v>1</v>
      </c>
      <c r="Q215" s="25" t="str">
        <f>VLOOKUP(P215,Key!$E$2:$F$9,2,FALSE)</f>
        <v>Home</v>
      </c>
      <c r="R215" s="25" t="str">
        <f t="shared" si="4"/>
        <v>Work-Home</v>
      </c>
      <c r="S215" s="47">
        <v>5</v>
      </c>
      <c r="T215" s="47">
        <v>0.1</v>
      </c>
      <c r="U215" s="55">
        <v>3</v>
      </c>
      <c r="V215" s="55"/>
      <c r="W215" s="47"/>
      <c r="X215" s="47"/>
      <c r="Y215" s="48" t="s">
        <v>146</v>
      </c>
      <c r="Z215" s="56"/>
      <c r="AA215" s="25">
        <f>VLOOKUP(F215,'Zones (3)'!$A$2:$F$15913,6,FALSE)</f>
        <v>618</v>
      </c>
      <c r="AB215" s="25">
        <f>VLOOKUP(L215,'Zones (3)'!$A$2:$F$15913,6,FALSE)</f>
        <v>608</v>
      </c>
    </row>
    <row r="216" spans="2:28">
      <c r="B216" s="39">
        <v>0.49513888888888885</v>
      </c>
      <c r="C216" s="39" t="s">
        <v>268</v>
      </c>
      <c r="D216" s="40">
        <v>7</v>
      </c>
      <c r="E216" s="40">
        <v>3</v>
      </c>
      <c r="F216" s="41" t="s">
        <v>155</v>
      </c>
      <c r="G216" s="41" t="s">
        <v>148</v>
      </c>
      <c r="H216" s="41" t="s">
        <v>633</v>
      </c>
      <c r="I216" s="41">
        <v>3</v>
      </c>
      <c r="J216" s="41">
        <v>2</v>
      </c>
      <c r="K216" s="25" t="str">
        <f>VLOOKUP(J216,Key!$E$2:$F$9,2,FALSE)</f>
        <v>Work</v>
      </c>
      <c r="L216" s="41" t="s">
        <v>258</v>
      </c>
      <c r="M216" s="42" t="s">
        <v>150</v>
      </c>
      <c r="N216" s="42" t="s">
        <v>633</v>
      </c>
      <c r="O216" s="42">
        <v>11</v>
      </c>
      <c r="P216" s="42">
        <v>2</v>
      </c>
      <c r="Q216" s="25" t="str">
        <f>VLOOKUP(P216,Key!$E$2:$F$9,2,FALSE)</f>
        <v>Work</v>
      </c>
      <c r="R216" s="25" t="str">
        <f t="shared" ref="R216:R270" si="5">K216&amp;"-"&amp;Q216</f>
        <v>Work-Work</v>
      </c>
      <c r="S216" s="47">
        <v>120</v>
      </c>
      <c r="T216" s="47">
        <v>4</v>
      </c>
      <c r="U216" s="55">
        <v>1</v>
      </c>
      <c r="V216" s="55">
        <v>10</v>
      </c>
      <c r="W216" s="47">
        <v>1.5</v>
      </c>
      <c r="X216" s="47">
        <v>3000000</v>
      </c>
      <c r="Y216" s="48" t="s">
        <v>146</v>
      </c>
      <c r="Z216" s="56"/>
      <c r="AA216" s="25">
        <f>VLOOKUP(F216,'Zones (3)'!$A$2:$F$15913,6,FALSE)</f>
        <v>987</v>
      </c>
      <c r="AB216" s="25">
        <f>VLOOKUP(L216,'Zones (3)'!$A$2:$F$15913,6,FALSE)</f>
        <v>1182</v>
      </c>
    </row>
    <row r="217" spans="2:28">
      <c r="B217" s="39">
        <v>0.50694444444444442</v>
      </c>
      <c r="C217" s="39" t="s">
        <v>269</v>
      </c>
      <c r="D217" s="40">
        <v>11</v>
      </c>
      <c r="E217" s="40">
        <v>1</v>
      </c>
      <c r="F217" s="41" t="s">
        <v>230</v>
      </c>
      <c r="G217" s="41" t="s">
        <v>150</v>
      </c>
      <c r="H217" s="41" t="s">
        <v>633</v>
      </c>
      <c r="I217" s="41">
        <v>8</v>
      </c>
      <c r="J217" s="41">
        <v>2</v>
      </c>
      <c r="K217" s="25" t="str">
        <f>VLOOKUP(J217,Key!$E$2:$F$9,2,FALSE)</f>
        <v>Work</v>
      </c>
      <c r="L217" s="41" t="s">
        <v>230</v>
      </c>
      <c r="M217" s="42" t="s">
        <v>150</v>
      </c>
      <c r="N217" s="42" t="s">
        <v>633</v>
      </c>
      <c r="O217" s="42">
        <v>8</v>
      </c>
      <c r="P217" s="42">
        <v>2</v>
      </c>
      <c r="Q217" s="25" t="str">
        <f>VLOOKUP(P217,Key!$E$2:$F$9,2,FALSE)</f>
        <v>Work</v>
      </c>
      <c r="R217" s="25" t="str">
        <f t="shared" si="5"/>
        <v>Work-Work</v>
      </c>
      <c r="S217" s="47">
        <v>1</v>
      </c>
      <c r="T217" s="47">
        <v>0</v>
      </c>
      <c r="U217" s="55">
        <v>2</v>
      </c>
      <c r="V217" s="55"/>
      <c r="W217" s="47"/>
      <c r="X217" s="47"/>
      <c r="Y217" s="48" t="s">
        <v>146</v>
      </c>
      <c r="Z217" s="56"/>
      <c r="AA217" s="25">
        <f>VLOOKUP(F217,'Zones (3)'!$A$2:$F$15913,6,FALSE)</f>
        <v>379</v>
      </c>
      <c r="AB217" s="25">
        <f>VLOOKUP(L217,'Zones (3)'!$A$2:$F$15913,6,FALSE)</f>
        <v>379</v>
      </c>
    </row>
    <row r="218" spans="2:28">
      <c r="B218" s="39" t="s">
        <v>634</v>
      </c>
      <c r="C218" s="39" t="s">
        <v>270</v>
      </c>
      <c r="D218" s="40">
        <v>11</v>
      </c>
      <c r="E218" s="40">
        <v>1</v>
      </c>
      <c r="F218" s="41" t="s">
        <v>155</v>
      </c>
      <c r="G218" s="41" t="s">
        <v>148</v>
      </c>
      <c r="H218" s="41" t="s">
        <v>633</v>
      </c>
      <c r="I218" s="41">
        <v>1</v>
      </c>
      <c r="J218" s="41">
        <v>1</v>
      </c>
      <c r="K218" s="25" t="str">
        <f>VLOOKUP(J218,Key!$E$2:$F$9,2,FALSE)</f>
        <v>Home</v>
      </c>
      <c r="L218" s="41" t="s">
        <v>213</v>
      </c>
      <c r="M218" s="42" t="s">
        <v>150</v>
      </c>
      <c r="N218" s="42" t="s">
        <v>633</v>
      </c>
      <c r="O218" s="42">
        <v>16</v>
      </c>
      <c r="P218" s="42">
        <v>8</v>
      </c>
      <c r="Q218" s="25" t="str">
        <f>VLOOKUP(P218,Key!$E$2:$F$9,2,FALSE)</f>
        <v>Others</v>
      </c>
      <c r="R218" s="25" t="str">
        <f t="shared" si="5"/>
        <v>Home-Others</v>
      </c>
      <c r="S218" s="47">
        <v>24</v>
      </c>
      <c r="T218" s="47">
        <v>0.7</v>
      </c>
      <c r="U218" s="55">
        <v>2</v>
      </c>
      <c r="V218" s="55"/>
      <c r="W218" s="47"/>
      <c r="X218" s="47"/>
      <c r="Y218" s="48" t="s">
        <v>146</v>
      </c>
      <c r="Z218" s="56"/>
      <c r="AA218" s="25">
        <f>VLOOKUP(F218,'Zones (3)'!$A$2:$F$15913,6,FALSE)</f>
        <v>987</v>
      </c>
      <c r="AB218" s="25">
        <f>VLOOKUP(L218,'Zones (3)'!$A$2:$F$15913,6,FALSE)</f>
        <v>381</v>
      </c>
    </row>
    <row r="219" spans="2:28">
      <c r="B219" s="39">
        <v>0.52777777777777779</v>
      </c>
      <c r="C219" s="39" t="s">
        <v>271</v>
      </c>
      <c r="D219" s="40">
        <v>8</v>
      </c>
      <c r="E219" s="40">
        <v>2</v>
      </c>
      <c r="F219" s="41" t="s">
        <v>155</v>
      </c>
      <c r="G219" s="41" t="s">
        <v>148</v>
      </c>
      <c r="H219" s="41" t="s">
        <v>633</v>
      </c>
      <c r="I219" s="41">
        <v>3</v>
      </c>
      <c r="J219" s="41">
        <v>2</v>
      </c>
      <c r="K219" s="25" t="str">
        <f>VLOOKUP(J219,Key!$E$2:$F$9,2,FALSE)</f>
        <v>Work</v>
      </c>
      <c r="L219" s="41" t="s">
        <v>178</v>
      </c>
      <c r="M219" s="42" t="s">
        <v>179</v>
      </c>
      <c r="N219" s="42" t="s">
        <v>633</v>
      </c>
      <c r="O219" s="42">
        <v>3</v>
      </c>
      <c r="P219" s="42">
        <v>2</v>
      </c>
      <c r="Q219" s="25" t="str">
        <f>VLOOKUP(P219,Key!$E$2:$F$9,2,FALSE)</f>
        <v>Work</v>
      </c>
      <c r="R219" s="25" t="str">
        <f t="shared" si="5"/>
        <v>Work-Work</v>
      </c>
      <c r="S219" s="47">
        <v>300</v>
      </c>
      <c r="T219" s="47">
        <v>6</v>
      </c>
      <c r="U219" s="55">
        <v>3</v>
      </c>
      <c r="V219" s="55">
        <v>3</v>
      </c>
      <c r="W219" s="47">
        <v>3.5</v>
      </c>
      <c r="X219" s="47">
        <v>1000000</v>
      </c>
      <c r="Y219" s="48" t="s">
        <v>146</v>
      </c>
      <c r="Z219" s="56"/>
      <c r="AA219" s="25">
        <f>VLOOKUP(F219,'Zones (3)'!$A$2:$F$15913,6,FALSE)</f>
        <v>987</v>
      </c>
      <c r="AB219" s="25">
        <f>VLOOKUP(L219,'Zones (3)'!$A$2:$F$15913,6,FALSE)</f>
        <v>1435</v>
      </c>
    </row>
    <row r="220" spans="2:28">
      <c r="B220" s="39">
        <v>0.53472222222222221</v>
      </c>
      <c r="C220" s="39" t="s">
        <v>272</v>
      </c>
      <c r="D220" s="40">
        <v>4</v>
      </c>
      <c r="E220" s="40">
        <v>8</v>
      </c>
      <c r="F220" s="41" t="s">
        <v>155</v>
      </c>
      <c r="G220" s="41" t="s">
        <v>148</v>
      </c>
      <c r="H220" s="41" t="s">
        <v>633</v>
      </c>
      <c r="I220" s="41">
        <v>5</v>
      </c>
      <c r="J220" s="41">
        <v>7</v>
      </c>
      <c r="K220" s="25" t="str">
        <f>VLOOKUP(J220,Key!$E$2:$F$9,2,FALSE)</f>
        <v>Hospital</v>
      </c>
      <c r="L220" s="41" t="s">
        <v>209</v>
      </c>
      <c r="M220" s="42" t="s">
        <v>150</v>
      </c>
      <c r="N220" s="42" t="s">
        <v>633</v>
      </c>
      <c r="O220" s="42">
        <v>5</v>
      </c>
      <c r="P220" s="42">
        <v>7</v>
      </c>
      <c r="Q220" s="25" t="str">
        <f>VLOOKUP(P220,Key!$E$2:$F$9,2,FALSE)</f>
        <v>Hospital</v>
      </c>
      <c r="R220" s="25" t="str">
        <f t="shared" si="5"/>
        <v>Hospital-Hospital</v>
      </c>
      <c r="S220" s="47">
        <v>40</v>
      </c>
      <c r="T220" s="47">
        <v>2</v>
      </c>
      <c r="U220" s="55">
        <v>3</v>
      </c>
      <c r="V220" s="55"/>
      <c r="W220" s="47"/>
      <c r="X220" s="47"/>
      <c r="Y220" s="48" t="s">
        <v>146</v>
      </c>
      <c r="Z220" s="56"/>
      <c r="AA220" s="25">
        <f>VLOOKUP(F220,'Zones (3)'!$A$2:$F$15913,6,FALSE)</f>
        <v>987</v>
      </c>
      <c r="AB220" s="25">
        <f>VLOOKUP(L220,'Zones (3)'!$A$2:$F$15913,6,FALSE)</f>
        <v>379</v>
      </c>
    </row>
    <row r="221" spans="2:28">
      <c r="B221" s="39">
        <v>0.67013888888888884</v>
      </c>
      <c r="C221" s="39" t="s">
        <v>273</v>
      </c>
      <c r="D221" s="40">
        <v>4</v>
      </c>
      <c r="E221" s="40">
        <v>6</v>
      </c>
      <c r="F221" s="41" t="s">
        <v>155</v>
      </c>
      <c r="G221" s="41" t="s">
        <v>148</v>
      </c>
      <c r="H221" s="41" t="s">
        <v>633</v>
      </c>
      <c r="I221" s="41">
        <v>6</v>
      </c>
      <c r="J221" s="41">
        <v>2</v>
      </c>
      <c r="K221" s="25" t="str">
        <f>VLOOKUP(J221,Key!$E$2:$F$9,2,FALSE)</f>
        <v>Work</v>
      </c>
      <c r="L221" s="41" t="s">
        <v>213</v>
      </c>
      <c r="M221" s="42" t="s">
        <v>150</v>
      </c>
      <c r="N221" s="42" t="s">
        <v>633</v>
      </c>
      <c r="O221" s="42">
        <v>6</v>
      </c>
      <c r="P221" s="42">
        <v>2</v>
      </c>
      <c r="Q221" s="25" t="str">
        <f>VLOOKUP(P221,Key!$E$2:$F$9,2,FALSE)</f>
        <v>Work</v>
      </c>
      <c r="R221" s="25" t="str">
        <f t="shared" si="5"/>
        <v>Work-Work</v>
      </c>
      <c r="S221" s="47">
        <v>24</v>
      </c>
      <c r="T221" s="47">
        <v>1</v>
      </c>
      <c r="U221" s="55"/>
      <c r="V221" s="55"/>
      <c r="W221" s="47"/>
      <c r="X221" s="47"/>
      <c r="Y221" s="48" t="s">
        <v>146</v>
      </c>
      <c r="Z221" s="56"/>
      <c r="AA221" s="25">
        <f>VLOOKUP(F221,'Zones (3)'!$A$2:$F$15913,6,FALSE)</f>
        <v>987</v>
      </c>
      <c r="AB221" s="25">
        <f>VLOOKUP(L221,'Zones (3)'!$A$2:$F$15913,6,FALSE)</f>
        <v>381</v>
      </c>
    </row>
    <row r="222" spans="2:28">
      <c r="B222" s="39">
        <v>0.67361111111111116</v>
      </c>
      <c r="C222" s="39" t="s">
        <v>274</v>
      </c>
      <c r="D222" s="40">
        <v>1</v>
      </c>
      <c r="E222" s="40">
        <v>4</v>
      </c>
      <c r="F222" s="41" t="s">
        <v>155</v>
      </c>
      <c r="G222" s="41" t="s">
        <v>148</v>
      </c>
      <c r="H222" s="41" t="s">
        <v>633</v>
      </c>
      <c r="I222" s="41">
        <v>1</v>
      </c>
      <c r="J222" s="41">
        <v>1</v>
      </c>
      <c r="K222" s="25" t="str">
        <f>VLOOKUP(J222,Key!$E$2:$F$9,2,FALSE)</f>
        <v>Home</v>
      </c>
      <c r="L222" s="41" t="s">
        <v>275</v>
      </c>
      <c r="M222" s="42" t="s">
        <v>150</v>
      </c>
      <c r="N222" s="42" t="s">
        <v>633</v>
      </c>
      <c r="O222" s="42">
        <v>1</v>
      </c>
      <c r="P222" s="42">
        <v>1</v>
      </c>
      <c r="Q222" s="25" t="str">
        <f>VLOOKUP(P222,Key!$E$2:$F$9,2,FALSE)</f>
        <v>Home</v>
      </c>
      <c r="R222" s="25" t="str">
        <f t="shared" si="5"/>
        <v>Home-Home</v>
      </c>
      <c r="S222" s="47">
        <v>20</v>
      </c>
      <c r="T222" s="47">
        <v>1</v>
      </c>
      <c r="U222" s="55">
        <v>3</v>
      </c>
      <c r="V222" s="55"/>
      <c r="W222" s="47"/>
      <c r="X222" s="47"/>
      <c r="Y222" s="48" t="s">
        <v>146</v>
      </c>
      <c r="Z222" s="56"/>
      <c r="AA222" s="25">
        <f>VLOOKUP(F222,'Zones (3)'!$A$2:$F$15913,6,FALSE)</f>
        <v>987</v>
      </c>
      <c r="AB222" s="25">
        <f>VLOOKUP(L222,'Zones (3)'!$A$2:$F$15913,6,FALSE)</f>
        <v>394</v>
      </c>
    </row>
    <row r="223" spans="2:28">
      <c r="B223" s="39">
        <v>0.6791666666666667</v>
      </c>
      <c r="C223" s="39" t="s">
        <v>276</v>
      </c>
      <c r="D223" s="40">
        <v>2</v>
      </c>
      <c r="E223" s="40">
        <v>4</v>
      </c>
      <c r="F223" s="41" t="s">
        <v>173</v>
      </c>
      <c r="G223" s="41" t="s">
        <v>148</v>
      </c>
      <c r="H223" s="41" t="s">
        <v>633</v>
      </c>
      <c r="I223" s="41">
        <v>5</v>
      </c>
      <c r="J223" s="41">
        <v>7</v>
      </c>
      <c r="K223" s="25" t="str">
        <f>VLOOKUP(J223,Key!$E$2:$F$9,2,FALSE)</f>
        <v>Hospital</v>
      </c>
      <c r="L223" s="41" t="s">
        <v>230</v>
      </c>
      <c r="M223" s="42" t="s">
        <v>150</v>
      </c>
      <c r="N223" s="42" t="s">
        <v>633</v>
      </c>
      <c r="O223" s="42">
        <v>5</v>
      </c>
      <c r="P223" s="42">
        <v>7</v>
      </c>
      <c r="Q223" s="25" t="str">
        <f>VLOOKUP(P223,Key!$E$2:$F$9,2,FALSE)</f>
        <v>Hospital</v>
      </c>
      <c r="R223" s="25" t="str">
        <f t="shared" si="5"/>
        <v>Hospital-Hospital</v>
      </c>
      <c r="S223" s="47">
        <v>9</v>
      </c>
      <c r="T223" s="47">
        <v>0.1</v>
      </c>
      <c r="U223" s="55">
        <v>4</v>
      </c>
      <c r="V223" s="55"/>
      <c r="W223" s="47"/>
      <c r="X223" s="47"/>
      <c r="Y223" s="48" t="s">
        <v>146</v>
      </c>
      <c r="Z223" s="56"/>
      <c r="AA223" s="25">
        <f>VLOOKUP(F223,'Zones (3)'!$A$2:$F$15913,6,FALSE)</f>
        <v>987</v>
      </c>
      <c r="AB223" s="25">
        <f>VLOOKUP(L223,'Zones (3)'!$A$2:$F$15913,6,FALSE)</f>
        <v>379</v>
      </c>
    </row>
    <row r="224" spans="2:28">
      <c r="B224" s="39">
        <v>0.68402777777777779</v>
      </c>
      <c r="C224" s="39" t="s">
        <v>277</v>
      </c>
      <c r="D224" s="40">
        <v>11</v>
      </c>
      <c r="E224" s="40">
        <v>2</v>
      </c>
      <c r="F224" s="41" t="s">
        <v>155</v>
      </c>
      <c r="G224" s="41" t="s">
        <v>148</v>
      </c>
      <c r="H224" s="41" t="s">
        <v>633</v>
      </c>
      <c r="I224" s="41">
        <v>8</v>
      </c>
      <c r="J224" s="41">
        <v>2</v>
      </c>
      <c r="K224" s="25" t="str">
        <f>VLOOKUP(J224,Key!$E$2:$F$9,2,FALSE)</f>
        <v>Work</v>
      </c>
      <c r="L224" s="41" t="s">
        <v>278</v>
      </c>
      <c r="M224" s="42" t="s">
        <v>150</v>
      </c>
      <c r="N224" s="42" t="s">
        <v>633</v>
      </c>
      <c r="O224" s="42">
        <v>1</v>
      </c>
      <c r="P224" s="42">
        <v>1</v>
      </c>
      <c r="Q224" s="25" t="str">
        <f>VLOOKUP(P224,Key!$E$2:$F$9,2,FALSE)</f>
        <v>Home</v>
      </c>
      <c r="R224" s="25" t="str">
        <f t="shared" si="5"/>
        <v>Work-Home</v>
      </c>
      <c r="S224" s="47">
        <v>10</v>
      </c>
      <c r="T224" s="47">
        <v>0.7</v>
      </c>
      <c r="U224" s="55">
        <v>3</v>
      </c>
      <c r="V224" s="55"/>
      <c r="W224" s="47"/>
      <c r="X224" s="47"/>
      <c r="Y224" s="48" t="s">
        <v>146</v>
      </c>
      <c r="Z224" s="56"/>
      <c r="AA224" s="25">
        <f>VLOOKUP(F224,'Zones (3)'!$A$2:$F$15913,6,FALSE)</f>
        <v>987</v>
      </c>
      <c r="AB224" s="25">
        <f>VLOOKUP(L224,'Zones (3)'!$A$2:$F$15913,6,FALSE)</f>
        <v>379</v>
      </c>
    </row>
    <row r="225" spans="2:28">
      <c r="B225" s="39">
        <v>0.6875</v>
      </c>
      <c r="C225" s="39" t="s">
        <v>279</v>
      </c>
      <c r="D225" s="40">
        <v>7</v>
      </c>
      <c r="E225" s="40">
        <v>3</v>
      </c>
      <c r="F225" s="41" t="s">
        <v>155</v>
      </c>
      <c r="G225" s="41" t="s">
        <v>148</v>
      </c>
      <c r="H225" s="41" t="s">
        <v>633</v>
      </c>
      <c r="I225" s="41">
        <v>3</v>
      </c>
      <c r="J225" s="41">
        <v>2</v>
      </c>
      <c r="K225" s="25" t="str">
        <f>VLOOKUP(J225,Key!$E$2:$F$9,2,FALSE)</f>
        <v>Work</v>
      </c>
      <c r="L225" s="41" t="s">
        <v>169</v>
      </c>
      <c r="M225" s="42" t="s">
        <v>150</v>
      </c>
      <c r="N225" s="42" t="s">
        <v>633</v>
      </c>
      <c r="O225" s="42">
        <v>1</v>
      </c>
      <c r="P225" s="42">
        <v>1</v>
      </c>
      <c r="Q225" s="25" t="str">
        <f>VLOOKUP(P225,Key!$E$2:$F$9,2,FALSE)</f>
        <v>Home</v>
      </c>
      <c r="R225" s="25" t="str">
        <f t="shared" si="5"/>
        <v>Work-Home</v>
      </c>
      <c r="S225" s="47">
        <v>10</v>
      </c>
      <c r="T225" s="47">
        <v>0.5</v>
      </c>
      <c r="U225" s="55">
        <v>4</v>
      </c>
      <c r="V225" s="55">
        <v>4</v>
      </c>
      <c r="W225" s="47">
        <v>0.5</v>
      </c>
      <c r="X225" s="47">
        <v>300000</v>
      </c>
      <c r="Y225" s="48" t="s">
        <v>146</v>
      </c>
      <c r="Z225" s="56"/>
      <c r="AA225" s="25">
        <f>VLOOKUP(F225,'Zones (3)'!$A$2:$F$15913,6,FALSE)</f>
        <v>987</v>
      </c>
      <c r="AB225" s="25">
        <f>VLOOKUP(L225,'Zones (3)'!$A$2:$F$15913,6,FALSE)</f>
        <v>380</v>
      </c>
    </row>
    <row r="226" spans="2:28">
      <c r="B226" s="39">
        <v>0.70763888888888893</v>
      </c>
      <c r="C226" s="39" t="s">
        <v>280</v>
      </c>
      <c r="D226" s="40">
        <v>1</v>
      </c>
      <c r="E226" s="40">
        <v>6</v>
      </c>
      <c r="F226" s="41" t="s">
        <v>281</v>
      </c>
      <c r="G226" s="41" t="s">
        <v>148</v>
      </c>
      <c r="H226" s="41" t="s">
        <v>633</v>
      </c>
      <c r="I226" s="41">
        <v>5</v>
      </c>
      <c r="J226" s="41">
        <v>7</v>
      </c>
      <c r="K226" s="25" t="str">
        <f>VLOOKUP(J226,Key!$E$2:$F$9,2,FALSE)</f>
        <v>Hospital</v>
      </c>
      <c r="L226" s="41" t="s">
        <v>213</v>
      </c>
      <c r="M226" s="42" t="s">
        <v>150</v>
      </c>
      <c r="N226" s="42" t="s">
        <v>633</v>
      </c>
      <c r="O226" s="42">
        <v>5</v>
      </c>
      <c r="P226" s="42">
        <v>7</v>
      </c>
      <c r="Q226" s="25" t="str">
        <f>VLOOKUP(P226,Key!$E$2:$F$9,2,FALSE)</f>
        <v>Hospital</v>
      </c>
      <c r="R226" s="25" t="str">
        <f t="shared" si="5"/>
        <v>Hospital-Hospital</v>
      </c>
      <c r="S226" s="47">
        <v>24</v>
      </c>
      <c r="T226" s="47">
        <v>0.5</v>
      </c>
      <c r="U226" s="55">
        <v>1</v>
      </c>
      <c r="V226" s="55"/>
      <c r="W226" s="47"/>
      <c r="X226" s="47"/>
      <c r="Y226" s="48" t="s">
        <v>146</v>
      </c>
      <c r="Z226" s="56"/>
      <c r="AA226" s="25">
        <f>VLOOKUP(F226,'Zones (3)'!$A$2:$F$15913,6,FALSE)</f>
        <v>991</v>
      </c>
      <c r="AB226" s="25">
        <f>VLOOKUP(L226,'Zones (3)'!$A$2:$F$15913,6,FALSE)</f>
        <v>381</v>
      </c>
    </row>
    <row r="227" spans="2:28">
      <c r="B227" s="39">
        <v>0.71180555555555547</v>
      </c>
      <c r="C227" s="39" t="s">
        <v>282</v>
      </c>
      <c r="D227" s="40">
        <v>11</v>
      </c>
      <c r="E227" s="40">
        <v>1</v>
      </c>
      <c r="F227" s="41" t="s">
        <v>155</v>
      </c>
      <c r="G227" s="41" t="s">
        <v>148</v>
      </c>
      <c r="H227" s="41" t="s">
        <v>633</v>
      </c>
      <c r="I227" s="41">
        <v>8</v>
      </c>
      <c r="J227" s="41">
        <v>2</v>
      </c>
      <c r="K227" s="25" t="str">
        <f>VLOOKUP(J227,Key!$E$2:$F$9,2,FALSE)</f>
        <v>Work</v>
      </c>
      <c r="L227" s="41" t="s">
        <v>169</v>
      </c>
      <c r="M227" s="42" t="s">
        <v>150</v>
      </c>
      <c r="N227" s="42" t="s">
        <v>633</v>
      </c>
      <c r="O227" s="42">
        <v>1</v>
      </c>
      <c r="P227" s="42">
        <v>1</v>
      </c>
      <c r="Q227" s="25" t="str">
        <f>VLOOKUP(P227,Key!$E$2:$F$9,2,FALSE)</f>
        <v>Home</v>
      </c>
      <c r="R227" s="25" t="str">
        <f t="shared" si="5"/>
        <v>Work-Home</v>
      </c>
      <c r="S227" s="47">
        <v>14</v>
      </c>
      <c r="T227" s="47">
        <v>0.5</v>
      </c>
      <c r="U227" s="55">
        <v>1</v>
      </c>
      <c r="V227" s="55"/>
      <c r="W227" s="47"/>
      <c r="X227" s="47"/>
      <c r="Y227" s="48" t="s">
        <v>146</v>
      </c>
      <c r="Z227" s="56"/>
      <c r="AA227" s="25">
        <f>VLOOKUP(F227,'Zones (3)'!$A$2:$F$15913,6,FALSE)</f>
        <v>987</v>
      </c>
      <c r="AB227" s="25">
        <f>VLOOKUP(L227,'Zones (3)'!$A$2:$F$15913,6,FALSE)</f>
        <v>380</v>
      </c>
    </row>
    <row r="228" spans="2:28">
      <c r="B228" s="39">
        <v>0.71527777777777779</v>
      </c>
      <c r="C228" s="39" t="s">
        <v>283</v>
      </c>
      <c r="D228" s="40">
        <v>11</v>
      </c>
      <c r="E228" s="40">
        <v>1</v>
      </c>
      <c r="F228" s="41" t="s">
        <v>155</v>
      </c>
      <c r="G228" s="41" t="s">
        <v>148</v>
      </c>
      <c r="H228" s="41" t="s">
        <v>633</v>
      </c>
      <c r="I228" s="41">
        <v>8</v>
      </c>
      <c r="J228" s="41">
        <v>2</v>
      </c>
      <c r="K228" s="25" t="str">
        <f>VLOOKUP(J228,Key!$E$2:$F$9,2,FALSE)</f>
        <v>Work</v>
      </c>
      <c r="L228" s="41" t="s">
        <v>284</v>
      </c>
      <c r="M228" s="42" t="s">
        <v>150</v>
      </c>
      <c r="N228" s="42" t="s">
        <v>633</v>
      </c>
      <c r="O228" s="42">
        <v>1</v>
      </c>
      <c r="P228" s="42">
        <v>1</v>
      </c>
      <c r="Q228" s="25" t="str">
        <f>VLOOKUP(P228,Key!$E$2:$F$9,2,FALSE)</f>
        <v>Home</v>
      </c>
      <c r="R228" s="25" t="str">
        <f t="shared" si="5"/>
        <v>Work-Home</v>
      </c>
      <c r="S228" s="47">
        <v>24</v>
      </c>
      <c r="T228" s="47">
        <v>0.5</v>
      </c>
      <c r="U228" s="55">
        <v>3</v>
      </c>
      <c r="V228" s="55"/>
      <c r="W228" s="47"/>
      <c r="X228" s="47"/>
      <c r="Y228" s="48" t="s">
        <v>146</v>
      </c>
      <c r="Z228" s="56"/>
      <c r="AA228" s="25">
        <f>VLOOKUP(F228,'Zones (3)'!$A$2:$F$15913,6,FALSE)</f>
        <v>987</v>
      </c>
      <c r="AB228" s="25">
        <f>VLOOKUP(L228,'Zones (3)'!$A$2:$F$15913,6,FALSE)</f>
        <v>376</v>
      </c>
    </row>
    <row r="229" spans="2:28">
      <c r="B229" s="39">
        <v>0.71875</v>
      </c>
      <c r="C229" s="39" t="s">
        <v>285</v>
      </c>
      <c r="D229" s="40">
        <v>11</v>
      </c>
      <c r="E229" s="40">
        <v>1</v>
      </c>
      <c r="F229" s="41" t="s">
        <v>260</v>
      </c>
      <c r="G229" s="41" t="s">
        <v>150</v>
      </c>
      <c r="H229" s="41" t="s">
        <v>633</v>
      </c>
      <c r="I229" s="41">
        <v>8</v>
      </c>
      <c r="J229" s="41">
        <v>2</v>
      </c>
      <c r="K229" s="25" t="str">
        <f>VLOOKUP(J229,Key!$E$2:$F$9,2,FALSE)</f>
        <v>Work</v>
      </c>
      <c r="L229" s="41" t="s">
        <v>260</v>
      </c>
      <c r="M229" s="42" t="s">
        <v>3221</v>
      </c>
      <c r="N229" s="42" t="s">
        <v>633</v>
      </c>
      <c r="O229" s="42">
        <v>8</v>
      </c>
      <c r="P229" s="42">
        <v>2</v>
      </c>
      <c r="Q229" s="25" t="str">
        <f>VLOOKUP(P229,Key!$E$2:$F$9,2,FALSE)</f>
        <v>Work</v>
      </c>
      <c r="R229" s="25" t="str">
        <f t="shared" si="5"/>
        <v>Work-Work</v>
      </c>
      <c r="S229" s="47">
        <v>1</v>
      </c>
      <c r="T229" s="47">
        <v>0.2</v>
      </c>
      <c r="U229" s="55">
        <v>3</v>
      </c>
      <c r="V229" s="55"/>
      <c r="W229" s="47"/>
      <c r="X229" s="47"/>
      <c r="Y229" s="48" t="s">
        <v>146</v>
      </c>
      <c r="Z229" s="56"/>
      <c r="AA229" s="25">
        <f>VLOOKUP(F229,'Zones (3)'!$A$2:$F$15913,6,FALSE)</f>
        <v>1175</v>
      </c>
      <c r="AB229" s="25">
        <f>VLOOKUP(L229,'Zones (3)'!$A$2:$F$15913,6,FALSE)</f>
        <v>1175</v>
      </c>
    </row>
    <row r="230" spans="2:28">
      <c r="B230" s="39">
        <v>0.72152777777777777</v>
      </c>
      <c r="C230" s="39" t="s">
        <v>286</v>
      </c>
      <c r="D230" s="40">
        <v>7</v>
      </c>
      <c r="E230" s="40">
        <v>3</v>
      </c>
      <c r="F230" s="41" t="s">
        <v>155</v>
      </c>
      <c r="G230" s="41" t="s">
        <v>148</v>
      </c>
      <c r="H230" s="41" t="s">
        <v>633</v>
      </c>
      <c r="I230" s="41">
        <v>3</v>
      </c>
      <c r="J230" s="41">
        <v>2</v>
      </c>
      <c r="K230" s="25" t="str">
        <f>VLOOKUP(J230,Key!$E$2:$F$9,2,FALSE)</f>
        <v>Work</v>
      </c>
      <c r="L230" s="41" t="s">
        <v>169</v>
      </c>
      <c r="M230" s="42" t="s">
        <v>150</v>
      </c>
      <c r="N230" s="42" t="s">
        <v>633</v>
      </c>
      <c r="O230" s="42">
        <v>10</v>
      </c>
      <c r="P230" s="42">
        <v>2</v>
      </c>
      <c r="Q230" s="25" t="str">
        <f>VLOOKUP(P230,Key!$E$2:$F$9,2,FALSE)</f>
        <v>Work</v>
      </c>
      <c r="R230" s="25" t="str">
        <f t="shared" si="5"/>
        <v>Work-Work</v>
      </c>
      <c r="S230" s="47">
        <v>30</v>
      </c>
      <c r="T230" s="47">
        <v>0.5</v>
      </c>
      <c r="U230" s="55">
        <v>1</v>
      </c>
      <c r="V230" s="55">
        <v>4</v>
      </c>
      <c r="W230" s="47"/>
      <c r="X230" s="47"/>
      <c r="Y230" s="48" t="s">
        <v>146</v>
      </c>
      <c r="Z230" s="56"/>
      <c r="AA230" s="25">
        <f>VLOOKUP(F230,'Zones (3)'!$A$2:$F$15913,6,FALSE)</f>
        <v>987</v>
      </c>
      <c r="AB230" s="25">
        <f>VLOOKUP(L230,'Zones (3)'!$A$2:$F$15913,6,FALSE)</f>
        <v>380</v>
      </c>
    </row>
    <row r="231" spans="2:28">
      <c r="B231" s="39">
        <v>0.72569444444444453</v>
      </c>
      <c r="C231" s="39" t="s">
        <v>287</v>
      </c>
      <c r="D231" s="40">
        <v>11</v>
      </c>
      <c r="E231" s="40">
        <v>1</v>
      </c>
      <c r="F231" s="41" t="s">
        <v>155</v>
      </c>
      <c r="G231" s="41" t="s">
        <v>148</v>
      </c>
      <c r="H231" s="41" t="s">
        <v>633</v>
      </c>
      <c r="I231" s="41">
        <v>4</v>
      </c>
      <c r="J231" s="41">
        <v>3</v>
      </c>
      <c r="K231" s="25" t="str">
        <f>VLOOKUP(J231,Key!$E$2:$F$9,2,FALSE)</f>
        <v>Study</v>
      </c>
      <c r="L231" s="41" t="s">
        <v>169</v>
      </c>
      <c r="M231" s="42" t="s">
        <v>150</v>
      </c>
      <c r="N231" s="42" t="s">
        <v>633</v>
      </c>
      <c r="O231" s="42">
        <v>4</v>
      </c>
      <c r="P231" s="42">
        <v>3</v>
      </c>
      <c r="Q231" s="25" t="str">
        <f>VLOOKUP(P231,Key!$E$2:$F$9,2,FALSE)</f>
        <v>Study</v>
      </c>
      <c r="R231" s="25" t="str">
        <f t="shared" si="5"/>
        <v>Study-Study</v>
      </c>
      <c r="S231" s="47">
        <v>20</v>
      </c>
      <c r="T231" s="47"/>
      <c r="U231" s="55">
        <v>1</v>
      </c>
      <c r="V231" s="55"/>
      <c r="W231" s="47"/>
      <c r="X231" s="47"/>
      <c r="Y231" s="48" t="s">
        <v>146</v>
      </c>
      <c r="Z231" s="56"/>
      <c r="AA231" s="25">
        <f>VLOOKUP(F231,'Zones (3)'!$A$2:$F$15913,6,FALSE)</f>
        <v>987</v>
      </c>
      <c r="AB231" s="25">
        <f>VLOOKUP(L231,'Zones (3)'!$A$2:$F$15913,6,FALSE)</f>
        <v>380</v>
      </c>
    </row>
    <row r="232" spans="2:28">
      <c r="B232" s="39">
        <v>0.73611111111111116</v>
      </c>
      <c r="C232" s="39" t="s">
        <v>288</v>
      </c>
      <c r="D232" s="40">
        <v>7</v>
      </c>
      <c r="E232" s="40">
        <v>1</v>
      </c>
      <c r="F232" s="41" t="s">
        <v>155</v>
      </c>
      <c r="G232" s="41" t="s">
        <v>148</v>
      </c>
      <c r="H232" s="41" t="s">
        <v>633</v>
      </c>
      <c r="I232" s="41">
        <v>3</v>
      </c>
      <c r="J232" s="41">
        <v>2</v>
      </c>
      <c r="K232" s="25" t="str">
        <f>VLOOKUP(J232,Key!$E$2:$F$9,2,FALSE)</f>
        <v>Work</v>
      </c>
      <c r="L232" s="41" t="s">
        <v>201</v>
      </c>
      <c r="M232" s="42" t="s">
        <v>150</v>
      </c>
      <c r="N232" s="42" t="s">
        <v>633</v>
      </c>
      <c r="O232" s="42">
        <v>1</v>
      </c>
      <c r="P232" s="42">
        <v>1</v>
      </c>
      <c r="Q232" s="25" t="str">
        <f>VLOOKUP(P232,Key!$E$2:$F$9,2,FALSE)</f>
        <v>Home</v>
      </c>
      <c r="R232" s="25" t="str">
        <f t="shared" si="5"/>
        <v>Work-Home</v>
      </c>
      <c r="S232" s="47">
        <v>3</v>
      </c>
      <c r="T232" s="47">
        <v>0.5</v>
      </c>
      <c r="U232" s="55">
        <v>3</v>
      </c>
      <c r="V232" s="55"/>
      <c r="W232" s="47"/>
      <c r="X232" s="47"/>
      <c r="Y232" s="48" t="s">
        <v>146</v>
      </c>
      <c r="Z232" s="56"/>
      <c r="AA232" s="25">
        <f>VLOOKUP(F232,'Zones (3)'!$A$2:$F$15913,6,FALSE)</f>
        <v>987</v>
      </c>
      <c r="AB232" s="25">
        <f>VLOOKUP(L232,'Zones (3)'!$A$2:$F$15913,6,FALSE)</f>
        <v>386</v>
      </c>
    </row>
    <row r="233" spans="2:28">
      <c r="B233" s="39">
        <v>0.73958333333333337</v>
      </c>
      <c r="C233" s="39" t="s">
        <v>289</v>
      </c>
      <c r="D233" s="40">
        <v>11</v>
      </c>
      <c r="E233" s="40">
        <v>1</v>
      </c>
      <c r="F233" s="41" t="s">
        <v>260</v>
      </c>
      <c r="G233" s="41" t="s">
        <v>150</v>
      </c>
      <c r="H233" s="41" t="s">
        <v>633</v>
      </c>
      <c r="I233" s="41">
        <v>1</v>
      </c>
      <c r="J233" s="41">
        <v>1</v>
      </c>
      <c r="K233" s="25" t="str">
        <f>VLOOKUP(J233,Key!$E$2:$F$9,2,FALSE)</f>
        <v>Home</v>
      </c>
      <c r="L233" s="41" t="s">
        <v>260</v>
      </c>
      <c r="M233" s="42" t="s">
        <v>3221</v>
      </c>
      <c r="N233" s="42" t="s">
        <v>633</v>
      </c>
      <c r="O233" s="42">
        <v>1</v>
      </c>
      <c r="P233" s="42">
        <v>1</v>
      </c>
      <c r="Q233" s="25" t="str">
        <f>VLOOKUP(P233,Key!$E$2:$F$9,2,FALSE)</f>
        <v>Home</v>
      </c>
      <c r="R233" s="25" t="str">
        <f t="shared" si="5"/>
        <v>Home-Home</v>
      </c>
      <c r="S233" s="47">
        <v>1</v>
      </c>
      <c r="T233" s="47">
        <v>0.2</v>
      </c>
      <c r="U233" s="55">
        <v>3</v>
      </c>
      <c r="V233" s="55"/>
      <c r="W233" s="47"/>
      <c r="X233" s="47"/>
      <c r="Y233" s="48" t="s">
        <v>146</v>
      </c>
      <c r="Z233" s="56"/>
      <c r="AA233" s="25">
        <f>VLOOKUP(F233,'Zones (3)'!$A$2:$F$15913,6,FALSE)</f>
        <v>1175</v>
      </c>
      <c r="AB233" s="25">
        <f>VLOOKUP(L233,'Zones (3)'!$A$2:$F$15913,6,FALSE)</f>
        <v>1175</v>
      </c>
    </row>
    <row r="234" spans="2:28">
      <c r="B234" s="39">
        <v>0.74583333333333324</v>
      </c>
      <c r="C234" s="39" t="s">
        <v>290</v>
      </c>
      <c r="D234" s="40">
        <v>7</v>
      </c>
      <c r="E234" s="40">
        <v>2</v>
      </c>
      <c r="F234" s="41" t="s">
        <v>155</v>
      </c>
      <c r="G234" s="41" t="s">
        <v>148</v>
      </c>
      <c r="H234" s="41" t="s">
        <v>633</v>
      </c>
      <c r="I234" s="41">
        <v>9</v>
      </c>
      <c r="J234" s="41">
        <v>2</v>
      </c>
      <c r="K234" s="25" t="str">
        <f>VLOOKUP(J234,Key!$E$2:$F$9,2,FALSE)</f>
        <v>Work</v>
      </c>
      <c r="L234" s="41" t="s">
        <v>213</v>
      </c>
      <c r="M234" s="42" t="s">
        <v>150</v>
      </c>
      <c r="N234" s="42" t="s">
        <v>633</v>
      </c>
      <c r="O234" s="42">
        <v>3</v>
      </c>
      <c r="P234" s="42">
        <v>2</v>
      </c>
      <c r="Q234" s="25" t="str">
        <f>VLOOKUP(P234,Key!$E$2:$F$9,2,FALSE)</f>
        <v>Work</v>
      </c>
      <c r="R234" s="25" t="str">
        <f t="shared" si="5"/>
        <v>Work-Work</v>
      </c>
      <c r="S234" s="47">
        <v>20</v>
      </c>
      <c r="T234" s="47">
        <v>1</v>
      </c>
      <c r="U234" s="55">
        <v>3</v>
      </c>
      <c r="V234" s="55">
        <v>2</v>
      </c>
      <c r="W234" s="47"/>
      <c r="X234" s="47"/>
      <c r="Y234" s="48" t="s">
        <v>146</v>
      </c>
      <c r="Z234" s="56"/>
      <c r="AA234" s="25">
        <f>VLOOKUP(F234,'Zones (3)'!$A$2:$F$15913,6,FALSE)</f>
        <v>987</v>
      </c>
      <c r="AB234" s="25">
        <f>VLOOKUP(L234,'Zones (3)'!$A$2:$F$15913,6,FALSE)</f>
        <v>381</v>
      </c>
    </row>
    <row r="235" spans="2:28">
      <c r="B235" s="39">
        <v>0.75555555555555554</v>
      </c>
      <c r="C235" s="39" t="s">
        <v>291</v>
      </c>
      <c r="D235" s="40">
        <v>1</v>
      </c>
      <c r="E235" s="40">
        <v>2</v>
      </c>
      <c r="F235" s="41" t="s">
        <v>155</v>
      </c>
      <c r="G235" s="41" t="s">
        <v>148</v>
      </c>
      <c r="H235" s="41" t="s">
        <v>633</v>
      </c>
      <c r="I235" s="41">
        <v>2</v>
      </c>
      <c r="J235" s="41">
        <v>2</v>
      </c>
      <c r="K235" s="25" t="str">
        <f>VLOOKUP(J235,Key!$E$2:$F$9,2,FALSE)</f>
        <v>Work</v>
      </c>
      <c r="L235" s="41" t="s">
        <v>169</v>
      </c>
      <c r="M235" s="42" t="s">
        <v>150</v>
      </c>
      <c r="N235" s="42" t="s">
        <v>633</v>
      </c>
      <c r="O235" s="42">
        <v>1</v>
      </c>
      <c r="P235" s="42">
        <v>1</v>
      </c>
      <c r="Q235" s="25" t="str">
        <f>VLOOKUP(P235,Key!$E$2:$F$9,2,FALSE)</f>
        <v>Home</v>
      </c>
      <c r="R235" s="25" t="str">
        <f t="shared" si="5"/>
        <v>Work-Home</v>
      </c>
      <c r="S235" s="47">
        <v>8</v>
      </c>
      <c r="T235" s="47">
        <v>0.3</v>
      </c>
      <c r="U235" s="55">
        <v>3</v>
      </c>
      <c r="V235" s="55"/>
      <c r="W235" s="47"/>
      <c r="X235" s="47"/>
      <c r="Y235" s="48" t="s">
        <v>146</v>
      </c>
      <c r="Z235" s="56"/>
      <c r="AA235" s="25">
        <f>VLOOKUP(F235,'Zones (3)'!$A$2:$F$15913,6,FALSE)</f>
        <v>987</v>
      </c>
      <c r="AB235" s="25">
        <f>VLOOKUP(L235,'Zones (3)'!$A$2:$F$15913,6,FALSE)</f>
        <v>380</v>
      </c>
    </row>
    <row r="236" spans="2:28">
      <c r="B236" s="39">
        <v>0.76041666666666663</v>
      </c>
      <c r="C236" s="39" t="s">
        <v>292</v>
      </c>
      <c r="D236" s="40">
        <v>1</v>
      </c>
      <c r="E236" s="40">
        <v>1</v>
      </c>
      <c r="F236" s="41" t="s">
        <v>155</v>
      </c>
      <c r="G236" s="41" t="s">
        <v>148</v>
      </c>
      <c r="H236" s="41" t="s">
        <v>633</v>
      </c>
      <c r="I236" s="41">
        <v>2</v>
      </c>
      <c r="J236" s="41">
        <v>2</v>
      </c>
      <c r="K236" s="25" t="str">
        <f>VLOOKUP(J236,Key!$E$2:$F$9,2,FALSE)</f>
        <v>Work</v>
      </c>
      <c r="L236" s="41" t="s">
        <v>201</v>
      </c>
      <c r="M236" s="42" t="s">
        <v>150</v>
      </c>
      <c r="N236" s="42" t="s">
        <v>633</v>
      </c>
      <c r="O236" s="42">
        <v>9</v>
      </c>
      <c r="P236" s="42">
        <v>4</v>
      </c>
      <c r="Q236" s="25" t="str">
        <f>VLOOKUP(P236,Key!$E$2:$F$9,2,FALSE)</f>
        <v>Commercial</v>
      </c>
      <c r="R236" s="25" t="str">
        <f t="shared" si="5"/>
        <v>Work-Commercial</v>
      </c>
      <c r="S236" s="47">
        <v>10</v>
      </c>
      <c r="T236" s="47">
        <v>0.7</v>
      </c>
      <c r="U236" s="55">
        <v>3</v>
      </c>
      <c r="V236" s="55"/>
      <c r="W236" s="47"/>
      <c r="X236" s="47"/>
      <c r="Y236" s="48" t="s">
        <v>146</v>
      </c>
      <c r="Z236" s="56"/>
      <c r="AA236" s="25">
        <f>VLOOKUP(F236,'Zones (3)'!$A$2:$F$15913,6,FALSE)</f>
        <v>987</v>
      </c>
      <c r="AB236" s="25">
        <f>VLOOKUP(L236,'Zones (3)'!$A$2:$F$15913,6,FALSE)</f>
        <v>386</v>
      </c>
    </row>
    <row r="237" spans="2:28">
      <c r="B237" s="39">
        <v>0.76597222222222217</v>
      </c>
      <c r="C237" s="39" t="s">
        <v>293</v>
      </c>
      <c r="D237" s="40">
        <v>1</v>
      </c>
      <c r="E237" s="40">
        <v>3</v>
      </c>
      <c r="F237" s="41" t="s">
        <v>155</v>
      </c>
      <c r="G237" s="41" t="s">
        <v>148</v>
      </c>
      <c r="H237" s="41" t="s">
        <v>633</v>
      </c>
      <c r="I237" s="41">
        <v>4</v>
      </c>
      <c r="J237" s="41">
        <v>3</v>
      </c>
      <c r="K237" s="25" t="str">
        <f>VLOOKUP(J237,Key!$E$2:$F$9,2,FALSE)</f>
        <v>Study</v>
      </c>
      <c r="L237" s="41" t="s">
        <v>294</v>
      </c>
      <c r="M237" s="42" t="s">
        <v>150</v>
      </c>
      <c r="N237" s="42" t="s">
        <v>633</v>
      </c>
      <c r="O237" s="42">
        <v>1</v>
      </c>
      <c r="P237" s="42">
        <v>1</v>
      </c>
      <c r="Q237" s="25" t="str">
        <f>VLOOKUP(P237,Key!$E$2:$F$9,2,FALSE)</f>
        <v>Home</v>
      </c>
      <c r="R237" s="25" t="str">
        <f t="shared" si="5"/>
        <v>Study-Home</v>
      </c>
      <c r="S237" s="47">
        <v>5</v>
      </c>
      <c r="T237" s="47">
        <v>0.5</v>
      </c>
      <c r="U237" s="55">
        <v>1</v>
      </c>
      <c r="V237" s="55"/>
      <c r="W237" s="47"/>
      <c r="X237" s="47"/>
      <c r="Y237" s="48" t="s">
        <v>146</v>
      </c>
      <c r="Z237" s="56"/>
      <c r="AA237" s="25">
        <f>VLOOKUP(F237,'Zones (3)'!$A$2:$F$15913,6,FALSE)</f>
        <v>987</v>
      </c>
      <c r="AB237" s="25">
        <f>VLOOKUP(L237,'Zones (3)'!$A$2:$F$15913,6,FALSE)</f>
        <v>376</v>
      </c>
    </row>
    <row r="238" spans="2:28">
      <c r="B238" s="39">
        <v>0.76944444444444438</v>
      </c>
      <c r="C238" s="39" t="s">
        <v>295</v>
      </c>
      <c r="D238" s="40">
        <v>11</v>
      </c>
      <c r="E238" s="40">
        <v>1</v>
      </c>
      <c r="F238" s="41" t="s">
        <v>155</v>
      </c>
      <c r="G238" s="41" t="s">
        <v>148</v>
      </c>
      <c r="H238" s="41" t="s">
        <v>633</v>
      </c>
      <c r="I238" s="41">
        <v>8</v>
      </c>
      <c r="J238" s="41">
        <v>2</v>
      </c>
      <c r="K238" s="25" t="str">
        <f>VLOOKUP(J238,Key!$E$2:$F$9,2,FALSE)</f>
        <v>Work</v>
      </c>
      <c r="L238" s="41" t="s">
        <v>169</v>
      </c>
      <c r="M238" s="42" t="s">
        <v>150</v>
      </c>
      <c r="N238" s="42" t="s">
        <v>633</v>
      </c>
      <c r="O238" s="42">
        <v>8</v>
      </c>
      <c r="P238" s="42">
        <v>2</v>
      </c>
      <c r="Q238" s="25" t="str">
        <f>VLOOKUP(P238,Key!$E$2:$F$9,2,FALSE)</f>
        <v>Work</v>
      </c>
      <c r="R238" s="25" t="str">
        <f t="shared" si="5"/>
        <v>Work-Work</v>
      </c>
      <c r="S238" s="47">
        <v>8</v>
      </c>
      <c r="T238" s="47">
        <v>0.3</v>
      </c>
      <c r="U238" s="55">
        <v>4</v>
      </c>
      <c r="V238" s="55"/>
      <c r="W238" s="47"/>
      <c r="X238" s="47"/>
      <c r="Y238" s="48" t="s">
        <v>146</v>
      </c>
      <c r="Z238" s="56"/>
      <c r="AA238" s="25">
        <f>VLOOKUP(F238,'Zones (3)'!$A$2:$F$15913,6,FALSE)</f>
        <v>987</v>
      </c>
      <c r="AB238" s="25">
        <f>VLOOKUP(L238,'Zones (3)'!$A$2:$F$15913,6,FALSE)</f>
        <v>380</v>
      </c>
    </row>
    <row r="239" spans="2:28">
      <c r="B239" s="39">
        <v>0.77013888888888893</v>
      </c>
      <c r="C239" s="39" t="s">
        <v>296</v>
      </c>
      <c r="D239" s="40">
        <v>1</v>
      </c>
      <c r="E239" s="40">
        <v>3</v>
      </c>
      <c r="F239" s="41" t="s">
        <v>155</v>
      </c>
      <c r="G239" s="41" t="s">
        <v>148</v>
      </c>
      <c r="H239" s="41" t="s">
        <v>633</v>
      </c>
      <c r="I239" s="41">
        <v>1</v>
      </c>
      <c r="J239" s="41">
        <v>1</v>
      </c>
      <c r="K239" s="25" t="str">
        <f>VLOOKUP(J239,Key!$E$2:$F$9,2,FALSE)</f>
        <v>Home</v>
      </c>
      <c r="L239" s="41" t="s">
        <v>205</v>
      </c>
      <c r="M239" s="42" t="s">
        <v>150</v>
      </c>
      <c r="N239" s="42" t="s">
        <v>633</v>
      </c>
      <c r="O239" s="42">
        <v>1</v>
      </c>
      <c r="P239" s="42">
        <v>1</v>
      </c>
      <c r="Q239" s="25" t="str">
        <f>VLOOKUP(P239,Key!$E$2:$F$9,2,FALSE)</f>
        <v>Home</v>
      </c>
      <c r="R239" s="25" t="str">
        <f t="shared" si="5"/>
        <v>Home-Home</v>
      </c>
      <c r="S239" s="47">
        <v>50</v>
      </c>
      <c r="T239" s="47">
        <v>1</v>
      </c>
      <c r="U239" s="55">
        <v>2</v>
      </c>
      <c r="V239" s="55"/>
      <c r="W239" s="47"/>
      <c r="X239" s="47"/>
      <c r="Y239" s="48" t="s">
        <v>146</v>
      </c>
      <c r="Z239" s="56"/>
      <c r="AA239" s="25">
        <f>VLOOKUP(F239,'Zones (3)'!$A$2:$F$15913,6,FALSE)</f>
        <v>987</v>
      </c>
      <c r="AB239" s="25">
        <f>VLOOKUP(L239,'Zones (3)'!$A$2:$F$15913,6,FALSE)</f>
        <v>179</v>
      </c>
    </row>
    <row r="240" spans="2:28">
      <c r="B240" s="39">
        <v>0.77430555555555547</v>
      </c>
      <c r="C240" s="39" t="s">
        <v>297</v>
      </c>
      <c r="D240" s="40">
        <v>4</v>
      </c>
      <c r="E240" s="40">
        <v>6</v>
      </c>
      <c r="F240" s="41" t="s">
        <v>155</v>
      </c>
      <c r="G240" s="41" t="s">
        <v>148</v>
      </c>
      <c r="H240" s="41" t="s">
        <v>633</v>
      </c>
      <c r="I240" s="41">
        <v>6</v>
      </c>
      <c r="J240" s="41">
        <v>2</v>
      </c>
      <c r="K240" s="25" t="str">
        <f>VLOOKUP(J240,Key!$E$2:$F$9,2,FALSE)</f>
        <v>Work</v>
      </c>
      <c r="L240" s="41" t="s">
        <v>213</v>
      </c>
      <c r="M240" s="42" t="s">
        <v>150</v>
      </c>
      <c r="N240" s="42" t="s">
        <v>633</v>
      </c>
      <c r="O240" s="42">
        <v>6</v>
      </c>
      <c r="P240" s="42">
        <v>2</v>
      </c>
      <c r="Q240" s="25" t="str">
        <f>VLOOKUP(P240,Key!$E$2:$F$9,2,FALSE)</f>
        <v>Work</v>
      </c>
      <c r="R240" s="25" t="str">
        <f t="shared" si="5"/>
        <v>Work-Work</v>
      </c>
      <c r="S240" s="47">
        <v>20</v>
      </c>
      <c r="T240" s="47">
        <v>1</v>
      </c>
      <c r="U240" s="55">
        <v>3</v>
      </c>
      <c r="V240" s="55"/>
      <c r="W240" s="47"/>
      <c r="X240" s="47"/>
      <c r="Y240" s="48" t="s">
        <v>146</v>
      </c>
      <c r="Z240" s="56"/>
      <c r="AA240" s="25">
        <f>VLOOKUP(F240,'Zones (3)'!$A$2:$F$15913,6,FALSE)</f>
        <v>987</v>
      </c>
      <c r="AB240" s="25">
        <f>VLOOKUP(L240,'Zones (3)'!$A$2:$F$15913,6,FALSE)</f>
        <v>381</v>
      </c>
    </row>
    <row r="241" spans="2:28">
      <c r="B241" s="39">
        <v>0.77986111111111101</v>
      </c>
      <c r="C241" s="39" t="s">
        <v>298</v>
      </c>
      <c r="D241" s="40">
        <v>8</v>
      </c>
      <c r="E241" s="40">
        <v>2</v>
      </c>
      <c r="F241" s="41" t="s">
        <v>155</v>
      </c>
      <c r="G241" s="41" t="s">
        <v>148</v>
      </c>
      <c r="H241" s="41" t="s">
        <v>633</v>
      </c>
      <c r="I241" s="41">
        <v>11</v>
      </c>
      <c r="J241" s="41">
        <v>2</v>
      </c>
      <c r="K241" s="25" t="str">
        <f>VLOOKUP(J241,Key!$E$2:$F$9,2,FALSE)</f>
        <v>Work</v>
      </c>
      <c r="L241" s="41" t="s">
        <v>299</v>
      </c>
      <c r="M241" s="42" t="s">
        <v>150</v>
      </c>
      <c r="N241" s="42" t="s">
        <v>633</v>
      </c>
      <c r="O241" s="42">
        <v>2</v>
      </c>
      <c r="P241" s="42">
        <v>2</v>
      </c>
      <c r="Q241" s="25" t="str">
        <f>VLOOKUP(P241,Key!$E$2:$F$9,2,FALSE)</f>
        <v>Work</v>
      </c>
      <c r="R241" s="25" t="str">
        <f t="shared" si="5"/>
        <v>Work-Work</v>
      </c>
      <c r="S241" s="47">
        <v>40</v>
      </c>
      <c r="T241" s="47">
        <v>2</v>
      </c>
      <c r="U241" s="55">
        <v>2</v>
      </c>
      <c r="V241" s="55"/>
      <c r="W241" s="47">
        <v>4</v>
      </c>
      <c r="X241" s="47">
        <v>7000000</v>
      </c>
      <c r="Y241" s="48" t="s">
        <v>146</v>
      </c>
      <c r="Z241" s="56"/>
      <c r="AA241" s="25">
        <f>VLOOKUP(F241,'Zones (3)'!$A$2:$F$15913,6,FALSE)</f>
        <v>987</v>
      </c>
      <c r="AB241" s="25">
        <f>VLOOKUP(L241,'Zones (3)'!$A$2:$F$15913,6,FALSE)</f>
        <v>394</v>
      </c>
    </row>
    <row r="242" spans="2:28">
      <c r="B242" s="39">
        <v>0.78472222222222221</v>
      </c>
      <c r="C242" s="39" t="s">
        <v>300</v>
      </c>
      <c r="D242" s="40">
        <v>7</v>
      </c>
      <c r="E242" s="40">
        <v>1</v>
      </c>
      <c r="F242" s="41" t="s">
        <v>155</v>
      </c>
      <c r="G242" s="41" t="s">
        <v>148</v>
      </c>
      <c r="H242" s="41" t="s">
        <v>633</v>
      </c>
      <c r="I242" s="41">
        <v>3</v>
      </c>
      <c r="J242" s="41">
        <v>4</v>
      </c>
      <c r="K242" s="25" t="str">
        <f>VLOOKUP(J242,Key!$E$2:$F$9,2,FALSE)</f>
        <v>Commercial</v>
      </c>
      <c r="L242" s="41" t="s">
        <v>213</v>
      </c>
      <c r="M242" s="42" t="s">
        <v>150</v>
      </c>
      <c r="N242" s="42" t="s">
        <v>633</v>
      </c>
      <c r="O242" s="42">
        <v>1</v>
      </c>
      <c r="P242" s="42">
        <v>1</v>
      </c>
      <c r="Q242" s="25" t="str">
        <f>VLOOKUP(P242,Key!$E$2:$F$9,2,FALSE)</f>
        <v>Home</v>
      </c>
      <c r="R242" s="25" t="str">
        <f t="shared" si="5"/>
        <v>Commercial-Home</v>
      </c>
      <c r="S242" s="47">
        <v>35</v>
      </c>
      <c r="T242" s="47">
        <v>1</v>
      </c>
      <c r="U242" s="55">
        <v>2</v>
      </c>
      <c r="V242" s="55">
        <v>4</v>
      </c>
      <c r="W242" s="47"/>
      <c r="X242" s="47"/>
      <c r="Y242" s="48" t="s">
        <v>146</v>
      </c>
      <c r="Z242" s="56"/>
      <c r="AA242" s="25">
        <f>VLOOKUP(F242,'Zones (3)'!$A$2:$F$15913,6,FALSE)</f>
        <v>987</v>
      </c>
      <c r="AB242" s="25">
        <f>VLOOKUP(L242,'Zones (3)'!$A$2:$F$15913,6,FALSE)</f>
        <v>381</v>
      </c>
    </row>
    <row r="243" spans="2:28">
      <c r="B243" s="39">
        <v>0.78749999999999998</v>
      </c>
      <c r="C243" s="39" t="s">
        <v>301</v>
      </c>
      <c r="D243" s="40">
        <v>7</v>
      </c>
      <c r="E243" s="40">
        <v>2</v>
      </c>
      <c r="F243" s="41" t="s">
        <v>155</v>
      </c>
      <c r="G243" s="41" t="s">
        <v>148</v>
      </c>
      <c r="H243" s="41" t="s">
        <v>633</v>
      </c>
      <c r="I243" s="41">
        <v>3</v>
      </c>
      <c r="J243" s="41">
        <v>2</v>
      </c>
      <c r="K243" s="25" t="str">
        <f>VLOOKUP(J243,Key!$E$2:$F$9,2,FALSE)</f>
        <v>Work</v>
      </c>
      <c r="L243" s="41" t="s">
        <v>302</v>
      </c>
      <c r="M243" s="42" t="s">
        <v>150</v>
      </c>
      <c r="N243" s="42" t="s">
        <v>633</v>
      </c>
      <c r="O243" s="42">
        <v>1</v>
      </c>
      <c r="P243" s="42">
        <v>1</v>
      </c>
      <c r="Q243" s="25" t="str">
        <f>VLOOKUP(P243,Key!$E$2:$F$9,2,FALSE)</f>
        <v>Home</v>
      </c>
      <c r="R243" s="25" t="str">
        <f t="shared" si="5"/>
        <v>Work-Home</v>
      </c>
      <c r="S243" s="47">
        <v>30</v>
      </c>
      <c r="T243" s="47">
        <v>1</v>
      </c>
      <c r="U243" s="55">
        <v>3</v>
      </c>
      <c r="V243" s="55">
        <v>4</v>
      </c>
      <c r="W243" s="47"/>
      <c r="X243" s="47"/>
      <c r="Y243" s="48" t="s">
        <v>146</v>
      </c>
      <c r="Z243" s="56"/>
      <c r="AA243" s="25">
        <f>VLOOKUP(F243,'Zones (3)'!$A$2:$F$15913,6,FALSE)</f>
        <v>987</v>
      </c>
      <c r="AB243" s="25">
        <f>VLOOKUP(L243,'Zones (3)'!$A$2:$F$15913,6,FALSE)</f>
        <v>390</v>
      </c>
    </row>
    <row r="244" spans="2:28">
      <c r="B244" s="39">
        <v>0.79166666666666663</v>
      </c>
      <c r="C244" s="39" t="s">
        <v>303</v>
      </c>
      <c r="D244" s="40">
        <v>11</v>
      </c>
      <c r="E244" s="40">
        <v>1</v>
      </c>
      <c r="F244" s="41" t="s">
        <v>155</v>
      </c>
      <c r="G244" s="41" t="s">
        <v>148</v>
      </c>
      <c r="H244" s="41" t="s">
        <v>633</v>
      </c>
      <c r="I244" s="41">
        <v>1</v>
      </c>
      <c r="J244" s="41">
        <v>1</v>
      </c>
      <c r="K244" s="25" t="str">
        <f>VLOOKUP(J244,Key!$E$2:$F$9,2,FALSE)</f>
        <v>Home</v>
      </c>
      <c r="L244" s="41" t="s">
        <v>304</v>
      </c>
      <c r="M244" s="42" t="s">
        <v>150</v>
      </c>
      <c r="N244" s="42" t="s">
        <v>633</v>
      </c>
      <c r="O244" s="42">
        <v>1</v>
      </c>
      <c r="P244" s="42">
        <v>1</v>
      </c>
      <c r="Q244" s="25" t="str">
        <f>VLOOKUP(P244,Key!$E$2:$F$9,2,FALSE)</f>
        <v>Home</v>
      </c>
      <c r="R244" s="25" t="str">
        <f t="shared" si="5"/>
        <v>Home-Home</v>
      </c>
      <c r="S244" s="47">
        <v>25</v>
      </c>
      <c r="T244" s="47"/>
      <c r="U244" s="55">
        <v>0.8</v>
      </c>
      <c r="V244" s="55">
        <v>3</v>
      </c>
      <c r="W244" s="47"/>
      <c r="X244" s="47"/>
      <c r="Y244" s="48" t="s">
        <v>146</v>
      </c>
      <c r="Z244" s="56"/>
      <c r="AA244" s="25">
        <f>VLOOKUP(F244,'Zones (3)'!$A$2:$F$15913,6,FALSE)</f>
        <v>987</v>
      </c>
      <c r="AB244" s="25">
        <f>VLOOKUP(L244,'Zones (3)'!$A$2:$F$15913,6,FALSE)</f>
        <v>381</v>
      </c>
    </row>
    <row r="245" spans="2:28">
      <c r="B245" s="39">
        <v>0.86111111111111116</v>
      </c>
      <c r="C245" s="39" t="s">
        <v>305</v>
      </c>
      <c r="D245" s="40">
        <v>11</v>
      </c>
      <c r="E245" s="40">
        <v>1</v>
      </c>
      <c r="F245" s="41" t="s">
        <v>155</v>
      </c>
      <c r="G245" s="41" t="s">
        <v>148</v>
      </c>
      <c r="H245" s="41" t="s">
        <v>633</v>
      </c>
      <c r="I245" s="41">
        <v>8</v>
      </c>
      <c r="J245" s="41">
        <v>2</v>
      </c>
      <c r="K245" s="25" t="str">
        <f>VLOOKUP(J245,Key!$E$2:$F$9,2,FALSE)</f>
        <v>Work</v>
      </c>
      <c r="L245" s="41" t="s">
        <v>169</v>
      </c>
      <c r="M245" s="42" t="s">
        <v>150</v>
      </c>
      <c r="N245" s="42" t="s">
        <v>633</v>
      </c>
      <c r="O245" s="42">
        <v>1</v>
      </c>
      <c r="P245" s="42">
        <v>1</v>
      </c>
      <c r="Q245" s="25" t="str">
        <f>VLOOKUP(P245,Key!$E$2:$F$9,2,FALSE)</f>
        <v>Home</v>
      </c>
      <c r="R245" s="25" t="str">
        <f t="shared" si="5"/>
        <v>Work-Home</v>
      </c>
      <c r="S245" s="47">
        <v>8</v>
      </c>
      <c r="T245" s="47">
        <v>0.5</v>
      </c>
      <c r="U245" s="55">
        <v>1</v>
      </c>
      <c r="V245" s="55"/>
      <c r="W245" s="47"/>
      <c r="X245" s="47"/>
      <c r="Y245" s="48" t="s">
        <v>146</v>
      </c>
      <c r="Z245" s="56"/>
      <c r="AA245" s="25">
        <f>VLOOKUP(F245,'Zones (3)'!$A$2:$F$15913,6,FALSE)</f>
        <v>987</v>
      </c>
      <c r="AB245" s="25">
        <f>VLOOKUP(L245,'Zones (3)'!$A$2:$F$15913,6,FALSE)</f>
        <v>380</v>
      </c>
    </row>
    <row r="246" spans="2:28">
      <c r="B246" s="39">
        <v>0.87361111111111101</v>
      </c>
      <c r="C246" s="39" t="s">
        <v>306</v>
      </c>
      <c r="D246" s="40">
        <v>3</v>
      </c>
      <c r="E246" s="40">
        <v>1</v>
      </c>
      <c r="F246" s="41" t="s">
        <v>155</v>
      </c>
      <c r="G246" s="41" t="s">
        <v>148</v>
      </c>
      <c r="H246" s="41" t="s">
        <v>633</v>
      </c>
      <c r="I246" s="41">
        <v>11</v>
      </c>
      <c r="J246" s="41">
        <v>2</v>
      </c>
      <c r="K246" s="25" t="str">
        <f>VLOOKUP(J246,Key!$E$2:$F$9,2,FALSE)</f>
        <v>Work</v>
      </c>
      <c r="L246" s="41" t="s">
        <v>164</v>
      </c>
      <c r="M246" s="42" t="s">
        <v>150</v>
      </c>
      <c r="N246" s="42" t="s">
        <v>633</v>
      </c>
      <c r="O246" s="42">
        <v>1</v>
      </c>
      <c r="P246" s="42">
        <v>1</v>
      </c>
      <c r="Q246" s="25" t="str">
        <f>VLOOKUP(P246,Key!$E$2:$F$9,2,FALSE)</f>
        <v>Home</v>
      </c>
      <c r="R246" s="25" t="str">
        <f t="shared" si="5"/>
        <v>Work-Home</v>
      </c>
      <c r="S246" s="47">
        <v>2</v>
      </c>
      <c r="T246" s="47">
        <v>0.2</v>
      </c>
      <c r="U246" s="55">
        <v>2</v>
      </c>
      <c r="V246" s="55"/>
      <c r="W246" s="47"/>
      <c r="X246" s="47"/>
      <c r="Y246" s="48" t="s">
        <v>146</v>
      </c>
      <c r="Z246" s="56"/>
      <c r="AA246" s="25">
        <f>VLOOKUP(F246,'Zones (3)'!$A$2:$F$15913,6,FALSE)</f>
        <v>987</v>
      </c>
      <c r="AB246" s="25">
        <f>VLOOKUP(L246,'Zones (3)'!$A$2:$F$15913,6,FALSE)</f>
        <v>538</v>
      </c>
    </row>
    <row r="247" spans="2:28">
      <c r="B247" s="39">
        <v>0.87777777777777777</v>
      </c>
      <c r="C247" s="39" t="s">
        <v>307</v>
      </c>
      <c r="D247" s="40">
        <v>11</v>
      </c>
      <c r="E247" s="40">
        <v>1</v>
      </c>
      <c r="F247" s="41" t="s">
        <v>155</v>
      </c>
      <c r="G247" s="41" t="s">
        <v>148</v>
      </c>
      <c r="H247" s="41" t="s">
        <v>633</v>
      </c>
      <c r="I247" s="41">
        <v>8</v>
      </c>
      <c r="J247" s="41">
        <v>2</v>
      </c>
      <c r="K247" s="25" t="str">
        <f>VLOOKUP(J247,Key!$E$2:$F$9,2,FALSE)</f>
        <v>Work</v>
      </c>
      <c r="L247" s="41" t="s">
        <v>169</v>
      </c>
      <c r="M247" s="42" t="s">
        <v>150</v>
      </c>
      <c r="N247" s="42" t="s">
        <v>633</v>
      </c>
      <c r="O247" s="42">
        <v>1</v>
      </c>
      <c r="P247" s="42">
        <v>1</v>
      </c>
      <c r="Q247" s="25" t="str">
        <f>VLOOKUP(P247,Key!$E$2:$F$9,2,FALSE)</f>
        <v>Home</v>
      </c>
      <c r="R247" s="25" t="str">
        <f t="shared" si="5"/>
        <v>Work-Home</v>
      </c>
      <c r="S247" s="47">
        <v>9</v>
      </c>
      <c r="T247" s="47">
        <v>0.5</v>
      </c>
      <c r="U247" s="55">
        <v>2</v>
      </c>
      <c r="V247" s="55"/>
      <c r="W247" s="47"/>
      <c r="X247" s="47"/>
      <c r="Y247" s="48" t="s">
        <v>146</v>
      </c>
      <c r="Z247" s="56"/>
      <c r="AA247" s="25">
        <f>VLOOKUP(F247,'Zones (3)'!$A$2:$F$15913,6,FALSE)</f>
        <v>987</v>
      </c>
      <c r="AB247" s="25">
        <f>VLOOKUP(L247,'Zones (3)'!$A$2:$F$15913,6,FALSE)</f>
        <v>380</v>
      </c>
    </row>
    <row r="248" spans="2:28">
      <c r="B248" s="39">
        <v>0.88541666666666663</v>
      </c>
      <c r="C248" s="39" t="s">
        <v>308</v>
      </c>
      <c r="D248" s="40">
        <v>11</v>
      </c>
      <c r="E248" s="40">
        <v>1</v>
      </c>
      <c r="F248" s="41" t="s">
        <v>155</v>
      </c>
      <c r="G248" s="41" t="s">
        <v>148</v>
      </c>
      <c r="H248" s="41" t="s">
        <v>633</v>
      </c>
      <c r="I248" s="41">
        <v>8</v>
      </c>
      <c r="J248" s="41">
        <v>2</v>
      </c>
      <c r="K248" s="25" t="str">
        <f>VLOOKUP(J248,Key!$E$2:$F$9,2,FALSE)</f>
        <v>Work</v>
      </c>
      <c r="L248" s="41" t="s">
        <v>309</v>
      </c>
      <c r="M248" s="42" t="s">
        <v>3220</v>
      </c>
      <c r="N248" s="42" t="s">
        <v>633</v>
      </c>
      <c r="O248" s="42">
        <v>1</v>
      </c>
      <c r="P248" s="42">
        <v>1</v>
      </c>
      <c r="Q248" s="25" t="str">
        <f>VLOOKUP(P248,Key!$E$2:$F$9,2,FALSE)</f>
        <v>Home</v>
      </c>
      <c r="R248" s="25" t="str">
        <f t="shared" si="5"/>
        <v>Work-Home</v>
      </c>
      <c r="S248" s="47"/>
      <c r="T248" s="47"/>
      <c r="U248" s="55">
        <v>3</v>
      </c>
      <c r="V248" s="55"/>
      <c r="W248" s="47"/>
      <c r="X248" s="47"/>
      <c r="Y248" s="48" t="s">
        <v>146</v>
      </c>
      <c r="Z248" s="56"/>
      <c r="AA248" s="25">
        <f>VLOOKUP(F248,'Zones (3)'!$A$2:$F$15913,6,FALSE)</f>
        <v>987</v>
      </c>
      <c r="AB248" s="25">
        <f>VLOOKUP(L248,'Zones (3)'!$A$2:$F$15913,6,FALSE)</f>
        <v>690</v>
      </c>
    </row>
    <row r="249" spans="2:28">
      <c r="B249" s="39">
        <v>0.88888888888888884</v>
      </c>
      <c r="C249" s="39" t="s">
        <v>310</v>
      </c>
      <c r="D249" s="40">
        <v>11</v>
      </c>
      <c r="E249" s="40">
        <v>1</v>
      </c>
      <c r="F249" s="41" t="s">
        <v>155</v>
      </c>
      <c r="G249" s="41" t="s">
        <v>148</v>
      </c>
      <c r="H249" s="41" t="s">
        <v>633</v>
      </c>
      <c r="I249" s="41">
        <v>8</v>
      </c>
      <c r="J249" s="41">
        <v>2</v>
      </c>
      <c r="K249" s="25" t="str">
        <f>VLOOKUP(J249,Key!$E$2:$F$9,2,FALSE)</f>
        <v>Work</v>
      </c>
      <c r="L249" s="41" t="s">
        <v>309</v>
      </c>
      <c r="M249" s="42" t="s">
        <v>3220</v>
      </c>
      <c r="N249" s="42" t="s">
        <v>633</v>
      </c>
      <c r="O249" s="42">
        <v>1</v>
      </c>
      <c r="P249" s="42">
        <v>1</v>
      </c>
      <c r="Q249" s="25" t="s">
        <v>101</v>
      </c>
      <c r="R249" s="25" t="str">
        <f t="shared" si="5"/>
        <v>Work-Home</v>
      </c>
      <c r="S249" s="47"/>
      <c r="T249" s="47">
        <v>0.5</v>
      </c>
      <c r="U249" s="55">
        <v>2</v>
      </c>
      <c r="V249" s="55"/>
      <c r="W249" s="47"/>
      <c r="X249" s="47"/>
      <c r="Y249" s="48" t="s">
        <v>146</v>
      </c>
      <c r="Z249" s="56"/>
      <c r="AA249" s="25">
        <f>VLOOKUP(F249,'Zones (3)'!$A$2:$F$15913,6,FALSE)</f>
        <v>987</v>
      </c>
      <c r="AB249" s="25">
        <f>VLOOKUP(L249,'Zones (3)'!$A$2:$F$15913,6,FALSE)</f>
        <v>690</v>
      </c>
    </row>
    <row r="250" spans="2:28">
      <c r="B250" s="39">
        <v>0.89097222222222217</v>
      </c>
      <c r="C250" s="39" t="s">
        <v>311</v>
      </c>
      <c r="D250" s="40">
        <v>11</v>
      </c>
      <c r="E250" s="40">
        <v>1</v>
      </c>
      <c r="F250" s="41" t="s">
        <v>155</v>
      </c>
      <c r="G250" s="41" t="s">
        <v>148</v>
      </c>
      <c r="H250" s="41" t="s">
        <v>633</v>
      </c>
      <c r="I250" s="41">
        <v>8</v>
      </c>
      <c r="J250" s="41">
        <v>2</v>
      </c>
      <c r="K250" s="25" t="str">
        <f>VLOOKUP(J250,Key!$E$2:$F$9,2,FALSE)</f>
        <v>Work</v>
      </c>
      <c r="L250" s="41" t="s">
        <v>164</v>
      </c>
      <c r="M250" s="42" t="s">
        <v>150</v>
      </c>
      <c r="N250" s="42" t="s">
        <v>633</v>
      </c>
      <c r="O250" s="42">
        <v>1</v>
      </c>
      <c r="P250" s="42">
        <v>1</v>
      </c>
      <c r="Q250" s="25" t="str">
        <f>VLOOKUP(P250,Key!$E$2:$F$9,2,FALSE)</f>
        <v>Home</v>
      </c>
      <c r="R250" s="25" t="str">
        <f t="shared" si="5"/>
        <v>Work-Home</v>
      </c>
      <c r="S250" s="47"/>
      <c r="T250" s="47">
        <v>0.2</v>
      </c>
      <c r="U250" s="55">
        <v>2</v>
      </c>
      <c r="V250" s="55"/>
      <c r="W250" s="47"/>
      <c r="X250" s="47"/>
      <c r="Y250" s="48" t="s">
        <v>146</v>
      </c>
      <c r="Z250" s="56"/>
      <c r="AA250" s="25">
        <f>VLOOKUP(F250,'Zones (3)'!$A$2:$F$15913,6,FALSE)</f>
        <v>987</v>
      </c>
      <c r="AB250" s="25">
        <f>VLOOKUP(L250,'Zones (3)'!$A$2:$F$15913,6,FALSE)</f>
        <v>538</v>
      </c>
    </row>
    <row r="251" spans="2:28">
      <c r="B251" s="39">
        <v>0.8965277777777777</v>
      </c>
      <c r="C251" s="39" t="s">
        <v>312</v>
      </c>
      <c r="D251" s="40">
        <v>7</v>
      </c>
      <c r="E251" s="40">
        <v>2</v>
      </c>
      <c r="F251" s="41" t="s">
        <v>313</v>
      </c>
      <c r="G251" s="41" t="s">
        <v>148</v>
      </c>
      <c r="H251" s="41" t="s">
        <v>633</v>
      </c>
      <c r="I251" s="41">
        <v>11</v>
      </c>
      <c r="J251" s="41">
        <v>2</v>
      </c>
      <c r="K251" s="25" t="str">
        <f>VLOOKUP(J251,Key!$E$2:$F$9,2,FALSE)</f>
        <v>Work</v>
      </c>
      <c r="L251" s="41" t="s">
        <v>167</v>
      </c>
      <c r="M251" s="42" t="s">
        <v>150</v>
      </c>
      <c r="N251" s="42" t="s">
        <v>633</v>
      </c>
      <c r="O251" s="42">
        <v>1</v>
      </c>
      <c r="P251" s="42">
        <v>1</v>
      </c>
      <c r="Q251" s="25" t="str">
        <f>VLOOKUP(P251,Key!$E$2:$F$9,2,FALSE)</f>
        <v>Home</v>
      </c>
      <c r="R251" s="25" t="str">
        <f t="shared" si="5"/>
        <v>Work-Home</v>
      </c>
      <c r="S251" s="47">
        <v>12</v>
      </c>
      <c r="T251" s="47">
        <v>1</v>
      </c>
      <c r="U251" s="55">
        <v>2</v>
      </c>
      <c r="V251" s="55">
        <v>10</v>
      </c>
      <c r="W251" s="47">
        <v>1.5</v>
      </c>
      <c r="X251" s="47">
        <v>3000000</v>
      </c>
      <c r="Y251" s="48" t="s">
        <v>146</v>
      </c>
      <c r="Z251" s="56"/>
      <c r="AA251" s="25">
        <f>VLOOKUP(F251,'Zones (3)'!$A$2:$F$15913,6,FALSE)</f>
        <v>990</v>
      </c>
      <c r="AB251" s="25">
        <f>VLOOKUP(L251,'Zones (3)'!$A$2:$F$15913,6,FALSE)</f>
        <v>984</v>
      </c>
    </row>
    <row r="252" spans="2:28">
      <c r="B252" s="39">
        <v>0.90625</v>
      </c>
      <c r="C252" s="39" t="s">
        <v>314</v>
      </c>
      <c r="D252" s="40">
        <v>1</v>
      </c>
      <c r="E252" s="40">
        <v>2</v>
      </c>
      <c r="F252" s="41" t="s">
        <v>155</v>
      </c>
      <c r="G252" s="41" t="s">
        <v>148</v>
      </c>
      <c r="H252" s="41" t="s">
        <v>633</v>
      </c>
      <c r="I252" s="41">
        <v>1</v>
      </c>
      <c r="J252" s="41">
        <v>1</v>
      </c>
      <c r="K252" s="25" t="str">
        <f>VLOOKUP(J252,Key!$E$2:$F$9,2,FALSE)</f>
        <v>Home</v>
      </c>
      <c r="L252" s="41" t="s">
        <v>169</v>
      </c>
      <c r="M252" s="42" t="s">
        <v>150</v>
      </c>
      <c r="N252" s="42" t="s">
        <v>633</v>
      </c>
      <c r="O252" s="42">
        <v>16</v>
      </c>
      <c r="P252" s="42">
        <v>8</v>
      </c>
      <c r="Q252" s="25" t="str">
        <f>VLOOKUP(P252,Key!$E$2:$F$9,2,FALSE)</f>
        <v>Others</v>
      </c>
      <c r="R252" s="25" t="str">
        <f t="shared" si="5"/>
        <v>Home-Others</v>
      </c>
      <c r="S252" s="47">
        <v>12</v>
      </c>
      <c r="T252" s="47">
        <v>0.3</v>
      </c>
      <c r="U252" s="55">
        <v>3</v>
      </c>
      <c r="V252" s="55"/>
      <c r="W252" s="47"/>
      <c r="X252" s="47"/>
      <c r="Y252" s="48" t="s">
        <v>146</v>
      </c>
      <c r="Z252" s="56"/>
      <c r="AA252" s="25">
        <f>VLOOKUP(F252,'Zones (3)'!$A$2:$F$15913,6,FALSE)</f>
        <v>987</v>
      </c>
      <c r="AB252" s="25">
        <f>VLOOKUP(L252,'Zones (3)'!$A$2:$F$15913,6,FALSE)</f>
        <v>380</v>
      </c>
    </row>
    <row r="253" spans="2:28">
      <c r="B253" s="39">
        <v>0.93680555555555556</v>
      </c>
      <c r="C253" s="39" t="s">
        <v>315</v>
      </c>
      <c r="D253" s="40">
        <v>4</v>
      </c>
      <c r="E253" s="40">
        <v>2</v>
      </c>
      <c r="F253" s="41" t="s">
        <v>317</v>
      </c>
      <c r="G253" s="41" t="s">
        <v>316</v>
      </c>
      <c r="H253" s="41" t="s">
        <v>633</v>
      </c>
      <c r="I253" s="41">
        <v>6</v>
      </c>
      <c r="J253" s="41">
        <v>2</v>
      </c>
      <c r="K253" s="25" t="str">
        <f>VLOOKUP(J253,Key!$E$2:$F$9,2,FALSE)</f>
        <v>Work</v>
      </c>
      <c r="L253" s="41" t="s">
        <v>167</v>
      </c>
      <c r="M253" s="42" t="s">
        <v>150</v>
      </c>
      <c r="N253" s="42" t="s">
        <v>633</v>
      </c>
      <c r="O253" s="42">
        <v>1</v>
      </c>
      <c r="P253" s="42">
        <v>1</v>
      </c>
      <c r="Q253" s="25" t="str">
        <f>VLOOKUP(P253,Key!$E$2:$F$9,2,FALSE)</f>
        <v>Home</v>
      </c>
      <c r="R253" s="25" t="str">
        <f t="shared" si="5"/>
        <v>Work-Home</v>
      </c>
      <c r="S253" s="47">
        <v>125</v>
      </c>
      <c r="T253" s="47">
        <v>4</v>
      </c>
      <c r="U253" s="55">
        <v>2</v>
      </c>
      <c r="V253" s="55"/>
      <c r="W253" s="47"/>
      <c r="X253" s="47"/>
      <c r="Y253" s="48" t="s">
        <v>146</v>
      </c>
      <c r="Z253" s="56"/>
      <c r="AA253" s="25">
        <f>VLOOKUP(F253,'Zones (3)'!$A$2:$F$15913,6,FALSE)</f>
        <v>651</v>
      </c>
      <c r="AB253" s="25">
        <f>VLOOKUP(L253,'Zones (3)'!$A$2:$F$15913,6,FALSE)</f>
        <v>984</v>
      </c>
    </row>
    <row r="254" spans="2:28">
      <c r="B254" s="39">
        <v>0.94444444444444453</v>
      </c>
      <c r="C254" s="39" t="s">
        <v>318</v>
      </c>
      <c r="D254" s="40">
        <v>11</v>
      </c>
      <c r="E254" s="40">
        <v>1</v>
      </c>
      <c r="F254" s="41" t="s">
        <v>155</v>
      </c>
      <c r="G254" s="41" t="s">
        <v>148</v>
      </c>
      <c r="H254" s="41" t="s">
        <v>633</v>
      </c>
      <c r="I254" s="41">
        <v>8</v>
      </c>
      <c r="J254" s="41">
        <v>2</v>
      </c>
      <c r="K254" s="25" t="str">
        <f>VLOOKUP(J254,Key!$E$2:$F$9,2,FALSE)</f>
        <v>Work</v>
      </c>
      <c r="L254" s="41" t="s">
        <v>191</v>
      </c>
      <c r="M254" s="42" t="s">
        <v>150</v>
      </c>
      <c r="N254" s="42" t="s">
        <v>633</v>
      </c>
      <c r="O254" s="42">
        <v>1</v>
      </c>
      <c r="P254" s="42">
        <v>1</v>
      </c>
      <c r="Q254" s="25" t="str">
        <f>VLOOKUP(P254,Key!$E$2:$F$9,2,FALSE)</f>
        <v>Home</v>
      </c>
      <c r="R254" s="25" t="str">
        <f t="shared" si="5"/>
        <v>Work-Home</v>
      </c>
      <c r="S254" s="47">
        <v>4</v>
      </c>
      <c r="T254" s="47">
        <v>0.5</v>
      </c>
      <c r="U254" s="55">
        <v>2</v>
      </c>
      <c r="V254" s="55"/>
      <c r="W254" s="47"/>
      <c r="X254" s="47"/>
      <c r="Y254" s="48" t="s">
        <v>146</v>
      </c>
      <c r="Z254" s="56"/>
      <c r="AA254" s="25">
        <f>VLOOKUP(F254,'Zones (3)'!$A$2:$F$15913,6,FALSE)</f>
        <v>987</v>
      </c>
      <c r="AB254" s="25">
        <f>VLOOKUP(L254,'Zones (3)'!$A$2:$F$15913,6,FALSE)</f>
        <v>422</v>
      </c>
    </row>
    <row r="255" spans="2:28">
      <c r="B255" s="39">
        <v>0.95486111111111116</v>
      </c>
      <c r="C255" s="39" t="s">
        <v>319</v>
      </c>
      <c r="D255" s="40">
        <v>11</v>
      </c>
      <c r="E255" s="40">
        <v>1</v>
      </c>
      <c r="F255" s="41" t="s">
        <v>155</v>
      </c>
      <c r="G255" s="41" t="s">
        <v>148</v>
      </c>
      <c r="H255" s="41" t="s">
        <v>633</v>
      </c>
      <c r="I255" s="41">
        <v>8</v>
      </c>
      <c r="J255" s="41">
        <v>2</v>
      </c>
      <c r="K255" s="25" t="str">
        <f>VLOOKUP(J255,Key!$E$2:$F$9,2,FALSE)</f>
        <v>Work</v>
      </c>
      <c r="L255" s="41" t="s">
        <v>201</v>
      </c>
      <c r="M255" s="42" t="s">
        <v>150</v>
      </c>
      <c r="N255" s="42" t="s">
        <v>633</v>
      </c>
      <c r="O255" s="42">
        <v>1</v>
      </c>
      <c r="P255" s="42">
        <v>1</v>
      </c>
      <c r="Q255" s="25" t="str">
        <f>VLOOKUP(P255,Key!$E$2:$F$9,2,FALSE)</f>
        <v>Home</v>
      </c>
      <c r="R255" s="25" t="str">
        <f t="shared" si="5"/>
        <v>Work-Home</v>
      </c>
      <c r="S255" s="47"/>
      <c r="T255" s="47">
        <v>0.3</v>
      </c>
      <c r="U255" s="55">
        <v>2</v>
      </c>
      <c r="V255" s="55"/>
      <c r="W255" s="47"/>
      <c r="X255" s="47"/>
      <c r="Y255" s="48" t="s">
        <v>146</v>
      </c>
      <c r="Z255" s="56"/>
      <c r="AA255" s="25">
        <f>VLOOKUP(F255,'Zones (3)'!$A$2:$F$15913,6,FALSE)</f>
        <v>987</v>
      </c>
      <c r="AB255" s="25">
        <f>VLOOKUP(L255,'Zones (3)'!$A$2:$F$15913,6,FALSE)</f>
        <v>386</v>
      </c>
    </row>
    <row r="256" spans="2:28">
      <c r="B256" s="39">
        <v>0.95972222222222225</v>
      </c>
      <c r="C256" s="39" t="s">
        <v>320</v>
      </c>
      <c r="D256" s="40">
        <v>11</v>
      </c>
      <c r="E256" s="40">
        <v>1</v>
      </c>
      <c r="F256" s="41" t="s">
        <v>155</v>
      </c>
      <c r="G256" s="41" t="s">
        <v>148</v>
      </c>
      <c r="H256" s="41" t="s">
        <v>633</v>
      </c>
      <c r="I256" s="41">
        <v>8</v>
      </c>
      <c r="J256" s="41">
        <v>2</v>
      </c>
      <c r="K256" s="25" t="str">
        <f>VLOOKUP(J256,Key!$E$2:$F$9,2,FALSE)</f>
        <v>Work</v>
      </c>
      <c r="L256" s="41" t="s">
        <v>164</v>
      </c>
      <c r="M256" s="42" t="s">
        <v>150</v>
      </c>
      <c r="N256" s="42" t="s">
        <v>633</v>
      </c>
      <c r="O256" s="42">
        <v>1</v>
      </c>
      <c r="P256" s="42">
        <v>1</v>
      </c>
      <c r="Q256" s="25" t="str">
        <f>VLOOKUP(P256,Key!$E$2:$F$9,2,FALSE)</f>
        <v>Home</v>
      </c>
      <c r="R256" s="25" t="str">
        <f t="shared" si="5"/>
        <v>Work-Home</v>
      </c>
      <c r="S256" s="47">
        <v>3</v>
      </c>
      <c r="T256" s="47">
        <v>0.3</v>
      </c>
      <c r="U256" s="55">
        <v>2</v>
      </c>
      <c r="V256" s="55"/>
      <c r="W256" s="47"/>
      <c r="X256" s="47"/>
      <c r="Y256" s="48" t="s">
        <v>146</v>
      </c>
      <c r="Z256" s="56"/>
      <c r="AA256" s="25">
        <f>VLOOKUP(F256,'Zones (3)'!$A$2:$F$15913,6,FALSE)</f>
        <v>987</v>
      </c>
      <c r="AB256" s="25">
        <f>VLOOKUP(L256,'Zones (3)'!$A$2:$F$15913,6,FALSE)</f>
        <v>538</v>
      </c>
    </row>
    <row r="257" spans="2:28">
      <c r="B257" s="39">
        <v>0.96319444444444446</v>
      </c>
      <c r="C257" s="39" t="s">
        <v>321</v>
      </c>
      <c r="D257" s="40">
        <v>7</v>
      </c>
      <c r="E257" s="40">
        <v>1</v>
      </c>
      <c r="F257" s="41" t="s">
        <v>155</v>
      </c>
      <c r="G257" s="41" t="s">
        <v>148</v>
      </c>
      <c r="H257" s="41" t="s">
        <v>633</v>
      </c>
      <c r="I257" s="41">
        <v>10</v>
      </c>
      <c r="J257" s="41">
        <v>4</v>
      </c>
      <c r="K257" s="25" t="str">
        <f>VLOOKUP(J257,Key!$E$2:$F$9,2,FALSE)</f>
        <v>Commercial</v>
      </c>
      <c r="L257" s="41" t="s">
        <v>201</v>
      </c>
      <c r="M257" s="42" t="s">
        <v>150</v>
      </c>
      <c r="N257" s="42" t="s">
        <v>633</v>
      </c>
      <c r="O257" s="42">
        <v>1</v>
      </c>
      <c r="P257" s="42">
        <v>1</v>
      </c>
      <c r="Q257" s="25" t="str">
        <f>VLOOKUP(P257,Key!$E$2:$F$9,2,FALSE)</f>
        <v>Home</v>
      </c>
      <c r="R257" s="25" t="str">
        <f t="shared" si="5"/>
        <v>Commercial-Home</v>
      </c>
      <c r="S257" s="47">
        <v>8</v>
      </c>
      <c r="T257" s="47">
        <v>0.4</v>
      </c>
      <c r="U257" s="55">
        <v>2</v>
      </c>
      <c r="V257" s="55">
        <v>11</v>
      </c>
      <c r="W257" s="47"/>
      <c r="X257" s="47"/>
      <c r="Y257" s="48" t="s">
        <v>146</v>
      </c>
      <c r="Z257" s="56"/>
      <c r="AA257" s="25">
        <f>VLOOKUP(F257,'Zones (3)'!$A$2:$F$15913,6,FALSE)</f>
        <v>987</v>
      </c>
      <c r="AB257" s="25">
        <f>VLOOKUP(L257,'Zones (3)'!$A$2:$F$15913,6,FALSE)</f>
        <v>386</v>
      </c>
    </row>
    <row r="258" spans="2:28">
      <c r="B258" s="39">
        <v>0.96875</v>
      </c>
      <c r="C258" s="39" t="s">
        <v>322</v>
      </c>
      <c r="D258" s="40">
        <v>11</v>
      </c>
      <c r="E258" s="40">
        <v>1</v>
      </c>
      <c r="F258" s="41" t="s">
        <v>155</v>
      </c>
      <c r="G258" s="41" t="s">
        <v>148</v>
      </c>
      <c r="H258" s="41" t="s">
        <v>633</v>
      </c>
      <c r="I258" s="41">
        <v>8</v>
      </c>
      <c r="J258" s="41">
        <v>2</v>
      </c>
      <c r="K258" s="25" t="str">
        <f>VLOOKUP(J258,Key!$E$2:$F$9,2,FALSE)</f>
        <v>Work</v>
      </c>
      <c r="L258" s="41" t="s">
        <v>164</v>
      </c>
      <c r="M258" s="42" t="s">
        <v>150</v>
      </c>
      <c r="N258" s="42" t="s">
        <v>633</v>
      </c>
      <c r="O258" s="42">
        <v>1</v>
      </c>
      <c r="P258" s="42">
        <v>1</v>
      </c>
      <c r="Q258" s="25" t="str">
        <f>VLOOKUP(P258,Key!$E$2:$F$9,2,FALSE)</f>
        <v>Home</v>
      </c>
      <c r="R258" s="25" t="str">
        <f t="shared" si="5"/>
        <v>Work-Home</v>
      </c>
      <c r="S258" s="47">
        <v>0.5</v>
      </c>
      <c r="T258" s="47">
        <v>0.5</v>
      </c>
      <c r="U258" s="55">
        <v>2</v>
      </c>
      <c r="V258" s="55"/>
      <c r="W258" s="47"/>
      <c r="X258" s="47"/>
      <c r="Y258" s="48" t="s">
        <v>146</v>
      </c>
      <c r="Z258" s="56"/>
      <c r="AA258" s="25">
        <f>VLOOKUP(F258,'Zones (3)'!$A$2:$F$15913,6,FALSE)</f>
        <v>987</v>
      </c>
      <c r="AB258" s="25">
        <f>VLOOKUP(L258,'Zones (3)'!$A$2:$F$15913,6,FALSE)</f>
        <v>538</v>
      </c>
    </row>
    <row r="259" spans="2:28">
      <c r="B259" s="39">
        <v>0.97916666666666663</v>
      </c>
      <c r="C259" s="39" t="s">
        <v>323</v>
      </c>
      <c r="D259" s="40">
        <v>1</v>
      </c>
      <c r="E259" s="40">
        <v>2</v>
      </c>
      <c r="F259" s="41" t="s">
        <v>155</v>
      </c>
      <c r="G259" s="41" t="s">
        <v>148</v>
      </c>
      <c r="H259" s="41" t="s">
        <v>633</v>
      </c>
      <c r="I259" s="41">
        <v>9</v>
      </c>
      <c r="J259" s="41">
        <v>4</v>
      </c>
      <c r="K259" s="25" t="str">
        <f>VLOOKUP(J259,Key!$E$2:$F$9,2,FALSE)</f>
        <v>Commercial</v>
      </c>
      <c r="L259" s="41" t="s">
        <v>162</v>
      </c>
      <c r="M259" s="42" t="s">
        <v>150</v>
      </c>
      <c r="N259" s="42" t="s">
        <v>633</v>
      </c>
      <c r="O259" s="42">
        <v>1</v>
      </c>
      <c r="P259" s="42">
        <v>1</v>
      </c>
      <c r="Q259" s="25" t="str">
        <f>VLOOKUP(P259,Key!$E$2:$F$9,2,FALSE)</f>
        <v>Home</v>
      </c>
      <c r="R259" s="25" t="str">
        <f t="shared" si="5"/>
        <v>Commercial-Home</v>
      </c>
      <c r="S259" s="47">
        <v>59</v>
      </c>
      <c r="T259" s="47">
        <v>1</v>
      </c>
      <c r="U259" s="55">
        <v>3</v>
      </c>
      <c r="V259" s="55"/>
      <c r="W259" s="47"/>
      <c r="X259" s="47"/>
      <c r="Y259" s="48" t="s">
        <v>146</v>
      </c>
      <c r="Z259" s="56"/>
      <c r="AA259" s="25">
        <f>VLOOKUP(F259,'Zones (3)'!$A$2:$F$15913,6,FALSE)</f>
        <v>987</v>
      </c>
      <c r="AB259" s="25">
        <f>VLOOKUP(L259,'Zones (3)'!$A$2:$F$15913,6,FALSE)</f>
        <v>388</v>
      </c>
    </row>
    <row r="260" spans="2:28">
      <c r="B260" s="39">
        <v>0.9902777777777777</v>
      </c>
      <c r="C260" s="39" t="s">
        <v>324</v>
      </c>
      <c r="D260" s="40">
        <v>1</v>
      </c>
      <c r="E260" s="40">
        <v>1</v>
      </c>
      <c r="F260" s="41" t="s">
        <v>173</v>
      </c>
      <c r="G260" s="41" t="s">
        <v>148</v>
      </c>
      <c r="H260" s="41" t="s">
        <v>633</v>
      </c>
      <c r="I260" s="41">
        <v>5</v>
      </c>
      <c r="J260" s="41">
        <v>7</v>
      </c>
      <c r="K260" s="25" t="str">
        <f>VLOOKUP(J260,Key!$E$2:$F$9,2,FALSE)</f>
        <v>Hospital</v>
      </c>
      <c r="L260" s="41" t="s">
        <v>169</v>
      </c>
      <c r="M260" s="42" t="s">
        <v>150</v>
      </c>
      <c r="N260" s="42" t="s">
        <v>633</v>
      </c>
      <c r="O260" s="42">
        <v>1</v>
      </c>
      <c r="P260" s="42">
        <v>1</v>
      </c>
      <c r="Q260" s="25" t="str">
        <f>VLOOKUP(P260,Key!$E$2:$F$9,2,FALSE)</f>
        <v>Home</v>
      </c>
      <c r="R260" s="25" t="str">
        <f t="shared" si="5"/>
        <v>Hospital-Home</v>
      </c>
      <c r="S260" s="47">
        <v>5</v>
      </c>
      <c r="T260" s="47">
        <v>0.3</v>
      </c>
      <c r="U260" s="55">
        <v>2</v>
      </c>
      <c r="V260" s="55"/>
      <c r="W260" s="47"/>
      <c r="X260" s="47"/>
      <c r="Y260" s="48" t="s">
        <v>146</v>
      </c>
      <c r="Z260" s="56"/>
      <c r="AA260" s="25">
        <f>VLOOKUP(F260,'Zones (3)'!$A$2:$F$15913,6,FALSE)</f>
        <v>987</v>
      </c>
      <c r="AB260" s="25">
        <f>VLOOKUP(L260,'Zones (3)'!$A$2:$F$15913,6,FALSE)</f>
        <v>380</v>
      </c>
    </row>
    <row r="261" spans="2:28">
      <c r="B261" s="39">
        <v>0.99791666666666667</v>
      </c>
      <c r="C261" s="39" t="s">
        <v>325</v>
      </c>
      <c r="D261" s="40">
        <v>9</v>
      </c>
      <c r="E261" s="40">
        <v>3</v>
      </c>
      <c r="F261" s="41" t="s">
        <v>155</v>
      </c>
      <c r="G261" s="41" t="s">
        <v>148</v>
      </c>
      <c r="H261" s="41" t="s">
        <v>633</v>
      </c>
      <c r="I261" s="41">
        <v>10</v>
      </c>
      <c r="J261" s="41">
        <v>2</v>
      </c>
      <c r="K261" s="25" t="str">
        <f>VLOOKUP(J261,Key!$E$2:$F$9,2,FALSE)</f>
        <v>Work</v>
      </c>
      <c r="L261" s="41" t="s">
        <v>169</v>
      </c>
      <c r="M261" s="42" t="s">
        <v>150</v>
      </c>
      <c r="N261" s="42" t="s">
        <v>633</v>
      </c>
      <c r="O261" s="42">
        <v>15</v>
      </c>
      <c r="P261" s="42">
        <v>4</v>
      </c>
      <c r="Q261" s="25" t="str">
        <f>VLOOKUP(P261,Key!$E$2:$F$9,2,FALSE)</f>
        <v>Commercial</v>
      </c>
      <c r="R261" s="25" t="str">
        <f t="shared" si="5"/>
        <v>Work-Commercial</v>
      </c>
      <c r="S261" s="47">
        <v>12</v>
      </c>
      <c r="T261" s="47">
        <v>0.5</v>
      </c>
      <c r="U261" s="55">
        <v>2</v>
      </c>
      <c r="V261" s="55">
        <v>4</v>
      </c>
      <c r="W261" s="47">
        <v>17</v>
      </c>
      <c r="X261" s="47"/>
      <c r="Y261" s="48" t="s">
        <v>146</v>
      </c>
      <c r="Z261" s="56"/>
      <c r="AA261" s="25">
        <f>VLOOKUP(F261,'Zones (3)'!$A$2:$F$15913,6,FALSE)</f>
        <v>987</v>
      </c>
      <c r="AB261" s="25">
        <f>VLOOKUP(L261,'Zones (3)'!$A$2:$F$15913,6,FALSE)</f>
        <v>380</v>
      </c>
    </row>
    <row r="262" spans="2:28">
      <c r="B262" s="39">
        <v>0.50694444444444442</v>
      </c>
      <c r="C262" s="39" t="s">
        <v>326</v>
      </c>
      <c r="D262" s="40">
        <v>11</v>
      </c>
      <c r="E262" s="40">
        <v>1</v>
      </c>
      <c r="F262" s="41" t="s">
        <v>195</v>
      </c>
      <c r="G262" s="41" t="s">
        <v>148</v>
      </c>
      <c r="H262" s="41" t="s">
        <v>633</v>
      </c>
      <c r="I262" s="41">
        <v>8</v>
      </c>
      <c r="J262" s="41">
        <v>2</v>
      </c>
      <c r="K262" s="25" t="str">
        <f>VLOOKUP(J262,Key!$E$2:$F$9,2,FALSE)</f>
        <v>Work</v>
      </c>
      <c r="L262" s="41" t="s">
        <v>167</v>
      </c>
      <c r="M262" s="42" t="s">
        <v>150</v>
      </c>
      <c r="N262" s="42" t="s">
        <v>633</v>
      </c>
      <c r="O262" s="42">
        <v>1</v>
      </c>
      <c r="P262" s="42">
        <v>1</v>
      </c>
      <c r="Q262" s="25" t="str">
        <f>VLOOKUP(P262,Key!$E$2:$F$9,2,FALSE)</f>
        <v>Home</v>
      </c>
      <c r="R262" s="25" t="str">
        <f t="shared" si="5"/>
        <v>Work-Home</v>
      </c>
      <c r="S262" s="47"/>
      <c r="T262" s="47"/>
      <c r="U262" s="55">
        <v>2</v>
      </c>
      <c r="V262" s="55"/>
      <c r="W262" s="47"/>
      <c r="X262" s="47"/>
      <c r="Y262" s="48" t="s">
        <v>146</v>
      </c>
      <c r="Z262" s="56"/>
      <c r="AA262" s="25">
        <f>VLOOKUP(F262,'Zones (3)'!$A$2:$F$15913,6,FALSE)</f>
        <v>618</v>
      </c>
      <c r="AB262" s="25">
        <f>VLOOKUP(L262,'Zones (3)'!$A$2:$F$15913,6,FALSE)</f>
        <v>984</v>
      </c>
    </row>
    <row r="263" spans="2:28">
      <c r="B263" s="39">
        <v>0.52083333333333337</v>
      </c>
      <c r="C263" s="39" t="s">
        <v>327</v>
      </c>
      <c r="D263" s="40">
        <v>4</v>
      </c>
      <c r="E263" s="40">
        <v>5</v>
      </c>
      <c r="F263" s="41" t="s">
        <v>184</v>
      </c>
      <c r="G263" s="41" t="s">
        <v>148</v>
      </c>
      <c r="H263" s="41" t="s">
        <v>633</v>
      </c>
      <c r="I263" s="41">
        <v>6</v>
      </c>
      <c r="J263" s="41">
        <v>2</v>
      </c>
      <c r="K263" s="25" t="str">
        <f>VLOOKUP(J263,Key!$E$2:$F$9,2,FALSE)</f>
        <v>Work</v>
      </c>
      <c r="L263" s="41" t="s">
        <v>185</v>
      </c>
      <c r="M263" s="42" t="s">
        <v>150</v>
      </c>
      <c r="N263" s="42" t="s">
        <v>633</v>
      </c>
      <c r="O263" s="42">
        <v>1</v>
      </c>
      <c r="P263" s="42">
        <v>1</v>
      </c>
      <c r="Q263" s="25" t="str">
        <f>VLOOKUP(P263,Key!$E$2:$F$9,2,FALSE)</f>
        <v>Home</v>
      </c>
      <c r="R263" s="25" t="str">
        <f t="shared" si="5"/>
        <v>Work-Home</v>
      </c>
      <c r="S263" s="47">
        <v>0.7</v>
      </c>
      <c r="T263" s="47">
        <v>1.2</v>
      </c>
      <c r="U263" s="55">
        <v>2</v>
      </c>
      <c r="V263" s="55"/>
      <c r="W263" s="47"/>
      <c r="X263" s="47"/>
      <c r="Y263" s="48" t="s">
        <v>146</v>
      </c>
      <c r="Z263" s="56"/>
      <c r="AA263" s="25">
        <f>VLOOKUP(F263,'Zones (3)'!$A$2:$F$15913,6,FALSE)</f>
        <v>987</v>
      </c>
      <c r="AB263" s="25">
        <f>VLOOKUP(L263,'Zones (3)'!$A$2:$F$15913,6,FALSE)</f>
        <v>394</v>
      </c>
    </row>
    <row r="264" spans="2:28">
      <c r="B264" s="39">
        <v>0.53125</v>
      </c>
      <c r="C264" s="39" t="s">
        <v>328</v>
      </c>
      <c r="D264" s="40">
        <v>11</v>
      </c>
      <c r="E264" s="40">
        <v>1</v>
      </c>
      <c r="F264" s="41" t="s">
        <v>195</v>
      </c>
      <c r="G264" s="41" t="s">
        <v>148</v>
      </c>
      <c r="H264" s="41" t="s">
        <v>633</v>
      </c>
      <c r="I264" s="41">
        <v>8</v>
      </c>
      <c r="J264" s="41">
        <v>2</v>
      </c>
      <c r="K264" s="25" t="str">
        <f>VLOOKUP(J264,Key!$E$2:$F$9,2,FALSE)</f>
        <v>Work</v>
      </c>
      <c r="L264" s="41" t="s">
        <v>164</v>
      </c>
      <c r="M264" s="42" t="s">
        <v>150</v>
      </c>
      <c r="N264" s="42" t="s">
        <v>633</v>
      </c>
      <c r="O264" s="42">
        <v>1</v>
      </c>
      <c r="P264" s="42">
        <v>1</v>
      </c>
      <c r="Q264" s="25" t="str">
        <f>VLOOKUP(P264,Key!$E$2:$F$9,2,FALSE)</f>
        <v>Home</v>
      </c>
      <c r="R264" s="25" t="str">
        <f t="shared" si="5"/>
        <v>Work-Home</v>
      </c>
      <c r="S264" s="47">
        <v>5</v>
      </c>
      <c r="T264" s="47">
        <v>0.3</v>
      </c>
      <c r="U264" s="55">
        <v>2</v>
      </c>
      <c r="V264" s="55"/>
      <c r="W264" s="47"/>
      <c r="X264" s="47"/>
      <c r="Y264" s="48" t="s">
        <v>146</v>
      </c>
      <c r="Z264" s="56"/>
      <c r="AA264" s="25">
        <f>VLOOKUP(F264,'Zones (3)'!$A$2:$F$15913,6,FALSE)</f>
        <v>618</v>
      </c>
      <c r="AB264" s="25">
        <f>VLOOKUP(L264,'Zones (3)'!$A$2:$F$15913,6,FALSE)</f>
        <v>538</v>
      </c>
    </row>
    <row r="265" spans="2:28">
      <c r="B265" s="39">
        <v>4.1666666666666664E-2</v>
      </c>
      <c r="C265" s="39" t="s">
        <v>329</v>
      </c>
      <c r="D265" s="40">
        <v>1</v>
      </c>
      <c r="E265" s="40">
        <v>3</v>
      </c>
      <c r="F265" s="41" t="s">
        <v>155</v>
      </c>
      <c r="G265" s="41" t="s">
        <v>148</v>
      </c>
      <c r="H265" s="41" t="s">
        <v>633</v>
      </c>
      <c r="I265" s="41">
        <v>16</v>
      </c>
      <c r="J265" s="41">
        <v>6</v>
      </c>
      <c r="K265" s="25" t="str">
        <f>VLOOKUP(J265,Key!$E$2:$F$9,2,FALSE)</f>
        <v>Leisure/Social</v>
      </c>
      <c r="L265" s="41" t="s">
        <v>167</v>
      </c>
      <c r="M265" s="42" t="s">
        <v>150</v>
      </c>
      <c r="N265" s="42" t="s">
        <v>633</v>
      </c>
      <c r="O265" s="42">
        <v>1</v>
      </c>
      <c r="P265" s="42">
        <v>1</v>
      </c>
      <c r="Q265" s="25" t="str">
        <f>VLOOKUP(P265,Key!$E$2:$F$9,2,FALSE)</f>
        <v>Home</v>
      </c>
      <c r="R265" s="25" t="str">
        <f t="shared" si="5"/>
        <v>Leisure/Social-Home</v>
      </c>
      <c r="S265" s="47"/>
      <c r="T265" s="47"/>
      <c r="U265" s="55">
        <v>3</v>
      </c>
      <c r="V265" s="55"/>
      <c r="W265" s="47"/>
      <c r="X265" s="47"/>
      <c r="Y265" s="48" t="s">
        <v>146</v>
      </c>
      <c r="Z265" s="56"/>
      <c r="AA265" s="25">
        <f>VLOOKUP(F265,'Zones (3)'!$A$2:$F$15913,6,FALSE)</f>
        <v>987</v>
      </c>
      <c r="AB265" s="25">
        <f>VLOOKUP(L265,'Zones (3)'!$A$2:$F$15913,6,FALSE)</f>
        <v>984</v>
      </c>
    </row>
    <row r="266" spans="2:28">
      <c r="B266" s="39">
        <v>0.21875</v>
      </c>
      <c r="C266" s="39" t="s">
        <v>330</v>
      </c>
      <c r="D266" s="40">
        <v>8</v>
      </c>
      <c r="E266" s="40">
        <v>2</v>
      </c>
      <c r="F266" s="41" t="s">
        <v>155</v>
      </c>
      <c r="G266" s="41" t="s">
        <v>148</v>
      </c>
      <c r="H266" s="41" t="s">
        <v>633</v>
      </c>
      <c r="I266" s="41">
        <v>10</v>
      </c>
      <c r="J266" s="41">
        <v>2</v>
      </c>
      <c r="K266" s="25" t="str">
        <f>VLOOKUP(J266,Key!$E$2:$F$9,2,FALSE)</f>
        <v>Work</v>
      </c>
      <c r="L266" s="41" t="s">
        <v>169</v>
      </c>
      <c r="M266" s="42" t="s">
        <v>150</v>
      </c>
      <c r="N266" s="42" t="s">
        <v>633</v>
      </c>
      <c r="O266" s="42">
        <v>15</v>
      </c>
      <c r="P266" s="42">
        <v>4</v>
      </c>
      <c r="Q266" s="25" t="str">
        <f>VLOOKUP(P266,Key!$E$2:$F$9,2,FALSE)</f>
        <v>Commercial</v>
      </c>
      <c r="R266" s="25" t="str">
        <f t="shared" si="5"/>
        <v>Work-Commercial</v>
      </c>
      <c r="S266" s="47">
        <v>12</v>
      </c>
      <c r="T266" s="47">
        <v>0.3</v>
      </c>
      <c r="U266" s="55">
        <v>2</v>
      </c>
      <c r="V266" s="55"/>
      <c r="W266" s="47"/>
      <c r="X266" s="47"/>
      <c r="Y266" s="48" t="s">
        <v>146</v>
      </c>
      <c r="Z266" s="56"/>
      <c r="AA266" s="25">
        <f>VLOOKUP(F266,'Zones (3)'!$A$2:$F$15913,6,FALSE)</f>
        <v>987</v>
      </c>
      <c r="AB266" s="25">
        <f>VLOOKUP(L266,'Zones (3)'!$A$2:$F$15913,6,FALSE)</f>
        <v>380</v>
      </c>
    </row>
    <row r="267" spans="2:28">
      <c r="B267" s="39">
        <v>0.23263888888888887</v>
      </c>
      <c r="C267" s="39" t="s">
        <v>331</v>
      </c>
      <c r="D267" s="40">
        <v>11</v>
      </c>
      <c r="E267" s="40">
        <v>2</v>
      </c>
      <c r="F267" s="41" t="s">
        <v>173</v>
      </c>
      <c r="G267" s="41" t="s">
        <v>148</v>
      </c>
      <c r="H267" s="41" t="s">
        <v>633</v>
      </c>
      <c r="I267" s="41">
        <v>8</v>
      </c>
      <c r="J267" s="41">
        <v>2</v>
      </c>
      <c r="K267" s="25" t="str">
        <f>VLOOKUP(J267,Key!$E$2:$F$9,2,FALSE)</f>
        <v>Work</v>
      </c>
      <c r="L267" s="41" t="s">
        <v>165</v>
      </c>
      <c r="M267" s="42" t="s">
        <v>150</v>
      </c>
      <c r="N267" s="42" t="s">
        <v>633</v>
      </c>
      <c r="O267" s="42">
        <v>1</v>
      </c>
      <c r="P267" s="42">
        <v>1</v>
      </c>
      <c r="Q267" s="25" t="str">
        <f>VLOOKUP(P267,Key!$E$2:$F$9,2,FALSE)</f>
        <v>Home</v>
      </c>
      <c r="R267" s="25" t="str">
        <f t="shared" si="5"/>
        <v>Work-Home</v>
      </c>
      <c r="S267" s="47"/>
      <c r="T267" s="47"/>
      <c r="U267" s="55">
        <v>2</v>
      </c>
      <c r="V267" s="55"/>
      <c r="W267" s="47"/>
      <c r="X267" s="47"/>
      <c r="Y267" s="48" t="s">
        <v>146</v>
      </c>
      <c r="Z267" s="56"/>
      <c r="AA267" s="25">
        <f>VLOOKUP(F267,'Zones (3)'!$A$2:$F$15913,6,FALSE)</f>
        <v>987</v>
      </c>
      <c r="AB267" s="25">
        <f>VLOOKUP(L267,'Zones (3)'!$A$2:$F$15913,6,FALSE)</f>
        <v>376</v>
      </c>
    </row>
    <row r="268" spans="2:28">
      <c r="B268" s="39">
        <v>0.25</v>
      </c>
      <c r="C268" s="39" t="s">
        <v>332</v>
      </c>
      <c r="D268" s="40">
        <v>11</v>
      </c>
      <c r="E268" s="40">
        <v>1</v>
      </c>
      <c r="F268" s="41" t="s">
        <v>195</v>
      </c>
      <c r="G268" s="41" t="s">
        <v>148</v>
      </c>
      <c r="H268" s="41" t="s">
        <v>633</v>
      </c>
      <c r="I268" s="41">
        <v>8</v>
      </c>
      <c r="J268" s="41">
        <v>2</v>
      </c>
      <c r="K268" s="25" t="str">
        <f>VLOOKUP(J268,Key!$E$2:$F$9,2,FALSE)</f>
        <v>Work</v>
      </c>
      <c r="L268" s="41" t="s">
        <v>164</v>
      </c>
      <c r="M268" s="42" t="s">
        <v>150</v>
      </c>
      <c r="N268" s="42" t="s">
        <v>633</v>
      </c>
      <c r="O268" s="42">
        <v>1</v>
      </c>
      <c r="P268" s="42">
        <v>1</v>
      </c>
      <c r="Q268" s="25" t="str">
        <f>VLOOKUP(P268,Key!$E$2:$F$9,2,FALSE)</f>
        <v>Home</v>
      </c>
      <c r="R268" s="25" t="str">
        <f t="shared" si="5"/>
        <v>Work-Home</v>
      </c>
      <c r="S268" s="47">
        <v>1</v>
      </c>
      <c r="T268" s="47">
        <v>0.1</v>
      </c>
      <c r="U268" s="55">
        <v>2</v>
      </c>
      <c r="V268" s="55"/>
      <c r="W268" s="47"/>
      <c r="X268" s="47"/>
      <c r="Y268" s="48" t="s">
        <v>146</v>
      </c>
      <c r="Z268" s="56"/>
      <c r="AA268" s="25">
        <f>VLOOKUP(F268,'Zones (3)'!$A$2:$F$15913,6,FALSE)</f>
        <v>618</v>
      </c>
      <c r="AB268" s="25">
        <f>VLOOKUP(L268,'Zones (3)'!$A$2:$F$15913,6,FALSE)</f>
        <v>538</v>
      </c>
    </row>
    <row r="269" spans="2:28">
      <c r="B269" s="39">
        <v>0.27083333333333331</v>
      </c>
      <c r="C269" s="39" t="s">
        <v>333</v>
      </c>
      <c r="D269" s="40">
        <v>4</v>
      </c>
      <c r="E269" s="40">
        <v>9</v>
      </c>
      <c r="F269" s="41" t="s">
        <v>155</v>
      </c>
      <c r="G269" s="41" t="s">
        <v>148</v>
      </c>
      <c r="H269" s="41" t="s">
        <v>633</v>
      </c>
      <c r="I269" s="41">
        <v>6</v>
      </c>
      <c r="J269" s="41">
        <v>2</v>
      </c>
      <c r="K269" s="25" t="str">
        <f>VLOOKUP(J269,Key!$E$2:$F$9,2,FALSE)</f>
        <v>Work</v>
      </c>
      <c r="L269" s="41" t="s">
        <v>334</v>
      </c>
      <c r="M269" s="42" t="s">
        <v>150</v>
      </c>
      <c r="N269" s="42" t="s">
        <v>633</v>
      </c>
      <c r="O269" s="42">
        <v>6</v>
      </c>
      <c r="P269" s="42">
        <v>2</v>
      </c>
      <c r="Q269" s="25" t="str">
        <f>VLOOKUP(P269,Key!$E$2:$F$9,2,FALSE)</f>
        <v>Work</v>
      </c>
      <c r="R269" s="25" t="str">
        <f t="shared" si="5"/>
        <v>Work-Work</v>
      </c>
      <c r="S269" s="47">
        <v>62</v>
      </c>
      <c r="T269" s="47">
        <v>2</v>
      </c>
      <c r="U269" s="55">
        <v>3</v>
      </c>
      <c r="V269" s="55"/>
      <c r="W269" s="47"/>
      <c r="X269" s="47"/>
      <c r="Y269" s="48" t="s">
        <v>146</v>
      </c>
      <c r="Z269" s="56"/>
      <c r="AA269" s="25">
        <f>VLOOKUP(F269,'Zones (3)'!$A$2:$F$15913,6,FALSE)</f>
        <v>987</v>
      </c>
      <c r="AB269" s="25">
        <f>VLOOKUP(L269,'Zones (3)'!$A$2:$F$15913,6,FALSE)</f>
        <v>379</v>
      </c>
    </row>
    <row r="270" spans="2:28">
      <c r="B270" s="39">
        <v>0.28125</v>
      </c>
      <c r="C270" s="39" t="s">
        <v>335</v>
      </c>
      <c r="D270" s="40">
        <v>1</v>
      </c>
      <c r="E270" s="40">
        <v>1</v>
      </c>
      <c r="F270" s="41" t="s">
        <v>155</v>
      </c>
      <c r="G270" s="41" t="s">
        <v>148</v>
      </c>
      <c r="H270" s="41" t="s">
        <v>633</v>
      </c>
      <c r="I270" s="41">
        <v>11</v>
      </c>
      <c r="J270" s="41">
        <v>2</v>
      </c>
      <c r="K270" s="25" t="str">
        <f>VLOOKUP(J270,Key!$E$2:$F$9,2,FALSE)</f>
        <v>Work</v>
      </c>
      <c r="L270" s="41" t="s">
        <v>191</v>
      </c>
      <c r="M270" s="42" t="s">
        <v>150</v>
      </c>
      <c r="N270" s="42" t="s">
        <v>633</v>
      </c>
      <c r="O270" s="42">
        <v>1</v>
      </c>
      <c r="P270" s="42">
        <v>1</v>
      </c>
      <c r="Q270" s="25" t="str">
        <f>VLOOKUP(P270,Key!$E$2:$F$9,2,FALSE)</f>
        <v>Home</v>
      </c>
      <c r="R270" s="25" t="str">
        <f t="shared" si="5"/>
        <v>Work-Home</v>
      </c>
      <c r="S270" s="47">
        <v>7</v>
      </c>
      <c r="T270" s="47">
        <v>0.2</v>
      </c>
      <c r="U270" s="55">
        <v>2</v>
      </c>
      <c r="V270" s="55"/>
      <c r="W270" s="47"/>
      <c r="X270" s="47"/>
      <c r="Y270" s="48" t="s">
        <v>146</v>
      </c>
      <c r="Z270" s="56"/>
      <c r="AA270" s="25">
        <f>VLOOKUP(F270,'Zones (3)'!$A$2:$F$15913,6,FALSE)</f>
        <v>987</v>
      </c>
      <c r="AB270" s="25">
        <f>VLOOKUP(L270,'Zones (3)'!$A$2:$F$15913,6,FALSE)</f>
        <v>422</v>
      </c>
    </row>
    <row r="271" spans="2:28">
      <c r="B271" s="39">
        <v>0.87222222222222223</v>
      </c>
      <c r="C271" s="39" t="s">
        <v>336</v>
      </c>
      <c r="D271" s="40">
        <v>11</v>
      </c>
      <c r="E271" s="41">
        <v>1</v>
      </c>
      <c r="F271" s="41" t="s">
        <v>169</v>
      </c>
      <c r="G271" s="42" t="s">
        <v>150</v>
      </c>
      <c r="H271" s="41" t="s">
        <v>147</v>
      </c>
      <c r="I271" s="42">
        <v>8</v>
      </c>
      <c r="J271" s="42">
        <v>2</v>
      </c>
      <c r="K271" s="25" t="str">
        <f>VLOOKUP(J271,Key!$E$2:$F$9,2,FALSE)</f>
        <v>Work</v>
      </c>
      <c r="L271" s="41" t="s">
        <v>175</v>
      </c>
      <c r="M271" s="42" t="s">
        <v>148</v>
      </c>
      <c r="N271" s="41" t="s">
        <v>147</v>
      </c>
      <c r="O271" s="42">
        <v>8</v>
      </c>
      <c r="P271" s="42">
        <v>2</v>
      </c>
      <c r="Q271" s="25" t="str">
        <f>VLOOKUP(P271,Key!$E$2:$F$9,2,FALSE)</f>
        <v>Work</v>
      </c>
      <c r="R271" s="25" t="str">
        <f>K271&amp;"-"&amp;Q271</f>
        <v>Work-Work</v>
      </c>
      <c r="S271" s="47">
        <v>7</v>
      </c>
      <c r="T271" s="47">
        <v>0.1</v>
      </c>
      <c r="U271" s="42">
        <v>2</v>
      </c>
      <c r="V271" s="42"/>
      <c r="W271" s="47"/>
      <c r="X271" s="47"/>
      <c r="Y271" s="48" t="s">
        <v>146</v>
      </c>
      <c r="Z271" s="59"/>
      <c r="AA271" s="25">
        <f>VLOOKUP(F271,'Zones (3)'!$A$2:$F$15913,6,FALSE)</f>
        <v>380</v>
      </c>
      <c r="AB271" s="25">
        <f>VLOOKUP(L271,'Zones (3)'!$A$2:$F$15913,6,FALSE)</f>
        <v>987</v>
      </c>
    </row>
    <row r="272" spans="2:28">
      <c r="B272" s="39">
        <v>0.87847222222222221</v>
      </c>
      <c r="C272" s="39" t="s">
        <v>337</v>
      </c>
      <c r="D272" s="40">
        <v>1</v>
      </c>
      <c r="E272" s="41">
        <v>3</v>
      </c>
      <c r="F272" s="41" t="s">
        <v>209</v>
      </c>
      <c r="G272" s="42" t="s">
        <v>150</v>
      </c>
      <c r="H272" s="41" t="s">
        <v>147</v>
      </c>
      <c r="I272" s="42">
        <v>2</v>
      </c>
      <c r="J272" s="42">
        <v>2</v>
      </c>
      <c r="K272" s="25" t="str">
        <f>VLOOKUP(J272,Key!$E$2:$F$9,2,FALSE)</f>
        <v>Work</v>
      </c>
      <c r="L272" s="41" t="s">
        <v>155</v>
      </c>
      <c r="M272" s="42" t="s">
        <v>148</v>
      </c>
      <c r="N272" s="41" t="s">
        <v>147</v>
      </c>
      <c r="O272" s="42">
        <v>1</v>
      </c>
      <c r="P272" s="42">
        <v>1</v>
      </c>
      <c r="Q272" s="25" t="str">
        <f>VLOOKUP(P272,Key!$E$2:$F$9,2,FALSE)</f>
        <v>Home</v>
      </c>
      <c r="R272" s="25" t="str">
        <f t="shared" ref="R272:R335" si="6">K272&amp;"-"&amp;Q272</f>
        <v>Work-Home</v>
      </c>
      <c r="S272" s="47">
        <v>37</v>
      </c>
      <c r="T272" s="47">
        <v>0.7</v>
      </c>
      <c r="U272" s="42">
        <v>2</v>
      </c>
      <c r="V272" s="42"/>
      <c r="W272" s="47"/>
      <c r="X272" s="47"/>
      <c r="Y272" s="48" t="s">
        <v>146</v>
      </c>
      <c r="Z272" s="59"/>
      <c r="AA272" s="25">
        <f>VLOOKUP(F272,'Zones (3)'!$A$2:$F$15913,6,FALSE)</f>
        <v>379</v>
      </c>
      <c r="AB272" s="25">
        <f>VLOOKUP(L272,'Zones (3)'!$A$2:$F$15913,6,FALSE)</f>
        <v>987</v>
      </c>
    </row>
    <row r="273" spans="2:28">
      <c r="B273" s="39">
        <v>0.88194444444444453</v>
      </c>
      <c r="C273" s="39" t="s">
        <v>338</v>
      </c>
      <c r="D273" s="40">
        <v>1</v>
      </c>
      <c r="E273" s="41">
        <v>2</v>
      </c>
      <c r="F273" s="41" t="s">
        <v>164</v>
      </c>
      <c r="G273" s="42" t="s">
        <v>150</v>
      </c>
      <c r="H273" s="41" t="s">
        <v>147</v>
      </c>
      <c r="I273" s="42">
        <v>1</v>
      </c>
      <c r="J273" s="42">
        <v>1</v>
      </c>
      <c r="K273" s="25" t="str">
        <f>VLOOKUP(J273,Key!$E$2:$F$9,2,FALSE)</f>
        <v>Home</v>
      </c>
      <c r="L273" s="41" t="s">
        <v>155</v>
      </c>
      <c r="M273" s="42" t="s">
        <v>148</v>
      </c>
      <c r="N273" s="41" t="s">
        <v>147</v>
      </c>
      <c r="O273" s="42">
        <v>11</v>
      </c>
      <c r="P273" s="42">
        <v>2</v>
      </c>
      <c r="Q273" s="25" t="str">
        <f>VLOOKUP(P273,Key!$E$2:$F$9,2,FALSE)</f>
        <v>Work</v>
      </c>
      <c r="R273" s="25" t="str">
        <f t="shared" si="6"/>
        <v>Home-Work</v>
      </c>
      <c r="S273" s="47">
        <v>3</v>
      </c>
      <c r="T273" s="47">
        <v>0.2</v>
      </c>
      <c r="U273" s="42">
        <v>2</v>
      </c>
      <c r="V273" s="42"/>
      <c r="W273" s="47"/>
      <c r="X273" s="47"/>
      <c r="Y273" s="48" t="s">
        <v>146</v>
      </c>
      <c r="Z273" s="59"/>
      <c r="AA273" s="25">
        <f>VLOOKUP(F273,'Zones (3)'!$A$2:$F$15913,6,FALSE)</f>
        <v>538</v>
      </c>
      <c r="AB273" s="25">
        <f>VLOOKUP(L273,'Zones (3)'!$A$2:$F$15913,6,FALSE)</f>
        <v>987</v>
      </c>
    </row>
    <row r="274" spans="2:28">
      <c r="B274" s="39">
        <v>0.88750000000000007</v>
      </c>
      <c r="C274" s="39" t="s">
        <v>339</v>
      </c>
      <c r="D274" s="40">
        <v>8</v>
      </c>
      <c r="E274" s="41">
        <v>1</v>
      </c>
      <c r="F274" s="41" t="s">
        <v>213</v>
      </c>
      <c r="G274" s="42" t="s">
        <v>150</v>
      </c>
      <c r="H274" s="41" t="s">
        <v>147</v>
      </c>
      <c r="I274" s="42">
        <v>3</v>
      </c>
      <c r="J274" s="42">
        <v>2</v>
      </c>
      <c r="K274" s="25" t="str">
        <f>VLOOKUP(J274,Key!$E$2:$F$9,2,FALSE)</f>
        <v>Work</v>
      </c>
      <c r="L274" s="41" t="s">
        <v>155</v>
      </c>
      <c r="M274" s="42" t="s">
        <v>148</v>
      </c>
      <c r="N274" s="41" t="s">
        <v>147</v>
      </c>
      <c r="O274" s="42">
        <v>1</v>
      </c>
      <c r="P274" s="42">
        <v>1</v>
      </c>
      <c r="Q274" s="25" t="str">
        <f>VLOOKUP(P274,Key!$E$2:$F$9,2,FALSE)</f>
        <v>Home</v>
      </c>
      <c r="R274" s="25" t="str">
        <f t="shared" si="6"/>
        <v>Work-Home</v>
      </c>
      <c r="S274" s="47">
        <v>68</v>
      </c>
      <c r="T274" s="47">
        <v>1</v>
      </c>
      <c r="U274" s="42">
        <v>2</v>
      </c>
      <c r="V274" s="42">
        <v>11</v>
      </c>
      <c r="W274" s="47"/>
      <c r="X274" s="47"/>
      <c r="Y274" s="48" t="s">
        <v>146</v>
      </c>
      <c r="Z274" s="59"/>
      <c r="AA274" s="25">
        <f>VLOOKUP(F274,'Zones (3)'!$A$2:$F$15913,6,FALSE)</f>
        <v>381</v>
      </c>
      <c r="AB274" s="25">
        <f>VLOOKUP(L274,'Zones (3)'!$A$2:$F$15913,6,FALSE)</f>
        <v>987</v>
      </c>
    </row>
    <row r="275" spans="2:28">
      <c r="B275" s="39">
        <v>0.89236111111111116</v>
      </c>
      <c r="C275" s="39" t="s">
        <v>340</v>
      </c>
      <c r="D275" s="40">
        <v>1</v>
      </c>
      <c r="E275" s="41">
        <v>2</v>
      </c>
      <c r="F275" s="41" t="s">
        <v>164</v>
      </c>
      <c r="G275" s="42" t="s">
        <v>150</v>
      </c>
      <c r="H275" s="41" t="s">
        <v>147</v>
      </c>
      <c r="I275" s="42">
        <v>1</v>
      </c>
      <c r="J275" s="42">
        <v>1</v>
      </c>
      <c r="K275" s="25" t="str">
        <f>VLOOKUP(J275,Key!$E$2:$F$9,2,FALSE)</f>
        <v>Home</v>
      </c>
      <c r="L275" s="41" t="s">
        <v>155</v>
      </c>
      <c r="M275" s="42" t="s">
        <v>148</v>
      </c>
      <c r="N275" s="41" t="s">
        <v>147</v>
      </c>
      <c r="O275" s="42">
        <v>5</v>
      </c>
      <c r="P275" s="42">
        <v>7</v>
      </c>
      <c r="Q275" s="25" t="str">
        <f>VLOOKUP(P275,Key!$E$2:$F$9,2,FALSE)</f>
        <v>Hospital</v>
      </c>
      <c r="R275" s="25" t="str">
        <f t="shared" si="6"/>
        <v>Home-Hospital</v>
      </c>
      <c r="S275" s="47">
        <v>3</v>
      </c>
      <c r="T275" s="47">
        <v>0.1</v>
      </c>
      <c r="U275" s="42">
        <v>3</v>
      </c>
      <c r="V275" s="42"/>
      <c r="W275" s="47"/>
      <c r="X275" s="47"/>
      <c r="Y275" s="48" t="s">
        <v>146</v>
      </c>
      <c r="Z275" s="59"/>
      <c r="AA275" s="25">
        <f>VLOOKUP(F275,'Zones (3)'!$A$2:$F$15913,6,FALSE)</f>
        <v>538</v>
      </c>
      <c r="AB275" s="25">
        <f>VLOOKUP(L275,'Zones (3)'!$A$2:$F$15913,6,FALSE)</f>
        <v>987</v>
      </c>
    </row>
    <row r="276" spans="2:28">
      <c r="B276" s="39">
        <v>0.89722222222222225</v>
      </c>
      <c r="C276" s="39" t="s">
        <v>341</v>
      </c>
      <c r="D276" s="40">
        <v>11</v>
      </c>
      <c r="E276" s="41">
        <v>2</v>
      </c>
      <c r="F276" s="41" t="s">
        <v>342</v>
      </c>
      <c r="G276" s="42" t="s">
        <v>148</v>
      </c>
      <c r="H276" s="41" t="s">
        <v>147</v>
      </c>
      <c r="I276" s="42">
        <v>8</v>
      </c>
      <c r="J276" s="42">
        <v>2</v>
      </c>
      <c r="K276" s="25" t="str">
        <f>VLOOKUP(J276,Key!$E$2:$F$9,2,FALSE)</f>
        <v>Work</v>
      </c>
      <c r="L276" s="41" t="s">
        <v>155</v>
      </c>
      <c r="M276" s="42" t="s">
        <v>148</v>
      </c>
      <c r="N276" s="41" t="s">
        <v>147</v>
      </c>
      <c r="O276" s="42">
        <v>8</v>
      </c>
      <c r="P276" s="42">
        <v>2</v>
      </c>
      <c r="Q276" s="25" t="str">
        <f>VLOOKUP(P276,Key!$E$2:$F$9,2,FALSE)</f>
        <v>Work</v>
      </c>
      <c r="R276" s="25" t="str">
        <f t="shared" si="6"/>
        <v>Work-Work</v>
      </c>
      <c r="S276" s="47">
        <v>5</v>
      </c>
      <c r="T276" s="47">
        <v>0.2</v>
      </c>
      <c r="U276" s="42">
        <v>2</v>
      </c>
      <c r="V276" s="42"/>
      <c r="W276" s="47"/>
      <c r="X276" s="47"/>
      <c r="Y276" s="48" t="s">
        <v>146</v>
      </c>
      <c r="Z276" s="59"/>
      <c r="AA276" s="25">
        <f>VLOOKUP(F276,'Zones (3)'!$A$2:$F$15913,6,FALSE)</f>
        <v>991</v>
      </c>
      <c r="AB276" s="25">
        <f>VLOOKUP(L276,'Zones (3)'!$A$2:$F$15913,6,FALSE)</f>
        <v>987</v>
      </c>
    </row>
    <row r="277" spans="2:28">
      <c r="B277" s="39">
        <v>0.90138888888888891</v>
      </c>
      <c r="C277" s="39" t="s">
        <v>343</v>
      </c>
      <c r="D277" s="40">
        <v>1</v>
      </c>
      <c r="E277" s="41">
        <v>1</v>
      </c>
      <c r="F277" s="41" t="s">
        <v>169</v>
      </c>
      <c r="G277" s="42" t="s">
        <v>150</v>
      </c>
      <c r="H277" s="41" t="s">
        <v>147</v>
      </c>
      <c r="I277" s="42">
        <v>2</v>
      </c>
      <c r="J277" s="42">
        <v>2</v>
      </c>
      <c r="K277" s="25" t="str">
        <f>VLOOKUP(J277,Key!$E$2:$F$9,2,FALSE)</f>
        <v>Work</v>
      </c>
      <c r="L277" s="41" t="s">
        <v>155</v>
      </c>
      <c r="M277" s="42" t="s">
        <v>148</v>
      </c>
      <c r="N277" s="41" t="s">
        <v>147</v>
      </c>
      <c r="O277" s="42">
        <v>1</v>
      </c>
      <c r="P277" s="42">
        <v>1</v>
      </c>
      <c r="Q277" s="25" t="str">
        <f>VLOOKUP(P277,Key!$E$2:$F$9,2,FALSE)</f>
        <v>Home</v>
      </c>
      <c r="R277" s="25" t="str">
        <f t="shared" si="6"/>
        <v>Work-Home</v>
      </c>
      <c r="S277" s="47">
        <v>11</v>
      </c>
      <c r="T277" s="47">
        <v>0.2</v>
      </c>
      <c r="U277" s="42">
        <v>2</v>
      </c>
      <c r="V277" s="42"/>
      <c r="W277" s="47"/>
      <c r="X277" s="47"/>
      <c r="Y277" s="48" t="s">
        <v>146</v>
      </c>
      <c r="Z277" s="59"/>
      <c r="AA277" s="25">
        <f>VLOOKUP(F277,'Zones (3)'!$A$2:$F$15913,6,FALSE)</f>
        <v>380</v>
      </c>
      <c r="AB277" s="25">
        <f>VLOOKUP(L277,'Zones (3)'!$A$2:$F$15913,6,FALSE)</f>
        <v>987</v>
      </c>
    </row>
    <row r="278" spans="2:28">
      <c r="B278" s="39">
        <v>0.90972222222222221</v>
      </c>
      <c r="C278" s="39" t="s">
        <v>344</v>
      </c>
      <c r="D278" s="40">
        <v>2</v>
      </c>
      <c r="E278" s="41">
        <v>1</v>
      </c>
      <c r="F278" s="41" t="s">
        <v>345</v>
      </c>
      <c r="G278" s="42" t="s">
        <v>150</v>
      </c>
      <c r="H278" s="41" t="s">
        <v>147</v>
      </c>
      <c r="I278" s="42">
        <v>4</v>
      </c>
      <c r="J278" s="42">
        <v>3</v>
      </c>
      <c r="K278" s="25" t="str">
        <f>VLOOKUP(J278,Key!$E$2:$F$9,2,FALSE)</f>
        <v>Study</v>
      </c>
      <c r="L278" s="41" t="s">
        <v>155</v>
      </c>
      <c r="M278" s="42" t="s">
        <v>148</v>
      </c>
      <c r="N278" s="41" t="s">
        <v>147</v>
      </c>
      <c r="O278" s="42">
        <v>1</v>
      </c>
      <c r="P278" s="42">
        <v>1</v>
      </c>
      <c r="Q278" s="25" t="str">
        <f>VLOOKUP(P278,Key!$E$2:$F$9,2,FALSE)</f>
        <v>Home</v>
      </c>
      <c r="R278" s="25" t="str">
        <f t="shared" si="6"/>
        <v>Study-Home</v>
      </c>
      <c r="S278" s="47">
        <v>4</v>
      </c>
      <c r="T278" s="47">
        <v>0.3</v>
      </c>
      <c r="U278" s="42">
        <v>3</v>
      </c>
      <c r="V278" s="42"/>
      <c r="W278" s="47"/>
      <c r="X278" s="47"/>
      <c r="Y278" s="48" t="s">
        <v>146</v>
      </c>
      <c r="Z278" s="59"/>
      <c r="AA278" s="25">
        <f>VLOOKUP(F278,'Zones (3)'!$A$2:$F$15913,6,FALSE)</f>
        <v>1439</v>
      </c>
      <c r="AB278" s="25">
        <f>VLOOKUP(L278,'Zones (3)'!$A$2:$F$15913,6,FALSE)</f>
        <v>987</v>
      </c>
    </row>
    <row r="279" spans="2:28">
      <c r="B279" s="39">
        <v>0.91875000000000007</v>
      </c>
      <c r="C279" s="39" t="s">
        <v>346</v>
      </c>
      <c r="D279" s="40">
        <v>8</v>
      </c>
      <c r="E279" s="41">
        <v>3</v>
      </c>
      <c r="F279" s="41" t="s">
        <v>169</v>
      </c>
      <c r="G279" s="42" t="s">
        <v>150</v>
      </c>
      <c r="H279" s="41" t="s">
        <v>147</v>
      </c>
      <c r="I279" s="42">
        <v>16</v>
      </c>
      <c r="J279" s="42">
        <v>8</v>
      </c>
      <c r="K279" s="25" t="str">
        <f>VLOOKUP(J279,Key!$E$2:$F$9,2,FALSE)</f>
        <v>Others</v>
      </c>
      <c r="L279" s="41" t="s">
        <v>234</v>
      </c>
      <c r="M279" s="42" t="s">
        <v>235</v>
      </c>
      <c r="N279" s="41" t="s">
        <v>147</v>
      </c>
      <c r="O279" s="42">
        <v>11</v>
      </c>
      <c r="P279" s="42">
        <v>4</v>
      </c>
      <c r="Q279" s="25" t="str">
        <f>VLOOKUP(P279,Key!$E$2:$F$9,2,FALSE)</f>
        <v>Commercial</v>
      </c>
      <c r="R279" s="25" t="str">
        <f t="shared" si="6"/>
        <v>Others-Commercial</v>
      </c>
      <c r="S279" s="47">
        <v>423</v>
      </c>
      <c r="T279" s="47">
        <v>4</v>
      </c>
      <c r="U279" s="42">
        <v>3</v>
      </c>
      <c r="V279" s="42">
        <v>1</v>
      </c>
      <c r="W279" s="47"/>
      <c r="X279" s="47">
        <v>5</v>
      </c>
      <c r="Y279" s="48" t="s">
        <v>146</v>
      </c>
      <c r="Z279" s="59"/>
      <c r="AA279" s="25">
        <f>VLOOKUP(F279,'Zones (3)'!$A$2:$F$15913,6,FALSE)</f>
        <v>380</v>
      </c>
      <c r="AB279" s="25">
        <f>VLOOKUP(L279,'Zones (3)'!$A$2:$F$15913,6,FALSE)</f>
        <v>521</v>
      </c>
    </row>
    <row r="280" spans="2:28">
      <c r="B280" s="39">
        <v>0.92847222222222225</v>
      </c>
      <c r="C280" s="39" t="s">
        <v>347</v>
      </c>
      <c r="D280" s="40">
        <v>2</v>
      </c>
      <c r="E280" s="41">
        <v>3</v>
      </c>
      <c r="F280" s="41" t="s">
        <v>171</v>
      </c>
      <c r="G280" s="42" t="s">
        <v>150</v>
      </c>
      <c r="H280" s="41" t="s">
        <v>147</v>
      </c>
      <c r="I280" s="42">
        <v>1</v>
      </c>
      <c r="J280" s="42">
        <v>1</v>
      </c>
      <c r="K280" s="25" t="str">
        <f>VLOOKUP(J280,Key!$E$2:$F$9,2,FALSE)</f>
        <v>Home</v>
      </c>
      <c r="L280" s="41" t="s">
        <v>155</v>
      </c>
      <c r="M280" s="42" t="s">
        <v>148</v>
      </c>
      <c r="N280" s="41" t="s">
        <v>147</v>
      </c>
      <c r="O280" s="42">
        <v>5</v>
      </c>
      <c r="P280" s="42">
        <v>7</v>
      </c>
      <c r="Q280" s="25" t="str">
        <f>VLOOKUP(P280,Key!$E$2:$F$9,2,FALSE)</f>
        <v>Hospital</v>
      </c>
      <c r="R280" s="25" t="str">
        <f t="shared" si="6"/>
        <v>Home-Hospital</v>
      </c>
      <c r="S280" s="47">
        <v>31</v>
      </c>
      <c r="T280" s="47">
        <v>1.5</v>
      </c>
      <c r="U280" s="42">
        <v>4</v>
      </c>
      <c r="V280" s="42"/>
      <c r="W280" s="47"/>
      <c r="X280" s="47"/>
      <c r="Y280" s="48" t="s">
        <v>146</v>
      </c>
      <c r="Z280" s="59"/>
      <c r="AA280" s="25">
        <f>VLOOKUP(F280,'Zones (3)'!$A$2:$F$15913,6,FALSE)</f>
        <v>379</v>
      </c>
      <c r="AB280" s="25">
        <f>VLOOKUP(L280,'Zones (3)'!$A$2:$F$15913,6,FALSE)</f>
        <v>987</v>
      </c>
    </row>
    <row r="281" spans="2:28">
      <c r="B281" s="39">
        <v>0.93333333333333324</v>
      </c>
      <c r="C281" s="39" t="s">
        <v>348</v>
      </c>
      <c r="D281" s="40">
        <v>3</v>
      </c>
      <c r="E281" s="41">
        <v>1</v>
      </c>
      <c r="F281" s="41" t="s">
        <v>349</v>
      </c>
      <c r="G281" s="42" t="s">
        <v>150</v>
      </c>
      <c r="H281" s="41" t="s">
        <v>147</v>
      </c>
      <c r="I281" s="42">
        <v>1</v>
      </c>
      <c r="J281" s="42">
        <v>1</v>
      </c>
      <c r="K281" s="25" t="str">
        <f>VLOOKUP(J281,Key!$E$2:$F$9,2,FALSE)</f>
        <v>Home</v>
      </c>
      <c r="L281" s="41" t="s">
        <v>173</v>
      </c>
      <c r="M281" s="42" t="s">
        <v>148</v>
      </c>
      <c r="N281" s="41" t="s">
        <v>147</v>
      </c>
      <c r="O281" s="42">
        <v>7</v>
      </c>
      <c r="P281" s="42">
        <v>4</v>
      </c>
      <c r="Q281" s="25" t="str">
        <f>VLOOKUP(P281,Key!$E$2:$F$9,2,FALSE)</f>
        <v>Commercial</v>
      </c>
      <c r="R281" s="25" t="str">
        <f t="shared" si="6"/>
        <v>Home-Commercial</v>
      </c>
      <c r="S281" s="47">
        <v>7</v>
      </c>
      <c r="T281" s="47">
        <v>0.3</v>
      </c>
      <c r="U281" s="42">
        <v>3</v>
      </c>
      <c r="V281" s="42">
        <v>11</v>
      </c>
      <c r="W281" s="47"/>
      <c r="X281" s="47"/>
      <c r="Y281" s="48" t="s">
        <v>146</v>
      </c>
      <c r="Z281" s="59"/>
      <c r="AA281" s="25">
        <f>VLOOKUP(F281,'Zones (3)'!$A$2:$F$15913,6,FALSE)</f>
        <v>608</v>
      </c>
      <c r="AB281" s="25">
        <f>VLOOKUP(L281,'Zones (3)'!$A$2:$F$15913,6,FALSE)</f>
        <v>987</v>
      </c>
    </row>
    <row r="282" spans="2:28">
      <c r="B282" s="39">
        <v>0.94444444444444453</v>
      </c>
      <c r="C282" s="39" t="s">
        <v>350</v>
      </c>
      <c r="D282" s="40">
        <v>8</v>
      </c>
      <c r="E282" s="41">
        <v>2</v>
      </c>
      <c r="F282" s="41" t="s">
        <v>171</v>
      </c>
      <c r="G282" s="42" t="s">
        <v>150</v>
      </c>
      <c r="H282" s="41" t="s">
        <v>147</v>
      </c>
      <c r="I282" s="42">
        <v>9</v>
      </c>
      <c r="J282" s="42">
        <v>4</v>
      </c>
      <c r="K282" s="25" t="str">
        <f>VLOOKUP(J282,Key!$E$2:$F$9,2,FALSE)</f>
        <v>Commercial</v>
      </c>
      <c r="L282" s="41" t="s">
        <v>234</v>
      </c>
      <c r="M282" s="42" t="s">
        <v>235</v>
      </c>
      <c r="N282" s="41" t="s">
        <v>147</v>
      </c>
      <c r="O282" s="42">
        <v>11</v>
      </c>
      <c r="P282" s="42">
        <v>4</v>
      </c>
      <c r="Q282" s="25" t="str">
        <f>VLOOKUP(P282,Key!$E$2:$F$9,2,FALSE)</f>
        <v>Commercial</v>
      </c>
      <c r="R282" s="25" t="str">
        <f t="shared" si="6"/>
        <v>Commercial-Commercial</v>
      </c>
      <c r="S282" s="47">
        <v>31</v>
      </c>
      <c r="T282" s="47">
        <v>2</v>
      </c>
      <c r="U282" s="42">
        <v>4</v>
      </c>
      <c r="V282" s="42">
        <v>1</v>
      </c>
      <c r="W282" s="47"/>
      <c r="X282" s="47"/>
      <c r="Y282" s="48" t="s">
        <v>146</v>
      </c>
      <c r="Z282" s="59"/>
      <c r="AA282" s="25">
        <f>VLOOKUP(F282,'Zones (3)'!$A$2:$F$15913,6,FALSE)</f>
        <v>379</v>
      </c>
      <c r="AB282" s="25">
        <f>VLOOKUP(L282,'Zones (3)'!$A$2:$F$15913,6,FALSE)</f>
        <v>521</v>
      </c>
    </row>
    <row r="283" spans="2:28">
      <c r="B283" s="39">
        <v>0.97152777777777777</v>
      </c>
      <c r="C283" s="39" t="s">
        <v>351</v>
      </c>
      <c r="D283" s="40">
        <v>11</v>
      </c>
      <c r="E283" s="41">
        <v>23</v>
      </c>
      <c r="F283" s="41" t="s">
        <v>342</v>
      </c>
      <c r="G283" s="42" t="s">
        <v>148</v>
      </c>
      <c r="H283" s="41" t="s">
        <v>147</v>
      </c>
      <c r="I283" s="42">
        <v>8</v>
      </c>
      <c r="J283" s="42">
        <v>2</v>
      </c>
      <c r="K283" s="25" t="str">
        <f>VLOOKUP(J283,Key!$E$2:$F$9,2,FALSE)</f>
        <v>Work</v>
      </c>
      <c r="L283" s="41" t="s">
        <v>164</v>
      </c>
      <c r="M283" s="42" t="s">
        <v>150</v>
      </c>
      <c r="N283" s="41" t="s">
        <v>147</v>
      </c>
      <c r="O283" s="42">
        <v>8</v>
      </c>
      <c r="P283" s="42">
        <v>2</v>
      </c>
      <c r="Q283" s="25" t="str">
        <f>VLOOKUP(P283,Key!$E$2:$F$9,2,FALSE)</f>
        <v>Work</v>
      </c>
      <c r="R283" s="25" t="str">
        <f t="shared" si="6"/>
        <v>Work-Work</v>
      </c>
      <c r="S283" s="47">
        <v>1</v>
      </c>
      <c r="T283" s="47">
        <v>0.1</v>
      </c>
      <c r="U283" s="42">
        <v>2</v>
      </c>
      <c r="V283" s="42"/>
      <c r="W283" s="47"/>
      <c r="X283" s="47"/>
      <c r="Y283" s="48" t="s">
        <v>146</v>
      </c>
      <c r="Z283" s="59"/>
      <c r="AA283" s="25">
        <f>VLOOKUP(F283,'Zones (3)'!$A$2:$F$15913,6,FALSE)</f>
        <v>991</v>
      </c>
      <c r="AB283" s="25">
        <f>VLOOKUP(L283,'Zones (3)'!$A$2:$F$15913,6,FALSE)</f>
        <v>538</v>
      </c>
    </row>
    <row r="284" spans="2:28">
      <c r="B284" s="39">
        <v>0.98611111111111116</v>
      </c>
      <c r="C284" s="39" t="s">
        <v>352</v>
      </c>
      <c r="D284" s="40">
        <v>1</v>
      </c>
      <c r="E284" s="41">
        <v>1</v>
      </c>
      <c r="F284" s="41" t="s">
        <v>162</v>
      </c>
      <c r="G284" s="42" t="s">
        <v>150</v>
      </c>
      <c r="H284" s="41" t="s">
        <v>147</v>
      </c>
      <c r="I284" s="42">
        <v>2</v>
      </c>
      <c r="J284" s="42">
        <v>2</v>
      </c>
      <c r="K284" s="25" t="str">
        <f>VLOOKUP(J284,Key!$E$2:$F$9,2,FALSE)</f>
        <v>Work</v>
      </c>
      <c r="L284" s="41" t="s">
        <v>155</v>
      </c>
      <c r="M284" s="42" t="s">
        <v>148</v>
      </c>
      <c r="N284" s="41" t="s">
        <v>147</v>
      </c>
      <c r="O284" s="42">
        <v>1</v>
      </c>
      <c r="P284" s="42">
        <v>1</v>
      </c>
      <c r="Q284" s="25" t="str">
        <f>VLOOKUP(P284,Key!$E$2:$F$9,2,FALSE)</f>
        <v>Home</v>
      </c>
      <c r="R284" s="25" t="str">
        <f t="shared" si="6"/>
        <v>Work-Home</v>
      </c>
      <c r="S284" s="47"/>
      <c r="T284" s="47">
        <v>1</v>
      </c>
      <c r="U284" s="42">
        <v>2</v>
      </c>
      <c r="V284" s="42"/>
      <c r="W284" s="47"/>
      <c r="X284" s="47"/>
      <c r="Y284" s="48" t="s">
        <v>146</v>
      </c>
      <c r="Z284" s="59"/>
      <c r="AA284" s="25">
        <f>VLOOKUP(F284,'Zones (3)'!$A$2:$F$15913,6,FALSE)</f>
        <v>388</v>
      </c>
      <c r="AB284" s="25">
        <f>VLOOKUP(L284,'Zones (3)'!$A$2:$F$15913,6,FALSE)</f>
        <v>987</v>
      </c>
    </row>
    <row r="285" spans="2:28">
      <c r="B285" s="39">
        <v>0.99791666666666667</v>
      </c>
      <c r="C285" s="39" t="s">
        <v>353</v>
      </c>
      <c r="D285" s="40">
        <v>8</v>
      </c>
      <c r="E285" s="41">
        <v>1</v>
      </c>
      <c r="F285" s="41" t="s">
        <v>171</v>
      </c>
      <c r="G285" s="42" t="s">
        <v>150</v>
      </c>
      <c r="H285" s="41" t="s">
        <v>147</v>
      </c>
      <c r="I285" s="42">
        <v>16</v>
      </c>
      <c r="J285" s="42">
        <v>2</v>
      </c>
      <c r="K285" s="25" t="str">
        <f>VLOOKUP(J285,Key!$E$2:$F$9,2,FALSE)</f>
        <v>Work</v>
      </c>
      <c r="L285" s="41" t="s">
        <v>155</v>
      </c>
      <c r="M285" s="42" t="s">
        <v>148</v>
      </c>
      <c r="N285" s="41" t="s">
        <v>147</v>
      </c>
      <c r="O285" s="42">
        <v>11</v>
      </c>
      <c r="P285" s="42">
        <v>4</v>
      </c>
      <c r="Q285" s="25" t="str">
        <f>VLOOKUP(P285,Key!$E$2:$F$9,2,FALSE)</f>
        <v>Commercial</v>
      </c>
      <c r="R285" s="25" t="str">
        <f t="shared" si="6"/>
        <v>Work-Commercial</v>
      </c>
      <c r="S285" s="47">
        <v>32</v>
      </c>
      <c r="T285" s="47">
        <v>1</v>
      </c>
      <c r="U285" s="42">
        <v>3</v>
      </c>
      <c r="V285" s="42">
        <v>1</v>
      </c>
      <c r="W285" s="47"/>
      <c r="X285" s="47"/>
      <c r="Y285" s="48" t="s">
        <v>146</v>
      </c>
      <c r="Z285" s="59"/>
      <c r="AA285" s="25">
        <f>VLOOKUP(F285,'Zones (3)'!$A$2:$F$15913,6,FALSE)</f>
        <v>379</v>
      </c>
      <c r="AB285" s="25">
        <f>VLOOKUP(L285,'Zones (3)'!$A$2:$F$15913,6,FALSE)</f>
        <v>987</v>
      </c>
    </row>
    <row r="286" spans="2:28">
      <c r="B286" s="39">
        <v>0.50694444444444442</v>
      </c>
      <c r="C286" s="39" t="s">
        <v>354</v>
      </c>
      <c r="D286" s="40">
        <v>2</v>
      </c>
      <c r="E286" s="41">
        <v>1</v>
      </c>
      <c r="F286" s="41" t="s">
        <v>355</v>
      </c>
      <c r="G286" s="42" t="s">
        <v>150</v>
      </c>
      <c r="H286" s="41" t="s">
        <v>147</v>
      </c>
      <c r="I286" s="42">
        <v>3</v>
      </c>
      <c r="J286" s="42">
        <v>2</v>
      </c>
      <c r="K286" s="25" t="str">
        <f>VLOOKUP(J286,Key!$E$2:$F$9,2,FALSE)</f>
        <v>Work</v>
      </c>
      <c r="L286" s="41" t="s">
        <v>155</v>
      </c>
      <c r="M286" s="42" t="s">
        <v>148</v>
      </c>
      <c r="N286" s="41" t="s">
        <v>147</v>
      </c>
      <c r="O286" s="42">
        <v>1</v>
      </c>
      <c r="P286" s="42">
        <v>1</v>
      </c>
      <c r="Q286" s="25" t="str">
        <f>VLOOKUP(P286,Key!$E$2:$F$9,2,FALSE)</f>
        <v>Home</v>
      </c>
      <c r="R286" s="25" t="str">
        <f t="shared" si="6"/>
        <v>Work-Home</v>
      </c>
      <c r="S286" s="47"/>
      <c r="T286" s="47">
        <v>0.5</v>
      </c>
      <c r="U286" s="42">
        <v>2</v>
      </c>
      <c r="V286" s="42"/>
      <c r="W286" s="47"/>
      <c r="X286" s="47"/>
      <c r="Y286" s="48" t="s">
        <v>146</v>
      </c>
      <c r="Z286" s="59"/>
      <c r="AA286" s="25">
        <f>VLOOKUP(F286,'Zones (3)'!$A$2:$F$15913,6,FALSE)</f>
        <v>379</v>
      </c>
      <c r="AB286" s="25">
        <f>VLOOKUP(L286,'Zones (3)'!$A$2:$F$15913,6,FALSE)</f>
        <v>987</v>
      </c>
    </row>
    <row r="287" spans="2:28">
      <c r="B287" s="39">
        <v>0.52152777777777781</v>
      </c>
      <c r="C287" s="39" t="s">
        <v>356</v>
      </c>
      <c r="D287" s="40">
        <v>11</v>
      </c>
      <c r="E287" s="41">
        <v>1</v>
      </c>
      <c r="F287" s="41" t="s">
        <v>164</v>
      </c>
      <c r="G287" s="42" t="s">
        <v>150</v>
      </c>
      <c r="H287" s="41" t="s">
        <v>147</v>
      </c>
      <c r="I287" s="42">
        <v>8</v>
      </c>
      <c r="J287" s="42">
        <v>2</v>
      </c>
      <c r="K287" s="25" t="str">
        <f>VLOOKUP(J287,Key!$E$2:$F$9,2,FALSE)</f>
        <v>Work</v>
      </c>
      <c r="L287" s="41" t="s">
        <v>173</v>
      </c>
      <c r="M287" s="42" t="s">
        <v>148</v>
      </c>
      <c r="N287" s="41" t="s">
        <v>147</v>
      </c>
      <c r="O287" s="42">
        <v>1</v>
      </c>
      <c r="P287" s="42">
        <v>1</v>
      </c>
      <c r="Q287" s="25" t="str">
        <f>VLOOKUP(P287,Key!$E$2:$F$9,2,FALSE)</f>
        <v>Home</v>
      </c>
      <c r="R287" s="25" t="str">
        <f t="shared" si="6"/>
        <v>Work-Home</v>
      </c>
      <c r="S287" s="47">
        <v>4</v>
      </c>
      <c r="T287" s="47">
        <v>0.2</v>
      </c>
      <c r="U287" s="42">
        <v>1</v>
      </c>
      <c r="V287" s="42"/>
      <c r="W287" s="47"/>
      <c r="X287" s="47"/>
      <c r="Y287" s="48" t="s">
        <v>146</v>
      </c>
      <c r="Z287" s="59"/>
      <c r="AA287" s="25">
        <f>VLOOKUP(F287,'Zones (3)'!$A$2:$F$15913,6,FALSE)</f>
        <v>538</v>
      </c>
      <c r="AB287" s="25">
        <f>VLOOKUP(L287,'Zones (3)'!$A$2:$F$15913,6,FALSE)</f>
        <v>987</v>
      </c>
    </row>
    <row r="288" spans="2:28">
      <c r="B288" s="39">
        <v>0.53472222222222221</v>
      </c>
      <c r="C288" s="39" t="s">
        <v>357</v>
      </c>
      <c r="D288" s="40">
        <v>2</v>
      </c>
      <c r="E288" s="41">
        <v>1</v>
      </c>
      <c r="F288" s="41" t="s">
        <v>345</v>
      </c>
      <c r="G288" s="42" t="s">
        <v>150</v>
      </c>
      <c r="H288" s="41" t="s">
        <v>147</v>
      </c>
      <c r="I288" s="42">
        <v>9</v>
      </c>
      <c r="J288" s="42">
        <v>4</v>
      </c>
      <c r="K288" s="25" t="str">
        <f>VLOOKUP(J288,Key!$E$2:$F$9,2,FALSE)</f>
        <v>Commercial</v>
      </c>
      <c r="L288" s="41" t="s">
        <v>195</v>
      </c>
      <c r="M288" s="42" t="s">
        <v>148</v>
      </c>
      <c r="N288" s="41" t="s">
        <v>147</v>
      </c>
      <c r="O288" s="42">
        <v>1</v>
      </c>
      <c r="P288" s="42">
        <v>1</v>
      </c>
      <c r="Q288" s="25" t="str">
        <f>VLOOKUP(P288,Key!$E$2:$F$9,2,FALSE)</f>
        <v>Home</v>
      </c>
      <c r="R288" s="25" t="str">
        <f t="shared" si="6"/>
        <v>Commercial-Home</v>
      </c>
      <c r="S288" s="47">
        <v>10</v>
      </c>
      <c r="T288" s="47">
        <v>0.6</v>
      </c>
      <c r="U288" s="42">
        <v>3</v>
      </c>
      <c r="V288" s="42"/>
      <c r="W288" s="47"/>
      <c r="X288" s="47"/>
      <c r="Y288" s="48" t="s">
        <v>146</v>
      </c>
      <c r="Z288" s="59"/>
      <c r="AA288" s="25">
        <f>VLOOKUP(F288,'Zones (3)'!$A$2:$F$15913,6,FALSE)</f>
        <v>1439</v>
      </c>
      <c r="AB288" s="25">
        <f>VLOOKUP(L288,'Zones (3)'!$A$2:$F$15913,6,FALSE)</f>
        <v>618</v>
      </c>
    </row>
    <row r="289" spans="2:28">
      <c r="B289" s="39">
        <v>5.347222222222222E-2</v>
      </c>
      <c r="C289" s="39" t="s">
        <v>358</v>
      </c>
      <c r="D289" s="40">
        <v>8</v>
      </c>
      <c r="E289" s="41">
        <v>4</v>
      </c>
      <c r="F289" s="41" t="s">
        <v>169</v>
      </c>
      <c r="G289" s="42" t="s">
        <v>150</v>
      </c>
      <c r="H289" s="41" t="s">
        <v>147</v>
      </c>
      <c r="I289" s="42">
        <v>9</v>
      </c>
      <c r="J289" s="42">
        <v>2</v>
      </c>
      <c r="K289" s="25" t="str">
        <f>VLOOKUP(J289,Key!$E$2:$F$9,2,FALSE)</f>
        <v>Work</v>
      </c>
      <c r="L289" s="41" t="s">
        <v>234</v>
      </c>
      <c r="M289" s="42" t="s">
        <v>235</v>
      </c>
      <c r="N289" s="41" t="s">
        <v>147</v>
      </c>
      <c r="O289" s="42">
        <v>11</v>
      </c>
      <c r="P289" s="42">
        <v>4</v>
      </c>
      <c r="Q289" s="25" t="str">
        <f>VLOOKUP(P289,Key!$E$2:$F$9,2,FALSE)</f>
        <v>Commercial</v>
      </c>
      <c r="R289" s="25" t="str">
        <f t="shared" si="6"/>
        <v>Work-Commercial</v>
      </c>
      <c r="S289" s="47">
        <v>340</v>
      </c>
      <c r="T289" s="47">
        <v>3.5</v>
      </c>
      <c r="U289" s="42">
        <v>4</v>
      </c>
      <c r="V289" s="42">
        <v>11</v>
      </c>
      <c r="W289" s="47">
        <v>12</v>
      </c>
      <c r="X289" s="47">
        <v>7</v>
      </c>
      <c r="Y289" s="48" t="s">
        <v>146</v>
      </c>
      <c r="Z289" s="59"/>
      <c r="AA289" s="25">
        <f>VLOOKUP(F289,'Zones (3)'!$A$2:$F$15913,6,FALSE)</f>
        <v>380</v>
      </c>
      <c r="AB289" s="25">
        <f>VLOOKUP(L289,'Zones (3)'!$A$2:$F$15913,6,FALSE)</f>
        <v>521</v>
      </c>
    </row>
    <row r="290" spans="2:28">
      <c r="B290" s="39">
        <v>5.9027777777777783E-2</v>
      </c>
      <c r="C290" s="39" t="s">
        <v>359</v>
      </c>
      <c r="D290" s="40">
        <v>1</v>
      </c>
      <c r="E290" s="41">
        <v>3</v>
      </c>
      <c r="F290" s="41" t="s">
        <v>201</v>
      </c>
      <c r="G290" s="42" t="s">
        <v>150</v>
      </c>
      <c r="H290" s="41" t="s">
        <v>147</v>
      </c>
      <c r="I290" s="42">
        <v>1</v>
      </c>
      <c r="J290" s="42">
        <v>1</v>
      </c>
      <c r="K290" s="25" t="str">
        <f>VLOOKUP(J290,Key!$E$2:$F$9,2,FALSE)</f>
        <v>Home</v>
      </c>
      <c r="L290" s="41" t="s">
        <v>155</v>
      </c>
      <c r="M290" s="42" t="s">
        <v>148</v>
      </c>
      <c r="N290" s="41" t="s">
        <v>147</v>
      </c>
      <c r="O290" s="42">
        <v>5</v>
      </c>
      <c r="P290" s="42">
        <v>7</v>
      </c>
      <c r="Q290" s="25" t="str">
        <f>VLOOKUP(P290,Key!$E$2:$F$9,2,FALSE)</f>
        <v>Hospital</v>
      </c>
      <c r="R290" s="25" t="str">
        <f t="shared" si="6"/>
        <v>Home-Hospital</v>
      </c>
      <c r="S290" s="47">
        <v>15</v>
      </c>
      <c r="T290" s="47">
        <v>0.5</v>
      </c>
      <c r="U290" s="42">
        <v>4</v>
      </c>
      <c r="V290" s="42"/>
      <c r="W290" s="47"/>
      <c r="X290" s="47"/>
      <c r="Y290" s="48" t="s">
        <v>146</v>
      </c>
      <c r="Z290" s="59"/>
      <c r="AA290" s="25">
        <f>VLOOKUP(F290,'Zones (3)'!$A$2:$F$15913,6,FALSE)</f>
        <v>386</v>
      </c>
      <c r="AB290" s="25">
        <f>VLOOKUP(L290,'Zones (3)'!$A$2:$F$15913,6,FALSE)</f>
        <v>987</v>
      </c>
    </row>
    <row r="291" spans="2:28">
      <c r="B291" s="39">
        <v>6.805555555555555E-2</v>
      </c>
      <c r="C291" s="39" t="s">
        <v>360</v>
      </c>
      <c r="D291" s="40">
        <v>8</v>
      </c>
      <c r="E291" s="41">
        <v>5</v>
      </c>
      <c r="F291" s="41" t="s">
        <v>262</v>
      </c>
      <c r="G291" s="42" t="s">
        <v>150</v>
      </c>
      <c r="H291" s="41" t="s">
        <v>147</v>
      </c>
      <c r="I291" s="42">
        <v>15</v>
      </c>
      <c r="J291" s="42">
        <v>4</v>
      </c>
      <c r="K291" s="25" t="str">
        <f>VLOOKUP(J291,Key!$E$2:$F$9,2,FALSE)</f>
        <v>Commercial</v>
      </c>
      <c r="L291" s="41" t="s">
        <v>155</v>
      </c>
      <c r="M291" s="42" t="s">
        <v>148</v>
      </c>
      <c r="N291" s="41" t="s">
        <v>147</v>
      </c>
      <c r="O291" s="42">
        <v>10</v>
      </c>
      <c r="P291" s="42">
        <v>2</v>
      </c>
      <c r="Q291" s="25" t="str">
        <f>VLOOKUP(P291,Key!$E$2:$F$9,2,FALSE)</f>
        <v>Work</v>
      </c>
      <c r="R291" s="25" t="str">
        <f t="shared" si="6"/>
        <v>Commercial-Work</v>
      </c>
      <c r="S291" s="47">
        <v>18</v>
      </c>
      <c r="T291" s="47">
        <v>0.5</v>
      </c>
      <c r="U291" s="42">
        <v>1</v>
      </c>
      <c r="V291" s="42">
        <v>4</v>
      </c>
      <c r="W291" s="47"/>
      <c r="X291" s="47"/>
      <c r="Y291" s="48" t="s">
        <v>146</v>
      </c>
      <c r="Z291" s="59"/>
      <c r="AA291" s="25">
        <f>VLOOKUP(F291,'Zones (3)'!$A$2:$F$15913,6,FALSE)</f>
        <v>850</v>
      </c>
      <c r="AB291" s="25">
        <f>VLOOKUP(L291,'Zones (3)'!$A$2:$F$15913,6,FALSE)</f>
        <v>987</v>
      </c>
    </row>
    <row r="292" spans="2:28">
      <c r="B292" s="39">
        <v>7.3611111111111113E-2</v>
      </c>
      <c r="C292" s="39" t="s">
        <v>361</v>
      </c>
      <c r="D292" s="40">
        <v>11</v>
      </c>
      <c r="E292" s="41">
        <v>1</v>
      </c>
      <c r="F292" s="41" t="s">
        <v>169</v>
      </c>
      <c r="G292" s="42" t="s">
        <v>150</v>
      </c>
      <c r="H292" s="41" t="s">
        <v>147</v>
      </c>
      <c r="I292" s="42">
        <v>8</v>
      </c>
      <c r="J292" s="42">
        <v>2</v>
      </c>
      <c r="K292" s="25" t="str">
        <f>VLOOKUP(J292,Key!$E$2:$F$9,2,FALSE)</f>
        <v>Work</v>
      </c>
      <c r="L292" s="41" t="s">
        <v>155</v>
      </c>
      <c r="M292" s="42" t="s">
        <v>148</v>
      </c>
      <c r="N292" s="41" t="s">
        <v>147</v>
      </c>
      <c r="O292" s="42">
        <v>1</v>
      </c>
      <c r="P292" s="42">
        <v>1</v>
      </c>
      <c r="Q292" s="25" t="str">
        <f>VLOOKUP(P292,Key!$E$2:$F$9,2,FALSE)</f>
        <v>Home</v>
      </c>
      <c r="R292" s="25" t="str">
        <f t="shared" si="6"/>
        <v>Work-Home</v>
      </c>
      <c r="S292" s="47">
        <v>13</v>
      </c>
      <c r="T292" s="47">
        <v>0.8</v>
      </c>
      <c r="U292" s="42">
        <v>1</v>
      </c>
      <c r="V292" s="42"/>
      <c r="W292" s="47"/>
      <c r="X292" s="47"/>
      <c r="Y292" s="48" t="s">
        <v>146</v>
      </c>
      <c r="Z292" s="59"/>
      <c r="AA292" s="25">
        <f>VLOOKUP(F292,'Zones (3)'!$A$2:$F$15913,6,FALSE)</f>
        <v>380</v>
      </c>
      <c r="AB292" s="25">
        <f>VLOOKUP(L292,'Zones (3)'!$A$2:$F$15913,6,FALSE)</f>
        <v>987</v>
      </c>
    </row>
    <row r="293" spans="2:28">
      <c r="B293" s="39">
        <v>8.7500000000000008E-2</v>
      </c>
      <c r="C293" s="39" t="s">
        <v>362</v>
      </c>
      <c r="D293" s="40">
        <v>8</v>
      </c>
      <c r="E293" s="41">
        <v>1</v>
      </c>
      <c r="F293" s="41" t="s">
        <v>213</v>
      </c>
      <c r="G293" s="42" t="s">
        <v>150</v>
      </c>
      <c r="H293" s="41" t="s">
        <v>147</v>
      </c>
      <c r="I293" s="42">
        <v>3</v>
      </c>
      <c r="J293" s="42">
        <v>4</v>
      </c>
      <c r="K293" s="25" t="str">
        <f>VLOOKUP(J293,Key!$E$2:$F$9,2,FALSE)</f>
        <v>Commercial</v>
      </c>
      <c r="L293" s="41" t="s">
        <v>195</v>
      </c>
      <c r="M293" s="42" t="s">
        <v>148</v>
      </c>
      <c r="N293" s="41" t="s">
        <v>147</v>
      </c>
      <c r="O293" s="42">
        <v>1</v>
      </c>
      <c r="P293" s="42">
        <v>1</v>
      </c>
      <c r="Q293" s="25" t="str">
        <f>VLOOKUP(P293,Key!$E$2:$F$9,2,FALSE)</f>
        <v>Home</v>
      </c>
      <c r="R293" s="25" t="str">
        <f t="shared" si="6"/>
        <v>Commercial-Home</v>
      </c>
      <c r="S293" s="47">
        <v>20</v>
      </c>
      <c r="T293" s="47">
        <v>1</v>
      </c>
      <c r="U293" s="42">
        <v>2</v>
      </c>
      <c r="V293" s="42"/>
      <c r="W293" s="47"/>
      <c r="X293" s="47"/>
      <c r="Y293" s="48" t="s">
        <v>146</v>
      </c>
      <c r="Z293" s="59"/>
      <c r="AA293" s="25">
        <f>VLOOKUP(F293,'Zones (3)'!$A$2:$F$15913,6,FALSE)</f>
        <v>381</v>
      </c>
      <c r="AB293" s="25">
        <f>VLOOKUP(L293,'Zones (3)'!$A$2:$F$15913,6,FALSE)</f>
        <v>618</v>
      </c>
    </row>
    <row r="294" spans="2:28">
      <c r="B294" s="39">
        <v>0.10486111111111111</v>
      </c>
      <c r="C294" s="39" t="s">
        <v>363</v>
      </c>
      <c r="D294" s="40">
        <v>8</v>
      </c>
      <c r="E294" s="41">
        <v>2</v>
      </c>
      <c r="F294" s="41" t="s">
        <v>171</v>
      </c>
      <c r="G294" s="42" t="s">
        <v>150</v>
      </c>
      <c r="H294" s="41" t="s">
        <v>147</v>
      </c>
      <c r="I294" s="42">
        <v>9</v>
      </c>
      <c r="J294" s="42">
        <v>4</v>
      </c>
      <c r="K294" s="25" t="str">
        <f>VLOOKUP(J294,Key!$E$2:$F$9,2,FALSE)</f>
        <v>Commercial</v>
      </c>
      <c r="L294" s="41" t="s">
        <v>364</v>
      </c>
      <c r="M294" s="42" t="s">
        <v>235</v>
      </c>
      <c r="N294" s="41" t="s">
        <v>147</v>
      </c>
      <c r="O294" s="42">
        <v>11</v>
      </c>
      <c r="P294" s="42">
        <v>4</v>
      </c>
      <c r="Q294" s="25" t="str">
        <f>VLOOKUP(P294,Key!$E$2:$F$9,2,FALSE)</f>
        <v>Commercial</v>
      </c>
      <c r="R294" s="25" t="str">
        <f t="shared" si="6"/>
        <v>Commercial-Commercial</v>
      </c>
      <c r="S294" s="47">
        <v>398</v>
      </c>
      <c r="T294" s="47">
        <v>3</v>
      </c>
      <c r="U294" s="42">
        <v>3</v>
      </c>
      <c r="V294" s="42">
        <v>1</v>
      </c>
      <c r="W294" s="47"/>
      <c r="X294" s="47"/>
      <c r="Y294" s="48" t="s">
        <v>146</v>
      </c>
      <c r="Z294" s="59"/>
      <c r="AA294" s="25">
        <f>VLOOKUP(F294,'Zones (3)'!$A$2:$F$15913,6,FALSE)</f>
        <v>379</v>
      </c>
      <c r="AB294" s="25">
        <f>VLOOKUP(L294,'Zones (3)'!$A$2:$F$15913,6,FALSE)</f>
        <v>572</v>
      </c>
    </row>
    <row r="295" spans="2:28">
      <c r="B295" s="39">
        <v>0.17291666666666669</v>
      </c>
      <c r="C295" s="39" t="s">
        <v>365</v>
      </c>
      <c r="D295" s="40">
        <v>1</v>
      </c>
      <c r="E295" s="41">
        <v>1</v>
      </c>
      <c r="F295" s="41" t="s">
        <v>342</v>
      </c>
      <c r="G295" s="42" t="s">
        <v>148</v>
      </c>
      <c r="H295" s="41" t="s">
        <v>147</v>
      </c>
      <c r="I295" s="42">
        <v>1</v>
      </c>
      <c r="J295" s="42">
        <v>1</v>
      </c>
      <c r="K295" s="25" t="str">
        <f>VLOOKUP(J295,Key!$E$2:$F$9,2,FALSE)</f>
        <v>Home</v>
      </c>
      <c r="L295" s="41" t="s">
        <v>155</v>
      </c>
      <c r="M295" s="42" t="s">
        <v>148</v>
      </c>
      <c r="N295" s="41" t="s">
        <v>147</v>
      </c>
      <c r="O295" s="42">
        <v>2</v>
      </c>
      <c r="P295" s="42">
        <v>2</v>
      </c>
      <c r="Q295" s="25" t="str">
        <f>VLOOKUP(P295,Key!$E$2:$F$9,2,FALSE)</f>
        <v>Work</v>
      </c>
      <c r="R295" s="25" t="str">
        <f t="shared" si="6"/>
        <v>Home-Work</v>
      </c>
      <c r="S295" s="47">
        <v>5</v>
      </c>
      <c r="T295" s="47">
        <v>0.2</v>
      </c>
      <c r="U295" s="42">
        <v>2</v>
      </c>
      <c r="V295" s="42"/>
      <c r="W295" s="47"/>
      <c r="X295" s="47"/>
      <c r="Y295" s="48" t="s">
        <v>146</v>
      </c>
      <c r="Z295" s="59"/>
      <c r="AA295" s="25">
        <f>VLOOKUP(F295,'Zones (3)'!$A$2:$F$15913,6,FALSE)</f>
        <v>991</v>
      </c>
      <c r="AB295" s="25">
        <f>VLOOKUP(L295,'Zones (3)'!$A$2:$F$15913,6,FALSE)</f>
        <v>987</v>
      </c>
    </row>
    <row r="296" spans="2:28">
      <c r="B296" s="39">
        <v>0.19305555555555554</v>
      </c>
      <c r="C296" s="39" t="s">
        <v>366</v>
      </c>
      <c r="D296" s="40">
        <v>1</v>
      </c>
      <c r="E296" s="41">
        <v>2</v>
      </c>
      <c r="F296" s="41" t="s">
        <v>162</v>
      </c>
      <c r="G296" s="42" t="s">
        <v>150</v>
      </c>
      <c r="H296" s="41" t="s">
        <v>147</v>
      </c>
      <c r="I296" s="42">
        <v>1</v>
      </c>
      <c r="J296" s="42">
        <v>1</v>
      </c>
      <c r="K296" s="25" t="str">
        <f>VLOOKUP(J296,Key!$E$2:$F$9,2,FALSE)</f>
        <v>Home</v>
      </c>
      <c r="L296" s="41" t="s">
        <v>155</v>
      </c>
      <c r="M296" s="42" t="s">
        <v>148</v>
      </c>
      <c r="N296" s="41" t="s">
        <v>147</v>
      </c>
      <c r="O296" s="42">
        <v>2</v>
      </c>
      <c r="P296" s="42">
        <v>2</v>
      </c>
      <c r="Q296" s="25" t="str">
        <f>VLOOKUP(P296,Key!$E$2:$F$9,2,FALSE)</f>
        <v>Work</v>
      </c>
      <c r="R296" s="25" t="s">
        <v>139</v>
      </c>
      <c r="S296" s="47">
        <v>7</v>
      </c>
      <c r="T296" s="47">
        <v>0.3</v>
      </c>
      <c r="U296" s="42">
        <v>2</v>
      </c>
      <c r="V296" s="42"/>
      <c r="W296" s="47"/>
      <c r="X296" s="47"/>
      <c r="Y296" s="48" t="s">
        <v>146</v>
      </c>
      <c r="Z296" s="59"/>
      <c r="AA296" s="25">
        <f>VLOOKUP(F296,'Zones (3)'!$A$2:$F$15913,6,FALSE)</f>
        <v>388</v>
      </c>
      <c r="AB296" s="25">
        <f>VLOOKUP(L296,'Zones (3)'!$A$2:$F$15913,6,FALSE)</f>
        <v>987</v>
      </c>
    </row>
    <row r="297" spans="2:28">
      <c r="B297" s="39">
        <v>0.19791666666666666</v>
      </c>
      <c r="C297" s="39" t="s">
        <v>367</v>
      </c>
      <c r="D297" s="40">
        <v>1</v>
      </c>
      <c r="E297" s="41">
        <v>1</v>
      </c>
      <c r="F297" s="41" t="s">
        <v>164</v>
      </c>
      <c r="G297" s="42" t="s">
        <v>150</v>
      </c>
      <c r="H297" s="41" t="s">
        <v>147</v>
      </c>
      <c r="I297" s="42">
        <v>2</v>
      </c>
      <c r="J297" s="42">
        <v>2</v>
      </c>
      <c r="K297" s="25" t="str">
        <f>VLOOKUP(J297,Key!$E$2:$F$9,2,FALSE)</f>
        <v>Work</v>
      </c>
      <c r="L297" s="41" t="s">
        <v>155</v>
      </c>
      <c r="M297" s="42" t="s">
        <v>148</v>
      </c>
      <c r="N297" s="41" t="s">
        <v>147</v>
      </c>
      <c r="O297" s="42">
        <v>1</v>
      </c>
      <c r="P297" s="42">
        <v>1</v>
      </c>
      <c r="Q297" s="25" t="str">
        <f>VLOOKUP(P297,Key!$E$2:$F$9,2,FALSE)</f>
        <v>Home</v>
      </c>
      <c r="R297" s="25" t="str">
        <f t="shared" si="6"/>
        <v>Work-Home</v>
      </c>
      <c r="S297" s="47">
        <v>4</v>
      </c>
      <c r="T297" s="47">
        <v>0.2</v>
      </c>
      <c r="U297" s="42">
        <v>3</v>
      </c>
      <c r="V297" s="42"/>
      <c r="W297" s="47"/>
      <c r="X297" s="47"/>
      <c r="Y297" s="48" t="s">
        <v>146</v>
      </c>
      <c r="Z297" s="59"/>
      <c r="AA297" s="25">
        <f>VLOOKUP(F297,'Zones (3)'!$A$2:$F$15913,6,FALSE)</f>
        <v>538</v>
      </c>
      <c r="AB297" s="25">
        <f>VLOOKUP(L297,'Zones (3)'!$A$2:$F$15913,6,FALSE)</f>
        <v>987</v>
      </c>
    </row>
    <row r="298" spans="2:28">
      <c r="B298" s="39">
        <v>0.20277777777777781</v>
      </c>
      <c r="C298" s="39" t="s">
        <v>368</v>
      </c>
      <c r="D298" s="40">
        <v>7</v>
      </c>
      <c r="E298" s="41">
        <v>2</v>
      </c>
      <c r="F298" s="41" t="s">
        <v>349</v>
      </c>
      <c r="G298" s="42" t="s">
        <v>150</v>
      </c>
      <c r="H298" s="41" t="s">
        <v>147</v>
      </c>
      <c r="I298" s="42">
        <v>1</v>
      </c>
      <c r="J298" s="42">
        <v>1</v>
      </c>
      <c r="K298" s="25" t="str">
        <f>VLOOKUP(J298,Key!$E$2:$F$9,2,FALSE)</f>
        <v>Home</v>
      </c>
      <c r="L298" s="41" t="s">
        <v>173</v>
      </c>
      <c r="M298" s="42" t="s">
        <v>148</v>
      </c>
      <c r="N298" s="41" t="s">
        <v>147</v>
      </c>
      <c r="O298" s="42">
        <v>15</v>
      </c>
      <c r="P298" s="42">
        <v>4</v>
      </c>
      <c r="Q298" s="25" t="str">
        <f>VLOOKUP(P298,Key!$E$2:$F$9,2,FALSE)</f>
        <v>Commercial</v>
      </c>
      <c r="R298" s="25" t="str">
        <f t="shared" si="6"/>
        <v>Home-Commercial</v>
      </c>
      <c r="S298" s="47"/>
      <c r="T298" s="47">
        <v>0.3</v>
      </c>
      <c r="U298" s="42">
        <v>2</v>
      </c>
      <c r="V298" s="42">
        <v>11</v>
      </c>
      <c r="W298" s="47"/>
      <c r="X298" s="47"/>
      <c r="Y298" s="48" t="s">
        <v>146</v>
      </c>
      <c r="Z298" s="59"/>
      <c r="AA298" s="25">
        <f>VLOOKUP(F298,'Zones (3)'!$A$2:$F$15913,6,FALSE)</f>
        <v>608</v>
      </c>
      <c r="AB298" s="25">
        <f>VLOOKUP(L298,'Zones (3)'!$A$2:$F$15913,6,FALSE)</f>
        <v>987</v>
      </c>
    </row>
    <row r="299" spans="2:28">
      <c r="B299" s="39">
        <v>0.2076388888888889</v>
      </c>
      <c r="C299" s="39" t="s">
        <v>369</v>
      </c>
      <c r="D299" s="40">
        <v>11</v>
      </c>
      <c r="E299" s="41">
        <v>1</v>
      </c>
      <c r="F299" s="41" t="s">
        <v>164</v>
      </c>
      <c r="G299" s="42" t="s">
        <v>150</v>
      </c>
      <c r="H299" s="41" t="s">
        <v>147</v>
      </c>
      <c r="I299" s="42">
        <v>1</v>
      </c>
      <c r="J299" s="42">
        <v>1</v>
      </c>
      <c r="K299" s="25" t="str">
        <f>VLOOKUP(J299,Key!$E$2:$F$9,2,FALSE)</f>
        <v>Home</v>
      </c>
      <c r="L299" s="41" t="s">
        <v>155</v>
      </c>
      <c r="M299" s="42" t="s">
        <v>148</v>
      </c>
      <c r="N299" s="41" t="s">
        <v>147</v>
      </c>
      <c r="O299" s="42">
        <v>8</v>
      </c>
      <c r="P299" s="42">
        <v>2</v>
      </c>
      <c r="Q299" s="25" t="str">
        <f>VLOOKUP(P299,Key!$E$2:$F$9,2,FALSE)</f>
        <v>Work</v>
      </c>
      <c r="R299" s="25" t="str">
        <f t="shared" si="6"/>
        <v>Home-Work</v>
      </c>
      <c r="S299" s="47">
        <v>3</v>
      </c>
      <c r="T299" s="47">
        <v>0.1</v>
      </c>
      <c r="U299" s="42">
        <v>2</v>
      </c>
      <c r="V299" s="42"/>
      <c r="W299" s="47"/>
      <c r="X299" s="47"/>
      <c r="Y299" s="48" t="s">
        <v>146</v>
      </c>
      <c r="Z299" s="59"/>
      <c r="AA299" s="25">
        <f>VLOOKUP(F299,'Zones (3)'!$A$2:$F$15913,6,FALSE)</f>
        <v>538</v>
      </c>
      <c r="AB299" s="25">
        <f>VLOOKUP(L299,'Zones (3)'!$A$2:$F$15913,6,FALSE)</f>
        <v>987</v>
      </c>
    </row>
    <row r="300" spans="2:28">
      <c r="B300" s="39">
        <v>0.25555555555555559</v>
      </c>
      <c r="C300" s="39" t="s">
        <v>370</v>
      </c>
      <c r="D300" s="40">
        <v>1</v>
      </c>
      <c r="E300" s="41">
        <v>1</v>
      </c>
      <c r="F300" s="41" t="s">
        <v>169</v>
      </c>
      <c r="G300" s="42" t="s">
        <v>150</v>
      </c>
      <c r="H300" s="41" t="s">
        <v>147</v>
      </c>
      <c r="I300" s="42">
        <v>1</v>
      </c>
      <c r="J300" s="42">
        <v>1</v>
      </c>
      <c r="K300" s="25" t="s">
        <v>101</v>
      </c>
      <c r="L300" s="41" t="s">
        <v>155</v>
      </c>
      <c r="M300" s="42" t="s">
        <v>148</v>
      </c>
      <c r="N300" s="41" t="s">
        <v>147</v>
      </c>
      <c r="O300" s="42">
        <v>2</v>
      </c>
      <c r="P300" s="42">
        <v>2</v>
      </c>
      <c r="Q300" s="25" t="str">
        <f>VLOOKUP(P300,Key!$E$2:$F$9,2,FALSE)</f>
        <v>Work</v>
      </c>
      <c r="R300" s="25" t="str">
        <f t="shared" si="6"/>
        <v>Home-Work</v>
      </c>
      <c r="S300" s="47">
        <v>13</v>
      </c>
      <c r="T300" s="47">
        <v>0.5</v>
      </c>
      <c r="U300" s="42">
        <v>2</v>
      </c>
      <c r="V300" s="42"/>
      <c r="W300" s="47"/>
      <c r="X300" s="47"/>
      <c r="Y300" s="48" t="s">
        <v>146</v>
      </c>
      <c r="Z300" s="59"/>
      <c r="AA300" s="25">
        <f>VLOOKUP(F300,'Zones (3)'!$A$2:$F$15913,6,FALSE)</f>
        <v>380</v>
      </c>
      <c r="AB300" s="25">
        <f>VLOOKUP(L300,'Zones (3)'!$A$2:$F$15913,6,FALSE)</f>
        <v>987</v>
      </c>
    </row>
    <row r="301" spans="2:28">
      <c r="B301" s="39">
        <v>0.27499999999999997</v>
      </c>
      <c r="C301" s="39" t="s">
        <v>371</v>
      </c>
      <c r="D301" s="40">
        <v>1</v>
      </c>
      <c r="E301" s="41">
        <v>2</v>
      </c>
      <c r="F301" s="41" t="s">
        <v>171</v>
      </c>
      <c r="G301" s="42" t="s">
        <v>150</v>
      </c>
      <c r="H301" s="41" t="s">
        <v>147</v>
      </c>
      <c r="I301" s="42">
        <v>1</v>
      </c>
      <c r="J301" s="42">
        <v>1</v>
      </c>
      <c r="K301" s="25" t="str">
        <f>VLOOKUP(J301,Key!$E$2:$F$9,2,FALSE)</f>
        <v>Home</v>
      </c>
      <c r="L301" s="41" t="s">
        <v>155</v>
      </c>
      <c r="M301" s="42" t="s">
        <v>148</v>
      </c>
      <c r="N301" s="41" t="s">
        <v>147</v>
      </c>
      <c r="O301" s="42">
        <v>2</v>
      </c>
      <c r="P301" s="42">
        <v>2</v>
      </c>
      <c r="Q301" s="25" t="str">
        <f>VLOOKUP(P301,Key!$E$2:$F$9,2,FALSE)</f>
        <v>Work</v>
      </c>
      <c r="R301" s="25" t="str">
        <f t="shared" si="6"/>
        <v>Home-Work</v>
      </c>
      <c r="S301" s="47">
        <v>31</v>
      </c>
      <c r="T301" s="47">
        <v>2</v>
      </c>
      <c r="U301" s="42">
        <v>3</v>
      </c>
      <c r="V301" s="42"/>
      <c r="W301" s="47"/>
      <c r="X301" s="47"/>
      <c r="Y301" s="48" t="s">
        <v>146</v>
      </c>
      <c r="Z301" s="59"/>
      <c r="AA301" s="25">
        <f>VLOOKUP(F301,'Zones (3)'!$A$2:$F$15913,6,FALSE)</f>
        <v>379</v>
      </c>
      <c r="AB301" s="25">
        <f>VLOOKUP(L301,'Zones (3)'!$A$2:$F$15913,6,FALSE)</f>
        <v>987</v>
      </c>
    </row>
    <row r="302" spans="2:28">
      <c r="B302" s="39">
        <v>0.27986111111111112</v>
      </c>
      <c r="C302" s="39" t="s">
        <v>372</v>
      </c>
      <c r="D302" s="40">
        <v>4</v>
      </c>
      <c r="E302" s="41">
        <v>18</v>
      </c>
      <c r="F302" s="41" t="s">
        <v>171</v>
      </c>
      <c r="G302" s="42" t="s">
        <v>150</v>
      </c>
      <c r="H302" s="41" t="s">
        <v>147</v>
      </c>
      <c r="I302" s="42">
        <v>1</v>
      </c>
      <c r="J302" s="42">
        <v>1</v>
      </c>
      <c r="K302" s="25" t="str">
        <f>VLOOKUP(J302,Key!$E$2:$F$9,2,FALSE)</f>
        <v>Home</v>
      </c>
      <c r="L302" s="41" t="s">
        <v>155</v>
      </c>
      <c r="M302" s="42" t="s">
        <v>148</v>
      </c>
      <c r="N302" s="41" t="s">
        <v>147</v>
      </c>
      <c r="O302" s="42">
        <v>4</v>
      </c>
      <c r="P302" s="42">
        <v>3</v>
      </c>
      <c r="Q302" s="25" t="str">
        <f>VLOOKUP(P302,Key!$E$2:$F$9,2,FALSE)</f>
        <v>Study</v>
      </c>
      <c r="R302" s="25" t="str">
        <f t="shared" si="6"/>
        <v>Home-Study</v>
      </c>
      <c r="S302" s="47">
        <v>31</v>
      </c>
      <c r="T302" s="47">
        <v>1.5</v>
      </c>
      <c r="U302" s="42">
        <v>2</v>
      </c>
      <c r="V302" s="42"/>
      <c r="W302" s="47"/>
      <c r="X302" s="47"/>
      <c r="Y302" s="48" t="s">
        <v>146</v>
      </c>
      <c r="Z302" s="59"/>
      <c r="AA302" s="25">
        <f>VLOOKUP(F302,'Zones (3)'!$A$2:$F$15913,6,FALSE)</f>
        <v>379</v>
      </c>
      <c r="AB302" s="25">
        <f>VLOOKUP(L302,'Zones (3)'!$A$2:$F$15913,6,FALSE)</f>
        <v>987</v>
      </c>
    </row>
    <row r="303" spans="2:28">
      <c r="B303" s="39">
        <v>0.28611111111111115</v>
      </c>
      <c r="C303" s="39" t="s">
        <v>373</v>
      </c>
      <c r="D303" s="40">
        <v>1</v>
      </c>
      <c r="E303" s="41">
        <v>3</v>
      </c>
      <c r="F303" s="41" t="s">
        <v>162</v>
      </c>
      <c r="G303" s="42" t="s">
        <v>150</v>
      </c>
      <c r="H303" s="41" t="s">
        <v>147</v>
      </c>
      <c r="I303" s="42">
        <v>1</v>
      </c>
      <c r="J303" s="42">
        <v>1</v>
      </c>
      <c r="K303" s="25" t="str">
        <f>VLOOKUP(J303,Key!$E$2:$F$9,2,FALSE)</f>
        <v>Home</v>
      </c>
      <c r="L303" s="41" t="s">
        <v>155</v>
      </c>
      <c r="M303" s="42" t="s">
        <v>148</v>
      </c>
      <c r="N303" s="41" t="s">
        <v>147</v>
      </c>
      <c r="O303" s="42">
        <v>4</v>
      </c>
      <c r="P303" s="42">
        <v>3</v>
      </c>
      <c r="Q303" s="25" t="str">
        <f>VLOOKUP(P303,Key!$E$2:$F$9,2,FALSE)</f>
        <v>Study</v>
      </c>
      <c r="R303" s="25" t="str">
        <f t="shared" si="6"/>
        <v>Home-Study</v>
      </c>
      <c r="S303" s="47">
        <v>7</v>
      </c>
      <c r="T303" s="47">
        <v>0.2</v>
      </c>
      <c r="U303" s="42">
        <v>2</v>
      </c>
      <c r="V303" s="42"/>
      <c r="W303" s="47"/>
      <c r="X303" s="47"/>
      <c r="Y303" s="48" t="s">
        <v>146</v>
      </c>
      <c r="Z303" s="59"/>
      <c r="AA303" s="25">
        <f>VLOOKUP(F303,'Zones (3)'!$A$2:$F$15913,6,FALSE)</f>
        <v>388</v>
      </c>
      <c r="AB303" s="25">
        <f>VLOOKUP(L303,'Zones (3)'!$A$2:$F$15913,6,FALSE)</f>
        <v>987</v>
      </c>
    </row>
    <row r="304" spans="2:28">
      <c r="B304" s="39">
        <v>0.31805555555555554</v>
      </c>
      <c r="C304" s="39" t="s">
        <v>374</v>
      </c>
      <c r="D304" s="40">
        <v>1</v>
      </c>
      <c r="E304" s="41">
        <v>1</v>
      </c>
      <c r="F304" s="41" t="s">
        <v>345</v>
      </c>
      <c r="G304" s="42" t="s">
        <v>150</v>
      </c>
      <c r="H304" s="41" t="s">
        <v>147</v>
      </c>
      <c r="I304" s="42">
        <v>4</v>
      </c>
      <c r="J304" s="42">
        <v>2</v>
      </c>
      <c r="K304" s="25" t="str">
        <f>VLOOKUP(J304,Key!$E$2:$F$9,2,FALSE)</f>
        <v>Work</v>
      </c>
      <c r="L304" s="41" t="s">
        <v>164</v>
      </c>
      <c r="M304" s="42" t="s">
        <v>148</v>
      </c>
      <c r="N304" s="41" t="s">
        <v>147</v>
      </c>
      <c r="O304" s="42">
        <v>1</v>
      </c>
      <c r="P304" s="42">
        <v>1</v>
      </c>
      <c r="Q304" s="25" t="str">
        <f>VLOOKUP(P304,Key!$E$2:$F$9,2,FALSE)</f>
        <v>Home</v>
      </c>
      <c r="R304" s="25" t="str">
        <f t="shared" si="6"/>
        <v>Work-Home</v>
      </c>
      <c r="S304" s="47">
        <v>3</v>
      </c>
      <c r="T304" s="47">
        <v>0.1</v>
      </c>
      <c r="U304" s="42">
        <v>2</v>
      </c>
      <c r="V304" s="42"/>
      <c r="W304" s="47"/>
      <c r="X304" s="47"/>
      <c r="Y304" s="48" t="s">
        <v>146</v>
      </c>
      <c r="Z304" s="59"/>
      <c r="AA304" s="25">
        <f>VLOOKUP(F304,'Zones (3)'!$A$2:$F$15913,6,FALSE)</f>
        <v>1439</v>
      </c>
      <c r="AB304" s="25">
        <f>VLOOKUP(L304,'Zones (3)'!$A$2:$F$15913,6,FALSE)</f>
        <v>538</v>
      </c>
    </row>
    <row r="305" spans="2:28">
      <c r="B305" s="39">
        <v>0.32083333333333336</v>
      </c>
      <c r="C305" s="39" t="s">
        <v>375</v>
      </c>
      <c r="D305" s="40">
        <v>1</v>
      </c>
      <c r="E305" s="41">
        <v>2</v>
      </c>
      <c r="F305" s="41" t="s">
        <v>171</v>
      </c>
      <c r="G305" s="42" t="s">
        <v>150</v>
      </c>
      <c r="H305" s="41" t="s">
        <v>147</v>
      </c>
      <c r="I305" s="42">
        <v>4</v>
      </c>
      <c r="J305" s="42">
        <v>3</v>
      </c>
      <c r="K305" s="25" t="str">
        <f>VLOOKUP(J305,Key!$E$2:$F$9,2,FALSE)</f>
        <v>Study</v>
      </c>
      <c r="L305" s="41" t="s">
        <v>155</v>
      </c>
      <c r="M305" s="42" t="s">
        <v>148</v>
      </c>
      <c r="N305" s="41" t="s">
        <v>147</v>
      </c>
      <c r="O305" s="42">
        <v>1</v>
      </c>
      <c r="P305" s="42">
        <v>1</v>
      </c>
      <c r="Q305" s="25" t="str">
        <f>VLOOKUP(P305,Key!$E$2:$F$9,2,FALSE)</f>
        <v>Home</v>
      </c>
      <c r="R305" s="25" t="str">
        <f t="shared" si="6"/>
        <v>Study-Home</v>
      </c>
      <c r="S305" s="47">
        <v>31</v>
      </c>
      <c r="T305" s="47">
        <v>1</v>
      </c>
      <c r="U305" s="42">
        <v>3</v>
      </c>
      <c r="V305" s="42"/>
      <c r="W305" s="47"/>
      <c r="X305" s="47"/>
      <c r="Y305" s="48" t="s">
        <v>146</v>
      </c>
      <c r="Z305" s="59"/>
      <c r="AA305" s="25">
        <f>VLOOKUP(F305,'Zones (3)'!$A$2:$F$15913,6,FALSE)</f>
        <v>379</v>
      </c>
      <c r="AB305" s="25">
        <f>VLOOKUP(L305,'Zones (3)'!$A$2:$F$15913,6,FALSE)</f>
        <v>987</v>
      </c>
    </row>
    <row r="306" spans="2:28">
      <c r="B306" s="39">
        <v>0.32361111111111113</v>
      </c>
      <c r="C306" s="39" t="s">
        <v>376</v>
      </c>
      <c r="D306" s="40">
        <v>2</v>
      </c>
      <c r="E306" s="41">
        <v>4</v>
      </c>
      <c r="F306" s="41" t="s">
        <v>171</v>
      </c>
      <c r="G306" s="42" t="s">
        <v>150</v>
      </c>
      <c r="H306" s="41" t="s">
        <v>147</v>
      </c>
      <c r="I306" s="42">
        <v>16</v>
      </c>
      <c r="J306" s="42">
        <v>8</v>
      </c>
      <c r="K306" s="25" t="str">
        <f>VLOOKUP(J306,Key!$E$2:$F$9,2,FALSE)</f>
        <v>Others</v>
      </c>
      <c r="L306" s="41" t="s">
        <v>155</v>
      </c>
      <c r="M306" s="42" t="s">
        <v>148</v>
      </c>
      <c r="N306" s="41" t="s">
        <v>147</v>
      </c>
      <c r="O306" s="42">
        <v>16</v>
      </c>
      <c r="P306" s="42">
        <v>8</v>
      </c>
      <c r="Q306" s="25" t="str">
        <f>VLOOKUP(P306,Key!$E$2:$F$9,2,FALSE)</f>
        <v>Others</v>
      </c>
      <c r="R306" s="25" t="str">
        <f t="shared" si="6"/>
        <v>Others-Others</v>
      </c>
      <c r="S306" s="47">
        <v>34</v>
      </c>
      <c r="T306" s="47">
        <v>0.5</v>
      </c>
      <c r="U306" s="42">
        <v>4</v>
      </c>
      <c r="V306" s="42"/>
      <c r="W306" s="47"/>
      <c r="X306" s="47"/>
      <c r="Y306" s="48" t="s">
        <v>146</v>
      </c>
      <c r="Z306" s="59"/>
      <c r="AA306" s="25">
        <f>VLOOKUP(F306,'Zones (3)'!$A$2:$F$15913,6,FALSE)</f>
        <v>379</v>
      </c>
      <c r="AB306" s="25">
        <f>VLOOKUP(L306,'Zones (3)'!$A$2:$F$15913,6,FALSE)</f>
        <v>987</v>
      </c>
    </row>
    <row r="307" spans="2:28">
      <c r="B307" s="39">
        <v>0.3263888888888889</v>
      </c>
      <c r="C307" s="39" t="s">
        <v>377</v>
      </c>
      <c r="D307" s="40">
        <v>2</v>
      </c>
      <c r="E307" s="41">
        <v>1</v>
      </c>
      <c r="F307" s="41" t="s">
        <v>342</v>
      </c>
      <c r="G307" s="42" t="s">
        <v>150</v>
      </c>
      <c r="H307" s="41" t="s">
        <v>147</v>
      </c>
      <c r="I307" s="42">
        <v>1</v>
      </c>
      <c r="J307" s="42">
        <v>1</v>
      </c>
      <c r="K307" s="25" t="str">
        <f>VLOOKUP(J307,Key!$E$2:$F$9,2,FALSE)</f>
        <v>Home</v>
      </c>
      <c r="L307" s="41" t="s">
        <v>155</v>
      </c>
      <c r="M307" s="42" t="s">
        <v>148</v>
      </c>
      <c r="N307" s="41" t="s">
        <v>147</v>
      </c>
      <c r="O307" s="42">
        <v>4</v>
      </c>
      <c r="P307" s="42">
        <v>3</v>
      </c>
      <c r="Q307" s="25" t="str">
        <f>VLOOKUP(P307,Key!$E$2:$F$9,2,FALSE)</f>
        <v>Study</v>
      </c>
      <c r="R307" s="25" t="str">
        <f t="shared" si="6"/>
        <v>Home-Study</v>
      </c>
      <c r="S307" s="47">
        <v>5</v>
      </c>
      <c r="T307" s="47">
        <v>0.3</v>
      </c>
      <c r="U307" s="42">
        <v>2</v>
      </c>
      <c r="V307" s="42"/>
      <c r="W307" s="47"/>
      <c r="X307" s="47"/>
      <c r="Y307" s="48" t="s">
        <v>146</v>
      </c>
      <c r="Z307" s="59"/>
      <c r="AA307" s="25">
        <f>VLOOKUP(F307,'Zones (3)'!$A$2:$F$15913,6,FALSE)</f>
        <v>991</v>
      </c>
      <c r="AB307" s="25">
        <f>VLOOKUP(L307,'Zones (3)'!$A$2:$F$15913,6,FALSE)</f>
        <v>987</v>
      </c>
    </row>
    <row r="308" spans="2:28">
      <c r="B308" s="39">
        <v>0.33958333333333335</v>
      </c>
      <c r="C308" s="39" t="s">
        <v>378</v>
      </c>
      <c r="D308" s="40">
        <v>1</v>
      </c>
      <c r="E308" s="41">
        <v>1</v>
      </c>
      <c r="F308" s="41" t="s">
        <v>171</v>
      </c>
      <c r="G308" s="42" t="s">
        <v>150</v>
      </c>
      <c r="H308" s="41" t="s">
        <v>147</v>
      </c>
      <c r="I308" s="42">
        <v>16</v>
      </c>
      <c r="J308" s="42">
        <v>8</v>
      </c>
      <c r="K308" s="25" t="str">
        <f>VLOOKUP(J308,Key!$E$2:$F$9,2,FALSE)</f>
        <v>Others</v>
      </c>
      <c r="L308" s="41" t="s">
        <v>155</v>
      </c>
      <c r="M308" s="42" t="s">
        <v>148</v>
      </c>
      <c r="N308" s="41" t="s">
        <v>147</v>
      </c>
      <c r="O308" s="42">
        <v>1</v>
      </c>
      <c r="P308" s="42">
        <v>1</v>
      </c>
      <c r="Q308" s="25" t="str">
        <f>VLOOKUP(P308,Key!$E$2:$F$9,2,FALSE)</f>
        <v>Home</v>
      </c>
      <c r="R308" s="25" t="str">
        <f t="shared" si="6"/>
        <v>Others-Home</v>
      </c>
      <c r="S308" s="47">
        <v>31</v>
      </c>
      <c r="T308" s="47">
        <v>0.6</v>
      </c>
      <c r="U308" s="42">
        <v>4</v>
      </c>
      <c r="V308" s="42"/>
      <c r="W308" s="47"/>
      <c r="X308" s="47"/>
      <c r="Y308" s="48" t="s">
        <v>146</v>
      </c>
      <c r="Z308" s="59"/>
      <c r="AA308" s="25">
        <f>VLOOKUP(F308,'Zones (3)'!$A$2:$F$15913,6,FALSE)</f>
        <v>379</v>
      </c>
      <c r="AB308" s="25">
        <f>VLOOKUP(L308,'Zones (3)'!$A$2:$F$15913,6,FALSE)</f>
        <v>987</v>
      </c>
    </row>
    <row r="309" spans="2:28">
      <c r="B309" s="39">
        <v>0.34236111111111112</v>
      </c>
      <c r="C309" s="39" t="s">
        <v>379</v>
      </c>
      <c r="D309" s="40">
        <v>3</v>
      </c>
      <c r="E309" s="41">
        <v>4</v>
      </c>
      <c r="F309" s="41" t="s">
        <v>171</v>
      </c>
      <c r="G309" s="42" t="s">
        <v>150</v>
      </c>
      <c r="H309" s="41" t="s">
        <v>147</v>
      </c>
      <c r="I309" s="42">
        <v>1</v>
      </c>
      <c r="J309" s="42">
        <v>1</v>
      </c>
      <c r="K309" s="25" t="str">
        <f>VLOOKUP(J309,Key!$E$2:$F$9,2,FALSE)</f>
        <v>Home</v>
      </c>
      <c r="L309" s="41" t="s">
        <v>234</v>
      </c>
      <c r="M309" s="42" t="s">
        <v>235</v>
      </c>
      <c r="N309" s="41" t="s">
        <v>147</v>
      </c>
      <c r="O309" s="42">
        <v>16</v>
      </c>
      <c r="P309" s="42">
        <v>8</v>
      </c>
      <c r="Q309" s="25" t="str">
        <f>VLOOKUP(P309,Key!$E$2:$F$9,2,FALSE)</f>
        <v>Others</v>
      </c>
      <c r="R309" s="25" t="str">
        <f t="shared" si="6"/>
        <v>Home-Others</v>
      </c>
      <c r="S309" s="47">
        <v>352</v>
      </c>
      <c r="T309" s="47">
        <v>6</v>
      </c>
      <c r="U309" s="42">
        <v>5</v>
      </c>
      <c r="V309" s="42"/>
      <c r="W309" s="47"/>
      <c r="X309" s="47"/>
      <c r="Y309" s="48" t="s">
        <v>146</v>
      </c>
      <c r="Z309" s="59"/>
      <c r="AA309" s="25">
        <f>VLOOKUP(F309,'Zones (3)'!$A$2:$F$15913,6,FALSE)</f>
        <v>379</v>
      </c>
      <c r="AB309" s="25">
        <f>VLOOKUP(L309,'Zones (3)'!$A$2:$F$15913,6,FALSE)</f>
        <v>521</v>
      </c>
    </row>
    <row r="310" spans="2:28">
      <c r="B310" s="39">
        <v>0.34861111111111115</v>
      </c>
      <c r="C310" s="39" t="s">
        <v>380</v>
      </c>
      <c r="D310" s="40">
        <v>1</v>
      </c>
      <c r="E310" s="41">
        <v>1</v>
      </c>
      <c r="F310" s="41" t="s">
        <v>169</v>
      </c>
      <c r="G310" s="42" t="s">
        <v>150</v>
      </c>
      <c r="H310" s="41" t="s">
        <v>147</v>
      </c>
      <c r="I310" s="42">
        <v>1</v>
      </c>
      <c r="J310" s="42">
        <v>1</v>
      </c>
      <c r="K310" s="25" t="str">
        <f>VLOOKUP(J310,Key!$E$2:$F$9,2,FALSE)</f>
        <v>Home</v>
      </c>
      <c r="L310" s="41" t="s">
        <v>155</v>
      </c>
      <c r="M310" s="42" t="s">
        <v>148</v>
      </c>
      <c r="N310" s="41" t="s">
        <v>147</v>
      </c>
      <c r="O310" s="42">
        <v>2</v>
      </c>
      <c r="P310" s="42">
        <v>2</v>
      </c>
      <c r="Q310" s="25" t="str">
        <f>VLOOKUP(P310,Key!$E$2:$F$9,2,FALSE)</f>
        <v>Work</v>
      </c>
      <c r="R310" s="25" t="str">
        <f t="shared" si="6"/>
        <v>Home-Work</v>
      </c>
      <c r="S310" s="47">
        <v>13</v>
      </c>
      <c r="T310" s="47">
        <v>0.5</v>
      </c>
      <c r="U310" s="42">
        <v>2</v>
      </c>
      <c r="V310" s="42"/>
      <c r="W310" s="47"/>
      <c r="X310" s="47"/>
      <c r="Y310" s="48" t="s">
        <v>146</v>
      </c>
      <c r="Z310" s="59"/>
      <c r="AA310" s="25">
        <f>VLOOKUP(F310,'Zones (3)'!$A$2:$F$15913,6,FALSE)</f>
        <v>380</v>
      </c>
      <c r="AB310" s="25">
        <f>VLOOKUP(L310,'Zones (3)'!$A$2:$F$15913,6,FALSE)</f>
        <v>987</v>
      </c>
    </row>
    <row r="311" spans="2:28">
      <c r="B311" s="39">
        <v>0.35416666666666669</v>
      </c>
      <c r="C311" s="39" t="s">
        <v>381</v>
      </c>
      <c r="D311" s="40">
        <v>8</v>
      </c>
      <c r="E311" s="41">
        <v>2</v>
      </c>
      <c r="F311" s="41" t="s">
        <v>171</v>
      </c>
      <c r="G311" s="42" t="s">
        <v>150</v>
      </c>
      <c r="H311" s="41" t="s">
        <v>147</v>
      </c>
      <c r="I311" s="42">
        <v>1</v>
      </c>
      <c r="J311" s="42">
        <v>1</v>
      </c>
      <c r="K311" s="25" t="str">
        <f>VLOOKUP(J311,Key!$E$2:$F$9,2,FALSE)</f>
        <v>Home</v>
      </c>
      <c r="L311" s="41" t="s">
        <v>155</v>
      </c>
      <c r="M311" s="42" t="s">
        <v>148</v>
      </c>
      <c r="N311" s="41" t="s">
        <v>147</v>
      </c>
      <c r="O311" s="42">
        <v>12</v>
      </c>
      <c r="P311" s="42">
        <v>2</v>
      </c>
      <c r="Q311" s="25" t="str">
        <f>VLOOKUP(P311,Key!$E$2:$F$9,2,FALSE)</f>
        <v>Work</v>
      </c>
      <c r="R311" s="25" t="str">
        <f t="shared" si="6"/>
        <v>Home-Work</v>
      </c>
      <c r="S311" s="47">
        <v>35</v>
      </c>
      <c r="T311" s="47">
        <v>2</v>
      </c>
      <c r="U311" s="42">
        <v>2</v>
      </c>
      <c r="V311" s="42">
        <v>11</v>
      </c>
      <c r="W311" s="47"/>
      <c r="X311" s="47"/>
      <c r="Y311" s="48" t="s">
        <v>146</v>
      </c>
      <c r="Z311" s="59"/>
      <c r="AA311" s="25">
        <f>VLOOKUP(F311,'Zones (3)'!$A$2:$F$15913,6,FALSE)</f>
        <v>379</v>
      </c>
      <c r="AB311" s="25">
        <f>VLOOKUP(L311,'Zones (3)'!$A$2:$F$15913,6,FALSE)</f>
        <v>987</v>
      </c>
    </row>
    <row r="312" spans="2:28">
      <c r="B312" s="39">
        <v>0.36527777777777781</v>
      </c>
      <c r="C312" s="39" t="s">
        <v>382</v>
      </c>
      <c r="D312" s="40">
        <v>7</v>
      </c>
      <c r="E312" s="41">
        <v>2</v>
      </c>
      <c r="F312" s="41" t="s">
        <v>169</v>
      </c>
      <c r="G312" s="42" t="s">
        <v>150</v>
      </c>
      <c r="H312" s="41" t="s">
        <v>147</v>
      </c>
      <c r="I312" s="42">
        <v>1</v>
      </c>
      <c r="J312" s="42">
        <v>1</v>
      </c>
      <c r="K312" s="25" t="str">
        <f>VLOOKUP(J312,Key!$E$2:$F$9,2,FALSE)</f>
        <v>Home</v>
      </c>
      <c r="L312" s="41" t="s">
        <v>155</v>
      </c>
      <c r="M312" s="42" t="s">
        <v>148</v>
      </c>
      <c r="N312" s="41" t="s">
        <v>147</v>
      </c>
      <c r="O312" s="42">
        <v>2</v>
      </c>
      <c r="P312" s="42">
        <v>2</v>
      </c>
      <c r="Q312" s="25" t="str">
        <f>VLOOKUP(P312,Key!$E$2:$F$9,2,FALSE)</f>
        <v>Work</v>
      </c>
      <c r="R312" s="25" t="str">
        <f t="shared" si="6"/>
        <v>Home-Work</v>
      </c>
      <c r="S312" s="47">
        <v>12</v>
      </c>
      <c r="T312" s="47">
        <v>0.3</v>
      </c>
      <c r="U312" s="42">
        <v>2</v>
      </c>
      <c r="V312" s="42">
        <v>11</v>
      </c>
      <c r="W312" s="47"/>
      <c r="X312" s="47"/>
      <c r="Y312" s="48" t="s">
        <v>146</v>
      </c>
      <c r="Z312" s="59"/>
      <c r="AA312" s="25">
        <f>VLOOKUP(F312,'Zones (3)'!$A$2:$F$15913,6,FALSE)</f>
        <v>380</v>
      </c>
      <c r="AB312" s="25">
        <f>VLOOKUP(L312,'Zones (3)'!$A$2:$F$15913,6,FALSE)</f>
        <v>987</v>
      </c>
    </row>
    <row r="313" spans="2:28">
      <c r="B313" s="39">
        <v>0.37083333333333335</v>
      </c>
      <c r="C313" s="39" t="s">
        <v>383</v>
      </c>
      <c r="D313" s="40">
        <v>1</v>
      </c>
      <c r="E313" s="41">
        <v>2</v>
      </c>
      <c r="F313" s="41" t="s">
        <v>385</v>
      </c>
      <c r="G313" s="42" t="s">
        <v>384</v>
      </c>
      <c r="H313" s="41" t="s">
        <v>3222</v>
      </c>
      <c r="I313" s="42">
        <v>1</v>
      </c>
      <c r="J313" s="42">
        <v>1</v>
      </c>
      <c r="K313" s="25" t="str">
        <f>VLOOKUP(J313,Key!$E$2:$F$9,2,FALSE)</f>
        <v>Home</v>
      </c>
      <c r="L313" s="41" t="s">
        <v>155</v>
      </c>
      <c r="M313" s="42" t="s">
        <v>148</v>
      </c>
      <c r="N313" s="41" t="s">
        <v>147</v>
      </c>
      <c r="O313" s="42">
        <v>16</v>
      </c>
      <c r="P313" s="42">
        <v>8</v>
      </c>
      <c r="Q313" s="25" t="str">
        <f>VLOOKUP(P313,Key!$E$2:$F$9,2,FALSE)</f>
        <v>Others</v>
      </c>
      <c r="R313" s="25" t="str">
        <f t="shared" si="6"/>
        <v>Home-Others</v>
      </c>
      <c r="S313" s="47">
        <v>98</v>
      </c>
      <c r="T313" s="47">
        <v>1.5</v>
      </c>
      <c r="U313" s="42">
        <v>5</v>
      </c>
      <c r="V313" s="42"/>
      <c r="W313" s="47"/>
      <c r="X313" s="47"/>
      <c r="Y313" s="48" t="s">
        <v>146</v>
      </c>
      <c r="Z313" s="59"/>
      <c r="AA313" s="25">
        <f>VLOOKUP(F313,'Zones (3)'!$A$2:$F$15913,6,FALSE)</f>
        <v>1435</v>
      </c>
      <c r="AB313" s="25">
        <f>VLOOKUP(L313,'Zones (3)'!$A$2:$F$15913,6,FALSE)</f>
        <v>987</v>
      </c>
    </row>
    <row r="314" spans="2:28">
      <c r="B314" s="39">
        <v>0.37916666666666665</v>
      </c>
      <c r="C314" s="39" t="s">
        <v>386</v>
      </c>
      <c r="D314" s="40">
        <v>4</v>
      </c>
      <c r="E314" s="41">
        <v>1</v>
      </c>
      <c r="F314" s="41" t="s">
        <v>345</v>
      </c>
      <c r="G314" s="42" t="s">
        <v>150</v>
      </c>
      <c r="H314" s="41" t="s">
        <v>147</v>
      </c>
      <c r="I314" s="42">
        <v>4</v>
      </c>
      <c r="J314" s="42">
        <v>3</v>
      </c>
      <c r="K314" s="25" t="str">
        <f>VLOOKUP(J314,Key!$E$2:$F$9,2,FALSE)</f>
        <v>Study</v>
      </c>
      <c r="L314" s="41" t="s">
        <v>309</v>
      </c>
      <c r="M314" s="42" t="s">
        <v>148</v>
      </c>
      <c r="N314" s="41" t="s">
        <v>147</v>
      </c>
      <c r="O314" s="42">
        <v>16</v>
      </c>
      <c r="P314" s="42">
        <v>8</v>
      </c>
      <c r="Q314" s="25" t="str">
        <f>VLOOKUP(P314,Key!$E$2:$F$9,2,FALSE)</f>
        <v>Others</v>
      </c>
      <c r="R314" s="25" t="str">
        <f t="shared" si="6"/>
        <v>Study-Others</v>
      </c>
      <c r="S314" s="47">
        <v>11</v>
      </c>
      <c r="T314" s="47">
        <v>0.5</v>
      </c>
      <c r="U314" s="42">
        <v>4</v>
      </c>
      <c r="V314" s="42"/>
      <c r="W314" s="47"/>
      <c r="X314" s="47"/>
      <c r="Y314" s="48" t="s">
        <v>146</v>
      </c>
      <c r="Z314" s="59"/>
      <c r="AA314" s="25">
        <f>VLOOKUP(F314,'Zones (3)'!$A$2:$F$15913,6,FALSE)</f>
        <v>1439</v>
      </c>
      <c r="AB314" s="25">
        <f>VLOOKUP(L314,'Zones (3)'!$A$2:$F$15913,6,FALSE)</f>
        <v>690</v>
      </c>
    </row>
    <row r="315" spans="2:28">
      <c r="B315" s="39">
        <v>0.3888888888888889</v>
      </c>
      <c r="C315" s="39" t="s">
        <v>387</v>
      </c>
      <c r="D315" s="40">
        <v>8</v>
      </c>
      <c r="E315" s="41">
        <v>2</v>
      </c>
      <c r="F315" s="41" t="s">
        <v>169</v>
      </c>
      <c r="G315" s="42" t="s">
        <v>150</v>
      </c>
      <c r="H315" s="41" t="s">
        <v>147</v>
      </c>
      <c r="I315" s="42">
        <v>1</v>
      </c>
      <c r="J315" s="42">
        <v>1</v>
      </c>
      <c r="K315" s="25" t="str">
        <f>VLOOKUP(J315,Key!$E$2:$F$9,2,FALSE)</f>
        <v>Home</v>
      </c>
      <c r="L315" s="41" t="s">
        <v>155</v>
      </c>
      <c r="M315" s="42" t="s">
        <v>148</v>
      </c>
      <c r="N315" s="41" t="s">
        <v>147</v>
      </c>
      <c r="O315" s="42">
        <v>11</v>
      </c>
      <c r="P315" s="42">
        <v>2</v>
      </c>
      <c r="Q315" s="25" t="str">
        <f>VLOOKUP(P315,Key!$E$2:$F$9,2,FALSE)</f>
        <v>Work</v>
      </c>
      <c r="R315" s="25" t="str">
        <f t="shared" si="6"/>
        <v>Home-Work</v>
      </c>
      <c r="S315" s="47">
        <v>18</v>
      </c>
      <c r="T315" s="47">
        <v>0.4</v>
      </c>
      <c r="U315" s="42">
        <v>4</v>
      </c>
      <c r="V315" s="42">
        <v>1</v>
      </c>
      <c r="W315" s="47"/>
      <c r="X315" s="47">
        <v>0.5</v>
      </c>
      <c r="Y315" s="48" t="s">
        <v>146</v>
      </c>
      <c r="Z315" s="59"/>
      <c r="AA315" s="25">
        <f>VLOOKUP(F315,'Zones (3)'!$A$2:$F$15913,6,FALSE)</f>
        <v>380</v>
      </c>
      <c r="AB315" s="25">
        <f>VLOOKUP(L315,'Zones (3)'!$A$2:$F$15913,6,FALSE)</f>
        <v>987</v>
      </c>
    </row>
    <row r="316" spans="2:28">
      <c r="B316" s="39">
        <v>0.39583333333333331</v>
      </c>
      <c r="C316" s="39" t="s">
        <v>388</v>
      </c>
      <c r="D316" s="40">
        <v>7</v>
      </c>
      <c r="E316" s="41">
        <v>1</v>
      </c>
      <c r="F316" s="41" t="s">
        <v>164</v>
      </c>
      <c r="G316" s="42" t="s">
        <v>150</v>
      </c>
      <c r="H316" s="41" t="s">
        <v>147</v>
      </c>
      <c r="I316" s="42">
        <v>1</v>
      </c>
      <c r="J316" s="42">
        <v>1</v>
      </c>
      <c r="K316" s="25" t="str">
        <f>VLOOKUP(J316,Key!$E$2:$F$9,2,FALSE)</f>
        <v>Home</v>
      </c>
      <c r="L316" s="41" t="s">
        <v>164</v>
      </c>
      <c r="M316" s="42" t="s">
        <v>150</v>
      </c>
      <c r="N316" s="41" t="s">
        <v>147</v>
      </c>
      <c r="O316" s="42">
        <v>15</v>
      </c>
      <c r="P316" s="42">
        <v>4</v>
      </c>
      <c r="Q316" s="25" t="str">
        <f>VLOOKUP(P316,Key!$E$2:$F$9,2,FALSE)</f>
        <v>Commercial</v>
      </c>
      <c r="R316" s="25" t="str">
        <f t="shared" si="6"/>
        <v>Home-Commercial</v>
      </c>
      <c r="S316" s="47">
        <v>1</v>
      </c>
      <c r="T316" s="47">
        <v>0</v>
      </c>
      <c r="U316" s="42">
        <v>2</v>
      </c>
      <c r="V316" s="42">
        <v>11</v>
      </c>
      <c r="W316" s="47"/>
      <c r="X316" s="47"/>
      <c r="Y316" s="48" t="s">
        <v>146</v>
      </c>
      <c r="Z316" s="59"/>
      <c r="AA316" s="25">
        <f>VLOOKUP(F316,'Zones (3)'!$A$2:$F$15913,6,FALSE)</f>
        <v>538</v>
      </c>
      <c r="AB316" s="25">
        <f>VLOOKUP(L316,'Zones (3)'!$A$2:$F$15913,6,FALSE)</f>
        <v>538</v>
      </c>
    </row>
    <row r="317" spans="2:28">
      <c r="B317" s="39">
        <v>0.40416666666666662</v>
      </c>
      <c r="C317" s="39" t="s">
        <v>389</v>
      </c>
      <c r="D317" s="40">
        <v>7</v>
      </c>
      <c r="E317" s="41">
        <v>1</v>
      </c>
      <c r="F317" s="41" t="s">
        <v>205</v>
      </c>
      <c r="G317" s="42" t="s">
        <v>150</v>
      </c>
      <c r="H317" s="41" t="s">
        <v>147</v>
      </c>
      <c r="I317" s="42">
        <v>1</v>
      </c>
      <c r="J317" s="42">
        <v>1</v>
      </c>
      <c r="K317" s="25" t="str">
        <f>VLOOKUP(J317,Key!$E$2:$F$9,2,FALSE)</f>
        <v>Home</v>
      </c>
      <c r="L317" s="41" t="s">
        <v>155</v>
      </c>
      <c r="M317" s="42" t="s">
        <v>148</v>
      </c>
      <c r="N317" s="41" t="s">
        <v>147</v>
      </c>
      <c r="O317" s="42">
        <v>11</v>
      </c>
      <c r="P317" s="42">
        <v>2</v>
      </c>
      <c r="Q317" s="25" t="str">
        <f>VLOOKUP(P317,Key!$E$2:$F$9,2,FALSE)</f>
        <v>Work</v>
      </c>
      <c r="R317" s="25" t="str">
        <f t="shared" si="6"/>
        <v>Home-Work</v>
      </c>
      <c r="S317" s="47">
        <v>12</v>
      </c>
      <c r="T317" s="47">
        <v>0.8</v>
      </c>
      <c r="U317" s="42">
        <v>4</v>
      </c>
      <c r="V317" s="42">
        <v>9</v>
      </c>
      <c r="W317" s="47"/>
      <c r="X317" s="47">
        <v>2</v>
      </c>
      <c r="Y317" s="48" t="s">
        <v>146</v>
      </c>
      <c r="Z317" s="59"/>
      <c r="AA317" s="25">
        <f>VLOOKUP(F317,'Zones (3)'!$A$2:$F$15913,6,FALSE)</f>
        <v>179</v>
      </c>
      <c r="AB317" s="25">
        <f>VLOOKUP(L317,'Zones (3)'!$A$2:$F$15913,6,FALSE)</f>
        <v>987</v>
      </c>
    </row>
    <row r="318" spans="2:28">
      <c r="B318" s="39">
        <v>0.43402777777777773</v>
      </c>
      <c r="C318" s="39" t="s">
        <v>390</v>
      </c>
      <c r="D318" s="40">
        <v>8</v>
      </c>
      <c r="E318" s="41">
        <v>3</v>
      </c>
      <c r="F318" s="41" t="s">
        <v>342</v>
      </c>
      <c r="G318" s="42" t="s">
        <v>150</v>
      </c>
      <c r="H318" s="41" t="s">
        <v>147</v>
      </c>
      <c r="I318" s="42">
        <v>3</v>
      </c>
      <c r="J318" s="42">
        <v>4</v>
      </c>
      <c r="K318" s="25" t="str">
        <f>VLOOKUP(J318,Key!$E$2:$F$9,2,FALSE)</f>
        <v>Commercial</v>
      </c>
      <c r="L318" s="41" t="s">
        <v>155</v>
      </c>
      <c r="M318" s="42" t="s">
        <v>148</v>
      </c>
      <c r="N318" s="41" t="s">
        <v>147</v>
      </c>
      <c r="O318" s="42">
        <v>3</v>
      </c>
      <c r="P318" s="42">
        <v>4</v>
      </c>
      <c r="Q318" s="25" t="str">
        <f>VLOOKUP(P318,Key!$E$2:$F$9,2,FALSE)</f>
        <v>Commercial</v>
      </c>
      <c r="R318" s="25" t="str">
        <f t="shared" si="6"/>
        <v>Commercial-Commercial</v>
      </c>
      <c r="S318" s="47">
        <v>5</v>
      </c>
      <c r="T318" s="47">
        <v>0.2</v>
      </c>
      <c r="U318" s="42">
        <v>3</v>
      </c>
      <c r="V318" s="42">
        <v>11</v>
      </c>
      <c r="W318" s="47"/>
      <c r="X318" s="47"/>
      <c r="Y318" s="48" t="s">
        <v>146</v>
      </c>
      <c r="Z318" s="59"/>
      <c r="AA318" s="25">
        <f>VLOOKUP(F318,'Zones (3)'!$A$2:$F$15913,6,FALSE)</f>
        <v>991</v>
      </c>
      <c r="AB318" s="25">
        <f>VLOOKUP(L318,'Zones (3)'!$A$2:$F$15913,6,FALSE)</f>
        <v>987</v>
      </c>
    </row>
    <row r="319" spans="2:28">
      <c r="B319" s="39">
        <v>0.44097222222222227</v>
      </c>
      <c r="C319" s="39" t="s">
        <v>391</v>
      </c>
      <c r="D319" s="40">
        <v>1</v>
      </c>
      <c r="E319" s="41">
        <v>2</v>
      </c>
      <c r="F319" s="41" t="s">
        <v>169</v>
      </c>
      <c r="G319" s="42" t="s">
        <v>150</v>
      </c>
      <c r="H319" s="41" t="s">
        <v>147</v>
      </c>
      <c r="I319" s="42">
        <v>16</v>
      </c>
      <c r="J319" s="42">
        <v>8</v>
      </c>
      <c r="K319" s="25" t="str">
        <f>VLOOKUP(J319,Key!$E$2:$F$9,2,FALSE)</f>
        <v>Others</v>
      </c>
      <c r="L319" s="41" t="s">
        <v>155</v>
      </c>
      <c r="M319" s="42" t="s">
        <v>148</v>
      </c>
      <c r="N319" s="41" t="s">
        <v>147</v>
      </c>
      <c r="O319" s="42">
        <v>1</v>
      </c>
      <c r="P319" s="42">
        <v>1</v>
      </c>
      <c r="Q319" s="25" t="str">
        <f>VLOOKUP(P319,Key!$E$2:$F$9,2,FALSE)</f>
        <v>Home</v>
      </c>
      <c r="R319" s="25" t="str">
        <f t="shared" si="6"/>
        <v>Others-Home</v>
      </c>
      <c r="S319" s="47">
        <v>8</v>
      </c>
      <c r="T319" s="47">
        <v>0.3</v>
      </c>
      <c r="U319" s="42">
        <v>4</v>
      </c>
      <c r="V319" s="42"/>
      <c r="W319" s="47"/>
      <c r="X319" s="47"/>
      <c r="Y319" s="48" t="s">
        <v>146</v>
      </c>
      <c r="Z319" s="59"/>
      <c r="AA319" s="25">
        <f>VLOOKUP(F319,'Zones (3)'!$A$2:$F$15913,6,FALSE)</f>
        <v>380</v>
      </c>
      <c r="AB319" s="25">
        <f>VLOOKUP(L319,'Zones (3)'!$A$2:$F$15913,6,FALSE)</f>
        <v>987</v>
      </c>
    </row>
    <row r="320" spans="2:28">
      <c r="B320" s="39">
        <v>0.44444444444444442</v>
      </c>
      <c r="C320" s="39" t="s">
        <v>392</v>
      </c>
      <c r="D320" s="40">
        <v>1</v>
      </c>
      <c r="E320" s="41">
        <v>2</v>
      </c>
      <c r="F320" s="41" t="s">
        <v>171</v>
      </c>
      <c r="G320" s="42" t="s">
        <v>150</v>
      </c>
      <c r="H320" s="41" t="s">
        <v>147</v>
      </c>
      <c r="I320" s="42">
        <v>1</v>
      </c>
      <c r="J320" s="42">
        <v>1</v>
      </c>
      <c r="K320" s="25" t="str">
        <f>VLOOKUP(J320,Key!$E$2:$F$9,2,FALSE)</f>
        <v>Home</v>
      </c>
      <c r="L320" s="41" t="s">
        <v>155</v>
      </c>
      <c r="M320" s="42" t="s">
        <v>148</v>
      </c>
      <c r="N320" s="41" t="s">
        <v>147</v>
      </c>
      <c r="O320" s="42">
        <v>16</v>
      </c>
      <c r="P320" s="42">
        <v>8</v>
      </c>
      <c r="Q320" s="25" t="str">
        <f>VLOOKUP(P320,Key!$E$2:$F$9,2,FALSE)</f>
        <v>Others</v>
      </c>
      <c r="R320" s="25" t="str">
        <f t="shared" si="6"/>
        <v>Home-Others</v>
      </c>
      <c r="S320" s="47">
        <v>31</v>
      </c>
      <c r="T320" s="47">
        <v>2</v>
      </c>
      <c r="U320" s="42">
        <v>4</v>
      </c>
      <c r="V320" s="42"/>
      <c r="W320" s="47"/>
      <c r="X320" s="47"/>
      <c r="Y320" s="48" t="s">
        <v>146</v>
      </c>
      <c r="Z320" s="59"/>
      <c r="AA320" s="25">
        <f>VLOOKUP(F320,'Zones (3)'!$A$2:$F$15913,6,FALSE)</f>
        <v>379</v>
      </c>
      <c r="AB320" s="25">
        <f>VLOOKUP(L320,'Zones (3)'!$A$2:$F$15913,6,FALSE)</f>
        <v>987</v>
      </c>
    </row>
    <row r="321" spans="2:28">
      <c r="B321" s="39">
        <v>0.4597222222222222</v>
      </c>
      <c r="C321" s="39" t="s">
        <v>393</v>
      </c>
      <c r="D321" s="40">
        <v>7</v>
      </c>
      <c r="E321" s="41">
        <v>1</v>
      </c>
      <c r="F321" s="41" t="s">
        <v>345</v>
      </c>
      <c r="G321" s="42" t="s">
        <v>150</v>
      </c>
      <c r="H321" s="41" t="s">
        <v>147</v>
      </c>
      <c r="I321" s="42">
        <v>3</v>
      </c>
      <c r="J321" s="42">
        <v>4</v>
      </c>
      <c r="K321" s="25" t="str">
        <f>VLOOKUP(J321,Key!$E$2:$F$9,2,FALSE)</f>
        <v>Commercial</v>
      </c>
      <c r="L321" s="41" t="s">
        <v>155</v>
      </c>
      <c r="M321" s="42" t="s">
        <v>148</v>
      </c>
      <c r="N321" s="41" t="s">
        <v>147</v>
      </c>
      <c r="O321" s="42">
        <v>3</v>
      </c>
      <c r="P321" s="42">
        <v>4</v>
      </c>
      <c r="Q321" s="25" t="str">
        <f>VLOOKUP(P321,Key!$E$2:$F$9,2,FALSE)</f>
        <v>Commercial</v>
      </c>
      <c r="R321" s="25" t="str">
        <f t="shared" si="6"/>
        <v>Commercial-Commercial</v>
      </c>
      <c r="S321" s="47">
        <v>7</v>
      </c>
      <c r="T321" s="47">
        <v>0.3</v>
      </c>
      <c r="U321" s="42">
        <v>5</v>
      </c>
      <c r="V321" s="42">
        <v>11</v>
      </c>
      <c r="W321" s="47"/>
      <c r="X321" s="47"/>
      <c r="Y321" s="48" t="s">
        <v>146</v>
      </c>
      <c r="Z321" s="59"/>
      <c r="AA321" s="25">
        <f>VLOOKUP(F321,'Zones (3)'!$A$2:$F$15913,6,FALSE)</f>
        <v>1439</v>
      </c>
      <c r="AB321" s="25">
        <f>VLOOKUP(L321,'Zones (3)'!$A$2:$F$15913,6,FALSE)</f>
        <v>987</v>
      </c>
    </row>
    <row r="322" spans="2:28">
      <c r="B322" s="39">
        <v>0.46875</v>
      </c>
      <c r="C322" s="39" t="s">
        <v>394</v>
      </c>
      <c r="D322" s="40">
        <v>1</v>
      </c>
      <c r="E322" s="41">
        <v>4</v>
      </c>
      <c r="F322" s="41" t="s">
        <v>209</v>
      </c>
      <c r="G322" s="42" t="s">
        <v>150</v>
      </c>
      <c r="H322" s="41" t="s">
        <v>147</v>
      </c>
      <c r="I322" s="42">
        <v>2</v>
      </c>
      <c r="J322" s="42">
        <v>2</v>
      </c>
      <c r="K322" s="25" t="str">
        <f>VLOOKUP(J322,Key!$E$2:$F$9,2,FALSE)</f>
        <v>Work</v>
      </c>
      <c r="L322" s="41" t="s">
        <v>155</v>
      </c>
      <c r="M322" s="42" t="s">
        <v>148</v>
      </c>
      <c r="N322" s="41" t="s">
        <v>147</v>
      </c>
      <c r="O322" s="42">
        <v>2</v>
      </c>
      <c r="P322" s="42">
        <v>2</v>
      </c>
      <c r="Q322" s="25" t="str">
        <f>VLOOKUP(P322,Key!$E$2:$F$9,2,FALSE)</f>
        <v>Work</v>
      </c>
      <c r="R322" s="25" t="str">
        <f t="shared" si="6"/>
        <v>Work-Work</v>
      </c>
      <c r="S322" s="47">
        <v>35</v>
      </c>
      <c r="T322" s="47">
        <v>2</v>
      </c>
      <c r="U322" s="42">
        <v>3</v>
      </c>
      <c r="V322" s="42"/>
      <c r="W322" s="47"/>
      <c r="X322" s="47"/>
      <c r="Y322" s="48" t="s">
        <v>146</v>
      </c>
      <c r="Z322" s="59"/>
      <c r="AA322" s="25">
        <f>VLOOKUP(F322,'Zones (3)'!$A$2:$F$15913,6,FALSE)</f>
        <v>379</v>
      </c>
      <c r="AB322" s="25">
        <f>VLOOKUP(L322,'Zones (3)'!$A$2:$F$15913,6,FALSE)</f>
        <v>987</v>
      </c>
    </row>
    <row r="323" spans="2:28">
      <c r="B323" s="39">
        <v>0.47916666666666669</v>
      </c>
      <c r="C323" s="39" t="s">
        <v>395</v>
      </c>
      <c r="D323" s="40">
        <v>2</v>
      </c>
      <c r="E323" s="41">
        <v>2</v>
      </c>
      <c r="F323" s="41" t="s">
        <v>342</v>
      </c>
      <c r="G323" s="42" t="s">
        <v>150</v>
      </c>
      <c r="H323" s="41" t="s">
        <v>147</v>
      </c>
      <c r="I323" s="42">
        <v>1</v>
      </c>
      <c r="J323" s="42">
        <v>1</v>
      </c>
      <c r="K323" s="25" t="str">
        <f>VLOOKUP(J323,Key!$E$2:$F$9,2,FALSE)</f>
        <v>Home</v>
      </c>
      <c r="L323" s="41" t="s">
        <v>155</v>
      </c>
      <c r="M323" s="42" t="s">
        <v>148</v>
      </c>
      <c r="N323" s="41" t="s">
        <v>147</v>
      </c>
      <c r="O323" s="42">
        <v>2</v>
      </c>
      <c r="P323" s="42">
        <v>2</v>
      </c>
      <c r="Q323" s="25" t="str">
        <f>VLOOKUP(P323,Key!$E$2:$F$9,2,FALSE)</f>
        <v>Work</v>
      </c>
      <c r="R323" s="25" t="str">
        <f t="shared" si="6"/>
        <v>Home-Work</v>
      </c>
      <c r="S323" s="47">
        <v>7</v>
      </c>
      <c r="T323" s="47">
        <v>0.2</v>
      </c>
      <c r="U323" s="42">
        <v>2</v>
      </c>
      <c r="V323" s="42"/>
      <c r="W323" s="47"/>
      <c r="X323" s="47"/>
      <c r="Y323" s="48" t="s">
        <v>146</v>
      </c>
      <c r="Z323" s="59"/>
      <c r="AA323" s="25">
        <f>VLOOKUP(F323,'Zones (3)'!$A$2:$F$15913,6,FALSE)</f>
        <v>991</v>
      </c>
      <c r="AB323" s="25">
        <f>VLOOKUP(L323,'Zones (3)'!$A$2:$F$15913,6,FALSE)</f>
        <v>987</v>
      </c>
    </row>
    <row r="324" spans="2:28">
      <c r="B324" s="39">
        <v>0.50624999999999998</v>
      </c>
      <c r="C324" s="39" t="s">
        <v>396</v>
      </c>
      <c r="D324" s="40">
        <v>1</v>
      </c>
      <c r="E324" s="41">
        <v>1</v>
      </c>
      <c r="F324" s="41" t="s">
        <v>345</v>
      </c>
      <c r="G324" s="42" t="s">
        <v>150</v>
      </c>
      <c r="H324" s="41" t="s">
        <v>147</v>
      </c>
      <c r="I324" s="42">
        <v>4</v>
      </c>
      <c r="J324" s="42">
        <v>3</v>
      </c>
      <c r="K324" s="25" t="str">
        <f>VLOOKUP(J324,Key!$E$2:$F$9,2,FALSE)</f>
        <v>Study</v>
      </c>
      <c r="L324" s="41" t="s">
        <v>155</v>
      </c>
      <c r="M324" s="42" t="s">
        <v>148</v>
      </c>
      <c r="N324" s="41">
        <v>2</v>
      </c>
      <c r="O324" s="42">
        <v>2</v>
      </c>
      <c r="P324" s="42">
        <v>5</v>
      </c>
      <c r="Q324" s="25" t="str">
        <f>VLOOKUP(P324,Key!$E$2:$F$9,2,FALSE)</f>
        <v>Tourism</v>
      </c>
      <c r="R324" s="25" t="str">
        <f t="shared" si="6"/>
        <v>Study-Tourism</v>
      </c>
      <c r="S324" s="47">
        <v>0.2</v>
      </c>
      <c r="T324" s="47">
        <v>6</v>
      </c>
      <c r="U324" s="42"/>
      <c r="V324" s="42"/>
      <c r="W324" s="47"/>
      <c r="X324" s="47"/>
      <c r="Y324" s="48" t="s">
        <v>146</v>
      </c>
      <c r="Z324" s="59"/>
      <c r="AA324" s="25">
        <f>VLOOKUP(F324,'Zones (3)'!$A$2:$F$15913,6,FALSE)</f>
        <v>1439</v>
      </c>
      <c r="AB324" s="25">
        <f>VLOOKUP(L324,'Zones (3)'!$A$2:$F$15913,6,FALSE)</f>
        <v>987</v>
      </c>
    </row>
    <row r="325" spans="2:28">
      <c r="B325" s="39">
        <v>0.51388888888888895</v>
      </c>
      <c r="C325" s="39" t="s">
        <v>397</v>
      </c>
      <c r="D325" s="40">
        <v>11</v>
      </c>
      <c r="E325" s="41">
        <v>1</v>
      </c>
      <c r="F325" s="41" t="s">
        <v>205</v>
      </c>
      <c r="G325" s="42" t="s">
        <v>150</v>
      </c>
      <c r="H325" s="41" t="s">
        <v>147</v>
      </c>
      <c r="I325" s="42">
        <v>1</v>
      </c>
      <c r="J325" s="42">
        <v>1</v>
      </c>
      <c r="K325" s="25" t="str">
        <f>VLOOKUP(J325,Key!$E$2:$F$9,2,FALSE)</f>
        <v>Home</v>
      </c>
      <c r="L325" s="41" t="s">
        <v>155</v>
      </c>
      <c r="M325" s="42" t="s">
        <v>148</v>
      </c>
      <c r="N325" s="41" t="s">
        <v>147</v>
      </c>
      <c r="O325" s="42">
        <v>16</v>
      </c>
      <c r="P325" s="42">
        <v>8</v>
      </c>
      <c r="Q325" s="25" t="str">
        <f>VLOOKUP(P325,Key!$E$2:$F$9,2,FALSE)</f>
        <v>Others</v>
      </c>
      <c r="R325" s="25" t="str">
        <f t="shared" si="6"/>
        <v>Home-Others</v>
      </c>
      <c r="S325" s="47">
        <v>12</v>
      </c>
      <c r="T325" s="47">
        <v>0.5</v>
      </c>
      <c r="U325" s="42">
        <v>2</v>
      </c>
      <c r="V325" s="42"/>
      <c r="W325" s="47"/>
      <c r="X325" s="47"/>
      <c r="Y325" s="48" t="s">
        <v>146</v>
      </c>
      <c r="Z325" s="59"/>
      <c r="AA325" s="25">
        <f>VLOOKUP(F325,'Zones (3)'!$A$2:$F$15913,6,FALSE)</f>
        <v>179</v>
      </c>
      <c r="AB325" s="25">
        <f>VLOOKUP(L325,'Zones (3)'!$A$2:$F$15913,6,FALSE)</f>
        <v>987</v>
      </c>
    </row>
    <row r="326" spans="2:28">
      <c r="B326" s="39">
        <v>0.52430555555555558</v>
      </c>
      <c r="C326" s="39" t="s">
        <v>398</v>
      </c>
      <c r="D326" s="40">
        <v>11</v>
      </c>
      <c r="E326" s="41">
        <v>1</v>
      </c>
      <c r="F326" s="41" t="s">
        <v>169</v>
      </c>
      <c r="G326" s="42" t="s">
        <v>150</v>
      </c>
      <c r="H326" s="41" t="s">
        <v>147</v>
      </c>
      <c r="I326" s="42">
        <v>8</v>
      </c>
      <c r="J326" s="42">
        <v>2</v>
      </c>
      <c r="K326" s="25" t="str">
        <f>VLOOKUP(J326,Key!$E$2:$F$9,2,FALSE)</f>
        <v>Work</v>
      </c>
      <c r="L326" s="41" t="s">
        <v>155</v>
      </c>
      <c r="M326" s="42" t="s">
        <v>148</v>
      </c>
      <c r="N326" s="41" t="s">
        <v>147</v>
      </c>
      <c r="O326" s="42">
        <v>8</v>
      </c>
      <c r="P326" s="42">
        <v>2</v>
      </c>
      <c r="Q326" s="25" t="str">
        <f>VLOOKUP(P326,Key!$E$2:$F$9,2,FALSE)</f>
        <v>Work</v>
      </c>
      <c r="R326" s="25" t="str">
        <f t="shared" si="6"/>
        <v>Work-Work</v>
      </c>
      <c r="S326" s="47">
        <v>8</v>
      </c>
      <c r="T326" s="47">
        <v>0.3</v>
      </c>
      <c r="U326" s="42">
        <v>2</v>
      </c>
      <c r="V326" s="42"/>
      <c r="W326" s="47"/>
      <c r="X326" s="47"/>
      <c r="Y326" s="48" t="s">
        <v>146</v>
      </c>
      <c r="Z326" s="59"/>
      <c r="AA326" s="25">
        <f>VLOOKUP(F326,'Zones (3)'!$A$2:$F$15913,6,FALSE)</f>
        <v>380</v>
      </c>
      <c r="AB326" s="25">
        <f>VLOOKUP(L326,'Zones (3)'!$A$2:$F$15913,6,FALSE)</f>
        <v>987</v>
      </c>
    </row>
    <row r="327" spans="2:28">
      <c r="B327" s="39">
        <v>0.52916666666666667</v>
      </c>
      <c r="C327" s="39" t="s">
        <v>399</v>
      </c>
      <c r="D327" s="40">
        <v>7</v>
      </c>
      <c r="E327" s="41">
        <v>3</v>
      </c>
      <c r="F327" s="41" t="s">
        <v>400</v>
      </c>
      <c r="G327" s="42" t="s">
        <v>150</v>
      </c>
      <c r="H327" s="41" t="s">
        <v>147</v>
      </c>
      <c r="I327" s="42">
        <v>7</v>
      </c>
      <c r="J327" s="42">
        <v>4</v>
      </c>
      <c r="K327" s="25" t="str">
        <f>VLOOKUP(J327,Key!$E$2:$F$9,2,FALSE)</f>
        <v>Commercial</v>
      </c>
      <c r="L327" s="41" t="s">
        <v>155</v>
      </c>
      <c r="M327" s="42" t="s">
        <v>148</v>
      </c>
      <c r="N327" s="41" t="s">
        <v>147</v>
      </c>
      <c r="O327" s="42">
        <v>11</v>
      </c>
      <c r="P327" s="42">
        <v>2</v>
      </c>
      <c r="Q327" s="25" t="str">
        <f>VLOOKUP(P327,Key!$E$2:$F$9,2,FALSE)</f>
        <v>Work</v>
      </c>
      <c r="R327" s="25" t="str">
        <f t="shared" si="6"/>
        <v>Commercial-Work</v>
      </c>
      <c r="S327" s="47">
        <v>10</v>
      </c>
      <c r="T327" s="47">
        <v>0.2</v>
      </c>
      <c r="U327" s="42">
        <v>10</v>
      </c>
      <c r="V327" s="42"/>
      <c r="W327" s="47"/>
      <c r="X327" s="47"/>
      <c r="Y327" s="48" t="s">
        <v>146</v>
      </c>
      <c r="Z327" s="59"/>
      <c r="AA327" s="25">
        <f>VLOOKUP(F327,'Zones (3)'!$A$2:$F$15913,6,FALSE)</f>
        <v>391</v>
      </c>
      <c r="AB327" s="25">
        <f>VLOOKUP(L327,'Zones (3)'!$A$2:$F$15913,6,FALSE)</f>
        <v>987</v>
      </c>
    </row>
    <row r="328" spans="2:28">
      <c r="B328" s="39">
        <v>0.53472222222222221</v>
      </c>
      <c r="C328" s="39" t="s">
        <v>401</v>
      </c>
      <c r="D328" s="40">
        <v>1</v>
      </c>
      <c r="E328" s="41">
        <v>1</v>
      </c>
      <c r="F328" s="41" t="s">
        <v>205</v>
      </c>
      <c r="G328" s="42" t="s">
        <v>150</v>
      </c>
      <c r="H328" s="41" t="s">
        <v>147</v>
      </c>
      <c r="I328" s="42">
        <v>1</v>
      </c>
      <c r="J328" s="42">
        <v>1</v>
      </c>
      <c r="K328" s="25" t="str">
        <f>VLOOKUP(J328,Key!$E$2:$F$9,2,FALSE)</f>
        <v>Home</v>
      </c>
      <c r="L328" s="41" t="s">
        <v>155</v>
      </c>
      <c r="M328" s="42" t="s">
        <v>148</v>
      </c>
      <c r="N328" s="41" t="s">
        <v>147</v>
      </c>
      <c r="O328" s="42">
        <v>16</v>
      </c>
      <c r="P328" s="42">
        <v>8</v>
      </c>
      <c r="Q328" s="25" t="str">
        <f>VLOOKUP(P328,Key!$E$2:$F$9,2,FALSE)</f>
        <v>Others</v>
      </c>
      <c r="R328" s="25" t="str">
        <f t="shared" si="6"/>
        <v>Home-Others</v>
      </c>
      <c r="S328" s="47">
        <v>80</v>
      </c>
      <c r="T328" s="47">
        <v>2</v>
      </c>
      <c r="U328" s="42">
        <v>2</v>
      </c>
      <c r="V328" s="42"/>
      <c r="W328" s="47"/>
      <c r="X328" s="47"/>
      <c r="Y328" s="48" t="s">
        <v>146</v>
      </c>
      <c r="Z328" s="59"/>
      <c r="AA328" s="25">
        <f>VLOOKUP(F328,'Zones (3)'!$A$2:$F$15913,6,FALSE)</f>
        <v>179</v>
      </c>
      <c r="AB328" s="25">
        <f>VLOOKUP(L328,'Zones (3)'!$A$2:$F$15913,6,FALSE)</f>
        <v>987</v>
      </c>
    </row>
    <row r="329" spans="2:28">
      <c r="B329" s="39">
        <v>0.53819444444444442</v>
      </c>
      <c r="C329" s="39" t="s">
        <v>402</v>
      </c>
      <c r="D329" s="40">
        <v>8</v>
      </c>
      <c r="E329" s="41">
        <v>3</v>
      </c>
      <c r="F329" s="41" t="s">
        <v>294</v>
      </c>
      <c r="G329" s="42" t="s">
        <v>150</v>
      </c>
      <c r="H329" s="41" t="s">
        <v>147</v>
      </c>
      <c r="I329" s="42">
        <v>16</v>
      </c>
      <c r="J329" s="42">
        <v>8</v>
      </c>
      <c r="K329" s="25" t="str">
        <f>VLOOKUP(J329,Key!$E$2:$F$9,2,FALSE)</f>
        <v>Others</v>
      </c>
      <c r="L329" s="41" t="s">
        <v>155</v>
      </c>
      <c r="M329" s="42" t="s">
        <v>148</v>
      </c>
      <c r="N329" s="41" t="s">
        <v>147</v>
      </c>
      <c r="O329" s="42">
        <v>10</v>
      </c>
      <c r="P329" s="42">
        <v>2</v>
      </c>
      <c r="Q329" s="25" t="str">
        <f>VLOOKUP(P329,Key!$E$2:$F$9,2,FALSE)</f>
        <v>Work</v>
      </c>
      <c r="R329" s="25" t="s">
        <v>403</v>
      </c>
      <c r="S329" s="47">
        <v>4</v>
      </c>
      <c r="T329" s="47">
        <v>0.3</v>
      </c>
      <c r="U329" s="42">
        <v>2</v>
      </c>
      <c r="V329" s="42">
        <v>12</v>
      </c>
      <c r="W329" s="47">
        <v>1</v>
      </c>
      <c r="X329" s="47"/>
      <c r="Y329" s="48" t="s">
        <v>146</v>
      </c>
      <c r="Z329" s="59"/>
      <c r="AA329" s="25">
        <f>VLOOKUP(F329,'Zones (3)'!$A$2:$F$15913,6,FALSE)</f>
        <v>376</v>
      </c>
      <c r="AB329" s="25">
        <f>VLOOKUP(L329,'Zones (3)'!$A$2:$F$15913,6,FALSE)</f>
        <v>987</v>
      </c>
    </row>
    <row r="330" spans="2:28">
      <c r="B330" s="39">
        <v>0.54166666666666663</v>
      </c>
      <c r="C330" s="39" t="s">
        <v>404</v>
      </c>
      <c r="D330" s="40">
        <v>3</v>
      </c>
      <c r="E330" s="41">
        <v>2</v>
      </c>
      <c r="F330" s="41" t="s">
        <v>213</v>
      </c>
      <c r="G330" s="42" t="s">
        <v>150</v>
      </c>
      <c r="H330" s="41" t="s">
        <v>147</v>
      </c>
      <c r="I330" s="42">
        <v>11</v>
      </c>
      <c r="J330" s="42">
        <v>4</v>
      </c>
      <c r="K330" s="25" t="str">
        <f>VLOOKUP(J330,Key!$E$2:$F$9,2,FALSE)</f>
        <v>Commercial</v>
      </c>
      <c r="L330" s="41" t="s">
        <v>155</v>
      </c>
      <c r="M330" s="42" t="s">
        <v>148</v>
      </c>
      <c r="N330" s="41" t="s">
        <v>147</v>
      </c>
      <c r="O330" s="42">
        <v>11</v>
      </c>
      <c r="P330" s="42">
        <v>4</v>
      </c>
      <c r="Q330" s="25" t="str">
        <f>VLOOKUP(P330,Key!$E$2:$F$9,2,FALSE)</f>
        <v>Commercial</v>
      </c>
      <c r="R330" s="25" t="str">
        <f t="shared" si="6"/>
        <v>Commercial-Commercial</v>
      </c>
      <c r="S330" s="47"/>
      <c r="T330" s="47">
        <v>0.3</v>
      </c>
      <c r="U330" s="42">
        <v>2</v>
      </c>
      <c r="V330" s="42">
        <v>10</v>
      </c>
      <c r="W330" s="47">
        <v>5.0000000000000001E-3</v>
      </c>
      <c r="X330" s="47">
        <v>2</v>
      </c>
      <c r="Y330" s="48" t="s">
        <v>146</v>
      </c>
      <c r="Z330" s="59"/>
      <c r="AA330" s="25">
        <f>VLOOKUP(F330,'Zones (3)'!$A$2:$F$15913,6,FALSE)</f>
        <v>381</v>
      </c>
      <c r="AB330" s="25">
        <f>VLOOKUP(L330,'Zones (3)'!$A$2:$F$15913,6,FALSE)</f>
        <v>987</v>
      </c>
    </row>
    <row r="331" spans="2:28">
      <c r="B331" s="39">
        <v>0.54652777777777783</v>
      </c>
      <c r="C331" s="39" t="s">
        <v>405</v>
      </c>
      <c r="D331" s="40">
        <v>1</v>
      </c>
      <c r="E331" s="41">
        <v>1</v>
      </c>
      <c r="F331" s="41" t="s">
        <v>213</v>
      </c>
      <c r="G331" s="42" t="s">
        <v>150</v>
      </c>
      <c r="H331" s="41" t="s">
        <v>147</v>
      </c>
      <c r="I331" s="42">
        <v>1</v>
      </c>
      <c r="J331" s="42">
        <v>1</v>
      </c>
      <c r="K331" s="25" t="str">
        <f>VLOOKUP(J331,Key!$E$2:$F$9,2,FALSE)</f>
        <v>Home</v>
      </c>
      <c r="L331" s="41" t="s">
        <v>155</v>
      </c>
      <c r="M331" s="42" t="s">
        <v>148</v>
      </c>
      <c r="N331" s="41" t="s">
        <v>147</v>
      </c>
      <c r="O331" s="42">
        <v>16</v>
      </c>
      <c r="P331" s="42">
        <v>8</v>
      </c>
      <c r="Q331" s="25" t="str">
        <f>VLOOKUP(P331,Key!$E$2:$F$9,2,FALSE)</f>
        <v>Others</v>
      </c>
      <c r="R331" s="25" t="str">
        <f t="shared" si="6"/>
        <v>Home-Others</v>
      </c>
      <c r="S331" s="47">
        <v>20</v>
      </c>
      <c r="T331" s="47">
        <v>0.7</v>
      </c>
      <c r="U331" s="42">
        <v>2</v>
      </c>
      <c r="V331" s="42"/>
      <c r="W331" s="47"/>
      <c r="X331" s="47"/>
      <c r="Y331" s="48" t="s">
        <v>146</v>
      </c>
      <c r="Z331" s="59"/>
      <c r="AA331" s="25">
        <f>VLOOKUP(F331,'Zones (3)'!$A$2:$F$15913,6,FALSE)</f>
        <v>381</v>
      </c>
      <c r="AB331" s="25">
        <f>VLOOKUP(L331,'Zones (3)'!$A$2:$F$15913,6,FALSE)</f>
        <v>987</v>
      </c>
    </row>
    <row r="332" spans="2:28">
      <c r="B332" s="39">
        <v>0.57986111111111105</v>
      </c>
      <c r="C332" s="39" t="s">
        <v>406</v>
      </c>
      <c r="D332" s="40">
        <v>8</v>
      </c>
      <c r="E332" s="41">
        <v>2</v>
      </c>
      <c r="F332" s="41" t="s">
        <v>213</v>
      </c>
      <c r="G332" s="42" t="s">
        <v>150</v>
      </c>
      <c r="H332" s="41" t="s">
        <v>147</v>
      </c>
      <c r="I332" s="42">
        <v>13</v>
      </c>
      <c r="J332" s="42">
        <v>4</v>
      </c>
      <c r="K332" s="25" t="str">
        <f>VLOOKUP(J332,Key!$E$2:$F$9,2,FALSE)</f>
        <v>Commercial</v>
      </c>
      <c r="L332" s="41" t="s">
        <v>155</v>
      </c>
      <c r="M332" s="42" t="s">
        <v>148</v>
      </c>
      <c r="N332" s="41" t="s">
        <v>147</v>
      </c>
      <c r="O332" s="42">
        <v>13</v>
      </c>
      <c r="P332" s="42">
        <v>4</v>
      </c>
      <c r="Q332" s="25" t="str">
        <f>VLOOKUP(P332,Key!$E$2:$F$9,2,FALSE)</f>
        <v>Commercial</v>
      </c>
      <c r="R332" s="25" t="str">
        <f t="shared" si="6"/>
        <v>Commercial-Commercial</v>
      </c>
      <c r="S332" s="47">
        <v>8</v>
      </c>
      <c r="T332" s="47">
        <v>0.3</v>
      </c>
      <c r="U332" s="42">
        <v>4</v>
      </c>
      <c r="V332" s="42">
        <v>7</v>
      </c>
      <c r="W332" s="47">
        <v>0.06</v>
      </c>
      <c r="X332" s="47"/>
      <c r="Y332" s="48" t="s">
        <v>146</v>
      </c>
      <c r="Z332" s="59"/>
      <c r="AA332" s="25">
        <f>VLOOKUP(F332,'Zones (3)'!$A$2:$F$15913,6,FALSE)</f>
        <v>381</v>
      </c>
      <c r="AB332" s="25">
        <f>VLOOKUP(L332,'Zones (3)'!$A$2:$F$15913,6,FALSE)</f>
        <v>987</v>
      </c>
    </row>
    <row r="333" spans="2:28">
      <c r="B333" s="39">
        <v>0.59027777777777779</v>
      </c>
      <c r="C333" s="39" t="s">
        <v>408</v>
      </c>
      <c r="D333" s="40">
        <v>1</v>
      </c>
      <c r="E333" s="41">
        <v>2</v>
      </c>
      <c r="F333" s="41" t="s">
        <v>171</v>
      </c>
      <c r="G333" s="42" t="s">
        <v>150</v>
      </c>
      <c r="H333" s="41" t="s">
        <v>147</v>
      </c>
      <c r="I333" s="42">
        <v>1</v>
      </c>
      <c r="J333" s="42">
        <v>1</v>
      </c>
      <c r="K333" s="25" t="str">
        <f>VLOOKUP(J333,Key!$E$2:$F$9,2,FALSE)</f>
        <v>Home</v>
      </c>
      <c r="L333" s="41" t="s">
        <v>234</v>
      </c>
      <c r="M333" s="42" t="s">
        <v>235</v>
      </c>
      <c r="N333" s="41" t="s">
        <v>147</v>
      </c>
      <c r="O333" s="42">
        <v>4</v>
      </c>
      <c r="P333" s="42">
        <v>3</v>
      </c>
      <c r="Q333" s="25" t="str">
        <f>VLOOKUP(P333,Key!$E$2:$F$9,2,FALSE)</f>
        <v>Study</v>
      </c>
      <c r="R333" s="25" t="str">
        <f t="shared" si="6"/>
        <v>Home-Study</v>
      </c>
      <c r="S333" s="47">
        <v>300</v>
      </c>
      <c r="T333" s="47">
        <v>4</v>
      </c>
      <c r="U333" s="42">
        <v>4</v>
      </c>
      <c r="V333" s="42"/>
      <c r="W333" s="47"/>
      <c r="X333" s="47"/>
      <c r="Y333" s="48" t="s">
        <v>146</v>
      </c>
      <c r="Z333" s="59"/>
      <c r="AA333" s="25">
        <f>VLOOKUP(F333,'Zones (3)'!$A$2:$F$15913,6,FALSE)</f>
        <v>379</v>
      </c>
      <c r="AB333" s="25">
        <f>VLOOKUP(L333,'Zones (3)'!$A$2:$F$15913,6,FALSE)</f>
        <v>521</v>
      </c>
    </row>
    <row r="334" spans="2:28">
      <c r="B334" s="39">
        <v>0.59583333333333333</v>
      </c>
      <c r="C334" s="39" t="s">
        <v>409</v>
      </c>
      <c r="D334" s="40">
        <v>3</v>
      </c>
      <c r="E334" s="41">
        <v>2</v>
      </c>
      <c r="F334" s="41" t="s">
        <v>171</v>
      </c>
      <c r="G334" s="42" t="s">
        <v>150</v>
      </c>
      <c r="H334" s="41" t="s">
        <v>147</v>
      </c>
      <c r="I334" s="42">
        <v>1</v>
      </c>
      <c r="J334" s="42">
        <v>1</v>
      </c>
      <c r="K334" s="25" t="str">
        <f>VLOOKUP(J334,Key!$E$2:$F$9,2,FALSE)</f>
        <v>Home</v>
      </c>
      <c r="L334" s="41" t="s">
        <v>155</v>
      </c>
      <c r="M334" s="42" t="s">
        <v>148</v>
      </c>
      <c r="N334" s="41" t="s">
        <v>147</v>
      </c>
      <c r="O334" s="42">
        <v>2</v>
      </c>
      <c r="P334" s="42">
        <v>2</v>
      </c>
      <c r="Q334" s="25" t="str">
        <f>VLOOKUP(P334,Key!$E$2:$F$9,2,FALSE)</f>
        <v>Work</v>
      </c>
      <c r="R334" s="25" t="str">
        <f t="shared" si="6"/>
        <v>Home-Work</v>
      </c>
      <c r="S334" s="47">
        <v>32</v>
      </c>
      <c r="T334" s="47">
        <v>2</v>
      </c>
      <c r="U334" s="42">
        <v>2</v>
      </c>
      <c r="V334" s="42"/>
      <c r="W334" s="47"/>
      <c r="X334" s="47"/>
      <c r="Y334" s="48" t="s">
        <v>146</v>
      </c>
      <c r="Z334" s="59"/>
      <c r="AA334" s="25">
        <f>VLOOKUP(F334,'Zones (3)'!$A$2:$F$15913,6,FALSE)</f>
        <v>379</v>
      </c>
      <c r="AB334" s="25">
        <f>VLOOKUP(L334,'Zones (3)'!$A$2:$F$15913,6,FALSE)</f>
        <v>987</v>
      </c>
    </row>
    <row r="335" spans="2:28">
      <c r="B335" s="39">
        <v>0.66666666666666663</v>
      </c>
      <c r="C335" s="39" t="s">
        <v>410</v>
      </c>
      <c r="D335" s="40">
        <v>3</v>
      </c>
      <c r="E335" s="41">
        <v>2</v>
      </c>
      <c r="F335" s="41" t="s">
        <v>169</v>
      </c>
      <c r="G335" s="42" t="s">
        <v>150</v>
      </c>
      <c r="H335" s="41" t="s">
        <v>147</v>
      </c>
      <c r="I335" s="42">
        <v>1</v>
      </c>
      <c r="J335" s="42">
        <v>1</v>
      </c>
      <c r="K335" s="25" t="str">
        <f>VLOOKUP(J335,Key!$E$2:$F$9,2,FALSE)</f>
        <v>Home</v>
      </c>
      <c r="L335" s="41" t="s">
        <v>155</v>
      </c>
      <c r="M335" s="42" t="s">
        <v>148</v>
      </c>
      <c r="N335" s="41" t="s">
        <v>147</v>
      </c>
      <c r="O335" s="42">
        <v>5</v>
      </c>
      <c r="P335" s="42">
        <v>7</v>
      </c>
      <c r="Q335" s="25" t="str">
        <f>VLOOKUP(P335,Key!$E$2:$F$9,2,FALSE)</f>
        <v>Hospital</v>
      </c>
      <c r="R335" s="25" t="str">
        <f t="shared" si="6"/>
        <v>Home-Hospital</v>
      </c>
      <c r="S335" s="47">
        <v>13</v>
      </c>
      <c r="T335" s="47">
        <v>0.2</v>
      </c>
      <c r="U335" s="42">
        <v>3</v>
      </c>
      <c r="V335" s="42"/>
      <c r="W335" s="47"/>
      <c r="X335" s="47"/>
      <c r="Y335" s="48" t="s">
        <v>146</v>
      </c>
      <c r="Z335" s="59"/>
      <c r="AA335" s="25">
        <f>VLOOKUP(F335,'Zones (3)'!$A$2:$F$15913,6,FALSE)</f>
        <v>380</v>
      </c>
      <c r="AB335" s="25">
        <f>VLOOKUP(L335,'Zones (3)'!$A$2:$F$15913,6,FALSE)</f>
        <v>987</v>
      </c>
    </row>
    <row r="336" spans="2:28">
      <c r="B336" s="39">
        <v>0.67361111111111116</v>
      </c>
      <c r="C336" s="39" t="s">
        <v>411</v>
      </c>
      <c r="D336" s="40">
        <v>1</v>
      </c>
      <c r="E336" s="41">
        <v>2</v>
      </c>
      <c r="F336" s="41" t="s">
        <v>342</v>
      </c>
      <c r="G336" s="42" t="s">
        <v>150</v>
      </c>
      <c r="H336" s="41" t="s">
        <v>147</v>
      </c>
      <c r="I336" s="42">
        <v>4</v>
      </c>
      <c r="J336" s="42">
        <v>3</v>
      </c>
      <c r="K336" s="25" t="str">
        <f>VLOOKUP(J336,Key!$E$2:$F$9,2,FALSE)</f>
        <v>Study</v>
      </c>
      <c r="L336" s="41" t="s">
        <v>155</v>
      </c>
      <c r="M336" s="42" t="s">
        <v>148</v>
      </c>
      <c r="N336" s="41" t="s">
        <v>147</v>
      </c>
      <c r="O336" s="42">
        <v>1</v>
      </c>
      <c r="P336" s="42">
        <v>1</v>
      </c>
      <c r="Q336" s="25" t="str">
        <f>VLOOKUP(P336,Key!$E$2:$F$9,2,FALSE)</f>
        <v>Home</v>
      </c>
      <c r="R336" s="25" t="str">
        <f t="shared" ref="R336:R368" si="7">K336&amp;"-"&amp;Q336</f>
        <v>Study-Home</v>
      </c>
      <c r="S336" s="47">
        <v>3</v>
      </c>
      <c r="T336" s="47">
        <v>0.1</v>
      </c>
      <c r="U336" s="42">
        <v>3</v>
      </c>
      <c r="V336" s="42"/>
      <c r="W336" s="47"/>
      <c r="X336" s="47"/>
      <c r="Y336" s="48" t="s">
        <v>146</v>
      </c>
      <c r="Z336" s="59"/>
      <c r="AA336" s="25">
        <f>VLOOKUP(F336,'Zones (3)'!$A$2:$F$15913,6,FALSE)</f>
        <v>991</v>
      </c>
      <c r="AB336" s="25">
        <f>VLOOKUP(L336,'Zones (3)'!$A$2:$F$15913,6,FALSE)</f>
        <v>987</v>
      </c>
    </row>
    <row r="337" spans="2:28">
      <c r="B337" s="39">
        <v>0.67847222222222225</v>
      </c>
      <c r="C337" s="39" t="s">
        <v>412</v>
      </c>
      <c r="D337" s="40">
        <v>1</v>
      </c>
      <c r="E337" s="41">
        <v>1</v>
      </c>
      <c r="F337" s="41" t="s">
        <v>345</v>
      </c>
      <c r="G337" s="42" t="s">
        <v>150</v>
      </c>
      <c r="H337" s="41" t="s">
        <v>147</v>
      </c>
      <c r="I337" s="42">
        <v>3</v>
      </c>
      <c r="J337" s="42">
        <v>4</v>
      </c>
      <c r="K337" s="25" t="str">
        <f>VLOOKUP(J337,Key!$E$2:$F$9,2,FALSE)</f>
        <v>Commercial</v>
      </c>
      <c r="L337" s="41" t="s">
        <v>155</v>
      </c>
      <c r="M337" s="42" t="s">
        <v>148</v>
      </c>
      <c r="N337" s="41" t="s">
        <v>147</v>
      </c>
      <c r="O337" s="42">
        <v>1</v>
      </c>
      <c r="P337" s="42">
        <v>1</v>
      </c>
      <c r="Q337" s="25" t="str">
        <f>VLOOKUP(P337,Key!$E$2:$F$9,2,FALSE)</f>
        <v>Home</v>
      </c>
      <c r="R337" s="25" t="str">
        <f t="shared" si="7"/>
        <v>Commercial-Home</v>
      </c>
      <c r="S337" s="47">
        <v>10</v>
      </c>
      <c r="T337" s="47">
        <v>0.1</v>
      </c>
      <c r="U337" s="42">
        <v>2</v>
      </c>
      <c r="V337" s="42"/>
      <c r="W337" s="47"/>
      <c r="X337" s="47"/>
      <c r="Y337" s="48" t="s">
        <v>146</v>
      </c>
      <c r="Z337" s="59"/>
      <c r="AA337" s="25">
        <f>VLOOKUP(F337,'Zones (3)'!$A$2:$F$15913,6,FALSE)</f>
        <v>1439</v>
      </c>
      <c r="AB337" s="25">
        <f>VLOOKUP(L337,'Zones (3)'!$A$2:$F$15913,6,FALSE)</f>
        <v>987</v>
      </c>
    </row>
    <row r="338" spans="2:28">
      <c r="B338" s="39">
        <v>0.68263888888888891</v>
      </c>
      <c r="C338" s="39" t="s">
        <v>413</v>
      </c>
      <c r="D338" s="40">
        <v>7</v>
      </c>
      <c r="E338" s="41">
        <v>2</v>
      </c>
      <c r="F338" s="41" t="s">
        <v>345</v>
      </c>
      <c r="G338" s="42" t="s">
        <v>150</v>
      </c>
      <c r="H338" s="41" t="s">
        <v>147</v>
      </c>
      <c r="I338" s="42">
        <v>3</v>
      </c>
      <c r="J338" s="42">
        <v>4</v>
      </c>
      <c r="K338" s="25" t="str">
        <f>VLOOKUP(J338,Key!$E$2:$F$9,2,FALSE)</f>
        <v>Commercial</v>
      </c>
      <c r="L338" s="41" t="s">
        <v>155</v>
      </c>
      <c r="M338" s="42" t="s">
        <v>148</v>
      </c>
      <c r="N338" s="41" t="s">
        <v>147</v>
      </c>
      <c r="O338" s="42">
        <v>11</v>
      </c>
      <c r="P338" s="42">
        <v>2</v>
      </c>
      <c r="Q338" s="25" t="str">
        <f>VLOOKUP(P338,Key!$E$2:$F$9,2,FALSE)</f>
        <v>Work</v>
      </c>
      <c r="R338" s="25" t="str">
        <f t="shared" si="7"/>
        <v>Commercial-Work</v>
      </c>
      <c r="S338" s="47">
        <v>7</v>
      </c>
      <c r="T338" s="47">
        <v>0.3</v>
      </c>
      <c r="U338" s="42">
        <v>2</v>
      </c>
      <c r="V338" s="42">
        <v>10</v>
      </c>
      <c r="W338" s="47">
        <v>0.05</v>
      </c>
      <c r="X338" s="47">
        <v>1</v>
      </c>
      <c r="Y338" s="48" t="s">
        <v>146</v>
      </c>
      <c r="Z338" s="59"/>
      <c r="AA338" s="25">
        <f>VLOOKUP(F338,'Zones (3)'!$A$2:$F$15913,6,FALSE)</f>
        <v>1439</v>
      </c>
      <c r="AB338" s="25">
        <f>VLOOKUP(L338,'Zones (3)'!$A$2:$F$15913,6,FALSE)</f>
        <v>987</v>
      </c>
    </row>
    <row r="339" spans="2:28">
      <c r="B339" s="39">
        <v>0.6875</v>
      </c>
      <c r="C339" s="39" t="s">
        <v>414</v>
      </c>
      <c r="D339" s="40">
        <v>11</v>
      </c>
      <c r="E339" s="41">
        <v>1</v>
      </c>
      <c r="F339" s="41" t="s">
        <v>169</v>
      </c>
      <c r="G339" s="42" t="s">
        <v>150</v>
      </c>
      <c r="H339" s="41" t="s">
        <v>147</v>
      </c>
      <c r="I339" s="42">
        <v>8</v>
      </c>
      <c r="J339" s="42">
        <v>2</v>
      </c>
      <c r="K339" s="25" t="str">
        <f>VLOOKUP(J339,Key!$E$2:$F$9,2,FALSE)</f>
        <v>Work</v>
      </c>
      <c r="L339" s="41" t="s">
        <v>155</v>
      </c>
      <c r="M339" s="42" t="s">
        <v>148</v>
      </c>
      <c r="N339" s="41" t="s">
        <v>147</v>
      </c>
      <c r="O339" s="42">
        <v>8</v>
      </c>
      <c r="P339" s="42">
        <v>2</v>
      </c>
      <c r="Q339" s="25" t="str">
        <f>VLOOKUP(P339,Key!$E$2:$F$9,2,FALSE)</f>
        <v>Work</v>
      </c>
      <c r="R339" s="25" t="str">
        <f t="shared" si="7"/>
        <v>Work-Work</v>
      </c>
      <c r="S339" s="47">
        <v>11</v>
      </c>
      <c r="T339" s="47">
        <v>0.5</v>
      </c>
      <c r="U339" s="42">
        <v>2</v>
      </c>
      <c r="V339" s="42"/>
      <c r="W339" s="47"/>
      <c r="X339" s="47"/>
      <c r="Y339" s="48" t="s">
        <v>146</v>
      </c>
      <c r="Z339" s="59"/>
      <c r="AA339" s="25">
        <f>VLOOKUP(F339,'Zones (3)'!$A$2:$F$15913,6,FALSE)</f>
        <v>380</v>
      </c>
      <c r="AB339" s="25">
        <f>VLOOKUP(L339,'Zones (3)'!$A$2:$F$15913,6,FALSE)</f>
        <v>987</v>
      </c>
    </row>
    <row r="340" spans="2:28">
      <c r="B340" s="39">
        <v>0.69097222222222221</v>
      </c>
      <c r="C340" s="39" t="s">
        <v>415</v>
      </c>
      <c r="D340" s="40">
        <v>11</v>
      </c>
      <c r="E340" s="41">
        <v>1</v>
      </c>
      <c r="F340" s="41" t="s">
        <v>169</v>
      </c>
      <c r="G340" s="42" t="s">
        <v>150</v>
      </c>
      <c r="H340" s="41" t="s">
        <v>147</v>
      </c>
      <c r="I340" s="42">
        <v>8</v>
      </c>
      <c r="J340" s="42">
        <v>2</v>
      </c>
      <c r="K340" s="25" t="str">
        <f>VLOOKUP(J340,Key!$E$2:$F$9,2,FALSE)</f>
        <v>Work</v>
      </c>
      <c r="L340" s="41" t="s">
        <v>173</v>
      </c>
      <c r="M340" s="42" t="s">
        <v>148</v>
      </c>
      <c r="N340" s="41" t="s">
        <v>147</v>
      </c>
      <c r="O340" s="42">
        <v>8</v>
      </c>
      <c r="P340" s="42">
        <v>2</v>
      </c>
      <c r="Q340" s="25" t="str">
        <f>VLOOKUP(P340,Key!$E$2:$F$9,2,FALSE)</f>
        <v>Work</v>
      </c>
      <c r="R340" s="25" t="str">
        <f t="shared" si="7"/>
        <v>Work-Work</v>
      </c>
      <c r="S340" s="47">
        <v>11</v>
      </c>
      <c r="T340" s="47">
        <v>0.5</v>
      </c>
      <c r="U340" s="42">
        <v>2</v>
      </c>
      <c r="V340" s="42"/>
      <c r="W340" s="47"/>
      <c r="X340" s="47"/>
      <c r="Y340" s="48" t="s">
        <v>146</v>
      </c>
      <c r="Z340" s="59"/>
      <c r="AA340" s="25">
        <f>VLOOKUP(F340,'Zones (3)'!$A$2:$F$15913,6,FALSE)</f>
        <v>380</v>
      </c>
      <c r="AB340" s="25">
        <f>VLOOKUP(L340,'Zones (3)'!$A$2:$F$15913,6,FALSE)</f>
        <v>987</v>
      </c>
    </row>
    <row r="341" spans="2:28">
      <c r="B341" s="39">
        <v>0.69374999999999998</v>
      </c>
      <c r="C341" s="39" t="s">
        <v>416</v>
      </c>
      <c r="D341" s="40">
        <v>11</v>
      </c>
      <c r="E341" s="41">
        <v>1</v>
      </c>
      <c r="F341" s="41" t="s">
        <v>213</v>
      </c>
      <c r="G341" s="42" t="s">
        <v>150</v>
      </c>
      <c r="H341" s="41" t="s">
        <v>147</v>
      </c>
      <c r="I341" s="42">
        <v>8</v>
      </c>
      <c r="J341" s="42">
        <v>2</v>
      </c>
      <c r="K341" s="25" t="str">
        <f>VLOOKUP(J341,Key!$E$2:$F$9,2,FALSE)</f>
        <v>Work</v>
      </c>
      <c r="L341" s="41" t="s">
        <v>155</v>
      </c>
      <c r="M341" s="42" t="s">
        <v>148</v>
      </c>
      <c r="N341" s="41" t="s">
        <v>147</v>
      </c>
      <c r="O341" s="42">
        <v>8</v>
      </c>
      <c r="P341" s="42">
        <v>2</v>
      </c>
      <c r="Q341" s="25" t="str">
        <f>VLOOKUP(P341,Key!$E$2:$F$9,2,FALSE)</f>
        <v>Work</v>
      </c>
      <c r="R341" s="25" t="str">
        <f t="shared" si="7"/>
        <v>Work-Work</v>
      </c>
      <c r="S341" s="47">
        <v>7</v>
      </c>
      <c r="T341" s="47">
        <v>0.3</v>
      </c>
      <c r="U341" s="42">
        <v>2</v>
      </c>
      <c r="V341" s="42"/>
      <c r="W341" s="47"/>
      <c r="X341" s="47"/>
      <c r="Y341" s="48" t="s">
        <v>146</v>
      </c>
      <c r="Z341" s="59"/>
      <c r="AA341" s="25">
        <f>VLOOKUP(F341,'Zones (3)'!$A$2:$F$15913,6,FALSE)</f>
        <v>381</v>
      </c>
      <c r="AB341" s="25">
        <f>VLOOKUP(L341,'Zones (3)'!$A$2:$F$15913,6,FALSE)</f>
        <v>987</v>
      </c>
    </row>
    <row r="342" spans="2:28">
      <c r="B342" s="39">
        <v>0.6958333333333333</v>
      </c>
      <c r="C342" s="39" t="s">
        <v>417</v>
      </c>
      <c r="D342" s="40">
        <v>1</v>
      </c>
      <c r="E342" s="41">
        <v>2</v>
      </c>
      <c r="F342" s="41" t="s">
        <v>205</v>
      </c>
      <c r="G342" s="42" t="s">
        <v>150</v>
      </c>
      <c r="H342" s="41" t="s">
        <v>147</v>
      </c>
      <c r="I342" s="42">
        <v>2</v>
      </c>
      <c r="J342" s="42">
        <v>2</v>
      </c>
      <c r="K342" s="25" t="str">
        <f>VLOOKUP(J342,Key!$E$2:$F$9,2,FALSE)</f>
        <v>Work</v>
      </c>
      <c r="L342" s="41" t="s">
        <v>155</v>
      </c>
      <c r="M342" s="42" t="s">
        <v>148</v>
      </c>
      <c r="N342" s="41" t="s">
        <v>147</v>
      </c>
      <c r="O342" s="42">
        <v>1</v>
      </c>
      <c r="P342" s="42">
        <v>1</v>
      </c>
      <c r="Q342" s="25" t="str">
        <f>VLOOKUP(P342,Key!$E$2:$F$9,2,FALSE)</f>
        <v>Home</v>
      </c>
      <c r="R342" s="25" t="str">
        <f t="shared" si="7"/>
        <v>Work-Home</v>
      </c>
      <c r="S342" s="47">
        <v>14</v>
      </c>
      <c r="T342" s="47">
        <v>0.5</v>
      </c>
      <c r="U342" s="42">
        <v>2</v>
      </c>
      <c r="V342" s="42"/>
      <c r="W342" s="47"/>
      <c r="X342" s="47"/>
      <c r="Y342" s="48" t="s">
        <v>146</v>
      </c>
      <c r="Z342" s="59"/>
      <c r="AA342" s="25">
        <f>VLOOKUP(F342,'Zones (3)'!$A$2:$F$15913,6,FALSE)</f>
        <v>179</v>
      </c>
      <c r="AB342" s="25">
        <f>VLOOKUP(L342,'Zones (3)'!$A$2:$F$15913,6,FALSE)</f>
        <v>987</v>
      </c>
    </row>
    <row r="343" spans="2:28">
      <c r="B343" s="39">
        <v>0.70208333333333339</v>
      </c>
      <c r="C343" s="39" t="s">
        <v>418</v>
      </c>
      <c r="D343" s="40">
        <v>9</v>
      </c>
      <c r="E343" s="41">
        <v>3</v>
      </c>
      <c r="F343" s="41" t="s">
        <v>171</v>
      </c>
      <c r="G343" s="42" t="s">
        <v>150</v>
      </c>
      <c r="H343" s="41" t="s">
        <v>147</v>
      </c>
      <c r="I343" s="42">
        <v>3</v>
      </c>
      <c r="J343" s="42">
        <v>4</v>
      </c>
      <c r="K343" s="25" t="str">
        <f>VLOOKUP(J343,Key!$E$2:$F$9,2,FALSE)</f>
        <v>Commercial</v>
      </c>
      <c r="L343" s="41" t="s">
        <v>155</v>
      </c>
      <c r="M343" s="42" t="s">
        <v>148</v>
      </c>
      <c r="N343" s="41" t="s">
        <v>147</v>
      </c>
      <c r="O343" s="42">
        <v>11</v>
      </c>
      <c r="P343" s="42">
        <v>2</v>
      </c>
      <c r="Q343" s="25" t="str">
        <f>VLOOKUP(P343,Key!$E$2:$F$9,2,FALSE)</f>
        <v>Work</v>
      </c>
      <c r="R343" s="25" t="str">
        <f t="shared" si="7"/>
        <v>Commercial-Work</v>
      </c>
      <c r="S343" s="47">
        <v>31</v>
      </c>
      <c r="T343" s="47">
        <v>1.5</v>
      </c>
      <c r="U343" s="42">
        <v>2</v>
      </c>
      <c r="V343" s="42">
        <v>10</v>
      </c>
      <c r="W343" s="47"/>
      <c r="X343" s="47"/>
      <c r="Y343" s="48" t="s">
        <v>146</v>
      </c>
      <c r="Z343" s="59"/>
      <c r="AA343" s="25">
        <f>VLOOKUP(F343,'Zones (3)'!$A$2:$F$15913,6,FALSE)</f>
        <v>379</v>
      </c>
      <c r="AB343" s="25">
        <f>VLOOKUP(L343,'Zones (3)'!$A$2:$F$15913,6,FALSE)</f>
        <v>987</v>
      </c>
    </row>
    <row r="344" spans="2:28">
      <c r="B344" s="39">
        <v>0.70833333333333337</v>
      </c>
      <c r="C344" s="39" t="s">
        <v>419</v>
      </c>
      <c r="D344" s="40">
        <v>1</v>
      </c>
      <c r="E344" s="41">
        <v>1</v>
      </c>
      <c r="F344" s="41" t="s">
        <v>342</v>
      </c>
      <c r="G344" s="42" t="s">
        <v>150</v>
      </c>
      <c r="H344" s="41" t="s">
        <v>147</v>
      </c>
      <c r="I344" s="42">
        <v>2</v>
      </c>
      <c r="J344" s="42">
        <v>2</v>
      </c>
      <c r="K344" s="25" t="str">
        <f>VLOOKUP(J344,Key!$E$2:$F$9,2,FALSE)</f>
        <v>Work</v>
      </c>
      <c r="L344" s="41" t="s">
        <v>155</v>
      </c>
      <c r="M344" s="42" t="s">
        <v>148</v>
      </c>
      <c r="N344" s="41" t="s">
        <v>147</v>
      </c>
      <c r="O344" s="42">
        <v>1</v>
      </c>
      <c r="P344" s="42">
        <v>1</v>
      </c>
      <c r="Q344" s="25" t="str">
        <f>VLOOKUP(P344,Key!$E$2:$F$9,2,FALSE)</f>
        <v>Home</v>
      </c>
      <c r="R344" s="25" t="str">
        <f t="shared" si="7"/>
        <v>Work-Home</v>
      </c>
      <c r="S344" s="47">
        <v>4</v>
      </c>
      <c r="T344" s="47">
        <v>0.2</v>
      </c>
      <c r="U344" s="42">
        <v>2</v>
      </c>
      <c r="V344" s="42"/>
      <c r="W344" s="47"/>
      <c r="X344" s="47"/>
      <c r="Y344" s="48" t="s">
        <v>146</v>
      </c>
      <c r="Z344" s="59"/>
      <c r="AA344" s="25">
        <f>VLOOKUP(F344,'Zones (3)'!$A$2:$F$15913,6,FALSE)</f>
        <v>991</v>
      </c>
      <c r="AB344" s="25">
        <f>VLOOKUP(L344,'Zones (3)'!$A$2:$F$15913,6,FALSE)</f>
        <v>987</v>
      </c>
    </row>
    <row r="345" spans="2:28">
      <c r="B345" s="39">
        <v>0.71875</v>
      </c>
      <c r="C345" s="39" t="s">
        <v>218</v>
      </c>
      <c r="D345" s="40">
        <v>1</v>
      </c>
      <c r="E345" s="41">
        <v>1</v>
      </c>
      <c r="F345" s="41" t="s">
        <v>169</v>
      </c>
      <c r="G345" s="42" t="s">
        <v>150</v>
      </c>
      <c r="H345" s="41" t="s">
        <v>147</v>
      </c>
      <c r="I345" s="42">
        <v>16</v>
      </c>
      <c r="J345" s="42">
        <v>2</v>
      </c>
      <c r="K345" s="25" t="str">
        <f>VLOOKUP(J345,Key!$E$2:$F$9,2,FALSE)</f>
        <v>Work</v>
      </c>
      <c r="L345" s="41" t="s">
        <v>155</v>
      </c>
      <c r="M345" s="42" t="s">
        <v>148</v>
      </c>
      <c r="N345" s="41" t="s">
        <v>147</v>
      </c>
      <c r="O345" s="42"/>
      <c r="P345" s="42">
        <v>1</v>
      </c>
      <c r="Q345" s="25">
        <v>1</v>
      </c>
      <c r="R345" s="25" t="str">
        <f t="shared" si="7"/>
        <v>Work-1</v>
      </c>
      <c r="S345" s="47"/>
      <c r="T345" s="47">
        <v>15</v>
      </c>
      <c r="U345" s="42">
        <v>0.5</v>
      </c>
      <c r="V345" s="42">
        <v>6</v>
      </c>
      <c r="W345" s="47"/>
      <c r="X345" s="47"/>
      <c r="Y345" s="48" t="s">
        <v>146</v>
      </c>
      <c r="Z345" s="59"/>
      <c r="AA345" s="25">
        <f>VLOOKUP(F345,'Zones (3)'!$A$2:$F$15913,6,FALSE)</f>
        <v>380</v>
      </c>
      <c r="AB345" s="25">
        <f>VLOOKUP(L345,'Zones (3)'!$A$2:$F$15913,6,FALSE)</f>
        <v>987</v>
      </c>
    </row>
    <row r="346" spans="2:28">
      <c r="B346" s="39">
        <v>0.69791666666666663</v>
      </c>
      <c r="C346" s="39" t="s">
        <v>420</v>
      </c>
      <c r="D346" s="40">
        <v>1</v>
      </c>
      <c r="E346" s="41">
        <v>1</v>
      </c>
      <c r="F346" s="41" t="s">
        <v>213</v>
      </c>
      <c r="G346" s="42" t="s">
        <v>150</v>
      </c>
      <c r="H346" s="41" t="s">
        <v>147</v>
      </c>
      <c r="I346" s="42">
        <v>1</v>
      </c>
      <c r="J346" s="42">
        <v>1</v>
      </c>
      <c r="K346" s="25" t="str">
        <f>VLOOKUP(J346,Key!$E$2:$F$9,2,FALSE)</f>
        <v>Home</v>
      </c>
      <c r="L346" s="41" t="s">
        <v>421</v>
      </c>
      <c r="M346" s="42" t="s">
        <v>191</v>
      </c>
      <c r="N346" s="41" t="s">
        <v>147</v>
      </c>
      <c r="O346" s="42">
        <v>2</v>
      </c>
      <c r="P346" s="42">
        <v>2</v>
      </c>
      <c r="Q346" s="25" t="str">
        <f>VLOOKUP(P346,Key!$E$2:$F$9,2,FALSE)</f>
        <v>Work</v>
      </c>
      <c r="R346" s="25" t="str">
        <f t="shared" si="7"/>
        <v>Home-Work</v>
      </c>
      <c r="S346" s="47">
        <v>200</v>
      </c>
      <c r="T346" s="47">
        <v>3</v>
      </c>
      <c r="U346" s="42">
        <v>5</v>
      </c>
      <c r="V346" s="42"/>
      <c r="W346" s="47"/>
      <c r="X346" s="47"/>
      <c r="Y346" s="48" t="s">
        <v>146</v>
      </c>
      <c r="Z346" s="59"/>
      <c r="AA346" s="25">
        <f>VLOOKUP(F346,'Zones (3)'!$A$2:$F$15913,6,FALSE)</f>
        <v>381</v>
      </c>
      <c r="AB346" s="25">
        <f>VLOOKUP(L346,'Zones (3)'!$A$2:$F$15913,6,FALSE)</f>
        <v>422</v>
      </c>
    </row>
    <row r="347" spans="2:28">
      <c r="B347" s="39">
        <v>0.67152777777777783</v>
      </c>
      <c r="C347" s="39" t="s">
        <v>422</v>
      </c>
      <c r="D347" s="40">
        <v>1</v>
      </c>
      <c r="E347" s="41">
        <v>2</v>
      </c>
      <c r="F347" s="41" t="s">
        <v>169</v>
      </c>
      <c r="G347" s="42" t="s">
        <v>150</v>
      </c>
      <c r="H347" s="41" t="s">
        <v>147</v>
      </c>
      <c r="I347" s="42">
        <v>9</v>
      </c>
      <c r="J347" s="42">
        <v>2</v>
      </c>
      <c r="K347" s="25" t="str">
        <f>VLOOKUP(J347,Key!$E$2:$F$9,2,FALSE)</f>
        <v>Work</v>
      </c>
      <c r="L347" s="41" t="s">
        <v>155</v>
      </c>
      <c r="M347" s="42" t="s">
        <v>148</v>
      </c>
      <c r="N347" s="41" t="s">
        <v>147</v>
      </c>
      <c r="O347" s="42">
        <v>1</v>
      </c>
      <c r="P347" s="42">
        <v>1</v>
      </c>
      <c r="Q347" s="25" t="str">
        <f>VLOOKUP(P347,Key!$E$2:$F$9,2,FALSE)</f>
        <v>Home</v>
      </c>
      <c r="R347" s="25" t="str">
        <f t="shared" si="7"/>
        <v>Work-Home</v>
      </c>
      <c r="S347" s="47">
        <v>15</v>
      </c>
      <c r="T347" s="47">
        <v>0.8</v>
      </c>
      <c r="U347" s="42">
        <v>6</v>
      </c>
      <c r="V347" s="42"/>
      <c r="W347" s="47"/>
      <c r="X347" s="47"/>
      <c r="Y347" s="48" t="s">
        <v>146</v>
      </c>
      <c r="Z347" s="59"/>
      <c r="AA347" s="25">
        <f>VLOOKUP(F347,'Zones (3)'!$A$2:$F$15913,6,FALSE)</f>
        <v>380</v>
      </c>
      <c r="AB347" s="25">
        <f>VLOOKUP(L347,'Zones (3)'!$A$2:$F$15913,6,FALSE)</f>
        <v>987</v>
      </c>
    </row>
    <row r="348" spans="2:28">
      <c r="B348" s="39">
        <v>0.58333333333333337</v>
      </c>
      <c r="C348" s="39" t="s">
        <v>423</v>
      </c>
      <c r="D348" s="40">
        <v>11</v>
      </c>
      <c r="E348" s="41">
        <v>1</v>
      </c>
      <c r="F348" s="41" t="s">
        <v>424</v>
      </c>
      <c r="G348" s="42" t="s">
        <v>150</v>
      </c>
      <c r="H348" s="41" t="s">
        <v>147</v>
      </c>
      <c r="I348" s="42">
        <v>1</v>
      </c>
      <c r="J348" s="42">
        <v>1</v>
      </c>
      <c r="K348" s="25" t="str">
        <f>VLOOKUP(J348,Key!$E$2:$F$9,2,FALSE)</f>
        <v>Home</v>
      </c>
      <c r="L348" s="41" t="s">
        <v>195</v>
      </c>
      <c r="M348" s="42" t="s">
        <v>148</v>
      </c>
      <c r="N348" s="41" t="s">
        <v>147</v>
      </c>
      <c r="O348" s="42">
        <v>8</v>
      </c>
      <c r="P348" s="42">
        <v>2</v>
      </c>
      <c r="Q348" s="25" t="str">
        <f>VLOOKUP(P348,Key!$E$2:$F$9,2,FALSE)</f>
        <v>Work</v>
      </c>
      <c r="R348" s="25" t="str">
        <f t="shared" si="7"/>
        <v>Home-Work</v>
      </c>
      <c r="S348" s="47">
        <v>5</v>
      </c>
      <c r="T348" s="47">
        <v>0.2</v>
      </c>
      <c r="U348" s="42">
        <v>2</v>
      </c>
      <c r="V348" s="42"/>
      <c r="W348" s="47"/>
      <c r="X348" s="47"/>
      <c r="Y348" s="48" t="s">
        <v>146</v>
      </c>
      <c r="Z348" s="59"/>
      <c r="AA348" s="25">
        <f>VLOOKUP(F348,'Zones (3)'!$A$2:$F$15913,6,FALSE)</f>
        <v>391</v>
      </c>
      <c r="AB348" s="25">
        <f>VLOOKUP(L348,'Zones (3)'!$A$2:$F$15913,6,FALSE)</f>
        <v>618</v>
      </c>
    </row>
    <row r="349" spans="2:28">
      <c r="B349" s="39">
        <v>0.54166666666666663</v>
      </c>
      <c r="C349" s="39" t="s">
        <v>425</v>
      </c>
      <c r="D349" s="40">
        <v>1</v>
      </c>
      <c r="E349" s="41">
        <v>4</v>
      </c>
      <c r="F349" s="41" t="s">
        <v>260</v>
      </c>
      <c r="G349" s="42" t="s">
        <v>150</v>
      </c>
      <c r="H349" s="41" t="s">
        <v>147</v>
      </c>
      <c r="I349" s="42">
        <v>1</v>
      </c>
      <c r="J349" s="42">
        <v>1</v>
      </c>
      <c r="K349" s="25" t="s">
        <v>101</v>
      </c>
      <c r="L349" s="41" t="s">
        <v>155</v>
      </c>
      <c r="M349" s="42" t="s">
        <v>148</v>
      </c>
      <c r="N349" s="41" t="s">
        <v>147</v>
      </c>
      <c r="O349" s="42">
        <v>3</v>
      </c>
      <c r="P349" s="42">
        <v>2</v>
      </c>
      <c r="Q349" s="25" t="str">
        <f>VLOOKUP(P349,Key!$E$2:$F$9,2,FALSE)</f>
        <v>Work</v>
      </c>
      <c r="R349" s="25" t="s">
        <v>141</v>
      </c>
      <c r="S349" s="47">
        <v>15</v>
      </c>
      <c r="T349" s="47">
        <v>0.5</v>
      </c>
      <c r="U349" s="42">
        <v>6</v>
      </c>
      <c r="V349" s="42"/>
      <c r="W349" s="47"/>
      <c r="X349" s="47"/>
      <c r="Y349" s="48" t="s">
        <v>146</v>
      </c>
      <c r="Z349" s="59"/>
      <c r="AA349" s="25">
        <f>VLOOKUP(F349,'Zones (3)'!$A$2:$F$15913,6,FALSE)</f>
        <v>1175</v>
      </c>
      <c r="AB349" s="25">
        <f>VLOOKUP(L349,'Zones (3)'!$A$2:$F$15913,6,FALSE)</f>
        <v>987</v>
      </c>
    </row>
    <row r="350" spans="2:28">
      <c r="B350" s="39">
        <v>0.5395833333333333</v>
      </c>
      <c r="C350" s="39" t="s">
        <v>426</v>
      </c>
      <c r="D350" s="40">
        <v>2</v>
      </c>
      <c r="E350" s="41">
        <v>2</v>
      </c>
      <c r="F350" s="41" t="s">
        <v>427</v>
      </c>
      <c r="G350" s="42" t="s">
        <v>150</v>
      </c>
      <c r="H350" s="41" t="s">
        <v>147</v>
      </c>
      <c r="I350" s="42">
        <v>1</v>
      </c>
      <c r="J350" s="42">
        <v>1</v>
      </c>
      <c r="K350" s="25" t="str">
        <f>VLOOKUP(J350,Key!$E$2:$F$9,2,FALSE)</f>
        <v>Home</v>
      </c>
      <c r="L350" s="41" t="s">
        <v>155</v>
      </c>
      <c r="M350" s="42" t="s">
        <v>148</v>
      </c>
      <c r="N350" s="41" t="s">
        <v>147</v>
      </c>
      <c r="O350" s="42">
        <v>4</v>
      </c>
      <c r="P350" s="42">
        <v>2</v>
      </c>
      <c r="Q350" s="25" t="str">
        <f>VLOOKUP(P350,Key!$E$2:$F$9,2,FALSE)</f>
        <v>Work</v>
      </c>
      <c r="R350" s="25" t="str">
        <f t="shared" si="7"/>
        <v>Home-Work</v>
      </c>
      <c r="S350" s="47">
        <v>25</v>
      </c>
      <c r="T350" s="47">
        <v>1</v>
      </c>
      <c r="U350" s="42">
        <v>1</v>
      </c>
      <c r="V350" s="42"/>
      <c r="W350" s="47"/>
      <c r="X350" s="47"/>
      <c r="Y350" s="48" t="s">
        <v>146</v>
      </c>
      <c r="Z350" s="59"/>
      <c r="AA350" s="25">
        <f>VLOOKUP(F350,'Zones (3)'!$A$2:$F$15913,6,FALSE)</f>
        <v>379</v>
      </c>
      <c r="AB350" s="25">
        <f>VLOOKUP(L350,'Zones (3)'!$A$2:$F$15913,6,FALSE)</f>
        <v>987</v>
      </c>
    </row>
    <row r="351" spans="2:28">
      <c r="B351" s="39">
        <v>0.53819444444444442</v>
      </c>
      <c r="C351" s="39" t="s">
        <v>428</v>
      </c>
      <c r="D351" s="40">
        <v>1</v>
      </c>
      <c r="E351" s="41">
        <v>4</v>
      </c>
      <c r="F351" s="41" t="s">
        <v>429</v>
      </c>
      <c r="G351" s="42" t="s">
        <v>150</v>
      </c>
      <c r="H351" s="41" t="s">
        <v>147</v>
      </c>
      <c r="I351" s="42">
        <v>1</v>
      </c>
      <c r="J351" s="42">
        <v>1</v>
      </c>
      <c r="K351" s="25" t="str">
        <f>VLOOKUP(J351,Key!$E$2:$F$9,2,FALSE)</f>
        <v>Home</v>
      </c>
      <c r="L351" s="41" t="s">
        <v>155</v>
      </c>
      <c r="M351" s="42" t="s">
        <v>148</v>
      </c>
      <c r="N351" s="41" t="s">
        <v>147</v>
      </c>
      <c r="O351" s="42">
        <v>2</v>
      </c>
      <c r="P351" s="42">
        <v>2</v>
      </c>
      <c r="Q351" s="25" t="str">
        <f>VLOOKUP(P351,Key!$E$2:$F$9,2,FALSE)</f>
        <v>Work</v>
      </c>
      <c r="R351" s="25" t="str">
        <f t="shared" si="7"/>
        <v>Home-Work</v>
      </c>
      <c r="S351" s="47">
        <v>32</v>
      </c>
      <c r="T351" s="47"/>
      <c r="U351" s="42">
        <v>1</v>
      </c>
      <c r="V351" s="42"/>
      <c r="W351" s="47"/>
      <c r="X351" s="47"/>
      <c r="Y351" s="48" t="s">
        <v>146</v>
      </c>
      <c r="Z351" s="59"/>
      <c r="AA351" s="25">
        <f>VLOOKUP(F351,'Zones (3)'!$A$2:$F$15913,6,FALSE)</f>
        <v>379</v>
      </c>
      <c r="AB351" s="25">
        <f>VLOOKUP(L351,'Zones (3)'!$A$2:$F$15913,6,FALSE)</f>
        <v>987</v>
      </c>
    </row>
    <row r="352" spans="2:28">
      <c r="B352" s="39">
        <v>0.52777777777777779</v>
      </c>
      <c r="C352" s="39" t="s">
        <v>430</v>
      </c>
      <c r="D352" s="40">
        <v>11</v>
      </c>
      <c r="E352" s="41">
        <v>1</v>
      </c>
      <c r="F352" s="41" t="s">
        <v>424</v>
      </c>
      <c r="G352" s="42" t="s">
        <v>150</v>
      </c>
      <c r="H352" s="41" t="s">
        <v>147</v>
      </c>
      <c r="I352" s="42">
        <v>1</v>
      </c>
      <c r="J352" s="42">
        <v>1</v>
      </c>
      <c r="K352" s="25" t="str">
        <f>VLOOKUP(J352,Key!$E$2:$F$9,2,FALSE)</f>
        <v>Home</v>
      </c>
      <c r="L352" s="41" t="s">
        <v>195</v>
      </c>
      <c r="M352" s="42" t="s">
        <v>148</v>
      </c>
      <c r="N352" s="41" t="s">
        <v>147</v>
      </c>
      <c r="O352" s="42">
        <v>8</v>
      </c>
      <c r="P352" s="42">
        <v>2</v>
      </c>
      <c r="Q352" s="25" t="str">
        <f>VLOOKUP(P352,Key!$E$2:$F$9,2,FALSE)</f>
        <v>Work</v>
      </c>
      <c r="R352" s="25" t="str">
        <f t="shared" si="7"/>
        <v>Home-Work</v>
      </c>
      <c r="S352" s="47">
        <v>5</v>
      </c>
      <c r="T352" s="47">
        <v>0.2</v>
      </c>
      <c r="U352" s="42">
        <v>2</v>
      </c>
      <c r="V352" s="42"/>
      <c r="W352" s="47"/>
      <c r="X352" s="47"/>
      <c r="Y352" s="48" t="s">
        <v>146</v>
      </c>
      <c r="Z352" s="59"/>
      <c r="AA352" s="25">
        <f>VLOOKUP(F352,'Zones (3)'!$A$2:$F$15913,6,FALSE)</f>
        <v>391</v>
      </c>
      <c r="AB352" s="25">
        <f>VLOOKUP(L352,'Zones (3)'!$A$2:$F$15913,6,FALSE)</f>
        <v>618</v>
      </c>
    </row>
    <row r="353" spans="2:28">
      <c r="B353" s="39">
        <v>0.52500000000000002</v>
      </c>
      <c r="C353" s="39" t="s">
        <v>431</v>
      </c>
      <c r="D353" s="40">
        <v>1</v>
      </c>
      <c r="E353" s="41">
        <v>7</v>
      </c>
      <c r="F353" s="41" t="s">
        <v>162</v>
      </c>
      <c r="G353" s="42" t="s">
        <v>150</v>
      </c>
      <c r="H353" s="41" t="s">
        <v>147</v>
      </c>
      <c r="I353" s="42">
        <v>1</v>
      </c>
      <c r="J353" s="42">
        <v>1</v>
      </c>
      <c r="K353" s="25" t="str">
        <f>VLOOKUP(J353,Key!$E$2:$F$9,2,FALSE)</f>
        <v>Home</v>
      </c>
      <c r="L353" s="41" t="s">
        <v>155</v>
      </c>
      <c r="M353" s="42" t="s">
        <v>148</v>
      </c>
      <c r="N353" s="41" t="s">
        <v>147</v>
      </c>
      <c r="O353" s="42">
        <v>6</v>
      </c>
      <c r="P353" s="42">
        <v>2</v>
      </c>
      <c r="Q353" s="25" t="str">
        <f>VLOOKUP(P353,Key!$E$2:$F$9,2,FALSE)</f>
        <v>Work</v>
      </c>
      <c r="R353" s="25" t="str">
        <f t="shared" si="7"/>
        <v>Home-Work</v>
      </c>
      <c r="S353" s="47">
        <v>37</v>
      </c>
      <c r="T353" s="47">
        <v>1.5</v>
      </c>
      <c r="U353" s="42">
        <v>1</v>
      </c>
      <c r="V353" s="42"/>
      <c r="W353" s="47"/>
      <c r="X353" s="47"/>
      <c r="Y353" s="48" t="s">
        <v>146</v>
      </c>
      <c r="Z353" s="59"/>
      <c r="AA353" s="25">
        <f>VLOOKUP(F353,'Zones (3)'!$A$2:$F$15913,6,FALSE)</f>
        <v>388</v>
      </c>
      <c r="AB353" s="25">
        <f>VLOOKUP(L353,'Zones (3)'!$A$2:$F$15913,6,FALSE)</f>
        <v>987</v>
      </c>
    </row>
    <row r="354" spans="2:28">
      <c r="B354" s="39">
        <v>0.48888888888888887</v>
      </c>
      <c r="C354" s="39" t="s">
        <v>432</v>
      </c>
      <c r="D354" s="40">
        <v>1</v>
      </c>
      <c r="E354" s="41">
        <v>1</v>
      </c>
      <c r="F354" s="41" t="s">
        <v>345</v>
      </c>
      <c r="G354" s="42" t="s">
        <v>150</v>
      </c>
      <c r="H354" s="41" t="s">
        <v>147</v>
      </c>
      <c r="I354" s="42">
        <v>1</v>
      </c>
      <c r="J354" s="42">
        <v>1</v>
      </c>
      <c r="K354" s="25" t="str">
        <f>VLOOKUP(J354,Key!$E$2:$F$9,2,FALSE)</f>
        <v>Home</v>
      </c>
      <c r="L354" s="41" t="s">
        <v>433</v>
      </c>
      <c r="M354" s="42" t="s">
        <v>434</v>
      </c>
      <c r="N354" s="41" t="s">
        <v>147</v>
      </c>
      <c r="O354" s="42">
        <v>5</v>
      </c>
      <c r="P354" s="42">
        <v>7</v>
      </c>
      <c r="Q354" s="25" t="str">
        <f>VLOOKUP(P354,Key!$E$2:$F$9,2,FALSE)</f>
        <v>Hospital</v>
      </c>
      <c r="R354" s="25" t="str">
        <f t="shared" si="7"/>
        <v>Home-Hospital</v>
      </c>
      <c r="S354" s="47">
        <v>126</v>
      </c>
      <c r="T354" s="47">
        <v>2</v>
      </c>
      <c r="U354" s="42">
        <v>6</v>
      </c>
      <c r="V354" s="42"/>
      <c r="W354" s="47"/>
      <c r="X354" s="47"/>
      <c r="Y354" s="48" t="s">
        <v>146</v>
      </c>
      <c r="Z354" s="59"/>
      <c r="AA354" s="25">
        <f>VLOOKUP(F354,'Zones (3)'!$A$2:$F$15913,6,FALSE)</f>
        <v>1439</v>
      </c>
      <c r="AB354" s="25">
        <f>VLOOKUP(L354,'Zones (3)'!$A$2:$F$15913,6,FALSE)</f>
        <v>1303</v>
      </c>
    </row>
    <row r="355" spans="2:28">
      <c r="B355" s="39">
        <v>0.47638888888888892</v>
      </c>
      <c r="C355" s="39" t="s">
        <v>435</v>
      </c>
      <c r="D355" s="40">
        <v>1</v>
      </c>
      <c r="E355" s="41">
        <v>2</v>
      </c>
      <c r="F355" s="41" t="s">
        <v>169</v>
      </c>
      <c r="G355" s="42" t="s">
        <v>150</v>
      </c>
      <c r="H355" s="41" t="s">
        <v>147</v>
      </c>
      <c r="I355" s="42">
        <v>1</v>
      </c>
      <c r="J355" s="42">
        <v>1</v>
      </c>
      <c r="K355" s="25" t="str">
        <f>VLOOKUP(J355,Key!$E$2:$F$9,2,FALSE)</f>
        <v>Home</v>
      </c>
      <c r="L355" s="41" t="s">
        <v>155</v>
      </c>
      <c r="M355" s="42" t="s">
        <v>148</v>
      </c>
      <c r="N355" s="41" t="s">
        <v>147</v>
      </c>
      <c r="O355" s="42">
        <v>12</v>
      </c>
      <c r="P355" s="42">
        <v>4</v>
      </c>
      <c r="Q355" s="25" t="str">
        <f>VLOOKUP(P355,Key!$E$2:$F$9,2,FALSE)</f>
        <v>Commercial</v>
      </c>
      <c r="R355" s="25" t="str">
        <f t="shared" si="7"/>
        <v>Home-Commercial</v>
      </c>
      <c r="S355" s="47">
        <v>10</v>
      </c>
      <c r="T355" s="47">
        <v>0.3</v>
      </c>
      <c r="U355" s="42">
        <v>6</v>
      </c>
      <c r="V355" s="42"/>
      <c r="W355" s="47"/>
      <c r="X355" s="47"/>
      <c r="Y355" s="48" t="s">
        <v>146</v>
      </c>
      <c r="Z355" s="59"/>
      <c r="AA355" s="25">
        <f>VLOOKUP(F355,'Zones (3)'!$A$2:$F$15913,6,FALSE)</f>
        <v>380</v>
      </c>
      <c r="AB355" s="25">
        <f>VLOOKUP(L355,'Zones (3)'!$A$2:$F$15913,6,FALSE)</f>
        <v>987</v>
      </c>
    </row>
    <row r="356" spans="2:28">
      <c r="B356" s="39">
        <v>0.46666666666666662</v>
      </c>
      <c r="C356" s="39" t="s">
        <v>436</v>
      </c>
      <c r="D356" s="40">
        <v>1</v>
      </c>
      <c r="E356" s="41">
        <v>3</v>
      </c>
      <c r="F356" s="41" t="s">
        <v>437</v>
      </c>
      <c r="G356" s="42" t="s">
        <v>150</v>
      </c>
      <c r="H356" s="41" t="s">
        <v>147</v>
      </c>
      <c r="I356" s="42">
        <v>1</v>
      </c>
      <c r="J356" s="42">
        <v>1</v>
      </c>
      <c r="K356" s="25" t="str">
        <f>VLOOKUP(J356,Key!$E$2:$F$9,2,FALSE)</f>
        <v>Home</v>
      </c>
      <c r="L356" s="41" t="s">
        <v>155</v>
      </c>
      <c r="M356" s="42" t="s">
        <v>148</v>
      </c>
      <c r="N356" s="41" t="s">
        <v>147</v>
      </c>
      <c r="O356" s="42">
        <v>16</v>
      </c>
      <c r="P356" s="42">
        <v>4</v>
      </c>
      <c r="Q356" s="25" t="str">
        <f>VLOOKUP(P356,Key!$E$2:$F$9,2,FALSE)</f>
        <v>Commercial</v>
      </c>
      <c r="R356" s="25" t="str">
        <f t="shared" si="7"/>
        <v>Home-Commercial</v>
      </c>
      <c r="S356" s="47">
        <v>37</v>
      </c>
      <c r="T356" s="47">
        <v>1.3</v>
      </c>
      <c r="U356" s="42">
        <v>6</v>
      </c>
      <c r="V356" s="42"/>
      <c r="W356" s="47"/>
      <c r="X356" s="47"/>
      <c r="Y356" s="48" t="s">
        <v>146</v>
      </c>
      <c r="Z356" s="59"/>
      <c r="AA356" s="25">
        <f>VLOOKUP(F356,'Zones (3)'!$A$2:$F$15913,6,FALSE)</f>
        <v>389</v>
      </c>
      <c r="AB356" s="25">
        <f>VLOOKUP(L356,'Zones (3)'!$A$2:$F$15913,6,FALSE)</f>
        <v>987</v>
      </c>
    </row>
    <row r="357" spans="2:28">
      <c r="B357" s="39">
        <v>0.45347222222222222</v>
      </c>
      <c r="C357" s="39" t="s">
        <v>438</v>
      </c>
      <c r="D357" s="40">
        <v>1</v>
      </c>
      <c r="E357" s="41">
        <v>4</v>
      </c>
      <c r="F357" s="41" t="s">
        <v>209</v>
      </c>
      <c r="G357" s="42" t="s">
        <v>150</v>
      </c>
      <c r="H357" s="41" t="s">
        <v>147</v>
      </c>
      <c r="I357" s="42">
        <v>1</v>
      </c>
      <c r="J357" s="42">
        <v>1</v>
      </c>
      <c r="K357" s="25" t="str">
        <f>VLOOKUP(J357,Key!$E$2:$F$9,2,FALSE)</f>
        <v>Home</v>
      </c>
      <c r="L357" s="41" t="s">
        <v>155</v>
      </c>
      <c r="M357" s="42" t="s">
        <v>148</v>
      </c>
      <c r="N357" s="41" t="s">
        <v>147</v>
      </c>
      <c r="O357" s="42">
        <v>6</v>
      </c>
      <c r="P357" s="42">
        <v>2</v>
      </c>
      <c r="Q357" s="25" t="str">
        <f>VLOOKUP(P357,Key!$E$2:$F$9,2,FALSE)</f>
        <v>Work</v>
      </c>
      <c r="R357" s="25" t="str">
        <f t="shared" si="7"/>
        <v>Home-Work</v>
      </c>
      <c r="S357" s="47">
        <v>150</v>
      </c>
      <c r="T357" s="47">
        <v>1.5</v>
      </c>
      <c r="U357" s="42">
        <v>2</v>
      </c>
      <c r="V357" s="42"/>
      <c r="W357" s="47"/>
      <c r="X357" s="47"/>
      <c r="Y357" s="48" t="s">
        <v>146</v>
      </c>
      <c r="Z357" s="59"/>
      <c r="AA357" s="25">
        <f>VLOOKUP(F357,'Zones (3)'!$A$2:$F$15913,6,FALSE)</f>
        <v>379</v>
      </c>
      <c r="AB357" s="25">
        <f>VLOOKUP(L357,'Zones (3)'!$A$2:$F$15913,6,FALSE)</f>
        <v>987</v>
      </c>
    </row>
    <row r="358" spans="2:28">
      <c r="B358" s="39">
        <v>0.4236111111111111</v>
      </c>
      <c r="C358" s="39" t="s">
        <v>439</v>
      </c>
      <c r="D358" s="40">
        <v>1</v>
      </c>
      <c r="E358" s="41">
        <v>6</v>
      </c>
      <c r="F358" s="41" t="s">
        <v>209</v>
      </c>
      <c r="G358" s="42" t="s">
        <v>150</v>
      </c>
      <c r="H358" s="41" t="s">
        <v>147</v>
      </c>
      <c r="I358" s="42">
        <v>1</v>
      </c>
      <c r="J358" s="42">
        <v>1</v>
      </c>
      <c r="K358" s="25" t="str">
        <f>VLOOKUP(J358,Key!$E$2:$F$9,2,FALSE)</f>
        <v>Home</v>
      </c>
      <c r="L358" s="41" t="s">
        <v>155</v>
      </c>
      <c r="M358" s="42" t="s">
        <v>148</v>
      </c>
      <c r="N358" s="41" t="s">
        <v>147</v>
      </c>
      <c r="O358" s="42">
        <v>6</v>
      </c>
      <c r="P358" s="42">
        <v>2</v>
      </c>
      <c r="Q358" s="25" t="str">
        <f>VLOOKUP(P358,Key!$E$2:$F$9,2,FALSE)</f>
        <v>Work</v>
      </c>
      <c r="R358" s="25" t="str">
        <f t="shared" si="7"/>
        <v>Home-Work</v>
      </c>
      <c r="S358" s="47">
        <v>75</v>
      </c>
      <c r="T358" s="47">
        <v>1.5</v>
      </c>
      <c r="U358" s="42">
        <v>1</v>
      </c>
      <c r="V358" s="42"/>
      <c r="W358" s="47"/>
      <c r="X358" s="47"/>
      <c r="Y358" s="48" t="s">
        <v>146</v>
      </c>
      <c r="Z358" s="59"/>
      <c r="AA358" s="25">
        <f>VLOOKUP(F358,'Zones (3)'!$A$2:$F$15913,6,FALSE)</f>
        <v>379</v>
      </c>
      <c r="AB358" s="25">
        <f>VLOOKUP(L358,'Zones (3)'!$A$2:$F$15913,6,FALSE)</f>
        <v>987</v>
      </c>
    </row>
    <row r="359" spans="2:28">
      <c r="B359" s="39">
        <v>0.40833333333333338</v>
      </c>
      <c r="C359" s="39" t="s">
        <v>440</v>
      </c>
      <c r="D359" s="40">
        <v>1</v>
      </c>
      <c r="E359" s="41">
        <v>5</v>
      </c>
      <c r="F359" s="41" t="s">
        <v>169</v>
      </c>
      <c r="G359" s="42" t="s">
        <v>150</v>
      </c>
      <c r="H359" s="41" t="s">
        <v>147</v>
      </c>
      <c r="I359" s="42">
        <v>1</v>
      </c>
      <c r="J359" s="42">
        <v>1</v>
      </c>
      <c r="K359" s="25" t="str">
        <f>VLOOKUP(J359,Key!$E$2:$F$9,2,FALSE)</f>
        <v>Home</v>
      </c>
      <c r="L359" s="41" t="s">
        <v>155</v>
      </c>
      <c r="M359" s="42" t="s">
        <v>148</v>
      </c>
      <c r="N359" s="41" t="s">
        <v>147</v>
      </c>
      <c r="O359" s="42">
        <v>11</v>
      </c>
      <c r="P359" s="42">
        <v>4</v>
      </c>
      <c r="Q359" s="25" t="str">
        <f>VLOOKUP(P359,Key!$E$2:$F$9,2,FALSE)</f>
        <v>Commercial</v>
      </c>
      <c r="R359" s="25" t="str">
        <f t="shared" si="7"/>
        <v>Home-Commercial</v>
      </c>
      <c r="S359" s="47">
        <v>15</v>
      </c>
      <c r="T359" s="47">
        <v>0.3</v>
      </c>
      <c r="U359" s="42">
        <v>1</v>
      </c>
      <c r="V359" s="42"/>
      <c r="W359" s="47"/>
      <c r="X359" s="47"/>
      <c r="Y359" s="48" t="s">
        <v>146</v>
      </c>
      <c r="Z359" s="59"/>
      <c r="AA359" s="25">
        <f>VLOOKUP(F359,'Zones (3)'!$A$2:$F$15913,6,FALSE)</f>
        <v>380</v>
      </c>
      <c r="AB359" s="25">
        <f>VLOOKUP(L359,'Zones (3)'!$A$2:$F$15913,6,FALSE)</f>
        <v>987</v>
      </c>
    </row>
    <row r="360" spans="2:28">
      <c r="B360" s="39">
        <v>0.3979166666666667</v>
      </c>
      <c r="C360" s="39" t="s">
        <v>441</v>
      </c>
      <c r="D360" s="40">
        <v>1</v>
      </c>
      <c r="E360" s="41">
        <v>1</v>
      </c>
      <c r="F360" s="41" t="s">
        <v>294</v>
      </c>
      <c r="G360" s="42" t="s">
        <v>150</v>
      </c>
      <c r="H360" s="41" t="s">
        <v>147</v>
      </c>
      <c r="I360" s="42">
        <v>1</v>
      </c>
      <c r="J360" s="42">
        <v>1</v>
      </c>
      <c r="K360" s="25" t="str">
        <f>VLOOKUP(J360,Key!$E$2:$F$9,2,FALSE)</f>
        <v>Home</v>
      </c>
      <c r="L360" s="41" t="s">
        <v>442</v>
      </c>
      <c r="M360" s="42" t="s">
        <v>443</v>
      </c>
      <c r="N360" s="41" t="s">
        <v>147</v>
      </c>
      <c r="O360" s="42">
        <v>1</v>
      </c>
      <c r="P360" s="42">
        <v>1</v>
      </c>
      <c r="Q360" s="25" t="str">
        <f>VLOOKUP(P360,Key!$E$2:$F$9,2,FALSE)</f>
        <v>Home</v>
      </c>
      <c r="R360" s="25" t="str">
        <f t="shared" si="7"/>
        <v>Home-Home</v>
      </c>
      <c r="S360" s="47">
        <v>300</v>
      </c>
      <c r="T360" s="47">
        <v>5</v>
      </c>
      <c r="U360" s="42">
        <v>6</v>
      </c>
      <c r="V360" s="42"/>
      <c r="W360" s="47"/>
      <c r="X360" s="47"/>
      <c r="Y360" s="48" t="s">
        <v>146</v>
      </c>
      <c r="Z360" s="59"/>
      <c r="AA360" s="25">
        <f>VLOOKUP(F360,'Zones (3)'!$A$2:$F$15913,6,FALSE)</f>
        <v>376</v>
      </c>
      <c r="AB360" s="25">
        <f>VLOOKUP(L360,'Zones (3)'!$A$2:$F$15913,6,FALSE)</f>
        <v>1396</v>
      </c>
    </row>
    <row r="361" spans="2:28">
      <c r="B361" s="39">
        <v>0.38541666666666669</v>
      </c>
      <c r="C361" s="39" t="s">
        <v>444</v>
      </c>
      <c r="D361" s="40">
        <v>1</v>
      </c>
      <c r="E361" s="41">
        <v>2</v>
      </c>
      <c r="F361" s="41" t="s">
        <v>445</v>
      </c>
      <c r="G361" s="42" t="s">
        <v>150</v>
      </c>
      <c r="H361" s="41" t="s">
        <v>147</v>
      </c>
      <c r="I361" s="42">
        <v>1</v>
      </c>
      <c r="J361" s="42">
        <v>1</v>
      </c>
      <c r="K361" s="25" t="str">
        <f>VLOOKUP(J361,Key!$E$2:$F$9,2,FALSE)</f>
        <v>Home</v>
      </c>
      <c r="L361" s="41" t="s">
        <v>155</v>
      </c>
      <c r="M361" s="42" t="s">
        <v>148</v>
      </c>
      <c r="N361" s="41" t="s">
        <v>147</v>
      </c>
      <c r="O361" s="42">
        <v>4</v>
      </c>
      <c r="P361" s="42">
        <v>3</v>
      </c>
      <c r="Q361" s="25" t="str">
        <f>VLOOKUP(P361,Key!$E$2:$F$9,2,FALSE)</f>
        <v>Study</v>
      </c>
      <c r="R361" s="25" t="str">
        <f t="shared" si="7"/>
        <v>Home-Study</v>
      </c>
      <c r="S361" s="47">
        <v>5</v>
      </c>
      <c r="T361" s="47">
        <v>0.2</v>
      </c>
      <c r="U361" s="42">
        <v>1</v>
      </c>
      <c r="V361" s="42"/>
      <c r="W361" s="47"/>
      <c r="X361" s="47"/>
      <c r="Y361" s="48" t="s">
        <v>146</v>
      </c>
      <c r="Z361" s="59"/>
      <c r="AA361" s="25">
        <f>VLOOKUP(F361,'Zones (3)'!$A$2:$F$15913,6,FALSE)</f>
        <v>1288</v>
      </c>
      <c r="AB361" s="25">
        <f>VLOOKUP(L361,'Zones (3)'!$A$2:$F$15913,6,FALSE)</f>
        <v>987</v>
      </c>
    </row>
    <row r="362" spans="2:28">
      <c r="B362" s="39">
        <v>0.3756944444444445</v>
      </c>
      <c r="C362" s="39" t="s">
        <v>446</v>
      </c>
      <c r="D362" s="40">
        <v>11</v>
      </c>
      <c r="E362" s="41">
        <v>1</v>
      </c>
      <c r="F362" s="41" t="s">
        <v>342</v>
      </c>
      <c r="G362" s="42" t="s">
        <v>150</v>
      </c>
      <c r="H362" s="41" t="s">
        <v>147</v>
      </c>
      <c r="I362" s="42">
        <v>1</v>
      </c>
      <c r="J362" s="42">
        <v>1</v>
      </c>
      <c r="K362" s="25" t="str">
        <f>VLOOKUP(J362,Key!$E$2:$F$9,2,FALSE)</f>
        <v>Home</v>
      </c>
      <c r="L362" s="41" t="s">
        <v>155</v>
      </c>
      <c r="M362" s="42" t="s">
        <v>148</v>
      </c>
      <c r="N362" s="41" t="s">
        <v>147</v>
      </c>
      <c r="O362" s="42"/>
      <c r="P362" s="42">
        <v>8</v>
      </c>
      <c r="Q362" s="25">
        <v>2</v>
      </c>
      <c r="R362" s="25" t="str">
        <f t="shared" si="7"/>
        <v>Home-2</v>
      </c>
      <c r="S362" s="47"/>
      <c r="T362" s="47">
        <v>5</v>
      </c>
      <c r="U362" s="42">
        <v>0.2</v>
      </c>
      <c r="V362" s="42">
        <v>5</v>
      </c>
      <c r="W362" s="47"/>
      <c r="X362" s="47"/>
      <c r="Y362" s="48" t="s">
        <v>146</v>
      </c>
      <c r="Z362" s="59"/>
      <c r="AA362" s="25">
        <f>VLOOKUP(F362,'Zones (3)'!$A$2:$F$15913,6,FALSE)</f>
        <v>991</v>
      </c>
      <c r="AB362" s="25">
        <f>VLOOKUP(L362,'Zones (3)'!$A$2:$F$15913,6,FALSE)</f>
        <v>987</v>
      </c>
    </row>
    <row r="363" spans="2:28">
      <c r="B363" s="39">
        <v>0.36180555555555555</v>
      </c>
      <c r="C363" s="39" t="s">
        <v>447</v>
      </c>
      <c r="D363" s="40">
        <v>1</v>
      </c>
      <c r="E363" s="41">
        <v>2</v>
      </c>
      <c r="F363" s="41" t="s">
        <v>429</v>
      </c>
      <c r="G363" s="42" t="s">
        <v>150</v>
      </c>
      <c r="H363" s="41" t="s">
        <v>147</v>
      </c>
      <c r="I363" s="42">
        <v>1</v>
      </c>
      <c r="J363" s="42">
        <v>1</v>
      </c>
      <c r="K363" s="25" t="str">
        <f>VLOOKUP(J363,Key!$E$2:$F$9,2,FALSE)</f>
        <v>Home</v>
      </c>
      <c r="L363" s="41" t="s">
        <v>448</v>
      </c>
      <c r="M363" s="42" t="s">
        <v>148</v>
      </c>
      <c r="N363" s="41" t="s">
        <v>147</v>
      </c>
      <c r="O363" s="42">
        <v>1</v>
      </c>
      <c r="P363" s="42">
        <v>1</v>
      </c>
      <c r="Q363" s="25" t="str">
        <f>VLOOKUP(P363,Key!$E$2:$F$9,2,FALSE)</f>
        <v>Home</v>
      </c>
      <c r="R363" s="25" t="str">
        <f t="shared" si="7"/>
        <v>Home-Home</v>
      </c>
      <c r="S363" s="47">
        <v>60</v>
      </c>
      <c r="T363" s="47">
        <v>1</v>
      </c>
      <c r="U363" s="42">
        <v>6</v>
      </c>
      <c r="V363" s="42"/>
      <c r="W363" s="47"/>
      <c r="X363" s="47"/>
      <c r="Y363" s="48" t="s">
        <v>146</v>
      </c>
      <c r="Z363" s="59"/>
      <c r="AA363" s="25">
        <f>VLOOKUP(F363,'Zones (3)'!$A$2:$F$15913,6,FALSE)</f>
        <v>379</v>
      </c>
      <c r="AB363" s="25">
        <f>VLOOKUP(L363,'Zones (3)'!$A$2:$F$15913,6,FALSE)</f>
        <v>987</v>
      </c>
    </row>
    <row r="364" spans="2:28">
      <c r="B364" s="39">
        <v>0.35694444444444445</v>
      </c>
      <c r="C364" s="39" t="s">
        <v>449</v>
      </c>
      <c r="D364" s="40">
        <v>8</v>
      </c>
      <c r="E364" s="41">
        <v>1</v>
      </c>
      <c r="F364" s="41" t="s">
        <v>400</v>
      </c>
      <c r="G364" s="42" t="s">
        <v>150</v>
      </c>
      <c r="H364" s="41" t="s">
        <v>147</v>
      </c>
      <c r="I364" s="42">
        <v>1</v>
      </c>
      <c r="J364" s="42">
        <v>1</v>
      </c>
      <c r="K364" s="25" t="str">
        <f>VLOOKUP(J364,Key!$E$2:$F$9,2,FALSE)</f>
        <v>Home</v>
      </c>
      <c r="L364" s="41" t="s">
        <v>450</v>
      </c>
      <c r="M364" s="42" t="s">
        <v>148</v>
      </c>
      <c r="N364" s="41" t="s">
        <v>147</v>
      </c>
      <c r="O364" s="42">
        <v>6</v>
      </c>
      <c r="P364" s="42">
        <v>2</v>
      </c>
      <c r="Q364" s="25" t="str">
        <f>VLOOKUP(P364,Key!$E$2:$F$9,2,FALSE)</f>
        <v>Work</v>
      </c>
      <c r="R364" s="25" t="str">
        <f t="shared" si="7"/>
        <v>Home-Work</v>
      </c>
      <c r="S364" s="47">
        <v>5</v>
      </c>
      <c r="T364" s="47">
        <v>0.3</v>
      </c>
      <c r="U364" s="42">
        <v>2</v>
      </c>
      <c r="V364" s="42"/>
      <c r="W364" s="47"/>
      <c r="X364" s="47"/>
      <c r="Y364" s="48" t="s">
        <v>146</v>
      </c>
      <c r="Z364" s="59"/>
      <c r="AA364" s="25">
        <f>VLOOKUP(F364,'Zones (3)'!$A$2:$F$15913,6,FALSE)</f>
        <v>391</v>
      </c>
      <c r="AB364" s="25">
        <f>VLOOKUP(L364,'Zones (3)'!$A$2:$F$15913,6,FALSE)</f>
        <v>988</v>
      </c>
    </row>
    <row r="365" spans="2:28">
      <c r="B365" s="39">
        <v>0.3347222222222222</v>
      </c>
      <c r="C365" s="39" t="s">
        <v>451</v>
      </c>
      <c r="D365" s="40">
        <v>1</v>
      </c>
      <c r="E365" s="41">
        <v>2</v>
      </c>
      <c r="F365" s="41" t="s">
        <v>345</v>
      </c>
      <c r="G365" s="42" t="s">
        <v>150</v>
      </c>
      <c r="H365" s="41" t="s">
        <v>147</v>
      </c>
      <c r="I365" s="42">
        <v>1</v>
      </c>
      <c r="J365" s="42">
        <v>1</v>
      </c>
      <c r="K365" s="25" t="str">
        <f>VLOOKUP(J365,Key!$E$2:$F$9,2,FALSE)</f>
        <v>Home</v>
      </c>
      <c r="L365" s="41" t="s">
        <v>223</v>
      </c>
      <c r="M365" s="42" t="s">
        <v>148</v>
      </c>
      <c r="N365" s="41" t="s">
        <v>147</v>
      </c>
      <c r="O365" s="42">
        <v>4</v>
      </c>
      <c r="P365" s="42">
        <v>3</v>
      </c>
      <c r="Q365" s="25" t="str">
        <f>VLOOKUP(P365,Key!$E$2:$F$9,2,FALSE)</f>
        <v>Study</v>
      </c>
      <c r="R365" s="25" t="str">
        <f t="shared" si="7"/>
        <v>Home-Study</v>
      </c>
      <c r="S365" s="47">
        <v>8</v>
      </c>
      <c r="T365" s="47">
        <v>0.2</v>
      </c>
      <c r="U365" s="42">
        <v>2</v>
      </c>
      <c r="V365" s="42"/>
      <c r="W365" s="47"/>
      <c r="X365" s="47"/>
      <c r="Y365" s="48" t="s">
        <v>146</v>
      </c>
      <c r="Z365" s="59"/>
      <c r="AA365" s="25">
        <f>VLOOKUP(F365,'Zones (3)'!$A$2:$F$15913,6,FALSE)</f>
        <v>1439</v>
      </c>
      <c r="AB365" s="25">
        <f>VLOOKUP(L365,'Zones (3)'!$A$2:$F$15913,6,FALSE)</f>
        <v>988</v>
      </c>
    </row>
    <row r="366" spans="2:28">
      <c r="B366" s="39">
        <v>0.32083333333333336</v>
      </c>
      <c r="C366" s="39" t="s">
        <v>452</v>
      </c>
      <c r="D366" s="40">
        <v>1</v>
      </c>
      <c r="E366" s="41">
        <v>1</v>
      </c>
      <c r="F366" s="41" t="s">
        <v>201</v>
      </c>
      <c r="G366" s="42" t="s">
        <v>150</v>
      </c>
      <c r="H366" s="41" t="s">
        <v>147</v>
      </c>
      <c r="I366" s="42">
        <v>1</v>
      </c>
      <c r="J366" s="42">
        <v>1</v>
      </c>
      <c r="K366" s="25" t="str">
        <f>VLOOKUP(J366,Key!$E$2:$F$9,2,FALSE)</f>
        <v>Home</v>
      </c>
      <c r="L366" s="41" t="s">
        <v>155</v>
      </c>
      <c r="M366" s="42" t="s">
        <v>148</v>
      </c>
      <c r="N366" s="41" t="s">
        <v>147</v>
      </c>
      <c r="O366" s="42">
        <v>6</v>
      </c>
      <c r="P366" s="42">
        <v>2</v>
      </c>
      <c r="Q366" s="25" t="str">
        <f>VLOOKUP(P366,Key!$E$2:$F$9,2,FALSE)</f>
        <v>Work</v>
      </c>
      <c r="R366" s="25" t="str">
        <f t="shared" si="7"/>
        <v>Home-Work</v>
      </c>
      <c r="S366" s="47"/>
      <c r="T366" s="47">
        <v>0.5</v>
      </c>
      <c r="U366" s="42">
        <v>1</v>
      </c>
      <c r="V366" s="42"/>
      <c r="W366" s="47"/>
      <c r="X366" s="47"/>
      <c r="Y366" s="48" t="s">
        <v>146</v>
      </c>
      <c r="Z366" s="59"/>
      <c r="AA366" s="25">
        <f>VLOOKUP(F366,'Zones (3)'!$A$2:$F$15913,6,FALSE)</f>
        <v>386</v>
      </c>
      <c r="AB366" s="25">
        <f>VLOOKUP(L366,'Zones (3)'!$A$2:$F$15913,6,FALSE)</f>
        <v>987</v>
      </c>
    </row>
    <row r="367" spans="2:28">
      <c r="B367" s="39">
        <v>0.31875000000000003</v>
      </c>
      <c r="C367" s="39" t="s">
        <v>453</v>
      </c>
      <c r="D367" s="40">
        <v>2</v>
      </c>
      <c r="E367" s="41">
        <v>1</v>
      </c>
      <c r="F367" s="41" t="s">
        <v>260</v>
      </c>
      <c r="G367" s="42" t="s">
        <v>150</v>
      </c>
      <c r="H367" s="41" t="s">
        <v>147</v>
      </c>
      <c r="I367" s="42">
        <v>1</v>
      </c>
      <c r="J367" s="42">
        <v>1</v>
      </c>
      <c r="K367" s="25" t="str">
        <f>VLOOKUP(J367,Key!$E$2:$F$9,2,FALSE)</f>
        <v>Home</v>
      </c>
      <c r="L367" s="41" t="s">
        <v>173</v>
      </c>
      <c r="M367" s="42" t="s">
        <v>148</v>
      </c>
      <c r="N367" s="41" t="s">
        <v>147</v>
      </c>
      <c r="O367" s="42">
        <v>2</v>
      </c>
      <c r="P367" s="42">
        <v>2</v>
      </c>
      <c r="Q367" s="25" t="str">
        <f>VLOOKUP(P367,Key!$E$2:$F$9,2,FALSE)</f>
        <v>Work</v>
      </c>
      <c r="R367" s="25" t="str">
        <f t="shared" si="7"/>
        <v>Home-Work</v>
      </c>
      <c r="S367" s="47">
        <v>22</v>
      </c>
      <c r="T367" s="47">
        <v>0.7</v>
      </c>
      <c r="U367" s="42">
        <v>2</v>
      </c>
      <c r="V367" s="42"/>
      <c r="W367" s="47"/>
      <c r="X367" s="47"/>
      <c r="Y367" s="48" t="s">
        <v>146</v>
      </c>
      <c r="Z367" s="59"/>
      <c r="AA367" s="25">
        <f>VLOOKUP(F367,'Zones (3)'!$A$2:$F$15913,6,FALSE)</f>
        <v>1175</v>
      </c>
      <c r="AB367" s="25">
        <f>VLOOKUP(L367,'Zones (3)'!$A$2:$F$15913,6,FALSE)</f>
        <v>987</v>
      </c>
    </row>
    <row r="368" spans="2:28">
      <c r="B368" s="39">
        <v>0.3125</v>
      </c>
      <c r="C368" s="39" t="s">
        <v>454</v>
      </c>
      <c r="D368" s="40">
        <v>1</v>
      </c>
      <c r="E368" s="41">
        <v>1</v>
      </c>
      <c r="F368" s="41" t="s">
        <v>201</v>
      </c>
      <c r="G368" s="42" t="s">
        <v>150</v>
      </c>
      <c r="H368" s="41" t="s">
        <v>147</v>
      </c>
      <c r="I368" s="42">
        <v>1</v>
      </c>
      <c r="J368" s="42">
        <v>1</v>
      </c>
      <c r="K368" s="25" t="str">
        <f>VLOOKUP(J368,Key!$E$2:$F$9,2,FALSE)</f>
        <v>Home</v>
      </c>
      <c r="L368" s="41" t="s">
        <v>195</v>
      </c>
      <c r="M368" s="42" t="s">
        <v>148</v>
      </c>
      <c r="N368" s="41" t="s">
        <v>147</v>
      </c>
      <c r="O368" s="42">
        <v>2</v>
      </c>
      <c r="P368" s="42">
        <v>2</v>
      </c>
      <c r="Q368" s="25" t="str">
        <f>VLOOKUP(P368,Key!$E$2:$F$9,2,FALSE)</f>
        <v>Work</v>
      </c>
      <c r="R368" s="25" t="str">
        <f t="shared" si="7"/>
        <v>Home-Work</v>
      </c>
      <c r="S368" s="47">
        <v>3</v>
      </c>
      <c r="T368" s="47">
        <v>0.2</v>
      </c>
      <c r="U368" s="42">
        <v>2</v>
      </c>
      <c r="V368" s="42"/>
      <c r="W368" s="47"/>
      <c r="X368" s="47"/>
      <c r="Y368" s="48" t="s">
        <v>146</v>
      </c>
      <c r="Z368" s="59"/>
      <c r="AA368" s="25">
        <f>VLOOKUP(F368,'Zones (3)'!$A$2:$F$15913,6,FALSE)</f>
        <v>386</v>
      </c>
      <c r="AB368" s="25">
        <f>VLOOKUP(L368,'Zones (3)'!$A$2:$F$15913,6,FALSE)</f>
        <v>618</v>
      </c>
    </row>
    <row r="369" spans="2:28">
      <c r="B369" s="39">
        <v>0.76527777777777783</v>
      </c>
      <c r="C369" s="39" t="s">
        <v>455</v>
      </c>
      <c r="D369" s="40">
        <v>1</v>
      </c>
      <c r="E369" s="41">
        <v>5</v>
      </c>
      <c r="F369" s="41" t="s">
        <v>171</v>
      </c>
      <c r="G369" s="42" t="s">
        <v>150</v>
      </c>
      <c r="H369" s="41" t="s">
        <v>147</v>
      </c>
      <c r="I369" s="42">
        <v>2</v>
      </c>
      <c r="J369" s="42">
        <v>2</v>
      </c>
      <c r="K369" s="25" t="str">
        <f>VLOOKUP(J369,Key!$E$2:$F$9,2,FALSE)</f>
        <v>Work</v>
      </c>
      <c r="L369" s="41" t="s">
        <v>155</v>
      </c>
      <c r="M369" s="42" t="s">
        <v>148</v>
      </c>
      <c r="N369" s="41" t="s">
        <v>147</v>
      </c>
      <c r="O369" s="42">
        <v>1</v>
      </c>
      <c r="P369" s="42">
        <v>1</v>
      </c>
      <c r="Q369" s="25" t="str">
        <f>VLOOKUP(P369,Key!$E$2:$F$9,2,FALSE)</f>
        <v>Home</v>
      </c>
      <c r="R369" s="25" t="s">
        <v>141</v>
      </c>
      <c r="S369" s="47">
        <v>37</v>
      </c>
      <c r="T369" s="47">
        <v>1.5</v>
      </c>
      <c r="U369" s="42">
        <v>3</v>
      </c>
      <c r="V369" s="42"/>
      <c r="W369" s="47"/>
      <c r="X369" s="47"/>
      <c r="Y369" s="48" t="s">
        <v>146</v>
      </c>
      <c r="Z369" s="59"/>
      <c r="AA369" s="25">
        <f>VLOOKUP(F369,'Zones (3)'!$A$2:$F$15913,6,FALSE)</f>
        <v>379</v>
      </c>
      <c r="AB369" s="25">
        <f>VLOOKUP(L369,'Zones (3)'!$A$2:$F$15913,6,FALSE)</f>
        <v>987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76"/>
  <sheetViews>
    <sheetView topLeftCell="A2366" workbookViewId="0">
      <selection activeCell="G2389" sqref="G2389"/>
    </sheetView>
  </sheetViews>
  <sheetFormatPr defaultRowHeight="15"/>
  <cols>
    <col min="1" max="1" width="23.28515625" style="68" customWidth="1"/>
    <col min="2" max="2" width="17.85546875" style="68" customWidth="1"/>
    <col min="3" max="3" width="15" style="68" customWidth="1"/>
    <col min="4" max="4" width="19.42578125" style="68" customWidth="1"/>
    <col min="5" max="5" width="17.7109375" style="68" customWidth="1"/>
    <col min="6" max="6" width="9.140625" style="68"/>
    <col min="7" max="7" width="35.42578125" style="68" customWidth="1"/>
    <col min="8" max="16384" width="9.140625" style="68"/>
  </cols>
  <sheetData>
    <row r="1" spans="1:6">
      <c r="A1" s="65" t="s">
        <v>635</v>
      </c>
      <c r="B1" s="66" t="s">
        <v>636</v>
      </c>
      <c r="C1" s="66" t="s">
        <v>637</v>
      </c>
      <c r="D1" s="66" t="s">
        <v>638</v>
      </c>
      <c r="E1" s="66" t="s">
        <v>639</v>
      </c>
      <c r="F1" s="67" t="s">
        <v>640</v>
      </c>
    </row>
    <row r="2" spans="1:6">
      <c r="A2" s="68" t="s">
        <v>641</v>
      </c>
      <c r="B2" s="68" t="s">
        <v>641</v>
      </c>
      <c r="C2" s="68" t="s">
        <v>642</v>
      </c>
      <c r="D2" s="68" t="str">
        <f t="shared" ref="D2:D65" si="0">A2</f>
        <v>Abim</v>
      </c>
      <c r="F2" s="68">
        <v>1</v>
      </c>
    </row>
    <row r="3" spans="1:6">
      <c r="A3" s="68" t="s">
        <v>643</v>
      </c>
      <c r="B3" s="68" t="s">
        <v>641</v>
      </c>
      <c r="C3" s="68" t="s">
        <v>642</v>
      </c>
      <c r="D3" s="68" t="str">
        <f t="shared" si="0"/>
        <v>Abim Town Council</v>
      </c>
      <c r="F3" s="68">
        <v>2</v>
      </c>
    </row>
    <row r="4" spans="1:6">
      <c r="A4" s="68" t="s">
        <v>644</v>
      </c>
      <c r="B4" s="68" t="s">
        <v>641</v>
      </c>
      <c r="C4" s="68" t="s">
        <v>642</v>
      </c>
      <c r="D4" s="68" t="str">
        <f t="shared" si="0"/>
        <v>Alerek</v>
      </c>
      <c r="F4" s="68">
        <v>3</v>
      </c>
    </row>
    <row r="5" spans="1:6">
      <c r="A5" s="68" t="s">
        <v>645</v>
      </c>
      <c r="B5" s="68" t="s">
        <v>641</v>
      </c>
      <c r="C5" s="68" t="s">
        <v>642</v>
      </c>
      <c r="D5" s="68" t="str">
        <f t="shared" si="0"/>
        <v>Lotukei</v>
      </c>
      <c r="F5" s="68">
        <v>4</v>
      </c>
    </row>
    <row r="6" spans="1:6">
      <c r="A6" s="68" t="s">
        <v>646</v>
      </c>
      <c r="B6" s="68" t="s">
        <v>641</v>
      </c>
      <c r="C6" s="68" t="s">
        <v>642</v>
      </c>
      <c r="D6" s="68" t="str">
        <f t="shared" si="0"/>
        <v>Morulem</v>
      </c>
      <c r="F6" s="68">
        <v>5</v>
      </c>
    </row>
    <row r="7" spans="1:6">
      <c r="A7" s="68" t="s">
        <v>647</v>
      </c>
      <c r="B7" s="68" t="s">
        <v>641</v>
      </c>
      <c r="C7" s="68" t="s">
        <v>642</v>
      </c>
      <c r="D7" s="68" t="str">
        <f t="shared" si="0"/>
        <v>Nyakwae</v>
      </c>
      <c r="F7" s="68">
        <v>6</v>
      </c>
    </row>
    <row r="8" spans="1:6">
      <c r="A8" s="68" t="s">
        <v>648</v>
      </c>
      <c r="B8" s="68" t="s">
        <v>649</v>
      </c>
      <c r="C8" s="68" t="s">
        <v>650</v>
      </c>
      <c r="D8" s="68" t="str">
        <f t="shared" si="0"/>
        <v>Adjumani Town Council</v>
      </c>
      <c r="F8" s="68">
        <v>7</v>
      </c>
    </row>
    <row r="9" spans="1:6">
      <c r="A9" s="68" t="s">
        <v>651</v>
      </c>
      <c r="B9" s="68" t="s">
        <v>649</v>
      </c>
      <c r="C9" s="68" t="s">
        <v>650</v>
      </c>
      <c r="D9" s="68" t="str">
        <f t="shared" si="0"/>
        <v>Adropi</v>
      </c>
      <c r="F9" s="68">
        <v>8</v>
      </c>
    </row>
    <row r="10" spans="1:6">
      <c r="A10" s="68" t="s">
        <v>652</v>
      </c>
      <c r="B10" s="68" t="s">
        <v>649</v>
      </c>
      <c r="C10" s="68" t="s">
        <v>650</v>
      </c>
      <c r="D10" s="68" t="str">
        <f t="shared" si="0"/>
        <v>Arinyapi</v>
      </c>
      <c r="F10" s="68">
        <v>9</v>
      </c>
    </row>
    <row r="11" spans="1:6">
      <c r="A11" s="68" t="s">
        <v>653</v>
      </c>
      <c r="B11" s="68" t="s">
        <v>649</v>
      </c>
      <c r="C11" s="68" t="s">
        <v>650</v>
      </c>
      <c r="D11" s="68" t="str">
        <f t="shared" si="0"/>
        <v>Ciforo</v>
      </c>
      <c r="F11" s="68">
        <v>10</v>
      </c>
    </row>
    <row r="12" spans="1:6">
      <c r="A12" s="68" t="s">
        <v>654</v>
      </c>
      <c r="B12" s="68" t="s">
        <v>649</v>
      </c>
      <c r="C12" s="68" t="s">
        <v>650</v>
      </c>
      <c r="D12" s="68" t="str">
        <f t="shared" si="0"/>
        <v>Dzaipi</v>
      </c>
      <c r="F12" s="68">
        <v>11</v>
      </c>
    </row>
    <row r="13" spans="1:6">
      <c r="A13" s="68" t="s">
        <v>655</v>
      </c>
      <c r="B13" s="68" t="s">
        <v>649</v>
      </c>
      <c r="C13" s="68" t="s">
        <v>650</v>
      </c>
      <c r="D13" s="68" t="str">
        <f t="shared" si="0"/>
        <v>Itirikwa</v>
      </c>
      <c r="F13" s="68">
        <v>12</v>
      </c>
    </row>
    <row r="14" spans="1:6">
      <c r="A14" s="68" t="s">
        <v>656</v>
      </c>
      <c r="B14" s="68" t="s">
        <v>649</v>
      </c>
      <c r="C14" s="68" t="s">
        <v>650</v>
      </c>
      <c r="D14" s="68" t="str">
        <f t="shared" si="0"/>
        <v>Ofua</v>
      </c>
      <c r="F14" s="68">
        <v>13</v>
      </c>
    </row>
    <row r="15" spans="1:6">
      <c r="A15" s="68" t="s">
        <v>657</v>
      </c>
      <c r="B15" s="68" t="s">
        <v>649</v>
      </c>
      <c r="C15" s="68" t="s">
        <v>650</v>
      </c>
      <c r="D15" s="68" t="str">
        <f t="shared" si="0"/>
        <v>Pacara</v>
      </c>
      <c r="F15" s="68">
        <v>14</v>
      </c>
    </row>
    <row r="16" spans="1:6">
      <c r="A16" s="68" t="s">
        <v>658</v>
      </c>
      <c r="B16" s="68" t="s">
        <v>649</v>
      </c>
      <c r="C16" s="68" t="s">
        <v>650</v>
      </c>
      <c r="D16" s="68" t="str">
        <f t="shared" si="0"/>
        <v>Pakele</v>
      </c>
      <c r="F16" s="68">
        <v>15</v>
      </c>
    </row>
    <row r="17" spans="1:6">
      <c r="A17" s="68" t="s">
        <v>659</v>
      </c>
      <c r="B17" s="68" t="s">
        <v>649</v>
      </c>
      <c r="C17" s="68" t="s">
        <v>650</v>
      </c>
      <c r="D17" s="68" t="str">
        <f t="shared" si="0"/>
        <v>Ukusijoni</v>
      </c>
      <c r="F17" s="68">
        <v>16</v>
      </c>
    </row>
    <row r="18" spans="1:6">
      <c r="A18" s="68" t="s">
        <v>660</v>
      </c>
      <c r="B18" s="68" t="s">
        <v>661</v>
      </c>
      <c r="C18" s="68" t="s">
        <v>661</v>
      </c>
      <c r="D18" s="68" t="str">
        <f t="shared" si="0"/>
        <v>Adilang</v>
      </c>
      <c r="F18" s="68">
        <v>17</v>
      </c>
    </row>
    <row r="19" spans="1:6">
      <c r="A19" s="68" t="s">
        <v>662</v>
      </c>
      <c r="B19" s="68" t="s">
        <v>661</v>
      </c>
      <c r="C19" s="68" t="s">
        <v>661</v>
      </c>
      <c r="D19" s="68" t="str">
        <f t="shared" si="0"/>
        <v>Agago Town Council</v>
      </c>
      <c r="F19" s="68">
        <v>18</v>
      </c>
    </row>
    <row r="20" spans="1:6">
      <c r="A20" s="68" t="s">
        <v>663</v>
      </c>
      <c r="B20" s="68" t="s">
        <v>661</v>
      </c>
      <c r="C20" s="68" t="s">
        <v>661</v>
      </c>
      <c r="D20" s="68" t="str">
        <f t="shared" si="0"/>
        <v>Arum</v>
      </c>
      <c r="F20" s="68">
        <v>19</v>
      </c>
    </row>
    <row r="21" spans="1:6">
      <c r="A21" s="68" t="s">
        <v>664</v>
      </c>
      <c r="B21" s="68" t="s">
        <v>661</v>
      </c>
      <c r="C21" s="68" t="s">
        <v>661</v>
      </c>
      <c r="D21" s="68" t="str">
        <f t="shared" si="0"/>
        <v>Kalongo Town Council</v>
      </c>
      <c r="F21" s="68">
        <v>20</v>
      </c>
    </row>
    <row r="22" spans="1:6">
      <c r="A22" s="68" t="s">
        <v>665</v>
      </c>
      <c r="B22" s="68" t="s">
        <v>661</v>
      </c>
      <c r="C22" s="68" t="s">
        <v>661</v>
      </c>
      <c r="D22" s="68" t="str">
        <f t="shared" si="0"/>
        <v>Kotomol</v>
      </c>
      <c r="F22" s="68">
        <v>21</v>
      </c>
    </row>
    <row r="23" spans="1:6">
      <c r="A23" s="68" t="s">
        <v>666</v>
      </c>
      <c r="B23" s="68" t="s">
        <v>661</v>
      </c>
      <c r="C23" s="68" t="s">
        <v>661</v>
      </c>
      <c r="D23" s="68" t="str">
        <f t="shared" si="0"/>
        <v>Lamiyo</v>
      </c>
      <c r="F23" s="68">
        <v>22</v>
      </c>
    </row>
    <row r="24" spans="1:6">
      <c r="A24" s="68" t="s">
        <v>667</v>
      </c>
      <c r="B24" s="68" t="s">
        <v>661</v>
      </c>
      <c r="C24" s="68" t="s">
        <v>661</v>
      </c>
      <c r="D24" s="68" t="str">
        <f t="shared" si="0"/>
        <v>Lapono</v>
      </c>
      <c r="F24" s="68">
        <v>23</v>
      </c>
    </row>
    <row r="25" spans="1:6">
      <c r="A25" s="68" t="s">
        <v>668</v>
      </c>
      <c r="B25" s="68" t="s">
        <v>661</v>
      </c>
      <c r="C25" s="68" t="s">
        <v>661</v>
      </c>
      <c r="D25" s="68" t="str">
        <f t="shared" si="0"/>
        <v>Lira Palwo</v>
      </c>
      <c r="F25" s="68">
        <v>24</v>
      </c>
    </row>
    <row r="26" spans="1:6">
      <c r="A26" s="68" t="s">
        <v>669</v>
      </c>
      <c r="B26" s="68" t="s">
        <v>661</v>
      </c>
      <c r="C26" s="68" t="s">
        <v>661</v>
      </c>
      <c r="D26" s="68" t="str">
        <f t="shared" si="0"/>
        <v>Lokole</v>
      </c>
      <c r="F26" s="68">
        <v>25</v>
      </c>
    </row>
    <row r="27" spans="1:6">
      <c r="A27" s="68" t="s">
        <v>670</v>
      </c>
      <c r="B27" s="68" t="s">
        <v>661</v>
      </c>
      <c r="C27" s="68" t="s">
        <v>661</v>
      </c>
      <c r="D27" s="68" t="str">
        <f t="shared" si="0"/>
        <v>Omiya Pacwa</v>
      </c>
      <c r="F27" s="68">
        <v>26</v>
      </c>
    </row>
    <row r="28" spans="1:6">
      <c r="A28" s="68" t="s">
        <v>671</v>
      </c>
      <c r="B28" s="68" t="s">
        <v>661</v>
      </c>
      <c r="C28" s="68" t="s">
        <v>661</v>
      </c>
      <c r="D28" s="68" t="str">
        <f t="shared" si="0"/>
        <v>Omot</v>
      </c>
      <c r="F28" s="68">
        <v>27</v>
      </c>
    </row>
    <row r="29" spans="1:6">
      <c r="A29" s="68" t="s">
        <v>672</v>
      </c>
      <c r="B29" s="68" t="s">
        <v>661</v>
      </c>
      <c r="C29" s="68" t="s">
        <v>661</v>
      </c>
      <c r="D29" s="68" t="str">
        <f t="shared" si="0"/>
        <v>Paimol</v>
      </c>
      <c r="F29" s="68">
        <v>28</v>
      </c>
    </row>
    <row r="30" spans="1:6">
      <c r="A30" s="68" t="s">
        <v>673</v>
      </c>
      <c r="B30" s="68" t="s">
        <v>661</v>
      </c>
      <c r="C30" s="68" t="s">
        <v>661</v>
      </c>
      <c r="D30" s="68" t="str">
        <f t="shared" si="0"/>
        <v>Parabongo</v>
      </c>
      <c r="F30" s="68">
        <v>29</v>
      </c>
    </row>
    <row r="31" spans="1:6">
      <c r="A31" s="68" t="s">
        <v>674</v>
      </c>
      <c r="B31" s="68" t="s">
        <v>661</v>
      </c>
      <c r="C31" s="68" t="s">
        <v>661</v>
      </c>
      <c r="D31" s="68" t="str">
        <f t="shared" si="0"/>
        <v>Patongo</v>
      </c>
      <c r="F31" s="68">
        <v>30</v>
      </c>
    </row>
    <row r="32" spans="1:6">
      <c r="A32" s="68" t="s">
        <v>675</v>
      </c>
      <c r="B32" s="68" t="s">
        <v>661</v>
      </c>
      <c r="C32" s="68" t="s">
        <v>661</v>
      </c>
      <c r="D32" s="68" t="str">
        <f t="shared" si="0"/>
        <v>Patongo Town Council</v>
      </c>
      <c r="F32" s="68">
        <v>31</v>
      </c>
    </row>
    <row r="33" spans="1:6">
      <c r="A33" s="68" t="s">
        <v>676</v>
      </c>
      <c r="B33" s="68" t="s">
        <v>661</v>
      </c>
      <c r="C33" s="68" t="s">
        <v>661</v>
      </c>
      <c r="D33" s="68" t="str">
        <f t="shared" si="0"/>
        <v>Wol</v>
      </c>
      <c r="F33" s="68">
        <v>32</v>
      </c>
    </row>
    <row r="34" spans="1:6">
      <c r="A34" s="68" t="s">
        <v>677</v>
      </c>
      <c r="B34" s="68" t="s">
        <v>678</v>
      </c>
      <c r="C34" s="68" t="s">
        <v>679</v>
      </c>
      <c r="D34" s="68" t="str">
        <f t="shared" si="0"/>
        <v>Abako</v>
      </c>
      <c r="F34" s="68">
        <v>33</v>
      </c>
    </row>
    <row r="35" spans="1:6">
      <c r="A35" s="68" t="s">
        <v>680</v>
      </c>
      <c r="B35" s="68" t="s">
        <v>678</v>
      </c>
      <c r="C35" s="68" t="s">
        <v>679</v>
      </c>
      <c r="D35" s="68" t="str">
        <f t="shared" si="0"/>
        <v>Abia</v>
      </c>
      <c r="F35" s="68">
        <v>34</v>
      </c>
    </row>
    <row r="36" spans="1:6">
      <c r="A36" s="68" t="s">
        <v>681</v>
      </c>
      <c r="B36" s="68" t="s">
        <v>678</v>
      </c>
      <c r="C36" s="68" t="s">
        <v>679</v>
      </c>
      <c r="D36" s="68" t="str">
        <f t="shared" si="0"/>
        <v>Akura</v>
      </c>
      <c r="F36" s="68">
        <v>35</v>
      </c>
    </row>
    <row r="37" spans="1:6">
      <c r="A37" s="68" t="s">
        <v>682</v>
      </c>
      <c r="B37" s="68" t="s">
        <v>678</v>
      </c>
      <c r="C37" s="68" t="s">
        <v>679</v>
      </c>
      <c r="D37" s="68" t="str">
        <f t="shared" si="0"/>
        <v>Alebtong Town Council</v>
      </c>
      <c r="F37" s="68">
        <v>36</v>
      </c>
    </row>
    <row r="38" spans="1:6">
      <c r="A38" s="68" t="s">
        <v>683</v>
      </c>
      <c r="B38" s="68" t="s">
        <v>678</v>
      </c>
      <c r="C38" s="68" t="s">
        <v>679</v>
      </c>
      <c r="D38" s="68" t="str">
        <f t="shared" si="0"/>
        <v>Aloi</v>
      </c>
      <c r="F38" s="68">
        <v>37</v>
      </c>
    </row>
    <row r="39" spans="1:6">
      <c r="A39" s="68" t="s">
        <v>684</v>
      </c>
      <c r="B39" s="68" t="s">
        <v>678</v>
      </c>
      <c r="C39" s="68" t="s">
        <v>679</v>
      </c>
      <c r="D39" s="68" t="str">
        <f t="shared" si="0"/>
        <v>Amugu</v>
      </c>
      <c r="F39" s="68">
        <v>38</v>
      </c>
    </row>
    <row r="40" spans="1:6">
      <c r="A40" s="68" t="s">
        <v>685</v>
      </c>
      <c r="B40" s="68" t="s">
        <v>678</v>
      </c>
      <c r="C40" s="68" t="s">
        <v>679</v>
      </c>
      <c r="D40" s="68" t="str">
        <f t="shared" si="0"/>
        <v>Apala</v>
      </c>
      <c r="F40" s="68">
        <v>39</v>
      </c>
    </row>
    <row r="41" spans="1:6">
      <c r="A41" s="68" t="s">
        <v>686</v>
      </c>
      <c r="B41" s="68" t="s">
        <v>678</v>
      </c>
      <c r="C41" s="68" t="s">
        <v>679</v>
      </c>
      <c r="D41" s="68" t="str">
        <f t="shared" si="0"/>
        <v>Awei</v>
      </c>
      <c r="F41" s="68">
        <v>40</v>
      </c>
    </row>
    <row r="42" spans="1:6">
      <c r="A42" s="68" t="s">
        <v>687</v>
      </c>
      <c r="B42" s="68" t="s">
        <v>678</v>
      </c>
      <c r="C42" s="68" t="s">
        <v>679</v>
      </c>
      <c r="D42" s="68" t="str">
        <f t="shared" si="0"/>
        <v>Omoro</v>
      </c>
      <c r="F42" s="68">
        <v>41</v>
      </c>
    </row>
    <row r="43" spans="1:6">
      <c r="A43" s="68" t="s">
        <v>688</v>
      </c>
      <c r="B43" s="68" t="s">
        <v>689</v>
      </c>
      <c r="C43" s="68" t="s">
        <v>690</v>
      </c>
      <c r="D43" s="68" t="str">
        <f t="shared" si="0"/>
        <v>Agikdak</v>
      </c>
      <c r="F43" s="68">
        <v>42</v>
      </c>
    </row>
    <row r="44" spans="1:6">
      <c r="A44" s="68" t="s">
        <v>691</v>
      </c>
      <c r="B44" s="68" t="s">
        <v>689</v>
      </c>
      <c r="C44" s="68" t="s">
        <v>690</v>
      </c>
      <c r="D44" s="68" t="str">
        <f t="shared" si="0"/>
        <v>Agwingiri</v>
      </c>
      <c r="F44" s="68">
        <v>43</v>
      </c>
    </row>
    <row r="45" spans="1:6">
      <c r="A45" s="68" t="s">
        <v>692</v>
      </c>
      <c r="B45" s="68" t="s">
        <v>689</v>
      </c>
      <c r="C45" s="68" t="s">
        <v>690</v>
      </c>
      <c r="D45" s="68" t="str">
        <f t="shared" si="0"/>
        <v>Akwon</v>
      </c>
      <c r="F45" s="68">
        <v>44</v>
      </c>
    </row>
    <row r="46" spans="1:6">
      <c r="A46" s="68" t="s">
        <v>693</v>
      </c>
      <c r="B46" s="68" t="s">
        <v>689</v>
      </c>
      <c r="C46" s="68" t="s">
        <v>690</v>
      </c>
      <c r="D46" s="68" t="str">
        <f t="shared" si="0"/>
        <v>Amolatar Town Council</v>
      </c>
      <c r="F46" s="68">
        <v>45</v>
      </c>
    </row>
    <row r="47" spans="1:6">
      <c r="A47" s="68" t="s">
        <v>694</v>
      </c>
      <c r="B47" s="68" t="s">
        <v>689</v>
      </c>
      <c r="C47" s="68" t="s">
        <v>690</v>
      </c>
      <c r="D47" s="68" t="str">
        <f t="shared" si="0"/>
        <v>Aputi</v>
      </c>
      <c r="F47" s="68">
        <v>46</v>
      </c>
    </row>
    <row r="48" spans="1:6">
      <c r="A48" s="68" t="s">
        <v>695</v>
      </c>
      <c r="B48" s="68" t="s">
        <v>689</v>
      </c>
      <c r="C48" s="68" t="s">
        <v>690</v>
      </c>
      <c r="D48" s="68" t="str">
        <f t="shared" si="0"/>
        <v>Arwotcek</v>
      </c>
      <c r="F48" s="68">
        <v>47</v>
      </c>
    </row>
    <row r="49" spans="1:6">
      <c r="A49" s="68" t="s">
        <v>696</v>
      </c>
      <c r="B49" s="68" t="s">
        <v>689</v>
      </c>
      <c r="C49" s="68" t="s">
        <v>690</v>
      </c>
      <c r="D49" s="68" t="str">
        <f t="shared" si="0"/>
        <v>Awelo</v>
      </c>
      <c r="F49" s="68">
        <v>48</v>
      </c>
    </row>
    <row r="50" spans="1:6">
      <c r="A50" s="68" t="s">
        <v>697</v>
      </c>
      <c r="B50" s="68" t="s">
        <v>689</v>
      </c>
      <c r="C50" s="68" t="s">
        <v>690</v>
      </c>
      <c r="D50" s="68" t="str">
        <f t="shared" si="0"/>
        <v>Etam</v>
      </c>
      <c r="F50" s="68">
        <v>49</v>
      </c>
    </row>
    <row r="51" spans="1:6">
      <c r="A51" s="68" t="s">
        <v>698</v>
      </c>
      <c r="B51" s="68" t="s">
        <v>689</v>
      </c>
      <c r="C51" s="68" t="s">
        <v>690</v>
      </c>
      <c r="D51" s="68" t="str">
        <f t="shared" si="0"/>
        <v>Muntu</v>
      </c>
      <c r="F51" s="68">
        <v>50</v>
      </c>
    </row>
    <row r="52" spans="1:6">
      <c r="A52" s="68" t="s">
        <v>699</v>
      </c>
      <c r="B52" s="68" t="s">
        <v>689</v>
      </c>
      <c r="C52" s="68" t="s">
        <v>690</v>
      </c>
      <c r="D52" s="68" t="str">
        <f t="shared" si="0"/>
        <v>Namasale</v>
      </c>
      <c r="F52" s="68">
        <v>51</v>
      </c>
    </row>
    <row r="53" spans="1:6">
      <c r="A53" s="68" t="s">
        <v>700</v>
      </c>
      <c r="B53" s="68" t="s">
        <v>689</v>
      </c>
      <c r="C53" s="68" t="s">
        <v>690</v>
      </c>
      <c r="D53" s="68" t="str">
        <f t="shared" si="0"/>
        <v>Namasale Town Council</v>
      </c>
      <c r="F53" s="68">
        <v>52</v>
      </c>
    </row>
    <row r="54" spans="1:6">
      <c r="A54" s="68" t="s">
        <v>701</v>
      </c>
      <c r="B54" s="68" t="s">
        <v>701</v>
      </c>
      <c r="C54" s="68" t="s">
        <v>702</v>
      </c>
      <c r="D54" s="68" t="str">
        <f t="shared" si="0"/>
        <v>Amudat</v>
      </c>
      <c r="F54" s="68">
        <v>53</v>
      </c>
    </row>
    <row r="55" spans="1:6">
      <c r="A55" s="68" t="s">
        <v>703</v>
      </c>
      <c r="B55" s="68" t="s">
        <v>701</v>
      </c>
      <c r="C55" s="68" t="s">
        <v>702</v>
      </c>
      <c r="D55" s="68" t="str">
        <f t="shared" si="0"/>
        <v>Amudat Town Council</v>
      </c>
      <c r="F55" s="68">
        <v>54</v>
      </c>
    </row>
    <row r="56" spans="1:6">
      <c r="A56" s="68" t="s">
        <v>704</v>
      </c>
      <c r="B56" s="68" t="s">
        <v>701</v>
      </c>
      <c r="C56" s="68" t="s">
        <v>702</v>
      </c>
      <c r="D56" s="68" t="str">
        <f t="shared" si="0"/>
        <v>Karita</v>
      </c>
      <c r="F56" s="68">
        <v>55</v>
      </c>
    </row>
    <row r="57" spans="1:6">
      <c r="A57" s="68" t="s">
        <v>705</v>
      </c>
      <c r="B57" s="68" t="s">
        <v>701</v>
      </c>
      <c r="C57" s="68" t="s">
        <v>702</v>
      </c>
      <c r="D57" s="68" t="str">
        <f t="shared" si="0"/>
        <v>Loroo</v>
      </c>
      <c r="F57" s="68">
        <v>56</v>
      </c>
    </row>
    <row r="58" spans="1:6">
      <c r="A58" s="68" t="s">
        <v>706</v>
      </c>
      <c r="B58" s="68" t="s">
        <v>707</v>
      </c>
      <c r="C58" s="68" t="s">
        <v>707</v>
      </c>
      <c r="D58" s="68" t="str">
        <f t="shared" si="0"/>
        <v>Abarilela</v>
      </c>
      <c r="F58" s="68">
        <v>57</v>
      </c>
    </row>
    <row r="59" spans="1:6">
      <c r="A59" s="68" t="s">
        <v>708</v>
      </c>
      <c r="B59" s="68" t="s">
        <v>707</v>
      </c>
      <c r="C59" s="68" t="s">
        <v>709</v>
      </c>
      <c r="D59" s="68" t="str">
        <f t="shared" si="0"/>
        <v>Acowa</v>
      </c>
      <c r="F59" s="68">
        <v>58</v>
      </c>
    </row>
    <row r="60" spans="1:6">
      <c r="A60" s="68" t="s">
        <v>710</v>
      </c>
      <c r="B60" s="68" t="s">
        <v>707</v>
      </c>
      <c r="C60" s="68" t="s">
        <v>707</v>
      </c>
      <c r="D60" s="68" t="str">
        <f t="shared" si="0"/>
        <v>Akeriau</v>
      </c>
      <c r="F60" s="68">
        <v>59</v>
      </c>
    </row>
    <row r="61" spans="1:6">
      <c r="A61" s="68" t="s">
        <v>711</v>
      </c>
      <c r="B61" s="68" t="s">
        <v>707</v>
      </c>
      <c r="C61" s="68" t="s">
        <v>709</v>
      </c>
      <c r="D61" s="68" t="str">
        <f t="shared" si="0"/>
        <v>Akoromit</v>
      </c>
      <c r="F61" s="68">
        <v>60</v>
      </c>
    </row>
    <row r="62" spans="1:6">
      <c r="A62" s="68" t="s">
        <v>712</v>
      </c>
      <c r="B62" s="68" t="s">
        <v>707</v>
      </c>
      <c r="C62" s="68" t="s">
        <v>707</v>
      </c>
      <c r="D62" s="68" t="str">
        <f t="shared" si="0"/>
        <v>Amuria Town Council</v>
      </c>
      <c r="F62" s="68">
        <v>61</v>
      </c>
    </row>
    <row r="63" spans="1:6">
      <c r="A63" s="68" t="s">
        <v>713</v>
      </c>
      <c r="B63" s="68" t="s">
        <v>707</v>
      </c>
      <c r="C63" s="68" t="s">
        <v>707</v>
      </c>
      <c r="D63" s="68" t="str">
        <f t="shared" si="0"/>
        <v>Apeduru</v>
      </c>
      <c r="F63" s="68">
        <v>62</v>
      </c>
    </row>
    <row r="64" spans="1:6">
      <c r="A64" s="68" t="s">
        <v>714</v>
      </c>
      <c r="B64" s="68" t="s">
        <v>707</v>
      </c>
      <c r="C64" s="68" t="s">
        <v>707</v>
      </c>
      <c r="D64" s="68" t="str">
        <f t="shared" si="0"/>
        <v>Asamuk</v>
      </c>
      <c r="F64" s="68">
        <v>63</v>
      </c>
    </row>
    <row r="65" spans="1:6">
      <c r="A65" s="68" t="s">
        <v>709</v>
      </c>
      <c r="B65" s="68" t="s">
        <v>707</v>
      </c>
      <c r="C65" s="68" t="s">
        <v>709</v>
      </c>
      <c r="D65" s="68" t="str">
        <f t="shared" si="0"/>
        <v>Kapelebyong</v>
      </c>
      <c r="F65" s="68">
        <v>64</v>
      </c>
    </row>
    <row r="66" spans="1:6">
      <c r="A66" s="68" t="s">
        <v>715</v>
      </c>
      <c r="B66" s="68" t="s">
        <v>707</v>
      </c>
      <c r="C66" s="68" t="s">
        <v>707</v>
      </c>
      <c r="D66" s="68" t="str">
        <f t="shared" ref="D66:D129" si="1">A66</f>
        <v>Kuju</v>
      </c>
      <c r="F66" s="68">
        <v>65</v>
      </c>
    </row>
    <row r="67" spans="1:6">
      <c r="A67" s="68" t="s">
        <v>716</v>
      </c>
      <c r="B67" s="68" t="s">
        <v>707</v>
      </c>
      <c r="C67" s="68" t="s">
        <v>707</v>
      </c>
      <c r="D67" s="68" t="str">
        <f t="shared" si="1"/>
        <v>Morungatuny</v>
      </c>
      <c r="F67" s="68">
        <v>66</v>
      </c>
    </row>
    <row r="68" spans="1:6">
      <c r="A68" s="68" t="s">
        <v>717</v>
      </c>
      <c r="B68" s="68" t="s">
        <v>707</v>
      </c>
      <c r="C68" s="68" t="s">
        <v>709</v>
      </c>
      <c r="D68" s="68" t="str">
        <f t="shared" si="1"/>
        <v>Obalanga</v>
      </c>
      <c r="F68" s="68">
        <v>67</v>
      </c>
    </row>
    <row r="69" spans="1:6">
      <c r="A69" s="68" t="s">
        <v>718</v>
      </c>
      <c r="B69" s="68" t="s">
        <v>707</v>
      </c>
      <c r="C69" s="68" t="s">
        <v>707</v>
      </c>
      <c r="D69" s="68" t="str">
        <f t="shared" si="1"/>
        <v>Ogolai</v>
      </c>
      <c r="F69" s="68">
        <v>68</v>
      </c>
    </row>
    <row r="70" spans="1:6">
      <c r="A70" s="68" t="s">
        <v>719</v>
      </c>
      <c r="B70" s="68" t="s">
        <v>707</v>
      </c>
      <c r="C70" s="68" t="s">
        <v>709</v>
      </c>
      <c r="D70" s="68" t="str">
        <f t="shared" si="1"/>
        <v>Okungur</v>
      </c>
      <c r="F70" s="68">
        <v>69</v>
      </c>
    </row>
    <row r="71" spans="1:6">
      <c r="A71" s="68" t="s">
        <v>720</v>
      </c>
      <c r="B71" s="68" t="s">
        <v>707</v>
      </c>
      <c r="C71" s="68" t="s">
        <v>707</v>
      </c>
      <c r="D71" s="68" t="str">
        <f t="shared" si="1"/>
        <v>Orungo</v>
      </c>
      <c r="F71" s="68">
        <v>70</v>
      </c>
    </row>
    <row r="72" spans="1:6">
      <c r="A72" s="68" t="s">
        <v>721</v>
      </c>
      <c r="B72" s="68" t="s">
        <v>707</v>
      </c>
      <c r="C72" s="68" t="s">
        <v>707</v>
      </c>
      <c r="D72" s="68" t="str">
        <f t="shared" si="1"/>
        <v>Wera</v>
      </c>
      <c r="F72" s="68">
        <v>71</v>
      </c>
    </row>
    <row r="73" spans="1:6">
      <c r="A73" s="68" t="s">
        <v>722</v>
      </c>
      <c r="B73" s="68" t="s">
        <v>707</v>
      </c>
      <c r="C73" s="68" t="s">
        <v>707</v>
      </c>
      <c r="D73" s="68" t="str">
        <f t="shared" si="1"/>
        <v>Willa</v>
      </c>
      <c r="F73" s="68">
        <v>72</v>
      </c>
    </row>
    <row r="74" spans="1:6">
      <c r="A74" s="68" t="s">
        <v>723</v>
      </c>
      <c r="B74" s="68" t="s">
        <v>723</v>
      </c>
      <c r="C74" s="68" t="s">
        <v>724</v>
      </c>
      <c r="D74" s="68" t="str">
        <f t="shared" si="1"/>
        <v>Amuru</v>
      </c>
      <c r="F74" s="68">
        <v>73</v>
      </c>
    </row>
    <row r="75" spans="1:6">
      <c r="A75" s="68" t="s">
        <v>725</v>
      </c>
      <c r="B75" s="68" t="s">
        <v>723</v>
      </c>
      <c r="C75" s="68" t="s">
        <v>724</v>
      </c>
      <c r="D75" s="68" t="str">
        <f t="shared" si="1"/>
        <v>Amuru Town Council</v>
      </c>
      <c r="F75" s="68">
        <v>74</v>
      </c>
    </row>
    <row r="76" spans="1:6">
      <c r="A76" s="68" t="s">
        <v>726</v>
      </c>
      <c r="D76" s="68" t="str">
        <f t="shared" si="1"/>
        <v>Amur town</v>
      </c>
      <c r="F76" s="68">
        <v>74</v>
      </c>
    </row>
    <row r="77" spans="1:6">
      <c r="A77" s="68" t="s">
        <v>727</v>
      </c>
      <c r="B77" s="68" t="s">
        <v>723</v>
      </c>
      <c r="C77" s="68" t="s">
        <v>724</v>
      </c>
      <c r="D77" s="68" t="str">
        <f t="shared" si="1"/>
        <v>Attiak</v>
      </c>
      <c r="F77" s="68">
        <v>75</v>
      </c>
    </row>
    <row r="78" spans="1:6">
      <c r="A78" s="68" t="s">
        <v>728</v>
      </c>
      <c r="B78" s="68" t="s">
        <v>723</v>
      </c>
      <c r="C78" s="68" t="s">
        <v>724</v>
      </c>
      <c r="D78" s="68" t="str">
        <f t="shared" si="1"/>
        <v>Lamogi</v>
      </c>
      <c r="F78" s="68">
        <v>76</v>
      </c>
    </row>
    <row r="79" spans="1:6">
      <c r="A79" s="68" t="s">
        <v>729</v>
      </c>
      <c r="B79" s="68" t="s">
        <v>723</v>
      </c>
      <c r="C79" s="68" t="s">
        <v>724</v>
      </c>
      <c r="D79" s="68" t="str">
        <f t="shared" si="1"/>
        <v>Pabo</v>
      </c>
      <c r="F79" s="68">
        <v>77</v>
      </c>
    </row>
    <row r="80" spans="1:6">
      <c r="A80" s="68" t="s">
        <v>730</v>
      </c>
      <c r="B80" s="68" t="s">
        <v>731</v>
      </c>
      <c r="C80" s="68" t="s">
        <v>732</v>
      </c>
      <c r="D80" s="68" t="str">
        <f t="shared" si="1"/>
        <v>Abongomola</v>
      </c>
      <c r="F80" s="68">
        <v>78</v>
      </c>
    </row>
    <row r="81" spans="1:6">
      <c r="A81" s="68" t="s">
        <v>733</v>
      </c>
      <c r="B81" s="68" t="s">
        <v>731</v>
      </c>
      <c r="C81" s="68" t="s">
        <v>732</v>
      </c>
      <c r="D81" s="68" t="str">
        <f t="shared" si="1"/>
        <v>Aduku</v>
      </c>
      <c r="F81" s="68">
        <v>79</v>
      </c>
    </row>
    <row r="82" spans="1:6">
      <c r="A82" s="68" t="s">
        <v>734</v>
      </c>
      <c r="B82" s="68" t="s">
        <v>731</v>
      </c>
      <c r="C82" s="68" t="s">
        <v>732</v>
      </c>
      <c r="D82" s="68" t="str">
        <f t="shared" si="1"/>
        <v>Aduku Town Council</v>
      </c>
      <c r="F82" s="68">
        <v>80</v>
      </c>
    </row>
    <row r="83" spans="1:6">
      <c r="A83" s="68" t="s">
        <v>735</v>
      </c>
      <c r="B83" s="68" t="s">
        <v>731</v>
      </c>
      <c r="C83" s="68" t="s">
        <v>736</v>
      </c>
      <c r="D83" s="68" t="str">
        <f t="shared" si="1"/>
        <v>Akokoro</v>
      </c>
      <c r="F83" s="68">
        <v>81</v>
      </c>
    </row>
    <row r="84" spans="1:6">
      <c r="A84" s="68" t="s">
        <v>737</v>
      </c>
      <c r="B84" s="68" t="s">
        <v>731</v>
      </c>
      <c r="C84" s="68" t="s">
        <v>738</v>
      </c>
      <c r="D84" s="68" t="str">
        <f t="shared" si="1"/>
        <v>Apac Muicipality</v>
      </c>
      <c r="F84" s="68">
        <v>82</v>
      </c>
    </row>
    <row r="85" spans="1:6">
      <c r="A85" s="68" t="s">
        <v>731</v>
      </c>
      <c r="D85" s="68" t="str">
        <f t="shared" si="1"/>
        <v>Apac</v>
      </c>
      <c r="F85" s="68">
        <v>82</v>
      </c>
    </row>
    <row r="86" spans="1:6">
      <c r="A86" s="68" t="s">
        <v>739</v>
      </c>
      <c r="B86" s="68" t="s">
        <v>731</v>
      </c>
      <c r="C86" s="68" t="s">
        <v>732</v>
      </c>
      <c r="D86" s="68" t="str">
        <f t="shared" si="1"/>
        <v>Chawente</v>
      </c>
      <c r="F86" s="68">
        <v>83</v>
      </c>
    </row>
    <row r="87" spans="1:6">
      <c r="A87" s="68" t="s">
        <v>740</v>
      </c>
      <c r="B87" s="68" t="s">
        <v>731</v>
      </c>
      <c r="C87" s="68" t="s">
        <v>736</v>
      </c>
      <c r="D87" s="68" t="str">
        <f t="shared" si="1"/>
        <v>Chegere</v>
      </c>
      <c r="F87" s="68">
        <v>84</v>
      </c>
    </row>
    <row r="88" spans="1:6">
      <c r="A88" s="68" t="s">
        <v>741</v>
      </c>
      <c r="B88" s="68" t="s">
        <v>731</v>
      </c>
      <c r="C88" s="68" t="s">
        <v>736</v>
      </c>
      <c r="D88" s="68" t="str">
        <f t="shared" si="1"/>
        <v>Ibuje</v>
      </c>
      <c r="F88" s="68">
        <v>85</v>
      </c>
    </row>
    <row r="89" spans="1:6">
      <c r="A89" s="68" t="s">
        <v>742</v>
      </c>
      <c r="B89" s="68" t="s">
        <v>731</v>
      </c>
      <c r="C89" s="68" t="s">
        <v>732</v>
      </c>
      <c r="D89" s="68" t="str">
        <f t="shared" si="1"/>
        <v>Inomo</v>
      </c>
      <c r="F89" s="68">
        <v>86</v>
      </c>
    </row>
    <row r="90" spans="1:6">
      <c r="A90" s="68" t="s">
        <v>743</v>
      </c>
      <c r="B90" s="68" t="s">
        <v>731</v>
      </c>
      <c r="C90" s="68" t="s">
        <v>732</v>
      </c>
      <c r="D90" s="68" t="str">
        <f t="shared" si="1"/>
        <v>Nambieso</v>
      </c>
      <c r="F90" s="68">
        <v>87</v>
      </c>
    </row>
    <row r="91" spans="1:6">
      <c r="A91" s="68" t="s">
        <v>744</v>
      </c>
      <c r="B91" s="68" t="s">
        <v>745</v>
      </c>
      <c r="C91" s="68" t="s">
        <v>746</v>
      </c>
      <c r="D91" s="68" t="str">
        <f t="shared" si="1"/>
        <v>Adumi</v>
      </c>
      <c r="F91" s="68">
        <v>88</v>
      </c>
    </row>
    <row r="92" spans="1:6">
      <c r="A92" s="68" t="s">
        <v>747</v>
      </c>
      <c r="B92" s="68" t="s">
        <v>745</v>
      </c>
      <c r="C92" s="68" t="s">
        <v>748</v>
      </c>
      <c r="D92" s="68" t="str">
        <f t="shared" si="1"/>
        <v>Aii-Vu</v>
      </c>
      <c r="F92" s="68">
        <v>89</v>
      </c>
    </row>
    <row r="93" spans="1:6">
      <c r="A93" s="68" t="s">
        <v>749</v>
      </c>
      <c r="B93" s="68" t="s">
        <v>745</v>
      </c>
      <c r="C93" s="68" t="s">
        <v>750</v>
      </c>
      <c r="D93" s="68" t="str">
        <f t="shared" si="1"/>
        <v>Ajia</v>
      </c>
      <c r="F93" s="68">
        <v>90</v>
      </c>
    </row>
    <row r="94" spans="1:6">
      <c r="A94" s="68" t="s">
        <v>751</v>
      </c>
      <c r="B94" s="68" t="s">
        <v>745</v>
      </c>
      <c r="C94" s="68" t="s">
        <v>752</v>
      </c>
      <c r="D94" s="68" t="str">
        <f t="shared" si="1"/>
        <v>Anyiribu</v>
      </c>
      <c r="F94" s="68">
        <v>91</v>
      </c>
    </row>
    <row r="95" spans="1:6">
      <c r="A95" s="68" t="s">
        <v>753</v>
      </c>
      <c r="B95" s="68" t="s">
        <v>745</v>
      </c>
      <c r="C95" s="68" t="s">
        <v>750</v>
      </c>
      <c r="D95" s="68" t="str">
        <f t="shared" si="1"/>
        <v>Arivu</v>
      </c>
      <c r="F95" s="68">
        <v>92</v>
      </c>
    </row>
    <row r="96" spans="1:6">
      <c r="A96" s="68" t="s">
        <v>754</v>
      </c>
      <c r="B96" s="68" t="s">
        <v>745</v>
      </c>
      <c r="C96" s="68" t="s">
        <v>746</v>
      </c>
      <c r="D96" s="68" t="str">
        <f t="shared" si="1"/>
        <v>Aroi</v>
      </c>
      <c r="F96" s="68">
        <v>93</v>
      </c>
    </row>
    <row r="97" spans="1:6">
      <c r="A97" s="68" t="s">
        <v>755</v>
      </c>
      <c r="B97" s="68" t="s">
        <v>745</v>
      </c>
      <c r="C97" s="68" t="s">
        <v>755</v>
      </c>
      <c r="D97" s="68" t="str">
        <f t="shared" si="1"/>
        <v>Arua Municipality</v>
      </c>
      <c r="F97" s="68">
        <v>94</v>
      </c>
    </row>
    <row r="98" spans="1:6">
      <c r="A98" s="68" t="s">
        <v>745</v>
      </c>
      <c r="D98" s="68" t="str">
        <f t="shared" si="1"/>
        <v>Arua</v>
      </c>
      <c r="F98" s="68">
        <v>94</v>
      </c>
    </row>
    <row r="99" spans="1:6">
      <c r="A99" s="68" t="s">
        <v>756</v>
      </c>
      <c r="B99" s="68" t="s">
        <v>745</v>
      </c>
      <c r="C99" s="68" t="s">
        <v>746</v>
      </c>
      <c r="D99" s="68" t="str">
        <f t="shared" si="1"/>
        <v>Ayivuni</v>
      </c>
      <c r="F99" s="68">
        <v>95</v>
      </c>
    </row>
    <row r="100" spans="1:6">
      <c r="A100" s="68" t="s">
        <v>757</v>
      </c>
      <c r="B100" s="68" t="s">
        <v>745</v>
      </c>
      <c r="C100" s="68" t="s">
        <v>748</v>
      </c>
      <c r="D100" s="68" t="str">
        <f t="shared" si="1"/>
        <v>Bileafe</v>
      </c>
      <c r="F100" s="68">
        <v>96</v>
      </c>
    </row>
    <row r="101" spans="1:6">
      <c r="A101" s="68" t="s">
        <v>758</v>
      </c>
      <c r="B101" s="68" t="s">
        <v>745</v>
      </c>
      <c r="C101" s="68" t="s">
        <v>746</v>
      </c>
      <c r="D101" s="68" t="str">
        <f t="shared" si="1"/>
        <v>Dadamu</v>
      </c>
      <c r="F101" s="68">
        <v>97</v>
      </c>
    </row>
    <row r="102" spans="1:6">
      <c r="A102" s="68" t="s">
        <v>759</v>
      </c>
      <c r="B102" s="68" t="s">
        <v>745</v>
      </c>
      <c r="C102" s="68" t="s">
        <v>752</v>
      </c>
      <c r="D102" s="68" t="str">
        <f t="shared" si="1"/>
        <v>Ewanga</v>
      </c>
      <c r="F102" s="68">
        <v>98</v>
      </c>
    </row>
    <row r="103" spans="1:6">
      <c r="A103" s="68" t="s">
        <v>760</v>
      </c>
      <c r="B103" s="68" t="s">
        <v>745</v>
      </c>
      <c r="C103" s="68" t="s">
        <v>748</v>
      </c>
      <c r="D103" s="68" t="str">
        <f t="shared" si="1"/>
        <v>Katrini</v>
      </c>
      <c r="F103" s="68">
        <v>99</v>
      </c>
    </row>
    <row r="104" spans="1:6">
      <c r="A104" s="68" t="s">
        <v>761</v>
      </c>
      <c r="B104" s="68" t="s">
        <v>745</v>
      </c>
      <c r="C104" s="68" t="s">
        <v>750</v>
      </c>
      <c r="D104" s="68" t="str">
        <f t="shared" si="1"/>
        <v>Logiri</v>
      </c>
      <c r="F104" s="68">
        <v>100</v>
      </c>
    </row>
    <row r="105" spans="1:6">
      <c r="A105" s="68" t="s">
        <v>762</v>
      </c>
      <c r="B105" s="68" t="s">
        <v>745</v>
      </c>
      <c r="C105" s="68" t="s">
        <v>746</v>
      </c>
      <c r="D105" s="68" t="str">
        <f t="shared" si="1"/>
        <v>Manibe</v>
      </c>
      <c r="F105" s="68">
        <v>101</v>
      </c>
    </row>
    <row r="106" spans="1:6">
      <c r="A106" s="68" t="s">
        <v>763</v>
      </c>
      <c r="B106" s="68" t="s">
        <v>745</v>
      </c>
      <c r="C106" s="68" t="s">
        <v>748</v>
      </c>
      <c r="D106" s="68" t="str">
        <f t="shared" si="1"/>
        <v>Odupi</v>
      </c>
      <c r="F106" s="68">
        <v>102</v>
      </c>
    </row>
    <row r="107" spans="1:6">
      <c r="A107" s="68" t="s">
        <v>764</v>
      </c>
      <c r="B107" s="68" t="s">
        <v>745</v>
      </c>
      <c r="C107" s="68" t="s">
        <v>752</v>
      </c>
      <c r="D107" s="68" t="str">
        <f t="shared" si="1"/>
        <v>Offaka</v>
      </c>
      <c r="F107" s="68">
        <v>103</v>
      </c>
    </row>
    <row r="108" spans="1:6">
      <c r="A108" s="68" t="s">
        <v>765</v>
      </c>
      <c r="B108" s="68" t="s">
        <v>745</v>
      </c>
      <c r="C108" s="68" t="s">
        <v>752</v>
      </c>
      <c r="D108" s="68" t="str">
        <f t="shared" si="1"/>
        <v>Ogoko</v>
      </c>
      <c r="F108" s="68">
        <v>104</v>
      </c>
    </row>
    <row r="109" spans="1:6">
      <c r="A109" s="68" t="s">
        <v>766</v>
      </c>
      <c r="B109" s="68" t="s">
        <v>745</v>
      </c>
      <c r="C109" s="68" t="s">
        <v>752</v>
      </c>
      <c r="D109" s="68" t="str">
        <f t="shared" si="1"/>
        <v>Okollo</v>
      </c>
      <c r="F109" s="68">
        <v>105</v>
      </c>
    </row>
    <row r="110" spans="1:6">
      <c r="A110" s="68" t="s">
        <v>767</v>
      </c>
      <c r="B110" s="68" t="s">
        <v>745</v>
      </c>
      <c r="C110" s="68" t="s">
        <v>746</v>
      </c>
      <c r="D110" s="68" t="str">
        <f t="shared" si="1"/>
        <v>Oluko</v>
      </c>
      <c r="F110" s="68">
        <v>106</v>
      </c>
    </row>
    <row r="111" spans="1:6">
      <c r="A111" s="68" t="s">
        <v>768</v>
      </c>
      <c r="B111" s="68" t="s">
        <v>745</v>
      </c>
      <c r="C111" s="68" t="s">
        <v>748</v>
      </c>
      <c r="D111" s="68" t="str">
        <f t="shared" si="1"/>
        <v>Omugo</v>
      </c>
      <c r="F111" s="68">
        <v>107</v>
      </c>
    </row>
    <row r="112" spans="1:6">
      <c r="A112" s="68" t="s">
        <v>769</v>
      </c>
      <c r="B112" s="68" t="s">
        <v>745</v>
      </c>
      <c r="C112" s="68" t="s">
        <v>746</v>
      </c>
      <c r="D112" s="68" t="str">
        <f t="shared" si="1"/>
        <v>Pajulu</v>
      </c>
      <c r="F112" s="68">
        <v>108</v>
      </c>
    </row>
    <row r="113" spans="1:6">
      <c r="A113" s="68" t="s">
        <v>770</v>
      </c>
      <c r="B113" s="68" t="s">
        <v>745</v>
      </c>
      <c r="C113" s="68" t="s">
        <v>752</v>
      </c>
      <c r="D113" s="68" t="str">
        <f t="shared" si="1"/>
        <v>Pawor</v>
      </c>
      <c r="F113" s="68">
        <v>109</v>
      </c>
    </row>
    <row r="114" spans="1:6">
      <c r="A114" s="68" t="s">
        <v>771</v>
      </c>
      <c r="B114" s="68" t="s">
        <v>745</v>
      </c>
      <c r="C114" s="68" t="s">
        <v>752</v>
      </c>
      <c r="D114" s="68" t="str">
        <f t="shared" si="1"/>
        <v>Rhino Camp</v>
      </c>
      <c r="F114" s="68">
        <v>110</v>
      </c>
    </row>
    <row r="115" spans="1:6">
      <c r="A115" s="68" t="s">
        <v>772</v>
      </c>
      <c r="B115" s="68" t="s">
        <v>745</v>
      </c>
      <c r="C115" s="68" t="s">
        <v>752</v>
      </c>
      <c r="D115" s="68" t="str">
        <f t="shared" si="1"/>
        <v>Rigbo</v>
      </c>
      <c r="F115" s="68">
        <v>111</v>
      </c>
    </row>
    <row r="116" spans="1:6">
      <c r="A116" s="68" t="s">
        <v>773</v>
      </c>
      <c r="B116" s="68" t="s">
        <v>745</v>
      </c>
      <c r="C116" s="68" t="s">
        <v>752</v>
      </c>
      <c r="D116" s="68" t="str">
        <f t="shared" si="1"/>
        <v>Uleppi</v>
      </c>
      <c r="F116" s="68">
        <v>112</v>
      </c>
    </row>
    <row r="117" spans="1:6">
      <c r="A117" s="68" t="s">
        <v>774</v>
      </c>
      <c r="B117" s="68" t="s">
        <v>745</v>
      </c>
      <c r="C117" s="68" t="s">
        <v>748</v>
      </c>
      <c r="D117" s="68" t="str">
        <f t="shared" si="1"/>
        <v>Uriama</v>
      </c>
      <c r="F117" s="68">
        <v>113</v>
      </c>
    </row>
    <row r="118" spans="1:6">
      <c r="A118" s="68" t="s">
        <v>750</v>
      </c>
      <c r="B118" s="68" t="s">
        <v>745</v>
      </c>
      <c r="C118" s="68" t="s">
        <v>750</v>
      </c>
      <c r="D118" s="68" t="str">
        <f t="shared" si="1"/>
        <v>Vurra</v>
      </c>
      <c r="F118" s="68">
        <v>114</v>
      </c>
    </row>
    <row r="119" spans="1:6">
      <c r="A119" s="68" t="s">
        <v>775</v>
      </c>
      <c r="B119" s="68" t="s">
        <v>775</v>
      </c>
      <c r="C119" s="68" t="s">
        <v>775</v>
      </c>
      <c r="D119" s="68" t="str">
        <f t="shared" si="1"/>
        <v>Budaka</v>
      </c>
      <c r="F119" s="68">
        <v>115</v>
      </c>
    </row>
    <row r="120" spans="1:6">
      <c r="A120" s="68" t="s">
        <v>776</v>
      </c>
      <c r="B120" s="68" t="s">
        <v>775</v>
      </c>
      <c r="C120" s="68" t="s">
        <v>775</v>
      </c>
      <c r="D120" s="68" t="str">
        <f t="shared" si="1"/>
        <v>Budaka Town Council</v>
      </c>
      <c r="F120" s="68">
        <v>116</v>
      </c>
    </row>
    <row r="121" spans="1:6">
      <c r="A121" s="68" t="s">
        <v>777</v>
      </c>
      <c r="B121" s="68" t="s">
        <v>775</v>
      </c>
      <c r="C121" s="68" t="s">
        <v>777</v>
      </c>
      <c r="D121" s="68" t="str">
        <f t="shared" si="1"/>
        <v>Iki-Iki</v>
      </c>
      <c r="F121" s="68">
        <v>117</v>
      </c>
    </row>
    <row r="122" spans="1:6">
      <c r="A122" s="68" t="s">
        <v>778</v>
      </c>
      <c r="B122" s="68" t="s">
        <v>775</v>
      </c>
      <c r="C122" s="68" t="s">
        <v>775</v>
      </c>
      <c r="D122" s="68" t="str">
        <f t="shared" si="1"/>
        <v>Kachomo</v>
      </c>
      <c r="F122" s="68">
        <v>118</v>
      </c>
    </row>
    <row r="123" spans="1:6">
      <c r="A123" s="68" t="s">
        <v>779</v>
      </c>
      <c r="B123" s="68" t="s">
        <v>775</v>
      </c>
      <c r="C123" s="68" t="s">
        <v>775</v>
      </c>
      <c r="D123" s="68" t="str">
        <f t="shared" si="1"/>
        <v>Kaderuna</v>
      </c>
      <c r="F123" s="68">
        <v>119</v>
      </c>
    </row>
    <row r="124" spans="1:6">
      <c r="A124" s="68" t="s">
        <v>780</v>
      </c>
      <c r="B124" s="68" t="s">
        <v>775</v>
      </c>
      <c r="C124" s="68" t="s">
        <v>775</v>
      </c>
      <c r="D124" s="68" t="str">
        <f t="shared" si="1"/>
        <v>Kakule</v>
      </c>
      <c r="F124" s="68">
        <v>120</v>
      </c>
    </row>
    <row r="125" spans="1:6">
      <c r="A125" s="68" t="s">
        <v>781</v>
      </c>
      <c r="B125" s="68" t="s">
        <v>775</v>
      </c>
      <c r="C125" s="68" t="s">
        <v>777</v>
      </c>
      <c r="D125" s="68" t="str">
        <f t="shared" si="1"/>
        <v>Kameruka</v>
      </c>
      <c r="F125" s="68">
        <v>121</v>
      </c>
    </row>
    <row r="126" spans="1:6">
      <c r="A126" s="68" t="s">
        <v>782</v>
      </c>
      <c r="B126" s="68" t="s">
        <v>775</v>
      </c>
      <c r="C126" s="68" t="s">
        <v>777</v>
      </c>
      <c r="D126" s="68" t="str">
        <f t="shared" si="1"/>
        <v>Kamonkoli</v>
      </c>
      <c r="F126" s="68">
        <v>122</v>
      </c>
    </row>
    <row r="127" spans="1:6">
      <c r="A127" s="68" t="s">
        <v>783</v>
      </c>
      <c r="B127" s="68" t="s">
        <v>775</v>
      </c>
      <c r="C127" s="68" t="s">
        <v>777</v>
      </c>
      <c r="D127" s="68" t="str">
        <f t="shared" si="1"/>
        <v>Katiira</v>
      </c>
      <c r="F127" s="68">
        <v>123</v>
      </c>
    </row>
    <row r="128" spans="1:6">
      <c r="A128" s="68" t="s">
        <v>784</v>
      </c>
      <c r="B128" s="68" t="s">
        <v>775</v>
      </c>
      <c r="C128" s="68" t="s">
        <v>775</v>
      </c>
      <c r="D128" s="68" t="str">
        <f t="shared" si="1"/>
        <v>Lyama</v>
      </c>
      <c r="F128" s="68">
        <v>124</v>
      </c>
    </row>
    <row r="129" spans="1:6">
      <c r="A129" s="68" t="s">
        <v>785</v>
      </c>
      <c r="B129" s="68" t="s">
        <v>775</v>
      </c>
      <c r="C129" s="68" t="s">
        <v>777</v>
      </c>
      <c r="D129" s="68" t="str">
        <f t="shared" si="1"/>
        <v>Mugiti</v>
      </c>
      <c r="F129" s="68">
        <v>125</v>
      </c>
    </row>
    <row r="130" spans="1:6">
      <c r="A130" s="68" t="s">
        <v>786</v>
      </c>
      <c r="B130" s="68" t="s">
        <v>775</v>
      </c>
      <c r="C130" s="68" t="s">
        <v>775</v>
      </c>
      <c r="D130" s="68" t="str">
        <f t="shared" ref="D130:D193" si="2">A130</f>
        <v>Naboa</v>
      </c>
      <c r="F130" s="68">
        <v>126</v>
      </c>
    </row>
    <row r="131" spans="1:6">
      <c r="A131" s="68" t="s">
        <v>787</v>
      </c>
      <c r="B131" s="68" t="s">
        <v>775</v>
      </c>
      <c r="C131" s="68" t="s">
        <v>775</v>
      </c>
      <c r="D131" s="68" t="str">
        <f t="shared" si="2"/>
        <v>Nansanga</v>
      </c>
      <c r="F131" s="68">
        <v>127</v>
      </c>
    </row>
    <row r="132" spans="1:6">
      <c r="A132" s="68" t="s">
        <v>788</v>
      </c>
      <c r="B132" s="68" t="s">
        <v>789</v>
      </c>
      <c r="C132" s="68" t="s">
        <v>790</v>
      </c>
      <c r="D132" s="68" t="str">
        <f t="shared" si="2"/>
        <v>Bubiita</v>
      </c>
      <c r="F132" s="68">
        <v>128</v>
      </c>
    </row>
    <row r="133" spans="1:6">
      <c r="A133" s="68" t="s">
        <v>789</v>
      </c>
      <c r="B133" s="68" t="s">
        <v>789</v>
      </c>
      <c r="C133" s="68" t="s">
        <v>790</v>
      </c>
      <c r="D133" s="68" t="str">
        <f t="shared" si="2"/>
        <v>Bududa</v>
      </c>
      <c r="F133" s="68">
        <v>129</v>
      </c>
    </row>
    <row r="134" spans="1:6">
      <c r="A134" s="68" t="s">
        <v>791</v>
      </c>
      <c r="B134" s="68" t="s">
        <v>789</v>
      </c>
      <c r="C134" s="68" t="s">
        <v>790</v>
      </c>
      <c r="D134" s="68" t="str">
        <f t="shared" si="2"/>
        <v>Bududa Town Council</v>
      </c>
      <c r="F134" s="68">
        <v>130</v>
      </c>
    </row>
    <row r="135" spans="1:6">
      <c r="A135" s="68" t="s">
        <v>792</v>
      </c>
      <c r="B135" s="68" t="s">
        <v>789</v>
      </c>
      <c r="C135" s="68" t="s">
        <v>790</v>
      </c>
      <c r="D135" s="68" t="str">
        <f t="shared" si="2"/>
        <v>Bukalasi</v>
      </c>
      <c r="F135" s="68">
        <v>131</v>
      </c>
    </row>
    <row r="136" spans="1:6">
      <c r="A136" s="68" t="s">
        <v>793</v>
      </c>
      <c r="B136" s="68" t="s">
        <v>789</v>
      </c>
      <c r="C136" s="68" t="s">
        <v>790</v>
      </c>
      <c r="D136" s="68" t="str">
        <f t="shared" si="2"/>
        <v>Bukibokolo</v>
      </c>
      <c r="F136" s="68">
        <v>132</v>
      </c>
    </row>
    <row r="137" spans="1:6">
      <c r="A137" s="68" t="s">
        <v>794</v>
      </c>
      <c r="B137" s="68" t="s">
        <v>789</v>
      </c>
      <c r="C137" s="68" t="s">
        <v>790</v>
      </c>
      <c r="D137" s="68" t="str">
        <f t="shared" si="2"/>
        <v>Bukigai</v>
      </c>
      <c r="F137" s="68">
        <v>133</v>
      </c>
    </row>
    <row r="138" spans="1:6">
      <c r="A138" s="68" t="s">
        <v>795</v>
      </c>
      <c r="B138" s="68" t="s">
        <v>789</v>
      </c>
      <c r="C138" s="68" t="s">
        <v>790</v>
      </c>
      <c r="D138" s="68" t="str">
        <f t="shared" si="2"/>
        <v>Bulucheke</v>
      </c>
      <c r="F138" s="68">
        <v>134</v>
      </c>
    </row>
    <row r="139" spans="1:6">
      <c r="A139" s="68" t="s">
        <v>796</v>
      </c>
      <c r="B139" s="68" t="s">
        <v>789</v>
      </c>
      <c r="C139" s="68" t="s">
        <v>790</v>
      </c>
      <c r="D139" s="68" t="str">
        <f t="shared" si="2"/>
        <v>Bumasheti</v>
      </c>
      <c r="F139" s="68">
        <v>135</v>
      </c>
    </row>
    <row r="140" spans="1:6">
      <c r="A140" s="68" t="s">
        <v>797</v>
      </c>
      <c r="B140" s="68" t="s">
        <v>789</v>
      </c>
      <c r="C140" s="68" t="s">
        <v>790</v>
      </c>
      <c r="D140" s="68" t="str">
        <f t="shared" si="2"/>
        <v>Bumayoka</v>
      </c>
      <c r="F140" s="68">
        <v>136</v>
      </c>
    </row>
    <row r="141" spans="1:6">
      <c r="A141" s="68" t="s">
        <v>798</v>
      </c>
      <c r="B141" s="68" t="s">
        <v>789</v>
      </c>
      <c r="C141" s="68" t="s">
        <v>790</v>
      </c>
      <c r="D141" s="68" t="str">
        <f t="shared" si="2"/>
        <v>Bushika</v>
      </c>
      <c r="F141" s="68">
        <v>137</v>
      </c>
    </row>
    <row r="142" spans="1:6">
      <c r="A142" s="68" t="s">
        <v>799</v>
      </c>
      <c r="B142" s="68" t="s">
        <v>789</v>
      </c>
      <c r="C142" s="68" t="s">
        <v>790</v>
      </c>
      <c r="D142" s="68" t="str">
        <f t="shared" si="2"/>
        <v>Bushiribo</v>
      </c>
      <c r="F142" s="68">
        <v>138</v>
      </c>
    </row>
    <row r="143" spans="1:6">
      <c r="A143" s="68" t="s">
        <v>800</v>
      </c>
      <c r="B143" s="68" t="s">
        <v>789</v>
      </c>
      <c r="C143" s="68" t="s">
        <v>790</v>
      </c>
      <c r="D143" s="68" t="str">
        <f t="shared" si="2"/>
        <v>Bushiyi</v>
      </c>
      <c r="F143" s="68">
        <v>139</v>
      </c>
    </row>
    <row r="144" spans="1:6">
      <c r="A144" s="68" t="s">
        <v>801</v>
      </c>
      <c r="B144" s="68" t="s">
        <v>789</v>
      </c>
      <c r="C144" s="68" t="s">
        <v>790</v>
      </c>
      <c r="D144" s="68" t="str">
        <f t="shared" si="2"/>
        <v>Buwali</v>
      </c>
      <c r="F144" s="68">
        <v>140</v>
      </c>
    </row>
    <row r="145" spans="1:6">
      <c r="A145" s="68" t="s">
        <v>802</v>
      </c>
      <c r="B145" s="68" t="s">
        <v>789</v>
      </c>
      <c r="C145" s="68" t="s">
        <v>790</v>
      </c>
      <c r="D145" s="68" t="str">
        <f t="shared" si="2"/>
        <v>Nabweya</v>
      </c>
      <c r="F145" s="68">
        <v>141</v>
      </c>
    </row>
    <row r="146" spans="1:6">
      <c r="A146" s="68" t="s">
        <v>803</v>
      </c>
      <c r="B146" s="68" t="s">
        <v>789</v>
      </c>
      <c r="C146" s="68" t="s">
        <v>790</v>
      </c>
      <c r="D146" s="68" t="str">
        <f t="shared" si="2"/>
        <v>Nakatsi</v>
      </c>
      <c r="F146" s="68">
        <v>142</v>
      </c>
    </row>
    <row r="147" spans="1:6">
      <c r="A147" s="68" t="s">
        <v>804</v>
      </c>
      <c r="B147" s="68" t="s">
        <v>789</v>
      </c>
      <c r="C147" s="68" t="s">
        <v>790</v>
      </c>
      <c r="D147" s="68" t="str">
        <f t="shared" si="2"/>
        <v>Nalwanza</v>
      </c>
      <c r="F147" s="68">
        <v>143</v>
      </c>
    </row>
    <row r="148" spans="1:6">
      <c r="A148" s="68" t="s">
        <v>805</v>
      </c>
      <c r="B148" s="68" t="s">
        <v>806</v>
      </c>
      <c r="C148" s="68" t="s">
        <v>807</v>
      </c>
      <c r="D148" s="68" t="str">
        <f t="shared" si="2"/>
        <v>Budhaya</v>
      </c>
      <c r="F148" s="68">
        <v>144</v>
      </c>
    </row>
    <row r="149" spans="1:6">
      <c r="A149" s="68" t="s">
        <v>808</v>
      </c>
      <c r="B149" s="68" t="s">
        <v>806</v>
      </c>
      <c r="C149" s="68" t="s">
        <v>808</v>
      </c>
      <c r="D149" s="68" t="str">
        <f t="shared" si="2"/>
        <v>Bugiri Municipality</v>
      </c>
      <c r="F149" s="68">
        <v>145</v>
      </c>
    </row>
    <row r="150" spans="1:6">
      <c r="A150" s="68" t="s">
        <v>809</v>
      </c>
      <c r="B150" s="68" t="s">
        <v>806</v>
      </c>
      <c r="C150" s="68" t="s">
        <v>807</v>
      </c>
      <c r="D150" s="68" t="str">
        <f t="shared" si="2"/>
        <v>Bulesa</v>
      </c>
      <c r="F150" s="68">
        <v>146</v>
      </c>
    </row>
    <row r="151" spans="1:6">
      <c r="A151" s="68" t="s">
        <v>810</v>
      </c>
      <c r="B151" s="68" t="s">
        <v>806</v>
      </c>
      <c r="C151" s="68" t="s">
        <v>807</v>
      </c>
      <c r="D151" s="68" t="str">
        <f t="shared" si="2"/>
        <v>Bulidha</v>
      </c>
      <c r="F151" s="68">
        <v>147</v>
      </c>
    </row>
    <row r="152" spans="1:6">
      <c r="A152" s="68" t="s">
        <v>811</v>
      </c>
      <c r="B152" s="68" t="s">
        <v>806</v>
      </c>
      <c r="C152" s="68" t="s">
        <v>807</v>
      </c>
      <c r="D152" s="68" t="str">
        <f t="shared" si="2"/>
        <v>Buluguyi</v>
      </c>
      <c r="F152" s="68">
        <v>148</v>
      </c>
    </row>
    <row r="153" spans="1:6">
      <c r="A153" s="68" t="s">
        <v>812</v>
      </c>
      <c r="B153" s="68" t="s">
        <v>806</v>
      </c>
      <c r="C153" s="68" t="s">
        <v>807</v>
      </c>
      <c r="D153" s="68" t="str">
        <f t="shared" si="2"/>
        <v>Buwunga-Bugiri</v>
      </c>
      <c r="F153" s="68">
        <v>149</v>
      </c>
    </row>
    <row r="154" spans="1:6">
      <c r="A154" s="68" t="s">
        <v>813</v>
      </c>
      <c r="B154" s="68" t="s">
        <v>806</v>
      </c>
      <c r="C154" s="68" t="s">
        <v>807</v>
      </c>
      <c r="D154" s="68" t="str">
        <f t="shared" si="2"/>
        <v>Iwemba</v>
      </c>
      <c r="F154" s="68">
        <v>150</v>
      </c>
    </row>
    <row r="155" spans="1:6">
      <c r="A155" s="68" t="s">
        <v>814</v>
      </c>
      <c r="B155" s="68" t="s">
        <v>806</v>
      </c>
      <c r="C155" s="68" t="s">
        <v>807</v>
      </c>
      <c r="D155" s="68" t="str">
        <f t="shared" si="2"/>
        <v>Kapyanga</v>
      </c>
      <c r="F155" s="68">
        <v>151</v>
      </c>
    </row>
    <row r="156" spans="1:6">
      <c r="A156" s="68" t="s">
        <v>815</v>
      </c>
      <c r="B156" s="68" t="s">
        <v>806</v>
      </c>
      <c r="C156" s="68" t="s">
        <v>807</v>
      </c>
      <c r="D156" s="68" t="str">
        <f t="shared" si="2"/>
        <v>Muterere</v>
      </c>
      <c r="F156" s="68">
        <v>152</v>
      </c>
    </row>
    <row r="157" spans="1:6">
      <c r="A157" s="68" t="s">
        <v>816</v>
      </c>
      <c r="B157" s="68" t="s">
        <v>806</v>
      </c>
      <c r="C157" s="68" t="s">
        <v>807</v>
      </c>
      <c r="D157" s="68" t="str">
        <f t="shared" si="2"/>
        <v>Nabukalu</v>
      </c>
      <c r="F157" s="68">
        <v>153</v>
      </c>
    </row>
    <row r="158" spans="1:6">
      <c r="A158" s="68" t="s">
        <v>817</v>
      </c>
      <c r="B158" s="68" t="s">
        <v>806</v>
      </c>
      <c r="C158" s="68" t="s">
        <v>807</v>
      </c>
      <c r="D158" s="68" t="str">
        <f t="shared" si="2"/>
        <v>Nankoma</v>
      </c>
      <c r="F158" s="68">
        <v>154</v>
      </c>
    </row>
    <row r="159" spans="1:6">
      <c r="A159" s="68" t="s">
        <v>818</v>
      </c>
      <c r="B159" s="68" t="s">
        <v>819</v>
      </c>
      <c r="C159" s="68" t="s">
        <v>819</v>
      </c>
      <c r="D159" s="68" t="str">
        <f t="shared" si="2"/>
        <v>Bihanga-Buhweju</v>
      </c>
      <c r="F159" s="68">
        <v>155</v>
      </c>
    </row>
    <row r="160" spans="1:6">
      <c r="A160" s="68" t="s">
        <v>820</v>
      </c>
      <c r="D160" s="68" t="str">
        <f t="shared" si="2"/>
        <v>BUHWEJJU</v>
      </c>
      <c r="F160" s="68">
        <v>155</v>
      </c>
    </row>
    <row r="161" spans="1:6">
      <c r="A161" s="68" t="s">
        <v>821</v>
      </c>
      <c r="B161" s="68" t="s">
        <v>819</v>
      </c>
      <c r="C161" s="68" t="s">
        <v>819</v>
      </c>
      <c r="D161" s="68" t="str">
        <f t="shared" si="2"/>
        <v>Bitsya</v>
      </c>
      <c r="F161" s="68">
        <v>156</v>
      </c>
    </row>
    <row r="162" spans="1:6">
      <c r="A162" s="68" t="s">
        <v>822</v>
      </c>
      <c r="B162" s="68" t="s">
        <v>819</v>
      </c>
      <c r="C162" s="68" t="s">
        <v>819</v>
      </c>
      <c r="D162" s="68" t="str">
        <f t="shared" si="2"/>
        <v>Burere</v>
      </c>
      <c r="F162" s="68">
        <v>157</v>
      </c>
    </row>
    <row r="163" spans="1:6">
      <c r="A163" s="68" t="s">
        <v>823</v>
      </c>
      <c r="B163" s="68" t="s">
        <v>819</v>
      </c>
      <c r="C163" s="68" t="s">
        <v>819</v>
      </c>
      <c r="D163" s="68" t="str">
        <f t="shared" si="2"/>
        <v>Engaju</v>
      </c>
      <c r="F163" s="68">
        <v>158</v>
      </c>
    </row>
    <row r="164" spans="1:6">
      <c r="A164" s="68" t="s">
        <v>824</v>
      </c>
      <c r="B164" s="68" t="s">
        <v>819</v>
      </c>
      <c r="C164" s="68" t="s">
        <v>819</v>
      </c>
      <c r="D164" s="68" t="str">
        <f t="shared" si="2"/>
        <v>Karungu</v>
      </c>
      <c r="F164" s="68">
        <v>159</v>
      </c>
    </row>
    <row r="165" spans="1:6">
      <c r="A165" s="68" t="s">
        <v>825</v>
      </c>
      <c r="B165" s="68" t="s">
        <v>819</v>
      </c>
      <c r="C165" s="68" t="s">
        <v>819</v>
      </c>
      <c r="D165" s="68" t="str">
        <f t="shared" si="2"/>
        <v>Nsiika Town Council</v>
      </c>
      <c r="F165" s="68">
        <v>160</v>
      </c>
    </row>
    <row r="166" spans="1:6">
      <c r="A166" s="68" t="s">
        <v>826</v>
      </c>
      <c r="B166" s="68" t="s">
        <v>819</v>
      </c>
      <c r="C166" s="68" t="s">
        <v>819</v>
      </c>
      <c r="D166" s="68" t="str">
        <f t="shared" si="2"/>
        <v>Nyakishana</v>
      </c>
      <c r="F166" s="68">
        <v>161</v>
      </c>
    </row>
    <row r="167" spans="1:6">
      <c r="A167" s="68" t="s">
        <v>827</v>
      </c>
      <c r="B167" s="68" t="s">
        <v>819</v>
      </c>
      <c r="C167" s="68" t="s">
        <v>819</v>
      </c>
      <c r="D167" s="68" t="str">
        <f t="shared" si="2"/>
        <v>Rwengwe</v>
      </c>
      <c r="F167" s="68">
        <v>162</v>
      </c>
    </row>
    <row r="168" spans="1:6">
      <c r="A168" s="68" t="s">
        <v>828</v>
      </c>
      <c r="B168" s="68" t="s">
        <v>828</v>
      </c>
      <c r="C168" s="68" t="s">
        <v>828</v>
      </c>
      <c r="D168" s="68" t="str">
        <f t="shared" si="2"/>
        <v>Buikwe</v>
      </c>
      <c r="F168" s="68">
        <v>163</v>
      </c>
    </row>
    <row r="169" spans="1:6">
      <c r="A169" s="68" t="s">
        <v>829</v>
      </c>
      <c r="D169" s="68" t="str">
        <f t="shared" si="2"/>
        <v>Namalili</v>
      </c>
      <c r="F169" s="68">
        <v>163</v>
      </c>
    </row>
    <row r="170" spans="1:6">
      <c r="A170" s="68" t="s">
        <v>830</v>
      </c>
      <c r="D170" s="68" t="str">
        <f t="shared" si="2"/>
        <v>Lweru</v>
      </c>
      <c r="F170" s="68">
        <v>163</v>
      </c>
    </row>
    <row r="171" spans="1:6">
      <c r="A171" s="68" t="s">
        <v>831</v>
      </c>
      <c r="B171" s="68" t="s">
        <v>828</v>
      </c>
      <c r="C171" s="68" t="s">
        <v>828</v>
      </c>
      <c r="D171" s="68" t="str">
        <f t="shared" si="2"/>
        <v>Buikwe Town Council</v>
      </c>
      <c r="F171" s="68">
        <v>164</v>
      </c>
    </row>
    <row r="172" spans="1:6">
      <c r="A172" s="68" t="s">
        <v>832</v>
      </c>
      <c r="D172" s="68" t="str">
        <f t="shared" si="2"/>
        <v>NAJJEMBA</v>
      </c>
      <c r="F172" s="68">
        <v>164</v>
      </c>
    </row>
    <row r="173" spans="1:6">
      <c r="A173" s="68" t="s">
        <v>833</v>
      </c>
      <c r="D173" s="68" t="str">
        <f t="shared" si="2"/>
        <v>NAJEMBA</v>
      </c>
      <c r="F173" s="68">
        <v>164</v>
      </c>
    </row>
    <row r="174" spans="1:6">
      <c r="A174" s="68" t="s">
        <v>834</v>
      </c>
      <c r="D174" s="68" t="str">
        <f t="shared" si="2"/>
        <v>Buyikwe</v>
      </c>
      <c r="F174" s="68">
        <v>164</v>
      </c>
    </row>
    <row r="175" spans="1:6">
      <c r="A175" s="68" t="s">
        <v>835</v>
      </c>
      <c r="D175" s="68" t="str">
        <f t="shared" si="2"/>
        <v>BUIKWE TOWN</v>
      </c>
      <c r="F175" s="68">
        <v>164</v>
      </c>
    </row>
    <row r="176" spans="1:6">
      <c r="A176" s="68" t="s">
        <v>836</v>
      </c>
      <c r="B176" s="68" t="s">
        <v>828</v>
      </c>
      <c r="C176" s="68" t="s">
        <v>836</v>
      </c>
      <c r="D176" s="68" t="str">
        <f t="shared" si="2"/>
        <v>Lugazi Municipality</v>
      </c>
      <c r="F176" s="68">
        <v>165</v>
      </c>
    </row>
    <row r="177" spans="1:6">
      <c r="A177" s="68" t="s">
        <v>837</v>
      </c>
      <c r="D177" s="68" t="str">
        <f t="shared" si="2"/>
        <v>LUGAZI</v>
      </c>
      <c r="F177" s="68">
        <v>165</v>
      </c>
    </row>
    <row r="178" spans="1:6">
      <c r="A178" s="68" t="s">
        <v>838</v>
      </c>
      <c r="D178" s="68" t="str">
        <f t="shared" si="2"/>
        <v>Namagunga</v>
      </c>
      <c r="F178" s="68">
        <v>165</v>
      </c>
    </row>
    <row r="179" spans="1:6">
      <c r="A179" s="68" t="s">
        <v>839</v>
      </c>
      <c r="B179" s="68" t="s">
        <v>828</v>
      </c>
      <c r="C179" s="68" t="s">
        <v>828</v>
      </c>
      <c r="D179" s="68" t="str">
        <f t="shared" si="2"/>
        <v>Najja</v>
      </c>
      <c r="F179" s="68">
        <v>166</v>
      </c>
    </row>
    <row r="180" spans="1:6">
      <c r="A180" s="68" t="s">
        <v>840</v>
      </c>
      <c r="B180" s="68" t="s">
        <v>828</v>
      </c>
      <c r="C180" s="68" t="s">
        <v>828</v>
      </c>
      <c r="D180" s="68" t="str">
        <f t="shared" si="2"/>
        <v>Ngogwe</v>
      </c>
      <c r="F180" s="68">
        <v>167</v>
      </c>
    </row>
    <row r="181" spans="1:6">
      <c r="A181" s="68" t="s">
        <v>841</v>
      </c>
      <c r="B181" s="68" t="s">
        <v>828</v>
      </c>
      <c r="C181" s="68" t="s">
        <v>841</v>
      </c>
      <c r="D181" s="68" t="str">
        <f t="shared" si="2"/>
        <v>Njeru Municipality</v>
      </c>
      <c r="F181" s="68">
        <v>168</v>
      </c>
    </row>
    <row r="182" spans="1:6">
      <c r="A182" s="68" t="s">
        <v>842</v>
      </c>
      <c r="B182" s="68" t="s">
        <v>828</v>
      </c>
      <c r="C182" s="68" t="s">
        <v>828</v>
      </c>
      <c r="D182" s="68" t="str">
        <f t="shared" si="2"/>
        <v>Nkokonjeru Town Council</v>
      </c>
      <c r="F182" s="68">
        <v>169</v>
      </c>
    </row>
    <row r="183" spans="1:6">
      <c r="A183" s="68" t="s">
        <v>843</v>
      </c>
      <c r="B183" s="68" t="s">
        <v>828</v>
      </c>
      <c r="C183" s="68" t="s">
        <v>828</v>
      </c>
      <c r="D183" s="68" t="str">
        <f t="shared" si="2"/>
        <v>Ssi-Bukunja</v>
      </c>
      <c r="F183" s="68">
        <v>170</v>
      </c>
    </row>
    <row r="184" spans="1:6">
      <c r="A184" s="68" t="s">
        <v>844</v>
      </c>
      <c r="B184" s="68" t="s">
        <v>844</v>
      </c>
      <c r="C184" s="68" t="s">
        <v>844</v>
      </c>
      <c r="D184" s="68" t="str">
        <f t="shared" si="2"/>
        <v>Bukedea</v>
      </c>
      <c r="F184" s="68">
        <v>171</v>
      </c>
    </row>
    <row r="185" spans="1:6">
      <c r="A185" s="68" t="s">
        <v>845</v>
      </c>
      <c r="B185" s="68" t="s">
        <v>844</v>
      </c>
      <c r="C185" s="68" t="s">
        <v>844</v>
      </c>
      <c r="D185" s="68" t="str">
        <f t="shared" si="2"/>
        <v>Bukedea Town Council</v>
      </c>
      <c r="F185" s="68">
        <v>172</v>
      </c>
    </row>
    <row r="186" spans="1:6">
      <c r="A186" s="68" t="s">
        <v>846</v>
      </c>
      <c r="B186" s="68" t="s">
        <v>844</v>
      </c>
      <c r="C186" s="68" t="s">
        <v>844</v>
      </c>
      <c r="D186" s="68" t="str">
        <f t="shared" si="2"/>
        <v>Kachumbala</v>
      </c>
      <c r="F186" s="68">
        <v>173</v>
      </c>
    </row>
    <row r="187" spans="1:6">
      <c r="A187" s="68" t="s">
        <v>847</v>
      </c>
      <c r="B187" s="68" t="s">
        <v>844</v>
      </c>
      <c r="C187" s="68" t="s">
        <v>844</v>
      </c>
      <c r="D187" s="68" t="str">
        <f t="shared" si="2"/>
        <v>Kidongole</v>
      </c>
      <c r="F187" s="68">
        <v>174</v>
      </c>
    </row>
    <row r="188" spans="1:6">
      <c r="A188" s="68" t="s">
        <v>848</v>
      </c>
      <c r="B188" s="68" t="s">
        <v>844</v>
      </c>
      <c r="C188" s="68" t="s">
        <v>844</v>
      </c>
      <c r="D188" s="68" t="str">
        <f t="shared" si="2"/>
        <v>Kolir</v>
      </c>
      <c r="F188" s="68">
        <v>175</v>
      </c>
    </row>
    <row r="189" spans="1:6">
      <c r="A189" s="68" t="s">
        <v>849</v>
      </c>
      <c r="B189" s="68" t="s">
        <v>844</v>
      </c>
      <c r="C189" s="68" t="s">
        <v>844</v>
      </c>
      <c r="D189" s="68" t="str">
        <f t="shared" si="2"/>
        <v>Malera</v>
      </c>
      <c r="F189" s="68">
        <v>176</v>
      </c>
    </row>
    <row r="190" spans="1:6">
      <c r="A190" s="68" t="s">
        <v>850</v>
      </c>
      <c r="B190" s="68" t="s">
        <v>851</v>
      </c>
      <c r="C190" s="68" t="s">
        <v>851</v>
      </c>
      <c r="D190" s="68" t="str">
        <f t="shared" si="2"/>
        <v>Bigasa</v>
      </c>
      <c r="F190" s="68">
        <v>177</v>
      </c>
    </row>
    <row r="191" spans="1:6">
      <c r="A191" s="68" t="s">
        <v>852</v>
      </c>
      <c r="B191" s="68" t="s">
        <v>851</v>
      </c>
      <c r="C191" s="68" t="s">
        <v>851</v>
      </c>
      <c r="D191" s="68" t="str">
        <f t="shared" si="2"/>
        <v>Bukomansimbi Town Council</v>
      </c>
      <c r="F191" s="68">
        <v>178</v>
      </c>
    </row>
    <row r="192" spans="1:6">
      <c r="A192" s="68" t="s">
        <v>853</v>
      </c>
      <c r="B192" s="68" t="s">
        <v>851</v>
      </c>
      <c r="C192" s="68" t="s">
        <v>851</v>
      </c>
      <c r="D192" s="68" t="str">
        <f t="shared" si="2"/>
        <v>Butenga</v>
      </c>
      <c r="F192" s="68">
        <v>179</v>
      </c>
    </row>
    <row r="193" spans="1:6">
      <c r="A193" s="68" t="s">
        <v>854</v>
      </c>
      <c r="B193" s="68" t="s">
        <v>851</v>
      </c>
      <c r="C193" s="68" t="s">
        <v>851</v>
      </c>
      <c r="D193" s="68" t="str">
        <f t="shared" si="2"/>
        <v>Kibinge</v>
      </c>
      <c r="F193" s="68">
        <v>180</v>
      </c>
    </row>
    <row r="194" spans="1:6">
      <c r="A194" s="68" t="s">
        <v>855</v>
      </c>
      <c r="B194" s="68" t="s">
        <v>851</v>
      </c>
      <c r="C194" s="68" t="s">
        <v>851</v>
      </c>
      <c r="D194" s="68" t="str">
        <f t="shared" ref="D194:D257" si="3">A194</f>
        <v>Kitanda</v>
      </c>
      <c r="F194" s="68">
        <v>181</v>
      </c>
    </row>
    <row r="195" spans="1:6">
      <c r="A195" s="68" t="s">
        <v>856</v>
      </c>
      <c r="B195" s="68" t="s">
        <v>856</v>
      </c>
      <c r="C195" s="68" t="s">
        <v>857</v>
      </c>
      <c r="D195" s="68" t="str">
        <f t="shared" si="3"/>
        <v>Bukwo</v>
      </c>
      <c r="F195" s="68">
        <v>182</v>
      </c>
    </row>
    <row r="196" spans="1:6">
      <c r="A196" s="68" t="s">
        <v>858</v>
      </c>
      <c r="B196" s="68" t="s">
        <v>856</v>
      </c>
      <c r="C196" s="68" t="s">
        <v>857</v>
      </c>
      <c r="D196" s="68" t="str">
        <f t="shared" si="3"/>
        <v>Bukwo Town Council</v>
      </c>
      <c r="F196" s="68">
        <v>183</v>
      </c>
    </row>
    <row r="197" spans="1:6">
      <c r="A197" s="68" t="s">
        <v>859</v>
      </c>
      <c r="B197" s="68" t="s">
        <v>856</v>
      </c>
      <c r="C197" s="68" t="s">
        <v>857</v>
      </c>
      <c r="D197" s="68" t="str">
        <f t="shared" si="3"/>
        <v>Chepkwasta</v>
      </c>
      <c r="F197" s="68">
        <v>184</v>
      </c>
    </row>
    <row r="198" spans="1:6">
      <c r="A198" s="68" t="s">
        <v>860</v>
      </c>
      <c r="B198" s="68" t="s">
        <v>856</v>
      </c>
      <c r="C198" s="68" t="s">
        <v>857</v>
      </c>
      <c r="D198" s="68" t="str">
        <f t="shared" si="3"/>
        <v>Chesower</v>
      </c>
      <c r="F198" s="68">
        <v>185</v>
      </c>
    </row>
    <row r="199" spans="1:6">
      <c r="A199" s="68" t="s">
        <v>861</v>
      </c>
      <c r="B199" s="68" t="s">
        <v>856</v>
      </c>
      <c r="C199" s="68" t="s">
        <v>857</v>
      </c>
      <c r="D199" s="68" t="str">
        <f t="shared" si="3"/>
        <v>Kabei</v>
      </c>
      <c r="F199" s="68">
        <v>186</v>
      </c>
    </row>
    <row r="200" spans="1:6">
      <c r="A200" s="68" t="s">
        <v>862</v>
      </c>
      <c r="B200" s="68" t="s">
        <v>856</v>
      </c>
      <c r="C200" s="68" t="s">
        <v>857</v>
      </c>
      <c r="D200" s="68" t="str">
        <f t="shared" si="3"/>
        <v>Kamet</v>
      </c>
      <c r="F200" s="68">
        <v>187</v>
      </c>
    </row>
    <row r="201" spans="1:6">
      <c r="A201" s="68" t="s">
        <v>863</v>
      </c>
      <c r="B201" s="68" t="s">
        <v>856</v>
      </c>
      <c r="C201" s="68" t="s">
        <v>857</v>
      </c>
      <c r="D201" s="68" t="str">
        <f t="shared" si="3"/>
        <v>Kaptererwo</v>
      </c>
      <c r="F201" s="68">
        <v>188</v>
      </c>
    </row>
    <row r="202" spans="1:6">
      <c r="A202" s="68" t="s">
        <v>864</v>
      </c>
      <c r="B202" s="68" t="s">
        <v>856</v>
      </c>
      <c r="C202" s="68" t="s">
        <v>857</v>
      </c>
      <c r="D202" s="68" t="str">
        <f t="shared" si="3"/>
        <v>Kortek</v>
      </c>
      <c r="F202" s="68">
        <v>189</v>
      </c>
    </row>
    <row r="203" spans="1:6">
      <c r="A203" s="68" t="s">
        <v>865</v>
      </c>
      <c r="B203" s="68" t="s">
        <v>856</v>
      </c>
      <c r="C203" s="68" t="s">
        <v>857</v>
      </c>
      <c r="D203" s="68" t="str">
        <f t="shared" si="3"/>
        <v>Riwo</v>
      </c>
      <c r="F203" s="68">
        <v>190</v>
      </c>
    </row>
    <row r="204" spans="1:6">
      <c r="A204" s="68" t="s">
        <v>866</v>
      </c>
      <c r="B204" s="68" t="s">
        <v>856</v>
      </c>
      <c r="C204" s="68" t="s">
        <v>857</v>
      </c>
      <c r="D204" s="68" t="str">
        <f t="shared" si="3"/>
        <v>Senendet</v>
      </c>
      <c r="F204" s="68">
        <v>191</v>
      </c>
    </row>
    <row r="205" spans="1:6">
      <c r="A205" s="68" t="s">
        <v>867</v>
      </c>
      <c r="B205" s="68" t="s">
        <v>856</v>
      </c>
      <c r="C205" s="68" t="s">
        <v>857</v>
      </c>
      <c r="D205" s="68" t="str">
        <f t="shared" si="3"/>
        <v>Suam</v>
      </c>
      <c r="F205" s="68">
        <v>192</v>
      </c>
    </row>
    <row r="206" spans="1:6">
      <c r="A206" s="68" t="s">
        <v>868</v>
      </c>
      <c r="B206" s="68" t="s">
        <v>856</v>
      </c>
      <c r="C206" s="68" t="s">
        <v>857</v>
      </c>
      <c r="D206" s="68" t="str">
        <f t="shared" si="3"/>
        <v>Tulel</v>
      </c>
      <c r="F206" s="68">
        <v>193</v>
      </c>
    </row>
    <row r="207" spans="1:6">
      <c r="A207" s="68" t="s">
        <v>869</v>
      </c>
      <c r="B207" s="68" t="s">
        <v>870</v>
      </c>
      <c r="C207" s="68" t="s">
        <v>870</v>
      </c>
      <c r="D207" s="68" t="str">
        <f t="shared" si="3"/>
        <v>Buginyanya</v>
      </c>
      <c r="F207" s="68">
        <v>194</v>
      </c>
    </row>
    <row r="208" spans="1:6">
      <c r="A208" s="68" t="s">
        <v>871</v>
      </c>
      <c r="B208" s="68" t="s">
        <v>870</v>
      </c>
      <c r="C208" s="68" t="s">
        <v>870</v>
      </c>
      <c r="D208" s="68" t="str">
        <f t="shared" si="3"/>
        <v>Bukhalu</v>
      </c>
      <c r="F208" s="68">
        <v>195</v>
      </c>
    </row>
    <row r="209" spans="1:6">
      <c r="A209" s="68" t="s">
        <v>872</v>
      </c>
      <c r="B209" s="68" t="s">
        <v>870</v>
      </c>
      <c r="C209" s="68" t="s">
        <v>870</v>
      </c>
      <c r="D209" s="68" t="str">
        <f t="shared" si="3"/>
        <v>Bulaago</v>
      </c>
      <c r="F209" s="68">
        <v>196</v>
      </c>
    </row>
    <row r="210" spans="1:6">
      <c r="A210" s="68" t="s">
        <v>873</v>
      </c>
      <c r="B210" s="68" t="s">
        <v>870</v>
      </c>
      <c r="C210" s="68" t="s">
        <v>870</v>
      </c>
      <c r="D210" s="68" t="str">
        <f t="shared" si="3"/>
        <v>Bulambuli Town Council</v>
      </c>
      <c r="F210" s="68">
        <v>197</v>
      </c>
    </row>
    <row r="211" spans="1:6">
      <c r="A211" s="68" t="s">
        <v>874</v>
      </c>
      <c r="B211" s="68" t="s">
        <v>870</v>
      </c>
      <c r="C211" s="68" t="s">
        <v>870</v>
      </c>
      <c r="D211" s="68" t="str">
        <f t="shared" si="3"/>
        <v>Bulegeni</v>
      </c>
      <c r="F211" s="68">
        <v>198</v>
      </c>
    </row>
    <row r="212" spans="1:6">
      <c r="A212" s="68" t="s">
        <v>875</v>
      </c>
      <c r="B212" s="68" t="s">
        <v>870</v>
      </c>
      <c r="C212" s="68" t="s">
        <v>870</v>
      </c>
      <c r="D212" s="68" t="str">
        <f t="shared" si="3"/>
        <v>Bulegeni Town Council</v>
      </c>
      <c r="F212" s="68">
        <v>199</v>
      </c>
    </row>
    <row r="213" spans="1:6">
      <c r="A213" s="68" t="s">
        <v>876</v>
      </c>
      <c r="B213" s="68" t="s">
        <v>870</v>
      </c>
      <c r="C213" s="68" t="s">
        <v>870</v>
      </c>
      <c r="D213" s="68" t="str">
        <f t="shared" si="3"/>
        <v>Buluganya</v>
      </c>
      <c r="F213" s="68">
        <v>200</v>
      </c>
    </row>
    <row r="214" spans="1:6">
      <c r="A214" s="68" t="s">
        <v>877</v>
      </c>
      <c r="B214" s="68" t="s">
        <v>870</v>
      </c>
      <c r="C214" s="68" t="s">
        <v>870</v>
      </c>
      <c r="D214" s="68" t="str">
        <f t="shared" si="3"/>
        <v>Bumasobo</v>
      </c>
      <c r="F214" s="68">
        <v>201</v>
      </c>
    </row>
    <row r="215" spans="1:6">
      <c r="A215" s="68" t="s">
        <v>878</v>
      </c>
      <c r="B215" s="68" t="s">
        <v>870</v>
      </c>
      <c r="C215" s="68" t="s">
        <v>870</v>
      </c>
      <c r="D215" s="68" t="str">
        <f t="shared" si="3"/>
        <v>Bumugibole</v>
      </c>
      <c r="F215" s="68">
        <v>202</v>
      </c>
    </row>
    <row r="216" spans="1:6">
      <c r="A216" s="68" t="s">
        <v>879</v>
      </c>
      <c r="B216" s="68" t="s">
        <v>870</v>
      </c>
      <c r="C216" s="68" t="s">
        <v>870</v>
      </c>
      <c r="D216" s="68" t="str">
        <f t="shared" si="3"/>
        <v>Bunambutye</v>
      </c>
      <c r="F216" s="68">
        <v>203</v>
      </c>
    </row>
    <row r="217" spans="1:6">
      <c r="A217" s="68" t="s">
        <v>880</v>
      </c>
      <c r="B217" s="68" t="s">
        <v>870</v>
      </c>
      <c r="C217" s="68" t="s">
        <v>870</v>
      </c>
      <c r="D217" s="68" t="str">
        <f t="shared" si="3"/>
        <v>Bwikhonge</v>
      </c>
      <c r="F217" s="68">
        <v>204</v>
      </c>
    </row>
    <row r="218" spans="1:6">
      <c r="A218" s="68" t="s">
        <v>881</v>
      </c>
      <c r="B218" s="68" t="s">
        <v>870</v>
      </c>
      <c r="C218" s="68" t="s">
        <v>870</v>
      </c>
      <c r="D218" s="68" t="str">
        <f t="shared" si="3"/>
        <v>Kamu</v>
      </c>
      <c r="F218" s="68">
        <v>205</v>
      </c>
    </row>
    <row r="219" spans="1:6">
      <c r="A219" s="68" t="s">
        <v>882</v>
      </c>
      <c r="B219" s="68" t="s">
        <v>870</v>
      </c>
      <c r="C219" s="68" t="s">
        <v>870</v>
      </c>
      <c r="D219" s="68" t="str">
        <f t="shared" si="3"/>
        <v>Lusha</v>
      </c>
      <c r="F219" s="68">
        <v>206</v>
      </c>
    </row>
    <row r="220" spans="1:6">
      <c r="A220" s="68" t="s">
        <v>883</v>
      </c>
      <c r="B220" s="68" t="s">
        <v>870</v>
      </c>
      <c r="C220" s="68" t="s">
        <v>870</v>
      </c>
      <c r="D220" s="68" t="str">
        <f t="shared" si="3"/>
        <v>Masiira</v>
      </c>
      <c r="F220" s="68">
        <v>207</v>
      </c>
    </row>
    <row r="221" spans="1:6">
      <c r="A221" s="68" t="s">
        <v>884</v>
      </c>
      <c r="B221" s="68" t="s">
        <v>870</v>
      </c>
      <c r="C221" s="68" t="s">
        <v>870</v>
      </c>
      <c r="D221" s="68" t="str">
        <f t="shared" si="3"/>
        <v>Muyembe</v>
      </c>
      <c r="F221" s="68">
        <v>208</v>
      </c>
    </row>
    <row r="222" spans="1:6">
      <c r="A222" s="68" t="s">
        <v>885</v>
      </c>
      <c r="B222" s="68" t="s">
        <v>870</v>
      </c>
      <c r="C222" s="68" t="s">
        <v>870</v>
      </c>
      <c r="D222" s="68" t="str">
        <f t="shared" si="3"/>
        <v>Nabbongo</v>
      </c>
      <c r="F222" s="68">
        <v>209</v>
      </c>
    </row>
    <row r="223" spans="1:6">
      <c r="A223" s="68" t="s">
        <v>886</v>
      </c>
      <c r="B223" s="68" t="s">
        <v>870</v>
      </c>
      <c r="C223" s="68" t="s">
        <v>870</v>
      </c>
      <c r="D223" s="68" t="str">
        <f t="shared" si="3"/>
        <v>Namisuni</v>
      </c>
      <c r="F223" s="68">
        <v>210</v>
      </c>
    </row>
    <row r="224" spans="1:6">
      <c r="A224" s="68" t="s">
        <v>887</v>
      </c>
      <c r="B224" s="68" t="s">
        <v>870</v>
      </c>
      <c r="C224" s="68" t="s">
        <v>870</v>
      </c>
      <c r="D224" s="68" t="str">
        <f t="shared" si="3"/>
        <v>Simu</v>
      </c>
      <c r="F224" s="68">
        <v>211</v>
      </c>
    </row>
    <row r="225" spans="1:6">
      <c r="A225" s="68" t="s">
        <v>888</v>
      </c>
      <c r="B225" s="68" t="s">
        <v>870</v>
      </c>
      <c r="C225" s="68" t="s">
        <v>870</v>
      </c>
      <c r="D225" s="68" t="str">
        <f t="shared" si="3"/>
        <v>Sisiyi</v>
      </c>
      <c r="F225" s="68">
        <v>212</v>
      </c>
    </row>
    <row r="226" spans="1:6">
      <c r="A226" s="68" t="s">
        <v>889</v>
      </c>
      <c r="B226" s="68" t="s">
        <v>890</v>
      </c>
      <c r="C226" s="68" t="s">
        <v>890</v>
      </c>
      <c r="D226" s="68" t="str">
        <f t="shared" si="3"/>
        <v>Biiso</v>
      </c>
      <c r="F226" s="68">
        <v>213</v>
      </c>
    </row>
    <row r="227" spans="1:6">
      <c r="A227" s="68" t="s">
        <v>890</v>
      </c>
      <c r="B227" s="68" t="s">
        <v>890</v>
      </c>
      <c r="C227" s="68" t="s">
        <v>890</v>
      </c>
      <c r="D227" s="68" t="str">
        <f t="shared" si="3"/>
        <v>Buliisa</v>
      </c>
      <c r="F227" s="68">
        <v>214</v>
      </c>
    </row>
    <row r="228" spans="1:6">
      <c r="A228" s="68" t="s">
        <v>891</v>
      </c>
      <c r="B228" s="68" t="s">
        <v>890</v>
      </c>
      <c r="C228" s="68" t="s">
        <v>890</v>
      </c>
      <c r="D228" s="68" t="str">
        <f t="shared" si="3"/>
        <v>Buliisa Town Council</v>
      </c>
      <c r="F228" s="68">
        <v>215</v>
      </c>
    </row>
    <row r="229" spans="1:6">
      <c r="A229" s="68" t="s">
        <v>892</v>
      </c>
      <c r="B229" s="68" t="s">
        <v>890</v>
      </c>
      <c r="C229" s="68" t="s">
        <v>890</v>
      </c>
      <c r="D229" s="68" t="str">
        <f t="shared" si="3"/>
        <v>Butiaba</v>
      </c>
      <c r="F229" s="68">
        <v>216</v>
      </c>
    </row>
    <row r="230" spans="1:6">
      <c r="A230" s="68" t="s">
        <v>893</v>
      </c>
      <c r="B230" s="68" t="s">
        <v>890</v>
      </c>
      <c r="C230" s="68" t="s">
        <v>890</v>
      </c>
      <c r="D230" s="68" t="str">
        <f t="shared" si="3"/>
        <v>Kigwera</v>
      </c>
      <c r="F230" s="68">
        <v>217</v>
      </c>
    </row>
    <row r="231" spans="1:6">
      <c r="A231" s="68" t="s">
        <v>894</v>
      </c>
      <c r="B231" s="68" t="s">
        <v>890</v>
      </c>
      <c r="C231" s="68" t="s">
        <v>890</v>
      </c>
      <c r="D231" s="68" t="str">
        <f t="shared" si="3"/>
        <v>Kihungya</v>
      </c>
      <c r="F231" s="68">
        <v>218</v>
      </c>
    </row>
    <row r="232" spans="1:6">
      <c r="A232" s="68" t="s">
        <v>895</v>
      </c>
      <c r="B232" s="68" t="s">
        <v>890</v>
      </c>
      <c r="C232" s="68" t="s">
        <v>890</v>
      </c>
      <c r="D232" s="68" t="str">
        <f t="shared" si="3"/>
        <v>Ngwedo</v>
      </c>
      <c r="F232" s="68">
        <v>219</v>
      </c>
    </row>
    <row r="233" spans="1:6">
      <c r="A233" s="68" t="s">
        <v>896</v>
      </c>
      <c r="B233" s="68" t="s">
        <v>897</v>
      </c>
      <c r="C233" s="68" t="s">
        <v>898</v>
      </c>
      <c r="D233" s="68" t="str">
        <f t="shared" si="3"/>
        <v>Bubandi</v>
      </c>
      <c r="F233" s="68">
        <v>220</v>
      </c>
    </row>
    <row r="234" spans="1:6">
      <c r="A234" s="68" t="s">
        <v>899</v>
      </c>
      <c r="B234" s="68" t="s">
        <v>897</v>
      </c>
      <c r="C234" s="68" t="s">
        <v>898</v>
      </c>
      <c r="D234" s="68" t="str">
        <f t="shared" si="3"/>
        <v>Bubukwanga</v>
      </c>
      <c r="F234" s="68">
        <v>221</v>
      </c>
    </row>
    <row r="235" spans="1:6">
      <c r="A235" s="68" t="s">
        <v>900</v>
      </c>
      <c r="B235" s="68" t="s">
        <v>897</v>
      </c>
      <c r="C235" s="68" t="s">
        <v>901</v>
      </c>
      <c r="D235" s="68" t="str">
        <f t="shared" si="3"/>
        <v>Bukonzo</v>
      </c>
      <c r="F235" s="68">
        <v>222</v>
      </c>
    </row>
    <row r="236" spans="1:6">
      <c r="A236" s="68" t="s">
        <v>902</v>
      </c>
      <c r="B236" s="68" t="s">
        <v>897</v>
      </c>
      <c r="C236" s="68" t="s">
        <v>898</v>
      </c>
      <c r="D236" s="68" t="str">
        <f t="shared" si="3"/>
        <v>Bundibugyo Town Council</v>
      </c>
      <c r="F236" s="68">
        <v>223</v>
      </c>
    </row>
    <row r="237" spans="1:6">
      <c r="A237" s="68" t="s">
        <v>903</v>
      </c>
      <c r="B237" s="68" t="s">
        <v>897</v>
      </c>
      <c r="C237" s="68" t="s">
        <v>898</v>
      </c>
      <c r="D237" s="68" t="str">
        <f t="shared" si="3"/>
        <v>Bundingoma</v>
      </c>
      <c r="F237" s="68">
        <v>224</v>
      </c>
    </row>
    <row r="238" spans="1:6">
      <c r="A238" s="68" t="s">
        <v>904</v>
      </c>
      <c r="B238" s="68" t="s">
        <v>897</v>
      </c>
      <c r="C238" s="68" t="s">
        <v>901</v>
      </c>
      <c r="D238" s="68" t="str">
        <f t="shared" si="3"/>
        <v>Burondo</v>
      </c>
      <c r="F238" s="68">
        <v>225</v>
      </c>
    </row>
    <row r="239" spans="1:6">
      <c r="A239" s="68" t="s">
        <v>905</v>
      </c>
      <c r="B239" s="68" t="s">
        <v>897</v>
      </c>
      <c r="C239" s="68" t="s">
        <v>898</v>
      </c>
      <c r="D239" s="68" t="str">
        <f t="shared" si="3"/>
        <v>Busaru</v>
      </c>
      <c r="F239" s="68">
        <v>226</v>
      </c>
    </row>
    <row r="240" spans="1:6">
      <c r="A240" s="68" t="s">
        <v>906</v>
      </c>
      <c r="B240" s="68" t="s">
        <v>897</v>
      </c>
      <c r="C240" s="68" t="s">
        <v>901</v>
      </c>
      <c r="D240" s="68" t="str">
        <f t="shared" si="3"/>
        <v>Harugale</v>
      </c>
      <c r="F240" s="68">
        <v>227</v>
      </c>
    </row>
    <row r="241" spans="1:6">
      <c r="A241" s="68" t="s">
        <v>907</v>
      </c>
      <c r="B241" s="68" t="s">
        <v>897</v>
      </c>
      <c r="C241" s="68" t="s">
        <v>901</v>
      </c>
      <c r="D241" s="68" t="str">
        <f t="shared" si="3"/>
        <v>Kagugu</v>
      </c>
      <c r="F241" s="68">
        <v>228</v>
      </c>
    </row>
    <row r="242" spans="1:6">
      <c r="A242" s="68" t="s">
        <v>908</v>
      </c>
      <c r="B242" s="68" t="s">
        <v>897</v>
      </c>
      <c r="C242" s="68" t="s">
        <v>901</v>
      </c>
      <c r="D242" s="68" t="str">
        <f t="shared" si="3"/>
        <v>Kasitu</v>
      </c>
      <c r="F242" s="68">
        <v>229</v>
      </c>
    </row>
    <row r="243" spans="1:6">
      <c r="A243" s="68" t="s">
        <v>909</v>
      </c>
      <c r="B243" s="68" t="s">
        <v>897</v>
      </c>
      <c r="C243" s="68" t="s">
        <v>898</v>
      </c>
      <c r="D243" s="68" t="str">
        <f t="shared" si="3"/>
        <v>Kirumya</v>
      </c>
      <c r="F243" s="68">
        <v>230</v>
      </c>
    </row>
    <row r="244" spans="1:6">
      <c r="A244" s="68" t="s">
        <v>910</v>
      </c>
      <c r="B244" s="68" t="s">
        <v>897</v>
      </c>
      <c r="C244" s="68" t="s">
        <v>898</v>
      </c>
      <c r="D244" s="68" t="str">
        <f t="shared" si="3"/>
        <v>Kisubba</v>
      </c>
      <c r="F244" s="68">
        <v>231</v>
      </c>
    </row>
    <row r="245" spans="1:6">
      <c r="A245" s="68" t="s">
        <v>911</v>
      </c>
      <c r="B245" s="68" t="s">
        <v>897</v>
      </c>
      <c r="C245" s="68" t="s">
        <v>898</v>
      </c>
      <c r="D245" s="68" t="str">
        <f t="shared" si="3"/>
        <v>Mirambi</v>
      </c>
      <c r="F245" s="68">
        <v>232</v>
      </c>
    </row>
    <row r="246" spans="1:6">
      <c r="A246" s="68" t="s">
        <v>912</v>
      </c>
      <c r="B246" s="68" t="s">
        <v>897</v>
      </c>
      <c r="C246" s="68" t="s">
        <v>901</v>
      </c>
      <c r="D246" s="68" t="str">
        <f t="shared" si="3"/>
        <v>Nduguto</v>
      </c>
      <c r="F246" s="68">
        <v>233</v>
      </c>
    </row>
    <row r="247" spans="1:6">
      <c r="A247" s="68" t="s">
        <v>913</v>
      </c>
      <c r="B247" s="68" t="s">
        <v>897</v>
      </c>
      <c r="C247" s="68" t="s">
        <v>901</v>
      </c>
      <c r="D247" s="68" t="str">
        <f t="shared" si="3"/>
        <v>Ngamba</v>
      </c>
      <c r="F247" s="68">
        <v>234</v>
      </c>
    </row>
    <row r="248" spans="1:6">
      <c r="A248" s="68" t="s">
        <v>914</v>
      </c>
      <c r="B248" s="68" t="s">
        <v>897</v>
      </c>
      <c r="C248" s="68" t="s">
        <v>901</v>
      </c>
      <c r="D248" s="68" t="str">
        <f t="shared" si="3"/>
        <v>Ntandi Town Council</v>
      </c>
      <c r="F248" s="68">
        <v>235</v>
      </c>
    </row>
    <row r="249" spans="1:6">
      <c r="A249" s="68" t="s">
        <v>915</v>
      </c>
      <c r="B249" s="68" t="s">
        <v>897</v>
      </c>
      <c r="C249" s="68" t="s">
        <v>901</v>
      </c>
      <c r="D249" s="68" t="str">
        <f t="shared" si="3"/>
        <v>Ntotoro</v>
      </c>
      <c r="F249" s="68">
        <v>236</v>
      </c>
    </row>
    <row r="250" spans="1:6">
      <c r="A250" s="68" t="s">
        <v>916</v>
      </c>
      <c r="B250" s="68" t="s">
        <v>897</v>
      </c>
      <c r="C250" s="68" t="s">
        <v>898</v>
      </c>
      <c r="D250" s="68" t="str">
        <f t="shared" si="3"/>
        <v>Nyahuka Town Council</v>
      </c>
      <c r="F250" s="68">
        <v>237</v>
      </c>
    </row>
    <row r="251" spans="1:6">
      <c r="A251" s="68" t="s">
        <v>917</v>
      </c>
      <c r="B251" s="68" t="s">
        <v>897</v>
      </c>
      <c r="C251" s="68" t="s">
        <v>901</v>
      </c>
      <c r="D251" s="68" t="str">
        <f t="shared" si="3"/>
        <v>Sindila</v>
      </c>
      <c r="F251" s="68">
        <v>238</v>
      </c>
    </row>
    <row r="252" spans="1:6">
      <c r="A252" s="68" t="s">
        <v>918</v>
      </c>
      <c r="B252" s="68" t="s">
        <v>897</v>
      </c>
      <c r="C252" s="68" t="s">
        <v>898</v>
      </c>
      <c r="D252" s="68" t="str">
        <f t="shared" si="3"/>
        <v>Tokwe</v>
      </c>
      <c r="F252" s="68">
        <v>239</v>
      </c>
    </row>
    <row r="253" spans="1:6">
      <c r="A253" s="68" t="s">
        <v>919</v>
      </c>
      <c r="B253" s="68" t="s">
        <v>920</v>
      </c>
      <c r="C253" s="68" t="s">
        <v>920</v>
      </c>
      <c r="D253" s="68" t="str">
        <f t="shared" si="3"/>
        <v>Buheesi</v>
      </c>
      <c r="F253" s="68">
        <v>240</v>
      </c>
    </row>
    <row r="254" spans="1:6">
      <c r="A254" s="68" t="s">
        <v>921</v>
      </c>
      <c r="B254" s="68" t="s">
        <v>920</v>
      </c>
      <c r="C254" s="68" t="s">
        <v>920</v>
      </c>
      <c r="D254" s="68" t="str">
        <f t="shared" si="3"/>
        <v>Buheesi Town Council</v>
      </c>
      <c r="F254" s="68">
        <v>241</v>
      </c>
    </row>
    <row r="255" spans="1:6">
      <c r="A255" s="68" t="s">
        <v>922</v>
      </c>
      <c r="B255" s="68" t="s">
        <v>920</v>
      </c>
      <c r="C255" s="68" t="s">
        <v>920</v>
      </c>
      <c r="D255" s="68" t="str">
        <f t="shared" si="3"/>
        <v>Kabonero</v>
      </c>
      <c r="F255" s="68">
        <v>242</v>
      </c>
    </row>
    <row r="256" spans="1:6">
      <c r="A256" s="68" t="s">
        <v>923</v>
      </c>
      <c r="B256" s="68" t="s">
        <v>920</v>
      </c>
      <c r="C256" s="68" t="s">
        <v>920</v>
      </c>
      <c r="D256" s="68" t="str">
        <f t="shared" si="3"/>
        <v>Katebwa</v>
      </c>
      <c r="F256" s="68">
        <v>243</v>
      </c>
    </row>
    <row r="257" spans="1:6">
      <c r="A257" s="68" t="s">
        <v>924</v>
      </c>
      <c r="B257" s="68" t="s">
        <v>920</v>
      </c>
      <c r="C257" s="68" t="s">
        <v>920</v>
      </c>
      <c r="D257" s="68" t="str">
        <f t="shared" si="3"/>
        <v>Kibiito</v>
      </c>
      <c r="F257" s="68">
        <v>244</v>
      </c>
    </row>
    <row r="258" spans="1:6">
      <c r="A258" s="68" t="s">
        <v>925</v>
      </c>
      <c r="B258" s="68" t="s">
        <v>920</v>
      </c>
      <c r="C258" s="68" t="s">
        <v>920</v>
      </c>
      <c r="D258" s="68" t="str">
        <f t="shared" ref="D258:D321" si="4">A258</f>
        <v>Kibiito Town Council</v>
      </c>
      <c r="F258" s="68">
        <v>245</v>
      </c>
    </row>
    <row r="259" spans="1:6">
      <c r="A259" s="68" t="s">
        <v>926</v>
      </c>
      <c r="B259" s="68" t="s">
        <v>920</v>
      </c>
      <c r="C259" s="68" t="s">
        <v>920</v>
      </c>
      <c r="D259" s="68" t="str">
        <f t="shared" si="4"/>
        <v>Kisomoro</v>
      </c>
      <c r="F259" s="68">
        <v>246</v>
      </c>
    </row>
    <row r="260" spans="1:6">
      <c r="A260" s="68" t="s">
        <v>927</v>
      </c>
      <c r="B260" s="68" t="s">
        <v>920</v>
      </c>
      <c r="C260" s="68" t="s">
        <v>920</v>
      </c>
      <c r="D260" s="68" t="str">
        <f t="shared" si="4"/>
        <v>Kyamukube Town Council</v>
      </c>
      <c r="F260" s="68">
        <v>247</v>
      </c>
    </row>
    <row r="261" spans="1:6">
      <c r="A261" s="68" t="s">
        <v>928</v>
      </c>
      <c r="B261" s="68" t="s">
        <v>920</v>
      </c>
      <c r="C261" s="68" t="s">
        <v>920</v>
      </c>
      <c r="D261" s="68" t="str">
        <f t="shared" si="4"/>
        <v>Rubona Town Council</v>
      </c>
      <c r="F261" s="68">
        <v>248</v>
      </c>
    </row>
    <row r="262" spans="1:6">
      <c r="A262" s="68" t="s">
        <v>929</v>
      </c>
      <c r="B262" s="68" t="s">
        <v>920</v>
      </c>
      <c r="C262" s="68" t="s">
        <v>920</v>
      </c>
      <c r="D262" s="68" t="str">
        <f t="shared" si="4"/>
        <v>Rwimi</v>
      </c>
      <c r="F262" s="68">
        <v>249</v>
      </c>
    </row>
    <row r="263" spans="1:6">
      <c r="A263" s="68" t="s">
        <v>930</v>
      </c>
      <c r="B263" s="68" t="s">
        <v>920</v>
      </c>
      <c r="C263" s="68" t="s">
        <v>920</v>
      </c>
      <c r="D263" s="68" t="str">
        <f t="shared" si="4"/>
        <v>Rwimi Town Council</v>
      </c>
      <c r="F263" s="68">
        <v>250</v>
      </c>
    </row>
    <row r="264" spans="1:6">
      <c r="A264" s="68" t="s">
        <v>931</v>
      </c>
      <c r="B264" s="68" t="s">
        <v>38</v>
      </c>
      <c r="C264" s="68" t="s">
        <v>932</v>
      </c>
      <c r="D264" s="68" t="str">
        <f t="shared" si="4"/>
        <v>Bitooma</v>
      </c>
      <c r="F264" s="68">
        <v>251</v>
      </c>
    </row>
    <row r="265" spans="1:6">
      <c r="A265" s="68" t="s">
        <v>933</v>
      </c>
      <c r="B265" s="68" t="s">
        <v>38</v>
      </c>
      <c r="C265" s="68" t="s">
        <v>932</v>
      </c>
      <c r="D265" s="68" t="str">
        <f t="shared" si="4"/>
        <v>Bumbaire</v>
      </c>
      <c r="F265" s="68">
        <v>252</v>
      </c>
    </row>
    <row r="266" spans="1:6">
      <c r="A266" s="68" t="s">
        <v>934</v>
      </c>
      <c r="B266" s="68" t="s">
        <v>38</v>
      </c>
      <c r="C266" s="68" t="s">
        <v>934</v>
      </c>
      <c r="D266" s="68" t="str">
        <f t="shared" si="4"/>
        <v>Bushenyi-Ishaka Municipality</v>
      </c>
      <c r="F266" s="68">
        <v>253</v>
      </c>
    </row>
    <row r="267" spans="1:6">
      <c r="A267" s="68" t="s">
        <v>479</v>
      </c>
      <c r="D267" s="68" t="str">
        <f t="shared" si="4"/>
        <v>BUSHENYI</v>
      </c>
      <c r="F267" s="68">
        <v>253</v>
      </c>
    </row>
    <row r="268" spans="1:6">
      <c r="A268" s="68" t="s">
        <v>478</v>
      </c>
      <c r="D268" s="68" t="str">
        <f t="shared" si="4"/>
        <v>BUSHENYI TOWN</v>
      </c>
      <c r="F268" s="68">
        <v>253</v>
      </c>
    </row>
    <row r="269" spans="1:6">
      <c r="A269" s="68" t="s">
        <v>935</v>
      </c>
      <c r="D269" s="68" t="str">
        <f t="shared" si="4"/>
        <v>KYAMUNWUGA</v>
      </c>
      <c r="F269" s="68">
        <v>253</v>
      </c>
    </row>
    <row r="270" spans="1:6">
      <c r="A270" s="68" t="s">
        <v>936</v>
      </c>
      <c r="D270" s="68" t="str">
        <f t="shared" si="4"/>
        <v>ISHAKA</v>
      </c>
      <c r="F270" s="68">
        <v>253</v>
      </c>
    </row>
    <row r="271" spans="1:6">
      <c r="A271" s="68" t="s">
        <v>937</v>
      </c>
      <c r="D271" s="68" t="str">
        <f t="shared" si="4"/>
        <v>BWERENYANGI</v>
      </c>
      <c r="F271" s="68">
        <v>253</v>
      </c>
    </row>
    <row r="272" spans="1:6">
      <c r="A272" s="68" t="s">
        <v>938</v>
      </c>
      <c r="D272" s="68" t="str">
        <f t="shared" si="4"/>
        <v>Munyonyi</v>
      </c>
      <c r="F272" s="68">
        <v>253</v>
      </c>
    </row>
    <row r="273" spans="1:6">
      <c r="A273" s="68" t="s">
        <v>939</v>
      </c>
      <c r="B273" s="68" t="s">
        <v>38</v>
      </c>
      <c r="C273" s="68" t="s">
        <v>932</v>
      </c>
      <c r="D273" s="68" t="str">
        <f t="shared" si="4"/>
        <v>Ibaare</v>
      </c>
      <c r="F273" s="68">
        <v>254</v>
      </c>
    </row>
    <row r="274" spans="1:6">
      <c r="A274" s="68" t="s">
        <v>940</v>
      </c>
      <c r="B274" s="68" t="s">
        <v>38</v>
      </c>
      <c r="C274" s="68" t="s">
        <v>932</v>
      </c>
      <c r="D274" s="68" t="str">
        <f t="shared" si="4"/>
        <v>Kakanju</v>
      </c>
      <c r="F274" s="68">
        <v>255</v>
      </c>
    </row>
    <row r="275" spans="1:6">
      <c r="A275" s="68" t="s">
        <v>941</v>
      </c>
      <c r="B275" s="68" t="s">
        <v>38</v>
      </c>
      <c r="C275" s="68" t="s">
        <v>932</v>
      </c>
      <c r="D275" s="68" t="str">
        <f t="shared" si="4"/>
        <v>Kyabugimbi</v>
      </c>
      <c r="F275" s="68">
        <v>256</v>
      </c>
    </row>
    <row r="276" spans="1:6">
      <c r="A276" s="68" t="s">
        <v>51</v>
      </c>
      <c r="B276" s="68" t="s">
        <v>38</v>
      </c>
      <c r="C276" s="68" t="s">
        <v>932</v>
      </c>
      <c r="D276" s="68" t="str">
        <f t="shared" si="4"/>
        <v>Kyamuhunga</v>
      </c>
      <c r="F276" s="68">
        <v>257</v>
      </c>
    </row>
    <row r="277" spans="1:6">
      <c r="A277" s="68" t="s">
        <v>942</v>
      </c>
      <c r="B277" s="68" t="s">
        <v>38</v>
      </c>
      <c r="C277" s="68" t="s">
        <v>932</v>
      </c>
      <c r="D277" s="68" t="str">
        <f t="shared" si="4"/>
        <v>Kyamuhunga Town Council</v>
      </c>
      <c r="F277" s="68">
        <v>258</v>
      </c>
    </row>
    <row r="278" spans="1:6">
      <c r="A278" s="68" t="s">
        <v>943</v>
      </c>
      <c r="B278" s="68" t="s">
        <v>38</v>
      </c>
      <c r="C278" s="68" t="s">
        <v>932</v>
      </c>
      <c r="D278" s="68" t="str">
        <f t="shared" si="4"/>
        <v>Kyeizooba</v>
      </c>
      <c r="F278" s="68">
        <v>259</v>
      </c>
    </row>
    <row r="279" spans="1:6">
      <c r="A279" s="68" t="s">
        <v>944</v>
      </c>
      <c r="B279" s="68" t="s">
        <v>38</v>
      </c>
      <c r="C279" s="68" t="s">
        <v>932</v>
      </c>
      <c r="D279" s="68" t="str">
        <f t="shared" si="4"/>
        <v>Nyabubare</v>
      </c>
      <c r="F279" s="68">
        <v>260</v>
      </c>
    </row>
    <row r="280" spans="1:6">
      <c r="A280" s="68" t="s">
        <v>945</v>
      </c>
      <c r="B280" s="68" t="s">
        <v>38</v>
      </c>
      <c r="C280" s="68" t="s">
        <v>932</v>
      </c>
      <c r="D280" s="68" t="str">
        <f t="shared" si="4"/>
        <v>Ruhumuro</v>
      </c>
      <c r="F280" s="68">
        <v>261</v>
      </c>
    </row>
    <row r="281" spans="1:6">
      <c r="A281" s="68" t="s">
        <v>946</v>
      </c>
      <c r="B281" s="68" t="s">
        <v>947</v>
      </c>
      <c r="C281" s="68" t="s">
        <v>948</v>
      </c>
      <c r="D281" s="68" t="str">
        <f t="shared" si="4"/>
        <v>Buhehe</v>
      </c>
      <c r="F281" s="68">
        <v>262</v>
      </c>
    </row>
    <row r="282" spans="1:6">
      <c r="A282" s="68" t="s">
        <v>949</v>
      </c>
      <c r="B282" s="68" t="s">
        <v>947</v>
      </c>
      <c r="C282" s="68" t="s">
        <v>948</v>
      </c>
      <c r="D282" s="68" t="str">
        <f t="shared" si="4"/>
        <v>Bulumbi</v>
      </c>
      <c r="F282" s="68">
        <v>263</v>
      </c>
    </row>
    <row r="283" spans="1:6">
      <c r="A283" s="68" t="s">
        <v>950</v>
      </c>
      <c r="B283" s="68" t="s">
        <v>947</v>
      </c>
      <c r="C283" s="68" t="s">
        <v>950</v>
      </c>
      <c r="D283" s="68" t="str">
        <f t="shared" si="4"/>
        <v>Busia Municipality</v>
      </c>
      <c r="F283" s="68">
        <v>264</v>
      </c>
    </row>
    <row r="284" spans="1:6">
      <c r="A284" s="68" t="s">
        <v>951</v>
      </c>
      <c r="D284" s="68" t="str">
        <f t="shared" si="4"/>
        <v>Busia town</v>
      </c>
      <c r="F284" s="68">
        <v>264</v>
      </c>
    </row>
    <row r="285" spans="1:6">
      <c r="A285" s="68" t="s">
        <v>952</v>
      </c>
      <c r="B285" s="68" t="s">
        <v>947</v>
      </c>
      <c r="C285" s="68" t="s">
        <v>948</v>
      </c>
      <c r="D285" s="68" t="str">
        <f t="shared" si="4"/>
        <v>Busime</v>
      </c>
      <c r="F285" s="68">
        <v>265</v>
      </c>
    </row>
    <row r="286" spans="1:6">
      <c r="A286" s="68" t="s">
        <v>953</v>
      </c>
      <c r="B286" s="68" t="s">
        <v>947</v>
      </c>
      <c r="C286" s="68" t="s">
        <v>948</v>
      </c>
      <c r="D286" s="68" t="str">
        <f t="shared" si="4"/>
        <v>Busitema</v>
      </c>
      <c r="F286" s="68">
        <v>266</v>
      </c>
    </row>
    <row r="287" spans="1:6">
      <c r="A287" s="68" t="s">
        <v>954</v>
      </c>
      <c r="B287" s="68" t="s">
        <v>947</v>
      </c>
      <c r="C287" s="68" t="s">
        <v>948</v>
      </c>
      <c r="D287" s="68" t="str">
        <f t="shared" si="4"/>
        <v>Buteba</v>
      </c>
      <c r="F287" s="68">
        <v>267</v>
      </c>
    </row>
    <row r="288" spans="1:6">
      <c r="A288" s="68" t="s">
        <v>955</v>
      </c>
      <c r="B288" s="68" t="s">
        <v>947</v>
      </c>
      <c r="C288" s="68" t="s">
        <v>948</v>
      </c>
      <c r="D288" s="68" t="str">
        <f t="shared" si="4"/>
        <v>Buyanga-Busia</v>
      </c>
      <c r="F288" s="68">
        <v>268</v>
      </c>
    </row>
    <row r="289" spans="1:6">
      <c r="A289" s="68" t="s">
        <v>956</v>
      </c>
      <c r="B289" s="68" t="s">
        <v>947</v>
      </c>
      <c r="C289" s="68" t="s">
        <v>948</v>
      </c>
      <c r="D289" s="68" t="str">
        <f t="shared" si="4"/>
        <v>Dabani</v>
      </c>
      <c r="F289" s="68">
        <v>269</v>
      </c>
    </row>
    <row r="290" spans="1:6">
      <c r="A290" s="68" t="s">
        <v>957</v>
      </c>
      <c r="B290" s="68" t="s">
        <v>947</v>
      </c>
      <c r="C290" s="68" t="s">
        <v>948</v>
      </c>
      <c r="D290" s="68" t="str">
        <f t="shared" si="4"/>
        <v>Lumino</v>
      </c>
      <c r="F290" s="68">
        <v>270</v>
      </c>
    </row>
    <row r="291" spans="1:6">
      <c r="A291" s="68" t="s">
        <v>958</v>
      </c>
      <c r="B291" s="68" t="s">
        <v>947</v>
      </c>
      <c r="C291" s="68" t="s">
        <v>948</v>
      </c>
      <c r="D291" s="68" t="str">
        <f t="shared" si="4"/>
        <v>Lunyo</v>
      </c>
      <c r="F291" s="68">
        <v>271</v>
      </c>
    </row>
    <row r="292" spans="1:6">
      <c r="A292" s="68" t="s">
        <v>959</v>
      </c>
      <c r="B292" s="68" t="s">
        <v>947</v>
      </c>
      <c r="C292" s="68" t="s">
        <v>948</v>
      </c>
      <c r="D292" s="68" t="str">
        <f t="shared" si="4"/>
        <v>Majanji</v>
      </c>
      <c r="F292" s="68">
        <v>272</v>
      </c>
    </row>
    <row r="293" spans="1:6">
      <c r="A293" s="68" t="s">
        <v>960</v>
      </c>
      <c r="B293" s="68" t="s">
        <v>947</v>
      </c>
      <c r="C293" s="68" t="s">
        <v>948</v>
      </c>
      <c r="D293" s="68" t="str">
        <f t="shared" si="4"/>
        <v>Masaba-Busia</v>
      </c>
      <c r="F293" s="68">
        <v>273</v>
      </c>
    </row>
    <row r="294" spans="1:6">
      <c r="A294" s="68" t="s">
        <v>961</v>
      </c>
      <c r="B294" s="68" t="s">
        <v>947</v>
      </c>
      <c r="C294" s="68" t="s">
        <v>948</v>
      </c>
      <c r="D294" s="68" t="str">
        <f t="shared" si="4"/>
        <v>Masafu</v>
      </c>
      <c r="F294" s="68">
        <v>274</v>
      </c>
    </row>
    <row r="295" spans="1:6">
      <c r="A295" s="68" t="s">
        <v>962</v>
      </c>
      <c r="B295" s="68" t="s">
        <v>947</v>
      </c>
      <c r="C295" s="68" t="s">
        <v>948</v>
      </c>
      <c r="D295" s="68" t="str">
        <f t="shared" si="4"/>
        <v>Masinya</v>
      </c>
      <c r="F295" s="68">
        <v>275</v>
      </c>
    </row>
    <row r="296" spans="1:6">
      <c r="A296" s="68" t="s">
        <v>963</v>
      </c>
      <c r="B296" s="68" t="s">
        <v>947</v>
      </c>
      <c r="C296" s="68" t="s">
        <v>948</v>
      </c>
      <c r="D296" s="68" t="str">
        <f t="shared" si="4"/>
        <v>Sikuda</v>
      </c>
      <c r="F296" s="68">
        <v>276</v>
      </c>
    </row>
    <row r="297" spans="1:6">
      <c r="A297" s="68" t="s">
        <v>964</v>
      </c>
      <c r="B297" s="68" t="s">
        <v>965</v>
      </c>
      <c r="C297" s="68" t="s">
        <v>966</v>
      </c>
      <c r="D297" s="68" t="str">
        <f t="shared" si="4"/>
        <v>Budumba</v>
      </c>
      <c r="F297" s="68">
        <v>277</v>
      </c>
    </row>
    <row r="298" spans="1:6">
      <c r="A298" s="68" t="s">
        <v>967</v>
      </c>
      <c r="B298" s="68" t="s">
        <v>965</v>
      </c>
      <c r="C298" s="68" t="s">
        <v>966</v>
      </c>
      <c r="D298" s="68" t="str">
        <f t="shared" si="4"/>
        <v>Busaba</v>
      </c>
      <c r="F298" s="68">
        <v>278</v>
      </c>
    </row>
    <row r="299" spans="1:6">
      <c r="A299" s="68" t="s">
        <v>968</v>
      </c>
      <c r="B299" s="68" t="s">
        <v>965</v>
      </c>
      <c r="C299" s="68" t="s">
        <v>966</v>
      </c>
      <c r="D299" s="68" t="str">
        <f t="shared" si="4"/>
        <v>Busabi</v>
      </c>
      <c r="F299" s="68">
        <v>279</v>
      </c>
    </row>
    <row r="300" spans="1:6">
      <c r="A300" s="68" t="s">
        <v>969</v>
      </c>
      <c r="B300" s="68" t="s">
        <v>965</v>
      </c>
      <c r="C300" s="68" t="s">
        <v>966</v>
      </c>
      <c r="D300" s="68" t="str">
        <f t="shared" si="4"/>
        <v>Busolwe</v>
      </c>
      <c r="F300" s="68">
        <v>280</v>
      </c>
    </row>
    <row r="301" spans="1:6">
      <c r="A301" s="68" t="s">
        <v>970</v>
      </c>
      <c r="B301" s="68" t="s">
        <v>965</v>
      </c>
      <c r="C301" s="68" t="s">
        <v>966</v>
      </c>
      <c r="D301" s="68" t="str">
        <f t="shared" si="4"/>
        <v>Busolwe Town Council</v>
      </c>
      <c r="F301" s="68">
        <v>281</v>
      </c>
    </row>
    <row r="302" spans="1:6">
      <c r="A302" s="68" t="s">
        <v>965</v>
      </c>
      <c r="B302" s="68" t="s">
        <v>965</v>
      </c>
      <c r="C302" s="68" t="s">
        <v>966</v>
      </c>
      <c r="D302" s="68" t="str">
        <f t="shared" si="4"/>
        <v>Butaleja</v>
      </c>
      <c r="F302" s="68">
        <v>282</v>
      </c>
    </row>
    <row r="303" spans="1:6">
      <c r="A303" s="68" t="s">
        <v>971</v>
      </c>
      <c r="B303" s="68" t="s">
        <v>965</v>
      </c>
      <c r="C303" s="68" t="s">
        <v>966</v>
      </c>
      <c r="D303" s="68" t="str">
        <f t="shared" si="4"/>
        <v>Butaleja Town Council</v>
      </c>
      <c r="F303" s="68">
        <v>283</v>
      </c>
    </row>
    <row r="304" spans="1:6">
      <c r="A304" s="68" t="s">
        <v>972</v>
      </c>
      <c r="B304" s="68" t="s">
        <v>965</v>
      </c>
      <c r="C304" s="68" t="s">
        <v>966</v>
      </c>
      <c r="D304" s="68" t="str">
        <f t="shared" si="4"/>
        <v>Himutu</v>
      </c>
      <c r="F304" s="68">
        <v>284</v>
      </c>
    </row>
    <row r="305" spans="1:6">
      <c r="A305" s="68" t="s">
        <v>973</v>
      </c>
      <c r="B305" s="68" t="s">
        <v>965</v>
      </c>
      <c r="C305" s="68" t="s">
        <v>966</v>
      </c>
      <c r="D305" s="68" t="str">
        <f t="shared" si="4"/>
        <v>Kachonga</v>
      </c>
      <c r="F305" s="68">
        <v>285</v>
      </c>
    </row>
    <row r="306" spans="1:6">
      <c r="A306" s="68" t="s">
        <v>974</v>
      </c>
      <c r="B306" s="68" t="s">
        <v>965</v>
      </c>
      <c r="C306" s="68" t="s">
        <v>966</v>
      </c>
      <c r="D306" s="68" t="str">
        <f t="shared" si="4"/>
        <v>Mazimasa</v>
      </c>
      <c r="F306" s="68">
        <v>286</v>
      </c>
    </row>
    <row r="307" spans="1:6">
      <c r="A307" s="68" t="s">
        <v>975</v>
      </c>
      <c r="B307" s="68" t="s">
        <v>965</v>
      </c>
      <c r="C307" s="68" t="s">
        <v>966</v>
      </c>
      <c r="D307" s="68" t="str">
        <f t="shared" si="4"/>
        <v>Nawanjofu</v>
      </c>
      <c r="F307" s="68">
        <v>287</v>
      </c>
    </row>
    <row r="308" spans="1:6">
      <c r="A308" s="68" t="s">
        <v>976</v>
      </c>
      <c r="B308" s="68" t="s">
        <v>965</v>
      </c>
      <c r="C308" s="68" t="s">
        <v>966</v>
      </c>
      <c r="D308" s="68" t="str">
        <f t="shared" si="4"/>
        <v>Naweyo</v>
      </c>
      <c r="F308" s="68">
        <v>288</v>
      </c>
    </row>
    <row r="309" spans="1:6">
      <c r="A309" s="68" t="s">
        <v>977</v>
      </c>
      <c r="B309" s="68" t="s">
        <v>978</v>
      </c>
      <c r="C309" s="68" t="s">
        <v>978</v>
      </c>
      <c r="D309" s="68" t="str">
        <f t="shared" si="4"/>
        <v>Budde</v>
      </c>
      <c r="F309" s="68">
        <v>289</v>
      </c>
    </row>
    <row r="310" spans="1:6">
      <c r="A310" s="68" t="s">
        <v>979</v>
      </c>
      <c r="B310" s="68" t="s">
        <v>978</v>
      </c>
      <c r="C310" s="68" t="s">
        <v>978</v>
      </c>
      <c r="D310" s="68" t="str">
        <f t="shared" si="4"/>
        <v>Bulo</v>
      </c>
      <c r="F310" s="68">
        <v>290</v>
      </c>
    </row>
    <row r="311" spans="1:6">
      <c r="A311" s="68" t="s">
        <v>980</v>
      </c>
      <c r="B311" s="68" t="s">
        <v>978</v>
      </c>
      <c r="C311" s="68" t="s">
        <v>978</v>
      </c>
      <c r="D311" s="68" t="str">
        <f t="shared" si="4"/>
        <v>Gombe Town Council</v>
      </c>
      <c r="F311" s="68">
        <v>291</v>
      </c>
    </row>
    <row r="312" spans="1:6">
      <c r="A312" s="68" t="s">
        <v>981</v>
      </c>
      <c r="B312" s="68" t="s">
        <v>978</v>
      </c>
      <c r="C312" s="68" t="s">
        <v>978</v>
      </c>
      <c r="D312" s="68" t="str">
        <f t="shared" si="4"/>
        <v>Kalamba</v>
      </c>
      <c r="F312" s="68">
        <v>292</v>
      </c>
    </row>
    <row r="313" spans="1:6">
      <c r="A313" s="68" t="s">
        <v>982</v>
      </c>
      <c r="B313" s="68" t="s">
        <v>978</v>
      </c>
      <c r="C313" s="68" t="s">
        <v>978</v>
      </c>
      <c r="D313" s="68" t="str">
        <f t="shared" si="4"/>
        <v>Kibibi</v>
      </c>
      <c r="F313" s="68">
        <v>293</v>
      </c>
    </row>
    <row r="314" spans="1:6">
      <c r="A314" s="68" t="s">
        <v>983</v>
      </c>
      <c r="B314" s="68" t="s">
        <v>978</v>
      </c>
      <c r="C314" s="68" t="s">
        <v>978</v>
      </c>
      <c r="D314" s="68" t="str">
        <f t="shared" si="4"/>
        <v>Ngando</v>
      </c>
      <c r="F314" s="68">
        <v>294</v>
      </c>
    </row>
    <row r="315" spans="1:6">
      <c r="A315" s="68" t="s">
        <v>984</v>
      </c>
      <c r="B315" s="68" t="s">
        <v>984</v>
      </c>
      <c r="C315" s="68" t="s">
        <v>985</v>
      </c>
      <c r="D315" s="68" t="str">
        <f t="shared" si="4"/>
        <v>Butebo</v>
      </c>
      <c r="F315" s="68">
        <v>295</v>
      </c>
    </row>
    <row r="316" spans="1:6">
      <c r="A316" s="68" t="s">
        <v>986</v>
      </c>
      <c r="B316" s="68" t="s">
        <v>984</v>
      </c>
      <c r="C316" s="68" t="s">
        <v>985</v>
      </c>
      <c r="D316" s="68" t="str">
        <f t="shared" si="4"/>
        <v>Kabwangasi</v>
      </c>
      <c r="F316" s="68">
        <v>296</v>
      </c>
    </row>
    <row r="317" spans="1:6">
      <c r="A317" s="68" t="s">
        <v>987</v>
      </c>
      <c r="B317" s="68" t="s">
        <v>984</v>
      </c>
      <c r="C317" s="68" t="s">
        <v>985</v>
      </c>
      <c r="D317" s="68" t="str">
        <f t="shared" si="4"/>
        <v>Kakoro</v>
      </c>
      <c r="F317" s="68">
        <v>297</v>
      </c>
    </row>
    <row r="318" spans="1:6">
      <c r="A318" s="68" t="s">
        <v>988</v>
      </c>
      <c r="B318" s="68" t="s">
        <v>984</v>
      </c>
      <c r="C318" s="68" t="s">
        <v>985</v>
      </c>
      <c r="D318" s="68" t="str">
        <f t="shared" si="4"/>
        <v>Kanginima</v>
      </c>
      <c r="F318" s="68">
        <v>298</v>
      </c>
    </row>
    <row r="319" spans="1:6">
      <c r="A319" s="68" t="s">
        <v>989</v>
      </c>
      <c r="B319" s="68" t="s">
        <v>984</v>
      </c>
      <c r="C319" s="68" t="s">
        <v>985</v>
      </c>
      <c r="D319" s="68" t="str">
        <f t="shared" si="4"/>
        <v>Kibale</v>
      </c>
      <c r="F319" s="68">
        <v>299</v>
      </c>
    </row>
    <row r="320" spans="1:6">
      <c r="A320" s="68" t="s">
        <v>990</v>
      </c>
      <c r="D320" s="68" t="str">
        <f t="shared" si="4"/>
        <v>Kibale town</v>
      </c>
      <c r="F320" s="68">
        <v>299</v>
      </c>
    </row>
    <row r="321" spans="1:6">
      <c r="A321" s="68" t="s">
        <v>991</v>
      </c>
      <c r="D321" s="68" t="str">
        <f t="shared" si="4"/>
        <v xml:space="preserve">KIBALE </v>
      </c>
      <c r="F321" s="68">
        <v>299</v>
      </c>
    </row>
    <row r="322" spans="1:6">
      <c r="A322" s="68" t="s">
        <v>992</v>
      </c>
      <c r="B322" s="68" t="s">
        <v>984</v>
      </c>
      <c r="C322" s="68" t="s">
        <v>985</v>
      </c>
      <c r="D322" s="68" t="str">
        <f t="shared" ref="D322:D385" si="5">A322</f>
        <v>Opwateta</v>
      </c>
      <c r="F322" s="68">
        <v>300</v>
      </c>
    </row>
    <row r="323" spans="1:6">
      <c r="A323" s="68" t="s">
        <v>993</v>
      </c>
      <c r="B323" s="68" t="s">
        <v>984</v>
      </c>
      <c r="C323" s="68" t="s">
        <v>985</v>
      </c>
      <c r="D323" s="68" t="str">
        <f t="shared" si="5"/>
        <v>Petete</v>
      </c>
      <c r="F323" s="68">
        <v>301</v>
      </c>
    </row>
    <row r="324" spans="1:6">
      <c r="A324" s="68" t="s">
        <v>994</v>
      </c>
      <c r="B324" s="68" t="s">
        <v>995</v>
      </c>
      <c r="C324" s="68" t="s">
        <v>996</v>
      </c>
      <c r="D324" s="68" t="str">
        <f t="shared" si="5"/>
        <v>Bugaya-Buvuma</v>
      </c>
      <c r="F324" s="68">
        <v>302</v>
      </c>
    </row>
    <row r="325" spans="1:6">
      <c r="A325" s="68" t="s">
        <v>997</v>
      </c>
      <c r="B325" s="68" t="s">
        <v>995</v>
      </c>
      <c r="C325" s="68" t="s">
        <v>996</v>
      </c>
      <c r="D325" s="68" t="str">
        <f t="shared" si="5"/>
        <v>Busamuzi</v>
      </c>
      <c r="F325" s="68">
        <v>303</v>
      </c>
    </row>
    <row r="326" spans="1:6">
      <c r="A326" s="68" t="s">
        <v>998</v>
      </c>
      <c r="B326" s="68" t="s">
        <v>995</v>
      </c>
      <c r="C326" s="68" t="s">
        <v>996</v>
      </c>
      <c r="D326" s="68" t="str">
        <f t="shared" si="5"/>
        <v>Buvuma Town Council</v>
      </c>
      <c r="F326" s="68">
        <v>304</v>
      </c>
    </row>
    <row r="327" spans="1:6">
      <c r="A327" s="68" t="s">
        <v>999</v>
      </c>
      <c r="B327" s="68" t="s">
        <v>995</v>
      </c>
      <c r="C327" s="68" t="s">
        <v>996</v>
      </c>
      <c r="D327" s="68" t="str">
        <f t="shared" si="5"/>
        <v>Buwooya</v>
      </c>
      <c r="F327" s="68">
        <v>305</v>
      </c>
    </row>
    <row r="328" spans="1:6">
      <c r="A328" s="68" t="s">
        <v>1000</v>
      </c>
      <c r="B328" s="68" t="s">
        <v>995</v>
      </c>
      <c r="C328" s="68" t="s">
        <v>996</v>
      </c>
      <c r="D328" s="68" t="str">
        <f t="shared" si="5"/>
        <v>Bweema</v>
      </c>
      <c r="F328" s="68">
        <v>306</v>
      </c>
    </row>
    <row r="329" spans="1:6">
      <c r="A329" s="68" t="s">
        <v>1001</v>
      </c>
      <c r="B329" s="68" t="s">
        <v>995</v>
      </c>
      <c r="C329" s="68" t="s">
        <v>996</v>
      </c>
      <c r="D329" s="68" t="str">
        <f t="shared" si="5"/>
        <v>Lubya</v>
      </c>
      <c r="F329" s="68">
        <v>307</v>
      </c>
    </row>
    <row r="330" spans="1:6">
      <c r="A330" s="68" t="s">
        <v>1002</v>
      </c>
      <c r="D330" s="68" t="str">
        <f t="shared" si="5"/>
        <v>Lusaze</v>
      </c>
      <c r="F330" s="68">
        <v>307</v>
      </c>
    </row>
    <row r="331" spans="1:6">
      <c r="A331" s="68" t="s">
        <v>1003</v>
      </c>
      <c r="B331" s="68" t="s">
        <v>995</v>
      </c>
      <c r="C331" s="68" t="s">
        <v>996</v>
      </c>
      <c r="D331" s="68" t="str">
        <f t="shared" si="5"/>
        <v>Lwajje</v>
      </c>
      <c r="F331" s="68">
        <v>308</v>
      </c>
    </row>
    <row r="332" spans="1:6">
      <c r="A332" s="68" t="s">
        <v>1004</v>
      </c>
      <c r="B332" s="68" t="s">
        <v>995</v>
      </c>
      <c r="C332" s="68" t="s">
        <v>996</v>
      </c>
      <c r="D332" s="68" t="str">
        <f t="shared" si="5"/>
        <v>Lyabaana</v>
      </c>
      <c r="F332" s="68">
        <v>309</v>
      </c>
    </row>
    <row r="333" spans="1:6">
      <c r="A333" s="68" t="s">
        <v>1005</v>
      </c>
      <c r="B333" s="68" t="s">
        <v>995</v>
      </c>
      <c r="C333" s="68" t="s">
        <v>996</v>
      </c>
      <c r="D333" s="68" t="str">
        <f t="shared" si="5"/>
        <v>Nairambi</v>
      </c>
      <c r="F333" s="68">
        <v>310</v>
      </c>
    </row>
    <row r="334" spans="1:6">
      <c r="A334" s="68" t="s">
        <v>1006</v>
      </c>
      <c r="B334" s="68" t="s">
        <v>1007</v>
      </c>
      <c r="C334" s="68" t="s">
        <v>1008</v>
      </c>
      <c r="D334" s="68" t="str">
        <f t="shared" si="5"/>
        <v>Bugaya-Buyende</v>
      </c>
      <c r="F334" s="68">
        <v>311</v>
      </c>
    </row>
    <row r="335" spans="1:6">
      <c r="A335" s="68" t="s">
        <v>1007</v>
      </c>
      <c r="B335" s="68" t="s">
        <v>1007</v>
      </c>
      <c r="C335" s="68" t="s">
        <v>1008</v>
      </c>
      <c r="D335" s="68" t="str">
        <f t="shared" si="5"/>
        <v>Buyende</v>
      </c>
      <c r="F335" s="68">
        <v>312</v>
      </c>
    </row>
    <row r="336" spans="1:6">
      <c r="A336" s="68" t="s">
        <v>1009</v>
      </c>
      <c r="B336" s="68" t="s">
        <v>1007</v>
      </c>
      <c r="C336" s="68" t="s">
        <v>1008</v>
      </c>
      <c r="D336" s="68" t="str">
        <f t="shared" si="5"/>
        <v>Buyende Town Council</v>
      </c>
      <c r="F336" s="68">
        <v>313</v>
      </c>
    </row>
    <row r="337" spans="1:6">
      <c r="A337" s="68" t="s">
        <v>1010</v>
      </c>
      <c r="B337" s="68" t="s">
        <v>1007</v>
      </c>
      <c r="C337" s="68" t="s">
        <v>1008</v>
      </c>
      <c r="D337" s="68" t="str">
        <f t="shared" si="5"/>
        <v>Kagulu</v>
      </c>
      <c r="F337" s="68">
        <v>314</v>
      </c>
    </row>
    <row r="338" spans="1:6">
      <c r="A338" s="68" t="s">
        <v>1011</v>
      </c>
      <c r="B338" s="68" t="s">
        <v>1007</v>
      </c>
      <c r="C338" s="68" t="s">
        <v>1008</v>
      </c>
      <c r="D338" s="68" t="str">
        <f t="shared" si="5"/>
        <v>Kidera</v>
      </c>
      <c r="F338" s="68">
        <v>315</v>
      </c>
    </row>
    <row r="339" spans="1:6">
      <c r="A339" s="68" t="s">
        <v>1012</v>
      </c>
      <c r="B339" s="68" t="s">
        <v>1007</v>
      </c>
      <c r="C339" s="68" t="s">
        <v>1008</v>
      </c>
      <c r="D339" s="68" t="str">
        <f t="shared" si="5"/>
        <v>Nkondo</v>
      </c>
      <c r="F339" s="68">
        <v>316</v>
      </c>
    </row>
    <row r="340" spans="1:6">
      <c r="A340" s="68" t="s">
        <v>1013</v>
      </c>
      <c r="B340" s="68" t="s">
        <v>1014</v>
      </c>
      <c r="C340" s="68" t="s">
        <v>1014</v>
      </c>
      <c r="D340" s="68" t="str">
        <f t="shared" si="5"/>
        <v>Adeknino</v>
      </c>
      <c r="F340" s="68">
        <v>317</v>
      </c>
    </row>
    <row r="341" spans="1:6">
      <c r="A341" s="68" t="s">
        <v>1015</v>
      </c>
      <c r="B341" s="68" t="s">
        <v>1014</v>
      </c>
      <c r="C341" s="68" t="s">
        <v>1014</v>
      </c>
      <c r="D341" s="68" t="str">
        <f t="shared" si="5"/>
        <v>Adok</v>
      </c>
      <c r="F341" s="68">
        <v>318</v>
      </c>
    </row>
    <row r="342" spans="1:6">
      <c r="A342" s="68" t="s">
        <v>1016</v>
      </c>
      <c r="B342" s="68" t="s">
        <v>1014</v>
      </c>
      <c r="C342" s="68" t="s">
        <v>1014</v>
      </c>
      <c r="D342" s="68" t="str">
        <f t="shared" si="5"/>
        <v>Agwata</v>
      </c>
      <c r="F342" s="68">
        <v>319</v>
      </c>
    </row>
    <row r="343" spans="1:6">
      <c r="A343" s="68" t="s">
        <v>1017</v>
      </c>
      <c r="B343" s="68" t="s">
        <v>1014</v>
      </c>
      <c r="C343" s="68" t="s">
        <v>1014</v>
      </c>
      <c r="D343" s="68" t="str">
        <f t="shared" si="5"/>
        <v>Amwoma</v>
      </c>
      <c r="F343" s="68">
        <v>320</v>
      </c>
    </row>
    <row r="344" spans="1:6">
      <c r="A344" s="68" t="s">
        <v>1018</v>
      </c>
      <c r="B344" s="68" t="s">
        <v>1014</v>
      </c>
      <c r="C344" s="68" t="s">
        <v>1014</v>
      </c>
      <c r="D344" s="68" t="str">
        <f t="shared" si="5"/>
        <v>Batta</v>
      </c>
      <c r="F344" s="68">
        <v>321</v>
      </c>
    </row>
    <row r="345" spans="1:6">
      <c r="A345" s="68" t="s">
        <v>1014</v>
      </c>
      <c r="B345" s="68" t="s">
        <v>1014</v>
      </c>
      <c r="C345" s="68" t="s">
        <v>1014</v>
      </c>
      <c r="D345" s="68" t="str">
        <f t="shared" si="5"/>
        <v>Dokolo</v>
      </c>
      <c r="F345" s="68">
        <v>322</v>
      </c>
    </row>
    <row r="346" spans="1:6">
      <c r="A346" s="68" t="s">
        <v>1019</v>
      </c>
      <c r="B346" s="68" t="s">
        <v>1014</v>
      </c>
      <c r="C346" s="68" t="s">
        <v>1014</v>
      </c>
      <c r="D346" s="68" t="str">
        <f t="shared" si="5"/>
        <v>Dokolo Tc</v>
      </c>
      <c r="F346" s="68">
        <v>323</v>
      </c>
    </row>
    <row r="347" spans="1:6">
      <c r="A347" s="68" t="s">
        <v>1020</v>
      </c>
      <c r="B347" s="68" t="s">
        <v>1014</v>
      </c>
      <c r="C347" s="68" t="s">
        <v>1014</v>
      </c>
      <c r="D347" s="68" t="str">
        <f t="shared" si="5"/>
        <v>Kangai</v>
      </c>
      <c r="F347" s="68">
        <v>324</v>
      </c>
    </row>
    <row r="348" spans="1:6">
      <c r="A348" s="68" t="s">
        <v>1021</v>
      </c>
      <c r="B348" s="68" t="s">
        <v>1014</v>
      </c>
      <c r="C348" s="68" t="s">
        <v>1014</v>
      </c>
      <c r="D348" s="68" t="str">
        <f t="shared" si="5"/>
        <v>Kwera</v>
      </c>
      <c r="F348" s="68">
        <v>325</v>
      </c>
    </row>
    <row r="349" spans="1:6">
      <c r="A349" s="68" t="s">
        <v>1022</v>
      </c>
      <c r="B349" s="68" t="s">
        <v>1014</v>
      </c>
      <c r="C349" s="68" t="s">
        <v>1014</v>
      </c>
      <c r="D349" s="68" t="str">
        <f t="shared" si="5"/>
        <v>Okwalongwen</v>
      </c>
      <c r="F349" s="68">
        <v>326</v>
      </c>
    </row>
    <row r="350" spans="1:6">
      <c r="A350" s="68" t="s">
        <v>1023</v>
      </c>
      <c r="B350" s="68" t="s">
        <v>1014</v>
      </c>
      <c r="C350" s="68" t="s">
        <v>1014</v>
      </c>
      <c r="D350" s="68" t="str">
        <f t="shared" si="5"/>
        <v>Okwongodul</v>
      </c>
      <c r="F350" s="68">
        <v>327</v>
      </c>
    </row>
    <row r="351" spans="1:6">
      <c r="A351" s="68" t="s">
        <v>1024</v>
      </c>
      <c r="B351" s="68" t="s">
        <v>1025</v>
      </c>
      <c r="C351" s="68" t="s">
        <v>1025</v>
      </c>
      <c r="D351" s="68" t="str">
        <f t="shared" si="5"/>
        <v>Kabulasoke</v>
      </c>
      <c r="F351" s="68">
        <v>328</v>
      </c>
    </row>
    <row r="352" spans="1:6">
      <c r="A352" s="68" t="s">
        <v>1026</v>
      </c>
      <c r="B352" s="68" t="s">
        <v>1025</v>
      </c>
      <c r="C352" s="68" t="s">
        <v>1025</v>
      </c>
      <c r="D352" s="68" t="str">
        <f t="shared" si="5"/>
        <v>Kanoni Town Council</v>
      </c>
      <c r="F352" s="68">
        <v>329</v>
      </c>
    </row>
    <row r="353" spans="1:6">
      <c r="A353" s="68" t="s">
        <v>1027</v>
      </c>
      <c r="B353" s="68" t="s">
        <v>1025</v>
      </c>
      <c r="C353" s="68" t="s">
        <v>1025</v>
      </c>
      <c r="D353" s="68" t="str">
        <f t="shared" si="5"/>
        <v>Kyegonza</v>
      </c>
      <c r="F353" s="68">
        <v>330</v>
      </c>
    </row>
    <row r="354" spans="1:6">
      <c r="A354" s="68" t="s">
        <v>1028</v>
      </c>
      <c r="B354" s="68" t="s">
        <v>1025</v>
      </c>
      <c r="C354" s="68" t="s">
        <v>1025</v>
      </c>
      <c r="D354" s="68" t="str">
        <f t="shared" si="5"/>
        <v>Maddu</v>
      </c>
      <c r="F354" s="68">
        <v>331</v>
      </c>
    </row>
    <row r="355" spans="1:6">
      <c r="A355" s="68" t="s">
        <v>1029</v>
      </c>
      <c r="B355" s="68" t="s">
        <v>1025</v>
      </c>
      <c r="C355" s="68" t="s">
        <v>1025</v>
      </c>
      <c r="D355" s="68" t="str">
        <f t="shared" si="5"/>
        <v>Mpenja</v>
      </c>
      <c r="F355" s="68">
        <v>332</v>
      </c>
    </row>
    <row r="356" spans="1:6">
      <c r="A356" s="68" t="s">
        <v>1030</v>
      </c>
      <c r="B356" s="68" t="s">
        <v>1031</v>
      </c>
      <c r="C356" s="68" t="s">
        <v>1032</v>
      </c>
      <c r="D356" s="68" t="str">
        <f t="shared" si="5"/>
        <v>Awach</v>
      </c>
      <c r="F356" s="68">
        <v>333</v>
      </c>
    </row>
    <row r="357" spans="1:6">
      <c r="A357" s="68" t="s">
        <v>1033</v>
      </c>
      <c r="B357" s="68" t="s">
        <v>1031</v>
      </c>
      <c r="C357" s="68" t="s">
        <v>1032</v>
      </c>
      <c r="D357" s="68" t="str">
        <f t="shared" si="5"/>
        <v>Bungatira</v>
      </c>
      <c r="F357" s="68">
        <v>334</v>
      </c>
    </row>
    <row r="358" spans="1:6">
      <c r="A358" s="68" t="s">
        <v>1034</v>
      </c>
      <c r="B358" s="68" t="s">
        <v>1031</v>
      </c>
      <c r="C358" s="68" t="s">
        <v>1034</v>
      </c>
      <c r="D358" s="68" t="str">
        <f t="shared" si="5"/>
        <v>Gulu Municipality</v>
      </c>
      <c r="F358" s="68">
        <v>335</v>
      </c>
    </row>
    <row r="359" spans="1:6">
      <c r="A359" s="68" t="s">
        <v>1035</v>
      </c>
      <c r="D359" s="68" t="str">
        <f t="shared" si="5"/>
        <v>GULU</v>
      </c>
      <c r="F359" s="68">
        <v>335</v>
      </c>
    </row>
    <row r="360" spans="1:6">
      <c r="A360" s="68" t="s">
        <v>1036</v>
      </c>
      <c r="D360" s="68" t="str">
        <f t="shared" si="5"/>
        <v>Gulu town</v>
      </c>
      <c r="F360" s="68">
        <v>335</v>
      </c>
    </row>
    <row r="361" spans="1:6">
      <c r="A361" s="68" t="s">
        <v>1037</v>
      </c>
      <c r="B361" s="68" t="s">
        <v>1031</v>
      </c>
      <c r="C361" s="68" t="s">
        <v>1032</v>
      </c>
      <c r="D361" s="68" t="str">
        <f t="shared" si="5"/>
        <v>Paicho</v>
      </c>
      <c r="F361" s="68">
        <v>336</v>
      </c>
    </row>
    <row r="362" spans="1:6">
      <c r="A362" s="68" t="s">
        <v>1038</v>
      </c>
      <c r="B362" s="68" t="s">
        <v>1031</v>
      </c>
      <c r="C362" s="68" t="s">
        <v>1032</v>
      </c>
      <c r="D362" s="68" t="str">
        <f t="shared" si="5"/>
        <v>Unyama</v>
      </c>
      <c r="F362" s="68">
        <v>337</v>
      </c>
    </row>
    <row r="363" spans="1:6">
      <c r="A363" s="68" t="s">
        <v>1039</v>
      </c>
      <c r="B363" s="68" t="s">
        <v>1040</v>
      </c>
      <c r="C363" s="68" t="s">
        <v>1041</v>
      </c>
      <c r="D363" s="68" t="str">
        <f t="shared" si="5"/>
        <v>Bugambe</v>
      </c>
      <c r="F363" s="68">
        <v>338</v>
      </c>
    </row>
    <row r="364" spans="1:6">
      <c r="A364" s="68" t="s">
        <v>1042</v>
      </c>
      <c r="D364" s="68" t="str">
        <f t="shared" si="5"/>
        <v>Kitwetwe</v>
      </c>
      <c r="F364" s="68">
        <v>338</v>
      </c>
    </row>
    <row r="365" spans="1:6">
      <c r="A365" s="68" t="s">
        <v>1043</v>
      </c>
      <c r="B365" s="68" t="s">
        <v>1040</v>
      </c>
      <c r="C365" s="68" t="s">
        <v>1044</v>
      </c>
      <c r="D365" s="68" t="str">
        <f t="shared" si="5"/>
        <v>Buhanika</v>
      </c>
      <c r="F365" s="68">
        <v>339</v>
      </c>
    </row>
    <row r="366" spans="1:6">
      <c r="A366" s="68" t="s">
        <v>1045</v>
      </c>
      <c r="B366" s="68" t="s">
        <v>1040</v>
      </c>
      <c r="C366" s="68" t="s">
        <v>1041</v>
      </c>
      <c r="D366" s="68" t="str">
        <f t="shared" si="5"/>
        <v>Buhimba</v>
      </c>
      <c r="F366" s="68">
        <v>340</v>
      </c>
    </row>
    <row r="367" spans="1:6">
      <c r="A367" s="68" t="s">
        <v>1046</v>
      </c>
      <c r="B367" s="68" t="s">
        <v>1040</v>
      </c>
      <c r="C367" s="68" t="s">
        <v>1046</v>
      </c>
      <c r="D367" s="68" t="str">
        <f t="shared" si="5"/>
        <v>Hoima Municipality</v>
      </c>
      <c r="F367" s="68">
        <v>341</v>
      </c>
    </row>
    <row r="368" spans="1:6">
      <c r="A368" s="68" t="s">
        <v>1047</v>
      </c>
      <c r="D368" s="68" t="str">
        <f t="shared" si="5"/>
        <v>HOIMA</v>
      </c>
      <c r="F368" s="68">
        <v>341</v>
      </c>
    </row>
    <row r="369" spans="1:6">
      <c r="A369" s="68" t="s">
        <v>1048</v>
      </c>
      <c r="D369" s="68" t="str">
        <f t="shared" si="5"/>
        <v>HOIMA TOWN</v>
      </c>
      <c r="F369" s="68">
        <v>341</v>
      </c>
    </row>
    <row r="370" spans="1:6">
      <c r="A370" s="68" t="s">
        <v>1049</v>
      </c>
      <c r="D370" s="68" t="str">
        <f t="shared" si="5"/>
        <v>Hima cement</v>
      </c>
      <c r="F370" s="68">
        <v>341</v>
      </c>
    </row>
    <row r="371" spans="1:6">
      <c r="A371" s="68" t="s">
        <v>1050</v>
      </c>
      <c r="B371" s="68" t="s">
        <v>1040</v>
      </c>
      <c r="C371" s="68" t="s">
        <v>1041</v>
      </c>
      <c r="D371" s="68" t="str">
        <f t="shared" si="5"/>
        <v>Kabwoya</v>
      </c>
      <c r="F371" s="68">
        <v>342</v>
      </c>
    </row>
    <row r="372" spans="1:6">
      <c r="A372" s="68" t="s">
        <v>1051</v>
      </c>
      <c r="B372" s="68" t="s">
        <v>1040</v>
      </c>
      <c r="C372" s="68" t="s">
        <v>1044</v>
      </c>
      <c r="D372" s="68" t="str">
        <f t="shared" si="5"/>
        <v>Kigorobya</v>
      </c>
      <c r="F372" s="68">
        <v>343</v>
      </c>
    </row>
    <row r="373" spans="1:6">
      <c r="A373" s="68" t="s">
        <v>1052</v>
      </c>
      <c r="B373" s="68" t="s">
        <v>1040</v>
      </c>
      <c r="C373" s="68" t="s">
        <v>1044</v>
      </c>
      <c r="D373" s="68" t="str">
        <f t="shared" si="5"/>
        <v>Kigorobya Town Council</v>
      </c>
      <c r="F373" s="68">
        <v>344</v>
      </c>
    </row>
    <row r="374" spans="1:6">
      <c r="A374" s="68" t="s">
        <v>1053</v>
      </c>
      <c r="B374" s="68" t="s">
        <v>1040</v>
      </c>
      <c r="C374" s="68" t="s">
        <v>1044</v>
      </c>
      <c r="D374" s="68" t="str">
        <f t="shared" si="5"/>
        <v>Kitoba</v>
      </c>
      <c r="F374" s="68">
        <v>345</v>
      </c>
    </row>
    <row r="375" spans="1:6">
      <c r="A375" s="68" t="s">
        <v>1054</v>
      </c>
      <c r="B375" s="68" t="s">
        <v>1040</v>
      </c>
      <c r="C375" s="68" t="s">
        <v>1041</v>
      </c>
      <c r="D375" s="68" t="str">
        <f t="shared" si="5"/>
        <v>Kiziranfumbi</v>
      </c>
      <c r="F375" s="68">
        <v>346</v>
      </c>
    </row>
    <row r="376" spans="1:6">
      <c r="A376" s="68" t="s">
        <v>1055</v>
      </c>
      <c r="B376" s="68" t="s">
        <v>1040</v>
      </c>
      <c r="C376" s="68" t="s">
        <v>1044</v>
      </c>
      <c r="D376" s="68" t="str">
        <f t="shared" si="5"/>
        <v>Kyabigambire</v>
      </c>
      <c r="F376" s="68">
        <v>347</v>
      </c>
    </row>
    <row r="377" spans="1:6">
      <c r="A377" s="68" t="s">
        <v>1056</v>
      </c>
      <c r="B377" s="68" t="s">
        <v>1040</v>
      </c>
      <c r="C377" s="68" t="s">
        <v>1041</v>
      </c>
      <c r="D377" s="68" t="str">
        <f t="shared" si="5"/>
        <v>Kyangwali</v>
      </c>
      <c r="F377" s="68">
        <v>348</v>
      </c>
    </row>
    <row r="378" spans="1:6">
      <c r="A378" s="68" t="s">
        <v>1057</v>
      </c>
      <c r="D378" s="68" t="str">
        <f t="shared" si="5"/>
        <v>Bugoma</v>
      </c>
      <c r="F378" s="68">
        <v>348</v>
      </c>
    </row>
    <row r="379" spans="1:6">
      <c r="A379" s="68" t="s">
        <v>1058</v>
      </c>
      <c r="B379" s="68" t="s">
        <v>43</v>
      </c>
      <c r="C379" s="68" t="s">
        <v>1058</v>
      </c>
      <c r="D379" s="68" t="str">
        <f t="shared" si="5"/>
        <v>Ibanda Municipality</v>
      </c>
      <c r="F379" s="68">
        <v>349</v>
      </c>
    </row>
    <row r="380" spans="1:6">
      <c r="A380" s="68" t="s">
        <v>1059</v>
      </c>
      <c r="D380" s="68" t="str">
        <f t="shared" si="5"/>
        <v>IBANDA</v>
      </c>
      <c r="F380" s="68">
        <v>349</v>
      </c>
    </row>
    <row r="381" spans="1:6">
      <c r="A381" s="68" t="s">
        <v>1060</v>
      </c>
      <c r="D381" s="68" t="str">
        <f t="shared" si="5"/>
        <v>IBANDA TOWN</v>
      </c>
      <c r="F381" s="68">
        <v>349</v>
      </c>
    </row>
    <row r="382" spans="1:6">
      <c r="A382" s="68" t="s">
        <v>1061</v>
      </c>
      <c r="D382" s="68" t="str">
        <f t="shared" si="5"/>
        <v>Kakinga</v>
      </c>
      <c r="F382" s="68">
        <v>349</v>
      </c>
    </row>
    <row r="383" spans="1:6">
      <c r="A383" s="68" t="s">
        <v>1062</v>
      </c>
      <c r="B383" s="68" t="s">
        <v>43</v>
      </c>
      <c r="C383" s="68" t="s">
        <v>43</v>
      </c>
      <c r="D383" s="68" t="str">
        <f t="shared" si="5"/>
        <v>Igorora Town Council</v>
      </c>
      <c r="F383" s="68">
        <v>350</v>
      </c>
    </row>
    <row r="384" spans="1:6">
      <c r="A384" s="68" t="s">
        <v>1063</v>
      </c>
      <c r="B384" s="68" t="s">
        <v>43</v>
      </c>
      <c r="C384" s="68" t="s">
        <v>43</v>
      </c>
      <c r="D384" s="68" t="str">
        <f t="shared" si="5"/>
        <v>Ishongororo</v>
      </c>
      <c r="F384" s="68">
        <v>351</v>
      </c>
    </row>
    <row r="385" spans="1:6">
      <c r="A385" s="68" t="s">
        <v>1064</v>
      </c>
      <c r="B385" s="68" t="s">
        <v>43</v>
      </c>
      <c r="C385" s="68" t="s">
        <v>43</v>
      </c>
      <c r="D385" s="68" t="str">
        <f t="shared" si="5"/>
        <v>Ishongororo Town Council</v>
      </c>
      <c r="F385" s="68">
        <v>352</v>
      </c>
    </row>
    <row r="386" spans="1:6">
      <c r="A386" s="68" t="s">
        <v>1065</v>
      </c>
      <c r="B386" s="68" t="s">
        <v>43</v>
      </c>
      <c r="C386" s="68" t="s">
        <v>1058</v>
      </c>
      <c r="D386" s="68" t="str">
        <f t="shared" ref="D386:D449" si="6">A386</f>
        <v>Kagango Division-Ibanda</v>
      </c>
      <c r="F386" s="68">
        <v>353</v>
      </c>
    </row>
    <row r="387" spans="1:6">
      <c r="A387" s="68" t="s">
        <v>1066</v>
      </c>
      <c r="B387" s="68" t="s">
        <v>43</v>
      </c>
      <c r="C387" s="68" t="s">
        <v>43</v>
      </c>
      <c r="D387" s="68" t="str">
        <f t="shared" si="6"/>
        <v>Keihangara</v>
      </c>
      <c r="F387" s="68">
        <v>354</v>
      </c>
    </row>
    <row r="388" spans="1:6">
      <c r="A388" s="68" t="s">
        <v>1067</v>
      </c>
      <c r="B388" s="68" t="s">
        <v>43</v>
      </c>
      <c r="C388" s="68" t="s">
        <v>43</v>
      </c>
      <c r="D388" s="68" t="str">
        <f t="shared" si="6"/>
        <v>Kicuzi</v>
      </c>
      <c r="F388" s="68">
        <v>355</v>
      </c>
    </row>
    <row r="389" spans="1:6">
      <c r="A389" s="68" t="s">
        <v>1068</v>
      </c>
      <c r="B389" s="68" t="s">
        <v>43</v>
      </c>
      <c r="C389" s="68" t="s">
        <v>43</v>
      </c>
      <c r="D389" s="68" t="str">
        <f t="shared" si="6"/>
        <v>Kijongo</v>
      </c>
      <c r="F389" s="68">
        <v>356</v>
      </c>
    </row>
    <row r="390" spans="1:6">
      <c r="A390" s="68" t="s">
        <v>1069</v>
      </c>
      <c r="B390" s="68" t="s">
        <v>43</v>
      </c>
      <c r="C390" s="68" t="s">
        <v>43</v>
      </c>
      <c r="D390" s="68" t="str">
        <f t="shared" si="6"/>
        <v>Kikyenkye</v>
      </c>
      <c r="F390" s="68">
        <v>357</v>
      </c>
    </row>
    <row r="391" spans="1:6">
      <c r="A391" s="68" t="s">
        <v>1070</v>
      </c>
      <c r="B391" s="68" t="s">
        <v>43</v>
      </c>
      <c r="C391" s="68" t="s">
        <v>43</v>
      </c>
      <c r="D391" s="68" t="str">
        <f t="shared" si="6"/>
        <v>Nyamarebe</v>
      </c>
      <c r="F391" s="68">
        <v>358</v>
      </c>
    </row>
    <row r="392" spans="1:6">
      <c r="A392" s="68" t="s">
        <v>1071</v>
      </c>
      <c r="B392" s="68" t="s">
        <v>43</v>
      </c>
      <c r="C392" s="68" t="s">
        <v>43</v>
      </c>
      <c r="D392" s="68" t="str">
        <f t="shared" si="6"/>
        <v>Rukiri</v>
      </c>
      <c r="F392" s="68">
        <v>359</v>
      </c>
    </row>
    <row r="393" spans="1:6">
      <c r="A393" s="68" t="s">
        <v>1072</v>
      </c>
      <c r="B393" s="68" t="s">
        <v>43</v>
      </c>
      <c r="C393" s="68" t="s">
        <v>43</v>
      </c>
      <c r="D393" s="68" t="str">
        <f t="shared" si="6"/>
        <v>Rushango Town Council</v>
      </c>
      <c r="F393" s="68">
        <v>360</v>
      </c>
    </row>
    <row r="394" spans="1:6">
      <c r="A394" s="68" t="s">
        <v>1073</v>
      </c>
      <c r="B394" s="68" t="s">
        <v>1074</v>
      </c>
      <c r="C394" s="68" t="s">
        <v>1075</v>
      </c>
      <c r="D394" s="68" t="str">
        <f t="shared" si="6"/>
        <v>Bulamogi</v>
      </c>
      <c r="F394" s="68">
        <v>361</v>
      </c>
    </row>
    <row r="395" spans="1:6">
      <c r="A395" s="68" t="s">
        <v>1076</v>
      </c>
      <c r="B395" s="68" t="s">
        <v>1074</v>
      </c>
      <c r="C395" s="68" t="s">
        <v>1077</v>
      </c>
      <c r="D395" s="68" t="str">
        <f t="shared" si="6"/>
        <v>Busembatia Town Council</v>
      </c>
      <c r="F395" s="68">
        <v>362</v>
      </c>
    </row>
    <row r="396" spans="1:6">
      <c r="A396" s="68" t="s">
        <v>1078</v>
      </c>
      <c r="B396" s="68" t="s">
        <v>1074</v>
      </c>
      <c r="C396" s="68" t="s">
        <v>1077</v>
      </c>
      <c r="D396" s="68" t="str">
        <f t="shared" si="6"/>
        <v>Buyanga-Iganga</v>
      </c>
      <c r="F396" s="68">
        <v>363</v>
      </c>
    </row>
    <row r="397" spans="1:6">
      <c r="A397" s="68" t="s">
        <v>1079</v>
      </c>
      <c r="B397" s="68" t="s">
        <v>1074</v>
      </c>
      <c r="C397" s="68" t="s">
        <v>1077</v>
      </c>
      <c r="D397" s="68" t="str">
        <f t="shared" si="6"/>
        <v>Ibulanku</v>
      </c>
      <c r="F397" s="68">
        <v>364</v>
      </c>
    </row>
    <row r="398" spans="1:6">
      <c r="A398" s="68" t="s">
        <v>1080</v>
      </c>
      <c r="B398" s="68" t="s">
        <v>1074</v>
      </c>
      <c r="C398" s="68" t="s">
        <v>1080</v>
      </c>
      <c r="D398" s="68" t="str">
        <f t="shared" si="6"/>
        <v>Iganga Municipality</v>
      </c>
      <c r="F398" s="68">
        <v>365</v>
      </c>
    </row>
    <row r="399" spans="1:6">
      <c r="A399" s="68" t="s">
        <v>469</v>
      </c>
      <c r="D399" s="68" t="str">
        <f t="shared" si="6"/>
        <v>IGANGA</v>
      </c>
      <c r="F399" s="68">
        <v>365</v>
      </c>
    </row>
    <row r="400" spans="1:6">
      <c r="A400" s="68" t="s">
        <v>468</v>
      </c>
      <c r="D400" s="68" t="str">
        <f t="shared" si="6"/>
        <v>IGANGA TOWN</v>
      </c>
      <c r="F400" s="68">
        <v>365</v>
      </c>
    </row>
    <row r="401" spans="1:6">
      <c r="A401" s="68" t="s">
        <v>1081</v>
      </c>
      <c r="B401" s="68" t="s">
        <v>1074</v>
      </c>
      <c r="C401" s="68" t="s">
        <v>1077</v>
      </c>
      <c r="D401" s="68" t="str">
        <f t="shared" si="6"/>
        <v>Igombe</v>
      </c>
      <c r="F401" s="68">
        <v>366</v>
      </c>
    </row>
    <row r="402" spans="1:6">
      <c r="A402" s="68" t="s">
        <v>1082</v>
      </c>
      <c r="B402" s="68" t="s">
        <v>1074</v>
      </c>
      <c r="C402" s="68" t="s">
        <v>1077</v>
      </c>
      <c r="D402" s="68" t="str">
        <f t="shared" si="6"/>
        <v>Makuutu</v>
      </c>
      <c r="F402" s="68">
        <v>367</v>
      </c>
    </row>
    <row r="403" spans="1:6">
      <c r="A403" s="68" t="s">
        <v>1083</v>
      </c>
      <c r="B403" s="68" t="s">
        <v>1074</v>
      </c>
      <c r="C403" s="68" t="s">
        <v>1075</v>
      </c>
      <c r="D403" s="68" t="str">
        <f t="shared" si="6"/>
        <v>Nabitende</v>
      </c>
      <c r="F403" s="68">
        <v>368</v>
      </c>
    </row>
    <row r="404" spans="1:6">
      <c r="A404" s="68" t="s">
        <v>1084</v>
      </c>
      <c r="B404" s="68" t="s">
        <v>1074</v>
      </c>
      <c r="C404" s="68" t="s">
        <v>1075</v>
      </c>
      <c r="D404" s="68" t="str">
        <f t="shared" si="6"/>
        <v>Nakalama</v>
      </c>
      <c r="F404" s="68">
        <v>369</v>
      </c>
    </row>
    <row r="405" spans="1:6">
      <c r="A405" s="68" t="s">
        <v>1075</v>
      </c>
      <c r="D405" s="68" t="str">
        <f t="shared" si="6"/>
        <v>Kigulu</v>
      </c>
      <c r="F405" s="68">
        <v>369</v>
      </c>
    </row>
    <row r="406" spans="1:6">
      <c r="A406" s="68" t="s">
        <v>1085</v>
      </c>
      <c r="B406" s="68" t="s">
        <v>1074</v>
      </c>
      <c r="C406" s="68" t="s">
        <v>1075</v>
      </c>
      <c r="D406" s="68" t="str">
        <f t="shared" si="6"/>
        <v>Nakigo</v>
      </c>
      <c r="F406" s="68">
        <v>370</v>
      </c>
    </row>
    <row r="407" spans="1:6">
      <c r="A407" s="68" t="s">
        <v>1086</v>
      </c>
      <c r="B407" s="68" t="s">
        <v>1074</v>
      </c>
      <c r="C407" s="68" t="s">
        <v>1077</v>
      </c>
      <c r="D407" s="68" t="str">
        <f t="shared" si="6"/>
        <v>Namalemba</v>
      </c>
      <c r="F407" s="68">
        <v>371</v>
      </c>
    </row>
    <row r="408" spans="1:6">
      <c r="A408" s="68" t="s">
        <v>1087</v>
      </c>
      <c r="B408" s="68" t="s">
        <v>1074</v>
      </c>
      <c r="C408" s="68" t="s">
        <v>1075</v>
      </c>
      <c r="D408" s="68" t="str">
        <f t="shared" si="6"/>
        <v>Nambale</v>
      </c>
      <c r="F408" s="68">
        <v>372</v>
      </c>
    </row>
    <row r="409" spans="1:6">
      <c r="A409" s="68" t="s">
        <v>1088</v>
      </c>
      <c r="B409" s="68" t="s">
        <v>1074</v>
      </c>
      <c r="C409" s="68" t="s">
        <v>1075</v>
      </c>
      <c r="D409" s="68" t="str">
        <f t="shared" si="6"/>
        <v>Namungalwe</v>
      </c>
      <c r="F409" s="68">
        <v>373</v>
      </c>
    </row>
    <row r="410" spans="1:6">
      <c r="A410" s="68" t="s">
        <v>1089</v>
      </c>
      <c r="B410" s="68" t="s">
        <v>1074</v>
      </c>
      <c r="C410" s="68" t="s">
        <v>1075</v>
      </c>
      <c r="D410" s="68" t="str">
        <f t="shared" si="6"/>
        <v>Nawandala</v>
      </c>
      <c r="F410" s="68">
        <v>374</v>
      </c>
    </row>
    <row r="411" spans="1:6">
      <c r="A411" s="68" t="s">
        <v>1090</v>
      </c>
      <c r="B411" s="68" t="s">
        <v>1074</v>
      </c>
      <c r="C411" s="68" t="s">
        <v>1075</v>
      </c>
      <c r="D411" s="68" t="str">
        <f t="shared" si="6"/>
        <v>Nawanyingi</v>
      </c>
      <c r="F411" s="68">
        <v>375</v>
      </c>
    </row>
    <row r="412" spans="1:6">
      <c r="A412" s="68" t="s">
        <v>1091</v>
      </c>
      <c r="B412" s="68" t="s">
        <v>48</v>
      </c>
      <c r="C412" s="68" t="s">
        <v>48</v>
      </c>
      <c r="D412" s="68" t="str">
        <f t="shared" si="6"/>
        <v>Birere</v>
      </c>
      <c r="F412" s="68">
        <v>376</v>
      </c>
    </row>
    <row r="413" spans="1:6">
      <c r="A413" s="68" t="s">
        <v>537</v>
      </c>
      <c r="B413" s="68" t="s">
        <v>48</v>
      </c>
      <c r="C413" s="68" t="s">
        <v>48</v>
      </c>
      <c r="D413" s="68" t="str">
        <f t="shared" si="6"/>
        <v>KISHURO</v>
      </c>
      <c r="F413" s="68">
        <v>376</v>
      </c>
    </row>
    <row r="414" spans="1:6">
      <c r="A414" s="68" t="s">
        <v>294</v>
      </c>
      <c r="B414" s="68" t="s">
        <v>48</v>
      </c>
      <c r="C414" s="68" t="s">
        <v>48</v>
      </c>
      <c r="D414" s="68" t="str">
        <f t="shared" si="6"/>
        <v>RWAKIRURI</v>
      </c>
      <c r="F414" s="68">
        <v>376</v>
      </c>
    </row>
    <row r="415" spans="1:6">
      <c r="A415" s="68" t="s">
        <v>165</v>
      </c>
      <c r="B415" s="68" t="s">
        <v>48</v>
      </c>
      <c r="C415" s="68" t="s">
        <v>48</v>
      </c>
      <c r="D415" s="68" t="str">
        <f t="shared" si="6"/>
        <v>LWAKIRURI</v>
      </c>
      <c r="F415" s="68">
        <v>376</v>
      </c>
    </row>
    <row r="416" spans="1:6">
      <c r="A416" s="68" t="s">
        <v>232</v>
      </c>
      <c r="B416" s="68" t="s">
        <v>48</v>
      </c>
      <c r="C416" s="68" t="s">
        <v>48</v>
      </c>
      <c r="D416" s="68" t="str">
        <f t="shared" si="6"/>
        <v>KWOKIRURI</v>
      </c>
      <c r="F416" s="68">
        <v>376</v>
      </c>
    </row>
    <row r="417" spans="1:6">
      <c r="A417" s="68" t="s">
        <v>250</v>
      </c>
      <c r="B417" s="68" t="s">
        <v>48</v>
      </c>
      <c r="C417" s="68" t="s">
        <v>48</v>
      </c>
      <c r="D417" s="68" t="str">
        <f t="shared" si="6"/>
        <v>KWAKIRURI</v>
      </c>
      <c r="F417" s="68">
        <v>376</v>
      </c>
    </row>
    <row r="418" spans="1:6">
      <c r="A418" s="68" t="s">
        <v>457</v>
      </c>
      <c r="B418" s="68" t="s">
        <v>48</v>
      </c>
      <c r="C418" s="68" t="s">
        <v>48</v>
      </c>
      <c r="D418" s="68" t="str">
        <f t="shared" si="6"/>
        <v>WAKIRURI</v>
      </c>
      <c r="F418" s="68">
        <v>376</v>
      </c>
    </row>
    <row r="419" spans="1:6">
      <c r="A419" s="68" t="s">
        <v>220</v>
      </c>
      <c r="B419" s="68" t="s">
        <v>48</v>
      </c>
      <c r="C419" s="68" t="s">
        <v>48</v>
      </c>
      <c r="D419" s="68" t="str">
        <f t="shared" si="6"/>
        <v>KYAMUSHOKA</v>
      </c>
      <c r="F419" s="68">
        <v>376</v>
      </c>
    </row>
    <row r="420" spans="1:6">
      <c r="A420" s="68" t="s">
        <v>284</v>
      </c>
      <c r="B420" s="68" t="s">
        <v>48</v>
      </c>
      <c r="C420" s="68" t="s">
        <v>48</v>
      </c>
      <c r="D420" s="68" t="str">
        <f t="shared" si="6"/>
        <v>KAHENDA</v>
      </c>
      <c r="F420" s="68">
        <v>376</v>
      </c>
    </row>
    <row r="421" spans="1:6">
      <c r="A421" s="68" t="s">
        <v>586</v>
      </c>
      <c r="B421" s="68" t="s">
        <v>48</v>
      </c>
      <c r="C421" s="68" t="s">
        <v>48</v>
      </c>
      <c r="D421" s="68" t="str">
        <f t="shared" si="6"/>
        <v>KASHUMBA</v>
      </c>
      <c r="F421" s="68">
        <v>376</v>
      </c>
    </row>
    <row r="422" spans="1:6">
      <c r="A422" s="68" t="s">
        <v>244</v>
      </c>
      <c r="B422" s="68" t="s">
        <v>48</v>
      </c>
      <c r="C422" s="68" t="s">
        <v>48</v>
      </c>
      <c r="D422" s="68" t="str">
        <f t="shared" si="6"/>
        <v>KASHUBA</v>
      </c>
      <c r="F422" s="68">
        <v>376</v>
      </c>
    </row>
    <row r="423" spans="1:6">
      <c r="A423" s="68" t="s">
        <v>1092</v>
      </c>
      <c r="B423" s="68" t="s">
        <v>48</v>
      </c>
      <c r="C423" s="68" t="s">
        <v>1093</v>
      </c>
      <c r="D423" s="68" t="str">
        <f t="shared" si="6"/>
        <v>Endiinzi</v>
      </c>
      <c r="F423" s="68">
        <v>377</v>
      </c>
    </row>
    <row r="424" spans="1:6">
      <c r="A424" s="68" t="s">
        <v>1094</v>
      </c>
      <c r="B424" s="68" t="s">
        <v>48</v>
      </c>
      <c r="C424" s="68" t="s">
        <v>1093</v>
      </c>
      <c r="D424" s="68" t="str">
        <f t="shared" si="6"/>
        <v>Endiinzi Town Council</v>
      </c>
      <c r="F424" s="68">
        <v>378</v>
      </c>
    </row>
    <row r="425" spans="1:6">
      <c r="A425" s="68" t="s">
        <v>570</v>
      </c>
      <c r="B425" s="68" t="s">
        <v>48</v>
      </c>
      <c r="C425" s="68" t="s">
        <v>48</v>
      </c>
      <c r="D425" s="68" t="str">
        <f t="shared" si="6"/>
        <v>RWENJELU</v>
      </c>
      <c r="F425" s="68">
        <v>379</v>
      </c>
    </row>
    <row r="426" spans="1:6">
      <c r="A426" s="68" t="s">
        <v>607</v>
      </c>
      <c r="B426" s="68" t="s">
        <v>48</v>
      </c>
      <c r="C426" s="68" t="s">
        <v>48</v>
      </c>
      <c r="D426" s="68" t="str">
        <f t="shared" si="6"/>
        <v>RWENKWELA</v>
      </c>
      <c r="F426" s="68">
        <v>379</v>
      </c>
    </row>
    <row r="427" spans="1:6">
      <c r="A427" s="68" t="s">
        <v>1095</v>
      </c>
      <c r="B427" s="68" t="s">
        <v>48</v>
      </c>
      <c r="C427" s="68" t="s">
        <v>48</v>
      </c>
      <c r="D427" s="68" t="str">
        <f t="shared" si="6"/>
        <v>Isingiro Town Council</v>
      </c>
      <c r="F427" s="68">
        <v>379</v>
      </c>
    </row>
    <row r="428" spans="1:6">
      <c r="A428" s="68" t="s">
        <v>355</v>
      </c>
      <c r="B428" s="68" t="s">
        <v>48</v>
      </c>
      <c r="C428" s="68" t="s">
        <v>48</v>
      </c>
      <c r="D428" s="68" t="str">
        <f t="shared" si="6"/>
        <v>KITALE</v>
      </c>
      <c r="F428" s="68">
        <v>379</v>
      </c>
    </row>
    <row r="429" spans="1:6">
      <c r="A429" s="68" t="s">
        <v>216</v>
      </c>
      <c r="B429" s="68" t="s">
        <v>48</v>
      </c>
      <c r="C429" s="68" t="s">
        <v>48</v>
      </c>
      <c r="D429" s="68" t="str">
        <f t="shared" si="6"/>
        <v>KUMUKAGA</v>
      </c>
      <c r="F429" s="68">
        <v>379</v>
      </c>
    </row>
    <row r="430" spans="1:6">
      <c r="A430" s="68" t="s">
        <v>176</v>
      </c>
      <c r="B430" s="68" t="s">
        <v>48</v>
      </c>
      <c r="C430" s="68" t="s">
        <v>48</v>
      </c>
      <c r="D430" s="68" t="str">
        <f t="shared" si="6"/>
        <v>KIJERA</v>
      </c>
      <c r="F430" s="68">
        <v>379</v>
      </c>
    </row>
    <row r="431" spans="1:6">
      <c r="A431" s="68" t="s">
        <v>160</v>
      </c>
      <c r="B431" s="68" t="s">
        <v>48</v>
      </c>
      <c r="C431" s="68" t="s">
        <v>48</v>
      </c>
      <c r="D431" s="68" t="str">
        <f t="shared" si="6"/>
        <v xml:space="preserve">KUUYA </v>
      </c>
      <c r="F431" s="68">
        <v>379</v>
      </c>
    </row>
    <row r="432" spans="1:6">
      <c r="A432" s="68" t="s">
        <v>427</v>
      </c>
      <c r="B432" s="68" t="s">
        <v>48</v>
      </c>
      <c r="C432" s="68" t="s">
        <v>48</v>
      </c>
      <c r="D432" s="68" t="str">
        <f t="shared" si="6"/>
        <v>KYALUKUNDA</v>
      </c>
      <c r="F432" s="68">
        <v>379</v>
      </c>
    </row>
    <row r="433" spans="1:6">
      <c r="A433" s="68" t="s">
        <v>429</v>
      </c>
      <c r="B433" s="68" t="s">
        <v>48</v>
      </c>
      <c r="C433" s="68" t="s">
        <v>48</v>
      </c>
      <c r="D433" s="68" t="str">
        <f t="shared" si="6"/>
        <v>KAZAHO</v>
      </c>
      <c r="F433" s="68">
        <v>379</v>
      </c>
    </row>
    <row r="434" spans="1:6">
      <c r="A434" s="68" t="s">
        <v>459</v>
      </c>
      <c r="B434" s="68" t="s">
        <v>48</v>
      </c>
      <c r="C434" s="68" t="s">
        <v>48</v>
      </c>
      <c r="D434" s="68" t="str">
        <f t="shared" si="6"/>
        <v>MUKIWOGA</v>
      </c>
      <c r="F434" s="68">
        <v>379</v>
      </c>
    </row>
    <row r="435" spans="1:6">
      <c r="A435" s="68" t="s">
        <v>1096</v>
      </c>
      <c r="D435" s="68" t="str">
        <f t="shared" si="6"/>
        <v>ISIGIRO TOWN</v>
      </c>
      <c r="F435" s="68">
        <v>379</v>
      </c>
    </row>
    <row r="436" spans="1:6">
      <c r="A436" s="68" t="s">
        <v>278</v>
      </c>
      <c r="D436" s="68" t="str">
        <f t="shared" si="6"/>
        <v>NYAMINDO</v>
      </c>
      <c r="F436" s="68">
        <v>379</v>
      </c>
    </row>
    <row r="437" spans="1:6">
      <c r="A437" s="68" t="s">
        <v>230</v>
      </c>
      <c r="D437" s="68" t="str">
        <f t="shared" si="6"/>
        <v>MILO</v>
      </c>
      <c r="F437" s="68">
        <v>379</v>
      </c>
    </row>
    <row r="438" spans="1:6">
      <c r="A438" s="68" t="s">
        <v>241</v>
      </c>
      <c r="D438" s="68" t="str">
        <f t="shared" si="6"/>
        <v>KAMBINGO</v>
      </c>
      <c r="F438" s="68">
        <v>379</v>
      </c>
    </row>
    <row r="439" spans="1:6">
      <c r="A439" s="68" t="s">
        <v>171</v>
      </c>
      <c r="D439" s="68" t="str">
        <f t="shared" si="6"/>
        <v>ISINGIRO TOWN</v>
      </c>
      <c r="F439" s="68">
        <v>379</v>
      </c>
    </row>
    <row r="440" spans="1:6">
      <c r="A440" s="68" t="s">
        <v>150</v>
      </c>
      <c r="D440" s="68" t="str">
        <f t="shared" si="6"/>
        <v>ISINGIRO</v>
      </c>
      <c r="F440" s="68">
        <v>379</v>
      </c>
    </row>
    <row r="441" spans="1:6">
      <c r="A441" s="68" t="s">
        <v>209</v>
      </c>
      <c r="D441" s="68" t="str">
        <f t="shared" si="6"/>
        <v>KIKAGATI</v>
      </c>
      <c r="F441" s="68">
        <v>379</v>
      </c>
    </row>
    <row r="442" spans="1:6">
      <c r="A442" s="68" t="s">
        <v>485</v>
      </c>
      <c r="D442" s="68" t="str">
        <f t="shared" si="6"/>
        <v>KIGAGATI</v>
      </c>
      <c r="F442" s="68">
        <v>379</v>
      </c>
    </row>
    <row r="443" spans="1:6">
      <c r="A443" s="68" t="s">
        <v>334</v>
      </c>
      <c r="D443" s="68" t="str">
        <f t="shared" si="6"/>
        <v>KITAGATI</v>
      </c>
      <c r="F443" s="68">
        <v>379</v>
      </c>
    </row>
    <row r="444" spans="1:6">
      <c r="A444" s="68" t="s">
        <v>1097</v>
      </c>
      <c r="B444" s="68" t="s">
        <v>48</v>
      </c>
      <c r="C444" s="68" t="s">
        <v>48</v>
      </c>
      <c r="D444" s="68" t="str">
        <f t="shared" si="6"/>
        <v>Kaberebere Town Council</v>
      </c>
      <c r="F444" s="68">
        <v>380</v>
      </c>
    </row>
    <row r="445" spans="1:6">
      <c r="A445" s="68" t="s">
        <v>169</v>
      </c>
      <c r="B445" s="68" t="s">
        <v>48</v>
      </c>
      <c r="C445" s="68" t="s">
        <v>48</v>
      </c>
      <c r="D445" s="68" t="str">
        <f t="shared" si="6"/>
        <v>KABEREBERE</v>
      </c>
      <c r="F445" s="68">
        <v>380</v>
      </c>
    </row>
    <row r="446" spans="1:6">
      <c r="A446" s="68" t="s">
        <v>507</v>
      </c>
      <c r="B446" s="68" t="s">
        <v>48</v>
      </c>
      <c r="C446" s="68" t="s">
        <v>48</v>
      </c>
      <c r="D446" s="68" t="str">
        <f t="shared" si="6"/>
        <v>BULERE</v>
      </c>
      <c r="F446" s="68">
        <v>380</v>
      </c>
    </row>
    <row r="447" spans="1:6">
      <c r="A447" s="68" t="s">
        <v>1098</v>
      </c>
      <c r="B447" s="68" t="s">
        <v>48</v>
      </c>
      <c r="C447" s="68" t="s">
        <v>48</v>
      </c>
      <c r="D447" s="68" t="str">
        <f t="shared" si="6"/>
        <v>Kabingo</v>
      </c>
      <c r="F447" s="68">
        <v>381</v>
      </c>
    </row>
    <row r="448" spans="1:6">
      <c r="A448" s="68" t="s">
        <v>304</v>
      </c>
      <c r="D448" s="68" t="str">
        <f t="shared" si="6"/>
        <v>MABONA</v>
      </c>
      <c r="F448" s="68">
        <v>381</v>
      </c>
    </row>
    <row r="449" spans="1:6">
      <c r="A449" s="68" t="s">
        <v>1099</v>
      </c>
      <c r="B449" s="68" t="s">
        <v>48</v>
      </c>
      <c r="C449" s="68" t="s">
        <v>48</v>
      </c>
      <c r="D449" s="68" t="str">
        <f t="shared" si="6"/>
        <v>Kabuyanda</v>
      </c>
      <c r="F449" s="68">
        <v>382</v>
      </c>
    </row>
    <row r="450" spans="1:6">
      <c r="A450" s="68" t="s">
        <v>1100</v>
      </c>
      <c r="B450" s="68" t="s">
        <v>48</v>
      </c>
      <c r="C450" s="68" t="s">
        <v>48</v>
      </c>
      <c r="D450" s="68" t="str">
        <f t="shared" ref="D450:D513" si="7">A450</f>
        <v>Kabuyanda Town Council</v>
      </c>
      <c r="F450" s="68">
        <v>383</v>
      </c>
    </row>
    <row r="451" spans="1:6">
      <c r="A451" s="68" t="s">
        <v>1101</v>
      </c>
      <c r="B451" s="68" t="s">
        <v>48</v>
      </c>
      <c r="C451" s="68" t="s">
        <v>1093</v>
      </c>
      <c r="D451" s="68" t="str">
        <f t="shared" si="7"/>
        <v>Kakamba-Isingiro</v>
      </c>
      <c r="F451" s="68">
        <v>384</v>
      </c>
    </row>
    <row r="452" spans="1:6">
      <c r="A452" s="68" t="s">
        <v>1102</v>
      </c>
      <c r="B452" s="68" t="s">
        <v>48</v>
      </c>
      <c r="C452" s="68" t="s">
        <v>48</v>
      </c>
      <c r="D452" s="68" t="str">
        <f t="shared" si="7"/>
        <v>Kikagate</v>
      </c>
      <c r="F452" s="68">
        <v>385</v>
      </c>
    </row>
    <row r="453" spans="1:6">
      <c r="A453" s="68" t="s">
        <v>1103</v>
      </c>
      <c r="B453" s="68" t="s">
        <v>48</v>
      </c>
      <c r="C453" s="68" t="s">
        <v>48</v>
      </c>
      <c r="D453" s="68" t="str">
        <f t="shared" si="7"/>
        <v>Masha</v>
      </c>
      <c r="F453" s="68">
        <v>386</v>
      </c>
    </row>
    <row r="454" spans="1:6">
      <c r="A454" s="68" t="s">
        <v>513</v>
      </c>
      <c r="D454" s="68" t="str">
        <f t="shared" si="7"/>
        <v>NYAMISINDO</v>
      </c>
      <c r="F454" s="68">
        <v>386</v>
      </c>
    </row>
    <row r="455" spans="1:6">
      <c r="A455" s="68" t="s">
        <v>3218</v>
      </c>
      <c r="D455" s="68" t="str">
        <f t="shared" si="7"/>
        <v>Nyamitsindo</v>
      </c>
      <c r="F455" s="68">
        <v>386</v>
      </c>
    </row>
    <row r="456" spans="1:6">
      <c r="A456" s="68" t="s">
        <v>1104</v>
      </c>
      <c r="B456" s="68" t="s">
        <v>48</v>
      </c>
      <c r="C456" s="68" t="s">
        <v>1093</v>
      </c>
      <c r="D456" s="68" t="str">
        <f t="shared" si="7"/>
        <v>Mbaare</v>
      </c>
      <c r="F456" s="68">
        <v>387</v>
      </c>
    </row>
    <row r="457" spans="1:6">
      <c r="A457" s="68" t="s">
        <v>1105</v>
      </c>
      <c r="B457" s="68" t="s">
        <v>48</v>
      </c>
      <c r="C457" s="68" t="s">
        <v>1093</v>
      </c>
      <c r="D457" s="68" t="str">
        <f t="shared" si="7"/>
        <v>Nakivale Refugee Camp</v>
      </c>
      <c r="F457" s="68">
        <v>388</v>
      </c>
    </row>
    <row r="458" spans="1:6">
      <c r="A458" s="68" t="s">
        <v>162</v>
      </c>
      <c r="D458" s="68" t="str">
        <f t="shared" si="7"/>
        <v>NAKIVALE</v>
      </c>
      <c r="F458" s="68">
        <v>388</v>
      </c>
    </row>
    <row r="459" spans="1:6">
      <c r="A459" s="68" t="s">
        <v>573</v>
      </c>
      <c r="D459" s="68" t="str">
        <f t="shared" si="7"/>
        <v>NAKIVALA</v>
      </c>
      <c r="F459" s="68">
        <v>388</v>
      </c>
    </row>
    <row r="460" spans="1:6">
      <c r="A460" s="68" t="s">
        <v>1106</v>
      </c>
      <c r="B460" s="68" t="s">
        <v>48</v>
      </c>
      <c r="C460" s="68" t="s">
        <v>1093</v>
      </c>
      <c r="D460" s="68" t="str">
        <f t="shared" si="7"/>
        <v>Ngarama</v>
      </c>
      <c r="F460" s="68">
        <v>389</v>
      </c>
    </row>
    <row r="461" spans="1:6">
      <c r="A461" s="68" t="s">
        <v>1107</v>
      </c>
      <c r="B461" s="68" t="s">
        <v>48</v>
      </c>
      <c r="C461" s="68" t="s">
        <v>48</v>
      </c>
      <c r="D461" s="68" t="str">
        <f t="shared" si="7"/>
        <v>Nyakitunda</v>
      </c>
      <c r="F461" s="68">
        <v>390</v>
      </c>
    </row>
    <row r="462" spans="1:6">
      <c r="A462" s="68" t="s">
        <v>256</v>
      </c>
      <c r="B462" s="68" t="s">
        <v>48</v>
      </c>
      <c r="C462" s="68" t="s">
        <v>48</v>
      </c>
      <c r="D462" s="68" t="str">
        <f t="shared" si="7"/>
        <v>NYABTUNDA</v>
      </c>
      <c r="F462" s="68">
        <v>390</v>
      </c>
    </row>
    <row r="463" spans="1:6">
      <c r="A463" s="68" t="s">
        <v>490</v>
      </c>
      <c r="D463" s="68" t="str">
        <f t="shared" si="7"/>
        <v>NTUNGU</v>
      </c>
      <c r="F463" s="68">
        <v>390</v>
      </c>
    </row>
    <row r="464" spans="1:6">
      <c r="A464" s="68" t="s">
        <v>1108</v>
      </c>
      <c r="B464" s="68" t="s">
        <v>48</v>
      </c>
      <c r="C464" s="68" t="s">
        <v>48</v>
      </c>
      <c r="D464" s="68" t="str">
        <f t="shared" si="7"/>
        <v>Nyamuyanja</v>
      </c>
      <c r="F464" s="68">
        <v>391</v>
      </c>
    </row>
    <row r="465" spans="1:6">
      <c r="A465" s="68" t="s">
        <v>400</v>
      </c>
      <c r="B465" s="68" t="s">
        <v>48</v>
      </c>
      <c r="C465" s="68" t="s">
        <v>48</v>
      </c>
      <c r="D465" s="68" t="str">
        <f t="shared" si="7"/>
        <v>NYAMIYANZA</v>
      </c>
      <c r="F465" s="68">
        <v>391</v>
      </c>
    </row>
    <row r="466" spans="1:6">
      <c r="A466" s="68" t="s">
        <v>424</v>
      </c>
      <c r="B466" s="68" t="s">
        <v>48</v>
      </c>
      <c r="C466" s="68" t="s">
        <v>48</v>
      </c>
      <c r="D466" s="68" t="str">
        <f t="shared" si="7"/>
        <v>KIHOGA</v>
      </c>
      <c r="F466" s="68">
        <v>391</v>
      </c>
    </row>
    <row r="467" spans="1:6">
      <c r="A467" s="68" t="s">
        <v>1109</v>
      </c>
      <c r="B467" s="68" t="s">
        <v>48</v>
      </c>
      <c r="C467" s="68" t="s">
        <v>48</v>
      </c>
      <c r="D467" s="68" t="str">
        <f t="shared" si="7"/>
        <v>Oruchinga Refugee Camp</v>
      </c>
      <c r="F467" s="68">
        <v>392</v>
      </c>
    </row>
    <row r="468" spans="1:6">
      <c r="A468" s="68" t="s">
        <v>1110</v>
      </c>
      <c r="B468" s="68" t="s">
        <v>48</v>
      </c>
      <c r="C468" s="68" t="s">
        <v>48</v>
      </c>
      <c r="D468" s="68" t="str">
        <f t="shared" si="7"/>
        <v>Ruborogota</v>
      </c>
      <c r="F468" s="68">
        <v>393</v>
      </c>
    </row>
    <row r="469" spans="1:6">
      <c r="A469" s="68" t="s">
        <v>1111</v>
      </c>
      <c r="B469" s="68" t="s">
        <v>48</v>
      </c>
      <c r="C469" s="68" t="s">
        <v>1093</v>
      </c>
      <c r="D469" s="68" t="str">
        <f t="shared" si="7"/>
        <v>Rugaaga</v>
      </c>
      <c r="F469" s="68">
        <v>394</v>
      </c>
    </row>
    <row r="470" spans="1:6">
      <c r="A470" s="68" t="s">
        <v>299</v>
      </c>
      <c r="B470" s="68" t="s">
        <v>48</v>
      </c>
      <c r="C470" s="68" t="s">
        <v>1093</v>
      </c>
      <c r="D470" s="68" t="str">
        <f t="shared" si="7"/>
        <v>RUGANJA</v>
      </c>
      <c r="F470" s="68">
        <v>394</v>
      </c>
    </row>
    <row r="471" spans="1:6">
      <c r="A471" s="68" t="s">
        <v>275</v>
      </c>
      <c r="D471" s="68" t="str">
        <f t="shared" si="7"/>
        <v>RUGAGA</v>
      </c>
      <c r="F471" s="68">
        <v>394</v>
      </c>
    </row>
    <row r="472" spans="1:6">
      <c r="A472" s="68" t="s">
        <v>185</v>
      </c>
      <c r="D472" s="68" t="str">
        <f t="shared" si="7"/>
        <v>KITYAZA</v>
      </c>
      <c r="F472" s="68">
        <v>394</v>
      </c>
    </row>
    <row r="473" spans="1:6">
      <c r="A473" s="68" t="s">
        <v>1112</v>
      </c>
      <c r="B473" s="68" t="s">
        <v>48</v>
      </c>
      <c r="C473" s="68" t="s">
        <v>1093</v>
      </c>
      <c r="D473" s="68" t="str">
        <f t="shared" si="7"/>
        <v>Rushasha</v>
      </c>
      <c r="F473" s="68">
        <v>395</v>
      </c>
    </row>
    <row r="474" spans="1:6">
      <c r="A474" s="68" t="s">
        <v>1113</v>
      </c>
      <c r="B474" s="68" t="s">
        <v>1114</v>
      </c>
      <c r="C474" s="68" t="s">
        <v>1115</v>
      </c>
      <c r="D474" s="68" t="str">
        <f t="shared" si="7"/>
        <v>Budondo</v>
      </c>
      <c r="F474" s="68">
        <v>396</v>
      </c>
    </row>
    <row r="475" spans="1:6">
      <c r="A475" s="68" t="s">
        <v>1116</v>
      </c>
      <c r="B475" s="68" t="s">
        <v>1114</v>
      </c>
      <c r="C475" s="68" t="s">
        <v>1117</v>
      </c>
      <c r="D475" s="68" t="str">
        <f t="shared" si="7"/>
        <v>Bugembe Town Council</v>
      </c>
      <c r="F475" s="68">
        <v>397</v>
      </c>
    </row>
    <row r="476" spans="1:6">
      <c r="A476" s="68" t="s">
        <v>1118</v>
      </c>
      <c r="B476" s="68" t="s">
        <v>1114</v>
      </c>
      <c r="C476" s="68" t="s">
        <v>1117</v>
      </c>
      <c r="D476" s="68" t="str">
        <f t="shared" si="7"/>
        <v>Busedde</v>
      </c>
      <c r="F476" s="68">
        <v>398</v>
      </c>
    </row>
    <row r="477" spans="1:6">
      <c r="A477" s="68" t="s">
        <v>1119</v>
      </c>
      <c r="B477" s="68" t="s">
        <v>1114</v>
      </c>
      <c r="C477" s="68" t="s">
        <v>1115</v>
      </c>
      <c r="D477" s="68" t="str">
        <f t="shared" si="7"/>
        <v>Butagaya</v>
      </c>
      <c r="F477" s="68">
        <v>399</v>
      </c>
    </row>
    <row r="478" spans="1:6">
      <c r="A478" s="68" t="s">
        <v>1120</v>
      </c>
      <c r="B478" s="68" t="s">
        <v>1114</v>
      </c>
      <c r="C478" s="68" t="s">
        <v>1115</v>
      </c>
      <c r="D478" s="68" t="str">
        <f t="shared" si="7"/>
        <v>Buwenge</v>
      </c>
      <c r="F478" s="68">
        <v>400</v>
      </c>
    </row>
    <row r="479" spans="1:6">
      <c r="A479" s="68" t="s">
        <v>1121</v>
      </c>
      <c r="B479" s="68" t="s">
        <v>1114</v>
      </c>
      <c r="C479" s="68" t="s">
        <v>1115</v>
      </c>
      <c r="D479" s="68" t="str">
        <f t="shared" si="7"/>
        <v>Buwenge Town Council</v>
      </c>
      <c r="F479" s="68">
        <v>401</v>
      </c>
    </row>
    <row r="480" spans="1:6">
      <c r="A480" s="68" t="s">
        <v>1122</v>
      </c>
      <c r="B480" s="68" t="s">
        <v>1114</v>
      </c>
      <c r="C480" s="68" t="s">
        <v>1115</v>
      </c>
      <c r="D480" s="68" t="str">
        <f t="shared" si="7"/>
        <v>Buyengo</v>
      </c>
      <c r="F480" s="68">
        <v>402</v>
      </c>
    </row>
    <row r="481" spans="1:6">
      <c r="A481" s="68" t="s">
        <v>1123</v>
      </c>
      <c r="B481" s="68" t="s">
        <v>1114</v>
      </c>
      <c r="C481" s="68" t="s">
        <v>1123</v>
      </c>
      <c r="D481" s="68" t="str">
        <f t="shared" si="7"/>
        <v>Jinja Municipality</v>
      </c>
      <c r="F481" s="68">
        <v>403</v>
      </c>
    </row>
    <row r="482" spans="1:6">
      <c r="A482" s="68" t="s">
        <v>1114</v>
      </c>
      <c r="D482" s="68" t="str">
        <f t="shared" si="7"/>
        <v>Jinja</v>
      </c>
      <c r="F482" s="68">
        <v>403</v>
      </c>
    </row>
    <row r="483" spans="1:6">
      <c r="A483" s="68" t="s">
        <v>1124</v>
      </c>
      <c r="D483" s="68" t="str">
        <f t="shared" si="7"/>
        <v>Walukuba</v>
      </c>
      <c r="F483" s="68">
        <v>403</v>
      </c>
    </row>
    <row r="484" spans="1:6">
      <c r="A484" s="68" t="s">
        <v>1125</v>
      </c>
      <c r="D484" s="68" t="str">
        <f t="shared" si="7"/>
        <v>Nagalama</v>
      </c>
      <c r="F484" s="68">
        <v>403</v>
      </c>
    </row>
    <row r="485" spans="1:6">
      <c r="A485" s="68" t="s">
        <v>1126</v>
      </c>
      <c r="D485" s="68" t="str">
        <f t="shared" si="7"/>
        <v>Masese</v>
      </c>
      <c r="F485" s="68">
        <v>403</v>
      </c>
    </row>
    <row r="486" spans="1:6">
      <c r="A486" s="68" t="s">
        <v>1127</v>
      </c>
      <c r="D486" s="68" t="str">
        <f t="shared" si="7"/>
        <v>Jinja town</v>
      </c>
      <c r="F486" s="68">
        <v>403</v>
      </c>
    </row>
    <row r="487" spans="1:6">
      <c r="A487" s="68" t="s">
        <v>1128</v>
      </c>
      <c r="B487" s="68" t="s">
        <v>1114</v>
      </c>
      <c r="C487" s="68" t="s">
        <v>1117</v>
      </c>
      <c r="D487" s="68" t="str">
        <f t="shared" si="7"/>
        <v>Kakira Town Council</v>
      </c>
      <c r="F487" s="68">
        <v>404</v>
      </c>
    </row>
    <row r="488" spans="1:6">
      <c r="A488" s="68" t="s">
        <v>1129</v>
      </c>
      <c r="D488" s="68" t="str">
        <f t="shared" si="7"/>
        <v xml:space="preserve">Kakira  </v>
      </c>
      <c r="F488" s="68">
        <v>404</v>
      </c>
    </row>
    <row r="489" spans="1:6">
      <c r="A489" s="68" t="s">
        <v>1130</v>
      </c>
      <c r="B489" s="68" t="s">
        <v>1114</v>
      </c>
      <c r="C489" s="68" t="s">
        <v>1117</v>
      </c>
      <c r="D489" s="68" t="str">
        <f t="shared" si="7"/>
        <v>Mafubira</v>
      </c>
      <c r="F489" s="68">
        <v>405</v>
      </c>
    </row>
    <row r="490" spans="1:6">
      <c r="A490" s="68" t="s">
        <v>1131</v>
      </c>
      <c r="B490" s="68" t="s">
        <v>1132</v>
      </c>
      <c r="C490" s="68" t="s">
        <v>1133</v>
      </c>
      <c r="D490" s="68" t="str">
        <f t="shared" si="7"/>
        <v>Kaabong East</v>
      </c>
      <c r="F490" s="68">
        <v>406</v>
      </c>
    </row>
    <row r="491" spans="1:6">
      <c r="A491" s="68" t="s">
        <v>1134</v>
      </c>
      <c r="B491" s="68" t="s">
        <v>1132</v>
      </c>
      <c r="C491" s="68" t="s">
        <v>1133</v>
      </c>
      <c r="D491" s="68" t="str">
        <f t="shared" si="7"/>
        <v>Kaabong Town Council</v>
      </c>
      <c r="F491" s="68">
        <v>407</v>
      </c>
    </row>
    <row r="492" spans="1:6">
      <c r="A492" s="68" t="s">
        <v>1135</v>
      </c>
      <c r="B492" s="68" t="s">
        <v>1132</v>
      </c>
      <c r="C492" s="68" t="s">
        <v>1133</v>
      </c>
      <c r="D492" s="68" t="str">
        <f t="shared" si="7"/>
        <v>Kaabong West</v>
      </c>
      <c r="F492" s="68">
        <v>408</v>
      </c>
    </row>
    <row r="493" spans="1:6">
      <c r="A493" s="68" t="s">
        <v>1136</v>
      </c>
      <c r="B493" s="68" t="s">
        <v>1132</v>
      </c>
      <c r="C493" s="68" t="s">
        <v>1133</v>
      </c>
      <c r="D493" s="68" t="str">
        <f t="shared" si="7"/>
        <v>Kalapata</v>
      </c>
      <c r="F493" s="68">
        <v>409</v>
      </c>
    </row>
    <row r="494" spans="1:6">
      <c r="A494" s="68" t="s">
        <v>1137</v>
      </c>
      <c r="B494" s="68" t="s">
        <v>1132</v>
      </c>
      <c r="C494" s="68" t="s">
        <v>1133</v>
      </c>
      <c r="D494" s="68" t="str">
        <f t="shared" si="7"/>
        <v>Kamion</v>
      </c>
      <c r="F494" s="68">
        <v>410</v>
      </c>
    </row>
    <row r="495" spans="1:6">
      <c r="A495" s="68" t="s">
        <v>1138</v>
      </c>
      <c r="B495" s="68" t="s">
        <v>1132</v>
      </c>
      <c r="C495" s="68" t="s">
        <v>1133</v>
      </c>
      <c r="D495" s="68" t="str">
        <f t="shared" si="7"/>
        <v>Kapedo</v>
      </c>
      <c r="F495" s="68">
        <v>411</v>
      </c>
    </row>
    <row r="496" spans="1:6">
      <c r="A496" s="68" t="s">
        <v>1139</v>
      </c>
      <c r="B496" s="68" t="s">
        <v>1132</v>
      </c>
      <c r="C496" s="68" t="s">
        <v>1133</v>
      </c>
      <c r="D496" s="68" t="str">
        <f t="shared" si="7"/>
        <v>Kathile</v>
      </c>
      <c r="F496" s="68">
        <v>412</v>
      </c>
    </row>
    <row r="497" spans="1:6">
      <c r="A497" s="68" t="s">
        <v>1140</v>
      </c>
      <c r="B497" s="68" t="s">
        <v>1132</v>
      </c>
      <c r="C497" s="68" t="s">
        <v>1133</v>
      </c>
      <c r="D497" s="68" t="str">
        <f t="shared" si="7"/>
        <v>Kawalakol</v>
      </c>
      <c r="F497" s="68">
        <v>413</v>
      </c>
    </row>
    <row r="498" spans="1:6">
      <c r="A498" s="68" t="s">
        <v>1141</v>
      </c>
      <c r="B498" s="68" t="s">
        <v>1132</v>
      </c>
      <c r="C498" s="68" t="s">
        <v>1133</v>
      </c>
      <c r="D498" s="68" t="str">
        <f t="shared" si="7"/>
        <v>Lobalangit</v>
      </c>
      <c r="F498" s="68">
        <v>414</v>
      </c>
    </row>
    <row r="499" spans="1:6">
      <c r="A499" s="68" t="s">
        <v>1142</v>
      </c>
      <c r="B499" s="68" t="s">
        <v>1132</v>
      </c>
      <c r="C499" s="68" t="s">
        <v>1133</v>
      </c>
      <c r="D499" s="68" t="str">
        <f t="shared" si="7"/>
        <v>Lodiko</v>
      </c>
      <c r="F499" s="68">
        <v>415</v>
      </c>
    </row>
    <row r="500" spans="1:6">
      <c r="A500" s="68" t="s">
        <v>1143</v>
      </c>
      <c r="B500" s="68" t="s">
        <v>1132</v>
      </c>
      <c r="C500" s="68" t="s">
        <v>1133</v>
      </c>
      <c r="D500" s="68" t="str">
        <f t="shared" si="7"/>
        <v>Lolelia</v>
      </c>
      <c r="F500" s="68">
        <v>416</v>
      </c>
    </row>
    <row r="501" spans="1:6">
      <c r="A501" s="68" t="s">
        <v>1144</v>
      </c>
      <c r="B501" s="68" t="s">
        <v>1132</v>
      </c>
      <c r="C501" s="68" t="s">
        <v>1133</v>
      </c>
      <c r="D501" s="68" t="str">
        <f t="shared" si="7"/>
        <v>Loyoro</v>
      </c>
      <c r="F501" s="68">
        <v>417</v>
      </c>
    </row>
    <row r="502" spans="1:6">
      <c r="A502" s="68" t="s">
        <v>1145</v>
      </c>
      <c r="B502" s="68" t="s">
        <v>1132</v>
      </c>
      <c r="C502" s="68" t="s">
        <v>1133</v>
      </c>
      <c r="D502" s="68" t="str">
        <f t="shared" si="7"/>
        <v>Napore Karenga</v>
      </c>
      <c r="F502" s="68">
        <v>418</v>
      </c>
    </row>
    <row r="503" spans="1:6">
      <c r="A503" s="68" t="s">
        <v>1146</v>
      </c>
      <c r="B503" s="68" t="s">
        <v>1132</v>
      </c>
      <c r="C503" s="68" t="s">
        <v>1133</v>
      </c>
      <c r="D503" s="68" t="str">
        <f t="shared" si="7"/>
        <v>Sidok</v>
      </c>
      <c r="F503" s="68">
        <v>419</v>
      </c>
    </row>
    <row r="504" spans="1:6">
      <c r="A504" s="68" t="s">
        <v>1147</v>
      </c>
      <c r="B504" s="68" t="s">
        <v>1148</v>
      </c>
      <c r="C504" s="68" t="s">
        <v>1149</v>
      </c>
      <c r="D504" s="68" t="str">
        <f t="shared" si="7"/>
        <v>Buhara</v>
      </c>
      <c r="F504" s="68">
        <v>420</v>
      </c>
    </row>
    <row r="505" spans="1:6">
      <c r="A505" s="68" t="s">
        <v>1150</v>
      </c>
      <c r="B505" s="68" t="s">
        <v>1148</v>
      </c>
      <c r="C505" s="68" t="s">
        <v>1149</v>
      </c>
      <c r="D505" s="68" t="str">
        <f t="shared" si="7"/>
        <v>Butanda</v>
      </c>
      <c r="F505" s="68">
        <v>421</v>
      </c>
    </row>
    <row r="506" spans="1:6">
      <c r="A506" s="68" t="s">
        <v>1151</v>
      </c>
      <c r="B506" s="68" t="s">
        <v>1148</v>
      </c>
      <c r="C506" s="68" t="s">
        <v>1151</v>
      </c>
      <c r="D506" s="68" t="str">
        <f t="shared" si="7"/>
        <v>Kabale Municipality</v>
      </c>
      <c r="F506" s="68">
        <v>422</v>
      </c>
    </row>
    <row r="507" spans="1:6">
      <c r="A507" s="68" t="s">
        <v>1152</v>
      </c>
      <c r="D507" s="68" t="str">
        <f t="shared" si="7"/>
        <v>Kabale town</v>
      </c>
      <c r="F507" s="68">
        <v>422</v>
      </c>
    </row>
    <row r="508" spans="1:6">
      <c r="A508" s="68" t="s">
        <v>191</v>
      </c>
      <c r="D508" s="68" t="str">
        <f t="shared" si="7"/>
        <v>KABALE</v>
      </c>
      <c r="F508" s="68">
        <v>422</v>
      </c>
    </row>
    <row r="509" spans="1:6">
      <c r="A509" s="68" t="s">
        <v>1153</v>
      </c>
      <c r="B509" s="68" t="s">
        <v>1148</v>
      </c>
      <c r="C509" s="68" t="s">
        <v>1149</v>
      </c>
      <c r="D509" s="68" t="str">
        <f t="shared" si="7"/>
        <v>Kaharo</v>
      </c>
      <c r="F509" s="68">
        <v>423</v>
      </c>
    </row>
    <row r="510" spans="1:6">
      <c r="A510" s="68" t="s">
        <v>1154</v>
      </c>
      <c r="B510" s="68" t="s">
        <v>1148</v>
      </c>
      <c r="C510" s="68" t="s">
        <v>1149</v>
      </c>
      <c r="D510" s="68" t="str">
        <f t="shared" si="7"/>
        <v>Kamuganguzi</v>
      </c>
      <c r="F510" s="68">
        <v>424</v>
      </c>
    </row>
    <row r="511" spans="1:6">
      <c r="A511" s="68" t="s">
        <v>1155</v>
      </c>
      <c r="B511" s="68" t="s">
        <v>1148</v>
      </c>
      <c r="C511" s="68" t="s">
        <v>1149</v>
      </c>
      <c r="D511" s="68" t="str">
        <f t="shared" si="7"/>
        <v>Katuna Town Council</v>
      </c>
      <c r="F511" s="68">
        <v>425</v>
      </c>
    </row>
    <row r="512" spans="1:6">
      <c r="A512" s="68" t="s">
        <v>1156</v>
      </c>
      <c r="B512" s="68" t="s">
        <v>1148</v>
      </c>
      <c r="C512" s="68" t="s">
        <v>1149</v>
      </c>
      <c r="D512" s="68" t="str">
        <f t="shared" si="7"/>
        <v>Kitumba</v>
      </c>
      <c r="F512" s="68">
        <v>426</v>
      </c>
    </row>
    <row r="513" spans="1:6">
      <c r="A513" s="68" t="s">
        <v>1157</v>
      </c>
      <c r="B513" s="68" t="s">
        <v>1148</v>
      </c>
      <c r="C513" s="68" t="s">
        <v>1149</v>
      </c>
      <c r="D513" s="68" t="str">
        <f t="shared" si="7"/>
        <v>Kyanamira</v>
      </c>
      <c r="F513" s="68">
        <v>427</v>
      </c>
    </row>
    <row r="514" spans="1:6">
      <c r="A514" s="68" t="s">
        <v>1158</v>
      </c>
      <c r="B514" s="68" t="s">
        <v>1148</v>
      </c>
      <c r="C514" s="68" t="s">
        <v>1149</v>
      </c>
      <c r="D514" s="68" t="str">
        <f t="shared" ref="D514:D577" si="8">A514</f>
        <v>Maziba</v>
      </c>
      <c r="F514" s="68">
        <v>428</v>
      </c>
    </row>
    <row r="515" spans="1:6">
      <c r="A515" s="68" t="s">
        <v>1159</v>
      </c>
      <c r="B515" s="68" t="s">
        <v>1148</v>
      </c>
      <c r="C515" s="68" t="s">
        <v>1149</v>
      </c>
      <c r="D515" s="68" t="str">
        <f t="shared" si="8"/>
        <v>Rubaya-Kabale</v>
      </c>
      <c r="F515" s="68">
        <v>429</v>
      </c>
    </row>
    <row r="516" spans="1:6">
      <c r="A516" s="68" t="s">
        <v>1160</v>
      </c>
      <c r="B516" s="68" t="s">
        <v>1148</v>
      </c>
      <c r="C516" s="68" t="s">
        <v>1149</v>
      </c>
      <c r="D516" s="68" t="str">
        <f t="shared" si="8"/>
        <v>Ryakirimira Town Council</v>
      </c>
      <c r="F516" s="68">
        <v>430</v>
      </c>
    </row>
    <row r="517" spans="1:6">
      <c r="A517" s="68" t="s">
        <v>1161</v>
      </c>
      <c r="B517" s="68" t="s">
        <v>1162</v>
      </c>
      <c r="C517" s="68" t="s">
        <v>1163</v>
      </c>
      <c r="D517" s="68" t="str">
        <f t="shared" si="8"/>
        <v>Bukuuku</v>
      </c>
      <c r="F517" s="68">
        <v>431</v>
      </c>
    </row>
    <row r="518" spans="1:6">
      <c r="A518" s="68" t="s">
        <v>1164</v>
      </c>
      <c r="B518" s="68" t="s">
        <v>1162</v>
      </c>
      <c r="C518" s="68" t="s">
        <v>1163</v>
      </c>
      <c r="D518" s="68" t="str">
        <f t="shared" si="8"/>
        <v>Busoro</v>
      </c>
      <c r="F518" s="68">
        <v>432</v>
      </c>
    </row>
    <row r="519" spans="1:6">
      <c r="A519" s="68" t="s">
        <v>1165</v>
      </c>
      <c r="B519" s="68" t="s">
        <v>1162</v>
      </c>
      <c r="C519" s="68" t="s">
        <v>1165</v>
      </c>
      <c r="D519" s="68" t="str">
        <f t="shared" si="8"/>
        <v>Fort Portal Municipality</v>
      </c>
      <c r="F519" s="68">
        <v>433</v>
      </c>
    </row>
    <row r="520" spans="1:6">
      <c r="A520" s="68" t="s">
        <v>1166</v>
      </c>
      <c r="D520" s="68" t="str">
        <f t="shared" si="8"/>
        <v>Fortportal</v>
      </c>
      <c r="F520" s="68">
        <v>433</v>
      </c>
    </row>
    <row r="521" spans="1:6">
      <c r="A521" s="68" t="s">
        <v>1167</v>
      </c>
      <c r="D521" s="68" t="str">
        <f t="shared" si="8"/>
        <v>FORT PORTAL TOWN</v>
      </c>
      <c r="F521" s="68">
        <v>433</v>
      </c>
    </row>
    <row r="522" spans="1:6">
      <c r="A522" s="68" t="s">
        <v>1168</v>
      </c>
      <c r="D522" s="68" t="str">
        <f t="shared" si="8"/>
        <v>FORT PORTAL</v>
      </c>
      <c r="F522" s="68">
        <v>433</v>
      </c>
    </row>
    <row r="523" spans="1:6">
      <c r="A523" s="68" t="s">
        <v>1169</v>
      </c>
      <c r="B523" s="68" t="s">
        <v>1162</v>
      </c>
      <c r="C523" s="68" t="s">
        <v>1163</v>
      </c>
      <c r="D523" s="68" t="str">
        <f t="shared" si="8"/>
        <v>Hakibaale</v>
      </c>
      <c r="F523" s="68">
        <v>434</v>
      </c>
    </row>
    <row r="524" spans="1:6">
      <c r="A524" s="68" t="s">
        <v>1170</v>
      </c>
      <c r="B524" s="68" t="s">
        <v>1162</v>
      </c>
      <c r="C524" s="68" t="s">
        <v>1163</v>
      </c>
      <c r="D524" s="68" t="str">
        <f t="shared" si="8"/>
        <v>Karago Town Council</v>
      </c>
      <c r="F524" s="68">
        <v>435</v>
      </c>
    </row>
    <row r="525" spans="1:6">
      <c r="A525" s="68" t="s">
        <v>1171</v>
      </c>
      <c r="B525" s="68" t="s">
        <v>1162</v>
      </c>
      <c r="C525" s="68" t="s">
        <v>1163</v>
      </c>
      <c r="D525" s="68" t="str">
        <f t="shared" si="8"/>
        <v>Karambi-Kabarole</v>
      </c>
      <c r="F525" s="68">
        <v>436</v>
      </c>
    </row>
    <row r="526" spans="1:6">
      <c r="A526" s="68" t="s">
        <v>1172</v>
      </c>
      <c r="B526" s="68" t="s">
        <v>1162</v>
      </c>
      <c r="C526" s="68" t="s">
        <v>1163</v>
      </c>
      <c r="D526" s="68" t="str">
        <f t="shared" si="8"/>
        <v>Karangura</v>
      </c>
      <c r="F526" s="68">
        <v>437</v>
      </c>
    </row>
    <row r="527" spans="1:6">
      <c r="A527" s="68" t="s">
        <v>1173</v>
      </c>
      <c r="B527" s="68" t="s">
        <v>1162</v>
      </c>
      <c r="C527" s="68" t="s">
        <v>1163</v>
      </c>
      <c r="D527" s="68" t="str">
        <f t="shared" si="8"/>
        <v>Kasenda</v>
      </c>
      <c r="F527" s="68">
        <v>438</v>
      </c>
    </row>
    <row r="528" spans="1:6">
      <c r="A528" s="68" t="s">
        <v>1174</v>
      </c>
      <c r="B528" s="68" t="s">
        <v>1162</v>
      </c>
      <c r="C528" s="68" t="s">
        <v>1163</v>
      </c>
      <c r="D528" s="68" t="str">
        <f t="shared" si="8"/>
        <v>Kicwamba</v>
      </c>
      <c r="F528" s="68">
        <v>439</v>
      </c>
    </row>
    <row r="529" spans="1:6">
      <c r="A529" s="68" t="s">
        <v>1175</v>
      </c>
      <c r="B529" s="68" t="s">
        <v>1162</v>
      </c>
      <c r="C529" s="68" t="s">
        <v>1163</v>
      </c>
      <c r="D529" s="68" t="str">
        <f t="shared" si="8"/>
        <v>Kijura Town Council</v>
      </c>
      <c r="F529" s="68">
        <v>440</v>
      </c>
    </row>
    <row r="530" spans="1:6">
      <c r="A530" s="68" t="s">
        <v>1176</v>
      </c>
      <c r="B530" s="68" t="s">
        <v>1162</v>
      </c>
      <c r="C530" s="68" t="s">
        <v>1163</v>
      </c>
      <c r="D530" s="68" t="str">
        <f t="shared" si="8"/>
        <v>Kiko Town Council</v>
      </c>
      <c r="F530" s="68">
        <v>441</v>
      </c>
    </row>
    <row r="531" spans="1:6">
      <c r="A531" s="68" t="s">
        <v>1177</v>
      </c>
      <c r="B531" s="68" t="s">
        <v>1162</v>
      </c>
      <c r="C531" s="68" t="s">
        <v>1163</v>
      </c>
      <c r="D531" s="68" t="str">
        <f t="shared" si="8"/>
        <v>Mugusu</v>
      </c>
      <c r="F531" s="68">
        <v>442</v>
      </c>
    </row>
    <row r="532" spans="1:6">
      <c r="A532" s="68" t="s">
        <v>1178</v>
      </c>
      <c r="B532" s="68" t="s">
        <v>1162</v>
      </c>
      <c r="C532" s="68" t="s">
        <v>1163</v>
      </c>
      <c r="D532" s="68" t="str">
        <f t="shared" si="8"/>
        <v>Mugusu Town Council</v>
      </c>
      <c r="F532" s="68">
        <v>443</v>
      </c>
    </row>
    <row r="533" spans="1:6">
      <c r="A533" s="68" t="s">
        <v>1179</v>
      </c>
      <c r="B533" s="68" t="s">
        <v>1162</v>
      </c>
      <c r="C533" s="68" t="s">
        <v>1163</v>
      </c>
      <c r="D533" s="68" t="str">
        <f t="shared" si="8"/>
        <v>Ruteete-Kabarole</v>
      </c>
      <c r="F533" s="68">
        <v>444</v>
      </c>
    </row>
    <row r="534" spans="1:6">
      <c r="A534" s="68" t="s">
        <v>1180</v>
      </c>
      <c r="B534" s="68" t="s">
        <v>1181</v>
      </c>
      <c r="C534" s="68" t="s">
        <v>1181</v>
      </c>
      <c r="D534" s="68" t="str">
        <f t="shared" si="8"/>
        <v>Alwa</v>
      </c>
      <c r="F534" s="68">
        <v>445</v>
      </c>
    </row>
    <row r="535" spans="1:6">
      <c r="A535" s="68" t="s">
        <v>1182</v>
      </c>
      <c r="B535" s="68" t="s">
        <v>1181</v>
      </c>
      <c r="C535" s="68" t="s">
        <v>1183</v>
      </c>
      <c r="D535" s="68" t="str">
        <f t="shared" si="8"/>
        <v>Anyara</v>
      </c>
      <c r="F535" s="68">
        <v>446</v>
      </c>
    </row>
    <row r="536" spans="1:6">
      <c r="A536" s="68" t="s">
        <v>1184</v>
      </c>
      <c r="B536" s="68" t="s">
        <v>1181</v>
      </c>
      <c r="C536" s="68" t="s">
        <v>1183</v>
      </c>
      <c r="D536" s="68" t="str">
        <f t="shared" si="8"/>
        <v>Apapai</v>
      </c>
      <c r="F536" s="68">
        <v>447</v>
      </c>
    </row>
    <row r="537" spans="1:6">
      <c r="A537" s="68" t="s">
        <v>1185</v>
      </c>
      <c r="B537" s="68" t="s">
        <v>1181</v>
      </c>
      <c r="C537" s="68" t="s">
        <v>1181</v>
      </c>
      <c r="D537" s="68" t="str">
        <f t="shared" si="8"/>
        <v>Aperkira</v>
      </c>
      <c r="F537" s="68">
        <v>448</v>
      </c>
    </row>
    <row r="538" spans="1:6">
      <c r="A538" s="68" t="s">
        <v>1186</v>
      </c>
      <c r="B538" s="68" t="s">
        <v>1181</v>
      </c>
      <c r="C538" s="68" t="s">
        <v>1183</v>
      </c>
      <c r="D538" s="68" t="str">
        <f t="shared" si="8"/>
        <v>Bululu</v>
      </c>
      <c r="F538" s="68">
        <v>449</v>
      </c>
    </row>
    <row r="539" spans="1:6">
      <c r="A539" s="68" t="s">
        <v>1181</v>
      </c>
      <c r="B539" s="68" t="s">
        <v>1181</v>
      </c>
      <c r="C539" s="68" t="s">
        <v>1181</v>
      </c>
      <c r="D539" s="68" t="str">
        <f t="shared" si="8"/>
        <v>Kaberamaido</v>
      </c>
      <c r="F539" s="68">
        <v>450</v>
      </c>
    </row>
    <row r="540" spans="1:6">
      <c r="A540" s="68" t="s">
        <v>1187</v>
      </c>
      <c r="B540" s="68" t="s">
        <v>1181</v>
      </c>
      <c r="C540" s="68" t="s">
        <v>1181</v>
      </c>
      <c r="D540" s="68" t="str">
        <f t="shared" si="8"/>
        <v>Kaberamaido Town Council</v>
      </c>
      <c r="F540" s="68">
        <v>451</v>
      </c>
    </row>
    <row r="541" spans="1:6">
      <c r="A541" s="68" t="s">
        <v>1188</v>
      </c>
      <c r="B541" s="68" t="s">
        <v>1181</v>
      </c>
      <c r="C541" s="68" t="s">
        <v>1183</v>
      </c>
      <c r="D541" s="68" t="str">
        <f t="shared" si="8"/>
        <v>Kakure</v>
      </c>
      <c r="F541" s="68">
        <v>452</v>
      </c>
    </row>
    <row r="542" spans="1:6">
      <c r="A542" s="68" t="s">
        <v>1183</v>
      </c>
      <c r="B542" s="68" t="s">
        <v>1181</v>
      </c>
      <c r="C542" s="68" t="s">
        <v>1183</v>
      </c>
      <c r="D542" s="68" t="str">
        <f t="shared" si="8"/>
        <v>Kalaki</v>
      </c>
      <c r="F542" s="68">
        <v>453</v>
      </c>
    </row>
    <row r="543" spans="1:6">
      <c r="A543" s="68" t="s">
        <v>1189</v>
      </c>
      <c r="B543" s="68" t="s">
        <v>1181</v>
      </c>
      <c r="C543" s="68" t="s">
        <v>1181</v>
      </c>
      <c r="D543" s="68" t="str">
        <f t="shared" si="8"/>
        <v>Kobulubulu</v>
      </c>
      <c r="F543" s="68">
        <v>454</v>
      </c>
    </row>
    <row r="544" spans="1:6">
      <c r="A544" s="68" t="s">
        <v>1190</v>
      </c>
      <c r="B544" s="68" t="s">
        <v>1181</v>
      </c>
      <c r="C544" s="68" t="s">
        <v>1181</v>
      </c>
      <c r="D544" s="68" t="str">
        <f t="shared" si="8"/>
        <v>Ochero</v>
      </c>
      <c r="F544" s="68">
        <v>455</v>
      </c>
    </row>
    <row r="545" spans="1:6">
      <c r="A545" s="68" t="s">
        <v>1191</v>
      </c>
      <c r="B545" s="68" t="s">
        <v>1181</v>
      </c>
      <c r="C545" s="68" t="s">
        <v>1183</v>
      </c>
      <c r="D545" s="68" t="str">
        <f t="shared" si="8"/>
        <v>Otuboi</v>
      </c>
      <c r="F545" s="68">
        <v>456</v>
      </c>
    </row>
    <row r="546" spans="1:6">
      <c r="A546" s="68" t="s">
        <v>1192</v>
      </c>
      <c r="B546" s="68" t="s">
        <v>1193</v>
      </c>
      <c r="C546" s="68" t="s">
        <v>1194</v>
      </c>
      <c r="D546" s="68" t="str">
        <f t="shared" si="8"/>
        <v>Burora</v>
      </c>
      <c r="F546" s="68">
        <v>457</v>
      </c>
    </row>
    <row r="547" spans="1:6">
      <c r="A547" s="68" t="s">
        <v>1195</v>
      </c>
      <c r="B547" s="68" t="s">
        <v>1193</v>
      </c>
      <c r="C547" s="68" t="s">
        <v>1194</v>
      </c>
      <c r="D547" s="68" t="str">
        <f t="shared" si="8"/>
        <v>Bwikara</v>
      </c>
      <c r="F547" s="68">
        <v>458</v>
      </c>
    </row>
    <row r="548" spans="1:6">
      <c r="A548" s="68" t="s">
        <v>1196</v>
      </c>
      <c r="B548" s="68" t="s">
        <v>1193</v>
      </c>
      <c r="C548" s="68" t="s">
        <v>1194</v>
      </c>
      <c r="D548" s="68" t="str">
        <f t="shared" si="8"/>
        <v>Kabamba</v>
      </c>
      <c r="F548" s="68">
        <v>459</v>
      </c>
    </row>
    <row r="549" spans="1:6">
      <c r="A549" s="68" t="s">
        <v>1193</v>
      </c>
      <c r="B549" s="68" t="s">
        <v>1193</v>
      </c>
      <c r="C549" s="68" t="s">
        <v>1194</v>
      </c>
      <c r="D549" s="68" t="str">
        <f t="shared" si="8"/>
        <v>Kagadi</v>
      </c>
      <c r="F549" s="68">
        <v>460</v>
      </c>
    </row>
    <row r="550" spans="1:6">
      <c r="A550" s="68" t="s">
        <v>1197</v>
      </c>
      <c r="B550" s="68" t="s">
        <v>1193</v>
      </c>
      <c r="C550" s="68" t="s">
        <v>1194</v>
      </c>
      <c r="D550" s="68" t="str">
        <f t="shared" si="8"/>
        <v>Kagadi Town Council</v>
      </c>
      <c r="F550" s="68">
        <v>461</v>
      </c>
    </row>
    <row r="551" spans="1:6">
      <c r="A551" s="68" t="s">
        <v>1198</v>
      </c>
      <c r="B551" s="68" t="s">
        <v>1193</v>
      </c>
      <c r="C551" s="68" t="s">
        <v>1194</v>
      </c>
      <c r="D551" s="68" t="str">
        <f t="shared" si="8"/>
        <v>Kiryanga</v>
      </c>
      <c r="F551" s="68">
        <v>462</v>
      </c>
    </row>
    <row r="552" spans="1:6">
      <c r="A552" s="68" t="s">
        <v>1199</v>
      </c>
      <c r="B552" s="68" t="s">
        <v>1193</v>
      </c>
      <c r="C552" s="68" t="s">
        <v>1194</v>
      </c>
      <c r="D552" s="68" t="str">
        <f t="shared" si="8"/>
        <v>Kyakabadiima</v>
      </c>
      <c r="F552" s="68">
        <v>463</v>
      </c>
    </row>
    <row r="553" spans="1:6">
      <c r="A553" s="68" t="s">
        <v>1200</v>
      </c>
      <c r="B553" s="68" t="s">
        <v>1193</v>
      </c>
      <c r="C553" s="68" t="s">
        <v>1194</v>
      </c>
      <c r="D553" s="68" t="str">
        <f t="shared" si="8"/>
        <v>Kyanaisoke</v>
      </c>
      <c r="F553" s="68">
        <v>464</v>
      </c>
    </row>
    <row r="554" spans="1:6">
      <c r="A554" s="68" t="s">
        <v>1201</v>
      </c>
      <c r="B554" s="68" t="s">
        <v>1193</v>
      </c>
      <c r="C554" s="68" t="s">
        <v>1194</v>
      </c>
      <c r="D554" s="68" t="str">
        <f t="shared" si="8"/>
        <v>Kyaterekera</v>
      </c>
      <c r="F554" s="68">
        <v>465</v>
      </c>
    </row>
    <row r="555" spans="1:6">
      <c r="A555" s="68" t="s">
        <v>1202</v>
      </c>
      <c r="B555" s="68" t="s">
        <v>1193</v>
      </c>
      <c r="C555" s="68" t="s">
        <v>1194</v>
      </c>
      <c r="D555" s="68" t="str">
        <f t="shared" si="8"/>
        <v>Kyenzige</v>
      </c>
      <c r="F555" s="68">
        <v>466</v>
      </c>
    </row>
    <row r="556" spans="1:6">
      <c r="A556" s="68" t="s">
        <v>1203</v>
      </c>
      <c r="B556" s="68" t="s">
        <v>1193</v>
      </c>
      <c r="C556" s="68" t="s">
        <v>1194</v>
      </c>
      <c r="D556" s="68" t="str">
        <f t="shared" si="8"/>
        <v>Mabaale</v>
      </c>
      <c r="F556" s="68">
        <v>467</v>
      </c>
    </row>
    <row r="557" spans="1:6">
      <c r="A557" s="68" t="s">
        <v>1204</v>
      </c>
      <c r="B557" s="68" t="s">
        <v>1193</v>
      </c>
      <c r="C557" s="68" t="s">
        <v>1194</v>
      </c>
      <c r="D557" s="68" t="str">
        <f t="shared" si="8"/>
        <v>Mpeefu</v>
      </c>
      <c r="F557" s="68">
        <v>468</v>
      </c>
    </row>
    <row r="558" spans="1:6">
      <c r="A558" s="68" t="s">
        <v>1205</v>
      </c>
      <c r="B558" s="68" t="s">
        <v>1193</v>
      </c>
      <c r="C558" s="68" t="s">
        <v>1194</v>
      </c>
      <c r="D558" s="68" t="str">
        <f t="shared" si="8"/>
        <v>Muhorro</v>
      </c>
      <c r="F558" s="68">
        <v>469</v>
      </c>
    </row>
    <row r="559" spans="1:6">
      <c r="A559" s="68" t="s">
        <v>1206</v>
      </c>
      <c r="B559" s="68" t="s">
        <v>1193</v>
      </c>
      <c r="C559" s="68" t="s">
        <v>1194</v>
      </c>
      <c r="D559" s="68" t="str">
        <f t="shared" si="8"/>
        <v>Muhorro Town Council</v>
      </c>
      <c r="F559" s="68">
        <v>470</v>
      </c>
    </row>
    <row r="560" spans="1:6">
      <c r="A560" s="68" t="s">
        <v>1207</v>
      </c>
      <c r="B560" s="68" t="s">
        <v>1193</v>
      </c>
      <c r="C560" s="68" t="s">
        <v>1194</v>
      </c>
      <c r="D560" s="68" t="str">
        <f t="shared" si="8"/>
        <v>Ndaiga</v>
      </c>
      <c r="F560" s="68">
        <v>471</v>
      </c>
    </row>
    <row r="561" spans="1:6">
      <c r="A561" s="68" t="s">
        <v>1208</v>
      </c>
      <c r="B561" s="68" t="s">
        <v>1193</v>
      </c>
      <c r="C561" s="68" t="s">
        <v>1194</v>
      </c>
      <c r="D561" s="68" t="str">
        <f t="shared" si="8"/>
        <v>Paacwa</v>
      </c>
      <c r="F561" s="68">
        <v>472</v>
      </c>
    </row>
    <row r="562" spans="1:6">
      <c r="A562" s="68" t="s">
        <v>1209</v>
      </c>
      <c r="B562" s="68" t="s">
        <v>1193</v>
      </c>
      <c r="C562" s="68" t="s">
        <v>1194</v>
      </c>
      <c r="D562" s="68" t="str">
        <f t="shared" si="8"/>
        <v>Rugashari</v>
      </c>
      <c r="F562" s="68">
        <v>473</v>
      </c>
    </row>
    <row r="563" spans="1:6">
      <c r="A563" s="68" t="s">
        <v>1210</v>
      </c>
      <c r="B563" s="68" t="s">
        <v>1193</v>
      </c>
      <c r="C563" s="68" t="s">
        <v>1194</v>
      </c>
      <c r="D563" s="68" t="str">
        <f t="shared" si="8"/>
        <v>Ruteete-Kagadi</v>
      </c>
      <c r="F563" s="68">
        <v>474</v>
      </c>
    </row>
    <row r="564" spans="1:6">
      <c r="A564" s="68" t="s">
        <v>1211</v>
      </c>
      <c r="B564" s="68" t="s">
        <v>1212</v>
      </c>
      <c r="C564" s="68" t="s">
        <v>1213</v>
      </c>
      <c r="D564" s="68" t="str">
        <f t="shared" si="8"/>
        <v>Birembo</v>
      </c>
      <c r="F564" s="68">
        <v>475</v>
      </c>
    </row>
    <row r="565" spans="1:6">
      <c r="A565" s="68" t="s">
        <v>1214</v>
      </c>
      <c r="B565" s="68" t="s">
        <v>1212</v>
      </c>
      <c r="C565" s="68" t="s">
        <v>1213</v>
      </c>
      <c r="D565" s="68" t="str">
        <f t="shared" si="8"/>
        <v>Bwanswa</v>
      </c>
      <c r="F565" s="68">
        <v>476</v>
      </c>
    </row>
    <row r="566" spans="1:6">
      <c r="A566" s="68" t="s">
        <v>1215</v>
      </c>
      <c r="B566" s="68" t="s">
        <v>1212</v>
      </c>
      <c r="C566" s="68" t="s">
        <v>1213</v>
      </c>
      <c r="D566" s="68" t="str">
        <f t="shared" si="8"/>
        <v>Kakindo</v>
      </c>
      <c r="F566" s="68">
        <v>477</v>
      </c>
    </row>
    <row r="567" spans="1:6">
      <c r="A567" s="68" t="s">
        <v>1216</v>
      </c>
      <c r="B567" s="68" t="s">
        <v>1212</v>
      </c>
      <c r="C567" s="68" t="s">
        <v>1213</v>
      </c>
      <c r="D567" s="68" t="str">
        <f t="shared" si="8"/>
        <v>Kakumiro Town Council</v>
      </c>
      <c r="F567" s="68">
        <v>478</v>
      </c>
    </row>
    <row r="568" spans="1:6">
      <c r="A568" s="68" t="s">
        <v>1217</v>
      </c>
      <c r="D568" s="68" t="str">
        <f t="shared" si="8"/>
        <v>KAKUMIRO TOWN</v>
      </c>
      <c r="F568" s="68">
        <v>478</v>
      </c>
    </row>
    <row r="569" spans="1:6">
      <c r="A569" s="68" t="s">
        <v>1218</v>
      </c>
      <c r="B569" s="68" t="s">
        <v>1212</v>
      </c>
      <c r="C569" s="68" t="s">
        <v>1213</v>
      </c>
      <c r="D569" s="68" t="str">
        <f t="shared" si="8"/>
        <v>Kasambya-Kakumiro</v>
      </c>
      <c r="F569" s="68">
        <v>479</v>
      </c>
    </row>
    <row r="570" spans="1:6">
      <c r="A570" s="68" t="s">
        <v>1219</v>
      </c>
      <c r="B570" s="68" t="s">
        <v>1212</v>
      </c>
      <c r="C570" s="68" t="s">
        <v>1213</v>
      </c>
      <c r="D570" s="68" t="str">
        <f t="shared" si="8"/>
        <v>Kikwaya</v>
      </c>
      <c r="F570" s="68">
        <v>480</v>
      </c>
    </row>
    <row r="571" spans="1:6">
      <c r="A571" s="68" t="s">
        <v>1220</v>
      </c>
      <c r="B571" s="68" t="s">
        <v>1212</v>
      </c>
      <c r="C571" s="68" t="s">
        <v>1213</v>
      </c>
      <c r="D571" s="68" t="str">
        <f t="shared" si="8"/>
        <v>Kisiita</v>
      </c>
      <c r="F571" s="68">
        <v>481</v>
      </c>
    </row>
    <row r="572" spans="1:6">
      <c r="A572" s="68" t="s">
        <v>1221</v>
      </c>
      <c r="B572" s="68" t="s">
        <v>1212</v>
      </c>
      <c r="C572" s="68" t="s">
        <v>1213</v>
      </c>
      <c r="D572" s="68" t="str">
        <f t="shared" si="8"/>
        <v>Kitaihuka</v>
      </c>
      <c r="F572" s="68">
        <v>482</v>
      </c>
    </row>
    <row r="573" spans="1:6">
      <c r="A573" s="68" t="s">
        <v>1222</v>
      </c>
      <c r="B573" s="68" t="s">
        <v>1212</v>
      </c>
      <c r="C573" s="68" t="s">
        <v>1213</v>
      </c>
      <c r="D573" s="68" t="str">
        <f t="shared" si="8"/>
        <v>Mpasaana</v>
      </c>
      <c r="F573" s="68">
        <v>483</v>
      </c>
    </row>
    <row r="574" spans="1:6">
      <c r="A574" s="68" t="s">
        <v>1223</v>
      </c>
      <c r="B574" s="68" t="s">
        <v>1212</v>
      </c>
      <c r="C574" s="68" t="s">
        <v>1213</v>
      </c>
      <c r="D574" s="68" t="str">
        <f t="shared" si="8"/>
        <v>Nalweyo</v>
      </c>
      <c r="F574" s="68">
        <v>484</v>
      </c>
    </row>
    <row r="575" spans="1:6">
      <c r="A575" s="68" t="s">
        <v>1224</v>
      </c>
      <c r="B575" s="68" t="s">
        <v>1212</v>
      </c>
      <c r="C575" s="68" t="s">
        <v>1213</v>
      </c>
      <c r="D575" s="68" t="str">
        <f t="shared" si="8"/>
        <v>Nkooko</v>
      </c>
      <c r="F575" s="68">
        <v>485</v>
      </c>
    </row>
    <row r="576" spans="1:6">
      <c r="A576" s="68" t="s">
        <v>1225</v>
      </c>
      <c r="B576" s="68" t="s">
        <v>1226</v>
      </c>
      <c r="C576" s="68" t="s">
        <v>1227</v>
      </c>
      <c r="D576" s="68" t="str">
        <f t="shared" si="8"/>
        <v>Bubeke</v>
      </c>
      <c r="F576" s="68">
        <v>486</v>
      </c>
    </row>
    <row r="577" spans="1:6">
      <c r="A577" s="68" t="s">
        <v>1228</v>
      </c>
      <c r="B577" s="68" t="s">
        <v>1226</v>
      </c>
      <c r="C577" s="68" t="s">
        <v>1227</v>
      </c>
      <c r="D577" s="68" t="str">
        <f t="shared" si="8"/>
        <v>Bufumira</v>
      </c>
      <c r="F577" s="68">
        <v>487</v>
      </c>
    </row>
    <row r="578" spans="1:6">
      <c r="A578" s="68" t="s">
        <v>1229</v>
      </c>
      <c r="B578" s="68" t="s">
        <v>1226</v>
      </c>
      <c r="C578" s="68" t="s">
        <v>1229</v>
      </c>
      <c r="D578" s="68" t="str">
        <f t="shared" ref="D578:D641" si="9">A578</f>
        <v>Bujumba</v>
      </c>
      <c r="F578" s="68">
        <v>488</v>
      </c>
    </row>
    <row r="579" spans="1:6">
      <c r="A579" s="68" t="s">
        <v>1230</v>
      </c>
      <c r="B579" s="68" t="s">
        <v>1226</v>
      </c>
      <c r="C579" s="68" t="s">
        <v>1229</v>
      </c>
      <c r="D579" s="68" t="str">
        <f t="shared" si="9"/>
        <v>Kalangala Town Council</v>
      </c>
      <c r="F579" s="68">
        <v>489</v>
      </c>
    </row>
    <row r="580" spans="1:6">
      <c r="A580" s="68" t="s">
        <v>1227</v>
      </c>
      <c r="B580" s="68" t="s">
        <v>1226</v>
      </c>
      <c r="C580" s="68" t="s">
        <v>1227</v>
      </c>
      <c r="D580" s="68" t="str">
        <f t="shared" si="9"/>
        <v>Kyamuswa</v>
      </c>
      <c r="F580" s="68">
        <v>490</v>
      </c>
    </row>
    <row r="581" spans="1:6">
      <c r="A581" s="68" t="s">
        <v>1231</v>
      </c>
      <c r="B581" s="68" t="s">
        <v>1226</v>
      </c>
      <c r="C581" s="68" t="s">
        <v>1227</v>
      </c>
      <c r="D581" s="68" t="str">
        <f t="shared" si="9"/>
        <v>Mazinga</v>
      </c>
      <c r="F581" s="68">
        <v>491</v>
      </c>
    </row>
    <row r="582" spans="1:6">
      <c r="A582" s="68" t="s">
        <v>1232</v>
      </c>
      <c r="B582" s="68" t="s">
        <v>1226</v>
      </c>
      <c r="C582" s="68" t="s">
        <v>1229</v>
      </c>
      <c r="D582" s="68" t="str">
        <f t="shared" si="9"/>
        <v>Mugoye</v>
      </c>
      <c r="F582" s="68">
        <v>492</v>
      </c>
    </row>
    <row r="583" spans="1:6">
      <c r="A583" s="68" t="s">
        <v>1233</v>
      </c>
      <c r="B583" s="68" t="s">
        <v>1234</v>
      </c>
      <c r="C583" s="68" t="s">
        <v>1073</v>
      </c>
      <c r="D583" s="68" t="str">
        <f t="shared" si="9"/>
        <v>Budomero</v>
      </c>
      <c r="F583" s="68">
        <v>493</v>
      </c>
    </row>
    <row r="584" spans="1:6">
      <c r="A584" s="68" t="s">
        <v>1235</v>
      </c>
      <c r="B584" s="68" t="s">
        <v>1234</v>
      </c>
      <c r="C584" s="68" t="s">
        <v>1073</v>
      </c>
      <c r="D584" s="68" t="str">
        <f t="shared" si="9"/>
        <v>Bukamba</v>
      </c>
      <c r="F584" s="68">
        <v>494</v>
      </c>
    </row>
    <row r="585" spans="1:6">
      <c r="A585" s="68" t="s">
        <v>1236</v>
      </c>
      <c r="B585" s="68" t="s">
        <v>1234</v>
      </c>
      <c r="C585" s="68" t="s">
        <v>1073</v>
      </c>
      <c r="D585" s="68" t="str">
        <f t="shared" si="9"/>
        <v>Bumanya</v>
      </c>
      <c r="F585" s="68">
        <v>495</v>
      </c>
    </row>
    <row r="586" spans="1:6">
      <c r="A586" s="68" t="s">
        <v>1237</v>
      </c>
      <c r="B586" s="68" t="s">
        <v>1234</v>
      </c>
      <c r="C586" s="68" t="s">
        <v>1073</v>
      </c>
      <c r="D586" s="68" t="str">
        <f t="shared" si="9"/>
        <v>Buyinda</v>
      </c>
      <c r="F586" s="68">
        <v>496</v>
      </c>
    </row>
    <row r="587" spans="1:6">
      <c r="A587" s="68" t="s">
        <v>1238</v>
      </c>
      <c r="B587" s="68" t="s">
        <v>1234</v>
      </c>
      <c r="C587" s="68" t="s">
        <v>1073</v>
      </c>
      <c r="D587" s="68" t="str">
        <f t="shared" si="9"/>
        <v>Gadumire</v>
      </c>
      <c r="F587" s="68">
        <v>497</v>
      </c>
    </row>
    <row r="588" spans="1:6">
      <c r="A588" s="68" t="s">
        <v>1239</v>
      </c>
      <c r="B588" s="68" t="s">
        <v>1234</v>
      </c>
      <c r="C588" s="68" t="s">
        <v>1073</v>
      </c>
      <c r="D588" s="68" t="str">
        <f t="shared" si="9"/>
        <v>Kaliro Town Council</v>
      </c>
      <c r="F588" s="68">
        <v>498</v>
      </c>
    </row>
    <row r="589" spans="1:6">
      <c r="A589" s="68" t="s">
        <v>1240</v>
      </c>
      <c r="D589" s="68" t="str">
        <f t="shared" si="9"/>
        <v>KALIRO TOWN</v>
      </c>
      <c r="F589" s="68">
        <v>498</v>
      </c>
    </row>
    <row r="590" spans="1:6">
      <c r="A590" s="68" t="s">
        <v>1241</v>
      </c>
      <c r="B590" s="68" t="s">
        <v>1234</v>
      </c>
      <c r="C590" s="68" t="s">
        <v>1073</v>
      </c>
      <c r="D590" s="68" t="str">
        <f t="shared" si="9"/>
        <v>Kasokwe</v>
      </c>
      <c r="F590" s="68">
        <v>499</v>
      </c>
    </row>
    <row r="591" spans="1:6">
      <c r="A591" s="68" t="s">
        <v>1242</v>
      </c>
      <c r="B591" s="68" t="s">
        <v>1234</v>
      </c>
      <c r="C591" s="68" t="s">
        <v>1073</v>
      </c>
      <c r="D591" s="68" t="str">
        <f t="shared" si="9"/>
        <v>Kisinda</v>
      </c>
      <c r="F591" s="68">
        <v>500</v>
      </c>
    </row>
    <row r="592" spans="1:6">
      <c r="A592" s="68" t="s">
        <v>1243</v>
      </c>
      <c r="B592" s="68" t="s">
        <v>1234</v>
      </c>
      <c r="C592" s="68" t="s">
        <v>1073</v>
      </c>
      <c r="D592" s="68" t="str">
        <f t="shared" si="9"/>
        <v>Namugongo-Kaliro</v>
      </c>
      <c r="F592" s="68">
        <v>501</v>
      </c>
    </row>
    <row r="593" spans="1:6">
      <c r="A593" s="68" t="s">
        <v>1244</v>
      </c>
      <c r="B593" s="68" t="s">
        <v>1234</v>
      </c>
      <c r="C593" s="68" t="s">
        <v>1073</v>
      </c>
      <c r="D593" s="68" t="str">
        <f t="shared" si="9"/>
        <v>Namwiwa</v>
      </c>
      <c r="F593" s="68">
        <v>502</v>
      </c>
    </row>
    <row r="594" spans="1:6">
      <c r="A594" s="68" t="s">
        <v>1245</v>
      </c>
      <c r="B594" s="68" t="s">
        <v>1234</v>
      </c>
      <c r="C594" s="68" t="s">
        <v>1073</v>
      </c>
      <c r="D594" s="68" t="str">
        <f t="shared" si="9"/>
        <v>Nansololo</v>
      </c>
      <c r="F594" s="68">
        <v>503</v>
      </c>
    </row>
    <row r="595" spans="1:6">
      <c r="A595" s="68" t="s">
        <v>1246</v>
      </c>
      <c r="B595" s="68" t="s">
        <v>1234</v>
      </c>
      <c r="C595" s="68" t="s">
        <v>1073</v>
      </c>
      <c r="D595" s="68" t="str">
        <f t="shared" si="9"/>
        <v>Nawaikoke</v>
      </c>
      <c r="F595" s="68">
        <v>504</v>
      </c>
    </row>
    <row r="596" spans="1:6">
      <c r="A596" s="68" t="s">
        <v>1247</v>
      </c>
      <c r="B596" s="68" t="s">
        <v>1248</v>
      </c>
      <c r="C596" s="68" t="s">
        <v>1248</v>
      </c>
      <c r="D596" s="68" t="str">
        <f t="shared" si="9"/>
        <v>Bukulula</v>
      </c>
      <c r="F596" s="68">
        <v>505</v>
      </c>
    </row>
    <row r="597" spans="1:6">
      <c r="A597" s="68" t="s">
        <v>1248</v>
      </c>
      <c r="B597" s="68" t="s">
        <v>1248</v>
      </c>
      <c r="C597" s="68" t="s">
        <v>1248</v>
      </c>
      <c r="D597" s="68" t="str">
        <f t="shared" si="9"/>
        <v>Kalungu</v>
      </c>
      <c r="F597" s="68">
        <v>506</v>
      </c>
    </row>
    <row r="598" spans="1:6">
      <c r="A598" s="68" t="s">
        <v>1249</v>
      </c>
      <c r="B598" s="68" t="s">
        <v>1248</v>
      </c>
      <c r="C598" s="68" t="s">
        <v>1248</v>
      </c>
      <c r="D598" s="68" t="str">
        <f t="shared" si="9"/>
        <v>Kalungu Town Council</v>
      </c>
      <c r="F598" s="68">
        <v>507</v>
      </c>
    </row>
    <row r="599" spans="1:6">
      <c r="A599" s="68" t="s">
        <v>1250</v>
      </c>
      <c r="B599" s="68" t="s">
        <v>1248</v>
      </c>
      <c r="C599" s="68" t="s">
        <v>1248</v>
      </c>
      <c r="D599" s="68" t="str">
        <f t="shared" si="9"/>
        <v>Kyamulibwa</v>
      </c>
      <c r="F599" s="68">
        <v>508</v>
      </c>
    </row>
    <row r="600" spans="1:6">
      <c r="A600" s="68" t="s">
        <v>1251</v>
      </c>
      <c r="B600" s="68" t="s">
        <v>1248</v>
      </c>
      <c r="C600" s="68" t="s">
        <v>1248</v>
      </c>
      <c r="D600" s="68" t="str">
        <f t="shared" si="9"/>
        <v>Kyamulibwa Town Council</v>
      </c>
      <c r="F600" s="68">
        <v>509</v>
      </c>
    </row>
    <row r="601" spans="1:6">
      <c r="A601" s="68" t="s">
        <v>1252</v>
      </c>
      <c r="B601" s="68" t="s">
        <v>1248</v>
      </c>
      <c r="C601" s="68" t="s">
        <v>1248</v>
      </c>
      <c r="D601" s="68" t="str">
        <f t="shared" si="9"/>
        <v>Lukaya Town Council</v>
      </c>
      <c r="F601" s="68">
        <v>510</v>
      </c>
    </row>
    <row r="602" spans="1:6">
      <c r="A602" s="68" t="s">
        <v>1253</v>
      </c>
      <c r="B602" s="68" t="s">
        <v>1248</v>
      </c>
      <c r="C602" s="68" t="s">
        <v>1248</v>
      </c>
      <c r="D602" s="68" t="str">
        <f t="shared" si="9"/>
        <v>Lwabenge</v>
      </c>
      <c r="F602" s="68">
        <v>511</v>
      </c>
    </row>
    <row r="603" spans="1:6">
      <c r="A603" s="68" t="s">
        <v>1254</v>
      </c>
      <c r="B603" s="68" t="s">
        <v>1255</v>
      </c>
      <c r="C603" s="68" t="s">
        <v>1256</v>
      </c>
      <c r="D603" s="68" t="str">
        <f t="shared" si="9"/>
        <v>Banda</v>
      </c>
      <c r="E603" s="68" t="str">
        <f>A603</f>
        <v>Banda</v>
      </c>
      <c r="F603" s="68">
        <v>512</v>
      </c>
    </row>
    <row r="604" spans="1:6">
      <c r="A604" s="68" t="s">
        <v>1258</v>
      </c>
      <c r="B604" s="68" t="s">
        <v>1255</v>
      </c>
      <c r="C604" s="68" t="s">
        <v>1256</v>
      </c>
      <c r="D604" s="68" t="str">
        <f t="shared" si="9"/>
        <v>Bugolobi</v>
      </c>
      <c r="E604" s="68" t="str">
        <f>A604</f>
        <v>Bugolobi</v>
      </c>
      <c r="F604" s="68">
        <v>513</v>
      </c>
    </row>
    <row r="605" spans="1:6">
      <c r="A605" s="68" t="s">
        <v>1259</v>
      </c>
      <c r="D605" s="68" t="str">
        <f t="shared" si="9"/>
        <v>Namuwonge</v>
      </c>
      <c r="F605" s="68">
        <v>513</v>
      </c>
    </row>
    <row r="606" spans="1:6">
      <c r="A606" s="68" t="s">
        <v>1260</v>
      </c>
      <c r="D606" s="68" t="str">
        <f t="shared" si="9"/>
        <v>Village mall</v>
      </c>
      <c r="F606" s="68">
        <v>513</v>
      </c>
    </row>
    <row r="607" spans="1:6">
      <c r="A607" s="68" t="s">
        <v>1261</v>
      </c>
      <c r="D607" s="68" t="str">
        <f t="shared" si="9"/>
        <v>VILLAGE MLL</v>
      </c>
      <c r="F607" s="68">
        <v>513</v>
      </c>
    </row>
    <row r="608" spans="1:6">
      <c r="A608" s="68" t="s">
        <v>1262</v>
      </c>
      <c r="D608" s="68" t="str">
        <f t="shared" si="9"/>
        <v>Namuwongo</v>
      </c>
      <c r="F608" s="68">
        <v>513</v>
      </c>
    </row>
    <row r="609" spans="1:6">
      <c r="A609" s="68" t="s">
        <v>1263</v>
      </c>
      <c r="D609" s="68" t="str">
        <f t="shared" si="9"/>
        <v>WABIGOLO</v>
      </c>
      <c r="F609" s="68">
        <v>513</v>
      </c>
    </row>
    <row r="610" spans="1:6">
      <c r="A610" s="68" t="s">
        <v>1264</v>
      </c>
      <c r="D610" s="68" t="str">
        <f t="shared" si="9"/>
        <v>IHK</v>
      </c>
      <c r="F610" s="68">
        <v>513</v>
      </c>
    </row>
    <row r="611" spans="1:6">
      <c r="A611" s="68" t="s">
        <v>1265</v>
      </c>
      <c r="D611" s="68" t="str">
        <f t="shared" si="9"/>
        <v>Tanka</v>
      </c>
      <c r="F611" s="68">
        <v>513</v>
      </c>
    </row>
    <row r="612" spans="1:6">
      <c r="A612" s="68" t="s">
        <v>1266</v>
      </c>
      <c r="B612" s="68" t="s">
        <v>1255</v>
      </c>
      <c r="C612" s="68" t="s">
        <v>1256</v>
      </c>
      <c r="D612" s="68" t="str">
        <f t="shared" si="9"/>
        <v>Bukasa</v>
      </c>
      <c r="E612" s="68" t="str">
        <f>A612</f>
        <v>Bukasa</v>
      </c>
      <c r="F612" s="68">
        <v>514</v>
      </c>
    </row>
    <row r="613" spans="1:6">
      <c r="A613" s="68" t="s">
        <v>1268</v>
      </c>
      <c r="D613" s="68" t="str">
        <f t="shared" si="9"/>
        <v>NAKABUGO</v>
      </c>
      <c r="F613" s="68">
        <v>514</v>
      </c>
    </row>
    <row r="614" spans="1:6">
      <c r="A614" s="68" t="s">
        <v>1269</v>
      </c>
      <c r="B614" s="68" t="s">
        <v>1255</v>
      </c>
      <c r="C614" s="68" t="s">
        <v>1256</v>
      </c>
      <c r="D614" s="68" t="str">
        <f t="shared" si="9"/>
        <v>Bukesa</v>
      </c>
      <c r="E614" s="68" t="str">
        <f>A614</f>
        <v>Bukesa</v>
      </c>
      <c r="F614" s="68">
        <v>515</v>
      </c>
    </row>
    <row r="615" spans="1:6">
      <c r="A615" s="68" t="s">
        <v>23</v>
      </c>
      <c r="B615" s="68" t="s">
        <v>1255</v>
      </c>
      <c r="C615" s="68" t="s">
        <v>1256</v>
      </c>
      <c r="D615" s="68" t="str">
        <f t="shared" si="9"/>
        <v>Bukoto</v>
      </c>
      <c r="E615" s="68" t="str">
        <f>A615</f>
        <v>Bukoto</v>
      </c>
      <c r="F615" s="68">
        <v>516</v>
      </c>
    </row>
    <row r="616" spans="1:6">
      <c r="A616" s="68" t="s">
        <v>1271</v>
      </c>
      <c r="D616" s="68" t="str">
        <f t="shared" si="9"/>
        <v>KABIRA C.C</v>
      </c>
      <c r="F616" s="68">
        <v>516</v>
      </c>
    </row>
    <row r="617" spans="1:6">
      <c r="A617" s="68" t="s">
        <v>1272</v>
      </c>
      <c r="D617" s="68" t="str">
        <f t="shared" si="9"/>
        <v>Neo Genesis</v>
      </c>
      <c r="F617" s="68">
        <v>516</v>
      </c>
    </row>
    <row r="618" spans="1:6">
      <c r="A618" s="68" t="s">
        <v>1273</v>
      </c>
      <c r="D618" s="68" t="str">
        <f t="shared" si="9"/>
        <v>KPS</v>
      </c>
      <c r="F618" s="68">
        <v>516</v>
      </c>
    </row>
    <row r="619" spans="1:6">
      <c r="A619" s="68" t="s">
        <v>1274</v>
      </c>
      <c r="D619" s="68" t="str">
        <f t="shared" si="9"/>
        <v>KAMPALA PARENTS SCHOOL</v>
      </c>
      <c r="F619" s="68">
        <v>516</v>
      </c>
    </row>
    <row r="620" spans="1:6">
      <c r="A620" s="68" t="s">
        <v>1275</v>
      </c>
      <c r="D620" s="68" t="str">
        <f t="shared" si="9"/>
        <v>Kikulu Zone</v>
      </c>
      <c r="F620" s="68">
        <v>516</v>
      </c>
    </row>
    <row r="621" spans="1:6">
      <c r="A621" s="68" t="s">
        <v>1276</v>
      </c>
      <c r="D621" s="68" t="str">
        <f t="shared" si="9"/>
        <v>Kira road</v>
      </c>
      <c r="F621" s="68">
        <v>516</v>
      </c>
    </row>
    <row r="622" spans="1:6">
      <c r="A622" s="68" t="s">
        <v>1277</v>
      </c>
      <c r="D622" s="68" t="str">
        <f t="shared" si="9"/>
        <v>KIIRA ROAD</v>
      </c>
      <c r="F622" s="68">
        <v>516</v>
      </c>
    </row>
    <row r="623" spans="1:6">
      <c r="A623" s="68" t="s">
        <v>1278</v>
      </c>
      <c r="B623" s="68" t="s">
        <v>1255</v>
      </c>
      <c r="C623" s="68" t="s">
        <v>1256</v>
      </c>
      <c r="D623" s="68" t="str">
        <f t="shared" si="9"/>
        <v>Busega</v>
      </c>
      <c r="E623" s="68" t="str">
        <f>A623</f>
        <v>Busega</v>
      </c>
      <c r="F623" s="68">
        <v>517</v>
      </c>
    </row>
    <row r="624" spans="1:6">
      <c r="A624" s="68" t="s">
        <v>1280</v>
      </c>
      <c r="D624" s="68" t="str">
        <f t="shared" si="9"/>
        <v>Lugala</v>
      </c>
      <c r="E624" s="68" t="str">
        <f>A624</f>
        <v>Lugala</v>
      </c>
      <c r="F624" s="68">
        <v>517</v>
      </c>
    </row>
    <row r="625" spans="1:6">
      <c r="A625" s="68" t="s">
        <v>1281</v>
      </c>
      <c r="D625" s="68" t="str">
        <f t="shared" si="9"/>
        <v>LUNGALA</v>
      </c>
      <c r="F625" s="68">
        <v>517</v>
      </c>
    </row>
    <row r="626" spans="1:6">
      <c r="A626" s="68" t="s">
        <v>1282</v>
      </c>
      <c r="D626" s="68" t="str">
        <f t="shared" si="9"/>
        <v>Munaku</v>
      </c>
      <c r="F626" s="68">
        <v>517</v>
      </c>
    </row>
    <row r="627" spans="1:6">
      <c r="A627" s="68" t="s">
        <v>1283</v>
      </c>
      <c r="D627" s="68" t="str">
        <f t="shared" si="9"/>
        <v>Wakasanke</v>
      </c>
      <c r="F627" s="68">
        <v>517</v>
      </c>
    </row>
    <row r="628" spans="1:6">
      <c r="A628" s="68" t="s">
        <v>1284</v>
      </c>
      <c r="D628" s="68" t="str">
        <f t="shared" si="9"/>
        <v>Masanafu</v>
      </c>
      <c r="E628" s="68" t="str">
        <f>A628</f>
        <v>Masanafu</v>
      </c>
      <c r="F628" s="68">
        <v>517</v>
      </c>
    </row>
    <row r="629" spans="1:6">
      <c r="A629" s="68" t="s">
        <v>1285</v>
      </c>
      <c r="B629" s="68" t="s">
        <v>1255</v>
      </c>
      <c r="C629" s="68" t="s">
        <v>1256</v>
      </c>
      <c r="D629" s="68" t="str">
        <f t="shared" si="9"/>
        <v>Butabika</v>
      </c>
      <c r="E629" s="68" t="str">
        <f>A629</f>
        <v>Butabika</v>
      </c>
      <c r="F629" s="68">
        <v>518</v>
      </c>
    </row>
    <row r="630" spans="1:6">
      <c r="A630" s="68" t="s">
        <v>1286</v>
      </c>
      <c r="D630" s="68" t="str">
        <f t="shared" si="9"/>
        <v>Kirombe</v>
      </c>
      <c r="F630" s="68">
        <v>518</v>
      </c>
    </row>
    <row r="631" spans="1:6">
      <c r="A631" s="68" t="s">
        <v>1287</v>
      </c>
      <c r="B631" s="68" t="s">
        <v>1255</v>
      </c>
      <c r="C631" s="68" t="s">
        <v>1256</v>
      </c>
      <c r="D631" s="68" t="str">
        <f t="shared" si="9"/>
        <v>Buziga</v>
      </c>
      <c r="E631" s="68" t="str">
        <f>A631</f>
        <v>Buziga</v>
      </c>
      <c r="F631" s="68">
        <v>519</v>
      </c>
    </row>
    <row r="632" spans="1:6">
      <c r="A632" s="68" t="s">
        <v>1288</v>
      </c>
      <c r="B632" s="68" t="s">
        <v>1255</v>
      </c>
      <c r="C632" s="68" t="s">
        <v>1256</v>
      </c>
      <c r="D632" s="68" t="str">
        <f t="shared" si="9"/>
        <v>Bwaise</v>
      </c>
      <c r="E632" s="68" t="str">
        <f>A632</f>
        <v>Bwaise</v>
      </c>
      <c r="F632" s="68">
        <v>520</v>
      </c>
    </row>
    <row r="633" spans="1:6">
      <c r="A633" s="68" t="s">
        <v>1290</v>
      </c>
      <c r="B633" s="68" t="s">
        <v>1255</v>
      </c>
      <c r="C633" s="68" t="s">
        <v>1256</v>
      </c>
      <c r="D633" s="68" t="str">
        <f t="shared" si="9"/>
        <v>Civic Centre</v>
      </c>
      <c r="E633" s="68" t="str">
        <f>A633</f>
        <v>Civic Centre</v>
      </c>
      <c r="F633" s="68">
        <v>521</v>
      </c>
    </row>
    <row r="634" spans="1:6">
      <c r="A634" s="68" t="s">
        <v>3224</v>
      </c>
      <c r="B634" s="68" t="s">
        <v>1255</v>
      </c>
      <c r="C634" s="68" t="s">
        <v>1256</v>
      </c>
      <c r="D634" s="68" t="str">
        <f t="shared" si="9"/>
        <v>KAMPALA CITY</v>
      </c>
      <c r="E634" s="68" t="str">
        <f>A634</f>
        <v>KAMPALA CITY</v>
      </c>
      <c r="F634" s="68">
        <v>521</v>
      </c>
    </row>
    <row r="635" spans="1:6">
      <c r="A635" s="68" t="s">
        <v>234</v>
      </c>
      <c r="B635" s="68" t="s">
        <v>1255</v>
      </c>
      <c r="C635" s="68" t="s">
        <v>1256</v>
      </c>
      <c r="D635" s="68" t="str">
        <f t="shared" si="9"/>
        <v>KAMPALA TOWN</v>
      </c>
      <c r="E635" s="68" t="str">
        <f>A635</f>
        <v>KAMPALA TOWN</v>
      </c>
      <c r="F635" s="68">
        <v>521</v>
      </c>
    </row>
    <row r="636" spans="1:6">
      <c r="A636" s="68" t="s">
        <v>1291</v>
      </c>
      <c r="D636" s="68" t="str">
        <f t="shared" si="9"/>
        <v>KCCA CITY HALL</v>
      </c>
      <c r="F636" s="68">
        <v>521</v>
      </c>
    </row>
    <row r="637" spans="1:6">
      <c r="A637" s="68" t="s">
        <v>1292</v>
      </c>
      <c r="D637" s="68" t="str">
        <f t="shared" si="9"/>
        <v>Wilson Road</v>
      </c>
      <c r="F637" s="68">
        <v>521</v>
      </c>
    </row>
    <row r="638" spans="1:6">
      <c r="A638" s="68" t="s">
        <v>1293</v>
      </c>
      <c r="D638" s="68" t="str">
        <f t="shared" si="9"/>
        <v>UMI</v>
      </c>
      <c r="F638" s="68">
        <v>521</v>
      </c>
    </row>
    <row r="639" spans="1:6">
      <c r="A639" s="68" t="s">
        <v>1294</v>
      </c>
      <c r="D639" s="68" t="str">
        <f t="shared" si="9"/>
        <v>1st street</v>
      </c>
      <c r="F639" s="68">
        <v>521</v>
      </c>
    </row>
    <row r="640" spans="1:6">
      <c r="A640" s="68" t="s">
        <v>1295</v>
      </c>
      <c r="D640" s="68" t="str">
        <f t="shared" si="9"/>
        <v>Uga Chick</v>
      </c>
      <c r="F640" s="68">
        <v>521</v>
      </c>
    </row>
    <row r="641" spans="1:6">
      <c r="A641" s="68" t="s">
        <v>1296</v>
      </c>
      <c r="D641" s="68" t="str">
        <f t="shared" si="9"/>
        <v>Kamukamu</v>
      </c>
      <c r="F641" s="68">
        <v>521</v>
      </c>
    </row>
    <row r="642" spans="1:6">
      <c r="A642" s="68" t="s">
        <v>1297</v>
      </c>
      <c r="D642" s="68" t="str">
        <f t="shared" ref="D642:D705" si="10">A642</f>
        <v>William strt</v>
      </c>
      <c r="F642" s="68">
        <v>521</v>
      </c>
    </row>
    <row r="643" spans="1:6">
      <c r="A643" s="68" t="s">
        <v>1298</v>
      </c>
      <c r="D643" s="68" t="str">
        <f t="shared" si="10"/>
        <v>UMA show ground</v>
      </c>
      <c r="F643" s="68">
        <v>521</v>
      </c>
    </row>
    <row r="644" spans="1:6">
      <c r="A644" s="68" t="s">
        <v>1299</v>
      </c>
      <c r="D644" s="68" t="str">
        <f t="shared" si="10"/>
        <v>Bus park kla</v>
      </c>
      <c r="F644" s="68">
        <v>521</v>
      </c>
    </row>
    <row r="645" spans="1:6">
      <c r="A645" s="68" t="s">
        <v>1300</v>
      </c>
      <c r="D645" s="68" t="str">
        <f t="shared" si="10"/>
        <v>Bus Park</v>
      </c>
      <c r="F645" s="68">
        <v>521</v>
      </c>
    </row>
    <row r="646" spans="1:6">
      <c r="A646" s="68" t="s">
        <v>1301</v>
      </c>
      <c r="D646" s="68" t="str">
        <f t="shared" si="10"/>
        <v>Planning House</v>
      </c>
      <c r="F646" s="68">
        <v>521</v>
      </c>
    </row>
    <row r="647" spans="1:6">
      <c r="A647" s="68" t="s">
        <v>1302</v>
      </c>
      <c r="D647" s="68" t="str">
        <f t="shared" si="10"/>
        <v>MTN Arena</v>
      </c>
      <c r="F647" s="68">
        <v>521</v>
      </c>
    </row>
    <row r="648" spans="1:6">
      <c r="A648" s="68" t="s">
        <v>1303</v>
      </c>
      <c r="D648" s="68" t="str">
        <f t="shared" si="10"/>
        <v>KAMPALA  ROAD</v>
      </c>
      <c r="F648" s="68">
        <v>521</v>
      </c>
    </row>
    <row r="649" spans="1:6">
      <c r="A649" s="68" t="s">
        <v>1304</v>
      </c>
      <c r="D649" s="68" t="str">
        <f t="shared" si="10"/>
        <v>Kampala rd</v>
      </c>
      <c r="F649" s="68">
        <v>521</v>
      </c>
    </row>
    <row r="650" spans="1:6">
      <c r="A650" s="68" t="s">
        <v>1255</v>
      </c>
      <c r="D650" s="68" t="str">
        <f t="shared" si="10"/>
        <v>Kampala</v>
      </c>
      <c r="E650" s="68" t="str">
        <f>A650</f>
        <v>Kampala</v>
      </c>
      <c r="F650" s="68">
        <v>521</v>
      </c>
    </row>
    <row r="651" spans="1:6">
      <c r="A651" s="68" t="s">
        <v>1305</v>
      </c>
      <c r="D651" s="68" t="str">
        <f t="shared" si="10"/>
        <v>KPALA</v>
      </c>
      <c r="F651" s="68">
        <v>521</v>
      </c>
    </row>
    <row r="652" spans="1:6">
      <c r="A652" s="68" t="s">
        <v>1306</v>
      </c>
      <c r="D652" s="68" t="str">
        <f t="shared" si="10"/>
        <v>CITY KAMPALA</v>
      </c>
      <c r="F652" s="68">
        <v>521</v>
      </c>
    </row>
    <row r="653" spans="1:6">
      <c r="A653" s="68" t="s">
        <v>1307</v>
      </c>
      <c r="D653" s="68" t="str">
        <f t="shared" si="10"/>
        <v>FOREIGN AFFAIRS</v>
      </c>
      <c r="F653" s="68">
        <v>521</v>
      </c>
    </row>
    <row r="654" spans="1:6">
      <c r="A654" s="68" t="s">
        <v>1308</v>
      </c>
      <c r="D654" s="68" t="str">
        <f t="shared" si="10"/>
        <v xml:space="preserve"> KAMPALA CITY</v>
      </c>
      <c r="F654" s="68">
        <v>521</v>
      </c>
    </row>
    <row r="655" spans="1:6">
      <c r="A655" s="68" t="s">
        <v>1309</v>
      </c>
      <c r="D655" s="68" t="str">
        <f t="shared" si="10"/>
        <v>Buganda road</v>
      </c>
      <c r="E655" s="68" t="str">
        <f>A655</f>
        <v>Buganda road</v>
      </c>
      <c r="F655" s="68">
        <v>521</v>
      </c>
    </row>
    <row r="656" spans="1:6">
      <c r="A656" s="68" t="s">
        <v>1310</v>
      </c>
      <c r="D656" s="68" t="str">
        <f t="shared" si="10"/>
        <v>Equtorial hotel</v>
      </c>
      <c r="F656" s="68">
        <v>521</v>
      </c>
    </row>
    <row r="657" spans="1:6">
      <c r="A657" s="68" t="s">
        <v>1311</v>
      </c>
      <c r="D657" s="68" t="str">
        <f t="shared" si="10"/>
        <v>Uganda house</v>
      </c>
      <c r="E657" s="68" t="str">
        <f>A657</f>
        <v>Uganda house</v>
      </c>
      <c r="F657" s="68">
        <v>521</v>
      </c>
    </row>
    <row r="658" spans="1:6">
      <c r="A658" s="68" t="s">
        <v>1312</v>
      </c>
      <c r="D658" s="68" t="str">
        <f t="shared" si="10"/>
        <v>SHOPRITE</v>
      </c>
      <c r="F658" s="68">
        <v>521</v>
      </c>
    </row>
    <row r="659" spans="1:6">
      <c r="A659" s="68" t="s">
        <v>1313</v>
      </c>
      <c r="D659" s="68" t="str">
        <f t="shared" si="10"/>
        <v>Oasis mall</v>
      </c>
      <c r="E659" s="68" t="str">
        <f>A659</f>
        <v>Oasis mall</v>
      </c>
      <c r="F659" s="68">
        <v>521</v>
      </c>
    </row>
    <row r="660" spans="1:6">
      <c r="A660" s="68" t="s">
        <v>1314</v>
      </c>
      <c r="D660" s="68" t="str">
        <f t="shared" si="10"/>
        <v>kk hotel</v>
      </c>
      <c r="E660" s="68" t="str">
        <f>A660</f>
        <v>kk hotel</v>
      </c>
      <c r="F660" s="68">
        <v>521</v>
      </c>
    </row>
    <row r="661" spans="1:6">
      <c r="A661" s="68" t="s">
        <v>1315</v>
      </c>
      <c r="D661" s="68" t="str">
        <f t="shared" si="10"/>
        <v>TOWN KAMPALA</v>
      </c>
      <c r="F661" s="68">
        <v>521</v>
      </c>
    </row>
    <row r="662" spans="1:6">
      <c r="A662" s="68" t="s">
        <v>1316</v>
      </c>
      <c r="D662" s="68" t="str">
        <f t="shared" si="10"/>
        <v>MINISTRY OF WORKS</v>
      </c>
      <c r="F662" s="68">
        <v>521</v>
      </c>
    </row>
    <row r="663" spans="1:6">
      <c r="A663" s="68" t="s">
        <v>1317</v>
      </c>
      <c r="D663" s="68" t="str">
        <f t="shared" si="10"/>
        <v>Namirembe road</v>
      </c>
      <c r="E663" s="68" t="str">
        <f>A663</f>
        <v>Namirembe road</v>
      </c>
      <c r="F663" s="68">
        <v>521</v>
      </c>
    </row>
    <row r="664" spans="1:6">
      <c r="A664" s="68" t="s">
        <v>1318</v>
      </c>
      <c r="D664" s="68" t="str">
        <f t="shared" si="10"/>
        <v>QUALICELL</v>
      </c>
      <c r="F664" s="68">
        <v>521</v>
      </c>
    </row>
    <row r="665" spans="1:6">
      <c r="A665" s="68" t="s">
        <v>1319</v>
      </c>
      <c r="D665" s="68" t="str">
        <f t="shared" si="10"/>
        <v>Ssebagala rd</v>
      </c>
      <c r="E665" s="68" t="str">
        <f>A665</f>
        <v>Ssebagala rd</v>
      </c>
      <c r="F665" s="68">
        <v>521</v>
      </c>
    </row>
    <row r="666" spans="1:6">
      <c r="A666" s="68" t="s">
        <v>1320</v>
      </c>
      <c r="D666" s="68" t="str">
        <f t="shared" si="10"/>
        <v>INDUSTRAIL AREA</v>
      </c>
      <c r="F666" s="68">
        <v>521</v>
      </c>
    </row>
    <row r="667" spans="1:6">
      <c r="A667" s="68" t="s">
        <v>1321</v>
      </c>
      <c r="D667" s="68" t="str">
        <f t="shared" si="10"/>
        <v>NABUGABO PLAZA</v>
      </c>
      <c r="F667" s="68">
        <v>521</v>
      </c>
    </row>
    <row r="668" spans="1:6">
      <c r="A668" s="68" t="s">
        <v>1322</v>
      </c>
      <c r="D668" s="68" t="str">
        <f t="shared" si="10"/>
        <v>Mini price</v>
      </c>
      <c r="E668" s="68" t="str">
        <f>A668</f>
        <v>Mini price</v>
      </c>
      <c r="F668" s="68">
        <v>521</v>
      </c>
    </row>
    <row r="669" spans="1:6">
      <c r="A669" s="68" t="s">
        <v>1323</v>
      </c>
      <c r="D669" s="68" t="str">
        <f t="shared" si="10"/>
        <v>MINI PRIZE</v>
      </c>
      <c r="F669" s="68">
        <v>521</v>
      </c>
    </row>
    <row r="670" spans="1:6">
      <c r="A670" s="68" t="s">
        <v>1324</v>
      </c>
      <c r="D670" s="68" t="str">
        <f t="shared" si="10"/>
        <v>CAPITAL SHOPPERS</v>
      </c>
      <c r="F670" s="68">
        <v>521</v>
      </c>
    </row>
    <row r="671" spans="1:6">
      <c r="A671" s="68" t="s">
        <v>1325</v>
      </c>
      <c r="D671" s="68" t="str">
        <f t="shared" si="10"/>
        <v>William street</v>
      </c>
      <c r="E671" s="68" t="str">
        <f>A671</f>
        <v>William street</v>
      </c>
      <c r="F671" s="68">
        <v>521</v>
      </c>
    </row>
    <row r="672" spans="1:6">
      <c r="A672" s="68" t="s">
        <v>1326</v>
      </c>
      <c r="D672" s="68" t="str">
        <f t="shared" si="10"/>
        <v>KAMPALA CENTRAL</v>
      </c>
      <c r="F672" s="68">
        <v>521</v>
      </c>
    </row>
    <row r="673" spans="1:6">
      <c r="A673" s="68" t="s">
        <v>1327</v>
      </c>
      <c r="D673" s="68" t="str">
        <f t="shared" si="10"/>
        <v>Down town</v>
      </c>
      <c r="E673" s="68" t="str">
        <f>A673</f>
        <v>Down town</v>
      </c>
      <c r="F673" s="68">
        <v>521</v>
      </c>
    </row>
    <row r="674" spans="1:6">
      <c r="A674" s="68" t="s">
        <v>1328</v>
      </c>
      <c r="D674" s="68" t="str">
        <f t="shared" si="10"/>
        <v>KIIKUBO</v>
      </c>
      <c r="F674" s="68">
        <v>521</v>
      </c>
    </row>
    <row r="675" spans="1:6">
      <c r="A675" s="68" t="s">
        <v>1329</v>
      </c>
      <c r="D675" s="68" t="str">
        <f t="shared" si="10"/>
        <v>Parliament</v>
      </c>
      <c r="F675" s="68">
        <v>521</v>
      </c>
    </row>
    <row r="676" spans="1:6">
      <c r="A676" s="68" t="s">
        <v>1330</v>
      </c>
      <c r="D676" s="68" t="str">
        <f t="shared" si="10"/>
        <v>MUKWANO ARCADE</v>
      </c>
      <c r="F676" s="68">
        <v>521</v>
      </c>
    </row>
    <row r="677" spans="1:6">
      <c r="A677" s="68" t="s">
        <v>1331</v>
      </c>
      <c r="D677" s="68" t="str">
        <f t="shared" si="10"/>
        <v>Gazaland</v>
      </c>
      <c r="F677" s="68">
        <v>521</v>
      </c>
    </row>
    <row r="678" spans="1:6">
      <c r="A678" s="68" t="s">
        <v>1332</v>
      </c>
      <c r="D678" s="68" t="str">
        <f t="shared" si="10"/>
        <v>PIONEER MALL</v>
      </c>
      <c r="F678" s="68">
        <v>521</v>
      </c>
    </row>
    <row r="679" spans="1:6">
      <c r="A679" s="68" t="s">
        <v>1333</v>
      </c>
      <c r="D679" s="68" t="str">
        <f t="shared" si="10"/>
        <v>New vision</v>
      </c>
      <c r="E679" s="68" t="str">
        <f>A679</f>
        <v>New vision</v>
      </c>
      <c r="F679" s="68">
        <v>521</v>
      </c>
    </row>
    <row r="680" spans="1:6">
      <c r="A680" s="68" t="s">
        <v>1334</v>
      </c>
      <c r="D680" s="68" t="str">
        <f t="shared" si="10"/>
        <v>Sheraton</v>
      </c>
      <c r="E680" s="68" t="str">
        <f>A680</f>
        <v>Sheraton</v>
      </c>
      <c r="F680" s="68">
        <v>521</v>
      </c>
    </row>
    <row r="681" spans="1:6">
      <c r="A681" s="68" t="s">
        <v>1335</v>
      </c>
      <c r="D681" s="68" t="str">
        <f t="shared" si="10"/>
        <v>Hotel african</v>
      </c>
      <c r="E681" s="68" t="str">
        <f>A681</f>
        <v>Hotel african</v>
      </c>
      <c r="F681" s="68">
        <v>521</v>
      </c>
    </row>
    <row r="682" spans="1:6">
      <c r="A682" s="68" t="s">
        <v>1336</v>
      </c>
      <c r="D682" s="68" t="str">
        <f t="shared" si="10"/>
        <v>AFRICANA</v>
      </c>
      <c r="F682" s="68">
        <v>521</v>
      </c>
    </row>
    <row r="683" spans="1:6">
      <c r="A683" s="68" t="s">
        <v>1337</v>
      </c>
      <c r="D683" s="68" t="str">
        <f t="shared" si="10"/>
        <v>Clement rd</v>
      </c>
      <c r="E683" s="68" t="str">
        <f t="shared" ref="E683:E713" si="11">A683</f>
        <v>Clement rd</v>
      </c>
      <c r="F683" s="68">
        <v>521</v>
      </c>
    </row>
    <row r="684" spans="1:6">
      <c r="A684" s="68" t="s">
        <v>1338</v>
      </c>
      <c r="D684" s="68" t="str">
        <f t="shared" si="10"/>
        <v>Entebbe rd</v>
      </c>
      <c r="E684" s="68" t="str">
        <f t="shared" si="11"/>
        <v>Entebbe rd</v>
      </c>
      <c r="F684" s="68">
        <v>521</v>
      </c>
    </row>
    <row r="685" spans="1:6">
      <c r="A685" s="68" t="s">
        <v>1339</v>
      </c>
      <c r="D685" s="68" t="str">
        <f t="shared" si="10"/>
        <v>Sselumaga Rd</v>
      </c>
      <c r="E685" s="68" t="str">
        <f t="shared" si="11"/>
        <v>Sselumaga Rd</v>
      </c>
      <c r="F685" s="68">
        <v>521</v>
      </c>
    </row>
    <row r="686" spans="1:6">
      <c r="A686" s="68" t="s">
        <v>1340</v>
      </c>
      <c r="D686" s="68" t="str">
        <f t="shared" si="10"/>
        <v>Speke hotel</v>
      </c>
      <c r="E686" s="68" t="str">
        <f t="shared" si="11"/>
        <v>Speke hotel</v>
      </c>
      <c r="F686" s="68">
        <v>521</v>
      </c>
    </row>
    <row r="687" spans="1:6">
      <c r="A687" s="68" t="s">
        <v>1341</v>
      </c>
      <c r="D687" s="68" t="str">
        <f t="shared" si="10"/>
        <v>MUKWANO</v>
      </c>
      <c r="E687" s="68" t="str">
        <f t="shared" si="11"/>
        <v>MUKWANO</v>
      </c>
      <c r="F687" s="68">
        <v>521</v>
      </c>
    </row>
    <row r="688" spans="1:6">
      <c r="A688" s="68" t="s">
        <v>1342</v>
      </c>
      <c r="D688" s="68" t="str">
        <f t="shared" si="10"/>
        <v>Jinja rd</v>
      </c>
      <c r="E688" s="68" t="str">
        <f t="shared" si="11"/>
        <v>Jinja rd</v>
      </c>
      <c r="F688" s="68">
        <v>521</v>
      </c>
    </row>
    <row r="689" spans="1:6">
      <c r="A689" s="68" t="s">
        <v>1343</v>
      </c>
      <c r="D689" s="68" t="str">
        <f t="shared" si="10"/>
        <v>OWINO</v>
      </c>
      <c r="E689" s="68" t="str">
        <f t="shared" si="11"/>
        <v>OWINO</v>
      </c>
      <c r="F689" s="68">
        <v>521</v>
      </c>
    </row>
    <row r="690" spans="1:6">
      <c r="A690" s="68" t="s">
        <v>1344</v>
      </c>
      <c r="D690" s="68" t="str">
        <f t="shared" si="10"/>
        <v>SEVENTH STREET</v>
      </c>
      <c r="E690" s="68" t="str">
        <f t="shared" si="11"/>
        <v>SEVENTH STREET</v>
      </c>
      <c r="F690" s="68">
        <v>521</v>
      </c>
    </row>
    <row r="691" spans="1:6">
      <c r="A691" s="68" t="s">
        <v>1345</v>
      </c>
      <c r="D691" s="68" t="str">
        <f t="shared" si="10"/>
        <v>Ham towers</v>
      </c>
      <c r="E691" s="68" t="str">
        <f t="shared" si="11"/>
        <v>Ham towers</v>
      </c>
      <c r="F691" s="68">
        <v>521</v>
      </c>
    </row>
    <row r="692" spans="1:6">
      <c r="A692" s="68" t="s">
        <v>1346</v>
      </c>
      <c r="D692" s="68" t="str">
        <f t="shared" si="10"/>
        <v>Sixth street</v>
      </c>
      <c r="E692" s="68" t="str">
        <f t="shared" si="11"/>
        <v>Sixth street</v>
      </c>
      <c r="F692" s="68">
        <v>521</v>
      </c>
    </row>
    <row r="693" spans="1:6">
      <c r="A693" s="68" t="s">
        <v>1347</v>
      </c>
      <c r="D693" s="68" t="str">
        <f t="shared" si="10"/>
        <v>State house</v>
      </c>
      <c r="E693" s="68" t="str">
        <f t="shared" si="11"/>
        <v>State house</v>
      </c>
      <c r="F693" s="68">
        <v>521</v>
      </c>
    </row>
    <row r="694" spans="1:6">
      <c r="A694" s="68" t="s">
        <v>1348</v>
      </c>
      <c r="D694" s="68" t="str">
        <f t="shared" si="10"/>
        <v>Martin road</v>
      </c>
      <c r="E694" s="68" t="str">
        <f t="shared" si="11"/>
        <v>Martin road</v>
      </c>
      <c r="F694" s="68">
        <v>521</v>
      </c>
    </row>
    <row r="695" spans="1:6">
      <c r="A695" s="68" t="s">
        <v>1349</v>
      </c>
      <c r="D695" s="68" t="str">
        <f t="shared" si="10"/>
        <v>old taxi park</v>
      </c>
      <c r="E695" s="68" t="str">
        <f t="shared" si="11"/>
        <v>old taxi park</v>
      </c>
      <c r="F695" s="68">
        <v>521</v>
      </c>
    </row>
    <row r="696" spans="1:6">
      <c r="A696" s="68" t="s">
        <v>1350</v>
      </c>
      <c r="D696" s="68" t="str">
        <f t="shared" si="10"/>
        <v>SIR APPOLLO KAGWA</v>
      </c>
      <c r="E696" s="68" t="str">
        <f t="shared" si="11"/>
        <v>SIR APPOLLO KAGWA</v>
      </c>
      <c r="F696" s="68">
        <v>521</v>
      </c>
    </row>
    <row r="697" spans="1:6">
      <c r="A697" s="68" t="s">
        <v>1351</v>
      </c>
      <c r="D697" s="68" t="str">
        <f t="shared" si="10"/>
        <v>Gaden city</v>
      </c>
      <c r="E697" s="68" t="str">
        <f t="shared" si="11"/>
        <v>Gaden city</v>
      </c>
      <c r="F697" s="68">
        <v>521</v>
      </c>
    </row>
    <row r="698" spans="1:6">
      <c r="A698" s="68" t="s">
        <v>1352</v>
      </c>
      <c r="D698" s="68" t="str">
        <f t="shared" si="10"/>
        <v>Ben Kiwanuka street</v>
      </c>
      <c r="E698" s="68" t="str">
        <f t="shared" si="11"/>
        <v>Ben Kiwanuka street</v>
      </c>
      <c r="F698" s="68">
        <v>521</v>
      </c>
    </row>
    <row r="699" spans="1:6">
      <c r="A699" s="68" t="s">
        <v>1353</v>
      </c>
      <c r="D699" s="68" t="str">
        <f t="shared" si="10"/>
        <v>NAMIREMBE ROARD</v>
      </c>
      <c r="E699" s="68" t="str">
        <f t="shared" si="11"/>
        <v>NAMIREMBE ROARD</v>
      </c>
      <c r="F699" s="68">
        <v>521</v>
      </c>
    </row>
    <row r="700" spans="1:6">
      <c r="A700" s="68" t="s">
        <v>1354</v>
      </c>
      <c r="D700" s="68" t="str">
        <f t="shared" si="10"/>
        <v>ENTEBE ROAD</v>
      </c>
      <c r="E700" s="68" t="str">
        <f t="shared" si="11"/>
        <v>ENTEBE ROAD</v>
      </c>
      <c r="F700" s="68">
        <v>521</v>
      </c>
    </row>
    <row r="701" spans="1:6">
      <c r="A701" s="68" t="s">
        <v>1355</v>
      </c>
      <c r="D701" s="68" t="str">
        <f t="shared" si="10"/>
        <v>Jinja road</v>
      </c>
      <c r="E701" s="68" t="str">
        <f t="shared" si="11"/>
        <v>Jinja road</v>
      </c>
      <c r="F701" s="68">
        <v>521</v>
      </c>
    </row>
    <row r="702" spans="1:6">
      <c r="A702" s="68" t="s">
        <v>1356</v>
      </c>
      <c r="D702" s="68" t="str">
        <f t="shared" si="10"/>
        <v xml:space="preserve">JINJA ROAD </v>
      </c>
      <c r="E702" s="68" t="str">
        <f t="shared" si="11"/>
        <v xml:space="preserve">JINJA ROAD </v>
      </c>
      <c r="F702" s="68">
        <v>521</v>
      </c>
    </row>
    <row r="703" spans="1:6">
      <c r="A703" s="68" t="s">
        <v>1357</v>
      </c>
      <c r="D703" s="68" t="str">
        <f t="shared" si="10"/>
        <v>NAMIREMBE PARK</v>
      </c>
      <c r="E703" s="68" t="str">
        <f t="shared" si="11"/>
        <v>NAMIREMBE PARK</v>
      </c>
      <c r="F703" s="68">
        <v>521</v>
      </c>
    </row>
    <row r="704" spans="1:6">
      <c r="A704" s="68" t="s">
        <v>1358</v>
      </c>
      <c r="D704" s="68" t="str">
        <f t="shared" si="10"/>
        <v>OWINO MARKET</v>
      </c>
      <c r="E704" s="68" t="str">
        <f t="shared" si="11"/>
        <v>OWINO MARKET</v>
      </c>
      <c r="F704" s="68">
        <v>521</v>
      </c>
    </row>
    <row r="705" spans="1:6">
      <c r="A705" s="68" t="s">
        <v>1359</v>
      </c>
      <c r="D705" s="68" t="str">
        <f t="shared" si="10"/>
        <v>KAMPALA ROARD</v>
      </c>
      <c r="E705" s="68" t="str">
        <f t="shared" si="11"/>
        <v>KAMPALA ROARD</v>
      </c>
      <c r="F705" s="68">
        <v>521</v>
      </c>
    </row>
    <row r="706" spans="1:6">
      <c r="A706" s="68" t="s">
        <v>1360</v>
      </c>
      <c r="D706" s="68" t="str">
        <f t="shared" ref="D706:D769" si="12">A706</f>
        <v>NEW TAX PARK</v>
      </c>
      <c r="E706" s="68" t="str">
        <f t="shared" si="11"/>
        <v>NEW TAX PARK</v>
      </c>
      <c r="F706" s="68">
        <v>521</v>
      </c>
    </row>
    <row r="707" spans="1:6">
      <c r="A707" s="68" t="s">
        <v>1361</v>
      </c>
      <c r="D707" s="68" t="str">
        <f t="shared" si="12"/>
        <v>NAKASERO MARKET</v>
      </c>
      <c r="E707" s="68" t="str">
        <f t="shared" si="11"/>
        <v>NAKASERO MARKET</v>
      </c>
      <c r="F707" s="68">
        <v>521</v>
      </c>
    </row>
    <row r="708" spans="1:6">
      <c r="A708" s="68" t="s">
        <v>1362</v>
      </c>
      <c r="D708" s="68" t="str">
        <f t="shared" si="12"/>
        <v xml:space="preserve">Kinawa  </v>
      </c>
      <c r="E708" s="68" t="str">
        <f t="shared" si="11"/>
        <v xml:space="preserve">Kinawa  </v>
      </c>
      <c r="F708" s="68">
        <v>521</v>
      </c>
    </row>
    <row r="709" spans="1:6">
      <c r="A709" s="68" t="s">
        <v>1363</v>
      </c>
      <c r="D709" s="68" t="str">
        <f t="shared" si="12"/>
        <v>Kampala industrian</v>
      </c>
      <c r="E709" s="68" t="str">
        <f t="shared" si="11"/>
        <v>Kampala industrian</v>
      </c>
      <c r="F709" s="68">
        <v>521</v>
      </c>
    </row>
    <row r="710" spans="1:6">
      <c r="A710" s="68" t="s">
        <v>1364</v>
      </c>
      <c r="D710" s="68" t="str">
        <f t="shared" si="12"/>
        <v>CITY SQUARE</v>
      </c>
      <c r="E710" s="68" t="str">
        <f t="shared" si="11"/>
        <v>CITY SQUARE</v>
      </c>
      <c r="F710" s="68">
        <v>521</v>
      </c>
    </row>
    <row r="711" spans="1:6">
      <c r="A711" s="68" t="s">
        <v>1365</v>
      </c>
      <c r="D711" s="68" t="str">
        <f t="shared" si="12"/>
        <v>CITYSQUARE</v>
      </c>
      <c r="E711" s="68" t="str">
        <f t="shared" si="11"/>
        <v>CITYSQUARE</v>
      </c>
      <c r="F711" s="68">
        <v>521</v>
      </c>
    </row>
    <row r="712" spans="1:6">
      <c r="A712" s="68" t="s">
        <v>1366</v>
      </c>
      <c r="D712" s="68" t="str">
        <f t="shared" si="12"/>
        <v>OLDTAXIPARK</v>
      </c>
      <c r="E712" s="68" t="str">
        <f t="shared" si="11"/>
        <v>OLDTAXIPARK</v>
      </c>
      <c r="F712" s="68">
        <v>521</v>
      </c>
    </row>
    <row r="713" spans="1:6">
      <c r="A713" s="68" t="s">
        <v>1367</v>
      </c>
      <c r="D713" s="68" t="str">
        <f t="shared" si="12"/>
        <v>NEWTAXIPARK</v>
      </c>
      <c r="E713" s="68" t="str">
        <f t="shared" si="11"/>
        <v>NEWTAXIPARK</v>
      </c>
      <c r="F713" s="68">
        <v>521</v>
      </c>
    </row>
    <row r="714" spans="1:6">
      <c r="A714" s="68" t="s">
        <v>1368</v>
      </c>
      <c r="D714" s="68" t="str">
        <f t="shared" si="12"/>
        <v>TAX PARK</v>
      </c>
      <c r="F714" s="68">
        <v>521</v>
      </c>
    </row>
    <row r="715" spans="1:6">
      <c r="A715" s="68" t="s">
        <v>1369</v>
      </c>
      <c r="D715" s="68" t="str">
        <f t="shared" si="12"/>
        <v>bela</v>
      </c>
      <c r="E715" s="68" t="str">
        <f>A715</f>
        <v>bela</v>
      </c>
      <c r="F715" s="68">
        <v>521</v>
      </c>
    </row>
    <row r="716" spans="1:6">
      <c r="A716" s="68" t="s">
        <v>1370</v>
      </c>
      <c r="D716" s="68" t="str">
        <f t="shared" si="12"/>
        <v>Workers house</v>
      </c>
      <c r="E716" s="68" t="str">
        <f>A716</f>
        <v>Workers house</v>
      </c>
      <c r="F716" s="68">
        <v>521</v>
      </c>
    </row>
    <row r="717" spans="1:6">
      <c r="A717" s="68" t="s">
        <v>1371</v>
      </c>
      <c r="D717" s="68" t="str">
        <f t="shared" si="12"/>
        <v>Mega standard</v>
      </c>
      <c r="E717" s="68" t="str">
        <f>A717</f>
        <v>Mega standard</v>
      </c>
      <c r="F717" s="68">
        <v>521</v>
      </c>
    </row>
    <row r="718" spans="1:6">
      <c r="A718" s="68" t="s">
        <v>1372</v>
      </c>
      <c r="D718" s="68" t="str">
        <f t="shared" si="12"/>
        <v>Lumumba avenue</v>
      </c>
      <c r="F718" s="68">
        <v>521</v>
      </c>
    </row>
    <row r="719" spans="1:6">
      <c r="A719" s="68" t="s">
        <v>1373</v>
      </c>
      <c r="D719" s="68" t="str">
        <f t="shared" si="12"/>
        <v>Luwumba Avenue</v>
      </c>
      <c r="F719" s="68">
        <v>521</v>
      </c>
    </row>
    <row r="720" spans="1:6">
      <c r="A720" s="68" t="s">
        <v>1374</v>
      </c>
      <c r="D720" s="68" t="str">
        <f t="shared" si="12"/>
        <v>Mapeera</v>
      </c>
      <c r="F720" s="68">
        <v>521</v>
      </c>
    </row>
    <row r="721" spans="1:6">
      <c r="A721" s="68" t="s">
        <v>1375</v>
      </c>
      <c r="D721" s="68" t="str">
        <f t="shared" si="12"/>
        <v>Namayiba taxi park</v>
      </c>
      <c r="E721" s="68" t="str">
        <f>A721</f>
        <v>Namayiba taxi park</v>
      </c>
      <c r="F721" s="68">
        <v>521</v>
      </c>
    </row>
    <row r="722" spans="1:6">
      <c r="A722" s="68" t="s">
        <v>1376</v>
      </c>
      <c r="D722" s="68" t="str">
        <f t="shared" si="12"/>
        <v>Namayimba</v>
      </c>
      <c r="F722" s="68">
        <v>521</v>
      </c>
    </row>
    <row r="723" spans="1:6">
      <c r="A723" s="68" t="s">
        <v>1377</v>
      </c>
      <c r="D723" s="68" t="str">
        <f t="shared" si="12"/>
        <v>Namayiba</v>
      </c>
      <c r="F723" s="68">
        <v>521</v>
      </c>
    </row>
    <row r="724" spans="1:6">
      <c r="A724" s="68" t="s">
        <v>1378</v>
      </c>
      <c r="D724" s="68" t="str">
        <f t="shared" si="12"/>
        <v>NAMAYUBA</v>
      </c>
      <c r="F724" s="68">
        <v>521</v>
      </c>
    </row>
    <row r="725" spans="1:6">
      <c r="A725" s="68" t="s">
        <v>1379</v>
      </c>
      <c r="D725" s="68" t="str">
        <f t="shared" si="12"/>
        <v>Kampala road</v>
      </c>
      <c r="E725" s="68" t="str">
        <f>A725</f>
        <v>Kampala road</v>
      </c>
      <c r="F725" s="68">
        <v>521</v>
      </c>
    </row>
    <row r="726" spans="1:6">
      <c r="A726" s="68" t="s">
        <v>1380</v>
      </c>
      <c r="D726" s="68" t="str">
        <f t="shared" si="12"/>
        <v>Mukwano mall</v>
      </c>
      <c r="E726" s="68" t="str">
        <f>A726</f>
        <v>Mukwano mall</v>
      </c>
      <c r="F726" s="68">
        <v>521</v>
      </c>
    </row>
    <row r="727" spans="1:6">
      <c r="A727" s="68" t="s">
        <v>1381</v>
      </c>
      <c r="D727" s="68" t="str">
        <f t="shared" si="12"/>
        <v>New taxi park</v>
      </c>
      <c r="F727" s="68">
        <v>521</v>
      </c>
    </row>
    <row r="728" spans="1:6">
      <c r="A728" s="68" t="s">
        <v>1382</v>
      </c>
      <c r="D728" s="68" t="str">
        <f t="shared" si="12"/>
        <v>Equatorial mall</v>
      </c>
      <c r="E728" s="68" t="str">
        <f>A728</f>
        <v>Equatorial mall</v>
      </c>
      <c r="F728" s="68">
        <v>521</v>
      </c>
    </row>
    <row r="729" spans="1:6">
      <c r="A729" s="68" t="s">
        <v>1383</v>
      </c>
      <c r="D729" s="68" t="str">
        <f t="shared" si="12"/>
        <v>kasajja</v>
      </c>
      <c r="F729" s="68">
        <v>521</v>
      </c>
    </row>
    <row r="730" spans="1:6">
      <c r="A730" s="68" t="s">
        <v>1384</v>
      </c>
      <c r="D730" s="68" t="str">
        <f t="shared" si="12"/>
        <v>Nasser road</v>
      </c>
      <c r="E730" s="68" t="str">
        <f>A730</f>
        <v>Nasser road</v>
      </c>
      <c r="F730" s="68">
        <v>521</v>
      </c>
    </row>
    <row r="731" spans="1:6">
      <c r="A731" s="68" t="s">
        <v>1385</v>
      </c>
      <c r="D731" s="68" t="str">
        <f t="shared" si="12"/>
        <v>NKURUMAH ROAD</v>
      </c>
      <c r="E731" s="68" t="str">
        <f>A731</f>
        <v>NKURUMAH ROAD</v>
      </c>
      <c r="F731" s="68">
        <v>521</v>
      </c>
    </row>
    <row r="732" spans="1:6">
      <c r="A732" s="68" t="s">
        <v>1386</v>
      </c>
      <c r="D732" s="68" t="str">
        <f t="shared" si="12"/>
        <v>Nkrumah Rd</v>
      </c>
      <c r="F732" s="68">
        <v>521</v>
      </c>
    </row>
    <row r="733" spans="1:6">
      <c r="A733" s="68" t="s">
        <v>1387</v>
      </c>
      <c r="D733" s="68" t="str">
        <f t="shared" si="12"/>
        <v>Nkrumah Road</v>
      </c>
      <c r="F733" s="68">
        <v>521</v>
      </c>
    </row>
    <row r="734" spans="1:6">
      <c r="A734" s="68" t="s">
        <v>1388</v>
      </c>
      <c r="D734" s="68" t="str">
        <f t="shared" si="12"/>
        <v>NKRUMAH</v>
      </c>
      <c r="F734" s="68">
        <v>521</v>
      </c>
    </row>
    <row r="735" spans="1:6">
      <c r="A735" s="68" t="s">
        <v>1389</v>
      </c>
      <c r="D735" s="68" t="str">
        <f t="shared" si="12"/>
        <v>STATION</v>
      </c>
      <c r="E735" s="68" t="str">
        <f>A735</f>
        <v>STATION</v>
      </c>
      <c r="F735" s="68">
        <v>521</v>
      </c>
    </row>
    <row r="736" spans="1:6">
      <c r="A736" s="68" t="s">
        <v>1390</v>
      </c>
      <c r="D736" s="68" t="str">
        <f t="shared" si="12"/>
        <v>Clock tower</v>
      </c>
      <c r="E736" s="68" t="str">
        <f>A736</f>
        <v>Clock tower</v>
      </c>
      <c r="F736" s="68">
        <v>521</v>
      </c>
    </row>
    <row r="737" spans="1:6">
      <c r="A737" s="68" t="s">
        <v>1391</v>
      </c>
      <c r="D737" s="68" t="str">
        <f t="shared" si="12"/>
        <v>CRUSADER HOUSE</v>
      </c>
      <c r="F737" s="68">
        <v>521</v>
      </c>
    </row>
    <row r="738" spans="1:6">
      <c r="A738" s="68" t="s">
        <v>1392</v>
      </c>
      <c r="D738" s="68" t="str">
        <f t="shared" si="12"/>
        <v>Engineering solution</v>
      </c>
      <c r="F738" s="68">
        <v>521</v>
      </c>
    </row>
    <row r="739" spans="1:6">
      <c r="A739" s="68" t="s">
        <v>1393</v>
      </c>
      <c r="D739" s="68" t="str">
        <f t="shared" si="12"/>
        <v>Sir Apollo</v>
      </c>
      <c r="E739" s="68" t="str">
        <f>A739</f>
        <v>Sir Apollo</v>
      </c>
      <c r="F739" s="68">
        <v>521</v>
      </c>
    </row>
    <row r="740" spans="1:6">
      <c r="A740" s="68" t="s">
        <v>1394</v>
      </c>
      <c r="D740" s="68" t="str">
        <f t="shared" si="12"/>
        <v>Kavuma</v>
      </c>
      <c r="F740" s="68">
        <v>521</v>
      </c>
    </row>
    <row r="741" spans="1:6">
      <c r="A741" s="68" t="s">
        <v>1395</v>
      </c>
      <c r="D741" s="68" t="str">
        <f t="shared" si="12"/>
        <v>KAVUUMA</v>
      </c>
      <c r="F741" s="68">
        <v>521</v>
      </c>
    </row>
    <row r="742" spans="1:6">
      <c r="A742" s="68" t="s">
        <v>1396</v>
      </c>
      <c r="D742" s="68" t="str">
        <f t="shared" si="12"/>
        <v>CRESTED TOWERS</v>
      </c>
      <c r="F742" s="68">
        <v>521</v>
      </c>
    </row>
    <row r="743" spans="1:6">
      <c r="A743" s="68" t="s">
        <v>1397</v>
      </c>
      <c r="D743" s="68" t="str">
        <f t="shared" si="12"/>
        <v>Town city</v>
      </c>
      <c r="F743" s="68">
        <v>521</v>
      </c>
    </row>
    <row r="744" spans="1:6">
      <c r="A744" s="68" t="s">
        <v>1398</v>
      </c>
      <c r="D744" s="68" t="str">
        <f t="shared" si="12"/>
        <v>INDUSTRIAL</v>
      </c>
      <c r="E744" s="68" t="str">
        <f>A744</f>
        <v>INDUSTRIAL</v>
      </c>
      <c r="F744" s="68">
        <v>521</v>
      </c>
    </row>
    <row r="745" spans="1:6">
      <c r="A745" s="68" t="s">
        <v>1399</v>
      </c>
      <c r="D745" s="68" t="str">
        <f t="shared" si="12"/>
        <v>Kikubo</v>
      </c>
      <c r="E745" s="68" t="str">
        <f>A745</f>
        <v>Kikubo</v>
      </c>
      <c r="F745" s="68">
        <v>521</v>
      </c>
    </row>
    <row r="746" spans="1:6">
      <c r="A746" s="68" t="s">
        <v>1400</v>
      </c>
      <c r="D746" s="68" t="str">
        <f t="shared" si="12"/>
        <v>Arua park</v>
      </c>
      <c r="E746" s="68" t="str">
        <f>A746</f>
        <v>Arua park</v>
      </c>
      <c r="F746" s="68">
        <v>521</v>
      </c>
    </row>
    <row r="747" spans="1:6">
      <c r="A747" s="68" t="s">
        <v>1401</v>
      </c>
      <c r="D747" s="68" t="str">
        <f t="shared" si="12"/>
        <v>NAMAYUBA PART</v>
      </c>
      <c r="F747" s="68">
        <v>521</v>
      </c>
    </row>
    <row r="748" spans="1:6">
      <c r="A748" s="68" t="s">
        <v>1402</v>
      </c>
      <c r="D748" s="68" t="str">
        <f t="shared" si="12"/>
        <v>Speke resort</v>
      </c>
      <c r="E748" s="68" t="str">
        <f t="shared" ref="E748:E753" si="13">A748</f>
        <v>Speke resort</v>
      </c>
      <c r="F748" s="68">
        <v>521</v>
      </c>
    </row>
    <row r="749" spans="1:6">
      <c r="A749" s="68" t="s">
        <v>1403</v>
      </c>
      <c r="D749" s="68" t="str">
        <f t="shared" si="12"/>
        <v>Clemet hill</v>
      </c>
      <c r="E749" s="68" t="str">
        <f t="shared" si="13"/>
        <v>Clemet hill</v>
      </c>
      <c r="F749" s="68">
        <v>521</v>
      </c>
    </row>
    <row r="750" spans="1:6">
      <c r="A750" s="68" t="s">
        <v>1404</v>
      </c>
      <c r="D750" s="68" t="str">
        <f t="shared" si="12"/>
        <v>CLEMENT</v>
      </c>
      <c r="E750" s="68" t="str">
        <f t="shared" si="13"/>
        <v>CLEMENT</v>
      </c>
      <c r="F750" s="68">
        <v>521</v>
      </c>
    </row>
    <row r="751" spans="1:6">
      <c r="A751" s="68" t="s">
        <v>1405</v>
      </c>
      <c r="D751" s="68" t="str">
        <f t="shared" si="12"/>
        <v>Town</v>
      </c>
      <c r="E751" s="68" t="str">
        <f t="shared" si="13"/>
        <v>Town</v>
      </c>
      <c r="F751" s="68">
        <v>521</v>
      </c>
    </row>
    <row r="752" spans="1:6">
      <c r="A752" s="68" t="s">
        <v>1406</v>
      </c>
      <c r="D752" s="68" t="str">
        <f t="shared" si="12"/>
        <v>Victoria Serena</v>
      </c>
      <c r="E752" s="68" t="str">
        <f t="shared" si="13"/>
        <v>Victoria Serena</v>
      </c>
      <c r="F752" s="68">
        <v>521</v>
      </c>
    </row>
    <row r="753" spans="1:6">
      <c r="A753" s="68" t="s">
        <v>1407</v>
      </c>
      <c r="D753" s="68" t="str">
        <f t="shared" si="12"/>
        <v>Serena</v>
      </c>
      <c r="E753" s="68" t="str">
        <f t="shared" si="13"/>
        <v>Serena</v>
      </c>
      <c r="F753" s="68">
        <v>521</v>
      </c>
    </row>
    <row r="754" spans="1:6">
      <c r="A754" s="68" t="s">
        <v>1408</v>
      </c>
      <c r="D754" s="68" t="str">
        <f t="shared" si="12"/>
        <v>Serena Hotel</v>
      </c>
      <c r="F754" s="68">
        <v>521</v>
      </c>
    </row>
    <row r="755" spans="1:6">
      <c r="A755" s="68" t="s">
        <v>1409</v>
      </c>
      <c r="D755" s="68" t="str">
        <f t="shared" si="12"/>
        <v>Northeern bypass</v>
      </c>
      <c r="E755" s="68" t="str">
        <f>A755</f>
        <v>Northeern bypass</v>
      </c>
      <c r="F755" s="68">
        <v>521</v>
      </c>
    </row>
    <row r="756" spans="1:6">
      <c r="A756" s="68" t="s">
        <v>1410</v>
      </c>
      <c r="D756" s="68" t="str">
        <f t="shared" si="12"/>
        <v>Northern bypass</v>
      </c>
      <c r="E756" s="68" t="str">
        <f>A756</f>
        <v>Northern bypass</v>
      </c>
      <c r="F756" s="68">
        <v>521</v>
      </c>
    </row>
    <row r="757" spans="1:6">
      <c r="A757" s="68" t="s">
        <v>1411</v>
      </c>
      <c r="D757" s="68" t="str">
        <f t="shared" si="12"/>
        <v>NORTHAN BY PASS</v>
      </c>
      <c r="F757" s="68">
        <v>521</v>
      </c>
    </row>
    <row r="758" spans="1:6">
      <c r="A758" s="68" t="s">
        <v>1412</v>
      </c>
      <c r="D758" s="68" t="str">
        <f t="shared" si="12"/>
        <v>Taxi park</v>
      </c>
      <c r="E758" s="68" t="str">
        <f>A758</f>
        <v>Taxi park</v>
      </c>
      <c r="F758" s="68">
        <v>521</v>
      </c>
    </row>
    <row r="759" spans="1:6">
      <c r="A759" s="68" t="s">
        <v>1413</v>
      </c>
      <c r="D759" s="68" t="str">
        <f t="shared" si="12"/>
        <v>TAXI  PARK</v>
      </c>
      <c r="F759" s="68">
        <v>521</v>
      </c>
    </row>
    <row r="760" spans="1:6">
      <c r="A760" s="68" t="s">
        <v>1414</v>
      </c>
      <c r="D760" s="68" t="str">
        <f t="shared" si="12"/>
        <v>Station centre</v>
      </c>
      <c r="F760" s="68">
        <v>521</v>
      </c>
    </row>
    <row r="761" spans="1:6">
      <c r="A761" s="68" t="s">
        <v>1415</v>
      </c>
      <c r="D761" s="68" t="str">
        <f t="shared" si="12"/>
        <v>Old park</v>
      </c>
      <c r="E761" s="68" t="str">
        <f t="shared" ref="E761:E771" si="14">A761</f>
        <v>Old park</v>
      </c>
      <c r="F761" s="68">
        <v>521</v>
      </c>
    </row>
    <row r="762" spans="1:6">
      <c r="A762" s="68" t="s">
        <v>1416</v>
      </c>
      <c r="D762" s="68" t="str">
        <f t="shared" si="12"/>
        <v>Old parrk</v>
      </c>
      <c r="E762" s="68" t="str">
        <f t="shared" si="14"/>
        <v>Old parrk</v>
      </c>
      <c r="F762" s="68">
        <v>521</v>
      </c>
    </row>
    <row r="763" spans="1:6">
      <c r="A763" s="68" t="s">
        <v>1417</v>
      </c>
      <c r="D763" s="68" t="str">
        <f t="shared" si="12"/>
        <v>Newtax park</v>
      </c>
      <c r="E763" s="68" t="str">
        <f t="shared" si="14"/>
        <v>Newtax park</v>
      </c>
      <c r="F763" s="68">
        <v>521</v>
      </c>
    </row>
    <row r="764" spans="1:6">
      <c r="A764" s="68" t="s">
        <v>1418</v>
      </c>
      <c r="D764" s="68" t="str">
        <f t="shared" si="12"/>
        <v>New park</v>
      </c>
      <c r="E764" s="68" t="str">
        <f t="shared" si="14"/>
        <v>New park</v>
      </c>
      <c r="F764" s="68">
        <v>521</v>
      </c>
    </row>
    <row r="765" spans="1:6">
      <c r="A765" s="68" t="s">
        <v>1419</v>
      </c>
      <c r="D765" s="68" t="str">
        <f t="shared" si="12"/>
        <v>Mwalo</v>
      </c>
      <c r="E765" s="68" t="str">
        <f t="shared" si="14"/>
        <v>Mwalo</v>
      </c>
      <c r="F765" s="68">
        <v>521</v>
      </c>
    </row>
    <row r="766" spans="1:6">
      <c r="A766" s="68" t="s">
        <v>1420</v>
      </c>
      <c r="D766" s="68" t="str">
        <f t="shared" si="12"/>
        <v>Equatorial</v>
      </c>
      <c r="E766" s="68" t="str">
        <f t="shared" si="14"/>
        <v>Equatorial</v>
      </c>
      <c r="F766" s="68">
        <v>521</v>
      </c>
    </row>
    <row r="767" spans="1:6">
      <c r="A767" s="68" t="s">
        <v>1256</v>
      </c>
      <c r="D767" s="68" t="str">
        <f t="shared" si="12"/>
        <v>KCCA</v>
      </c>
      <c r="E767" s="68" t="str">
        <f t="shared" si="14"/>
        <v>KCCA</v>
      </c>
      <c r="F767" s="68">
        <v>521</v>
      </c>
    </row>
    <row r="768" spans="1:6">
      <c r="A768" s="68" t="s">
        <v>1421</v>
      </c>
      <c r="D768" s="68" t="str">
        <f t="shared" si="12"/>
        <v xml:space="preserve">KAMPALA </v>
      </c>
      <c r="E768" s="68" t="str">
        <f t="shared" si="14"/>
        <v xml:space="preserve">KAMPALA </v>
      </c>
      <c r="F768" s="68">
        <v>521</v>
      </c>
    </row>
    <row r="769" spans="1:6">
      <c r="A769" s="68" t="s">
        <v>1422</v>
      </c>
      <c r="D769" s="68" t="str">
        <f t="shared" si="12"/>
        <v>Bahai</v>
      </c>
      <c r="E769" s="68" t="str">
        <f t="shared" si="14"/>
        <v>Bahai</v>
      </c>
      <c r="F769" s="68">
        <v>521</v>
      </c>
    </row>
    <row r="770" spans="1:6">
      <c r="A770" s="68" t="s">
        <v>1423</v>
      </c>
      <c r="D770" s="68" t="str">
        <f t="shared" ref="D770:D833" si="15">A770</f>
        <v>Bahai tempo</v>
      </c>
      <c r="E770" s="68" t="str">
        <f t="shared" si="14"/>
        <v>Bahai tempo</v>
      </c>
      <c r="F770" s="68">
        <v>521</v>
      </c>
    </row>
    <row r="771" spans="1:6">
      <c r="A771" s="68" t="s">
        <v>1424</v>
      </c>
      <c r="D771" s="68" t="str">
        <f t="shared" si="15"/>
        <v>City center</v>
      </c>
      <c r="E771" s="68" t="str">
        <f t="shared" si="14"/>
        <v>City center</v>
      </c>
      <c r="F771" s="68">
        <v>521</v>
      </c>
    </row>
    <row r="772" spans="1:6">
      <c r="A772" s="68" t="s">
        <v>1425</v>
      </c>
      <c r="D772" s="68" t="str">
        <f t="shared" si="15"/>
        <v>CITY CENTRE</v>
      </c>
      <c r="F772" s="68">
        <v>521</v>
      </c>
    </row>
    <row r="773" spans="1:6">
      <c r="A773" s="68" t="s">
        <v>1426</v>
      </c>
      <c r="D773" s="68" t="str">
        <f t="shared" si="15"/>
        <v>CITYCENTRE</v>
      </c>
      <c r="F773" s="68">
        <v>521</v>
      </c>
    </row>
    <row r="774" spans="1:6">
      <c r="A774" s="68" t="s">
        <v>1427</v>
      </c>
      <c r="D774" s="68" t="str">
        <f t="shared" si="15"/>
        <v>CITYCENTER</v>
      </c>
      <c r="F774" s="68">
        <v>521</v>
      </c>
    </row>
    <row r="775" spans="1:6">
      <c r="A775" s="68" t="s">
        <v>1428</v>
      </c>
      <c r="D775" s="68" t="str">
        <f t="shared" si="15"/>
        <v>Gaba</v>
      </c>
      <c r="E775" s="68" t="str">
        <f>A775</f>
        <v>Gaba</v>
      </c>
      <c r="F775" s="68">
        <v>522</v>
      </c>
    </row>
    <row r="776" spans="1:6">
      <c r="A776" s="68" t="s">
        <v>1429</v>
      </c>
      <c r="D776" s="68" t="str">
        <f t="shared" si="15"/>
        <v>Gabba</v>
      </c>
      <c r="E776" s="68" t="str">
        <f>A776</f>
        <v>Gabba</v>
      </c>
      <c r="F776" s="68">
        <v>522</v>
      </c>
    </row>
    <row r="777" spans="1:6">
      <c r="A777" s="68" t="s">
        <v>1430</v>
      </c>
      <c r="D777" s="68" t="str">
        <f t="shared" si="15"/>
        <v>BALAMU</v>
      </c>
      <c r="F777" s="68">
        <v>522</v>
      </c>
    </row>
    <row r="778" spans="1:6">
      <c r="A778" s="68" t="s">
        <v>1431</v>
      </c>
      <c r="D778" s="68" t="str">
        <f t="shared" si="15"/>
        <v>Soya</v>
      </c>
      <c r="E778" s="68" t="str">
        <f>A778</f>
        <v>Soya</v>
      </c>
      <c r="F778" s="68">
        <v>522</v>
      </c>
    </row>
    <row r="779" spans="1:6">
      <c r="A779" s="68" t="s">
        <v>1432</v>
      </c>
      <c r="D779" s="68" t="str">
        <f t="shared" si="15"/>
        <v>Auto spa</v>
      </c>
      <c r="E779" s="68" t="str">
        <f>A779</f>
        <v>Auto spa</v>
      </c>
      <c r="F779" s="68">
        <v>522</v>
      </c>
    </row>
    <row r="780" spans="1:6">
      <c r="A780" s="68" t="s">
        <v>1433</v>
      </c>
      <c r="D780" s="68" t="str">
        <f t="shared" si="15"/>
        <v>Munyonyo</v>
      </c>
      <c r="E780" s="68" t="str">
        <f>A780</f>
        <v>Munyonyo</v>
      </c>
      <c r="F780" s="68">
        <v>522</v>
      </c>
    </row>
    <row r="781" spans="1:6">
      <c r="A781" s="68" t="s">
        <v>1434</v>
      </c>
      <c r="D781" s="68" t="str">
        <f t="shared" si="15"/>
        <v>BUGU</v>
      </c>
      <c r="F781" s="68">
        <v>522</v>
      </c>
    </row>
    <row r="782" spans="1:6">
      <c r="A782" s="68" t="s">
        <v>1435</v>
      </c>
      <c r="D782" s="68" t="str">
        <f t="shared" si="15"/>
        <v>Kibiri</v>
      </c>
      <c r="F782" s="68">
        <v>522</v>
      </c>
    </row>
    <row r="783" spans="1:6">
      <c r="A783" s="68" t="s">
        <v>1436</v>
      </c>
      <c r="D783" s="68" t="str">
        <f t="shared" si="15"/>
        <v>Ggangu</v>
      </c>
      <c r="F783" s="68">
        <v>522</v>
      </c>
    </row>
    <row r="784" spans="1:6">
      <c r="A784" s="68" t="s">
        <v>1437</v>
      </c>
      <c r="D784" s="68" t="str">
        <f t="shared" si="15"/>
        <v>Buggu</v>
      </c>
      <c r="F784" s="68">
        <v>522</v>
      </c>
    </row>
    <row r="785" spans="1:6">
      <c r="A785" s="68" t="s">
        <v>1438</v>
      </c>
      <c r="D785" s="68" t="str">
        <f t="shared" si="15"/>
        <v>Kibirii</v>
      </c>
      <c r="F785" s="68">
        <v>522</v>
      </c>
    </row>
    <row r="786" spans="1:6">
      <c r="A786" s="68" t="s">
        <v>1439</v>
      </c>
      <c r="D786" s="68" t="str">
        <f t="shared" si="15"/>
        <v>Gango</v>
      </c>
      <c r="F786" s="68">
        <v>522</v>
      </c>
    </row>
    <row r="787" spans="1:6">
      <c r="A787" s="68" t="s">
        <v>1440</v>
      </c>
      <c r="D787" s="68" t="str">
        <f t="shared" si="15"/>
        <v>Mulungu</v>
      </c>
      <c r="F787" s="68">
        <v>522</v>
      </c>
    </row>
    <row r="788" spans="1:6">
      <c r="A788" s="68" t="s">
        <v>1441</v>
      </c>
      <c r="D788" s="68" t="str">
        <f t="shared" si="15"/>
        <v>Mawanga</v>
      </c>
      <c r="F788" s="68">
        <v>522</v>
      </c>
    </row>
    <row r="789" spans="1:6">
      <c r="A789" s="68" t="s">
        <v>1442</v>
      </c>
      <c r="D789" s="68" t="str">
        <f t="shared" si="15"/>
        <v>KELTRON SERVICES</v>
      </c>
      <c r="F789" s="68">
        <v>522</v>
      </c>
    </row>
    <row r="790" spans="1:6">
      <c r="A790" s="68" t="s">
        <v>1443</v>
      </c>
      <c r="D790" s="68" t="str">
        <f t="shared" si="15"/>
        <v>Kabuuma</v>
      </c>
      <c r="E790" s="68" t="str">
        <f>A790</f>
        <v>Kabuuma</v>
      </c>
      <c r="F790" s="68">
        <v>522</v>
      </c>
    </row>
    <row r="791" spans="1:6">
      <c r="A791" s="68" t="s">
        <v>1444</v>
      </c>
      <c r="D791" s="68" t="str">
        <f t="shared" si="15"/>
        <v>Kabuma</v>
      </c>
      <c r="F791" s="68">
        <v>522</v>
      </c>
    </row>
    <row r="792" spans="1:6">
      <c r="A792" s="68" t="s">
        <v>1445</v>
      </c>
      <c r="D792" s="68" t="str">
        <f t="shared" si="15"/>
        <v xml:space="preserve">KIGO </v>
      </c>
      <c r="F792" s="68">
        <v>522</v>
      </c>
    </row>
    <row r="793" spans="1:6">
      <c r="A793" s="68" t="s">
        <v>1446</v>
      </c>
      <c r="D793" s="68" t="str">
        <f t="shared" si="15"/>
        <v>Kakoola</v>
      </c>
      <c r="F793" s="68">
        <v>522</v>
      </c>
    </row>
    <row r="794" spans="1:6">
      <c r="A794" s="68" t="s">
        <v>1447</v>
      </c>
      <c r="D794" s="68" t="str">
        <f t="shared" si="15"/>
        <v>Kiggo</v>
      </c>
      <c r="F794" s="68">
        <v>522</v>
      </c>
    </row>
    <row r="795" spans="1:6">
      <c r="A795" s="68" t="s">
        <v>1448</v>
      </c>
      <c r="D795" s="68" t="str">
        <f t="shared" si="15"/>
        <v>Kigo</v>
      </c>
      <c r="E795" s="68" t="str">
        <f>A795</f>
        <v>Kigo</v>
      </c>
      <c r="F795" s="68">
        <v>522</v>
      </c>
    </row>
    <row r="796" spans="1:6">
      <c r="A796" s="68" t="s">
        <v>1449</v>
      </c>
      <c r="D796" s="68" t="str">
        <f t="shared" si="15"/>
        <v>KIGO SERENE</v>
      </c>
      <c r="F796" s="68">
        <v>522</v>
      </c>
    </row>
    <row r="797" spans="1:6">
      <c r="A797" s="68" t="s">
        <v>1450</v>
      </c>
      <c r="D797" s="68" t="str">
        <f t="shared" si="15"/>
        <v>Busabala</v>
      </c>
      <c r="E797" s="68" t="str">
        <f>A797</f>
        <v>Busabala</v>
      </c>
      <c r="F797" s="68">
        <v>522</v>
      </c>
    </row>
    <row r="798" spans="1:6">
      <c r="A798" s="68" t="s">
        <v>1451</v>
      </c>
      <c r="D798" s="68" t="str">
        <f t="shared" si="15"/>
        <v>BUSAABALA</v>
      </c>
      <c r="F798" s="68">
        <v>522</v>
      </c>
    </row>
    <row r="799" spans="1:6">
      <c r="A799" s="68" t="s">
        <v>1452</v>
      </c>
      <c r="D799" s="68" t="str">
        <f t="shared" si="15"/>
        <v>BUSALABA</v>
      </c>
      <c r="F799" s="68">
        <v>522</v>
      </c>
    </row>
    <row r="800" spans="1:6">
      <c r="A800" s="68" t="s">
        <v>1453</v>
      </c>
      <c r="D800" s="68" t="str">
        <f t="shared" si="15"/>
        <v>Kanaaba</v>
      </c>
      <c r="F800" s="68">
        <v>522</v>
      </c>
    </row>
    <row r="801" spans="1:6">
      <c r="A801" s="68" t="s">
        <v>1454</v>
      </c>
      <c r="D801" s="68" t="str">
        <f t="shared" si="15"/>
        <v>Kibir</v>
      </c>
      <c r="F801" s="68">
        <v>522</v>
      </c>
    </row>
    <row r="802" spans="1:6">
      <c r="A802" s="68" t="s">
        <v>1455</v>
      </c>
      <c r="D802" s="68" t="str">
        <f t="shared" si="15"/>
        <v>KIBIIRI</v>
      </c>
      <c r="E802" s="68" t="str">
        <f>A802</f>
        <v>KIBIIRI</v>
      </c>
      <c r="F802" s="68">
        <v>522</v>
      </c>
    </row>
    <row r="803" spans="1:6">
      <c r="A803" s="68" t="s">
        <v>1456</v>
      </c>
      <c r="D803" s="68" t="str">
        <f t="shared" si="15"/>
        <v>KAZI</v>
      </c>
      <c r="E803" s="68" t="str">
        <f>A803</f>
        <v>KAZI</v>
      </c>
      <c r="F803" s="68">
        <v>522</v>
      </c>
    </row>
    <row r="804" spans="1:6">
      <c r="A804" s="68" t="s">
        <v>1457</v>
      </c>
      <c r="D804" s="68" t="str">
        <f t="shared" si="15"/>
        <v>KAAZI</v>
      </c>
      <c r="F804" s="68">
        <v>522</v>
      </c>
    </row>
    <row r="805" spans="1:6">
      <c r="A805" s="68" t="s">
        <v>1458</v>
      </c>
      <c r="D805" s="68" t="str">
        <f t="shared" si="15"/>
        <v>Kazii</v>
      </c>
      <c r="E805" s="68" t="str">
        <f>A805</f>
        <v>Kazii</v>
      </c>
      <c r="F805" s="68">
        <v>522</v>
      </c>
    </row>
    <row r="806" spans="1:6">
      <c r="A806" s="68" t="s">
        <v>1459</v>
      </c>
      <c r="D806" s="68" t="str">
        <f t="shared" si="15"/>
        <v>Buzinga</v>
      </c>
      <c r="F806" s="68">
        <v>522</v>
      </c>
    </row>
    <row r="807" spans="1:6">
      <c r="A807" s="68" t="s">
        <v>1460</v>
      </c>
      <c r="D807" s="68" t="str">
        <f t="shared" si="15"/>
        <v>Kiruddu</v>
      </c>
      <c r="E807" s="68" t="str">
        <f t="shared" ref="E807:E812" si="16">A807</f>
        <v>Kiruddu</v>
      </c>
      <c r="F807" s="68">
        <v>522</v>
      </c>
    </row>
    <row r="808" spans="1:6">
      <c r="A808" s="68" t="s">
        <v>1461</v>
      </c>
      <c r="D808" s="68" t="str">
        <f t="shared" si="15"/>
        <v>Kirundu</v>
      </c>
      <c r="E808" s="68" t="str">
        <f t="shared" si="16"/>
        <v>Kirundu</v>
      </c>
      <c r="F808" s="68">
        <v>522</v>
      </c>
    </row>
    <row r="809" spans="1:6">
      <c r="A809" s="68" t="s">
        <v>1462</v>
      </c>
      <c r="D809" s="68" t="str">
        <f t="shared" si="15"/>
        <v>Kirudu</v>
      </c>
      <c r="E809" s="68" t="str">
        <f t="shared" si="16"/>
        <v>Kirudu</v>
      </c>
      <c r="F809" s="68">
        <v>522</v>
      </c>
    </row>
    <row r="810" spans="1:6">
      <c r="A810" s="68" t="s">
        <v>1463</v>
      </c>
      <c r="D810" s="68" t="str">
        <f t="shared" si="15"/>
        <v>Kirudu hospital</v>
      </c>
      <c r="E810" s="68" t="str">
        <f t="shared" si="16"/>
        <v>Kirudu hospital</v>
      </c>
      <c r="F810" s="68">
        <v>522</v>
      </c>
    </row>
    <row r="811" spans="1:6">
      <c r="A811" s="68" t="s">
        <v>1464</v>
      </c>
      <c r="D811" s="68" t="str">
        <f t="shared" si="15"/>
        <v xml:space="preserve">Bunga </v>
      </c>
      <c r="E811" s="68" t="str">
        <f t="shared" si="16"/>
        <v xml:space="preserve">Bunga </v>
      </c>
      <c r="F811" s="68">
        <v>522</v>
      </c>
    </row>
    <row r="812" spans="1:6">
      <c r="A812" s="68" t="s">
        <v>1465</v>
      </c>
      <c r="D812" s="68" t="str">
        <f t="shared" si="15"/>
        <v>Bungu</v>
      </c>
      <c r="E812" s="68" t="str">
        <f t="shared" si="16"/>
        <v>Bungu</v>
      </c>
      <c r="F812" s="68">
        <v>522</v>
      </c>
    </row>
    <row r="813" spans="1:6">
      <c r="A813" s="68" t="s">
        <v>1466</v>
      </c>
      <c r="D813" s="68" t="str">
        <f t="shared" si="15"/>
        <v>BUNGA</v>
      </c>
      <c r="F813" s="68">
        <v>522</v>
      </c>
    </row>
    <row r="814" spans="1:6">
      <c r="A814" s="68" t="s">
        <v>1467</v>
      </c>
      <c r="B814" s="68" t="s">
        <v>1255</v>
      </c>
      <c r="C814" s="68" t="s">
        <v>1256</v>
      </c>
      <c r="D814" s="68" t="str">
        <f t="shared" si="15"/>
        <v>Ggaba</v>
      </c>
      <c r="E814" s="68" t="str">
        <f>A814</f>
        <v>Ggaba</v>
      </c>
      <c r="F814" s="68">
        <v>522</v>
      </c>
    </row>
    <row r="815" spans="1:6">
      <c r="A815" s="68" t="s">
        <v>1468</v>
      </c>
      <c r="D815" s="68" t="str">
        <f t="shared" si="15"/>
        <v>Konge</v>
      </c>
      <c r="E815" s="68" t="str">
        <f>A815</f>
        <v>Konge</v>
      </c>
      <c r="F815" s="68">
        <v>522</v>
      </c>
    </row>
    <row r="816" spans="1:6">
      <c r="A816" s="68" t="s">
        <v>1469</v>
      </c>
      <c r="B816" s="68" t="s">
        <v>1255</v>
      </c>
      <c r="C816" s="68" t="s">
        <v>1256</v>
      </c>
      <c r="D816" s="68" t="str">
        <f t="shared" si="15"/>
        <v>Industrial Area</v>
      </c>
      <c r="E816" s="68" t="str">
        <f>A816</f>
        <v>Industrial Area</v>
      </c>
      <c r="F816" s="68">
        <v>523</v>
      </c>
    </row>
    <row r="817" spans="1:6">
      <c r="A817" s="68" t="s">
        <v>1470</v>
      </c>
      <c r="D817" s="68" t="str">
        <f t="shared" si="15"/>
        <v>6th street</v>
      </c>
      <c r="F817" s="68">
        <v>523</v>
      </c>
    </row>
    <row r="818" spans="1:6">
      <c r="A818" s="68" t="s">
        <v>1471</v>
      </c>
      <c r="B818" s="68" t="s">
        <v>1255</v>
      </c>
      <c r="C818" s="68" t="s">
        <v>1256</v>
      </c>
      <c r="D818" s="68" t="str">
        <f t="shared" si="15"/>
        <v>Itek</v>
      </c>
      <c r="E818" s="68" t="str">
        <f t="shared" ref="E818:E823" si="17">A818</f>
        <v>Itek</v>
      </c>
      <c r="F818" s="68">
        <v>524</v>
      </c>
    </row>
    <row r="819" spans="1:6">
      <c r="A819" s="68" t="s">
        <v>1472</v>
      </c>
      <c r="B819" s="68" t="s">
        <v>1255</v>
      </c>
      <c r="C819" s="68" t="s">
        <v>1256</v>
      </c>
      <c r="D819" s="68" t="str">
        <f t="shared" si="15"/>
        <v>Kabalagala</v>
      </c>
      <c r="E819" s="68" t="str">
        <f t="shared" si="17"/>
        <v>Kabalagala</v>
      </c>
      <c r="F819" s="68">
        <v>525</v>
      </c>
    </row>
    <row r="820" spans="1:6">
      <c r="A820" s="68" t="s">
        <v>1473</v>
      </c>
      <c r="D820" s="68" t="str">
        <f t="shared" si="15"/>
        <v>Muyenga</v>
      </c>
      <c r="E820" s="68" t="str">
        <f t="shared" si="17"/>
        <v>Muyenga</v>
      </c>
      <c r="F820" s="68">
        <v>525</v>
      </c>
    </row>
    <row r="821" spans="1:6">
      <c r="A821" s="68" t="s">
        <v>1474</v>
      </c>
      <c r="B821" s="68" t="s">
        <v>1255</v>
      </c>
      <c r="C821" s="68" t="s">
        <v>1256</v>
      </c>
      <c r="D821" s="68" t="str">
        <f t="shared" si="15"/>
        <v>Kabowa</v>
      </c>
      <c r="E821" s="68" t="str">
        <f t="shared" si="17"/>
        <v>Kabowa</v>
      </c>
      <c r="F821" s="68">
        <v>526</v>
      </c>
    </row>
    <row r="822" spans="1:6">
      <c r="A822" s="68" t="s">
        <v>1475</v>
      </c>
      <c r="B822" s="68" t="s">
        <v>1255</v>
      </c>
      <c r="C822" s="68" t="s">
        <v>1256</v>
      </c>
      <c r="D822" s="68" t="str">
        <f t="shared" si="15"/>
        <v>Kagugube</v>
      </c>
      <c r="E822" s="68" t="str">
        <f t="shared" si="17"/>
        <v>Kagugube</v>
      </c>
      <c r="F822" s="68">
        <v>527</v>
      </c>
    </row>
    <row r="823" spans="1:6">
      <c r="A823" s="68" t="s">
        <v>1476</v>
      </c>
      <c r="B823" s="68" t="s">
        <v>1255</v>
      </c>
      <c r="C823" s="68" t="s">
        <v>1256</v>
      </c>
      <c r="D823" s="68" t="str">
        <f t="shared" si="15"/>
        <v>Kamwokya</v>
      </c>
      <c r="E823" s="68" t="str">
        <f t="shared" si="17"/>
        <v>Kamwokya</v>
      </c>
      <c r="F823" s="68">
        <v>528</v>
      </c>
    </row>
    <row r="824" spans="1:6">
      <c r="A824" s="68" t="s">
        <v>1477</v>
      </c>
      <c r="D824" s="68" t="str">
        <f t="shared" si="15"/>
        <v>KAMOKYA</v>
      </c>
      <c r="F824" s="68">
        <v>528</v>
      </c>
    </row>
    <row r="825" spans="1:6">
      <c r="A825" s="68" t="s">
        <v>1478</v>
      </c>
      <c r="D825" s="68" t="str">
        <f t="shared" si="15"/>
        <v>Mawanda</v>
      </c>
      <c r="F825" s="68">
        <v>528</v>
      </c>
    </row>
    <row r="826" spans="1:6">
      <c r="A826" s="68" t="s">
        <v>1479</v>
      </c>
      <c r="D826" s="68" t="str">
        <f t="shared" si="15"/>
        <v>Mawanda rd</v>
      </c>
      <c r="F826" s="68">
        <v>528</v>
      </c>
    </row>
    <row r="827" spans="1:6">
      <c r="A827" s="68" t="s">
        <v>1480</v>
      </c>
      <c r="D827" s="68" t="str">
        <f t="shared" si="15"/>
        <v>KAWOKYA</v>
      </c>
      <c r="F827" s="68">
        <v>528</v>
      </c>
    </row>
    <row r="828" spans="1:6">
      <c r="A828" s="68" t="s">
        <v>1481</v>
      </c>
      <c r="D828" s="68" t="str">
        <f t="shared" si="15"/>
        <v>KAMWOJA</v>
      </c>
      <c r="F828" s="68">
        <v>528</v>
      </c>
    </row>
    <row r="829" spans="1:6">
      <c r="A829" s="68" t="s">
        <v>1482</v>
      </c>
      <c r="D829" s="68" t="str">
        <f t="shared" si="15"/>
        <v>NBS</v>
      </c>
      <c r="F829" s="68">
        <v>528</v>
      </c>
    </row>
    <row r="830" spans="1:6">
      <c r="A830" s="68" t="s">
        <v>1483</v>
      </c>
      <c r="D830" s="68" t="str">
        <f t="shared" si="15"/>
        <v>Acacia mall</v>
      </c>
      <c r="F830" s="68">
        <v>528</v>
      </c>
    </row>
    <row r="831" spans="1:6">
      <c r="A831" s="68" t="s">
        <v>1484</v>
      </c>
      <c r="D831" s="68" t="str">
        <f t="shared" si="15"/>
        <v>ACACIA</v>
      </c>
      <c r="F831" s="68">
        <v>528</v>
      </c>
    </row>
    <row r="832" spans="1:6">
      <c r="A832" s="68" t="s">
        <v>1485</v>
      </c>
      <c r="D832" s="68" t="str">
        <f t="shared" si="15"/>
        <v>ACASSIA MALL</v>
      </c>
      <c r="F832" s="68">
        <v>528</v>
      </c>
    </row>
    <row r="833" spans="1:6">
      <c r="A833" s="68" t="s">
        <v>1486</v>
      </c>
      <c r="D833" s="68" t="str">
        <f t="shared" si="15"/>
        <v>ACACIA MALL KAMOKYA</v>
      </c>
      <c r="F833" s="68">
        <v>528</v>
      </c>
    </row>
    <row r="834" spans="1:6">
      <c r="A834" s="68" t="s">
        <v>1487</v>
      </c>
      <c r="B834" s="68" t="s">
        <v>1255</v>
      </c>
      <c r="C834" s="68" t="s">
        <v>1256</v>
      </c>
      <c r="D834" s="68" t="str">
        <f t="shared" ref="D834:D896" si="18">A834</f>
        <v>Kansanga</v>
      </c>
      <c r="E834" s="68" t="str">
        <f>A834</f>
        <v>Kansanga</v>
      </c>
      <c r="F834" s="68">
        <v>529</v>
      </c>
    </row>
    <row r="835" spans="1:6">
      <c r="A835" s="68" t="s">
        <v>1488</v>
      </c>
      <c r="D835" s="68" t="str">
        <f t="shared" si="18"/>
        <v>NABUTITI</v>
      </c>
      <c r="F835" s="68">
        <v>529</v>
      </c>
    </row>
    <row r="836" spans="1:6">
      <c r="A836" s="68" t="s">
        <v>1489</v>
      </c>
      <c r="D836" s="68" t="str">
        <f t="shared" si="18"/>
        <v>Nganda</v>
      </c>
      <c r="F836" s="68">
        <v>529</v>
      </c>
    </row>
    <row r="837" spans="1:6">
      <c r="A837" s="68" t="s">
        <v>1490</v>
      </c>
      <c r="D837" s="68" t="str">
        <f t="shared" si="18"/>
        <v>Kasanga</v>
      </c>
      <c r="E837" s="68" t="str">
        <f>A837</f>
        <v>Kasanga</v>
      </c>
      <c r="F837" s="68">
        <v>529</v>
      </c>
    </row>
    <row r="838" spans="1:6">
      <c r="A838" s="68" t="s">
        <v>1491</v>
      </c>
      <c r="B838" s="68" t="s">
        <v>1255</v>
      </c>
      <c r="C838" s="68" t="s">
        <v>1256</v>
      </c>
      <c r="D838" s="68" t="str">
        <f t="shared" si="18"/>
        <v>Kanyanya</v>
      </c>
      <c r="E838" s="68" t="str">
        <f>A838</f>
        <v>Kanyanya</v>
      </c>
      <c r="F838" s="68">
        <v>530</v>
      </c>
    </row>
    <row r="839" spans="1:6">
      <c r="A839" s="68" t="s">
        <v>1492</v>
      </c>
      <c r="D839" s="68" t="str">
        <f t="shared" si="18"/>
        <v>Kiteezi</v>
      </c>
      <c r="F839" s="68">
        <v>530</v>
      </c>
    </row>
    <row r="840" spans="1:6">
      <c r="A840" s="68" t="s">
        <v>1493</v>
      </c>
      <c r="D840" s="68" t="str">
        <f t="shared" si="18"/>
        <v>Lusanja</v>
      </c>
      <c r="F840" s="68">
        <v>530</v>
      </c>
    </row>
    <row r="841" spans="1:6">
      <c r="A841" s="68" t="s">
        <v>1494</v>
      </c>
      <c r="D841" s="68" t="str">
        <f t="shared" si="18"/>
        <v>Bamba</v>
      </c>
      <c r="F841" s="68">
        <v>530</v>
      </c>
    </row>
    <row r="842" spans="1:6">
      <c r="A842" s="68" t="s">
        <v>1495</v>
      </c>
      <c r="B842" s="68" t="s">
        <v>1255</v>
      </c>
      <c r="C842" s="68" t="s">
        <v>1256</v>
      </c>
      <c r="D842" s="68" t="str">
        <f t="shared" si="18"/>
        <v>Kasubi</v>
      </c>
      <c r="E842" s="68" t="str">
        <f>A842</f>
        <v>Kasubi</v>
      </c>
      <c r="F842" s="68">
        <v>531</v>
      </c>
    </row>
    <row r="843" spans="1:6">
      <c r="A843" s="68" t="s">
        <v>1496</v>
      </c>
      <c r="D843" s="68" t="str">
        <f t="shared" si="18"/>
        <v>Hoima rd</v>
      </c>
      <c r="F843" s="68">
        <v>531</v>
      </c>
    </row>
    <row r="844" spans="1:6">
      <c r="A844" s="68" t="s">
        <v>1497</v>
      </c>
      <c r="D844" s="68" t="str">
        <f t="shared" si="18"/>
        <v>Namugona</v>
      </c>
      <c r="E844" s="68" t="str">
        <f>A844</f>
        <v>Namugona</v>
      </c>
      <c r="F844" s="68">
        <v>531</v>
      </c>
    </row>
    <row r="845" spans="1:6">
      <c r="A845" s="68" t="s">
        <v>1498</v>
      </c>
      <c r="D845" s="68" t="str">
        <f t="shared" si="18"/>
        <v>Namungona</v>
      </c>
      <c r="F845" s="68">
        <v>531</v>
      </c>
    </row>
    <row r="846" spans="1:6">
      <c r="A846" s="68" t="s">
        <v>1499</v>
      </c>
      <c r="D846" s="68" t="str">
        <f t="shared" si="18"/>
        <v>Namungoona</v>
      </c>
      <c r="E846" s="68" t="str">
        <f>A846</f>
        <v>Namungoona</v>
      </c>
      <c r="F846" s="68">
        <v>531</v>
      </c>
    </row>
    <row r="847" spans="1:6">
      <c r="A847" s="68" t="s">
        <v>1500</v>
      </c>
      <c r="D847" s="68" t="str">
        <f t="shared" si="18"/>
        <v>NAMUNGHONA</v>
      </c>
      <c r="F847" s="68">
        <v>531</v>
      </c>
    </row>
    <row r="848" spans="1:6">
      <c r="A848" s="68" t="s">
        <v>1501</v>
      </c>
      <c r="D848" s="68" t="str">
        <f t="shared" si="18"/>
        <v>MAMUNGONA</v>
      </c>
      <c r="F848" s="68">
        <v>531</v>
      </c>
    </row>
    <row r="849" spans="1:6">
      <c r="A849" s="68" t="s">
        <v>1502</v>
      </c>
      <c r="D849" s="68" t="str">
        <f t="shared" si="18"/>
        <v>Cleanex petrol station</v>
      </c>
      <c r="F849" s="68">
        <v>531</v>
      </c>
    </row>
    <row r="850" spans="1:6">
      <c r="A850" s="68" t="s">
        <v>1503</v>
      </c>
      <c r="D850" s="68" t="str">
        <f t="shared" si="18"/>
        <v>Nasere</v>
      </c>
      <c r="F850" s="68">
        <v>531</v>
      </c>
    </row>
    <row r="851" spans="1:6">
      <c r="A851" s="68" t="s">
        <v>1504</v>
      </c>
      <c r="D851" s="68" t="str">
        <f t="shared" si="18"/>
        <v>KAWALA</v>
      </c>
      <c r="F851" s="68">
        <v>531</v>
      </c>
    </row>
    <row r="852" spans="1:6">
      <c r="A852" s="68" t="s">
        <v>1505</v>
      </c>
      <c r="D852" s="68" t="str">
        <f t="shared" si="18"/>
        <v>Kawaala</v>
      </c>
      <c r="F852" s="68">
        <v>531</v>
      </c>
    </row>
    <row r="853" spans="1:6">
      <c r="A853" s="68" t="s">
        <v>1506</v>
      </c>
      <c r="B853" s="68" t="s">
        <v>1255</v>
      </c>
      <c r="C853" s="68" t="s">
        <v>1256</v>
      </c>
      <c r="D853" s="68" t="str">
        <f t="shared" si="18"/>
        <v>Katwe</v>
      </c>
      <c r="E853" s="68" t="str">
        <f>A853</f>
        <v>Katwe</v>
      </c>
      <c r="F853" s="68">
        <v>532</v>
      </c>
    </row>
    <row r="854" spans="1:6">
      <c r="A854" s="68" t="s">
        <v>1507</v>
      </c>
      <c r="D854" s="68" t="str">
        <f t="shared" si="18"/>
        <v>QUEENS WAY</v>
      </c>
      <c r="F854" s="68">
        <v>532</v>
      </c>
    </row>
    <row r="855" spans="1:6">
      <c r="A855" s="68" t="s">
        <v>1508</v>
      </c>
      <c r="B855" s="68" t="s">
        <v>1255</v>
      </c>
      <c r="C855" s="68" t="s">
        <v>1256</v>
      </c>
      <c r="D855" s="68" t="str">
        <f t="shared" si="18"/>
        <v>Kawempe</v>
      </c>
      <c r="E855" s="68" t="str">
        <f>A855</f>
        <v>Kawempe</v>
      </c>
      <c r="F855" s="68">
        <v>533</v>
      </c>
    </row>
    <row r="856" spans="1:6">
      <c r="A856" s="68" t="s">
        <v>1509</v>
      </c>
      <c r="D856" s="68" t="str">
        <f t="shared" si="18"/>
        <v>CENTRAL KAWEMPE</v>
      </c>
      <c r="F856" s="68">
        <v>533</v>
      </c>
    </row>
    <row r="857" spans="1:6">
      <c r="A857" s="68" t="s">
        <v>1510</v>
      </c>
      <c r="D857" s="68" t="str">
        <f t="shared" si="18"/>
        <v>Tula</v>
      </c>
      <c r="F857" s="68">
        <v>533</v>
      </c>
    </row>
    <row r="858" spans="1:6">
      <c r="A858" s="68" t="s">
        <v>1511</v>
      </c>
      <c r="D858" s="68" t="str">
        <f t="shared" si="18"/>
        <v>Agakhan</v>
      </c>
      <c r="E858" s="68" t="str">
        <f t="shared" ref="E858:E863" si="19">A858</f>
        <v>Agakhan</v>
      </c>
      <c r="F858" s="68">
        <v>533</v>
      </c>
    </row>
    <row r="859" spans="1:6">
      <c r="A859" s="68" t="s">
        <v>1512</v>
      </c>
      <c r="B859" s="68" t="s">
        <v>1255</v>
      </c>
      <c r="C859" s="68" t="s">
        <v>1256</v>
      </c>
      <c r="D859" s="68" t="str">
        <f t="shared" si="18"/>
        <v>Kazo Angola</v>
      </c>
      <c r="E859" s="68" t="str">
        <f t="shared" si="19"/>
        <v>Kazo Angola</v>
      </c>
      <c r="F859" s="68">
        <v>534</v>
      </c>
    </row>
    <row r="860" spans="1:6">
      <c r="A860" s="68" t="s">
        <v>1513</v>
      </c>
      <c r="B860" s="68" t="s">
        <v>1255</v>
      </c>
      <c r="C860" s="68" t="s">
        <v>1256</v>
      </c>
      <c r="D860" s="68" t="str">
        <f t="shared" si="18"/>
        <v>Kibuli</v>
      </c>
      <c r="E860" s="68" t="str">
        <f t="shared" si="19"/>
        <v>Kibuli</v>
      </c>
      <c r="F860" s="68">
        <v>535</v>
      </c>
    </row>
    <row r="861" spans="1:6">
      <c r="A861" s="68" t="s">
        <v>1514</v>
      </c>
      <c r="B861" s="68" t="s">
        <v>1255</v>
      </c>
      <c r="C861" s="68" t="s">
        <v>1256</v>
      </c>
      <c r="D861" s="68" t="str">
        <f t="shared" si="18"/>
        <v>Kibuye</v>
      </c>
      <c r="E861" s="68" t="str">
        <f t="shared" si="19"/>
        <v>Kibuye</v>
      </c>
      <c r="F861" s="68">
        <v>536</v>
      </c>
    </row>
    <row r="862" spans="1:6">
      <c r="A862" s="68" t="s">
        <v>1515</v>
      </c>
      <c r="B862" s="68" t="s">
        <v>1255</v>
      </c>
      <c r="C862" s="68" t="s">
        <v>1256</v>
      </c>
      <c r="D862" s="68" t="str">
        <f t="shared" si="18"/>
        <v>Kikaaya</v>
      </c>
      <c r="E862" s="68" t="str">
        <f t="shared" si="19"/>
        <v>Kikaaya</v>
      </c>
      <c r="F862" s="68">
        <v>537</v>
      </c>
    </row>
    <row r="863" spans="1:6">
      <c r="A863" s="68" t="s">
        <v>1516</v>
      </c>
      <c r="B863" s="68" t="s">
        <v>1255</v>
      </c>
      <c r="C863" s="68" t="s">
        <v>1256</v>
      </c>
      <c r="D863" s="68" t="str">
        <f t="shared" si="18"/>
        <v xml:space="preserve">Kisenyi </v>
      </c>
      <c r="E863" s="68" t="str">
        <f t="shared" si="19"/>
        <v xml:space="preserve">Kisenyi </v>
      </c>
      <c r="F863" s="68">
        <v>538</v>
      </c>
    </row>
    <row r="864" spans="1:6">
      <c r="A864" s="68" t="s">
        <v>1517</v>
      </c>
      <c r="D864" s="68" t="str">
        <f t="shared" si="18"/>
        <v>KISENYI</v>
      </c>
      <c r="F864" s="68">
        <v>538</v>
      </c>
    </row>
    <row r="865" spans="1:6">
      <c r="A865" s="68" t="s">
        <v>1518</v>
      </c>
      <c r="D865" s="68" t="str">
        <f t="shared" si="18"/>
        <v>MUKASA ROAD</v>
      </c>
      <c r="F865" s="68">
        <v>538</v>
      </c>
    </row>
    <row r="866" spans="1:6">
      <c r="A866" s="68" t="s">
        <v>1519</v>
      </c>
      <c r="D866" s="68" t="str">
        <f t="shared" si="18"/>
        <v>KISENYI  PARK</v>
      </c>
      <c r="F866" s="68">
        <v>538</v>
      </c>
    </row>
    <row r="867" spans="1:6">
      <c r="A867" s="68" t="s">
        <v>1520</v>
      </c>
      <c r="D867" s="68" t="str">
        <f t="shared" si="18"/>
        <v>KISENYI BUS TERMINAL</v>
      </c>
      <c r="F867" s="68">
        <v>538</v>
      </c>
    </row>
    <row r="868" spans="1:6">
      <c r="A868" s="68" t="s">
        <v>1521</v>
      </c>
      <c r="D868" s="68" t="str">
        <f t="shared" si="18"/>
        <v>Kasenyi</v>
      </c>
      <c r="F868" s="68">
        <v>538</v>
      </c>
    </row>
    <row r="869" spans="1:6">
      <c r="A869" s="68" t="s">
        <v>1522</v>
      </c>
      <c r="B869" s="68" t="s">
        <v>1255</v>
      </c>
      <c r="C869" s="68" t="s">
        <v>1256</v>
      </c>
      <c r="D869" s="68" t="str">
        <f t="shared" si="18"/>
        <v>Kisugu</v>
      </c>
      <c r="E869" s="68" t="str">
        <f>A869</f>
        <v>Kisugu</v>
      </c>
      <c r="F869" s="68">
        <v>539</v>
      </c>
    </row>
    <row r="870" spans="1:6">
      <c r="A870" s="68" t="s">
        <v>1523</v>
      </c>
      <c r="B870" s="68" t="s">
        <v>1255</v>
      </c>
      <c r="C870" s="68" t="s">
        <v>1256</v>
      </c>
      <c r="D870" s="68" t="str">
        <f t="shared" si="18"/>
        <v>Kiswa</v>
      </c>
      <c r="E870" s="68" t="str">
        <f>A870</f>
        <v>Kiswa</v>
      </c>
      <c r="F870" s="68">
        <v>540</v>
      </c>
    </row>
    <row r="871" spans="1:6">
      <c r="A871" s="68" t="s">
        <v>1524</v>
      </c>
      <c r="B871" s="68" t="s">
        <v>1255</v>
      </c>
      <c r="C871" s="68" t="s">
        <v>1256</v>
      </c>
      <c r="D871" s="68" t="str">
        <f t="shared" si="18"/>
        <v>Kiwatule</v>
      </c>
      <c r="E871" s="68" t="str">
        <f>A871</f>
        <v>Kiwatule</v>
      </c>
      <c r="F871" s="68">
        <v>541</v>
      </c>
    </row>
    <row r="872" spans="1:6">
      <c r="A872" s="68" t="s">
        <v>1525</v>
      </c>
      <c r="D872" s="68" t="str">
        <f t="shared" si="18"/>
        <v>KIWAATULE</v>
      </c>
      <c r="F872" s="68">
        <v>541</v>
      </c>
    </row>
    <row r="873" spans="1:6">
      <c r="A873" s="68" t="s">
        <v>1526</v>
      </c>
      <c r="D873" s="68" t="str">
        <f t="shared" si="18"/>
        <v>POLICE STATION KIWATULE</v>
      </c>
      <c r="F873" s="68">
        <v>541</v>
      </c>
    </row>
    <row r="874" spans="1:6">
      <c r="A874" s="68" t="s">
        <v>1527</v>
      </c>
      <c r="D874" s="68" t="str">
        <f t="shared" si="18"/>
        <v>KIGOWA</v>
      </c>
      <c r="F874" s="68">
        <v>541</v>
      </c>
    </row>
    <row r="875" spans="1:6">
      <c r="A875" s="68" t="s">
        <v>1528</v>
      </c>
      <c r="D875" s="68" t="str">
        <f t="shared" si="18"/>
        <v>Wamala</v>
      </c>
      <c r="F875" s="68">
        <v>541</v>
      </c>
    </row>
    <row r="876" spans="1:6">
      <c r="A876" s="68" t="s">
        <v>1529</v>
      </c>
      <c r="D876" s="68" t="str">
        <f t="shared" si="18"/>
        <v>Kajiri</v>
      </c>
      <c r="F876" s="68">
        <v>541</v>
      </c>
    </row>
    <row r="877" spans="1:6">
      <c r="A877" s="68" t="s">
        <v>1530</v>
      </c>
      <c r="B877" s="68" t="s">
        <v>1255</v>
      </c>
      <c r="C877" s="68" t="s">
        <v>1256</v>
      </c>
      <c r="D877" s="68" t="str">
        <f t="shared" si="18"/>
        <v>Kololo</v>
      </c>
      <c r="E877" s="68" t="str">
        <f>A877</f>
        <v>Kololo</v>
      </c>
      <c r="F877" s="68">
        <v>542</v>
      </c>
    </row>
    <row r="878" spans="1:6">
      <c r="A878" s="68" t="s">
        <v>1531</v>
      </c>
      <c r="D878" s="68" t="str">
        <f t="shared" si="18"/>
        <v>Upper Kololo</v>
      </c>
      <c r="F878" s="68">
        <v>542</v>
      </c>
    </row>
    <row r="879" spans="1:6">
      <c r="A879" s="68" t="s">
        <v>1532</v>
      </c>
      <c r="D879" s="68" t="str">
        <f t="shared" si="18"/>
        <v>ADONAI</v>
      </c>
      <c r="F879" s="68">
        <v>542</v>
      </c>
    </row>
    <row r="880" spans="1:6">
      <c r="A880" s="68" t="s">
        <v>1533</v>
      </c>
      <c r="D880" s="68" t="str">
        <f t="shared" si="18"/>
        <v>Garden City</v>
      </c>
      <c r="F880" s="68">
        <v>542</v>
      </c>
    </row>
    <row r="881" spans="1:6">
      <c r="A881" s="68" t="s">
        <v>1534</v>
      </c>
      <c r="D881" s="68" t="str">
        <f t="shared" si="18"/>
        <v>YUSUF LULE ROAD</v>
      </c>
      <c r="F881" s="68">
        <v>542</v>
      </c>
    </row>
    <row r="882" spans="1:6">
      <c r="A882" s="68" t="s">
        <v>1535</v>
      </c>
      <c r="D882" s="68" t="str">
        <f t="shared" si="18"/>
        <v>Yusuf Lule</v>
      </c>
      <c r="F882" s="68">
        <v>542</v>
      </c>
    </row>
    <row r="883" spans="1:6">
      <c r="A883" s="68" t="s">
        <v>1536</v>
      </c>
      <c r="D883" s="68" t="str">
        <f t="shared" si="18"/>
        <v>Kitante</v>
      </c>
      <c r="F883" s="68">
        <v>542</v>
      </c>
    </row>
    <row r="884" spans="1:6">
      <c r="A884" s="68" t="s">
        <v>1537</v>
      </c>
      <c r="D884" s="68" t="str">
        <f t="shared" si="18"/>
        <v>Bulemezi</v>
      </c>
      <c r="F884" s="68">
        <v>542</v>
      </c>
    </row>
    <row r="885" spans="1:6">
      <c r="A885" s="68" t="s">
        <v>1538</v>
      </c>
      <c r="D885" s="68" t="str">
        <f t="shared" si="18"/>
        <v>NYONYI GARDENS</v>
      </c>
      <c r="F885" s="68">
        <v>542</v>
      </c>
    </row>
    <row r="886" spans="1:6">
      <c r="A886" s="68" t="s">
        <v>1539</v>
      </c>
      <c r="D886" s="68" t="str">
        <f t="shared" si="18"/>
        <v>Lugogo</v>
      </c>
      <c r="F886" s="68">
        <v>542</v>
      </c>
    </row>
    <row r="887" spans="1:6">
      <c r="A887" s="68" t="s">
        <v>1540</v>
      </c>
      <c r="D887" s="68" t="str">
        <f t="shared" si="18"/>
        <v>Kinyara</v>
      </c>
      <c r="F887" s="68">
        <v>542</v>
      </c>
    </row>
    <row r="888" spans="1:6">
      <c r="A888" s="68" t="s">
        <v>1541</v>
      </c>
      <c r="D888" s="68" t="str">
        <f t="shared" si="18"/>
        <v>WAVA WATER-LUGOGO</v>
      </c>
      <c r="F888" s="68">
        <v>542</v>
      </c>
    </row>
    <row r="889" spans="1:6">
      <c r="A889" s="68" t="s">
        <v>1542</v>
      </c>
      <c r="D889" s="68" t="str">
        <f t="shared" si="18"/>
        <v>GAME SHOPPING CENTRE</v>
      </c>
      <c r="F889" s="68">
        <v>542</v>
      </c>
    </row>
    <row r="890" spans="1:6">
      <c r="A890" s="68" t="s">
        <v>1543</v>
      </c>
      <c r="D890" s="68" t="str">
        <f t="shared" si="18"/>
        <v>GAME</v>
      </c>
      <c r="F890" s="68">
        <v>542</v>
      </c>
    </row>
    <row r="891" spans="1:6">
      <c r="A891" s="68" t="s">
        <v>1544</v>
      </c>
      <c r="D891" s="68" t="str">
        <f t="shared" si="18"/>
        <v>LUGOGO BY PASS</v>
      </c>
      <c r="F891" s="68">
        <v>542</v>
      </c>
    </row>
    <row r="892" spans="1:6">
      <c r="A892" s="68" t="s">
        <v>1545</v>
      </c>
      <c r="D892" s="68" t="str">
        <f t="shared" si="18"/>
        <v>Lugogo Bypass</v>
      </c>
      <c r="F892" s="68">
        <v>542</v>
      </c>
    </row>
    <row r="893" spans="1:6">
      <c r="A893" s="68" t="s">
        <v>1546</v>
      </c>
      <c r="D893" s="68" t="str">
        <f t="shared" si="18"/>
        <v>Kyadondo</v>
      </c>
      <c r="F893" s="68">
        <v>542</v>
      </c>
    </row>
    <row r="894" spans="1:6">
      <c r="A894" s="68" t="s">
        <v>1547</v>
      </c>
      <c r="D894" s="68" t="str">
        <f t="shared" si="18"/>
        <v>Forest mall</v>
      </c>
      <c r="F894" s="68">
        <v>542</v>
      </c>
    </row>
    <row r="895" spans="1:6">
      <c r="A895" s="68" t="s">
        <v>1548</v>
      </c>
      <c r="D895" s="68" t="str">
        <f t="shared" si="18"/>
        <v>Kabojja</v>
      </c>
      <c r="F895" s="68">
        <v>542</v>
      </c>
    </row>
    <row r="896" spans="1:6">
      <c r="A896" s="68" t="s">
        <v>1549</v>
      </c>
      <c r="D896" s="68" t="str">
        <f t="shared" si="18"/>
        <v>KABOGGA</v>
      </c>
      <c r="F896" s="68">
        <v>542</v>
      </c>
    </row>
    <row r="897" spans="1:6">
      <c r="A897" s="68" t="s">
        <v>1550</v>
      </c>
      <c r="D897" s="68" t="str">
        <f t="shared" ref="D897:D960" si="20">A897</f>
        <v>KABOGA</v>
      </c>
      <c r="F897" s="68">
        <v>542</v>
      </c>
    </row>
    <row r="898" spans="1:6">
      <c r="A898" s="68" t="s">
        <v>1551</v>
      </c>
      <c r="D898" s="68" t="str">
        <f t="shared" si="20"/>
        <v>Wampewo</v>
      </c>
      <c r="E898" s="68" t="str">
        <f>A898</f>
        <v>Wampewo</v>
      </c>
      <c r="F898" s="68">
        <v>542</v>
      </c>
    </row>
    <row r="899" spans="1:6">
      <c r="A899" s="68" t="s">
        <v>1552</v>
      </c>
      <c r="D899" s="68" t="str">
        <f t="shared" si="20"/>
        <v>Wampeewo</v>
      </c>
      <c r="F899" s="68">
        <v>542</v>
      </c>
    </row>
    <row r="900" spans="1:6">
      <c r="A900" s="68" t="s">
        <v>1553</v>
      </c>
      <c r="D900" s="68" t="str">
        <f t="shared" si="20"/>
        <v>Masoli</v>
      </c>
      <c r="F900" s="68">
        <v>542</v>
      </c>
    </row>
    <row r="901" spans="1:6">
      <c r="A901" s="68" t="s">
        <v>1554</v>
      </c>
      <c r="D901" s="68" t="str">
        <f t="shared" si="20"/>
        <v>MASOOLI</v>
      </c>
      <c r="F901" s="68">
        <v>542</v>
      </c>
    </row>
    <row r="902" spans="1:6">
      <c r="A902" s="68" t="s">
        <v>1555</v>
      </c>
      <c r="D902" s="68" t="str">
        <f t="shared" si="20"/>
        <v>Luteete</v>
      </c>
      <c r="F902" s="68">
        <v>542</v>
      </c>
    </row>
    <row r="903" spans="1:6">
      <c r="A903" s="68" t="s">
        <v>1556</v>
      </c>
      <c r="D903" s="68" t="str">
        <f t="shared" si="20"/>
        <v>Lutete</v>
      </c>
      <c r="F903" s="68">
        <v>542</v>
      </c>
    </row>
    <row r="904" spans="1:6">
      <c r="A904" s="68" t="s">
        <v>1557</v>
      </c>
      <c r="B904" s="68" t="s">
        <v>1255</v>
      </c>
      <c r="C904" s="68" t="s">
        <v>1256</v>
      </c>
      <c r="D904" s="68" t="str">
        <f t="shared" si="20"/>
        <v>Komamboga</v>
      </c>
      <c r="E904" s="68" t="str">
        <f>A904</f>
        <v>Komamboga</v>
      </c>
      <c r="F904" s="68">
        <v>543</v>
      </c>
    </row>
    <row r="905" spans="1:6">
      <c r="A905" s="68" t="s">
        <v>1558</v>
      </c>
      <c r="D905" s="68" t="str">
        <f t="shared" si="20"/>
        <v>Ndundu</v>
      </c>
      <c r="F905" s="68">
        <v>543</v>
      </c>
    </row>
    <row r="906" spans="1:6">
      <c r="A906" s="68" t="s">
        <v>1559</v>
      </c>
      <c r="B906" s="68" t="s">
        <v>1255</v>
      </c>
      <c r="C906" s="68" t="s">
        <v>1256</v>
      </c>
      <c r="D906" s="68" t="str">
        <f t="shared" si="20"/>
        <v>Kyambogo</v>
      </c>
      <c r="E906" s="68" t="str">
        <f>A906</f>
        <v>Kyambogo</v>
      </c>
      <c r="F906" s="68">
        <v>544</v>
      </c>
    </row>
    <row r="907" spans="1:6">
      <c r="A907" s="68" t="s">
        <v>1560</v>
      </c>
      <c r="D907" s="68" t="str">
        <f t="shared" si="20"/>
        <v>KYBOGO</v>
      </c>
      <c r="F907" s="68">
        <v>544</v>
      </c>
    </row>
    <row r="908" spans="1:6">
      <c r="A908" s="68" t="s">
        <v>1561</v>
      </c>
      <c r="D908" s="68" t="str">
        <f t="shared" si="20"/>
        <v>MBOGO</v>
      </c>
      <c r="F908" s="68">
        <v>544</v>
      </c>
    </row>
    <row r="909" spans="1:6">
      <c r="A909" s="68" t="s">
        <v>1562</v>
      </c>
      <c r="D909" s="68" t="str">
        <f t="shared" si="20"/>
        <v>Kyambogo university</v>
      </c>
      <c r="F909" s="68">
        <v>544</v>
      </c>
    </row>
    <row r="910" spans="1:6">
      <c r="A910" s="68" t="s">
        <v>1563</v>
      </c>
      <c r="B910" s="68" t="s">
        <v>1255</v>
      </c>
      <c r="C910" s="68" t="s">
        <v>1256</v>
      </c>
      <c r="D910" s="68" t="str">
        <f t="shared" si="20"/>
        <v>Kyanja</v>
      </c>
      <c r="E910" s="68" t="str">
        <f>A910</f>
        <v>Kyanja</v>
      </c>
      <c r="F910" s="68">
        <v>545</v>
      </c>
    </row>
    <row r="911" spans="1:6">
      <c r="A911" s="68" t="s">
        <v>1564</v>
      </c>
      <c r="D911" s="68" t="str">
        <f t="shared" si="20"/>
        <v>Kyanga</v>
      </c>
      <c r="F911" s="68">
        <v>545</v>
      </c>
    </row>
    <row r="912" spans="1:6">
      <c r="A912" s="68" t="s">
        <v>1565</v>
      </c>
      <c r="D912" s="68" t="str">
        <f t="shared" si="20"/>
        <v>Kyanjja</v>
      </c>
      <c r="E912" s="68" t="str">
        <f>A912</f>
        <v>Kyanjja</v>
      </c>
      <c r="F912" s="68">
        <v>545</v>
      </c>
    </row>
    <row r="913" spans="1:6">
      <c r="A913" s="68" t="s">
        <v>1566</v>
      </c>
      <c r="D913" s="68" t="str">
        <f t="shared" si="20"/>
        <v>Kumbuzi</v>
      </c>
      <c r="E913" s="68" t="str">
        <f>A913</f>
        <v>Kumbuzi</v>
      </c>
      <c r="F913" s="68">
        <v>545</v>
      </c>
    </row>
    <row r="914" spans="1:6">
      <c r="A914" s="68" t="s">
        <v>1567</v>
      </c>
      <c r="D914" s="68" t="str">
        <f t="shared" si="20"/>
        <v>Kumbusi</v>
      </c>
      <c r="F914" s="68">
        <v>545</v>
      </c>
    </row>
    <row r="915" spans="1:6">
      <c r="A915" s="68" t="s">
        <v>1568</v>
      </c>
      <c r="B915" s="68" t="s">
        <v>1255</v>
      </c>
      <c r="C915" s="68" t="s">
        <v>1256</v>
      </c>
      <c r="D915" s="68" t="str">
        <f t="shared" si="20"/>
        <v>Kyebando</v>
      </c>
      <c r="E915" s="68" t="str">
        <f>A915</f>
        <v>Kyebando</v>
      </c>
      <c r="F915" s="68">
        <v>546</v>
      </c>
    </row>
    <row r="916" spans="1:6">
      <c r="A916" s="68" t="s">
        <v>1569</v>
      </c>
      <c r="D916" s="68" t="str">
        <f t="shared" si="20"/>
        <v>Kikaya</v>
      </c>
      <c r="F916" s="68">
        <v>546</v>
      </c>
    </row>
    <row r="917" spans="1:6">
      <c r="A917" s="68" t="s">
        <v>1570</v>
      </c>
      <c r="D917" s="68" t="str">
        <f t="shared" si="20"/>
        <v>Kalerwe</v>
      </c>
      <c r="F917" s="68">
        <v>546</v>
      </c>
    </row>
    <row r="918" spans="1:6">
      <c r="A918" s="68" t="s">
        <v>1571</v>
      </c>
      <c r="D918" s="68" t="str">
        <f t="shared" si="20"/>
        <v>Kalelwe</v>
      </c>
      <c r="F918" s="68">
        <v>546</v>
      </c>
    </row>
    <row r="919" spans="1:6">
      <c r="A919" s="68" t="s">
        <v>1572</v>
      </c>
      <c r="D919" s="68" t="str">
        <f t="shared" si="20"/>
        <v>Kalerwa</v>
      </c>
      <c r="F919" s="68">
        <v>546</v>
      </c>
    </row>
    <row r="920" spans="1:6">
      <c r="A920" s="68" t="s">
        <v>1573</v>
      </c>
      <c r="B920" s="68" t="s">
        <v>1255</v>
      </c>
      <c r="C920" s="68" t="s">
        <v>1256</v>
      </c>
      <c r="D920" s="68" t="str">
        <f t="shared" si="20"/>
        <v>Lubaga</v>
      </c>
      <c r="E920" s="68" t="str">
        <f>A920</f>
        <v>Lubaga</v>
      </c>
      <c r="F920" s="68">
        <v>547</v>
      </c>
    </row>
    <row r="921" spans="1:6">
      <c r="A921" s="68" t="s">
        <v>1574</v>
      </c>
      <c r="B921" s="68" t="s">
        <v>1255</v>
      </c>
      <c r="C921" s="68" t="s">
        <v>1256</v>
      </c>
      <c r="D921" s="68" t="str">
        <f t="shared" si="20"/>
        <v>Lukuli</v>
      </c>
      <c r="E921" s="68" t="str">
        <f>A921</f>
        <v>Lukuli</v>
      </c>
      <c r="F921" s="68">
        <v>549</v>
      </c>
    </row>
    <row r="922" spans="1:6">
      <c r="A922" s="68" t="s">
        <v>1575</v>
      </c>
      <c r="B922" s="68" t="s">
        <v>1255</v>
      </c>
      <c r="C922" s="68" t="s">
        <v>1256</v>
      </c>
      <c r="D922" s="68" t="str">
        <f t="shared" si="20"/>
        <v>Lungujja</v>
      </c>
      <c r="E922" s="68" t="str">
        <f>A922</f>
        <v>Lungujja</v>
      </c>
      <c r="F922" s="68">
        <v>550</v>
      </c>
    </row>
    <row r="923" spans="1:6">
      <c r="A923" s="68" t="s">
        <v>1576</v>
      </c>
      <c r="D923" s="68" t="str">
        <f t="shared" si="20"/>
        <v>Lunguja</v>
      </c>
      <c r="E923" s="68" t="str">
        <f>A923</f>
        <v>Lunguja</v>
      </c>
      <c r="F923" s="68">
        <v>550</v>
      </c>
    </row>
    <row r="924" spans="1:6">
      <c r="A924" s="68" t="s">
        <v>1577</v>
      </c>
      <c r="D924" s="68" t="str">
        <f t="shared" si="20"/>
        <v xml:space="preserve">WAKALIGA </v>
      </c>
      <c r="F924" s="68">
        <v>550</v>
      </c>
    </row>
    <row r="925" spans="1:6">
      <c r="A925" s="68" t="s">
        <v>1578</v>
      </c>
      <c r="D925" s="68" t="str">
        <f t="shared" si="20"/>
        <v>Wakaliga</v>
      </c>
      <c r="F925" s="68">
        <v>550</v>
      </c>
    </row>
    <row r="926" spans="1:6">
      <c r="A926" s="68" t="s">
        <v>1579</v>
      </c>
      <c r="D926" s="68" t="str">
        <f t="shared" si="20"/>
        <v>Stabex</v>
      </c>
      <c r="E926" s="68" t="str">
        <f t="shared" ref="E926:E931" si="21">A926</f>
        <v>Stabex</v>
      </c>
      <c r="F926" s="68">
        <v>550</v>
      </c>
    </row>
    <row r="927" spans="1:6">
      <c r="A927" s="68" t="s">
        <v>1580</v>
      </c>
      <c r="B927" s="68" t="s">
        <v>1255</v>
      </c>
      <c r="C927" s="68" t="s">
        <v>1256</v>
      </c>
      <c r="D927" s="68" t="str">
        <f t="shared" si="20"/>
        <v>Luwafu</v>
      </c>
      <c r="E927" s="68" t="str">
        <f t="shared" si="21"/>
        <v>Luwafu</v>
      </c>
      <c r="F927" s="68">
        <v>551</v>
      </c>
    </row>
    <row r="928" spans="1:6">
      <c r="A928" s="68" t="s">
        <v>1581</v>
      </c>
      <c r="D928" s="68" t="str">
        <f t="shared" si="20"/>
        <v>Mirembe</v>
      </c>
      <c r="E928" s="68" t="str">
        <f t="shared" si="21"/>
        <v>Mirembe</v>
      </c>
      <c r="F928" s="68">
        <v>551</v>
      </c>
    </row>
    <row r="929" spans="1:6">
      <c r="A929" s="68" t="s">
        <v>1582</v>
      </c>
      <c r="B929" s="68" t="s">
        <v>1255</v>
      </c>
      <c r="C929" s="68" t="s">
        <v>1256</v>
      </c>
      <c r="D929" s="68" t="str">
        <f t="shared" si="20"/>
        <v>Luzira</v>
      </c>
      <c r="E929" s="68" t="str">
        <f t="shared" si="21"/>
        <v>Luzira</v>
      </c>
      <c r="F929" s="68">
        <v>552</v>
      </c>
    </row>
    <row r="930" spans="1:6">
      <c r="A930" s="68" t="s">
        <v>1583</v>
      </c>
      <c r="B930" s="68" t="s">
        <v>1255</v>
      </c>
      <c r="C930" s="68" t="s">
        <v>1256</v>
      </c>
      <c r="D930" s="68" t="str">
        <f t="shared" si="20"/>
        <v>Luzira Prisons</v>
      </c>
      <c r="E930" s="68" t="str">
        <f t="shared" si="21"/>
        <v>Luzira Prisons</v>
      </c>
      <c r="F930" s="68">
        <v>553</v>
      </c>
    </row>
    <row r="931" spans="1:6">
      <c r="A931" s="68" t="s">
        <v>1584</v>
      </c>
      <c r="B931" s="68" t="s">
        <v>1255</v>
      </c>
      <c r="C931" s="68" t="s">
        <v>1256</v>
      </c>
      <c r="D931" s="68" t="str">
        <f t="shared" si="20"/>
        <v>Makerere</v>
      </c>
      <c r="E931" s="68" t="str">
        <f t="shared" si="21"/>
        <v>Makerere</v>
      </c>
      <c r="F931" s="68">
        <v>554</v>
      </c>
    </row>
    <row r="932" spans="1:6">
      <c r="A932" s="68" t="s">
        <v>1585</v>
      </c>
      <c r="D932" s="68" t="str">
        <f t="shared" si="20"/>
        <v>MAKRERE</v>
      </c>
      <c r="F932" s="68">
        <v>554</v>
      </c>
    </row>
    <row r="933" spans="1:6">
      <c r="A933" s="68" t="s">
        <v>1586</v>
      </c>
      <c r="D933" s="68" t="str">
        <f t="shared" si="20"/>
        <v>Bila</v>
      </c>
      <c r="E933" s="68" t="str">
        <f>A933</f>
        <v>Bila</v>
      </c>
      <c r="F933" s="68">
        <v>554</v>
      </c>
    </row>
    <row r="934" spans="1:6">
      <c r="A934" s="68" t="s">
        <v>1587</v>
      </c>
      <c r="D934" s="68" t="str">
        <f t="shared" si="20"/>
        <v>Billa</v>
      </c>
      <c r="F934" s="68">
        <v>554</v>
      </c>
    </row>
    <row r="935" spans="1:6">
      <c r="A935" s="68" t="s">
        <v>1588</v>
      </c>
      <c r="D935" s="68" t="str">
        <f t="shared" si="20"/>
        <v>KIKONI</v>
      </c>
      <c r="E935" s="68" t="str">
        <f>A935</f>
        <v>KIKONI</v>
      </c>
      <c r="F935" s="68">
        <v>554</v>
      </c>
    </row>
    <row r="936" spans="1:6">
      <c r="A936" s="68" t="s">
        <v>1589</v>
      </c>
      <c r="D936" s="68" t="str">
        <f t="shared" si="20"/>
        <v>Sir Apollo Kaggwa Road</v>
      </c>
      <c r="F936" s="68">
        <v>554</v>
      </c>
    </row>
    <row r="937" spans="1:6">
      <c r="A937" s="68" t="s">
        <v>1590</v>
      </c>
      <c r="B937" s="68" t="s">
        <v>1255</v>
      </c>
      <c r="C937" s="68" t="s">
        <v>1256</v>
      </c>
      <c r="D937" s="68" t="str">
        <f t="shared" si="20"/>
        <v>Makerere University</v>
      </c>
      <c r="E937" s="68" t="str">
        <f>A937</f>
        <v>Makerere University</v>
      </c>
      <c r="F937" s="68">
        <v>555</v>
      </c>
    </row>
    <row r="938" spans="1:6">
      <c r="A938" s="68" t="s">
        <v>1591</v>
      </c>
      <c r="B938" s="68" t="s">
        <v>1255</v>
      </c>
      <c r="C938" s="68" t="s">
        <v>1256</v>
      </c>
      <c r="D938" s="68" t="str">
        <f t="shared" si="20"/>
        <v>Makindye</v>
      </c>
      <c r="E938" s="68" t="str">
        <f>A938</f>
        <v>Makindye</v>
      </c>
      <c r="F938" s="68">
        <v>556</v>
      </c>
    </row>
    <row r="939" spans="1:6">
      <c r="A939" s="68" t="s">
        <v>1592</v>
      </c>
      <c r="D939" s="68" t="str">
        <f t="shared" si="20"/>
        <v>Gangu</v>
      </c>
      <c r="F939" s="68">
        <v>556</v>
      </c>
    </row>
    <row r="940" spans="1:6">
      <c r="A940" s="68" t="s">
        <v>1593</v>
      </c>
      <c r="B940" s="68" t="s">
        <v>1255</v>
      </c>
      <c r="C940" s="68" t="s">
        <v>1256</v>
      </c>
      <c r="D940" s="68" t="str">
        <f t="shared" si="20"/>
        <v>Mbuya</v>
      </c>
      <c r="E940" s="68" t="str">
        <f>A940</f>
        <v>Mbuya</v>
      </c>
      <c r="F940" s="68">
        <v>557</v>
      </c>
    </row>
    <row r="941" spans="1:6">
      <c r="A941" s="68" t="s">
        <v>1594</v>
      </c>
      <c r="B941" s="68" t="s">
        <v>1255</v>
      </c>
      <c r="C941" s="68" t="s">
        <v>1256</v>
      </c>
      <c r="D941" s="68" t="str">
        <f t="shared" si="20"/>
        <v>Mengo</v>
      </c>
      <c r="E941" s="68" t="str">
        <f>A941</f>
        <v>Mengo</v>
      </c>
      <c r="F941" s="68">
        <v>558</v>
      </c>
    </row>
    <row r="942" spans="1:6">
      <c r="A942" s="68" t="s">
        <v>1595</v>
      </c>
      <c r="D942" s="68" t="str">
        <f t="shared" si="20"/>
        <v>MENGO HOSPITAL</v>
      </c>
      <c r="F942" s="68">
        <v>558</v>
      </c>
    </row>
    <row r="943" spans="1:6">
      <c r="A943" s="68" t="s">
        <v>1596</v>
      </c>
      <c r="D943" s="68" t="str">
        <f t="shared" si="20"/>
        <v>Kabaka njagala</v>
      </c>
      <c r="F943" s="68">
        <v>558</v>
      </c>
    </row>
    <row r="944" spans="1:6">
      <c r="A944" s="68" t="s">
        <v>1597</v>
      </c>
      <c r="D944" s="68" t="str">
        <f t="shared" si="20"/>
        <v>Rubaga</v>
      </c>
      <c r="E944" s="68" t="str">
        <f>A944</f>
        <v>Rubaga</v>
      </c>
      <c r="F944" s="68">
        <v>558</v>
      </c>
    </row>
    <row r="945" spans="1:6">
      <c r="A945" s="68" t="s">
        <v>1598</v>
      </c>
      <c r="D945" s="68" t="str">
        <f t="shared" si="20"/>
        <v>Kayanja</v>
      </c>
      <c r="E945" s="68" t="str">
        <f>A945</f>
        <v>Kayanja</v>
      </c>
      <c r="F945" s="68">
        <v>558</v>
      </c>
    </row>
    <row r="946" spans="1:6">
      <c r="A946" s="68" t="s">
        <v>1599</v>
      </c>
      <c r="B946" s="68" t="s">
        <v>1255</v>
      </c>
      <c r="C946" s="68" t="s">
        <v>1256</v>
      </c>
      <c r="D946" s="68" t="str">
        <f t="shared" si="20"/>
        <v>Mpererwe</v>
      </c>
      <c r="E946" s="68" t="str">
        <f>A946</f>
        <v>Mpererwe</v>
      </c>
      <c r="F946" s="68">
        <v>559</v>
      </c>
    </row>
    <row r="947" spans="1:6">
      <c r="A947" s="68" t="s">
        <v>1600</v>
      </c>
      <c r="D947" s="68" t="str">
        <f t="shared" si="20"/>
        <v>Mpelerwe</v>
      </c>
      <c r="F947" s="68">
        <v>559</v>
      </c>
    </row>
    <row r="948" spans="1:6">
      <c r="A948" s="68" t="s">
        <v>1601</v>
      </c>
      <c r="D948" s="68" t="str">
        <f t="shared" si="20"/>
        <v>MPERRWE</v>
      </c>
      <c r="F948" s="68">
        <v>559</v>
      </c>
    </row>
    <row r="949" spans="1:6">
      <c r="A949" s="68" t="s">
        <v>1602</v>
      </c>
      <c r="D949" s="68" t="str">
        <f t="shared" si="20"/>
        <v>MPERWERWE</v>
      </c>
      <c r="F949" s="68">
        <v>559</v>
      </c>
    </row>
    <row r="950" spans="1:6">
      <c r="A950" s="68" t="s">
        <v>1603</v>
      </c>
      <c r="D950" s="68" t="str">
        <f t="shared" si="20"/>
        <v>MPEREWE</v>
      </c>
      <c r="F950" s="68">
        <v>559</v>
      </c>
    </row>
    <row r="951" spans="1:6">
      <c r="A951" s="68" t="s">
        <v>1604</v>
      </c>
      <c r="D951" s="68" t="str">
        <f t="shared" si="20"/>
        <v>MPERERE</v>
      </c>
      <c r="F951" s="68">
        <v>559</v>
      </c>
    </row>
    <row r="952" spans="1:6">
      <c r="A952" s="68" t="s">
        <v>1605</v>
      </c>
      <c r="D952" s="68" t="str">
        <f t="shared" si="20"/>
        <v>BUGERERE</v>
      </c>
      <c r="F952" s="68">
        <v>559</v>
      </c>
    </row>
    <row r="953" spans="1:6">
      <c r="A953" s="68" t="s">
        <v>1606</v>
      </c>
      <c r="D953" s="68" t="str">
        <f t="shared" si="20"/>
        <v>KAGOMA</v>
      </c>
      <c r="F953" s="68">
        <v>559</v>
      </c>
    </row>
    <row r="954" spans="1:6">
      <c r="A954" s="68" t="s">
        <v>1607</v>
      </c>
      <c r="D954" s="68" t="str">
        <f t="shared" si="20"/>
        <v>KATALEMWA</v>
      </c>
      <c r="F954" s="68">
        <v>559</v>
      </c>
    </row>
    <row r="955" spans="1:6">
      <c r="A955" s="68" t="s">
        <v>1608</v>
      </c>
      <c r="D955" s="68" t="str">
        <f t="shared" si="20"/>
        <v>Kitezi</v>
      </c>
      <c r="E955" s="68" t="str">
        <f>A955</f>
        <v>Kitezi</v>
      </c>
      <c r="F955" s="68">
        <v>559</v>
      </c>
    </row>
    <row r="956" spans="1:6">
      <c r="A956" s="68" t="s">
        <v>1609</v>
      </c>
      <c r="D956" s="68" t="str">
        <f t="shared" si="20"/>
        <v>KITEZII</v>
      </c>
      <c r="F956" s="68">
        <v>559</v>
      </c>
    </row>
    <row r="957" spans="1:6">
      <c r="A957" s="68" t="s">
        <v>1610</v>
      </c>
      <c r="D957" s="68" t="str">
        <f t="shared" si="20"/>
        <v>Lusanja-Gayaza</v>
      </c>
      <c r="F957" s="68">
        <v>559</v>
      </c>
    </row>
    <row r="958" spans="1:6">
      <c r="A958" s="68" t="s">
        <v>1611</v>
      </c>
      <c r="D958" s="68" t="str">
        <f t="shared" si="20"/>
        <v>KOMANBOGA</v>
      </c>
      <c r="F958" s="68">
        <v>559</v>
      </c>
    </row>
    <row r="959" spans="1:6">
      <c r="A959" s="68" t="s">
        <v>1612</v>
      </c>
      <c r="D959" s="68" t="str">
        <f t="shared" si="20"/>
        <v>KITETIKA</v>
      </c>
      <c r="F959" s="68">
        <v>559</v>
      </c>
    </row>
    <row r="960" spans="1:6">
      <c r="A960" s="68" t="s">
        <v>1613</v>
      </c>
      <c r="B960" s="68" t="s">
        <v>1255</v>
      </c>
      <c r="C960" s="68" t="s">
        <v>1256</v>
      </c>
      <c r="D960" s="68" t="str">
        <f t="shared" si="20"/>
        <v>Mulago</v>
      </c>
      <c r="E960" s="68" t="str">
        <f>A960</f>
        <v>Mulago</v>
      </c>
      <c r="F960" s="68">
        <v>560</v>
      </c>
    </row>
    <row r="961" spans="1:6">
      <c r="A961" s="68" t="s">
        <v>1614</v>
      </c>
      <c r="D961" s="68" t="str">
        <f t="shared" ref="D961:D1024" si="22">A961</f>
        <v>MASULITA</v>
      </c>
      <c r="F961" s="68">
        <v>560</v>
      </c>
    </row>
    <row r="962" spans="1:6">
      <c r="A962" s="68" t="s">
        <v>1615</v>
      </c>
      <c r="D962" s="68" t="str">
        <f t="shared" si="22"/>
        <v>ST JUDE</v>
      </c>
      <c r="F962" s="68">
        <v>560</v>
      </c>
    </row>
    <row r="963" spans="1:6">
      <c r="A963" s="68" t="s">
        <v>1616</v>
      </c>
      <c r="D963" s="68" t="str">
        <f t="shared" si="22"/>
        <v>Mulogo</v>
      </c>
      <c r="F963" s="68">
        <v>560</v>
      </c>
    </row>
    <row r="964" spans="1:6">
      <c r="A964" s="68" t="s">
        <v>1617</v>
      </c>
      <c r="D964" s="68" t="str">
        <f t="shared" si="22"/>
        <v>MASUULITA</v>
      </c>
      <c r="F964" s="68">
        <v>560</v>
      </c>
    </row>
    <row r="965" spans="1:6">
      <c r="A965" s="68" t="s">
        <v>1618</v>
      </c>
      <c r="B965" s="68" t="s">
        <v>1255</v>
      </c>
      <c r="C965" s="68" t="s">
        <v>1256</v>
      </c>
      <c r="D965" s="68" t="str">
        <f t="shared" si="22"/>
        <v>Mutundwe</v>
      </c>
      <c r="E965" s="68" t="str">
        <f>A965</f>
        <v>Mutundwe</v>
      </c>
      <c r="F965" s="68">
        <v>561</v>
      </c>
    </row>
    <row r="966" spans="1:6">
      <c r="A966" s="68" t="s">
        <v>1619</v>
      </c>
      <c r="D966" s="68" t="str">
        <f t="shared" si="22"/>
        <v>Mutunde</v>
      </c>
      <c r="F966" s="68">
        <v>561</v>
      </c>
    </row>
    <row r="967" spans="1:6">
      <c r="A967" s="68" t="s">
        <v>1620</v>
      </c>
      <c r="D967" s="68" t="str">
        <f t="shared" si="22"/>
        <v>KITEBI</v>
      </c>
      <c r="F967" s="68">
        <v>561</v>
      </c>
    </row>
    <row r="968" spans="1:6">
      <c r="A968" s="68" t="s">
        <v>1621</v>
      </c>
      <c r="B968" s="68" t="s">
        <v>1255</v>
      </c>
      <c r="C968" s="68" t="s">
        <v>1256</v>
      </c>
      <c r="D968" s="68" t="str">
        <f t="shared" si="22"/>
        <v>Mutungo</v>
      </c>
      <c r="E968" s="68" t="str">
        <f>A968</f>
        <v>Mutungo</v>
      </c>
      <c r="F968" s="68">
        <v>562</v>
      </c>
    </row>
    <row r="969" spans="1:6">
      <c r="A969" s="68" t="s">
        <v>1622</v>
      </c>
      <c r="D969" s="68" t="str">
        <f t="shared" si="22"/>
        <v>MUTONGO BIINA</v>
      </c>
      <c r="F969" s="68">
        <v>562</v>
      </c>
    </row>
    <row r="970" spans="1:6">
      <c r="A970" s="68" t="s">
        <v>1623</v>
      </c>
      <c r="D970" s="68" t="str">
        <f t="shared" si="22"/>
        <v>Binna</v>
      </c>
      <c r="F970" s="68">
        <v>562</v>
      </c>
    </row>
    <row r="971" spans="1:6">
      <c r="A971" s="68" t="s">
        <v>1624</v>
      </c>
      <c r="D971" s="68" t="str">
        <f t="shared" si="22"/>
        <v>Mutungu</v>
      </c>
      <c r="E971" s="68" t="str">
        <f>A971</f>
        <v>Mutungu</v>
      </c>
      <c r="F971" s="68">
        <v>562</v>
      </c>
    </row>
    <row r="972" spans="1:6">
      <c r="A972" s="68" t="s">
        <v>1625</v>
      </c>
      <c r="D972" s="68" t="str">
        <f t="shared" si="22"/>
        <v>Kitiko</v>
      </c>
      <c r="E972" s="68" t="str">
        <f>A972</f>
        <v>Kitiko</v>
      </c>
      <c r="F972" s="68">
        <v>562</v>
      </c>
    </row>
    <row r="973" spans="1:6">
      <c r="A973" s="68" t="s">
        <v>1626</v>
      </c>
      <c r="D973" s="68" t="str">
        <f t="shared" si="22"/>
        <v>Mutugo</v>
      </c>
      <c r="E973" s="68" t="str">
        <f>A973</f>
        <v>Mutugo</v>
      </c>
      <c r="F973" s="68">
        <v>562</v>
      </c>
    </row>
    <row r="974" spans="1:6">
      <c r="A974" s="68" t="s">
        <v>1627</v>
      </c>
      <c r="D974" s="68" t="str">
        <f t="shared" si="22"/>
        <v>BWEYA</v>
      </c>
      <c r="E974" s="68" t="str">
        <f>A974</f>
        <v>BWEYA</v>
      </c>
      <c r="F974" s="68">
        <v>562</v>
      </c>
    </row>
    <row r="975" spans="1:6">
      <c r="A975" s="68" t="s">
        <v>1628</v>
      </c>
      <c r="D975" s="68" t="str">
        <f t="shared" si="22"/>
        <v>Kitintale</v>
      </c>
      <c r="E975" s="68" t="str">
        <f>A975</f>
        <v>Kitintale</v>
      </c>
      <c r="F975" s="68">
        <v>562</v>
      </c>
    </row>
    <row r="976" spans="1:6">
      <c r="A976" s="68" t="s">
        <v>1629</v>
      </c>
      <c r="D976" s="68" t="str">
        <f t="shared" si="22"/>
        <v>KITANTALE</v>
      </c>
      <c r="F976" s="68">
        <v>562</v>
      </c>
    </row>
    <row r="977" spans="1:6">
      <c r="A977" s="68" t="s">
        <v>1630</v>
      </c>
      <c r="D977" s="68" t="str">
        <f t="shared" si="22"/>
        <v>KINTINTALE</v>
      </c>
      <c r="F977" s="68">
        <v>562</v>
      </c>
    </row>
    <row r="978" spans="1:6">
      <c r="A978" s="68" t="s">
        <v>1631</v>
      </c>
      <c r="D978" s="68" t="str">
        <f t="shared" si="22"/>
        <v>Muntungo</v>
      </c>
      <c r="E978" s="68" t="str">
        <f>A978</f>
        <v>Muntungo</v>
      </c>
      <c r="F978" s="68">
        <v>562</v>
      </c>
    </row>
    <row r="979" spans="1:6">
      <c r="A979" s="68" t="s">
        <v>1632</v>
      </c>
      <c r="B979" s="68" t="s">
        <v>1255</v>
      </c>
      <c r="C979" s="68" t="s">
        <v>1256</v>
      </c>
      <c r="D979" s="68" t="str">
        <f t="shared" si="22"/>
        <v>Nabisunsa</v>
      </c>
      <c r="E979" s="68" t="str">
        <f>A979</f>
        <v>Nabisunsa</v>
      </c>
      <c r="F979" s="68">
        <v>563</v>
      </c>
    </row>
    <row r="980" spans="1:6">
      <c r="A980" s="68" t="s">
        <v>1633</v>
      </c>
      <c r="B980" s="68" t="s">
        <v>1255</v>
      </c>
      <c r="C980" s="68" t="s">
        <v>1256</v>
      </c>
      <c r="D980" s="68" t="str">
        <f t="shared" si="22"/>
        <v>Naguru</v>
      </c>
      <c r="E980" s="68" t="str">
        <f>A980</f>
        <v>Naguru</v>
      </c>
      <c r="F980" s="68">
        <v>564</v>
      </c>
    </row>
    <row r="981" spans="1:6">
      <c r="A981" s="68" t="s">
        <v>1634</v>
      </c>
      <c r="D981" s="68" t="str">
        <f t="shared" si="22"/>
        <v>NAGULU POLICE</v>
      </c>
      <c r="F981" s="68">
        <v>564</v>
      </c>
    </row>
    <row r="982" spans="1:6">
      <c r="A982" s="68" t="s">
        <v>1635</v>
      </c>
      <c r="D982" s="68" t="str">
        <f t="shared" si="22"/>
        <v>NAGURU UPPER</v>
      </c>
      <c r="F982" s="68">
        <v>564</v>
      </c>
    </row>
    <row r="983" spans="1:6">
      <c r="A983" s="68" t="s">
        <v>1636</v>
      </c>
      <c r="D983" s="68" t="str">
        <f t="shared" si="22"/>
        <v>Lower Naguru</v>
      </c>
      <c r="F983" s="68">
        <v>564</v>
      </c>
    </row>
    <row r="984" spans="1:6">
      <c r="A984" s="68" t="s">
        <v>1637</v>
      </c>
      <c r="D984" s="68" t="str">
        <f t="shared" si="22"/>
        <v>Katalima</v>
      </c>
      <c r="F984" s="68">
        <v>564</v>
      </c>
    </row>
    <row r="985" spans="1:6">
      <c r="A985" s="68" t="s">
        <v>1638</v>
      </c>
      <c r="D985" s="68" t="str">
        <f t="shared" si="22"/>
        <v>SCHOOL CHERUBS</v>
      </c>
      <c r="F985" s="68">
        <v>564</v>
      </c>
    </row>
    <row r="986" spans="1:6">
      <c r="A986" s="68" t="s">
        <v>1639</v>
      </c>
      <c r="D986" s="68" t="str">
        <f t="shared" si="22"/>
        <v>KEMBABAZI</v>
      </c>
      <c r="F986" s="68">
        <v>564</v>
      </c>
    </row>
    <row r="987" spans="1:6">
      <c r="A987" s="68" t="s">
        <v>1640</v>
      </c>
      <c r="D987" s="68" t="str">
        <f t="shared" si="22"/>
        <v>NAGGULU</v>
      </c>
      <c r="F987" s="68">
        <v>564</v>
      </c>
    </row>
    <row r="988" spans="1:6">
      <c r="A988" s="68" t="s">
        <v>1641</v>
      </c>
      <c r="D988" s="68" t="str">
        <f t="shared" si="22"/>
        <v>NAGULU</v>
      </c>
      <c r="F988" s="68">
        <v>564</v>
      </c>
    </row>
    <row r="989" spans="1:6">
      <c r="A989" s="68" t="s">
        <v>1642</v>
      </c>
      <c r="D989" s="68" t="str">
        <f t="shared" si="22"/>
        <v>VICTORIA HOSPITAL</v>
      </c>
      <c r="F989" s="68">
        <v>564</v>
      </c>
    </row>
    <row r="990" spans="1:6">
      <c r="A990" s="68" t="s">
        <v>1643</v>
      </c>
      <c r="B990" s="68" t="s">
        <v>1255</v>
      </c>
      <c r="C990" s="68" t="s">
        <v>1256</v>
      </c>
      <c r="D990" s="68" t="str">
        <f t="shared" si="22"/>
        <v>Najjanankumbi</v>
      </c>
      <c r="E990" s="68" t="str">
        <f>A990</f>
        <v>Najjanankumbi</v>
      </c>
      <c r="F990" s="68">
        <v>565</v>
      </c>
    </row>
    <row r="991" spans="1:6">
      <c r="A991" s="68" t="s">
        <v>1644</v>
      </c>
      <c r="D991" s="68" t="str">
        <f t="shared" si="22"/>
        <v>Freedom city</v>
      </c>
      <c r="F991" s="68">
        <v>565</v>
      </c>
    </row>
    <row r="992" spans="1:6">
      <c r="A992" s="68" t="s">
        <v>1645</v>
      </c>
      <c r="D992" s="68" t="str">
        <f t="shared" si="22"/>
        <v>Stella</v>
      </c>
      <c r="E992" s="68" t="str">
        <f>A992</f>
        <v>Stella</v>
      </c>
      <c r="F992" s="68">
        <v>565</v>
      </c>
    </row>
    <row r="993" spans="1:6">
      <c r="A993" s="68" t="s">
        <v>1646</v>
      </c>
      <c r="D993" s="68" t="str">
        <f t="shared" si="22"/>
        <v>Nyanama</v>
      </c>
      <c r="F993" s="68">
        <v>565</v>
      </c>
    </row>
    <row r="994" spans="1:6">
      <c r="A994" s="68" t="s">
        <v>1647</v>
      </c>
      <c r="D994" s="68" t="str">
        <f t="shared" si="22"/>
        <v>NAJJANAMKUMBI</v>
      </c>
      <c r="F994" s="68">
        <v>565</v>
      </c>
    </row>
    <row r="995" spans="1:6">
      <c r="A995" s="68" t="s">
        <v>1648</v>
      </c>
      <c r="D995" s="68" t="str">
        <f t="shared" si="22"/>
        <v>NAJJANAKUMBI</v>
      </c>
      <c r="F995" s="68">
        <v>565</v>
      </c>
    </row>
    <row r="996" spans="1:6">
      <c r="A996" s="68" t="s">
        <v>1649</v>
      </c>
      <c r="D996" s="68" t="str">
        <f t="shared" si="22"/>
        <v>Lubowa</v>
      </c>
      <c r="F996" s="68">
        <v>565</v>
      </c>
    </row>
    <row r="997" spans="1:6">
      <c r="A997" s="68" t="s">
        <v>1650</v>
      </c>
      <c r="D997" s="68" t="str">
        <f t="shared" si="22"/>
        <v>Lubuguma</v>
      </c>
      <c r="F997" s="68">
        <v>565</v>
      </c>
    </row>
    <row r="998" spans="1:6">
      <c r="A998" s="68" t="s">
        <v>1651</v>
      </c>
      <c r="D998" s="68" t="str">
        <f t="shared" si="22"/>
        <v>Lumbugu</v>
      </c>
      <c r="F998" s="68">
        <v>565</v>
      </c>
    </row>
    <row r="999" spans="1:6">
      <c r="A999" s="68" t="s">
        <v>1652</v>
      </c>
      <c r="D999" s="68" t="str">
        <f t="shared" si="22"/>
        <v>Lubugumu</v>
      </c>
      <c r="F999" s="68">
        <v>565</v>
      </c>
    </row>
    <row r="1000" spans="1:6">
      <c r="A1000" s="68" t="s">
        <v>1653</v>
      </c>
      <c r="D1000" s="68" t="str">
        <f t="shared" si="22"/>
        <v>Lumbugumu</v>
      </c>
      <c r="F1000" s="68">
        <v>565</v>
      </c>
    </row>
    <row r="1001" spans="1:6">
      <c r="A1001" s="68" t="s">
        <v>1654</v>
      </c>
      <c r="D1001" s="68" t="str">
        <f t="shared" si="22"/>
        <v>NAJANANKUMBI</v>
      </c>
      <c r="F1001" s="68">
        <v>565</v>
      </c>
    </row>
    <row r="1002" spans="1:6">
      <c r="A1002" s="68" t="s">
        <v>1655</v>
      </c>
      <c r="D1002" s="68" t="str">
        <f t="shared" si="22"/>
        <v>NAJANAKUMBI</v>
      </c>
      <c r="F1002" s="68">
        <v>565</v>
      </c>
    </row>
    <row r="1003" spans="1:6">
      <c r="A1003" s="68" t="s">
        <v>1656</v>
      </c>
      <c r="D1003" s="68" t="str">
        <f t="shared" si="22"/>
        <v>Nalukolongo</v>
      </c>
      <c r="E1003" s="68" t="str">
        <f>A1003</f>
        <v>Nalukolongo</v>
      </c>
      <c r="F1003" s="68">
        <v>565</v>
      </c>
    </row>
    <row r="1004" spans="1:6">
      <c r="A1004" s="68" t="s">
        <v>1657</v>
      </c>
      <c r="D1004" s="68" t="str">
        <f t="shared" si="22"/>
        <v>Wankulukuku</v>
      </c>
      <c r="F1004" s="68">
        <v>565</v>
      </c>
    </row>
    <row r="1005" spans="1:6">
      <c r="A1005" s="68" t="s">
        <v>1658</v>
      </c>
      <c r="D1005" s="68" t="str">
        <f t="shared" si="22"/>
        <v>Kabusu</v>
      </c>
      <c r="F1005" s="68">
        <v>565</v>
      </c>
    </row>
    <row r="1006" spans="1:6">
      <c r="A1006" s="68" t="s">
        <v>1659</v>
      </c>
      <c r="D1006" s="68" t="str">
        <f t="shared" si="22"/>
        <v>Lubiri</v>
      </c>
      <c r="F1006" s="68">
        <v>565</v>
      </c>
    </row>
    <row r="1007" spans="1:6">
      <c r="A1007" s="68" t="s">
        <v>1660</v>
      </c>
      <c r="D1007" s="68" t="str">
        <f t="shared" si="22"/>
        <v>kabugo</v>
      </c>
      <c r="F1007" s="68">
        <v>565</v>
      </c>
    </row>
    <row r="1008" spans="1:6">
      <c r="A1008" s="68" t="s">
        <v>1661</v>
      </c>
      <c r="D1008" s="68" t="str">
        <f t="shared" si="22"/>
        <v>Zana</v>
      </c>
      <c r="E1008" s="68" t="str">
        <f>A1008</f>
        <v>Zana</v>
      </c>
      <c r="F1008" s="68">
        <v>565</v>
      </c>
    </row>
    <row r="1009" spans="1:6">
      <c r="A1009" s="68" t="s">
        <v>1662</v>
      </c>
      <c r="D1009" s="68" t="str">
        <f t="shared" si="22"/>
        <v>Zzana</v>
      </c>
      <c r="F1009" s="68">
        <v>565</v>
      </c>
    </row>
    <row r="1010" spans="1:6">
      <c r="A1010" s="68" t="s">
        <v>1663</v>
      </c>
      <c r="D1010" s="68" t="str">
        <f t="shared" si="22"/>
        <v>ZAANA</v>
      </c>
      <c r="F1010" s="68">
        <v>565</v>
      </c>
    </row>
    <row r="1011" spans="1:6">
      <c r="A1011" s="68" t="s">
        <v>1664</v>
      </c>
      <c r="D1011" s="68" t="str">
        <f t="shared" si="22"/>
        <v>Namasuba</v>
      </c>
      <c r="E1011" s="68" t="str">
        <f>A1011</f>
        <v>Namasuba</v>
      </c>
      <c r="F1011" s="68">
        <v>565</v>
      </c>
    </row>
    <row r="1012" spans="1:6">
      <c r="A1012" s="68" t="s">
        <v>1665</v>
      </c>
      <c r="B1012" s="68" t="s">
        <v>1255</v>
      </c>
      <c r="C1012" s="68" t="s">
        <v>1256</v>
      </c>
      <c r="D1012" s="68" t="str">
        <f t="shared" si="22"/>
        <v>Nakasero</v>
      </c>
      <c r="E1012" s="68" t="str">
        <f>A1012</f>
        <v>Nakasero</v>
      </c>
      <c r="F1012" s="68">
        <v>566</v>
      </c>
    </row>
    <row r="1013" spans="1:6">
      <c r="A1013" s="68" t="s">
        <v>1666</v>
      </c>
      <c r="D1013" s="68" t="str">
        <f t="shared" si="22"/>
        <v>NAKASEERO</v>
      </c>
      <c r="F1013" s="68">
        <v>566</v>
      </c>
    </row>
    <row r="1014" spans="1:6">
      <c r="A1014" s="68" t="s">
        <v>1667</v>
      </c>
      <c r="D1014" s="68" t="str">
        <f t="shared" si="22"/>
        <v>Mboga</v>
      </c>
      <c r="F1014" s="68">
        <v>566</v>
      </c>
    </row>
    <row r="1015" spans="1:6">
      <c r="A1015" s="68" t="s">
        <v>1668</v>
      </c>
      <c r="D1015" s="68" t="str">
        <f t="shared" si="22"/>
        <v>Pearl Africa</v>
      </c>
      <c r="F1015" s="68">
        <v>566</v>
      </c>
    </row>
    <row r="1016" spans="1:6">
      <c r="A1016" s="68" t="s">
        <v>1669</v>
      </c>
      <c r="D1016" s="68" t="str">
        <f t="shared" si="22"/>
        <v>Kyagwe</v>
      </c>
      <c r="F1016" s="68">
        <v>566</v>
      </c>
    </row>
    <row r="1017" spans="1:6">
      <c r="A1017" s="68" t="s">
        <v>1670</v>
      </c>
      <c r="D1017" s="68" t="str">
        <f t="shared" si="22"/>
        <v>KAWANGA</v>
      </c>
      <c r="F1017" s="68">
        <v>566</v>
      </c>
    </row>
    <row r="1018" spans="1:6">
      <c r="A1018" s="68" t="s">
        <v>1671</v>
      </c>
      <c r="D1018" s="68" t="str">
        <f t="shared" si="22"/>
        <v>COLVILLE STREET</v>
      </c>
      <c r="F1018" s="68">
        <v>566</v>
      </c>
    </row>
    <row r="1019" spans="1:6">
      <c r="A1019" s="68" t="s">
        <v>1672</v>
      </c>
      <c r="D1019" s="68" t="str">
        <f t="shared" si="22"/>
        <v>Dembe</v>
      </c>
      <c r="F1019" s="68">
        <v>566</v>
      </c>
    </row>
    <row r="1020" spans="1:6">
      <c r="A1020" s="68" t="s">
        <v>1673</v>
      </c>
      <c r="D1020" s="68" t="str">
        <f t="shared" si="22"/>
        <v>Usafi</v>
      </c>
      <c r="E1020" s="68" t="str">
        <f>A1020</f>
        <v>Usafi</v>
      </c>
      <c r="F1020" s="68">
        <v>566</v>
      </c>
    </row>
    <row r="1021" spans="1:6">
      <c r="A1021" s="68" t="s">
        <v>1674</v>
      </c>
      <c r="D1021" s="68" t="str">
        <f t="shared" si="22"/>
        <v>Rwenzori courts</v>
      </c>
      <c r="E1021" s="68" t="str">
        <f>A1021</f>
        <v>Rwenzori courts</v>
      </c>
      <c r="F1021" s="68">
        <v>566</v>
      </c>
    </row>
    <row r="1022" spans="1:6">
      <c r="A1022" s="68" t="s">
        <v>1675</v>
      </c>
      <c r="B1022" s="68" t="s">
        <v>1255</v>
      </c>
      <c r="C1022" s="68" t="s">
        <v>1256</v>
      </c>
      <c r="D1022" s="68" t="str">
        <f t="shared" si="22"/>
        <v>Nakawa</v>
      </c>
      <c r="E1022" s="68" t="str">
        <f>A1022</f>
        <v>Nakawa</v>
      </c>
      <c r="F1022" s="68">
        <v>567</v>
      </c>
    </row>
    <row r="1023" spans="1:6">
      <c r="A1023" s="68" t="s">
        <v>1676</v>
      </c>
      <c r="D1023" s="68" t="str">
        <f t="shared" si="22"/>
        <v>MUBS</v>
      </c>
      <c r="F1023" s="68">
        <v>567</v>
      </c>
    </row>
    <row r="1024" spans="1:6">
      <c r="A1024" s="68" t="s">
        <v>1677</v>
      </c>
      <c r="D1024" s="68" t="str">
        <f t="shared" si="22"/>
        <v xml:space="preserve">CAPITAL SHOPPERS NAKAWA </v>
      </c>
      <c r="F1024" s="68">
        <v>567</v>
      </c>
    </row>
    <row r="1025" spans="1:6">
      <c r="A1025" s="68" t="s">
        <v>1678</v>
      </c>
      <c r="D1025" s="68" t="str">
        <f t="shared" ref="D1025:D1088" si="23">A1025</f>
        <v>NAKAWA  MARKET</v>
      </c>
      <c r="F1025" s="68">
        <v>567</v>
      </c>
    </row>
    <row r="1026" spans="1:6">
      <c r="A1026" s="68" t="s">
        <v>1679</v>
      </c>
      <c r="D1026" s="68" t="str">
        <f t="shared" si="23"/>
        <v>Nakawa stage</v>
      </c>
      <c r="E1026" s="68" t="str">
        <f>A1026</f>
        <v>Nakawa stage</v>
      </c>
      <c r="F1026" s="68">
        <v>567</v>
      </c>
    </row>
    <row r="1027" spans="1:6">
      <c r="A1027" s="68" t="s">
        <v>1680</v>
      </c>
      <c r="D1027" s="68" t="str">
        <f t="shared" si="23"/>
        <v>Kinawataka</v>
      </c>
      <c r="E1027" s="68" t="str">
        <f>A1027</f>
        <v>Kinawataka</v>
      </c>
      <c r="F1027" s="68">
        <v>567</v>
      </c>
    </row>
    <row r="1028" spans="1:6">
      <c r="A1028" s="68" t="s">
        <v>1681</v>
      </c>
      <c r="D1028" s="68" t="str">
        <f t="shared" si="23"/>
        <v>UNRA</v>
      </c>
      <c r="E1028" s="68" t="str">
        <f>A1028</f>
        <v>UNRA</v>
      </c>
      <c r="F1028" s="68">
        <v>567</v>
      </c>
    </row>
    <row r="1029" spans="1:6">
      <c r="A1029" s="68" t="s">
        <v>1682</v>
      </c>
      <c r="D1029" s="68" t="str">
        <f t="shared" si="23"/>
        <v>UNRA OFFICES</v>
      </c>
      <c r="F1029" s="68">
        <v>567</v>
      </c>
    </row>
    <row r="1030" spans="1:6">
      <c r="A1030" s="68" t="s">
        <v>1683</v>
      </c>
      <c r="D1030" s="68" t="str">
        <f t="shared" si="23"/>
        <v>URA</v>
      </c>
      <c r="E1030" s="68" t="str">
        <f t="shared" ref="E1030:E1036" si="24">A1030</f>
        <v>URA</v>
      </c>
      <c r="F1030" s="68">
        <v>567</v>
      </c>
    </row>
    <row r="1031" spans="1:6">
      <c r="A1031" s="68" t="s">
        <v>1684</v>
      </c>
      <c r="B1031" s="68" t="s">
        <v>1255</v>
      </c>
      <c r="C1031" s="68" t="s">
        <v>1256</v>
      </c>
      <c r="D1031" s="68" t="str">
        <f t="shared" si="23"/>
        <v>Nakawa Institute</v>
      </c>
      <c r="E1031" s="68" t="str">
        <f t="shared" si="24"/>
        <v>Nakawa Institute</v>
      </c>
      <c r="F1031" s="68">
        <v>568</v>
      </c>
    </row>
    <row r="1032" spans="1:6">
      <c r="A1032" s="68" t="s">
        <v>1685</v>
      </c>
      <c r="B1032" s="68" t="s">
        <v>1255</v>
      </c>
      <c r="C1032" s="68" t="s">
        <v>1256</v>
      </c>
      <c r="D1032" s="68" t="str">
        <f t="shared" si="23"/>
        <v>Nakivubo Shauriyaako</v>
      </c>
      <c r="E1032" s="68" t="str">
        <f t="shared" si="24"/>
        <v>Nakivubo Shauriyaako</v>
      </c>
      <c r="F1032" s="68">
        <v>569</v>
      </c>
    </row>
    <row r="1033" spans="1:6">
      <c r="A1033" s="68" t="s">
        <v>1686</v>
      </c>
      <c r="D1033" s="68" t="str">
        <f t="shared" si="23"/>
        <v>Nakivubo</v>
      </c>
      <c r="E1033" s="68" t="str">
        <f t="shared" si="24"/>
        <v>Nakivubo</v>
      </c>
      <c r="F1033" s="68">
        <v>569</v>
      </c>
    </row>
    <row r="1034" spans="1:6">
      <c r="A1034" s="68" t="s">
        <v>1687</v>
      </c>
      <c r="B1034" s="68" t="s">
        <v>1255</v>
      </c>
      <c r="C1034" s="68" t="s">
        <v>1256</v>
      </c>
      <c r="D1034" s="68" t="str">
        <f t="shared" si="23"/>
        <v>Namirembe</v>
      </c>
      <c r="E1034" s="68" t="str">
        <f t="shared" si="24"/>
        <v>Namirembe</v>
      </c>
      <c r="F1034" s="68">
        <v>570</v>
      </c>
    </row>
    <row r="1035" spans="1:6">
      <c r="A1035" s="68" t="s">
        <v>1688</v>
      </c>
      <c r="D1035" s="68" t="str">
        <f t="shared" si="23"/>
        <v>Bakuli</v>
      </c>
      <c r="E1035" s="68" t="str">
        <f t="shared" si="24"/>
        <v>Bakuli</v>
      </c>
      <c r="F1035" s="68">
        <v>570</v>
      </c>
    </row>
    <row r="1036" spans="1:6">
      <c r="A1036" s="68" t="s">
        <v>1689</v>
      </c>
      <c r="D1036" s="68" t="str">
        <f t="shared" si="23"/>
        <v>Bukuli</v>
      </c>
      <c r="E1036" s="68" t="str">
        <f t="shared" si="24"/>
        <v>Bukuli</v>
      </c>
      <c r="F1036" s="68">
        <v>570</v>
      </c>
    </row>
    <row r="1037" spans="1:6">
      <c r="A1037" s="68" t="s">
        <v>1690</v>
      </c>
      <c r="D1037" s="68" t="str">
        <f t="shared" si="23"/>
        <v>Bakuuli</v>
      </c>
      <c r="F1037" s="68">
        <v>570</v>
      </c>
    </row>
    <row r="1038" spans="1:6">
      <c r="A1038" s="68" t="s">
        <v>1691</v>
      </c>
      <c r="B1038" s="68" t="s">
        <v>1255</v>
      </c>
      <c r="C1038" s="68" t="s">
        <v>1256</v>
      </c>
      <c r="D1038" s="68" t="str">
        <f t="shared" si="23"/>
        <v>Nankulabye</v>
      </c>
      <c r="E1038" s="68" t="str">
        <f>A1038</f>
        <v>Nankulabye</v>
      </c>
      <c r="F1038" s="68">
        <v>571</v>
      </c>
    </row>
    <row r="1039" spans="1:6">
      <c r="A1039" s="68" t="s">
        <v>1692</v>
      </c>
      <c r="D1039" s="68" t="str">
        <f t="shared" si="23"/>
        <v>Nakulabye</v>
      </c>
      <c r="E1039" s="68" t="str">
        <f>A1039</f>
        <v>Nakulabye</v>
      </c>
      <c r="F1039" s="68">
        <v>571</v>
      </c>
    </row>
    <row r="1040" spans="1:6">
      <c r="A1040" s="68" t="s">
        <v>1693</v>
      </c>
      <c r="D1040" s="68" t="str">
        <f t="shared" si="23"/>
        <v>NABULAGALA</v>
      </c>
      <c r="F1040" s="68">
        <v>571</v>
      </c>
    </row>
    <row r="1041" spans="1:6">
      <c r="A1041" s="68" t="s">
        <v>1694</v>
      </c>
      <c r="B1041" s="68" t="s">
        <v>1255</v>
      </c>
      <c r="C1041" s="68" t="s">
        <v>1256</v>
      </c>
      <c r="D1041" s="68" t="str">
        <f t="shared" si="23"/>
        <v>Nateete</v>
      </c>
      <c r="E1041" s="68" t="str">
        <f>A1041</f>
        <v>Nateete</v>
      </c>
      <c r="F1041" s="68">
        <v>572</v>
      </c>
    </row>
    <row r="1042" spans="1:6">
      <c r="A1042" s="68" t="s">
        <v>1695</v>
      </c>
      <c r="D1042" s="68" t="str">
        <f t="shared" si="23"/>
        <v>Natete</v>
      </c>
      <c r="E1042" s="68" t="str">
        <f>A1042</f>
        <v>Natete</v>
      </c>
      <c r="F1042" s="68">
        <v>572</v>
      </c>
    </row>
    <row r="1043" spans="1:6">
      <c r="A1043" s="68" t="s">
        <v>1696</v>
      </c>
      <c r="B1043" s="68" t="s">
        <v>1255</v>
      </c>
      <c r="C1043" s="68" t="s">
        <v>1256</v>
      </c>
      <c r="D1043" s="68" t="str">
        <f t="shared" si="23"/>
        <v>Ndeeba</v>
      </c>
      <c r="E1043" s="68" t="str">
        <f>A1043</f>
        <v>Ndeeba</v>
      </c>
      <c r="F1043" s="68">
        <v>573</v>
      </c>
    </row>
    <row r="1044" spans="1:6">
      <c r="A1044" s="68" t="s">
        <v>1697</v>
      </c>
      <c r="D1044" s="68" t="str">
        <f t="shared" si="23"/>
        <v>Sawuliyako</v>
      </c>
      <c r="F1044" s="68">
        <v>573</v>
      </c>
    </row>
    <row r="1045" spans="1:6">
      <c r="A1045" s="68" t="s">
        <v>1698</v>
      </c>
      <c r="D1045" s="68" t="str">
        <f t="shared" si="23"/>
        <v>Mundebba</v>
      </c>
      <c r="E1045" s="68" t="str">
        <f>A1045</f>
        <v>Mundebba</v>
      </c>
      <c r="F1045" s="68">
        <v>573</v>
      </c>
    </row>
    <row r="1046" spans="1:6">
      <c r="A1046" s="68" t="s">
        <v>1699</v>
      </c>
      <c r="D1046" s="68" t="str">
        <f t="shared" si="23"/>
        <v>Ndeba</v>
      </c>
      <c r="E1046" s="68" t="str">
        <f>A1046</f>
        <v>Ndeba</v>
      </c>
      <c r="F1046" s="68">
        <v>573</v>
      </c>
    </row>
    <row r="1047" spans="1:6">
      <c r="A1047" s="68" t="s">
        <v>1700</v>
      </c>
      <c r="B1047" s="68" t="s">
        <v>1255</v>
      </c>
      <c r="C1047" s="68" t="s">
        <v>1256</v>
      </c>
      <c r="D1047" s="68" t="str">
        <f t="shared" si="23"/>
        <v>Nsambya</v>
      </c>
      <c r="E1047" s="68" t="str">
        <f>A1047</f>
        <v>Nsambya</v>
      </c>
      <c r="F1047" s="68">
        <v>574</v>
      </c>
    </row>
    <row r="1048" spans="1:6">
      <c r="A1048" s="68" t="s">
        <v>1701</v>
      </c>
      <c r="D1048" s="68" t="str">
        <f t="shared" si="23"/>
        <v>Nsambya hospital</v>
      </c>
      <c r="E1048" s="68" t="str">
        <f>A1048</f>
        <v>Nsambya hospital</v>
      </c>
      <c r="F1048" s="68">
        <v>574</v>
      </c>
    </row>
    <row r="1049" spans="1:6">
      <c r="A1049" s="68" t="s">
        <v>1702</v>
      </c>
      <c r="D1049" s="68" t="str">
        <f t="shared" si="23"/>
        <v>Nsamya hospital</v>
      </c>
      <c r="E1049" s="68" t="str">
        <f>A1049</f>
        <v>Nsamya hospital</v>
      </c>
      <c r="F1049" s="68">
        <v>574</v>
      </c>
    </row>
    <row r="1050" spans="1:6">
      <c r="A1050" s="68" t="s">
        <v>1703</v>
      </c>
      <c r="D1050" s="68" t="str">
        <f t="shared" si="23"/>
        <v xml:space="preserve">NSAMBYA </v>
      </c>
      <c r="F1050" s="68">
        <v>574</v>
      </c>
    </row>
    <row r="1051" spans="1:6">
      <c r="A1051" s="68" t="s">
        <v>1704</v>
      </c>
      <c r="D1051" s="68" t="str">
        <f t="shared" si="23"/>
        <v>GOGONYA</v>
      </c>
      <c r="F1051" s="68">
        <v>574</v>
      </c>
    </row>
    <row r="1052" spans="1:6">
      <c r="A1052" s="68" t="s">
        <v>1705</v>
      </c>
      <c r="B1052" s="68" t="s">
        <v>1255</v>
      </c>
      <c r="C1052" s="68" t="s">
        <v>1256</v>
      </c>
      <c r="D1052" s="68" t="str">
        <f t="shared" si="23"/>
        <v>Nsambya Police Barracks</v>
      </c>
      <c r="E1052" s="68" t="str">
        <f>A1052</f>
        <v>Nsambya Police Barracks</v>
      </c>
      <c r="F1052" s="68">
        <v>575</v>
      </c>
    </row>
    <row r="1053" spans="1:6">
      <c r="A1053" s="68" t="s">
        <v>1706</v>
      </c>
      <c r="B1053" s="68" t="s">
        <v>1255</v>
      </c>
      <c r="C1053" s="68" t="s">
        <v>1256</v>
      </c>
      <c r="D1053" s="68" t="str">
        <f t="shared" si="23"/>
        <v>Nsambya Railway</v>
      </c>
      <c r="E1053" s="68" t="str">
        <f>A1053</f>
        <v>Nsambya Railway</v>
      </c>
      <c r="F1053" s="68">
        <v>576</v>
      </c>
    </row>
    <row r="1054" spans="1:6">
      <c r="A1054" s="68" t="s">
        <v>1707</v>
      </c>
      <c r="B1054" s="68" t="s">
        <v>1255</v>
      </c>
      <c r="C1054" s="68" t="s">
        <v>1256</v>
      </c>
      <c r="D1054" s="68" t="str">
        <f t="shared" si="23"/>
        <v>Ntinda</v>
      </c>
      <c r="E1054" s="68" t="str">
        <f>A1054</f>
        <v>Ntinda</v>
      </c>
      <c r="F1054" s="68">
        <v>577</v>
      </c>
    </row>
    <row r="1055" spans="1:6">
      <c r="A1055" s="68" t="s">
        <v>1708</v>
      </c>
      <c r="D1055" s="68" t="str">
        <f t="shared" si="23"/>
        <v>CAPITAL SHOPPERS NTINDA</v>
      </c>
      <c r="F1055" s="68">
        <v>577</v>
      </c>
    </row>
    <row r="1056" spans="1:6">
      <c r="A1056" s="68" t="s">
        <v>1709</v>
      </c>
      <c r="D1056" s="68" t="str">
        <f t="shared" si="23"/>
        <v>Container village</v>
      </c>
      <c r="F1056" s="68">
        <v>577</v>
      </c>
    </row>
    <row r="1057" spans="1:6">
      <c r="A1057" s="68" t="s">
        <v>1710</v>
      </c>
      <c r="D1057" s="68" t="str">
        <f t="shared" si="23"/>
        <v>UNEB NTINDA</v>
      </c>
      <c r="F1057" s="68">
        <v>577</v>
      </c>
    </row>
    <row r="1058" spans="1:6">
      <c r="A1058" s="68" t="s">
        <v>1711</v>
      </c>
      <c r="D1058" s="68" t="str">
        <f t="shared" si="23"/>
        <v>Kumunana</v>
      </c>
      <c r="F1058" s="68">
        <v>577</v>
      </c>
    </row>
    <row r="1059" spans="1:6">
      <c r="A1059" s="68" t="s">
        <v>1712</v>
      </c>
      <c r="D1059" s="68" t="str">
        <f t="shared" si="23"/>
        <v>SEMAWATA ROAD</v>
      </c>
      <c r="F1059" s="68">
        <v>577</v>
      </c>
    </row>
    <row r="1060" spans="1:6">
      <c r="A1060" s="68" t="s">
        <v>1713</v>
      </c>
      <c r="D1060" s="68" t="str">
        <f t="shared" si="23"/>
        <v>Kisasi</v>
      </c>
      <c r="E1060" s="68" t="str">
        <f>A1060</f>
        <v>Kisasi</v>
      </c>
      <c r="F1060" s="68">
        <v>577</v>
      </c>
    </row>
    <row r="1061" spans="1:6">
      <c r="A1061" s="68" t="s">
        <v>1714</v>
      </c>
      <c r="D1061" s="68" t="str">
        <f t="shared" si="23"/>
        <v>KISAASI</v>
      </c>
      <c r="F1061" s="68">
        <v>577</v>
      </c>
    </row>
    <row r="1062" spans="1:6">
      <c r="A1062" s="68" t="s">
        <v>1715</v>
      </c>
      <c r="D1062" s="68" t="str">
        <f t="shared" si="23"/>
        <v>Kisota</v>
      </c>
      <c r="F1062" s="68">
        <v>577</v>
      </c>
    </row>
    <row r="1063" spans="1:6">
      <c r="A1063" s="68" t="s">
        <v>1716</v>
      </c>
      <c r="D1063" s="68" t="str">
        <f t="shared" si="23"/>
        <v>Kulambiro</v>
      </c>
      <c r="F1063" s="68">
        <v>577</v>
      </c>
    </row>
    <row r="1064" spans="1:6">
      <c r="A1064" s="68" t="s">
        <v>1717</v>
      </c>
      <c r="D1064" s="68" t="str">
        <f t="shared" si="23"/>
        <v>Kulambilo</v>
      </c>
      <c r="F1064" s="68">
        <v>577</v>
      </c>
    </row>
    <row r="1065" spans="1:6">
      <c r="A1065" s="68" t="s">
        <v>1718</v>
      </c>
      <c r="D1065" s="68" t="str">
        <f t="shared" si="23"/>
        <v>Sebagala</v>
      </c>
      <c r="F1065" s="68">
        <v>577</v>
      </c>
    </row>
    <row r="1066" spans="1:6">
      <c r="A1066" s="68" t="s">
        <v>1719</v>
      </c>
      <c r="B1066" s="68" t="s">
        <v>1255</v>
      </c>
      <c r="C1066" s="68" t="s">
        <v>1256</v>
      </c>
      <c r="D1066" s="68" t="str">
        <f t="shared" si="23"/>
        <v>Old Kampala</v>
      </c>
      <c r="E1066" s="68" t="str">
        <f>A1066</f>
        <v>Old Kampala</v>
      </c>
      <c r="F1066" s="68">
        <v>578</v>
      </c>
    </row>
    <row r="1067" spans="1:6">
      <c r="A1067" s="68" t="s">
        <v>1720</v>
      </c>
      <c r="D1067" s="68" t="str">
        <f t="shared" si="23"/>
        <v>OLD KAMPALA STAGE</v>
      </c>
      <c r="F1067" s="68">
        <v>578</v>
      </c>
    </row>
    <row r="1068" spans="1:6">
      <c r="A1068" s="68" t="s">
        <v>1721</v>
      </c>
      <c r="D1068" s="68" t="str">
        <f t="shared" si="23"/>
        <v>Kiseka</v>
      </c>
      <c r="E1068" s="68" t="str">
        <f>A1068</f>
        <v>Kiseka</v>
      </c>
      <c r="F1068" s="68">
        <v>578</v>
      </c>
    </row>
    <row r="1069" spans="1:6">
      <c r="A1069" s="68" t="s">
        <v>1722</v>
      </c>
      <c r="D1069" s="68" t="str">
        <f t="shared" si="23"/>
        <v>NALUSUGA</v>
      </c>
      <c r="F1069" s="68">
        <v>578</v>
      </c>
    </row>
    <row r="1070" spans="1:6">
      <c r="A1070" s="68" t="s">
        <v>1723</v>
      </c>
      <c r="B1070" s="68" t="s">
        <v>1255</v>
      </c>
      <c r="C1070" s="68" t="s">
        <v>1256</v>
      </c>
      <c r="D1070" s="68" t="str">
        <f t="shared" si="23"/>
        <v>Salaama</v>
      </c>
      <c r="E1070" s="68" t="str">
        <f>A1070</f>
        <v>Salaama</v>
      </c>
      <c r="F1070" s="68">
        <v>579</v>
      </c>
    </row>
    <row r="1071" spans="1:6">
      <c r="A1071" s="68" t="s">
        <v>1724</v>
      </c>
      <c r="D1071" s="68" t="str">
        <f t="shared" si="23"/>
        <v>Saalama</v>
      </c>
      <c r="E1071" s="68" t="str">
        <f>A1071</f>
        <v>Saalama</v>
      </c>
      <c r="F1071" s="68">
        <v>579</v>
      </c>
    </row>
    <row r="1072" spans="1:6">
      <c r="A1072" s="68" t="s">
        <v>1725</v>
      </c>
      <c r="D1072" s="68" t="str">
        <f t="shared" si="23"/>
        <v>Busiga</v>
      </c>
      <c r="E1072" s="68" t="str">
        <f>A1072</f>
        <v>Busiga</v>
      </c>
      <c r="F1072" s="68">
        <v>579</v>
      </c>
    </row>
    <row r="1073" spans="1:6">
      <c r="A1073" s="68" t="s">
        <v>1726</v>
      </c>
      <c r="D1073" s="68" t="str">
        <f t="shared" si="23"/>
        <v>Kyamula</v>
      </c>
      <c r="E1073" s="68" t="str">
        <f>A1073</f>
        <v>Kyamula</v>
      </c>
      <c r="F1073" s="68">
        <v>579</v>
      </c>
    </row>
    <row r="1074" spans="1:6">
      <c r="A1074" s="68" t="s">
        <v>1727</v>
      </c>
      <c r="D1074" s="68" t="str">
        <f t="shared" si="23"/>
        <v>Lubwama</v>
      </c>
      <c r="F1074" s="68">
        <v>579</v>
      </c>
    </row>
    <row r="1075" spans="1:6">
      <c r="A1075" s="68" t="s">
        <v>1728</v>
      </c>
      <c r="D1075" s="68" t="str">
        <f t="shared" si="23"/>
        <v>Salama</v>
      </c>
      <c r="E1075" s="68" t="str">
        <f t="shared" ref="E1075:E1083" si="25">A1075</f>
        <v>Salama</v>
      </c>
      <c r="F1075" s="68">
        <v>579</v>
      </c>
    </row>
    <row r="1076" spans="1:6">
      <c r="A1076" s="68" t="s">
        <v>1729</v>
      </c>
      <c r="D1076" s="68" t="str">
        <f t="shared" si="23"/>
        <v>Wavamuno road</v>
      </c>
      <c r="E1076" s="68" t="str">
        <f t="shared" si="25"/>
        <v>Wavamuno road</v>
      </c>
      <c r="F1076" s="68">
        <v>579</v>
      </c>
    </row>
    <row r="1077" spans="1:6">
      <c r="A1077" s="68" t="s">
        <v>1730</v>
      </c>
      <c r="D1077" s="68" t="str">
        <f t="shared" si="23"/>
        <v>Salaama road</v>
      </c>
      <c r="E1077" s="68" t="str">
        <f t="shared" si="25"/>
        <v>Salaama road</v>
      </c>
      <c r="F1077" s="68">
        <v>579</v>
      </c>
    </row>
    <row r="1078" spans="1:6">
      <c r="A1078" s="68" t="s">
        <v>1731</v>
      </c>
      <c r="D1078" s="68" t="str">
        <f t="shared" si="23"/>
        <v>Salama road</v>
      </c>
      <c r="E1078" s="68" t="str">
        <f t="shared" si="25"/>
        <v>Salama road</v>
      </c>
      <c r="F1078" s="68">
        <v>579</v>
      </c>
    </row>
    <row r="1079" spans="1:6">
      <c r="A1079" s="68" t="s">
        <v>1732</v>
      </c>
      <c r="D1079" s="68" t="str">
        <f t="shared" si="23"/>
        <v>Kulekaana</v>
      </c>
      <c r="E1079" s="68" t="str">
        <f t="shared" si="25"/>
        <v>Kulekaana</v>
      </c>
      <c r="F1079" s="68">
        <v>579</v>
      </c>
    </row>
    <row r="1080" spans="1:6">
      <c r="A1080" s="68" t="s">
        <v>1733</v>
      </c>
      <c r="B1080" s="68" t="s">
        <v>1255</v>
      </c>
      <c r="C1080" s="68" t="s">
        <v>1256</v>
      </c>
      <c r="D1080" s="68" t="str">
        <f t="shared" si="23"/>
        <v>Upk</v>
      </c>
      <c r="E1080" s="68" t="str">
        <f t="shared" si="25"/>
        <v>Upk</v>
      </c>
      <c r="F1080" s="68">
        <v>580</v>
      </c>
    </row>
    <row r="1081" spans="1:6">
      <c r="A1081" s="68" t="s">
        <v>1734</v>
      </c>
      <c r="B1081" s="68" t="s">
        <v>1255</v>
      </c>
      <c r="C1081" s="68" t="s">
        <v>1256</v>
      </c>
      <c r="D1081" s="68" t="str">
        <f t="shared" si="23"/>
        <v>Upper Estate</v>
      </c>
      <c r="E1081" s="68" t="str">
        <f t="shared" si="25"/>
        <v>Upper Estate</v>
      </c>
      <c r="F1081" s="68">
        <v>581</v>
      </c>
    </row>
    <row r="1082" spans="1:6">
      <c r="A1082" s="68" t="s">
        <v>1735</v>
      </c>
      <c r="B1082" s="68" t="s">
        <v>1255</v>
      </c>
      <c r="C1082" s="68" t="s">
        <v>1256</v>
      </c>
      <c r="D1082" s="68" t="str">
        <f t="shared" si="23"/>
        <v>Wabigalo</v>
      </c>
      <c r="E1082" s="68" t="str">
        <f t="shared" si="25"/>
        <v>Wabigalo</v>
      </c>
      <c r="F1082" s="68">
        <v>582</v>
      </c>
    </row>
    <row r="1083" spans="1:6">
      <c r="A1083" s="68" t="s">
        <v>1736</v>
      </c>
      <c r="B1083" s="68" t="s">
        <v>1255</v>
      </c>
      <c r="C1083" s="68" t="s">
        <v>1256</v>
      </c>
      <c r="D1083" s="68" t="str">
        <f t="shared" si="23"/>
        <v>Wandegeya</v>
      </c>
      <c r="E1083" s="68" t="str">
        <f t="shared" si="25"/>
        <v>Wandegeya</v>
      </c>
      <c r="F1083" s="68">
        <v>583</v>
      </c>
    </row>
    <row r="1084" spans="1:6">
      <c r="A1084" s="68" t="s">
        <v>1737</v>
      </c>
      <c r="D1084" s="68" t="str">
        <f t="shared" si="23"/>
        <v>YMCA WANDEGEYA</v>
      </c>
      <c r="F1084" s="68">
        <v>583</v>
      </c>
    </row>
    <row r="1085" spans="1:6">
      <c r="A1085" s="68" t="s">
        <v>1738</v>
      </c>
      <c r="D1085" s="68" t="str">
        <f t="shared" si="23"/>
        <v>Kavule</v>
      </c>
      <c r="E1085" s="68" t="str">
        <f>A1085</f>
        <v>Kavule</v>
      </c>
      <c r="F1085" s="68">
        <v>583</v>
      </c>
    </row>
    <row r="1086" spans="1:6">
      <c r="A1086" s="68" t="s">
        <v>1739</v>
      </c>
      <c r="D1086" s="68" t="str">
        <f t="shared" si="23"/>
        <v xml:space="preserve">WANDEYA </v>
      </c>
      <c r="E1086" s="68" t="str">
        <f>A1086</f>
        <v xml:space="preserve">WANDEYA </v>
      </c>
      <c r="F1086" s="68">
        <v>583</v>
      </c>
    </row>
    <row r="1087" spans="1:6">
      <c r="A1087" s="68" t="s">
        <v>1740</v>
      </c>
      <c r="D1087" s="68" t="str">
        <f t="shared" si="23"/>
        <v>Wandekeya</v>
      </c>
      <c r="E1087" s="68" t="str">
        <f>A1087</f>
        <v>Wandekeya</v>
      </c>
      <c r="F1087" s="68">
        <v>583</v>
      </c>
    </row>
    <row r="1088" spans="1:6">
      <c r="A1088" s="68" t="s">
        <v>1741</v>
      </c>
      <c r="D1088" s="68" t="str">
        <f t="shared" si="23"/>
        <v>Bombo road</v>
      </c>
      <c r="E1088" s="68" t="str">
        <f>A1088</f>
        <v>Bombo road</v>
      </c>
      <c r="F1088" s="68">
        <v>583</v>
      </c>
    </row>
    <row r="1089" spans="1:6">
      <c r="A1089" s="68" t="s">
        <v>1742</v>
      </c>
      <c r="D1089" s="68" t="str">
        <f t="shared" ref="D1089:D1152" si="26">A1089</f>
        <v>Case Hospital</v>
      </c>
      <c r="E1089" s="68" t="str">
        <f>A1089</f>
        <v>Case Hospital</v>
      </c>
      <c r="F1089" s="68">
        <v>583</v>
      </c>
    </row>
    <row r="1090" spans="1:6">
      <c r="A1090" s="68" t="s">
        <v>1743</v>
      </c>
      <c r="B1090" s="68" t="s">
        <v>1744</v>
      </c>
      <c r="C1090" s="68" t="s">
        <v>1745</v>
      </c>
      <c r="D1090" s="68" t="str">
        <f t="shared" si="26"/>
        <v>Balawoli</v>
      </c>
      <c r="F1090" s="68">
        <v>584</v>
      </c>
    </row>
    <row r="1091" spans="1:6">
      <c r="A1091" s="68" t="s">
        <v>1746</v>
      </c>
      <c r="B1091" s="68" t="s">
        <v>1744</v>
      </c>
      <c r="C1091" s="68" t="s">
        <v>1747</v>
      </c>
      <c r="D1091" s="68" t="str">
        <f t="shared" si="26"/>
        <v>Bugulumbya</v>
      </c>
      <c r="F1091" s="68">
        <v>585</v>
      </c>
    </row>
    <row r="1092" spans="1:6">
      <c r="A1092" s="68" t="s">
        <v>1748</v>
      </c>
      <c r="B1092" s="68" t="s">
        <v>1744</v>
      </c>
      <c r="C1092" s="68" t="s">
        <v>1745</v>
      </c>
      <c r="D1092" s="68" t="str">
        <f t="shared" si="26"/>
        <v>Bulopa</v>
      </c>
      <c r="F1092" s="68">
        <v>586</v>
      </c>
    </row>
    <row r="1093" spans="1:6">
      <c r="A1093" s="68" t="s">
        <v>1749</v>
      </c>
      <c r="B1093" s="68" t="s">
        <v>1744</v>
      </c>
      <c r="C1093" s="68" t="s">
        <v>1745</v>
      </c>
      <c r="D1093" s="68" t="str">
        <f t="shared" si="26"/>
        <v>Butansi</v>
      </c>
      <c r="F1093" s="68">
        <v>587</v>
      </c>
    </row>
    <row r="1094" spans="1:6">
      <c r="A1094" s="68" t="s">
        <v>1750</v>
      </c>
      <c r="B1094" s="68" t="s">
        <v>1744</v>
      </c>
      <c r="C1094" s="68" t="s">
        <v>1750</v>
      </c>
      <c r="D1094" s="68" t="str">
        <f t="shared" si="26"/>
        <v>Kamuli Municipality</v>
      </c>
      <c r="F1094" s="68">
        <v>588</v>
      </c>
    </row>
    <row r="1095" spans="1:6">
      <c r="A1095" s="68" t="s">
        <v>1751</v>
      </c>
      <c r="B1095" s="68" t="s">
        <v>1744</v>
      </c>
      <c r="C1095" s="68" t="s">
        <v>1747</v>
      </c>
      <c r="D1095" s="68" t="str">
        <f t="shared" si="26"/>
        <v>Kisozi</v>
      </c>
      <c r="F1095" s="68">
        <v>589</v>
      </c>
    </row>
    <row r="1096" spans="1:6">
      <c r="A1096" s="68" t="s">
        <v>1752</v>
      </c>
      <c r="B1096" s="68" t="s">
        <v>1744</v>
      </c>
      <c r="C1096" s="68" t="s">
        <v>1745</v>
      </c>
      <c r="D1096" s="68" t="str">
        <f t="shared" si="26"/>
        <v>Kitayunjwa</v>
      </c>
      <c r="F1096" s="68">
        <v>590</v>
      </c>
    </row>
    <row r="1097" spans="1:6">
      <c r="A1097" s="68" t="s">
        <v>1753</v>
      </c>
      <c r="B1097" s="68" t="s">
        <v>1744</v>
      </c>
      <c r="C1097" s="68" t="s">
        <v>1747</v>
      </c>
      <c r="D1097" s="68" t="str">
        <f t="shared" si="26"/>
        <v>Mbulamuti</v>
      </c>
      <c r="F1097" s="68">
        <v>591</v>
      </c>
    </row>
    <row r="1098" spans="1:6">
      <c r="A1098" s="68" t="s">
        <v>1754</v>
      </c>
      <c r="B1098" s="68" t="s">
        <v>1744</v>
      </c>
      <c r="C1098" s="68" t="s">
        <v>1745</v>
      </c>
      <c r="D1098" s="68" t="str">
        <f t="shared" si="26"/>
        <v>Nabwigulu</v>
      </c>
      <c r="F1098" s="68">
        <v>592</v>
      </c>
    </row>
    <row r="1099" spans="1:6">
      <c r="A1099" s="68" t="s">
        <v>1755</v>
      </c>
      <c r="B1099" s="68" t="s">
        <v>1744</v>
      </c>
      <c r="C1099" s="68" t="s">
        <v>1745</v>
      </c>
      <c r="D1099" s="68" t="str">
        <f t="shared" si="26"/>
        <v>Namasagali</v>
      </c>
      <c r="F1099" s="68">
        <v>593</v>
      </c>
    </row>
    <row r="1100" spans="1:6">
      <c r="A1100" s="68" t="s">
        <v>1756</v>
      </c>
      <c r="B1100" s="68" t="s">
        <v>1744</v>
      </c>
      <c r="C1100" s="68" t="s">
        <v>1745</v>
      </c>
      <c r="D1100" s="68" t="str">
        <f t="shared" si="26"/>
        <v>Namwendwa</v>
      </c>
      <c r="F1100" s="68">
        <v>594</v>
      </c>
    </row>
    <row r="1101" spans="1:6">
      <c r="A1101" s="68" t="s">
        <v>1757</v>
      </c>
      <c r="B1101" s="68" t="s">
        <v>1744</v>
      </c>
      <c r="C1101" s="68" t="s">
        <v>1747</v>
      </c>
      <c r="D1101" s="68" t="str">
        <f t="shared" si="26"/>
        <v>Nawanyago</v>
      </c>
      <c r="F1101" s="68">
        <v>595</v>
      </c>
    </row>
    <row r="1102" spans="1:6">
      <c r="A1102" s="68" t="s">
        <v>1758</v>
      </c>
      <c r="B1102" s="68" t="s">
        <v>1744</v>
      </c>
      <c r="C1102" s="68" t="s">
        <v>1747</v>
      </c>
      <c r="D1102" s="68" t="str">
        <f t="shared" si="26"/>
        <v>Wankole</v>
      </c>
      <c r="F1102" s="68">
        <v>596</v>
      </c>
    </row>
    <row r="1103" spans="1:6">
      <c r="A1103" s="68" t="s">
        <v>1759</v>
      </c>
      <c r="B1103" s="68" t="s">
        <v>45</v>
      </c>
      <c r="C1103" s="68" t="s">
        <v>989</v>
      </c>
      <c r="D1103" s="68" t="str">
        <f t="shared" si="26"/>
        <v>Biguli</v>
      </c>
      <c r="F1103" s="68">
        <v>597</v>
      </c>
    </row>
    <row r="1104" spans="1:6">
      <c r="A1104" s="68" t="s">
        <v>1760</v>
      </c>
      <c r="B1104" s="68" t="s">
        <v>45</v>
      </c>
      <c r="C1104" s="68" t="s">
        <v>989</v>
      </c>
      <c r="D1104" s="68" t="str">
        <f t="shared" si="26"/>
        <v>Bihanga-Kamwenge</v>
      </c>
      <c r="F1104" s="68">
        <v>598</v>
      </c>
    </row>
    <row r="1105" spans="1:6">
      <c r="A1105" s="68" t="s">
        <v>1761</v>
      </c>
      <c r="B1105" s="68" t="s">
        <v>45</v>
      </c>
      <c r="C1105" s="68" t="s">
        <v>1762</v>
      </c>
      <c r="D1105" s="68" t="str">
        <f t="shared" si="26"/>
        <v>Buhanda</v>
      </c>
      <c r="F1105" s="68">
        <v>599</v>
      </c>
    </row>
    <row r="1106" spans="1:6">
      <c r="A1106" s="68" t="s">
        <v>1763</v>
      </c>
      <c r="B1106" s="68" t="s">
        <v>45</v>
      </c>
      <c r="C1106" s="68" t="s">
        <v>989</v>
      </c>
      <c r="D1106" s="68" t="str">
        <f t="shared" si="26"/>
        <v>Busiriba</v>
      </c>
      <c r="F1106" s="68">
        <v>600</v>
      </c>
    </row>
    <row r="1107" spans="1:6">
      <c r="A1107" s="68" t="s">
        <v>1764</v>
      </c>
      <c r="B1107" s="68" t="s">
        <v>45</v>
      </c>
      <c r="C1107" s="68" t="s">
        <v>989</v>
      </c>
      <c r="D1107" s="68" t="str">
        <f t="shared" si="26"/>
        <v>Bwizi</v>
      </c>
      <c r="F1107" s="68">
        <v>601</v>
      </c>
    </row>
    <row r="1108" spans="1:6">
      <c r="A1108" s="68" t="s">
        <v>1765</v>
      </c>
      <c r="B1108" s="68" t="s">
        <v>45</v>
      </c>
      <c r="C1108" s="68" t="s">
        <v>989</v>
      </c>
      <c r="D1108" s="68" t="str">
        <f t="shared" si="26"/>
        <v>Kabambiro</v>
      </c>
      <c r="F1108" s="68">
        <v>602</v>
      </c>
    </row>
    <row r="1109" spans="1:6">
      <c r="A1109" s="68" t="s">
        <v>1766</v>
      </c>
      <c r="B1109" s="68" t="s">
        <v>45</v>
      </c>
      <c r="C1109" s="68" t="s">
        <v>989</v>
      </c>
      <c r="D1109" s="68" t="str">
        <f t="shared" si="26"/>
        <v>Kahunge</v>
      </c>
      <c r="F1109" s="68">
        <v>603</v>
      </c>
    </row>
    <row r="1110" spans="1:6">
      <c r="A1110" s="68" t="s">
        <v>45</v>
      </c>
      <c r="B1110" s="68" t="s">
        <v>45</v>
      </c>
      <c r="C1110" s="68" t="s">
        <v>989</v>
      </c>
      <c r="D1110" s="68" t="str">
        <f t="shared" si="26"/>
        <v>Kamwenge</v>
      </c>
      <c r="F1110" s="68">
        <v>604</v>
      </c>
    </row>
    <row r="1111" spans="1:6">
      <c r="A1111" s="68" t="s">
        <v>1767</v>
      </c>
      <c r="B1111" s="68" t="s">
        <v>45</v>
      </c>
      <c r="C1111" s="68" t="s">
        <v>989</v>
      </c>
      <c r="D1111" s="68" t="str">
        <f t="shared" si="26"/>
        <v>Kamwenge Town Council</v>
      </c>
      <c r="F1111" s="68">
        <v>605</v>
      </c>
    </row>
    <row r="1112" spans="1:6">
      <c r="A1112" s="68" t="s">
        <v>1768</v>
      </c>
      <c r="B1112" s="68" t="s">
        <v>45</v>
      </c>
      <c r="C1112" s="68" t="s">
        <v>1762</v>
      </c>
      <c r="D1112" s="68" t="str">
        <f t="shared" si="26"/>
        <v>Kanara-Kamwenge</v>
      </c>
      <c r="F1112" s="68">
        <v>606</v>
      </c>
    </row>
    <row r="1113" spans="1:6">
      <c r="A1113" s="68" t="s">
        <v>1769</v>
      </c>
      <c r="B1113" s="68" t="s">
        <v>45</v>
      </c>
      <c r="C1113" s="68" t="s">
        <v>1762</v>
      </c>
      <c r="D1113" s="68" t="str">
        <f t="shared" si="26"/>
        <v>Kicheche</v>
      </c>
      <c r="F1113" s="68">
        <v>607</v>
      </c>
    </row>
    <row r="1114" spans="1:6">
      <c r="A1114" s="68" t="s">
        <v>1770</v>
      </c>
      <c r="B1114" s="68" t="s">
        <v>45</v>
      </c>
      <c r="C1114" s="68" t="s">
        <v>1762</v>
      </c>
      <c r="D1114" s="68" t="str">
        <f t="shared" si="26"/>
        <v>Mahyoro</v>
      </c>
      <c r="F1114" s="68">
        <v>608</v>
      </c>
    </row>
    <row r="1115" spans="1:6">
      <c r="A1115" s="68" t="s">
        <v>603</v>
      </c>
      <c r="D1115" s="68" t="str">
        <f t="shared" si="26"/>
        <v>OMUKIHOGO</v>
      </c>
      <c r="F1115" s="68">
        <v>608</v>
      </c>
    </row>
    <row r="1116" spans="1:6">
      <c r="A1116" s="68" t="s">
        <v>349</v>
      </c>
      <c r="D1116" s="68" t="str">
        <f t="shared" si="26"/>
        <v>MUKIHOGO</v>
      </c>
      <c r="F1116" s="68">
        <v>608</v>
      </c>
    </row>
    <row r="1117" spans="1:6">
      <c r="A1117" s="68" t="s">
        <v>267</v>
      </c>
      <c r="D1117" s="68" t="str">
        <f t="shared" si="26"/>
        <v>MUKIHORGO</v>
      </c>
      <c r="F1117" s="68">
        <v>608</v>
      </c>
    </row>
    <row r="1118" spans="1:6">
      <c r="A1118" s="68" t="s">
        <v>246</v>
      </c>
      <c r="D1118" s="68" t="str">
        <f t="shared" si="26"/>
        <v>OMUKIHONGO</v>
      </c>
      <c r="F1118" s="68">
        <v>608</v>
      </c>
    </row>
    <row r="1119" spans="1:6">
      <c r="A1119" s="68" t="s">
        <v>1771</v>
      </c>
      <c r="B1119" s="68" t="s">
        <v>45</v>
      </c>
      <c r="C1119" s="68" t="s">
        <v>989</v>
      </c>
      <c r="D1119" s="68" t="str">
        <f t="shared" si="26"/>
        <v>Nkoma</v>
      </c>
      <c r="F1119" s="68">
        <v>609</v>
      </c>
    </row>
    <row r="1120" spans="1:6">
      <c r="A1120" s="68" t="s">
        <v>1772</v>
      </c>
      <c r="D1120" s="68" t="str">
        <f t="shared" si="26"/>
        <v>ssanga</v>
      </c>
      <c r="F1120" s="68">
        <v>609</v>
      </c>
    </row>
    <row r="1121" spans="1:6">
      <c r="A1121" s="68" t="s">
        <v>1773</v>
      </c>
      <c r="D1121" s="68" t="str">
        <f t="shared" si="26"/>
        <v>Kungu</v>
      </c>
      <c r="F1121" s="68">
        <v>609</v>
      </c>
    </row>
    <row r="1122" spans="1:6">
      <c r="A1122" s="68" t="s">
        <v>1774</v>
      </c>
      <c r="D1122" s="68" t="str">
        <f t="shared" si="26"/>
        <v>Kkungu</v>
      </c>
      <c r="F1122" s="68">
        <v>609</v>
      </c>
    </row>
    <row r="1123" spans="1:6">
      <c r="A1123" s="68" t="s">
        <v>1775</v>
      </c>
      <c r="B1123" s="68" t="s">
        <v>45</v>
      </c>
      <c r="C1123" s="68" t="s">
        <v>1762</v>
      </c>
      <c r="D1123" s="68" t="str">
        <f t="shared" si="26"/>
        <v>Ntara</v>
      </c>
      <c r="F1123" s="68">
        <v>610</v>
      </c>
    </row>
    <row r="1124" spans="1:6">
      <c r="A1124" s="68" t="s">
        <v>1776</v>
      </c>
      <c r="B1124" s="68" t="s">
        <v>45</v>
      </c>
      <c r="C1124" s="68" t="s">
        <v>1762</v>
      </c>
      <c r="D1124" s="68" t="str">
        <f t="shared" si="26"/>
        <v>Nyabbani</v>
      </c>
      <c r="F1124" s="68">
        <v>611</v>
      </c>
    </row>
    <row r="1125" spans="1:6">
      <c r="A1125" s="68" t="s">
        <v>1777</v>
      </c>
      <c r="B1125" s="68" t="s">
        <v>45</v>
      </c>
      <c r="C1125" s="68" t="s">
        <v>989</v>
      </c>
      <c r="D1125" s="68" t="str">
        <f t="shared" si="26"/>
        <v>Rwamwanja Refugee Camp</v>
      </c>
      <c r="F1125" s="68">
        <v>612</v>
      </c>
    </row>
    <row r="1126" spans="1:6">
      <c r="A1126" s="68" t="s">
        <v>1778</v>
      </c>
      <c r="B1126" s="68" t="s">
        <v>1779</v>
      </c>
      <c r="C1126" s="68" t="s">
        <v>1780</v>
      </c>
      <c r="D1126" s="68" t="str">
        <f t="shared" si="26"/>
        <v>Butogota Town Council</v>
      </c>
      <c r="F1126" s="68">
        <v>613</v>
      </c>
    </row>
    <row r="1127" spans="1:6">
      <c r="A1127" s="68" t="s">
        <v>1781</v>
      </c>
      <c r="B1127" s="68" t="s">
        <v>1779</v>
      </c>
      <c r="C1127" s="68" t="s">
        <v>1780</v>
      </c>
      <c r="D1127" s="68" t="str">
        <f t="shared" si="26"/>
        <v>Kambuga</v>
      </c>
      <c r="F1127" s="68">
        <v>614</v>
      </c>
    </row>
    <row r="1128" spans="1:6">
      <c r="A1128" s="68" t="s">
        <v>1782</v>
      </c>
      <c r="B1128" s="68" t="s">
        <v>1779</v>
      </c>
      <c r="C1128" s="68" t="s">
        <v>1780</v>
      </c>
      <c r="D1128" s="68" t="str">
        <f t="shared" si="26"/>
        <v>Kambuga Town Council</v>
      </c>
      <c r="F1128" s="68">
        <v>615</v>
      </c>
    </row>
    <row r="1129" spans="1:6">
      <c r="A1129" s="68" t="s">
        <v>1783</v>
      </c>
      <c r="B1129" s="68" t="s">
        <v>1779</v>
      </c>
      <c r="C1129" s="68" t="s">
        <v>1780</v>
      </c>
      <c r="D1129" s="68" t="str">
        <f t="shared" si="26"/>
        <v>Kanungu Town Council</v>
      </c>
      <c r="F1129" s="68">
        <v>616</v>
      </c>
    </row>
    <row r="1130" spans="1:6">
      <c r="A1130" s="68" t="s">
        <v>1784</v>
      </c>
      <c r="B1130" s="68" t="s">
        <v>1779</v>
      </c>
      <c r="C1130" s="68" t="s">
        <v>1780</v>
      </c>
      <c r="D1130" s="68" t="str">
        <f t="shared" si="26"/>
        <v>Kanyantorogo</v>
      </c>
      <c r="F1130" s="68">
        <v>617</v>
      </c>
    </row>
    <row r="1131" spans="1:6">
      <c r="A1131" s="68" t="s">
        <v>1785</v>
      </c>
      <c r="B1131" s="68" t="s">
        <v>1779</v>
      </c>
      <c r="C1131" s="68" t="s">
        <v>1780</v>
      </c>
      <c r="D1131" s="68" t="str">
        <f t="shared" si="26"/>
        <v>Katete</v>
      </c>
      <c r="F1131" s="68">
        <v>618</v>
      </c>
    </row>
    <row r="1132" spans="1:6">
      <c r="A1132" s="68" t="s">
        <v>1786</v>
      </c>
      <c r="B1132" s="68" t="s">
        <v>1779</v>
      </c>
      <c r="C1132" s="68" t="s">
        <v>1780</v>
      </c>
      <c r="D1132" s="68" t="str">
        <f t="shared" si="26"/>
        <v>Kayonza-Kanungu</v>
      </c>
      <c r="F1132" s="68">
        <v>619</v>
      </c>
    </row>
    <row r="1133" spans="1:6">
      <c r="A1133" s="68" t="s">
        <v>1787</v>
      </c>
      <c r="B1133" s="68" t="s">
        <v>1779</v>
      </c>
      <c r="C1133" s="68" t="s">
        <v>1780</v>
      </c>
      <c r="D1133" s="68" t="str">
        <f t="shared" si="26"/>
        <v>Kihihi</v>
      </c>
      <c r="F1133" s="68">
        <v>620</v>
      </c>
    </row>
    <row r="1134" spans="1:6">
      <c r="A1134" s="68" t="s">
        <v>1788</v>
      </c>
      <c r="B1134" s="68" t="s">
        <v>1779</v>
      </c>
      <c r="C1134" s="68" t="s">
        <v>1780</v>
      </c>
      <c r="D1134" s="68" t="str">
        <f t="shared" si="26"/>
        <v>Kihiihi Town Council</v>
      </c>
      <c r="F1134" s="68">
        <v>621</v>
      </c>
    </row>
    <row r="1135" spans="1:6">
      <c r="A1135" s="68" t="s">
        <v>1789</v>
      </c>
      <c r="B1135" s="68" t="s">
        <v>1779</v>
      </c>
      <c r="C1135" s="68" t="s">
        <v>1780</v>
      </c>
      <c r="D1135" s="68" t="str">
        <f t="shared" si="26"/>
        <v>Kinaaba</v>
      </c>
      <c r="F1135" s="68">
        <v>622</v>
      </c>
    </row>
    <row r="1136" spans="1:6">
      <c r="A1136" s="68" t="s">
        <v>1790</v>
      </c>
      <c r="B1136" s="68" t="s">
        <v>1779</v>
      </c>
      <c r="C1136" s="68" t="s">
        <v>1780</v>
      </c>
      <c r="D1136" s="68" t="str">
        <f t="shared" si="26"/>
        <v>Kirima</v>
      </c>
      <c r="F1136" s="68">
        <v>623</v>
      </c>
    </row>
    <row r="1137" spans="1:6">
      <c r="A1137" s="68" t="s">
        <v>1791</v>
      </c>
      <c r="B1137" s="68" t="s">
        <v>1779</v>
      </c>
      <c r="C1137" s="68" t="s">
        <v>1780</v>
      </c>
      <c r="D1137" s="68" t="str">
        <f t="shared" si="26"/>
        <v>Mpungu</v>
      </c>
      <c r="F1137" s="68">
        <v>624</v>
      </c>
    </row>
    <row r="1138" spans="1:6">
      <c r="A1138" s="68" t="s">
        <v>1792</v>
      </c>
      <c r="B1138" s="68" t="s">
        <v>1779</v>
      </c>
      <c r="C1138" s="68" t="s">
        <v>1780</v>
      </c>
      <c r="D1138" s="68" t="str">
        <f t="shared" si="26"/>
        <v>Nyakinoni</v>
      </c>
      <c r="F1138" s="68">
        <v>625</v>
      </c>
    </row>
    <row r="1139" spans="1:6">
      <c r="A1139" s="68" t="s">
        <v>1793</v>
      </c>
      <c r="B1139" s="68" t="s">
        <v>1779</v>
      </c>
      <c r="C1139" s="68" t="s">
        <v>1780</v>
      </c>
      <c r="D1139" s="68" t="str">
        <f t="shared" si="26"/>
        <v>Nyamirama</v>
      </c>
      <c r="F1139" s="68">
        <v>626</v>
      </c>
    </row>
    <row r="1140" spans="1:6">
      <c r="A1140" s="68" t="s">
        <v>1794</v>
      </c>
      <c r="B1140" s="68" t="s">
        <v>1779</v>
      </c>
      <c r="C1140" s="68" t="s">
        <v>1780</v>
      </c>
      <c r="D1140" s="68" t="str">
        <f t="shared" si="26"/>
        <v>Nyanga</v>
      </c>
      <c r="F1140" s="68">
        <v>627</v>
      </c>
    </row>
    <row r="1141" spans="1:6">
      <c r="A1141" s="68" t="s">
        <v>1795</v>
      </c>
      <c r="B1141" s="68" t="s">
        <v>1779</v>
      </c>
      <c r="C1141" s="68" t="s">
        <v>1780</v>
      </c>
      <c r="D1141" s="68" t="str">
        <f t="shared" si="26"/>
        <v>Rugyeyo</v>
      </c>
      <c r="F1141" s="68">
        <v>628</v>
      </c>
    </row>
    <row r="1142" spans="1:6">
      <c r="A1142" s="68" t="s">
        <v>1796</v>
      </c>
      <c r="B1142" s="68" t="s">
        <v>1779</v>
      </c>
      <c r="C1142" s="68" t="s">
        <v>1780</v>
      </c>
      <c r="D1142" s="68" t="str">
        <f t="shared" si="26"/>
        <v>Rutenga</v>
      </c>
      <c r="F1142" s="68">
        <v>629</v>
      </c>
    </row>
    <row r="1143" spans="1:6">
      <c r="A1143" s="68" t="s">
        <v>1797</v>
      </c>
      <c r="B1143" s="68" t="s">
        <v>1798</v>
      </c>
      <c r="C1143" s="68" t="s">
        <v>1799</v>
      </c>
      <c r="D1143" s="68" t="str">
        <f t="shared" si="26"/>
        <v>Amukol</v>
      </c>
      <c r="F1143" s="68">
        <v>630</v>
      </c>
    </row>
    <row r="1144" spans="1:6">
      <c r="A1144" s="68" t="s">
        <v>1800</v>
      </c>
      <c r="B1144" s="68" t="s">
        <v>1798</v>
      </c>
      <c r="C1144" s="68" t="s">
        <v>1799</v>
      </c>
      <c r="D1144" s="68" t="str">
        <f t="shared" si="26"/>
        <v>Chema</v>
      </c>
      <c r="F1144" s="68">
        <v>631</v>
      </c>
    </row>
    <row r="1145" spans="1:6">
      <c r="A1145" s="68" t="s">
        <v>1801</v>
      </c>
      <c r="B1145" s="68" t="s">
        <v>1798</v>
      </c>
      <c r="C1145" s="68" t="s">
        <v>1799</v>
      </c>
      <c r="D1145" s="68" t="str">
        <f t="shared" si="26"/>
        <v>Chepterech</v>
      </c>
      <c r="F1145" s="68">
        <v>632</v>
      </c>
    </row>
    <row r="1146" spans="1:6">
      <c r="A1146" s="68" t="s">
        <v>1802</v>
      </c>
      <c r="B1146" s="68" t="s">
        <v>1798</v>
      </c>
      <c r="C1146" s="68" t="s">
        <v>1799</v>
      </c>
      <c r="D1146" s="68" t="str">
        <f t="shared" si="26"/>
        <v>Gamogo</v>
      </c>
      <c r="F1146" s="68">
        <v>633</v>
      </c>
    </row>
    <row r="1147" spans="1:6">
      <c r="A1147" s="68" t="s">
        <v>1803</v>
      </c>
      <c r="B1147" s="68" t="s">
        <v>1798</v>
      </c>
      <c r="C1147" s="68" t="s">
        <v>1799</v>
      </c>
      <c r="D1147" s="68" t="str">
        <f t="shared" si="26"/>
        <v>Kabeywa</v>
      </c>
      <c r="F1147" s="68">
        <v>634</v>
      </c>
    </row>
    <row r="1148" spans="1:6">
      <c r="A1148" s="68" t="s">
        <v>1804</v>
      </c>
      <c r="B1148" s="68" t="s">
        <v>1798</v>
      </c>
      <c r="C1148" s="68" t="s">
        <v>1804</v>
      </c>
      <c r="D1148" s="68" t="str">
        <f t="shared" si="26"/>
        <v>Kapchorwa Municipality</v>
      </c>
      <c r="F1148" s="68">
        <v>635</v>
      </c>
    </row>
    <row r="1149" spans="1:6">
      <c r="A1149" s="68" t="s">
        <v>1805</v>
      </c>
      <c r="B1149" s="68" t="s">
        <v>1798</v>
      </c>
      <c r="C1149" s="68" t="s">
        <v>1799</v>
      </c>
      <c r="D1149" s="68" t="str">
        <f t="shared" si="26"/>
        <v>Kapsinda</v>
      </c>
      <c r="F1149" s="68">
        <v>636</v>
      </c>
    </row>
    <row r="1150" spans="1:6">
      <c r="A1150" s="68" t="s">
        <v>1806</v>
      </c>
      <c r="B1150" s="68" t="s">
        <v>1798</v>
      </c>
      <c r="C1150" s="68" t="s">
        <v>1799</v>
      </c>
      <c r="D1150" s="68" t="str">
        <f t="shared" si="26"/>
        <v>Kaptanya</v>
      </c>
      <c r="F1150" s="68">
        <v>637</v>
      </c>
    </row>
    <row r="1151" spans="1:6">
      <c r="A1151" s="68" t="s">
        <v>1807</v>
      </c>
      <c r="B1151" s="68" t="s">
        <v>1798</v>
      </c>
      <c r="C1151" s="68" t="s">
        <v>1799</v>
      </c>
      <c r="D1151" s="68" t="str">
        <f t="shared" si="26"/>
        <v>Kaserem</v>
      </c>
      <c r="F1151" s="68">
        <v>638</v>
      </c>
    </row>
    <row r="1152" spans="1:6">
      <c r="A1152" s="68" t="s">
        <v>1808</v>
      </c>
      <c r="B1152" s="68" t="s">
        <v>1798</v>
      </c>
      <c r="C1152" s="68" t="s">
        <v>1799</v>
      </c>
      <c r="D1152" s="68" t="str">
        <f t="shared" si="26"/>
        <v>Kawowo</v>
      </c>
      <c r="F1152" s="68">
        <v>639</v>
      </c>
    </row>
    <row r="1153" spans="1:6">
      <c r="A1153" s="68" t="s">
        <v>1809</v>
      </c>
      <c r="B1153" s="68" t="s">
        <v>1798</v>
      </c>
      <c r="C1153" s="68" t="s">
        <v>1799</v>
      </c>
      <c r="D1153" s="68" t="str">
        <f t="shared" ref="D1153:D1216" si="27">A1153</f>
        <v>Munarya</v>
      </c>
      <c r="F1153" s="68">
        <v>640</v>
      </c>
    </row>
    <row r="1154" spans="1:6">
      <c r="A1154" s="68" t="s">
        <v>1810</v>
      </c>
      <c r="B1154" s="68" t="s">
        <v>1798</v>
      </c>
      <c r="C1154" s="68" t="s">
        <v>1799</v>
      </c>
      <c r="D1154" s="68" t="str">
        <f t="shared" si="27"/>
        <v>Sipi</v>
      </c>
      <c r="F1154" s="68">
        <v>641</v>
      </c>
    </row>
    <row r="1155" spans="1:6">
      <c r="A1155" s="68" t="s">
        <v>1811</v>
      </c>
      <c r="B1155" s="68" t="s">
        <v>36</v>
      </c>
      <c r="C1155" s="68" t="s">
        <v>1812</v>
      </c>
      <c r="D1155" s="68" t="str">
        <f t="shared" si="27"/>
        <v>Bugoye</v>
      </c>
      <c r="F1155" s="68">
        <v>642</v>
      </c>
    </row>
    <row r="1156" spans="1:6">
      <c r="A1156" s="68" t="s">
        <v>1813</v>
      </c>
      <c r="B1156" s="68" t="s">
        <v>36</v>
      </c>
      <c r="C1156" s="68" t="s">
        <v>1812</v>
      </c>
      <c r="D1156" s="68" t="str">
        <f t="shared" si="27"/>
        <v>Buhuhira</v>
      </c>
      <c r="F1156" s="68">
        <v>643</v>
      </c>
    </row>
    <row r="1157" spans="1:6">
      <c r="A1157" s="68" t="s">
        <v>37</v>
      </c>
      <c r="B1157" s="68" t="s">
        <v>36</v>
      </c>
      <c r="C1157" s="68" t="s">
        <v>900</v>
      </c>
      <c r="D1157" s="68" t="str">
        <f t="shared" si="27"/>
        <v>Bwera</v>
      </c>
      <c r="F1157" s="68">
        <v>644</v>
      </c>
    </row>
    <row r="1158" spans="1:6">
      <c r="A1158" s="68" t="s">
        <v>211</v>
      </c>
      <c r="D1158" s="68" t="str">
        <f t="shared" si="27"/>
        <v>KYEMPALA</v>
      </c>
      <c r="F1158" s="68">
        <v>644</v>
      </c>
    </row>
    <row r="1159" spans="1:6">
      <c r="A1159" s="68" t="s">
        <v>1814</v>
      </c>
      <c r="B1159" s="68" t="s">
        <v>36</v>
      </c>
      <c r="C1159" s="68" t="s">
        <v>1812</v>
      </c>
      <c r="D1159" s="68" t="str">
        <f t="shared" si="27"/>
        <v>Bwesumbu</v>
      </c>
      <c r="F1159" s="68">
        <v>645</v>
      </c>
    </row>
    <row r="1160" spans="1:6">
      <c r="A1160" s="68" t="s">
        <v>1815</v>
      </c>
      <c r="B1160" s="68" t="s">
        <v>36</v>
      </c>
      <c r="C1160" s="68" t="s">
        <v>1812</v>
      </c>
      <c r="D1160" s="68" t="str">
        <f t="shared" si="27"/>
        <v>Hima Town Council</v>
      </c>
      <c r="F1160" s="68">
        <v>646</v>
      </c>
    </row>
    <row r="1161" spans="1:6">
      <c r="A1161" s="68" t="s">
        <v>1816</v>
      </c>
      <c r="B1161" s="68" t="s">
        <v>36</v>
      </c>
      <c r="C1161" s="68" t="s">
        <v>900</v>
      </c>
      <c r="D1161" s="68" t="str">
        <f t="shared" si="27"/>
        <v>Ihandiro</v>
      </c>
      <c r="F1161" s="68">
        <v>647</v>
      </c>
    </row>
    <row r="1162" spans="1:6">
      <c r="A1162" s="68" t="s">
        <v>1817</v>
      </c>
      <c r="B1162" s="68" t="s">
        <v>36</v>
      </c>
      <c r="C1162" s="68" t="s">
        <v>900</v>
      </c>
      <c r="D1162" s="68" t="str">
        <f t="shared" si="27"/>
        <v>Isango</v>
      </c>
      <c r="F1162" s="68">
        <v>648</v>
      </c>
    </row>
    <row r="1163" spans="1:6">
      <c r="A1163" s="68" t="s">
        <v>1818</v>
      </c>
      <c r="B1163" s="68" t="s">
        <v>36</v>
      </c>
      <c r="C1163" s="68" t="s">
        <v>900</v>
      </c>
      <c r="D1163" s="68" t="str">
        <f t="shared" si="27"/>
        <v>Karambi-Kasese</v>
      </c>
      <c r="F1163" s="68">
        <v>649</v>
      </c>
    </row>
    <row r="1164" spans="1:6">
      <c r="A1164" s="68" t="s">
        <v>1819</v>
      </c>
      <c r="B1164" s="68" t="s">
        <v>36</v>
      </c>
      <c r="C1164" s="68" t="s">
        <v>1812</v>
      </c>
      <c r="D1164" s="68" t="str">
        <f t="shared" si="27"/>
        <v>Karusandara</v>
      </c>
      <c r="F1164" s="68">
        <v>650</v>
      </c>
    </row>
    <row r="1165" spans="1:6">
      <c r="A1165" s="68" t="s">
        <v>1820</v>
      </c>
      <c r="B1165" s="68" t="s">
        <v>36</v>
      </c>
      <c r="C1165" s="68" t="s">
        <v>1820</v>
      </c>
      <c r="D1165" s="68" t="str">
        <f t="shared" si="27"/>
        <v>Kasese Municipality</v>
      </c>
      <c r="F1165" s="68">
        <v>651</v>
      </c>
    </row>
    <row r="1166" spans="1:6">
      <c r="A1166" s="68" t="s">
        <v>36</v>
      </c>
      <c r="D1166" s="68" t="str">
        <f t="shared" si="27"/>
        <v>Kasese</v>
      </c>
      <c r="F1166" s="68">
        <v>651</v>
      </c>
    </row>
    <row r="1167" spans="1:6">
      <c r="A1167" s="68" t="s">
        <v>609</v>
      </c>
      <c r="D1167" s="68" t="str">
        <f t="shared" si="27"/>
        <v>KASUMBA</v>
      </c>
      <c r="F1167" s="68">
        <v>651</v>
      </c>
    </row>
    <row r="1168" spans="1:6">
      <c r="A1168" s="68" t="s">
        <v>1821</v>
      </c>
      <c r="D1168" s="68" t="str">
        <f t="shared" si="27"/>
        <v>RWENZORI</v>
      </c>
      <c r="F1168" s="68">
        <v>651</v>
      </c>
    </row>
    <row r="1169" spans="1:6">
      <c r="A1169" s="68" t="s">
        <v>1822</v>
      </c>
      <c r="D1169" s="68" t="str">
        <f t="shared" si="27"/>
        <v>KASEESE</v>
      </c>
      <c r="F1169" s="68">
        <v>651</v>
      </c>
    </row>
    <row r="1170" spans="1:6">
      <c r="A1170" s="68" t="s">
        <v>1823</v>
      </c>
      <c r="D1170" s="68" t="str">
        <f t="shared" si="27"/>
        <v>KASEESE TOWN</v>
      </c>
      <c r="F1170" s="68">
        <v>651</v>
      </c>
    </row>
    <row r="1171" spans="1:6">
      <c r="A1171" s="68" t="s">
        <v>1824</v>
      </c>
      <c r="D1171" s="68" t="str">
        <f t="shared" si="27"/>
        <v>Kasese town</v>
      </c>
      <c r="F1171" s="68">
        <v>651</v>
      </c>
    </row>
    <row r="1172" spans="1:6">
      <c r="A1172" s="68" t="s">
        <v>1825</v>
      </c>
      <c r="B1172" s="68" t="s">
        <v>36</v>
      </c>
      <c r="C1172" s="68" t="s">
        <v>1812</v>
      </c>
      <c r="D1172" s="68" t="str">
        <f t="shared" si="27"/>
        <v>Katwe Kabatoro Town Council</v>
      </c>
      <c r="F1172" s="68">
        <v>652</v>
      </c>
    </row>
    <row r="1173" spans="1:6">
      <c r="A1173" s="68" t="s">
        <v>1826</v>
      </c>
      <c r="B1173" s="68" t="s">
        <v>36</v>
      </c>
      <c r="C1173" s="68" t="s">
        <v>1812</v>
      </c>
      <c r="D1173" s="68" t="str">
        <f t="shared" si="27"/>
        <v>Kilembe</v>
      </c>
      <c r="F1173" s="68">
        <v>653</v>
      </c>
    </row>
    <row r="1174" spans="1:6">
      <c r="A1174" s="68" t="s">
        <v>1827</v>
      </c>
      <c r="D1174" s="68" t="str">
        <f t="shared" si="27"/>
        <v>QUEEN ELIZABETH</v>
      </c>
      <c r="F1174" s="68">
        <v>653</v>
      </c>
    </row>
    <row r="1175" spans="1:6">
      <c r="A1175" s="68" t="s">
        <v>1828</v>
      </c>
      <c r="B1175" s="68" t="s">
        <v>36</v>
      </c>
      <c r="C1175" s="68" t="s">
        <v>900</v>
      </c>
      <c r="D1175" s="68" t="str">
        <f t="shared" si="27"/>
        <v>Kisinga</v>
      </c>
      <c r="F1175" s="68">
        <v>654</v>
      </c>
    </row>
    <row r="1176" spans="1:6">
      <c r="A1176" s="68" t="s">
        <v>1829</v>
      </c>
      <c r="B1176" s="68" t="s">
        <v>36</v>
      </c>
      <c r="C1176" s="68" t="s">
        <v>900</v>
      </c>
      <c r="D1176" s="68" t="str">
        <f t="shared" si="27"/>
        <v>Kisinga Town Council</v>
      </c>
      <c r="F1176" s="68">
        <v>655</v>
      </c>
    </row>
    <row r="1177" spans="1:6">
      <c r="A1177" s="68" t="s">
        <v>1830</v>
      </c>
      <c r="B1177" s="68" t="s">
        <v>36</v>
      </c>
      <c r="C1177" s="68" t="s">
        <v>900</v>
      </c>
      <c r="D1177" s="68" t="str">
        <f t="shared" si="27"/>
        <v>Kitholhu</v>
      </c>
      <c r="F1177" s="68">
        <v>656</v>
      </c>
    </row>
    <row r="1178" spans="1:6">
      <c r="A1178" s="68" t="s">
        <v>1831</v>
      </c>
      <c r="B1178" s="68" t="s">
        <v>36</v>
      </c>
      <c r="C1178" s="68" t="s">
        <v>1812</v>
      </c>
      <c r="D1178" s="68" t="str">
        <f t="shared" si="27"/>
        <v>Kitswamba</v>
      </c>
      <c r="F1178" s="68">
        <v>657</v>
      </c>
    </row>
    <row r="1179" spans="1:6">
      <c r="A1179" s="68" t="s">
        <v>1832</v>
      </c>
      <c r="B1179" s="68" t="s">
        <v>36</v>
      </c>
      <c r="C1179" s="68" t="s">
        <v>1812</v>
      </c>
      <c r="D1179" s="68" t="str">
        <f t="shared" si="27"/>
        <v>Kyabarungira</v>
      </c>
      <c r="F1179" s="68">
        <v>658</v>
      </c>
    </row>
    <row r="1180" spans="1:6">
      <c r="A1180" s="68" t="s">
        <v>1833</v>
      </c>
      <c r="B1180" s="68" t="s">
        <v>36</v>
      </c>
      <c r="C1180" s="68" t="s">
        <v>900</v>
      </c>
      <c r="D1180" s="68" t="str">
        <f t="shared" si="27"/>
        <v>Kyarumba</v>
      </c>
      <c r="F1180" s="68">
        <v>659</v>
      </c>
    </row>
    <row r="1181" spans="1:6">
      <c r="A1181" s="68" t="s">
        <v>1834</v>
      </c>
      <c r="B1181" s="68" t="s">
        <v>36</v>
      </c>
      <c r="C1181" s="68" t="s">
        <v>900</v>
      </c>
      <c r="D1181" s="68" t="str">
        <f t="shared" si="27"/>
        <v>Kyondo</v>
      </c>
      <c r="F1181" s="68">
        <v>660</v>
      </c>
    </row>
    <row r="1182" spans="1:6">
      <c r="A1182" s="68" t="s">
        <v>1835</v>
      </c>
      <c r="B1182" s="68" t="s">
        <v>36</v>
      </c>
      <c r="C1182" s="68" t="s">
        <v>1812</v>
      </c>
      <c r="D1182" s="68" t="str">
        <f t="shared" si="27"/>
        <v>Lake Katwe</v>
      </c>
      <c r="F1182" s="68">
        <v>661</v>
      </c>
    </row>
    <row r="1183" spans="1:6">
      <c r="A1183" s="68" t="s">
        <v>1836</v>
      </c>
      <c r="B1183" s="68" t="s">
        <v>36</v>
      </c>
      <c r="C1183" s="68" t="s">
        <v>900</v>
      </c>
      <c r="D1183" s="68" t="str">
        <f t="shared" si="27"/>
        <v>Mahango</v>
      </c>
      <c r="F1183" s="68">
        <v>662</v>
      </c>
    </row>
    <row r="1184" spans="1:6">
      <c r="A1184" s="68" t="s">
        <v>1837</v>
      </c>
      <c r="B1184" s="68" t="s">
        <v>36</v>
      </c>
      <c r="C1184" s="68" t="s">
        <v>1812</v>
      </c>
      <c r="D1184" s="68" t="str">
        <f t="shared" si="27"/>
        <v>Maliba</v>
      </c>
      <c r="F1184" s="68">
        <v>663</v>
      </c>
    </row>
    <row r="1185" spans="1:6">
      <c r="A1185" s="68" t="s">
        <v>1838</v>
      </c>
      <c r="B1185" s="68" t="s">
        <v>36</v>
      </c>
      <c r="C1185" s="68" t="s">
        <v>900</v>
      </c>
      <c r="D1185" s="68" t="str">
        <f t="shared" si="27"/>
        <v>Mpondwe-Lhubiriha</v>
      </c>
      <c r="F1185" s="68">
        <v>664</v>
      </c>
    </row>
    <row r="1186" spans="1:6">
      <c r="A1186" s="68" t="s">
        <v>1839</v>
      </c>
      <c r="B1186" s="68" t="s">
        <v>36</v>
      </c>
      <c r="C1186" s="68" t="s">
        <v>1812</v>
      </c>
      <c r="D1186" s="68" t="str">
        <f t="shared" si="27"/>
        <v>Muhokya</v>
      </c>
      <c r="F1186" s="68">
        <v>665</v>
      </c>
    </row>
    <row r="1187" spans="1:6">
      <c r="A1187" s="68" t="s">
        <v>1840</v>
      </c>
      <c r="B1187" s="68" t="s">
        <v>36</v>
      </c>
      <c r="C1187" s="68" t="s">
        <v>900</v>
      </c>
      <c r="D1187" s="68" t="str">
        <f t="shared" si="27"/>
        <v>Munkunyu</v>
      </c>
      <c r="F1187" s="68">
        <v>666</v>
      </c>
    </row>
    <row r="1188" spans="1:6">
      <c r="A1188" s="68" t="s">
        <v>1841</v>
      </c>
      <c r="B1188" s="68" t="s">
        <v>36</v>
      </c>
      <c r="C1188" s="68" t="s">
        <v>900</v>
      </c>
      <c r="D1188" s="68" t="str">
        <f t="shared" si="27"/>
        <v>Nyakatonzi</v>
      </c>
      <c r="F1188" s="68">
        <v>667</v>
      </c>
    </row>
    <row r="1189" spans="1:6">
      <c r="A1189" s="68" t="s">
        <v>1842</v>
      </c>
      <c r="B1189" s="68" t="s">
        <v>36</v>
      </c>
      <c r="C1189" s="68" t="s">
        <v>900</v>
      </c>
      <c r="D1189" s="68" t="str">
        <f t="shared" si="27"/>
        <v>Nyakiyumbu</v>
      </c>
      <c r="F1189" s="68">
        <v>668</v>
      </c>
    </row>
    <row r="1190" spans="1:6">
      <c r="A1190" s="68" t="s">
        <v>1843</v>
      </c>
      <c r="B1190" s="68" t="s">
        <v>36</v>
      </c>
      <c r="C1190" s="68" t="s">
        <v>1812</v>
      </c>
      <c r="D1190" s="68" t="str">
        <f t="shared" si="27"/>
        <v>Rukoki</v>
      </c>
      <c r="F1190" s="68">
        <v>669</v>
      </c>
    </row>
    <row r="1191" spans="1:6">
      <c r="A1191" s="68" t="s">
        <v>1844</v>
      </c>
      <c r="B1191" s="68" t="s">
        <v>1845</v>
      </c>
      <c r="C1191" s="68" t="s">
        <v>1846</v>
      </c>
      <c r="D1191" s="68" t="str">
        <f t="shared" si="27"/>
        <v>Kapujan</v>
      </c>
      <c r="F1191" s="68">
        <v>670</v>
      </c>
    </row>
    <row r="1192" spans="1:6">
      <c r="A1192" s="68" t="s">
        <v>1845</v>
      </c>
      <c r="B1192" s="68" t="s">
        <v>1845</v>
      </c>
      <c r="C1192" s="68" t="s">
        <v>1847</v>
      </c>
      <c r="D1192" s="68" t="str">
        <f t="shared" si="27"/>
        <v>Katakwi</v>
      </c>
      <c r="F1192" s="68">
        <v>671</v>
      </c>
    </row>
    <row r="1193" spans="1:6">
      <c r="A1193" s="68" t="s">
        <v>1848</v>
      </c>
      <c r="B1193" s="68" t="s">
        <v>1845</v>
      </c>
      <c r="C1193" s="68" t="s">
        <v>1847</v>
      </c>
      <c r="D1193" s="68" t="str">
        <f t="shared" si="27"/>
        <v>Katakwi Town Council</v>
      </c>
      <c r="F1193" s="68">
        <v>672</v>
      </c>
    </row>
    <row r="1194" spans="1:6">
      <c r="A1194" s="68" t="s">
        <v>1849</v>
      </c>
      <c r="B1194" s="68" t="s">
        <v>1845</v>
      </c>
      <c r="C1194" s="68" t="s">
        <v>1846</v>
      </c>
      <c r="D1194" s="68" t="str">
        <f t="shared" si="27"/>
        <v>Magoro</v>
      </c>
      <c r="F1194" s="68">
        <v>673</v>
      </c>
    </row>
    <row r="1195" spans="1:6">
      <c r="A1195" s="68" t="s">
        <v>1850</v>
      </c>
      <c r="B1195" s="68" t="s">
        <v>1845</v>
      </c>
      <c r="C1195" s="68" t="s">
        <v>1847</v>
      </c>
      <c r="D1195" s="68" t="str">
        <f t="shared" si="27"/>
        <v>Ngariam</v>
      </c>
      <c r="F1195" s="68">
        <v>674</v>
      </c>
    </row>
    <row r="1196" spans="1:6">
      <c r="A1196" s="68" t="s">
        <v>1851</v>
      </c>
      <c r="B1196" s="68" t="s">
        <v>1845</v>
      </c>
      <c r="C1196" s="68" t="s">
        <v>1846</v>
      </c>
      <c r="D1196" s="68" t="str">
        <f t="shared" si="27"/>
        <v>Omodoi</v>
      </c>
      <c r="F1196" s="68">
        <v>675</v>
      </c>
    </row>
    <row r="1197" spans="1:6">
      <c r="A1197" s="68" t="s">
        <v>1852</v>
      </c>
      <c r="B1197" s="68" t="s">
        <v>1845</v>
      </c>
      <c r="C1197" s="68" t="s">
        <v>1847</v>
      </c>
      <c r="D1197" s="68" t="str">
        <f t="shared" si="27"/>
        <v>Ongongoja</v>
      </c>
      <c r="F1197" s="68">
        <v>676</v>
      </c>
    </row>
    <row r="1198" spans="1:6">
      <c r="A1198" s="68" t="s">
        <v>1853</v>
      </c>
      <c r="B1198" s="68" t="s">
        <v>1845</v>
      </c>
      <c r="C1198" s="68" t="s">
        <v>1847</v>
      </c>
      <c r="D1198" s="68" t="str">
        <f t="shared" si="27"/>
        <v>Palam</v>
      </c>
      <c r="F1198" s="68">
        <v>677</v>
      </c>
    </row>
    <row r="1199" spans="1:6">
      <c r="A1199" s="68" t="s">
        <v>1846</v>
      </c>
      <c r="B1199" s="68" t="s">
        <v>1845</v>
      </c>
      <c r="C1199" s="68" t="s">
        <v>1846</v>
      </c>
      <c r="D1199" s="68" t="str">
        <f t="shared" si="27"/>
        <v>Toroma</v>
      </c>
      <c r="F1199" s="68">
        <v>678</v>
      </c>
    </row>
    <row r="1200" spans="1:6">
      <c r="A1200" s="68" t="s">
        <v>1847</v>
      </c>
      <c r="B1200" s="68" t="s">
        <v>1845</v>
      </c>
      <c r="C1200" s="68" t="s">
        <v>1847</v>
      </c>
      <c r="D1200" s="68" t="str">
        <f t="shared" si="27"/>
        <v>Usuk</v>
      </c>
      <c r="F1200" s="68">
        <v>679</v>
      </c>
    </row>
    <row r="1201" spans="1:6">
      <c r="A1201" s="68" t="s">
        <v>1854</v>
      </c>
      <c r="B1201" s="68" t="s">
        <v>1855</v>
      </c>
      <c r="C1201" s="68" t="s">
        <v>1854</v>
      </c>
      <c r="D1201" s="68" t="str">
        <f t="shared" si="27"/>
        <v>Bbaale</v>
      </c>
      <c r="F1201" s="68">
        <v>680</v>
      </c>
    </row>
    <row r="1202" spans="1:6">
      <c r="A1202" s="68" t="s">
        <v>1856</v>
      </c>
      <c r="B1202" s="68" t="s">
        <v>1855</v>
      </c>
      <c r="C1202" s="68" t="s">
        <v>1857</v>
      </c>
      <c r="D1202" s="68" t="str">
        <f t="shared" si="27"/>
        <v>Busaana</v>
      </c>
      <c r="F1202" s="68">
        <v>681</v>
      </c>
    </row>
    <row r="1203" spans="1:6">
      <c r="A1203" s="68" t="s">
        <v>1858</v>
      </c>
      <c r="B1203" s="68" t="s">
        <v>1855</v>
      </c>
      <c r="C1203" s="68" t="s">
        <v>1854</v>
      </c>
      <c r="D1203" s="68" t="str">
        <f t="shared" si="27"/>
        <v>Galiraya</v>
      </c>
      <c r="F1203" s="68">
        <v>682</v>
      </c>
    </row>
    <row r="1204" spans="1:6">
      <c r="A1204" s="68" t="s">
        <v>1859</v>
      </c>
      <c r="B1204" s="68" t="s">
        <v>1855</v>
      </c>
      <c r="C1204" s="68" t="s">
        <v>1857</v>
      </c>
      <c r="D1204" s="68" t="str">
        <f t="shared" si="27"/>
        <v>Kangulumira</v>
      </c>
      <c r="F1204" s="68">
        <v>683</v>
      </c>
    </row>
    <row r="1205" spans="1:6">
      <c r="A1205" s="68" t="s">
        <v>1860</v>
      </c>
      <c r="B1205" s="68" t="s">
        <v>1855</v>
      </c>
      <c r="C1205" s="68" t="s">
        <v>1854</v>
      </c>
      <c r="D1205" s="68" t="str">
        <f t="shared" si="27"/>
        <v>Kayonza-Kayunga</v>
      </c>
      <c r="F1205" s="68">
        <v>684</v>
      </c>
    </row>
    <row r="1206" spans="1:6">
      <c r="A1206" s="68" t="s">
        <v>1855</v>
      </c>
      <c r="B1206" s="68" t="s">
        <v>1855</v>
      </c>
      <c r="C1206" s="68" t="s">
        <v>1857</v>
      </c>
      <c r="D1206" s="68" t="str">
        <f t="shared" si="27"/>
        <v>Kayunga</v>
      </c>
      <c r="F1206" s="68">
        <v>685</v>
      </c>
    </row>
    <row r="1207" spans="1:6">
      <c r="A1207" s="68" t="s">
        <v>1861</v>
      </c>
      <c r="D1207" s="68" t="str">
        <f t="shared" si="27"/>
        <v>Kangulumila</v>
      </c>
      <c r="F1207" s="68">
        <v>685</v>
      </c>
    </row>
    <row r="1208" spans="1:6">
      <c r="A1208" s="68" t="s">
        <v>1862</v>
      </c>
      <c r="B1208" s="68" t="s">
        <v>1855</v>
      </c>
      <c r="C1208" s="68" t="s">
        <v>1857</v>
      </c>
      <c r="D1208" s="68" t="str">
        <f t="shared" si="27"/>
        <v>Kayunga Town Council</v>
      </c>
      <c r="F1208" s="68">
        <v>686</v>
      </c>
    </row>
    <row r="1209" spans="1:6">
      <c r="A1209" s="68" t="s">
        <v>1863</v>
      </c>
      <c r="D1209" s="68" t="str">
        <f t="shared" si="27"/>
        <v xml:space="preserve">Kayunga town  </v>
      </c>
      <c r="F1209" s="68">
        <v>686</v>
      </c>
    </row>
    <row r="1210" spans="1:6">
      <c r="A1210" s="68" t="s">
        <v>1864</v>
      </c>
      <c r="D1210" s="68" t="str">
        <f t="shared" si="27"/>
        <v>KAYUNGA TOWN</v>
      </c>
      <c r="F1210" s="68">
        <v>686</v>
      </c>
    </row>
    <row r="1211" spans="1:6">
      <c r="A1211" s="68" t="s">
        <v>1865</v>
      </c>
      <c r="D1211" s="68" t="str">
        <f t="shared" si="27"/>
        <v>Busana</v>
      </c>
      <c r="F1211" s="68">
        <v>686</v>
      </c>
    </row>
    <row r="1212" spans="1:6">
      <c r="A1212" s="68" t="s">
        <v>1866</v>
      </c>
      <c r="D1212" s="68" t="str">
        <f t="shared" si="27"/>
        <v>NDESE</v>
      </c>
      <c r="F1212" s="68">
        <v>686</v>
      </c>
    </row>
    <row r="1213" spans="1:6">
      <c r="A1213" s="68" t="s">
        <v>1867</v>
      </c>
      <c r="D1213" s="68" t="str">
        <f t="shared" si="27"/>
        <v>Ssenge</v>
      </c>
      <c r="F1213" s="68">
        <v>686</v>
      </c>
    </row>
    <row r="1214" spans="1:6">
      <c r="A1214" s="68" t="s">
        <v>1868</v>
      </c>
      <c r="B1214" s="68" t="s">
        <v>1855</v>
      </c>
      <c r="C1214" s="68" t="s">
        <v>1854</v>
      </c>
      <c r="D1214" s="68" t="str">
        <f t="shared" si="27"/>
        <v>Kitimbwa</v>
      </c>
      <c r="F1214" s="68">
        <v>687</v>
      </c>
    </row>
    <row r="1215" spans="1:6">
      <c r="A1215" s="68" t="s">
        <v>1869</v>
      </c>
      <c r="B1215" s="68" t="s">
        <v>1855</v>
      </c>
      <c r="C1215" s="68" t="s">
        <v>1857</v>
      </c>
      <c r="D1215" s="68" t="str">
        <f t="shared" si="27"/>
        <v>Nazigo</v>
      </c>
      <c r="F1215" s="68">
        <v>688</v>
      </c>
    </row>
    <row r="1216" spans="1:6">
      <c r="A1216" s="68" t="s">
        <v>1870</v>
      </c>
      <c r="B1216" s="68" t="s">
        <v>1871</v>
      </c>
      <c r="C1216" s="68" t="s">
        <v>1872</v>
      </c>
      <c r="D1216" s="68" t="str">
        <f t="shared" si="27"/>
        <v>Bubango</v>
      </c>
      <c r="F1216" s="68">
        <v>689</v>
      </c>
    </row>
    <row r="1217" spans="1:6">
      <c r="A1217" s="68" t="s">
        <v>1873</v>
      </c>
      <c r="B1217" s="68" t="s">
        <v>1871</v>
      </c>
      <c r="C1217" s="68" t="s">
        <v>1872</v>
      </c>
      <c r="D1217" s="68" t="str">
        <f t="shared" ref="D1217:D1280" si="28">A1217</f>
        <v>Bwamiramira</v>
      </c>
      <c r="F1217" s="68">
        <v>690</v>
      </c>
    </row>
    <row r="1218" spans="1:6">
      <c r="A1218" s="68" t="s">
        <v>309</v>
      </c>
      <c r="D1218" s="68" t="str">
        <f t="shared" si="28"/>
        <v>KITOMA</v>
      </c>
      <c r="F1218" s="68">
        <v>690</v>
      </c>
    </row>
    <row r="1219" spans="1:6">
      <c r="A1219" s="68" t="s">
        <v>1874</v>
      </c>
      <c r="B1219" s="68" t="s">
        <v>1871</v>
      </c>
      <c r="C1219" s="68" t="s">
        <v>1872</v>
      </c>
      <c r="D1219" s="68" t="str">
        <f t="shared" si="28"/>
        <v>Kabasekende</v>
      </c>
      <c r="F1219" s="68">
        <v>691</v>
      </c>
    </row>
    <row r="1220" spans="1:6">
      <c r="A1220" s="68" t="s">
        <v>1875</v>
      </c>
      <c r="B1220" s="68" t="s">
        <v>1871</v>
      </c>
      <c r="C1220" s="68" t="s">
        <v>1872</v>
      </c>
      <c r="D1220" s="68" t="str">
        <f t="shared" si="28"/>
        <v>Kasimbi</v>
      </c>
      <c r="F1220" s="68">
        <v>692</v>
      </c>
    </row>
    <row r="1221" spans="1:6">
      <c r="A1221" s="68" t="s">
        <v>1876</v>
      </c>
      <c r="B1221" s="68" t="s">
        <v>1871</v>
      </c>
      <c r="C1221" s="68" t="s">
        <v>1872</v>
      </c>
      <c r="D1221" s="68" t="str">
        <f t="shared" si="28"/>
        <v>Kibaale Town Council</v>
      </c>
      <c r="F1221" s="68">
        <v>693</v>
      </c>
    </row>
    <row r="1222" spans="1:6">
      <c r="A1222" s="68" t="s">
        <v>1877</v>
      </c>
      <c r="B1222" s="68" t="s">
        <v>1871</v>
      </c>
      <c r="C1222" s="68" t="s">
        <v>1872</v>
      </c>
      <c r="D1222" s="68" t="str">
        <f t="shared" si="28"/>
        <v>Matale</v>
      </c>
      <c r="F1222" s="68">
        <v>695</v>
      </c>
    </row>
    <row r="1223" spans="1:6">
      <c r="A1223" s="68" t="s">
        <v>1878</v>
      </c>
      <c r="B1223" s="68" t="s">
        <v>1871</v>
      </c>
      <c r="C1223" s="68" t="s">
        <v>1872</v>
      </c>
      <c r="D1223" s="68" t="str">
        <f t="shared" si="28"/>
        <v>Mugarama</v>
      </c>
      <c r="F1223" s="68">
        <v>696</v>
      </c>
    </row>
    <row r="1224" spans="1:6">
      <c r="A1224" s="68" t="s">
        <v>1879</v>
      </c>
      <c r="B1224" s="68" t="s">
        <v>1871</v>
      </c>
      <c r="C1224" s="68" t="s">
        <v>1872</v>
      </c>
      <c r="D1224" s="68" t="str">
        <f t="shared" si="28"/>
        <v>Nyamarunda</v>
      </c>
      <c r="F1224" s="68">
        <v>697</v>
      </c>
    </row>
    <row r="1225" spans="1:6">
      <c r="A1225" s="68" t="s">
        <v>1880</v>
      </c>
      <c r="B1225" s="68" t="s">
        <v>1871</v>
      </c>
      <c r="C1225" s="68" t="s">
        <v>1872</v>
      </c>
      <c r="D1225" s="68" t="str">
        <f t="shared" si="28"/>
        <v>Nyamarwa</v>
      </c>
      <c r="F1225" s="68">
        <v>698</v>
      </c>
    </row>
    <row r="1226" spans="1:6">
      <c r="A1226" s="68" t="s">
        <v>1881</v>
      </c>
      <c r="B1226" s="68" t="s">
        <v>1882</v>
      </c>
      <c r="C1226" s="68" t="s">
        <v>1882</v>
      </c>
      <c r="D1226" s="68" t="str">
        <f t="shared" si="28"/>
        <v>Bukomero</v>
      </c>
      <c r="F1226" s="68">
        <v>699</v>
      </c>
    </row>
    <row r="1227" spans="1:6">
      <c r="A1227" s="68" t="s">
        <v>1883</v>
      </c>
      <c r="D1227" s="68" t="str">
        <f t="shared" si="28"/>
        <v>Bukomelo</v>
      </c>
      <c r="F1227" s="68">
        <v>699</v>
      </c>
    </row>
    <row r="1228" spans="1:6">
      <c r="A1228" s="68" t="s">
        <v>1884</v>
      </c>
      <c r="D1228" s="68" t="str">
        <f t="shared" si="28"/>
        <v>KATERA</v>
      </c>
      <c r="F1228" s="68">
        <v>699</v>
      </c>
    </row>
    <row r="1229" spans="1:6">
      <c r="A1229" s="68" t="s">
        <v>1885</v>
      </c>
      <c r="B1229" s="68" t="s">
        <v>1882</v>
      </c>
      <c r="C1229" s="68" t="s">
        <v>1882</v>
      </c>
      <c r="D1229" s="68" t="str">
        <f t="shared" si="28"/>
        <v>Bukomero Town Council</v>
      </c>
      <c r="F1229" s="68">
        <v>700</v>
      </c>
    </row>
    <row r="1230" spans="1:6">
      <c r="A1230" s="68" t="s">
        <v>1886</v>
      </c>
      <c r="B1230" s="68" t="s">
        <v>1882</v>
      </c>
      <c r="C1230" s="68" t="s">
        <v>1882</v>
      </c>
      <c r="D1230" s="68" t="str">
        <f t="shared" si="28"/>
        <v>Ddwaniro-Kiboga</v>
      </c>
      <c r="F1230" s="68">
        <v>701</v>
      </c>
    </row>
    <row r="1231" spans="1:6">
      <c r="A1231" s="68" t="s">
        <v>1887</v>
      </c>
      <c r="B1231" s="68" t="s">
        <v>1882</v>
      </c>
      <c r="C1231" s="68" t="s">
        <v>1882</v>
      </c>
      <c r="D1231" s="68" t="str">
        <f t="shared" si="28"/>
        <v>Kapeke</v>
      </c>
      <c r="F1231" s="68">
        <v>702</v>
      </c>
    </row>
    <row r="1232" spans="1:6">
      <c r="A1232" s="68" t="s">
        <v>1888</v>
      </c>
      <c r="B1232" s="68" t="s">
        <v>1882</v>
      </c>
      <c r="C1232" s="68" t="s">
        <v>1882</v>
      </c>
      <c r="D1232" s="68" t="str">
        <f t="shared" si="28"/>
        <v>Kibiga</v>
      </c>
      <c r="F1232" s="68">
        <v>703</v>
      </c>
    </row>
    <row r="1233" spans="1:6">
      <c r="A1233" s="68" t="s">
        <v>1889</v>
      </c>
      <c r="B1233" s="68" t="s">
        <v>1882</v>
      </c>
      <c r="C1233" s="68" t="s">
        <v>1882</v>
      </c>
      <c r="D1233" s="68" t="str">
        <f t="shared" si="28"/>
        <v>Kiboga Town Council</v>
      </c>
      <c r="F1233" s="68">
        <v>704</v>
      </c>
    </row>
    <row r="1234" spans="1:6">
      <c r="A1234" s="68" t="s">
        <v>1890</v>
      </c>
      <c r="D1234" s="68" t="str">
        <f t="shared" si="28"/>
        <v>KIBOGA</v>
      </c>
      <c r="F1234" s="68">
        <v>704</v>
      </c>
    </row>
    <row r="1235" spans="1:6">
      <c r="A1235" s="68" t="s">
        <v>1891</v>
      </c>
      <c r="D1235" s="68" t="str">
        <f t="shared" si="28"/>
        <v>KIBOGA TOWN</v>
      </c>
      <c r="F1235" s="68">
        <v>704</v>
      </c>
    </row>
    <row r="1236" spans="1:6">
      <c r="A1236" s="68" t="s">
        <v>1892</v>
      </c>
      <c r="B1236" s="68" t="s">
        <v>1882</v>
      </c>
      <c r="C1236" s="68" t="s">
        <v>1882</v>
      </c>
      <c r="D1236" s="68" t="str">
        <f t="shared" si="28"/>
        <v>Lwamata</v>
      </c>
      <c r="F1236" s="68">
        <v>705</v>
      </c>
    </row>
    <row r="1237" spans="1:6">
      <c r="A1237" s="68" t="s">
        <v>1893</v>
      </c>
      <c r="B1237" s="68" t="s">
        <v>1882</v>
      </c>
      <c r="C1237" s="68" t="s">
        <v>1882</v>
      </c>
      <c r="D1237" s="68" t="str">
        <f t="shared" si="28"/>
        <v>Muwanga</v>
      </c>
      <c r="F1237" s="68">
        <v>706</v>
      </c>
    </row>
    <row r="1238" spans="1:6">
      <c r="A1238" s="68" t="s">
        <v>1894</v>
      </c>
      <c r="B1238" s="68" t="s">
        <v>1895</v>
      </c>
      <c r="C1238" s="68" t="s">
        <v>1895</v>
      </c>
      <c r="D1238" s="68" t="str">
        <f t="shared" si="28"/>
        <v>Bulangira</v>
      </c>
      <c r="F1238" s="68">
        <v>707</v>
      </c>
    </row>
    <row r="1239" spans="1:6">
      <c r="A1239" s="68" t="s">
        <v>1896</v>
      </c>
      <c r="B1239" s="68" t="s">
        <v>1895</v>
      </c>
      <c r="C1239" s="68" t="s">
        <v>1895</v>
      </c>
      <c r="D1239" s="68" t="str">
        <f t="shared" si="28"/>
        <v>Buseta</v>
      </c>
      <c r="F1239" s="68">
        <v>708</v>
      </c>
    </row>
    <row r="1240" spans="1:6">
      <c r="A1240" s="68" t="s">
        <v>1897</v>
      </c>
      <c r="B1240" s="68" t="s">
        <v>1895</v>
      </c>
      <c r="C1240" s="68" t="s">
        <v>1895</v>
      </c>
      <c r="D1240" s="68" t="str">
        <f t="shared" si="28"/>
        <v>Kabweri</v>
      </c>
      <c r="F1240" s="68">
        <v>709</v>
      </c>
    </row>
    <row r="1241" spans="1:6">
      <c r="A1241" s="68" t="s">
        <v>1898</v>
      </c>
      <c r="B1241" s="68" t="s">
        <v>1895</v>
      </c>
      <c r="C1241" s="68" t="s">
        <v>1895</v>
      </c>
      <c r="D1241" s="68" t="str">
        <f t="shared" si="28"/>
        <v>Kadama</v>
      </c>
      <c r="F1241" s="68">
        <v>710</v>
      </c>
    </row>
    <row r="1242" spans="1:6">
      <c r="A1242" s="68" t="s">
        <v>1899</v>
      </c>
      <c r="B1242" s="68" t="s">
        <v>1895</v>
      </c>
      <c r="C1242" s="68" t="s">
        <v>1895</v>
      </c>
      <c r="D1242" s="68" t="str">
        <f t="shared" si="28"/>
        <v>Kagumu</v>
      </c>
      <c r="F1242" s="68">
        <v>711</v>
      </c>
    </row>
    <row r="1243" spans="1:6">
      <c r="A1243" s="68" t="s">
        <v>1900</v>
      </c>
      <c r="B1243" s="68" t="s">
        <v>1895</v>
      </c>
      <c r="C1243" s="68" t="s">
        <v>1895</v>
      </c>
      <c r="D1243" s="68" t="str">
        <f t="shared" si="28"/>
        <v>Kasasira</v>
      </c>
      <c r="F1243" s="68">
        <v>712</v>
      </c>
    </row>
    <row r="1244" spans="1:6">
      <c r="A1244" s="68" t="s">
        <v>1895</v>
      </c>
      <c r="B1244" s="68" t="s">
        <v>1895</v>
      </c>
      <c r="C1244" s="68" t="s">
        <v>1895</v>
      </c>
      <c r="D1244" s="68" t="str">
        <f t="shared" si="28"/>
        <v>Kibuku</v>
      </c>
      <c r="F1244" s="68">
        <v>713</v>
      </c>
    </row>
    <row r="1245" spans="1:6">
      <c r="A1245" s="68" t="s">
        <v>1901</v>
      </c>
      <c r="B1245" s="68" t="s">
        <v>1895</v>
      </c>
      <c r="C1245" s="68" t="s">
        <v>1895</v>
      </c>
      <c r="D1245" s="68" t="str">
        <f t="shared" si="28"/>
        <v>Kibuku Town Council</v>
      </c>
      <c r="F1245" s="68">
        <v>714</v>
      </c>
    </row>
    <row r="1246" spans="1:6">
      <c r="A1246" s="68" t="s">
        <v>1902</v>
      </c>
      <c r="B1246" s="68" t="s">
        <v>1895</v>
      </c>
      <c r="C1246" s="68" t="s">
        <v>1895</v>
      </c>
      <c r="D1246" s="68" t="str">
        <f t="shared" si="28"/>
        <v>Kirika</v>
      </c>
      <c r="F1246" s="68">
        <v>715</v>
      </c>
    </row>
    <row r="1247" spans="1:6">
      <c r="A1247" s="68" t="s">
        <v>1903</v>
      </c>
      <c r="B1247" s="68" t="s">
        <v>1895</v>
      </c>
      <c r="C1247" s="68" t="s">
        <v>1895</v>
      </c>
      <c r="D1247" s="68" t="str">
        <f t="shared" si="28"/>
        <v>Tirinyi</v>
      </c>
      <c r="F1247" s="68">
        <v>716</v>
      </c>
    </row>
    <row r="1248" spans="1:6">
      <c r="A1248" s="68" t="s">
        <v>1904</v>
      </c>
      <c r="B1248" s="68" t="s">
        <v>1905</v>
      </c>
      <c r="C1248" s="68" t="s">
        <v>1906</v>
      </c>
      <c r="D1248" s="68" t="str">
        <f t="shared" si="28"/>
        <v>Buremba</v>
      </c>
      <c r="F1248" s="68">
        <v>717</v>
      </c>
    </row>
    <row r="1249" spans="1:6">
      <c r="A1249" s="68" t="s">
        <v>1907</v>
      </c>
      <c r="B1249" s="68" t="s">
        <v>1905</v>
      </c>
      <c r="C1249" s="68" t="s">
        <v>1906</v>
      </c>
      <c r="D1249" s="68" t="str">
        <f t="shared" si="28"/>
        <v>Burunga</v>
      </c>
      <c r="F1249" s="68">
        <v>718</v>
      </c>
    </row>
    <row r="1250" spans="1:6">
      <c r="A1250" s="68" t="s">
        <v>1908</v>
      </c>
      <c r="B1250" s="68" t="s">
        <v>1905</v>
      </c>
      <c r="C1250" s="68" t="s">
        <v>1906</v>
      </c>
      <c r="D1250" s="68" t="str">
        <f t="shared" si="28"/>
        <v>Engari</v>
      </c>
      <c r="F1250" s="68">
        <v>719</v>
      </c>
    </row>
    <row r="1251" spans="1:6">
      <c r="A1251" s="68" t="s">
        <v>1909</v>
      </c>
      <c r="B1251" s="68" t="s">
        <v>1905</v>
      </c>
      <c r="C1251" s="68" t="s">
        <v>1906</v>
      </c>
      <c r="D1251" s="68" t="str">
        <f t="shared" si="28"/>
        <v>Kanoni</v>
      </c>
      <c r="F1251" s="68">
        <v>720</v>
      </c>
    </row>
    <row r="1252" spans="1:6">
      <c r="A1252" s="68" t="s">
        <v>1910</v>
      </c>
      <c r="B1252" s="68" t="s">
        <v>1905</v>
      </c>
      <c r="C1252" s="68" t="s">
        <v>1911</v>
      </c>
      <c r="D1252" s="68" t="str">
        <f t="shared" si="28"/>
        <v>Kanyaryeru</v>
      </c>
      <c r="F1252" s="68">
        <v>721</v>
      </c>
    </row>
    <row r="1253" spans="1:6">
      <c r="A1253" s="68" t="s">
        <v>1912</v>
      </c>
      <c r="B1253" s="68" t="s">
        <v>1905</v>
      </c>
      <c r="C1253" s="68" t="s">
        <v>1911</v>
      </c>
      <c r="D1253" s="68" t="str">
        <f t="shared" si="28"/>
        <v>Kashongi</v>
      </c>
      <c r="F1253" s="68">
        <v>722</v>
      </c>
    </row>
    <row r="1254" spans="1:6">
      <c r="A1254" s="68" t="s">
        <v>1906</v>
      </c>
      <c r="B1254" s="68" t="s">
        <v>1905</v>
      </c>
      <c r="C1254" s="68" t="s">
        <v>1906</v>
      </c>
      <c r="D1254" s="68" t="str">
        <f t="shared" si="28"/>
        <v>Kazo</v>
      </c>
      <c r="F1254" s="68">
        <v>723</v>
      </c>
    </row>
    <row r="1255" spans="1:6">
      <c r="A1255" s="68" t="s">
        <v>1913</v>
      </c>
      <c r="D1255" s="68" t="str">
        <f t="shared" si="28"/>
        <v>Rwakitura</v>
      </c>
      <c r="F1255" s="68">
        <v>723</v>
      </c>
    </row>
    <row r="1256" spans="1:6">
      <c r="A1256" s="68" t="s">
        <v>1914</v>
      </c>
      <c r="B1256" s="68" t="s">
        <v>1905</v>
      </c>
      <c r="C1256" s="68" t="s">
        <v>1906</v>
      </c>
      <c r="D1256" s="68" t="str">
        <f t="shared" si="28"/>
        <v>Kazo Town Council</v>
      </c>
      <c r="F1256" s="68">
        <v>724</v>
      </c>
    </row>
    <row r="1257" spans="1:6">
      <c r="A1257" s="68" t="s">
        <v>1915</v>
      </c>
      <c r="B1257" s="68" t="s">
        <v>1905</v>
      </c>
      <c r="C1257" s="68" t="s">
        <v>1911</v>
      </c>
      <c r="D1257" s="68" t="str">
        <f t="shared" si="28"/>
        <v>Kenshunga</v>
      </c>
      <c r="F1257" s="68">
        <v>725</v>
      </c>
    </row>
    <row r="1258" spans="1:6">
      <c r="A1258" s="68" t="s">
        <v>1916</v>
      </c>
      <c r="B1258" s="68" t="s">
        <v>1905</v>
      </c>
      <c r="C1258" s="68" t="s">
        <v>1911</v>
      </c>
      <c r="D1258" s="68" t="str">
        <f t="shared" si="28"/>
        <v>Kikaatsi</v>
      </c>
      <c r="F1258" s="68">
        <v>726</v>
      </c>
    </row>
    <row r="1259" spans="1:6">
      <c r="A1259" s="68" t="s">
        <v>1917</v>
      </c>
      <c r="B1259" s="68" t="s">
        <v>1905</v>
      </c>
      <c r="C1259" s="68" t="s">
        <v>1911</v>
      </c>
      <c r="D1259" s="68" t="str">
        <f t="shared" si="28"/>
        <v>Kinoni-Kiruhura</v>
      </c>
      <c r="F1259" s="68">
        <v>727</v>
      </c>
    </row>
    <row r="1260" spans="1:6">
      <c r="A1260" s="68" t="s">
        <v>1918</v>
      </c>
      <c r="B1260" s="68" t="s">
        <v>1905</v>
      </c>
      <c r="C1260" s="68" t="s">
        <v>1911</v>
      </c>
      <c r="D1260" s="68" t="str">
        <f t="shared" si="28"/>
        <v>Kiruhura Town Council</v>
      </c>
      <c r="F1260" s="68">
        <v>728</v>
      </c>
    </row>
    <row r="1261" spans="1:6">
      <c r="A1261" s="68" t="s">
        <v>1919</v>
      </c>
      <c r="D1261" s="68" t="str">
        <f t="shared" si="28"/>
        <v>KIRUHURA</v>
      </c>
      <c r="F1261" s="68">
        <v>728</v>
      </c>
    </row>
    <row r="1262" spans="1:6">
      <c r="A1262" s="68" t="s">
        <v>1920</v>
      </c>
      <c r="D1262" s="68" t="str">
        <f t="shared" si="28"/>
        <v>KIRIHURA</v>
      </c>
      <c r="F1262" s="68">
        <v>728</v>
      </c>
    </row>
    <row r="1263" spans="1:6">
      <c r="A1263" s="68" t="s">
        <v>1921</v>
      </c>
      <c r="B1263" s="68" t="s">
        <v>1905</v>
      </c>
      <c r="C1263" s="68" t="s">
        <v>1911</v>
      </c>
      <c r="D1263" s="68" t="str">
        <f t="shared" si="28"/>
        <v>Kitura</v>
      </c>
      <c r="F1263" s="68">
        <v>729</v>
      </c>
    </row>
    <row r="1264" spans="1:6">
      <c r="A1264" s="68" t="s">
        <v>1922</v>
      </c>
      <c r="B1264" s="68" t="s">
        <v>1905</v>
      </c>
      <c r="C1264" s="68" t="s">
        <v>1906</v>
      </c>
      <c r="D1264" s="68" t="str">
        <f t="shared" si="28"/>
        <v>Nkungu</v>
      </c>
      <c r="F1264" s="68">
        <v>730</v>
      </c>
    </row>
    <row r="1265" spans="1:6">
      <c r="A1265" s="68" t="s">
        <v>1923</v>
      </c>
      <c r="B1265" s="68" t="s">
        <v>1905</v>
      </c>
      <c r="C1265" s="68" t="s">
        <v>1911</v>
      </c>
      <c r="D1265" s="68" t="str">
        <f t="shared" si="28"/>
        <v>Nyakashashara</v>
      </c>
      <c r="F1265" s="68">
        <v>731</v>
      </c>
    </row>
    <row r="1266" spans="1:6">
      <c r="A1266" s="68" t="s">
        <v>1924</v>
      </c>
      <c r="B1266" s="68" t="s">
        <v>1905</v>
      </c>
      <c r="C1266" s="68" t="s">
        <v>1906</v>
      </c>
      <c r="D1266" s="68" t="str">
        <f t="shared" si="28"/>
        <v>Rwemikoma</v>
      </c>
      <c r="F1266" s="68">
        <v>732</v>
      </c>
    </row>
    <row r="1267" spans="1:6">
      <c r="A1267" s="68" t="s">
        <v>1925</v>
      </c>
      <c r="B1267" s="68" t="s">
        <v>1905</v>
      </c>
      <c r="C1267" s="68" t="s">
        <v>1911</v>
      </c>
      <c r="D1267" s="68" t="str">
        <f t="shared" si="28"/>
        <v>Sanga</v>
      </c>
      <c r="F1267" s="68">
        <v>733</v>
      </c>
    </row>
    <row r="1268" spans="1:6">
      <c r="A1268" s="68" t="s">
        <v>1926</v>
      </c>
      <c r="B1268" s="68" t="s">
        <v>1905</v>
      </c>
      <c r="C1268" s="68" t="s">
        <v>1911</v>
      </c>
      <c r="D1268" s="68" t="str">
        <f t="shared" si="28"/>
        <v>Sanga Town Council</v>
      </c>
      <c r="F1268" s="68">
        <v>734</v>
      </c>
    </row>
    <row r="1269" spans="1:6">
      <c r="A1269" s="68" t="s">
        <v>1927</v>
      </c>
      <c r="B1269" s="68" t="s">
        <v>1928</v>
      </c>
      <c r="C1269" s="68" t="s">
        <v>1929</v>
      </c>
      <c r="D1269" s="68" t="str">
        <f t="shared" si="28"/>
        <v>Bweyale Town Council</v>
      </c>
      <c r="F1269" s="68">
        <v>735</v>
      </c>
    </row>
    <row r="1270" spans="1:6">
      <c r="A1270" s="68" t="s">
        <v>1930</v>
      </c>
      <c r="D1270" s="68" t="str">
        <f t="shared" si="28"/>
        <v>Bweyale</v>
      </c>
      <c r="F1270" s="68">
        <v>735</v>
      </c>
    </row>
    <row r="1271" spans="1:6">
      <c r="A1271" s="68" t="s">
        <v>1931</v>
      </c>
      <c r="B1271" s="68" t="s">
        <v>1928</v>
      </c>
      <c r="C1271" s="68" t="s">
        <v>1929</v>
      </c>
      <c r="D1271" s="68" t="str">
        <f t="shared" si="28"/>
        <v>Kigumba</v>
      </c>
      <c r="F1271" s="68">
        <v>736</v>
      </c>
    </row>
    <row r="1272" spans="1:6">
      <c r="A1272" s="68" t="s">
        <v>1932</v>
      </c>
      <c r="B1272" s="68" t="s">
        <v>1928</v>
      </c>
      <c r="C1272" s="68" t="s">
        <v>1929</v>
      </c>
      <c r="D1272" s="68" t="str">
        <f t="shared" si="28"/>
        <v>Kigumba Town Council</v>
      </c>
      <c r="F1272" s="68">
        <v>737</v>
      </c>
    </row>
    <row r="1273" spans="1:6">
      <c r="A1273" s="68" t="s">
        <v>1933</v>
      </c>
      <c r="D1273" s="68" t="str">
        <f t="shared" si="28"/>
        <v>Karuma</v>
      </c>
      <c r="F1273" s="68">
        <v>737</v>
      </c>
    </row>
    <row r="1274" spans="1:6">
      <c r="A1274" s="68" t="s">
        <v>1928</v>
      </c>
      <c r="B1274" s="68" t="s">
        <v>1928</v>
      </c>
      <c r="C1274" s="68" t="s">
        <v>1929</v>
      </c>
      <c r="D1274" s="68" t="str">
        <f t="shared" si="28"/>
        <v>Kiryandongo</v>
      </c>
      <c r="F1274" s="68">
        <v>738</v>
      </c>
    </row>
    <row r="1275" spans="1:6">
      <c r="A1275" s="68" t="s">
        <v>1934</v>
      </c>
      <c r="B1275" s="68" t="s">
        <v>1928</v>
      </c>
      <c r="C1275" s="68" t="s">
        <v>1929</v>
      </c>
      <c r="D1275" s="68" t="str">
        <f t="shared" si="28"/>
        <v>Kiryandongo Refugee Camp</v>
      </c>
      <c r="F1275" s="68">
        <v>739</v>
      </c>
    </row>
    <row r="1276" spans="1:6">
      <c r="A1276" s="68" t="s">
        <v>1935</v>
      </c>
      <c r="B1276" s="68" t="s">
        <v>1928</v>
      </c>
      <c r="C1276" s="68" t="s">
        <v>1929</v>
      </c>
      <c r="D1276" s="68" t="str">
        <f t="shared" si="28"/>
        <v>Kiryandongo Town Council</v>
      </c>
      <c r="F1276" s="68">
        <v>740</v>
      </c>
    </row>
    <row r="1277" spans="1:6">
      <c r="A1277" s="68" t="s">
        <v>1936</v>
      </c>
      <c r="D1277" s="68" t="str">
        <f t="shared" si="28"/>
        <v>KIRYANDONGO TOWN</v>
      </c>
      <c r="F1277" s="68">
        <v>740</v>
      </c>
    </row>
    <row r="1278" spans="1:6">
      <c r="A1278" s="68" t="s">
        <v>1937</v>
      </c>
      <c r="B1278" s="68" t="s">
        <v>1928</v>
      </c>
      <c r="C1278" s="68" t="s">
        <v>1929</v>
      </c>
      <c r="D1278" s="68" t="str">
        <f t="shared" si="28"/>
        <v>Masindi Port</v>
      </c>
      <c r="F1278" s="68">
        <v>741</v>
      </c>
    </row>
    <row r="1279" spans="1:6">
      <c r="A1279" s="68" t="s">
        <v>1938</v>
      </c>
      <c r="B1279" s="68" t="s">
        <v>1928</v>
      </c>
      <c r="C1279" s="68" t="s">
        <v>1929</v>
      </c>
      <c r="D1279" s="68" t="str">
        <f t="shared" si="28"/>
        <v>Mutunda</v>
      </c>
      <c r="F1279" s="68">
        <v>742</v>
      </c>
    </row>
    <row r="1280" spans="1:6">
      <c r="A1280" s="68" t="s">
        <v>1939</v>
      </c>
      <c r="B1280" s="68" t="s">
        <v>1940</v>
      </c>
      <c r="C1280" s="68" t="s">
        <v>1941</v>
      </c>
      <c r="D1280" s="68" t="str">
        <f t="shared" si="28"/>
        <v>Bukimbiri</v>
      </c>
      <c r="F1280" s="68">
        <v>743</v>
      </c>
    </row>
    <row r="1281" spans="1:6">
      <c r="A1281" s="68" t="s">
        <v>1942</v>
      </c>
      <c r="B1281" s="68" t="s">
        <v>1940</v>
      </c>
      <c r="C1281" s="68" t="s">
        <v>1941</v>
      </c>
      <c r="D1281" s="68" t="str">
        <f t="shared" ref="D1281:D1344" si="29">A1281</f>
        <v>Busanza</v>
      </c>
      <c r="F1281" s="68">
        <v>744</v>
      </c>
    </row>
    <row r="1282" spans="1:6">
      <c r="A1282" s="68" t="s">
        <v>1943</v>
      </c>
      <c r="B1282" s="68" t="s">
        <v>1940</v>
      </c>
      <c r="C1282" s="68" t="s">
        <v>1941</v>
      </c>
      <c r="D1282" s="68" t="str">
        <f t="shared" si="29"/>
        <v>Chahi</v>
      </c>
      <c r="F1282" s="68">
        <v>745</v>
      </c>
    </row>
    <row r="1283" spans="1:6">
      <c r="A1283" s="68" t="s">
        <v>1944</v>
      </c>
      <c r="B1283" s="68" t="s">
        <v>1940</v>
      </c>
      <c r="C1283" s="68" t="s">
        <v>1941</v>
      </c>
      <c r="D1283" s="68" t="str">
        <f t="shared" si="29"/>
        <v>Kanaba</v>
      </c>
      <c r="F1283" s="68">
        <v>746</v>
      </c>
    </row>
    <row r="1284" spans="1:6">
      <c r="A1284" s="68" t="s">
        <v>1945</v>
      </c>
      <c r="B1284" s="68" t="s">
        <v>1940</v>
      </c>
      <c r="C1284" s="68" t="s">
        <v>1941</v>
      </c>
      <c r="D1284" s="68" t="str">
        <f t="shared" si="29"/>
        <v>Kirundo</v>
      </c>
      <c r="F1284" s="68">
        <v>747</v>
      </c>
    </row>
    <row r="1285" spans="1:6">
      <c r="A1285" s="68" t="s">
        <v>1946</v>
      </c>
      <c r="B1285" s="68" t="s">
        <v>1940</v>
      </c>
      <c r="C1285" s="68" t="s">
        <v>1946</v>
      </c>
      <c r="D1285" s="68" t="str">
        <f t="shared" si="29"/>
        <v>Kisoro Municipality</v>
      </c>
      <c r="F1285" s="68">
        <v>748</v>
      </c>
    </row>
    <row r="1286" spans="1:6">
      <c r="A1286" s="68" t="s">
        <v>1940</v>
      </c>
      <c r="D1286" s="68" t="str">
        <f t="shared" si="29"/>
        <v>Kisoro</v>
      </c>
      <c r="F1286" s="68">
        <v>748</v>
      </c>
    </row>
    <row r="1287" spans="1:6">
      <c r="A1287" s="68" t="s">
        <v>1947</v>
      </c>
      <c r="B1287" s="68" t="s">
        <v>1940</v>
      </c>
      <c r="C1287" s="68" t="s">
        <v>1941</v>
      </c>
      <c r="D1287" s="68" t="str">
        <f t="shared" si="29"/>
        <v>Muramba</v>
      </c>
      <c r="F1287" s="68">
        <v>749</v>
      </c>
    </row>
    <row r="1288" spans="1:6">
      <c r="A1288" s="68" t="s">
        <v>1948</v>
      </c>
      <c r="B1288" s="68" t="s">
        <v>1940</v>
      </c>
      <c r="C1288" s="68" t="s">
        <v>1941</v>
      </c>
      <c r="D1288" s="68" t="str">
        <f t="shared" si="29"/>
        <v>Murora</v>
      </c>
      <c r="F1288" s="68">
        <v>750</v>
      </c>
    </row>
    <row r="1289" spans="1:6">
      <c r="A1289" s="68" t="s">
        <v>1949</v>
      </c>
      <c r="B1289" s="68" t="s">
        <v>1940</v>
      </c>
      <c r="C1289" s="68" t="s">
        <v>1941</v>
      </c>
      <c r="D1289" s="68" t="str">
        <f t="shared" si="29"/>
        <v>Nyabwishenya</v>
      </c>
      <c r="F1289" s="68">
        <v>751</v>
      </c>
    </row>
    <row r="1290" spans="1:6">
      <c r="A1290" s="68" t="s">
        <v>1950</v>
      </c>
      <c r="B1290" s="68" t="s">
        <v>1940</v>
      </c>
      <c r="C1290" s="68" t="s">
        <v>1941</v>
      </c>
      <c r="D1290" s="68" t="str">
        <f t="shared" si="29"/>
        <v>Nyakabande</v>
      </c>
      <c r="F1290" s="68">
        <v>752</v>
      </c>
    </row>
    <row r="1291" spans="1:6">
      <c r="A1291" s="68" t="s">
        <v>1951</v>
      </c>
      <c r="B1291" s="68" t="s">
        <v>1940</v>
      </c>
      <c r="C1291" s="68" t="s">
        <v>1941</v>
      </c>
      <c r="D1291" s="68" t="str">
        <f t="shared" si="29"/>
        <v>Nyakinama</v>
      </c>
      <c r="F1291" s="68">
        <v>753</v>
      </c>
    </row>
    <row r="1292" spans="1:6">
      <c r="A1292" s="68" t="s">
        <v>1952</v>
      </c>
      <c r="B1292" s="68" t="s">
        <v>1940</v>
      </c>
      <c r="C1292" s="68" t="s">
        <v>1941</v>
      </c>
      <c r="D1292" s="68" t="str">
        <f t="shared" si="29"/>
        <v>Nyarubuye</v>
      </c>
      <c r="F1292" s="68">
        <v>754</v>
      </c>
    </row>
    <row r="1293" spans="1:6">
      <c r="A1293" s="68" t="s">
        <v>1953</v>
      </c>
      <c r="B1293" s="68" t="s">
        <v>1940</v>
      </c>
      <c r="C1293" s="68" t="s">
        <v>1941</v>
      </c>
      <c r="D1293" s="68" t="str">
        <f t="shared" si="29"/>
        <v>Nyarusiza</v>
      </c>
      <c r="F1293" s="68">
        <v>755</v>
      </c>
    </row>
    <row r="1294" spans="1:6">
      <c r="A1294" s="68" t="s">
        <v>1954</v>
      </c>
      <c r="B1294" s="68" t="s">
        <v>1940</v>
      </c>
      <c r="C1294" s="68" t="s">
        <v>1941</v>
      </c>
      <c r="D1294" s="68" t="str">
        <f t="shared" si="29"/>
        <v>Nyundo</v>
      </c>
      <c r="F1294" s="68">
        <v>756</v>
      </c>
    </row>
    <row r="1295" spans="1:6">
      <c r="A1295" s="68" t="s">
        <v>1955</v>
      </c>
      <c r="B1295" s="68" t="s">
        <v>1940</v>
      </c>
      <c r="C1295" s="68" t="s">
        <v>1941</v>
      </c>
      <c r="D1295" s="68" t="str">
        <f t="shared" si="29"/>
        <v>Rubuguri Town Council</v>
      </c>
      <c r="F1295" s="68">
        <v>757</v>
      </c>
    </row>
    <row r="1296" spans="1:6">
      <c r="A1296" s="68" t="s">
        <v>1956</v>
      </c>
      <c r="B1296" s="68" t="s">
        <v>1957</v>
      </c>
      <c r="C1296" s="68" t="s">
        <v>1958</v>
      </c>
      <c r="D1296" s="68" t="str">
        <f t="shared" si="29"/>
        <v>Kitgum Matidi</v>
      </c>
      <c r="F1296" s="68">
        <v>758</v>
      </c>
    </row>
    <row r="1297" spans="1:6">
      <c r="A1297" s="68" t="s">
        <v>1959</v>
      </c>
      <c r="B1297" s="68" t="s">
        <v>1957</v>
      </c>
      <c r="C1297" s="68" t="s">
        <v>1959</v>
      </c>
      <c r="D1297" s="68" t="str">
        <f t="shared" si="29"/>
        <v>Kitgum Municipality</v>
      </c>
      <c r="F1297" s="68">
        <v>759</v>
      </c>
    </row>
    <row r="1298" spans="1:6">
      <c r="A1298" s="68" t="s">
        <v>1957</v>
      </c>
      <c r="D1298" s="68" t="str">
        <f t="shared" si="29"/>
        <v>Kitgum</v>
      </c>
      <c r="F1298" s="68">
        <v>759</v>
      </c>
    </row>
    <row r="1299" spans="1:6">
      <c r="A1299" s="68" t="s">
        <v>1960</v>
      </c>
      <c r="B1299" s="68" t="s">
        <v>1957</v>
      </c>
      <c r="C1299" s="68" t="s">
        <v>1958</v>
      </c>
      <c r="D1299" s="68" t="str">
        <f t="shared" si="29"/>
        <v>Labongo Akwang</v>
      </c>
      <c r="F1299" s="68">
        <v>760</v>
      </c>
    </row>
    <row r="1300" spans="1:6">
      <c r="A1300" s="68" t="s">
        <v>1961</v>
      </c>
      <c r="B1300" s="68" t="s">
        <v>1957</v>
      </c>
      <c r="C1300" s="68" t="s">
        <v>1958</v>
      </c>
      <c r="D1300" s="68" t="str">
        <f t="shared" si="29"/>
        <v>Labongo Amida</v>
      </c>
      <c r="F1300" s="68">
        <v>761</v>
      </c>
    </row>
    <row r="1301" spans="1:6">
      <c r="A1301" s="68" t="s">
        <v>1962</v>
      </c>
      <c r="B1301" s="68" t="s">
        <v>1957</v>
      </c>
      <c r="C1301" s="68" t="s">
        <v>1958</v>
      </c>
      <c r="D1301" s="68" t="str">
        <f t="shared" si="29"/>
        <v>Labongo Layamo</v>
      </c>
      <c r="F1301" s="68">
        <v>762</v>
      </c>
    </row>
    <row r="1302" spans="1:6">
      <c r="A1302" s="68" t="s">
        <v>1963</v>
      </c>
      <c r="B1302" s="68" t="s">
        <v>1957</v>
      </c>
      <c r="C1302" s="68" t="s">
        <v>1958</v>
      </c>
      <c r="D1302" s="68" t="str">
        <f t="shared" si="29"/>
        <v>Lagoro</v>
      </c>
      <c r="F1302" s="68">
        <v>763</v>
      </c>
    </row>
    <row r="1303" spans="1:6">
      <c r="A1303" s="68" t="s">
        <v>1964</v>
      </c>
      <c r="B1303" s="68" t="s">
        <v>1957</v>
      </c>
      <c r="C1303" s="68" t="s">
        <v>1958</v>
      </c>
      <c r="D1303" s="68" t="str">
        <f t="shared" si="29"/>
        <v>Mucwini</v>
      </c>
      <c r="F1303" s="68">
        <v>764</v>
      </c>
    </row>
    <row r="1304" spans="1:6">
      <c r="A1304" s="68" t="s">
        <v>1965</v>
      </c>
      <c r="B1304" s="68" t="s">
        <v>1957</v>
      </c>
      <c r="C1304" s="68" t="s">
        <v>1958</v>
      </c>
      <c r="D1304" s="68" t="str">
        <f t="shared" si="29"/>
        <v>Namokora</v>
      </c>
      <c r="F1304" s="68">
        <v>765</v>
      </c>
    </row>
    <row r="1305" spans="1:6">
      <c r="A1305" s="68" t="s">
        <v>1966</v>
      </c>
      <c r="B1305" s="68" t="s">
        <v>1957</v>
      </c>
      <c r="C1305" s="68" t="s">
        <v>1958</v>
      </c>
      <c r="D1305" s="68" t="str">
        <f t="shared" si="29"/>
        <v>Omiya Anyima</v>
      </c>
      <c r="F1305" s="68">
        <v>766</v>
      </c>
    </row>
    <row r="1306" spans="1:6">
      <c r="A1306" s="68" t="s">
        <v>1967</v>
      </c>
      <c r="B1306" s="68" t="s">
        <v>1957</v>
      </c>
      <c r="C1306" s="68" t="s">
        <v>1958</v>
      </c>
      <c r="D1306" s="68" t="str">
        <f t="shared" si="29"/>
        <v>Orom</v>
      </c>
      <c r="F1306" s="68">
        <v>767</v>
      </c>
    </row>
    <row r="1307" spans="1:6">
      <c r="A1307" s="68" t="s">
        <v>1968</v>
      </c>
      <c r="B1307" s="68" t="s">
        <v>1969</v>
      </c>
      <c r="C1307" s="68" t="s">
        <v>1969</v>
      </c>
      <c r="D1307" s="68" t="str">
        <f t="shared" si="29"/>
        <v>Abuku</v>
      </c>
      <c r="F1307" s="68">
        <v>768</v>
      </c>
    </row>
    <row r="1308" spans="1:6">
      <c r="A1308" s="68" t="s">
        <v>1970</v>
      </c>
      <c r="B1308" s="68" t="s">
        <v>1969</v>
      </c>
      <c r="C1308" s="68" t="s">
        <v>1969</v>
      </c>
      <c r="D1308" s="68" t="str">
        <f t="shared" si="29"/>
        <v>Dranya</v>
      </c>
      <c r="F1308" s="68">
        <v>769</v>
      </c>
    </row>
    <row r="1309" spans="1:6">
      <c r="A1309" s="68" t="s">
        <v>1971</v>
      </c>
      <c r="B1309" s="68" t="s">
        <v>1969</v>
      </c>
      <c r="C1309" s="68" t="s">
        <v>1971</v>
      </c>
      <c r="D1309" s="68" t="str">
        <f t="shared" si="29"/>
        <v>Koboko Municipality</v>
      </c>
      <c r="F1309" s="68">
        <v>770</v>
      </c>
    </row>
    <row r="1310" spans="1:6">
      <c r="A1310" s="68" t="s">
        <v>1972</v>
      </c>
      <c r="B1310" s="68" t="s">
        <v>1969</v>
      </c>
      <c r="C1310" s="68" t="s">
        <v>1969</v>
      </c>
      <c r="D1310" s="68" t="str">
        <f t="shared" si="29"/>
        <v>Kuluba</v>
      </c>
      <c r="F1310" s="68">
        <v>771</v>
      </c>
    </row>
    <row r="1311" spans="1:6">
      <c r="A1311" s="68" t="s">
        <v>1973</v>
      </c>
      <c r="B1311" s="68" t="s">
        <v>1969</v>
      </c>
      <c r="C1311" s="68" t="s">
        <v>1969</v>
      </c>
      <c r="D1311" s="68" t="str">
        <f t="shared" si="29"/>
        <v>Lobule</v>
      </c>
      <c r="F1311" s="68">
        <v>772</v>
      </c>
    </row>
    <row r="1312" spans="1:6">
      <c r="A1312" s="68" t="s">
        <v>1974</v>
      </c>
      <c r="B1312" s="68" t="s">
        <v>1969</v>
      </c>
      <c r="C1312" s="68" t="s">
        <v>1969</v>
      </c>
      <c r="D1312" s="68" t="str">
        <f t="shared" si="29"/>
        <v>Ludara</v>
      </c>
      <c r="F1312" s="68">
        <v>773</v>
      </c>
    </row>
    <row r="1313" spans="1:6">
      <c r="A1313" s="68" t="s">
        <v>1975</v>
      </c>
      <c r="B1313" s="68" t="s">
        <v>1969</v>
      </c>
      <c r="C1313" s="68" t="s">
        <v>1969</v>
      </c>
      <c r="D1313" s="68" t="str">
        <f t="shared" si="29"/>
        <v>Midia</v>
      </c>
      <c r="F1313" s="68">
        <v>774</v>
      </c>
    </row>
    <row r="1314" spans="1:6">
      <c r="A1314" s="68" t="s">
        <v>1976</v>
      </c>
      <c r="B1314" s="68" t="s">
        <v>1977</v>
      </c>
      <c r="C1314" s="68" t="s">
        <v>1977</v>
      </c>
      <c r="D1314" s="68" t="str">
        <f t="shared" si="29"/>
        <v>Aboke</v>
      </c>
      <c r="F1314" s="68">
        <v>775</v>
      </c>
    </row>
    <row r="1315" spans="1:6">
      <c r="A1315" s="68" t="s">
        <v>1978</v>
      </c>
      <c r="B1315" s="68" t="s">
        <v>1977</v>
      </c>
      <c r="C1315" s="68" t="s">
        <v>1977</v>
      </c>
      <c r="D1315" s="68" t="str">
        <f t="shared" si="29"/>
        <v>Akalo</v>
      </c>
      <c r="F1315" s="68">
        <v>776</v>
      </c>
    </row>
    <row r="1316" spans="1:6">
      <c r="A1316" s="68" t="s">
        <v>1979</v>
      </c>
      <c r="B1316" s="68" t="s">
        <v>1977</v>
      </c>
      <c r="C1316" s="68" t="s">
        <v>1977</v>
      </c>
      <c r="D1316" s="68" t="str">
        <f t="shared" si="29"/>
        <v>Alito</v>
      </c>
      <c r="F1316" s="68">
        <v>777</v>
      </c>
    </row>
    <row r="1317" spans="1:6">
      <c r="A1317" s="68" t="s">
        <v>1980</v>
      </c>
      <c r="B1317" s="68" t="s">
        <v>1977</v>
      </c>
      <c r="C1317" s="68" t="s">
        <v>1977</v>
      </c>
      <c r="D1317" s="68" t="str">
        <f t="shared" si="29"/>
        <v>Ayer</v>
      </c>
      <c r="F1317" s="68">
        <v>778</v>
      </c>
    </row>
    <row r="1318" spans="1:6">
      <c r="A1318" s="68" t="s">
        <v>1981</v>
      </c>
      <c r="B1318" s="68" t="s">
        <v>1977</v>
      </c>
      <c r="C1318" s="68" t="s">
        <v>1977</v>
      </c>
      <c r="D1318" s="68" t="str">
        <f t="shared" si="29"/>
        <v>Bala</v>
      </c>
      <c r="F1318" s="68">
        <v>779</v>
      </c>
    </row>
    <row r="1319" spans="1:6">
      <c r="A1319" s="68" t="s">
        <v>1982</v>
      </c>
      <c r="B1319" s="68" t="s">
        <v>1977</v>
      </c>
      <c r="C1319" s="68" t="s">
        <v>1977</v>
      </c>
      <c r="D1319" s="68" t="str">
        <f t="shared" si="29"/>
        <v>Kole Town Council</v>
      </c>
      <c r="F1319" s="68">
        <v>780</v>
      </c>
    </row>
    <row r="1320" spans="1:6">
      <c r="A1320" s="68" t="s">
        <v>1983</v>
      </c>
      <c r="B1320" s="68" t="s">
        <v>1977</v>
      </c>
      <c r="C1320" s="68" t="s">
        <v>1977</v>
      </c>
      <c r="D1320" s="68" t="str">
        <f t="shared" si="29"/>
        <v>Okwerodot</v>
      </c>
      <c r="F1320" s="68">
        <v>781</v>
      </c>
    </row>
    <row r="1321" spans="1:6">
      <c r="A1321" s="68" t="s">
        <v>1984</v>
      </c>
      <c r="B1321" s="68" t="s">
        <v>1985</v>
      </c>
      <c r="C1321" s="68" t="s">
        <v>1986</v>
      </c>
      <c r="D1321" s="68" t="str">
        <f t="shared" si="29"/>
        <v>Kacheri</v>
      </c>
      <c r="F1321" s="68">
        <v>782</v>
      </c>
    </row>
    <row r="1322" spans="1:6">
      <c r="A1322" s="68" t="s">
        <v>1985</v>
      </c>
      <c r="B1322" s="68" t="s">
        <v>1985</v>
      </c>
      <c r="C1322" s="68" t="s">
        <v>1986</v>
      </c>
      <c r="D1322" s="68" t="str">
        <f t="shared" si="29"/>
        <v>Kotido</v>
      </c>
      <c r="F1322" s="68">
        <v>783</v>
      </c>
    </row>
    <row r="1323" spans="1:6">
      <c r="A1323" s="68" t="s">
        <v>1987</v>
      </c>
      <c r="B1323" s="68" t="s">
        <v>1985</v>
      </c>
      <c r="C1323" s="68" t="s">
        <v>1987</v>
      </c>
      <c r="D1323" s="68" t="str">
        <f t="shared" si="29"/>
        <v>Kotido Municipality</v>
      </c>
      <c r="F1323" s="68">
        <v>784</v>
      </c>
    </row>
    <row r="1324" spans="1:6">
      <c r="A1324" s="68" t="s">
        <v>1988</v>
      </c>
      <c r="B1324" s="68" t="s">
        <v>1985</v>
      </c>
      <c r="C1324" s="68" t="s">
        <v>1986</v>
      </c>
      <c r="D1324" s="68" t="str">
        <f t="shared" si="29"/>
        <v>Nakapelimoru</v>
      </c>
      <c r="F1324" s="68">
        <v>785</v>
      </c>
    </row>
    <row r="1325" spans="1:6">
      <c r="A1325" s="68" t="s">
        <v>1989</v>
      </c>
      <c r="B1325" s="68" t="s">
        <v>1985</v>
      </c>
      <c r="C1325" s="68" t="s">
        <v>1986</v>
      </c>
      <c r="D1325" s="68" t="str">
        <f t="shared" si="29"/>
        <v>Panyangara</v>
      </c>
      <c r="F1325" s="68">
        <v>786</v>
      </c>
    </row>
    <row r="1326" spans="1:6">
      <c r="A1326" s="68" t="s">
        <v>1990</v>
      </c>
      <c r="B1326" s="68" t="s">
        <v>1985</v>
      </c>
      <c r="C1326" s="68" t="s">
        <v>1986</v>
      </c>
      <c r="D1326" s="68" t="str">
        <f t="shared" si="29"/>
        <v>Rengen</v>
      </c>
      <c r="F1326" s="68">
        <v>787</v>
      </c>
    </row>
    <row r="1327" spans="1:6">
      <c r="A1327" s="68" t="s">
        <v>1991</v>
      </c>
      <c r="B1327" s="68" t="s">
        <v>1992</v>
      </c>
      <c r="C1327" s="68" t="s">
        <v>1992</v>
      </c>
      <c r="D1327" s="68" t="str">
        <f t="shared" si="29"/>
        <v>Atutur</v>
      </c>
      <c r="F1327" s="68">
        <v>788</v>
      </c>
    </row>
    <row r="1328" spans="1:6">
      <c r="A1328" s="68" t="s">
        <v>1993</v>
      </c>
      <c r="B1328" s="68" t="s">
        <v>1992</v>
      </c>
      <c r="C1328" s="68" t="s">
        <v>1992</v>
      </c>
      <c r="D1328" s="68" t="str">
        <f t="shared" si="29"/>
        <v>Kanyum</v>
      </c>
      <c r="F1328" s="68">
        <v>789</v>
      </c>
    </row>
    <row r="1329" spans="1:6">
      <c r="A1329" s="68" t="s">
        <v>1992</v>
      </c>
      <c r="B1329" s="68" t="s">
        <v>1992</v>
      </c>
      <c r="C1329" s="68" t="s">
        <v>1992</v>
      </c>
      <c r="D1329" s="68" t="str">
        <f t="shared" si="29"/>
        <v>Kumi</v>
      </c>
      <c r="F1329" s="68">
        <v>790</v>
      </c>
    </row>
    <row r="1330" spans="1:6">
      <c r="A1330" s="68" t="s">
        <v>1994</v>
      </c>
      <c r="B1330" s="68" t="s">
        <v>1992</v>
      </c>
      <c r="C1330" s="68" t="s">
        <v>1994</v>
      </c>
      <c r="D1330" s="68" t="str">
        <f t="shared" si="29"/>
        <v>Kumi Municipality</v>
      </c>
      <c r="F1330" s="68">
        <v>791</v>
      </c>
    </row>
    <row r="1331" spans="1:6">
      <c r="A1331" s="68" t="s">
        <v>1995</v>
      </c>
      <c r="B1331" s="68" t="s">
        <v>1992</v>
      </c>
      <c r="C1331" s="68" t="s">
        <v>1992</v>
      </c>
      <c r="D1331" s="68" t="str">
        <f t="shared" si="29"/>
        <v>Mukongoro</v>
      </c>
      <c r="F1331" s="68">
        <v>792</v>
      </c>
    </row>
    <row r="1332" spans="1:6">
      <c r="A1332" s="68" t="s">
        <v>1996</v>
      </c>
      <c r="B1332" s="68" t="s">
        <v>1992</v>
      </c>
      <c r="C1332" s="68" t="s">
        <v>1992</v>
      </c>
      <c r="D1332" s="68" t="str">
        <f t="shared" si="29"/>
        <v>Nyero</v>
      </c>
      <c r="F1332" s="68">
        <v>793</v>
      </c>
    </row>
    <row r="1333" spans="1:6">
      <c r="A1333" s="68" t="s">
        <v>1997</v>
      </c>
      <c r="B1333" s="68" t="s">
        <v>1992</v>
      </c>
      <c r="C1333" s="68" t="s">
        <v>1992</v>
      </c>
      <c r="D1333" s="68" t="str">
        <f t="shared" si="29"/>
        <v>Ongino</v>
      </c>
      <c r="F1333" s="68">
        <v>794</v>
      </c>
    </row>
    <row r="1334" spans="1:6">
      <c r="A1334" s="68" t="s">
        <v>1998</v>
      </c>
      <c r="B1334" s="68" t="s">
        <v>1999</v>
      </c>
      <c r="C1334" s="68" t="s">
        <v>1999</v>
      </c>
      <c r="D1334" s="68" t="str">
        <f t="shared" si="29"/>
        <v>Benet</v>
      </c>
      <c r="F1334" s="68">
        <v>795</v>
      </c>
    </row>
    <row r="1335" spans="1:6">
      <c r="A1335" s="68" t="s">
        <v>2000</v>
      </c>
      <c r="B1335" s="68" t="s">
        <v>1999</v>
      </c>
      <c r="C1335" s="68" t="s">
        <v>1999</v>
      </c>
      <c r="D1335" s="68" t="str">
        <f t="shared" si="29"/>
        <v>Binyiny</v>
      </c>
      <c r="F1335" s="68">
        <v>796</v>
      </c>
    </row>
    <row r="1336" spans="1:6">
      <c r="A1336" s="68" t="s">
        <v>2001</v>
      </c>
      <c r="B1336" s="68" t="s">
        <v>1999</v>
      </c>
      <c r="C1336" s="68" t="s">
        <v>1999</v>
      </c>
      <c r="D1336" s="68" t="str">
        <f t="shared" si="29"/>
        <v>Binyiny Town Council</v>
      </c>
      <c r="F1336" s="68">
        <v>797</v>
      </c>
    </row>
    <row r="1337" spans="1:6">
      <c r="A1337" s="68" t="s">
        <v>2002</v>
      </c>
      <c r="B1337" s="68" t="s">
        <v>1999</v>
      </c>
      <c r="C1337" s="68" t="s">
        <v>1999</v>
      </c>
      <c r="D1337" s="68" t="str">
        <f t="shared" si="29"/>
        <v>Kaproron</v>
      </c>
      <c r="F1337" s="68">
        <v>798</v>
      </c>
    </row>
    <row r="1338" spans="1:6">
      <c r="A1338" s="68" t="s">
        <v>2003</v>
      </c>
      <c r="B1338" s="68" t="s">
        <v>1999</v>
      </c>
      <c r="C1338" s="68" t="s">
        <v>1999</v>
      </c>
      <c r="D1338" s="68" t="str">
        <f t="shared" si="29"/>
        <v>Kaptoyoy</v>
      </c>
      <c r="F1338" s="68">
        <v>799</v>
      </c>
    </row>
    <row r="1339" spans="1:6">
      <c r="A1339" s="68" t="s">
        <v>2004</v>
      </c>
      <c r="B1339" s="68" t="s">
        <v>1999</v>
      </c>
      <c r="C1339" s="68" t="s">
        <v>1999</v>
      </c>
      <c r="D1339" s="68" t="str">
        <f t="shared" si="29"/>
        <v>Kaptum</v>
      </c>
      <c r="F1339" s="68">
        <v>800</v>
      </c>
    </row>
    <row r="1340" spans="1:6">
      <c r="A1340" s="68" t="s">
        <v>2005</v>
      </c>
      <c r="B1340" s="68" t="s">
        <v>1999</v>
      </c>
      <c r="C1340" s="68" t="s">
        <v>1999</v>
      </c>
      <c r="D1340" s="68" t="str">
        <f t="shared" si="29"/>
        <v>Kiriki</v>
      </c>
      <c r="F1340" s="68">
        <v>801</v>
      </c>
    </row>
    <row r="1341" spans="1:6">
      <c r="A1341" s="68" t="s">
        <v>2006</v>
      </c>
      <c r="B1341" s="68" t="s">
        <v>1999</v>
      </c>
      <c r="C1341" s="68" t="s">
        <v>1999</v>
      </c>
      <c r="D1341" s="68" t="str">
        <f t="shared" si="29"/>
        <v>Kitawoi</v>
      </c>
      <c r="F1341" s="68">
        <v>802</v>
      </c>
    </row>
    <row r="1342" spans="1:6">
      <c r="A1342" s="68" t="s">
        <v>2007</v>
      </c>
      <c r="B1342" s="68" t="s">
        <v>1999</v>
      </c>
      <c r="C1342" s="68" t="s">
        <v>1999</v>
      </c>
      <c r="D1342" s="68" t="str">
        <f t="shared" si="29"/>
        <v>Kwanyiy</v>
      </c>
      <c r="F1342" s="68">
        <v>803</v>
      </c>
    </row>
    <row r="1343" spans="1:6">
      <c r="A1343" s="68" t="s">
        <v>2008</v>
      </c>
      <c r="B1343" s="68" t="s">
        <v>1999</v>
      </c>
      <c r="C1343" s="68" t="s">
        <v>1999</v>
      </c>
      <c r="D1343" s="68" t="str">
        <f t="shared" si="29"/>
        <v>Kwosir</v>
      </c>
      <c r="F1343" s="68">
        <v>804</v>
      </c>
    </row>
    <row r="1344" spans="1:6">
      <c r="A1344" s="68" t="s">
        <v>2009</v>
      </c>
      <c r="B1344" s="68" t="s">
        <v>1999</v>
      </c>
      <c r="C1344" s="68" t="s">
        <v>1999</v>
      </c>
      <c r="D1344" s="68" t="str">
        <f t="shared" si="29"/>
        <v>Moyok</v>
      </c>
      <c r="F1344" s="68">
        <v>805</v>
      </c>
    </row>
    <row r="1345" spans="1:6">
      <c r="A1345" s="68" t="s">
        <v>2010</v>
      </c>
      <c r="B1345" s="68" t="s">
        <v>1999</v>
      </c>
      <c r="C1345" s="68" t="s">
        <v>1999</v>
      </c>
      <c r="D1345" s="68" t="str">
        <f t="shared" ref="D1345:D1408" si="30">A1345</f>
        <v>Ngenge</v>
      </c>
      <c r="F1345" s="68">
        <v>806</v>
      </c>
    </row>
    <row r="1346" spans="1:6">
      <c r="A1346" s="68" t="s">
        <v>2011</v>
      </c>
      <c r="B1346" s="68" t="s">
        <v>2012</v>
      </c>
      <c r="C1346" s="68" t="s">
        <v>1882</v>
      </c>
      <c r="D1346" s="68" t="str">
        <f t="shared" si="30"/>
        <v>Bananywa</v>
      </c>
      <c r="F1346" s="68">
        <v>807</v>
      </c>
    </row>
    <row r="1347" spans="1:6">
      <c r="A1347" s="68" t="s">
        <v>2013</v>
      </c>
      <c r="B1347" s="68" t="s">
        <v>2012</v>
      </c>
      <c r="C1347" s="68" t="s">
        <v>1882</v>
      </c>
      <c r="D1347" s="68" t="str">
        <f t="shared" si="30"/>
        <v>Butemba</v>
      </c>
      <c r="F1347" s="68">
        <v>808</v>
      </c>
    </row>
    <row r="1348" spans="1:6">
      <c r="A1348" s="68" t="s">
        <v>2014</v>
      </c>
      <c r="B1348" s="68" t="s">
        <v>2012</v>
      </c>
      <c r="C1348" s="68" t="s">
        <v>1882</v>
      </c>
      <c r="D1348" s="68" t="str">
        <f t="shared" si="30"/>
        <v>Butemba Town Council</v>
      </c>
      <c r="F1348" s="68">
        <v>809</v>
      </c>
    </row>
    <row r="1349" spans="1:6">
      <c r="A1349" s="68" t="s">
        <v>2015</v>
      </c>
      <c r="B1349" s="68" t="s">
        <v>2012</v>
      </c>
      <c r="C1349" s="68" t="s">
        <v>1882</v>
      </c>
      <c r="D1349" s="68" t="str">
        <f t="shared" si="30"/>
        <v>Byerima</v>
      </c>
      <c r="F1349" s="68">
        <v>810</v>
      </c>
    </row>
    <row r="1350" spans="1:6">
      <c r="A1350" s="68" t="s">
        <v>2016</v>
      </c>
      <c r="B1350" s="68" t="s">
        <v>2012</v>
      </c>
      <c r="C1350" s="68" t="s">
        <v>1882</v>
      </c>
      <c r="D1350" s="68" t="str">
        <f t="shared" si="30"/>
        <v>Gayaza</v>
      </c>
      <c r="F1350" s="68">
        <v>811</v>
      </c>
    </row>
    <row r="1351" spans="1:6">
      <c r="A1351" s="68" t="s">
        <v>2017</v>
      </c>
      <c r="D1351" s="68" t="str">
        <f t="shared" si="30"/>
        <v>Kyetume</v>
      </c>
      <c r="F1351" s="68">
        <v>811</v>
      </c>
    </row>
    <row r="1352" spans="1:6">
      <c r="A1352" s="68" t="s">
        <v>2018</v>
      </c>
      <c r="D1352" s="68" t="str">
        <f t="shared" si="30"/>
        <v>Kyetune</v>
      </c>
      <c r="F1352" s="68">
        <v>811</v>
      </c>
    </row>
    <row r="1353" spans="1:6">
      <c r="A1353" s="68" t="s">
        <v>2019</v>
      </c>
      <c r="D1353" s="68" t="str">
        <f t="shared" si="30"/>
        <v>Cannan Estates</v>
      </c>
      <c r="F1353" s="68">
        <v>811</v>
      </c>
    </row>
    <row r="1354" spans="1:6">
      <c r="A1354" s="68" t="s">
        <v>2020</v>
      </c>
      <c r="D1354" s="68" t="str">
        <f t="shared" si="30"/>
        <v>Kabubu</v>
      </c>
      <c r="F1354" s="68">
        <v>811</v>
      </c>
    </row>
    <row r="1355" spans="1:6">
      <c r="A1355" s="68" t="s">
        <v>2021</v>
      </c>
      <c r="D1355" s="68" t="str">
        <f t="shared" si="30"/>
        <v>Kumusaanvu</v>
      </c>
      <c r="F1355" s="68">
        <v>811</v>
      </c>
    </row>
    <row r="1356" spans="1:6">
      <c r="A1356" s="68" t="s">
        <v>2022</v>
      </c>
      <c r="D1356" s="68" t="str">
        <f t="shared" si="30"/>
        <v>Kumusanvu</v>
      </c>
      <c r="F1356" s="68">
        <v>811</v>
      </c>
    </row>
    <row r="1357" spans="1:6">
      <c r="A1357" s="68" t="s">
        <v>2023</v>
      </c>
      <c r="D1357" s="68" t="str">
        <f t="shared" si="30"/>
        <v>Namavundu</v>
      </c>
      <c r="F1357" s="68">
        <v>811</v>
      </c>
    </row>
    <row r="1358" spans="1:6">
      <c r="A1358" s="68" t="s">
        <v>2024</v>
      </c>
      <c r="D1358" s="68" t="str">
        <f t="shared" si="30"/>
        <v>Kayebe</v>
      </c>
      <c r="F1358" s="68">
        <v>811</v>
      </c>
    </row>
    <row r="1359" spans="1:6">
      <c r="A1359" s="68" t="s">
        <v>2025</v>
      </c>
      <c r="D1359" s="68" t="str">
        <f t="shared" si="30"/>
        <v>Kabanyoro</v>
      </c>
      <c r="F1359" s="68">
        <v>811</v>
      </c>
    </row>
    <row r="1360" spans="1:6">
      <c r="A1360" s="68" t="s">
        <v>2026</v>
      </c>
      <c r="D1360" s="68" t="str">
        <f t="shared" si="30"/>
        <v>Manyangwa</v>
      </c>
      <c r="F1360" s="68">
        <v>811</v>
      </c>
    </row>
    <row r="1361" spans="1:6">
      <c r="A1361" s="68" t="s">
        <v>2027</v>
      </c>
      <c r="D1361" s="68" t="str">
        <f t="shared" si="30"/>
        <v>Gayaza rd</v>
      </c>
      <c r="F1361" s="68">
        <v>811</v>
      </c>
    </row>
    <row r="1362" spans="1:6">
      <c r="A1362" s="68" t="s">
        <v>2028</v>
      </c>
      <c r="D1362" s="68" t="str">
        <f t="shared" si="30"/>
        <v>kumunaana</v>
      </c>
      <c r="F1362" s="68">
        <v>811</v>
      </c>
    </row>
    <row r="1363" spans="1:6">
      <c r="A1363" s="68" t="s">
        <v>2029</v>
      </c>
      <c r="D1363" s="68" t="str">
        <f t="shared" si="30"/>
        <v>NAKWERO</v>
      </c>
      <c r="F1363" s="68">
        <v>811</v>
      </c>
    </row>
    <row r="1364" spans="1:6">
      <c r="A1364" s="68" t="s">
        <v>2030</v>
      </c>
      <c r="D1364" s="68" t="str">
        <f t="shared" si="30"/>
        <v>Nakweero</v>
      </c>
      <c r="F1364" s="68">
        <v>811</v>
      </c>
    </row>
    <row r="1365" spans="1:6">
      <c r="A1365" s="68" t="s">
        <v>2031</v>
      </c>
      <c r="D1365" s="68" t="str">
        <f t="shared" si="30"/>
        <v>Kabumba</v>
      </c>
      <c r="F1365" s="68">
        <v>811</v>
      </c>
    </row>
    <row r="1366" spans="1:6">
      <c r="A1366" s="68" t="s">
        <v>2032</v>
      </c>
      <c r="D1366" s="68" t="str">
        <f t="shared" si="30"/>
        <v>Namulonge</v>
      </c>
      <c r="F1366" s="68">
        <v>811</v>
      </c>
    </row>
    <row r="1367" spans="1:6">
      <c r="A1367" s="68" t="s">
        <v>2033</v>
      </c>
      <c r="D1367" s="68" t="str">
        <f t="shared" si="30"/>
        <v>KIWENDA</v>
      </c>
      <c r="F1367" s="68">
        <v>811</v>
      </c>
    </row>
    <row r="1368" spans="1:6">
      <c r="A1368" s="68" t="s">
        <v>2034</v>
      </c>
      <c r="D1368" s="68" t="str">
        <f t="shared" si="30"/>
        <v>Bugema</v>
      </c>
      <c r="F1368" s="68">
        <v>811</v>
      </c>
    </row>
    <row r="1369" spans="1:6">
      <c r="A1369" s="68" t="s">
        <v>2012</v>
      </c>
      <c r="B1369" s="68" t="s">
        <v>2012</v>
      </c>
      <c r="C1369" s="68" t="s">
        <v>1882</v>
      </c>
      <c r="D1369" s="68" t="str">
        <f t="shared" si="30"/>
        <v>Kyankwanzi</v>
      </c>
      <c r="F1369" s="68">
        <v>812</v>
      </c>
    </row>
    <row r="1370" spans="1:6">
      <c r="A1370" s="68" t="s">
        <v>2035</v>
      </c>
      <c r="D1370" s="68" t="str">
        <f t="shared" si="30"/>
        <v>KAYNKWANZI</v>
      </c>
      <c r="F1370" s="68">
        <v>812</v>
      </c>
    </row>
    <row r="1371" spans="1:6">
      <c r="A1371" s="68" t="s">
        <v>2036</v>
      </c>
      <c r="B1371" s="68" t="s">
        <v>2012</v>
      </c>
      <c r="C1371" s="68" t="s">
        <v>1882</v>
      </c>
      <c r="D1371" s="68" t="str">
        <f t="shared" si="30"/>
        <v>Kyankwanzi Town Council</v>
      </c>
      <c r="F1371" s="68">
        <v>813</v>
      </c>
    </row>
    <row r="1372" spans="1:6">
      <c r="A1372" s="68" t="s">
        <v>2037</v>
      </c>
      <c r="D1372" s="68" t="str">
        <f t="shared" si="30"/>
        <v>BYELIMA</v>
      </c>
      <c r="F1372" s="68">
        <v>813</v>
      </c>
    </row>
    <row r="1373" spans="1:6">
      <c r="A1373" s="68" t="s">
        <v>2038</v>
      </c>
      <c r="D1373" s="68" t="str">
        <f t="shared" si="30"/>
        <v>KYANKWANZI TOWN</v>
      </c>
      <c r="F1373" s="68">
        <v>813</v>
      </c>
    </row>
    <row r="1374" spans="1:6">
      <c r="A1374" s="68" t="s">
        <v>2039</v>
      </c>
      <c r="B1374" s="68" t="s">
        <v>2012</v>
      </c>
      <c r="C1374" s="68" t="s">
        <v>1882</v>
      </c>
      <c r="D1374" s="68" t="str">
        <f t="shared" si="30"/>
        <v>Mulagi</v>
      </c>
      <c r="F1374" s="68">
        <v>814</v>
      </c>
    </row>
    <row r="1375" spans="1:6">
      <c r="A1375" s="68" t="s">
        <v>2040</v>
      </c>
      <c r="B1375" s="68" t="s">
        <v>2012</v>
      </c>
      <c r="C1375" s="68" t="s">
        <v>1882</v>
      </c>
      <c r="D1375" s="68" t="str">
        <f t="shared" si="30"/>
        <v>Nkandwa</v>
      </c>
      <c r="F1375" s="68">
        <v>815</v>
      </c>
    </row>
    <row r="1376" spans="1:6">
      <c r="A1376" s="68" t="s">
        <v>2041</v>
      </c>
      <c r="B1376" s="68" t="s">
        <v>2012</v>
      </c>
      <c r="C1376" s="68" t="s">
        <v>1882</v>
      </c>
      <c r="D1376" s="68" t="str">
        <f t="shared" si="30"/>
        <v>Ntwetwe</v>
      </c>
      <c r="F1376" s="68">
        <v>817</v>
      </c>
    </row>
    <row r="1377" spans="1:6">
      <c r="A1377" s="68" t="s">
        <v>2042</v>
      </c>
      <c r="B1377" s="68" t="s">
        <v>2012</v>
      </c>
      <c r="C1377" s="68" t="s">
        <v>1882</v>
      </c>
      <c r="D1377" s="68" t="str">
        <f t="shared" si="30"/>
        <v>Ntwetwe Town Council</v>
      </c>
      <c r="F1377" s="68">
        <v>818</v>
      </c>
    </row>
    <row r="1378" spans="1:6">
      <c r="A1378" s="68" t="s">
        <v>2043</v>
      </c>
      <c r="B1378" s="68" t="s">
        <v>2012</v>
      </c>
      <c r="C1378" s="68" t="s">
        <v>1882</v>
      </c>
      <c r="D1378" s="68" t="str">
        <f t="shared" si="30"/>
        <v>Wattuba</v>
      </c>
      <c r="F1378" s="68">
        <v>819</v>
      </c>
    </row>
    <row r="1379" spans="1:6">
      <c r="A1379" s="68" t="s">
        <v>2044</v>
      </c>
      <c r="B1379" s="68" t="s">
        <v>2045</v>
      </c>
      <c r="C1379" s="68" t="s">
        <v>2046</v>
      </c>
      <c r="D1379" s="68" t="str">
        <f t="shared" si="30"/>
        <v>Hapuuyo</v>
      </c>
      <c r="F1379" s="68">
        <v>820</v>
      </c>
    </row>
    <row r="1380" spans="1:6">
      <c r="A1380" s="68" t="s">
        <v>2047</v>
      </c>
      <c r="B1380" s="68" t="s">
        <v>2045</v>
      </c>
      <c r="C1380" s="68" t="s">
        <v>2046</v>
      </c>
      <c r="D1380" s="68" t="str">
        <f t="shared" si="30"/>
        <v>Kabweza Kyegegwa</v>
      </c>
      <c r="F1380" s="68">
        <v>821</v>
      </c>
    </row>
    <row r="1381" spans="1:6">
      <c r="A1381" s="68" t="s">
        <v>2048</v>
      </c>
      <c r="B1381" s="68" t="s">
        <v>2045</v>
      </c>
      <c r="C1381" s="68" t="s">
        <v>2046</v>
      </c>
      <c r="D1381" s="68" t="str">
        <f t="shared" si="30"/>
        <v>Kakabara</v>
      </c>
      <c r="F1381" s="68">
        <v>822</v>
      </c>
    </row>
    <row r="1382" spans="1:6">
      <c r="A1382" s="68" t="s">
        <v>2049</v>
      </c>
      <c r="B1382" s="68" t="s">
        <v>2045</v>
      </c>
      <c r="C1382" s="68" t="s">
        <v>2046</v>
      </c>
      <c r="D1382" s="68" t="str">
        <f t="shared" si="30"/>
        <v>Kasule</v>
      </c>
      <c r="F1382" s="68">
        <v>823</v>
      </c>
    </row>
    <row r="1383" spans="1:6">
      <c r="A1383" s="68" t="s">
        <v>2050</v>
      </c>
      <c r="B1383" s="68" t="s">
        <v>2045</v>
      </c>
      <c r="C1383" s="68" t="s">
        <v>2046</v>
      </c>
      <c r="D1383" s="68" t="str">
        <f t="shared" si="30"/>
        <v>Kyaka Ii Refugee Camp</v>
      </c>
      <c r="F1383" s="68">
        <v>824</v>
      </c>
    </row>
    <row r="1384" spans="1:6">
      <c r="A1384" s="68" t="s">
        <v>2051</v>
      </c>
      <c r="B1384" s="68" t="s">
        <v>2045</v>
      </c>
      <c r="C1384" s="68" t="s">
        <v>2046</v>
      </c>
      <c r="D1384" s="68" t="str">
        <f t="shared" si="30"/>
        <v>Kyegegwa Town Council</v>
      </c>
      <c r="F1384" s="68">
        <v>825</v>
      </c>
    </row>
    <row r="1385" spans="1:6">
      <c r="A1385" s="68" t="s">
        <v>2052</v>
      </c>
      <c r="B1385" s="68" t="s">
        <v>2045</v>
      </c>
      <c r="C1385" s="68" t="s">
        <v>2046</v>
      </c>
      <c r="D1385" s="68" t="str">
        <f t="shared" si="30"/>
        <v>Mpara</v>
      </c>
      <c r="F1385" s="68">
        <v>826</v>
      </c>
    </row>
    <row r="1386" spans="1:6">
      <c r="A1386" s="68" t="s">
        <v>2053</v>
      </c>
      <c r="B1386" s="68" t="s">
        <v>2045</v>
      </c>
      <c r="C1386" s="68" t="s">
        <v>2046</v>
      </c>
      <c r="D1386" s="68" t="str">
        <f t="shared" si="30"/>
        <v>Ruyonza</v>
      </c>
      <c r="F1386" s="68">
        <v>827</v>
      </c>
    </row>
    <row r="1387" spans="1:6">
      <c r="A1387" s="68" t="s">
        <v>2054</v>
      </c>
      <c r="B1387" s="68" t="s">
        <v>2045</v>
      </c>
      <c r="C1387" s="68" t="s">
        <v>2046</v>
      </c>
      <c r="D1387" s="68" t="str">
        <f t="shared" si="30"/>
        <v>Rwentuha</v>
      </c>
      <c r="F1387" s="68">
        <v>828</v>
      </c>
    </row>
    <row r="1388" spans="1:6">
      <c r="A1388" s="68" t="s">
        <v>2055</v>
      </c>
      <c r="B1388" s="68" t="s">
        <v>2056</v>
      </c>
      <c r="C1388" s="68" t="s">
        <v>2057</v>
      </c>
      <c r="D1388" s="68" t="str">
        <f t="shared" si="30"/>
        <v>Bufunjo</v>
      </c>
      <c r="F1388" s="68">
        <v>829</v>
      </c>
    </row>
    <row r="1389" spans="1:6">
      <c r="A1389" s="68" t="s">
        <v>2058</v>
      </c>
      <c r="B1389" s="68" t="s">
        <v>2056</v>
      </c>
      <c r="C1389" s="68" t="s">
        <v>2057</v>
      </c>
      <c r="D1389" s="68" t="str">
        <f t="shared" si="30"/>
        <v>Bugaaki</v>
      </c>
      <c r="F1389" s="68">
        <v>830</v>
      </c>
    </row>
    <row r="1390" spans="1:6">
      <c r="A1390" s="68" t="s">
        <v>2059</v>
      </c>
      <c r="B1390" s="68" t="s">
        <v>2056</v>
      </c>
      <c r="C1390" s="68" t="s">
        <v>2057</v>
      </c>
      <c r="D1390" s="68" t="str">
        <f t="shared" si="30"/>
        <v>Butiiti</v>
      </c>
      <c r="F1390" s="68">
        <v>831</v>
      </c>
    </row>
    <row r="1391" spans="1:6">
      <c r="A1391" s="68" t="s">
        <v>2060</v>
      </c>
      <c r="B1391" s="68" t="s">
        <v>2056</v>
      </c>
      <c r="C1391" s="68" t="s">
        <v>2057</v>
      </c>
      <c r="D1391" s="68" t="str">
        <f t="shared" si="30"/>
        <v>Butunduzi</v>
      </c>
      <c r="F1391" s="68">
        <v>832</v>
      </c>
    </row>
    <row r="1392" spans="1:6">
      <c r="A1392" s="68" t="s">
        <v>2061</v>
      </c>
      <c r="B1392" s="68" t="s">
        <v>2056</v>
      </c>
      <c r="C1392" s="68" t="s">
        <v>2057</v>
      </c>
      <c r="D1392" s="68" t="str">
        <f t="shared" si="30"/>
        <v>Butunduzi Town Council</v>
      </c>
      <c r="F1392" s="68">
        <v>833</v>
      </c>
    </row>
    <row r="1393" spans="1:6">
      <c r="A1393" s="68" t="s">
        <v>2062</v>
      </c>
      <c r="B1393" s="68" t="s">
        <v>2056</v>
      </c>
      <c r="C1393" s="68" t="s">
        <v>2057</v>
      </c>
      <c r="D1393" s="68" t="str">
        <f t="shared" si="30"/>
        <v>Katooke</v>
      </c>
      <c r="F1393" s="68">
        <v>834</v>
      </c>
    </row>
    <row r="1394" spans="1:6">
      <c r="A1394" s="68" t="s">
        <v>2063</v>
      </c>
      <c r="B1394" s="68" t="s">
        <v>2056</v>
      </c>
      <c r="C1394" s="68" t="s">
        <v>2057</v>
      </c>
      <c r="D1394" s="68" t="str">
        <f t="shared" si="30"/>
        <v>Katooke Town Council</v>
      </c>
      <c r="F1394" s="68">
        <v>835</v>
      </c>
    </row>
    <row r="1395" spans="1:6">
      <c r="A1395" s="68" t="s">
        <v>2064</v>
      </c>
      <c r="B1395" s="68" t="s">
        <v>2056</v>
      </c>
      <c r="C1395" s="68" t="s">
        <v>2057</v>
      </c>
      <c r="D1395" s="68" t="str">
        <f t="shared" si="30"/>
        <v>Kigaraale</v>
      </c>
      <c r="F1395" s="68">
        <v>836</v>
      </c>
    </row>
    <row r="1396" spans="1:6">
      <c r="A1396" s="68" t="s">
        <v>2065</v>
      </c>
      <c r="B1396" s="68" t="s">
        <v>2056</v>
      </c>
      <c r="C1396" s="68" t="s">
        <v>2057</v>
      </c>
      <c r="D1396" s="68" t="str">
        <f t="shared" si="30"/>
        <v>Kihuura</v>
      </c>
      <c r="F1396" s="68">
        <v>837</v>
      </c>
    </row>
    <row r="1397" spans="1:6">
      <c r="A1397" s="68" t="s">
        <v>2066</v>
      </c>
      <c r="B1397" s="68" t="s">
        <v>2056</v>
      </c>
      <c r="C1397" s="68" t="s">
        <v>2057</v>
      </c>
      <c r="D1397" s="68" t="str">
        <f t="shared" si="30"/>
        <v>Kisojo</v>
      </c>
      <c r="F1397" s="68">
        <v>838</v>
      </c>
    </row>
    <row r="1398" spans="1:6">
      <c r="A1398" s="68" t="s">
        <v>2067</v>
      </c>
      <c r="B1398" s="68" t="s">
        <v>2056</v>
      </c>
      <c r="C1398" s="68" t="s">
        <v>2057</v>
      </c>
      <c r="D1398" s="68" t="str">
        <f t="shared" si="30"/>
        <v>Kyarusozi</v>
      </c>
      <c r="F1398" s="68">
        <v>839</v>
      </c>
    </row>
    <row r="1399" spans="1:6">
      <c r="A1399" s="68" t="s">
        <v>2068</v>
      </c>
      <c r="B1399" s="68" t="s">
        <v>2056</v>
      </c>
      <c r="C1399" s="68" t="s">
        <v>2057</v>
      </c>
      <c r="D1399" s="68" t="str">
        <f t="shared" si="30"/>
        <v>Kyarusozi Town Council</v>
      </c>
      <c r="F1399" s="68">
        <v>840</v>
      </c>
    </row>
    <row r="1400" spans="1:6">
      <c r="A1400" s="68" t="s">
        <v>2069</v>
      </c>
      <c r="B1400" s="68" t="s">
        <v>2056</v>
      </c>
      <c r="C1400" s="68" t="s">
        <v>2057</v>
      </c>
      <c r="D1400" s="68" t="str">
        <f t="shared" si="30"/>
        <v>Kyenjojo Town Council</v>
      </c>
      <c r="F1400" s="68">
        <v>841</v>
      </c>
    </row>
    <row r="1401" spans="1:6">
      <c r="A1401" s="68" t="s">
        <v>2070</v>
      </c>
      <c r="B1401" s="68" t="s">
        <v>2056</v>
      </c>
      <c r="C1401" s="68" t="s">
        <v>2057</v>
      </c>
      <c r="D1401" s="68" t="str">
        <f t="shared" si="30"/>
        <v>Nyabuharwa</v>
      </c>
      <c r="F1401" s="68">
        <v>842</v>
      </c>
    </row>
    <row r="1402" spans="1:6">
      <c r="A1402" s="68" t="s">
        <v>2071</v>
      </c>
      <c r="B1402" s="68" t="s">
        <v>2056</v>
      </c>
      <c r="C1402" s="68" t="s">
        <v>2057</v>
      </c>
      <c r="D1402" s="68" t="str">
        <f t="shared" si="30"/>
        <v>Nyankwanzi</v>
      </c>
      <c r="F1402" s="68">
        <v>843</v>
      </c>
    </row>
    <row r="1403" spans="1:6">
      <c r="A1403" s="68" t="s">
        <v>2072</v>
      </c>
      <c r="B1403" s="68" t="s">
        <v>2056</v>
      </c>
      <c r="C1403" s="68" t="s">
        <v>2057</v>
      </c>
      <c r="D1403" s="68" t="str">
        <f t="shared" si="30"/>
        <v>Nyantungo</v>
      </c>
      <c r="F1403" s="68">
        <v>844</v>
      </c>
    </row>
    <row r="1404" spans="1:6">
      <c r="A1404" s="68" t="s">
        <v>2073</v>
      </c>
      <c r="B1404" s="68" t="s">
        <v>2074</v>
      </c>
      <c r="C1404" s="68" t="s">
        <v>2074</v>
      </c>
      <c r="D1404" s="68" t="str">
        <f t="shared" si="30"/>
        <v>Kabira</v>
      </c>
      <c r="F1404" s="68">
        <v>845</v>
      </c>
    </row>
    <row r="1405" spans="1:6">
      <c r="A1405" s="68" t="s">
        <v>2075</v>
      </c>
      <c r="B1405" s="68" t="s">
        <v>2074</v>
      </c>
      <c r="C1405" s="68" t="s">
        <v>2074</v>
      </c>
      <c r="D1405" s="68" t="str">
        <f t="shared" si="30"/>
        <v>Kalisizo</v>
      </c>
      <c r="F1405" s="68">
        <v>846</v>
      </c>
    </row>
    <row r="1406" spans="1:6">
      <c r="A1406" s="68" t="s">
        <v>2076</v>
      </c>
      <c r="B1406" s="68" t="s">
        <v>2074</v>
      </c>
      <c r="C1406" s="68" t="s">
        <v>2074</v>
      </c>
      <c r="D1406" s="68" t="str">
        <f t="shared" si="30"/>
        <v>Kalisizo Town Council</v>
      </c>
      <c r="F1406" s="68">
        <v>847</v>
      </c>
    </row>
    <row r="1407" spans="1:6">
      <c r="A1407" s="68" t="s">
        <v>2077</v>
      </c>
      <c r="B1407" s="68" t="s">
        <v>2074</v>
      </c>
      <c r="C1407" s="68" t="s">
        <v>2078</v>
      </c>
      <c r="D1407" s="68" t="str">
        <f t="shared" si="30"/>
        <v>Kasasa</v>
      </c>
      <c r="F1407" s="68">
        <v>848</v>
      </c>
    </row>
    <row r="1408" spans="1:6">
      <c r="A1408" s="68" t="s">
        <v>1929</v>
      </c>
      <c r="B1408" s="68" t="s">
        <v>2074</v>
      </c>
      <c r="C1408" s="68" t="s">
        <v>2078</v>
      </c>
      <c r="D1408" s="68" t="str">
        <f t="shared" si="30"/>
        <v>Kibanda</v>
      </c>
      <c r="F1408" s="68">
        <v>849</v>
      </c>
    </row>
    <row r="1409" spans="1:6">
      <c r="A1409" s="68" t="s">
        <v>156</v>
      </c>
      <c r="B1409" s="68" t="s">
        <v>2074</v>
      </c>
      <c r="C1409" s="68" t="s">
        <v>2078</v>
      </c>
      <c r="D1409" s="68" t="str">
        <f t="shared" ref="D1409:D1472" si="31">A1409</f>
        <v>NTANTAMUK</v>
      </c>
      <c r="F1409" s="68">
        <v>849</v>
      </c>
    </row>
    <row r="1410" spans="1:6">
      <c r="A1410" s="68" t="s">
        <v>2079</v>
      </c>
      <c r="B1410" s="68" t="s">
        <v>2074</v>
      </c>
      <c r="C1410" s="68" t="s">
        <v>2074</v>
      </c>
      <c r="D1410" s="68" t="str">
        <f t="shared" si="31"/>
        <v>Kirumba</v>
      </c>
      <c r="F1410" s="68">
        <v>850</v>
      </c>
    </row>
    <row r="1411" spans="1:6">
      <c r="A1411" s="68" t="s">
        <v>2080</v>
      </c>
      <c r="B1411" s="68" t="s">
        <v>2074</v>
      </c>
      <c r="C1411" s="68" t="s">
        <v>2078</v>
      </c>
      <c r="D1411" s="68" t="str">
        <f t="shared" si="31"/>
        <v>Kyebe</v>
      </c>
      <c r="F1411" s="68">
        <v>851</v>
      </c>
    </row>
    <row r="1412" spans="1:6">
      <c r="A1412" s="68" t="s">
        <v>2081</v>
      </c>
      <c r="B1412" s="68" t="s">
        <v>2074</v>
      </c>
      <c r="C1412" s="68" t="s">
        <v>2074</v>
      </c>
      <c r="D1412" s="68" t="str">
        <f t="shared" si="31"/>
        <v>Kyotera Town Council</v>
      </c>
      <c r="F1412" s="68">
        <v>852</v>
      </c>
    </row>
    <row r="1413" spans="1:6">
      <c r="A1413" s="68" t="s">
        <v>2082</v>
      </c>
      <c r="D1413" s="68" t="str">
        <f t="shared" si="31"/>
        <v xml:space="preserve">KYOTERA </v>
      </c>
      <c r="F1413" s="68">
        <v>852</v>
      </c>
    </row>
    <row r="1414" spans="1:6">
      <c r="A1414" s="68" t="s">
        <v>527</v>
      </c>
      <c r="D1414" s="68" t="str">
        <f t="shared" si="31"/>
        <v>KYOTERA</v>
      </c>
      <c r="F1414" s="68">
        <v>852</v>
      </c>
    </row>
    <row r="1415" spans="1:6">
      <c r="A1415" s="68" t="s">
        <v>2083</v>
      </c>
      <c r="B1415" s="68" t="s">
        <v>2074</v>
      </c>
      <c r="C1415" s="68" t="s">
        <v>2074</v>
      </c>
      <c r="D1415" s="68" t="str">
        <f t="shared" si="31"/>
        <v>Lwankoni</v>
      </c>
      <c r="F1415" s="68">
        <v>853</v>
      </c>
    </row>
    <row r="1416" spans="1:6">
      <c r="A1416" s="68" t="s">
        <v>2084</v>
      </c>
      <c r="B1416" s="68" t="s">
        <v>2074</v>
      </c>
      <c r="C1416" s="68" t="s">
        <v>2074</v>
      </c>
      <c r="D1416" s="68" t="str">
        <f t="shared" si="31"/>
        <v>Nabigasa</v>
      </c>
      <c r="F1416" s="68">
        <v>854</v>
      </c>
    </row>
    <row r="1417" spans="1:6">
      <c r="A1417" s="68" t="s">
        <v>2085</v>
      </c>
      <c r="B1417" s="68" t="s">
        <v>2086</v>
      </c>
      <c r="C1417" s="68" t="s">
        <v>2086</v>
      </c>
      <c r="D1417" s="68" t="str">
        <f t="shared" si="31"/>
        <v>Agoro</v>
      </c>
      <c r="F1417" s="68">
        <v>855</v>
      </c>
    </row>
    <row r="1418" spans="1:6">
      <c r="A1418" s="68" t="s">
        <v>2087</v>
      </c>
      <c r="B1418" s="68" t="s">
        <v>2086</v>
      </c>
      <c r="C1418" s="68" t="s">
        <v>2086</v>
      </c>
      <c r="D1418" s="68" t="str">
        <f t="shared" si="31"/>
        <v>Lamwo Town Council</v>
      </c>
      <c r="F1418" s="68">
        <v>856</v>
      </c>
    </row>
    <row r="1419" spans="1:6">
      <c r="A1419" s="68" t="s">
        <v>2088</v>
      </c>
      <c r="B1419" s="68" t="s">
        <v>2086</v>
      </c>
      <c r="C1419" s="68" t="s">
        <v>2086</v>
      </c>
      <c r="D1419" s="68" t="str">
        <f t="shared" si="31"/>
        <v>Lokung</v>
      </c>
      <c r="F1419" s="68">
        <v>857</v>
      </c>
    </row>
    <row r="1420" spans="1:6">
      <c r="A1420" s="68" t="s">
        <v>2089</v>
      </c>
      <c r="B1420" s="68" t="s">
        <v>2086</v>
      </c>
      <c r="C1420" s="68" t="s">
        <v>2086</v>
      </c>
      <c r="D1420" s="68" t="str">
        <f t="shared" si="31"/>
        <v>Madi Opei</v>
      </c>
      <c r="F1420" s="68">
        <v>858</v>
      </c>
    </row>
    <row r="1421" spans="1:6">
      <c r="A1421" s="68" t="s">
        <v>2090</v>
      </c>
      <c r="B1421" s="68" t="s">
        <v>2086</v>
      </c>
      <c r="C1421" s="68" t="s">
        <v>2086</v>
      </c>
      <c r="D1421" s="68" t="str">
        <f t="shared" si="31"/>
        <v>Padibe</v>
      </c>
      <c r="F1421" s="68">
        <v>859</v>
      </c>
    </row>
    <row r="1422" spans="1:6">
      <c r="A1422" s="68" t="s">
        <v>2091</v>
      </c>
      <c r="B1422" s="68" t="s">
        <v>2086</v>
      </c>
      <c r="C1422" s="68" t="s">
        <v>2086</v>
      </c>
      <c r="D1422" s="68" t="str">
        <f t="shared" si="31"/>
        <v>Palabek</v>
      </c>
      <c r="F1422" s="68">
        <v>860</v>
      </c>
    </row>
    <row r="1423" spans="1:6">
      <c r="A1423" s="68" t="s">
        <v>2092</v>
      </c>
      <c r="B1423" s="68" t="s">
        <v>2086</v>
      </c>
      <c r="C1423" s="68" t="s">
        <v>2086</v>
      </c>
      <c r="D1423" s="68" t="str">
        <f t="shared" si="31"/>
        <v>Paloga</v>
      </c>
      <c r="F1423" s="68">
        <v>861</v>
      </c>
    </row>
    <row r="1424" spans="1:6">
      <c r="A1424" s="68" t="s">
        <v>2093</v>
      </c>
      <c r="B1424" s="68" t="s">
        <v>2094</v>
      </c>
      <c r="C1424" s="68" t="s">
        <v>2095</v>
      </c>
      <c r="D1424" s="68" t="str">
        <f t="shared" si="31"/>
        <v>Adekokwok</v>
      </c>
      <c r="F1424" s="68">
        <v>862</v>
      </c>
    </row>
    <row r="1425" spans="1:6">
      <c r="A1425" s="68" t="s">
        <v>2096</v>
      </c>
      <c r="B1425" s="68" t="s">
        <v>2094</v>
      </c>
      <c r="C1425" s="68" t="s">
        <v>2095</v>
      </c>
      <c r="D1425" s="68" t="str">
        <f t="shared" si="31"/>
        <v>Agali</v>
      </c>
      <c r="F1425" s="68">
        <v>863</v>
      </c>
    </row>
    <row r="1426" spans="1:6">
      <c r="A1426" s="68" t="s">
        <v>2097</v>
      </c>
      <c r="B1426" s="68" t="s">
        <v>2094</v>
      </c>
      <c r="C1426" s="68" t="s">
        <v>2095</v>
      </c>
      <c r="D1426" s="68" t="str">
        <f t="shared" si="31"/>
        <v>Agweng</v>
      </c>
      <c r="F1426" s="68">
        <v>864</v>
      </c>
    </row>
    <row r="1427" spans="1:6">
      <c r="A1427" s="68" t="s">
        <v>2098</v>
      </c>
      <c r="B1427" s="68" t="s">
        <v>2094</v>
      </c>
      <c r="C1427" s="68" t="s">
        <v>2095</v>
      </c>
      <c r="D1427" s="68" t="str">
        <f t="shared" si="31"/>
        <v>Amach</v>
      </c>
      <c r="F1427" s="68">
        <v>865</v>
      </c>
    </row>
    <row r="1428" spans="1:6">
      <c r="A1428" s="68" t="s">
        <v>2099</v>
      </c>
      <c r="B1428" s="68" t="s">
        <v>2094</v>
      </c>
      <c r="C1428" s="68" t="s">
        <v>2095</v>
      </c>
      <c r="D1428" s="68" t="str">
        <f t="shared" si="31"/>
        <v>Aromo</v>
      </c>
      <c r="F1428" s="68">
        <v>866</v>
      </c>
    </row>
    <row r="1429" spans="1:6">
      <c r="A1429" s="68" t="s">
        <v>2100</v>
      </c>
      <c r="B1429" s="68" t="s">
        <v>2094</v>
      </c>
      <c r="C1429" s="68" t="s">
        <v>2095</v>
      </c>
      <c r="D1429" s="68" t="str">
        <f t="shared" si="31"/>
        <v>Barr</v>
      </c>
      <c r="F1429" s="68">
        <v>867</v>
      </c>
    </row>
    <row r="1430" spans="1:6">
      <c r="A1430" s="68" t="s">
        <v>2094</v>
      </c>
      <c r="B1430" s="68" t="s">
        <v>2094</v>
      </c>
      <c r="C1430" s="68" t="s">
        <v>2095</v>
      </c>
      <c r="D1430" s="68" t="str">
        <f t="shared" si="31"/>
        <v>Lira</v>
      </c>
      <c r="F1430" s="68">
        <v>868</v>
      </c>
    </row>
    <row r="1431" spans="1:6">
      <c r="A1431" s="68" t="s">
        <v>2101</v>
      </c>
      <c r="B1431" s="68" t="s">
        <v>2094</v>
      </c>
      <c r="C1431" s="68" t="s">
        <v>2101</v>
      </c>
      <c r="D1431" s="68" t="str">
        <f t="shared" si="31"/>
        <v>Lira Municipality</v>
      </c>
      <c r="F1431" s="68">
        <v>869</v>
      </c>
    </row>
    <row r="1432" spans="1:6">
      <c r="A1432" s="68" t="s">
        <v>2102</v>
      </c>
      <c r="B1432" s="68" t="s">
        <v>2094</v>
      </c>
      <c r="C1432" s="68" t="s">
        <v>2095</v>
      </c>
      <c r="D1432" s="68" t="str">
        <f t="shared" si="31"/>
        <v>Ngetta</v>
      </c>
      <c r="F1432" s="68">
        <v>870</v>
      </c>
    </row>
    <row r="1433" spans="1:6">
      <c r="A1433" s="68" t="s">
        <v>2103</v>
      </c>
      <c r="B1433" s="68" t="s">
        <v>2094</v>
      </c>
      <c r="C1433" s="68" t="s">
        <v>2095</v>
      </c>
      <c r="D1433" s="68" t="str">
        <f t="shared" si="31"/>
        <v>Ogur</v>
      </c>
      <c r="F1433" s="68">
        <v>871</v>
      </c>
    </row>
    <row r="1434" spans="1:6">
      <c r="A1434" s="68" t="s">
        <v>1093</v>
      </c>
      <c r="B1434" s="68" t="s">
        <v>2104</v>
      </c>
      <c r="C1434" s="68" t="s">
        <v>2104</v>
      </c>
      <c r="D1434" s="68" t="str">
        <f t="shared" si="31"/>
        <v>Bukanga</v>
      </c>
      <c r="F1434" s="68">
        <v>872</v>
      </c>
    </row>
    <row r="1435" spans="1:6">
      <c r="A1435" s="68" t="s">
        <v>2105</v>
      </c>
      <c r="B1435" s="68" t="s">
        <v>2104</v>
      </c>
      <c r="C1435" s="68" t="s">
        <v>2104</v>
      </c>
      <c r="D1435" s="68" t="str">
        <f t="shared" si="31"/>
        <v>Bukooma</v>
      </c>
      <c r="F1435" s="68">
        <v>873</v>
      </c>
    </row>
    <row r="1436" spans="1:6">
      <c r="A1436" s="68" t="s">
        <v>2106</v>
      </c>
      <c r="B1436" s="68" t="s">
        <v>2104</v>
      </c>
      <c r="C1436" s="68" t="s">
        <v>2104</v>
      </c>
      <c r="D1436" s="68" t="str">
        <f t="shared" si="31"/>
        <v>Bulongo</v>
      </c>
      <c r="F1436" s="68">
        <v>874</v>
      </c>
    </row>
    <row r="1437" spans="1:6">
      <c r="A1437" s="68" t="s">
        <v>2107</v>
      </c>
      <c r="B1437" s="68" t="s">
        <v>2104</v>
      </c>
      <c r="C1437" s="68" t="s">
        <v>2104</v>
      </c>
      <c r="D1437" s="68" t="str">
        <f t="shared" si="31"/>
        <v>Ikumbya</v>
      </c>
      <c r="F1437" s="68">
        <v>875</v>
      </c>
    </row>
    <row r="1438" spans="1:6">
      <c r="A1438" s="68" t="s">
        <v>2108</v>
      </c>
      <c r="B1438" s="68" t="s">
        <v>2104</v>
      </c>
      <c r="C1438" s="68" t="s">
        <v>2104</v>
      </c>
      <c r="D1438" s="68" t="str">
        <f t="shared" si="31"/>
        <v>Irongo</v>
      </c>
      <c r="F1438" s="68">
        <v>876</v>
      </c>
    </row>
    <row r="1439" spans="1:6">
      <c r="A1439" s="68" t="s">
        <v>2109</v>
      </c>
      <c r="B1439" s="68" t="s">
        <v>2104</v>
      </c>
      <c r="C1439" s="68" t="s">
        <v>2104</v>
      </c>
      <c r="D1439" s="68" t="str">
        <f t="shared" si="31"/>
        <v>Luuka Town Council</v>
      </c>
      <c r="F1439" s="68">
        <v>877</v>
      </c>
    </row>
    <row r="1440" spans="1:6">
      <c r="A1440" s="68" t="s">
        <v>2110</v>
      </c>
      <c r="B1440" s="68" t="s">
        <v>2104</v>
      </c>
      <c r="C1440" s="68" t="s">
        <v>2104</v>
      </c>
      <c r="D1440" s="68" t="str">
        <f t="shared" si="31"/>
        <v>Nawampiti</v>
      </c>
      <c r="F1440" s="68">
        <v>878</v>
      </c>
    </row>
    <row r="1441" spans="1:6">
      <c r="A1441" s="68" t="s">
        <v>2111</v>
      </c>
      <c r="B1441" s="68" t="s">
        <v>2104</v>
      </c>
      <c r="C1441" s="68" t="s">
        <v>2104</v>
      </c>
      <c r="D1441" s="68" t="str">
        <f t="shared" si="31"/>
        <v>Waibuga</v>
      </c>
      <c r="F1441" s="68">
        <v>879</v>
      </c>
    </row>
    <row r="1442" spans="1:6">
      <c r="A1442" s="68" t="s">
        <v>2112</v>
      </c>
      <c r="B1442" s="68" t="s">
        <v>2113</v>
      </c>
      <c r="C1442" s="68" t="s">
        <v>2112</v>
      </c>
      <c r="D1442" s="68" t="str">
        <f t="shared" si="31"/>
        <v>Bamunanika</v>
      </c>
      <c r="F1442" s="68">
        <v>880</v>
      </c>
    </row>
    <row r="1443" spans="1:6">
      <c r="A1443" s="68" t="s">
        <v>2114</v>
      </c>
      <c r="B1443" s="68" t="s">
        <v>2113</v>
      </c>
      <c r="C1443" s="68" t="s">
        <v>2115</v>
      </c>
      <c r="D1443" s="68" t="str">
        <f t="shared" si="31"/>
        <v>Bombo Town Council</v>
      </c>
      <c r="F1443" s="68">
        <v>881</v>
      </c>
    </row>
    <row r="1444" spans="1:6">
      <c r="A1444" s="68" t="s">
        <v>2116</v>
      </c>
      <c r="D1444" s="68" t="str">
        <f t="shared" si="31"/>
        <v>Bombo</v>
      </c>
      <c r="F1444" s="68">
        <v>881</v>
      </c>
    </row>
    <row r="1445" spans="1:6">
      <c r="A1445" s="68" t="s">
        <v>2117</v>
      </c>
      <c r="D1445" s="68" t="str">
        <f t="shared" si="31"/>
        <v>Bombo barax</v>
      </c>
      <c r="F1445" s="68">
        <v>881</v>
      </c>
    </row>
    <row r="1446" spans="1:6">
      <c r="A1446" s="68" t="s">
        <v>2118</v>
      </c>
      <c r="D1446" s="68" t="str">
        <f t="shared" si="31"/>
        <v>NAKWAYA</v>
      </c>
      <c r="F1446" s="68">
        <v>881</v>
      </c>
    </row>
    <row r="1447" spans="1:6">
      <c r="A1447" s="68" t="s">
        <v>2119</v>
      </c>
      <c r="B1447" s="68" t="s">
        <v>2113</v>
      </c>
      <c r="C1447" s="68" t="s">
        <v>2115</v>
      </c>
      <c r="D1447" s="68" t="str">
        <f t="shared" si="31"/>
        <v>Butuntumula</v>
      </c>
      <c r="F1447" s="68">
        <v>882</v>
      </c>
    </row>
    <row r="1448" spans="1:6">
      <c r="A1448" s="68" t="s">
        <v>2120</v>
      </c>
      <c r="D1448" s="68" t="str">
        <f t="shared" si="31"/>
        <v>Kiwoko</v>
      </c>
      <c r="F1448" s="68">
        <v>882</v>
      </c>
    </row>
    <row r="1449" spans="1:6">
      <c r="A1449" s="68" t="s">
        <v>2121</v>
      </c>
      <c r="B1449" s="68" t="s">
        <v>2113</v>
      </c>
      <c r="C1449" s="68" t="s">
        <v>2112</v>
      </c>
      <c r="D1449" s="68" t="str">
        <f t="shared" si="31"/>
        <v>Kalagala</v>
      </c>
      <c r="F1449" s="68">
        <v>883</v>
      </c>
    </row>
    <row r="1450" spans="1:6">
      <c r="A1450" s="68" t="s">
        <v>2122</v>
      </c>
      <c r="D1450" s="68" t="str">
        <f t="shared" si="31"/>
        <v>Vvumba</v>
      </c>
      <c r="F1450" s="68">
        <v>883</v>
      </c>
    </row>
    <row r="1451" spans="1:6">
      <c r="A1451" s="68" t="s">
        <v>2123</v>
      </c>
      <c r="D1451" s="68" t="str">
        <f t="shared" si="31"/>
        <v>Vumba</v>
      </c>
      <c r="F1451" s="68">
        <v>883</v>
      </c>
    </row>
    <row r="1452" spans="1:6">
      <c r="A1452" s="68" t="s">
        <v>2124</v>
      </c>
      <c r="B1452" s="68" t="s">
        <v>2113</v>
      </c>
      <c r="C1452" s="68" t="s">
        <v>2112</v>
      </c>
      <c r="D1452" s="68" t="str">
        <f t="shared" si="31"/>
        <v>Kamira</v>
      </c>
      <c r="F1452" s="68">
        <v>884</v>
      </c>
    </row>
    <row r="1453" spans="1:6">
      <c r="A1453" s="68" t="s">
        <v>2115</v>
      </c>
      <c r="B1453" s="68" t="s">
        <v>2113</v>
      </c>
      <c r="C1453" s="68" t="s">
        <v>2115</v>
      </c>
      <c r="D1453" s="68" t="str">
        <f t="shared" si="31"/>
        <v>Katikamu</v>
      </c>
      <c r="F1453" s="68">
        <v>885</v>
      </c>
    </row>
    <row r="1454" spans="1:6">
      <c r="A1454" s="68" t="s">
        <v>2125</v>
      </c>
      <c r="D1454" s="68" t="str">
        <f t="shared" si="31"/>
        <v>Bukalasa</v>
      </c>
      <c r="F1454" s="68">
        <v>885</v>
      </c>
    </row>
    <row r="1455" spans="1:6">
      <c r="A1455" s="68" t="s">
        <v>2126</v>
      </c>
      <c r="B1455" s="68" t="s">
        <v>2113</v>
      </c>
      <c r="C1455" s="68" t="s">
        <v>2112</v>
      </c>
      <c r="D1455" s="68" t="str">
        <f t="shared" si="31"/>
        <v>Kikyusa</v>
      </c>
      <c r="F1455" s="68">
        <v>886</v>
      </c>
    </row>
    <row r="1456" spans="1:6">
      <c r="A1456" s="68" t="s">
        <v>2113</v>
      </c>
      <c r="B1456" s="68" t="s">
        <v>2113</v>
      </c>
      <c r="C1456" s="68" t="s">
        <v>2115</v>
      </c>
      <c r="D1456" s="68" t="str">
        <f t="shared" si="31"/>
        <v>Luwero</v>
      </c>
      <c r="F1456" s="68">
        <v>887</v>
      </c>
    </row>
    <row r="1457" spans="1:6">
      <c r="A1457" s="68" t="s">
        <v>2127</v>
      </c>
      <c r="D1457" s="68" t="str">
        <f t="shared" si="31"/>
        <v>LUWEROO</v>
      </c>
      <c r="F1457" s="68">
        <v>887</v>
      </c>
    </row>
    <row r="1458" spans="1:6">
      <c r="A1458" s="68" t="s">
        <v>2128</v>
      </c>
      <c r="D1458" s="68" t="str">
        <f t="shared" si="31"/>
        <v>LUWERO TOWN</v>
      </c>
      <c r="F1458" s="68">
        <v>887</v>
      </c>
    </row>
    <row r="1459" spans="1:6">
      <c r="A1459" s="68" t="s">
        <v>2129</v>
      </c>
      <c r="B1459" s="68" t="s">
        <v>2113</v>
      </c>
      <c r="C1459" s="68" t="s">
        <v>2115</v>
      </c>
      <c r="D1459" s="68" t="str">
        <f t="shared" si="31"/>
        <v>Luwero Town Council</v>
      </c>
      <c r="F1459" s="68">
        <v>888</v>
      </c>
    </row>
    <row r="1460" spans="1:6">
      <c r="A1460" s="68" t="s">
        <v>2130</v>
      </c>
      <c r="D1460" s="68" t="str">
        <f t="shared" si="31"/>
        <v>Kalule</v>
      </c>
      <c r="F1460" s="68">
        <v>888</v>
      </c>
    </row>
    <row r="1461" spans="1:6">
      <c r="A1461" s="68" t="s">
        <v>2131</v>
      </c>
      <c r="B1461" s="68" t="s">
        <v>2113</v>
      </c>
      <c r="C1461" s="68" t="s">
        <v>2115</v>
      </c>
      <c r="D1461" s="68" t="str">
        <f t="shared" si="31"/>
        <v>Makulubita</v>
      </c>
      <c r="F1461" s="68">
        <v>889</v>
      </c>
    </row>
    <row r="1462" spans="1:6">
      <c r="A1462" s="68" t="s">
        <v>2132</v>
      </c>
      <c r="B1462" s="68" t="s">
        <v>2113</v>
      </c>
      <c r="C1462" s="68" t="s">
        <v>2115</v>
      </c>
      <c r="D1462" s="68" t="str">
        <f t="shared" si="31"/>
        <v>Nyimbwa</v>
      </c>
      <c r="F1462" s="68">
        <v>890</v>
      </c>
    </row>
    <row r="1463" spans="1:6">
      <c r="A1463" s="68" t="s">
        <v>2133</v>
      </c>
      <c r="B1463" s="68" t="s">
        <v>2113</v>
      </c>
      <c r="C1463" s="68" t="s">
        <v>2115</v>
      </c>
      <c r="D1463" s="68" t="str">
        <f t="shared" si="31"/>
        <v>Wobulenzi Town Council</v>
      </c>
      <c r="F1463" s="68">
        <v>891</v>
      </c>
    </row>
    <row r="1464" spans="1:6">
      <c r="A1464" s="68" t="s">
        <v>2134</v>
      </c>
      <c r="D1464" s="68" t="str">
        <f t="shared" si="31"/>
        <v xml:space="preserve">Wobulenzi  </v>
      </c>
      <c r="F1464" s="68">
        <v>891</v>
      </c>
    </row>
    <row r="1465" spans="1:6">
      <c r="A1465" s="68" t="s">
        <v>2135</v>
      </c>
      <c r="D1465" s="68" t="str">
        <f t="shared" si="31"/>
        <v>Wobulenzi</v>
      </c>
      <c r="F1465" s="68">
        <v>891</v>
      </c>
    </row>
    <row r="1466" spans="1:6">
      <c r="A1466" s="68" t="s">
        <v>2136</v>
      </c>
      <c r="D1466" s="68" t="str">
        <f t="shared" si="31"/>
        <v>WOBULEZI</v>
      </c>
      <c r="F1466" s="68">
        <v>891</v>
      </c>
    </row>
    <row r="1467" spans="1:6">
      <c r="A1467" s="68" t="s">
        <v>2137</v>
      </c>
      <c r="B1467" s="68" t="s">
        <v>2113</v>
      </c>
      <c r="C1467" s="68" t="s">
        <v>2112</v>
      </c>
      <c r="D1467" s="68" t="str">
        <f t="shared" si="31"/>
        <v>Zirobwe</v>
      </c>
      <c r="F1467" s="68">
        <v>892</v>
      </c>
    </row>
    <row r="1468" spans="1:6">
      <c r="A1468" s="68" t="s">
        <v>2138</v>
      </c>
      <c r="D1468" s="68" t="str">
        <f t="shared" si="31"/>
        <v>ZIROBWA ROAD</v>
      </c>
      <c r="F1468" s="68">
        <v>892</v>
      </c>
    </row>
    <row r="1469" spans="1:6">
      <c r="A1469" s="68" t="s">
        <v>2139</v>
      </c>
      <c r="D1469" s="68" t="str">
        <f t="shared" si="31"/>
        <v>Zirobwa</v>
      </c>
      <c r="F1469" s="68">
        <v>892</v>
      </c>
    </row>
    <row r="1470" spans="1:6">
      <c r="A1470" s="68" t="s">
        <v>2140</v>
      </c>
      <c r="D1470" s="68" t="str">
        <f t="shared" si="31"/>
        <v>ZILOBWE</v>
      </c>
      <c r="F1470" s="68">
        <v>892</v>
      </c>
    </row>
    <row r="1471" spans="1:6">
      <c r="A1471" s="68" t="s">
        <v>2141</v>
      </c>
      <c r="B1471" s="68" t="s">
        <v>2142</v>
      </c>
      <c r="C1471" s="68" t="s">
        <v>23</v>
      </c>
      <c r="D1471" s="68" t="str">
        <f t="shared" si="31"/>
        <v>Kisekka</v>
      </c>
      <c r="F1471" s="68">
        <v>893</v>
      </c>
    </row>
    <row r="1472" spans="1:6">
      <c r="A1472" s="68" t="s">
        <v>2143</v>
      </c>
      <c r="B1472" s="68" t="s">
        <v>2142</v>
      </c>
      <c r="C1472" s="68" t="s">
        <v>23</v>
      </c>
      <c r="D1472" s="68" t="str">
        <f t="shared" si="31"/>
        <v>Kkingo</v>
      </c>
      <c r="F1472" s="68">
        <v>894</v>
      </c>
    </row>
    <row r="1473" spans="1:6">
      <c r="A1473" s="68" t="s">
        <v>2144</v>
      </c>
      <c r="B1473" s="68" t="s">
        <v>2142</v>
      </c>
      <c r="C1473" s="68" t="s">
        <v>23</v>
      </c>
      <c r="D1473" s="68" t="str">
        <f t="shared" ref="D1473:D1536" si="32">A1473</f>
        <v>Kyazanga</v>
      </c>
      <c r="F1473" s="68">
        <v>895</v>
      </c>
    </row>
    <row r="1474" spans="1:6">
      <c r="A1474" s="68" t="s">
        <v>2145</v>
      </c>
      <c r="B1474" s="68" t="s">
        <v>2142</v>
      </c>
      <c r="C1474" s="68" t="s">
        <v>23</v>
      </c>
      <c r="D1474" s="68" t="str">
        <f t="shared" si="32"/>
        <v>Kyazanga Town Council</v>
      </c>
      <c r="F1474" s="68">
        <v>896</v>
      </c>
    </row>
    <row r="1475" spans="1:6">
      <c r="A1475" s="68" t="s">
        <v>2142</v>
      </c>
      <c r="B1475" s="68" t="s">
        <v>2142</v>
      </c>
      <c r="C1475" s="68" t="s">
        <v>23</v>
      </c>
      <c r="D1475" s="68" t="str">
        <f t="shared" si="32"/>
        <v>Lwengo</v>
      </c>
      <c r="F1475" s="68">
        <v>897</v>
      </c>
    </row>
    <row r="1476" spans="1:6">
      <c r="A1476" s="68" t="s">
        <v>2146</v>
      </c>
      <c r="B1476" s="68" t="s">
        <v>2142</v>
      </c>
      <c r="C1476" s="68" t="s">
        <v>23</v>
      </c>
      <c r="D1476" s="68" t="str">
        <f t="shared" si="32"/>
        <v>Lwengo Town Council</v>
      </c>
      <c r="F1476" s="68">
        <v>898</v>
      </c>
    </row>
    <row r="1477" spans="1:6">
      <c r="A1477" s="68" t="s">
        <v>2147</v>
      </c>
      <c r="B1477" s="68" t="s">
        <v>2142</v>
      </c>
      <c r="C1477" s="68" t="s">
        <v>23</v>
      </c>
      <c r="D1477" s="68" t="str">
        <f t="shared" si="32"/>
        <v>Malongo-Lwengo</v>
      </c>
      <c r="F1477" s="68">
        <v>899</v>
      </c>
    </row>
    <row r="1478" spans="1:6">
      <c r="A1478" s="68" t="s">
        <v>598</v>
      </c>
      <c r="D1478" s="68" t="str">
        <f t="shared" si="32"/>
        <v>KOLANOLYA</v>
      </c>
      <c r="F1478" s="68">
        <v>899</v>
      </c>
    </row>
    <row r="1479" spans="1:6">
      <c r="A1479" s="68" t="s">
        <v>2148</v>
      </c>
      <c r="B1479" s="68" t="s">
        <v>2142</v>
      </c>
      <c r="C1479" s="68" t="s">
        <v>23</v>
      </c>
      <c r="D1479" s="68" t="str">
        <f t="shared" si="32"/>
        <v>Ndagwe</v>
      </c>
      <c r="F1479" s="68">
        <v>900</v>
      </c>
    </row>
    <row r="1480" spans="1:6">
      <c r="A1480" s="68" t="s">
        <v>2149</v>
      </c>
      <c r="B1480" s="68" t="s">
        <v>2150</v>
      </c>
      <c r="C1480" s="68" t="s">
        <v>2151</v>
      </c>
      <c r="D1480" s="68" t="str">
        <f t="shared" si="32"/>
        <v>Kaliiro</v>
      </c>
      <c r="F1480" s="68">
        <v>901</v>
      </c>
    </row>
    <row r="1481" spans="1:6">
      <c r="A1481" s="68" t="s">
        <v>2152</v>
      </c>
      <c r="B1481" s="68" t="s">
        <v>2150</v>
      </c>
      <c r="C1481" s="68" t="s">
        <v>2151</v>
      </c>
      <c r="D1481" s="68" t="str">
        <f t="shared" si="32"/>
        <v>Kasagama</v>
      </c>
      <c r="F1481" s="68">
        <v>902</v>
      </c>
    </row>
    <row r="1482" spans="1:6">
      <c r="A1482" s="68" t="s">
        <v>2153</v>
      </c>
      <c r="B1482" s="68" t="s">
        <v>2150</v>
      </c>
      <c r="C1482" s="68" t="s">
        <v>2151</v>
      </c>
      <c r="D1482" s="68" t="str">
        <f t="shared" si="32"/>
        <v>Kinuuka</v>
      </c>
      <c r="F1482" s="68">
        <v>903</v>
      </c>
    </row>
    <row r="1483" spans="1:6">
      <c r="A1483" s="68" t="s">
        <v>2150</v>
      </c>
      <c r="B1483" s="68" t="s">
        <v>2150</v>
      </c>
      <c r="C1483" s="68" t="s">
        <v>2151</v>
      </c>
      <c r="D1483" s="68" t="str">
        <f t="shared" si="32"/>
        <v>Lyantonde</v>
      </c>
      <c r="F1483" s="68">
        <v>904</v>
      </c>
    </row>
    <row r="1484" spans="1:6">
      <c r="A1484" s="68" t="s">
        <v>2154</v>
      </c>
      <c r="B1484" s="68" t="s">
        <v>2150</v>
      </c>
      <c r="C1484" s="68" t="s">
        <v>2151</v>
      </c>
      <c r="D1484" s="68" t="str">
        <f t="shared" si="32"/>
        <v>Lyantonde Town Council</v>
      </c>
      <c r="F1484" s="68">
        <v>905</v>
      </c>
    </row>
    <row r="1485" spans="1:6">
      <c r="A1485" s="68" t="s">
        <v>2155</v>
      </c>
      <c r="B1485" s="68" t="s">
        <v>2150</v>
      </c>
      <c r="C1485" s="68" t="s">
        <v>2151</v>
      </c>
      <c r="D1485" s="68" t="str">
        <f t="shared" si="32"/>
        <v>Mpumudde-Lyantonde</v>
      </c>
      <c r="F1485" s="68">
        <v>906</v>
      </c>
    </row>
    <row r="1486" spans="1:6">
      <c r="A1486" s="68" t="s">
        <v>2156</v>
      </c>
      <c r="D1486" s="68" t="str">
        <f t="shared" si="32"/>
        <v>Nakawuka</v>
      </c>
      <c r="F1486" s="68">
        <v>906</v>
      </c>
    </row>
    <row r="1487" spans="1:6">
      <c r="A1487" s="68" t="s">
        <v>2157</v>
      </c>
      <c r="B1487" s="68" t="s">
        <v>2158</v>
      </c>
      <c r="C1487" s="68" t="s">
        <v>2159</v>
      </c>
      <c r="D1487" s="68" t="str">
        <f t="shared" si="32"/>
        <v>Bugobero</v>
      </c>
      <c r="F1487" s="68">
        <v>907</v>
      </c>
    </row>
    <row r="1488" spans="1:6">
      <c r="A1488" s="68" t="s">
        <v>2160</v>
      </c>
      <c r="B1488" s="68" t="s">
        <v>2158</v>
      </c>
      <c r="C1488" s="68" t="s">
        <v>2159</v>
      </c>
      <c r="D1488" s="68" t="str">
        <f t="shared" si="32"/>
        <v>Bukhofu</v>
      </c>
      <c r="F1488" s="68">
        <v>908</v>
      </c>
    </row>
    <row r="1489" spans="1:6">
      <c r="A1489" s="68" t="s">
        <v>2161</v>
      </c>
      <c r="B1489" s="68" t="s">
        <v>2158</v>
      </c>
      <c r="C1489" s="68" t="s">
        <v>2159</v>
      </c>
      <c r="D1489" s="68" t="str">
        <f t="shared" si="32"/>
        <v>Bukusu</v>
      </c>
      <c r="F1489" s="68">
        <v>909</v>
      </c>
    </row>
    <row r="1490" spans="1:6">
      <c r="A1490" s="68" t="s">
        <v>2162</v>
      </c>
      <c r="B1490" s="68" t="s">
        <v>2158</v>
      </c>
      <c r="C1490" s="68" t="s">
        <v>2159</v>
      </c>
      <c r="D1490" s="68" t="str">
        <f t="shared" si="32"/>
        <v>Bunabwana</v>
      </c>
      <c r="F1490" s="68">
        <v>910</v>
      </c>
    </row>
    <row r="1491" spans="1:6">
      <c r="A1491" s="68" t="s">
        <v>2163</v>
      </c>
      <c r="B1491" s="68" t="s">
        <v>2158</v>
      </c>
      <c r="C1491" s="68" t="s">
        <v>2159</v>
      </c>
      <c r="D1491" s="68" t="str">
        <f t="shared" si="32"/>
        <v>Bunyinza Town Council</v>
      </c>
      <c r="F1491" s="68">
        <v>911</v>
      </c>
    </row>
    <row r="1492" spans="1:6">
      <c r="A1492" s="68" t="s">
        <v>2164</v>
      </c>
      <c r="B1492" s="68" t="s">
        <v>2158</v>
      </c>
      <c r="C1492" s="68" t="s">
        <v>2159</v>
      </c>
      <c r="D1492" s="68" t="str">
        <f t="shared" si="32"/>
        <v>Busukuya</v>
      </c>
      <c r="F1492" s="68">
        <v>912</v>
      </c>
    </row>
    <row r="1493" spans="1:6">
      <c r="A1493" s="68" t="s">
        <v>2165</v>
      </c>
      <c r="B1493" s="68" t="s">
        <v>2158</v>
      </c>
      <c r="C1493" s="68" t="s">
        <v>2159</v>
      </c>
      <c r="D1493" s="68" t="str">
        <f t="shared" si="32"/>
        <v>Butiru</v>
      </c>
      <c r="F1493" s="68">
        <v>913</v>
      </c>
    </row>
    <row r="1494" spans="1:6">
      <c r="A1494" s="68" t="s">
        <v>2166</v>
      </c>
      <c r="B1494" s="68" t="s">
        <v>2158</v>
      </c>
      <c r="C1494" s="68" t="s">
        <v>2159</v>
      </c>
      <c r="D1494" s="68" t="str">
        <f t="shared" si="32"/>
        <v>Butta</v>
      </c>
      <c r="F1494" s="68">
        <v>914</v>
      </c>
    </row>
    <row r="1495" spans="1:6">
      <c r="A1495" s="68" t="s">
        <v>2167</v>
      </c>
      <c r="B1495" s="68" t="s">
        <v>2158</v>
      </c>
      <c r="C1495" s="68" t="s">
        <v>2159</v>
      </c>
      <c r="D1495" s="68" t="str">
        <f t="shared" si="32"/>
        <v>Buwagogo</v>
      </c>
      <c r="F1495" s="68">
        <v>915</v>
      </c>
    </row>
    <row r="1496" spans="1:6">
      <c r="A1496" s="68" t="s">
        <v>2168</v>
      </c>
      <c r="B1496" s="68" t="s">
        <v>2158</v>
      </c>
      <c r="C1496" s="68" t="s">
        <v>2159</v>
      </c>
      <c r="D1496" s="68" t="str">
        <f t="shared" si="32"/>
        <v>Buwangani Town Council</v>
      </c>
      <c r="F1496" s="68">
        <v>916</v>
      </c>
    </row>
    <row r="1497" spans="1:6">
      <c r="A1497" s="68" t="s">
        <v>2169</v>
      </c>
      <c r="B1497" s="68" t="s">
        <v>2158</v>
      </c>
      <c r="C1497" s="68" t="s">
        <v>2159</v>
      </c>
      <c r="D1497" s="68" t="str">
        <f t="shared" si="32"/>
        <v>Kaato</v>
      </c>
      <c r="F1497" s="68">
        <v>917</v>
      </c>
    </row>
    <row r="1498" spans="1:6">
      <c r="A1498" s="68" t="s">
        <v>2170</v>
      </c>
      <c r="B1498" s="68" t="s">
        <v>2158</v>
      </c>
      <c r="C1498" s="68" t="s">
        <v>2159</v>
      </c>
      <c r="D1498" s="68" t="str">
        <f t="shared" si="32"/>
        <v>Khabutoola</v>
      </c>
      <c r="F1498" s="68">
        <v>918</v>
      </c>
    </row>
    <row r="1499" spans="1:6">
      <c r="A1499" s="68" t="s">
        <v>2171</v>
      </c>
      <c r="B1499" s="68" t="s">
        <v>2158</v>
      </c>
      <c r="C1499" s="68" t="s">
        <v>2159</v>
      </c>
      <c r="D1499" s="68" t="str">
        <f t="shared" si="32"/>
        <v>Manafwa Town Council</v>
      </c>
      <c r="F1499" s="68">
        <v>919</v>
      </c>
    </row>
    <row r="1500" spans="1:6">
      <c r="A1500" s="68" t="s">
        <v>2172</v>
      </c>
      <c r="B1500" s="68" t="s">
        <v>2158</v>
      </c>
      <c r="C1500" s="68" t="s">
        <v>2159</v>
      </c>
      <c r="D1500" s="68" t="str">
        <f t="shared" si="32"/>
        <v>Nalondo</v>
      </c>
      <c r="F1500" s="68">
        <v>920</v>
      </c>
    </row>
    <row r="1501" spans="1:6">
      <c r="A1501" s="68" t="s">
        <v>2173</v>
      </c>
      <c r="B1501" s="68" t="s">
        <v>2158</v>
      </c>
      <c r="C1501" s="68" t="s">
        <v>2159</v>
      </c>
      <c r="D1501" s="68" t="str">
        <f t="shared" si="32"/>
        <v>Sibanga</v>
      </c>
      <c r="F1501" s="68">
        <v>921</v>
      </c>
    </row>
    <row r="1502" spans="1:6">
      <c r="A1502" s="68" t="s">
        <v>2174</v>
      </c>
      <c r="B1502" s="68" t="s">
        <v>2158</v>
      </c>
      <c r="C1502" s="68" t="s">
        <v>2159</v>
      </c>
      <c r="D1502" s="68" t="str">
        <f t="shared" si="32"/>
        <v>Sisuni</v>
      </c>
      <c r="F1502" s="68">
        <v>922</v>
      </c>
    </row>
    <row r="1503" spans="1:6">
      <c r="A1503" s="68" t="s">
        <v>2175</v>
      </c>
      <c r="B1503" s="68" t="s">
        <v>2158</v>
      </c>
      <c r="C1503" s="68" t="s">
        <v>2159</v>
      </c>
      <c r="D1503" s="68" t="str">
        <f t="shared" si="32"/>
        <v>Weswa</v>
      </c>
      <c r="F1503" s="68">
        <v>923</v>
      </c>
    </row>
    <row r="1504" spans="1:6">
      <c r="A1504" s="68" t="s">
        <v>2176</v>
      </c>
      <c r="B1504" s="68" t="s">
        <v>2177</v>
      </c>
      <c r="C1504" s="68" t="s">
        <v>2177</v>
      </c>
      <c r="D1504" s="68" t="str">
        <f t="shared" si="32"/>
        <v>Kijomoro</v>
      </c>
      <c r="F1504" s="68">
        <v>924</v>
      </c>
    </row>
    <row r="1505" spans="1:6">
      <c r="A1505" s="68" t="s">
        <v>2178</v>
      </c>
      <c r="B1505" s="68" t="s">
        <v>2177</v>
      </c>
      <c r="C1505" s="68" t="s">
        <v>2177</v>
      </c>
      <c r="D1505" s="68" t="str">
        <f t="shared" si="32"/>
        <v>Maracha Town Council</v>
      </c>
      <c r="F1505" s="68">
        <v>925</v>
      </c>
    </row>
    <row r="1506" spans="1:6">
      <c r="A1506" s="68" t="s">
        <v>2179</v>
      </c>
      <c r="B1506" s="68" t="s">
        <v>2177</v>
      </c>
      <c r="C1506" s="68" t="s">
        <v>2177</v>
      </c>
      <c r="D1506" s="68" t="str">
        <f t="shared" si="32"/>
        <v>Nyadri</v>
      </c>
      <c r="F1506" s="68">
        <v>926</v>
      </c>
    </row>
    <row r="1507" spans="1:6">
      <c r="A1507" s="68" t="s">
        <v>2180</v>
      </c>
      <c r="B1507" s="68" t="s">
        <v>2177</v>
      </c>
      <c r="C1507" s="68" t="s">
        <v>2177</v>
      </c>
      <c r="D1507" s="68" t="str">
        <f t="shared" si="32"/>
        <v>Oleba</v>
      </c>
      <c r="F1507" s="68">
        <v>927</v>
      </c>
    </row>
    <row r="1508" spans="1:6">
      <c r="A1508" s="68" t="s">
        <v>2181</v>
      </c>
      <c r="B1508" s="68" t="s">
        <v>2177</v>
      </c>
      <c r="C1508" s="68" t="s">
        <v>2177</v>
      </c>
      <c r="D1508" s="68" t="str">
        <f t="shared" si="32"/>
        <v>Oluffe</v>
      </c>
      <c r="F1508" s="68">
        <v>928</v>
      </c>
    </row>
    <row r="1509" spans="1:6">
      <c r="A1509" s="68" t="s">
        <v>2182</v>
      </c>
      <c r="B1509" s="68" t="s">
        <v>2177</v>
      </c>
      <c r="C1509" s="68" t="s">
        <v>2177</v>
      </c>
      <c r="D1509" s="68" t="str">
        <f t="shared" si="32"/>
        <v>Oluvu</v>
      </c>
      <c r="F1509" s="68">
        <v>929</v>
      </c>
    </row>
    <row r="1510" spans="1:6">
      <c r="A1510" s="68" t="s">
        <v>2183</v>
      </c>
      <c r="B1510" s="68" t="s">
        <v>2177</v>
      </c>
      <c r="C1510" s="68" t="s">
        <v>2177</v>
      </c>
      <c r="D1510" s="68" t="str">
        <f t="shared" si="32"/>
        <v>Tara</v>
      </c>
      <c r="F1510" s="68">
        <v>930</v>
      </c>
    </row>
    <row r="1511" spans="1:6">
      <c r="A1511" s="68" t="s">
        <v>2184</v>
      </c>
      <c r="B1511" s="68" t="s">
        <v>2177</v>
      </c>
      <c r="C1511" s="68" t="s">
        <v>2177</v>
      </c>
      <c r="D1511" s="68" t="str">
        <f t="shared" si="32"/>
        <v>Yivu</v>
      </c>
      <c r="F1511" s="68">
        <v>931</v>
      </c>
    </row>
    <row r="1512" spans="1:6">
      <c r="A1512" s="68" t="s">
        <v>2185</v>
      </c>
      <c r="B1512" s="68" t="s">
        <v>39</v>
      </c>
      <c r="C1512" s="68" t="s">
        <v>23</v>
      </c>
      <c r="D1512" s="68" t="str">
        <f t="shared" si="32"/>
        <v>Bukakata</v>
      </c>
      <c r="F1512" s="68">
        <v>932</v>
      </c>
    </row>
    <row r="1513" spans="1:6">
      <c r="A1513" s="68" t="s">
        <v>2186</v>
      </c>
      <c r="B1513" s="68" t="s">
        <v>39</v>
      </c>
      <c r="C1513" s="68" t="s">
        <v>23</v>
      </c>
      <c r="D1513" s="68" t="str">
        <f t="shared" si="32"/>
        <v>Buwunga-Masaka</v>
      </c>
      <c r="F1513" s="68">
        <v>933</v>
      </c>
    </row>
    <row r="1514" spans="1:6">
      <c r="A1514" s="68" t="s">
        <v>2187</v>
      </c>
      <c r="B1514" s="68" t="s">
        <v>39</v>
      </c>
      <c r="C1514" s="68" t="s">
        <v>23</v>
      </c>
      <c r="D1514" s="68" t="str">
        <f t="shared" si="32"/>
        <v>Kabonera</v>
      </c>
      <c r="F1514" s="68">
        <v>934</v>
      </c>
    </row>
    <row r="1515" spans="1:6">
      <c r="A1515" s="68" t="s">
        <v>2188</v>
      </c>
      <c r="B1515" s="68" t="s">
        <v>39</v>
      </c>
      <c r="C1515" s="68" t="s">
        <v>23</v>
      </c>
      <c r="D1515" s="68" t="str">
        <f t="shared" si="32"/>
        <v>Kyanamukaaka</v>
      </c>
      <c r="F1515" s="68">
        <v>935</v>
      </c>
    </row>
    <row r="1516" spans="1:6">
      <c r="A1516" s="68" t="s">
        <v>2189</v>
      </c>
      <c r="B1516" s="68" t="s">
        <v>39</v>
      </c>
      <c r="C1516" s="68" t="s">
        <v>23</v>
      </c>
      <c r="D1516" s="68" t="str">
        <f t="shared" si="32"/>
        <v>Kyesiiga</v>
      </c>
      <c r="F1516" s="68">
        <v>936</v>
      </c>
    </row>
    <row r="1517" spans="1:6">
      <c r="A1517" s="68" t="s">
        <v>2190</v>
      </c>
      <c r="B1517" s="68" t="s">
        <v>39</v>
      </c>
      <c r="C1517" s="68" t="s">
        <v>2190</v>
      </c>
      <c r="D1517" s="68" t="str">
        <f t="shared" si="32"/>
        <v>Masaka Municipality</v>
      </c>
      <c r="F1517" s="68">
        <v>937</v>
      </c>
    </row>
    <row r="1518" spans="1:6">
      <c r="A1518" s="68" t="s">
        <v>2191</v>
      </c>
      <c r="D1518" s="68" t="str">
        <f t="shared" si="32"/>
        <v>MAYA</v>
      </c>
      <c r="F1518" s="68">
        <v>937</v>
      </c>
    </row>
    <row r="1519" spans="1:6">
      <c r="A1519" s="68" t="s">
        <v>2192</v>
      </c>
      <c r="D1519" s="68" t="str">
        <f t="shared" si="32"/>
        <v>MAAYA</v>
      </c>
      <c r="F1519" s="68">
        <v>937</v>
      </c>
    </row>
    <row r="1520" spans="1:6">
      <c r="A1520" s="68" t="s">
        <v>2193</v>
      </c>
      <c r="D1520" s="68" t="str">
        <f t="shared" si="32"/>
        <v xml:space="preserve">MASAKA TOWN </v>
      </c>
      <c r="F1520" s="68">
        <v>937</v>
      </c>
    </row>
    <row r="1521" spans="1:6">
      <c r="A1521" s="68" t="s">
        <v>2194</v>
      </c>
      <c r="D1521" s="68" t="str">
        <f t="shared" si="32"/>
        <v>masaka town</v>
      </c>
      <c r="F1521" s="68">
        <v>937</v>
      </c>
    </row>
    <row r="1522" spans="1:6">
      <c r="A1522" s="68" t="s">
        <v>2195</v>
      </c>
      <c r="D1522" s="68" t="str">
        <f t="shared" si="32"/>
        <v>Nabugabo</v>
      </c>
      <c r="F1522" s="68">
        <v>937</v>
      </c>
    </row>
    <row r="1523" spans="1:6">
      <c r="A1523" s="68" t="s">
        <v>2196</v>
      </c>
      <c r="D1523" s="68" t="str">
        <f t="shared" si="32"/>
        <v>Masaka road</v>
      </c>
      <c r="F1523" s="68">
        <v>937</v>
      </c>
    </row>
    <row r="1524" spans="1:6">
      <c r="A1524" s="68" t="s">
        <v>2197</v>
      </c>
      <c r="D1524" s="68" t="str">
        <f t="shared" si="32"/>
        <v xml:space="preserve">Masaka  </v>
      </c>
      <c r="F1524" s="68">
        <v>937</v>
      </c>
    </row>
    <row r="1525" spans="1:6">
      <c r="A1525" s="68" t="s">
        <v>524</v>
      </c>
      <c r="D1525" s="68" t="str">
        <f t="shared" si="32"/>
        <v>MASAKA</v>
      </c>
      <c r="F1525" s="68">
        <v>937</v>
      </c>
    </row>
    <row r="1526" spans="1:6">
      <c r="A1526" s="68" t="s">
        <v>2198</v>
      </c>
      <c r="B1526" s="68" t="s">
        <v>39</v>
      </c>
      <c r="C1526" s="68" t="s">
        <v>23</v>
      </c>
      <c r="D1526" s="68" t="str">
        <f t="shared" si="32"/>
        <v>Mukungwe</v>
      </c>
      <c r="F1526" s="68">
        <v>938</v>
      </c>
    </row>
    <row r="1527" spans="1:6">
      <c r="A1527" s="68" t="s">
        <v>2199</v>
      </c>
      <c r="B1527" s="68" t="s">
        <v>2200</v>
      </c>
      <c r="C1527" s="68" t="s">
        <v>2201</v>
      </c>
      <c r="D1527" s="68" t="str">
        <f t="shared" si="32"/>
        <v>Budongo</v>
      </c>
      <c r="F1527" s="68">
        <v>939</v>
      </c>
    </row>
    <row r="1528" spans="1:6">
      <c r="A1528" s="68" t="s">
        <v>2202</v>
      </c>
      <c r="B1528" s="68" t="s">
        <v>2200</v>
      </c>
      <c r="C1528" s="68" t="s">
        <v>2201</v>
      </c>
      <c r="D1528" s="68" t="str">
        <f t="shared" si="32"/>
        <v>Bwijanga</v>
      </c>
      <c r="F1528" s="68">
        <v>940</v>
      </c>
    </row>
    <row r="1529" spans="1:6">
      <c r="A1529" s="68" t="s">
        <v>2203</v>
      </c>
      <c r="B1529" s="68" t="s">
        <v>2200</v>
      </c>
      <c r="C1529" s="68" t="s">
        <v>2204</v>
      </c>
      <c r="D1529" s="68" t="str">
        <f t="shared" si="32"/>
        <v>Kimengo</v>
      </c>
      <c r="F1529" s="68">
        <v>941</v>
      </c>
    </row>
    <row r="1530" spans="1:6">
      <c r="A1530" s="68" t="s">
        <v>2205</v>
      </c>
      <c r="B1530" s="68" t="s">
        <v>2200</v>
      </c>
      <c r="C1530" s="68" t="s">
        <v>2205</v>
      </c>
      <c r="D1530" s="68" t="str">
        <f t="shared" si="32"/>
        <v>Masindi Municipality</v>
      </c>
      <c r="F1530" s="68">
        <v>942</v>
      </c>
    </row>
    <row r="1531" spans="1:6">
      <c r="A1531" s="68" t="s">
        <v>2200</v>
      </c>
      <c r="D1531" s="68" t="str">
        <f t="shared" si="32"/>
        <v>Masindi</v>
      </c>
      <c r="F1531" s="68">
        <v>942</v>
      </c>
    </row>
    <row r="1532" spans="1:6">
      <c r="A1532" s="68" t="s">
        <v>2206</v>
      </c>
      <c r="B1532" s="68" t="s">
        <v>2200</v>
      </c>
      <c r="C1532" s="68" t="s">
        <v>2204</v>
      </c>
      <c r="D1532" s="68" t="str">
        <f t="shared" si="32"/>
        <v>Miirya</v>
      </c>
      <c r="F1532" s="68">
        <v>943</v>
      </c>
    </row>
    <row r="1533" spans="1:6">
      <c r="A1533" s="68" t="s">
        <v>2207</v>
      </c>
      <c r="B1533" s="68" t="s">
        <v>2200</v>
      </c>
      <c r="C1533" s="68" t="s">
        <v>2204</v>
      </c>
      <c r="D1533" s="68" t="str">
        <f t="shared" si="32"/>
        <v>Pakanyi</v>
      </c>
      <c r="F1533" s="68">
        <v>944</v>
      </c>
    </row>
    <row r="1534" spans="1:6">
      <c r="A1534" s="68" t="s">
        <v>2208</v>
      </c>
      <c r="B1534" s="68" t="s">
        <v>2209</v>
      </c>
      <c r="C1534" s="68" t="s">
        <v>2210</v>
      </c>
      <c r="D1534" s="68" t="str">
        <f t="shared" si="32"/>
        <v>Baitambogwe</v>
      </c>
      <c r="F1534" s="68">
        <v>945</v>
      </c>
    </row>
    <row r="1535" spans="1:6">
      <c r="A1535" s="68" t="s">
        <v>2211</v>
      </c>
      <c r="B1535" s="68" t="s">
        <v>2209</v>
      </c>
      <c r="C1535" s="68" t="s">
        <v>2210</v>
      </c>
      <c r="D1535" s="68" t="str">
        <f t="shared" si="32"/>
        <v>Bukabooli</v>
      </c>
      <c r="F1535" s="68">
        <v>946</v>
      </c>
    </row>
    <row r="1536" spans="1:6">
      <c r="A1536" s="68" t="s">
        <v>2212</v>
      </c>
      <c r="B1536" s="68" t="s">
        <v>2209</v>
      </c>
      <c r="C1536" s="68" t="s">
        <v>2210</v>
      </c>
      <c r="D1536" s="68" t="str">
        <f t="shared" si="32"/>
        <v>Bukatube</v>
      </c>
      <c r="F1536" s="68">
        <v>947</v>
      </c>
    </row>
    <row r="1537" spans="1:6">
      <c r="A1537" s="68" t="s">
        <v>2213</v>
      </c>
      <c r="B1537" s="68" t="s">
        <v>2209</v>
      </c>
      <c r="C1537" s="68" t="s">
        <v>2210</v>
      </c>
      <c r="D1537" s="68" t="str">
        <f t="shared" ref="D1537:D1600" si="33">A1537</f>
        <v>Busakira</v>
      </c>
      <c r="F1537" s="68">
        <v>948</v>
      </c>
    </row>
    <row r="1538" spans="1:6">
      <c r="A1538" s="68" t="s">
        <v>2214</v>
      </c>
      <c r="B1538" s="68" t="s">
        <v>2209</v>
      </c>
      <c r="C1538" s="68" t="s">
        <v>2210</v>
      </c>
      <c r="D1538" s="68" t="str">
        <f t="shared" si="33"/>
        <v>Buwaaya</v>
      </c>
      <c r="F1538" s="68">
        <v>949</v>
      </c>
    </row>
    <row r="1539" spans="1:6">
      <c r="A1539" s="68" t="s">
        <v>2215</v>
      </c>
      <c r="B1539" s="68" t="s">
        <v>2209</v>
      </c>
      <c r="C1539" s="68" t="s">
        <v>2210</v>
      </c>
      <c r="D1539" s="68" t="str">
        <f t="shared" si="33"/>
        <v>Imanyiro</v>
      </c>
      <c r="F1539" s="68">
        <v>950</v>
      </c>
    </row>
    <row r="1540" spans="1:6">
      <c r="A1540" s="68" t="s">
        <v>2216</v>
      </c>
      <c r="B1540" s="68" t="s">
        <v>2209</v>
      </c>
      <c r="C1540" s="68" t="s">
        <v>2210</v>
      </c>
      <c r="D1540" s="68" t="str">
        <f t="shared" si="33"/>
        <v>Jaguzi</v>
      </c>
      <c r="F1540" s="68">
        <v>951</v>
      </c>
    </row>
    <row r="1541" spans="1:6">
      <c r="A1541" s="68" t="s">
        <v>2217</v>
      </c>
      <c r="B1541" s="68" t="s">
        <v>2209</v>
      </c>
      <c r="C1541" s="68" t="s">
        <v>2210</v>
      </c>
      <c r="D1541" s="68" t="str">
        <f t="shared" si="33"/>
        <v>Kigandalo</v>
      </c>
      <c r="F1541" s="68">
        <v>952</v>
      </c>
    </row>
    <row r="1542" spans="1:6">
      <c r="A1542" s="68" t="s">
        <v>2218</v>
      </c>
      <c r="B1542" s="68" t="s">
        <v>2209</v>
      </c>
      <c r="C1542" s="68" t="s">
        <v>2210</v>
      </c>
      <c r="D1542" s="68" t="str">
        <f t="shared" si="33"/>
        <v>Kityerera</v>
      </c>
      <c r="F1542" s="68">
        <v>953</v>
      </c>
    </row>
    <row r="1543" spans="1:6">
      <c r="A1543" s="68" t="s">
        <v>2219</v>
      </c>
      <c r="B1543" s="68" t="s">
        <v>2209</v>
      </c>
      <c r="C1543" s="68" t="s">
        <v>2210</v>
      </c>
      <c r="D1543" s="68" t="str">
        <f t="shared" si="33"/>
        <v>Magamaga Town Council</v>
      </c>
      <c r="F1543" s="68">
        <v>954</v>
      </c>
    </row>
    <row r="1544" spans="1:6">
      <c r="A1544" s="68" t="s">
        <v>2220</v>
      </c>
      <c r="B1544" s="68" t="s">
        <v>2209</v>
      </c>
      <c r="C1544" s="68" t="s">
        <v>2210</v>
      </c>
      <c r="D1544" s="68" t="str">
        <f t="shared" si="33"/>
        <v>Malongo-Mayuge</v>
      </c>
      <c r="F1544" s="68">
        <v>955</v>
      </c>
    </row>
    <row r="1545" spans="1:6">
      <c r="A1545" s="68" t="s">
        <v>2221</v>
      </c>
      <c r="B1545" s="68" t="s">
        <v>2209</v>
      </c>
      <c r="C1545" s="68" t="s">
        <v>2210</v>
      </c>
      <c r="D1545" s="68" t="str">
        <f t="shared" si="33"/>
        <v>Mayuge Town Council</v>
      </c>
      <c r="F1545" s="68">
        <v>956</v>
      </c>
    </row>
    <row r="1546" spans="1:6">
      <c r="A1546" s="68" t="s">
        <v>2222</v>
      </c>
      <c r="B1546" s="68" t="s">
        <v>2209</v>
      </c>
      <c r="C1546" s="68" t="s">
        <v>2210</v>
      </c>
      <c r="D1546" s="68" t="str">
        <f t="shared" si="33"/>
        <v>Mpungwe</v>
      </c>
      <c r="F1546" s="68">
        <v>957</v>
      </c>
    </row>
    <row r="1547" spans="1:6">
      <c r="A1547" s="68" t="s">
        <v>2223</v>
      </c>
      <c r="B1547" s="68" t="s">
        <v>2209</v>
      </c>
      <c r="C1547" s="68" t="s">
        <v>2210</v>
      </c>
      <c r="D1547" s="68" t="str">
        <f t="shared" si="33"/>
        <v>Wairasa</v>
      </c>
      <c r="F1547" s="68">
        <v>958</v>
      </c>
    </row>
    <row r="1548" spans="1:6">
      <c r="A1548" s="68" t="s">
        <v>2224</v>
      </c>
      <c r="B1548" s="68" t="s">
        <v>2225</v>
      </c>
      <c r="C1548" s="68" t="s">
        <v>2226</v>
      </c>
      <c r="D1548" s="68" t="str">
        <f t="shared" si="33"/>
        <v>Bubyangu</v>
      </c>
      <c r="F1548" s="68">
        <v>959</v>
      </c>
    </row>
    <row r="1549" spans="1:6">
      <c r="A1549" s="68" t="s">
        <v>2227</v>
      </c>
      <c r="B1549" s="68" t="s">
        <v>2225</v>
      </c>
      <c r="C1549" s="68" t="s">
        <v>2226</v>
      </c>
      <c r="D1549" s="68" t="str">
        <f t="shared" si="33"/>
        <v>Budwale</v>
      </c>
      <c r="F1549" s="68">
        <v>960</v>
      </c>
    </row>
    <row r="1550" spans="1:6">
      <c r="A1550" s="68" t="s">
        <v>2228</v>
      </c>
      <c r="B1550" s="68" t="s">
        <v>2225</v>
      </c>
      <c r="C1550" s="68" t="s">
        <v>2226</v>
      </c>
      <c r="D1550" s="68" t="str">
        <f t="shared" si="33"/>
        <v>Bufumbo</v>
      </c>
      <c r="F1550" s="68">
        <v>961</v>
      </c>
    </row>
    <row r="1551" spans="1:6">
      <c r="A1551" s="68" t="s">
        <v>2229</v>
      </c>
      <c r="B1551" s="68" t="s">
        <v>2225</v>
      </c>
      <c r="C1551" s="68" t="s">
        <v>2226</v>
      </c>
      <c r="D1551" s="68" t="str">
        <f t="shared" si="33"/>
        <v>Bukasakya</v>
      </c>
      <c r="F1551" s="68">
        <v>962</v>
      </c>
    </row>
    <row r="1552" spans="1:6">
      <c r="A1552" s="68" t="s">
        <v>2230</v>
      </c>
      <c r="B1552" s="68" t="s">
        <v>2225</v>
      </c>
      <c r="C1552" s="68" t="s">
        <v>2226</v>
      </c>
      <c r="D1552" s="68" t="str">
        <f t="shared" si="33"/>
        <v>Bukiende</v>
      </c>
      <c r="F1552" s="68">
        <v>963</v>
      </c>
    </row>
    <row r="1553" spans="1:6">
      <c r="A1553" s="68" t="s">
        <v>2231</v>
      </c>
      <c r="B1553" s="68" t="s">
        <v>2225</v>
      </c>
      <c r="C1553" s="68" t="s">
        <v>2226</v>
      </c>
      <c r="D1553" s="68" t="str">
        <f t="shared" si="33"/>
        <v>Bukonde</v>
      </c>
      <c r="F1553" s="68">
        <v>964</v>
      </c>
    </row>
    <row r="1554" spans="1:6">
      <c r="A1554" s="68" t="s">
        <v>2232</v>
      </c>
      <c r="B1554" s="68" t="s">
        <v>2225</v>
      </c>
      <c r="C1554" s="68" t="s">
        <v>2226</v>
      </c>
      <c r="D1554" s="68" t="str">
        <f t="shared" si="33"/>
        <v>Bumasikye</v>
      </c>
      <c r="F1554" s="68">
        <v>965</v>
      </c>
    </row>
    <row r="1555" spans="1:6">
      <c r="A1555" s="68" t="s">
        <v>2233</v>
      </c>
      <c r="B1555" s="68" t="s">
        <v>2225</v>
      </c>
      <c r="C1555" s="68" t="s">
        <v>2226</v>
      </c>
      <c r="D1555" s="68" t="str">
        <f t="shared" si="33"/>
        <v>Bumbobi</v>
      </c>
      <c r="F1555" s="68">
        <v>966</v>
      </c>
    </row>
    <row r="1556" spans="1:6">
      <c r="A1556" s="68" t="s">
        <v>2226</v>
      </c>
      <c r="B1556" s="68" t="s">
        <v>2225</v>
      </c>
      <c r="C1556" s="68" t="s">
        <v>2226</v>
      </c>
      <c r="D1556" s="68" t="str">
        <f t="shared" si="33"/>
        <v>Bungokho</v>
      </c>
      <c r="F1556" s="68">
        <v>967</v>
      </c>
    </row>
    <row r="1557" spans="1:6">
      <c r="A1557" s="68" t="s">
        <v>2234</v>
      </c>
      <c r="B1557" s="68" t="s">
        <v>2225</v>
      </c>
      <c r="C1557" s="68" t="s">
        <v>2226</v>
      </c>
      <c r="D1557" s="68" t="str">
        <f t="shared" si="33"/>
        <v>Bungokho Mutoto</v>
      </c>
      <c r="F1557" s="68">
        <v>968</v>
      </c>
    </row>
    <row r="1558" spans="1:6">
      <c r="A1558" s="68" t="s">
        <v>2235</v>
      </c>
      <c r="B1558" s="68" t="s">
        <v>2225</v>
      </c>
      <c r="C1558" s="68" t="s">
        <v>2226</v>
      </c>
      <c r="D1558" s="68" t="str">
        <f t="shared" si="33"/>
        <v>Busano</v>
      </c>
      <c r="F1558" s="68">
        <v>969</v>
      </c>
    </row>
    <row r="1559" spans="1:6">
      <c r="A1559" s="68" t="s">
        <v>2236</v>
      </c>
      <c r="B1559" s="68" t="s">
        <v>2225</v>
      </c>
      <c r="C1559" s="68" t="s">
        <v>2226</v>
      </c>
      <c r="D1559" s="68" t="str">
        <f t="shared" si="33"/>
        <v>Busiu</v>
      </c>
      <c r="F1559" s="68">
        <v>970</v>
      </c>
    </row>
    <row r="1560" spans="1:6">
      <c r="A1560" s="68" t="s">
        <v>2237</v>
      </c>
      <c r="B1560" s="68" t="s">
        <v>2225</v>
      </c>
      <c r="C1560" s="68" t="s">
        <v>2226</v>
      </c>
      <c r="D1560" s="68" t="str">
        <f t="shared" si="33"/>
        <v>Busiu Town Council</v>
      </c>
      <c r="F1560" s="68">
        <v>971</v>
      </c>
    </row>
    <row r="1561" spans="1:6">
      <c r="A1561" s="68" t="s">
        <v>2238</v>
      </c>
      <c r="B1561" s="68" t="s">
        <v>2225</v>
      </c>
      <c r="C1561" s="68" t="s">
        <v>2226</v>
      </c>
      <c r="D1561" s="68" t="str">
        <f t="shared" si="33"/>
        <v>Busoba</v>
      </c>
      <c r="F1561" s="68">
        <v>972</v>
      </c>
    </row>
    <row r="1562" spans="1:6">
      <c r="A1562" s="68" t="s">
        <v>2239</v>
      </c>
      <c r="B1562" s="68" t="s">
        <v>2225</v>
      </c>
      <c r="C1562" s="68" t="s">
        <v>2226</v>
      </c>
      <c r="D1562" s="68" t="str">
        <f t="shared" si="33"/>
        <v>Lukhonge</v>
      </c>
      <c r="F1562" s="68">
        <v>973</v>
      </c>
    </row>
    <row r="1563" spans="1:6">
      <c r="A1563" s="68" t="s">
        <v>2240</v>
      </c>
      <c r="B1563" s="68" t="s">
        <v>2225</v>
      </c>
      <c r="C1563" s="68" t="s">
        <v>2226</v>
      </c>
      <c r="D1563" s="68" t="str">
        <f t="shared" si="33"/>
        <v>Lwasso</v>
      </c>
      <c r="F1563" s="68">
        <v>974</v>
      </c>
    </row>
    <row r="1564" spans="1:6">
      <c r="A1564" s="68" t="s">
        <v>2241</v>
      </c>
      <c r="B1564" s="68" t="s">
        <v>2225</v>
      </c>
      <c r="C1564" s="68" t="s">
        <v>2241</v>
      </c>
      <c r="D1564" s="68" t="str">
        <f t="shared" si="33"/>
        <v>Mbale Municipality</v>
      </c>
      <c r="F1564" s="68">
        <v>975</v>
      </c>
    </row>
    <row r="1565" spans="1:6">
      <c r="A1565" s="68" t="s">
        <v>2242</v>
      </c>
      <c r="D1565" s="68" t="str">
        <f t="shared" si="33"/>
        <v>Mbale town</v>
      </c>
      <c r="F1565" s="68">
        <v>975</v>
      </c>
    </row>
    <row r="1566" spans="1:6">
      <c r="A1566" s="68" t="s">
        <v>2243</v>
      </c>
      <c r="D1566" s="68" t="str">
        <f t="shared" si="33"/>
        <v>MBALE  TOWN</v>
      </c>
      <c r="F1566" s="68">
        <v>975</v>
      </c>
    </row>
    <row r="1567" spans="1:6">
      <c r="A1567" s="68" t="s">
        <v>2225</v>
      </c>
      <c r="D1567" s="68" t="str">
        <f t="shared" si="33"/>
        <v>Mbale</v>
      </c>
      <c r="F1567" s="68">
        <v>975</v>
      </c>
    </row>
    <row r="1568" spans="1:6">
      <c r="A1568" s="68" t="s">
        <v>2244</v>
      </c>
      <c r="B1568" s="68" t="s">
        <v>2225</v>
      </c>
      <c r="C1568" s="68" t="s">
        <v>2226</v>
      </c>
      <c r="D1568" s="68" t="str">
        <f t="shared" si="33"/>
        <v>Nabumali Town Council</v>
      </c>
      <c r="F1568" s="68">
        <v>976</v>
      </c>
    </row>
    <row r="1569" spans="1:6">
      <c r="A1569" s="68" t="s">
        <v>2245</v>
      </c>
      <c r="B1569" s="68" t="s">
        <v>2225</v>
      </c>
      <c r="C1569" s="68" t="s">
        <v>2226</v>
      </c>
      <c r="D1569" s="68" t="str">
        <f t="shared" si="33"/>
        <v>Nakaloke</v>
      </c>
      <c r="F1569" s="68">
        <v>977</v>
      </c>
    </row>
    <row r="1570" spans="1:6">
      <c r="A1570" s="68" t="s">
        <v>2246</v>
      </c>
      <c r="B1570" s="68" t="s">
        <v>2225</v>
      </c>
      <c r="C1570" s="68" t="s">
        <v>2226</v>
      </c>
      <c r="D1570" s="68" t="str">
        <f t="shared" si="33"/>
        <v>Nakaloke Town Council</v>
      </c>
      <c r="F1570" s="68">
        <v>978</v>
      </c>
    </row>
    <row r="1571" spans="1:6">
      <c r="A1571" s="68" t="s">
        <v>2247</v>
      </c>
      <c r="B1571" s="68" t="s">
        <v>2225</v>
      </c>
      <c r="C1571" s="68" t="s">
        <v>2226</v>
      </c>
      <c r="D1571" s="68" t="str">
        <f t="shared" si="33"/>
        <v>Namanyonyi</v>
      </c>
      <c r="F1571" s="68">
        <v>979</v>
      </c>
    </row>
    <row r="1572" spans="1:6">
      <c r="A1572" s="68" t="s">
        <v>2248</v>
      </c>
      <c r="B1572" s="68" t="s">
        <v>2225</v>
      </c>
      <c r="C1572" s="68" t="s">
        <v>2226</v>
      </c>
      <c r="D1572" s="68" t="str">
        <f t="shared" si="33"/>
        <v>Nyondo</v>
      </c>
      <c r="F1572" s="68">
        <v>980</v>
      </c>
    </row>
    <row r="1573" spans="1:6">
      <c r="A1573" s="68" t="s">
        <v>2249</v>
      </c>
      <c r="B1573" s="68" t="s">
        <v>2225</v>
      </c>
      <c r="C1573" s="68" t="s">
        <v>2226</v>
      </c>
      <c r="D1573" s="68" t="str">
        <f t="shared" si="33"/>
        <v>Wanale</v>
      </c>
      <c r="F1573" s="68">
        <v>981</v>
      </c>
    </row>
    <row r="1574" spans="1:6">
      <c r="A1574" s="68" t="s">
        <v>2250</v>
      </c>
      <c r="B1574" s="68" t="s">
        <v>2251</v>
      </c>
      <c r="C1574" s="68" t="s">
        <v>2252</v>
      </c>
      <c r="D1574" s="68" t="str">
        <f t="shared" si="33"/>
        <v>Bubaare-Mbarara</v>
      </c>
      <c r="F1574" s="68">
        <v>982</v>
      </c>
    </row>
    <row r="1575" spans="1:6">
      <c r="A1575" s="68" t="s">
        <v>182</v>
      </c>
      <c r="B1575" s="68" t="s">
        <v>2251</v>
      </c>
      <c r="C1575" s="68" t="s">
        <v>2252</v>
      </c>
      <c r="D1575" s="68" t="str">
        <f t="shared" si="33"/>
        <v>KWABIRI</v>
      </c>
      <c r="F1575" s="68">
        <v>982</v>
      </c>
    </row>
    <row r="1576" spans="1:6">
      <c r="A1576" s="68" t="s">
        <v>2253</v>
      </c>
      <c r="B1576" s="68" t="s">
        <v>2251</v>
      </c>
      <c r="C1576" s="68" t="s">
        <v>2254</v>
      </c>
      <c r="D1576" s="68" t="str">
        <f t="shared" si="33"/>
        <v>Bugamba</v>
      </c>
      <c r="F1576" s="68">
        <v>983</v>
      </c>
    </row>
    <row r="1577" spans="1:6">
      <c r="A1577" s="68" t="s">
        <v>2255</v>
      </c>
      <c r="B1577" s="68" t="s">
        <v>2251</v>
      </c>
      <c r="C1577" s="68" t="s">
        <v>2252</v>
      </c>
      <c r="D1577" s="68" t="str">
        <f t="shared" si="33"/>
        <v>Bukiro</v>
      </c>
      <c r="F1577" s="68">
        <v>984</v>
      </c>
    </row>
    <row r="1578" spans="1:6">
      <c r="A1578" s="68" t="s">
        <v>519</v>
      </c>
      <c r="B1578" s="68" t="s">
        <v>2251</v>
      </c>
      <c r="C1578" s="68" t="s">
        <v>2252</v>
      </c>
      <c r="D1578" s="68" t="str">
        <f t="shared" si="33"/>
        <v>NYARUBUNGO</v>
      </c>
      <c r="F1578" s="68">
        <v>984</v>
      </c>
    </row>
    <row r="1579" spans="1:6">
      <c r="A1579" s="68" t="s">
        <v>589</v>
      </c>
      <c r="B1579" s="68" t="s">
        <v>2251</v>
      </c>
      <c r="C1579" s="68" t="s">
        <v>2252</v>
      </c>
      <c r="D1579" s="68" t="str">
        <f t="shared" si="33"/>
        <v>RWIZIRINGIRO</v>
      </c>
      <c r="F1579" s="68">
        <v>984</v>
      </c>
    </row>
    <row r="1580" spans="1:6">
      <c r="A1580" s="68" t="s">
        <v>499</v>
      </c>
      <c r="B1580" s="68" t="s">
        <v>2251</v>
      </c>
      <c r="C1580" s="68" t="s">
        <v>2252</v>
      </c>
      <c r="D1580" s="68" t="str">
        <f t="shared" si="33"/>
        <v>RWEZIRINGIRO</v>
      </c>
      <c r="F1580" s="68">
        <v>984</v>
      </c>
    </row>
    <row r="1581" spans="1:6">
      <c r="A1581" s="68" t="s">
        <v>167</v>
      </c>
      <c r="B1581" s="68" t="s">
        <v>2251</v>
      </c>
      <c r="C1581" s="68" t="s">
        <v>2252</v>
      </c>
      <c r="D1581" s="68" t="str">
        <f t="shared" si="33"/>
        <v>RWEZILINGIRO</v>
      </c>
      <c r="F1581" s="68">
        <v>984</v>
      </c>
    </row>
    <row r="1582" spans="1:6">
      <c r="A1582" s="68" t="s">
        <v>2256</v>
      </c>
      <c r="B1582" s="68" t="s">
        <v>2251</v>
      </c>
      <c r="C1582" s="68" t="s">
        <v>2252</v>
      </c>
      <c r="D1582" s="68" t="str">
        <f t="shared" si="33"/>
        <v>Kagongi</v>
      </c>
      <c r="F1582" s="68">
        <v>985</v>
      </c>
    </row>
    <row r="1583" spans="1:6">
      <c r="A1583" s="68" t="s">
        <v>2257</v>
      </c>
      <c r="B1583" s="68" t="s">
        <v>2251</v>
      </c>
      <c r="C1583" s="68" t="s">
        <v>2252</v>
      </c>
      <c r="D1583" s="68" t="str">
        <f t="shared" si="33"/>
        <v>Kashare</v>
      </c>
      <c r="F1583" s="68">
        <v>986</v>
      </c>
    </row>
    <row r="1584" spans="1:6">
      <c r="A1584" s="68" t="s">
        <v>2258</v>
      </c>
      <c r="B1584" s="68" t="s">
        <v>2251</v>
      </c>
      <c r="C1584" s="68" t="s">
        <v>2258</v>
      </c>
      <c r="D1584" s="68" t="str">
        <f t="shared" si="33"/>
        <v>Mbarara Municipality</v>
      </c>
      <c r="F1584" s="68">
        <v>987</v>
      </c>
    </row>
    <row r="1585" spans="1:6">
      <c r="A1585" s="68" t="s">
        <v>184</v>
      </c>
      <c r="B1585" s="68" t="s">
        <v>2251</v>
      </c>
      <c r="C1585" s="68" t="s">
        <v>2258</v>
      </c>
      <c r="D1585" s="68" t="str">
        <f t="shared" si="33"/>
        <v>NYAKAYISHO</v>
      </c>
      <c r="F1585" s="68">
        <v>987</v>
      </c>
    </row>
    <row r="1586" spans="1:6">
      <c r="A1586" s="68" t="s">
        <v>584</v>
      </c>
      <c r="B1586" s="68" t="s">
        <v>2251</v>
      </c>
      <c r="C1586" s="68" t="s">
        <v>2258</v>
      </c>
      <c r="D1586" s="68" t="str">
        <f t="shared" si="33"/>
        <v>NGALAMA</v>
      </c>
      <c r="F1586" s="68">
        <v>987</v>
      </c>
    </row>
    <row r="1587" spans="1:6">
      <c r="A1587" s="68" t="s">
        <v>2259</v>
      </c>
      <c r="D1587" s="68" t="str">
        <f t="shared" si="33"/>
        <v>Mbarara town</v>
      </c>
      <c r="F1587" s="68">
        <v>987</v>
      </c>
    </row>
    <row r="1588" spans="1:6">
      <c r="A1588" s="68" t="s">
        <v>159</v>
      </c>
      <c r="D1588" s="68" t="str">
        <f t="shared" si="33"/>
        <v>RWEBIKOONA</v>
      </c>
      <c r="F1588" s="68">
        <v>987</v>
      </c>
    </row>
    <row r="1589" spans="1:6">
      <c r="A1589" s="68" t="s">
        <v>264</v>
      </c>
      <c r="D1589" s="68" t="str">
        <f t="shared" si="33"/>
        <v>RWABIKONA</v>
      </c>
      <c r="F1589" s="68">
        <v>987</v>
      </c>
    </row>
    <row r="1590" spans="1:6">
      <c r="A1590" s="68" t="s">
        <v>2260</v>
      </c>
      <c r="D1590" s="68" t="str">
        <f t="shared" si="33"/>
        <v>MBARARA CITY</v>
      </c>
      <c r="F1590" s="68">
        <v>987</v>
      </c>
    </row>
    <row r="1591" spans="1:6">
      <c r="A1591" s="68" t="s">
        <v>173</v>
      </c>
      <c r="D1591" s="68" t="str">
        <f t="shared" si="33"/>
        <v>NYAMITANGA</v>
      </c>
      <c r="F1591" s="68">
        <v>987</v>
      </c>
    </row>
    <row r="1592" spans="1:6">
      <c r="A1592" s="68" t="s">
        <v>3223</v>
      </c>
      <c r="D1592" s="68" t="str">
        <f t="shared" si="33"/>
        <v>Ntale</v>
      </c>
      <c r="F1592" s="68">
        <v>987</v>
      </c>
    </row>
    <row r="1593" spans="1:6">
      <c r="A1593" s="68" t="s">
        <v>2261</v>
      </c>
      <c r="D1593" s="68" t="str">
        <f t="shared" si="33"/>
        <v>KAKIIKA</v>
      </c>
      <c r="F1593" s="68">
        <v>987</v>
      </c>
    </row>
    <row r="1594" spans="1:6">
      <c r="A1594" s="68" t="s">
        <v>540</v>
      </c>
      <c r="D1594" s="68" t="str">
        <f t="shared" si="33"/>
        <v>KAKIKA</v>
      </c>
      <c r="F1594" s="68">
        <v>987</v>
      </c>
    </row>
    <row r="1595" spans="1:6">
      <c r="A1595" s="68" t="s">
        <v>526</v>
      </c>
      <c r="D1595" s="68" t="str">
        <f t="shared" si="33"/>
        <v>MAKENKE</v>
      </c>
      <c r="F1595" s="68">
        <v>987</v>
      </c>
    </row>
    <row r="1596" spans="1:6">
      <c r="A1596" s="68" t="s">
        <v>148</v>
      </c>
      <c r="D1596" s="68" t="str">
        <f t="shared" si="33"/>
        <v>MBARARA</v>
      </c>
      <c r="F1596" s="68">
        <v>987</v>
      </c>
    </row>
    <row r="1597" spans="1:6">
      <c r="A1597" s="68" t="s">
        <v>2262</v>
      </c>
      <c r="D1597" s="68" t="str">
        <f t="shared" si="33"/>
        <v>LAKE MBURO PARK</v>
      </c>
      <c r="F1597" s="68">
        <v>987</v>
      </c>
    </row>
    <row r="1598" spans="1:6">
      <c r="A1598" s="68" t="s">
        <v>2263</v>
      </c>
      <c r="D1598" s="68" t="str">
        <f t="shared" si="33"/>
        <v>KAGANGO</v>
      </c>
      <c r="F1598" s="68">
        <v>987</v>
      </c>
    </row>
    <row r="1599" spans="1:6">
      <c r="A1599" s="68" t="s">
        <v>2264</v>
      </c>
      <c r="B1599" s="68" t="s">
        <v>2251</v>
      </c>
      <c r="C1599" s="68" t="s">
        <v>2254</v>
      </c>
      <c r="D1599" s="68" t="str">
        <f t="shared" si="33"/>
        <v>Mwizi</v>
      </c>
      <c r="F1599" s="68">
        <v>988</v>
      </c>
    </row>
    <row r="1600" spans="1:6">
      <c r="A1600" s="68" t="s">
        <v>223</v>
      </c>
      <c r="D1600" s="68" t="str">
        <f t="shared" si="33"/>
        <v>KAKOBA</v>
      </c>
      <c r="F1600" s="68">
        <v>988</v>
      </c>
    </row>
    <row r="1601" spans="1:6">
      <c r="A1601" s="68" t="s">
        <v>450</v>
      </c>
      <c r="D1601" s="68" t="str">
        <f t="shared" ref="D1601:D1664" si="34">A1601</f>
        <v>KIZUNGU</v>
      </c>
      <c r="F1601" s="68">
        <v>988</v>
      </c>
    </row>
    <row r="1602" spans="1:6">
      <c r="A1602" s="68" t="s">
        <v>3234</v>
      </c>
      <c r="B1602" s="68" t="s">
        <v>2251</v>
      </c>
      <c r="D1602" s="68" t="str">
        <f t="shared" si="34"/>
        <v>Ndija</v>
      </c>
      <c r="F1602" s="68">
        <v>989</v>
      </c>
    </row>
    <row r="1603" spans="1:6">
      <c r="A1603" s="68" t="s">
        <v>2265</v>
      </c>
      <c r="B1603" s="68" t="s">
        <v>2251</v>
      </c>
      <c r="C1603" s="68" t="s">
        <v>2254</v>
      </c>
      <c r="D1603" s="68" t="str">
        <f t="shared" si="34"/>
        <v>Ndeija</v>
      </c>
      <c r="F1603" s="68">
        <v>989</v>
      </c>
    </row>
    <row r="1604" spans="1:6">
      <c r="A1604" s="68" t="s">
        <v>2266</v>
      </c>
      <c r="B1604" s="68" t="s">
        <v>2251</v>
      </c>
      <c r="C1604" s="68" t="s">
        <v>2252</v>
      </c>
      <c r="D1604" s="68" t="str">
        <f t="shared" si="34"/>
        <v>Rubaya-Mbarara</v>
      </c>
      <c r="F1604" s="68">
        <v>990</v>
      </c>
    </row>
    <row r="1605" spans="1:6">
      <c r="A1605" s="68" t="s">
        <v>313</v>
      </c>
      <c r="D1605" s="68" t="str">
        <f t="shared" si="34"/>
        <v>BIHARWE</v>
      </c>
      <c r="F1605" s="68">
        <v>990</v>
      </c>
    </row>
    <row r="1606" spans="1:6">
      <c r="A1606" s="68" t="s">
        <v>2267</v>
      </c>
      <c r="D1606" s="68" t="str">
        <f t="shared" si="34"/>
        <v>KASHAKA</v>
      </c>
      <c r="F1606" s="68">
        <v>990</v>
      </c>
    </row>
    <row r="1607" spans="1:6">
      <c r="A1607" s="68" t="s">
        <v>2268</v>
      </c>
      <c r="B1607" s="68" t="s">
        <v>2251</v>
      </c>
      <c r="C1607" s="68" t="s">
        <v>2252</v>
      </c>
      <c r="D1607" s="68" t="str">
        <f t="shared" si="34"/>
        <v>Rubindi</v>
      </c>
      <c r="F1607" s="68">
        <v>991</v>
      </c>
    </row>
    <row r="1608" spans="1:6">
      <c r="A1608" s="68" t="s">
        <v>281</v>
      </c>
      <c r="B1608" s="68" t="s">
        <v>2251</v>
      </c>
      <c r="C1608" s="68" t="s">
        <v>2252</v>
      </c>
      <c r="D1608" s="68" t="str">
        <f t="shared" si="34"/>
        <v>RUMBIDI</v>
      </c>
      <c r="F1608" s="68">
        <v>991</v>
      </c>
    </row>
    <row r="1609" spans="1:6">
      <c r="A1609" s="68" t="s">
        <v>342</v>
      </c>
      <c r="D1609" s="68" t="str">
        <f t="shared" si="34"/>
        <v>KABARE</v>
      </c>
      <c r="F1609" s="68">
        <v>991</v>
      </c>
    </row>
    <row r="1610" spans="1:6">
      <c r="A1610" s="68" t="s">
        <v>2269</v>
      </c>
      <c r="B1610" s="68" t="s">
        <v>2251</v>
      </c>
      <c r="C1610" s="68" t="s">
        <v>2254</v>
      </c>
      <c r="D1610" s="68" t="str">
        <f t="shared" si="34"/>
        <v>Rugando</v>
      </c>
      <c r="F1610" s="68">
        <v>992</v>
      </c>
    </row>
    <row r="1611" spans="1:6">
      <c r="A1611" s="68" t="s">
        <v>2270</v>
      </c>
      <c r="B1611" s="68" t="s">
        <v>2251</v>
      </c>
      <c r="C1611" s="68" t="s">
        <v>2252</v>
      </c>
      <c r="D1611" s="68" t="str">
        <f t="shared" si="34"/>
        <v>Rwanyamahembe</v>
      </c>
      <c r="F1611" s="68">
        <v>993</v>
      </c>
    </row>
    <row r="1612" spans="1:6">
      <c r="A1612" s="68" t="s">
        <v>2271</v>
      </c>
      <c r="B1612" s="68" t="s">
        <v>46</v>
      </c>
      <c r="C1612" s="68" t="s">
        <v>2272</v>
      </c>
      <c r="D1612" s="68" t="str">
        <f t="shared" si="34"/>
        <v>Bitereko</v>
      </c>
      <c r="F1612" s="68">
        <v>994</v>
      </c>
    </row>
    <row r="1613" spans="1:6">
      <c r="A1613" s="68" t="s">
        <v>2273</v>
      </c>
      <c r="B1613" s="68" t="s">
        <v>46</v>
      </c>
      <c r="C1613" s="68" t="s">
        <v>2272</v>
      </c>
      <c r="D1613" s="68" t="str">
        <f t="shared" si="34"/>
        <v>Kanyabwanga</v>
      </c>
      <c r="F1613" s="68">
        <v>996</v>
      </c>
    </row>
    <row r="1614" spans="1:6">
      <c r="A1614" s="68" t="s">
        <v>2274</v>
      </c>
      <c r="B1614" s="68" t="s">
        <v>46</v>
      </c>
      <c r="C1614" s="68" t="s">
        <v>2272</v>
      </c>
      <c r="D1614" s="68" t="str">
        <f t="shared" si="34"/>
        <v>Kashenshero</v>
      </c>
      <c r="F1614" s="68">
        <v>997</v>
      </c>
    </row>
    <row r="1615" spans="1:6">
      <c r="A1615" s="68" t="s">
        <v>2275</v>
      </c>
      <c r="B1615" s="68" t="s">
        <v>46</v>
      </c>
      <c r="C1615" s="68" t="s">
        <v>2272</v>
      </c>
      <c r="D1615" s="68" t="str">
        <f t="shared" si="34"/>
        <v>Kashenshero Town Council</v>
      </c>
      <c r="F1615" s="68">
        <v>998</v>
      </c>
    </row>
    <row r="1616" spans="1:6">
      <c r="A1616" s="68" t="s">
        <v>2276</v>
      </c>
      <c r="B1616" s="68" t="s">
        <v>46</v>
      </c>
      <c r="C1616" s="68" t="s">
        <v>2272</v>
      </c>
      <c r="D1616" s="68" t="str">
        <f t="shared" si="34"/>
        <v>Katenga</v>
      </c>
      <c r="F1616" s="68">
        <v>999</v>
      </c>
    </row>
    <row r="1617" spans="1:6">
      <c r="A1617" s="68" t="s">
        <v>2277</v>
      </c>
      <c r="B1617" s="68" t="s">
        <v>46</v>
      </c>
      <c r="C1617" s="68" t="s">
        <v>2272</v>
      </c>
      <c r="D1617" s="68" t="str">
        <f t="shared" si="34"/>
        <v>Kiyanga</v>
      </c>
      <c r="F1617" s="68">
        <v>1000</v>
      </c>
    </row>
    <row r="1618" spans="1:6">
      <c r="A1618" s="68" t="s">
        <v>2278</v>
      </c>
      <c r="B1618" s="68" t="s">
        <v>46</v>
      </c>
      <c r="C1618" s="68" t="s">
        <v>2272</v>
      </c>
      <c r="D1618" s="68" t="str">
        <f t="shared" si="34"/>
        <v>Mayanga</v>
      </c>
      <c r="F1618" s="68">
        <v>1001</v>
      </c>
    </row>
    <row r="1619" spans="1:6">
      <c r="A1619" s="68" t="s">
        <v>46</v>
      </c>
      <c r="B1619" s="68" t="s">
        <v>46</v>
      </c>
      <c r="C1619" s="68" t="s">
        <v>2272</v>
      </c>
      <c r="D1619" s="68" t="str">
        <f t="shared" si="34"/>
        <v>Mitooma</v>
      </c>
      <c r="F1619" s="68">
        <v>1002</v>
      </c>
    </row>
    <row r="1620" spans="1:6">
      <c r="A1620" s="68" t="s">
        <v>2279</v>
      </c>
      <c r="D1620" s="68" t="str">
        <f t="shared" si="34"/>
        <v>MITOOMA CITY</v>
      </c>
      <c r="F1620" s="68">
        <v>1002</v>
      </c>
    </row>
    <row r="1621" spans="1:6">
      <c r="A1621" s="68" t="s">
        <v>2280</v>
      </c>
      <c r="B1621" s="68" t="s">
        <v>46</v>
      </c>
      <c r="C1621" s="68" t="s">
        <v>2272</v>
      </c>
      <c r="D1621" s="68" t="str">
        <f t="shared" si="34"/>
        <v>Mitooma Town Council</v>
      </c>
      <c r="F1621" s="68">
        <v>1003</v>
      </c>
    </row>
    <row r="1622" spans="1:6">
      <c r="A1622" s="68" t="s">
        <v>2281</v>
      </c>
      <c r="B1622" s="68" t="s">
        <v>46</v>
      </c>
      <c r="C1622" s="68" t="s">
        <v>2272</v>
      </c>
      <c r="D1622" s="68" t="str">
        <f t="shared" si="34"/>
        <v>Mutara</v>
      </c>
      <c r="F1622" s="68">
        <v>1004</v>
      </c>
    </row>
    <row r="1623" spans="1:6">
      <c r="A1623" s="68" t="s">
        <v>2282</v>
      </c>
      <c r="B1623" s="68" t="s">
        <v>46</v>
      </c>
      <c r="C1623" s="68" t="s">
        <v>2272</v>
      </c>
      <c r="D1623" s="68" t="str">
        <f t="shared" si="34"/>
        <v>Rurehe</v>
      </c>
      <c r="F1623" s="68">
        <v>1005</v>
      </c>
    </row>
    <row r="1624" spans="1:6">
      <c r="A1624" s="68" t="s">
        <v>2283</v>
      </c>
      <c r="B1624" s="68" t="s">
        <v>2284</v>
      </c>
      <c r="C1624" s="68" t="s">
        <v>2285</v>
      </c>
      <c r="D1624" s="68" t="str">
        <f t="shared" si="34"/>
        <v>Bbanda</v>
      </c>
      <c r="F1624" s="68">
        <v>1006</v>
      </c>
    </row>
    <row r="1625" spans="1:6">
      <c r="A1625" s="68" t="s">
        <v>2285</v>
      </c>
      <c r="D1625" s="68" t="str">
        <f t="shared" si="34"/>
        <v>Busujju</v>
      </c>
      <c r="F1625" s="68">
        <v>1006</v>
      </c>
    </row>
    <row r="1626" spans="1:6">
      <c r="A1626" s="68" t="s">
        <v>2286</v>
      </c>
      <c r="B1626" s="68" t="s">
        <v>2284</v>
      </c>
      <c r="C1626" s="68" t="s">
        <v>2284</v>
      </c>
      <c r="D1626" s="68" t="str">
        <f t="shared" si="34"/>
        <v>Bulera</v>
      </c>
      <c r="F1626" s="68">
        <v>1007</v>
      </c>
    </row>
    <row r="1627" spans="1:6">
      <c r="A1627" s="68" t="s">
        <v>2287</v>
      </c>
      <c r="B1627" s="68" t="s">
        <v>2284</v>
      </c>
      <c r="C1627" s="68" t="s">
        <v>2288</v>
      </c>
      <c r="D1627" s="68" t="str">
        <f t="shared" si="34"/>
        <v>Busimbi Division</v>
      </c>
      <c r="F1627" s="68">
        <v>1008</v>
      </c>
    </row>
    <row r="1628" spans="1:6">
      <c r="A1628" s="68" t="s">
        <v>2289</v>
      </c>
      <c r="B1628" s="68" t="s">
        <v>2284</v>
      </c>
      <c r="C1628" s="68" t="s">
        <v>2284</v>
      </c>
      <c r="D1628" s="68" t="str">
        <f t="shared" si="34"/>
        <v>Busunju Town Council</v>
      </c>
      <c r="F1628" s="68">
        <v>1009</v>
      </c>
    </row>
    <row r="1629" spans="1:6">
      <c r="A1629" s="68" t="s">
        <v>2290</v>
      </c>
      <c r="D1629" s="68" t="str">
        <f t="shared" si="34"/>
        <v>Busunju</v>
      </c>
      <c r="F1629" s="68">
        <v>1009</v>
      </c>
    </row>
    <row r="1630" spans="1:6">
      <c r="A1630" s="68" t="s">
        <v>2291</v>
      </c>
      <c r="D1630" s="68" t="str">
        <f t="shared" si="34"/>
        <v>Busunjo</v>
      </c>
      <c r="F1630" s="68">
        <v>1009</v>
      </c>
    </row>
    <row r="1631" spans="1:6">
      <c r="A1631" s="68" t="s">
        <v>2292</v>
      </c>
      <c r="D1631" s="68" t="str">
        <f t="shared" si="34"/>
        <v>BUSINJU</v>
      </c>
      <c r="F1631" s="68">
        <v>1009</v>
      </c>
    </row>
    <row r="1632" spans="1:6">
      <c r="A1632" s="68" t="s">
        <v>2293</v>
      </c>
      <c r="D1632" s="68" t="str">
        <f t="shared" si="34"/>
        <v>Busunjju</v>
      </c>
      <c r="F1632" s="68">
        <v>1009</v>
      </c>
    </row>
    <row r="1633" spans="1:6">
      <c r="A1633" s="68" t="s">
        <v>2294</v>
      </c>
      <c r="B1633" s="68" t="s">
        <v>2284</v>
      </c>
      <c r="C1633" s="68" t="s">
        <v>2285</v>
      </c>
      <c r="D1633" s="68" t="str">
        <f t="shared" si="34"/>
        <v>Butayunja</v>
      </c>
      <c r="F1633" s="68">
        <v>1010</v>
      </c>
    </row>
    <row r="1634" spans="1:6">
      <c r="A1634" s="68" t="s">
        <v>2295</v>
      </c>
      <c r="B1634" s="68" t="s">
        <v>2284</v>
      </c>
      <c r="C1634" s="68" t="s">
        <v>2285</v>
      </c>
      <c r="D1634" s="68" t="str">
        <f t="shared" si="34"/>
        <v>Kakindu</v>
      </c>
      <c r="F1634" s="68">
        <v>1011</v>
      </c>
    </row>
    <row r="1635" spans="1:6">
      <c r="A1635" s="68" t="s">
        <v>2296</v>
      </c>
      <c r="B1635" s="68" t="s">
        <v>2284</v>
      </c>
      <c r="C1635" s="68" t="s">
        <v>2284</v>
      </c>
      <c r="D1635" s="68" t="str">
        <f t="shared" si="34"/>
        <v>Kalangaalo</v>
      </c>
      <c r="F1635" s="68">
        <v>1012</v>
      </c>
    </row>
    <row r="1636" spans="1:6">
      <c r="A1636" s="68" t="s">
        <v>2297</v>
      </c>
      <c r="B1636" s="68" t="s">
        <v>2284</v>
      </c>
      <c r="C1636" s="68" t="s">
        <v>2284</v>
      </c>
      <c r="D1636" s="68" t="str">
        <f t="shared" si="34"/>
        <v>Kikandwa</v>
      </c>
      <c r="F1636" s="68">
        <v>1013</v>
      </c>
    </row>
    <row r="1637" spans="1:6">
      <c r="A1637" s="68" t="s">
        <v>2298</v>
      </c>
      <c r="B1637" s="68" t="s">
        <v>2284</v>
      </c>
      <c r="C1637" s="68" t="s">
        <v>2285</v>
      </c>
      <c r="D1637" s="68" t="str">
        <f t="shared" si="34"/>
        <v>Maanyi</v>
      </c>
      <c r="F1637" s="68">
        <v>1014</v>
      </c>
    </row>
    <row r="1638" spans="1:6">
      <c r="A1638" s="68" t="s">
        <v>2299</v>
      </c>
      <c r="B1638" s="68" t="s">
        <v>2284</v>
      </c>
      <c r="C1638" s="68" t="s">
        <v>2285</v>
      </c>
      <c r="D1638" s="68" t="str">
        <f t="shared" si="34"/>
        <v>Malangala</v>
      </c>
      <c r="F1638" s="68">
        <v>1015</v>
      </c>
    </row>
    <row r="1639" spans="1:6">
      <c r="A1639" s="68" t="s">
        <v>2288</v>
      </c>
      <c r="B1639" s="68" t="s">
        <v>2284</v>
      </c>
      <c r="C1639" s="68" t="s">
        <v>2288</v>
      </c>
      <c r="D1639" s="68" t="str">
        <f t="shared" si="34"/>
        <v>Mityana Municipality</v>
      </c>
      <c r="F1639" s="68">
        <v>1016</v>
      </c>
    </row>
    <row r="1640" spans="1:6">
      <c r="A1640" s="68" t="s">
        <v>2300</v>
      </c>
      <c r="D1640" s="68" t="str">
        <f t="shared" si="34"/>
        <v xml:space="preserve">Mityana  </v>
      </c>
      <c r="F1640" s="68">
        <v>1016</v>
      </c>
    </row>
    <row r="1641" spans="1:6">
      <c r="A1641" s="68" t="s">
        <v>2301</v>
      </c>
      <c r="D1641" s="68" t="str">
        <f t="shared" si="34"/>
        <v>Busula</v>
      </c>
      <c r="F1641" s="68">
        <v>1016</v>
      </c>
    </row>
    <row r="1642" spans="1:6">
      <c r="A1642" s="68" t="s">
        <v>2302</v>
      </c>
      <c r="D1642" s="68" t="str">
        <f t="shared" si="34"/>
        <v>MITIYANA</v>
      </c>
      <c r="F1642" s="68">
        <v>1016</v>
      </c>
    </row>
    <row r="1643" spans="1:6">
      <c r="A1643" s="68" t="s">
        <v>2303</v>
      </c>
      <c r="D1643" s="68" t="str">
        <f t="shared" si="34"/>
        <v>KOONA</v>
      </c>
      <c r="F1643" s="68">
        <v>1016</v>
      </c>
    </row>
    <row r="1644" spans="1:6">
      <c r="A1644" s="68" t="s">
        <v>2304</v>
      </c>
      <c r="D1644" s="68" t="str">
        <f t="shared" si="34"/>
        <v>SEKANYONYI</v>
      </c>
      <c r="F1644" s="68">
        <v>1016</v>
      </c>
    </row>
    <row r="1645" spans="1:6">
      <c r="A1645" s="68" t="s">
        <v>2284</v>
      </c>
      <c r="D1645" s="68" t="str">
        <f t="shared" si="34"/>
        <v>Mityana</v>
      </c>
      <c r="F1645" s="68">
        <v>1016</v>
      </c>
    </row>
    <row r="1646" spans="1:6">
      <c r="A1646" s="68" t="s">
        <v>2305</v>
      </c>
      <c r="D1646" s="68" t="str">
        <f t="shared" si="34"/>
        <v>Mityana town</v>
      </c>
      <c r="F1646" s="68">
        <v>1016</v>
      </c>
    </row>
    <row r="1647" spans="1:6">
      <c r="A1647" s="68" t="s">
        <v>2306</v>
      </c>
      <c r="D1647" s="68" t="str">
        <f t="shared" si="34"/>
        <v>Mitiyana town</v>
      </c>
      <c r="F1647" s="68">
        <v>1016</v>
      </c>
    </row>
    <row r="1648" spans="1:6">
      <c r="A1648" s="68" t="s">
        <v>2307</v>
      </c>
      <c r="B1648" s="68" t="s">
        <v>2284</v>
      </c>
      <c r="C1648" s="68" t="s">
        <v>2284</v>
      </c>
      <c r="D1648" s="68" t="str">
        <f t="shared" si="34"/>
        <v>Namungo</v>
      </c>
      <c r="F1648" s="68">
        <v>1017</v>
      </c>
    </row>
    <row r="1649" spans="1:6">
      <c r="A1649" s="68" t="s">
        <v>2308</v>
      </c>
      <c r="B1649" s="68" t="s">
        <v>2284</v>
      </c>
      <c r="C1649" s="68" t="s">
        <v>2284</v>
      </c>
      <c r="D1649" s="68" t="str">
        <f t="shared" si="34"/>
        <v>Ssekanyonyi</v>
      </c>
      <c r="F1649" s="68">
        <v>1018</v>
      </c>
    </row>
    <row r="1650" spans="1:6">
      <c r="A1650" s="68" t="s">
        <v>2309</v>
      </c>
      <c r="B1650" s="68" t="s">
        <v>679</v>
      </c>
      <c r="C1650" s="68" t="s">
        <v>2310</v>
      </c>
      <c r="D1650" s="68" t="str">
        <f t="shared" si="34"/>
        <v>Katikekile</v>
      </c>
      <c r="F1650" s="68">
        <v>1019</v>
      </c>
    </row>
    <row r="1651" spans="1:6">
      <c r="A1651" s="68" t="s">
        <v>2311</v>
      </c>
      <c r="B1651" s="68" t="s">
        <v>679</v>
      </c>
      <c r="C1651" s="68" t="s">
        <v>2311</v>
      </c>
      <c r="D1651" s="68" t="str">
        <f t="shared" si="34"/>
        <v>Moroto Municipality</v>
      </c>
      <c r="F1651" s="68">
        <v>1020</v>
      </c>
    </row>
    <row r="1652" spans="1:6">
      <c r="A1652" s="68" t="s">
        <v>2312</v>
      </c>
      <c r="D1652" s="68" t="str">
        <f t="shared" si="34"/>
        <v>MOROTO</v>
      </c>
      <c r="F1652" s="68">
        <v>1020</v>
      </c>
    </row>
    <row r="1653" spans="1:6">
      <c r="A1653" s="68" t="s">
        <v>2313</v>
      </c>
      <c r="B1653" s="68" t="s">
        <v>679</v>
      </c>
      <c r="C1653" s="68" t="s">
        <v>2310</v>
      </c>
      <c r="D1653" s="68" t="str">
        <f t="shared" si="34"/>
        <v>Nadunget</v>
      </c>
      <c r="F1653" s="68">
        <v>1021</v>
      </c>
    </row>
    <row r="1654" spans="1:6">
      <c r="A1654" s="68" t="s">
        <v>2314</v>
      </c>
      <c r="B1654" s="68" t="s">
        <v>679</v>
      </c>
      <c r="C1654" s="68" t="s">
        <v>2310</v>
      </c>
      <c r="D1654" s="68" t="str">
        <f t="shared" si="34"/>
        <v>Rupa</v>
      </c>
      <c r="F1654" s="68">
        <v>1022</v>
      </c>
    </row>
    <row r="1655" spans="1:6">
      <c r="A1655" s="68" t="s">
        <v>2315</v>
      </c>
      <c r="B1655" s="68" t="s">
        <v>679</v>
      </c>
      <c r="C1655" s="68" t="s">
        <v>2310</v>
      </c>
      <c r="D1655" s="68" t="str">
        <f t="shared" si="34"/>
        <v>Tapac</v>
      </c>
      <c r="F1655" s="68">
        <v>1023</v>
      </c>
    </row>
    <row r="1656" spans="1:6">
      <c r="A1656" s="68" t="s">
        <v>2316</v>
      </c>
      <c r="B1656" s="68" t="s">
        <v>2317</v>
      </c>
      <c r="C1656" s="68" t="s">
        <v>2318</v>
      </c>
      <c r="D1656" s="68" t="str">
        <f t="shared" si="34"/>
        <v>Aliba</v>
      </c>
      <c r="F1656" s="68">
        <v>1024</v>
      </c>
    </row>
    <row r="1657" spans="1:6">
      <c r="A1657" s="68" t="s">
        <v>2319</v>
      </c>
      <c r="B1657" s="68" t="s">
        <v>2317</v>
      </c>
      <c r="C1657" s="68" t="s">
        <v>2320</v>
      </c>
      <c r="D1657" s="68" t="str">
        <f t="shared" si="34"/>
        <v>Difule</v>
      </c>
      <c r="F1657" s="68">
        <v>1025</v>
      </c>
    </row>
    <row r="1658" spans="1:6">
      <c r="A1658" s="68" t="s">
        <v>2321</v>
      </c>
      <c r="B1658" s="68" t="s">
        <v>2317</v>
      </c>
      <c r="C1658" s="68" t="s">
        <v>2318</v>
      </c>
      <c r="D1658" s="68" t="str">
        <f t="shared" si="34"/>
        <v>Gimara</v>
      </c>
      <c r="F1658" s="68">
        <v>1026</v>
      </c>
    </row>
    <row r="1659" spans="1:6">
      <c r="A1659" s="68" t="s">
        <v>2322</v>
      </c>
      <c r="B1659" s="68" t="s">
        <v>2317</v>
      </c>
      <c r="C1659" s="68" t="s">
        <v>2318</v>
      </c>
      <c r="D1659" s="68" t="str">
        <f t="shared" si="34"/>
        <v>Itula</v>
      </c>
      <c r="F1659" s="68">
        <v>1027</v>
      </c>
    </row>
    <row r="1660" spans="1:6">
      <c r="A1660" s="68" t="s">
        <v>2323</v>
      </c>
      <c r="B1660" s="68" t="s">
        <v>2317</v>
      </c>
      <c r="C1660" s="68" t="s">
        <v>2320</v>
      </c>
      <c r="D1660" s="68" t="str">
        <f t="shared" si="34"/>
        <v>Laropi</v>
      </c>
      <c r="F1660" s="68">
        <v>1028</v>
      </c>
    </row>
    <row r="1661" spans="1:6">
      <c r="A1661" s="68" t="s">
        <v>2324</v>
      </c>
      <c r="B1661" s="68" t="s">
        <v>2317</v>
      </c>
      <c r="C1661" s="68" t="s">
        <v>2320</v>
      </c>
      <c r="D1661" s="68" t="str">
        <f t="shared" si="34"/>
        <v>Lefori</v>
      </c>
      <c r="F1661" s="68">
        <v>1029</v>
      </c>
    </row>
    <row r="1662" spans="1:6">
      <c r="A1662" s="68" t="s">
        <v>2325</v>
      </c>
      <c r="B1662" s="68" t="s">
        <v>2317</v>
      </c>
      <c r="C1662" s="68" t="s">
        <v>2320</v>
      </c>
      <c r="D1662" s="68" t="str">
        <f t="shared" si="34"/>
        <v>Metu</v>
      </c>
      <c r="F1662" s="68">
        <v>1030</v>
      </c>
    </row>
    <row r="1663" spans="1:6">
      <c r="A1663" s="68" t="s">
        <v>2317</v>
      </c>
      <c r="B1663" s="68" t="s">
        <v>2317</v>
      </c>
      <c r="C1663" s="68" t="s">
        <v>2320</v>
      </c>
      <c r="D1663" s="68" t="str">
        <f t="shared" si="34"/>
        <v>Moyo</v>
      </c>
      <c r="F1663" s="68">
        <v>1031</v>
      </c>
    </row>
    <row r="1664" spans="1:6">
      <c r="A1664" s="68" t="s">
        <v>2326</v>
      </c>
      <c r="B1664" s="68" t="s">
        <v>2317</v>
      </c>
      <c r="C1664" s="68" t="s">
        <v>2320</v>
      </c>
      <c r="D1664" s="68" t="str">
        <f t="shared" si="34"/>
        <v>Moyo Town Council</v>
      </c>
      <c r="F1664" s="68">
        <v>1032</v>
      </c>
    </row>
    <row r="1665" spans="1:6">
      <c r="A1665" s="68" t="s">
        <v>2327</v>
      </c>
      <c r="B1665" s="68" t="s">
        <v>2328</v>
      </c>
      <c r="C1665" s="68" t="s">
        <v>2329</v>
      </c>
      <c r="D1665" s="68" t="str">
        <f t="shared" ref="D1665:D1728" si="35">A1665</f>
        <v>Buwama</v>
      </c>
      <c r="F1665" s="68">
        <v>1033</v>
      </c>
    </row>
    <row r="1666" spans="1:6">
      <c r="A1666" s="68" t="s">
        <v>2330</v>
      </c>
      <c r="B1666" s="68" t="s">
        <v>2328</v>
      </c>
      <c r="C1666" s="68" t="s">
        <v>2329</v>
      </c>
      <c r="D1666" s="68" t="str">
        <f t="shared" si="35"/>
        <v>Kammengo</v>
      </c>
      <c r="F1666" s="68">
        <v>1034</v>
      </c>
    </row>
    <row r="1667" spans="1:6">
      <c r="A1667" s="68" t="s">
        <v>2331</v>
      </c>
      <c r="B1667" s="68" t="s">
        <v>2328</v>
      </c>
      <c r="C1667" s="68" t="s">
        <v>2329</v>
      </c>
      <c r="D1667" s="68" t="str">
        <f t="shared" si="35"/>
        <v>Kiringente</v>
      </c>
      <c r="F1667" s="68">
        <v>1035</v>
      </c>
    </row>
    <row r="1668" spans="1:6">
      <c r="A1668" s="68" t="s">
        <v>2332</v>
      </c>
      <c r="B1668" s="68" t="s">
        <v>2328</v>
      </c>
      <c r="C1668" s="68" t="s">
        <v>2329</v>
      </c>
      <c r="D1668" s="68" t="str">
        <f t="shared" si="35"/>
        <v>Kituntu</v>
      </c>
      <c r="F1668" s="68">
        <v>1036</v>
      </c>
    </row>
    <row r="1669" spans="1:6">
      <c r="A1669" s="68" t="s">
        <v>2333</v>
      </c>
      <c r="B1669" s="68" t="s">
        <v>2328</v>
      </c>
      <c r="C1669" s="68" t="s">
        <v>2329</v>
      </c>
      <c r="D1669" s="68" t="str">
        <f t="shared" si="35"/>
        <v>Mpigi Town Council</v>
      </c>
      <c r="F1669" s="68">
        <v>1037</v>
      </c>
    </row>
    <row r="1670" spans="1:6">
      <c r="A1670" s="68" t="s">
        <v>2334</v>
      </c>
      <c r="D1670" s="68" t="str">
        <f t="shared" si="35"/>
        <v xml:space="preserve">MPIGI TOWN </v>
      </c>
      <c r="F1670" s="68">
        <v>1037</v>
      </c>
    </row>
    <row r="1671" spans="1:6">
      <c r="A1671" s="68" t="s">
        <v>2335</v>
      </c>
      <c r="D1671" s="68" t="str">
        <f t="shared" si="35"/>
        <v>Kayabwe</v>
      </c>
      <c r="F1671" s="68">
        <v>1037</v>
      </c>
    </row>
    <row r="1672" spans="1:6">
      <c r="A1672" s="68" t="s">
        <v>2336</v>
      </c>
      <c r="D1672" s="68" t="str">
        <f t="shared" si="35"/>
        <v>Watubba</v>
      </c>
      <c r="F1672" s="68">
        <v>1037</v>
      </c>
    </row>
    <row r="1673" spans="1:6">
      <c r="A1673" s="68" t="s">
        <v>2337</v>
      </c>
      <c r="D1673" s="68" t="str">
        <f t="shared" si="35"/>
        <v>Kayebwe</v>
      </c>
      <c r="F1673" s="68">
        <v>1037</v>
      </c>
    </row>
    <row r="1674" spans="1:6">
      <c r="A1674" s="68" t="s">
        <v>2338</v>
      </c>
      <c r="D1674" s="68" t="str">
        <f t="shared" si="35"/>
        <v>MPIGI</v>
      </c>
      <c r="F1674" s="68">
        <v>1037</v>
      </c>
    </row>
    <row r="1675" spans="1:6">
      <c r="A1675" s="68" t="s">
        <v>2339</v>
      </c>
      <c r="B1675" s="68" t="s">
        <v>2328</v>
      </c>
      <c r="C1675" s="68" t="s">
        <v>2329</v>
      </c>
      <c r="D1675" s="68" t="str">
        <f t="shared" si="35"/>
        <v>Muduuma</v>
      </c>
      <c r="F1675" s="68">
        <v>1038</v>
      </c>
    </row>
    <row r="1676" spans="1:6">
      <c r="A1676" s="68" t="s">
        <v>2340</v>
      </c>
      <c r="B1676" s="68" t="s">
        <v>2328</v>
      </c>
      <c r="C1676" s="68" t="s">
        <v>2329</v>
      </c>
      <c r="D1676" s="68" t="str">
        <f t="shared" si="35"/>
        <v>Nkozi</v>
      </c>
      <c r="F1676" s="68">
        <v>1039</v>
      </c>
    </row>
    <row r="1677" spans="1:6">
      <c r="A1677" s="68" t="s">
        <v>2341</v>
      </c>
      <c r="B1677" s="68" t="s">
        <v>2342</v>
      </c>
      <c r="C1677" s="68" t="s">
        <v>2343</v>
      </c>
      <c r="D1677" s="68" t="str">
        <f t="shared" si="35"/>
        <v>Bagezza</v>
      </c>
      <c r="F1677" s="68">
        <v>1040</v>
      </c>
    </row>
    <row r="1678" spans="1:6">
      <c r="A1678" s="68" t="s">
        <v>2344</v>
      </c>
      <c r="B1678" s="68" t="s">
        <v>2342</v>
      </c>
      <c r="C1678" s="68" t="s">
        <v>2345</v>
      </c>
      <c r="D1678" s="68" t="str">
        <f t="shared" si="35"/>
        <v>Bukuya</v>
      </c>
      <c r="F1678" s="68">
        <v>1041</v>
      </c>
    </row>
    <row r="1679" spans="1:6">
      <c r="A1679" s="68" t="s">
        <v>2346</v>
      </c>
      <c r="D1679" s="68" t="str">
        <f t="shared" si="35"/>
        <v>Kamengo</v>
      </c>
      <c r="F1679" s="68">
        <v>1041</v>
      </c>
    </row>
    <row r="1680" spans="1:6">
      <c r="A1680" s="68" t="s">
        <v>2347</v>
      </c>
      <c r="B1680" s="68" t="s">
        <v>2342</v>
      </c>
      <c r="C1680" s="68" t="s">
        <v>2348</v>
      </c>
      <c r="D1680" s="68" t="str">
        <f t="shared" si="35"/>
        <v>Butoloogo</v>
      </c>
      <c r="F1680" s="68">
        <v>1042</v>
      </c>
    </row>
    <row r="1681" spans="1:6">
      <c r="A1681" s="68" t="s">
        <v>2349</v>
      </c>
      <c r="B1681" s="68" t="s">
        <v>2342</v>
      </c>
      <c r="C1681" s="68" t="s">
        <v>2345</v>
      </c>
      <c r="D1681" s="68" t="str">
        <f t="shared" si="35"/>
        <v>Kalwana</v>
      </c>
      <c r="F1681" s="68">
        <v>1043</v>
      </c>
    </row>
    <row r="1682" spans="1:6">
      <c r="A1682" s="68" t="s">
        <v>2350</v>
      </c>
      <c r="B1682" s="68" t="s">
        <v>2342</v>
      </c>
      <c r="C1682" s="68" t="s">
        <v>2343</v>
      </c>
      <c r="D1682" s="68" t="str">
        <f t="shared" si="35"/>
        <v>Kasambya-Mubende</v>
      </c>
      <c r="F1682" s="68">
        <v>1044</v>
      </c>
    </row>
    <row r="1683" spans="1:6">
      <c r="A1683" s="68" t="s">
        <v>2343</v>
      </c>
      <c r="D1683" s="68" t="str">
        <f t="shared" si="35"/>
        <v>Kasambya</v>
      </c>
      <c r="F1683" s="68">
        <v>1044</v>
      </c>
    </row>
    <row r="1684" spans="1:6">
      <c r="A1684" s="68" t="s">
        <v>2345</v>
      </c>
      <c r="B1684" s="68" t="s">
        <v>2342</v>
      </c>
      <c r="C1684" s="68" t="s">
        <v>2345</v>
      </c>
      <c r="D1684" s="68" t="str">
        <f t="shared" si="35"/>
        <v>Kassanda</v>
      </c>
      <c r="F1684" s="68">
        <v>1045</v>
      </c>
    </row>
    <row r="1685" spans="1:6">
      <c r="A1685" s="68" t="s">
        <v>2351</v>
      </c>
      <c r="D1685" s="68" t="str">
        <f t="shared" si="35"/>
        <v>Kasanda</v>
      </c>
      <c r="F1685" s="68">
        <v>1045</v>
      </c>
    </row>
    <row r="1686" spans="1:6">
      <c r="A1686" s="68" t="s">
        <v>2352</v>
      </c>
      <c r="B1686" s="68" t="s">
        <v>2342</v>
      </c>
      <c r="C1686" s="68" t="s">
        <v>2343</v>
      </c>
      <c r="D1686" s="68" t="str">
        <f t="shared" si="35"/>
        <v>Kibalinga</v>
      </c>
      <c r="F1686" s="68">
        <v>1046</v>
      </c>
    </row>
    <row r="1687" spans="1:6">
      <c r="A1687" s="68" t="s">
        <v>2353</v>
      </c>
      <c r="B1687" s="68" t="s">
        <v>2342</v>
      </c>
      <c r="C1687" s="68" t="s">
        <v>2345</v>
      </c>
      <c r="D1687" s="68" t="str">
        <f t="shared" si="35"/>
        <v>Kiganda</v>
      </c>
      <c r="F1687" s="68">
        <v>1047</v>
      </c>
    </row>
    <row r="1688" spans="1:6">
      <c r="A1688" s="68" t="s">
        <v>2354</v>
      </c>
      <c r="B1688" s="68" t="s">
        <v>2342</v>
      </c>
      <c r="C1688" s="68" t="s">
        <v>2343</v>
      </c>
      <c r="D1688" s="68" t="str">
        <f t="shared" si="35"/>
        <v>Kigando</v>
      </c>
      <c r="F1688" s="68">
        <v>1048</v>
      </c>
    </row>
    <row r="1689" spans="1:6">
      <c r="A1689" s="68" t="s">
        <v>2355</v>
      </c>
      <c r="B1689" s="68" t="s">
        <v>2342</v>
      </c>
      <c r="C1689" s="68" t="s">
        <v>2348</v>
      </c>
      <c r="D1689" s="68" t="str">
        <f t="shared" si="35"/>
        <v>Kitenga</v>
      </c>
      <c r="F1689" s="68">
        <v>1049</v>
      </c>
    </row>
    <row r="1690" spans="1:6">
      <c r="A1690" s="68" t="s">
        <v>2356</v>
      </c>
      <c r="B1690" s="68" t="s">
        <v>2342</v>
      </c>
      <c r="C1690" s="68" t="s">
        <v>2345</v>
      </c>
      <c r="D1690" s="68" t="str">
        <f t="shared" si="35"/>
        <v>Kitumbi</v>
      </c>
      <c r="F1690" s="68">
        <v>1050</v>
      </c>
    </row>
    <row r="1691" spans="1:6">
      <c r="A1691" s="68" t="s">
        <v>2357</v>
      </c>
      <c r="B1691" s="68" t="s">
        <v>2342</v>
      </c>
      <c r="C1691" s="68" t="s">
        <v>2348</v>
      </c>
      <c r="D1691" s="68" t="str">
        <f t="shared" si="35"/>
        <v>Kiyuni</v>
      </c>
      <c r="F1691" s="68">
        <v>1051</v>
      </c>
    </row>
    <row r="1692" spans="1:6">
      <c r="A1692" s="68" t="s">
        <v>2358</v>
      </c>
      <c r="B1692" s="68" t="s">
        <v>2342</v>
      </c>
      <c r="C1692" s="68" t="s">
        <v>2348</v>
      </c>
      <c r="D1692" s="68" t="str">
        <f t="shared" si="35"/>
        <v>Madudu</v>
      </c>
      <c r="F1692" s="68">
        <v>1052</v>
      </c>
    </row>
    <row r="1693" spans="1:6">
      <c r="A1693" s="68" t="s">
        <v>2359</v>
      </c>
      <c r="B1693" s="68" t="s">
        <v>2342</v>
      </c>
      <c r="C1693" s="68" t="s">
        <v>2345</v>
      </c>
      <c r="D1693" s="68" t="str">
        <f t="shared" si="35"/>
        <v>Makokoto</v>
      </c>
      <c r="F1693" s="68">
        <v>1053</v>
      </c>
    </row>
    <row r="1694" spans="1:6">
      <c r="A1694" s="68" t="s">
        <v>2360</v>
      </c>
      <c r="B1694" s="68" t="s">
        <v>2342</v>
      </c>
      <c r="C1694" s="68" t="s">
        <v>2345</v>
      </c>
      <c r="D1694" s="68" t="str">
        <f t="shared" si="35"/>
        <v>Manyogaseka</v>
      </c>
      <c r="F1694" s="68">
        <v>1054</v>
      </c>
    </row>
    <row r="1695" spans="1:6">
      <c r="A1695" s="68" t="s">
        <v>2361</v>
      </c>
      <c r="B1695" s="68" t="s">
        <v>2342</v>
      </c>
      <c r="C1695" s="68" t="s">
        <v>2361</v>
      </c>
      <c r="D1695" s="68" t="str">
        <f t="shared" si="35"/>
        <v>Mubende Municipality</v>
      </c>
      <c r="F1695" s="68">
        <v>1055</v>
      </c>
    </row>
    <row r="1696" spans="1:6">
      <c r="A1696" s="68" t="s">
        <v>2362</v>
      </c>
      <c r="D1696" s="68" t="str">
        <f t="shared" si="35"/>
        <v>Mubende town</v>
      </c>
      <c r="F1696" s="68">
        <v>1055</v>
      </c>
    </row>
    <row r="1697" spans="1:6">
      <c r="A1697" s="68" t="s">
        <v>2363</v>
      </c>
      <c r="D1697" s="68" t="str">
        <f t="shared" si="35"/>
        <v>Kigezi</v>
      </c>
      <c r="F1697" s="68">
        <v>1055</v>
      </c>
    </row>
    <row r="1698" spans="1:6">
      <c r="A1698" s="68" t="s">
        <v>1025</v>
      </c>
      <c r="D1698" s="68" t="str">
        <f t="shared" si="35"/>
        <v>Gomba</v>
      </c>
      <c r="F1698" s="68">
        <v>1055</v>
      </c>
    </row>
    <row r="1699" spans="1:6">
      <c r="A1699" s="68" t="s">
        <v>2364</v>
      </c>
      <c r="D1699" s="68" t="str">
        <f t="shared" si="35"/>
        <v>FORTPOTAL</v>
      </c>
      <c r="F1699" s="68">
        <v>1055</v>
      </c>
    </row>
    <row r="1700" spans="1:6">
      <c r="A1700" s="68" t="s">
        <v>2365</v>
      </c>
      <c r="D1700" s="68" t="str">
        <f t="shared" si="35"/>
        <v>MUBENDE</v>
      </c>
      <c r="F1700" s="68">
        <v>1055</v>
      </c>
    </row>
    <row r="1701" spans="1:6">
      <c r="A1701" s="68" t="s">
        <v>2366</v>
      </c>
      <c r="B1701" s="68" t="s">
        <v>2342</v>
      </c>
      <c r="C1701" s="68" t="s">
        <v>2345</v>
      </c>
      <c r="D1701" s="68" t="str">
        <f t="shared" si="35"/>
        <v>Myanzi</v>
      </c>
      <c r="F1701" s="68">
        <v>1056</v>
      </c>
    </row>
    <row r="1702" spans="1:6">
      <c r="A1702" s="68" t="s">
        <v>2367</v>
      </c>
      <c r="B1702" s="68" t="s">
        <v>2342</v>
      </c>
      <c r="C1702" s="68" t="s">
        <v>2343</v>
      </c>
      <c r="D1702" s="68" t="str">
        <f t="shared" si="35"/>
        <v>Nabingoola</v>
      </c>
      <c r="F1702" s="68">
        <v>1057</v>
      </c>
    </row>
    <row r="1703" spans="1:6">
      <c r="A1703" s="68" t="s">
        <v>2368</v>
      </c>
      <c r="B1703" s="68" t="s">
        <v>2369</v>
      </c>
      <c r="C1703" s="68" t="s">
        <v>2370</v>
      </c>
      <c r="D1703" s="68" t="str">
        <f t="shared" si="35"/>
        <v>Kasawo</v>
      </c>
      <c r="F1703" s="68">
        <v>1058</v>
      </c>
    </row>
    <row r="1704" spans="1:6">
      <c r="A1704" s="68" t="s">
        <v>2371</v>
      </c>
      <c r="B1704" s="68" t="s">
        <v>2369</v>
      </c>
      <c r="C1704" s="68" t="s">
        <v>2370</v>
      </c>
      <c r="D1704" s="68" t="str">
        <f t="shared" si="35"/>
        <v>Kimenyedde</v>
      </c>
      <c r="F1704" s="68">
        <v>1059</v>
      </c>
    </row>
    <row r="1705" spans="1:6">
      <c r="A1705" s="68" t="s">
        <v>2372</v>
      </c>
      <c r="B1705" s="68" t="s">
        <v>2369</v>
      </c>
      <c r="C1705" s="68" t="s">
        <v>2369</v>
      </c>
      <c r="D1705" s="68" t="str">
        <f t="shared" si="35"/>
        <v>Koome Island</v>
      </c>
      <c r="F1705" s="68">
        <v>1060</v>
      </c>
    </row>
    <row r="1706" spans="1:6">
      <c r="A1706" s="68" t="s">
        <v>2373</v>
      </c>
      <c r="B1706" s="68" t="s">
        <v>2369</v>
      </c>
      <c r="C1706" s="68" t="s">
        <v>2369</v>
      </c>
      <c r="D1706" s="68" t="str">
        <f t="shared" si="35"/>
        <v>Kyampisi</v>
      </c>
      <c r="F1706" s="68">
        <v>1061</v>
      </c>
    </row>
    <row r="1707" spans="1:6">
      <c r="A1707" s="68" t="s">
        <v>2374</v>
      </c>
      <c r="D1707" s="68" t="str">
        <f t="shared" si="35"/>
        <v>Ddundu</v>
      </c>
      <c r="F1707" s="68">
        <v>1061</v>
      </c>
    </row>
    <row r="1708" spans="1:6">
      <c r="A1708" s="68" t="s">
        <v>2375</v>
      </c>
      <c r="D1708" s="68" t="str">
        <f t="shared" si="35"/>
        <v>Kiwumu</v>
      </c>
      <c r="F1708" s="68">
        <v>1061</v>
      </c>
    </row>
    <row r="1709" spans="1:6">
      <c r="A1709" s="68" t="s">
        <v>2376</v>
      </c>
      <c r="B1709" s="68" t="s">
        <v>2369</v>
      </c>
      <c r="C1709" s="68" t="s">
        <v>2369</v>
      </c>
      <c r="D1709" s="68" t="str">
        <f t="shared" si="35"/>
        <v>Mpatta</v>
      </c>
      <c r="F1709" s="68">
        <v>1062</v>
      </c>
    </row>
    <row r="1710" spans="1:6">
      <c r="A1710" s="68" t="s">
        <v>2377</v>
      </c>
      <c r="B1710" s="68" t="s">
        <v>2369</v>
      </c>
      <c r="C1710" s="68" t="s">
        <v>2369</v>
      </c>
      <c r="D1710" s="68" t="str">
        <f t="shared" si="35"/>
        <v>Mpunge</v>
      </c>
      <c r="F1710" s="68">
        <v>1063</v>
      </c>
    </row>
    <row r="1711" spans="1:6">
      <c r="A1711" s="68" t="s">
        <v>2378</v>
      </c>
      <c r="B1711" s="68" t="s">
        <v>2369</v>
      </c>
      <c r="C1711" s="68" t="s">
        <v>2378</v>
      </c>
      <c r="D1711" s="68" t="str">
        <f t="shared" si="35"/>
        <v>Mukono Municipality</v>
      </c>
      <c r="F1711" s="68">
        <v>1064</v>
      </c>
    </row>
    <row r="1712" spans="1:6">
      <c r="A1712" s="68" t="s">
        <v>2379</v>
      </c>
      <c r="D1712" s="68" t="str">
        <f t="shared" si="35"/>
        <v>TOWN MUKONO</v>
      </c>
      <c r="F1712" s="68">
        <v>1064</v>
      </c>
    </row>
    <row r="1713" spans="1:6">
      <c r="A1713" s="68" t="s">
        <v>2380</v>
      </c>
      <c r="D1713" s="68" t="str">
        <f t="shared" si="35"/>
        <v>Kauga</v>
      </c>
      <c r="F1713" s="68">
        <v>1064</v>
      </c>
    </row>
    <row r="1714" spans="1:6">
      <c r="A1714" s="68" t="s">
        <v>2381</v>
      </c>
      <c r="D1714" s="68" t="str">
        <f t="shared" si="35"/>
        <v xml:space="preserve">MUKONO TOWN </v>
      </c>
      <c r="F1714" s="68">
        <v>1064</v>
      </c>
    </row>
    <row r="1715" spans="1:6">
      <c r="A1715" s="68" t="s">
        <v>2382</v>
      </c>
      <c r="D1715" s="68" t="str">
        <f t="shared" si="35"/>
        <v xml:space="preserve">MUKONO </v>
      </c>
      <c r="F1715" s="68">
        <v>1064</v>
      </c>
    </row>
    <row r="1716" spans="1:6">
      <c r="A1716" s="68" t="s">
        <v>2383</v>
      </c>
      <c r="D1716" s="68" t="str">
        <f t="shared" si="35"/>
        <v>Bukerere</v>
      </c>
      <c r="F1716" s="68">
        <v>1064</v>
      </c>
    </row>
    <row r="1717" spans="1:6">
      <c r="A1717" s="68" t="s">
        <v>2384</v>
      </c>
      <c r="D1717" s="68" t="str">
        <f t="shared" si="35"/>
        <v>Nakasajja</v>
      </c>
      <c r="F1717" s="68">
        <v>1064</v>
      </c>
    </row>
    <row r="1718" spans="1:6">
      <c r="A1718" s="68" t="s">
        <v>2385</v>
      </c>
      <c r="D1718" s="68" t="str">
        <f t="shared" si="35"/>
        <v>Namanve</v>
      </c>
      <c r="F1718" s="68">
        <v>1064</v>
      </c>
    </row>
    <row r="1719" spans="1:6">
      <c r="A1719" s="68" t="s">
        <v>2386</v>
      </c>
      <c r="D1719" s="68" t="str">
        <f t="shared" si="35"/>
        <v>NANVE</v>
      </c>
      <c r="F1719" s="68">
        <v>1064</v>
      </c>
    </row>
    <row r="1720" spans="1:6">
      <c r="A1720" s="68" t="s">
        <v>2387</v>
      </c>
      <c r="D1720" s="68" t="str">
        <f t="shared" si="35"/>
        <v>Kalagi</v>
      </c>
      <c r="F1720" s="68">
        <v>1064</v>
      </c>
    </row>
    <row r="1721" spans="1:6">
      <c r="A1721" s="68" t="s">
        <v>2388</v>
      </c>
      <c r="D1721" s="68" t="str">
        <f t="shared" si="35"/>
        <v>NAKIFUMA</v>
      </c>
      <c r="F1721" s="68">
        <v>1064</v>
      </c>
    </row>
    <row r="1722" spans="1:6">
      <c r="A1722" s="68" t="s">
        <v>2389</v>
      </c>
      <c r="D1722" s="68" t="str">
        <f t="shared" si="35"/>
        <v>Nakituma</v>
      </c>
      <c r="F1722" s="68">
        <v>1064</v>
      </c>
    </row>
    <row r="1723" spans="1:6">
      <c r="A1723" s="68" t="s">
        <v>2390</v>
      </c>
      <c r="D1723" s="68" t="str">
        <f t="shared" si="35"/>
        <v>Mbalala</v>
      </c>
      <c r="F1723" s="68">
        <v>1064</v>
      </c>
    </row>
    <row r="1724" spans="1:6">
      <c r="A1724" s="68" t="s">
        <v>2391</v>
      </c>
      <c r="D1724" s="68" t="str">
        <f t="shared" si="35"/>
        <v>Mukono park</v>
      </c>
      <c r="F1724" s="68">
        <v>1064</v>
      </c>
    </row>
    <row r="1725" spans="1:6">
      <c r="A1725" s="68" t="s">
        <v>2392</v>
      </c>
      <c r="D1725" s="68" t="str">
        <f t="shared" si="35"/>
        <v>MUKONO</v>
      </c>
      <c r="F1725" s="68">
        <v>1064</v>
      </c>
    </row>
    <row r="1726" spans="1:6">
      <c r="A1726" s="68" t="s">
        <v>2393</v>
      </c>
      <c r="D1726" s="68" t="str">
        <f t="shared" si="35"/>
        <v>Mukono Town</v>
      </c>
      <c r="F1726" s="68">
        <v>1064</v>
      </c>
    </row>
    <row r="1727" spans="1:6">
      <c r="A1727" s="68" t="s">
        <v>2394</v>
      </c>
      <c r="B1727" s="68" t="s">
        <v>2369</v>
      </c>
      <c r="C1727" s="68" t="s">
        <v>2370</v>
      </c>
      <c r="D1727" s="68" t="str">
        <f t="shared" si="35"/>
        <v>Nabbaale</v>
      </c>
      <c r="F1727" s="68">
        <v>1065</v>
      </c>
    </row>
    <row r="1728" spans="1:6">
      <c r="A1728" s="68" t="s">
        <v>2395</v>
      </c>
      <c r="B1728" s="68" t="s">
        <v>2369</v>
      </c>
      <c r="C1728" s="68" t="s">
        <v>2370</v>
      </c>
      <c r="D1728" s="68" t="str">
        <f t="shared" si="35"/>
        <v>Nagojje</v>
      </c>
      <c r="F1728" s="68">
        <v>1066</v>
      </c>
    </row>
    <row r="1729" spans="1:6">
      <c r="A1729" s="68" t="s">
        <v>2396</v>
      </c>
      <c r="B1729" s="68" t="s">
        <v>2369</v>
      </c>
      <c r="C1729" s="68" t="s">
        <v>2369</v>
      </c>
      <c r="D1729" s="68" t="str">
        <f t="shared" ref="D1729:D1792" si="36">A1729</f>
        <v>Nakisunga</v>
      </c>
      <c r="F1729" s="68">
        <v>1067</v>
      </c>
    </row>
    <row r="1730" spans="1:6">
      <c r="A1730" s="68" t="s">
        <v>2397</v>
      </c>
      <c r="B1730" s="68" t="s">
        <v>2369</v>
      </c>
      <c r="C1730" s="68" t="s">
        <v>2369</v>
      </c>
      <c r="D1730" s="68" t="str">
        <f t="shared" si="36"/>
        <v>Nama</v>
      </c>
      <c r="F1730" s="68">
        <v>1068</v>
      </c>
    </row>
    <row r="1731" spans="1:6">
      <c r="A1731" s="68" t="s">
        <v>2398</v>
      </c>
      <c r="D1731" s="68" t="str">
        <f t="shared" si="36"/>
        <v>Kubiiri</v>
      </c>
      <c r="F1731" s="68">
        <v>1068</v>
      </c>
    </row>
    <row r="1732" spans="1:6">
      <c r="A1732" s="68" t="s">
        <v>2399</v>
      </c>
      <c r="D1732" s="68" t="str">
        <f t="shared" si="36"/>
        <v>Kubiri</v>
      </c>
      <c r="F1732" s="68">
        <v>1068</v>
      </c>
    </row>
    <row r="1733" spans="1:6">
      <c r="A1733" s="68" t="s">
        <v>2400</v>
      </c>
      <c r="D1733" s="68" t="str">
        <f t="shared" si="36"/>
        <v>Kubbiri</v>
      </c>
      <c r="F1733" s="68">
        <v>1068</v>
      </c>
    </row>
    <row r="1734" spans="1:6">
      <c r="A1734" s="68" t="s">
        <v>1857</v>
      </c>
      <c r="B1734" s="68" t="s">
        <v>2369</v>
      </c>
      <c r="C1734" s="68" t="s">
        <v>2369</v>
      </c>
      <c r="D1734" s="68" t="str">
        <f t="shared" si="36"/>
        <v>Ntenjeru</v>
      </c>
      <c r="F1734" s="68">
        <v>1069</v>
      </c>
    </row>
    <row r="1735" spans="1:6">
      <c r="A1735" s="68" t="s">
        <v>2401</v>
      </c>
      <c r="B1735" s="68" t="s">
        <v>2369</v>
      </c>
      <c r="C1735" s="68" t="s">
        <v>2370</v>
      </c>
      <c r="D1735" s="68" t="str">
        <f t="shared" si="36"/>
        <v>Ntunda</v>
      </c>
      <c r="F1735" s="68">
        <v>1070</v>
      </c>
    </row>
    <row r="1736" spans="1:6">
      <c r="A1736" s="68" t="s">
        <v>2402</v>
      </c>
      <c r="D1736" s="68" t="str">
        <f t="shared" si="36"/>
        <v>SEETA</v>
      </c>
      <c r="F1736" s="68">
        <v>1071</v>
      </c>
    </row>
    <row r="1737" spans="1:6">
      <c r="A1737" s="68" t="s">
        <v>2403</v>
      </c>
      <c r="D1737" s="68" t="str">
        <f t="shared" si="36"/>
        <v>SETTA</v>
      </c>
      <c r="F1737" s="68">
        <v>1071</v>
      </c>
    </row>
    <row r="1738" spans="1:6">
      <c r="A1738" s="68" t="s">
        <v>2404</v>
      </c>
      <c r="D1738" s="68" t="str">
        <f t="shared" si="36"/>
        <v>GWAFU</v>
      </c>
      <c r="F1738" s="68">
        <v>1071</v>
      </c>
    </row>
    <row r="1739" spans="1:6">
      <c r="A1739" s="68" t="s">
        <v>31</v>
      </c>
      <c r="D1739" s="68" t="str">
        <f t="shared" si="36"/>
        <v>Kiwanga</v>
      </c>
      <c r="F1739" s="68">
        <v>1071</v>
      </c>
    </row>
    <row r="1740" spans="1:6">
      <c r="A1740" s="68" t="s">
        <v>2405</v>
      </c>
      <c r="B1740" s="68" t="s">
        <v>2369</v>
      </c>
      <c r="C1740" s="68" t="s">
        <v>2370</v>
      </c>
      <c r="D1740" s="68" t="str">
        <f t="shared" si="36"/>
        <v>Seeta Namuganga</v>
      </c>
      <c r="F1740" s="68">
        <v>1071</v>
      </c>
    </row>
    <row r="1741" spans="1:6">
      <c r="A1741" s="68" t="s">
        <v>2406</v>
      </c>
      <c r="B1741" s="68" t="s">
        <v>2407</v>
      </c>
      <c r="C1741" s="68" t="s">
        <v>2408</v>
      </c>
      <c r="D1741" s="68" t="str">
        <f t="shared" si="36"/>
        <v>Kakomongole</v>
      </c>
      <c r="F1741" s="68">
        <v>1072</v>
      </c>
    </row>
    <row r="1742" spans="1:6">
      <c r="A1742" s="68" t="s">
        <v>2409</v>
      </c>
      <c r="B1742" s="68" t="s">
        <v>2407</v>
      </c>
      <c r="C1742" s="68" t="s">
        <v>2410</v>
      </c>
      <c r="D1742" s="68" t="str">
        <f t="shared" si="36"/>
        <v>Lolachat</v>
      </c>
      <c r="F1742" s="68">
        <v>1073</v>
      </c>
    </row>
    <row r="1743" spans="1:6">
      <c r="A1743" s="68" t="s">
        <v>2411</v>
      </c>
      <c r="B1743" s="68" t="s">
        <v>2407</v>
      </c>
      <c r="C1743" s="68" t="s">
        <v>2408</v>
      </c>
      <c r="D1743" s="68" t="str">
        <f t="shared" si="36"/>
        <v>Loregae</v>
      </c>
      <c r="F1743" s="68">
        <v>1074</v>
      </c>
    </row>
    <row r="1744" spans="1:6">
      <c r="A1744" s="68" t="s">
        <v>2412</v>
      </c>
      <c r="B1744" s="68" t="s">
        <v>2407</v>
      </c>
      <c r="C1744" s="68" t="s">
        <v>2410</v>
      </c>
      <c r="D1744" s="68" t="str">
        <f t="shared" si="36"/>
        <v>Lorengedwat</v>
      </c>
      <c r="F1744" s="68">
        <v>1075</v>
      </c>
    </row>
    <row r="1745" spans="1:6">
      <c r="A1745" s="68" t="s">
        <v>2413</v>
      </c>
      <c r="B1745" s="68" t="s">
        <v>2407</v>
      </c>
      <c r="C1745" s="68" t="s">
        <v>2408</v>
      </c>
      <c r="D1745" s="68" t="str">
        <f t="shared" si="36"/>
        <v>Moruita</v>
      </c>
      <c r="F1745" s="68">
        <v>1076</v>
      </c>
    </row>
    <row r="1746" spans="1:6">
      <c r="A1746" s="68" t="s">
        <v>2414</v>
      </c>
      <c r="B1746" s="68" t="s">
        <v>2407</v>
      </c>
      <c r="C1746" s="68" t="s">
        <v>2410</v>
      </c>
      <c r="D1746" s="68" t="str">
        <f t="shared" si="36"/>
        <v>Nabilatuk</v>
      </c>
      <c r="F1746" s="68">
        <v>1077</v>
      </c>
    </row>
    <row r="1747" spans="1:6">
      <c r="A1747" s="68" t="s">
        <v>2415</v>
      </c>
      <c r="B1747" s="68" t="s">
        <v>2407</v>
      </c>
      <c r="C1747" s="68" t="s">
        <v>2408</v>
      </c>
      <c r="D1747" s="68" t="str">
        <f t="shared" si="36"/>
        <v>Nakapiripirit Town Council</v>
      </c>
      <c r="F1747" s="68">
        <v>1078</v>
      </c>
    </row>
    <row r="1748" spans="1:6">
      <c r="A1748" s="68" t="s">
        <v>2416</v>
      </c>
      <c r="B1748" s="68" t="s">
        <v>2407</v>
      </c>
      <c r="C1748" s="68" t="s">
        <v>2408</v>
      </c>
      <c r="D1748" s="68" t="str">
        <f t="shared" si="36"/>
        <v>Namalu</v>
      </c>
      <c r="F1748" s="68">
        <v>1079</v>
      </c>
    </row>
    <row r="1749" spans="1:6">
      <c r="A1749" s="68" t="s">
        <v>2417</v>
      </c>
      <c r="B1749" s="68" t="s">
        <v>2418</v>
      </c>
      <c r="C1749" s="68" t="s">
        <v>2418</v>
      </c>
      <c r="D1749" s="68" t="str">
        <f t="shared" si="36"/>
        <v>Butalangu Town Council</v>
      </c>
      <c r="F1749" s="68">
        <v>1080</v>
      </c>
    </row>
    <row r="1750" spans="1:6">
      <c r="A1750" s="68" t="s">
        <v>2419</v>
      </c>
      <c r="B1750" s="68" t="s">
        <v>2418</v>
      </c>
      <c r="C1750" s="68" t="s">
        <v>2418</v>
      </c>
      <c r="D1750" s="68" t="str">
        <f t="shared" si="36"/>
        <v>Kapeeka</v>
      </c>
      <c r="F1750" s="68">
        <v>1081</v>
      </c>
    </row>
    <row r="1751" spans="1:6">
      <c r="A1751" s="68" t="s">
        <v>2420</v>
      </c>
      <c r="B1751" s="68" t="s">
        <v>2418</v>
      </c>
      <c r="C1751" s="68" t="s">
        <v>2418</v>
      </c>
      <c r="D1751" s="68" t="str">
        <f t="shared" si="36"/>
        <v>Kasangombe</v>
      </c>
      <c r="F1751" s="68">
        <v>1082</v>
      </c>
    </row>
    <row r="1752" spans="1:6">
      <c r="A1752" s="68" t="s">
        <v>2421</v>
      </c>
      <c r="B1752" s="68" t="s">
        <v>2418</v>
      </c>
      <c r="C1752" s="68" t="s">
        <v>2418</v>
      </c>
      <c r="D1752" s="68" t="str">
        <f t="shared" si="36"/>
        <v>Kikamulo</v>
      </c>
      <c r="F1752" s="68">
        <v>1083</v>
      </c>
    </row>
    <row r="1753" spans="1:6">
      <c r="A1753" s="68" t="s">
        <v>2422</v>
      </c>
      <c r="B1753" s="68" t="s">
        <v>2418</v>
      </c>
      <c r="C1753" s="68" t="s">
        <v>2418</v>
      </c>
      <c r="D1753" s="68" t="str">
        <f t="shared" si="36"/>
        <v>Kinoni-Nakaseke</v>
      </c>
      <c r="F1753" s="68">
        <v>1084</v>
      </c>
    </row>
    <row r="1754" spans="1:6">
      <c r="A1754" s="68" t="s">
        <v>2423</v>
      </c>
      <c r="B1754" s="68" t="s">
        <v>2418</v>
      </c>
      <c r="C1754" s="68" t="s">
        <v>2418</v>
      </c>
      <c r="D1754" s="68" t="str">
        <f t="shared" si="36"/>
        <v>Kinyogoga</v>
      </c>
      <c r="F1754" s="68">
        <v>1085</v>
      </c>
    </row>
    <row r="1755" spans="1:6">
      <c r="A1755" s="68" t="s">
        <v>2424</v>
      </c>
      <c r="B1755" s="68" t="s">
        <v>2418</v>
      </c>
      <c r="C1755" s="68" t="s">
        <v>2418</v>
      </c>
      <c r="D1755" s="68" t="str">
        <f t="shared" si="36"/>
        <v>Kito</v>
      </c>
      <c r="F1755" s="68">
        <v>1086</v>
      </c>
    </row>
    <row r="1756" spans="1:6">
      <c r="A1756" s="68" t="s">
        <v>2425</v>
      </c>
      <c r="B1756" s="68" t="s">
        <v>2418</v>
      </c>
      <c r="C1756" s="68" t="s">
        <v>2418</v>
      </c>
      <c r="D1756" s="68" t="str">
        <f t="shared" si="36"/>
        <v>Kiwoko Town Council</v>
      </c>
      <c r="F1756" s="68">
        <v>1087</v>
      </c>
    </row>
    <row r="1757" spans="1:6">
      <c r="A1757" s="68" t="s">
        <v>2418</v>
      </c>
      <c r="B1757" s="68" t="s">
        <v>2418</v>
      </c>
      <c r="C1757" s="68" t="s">
        <v>2418</v>
      </c>
      <c r="D1757" s="68" t="str">
        <f t="shared" si="36"/>
        <v>Nakaseke</v>
      </c>
      <c r="F1757" s="68">
        <v>1088</v>
      </c>
    </row>
    <row r="1758" spans="1:6">
      <c r="A1758" s="68" t="s">
        <v>2426</v>
      </c>
      <c r="B1758" s="68" t="s">
        <v>2418</v>
      </c>
      <c r="C1758" s="68" t="s">
        <v>2418</v>
      </c>
      <c r="D1758" s="68" t="str">
        <f t="shared" si="36"/>
        <v>Nakaseke Town Council</v>
      </c>
      <c r="F1758" s="68">
        <v>1089</v>
      </c>
    </row>
    <row r="1759" spans="1:6">
      <c r="A1759" s="68" t="s">
        <v>2427</v>
      </c>
      <c r="D1759" s="68" t="str">
        <f t="shared" si="36"/>
        <v>NAKASEKE TOWN</v>
      </c>
      <c r="F1759" s="68">
        <v>1089</v>
      </c>
    </row>
    <row r="1760" spans="1:6">
      <c r="A1760" s="68" t="s">
        <v>2428</v>
      </c>
      <c r="B1760" s="68" t="s">
        <v>2418</v>
      </c>
      <c r="C1760" s="68" t="s">
        <v>2418</v>
      </c>
      <c r="D1760" s="68" t="str">
        <f t="shared" si="36"/>
        <v>Ngoma Town Council</v>
      </c>
      <c r="F1760" s="68">
        <v>1090</v>
      </c>
    </row>
    <row r="1761" spans="1:6">
      <c r="A1761" s="68" t="s">
        <v>2429</v>
      </c>
      <c r="D1761" s="68" t="str">
        <f t="shared" si="36"/>
        <v>Ngoma</v>
      </c>
      <c r="F1761" s="68">
        <v>1090</v>
      </c>
    </row>
    <row r="1762" spans="1:6">
      <c r="A1762" s="68" t="s">
        <v>2430</v>
      </c>
      <c r="B1762" s="68" t="s">
        <v>2418</v>
      </c>
      <c r="C1762" s="68" t="s">
        <v>2418</v>
      </c>
      <c r="D1762" s="68" t="str">
        <f t="shared" si="36"/>
        <v>Ngoma-Nakaseke</v>
      </c>
      <c r="F1762" s="68">
        <v>1091</v>
      </c>
    </row>
    <row r="1763" spans="1:6">
      <c r="A1763" s="68" t="s">
        <v>2431</v>
      </c>
      <c r="B1763" s="68" t="s">
        <v>2418</v>
      </c>
      <c r="C1763" s="68" t="s">
        <v>2418</v>
      </c>
      <c r="D1763" s="68" t="str">
        <f t="shared" si="36"/>
        <v>Semuto</v>
      </c>
      <c r="F1763" s="68">
        <v>1092</v>
      </c>
    </row>
    <row r="1764" spans="1:6">
      <c r="A1764" s="68" t="s">
        <v>2432</v>
      </c>
      <c r="D1764" s="68" t="str">
        <f t="shared" si="36"/>
        <v>Ssomuto</v>
      </c>
      <c r="F1764" s="68">
        <v>1092</v>
      </c>
    </row>
    <row r="1765" spans="1:6">
      <c r="A1765" s="68" t="s">
        <v>2433</v>
      </c>
      <c r="D1765" s="68" t="str">
        <f t="shared" si="36"/>
        <v>KAPEKA</v>
      </c>
      <c r="F1765" s="68">
        <v>1092</v>
      </c>
    </row>
    <row r="1766" spans="1:6">
      <c r="A1766" s="68" t="s">
        <v>2434</v>
      </c>
      <c r="B1766" s="68" t="s">
        <v>2418</v>
      </c>
      <c r="C1766" s="68" t="s">
        <v>2418</v>
      </c>
      <c r="D1766" s="68" t="str">
        <f t="shared" si="36"/>
        <v>Semuto Town Council</v>
      </c>
      <c r="F1766" s="68">
        <v>1093</v>
      </c>
    </row>
    <row r="1767" spans="1:6">
      <c r="A1767" s="68" t="s">
        <v>2435</v>
      </c>
      <c r="B1767" s="68" t="s">
        <v>2418</v>
      </c>
      <c r="C1767" s="68" t="s">
        <v>2418</v>
      </c>
      <c r="D1767" s="68" t="str">
        <f t="shared" si="36"/>
        <v>Wakyato</v>
      </c>
      <c r="F1767" s="68">
        <v>1094</v>
      </c>
    </row>
    <row r="1768" spans="1:6">
      <c r="A1768" s="68" t="s">
        <v>2436</v>
      </c>
      <c r="B1768" s="68" t="s">
        <v>2437</v>
      </c>
      <c r="C1768" s="68" t="s">
        <v>2204</v>
      </c>
      <c r="D1768" s="68" t="str">
        <f t="shared" si="36"/>
        <v>Kakooge</v>
      </c>
      <c r="F1768" s="68">
        <v>1095</v>
      </c>
    </row>
    <row r="1769" spans="1:6">
      <c r="A1769" s="68" t="s">
        <v>2438</v>
      </c>
      <c r="B1769" s="68" t="s">
        <v>2437</v>
      </c>
      <c r="C1769" s="68" t="s">
        <v>2204</v>
      </c>
      <c r="D1769" s="68" t="str">
        <f t="shared" si="36"/>
        <v>Kakooge Town Council</v>
      </c>
      <c r="F1769" s="68">
        <v>1096</v>
      </c>
    </row>
    <row r="1770" spans="1:6">
      <c r="A1770" s="68" t="s">
        <v>2439</v>
      </c>
      <c r="B1770" s="68" t="s">
        <v>2437</v>
      </c>
      <c r="C1770" s="68" t="s">
        <v>2204</v>
      </c>
      <c r="D1770" s="68" t="str">
        <f t="shared" si="36"/>
        <v>Kalongo</v>
      </c>
      <c r="F1770" s="68">
        <v>1097</v>
      </c>
    </row>
    <row r="1771" spans="1:6">
      <c r="A1771" s="68" t="s">
        <v>2440</v>
      </c>
      <c r="B1771" s="68" t="s">
        <v>2437</v>
      </c>
      <c r="C1771" s="68" t="s">
        <v>2204</v>
      </c>
      <c r="D1771" s="68" t="str">
        <f t="shared" si="36"/>
        <v>Kalungi</v>
      </c>
      <c r="F1771" s="68">
        <v>1098</v>
      </c>
    </row>
    <row r="1772" spans="1:6">
      <c r="A1772" s="68" t="s">
        <v>2441</v>
      </c>
      <c r="B1772" s="68" t="s">
        <v>2437</v>
      </c>
      <c r="C1772" s="68" t="s">
        <v>2204</v>
      </c>
      <c r="D1772" s="68" t="str">
        <f t="shared" si="36"/>
        <v>Lwabiyata</v>
      </c>
      <c r="F1772" s="68">
        <v>1099</v>
      </c>
    </row>
    <row r="1773" spans="1:6">
      <c r="A1773" s="68" t="s">
        <v>2442</v>
      </c>
      <c r="B1773" s="68" t="s">
        <v>2437</v>
      </c>
      <c r="C1773" s="68" t="s">
        <v>2204</v>
      </c>
      <c r="D1773" s="68" t="str">
        <f t="shared" si="36"/>
        <v>Lwampanga</v>
      </c>
      <c r="F1773" s="68">
        <v>1100</v>
      </c>
    </row>
    <row r="1774" spans="1:6">
      <c r="A1774" s="68" t="s">
        <v>2443</v>
      </c>
      <c r="B1774" s="68" t="s">
        <v>2437</v>
      </c>
      <c r="C1774" s="68" t="s">
        <v>2204</v>
      </c>
      <c r="D1774" s="68" t="str">
        <f t="shared" si="36"/>
        <v>Migeera Town Council</v>
      </c>
      <c r="F1774" s="68">
        <v>1101</v>
      </c>
    </row>
    <row r="1775" spans="1:6">
      <c r="A1775" s="68" t="s">
        <v>2444</v>
      </c>
      <c r="B1775" s="68" t="s">
        <v>2437</v>
      </c>
      <c r="C1775" s="68" t="s">
        <v>2204</v>
      </c>
      <c r="D1775" s="68" t="str">
        <f t="shared" si="36"/>
        <v>Nabisweera</v>
      </c>
      <c r="F1775" s="68">
        <v>1102</v>
      </c>
    </row>
    <row r="1776" spans="1:6">
      <c r="A1776" s="68" t="s">
        <v>2445</v>
      </c>
      <c r="B1776" s="68" t="s">
        <v>2437</v>
      </c>
      <c r="C1776" s="68" t="s">
        <v>2204</v>
      </c>
      <c r="D1776" s="68" t="str">
        <f t="shared" si="36"/>
        <v>Nakasongola Town Council</v>
      </c>
      <c r="F1776" s="68">
        <v>1103</v>
      </c>
    </row>
    <row r="1777" spans="1:6">
      <c r="A1777" s="68" t="s">
        <v>2446</v>
      </c>
      <c r="D1777" s="68" t="str">
        <f t="shared" si="36"/>
        <v>NAKASONGOLA TOWN</v>
      </c>
      <c r="F1777" s="68">
        <v>1103</v>
      </c>
    </row>
    <row r="1778" spans="1:6">
      <c r="A1778" s="68" t="s">
        <v>2447</v>
      </c>
      <c r="D1778" s="68" t="str">
        <f t="shared" si="36"/>
        <v>NAKASONGOLA</v>
      </c>
      <c r="F1778" s="68">
        <v>1103</v>
      </c>
    </row>
    <row r="1779" spans="1:6">
      <c r="A1779" s="68" t="s">
        <v>2448</v>
      </c>
      <c r="B1779" s="68" t="s">
        <v>2437</v>
      </c>
      <c r="C1779" s="68" t="s">
        <v>2204</v>
      </c>
      <c r="D1779" s="68" t="str">
        <f t="shared" si="36"/>
        <v>Nakitoma</v>
      </c>
      <c r="F1779" s="68">
        <v>1104</v>
      </c>
    </row>
    <row r="1780" spans="1:6">
      <c r="A1780" s="68" t="s">
        <v>2449</v>
      </c>
      <c r="B1780" s="68" t="s">
        <v>2437</v>
      </c>
      <c r="C1780" s="68" t="s">
        <v>2204</v>
      </c>
      <c r="D1780" s="68" t="str">
        <f t="shared" si="36"/>
        <v>Wabinyonyi</v>
      </c>
      <c r="F1780" s="68">
        <v>1105</v>
      </c>
    </row>
    <row r="1781" spans="1:6">
      <c r="A1781" s="68" t="s">
        <v>2452</v>
      </c>
      <c r="D1781" s="68" t="str">
        <f t="shared" si="36"/>
        <v>Banda stage</v>
      </c>
      <c r="F1781" s="68">
        <v>1106</v>
      </c>
    </row>
    <row r="1782" spans="1:6">
      <c r="A1782" s="68" t="s">
        <v>2453</v>
      </c>
      <c r="B1782" s="68" t="s">
        <v>2450</v>
      </c>
      <c r="C1782" s="68" t="s">
        <v>2451</v>
      </c>
      <c r="D1782" s="68" t="str">
        <f t="shared" si="36"/>
        <v>Buhemba</v>
      </c>
      <c r="F1782" s="68">
        <v>1107</v>
      </c>
    </row>
    <row r="1783" spans="1:6">
      <c r="A1783" s="68" t="s">
        <v>2454</v>
      </c>
      <c r="B1783" s="68" t="s">
        <v>2450</v>
      </c>
      <c r="C1783" s="68" t="s">
        <v>2451</v>
      </c>
      <c r="D1783" s="68" t="str">
        <f t="shared" si="36"/>
        <v>Bukana</v>
      </c>
      <c r="F1783" s="68">
        <v>1108</v>
      </c>
    </row>
    <row r="1784" spans="1:6">
      <c r="A1784" s="68" t="s">
        <v>2455</v>
      </c>
      <c r="B1784" s="68" t="s">
        <v>2450</v>
      </c>
      <c r="C1784" s="68" t="s">
        <v>2451</v>
      </c>
      <c r="D1784" s="68" t="str">
        <f t="shared" si="36"/>
        <v>Buswale</v>
      </c>
      <c r="F1784" s="68">
        <v>1109</v>
      </c>
    </row>
    <row r="1785" spans="1:6">
      <c r="A1785" s="68" t="s">
        <v>2456</v>
      </c>
      <c r="B1785" s="68" t="s">
        <v>2450</v>
      </c>
      <c r="C1785" s="68" t="s">
        <v>2451</v>
      </c>
      <c r="D1785" s="68" t="str">
        <f t="shared" si="36"/>
        <v>Buyinja</v>
      </c>
      <c r="F1785" s="68">
        <v>1110</v>
      </c>
    </row>
    <row r="1786" spans="1:6">
      <c r="A1786" s="68" t="s">
        <v>2457</v>
      </c>
      <c r="B1786" s="68" t="s">
        <v>2450</v>
      </c>
      <c r="C1786" s="68" t="s">
        <v>2451</v>
      </c>
      <c r="D1786" s="68" t="str">
        <f t="shared" si="36"/>
        <v>Lolwe</v>
      </c>
      <c r="F1786" s="68">
        <v>1111</v>
      </c>
    </row>
    <row r="1787" spans="1:6">
      <c r="A1787" s="68" t="s">
        <v>2458</v>
      </c>
      <c r="B1787" s="68" t="s">
        <v>2450</v>
      </c>
      <c r="C1787" s="68" t="s">
        <v>2451</v>
      </c>
      <c r="D1787" s="68" t="str">
        <f t="shared" si="36"/>
        <v>Mutumba</v>
      </c>
      <c r="F1787" s="68">
        <v>1112</v>
      </c>
    </row>
    <row r="1788" spans="1:6">
      <c r="A1788" s="68" t="s">
        <v>2459</v>
      </c>
      <c r="B1788" s="68" t="s">
        <v>2450</v>
      </c>
      <c r="C1788" s="68" t="s">
        <v>2451</v>
      </c>
      <c r="D1788" s="68" t="str">
        <f t="shared" si="36"/>
        <v>Namayingo Town Council</v>
      </c>
      <c r="F1788" s="68">
        <v>1113</v>
      </c>
    </row>
    <row r="1789" spans="1:6">
      <c r="A1789" s="68" t="s">
        <v>2460</v>
      </c>
      <c r="B1789" s="68" t="s">
        <v>2450</v>
      </c>
      <c r="C1789" s="68" t="s">
        <v>2451</v>
      </c>
      <c r="D1789" s="68" t="str">
        <f t="shared" si="36"/>
        <v>Sigulu Island</v>
      </c>
      <c r="F1789" s="68">
        <v>1114</v>
      </c>
    </row>
    <row r="1790" spans="1:6">
      <c r="A1790" s="68" t="s">
        <v>2461</v>
      </c>
      <c r="B1790" s="68" t="s">
        <v>2462</v>
      </c>
      <c r="C1790" s="68" t="s">
        <v>2462</v>
      </c>
      <c r="D1790" s="68" t="str">
        <f t="shared" si="36"/>
        <v>Bubutu</v>
      </c>
      <c r="F1790" s="68">
        <v>1115</v>
      </c>
    </row>
    <row r="1791" spans="1:6">
      <c r="A1791" s="68" t="s">
        <v>2463</v>
      </c>
      <c r="B1791" s="68" t="s">
        <v>2462</v>
      </c>
      <c r="C1791" s="68" t="s">
        <v>2462</v>
      </c>
      <c r="D1791" s="68" t="str">
        <f t="shared" si="36"/>
        <v>Bukhabusi</v>
      </c>
      <c r="F1791" s="68">
        <v>1116</v>
      </c>
    </row>
    <row r="1792" spans="1:6">
      <c r="A1792" s="68" t="s">
        <v>2464</v>
      </c>
      <c r="B1792" s="68" t="s">
        <v>2462</v>
      </c>
      <c r="C1792" s="68" t="s">
        <v>2462</v>
      </c>
      <c r="D1792" s="68" t="str">
        <f t="shared" si="36"/>
        <v>Bukhaweka</v>
      </c>
      <c r="F1792" s="68">
        <v>1117</v>
      </c>
    </row>
    <row r="1793" spans="1:6">
      <c r="A1793" s="68" t="s">
        <v>2465</v>
      </c>
      <c r="B1793" s="68" t="s">
        <v>2462</v>
      </c>
      <c r="C1793" s="68" t="s">
        <v>2462</v>
      </c>
      <c r="D1793" s="68" t="str">
        <f t="shared" ref="D1793:D1856" si="37">A1793</f>
        <v>Bukiabi</v>
      </c>
      <c r="F1793" s="68">
        <v>1118</v>
      </c>
    </row>
    <row r="1794" spans="1:6">
      <c r="A1794" s="68" t="s">
        <v>2466</v>
      </c>
      <c r="B1794" s="68" t="s">
        <v>2462</v>
      </c>
      <c r="C1794" s="68" t="s">
        <v>2462</v>
      </c>
      <c r="D1794" s="68" t="str">
        <f t="shared" si="37"/>
        <v>Bukokho</v>
      </c>
      <c r="F1794" s="68">
        <v>1119</v>
      </c>
    </row>
    <row r="1795" spans="1:6">
      <c r="A1795" s="68" t="s">
        <v>2467</v>
      </c>
      <c r="B1795" s="68" t="s">
        <v>2462</v>
      </c>
      <c r="C1795" s="68" t="s">
        <v>2462</v>
      </c>
      <c r="D1795" s="68" t="str">
        <f t="shared" si="37"/>
        <v>Bumbo</v>
      </c>
      <c r="F1795" s="68">
        <v>1120</v>
      </c>
    </row>
    <row r="1796" spans="1:6">
      <c r="A1796" s="68" t="s">
        <v>2468</v>
      </c>
      <c r="B1796" s="68" t="s">
        <v>2462</v>
      </c>
      <c r="C1796" s="68" t="s">
        <v>2462</v>
      </c>
      <c r="D1796" s="68" t="str">
        <f t="shared" si="37"/>
        <v>Bumwoni</v>
      </c>
      <c r="F1796" s="68">
        <v>1121</v>
      </c>
    </row>
    <row r="1797" spans="1:6">
      <c r="A1797" s="68" t="s">
        <v>2469</v>
      </c>
      <c r="B1797" s="68" t="s">
        <v>2462</v>
      </c>
      <c r="C1797" s="68" t="s">
        <v>2462</v>
      </c>
      <c r="D1797" s="68" t="str">
        <f t="shared" si="37"/>
        <v>Bupoto</v>
      </c>
      <c r="F1797" s="68">
        <v>1122</v>
      </c>
    </row>
    <row r="1798" spans="1:6">
      <c r="A1798" s="68" t="s">
        <v>2470</v>
      </c>
      <c r="B1798" s="68" t="s">
        <v>2462</v>
      </c>
      <c r="C1798" s="68" t="s">
        <v>2462</v>
      </c>
      <c r="D1798" s="68" t="str">
        <f t="shared" si="37"/>
        <v>Buwabwala</v>
      </c>
      <c r="F1798" s="68">
        <v>1123</v>
      </c>
    </row>
    <row r="1799" spans="1:6">
      <c r="A1799" s="68" t="s">
        <v>2471</v>
      </c>
      <c r="B1799" s="68" t="s">
        <v>2462</v>
      </c>
      <c r="C1799" s="68" t="s">
        <v>2462</v>
      </c>
      <c r="D1799" s="68" t="str">
        <f t="shared" si="37"/>
        <v>Lwakhakha Town Council</v>
      </c>
      <c r="F1799" s="68">
        <v>1124</v>
      </c>
    </row>
    <row r="1800" spans="1:6">
      <c r="A1800" s="68" t="s">
        <v>2472</v>
      </c>
      <c r="B1800" s="68" t="s">
        <v>2462</v>
      </c>
      <c r="C1800" s="68" t="s">
        <v>2462</v>
      </c>
      <c r="D1800" s="68" t="str">
        <f t="shared" si="37"/>
        <v>Magale</v>
      </c>
      <c r="F1800" s="68">
        <v>1125</v>
      </c>
    </row>
    <row r="1801" spans="1:6">
      <c r="A1801" s="68" t="s">
        <v>2473</v>
      </c>
      <c r="B1801" s="68" t="s">
        <v>2462</v>
      </c>
      <c r="C1801" s="68" t="s">
        <v>2462</v>
      </c>
      <c r="D1801" s="68" t="str">
        <f t="shared" si="37"/>
        <v>Magale Town Council</v>
      </c>
      <c r="F1801" s="68">
        <v>1126</v>
      </c>
    </row>
    <row r="1802" spans="1:6">
      <c r="A1802" s="68" t="s">
        <v>2474</v>
      </c>
      <c r="B1802" s="68" t="s">
        <v>2462</v>
      </c>
      <c r="C1802" s="68" t="s">
        <v>2462</v>
      </c>
      <c r="D1802" s="68" t="str">
        <f t="shared" si="37"/>
        <v>Mukoto</v>
      </c>
      <c r="F1802" s="68">
        <v>1127</v>
      </c>
    </row>
    <row r="1803" spans="1:6">
      <c r="A1803" s="68" t="s">
        <v>2475</v>
      </c>
      <c r="B1803" s="68" t="s">
        <v>2462</v>
      </c>
      <c r="C1803" s="68" t="s">
        <v>2462</v>
      </c>
      <c r="D1803" s="68" t="str">
        <f t="shared" si="37"/>
        <v>Namabya</v>
      </c>
      <c r="F1803" s="68">
        <v>1128</v>
      </c>
    </row>
    <row r="1804" spans="1:6">
      <c r="A1804" s="68" t="s">
        <v>2476</v>
      </c>
      <c r="B1804" s="68" t="s">
        <v>2462</v>
      </c>
      <c r="C1804" s="68" t="s">
        <v>2462</v>
      </c>
      <c r="D1804" s="68" t="str">
        <f t="shared" si="37"/>
        <v>Namboko</v>
      </c>
      <c r="F1804" s="68">
        <v>1129</v>
      </c>
    </row>
    <row r="1805" spans="1:6">
      <c r="A1805" s="68" t="s">
        <v>2477</v>
      </c>
      <c r="B1805" s="68" t="s">
        <v>2462</v>
      </c>
      <c r="C1805" s="68" t="s">
        <v>2462</v>
      </c>
      <c r="D1805" s="68" t="str">
        <f t="shared" si="37"/>
        <v>Namisindwa Town Council</v>
      </c>
      <c r="F1805" s="68">
        <v>1130</v>
      </c>
    </row>
    <row r="1806" spans="1:6">
      <c r="A1806" s="68" t="s">
        <v>2478</v>
      </c>
      <c r="B1806" s="68" t="s">
        <v>2462</v>
      </c>
      <c r="C1806" s="68" t="s">
        <v>2462</v>
      </c>
      <c r="D1806" s="68" t="str">
        <f t="shared" si="37"/>
        <v>Tsekululu</v>
      </c>
      <c r="F1806" s="68">
        <v>1131</v>
      </c>
    </row>
    <row r="1807" spans="1:6">
      <c r="A1807" s="68" t="s">
        <v>2479</v>
      </c>
      <c r="B1807" s="68" t="s">
        <v>2480</v>
      </c>
      <c r="C1807" s="68" t="s">
        <v>2481</v>
      </c>
      <c r="D1807" s="68" t="str">
        <f t="shared" si="37"/>
        <v>Bulange</v>
      </c>
      <c r="F1807" s="68">
        <v>1132</v>
      </c>
    </row>
    <row r="1808" spans="1:6">
      <c r="A1808" s="68" t="s">
        <v>2482</v>
      </c>
      <c r="B1808" s="68" t="s">
        <v>2480</v>
      </c>
      <c r="C1808" s="68" t="s">
        <v>2481</v>
      </c>
      <c r="D1808" s="68" t="str">
        <f t="shared" si="37"/>
        <v>Ivukula</v>
      </c>
      <c r="F1808" s="68">
        <v>1133</v>
      </c>
    </row>
    <row r="1809" spans="1:6">
      <c r="A1809" s="68" t="s">
        <v>1871</v>
      </c>
      <c r="B1809" s="68" t="s">
        <v>2480</v>
      </c>
      <c r="C1809" s="68" t="s">
        <v>2481</v>
      </c>
      <c r="D1809" s="68" t="str">
        <f t="shared" si="37"/>
        <v>Kibaale</v>
      </c>
      <c r="F1809" s="68">
        <v>1134</v>
      </c>
    </row>
    <row r="1810" spans="1:6">
      <c r="A1810" s="68" t="s">
        <v>2483</v>
      </c>
      <c r="B1810" s="68" t="s">
        <v>2480</v>
      </c>
      <c r="C1810" s="68" t="s">
        <v>2481</v>
      </c>
      <c r="D1810" s="68" t="str">
        <f t="shared" si="37"/>
        <v>Magada</v>
      </c>
      <c r="F1810" s="68">
        <v>1135</v>
      </c>
    </row>
    <row r="1811" spans="1:6">
      <c r="A1811" s="68" t="s">
        <v>2484</v>
      </c>
      <c r="B1811" s="68" t="s">
        <v>2480</v>
      </c>
      <c r="C1811" s="68" t="s">
        <v>2481</v>
      </c>
      <c r="D1811" s="68" t="str">
        <f t="shared" si="37"/>
        <v>Nabweyo</v>
      </c>
      <c r="F1811" s="68">
        <v>1136</v>
      </c>
    </row>
    <row r="1812" spans="1:6">
      <c r="A1812" s="68" t="s">
        <v>2480</v>
      </c>
      <c r="B1812" s="68" t="s">
        <v>2480</v>
      </c>
      <c r="C1812" s="68" t="s">
        <v>2481</v>
      </c>
      <c r="D1812" s="68" t="str">
        <f t="shared" si="37"/>
        <v>Namutumba</v>
      </c>
      <c r="F1812" s="68">
        <v>1137</v>
      </c>
    </row>
    <row r="1813" spans="1:6">
      <c r="A1813" s="68" t="s">
        <v>2485</v>
      </c>
      <c r="B1813" s="68" t="s">
        <v>2480</v>
      </c>
      <c r="C1813" s="68" t="s">
        <v>2481</v>
      </c>
      <c r="D1813" s="68" t="str">
        <f t="shared" si="37"/>
        <v>Namutumba Town Council</v>
      </c>
      <c r="F1813" s="68">
        <v>1138</v>
      </c>
    </row>
    <row r="1814" spans="1:6">
      <c r="A1814" s="68" t="s">
        <v>2486</v>
      </c>
      <c r="B1814" s="68" t="s">
        <v>2480</v>
      </c>
      <c r="C1814" s="68" t="s">
        <v>2481</v>
      </c>
      <c r="D1814" s="68" t="str">
        <f t="shared" si="37"/>
        <v>Nangonde</v>
      </c>
      <c r="F1814" s="68">
        <v>1139</v>
      </c>
    </row>
    <row r="1815" spans="1:6">
      <c r="A1815" s="68" t="s">
        <v>2487</v>
      </c>
      <c r="B1815" s="68" t="s">
        <v>2480</v>
      </c>
      <c r="C1815" s="68" t="s">
        <v>2481</v>
      </c>
      <c r="D1815" s="68" t="str">
        <f t="shared" si="37"/>
        <v>Nsinze</v>
      </c>
      <c r="F1815" s="68">
        <v>1140</v>
      </c>
    </row>
    <row r="1816" spans="1:6">
      <c r="A1816" s="68" t="s">
        <v>2488</v>
      </c>
      <c r="B1816" s="68" t="s">
        <v>2489</v>
      </c>
      <c r="C1816" s="68" t="s">
        <v>2490</v>
      </c>
      <c r="D1816" s="68" t="str">
        <f t="shared" si="37"/>
        <v>Iriiri</v>
      </c>
      <c r="F1816" s="68">
        <v>1141</v>
      </c>
    </row>
    <row r="1817" spans="1:6">
      <c r="A1817" s="68" t="s">
        <v>2491</v>
      </c>
      <c r="B1817" s="68" t="s">
        <v>2489</v>
      </c>
      <c r="C1817" s="68" t="s">
        <v>2490</v>
      </c>
      <c r="D1817" s="68" t="str">
        <f t="shared" si="37"/>
        <v>Lokopo</v>
      </c>
      <c r="F1817" s="68">
        <v>1142</v>
      </c>
    </row>
    <row r="1818" spans="1:6">
      <c r="A1818" s="68" t="s">
        <v>2492</v>
      </c>
      <c r="B1818" s="68" t="s">
        <v>2489</v>
      </c>
      <c r="C1818" s="68" t="s">
        <v>2490</v>
      </c>
      <c r="D1818" s="68" t="str">
        <f t="shared" si="37"/>
        <v>Lopeei</v>
      </c>
      <c r="F1818" s="68">
        <v>1143</v>
      </c>
    </row>
    <row r="1819" spans="1:6">
      <c r="A1819" s="68" t="s">
        <v>2493</v>
      </c>
      <c r="B1819" s="68" t="s">
        <v>2489</v>
      </c>
      <c r="C1819" s="68" t="s">
        <v>2490</v>
      </c>
      <c r="D1819" s="68" t="str">
        <f t="shared" si="37"/>
        <v>Lorengecora</v>
      </c>
      <c r="F1819" s="68">
        <v>1144</v>
      </c>
    </row>
    <row r="1820" spans="1:6">
      <c r="A1820" s="68" t="s">
        <v>2494</v>
      </c>
      <c r="B1820" s="68" t="s">
        <v>2489</v>
      </c>
      <c r="C1820" s="68" t="s">
        <v>2490</v>
      </c>
      <c r="D1820" s="68" t="str">
        <f t="shared" si="37"/>
        <v>Lotome</v>
      </c>
      <c r="F1820" s="68">
        <v>1145</v>
      </c>
    </row>
    <row r="1821" spans="1:6">
      <c r="A1821" s="68" t="s">
        <v>2495</v>
      </c>
      <c r="B1821" s="68" t="s">
        <v>2489</v>
      </c>
      <c r="C1821" s="68" t="s">
        <v>2490</v>
      </c>
      <c r="D1821" s="68" t="str">
        <f t="shared" si="37"/>
        <v>Matany</v>
      </c>
      <c r="F1821" s="68">
        <v>1146</v>
      </c>
    </row>
    <row r="1822" spans="1:6">
      <c r="A1822" s="68" t="s">
        <v>2496</v>
      </c>
      <c r="B1822" s="68" t="s">
        <v>2489</v>
      </c>
      <c r="C1822" s="68" t="s">
        <v>2490</v>
      </c>
      <c r="D1822" s="68" t="str">
        <f t="shared" si="37"/>
        <v>Napak Town Council</v>
      </c>
      <c r="F1822" s="68">
        <v>1147</v>
      </c>
    </row>
    <row r="1823" spans="1:6">
      <c r="A1823" s="68" t="s">
        <v>2497</v>
      </c>
      <c r="B1823" s="68" t="s">
        <v>2489</v>
      </c>
      <c r="C1823" s="68" t="s">
        <v>2490</v>
      </c>
      <c r="D1823" s="68" t="str">
        <f t="shared" si="37"/>
        <v>Ngoleriet</v>
      </c>
      <c r="F1823" s="68">
        <v>1148</v>
      </c>
    </row>
    <row r="1824" spans="1:6">
      <c r="A1824" s="68" t="s">
        <v>2498</v>
      </c>
      <c r="B1824" s="68" t="s">
        <v>2499</v>
      </c>
      <c r="C1824" s="68" t="s">
        <v>2500</v>
      </c>
      <c r="D1824" s="68" t="str">
        <f t="shared" si="37"/>
        <v>Akworo</v>
      </c>
      <c r="F1824" s="68">
        <v>1149</v>
      </c>
    </row>
    <row r="1825" spans="1:6">
      <c r="A1825" s="68" t="s">
        <v>2501</v>
      </c>
      <c r="B1825" s="68" t="s">
        <v>2499</v>
      </c>
      <c r="C1825" s="68" t="s">
        <v>2500</v>
      </c>
      <c r="D1825" s="68" t="str">
        <f t="shared" si="37"/>
        <v>Atego</v>
      </c>
      <c r="F1825" s="68">
        <v>1150</v>
      </c>
    </row>
    <row r="1826" spans="1:6">
      <c r="A1826" s="68" t="s">
        <v>2502</v>
      </c>
      <c r="B1826" s="68" t="s">
        <v>2499</v>
      </c>
      <c r="C1826" s="68" t="s">
        <v>2500</v>
      </c>
      <c r="D1826" s="68" t="str">
        <f t="shared" si="37"/>
        <v>Erussi</v>
      </c>
      <c r="F1826" s="68">
        <v>1151</v>
      </c>
    </row>
    <row r="1827" spans="1:6">
      <c r="A1827" s="68" t="s">
        <v>2503</v>
      </c>
      <c r="B1827" s="68" t="s">
        <v>2499</v>
      </c>
      <c r="C1827" s="68" t="s">
        <v>2500</v>
      </c>
      <c r="D1827" s="68" t="str">
        <f t="shared" si="37"/>
        <v>Kucwiny</v>
      </c>
      <c r="F1827" s="68">
        <v>1152</v>
      </c>
    </row>
    <row r="1828" spans="1:6">
      <c r="A1828" s="68" t="s">
        <v>2504</v>
      </c>
      <c r="B1828" s="68" t="s">
        <v>2499</v>
      </c>
      <c r="C1828" s="68" t="s">
        <v>2500</v>
      </c>
      <c r="D1828" s="68" t="str">
        <f t="shared" si="37"/>
        <v>Ndhew</v>
      </c>
      <c r="F1828" s="68">
        <v>1153</v>
      </c>
    </row>
    <row r="1829" spans="1:6">
      <c r="A1829" s="68" t="s">
        <v>2499</v>
      </c>
      <c r="B1829" s="68" t="s">
        <v>2499</v>
      </c>
      <c r="C1829" s="68" t="s">
        <v>2500</v>
      </c>
      <c r="D1829" s="68" t="str">
        <f t="shared" si="37"/>
        <v>Nebbi</v>
      </c>
      <c r="F1829" s="68">
        <v>1154</v>
      </c>
    </row>
    <row r="1830" spans="1:6">
      <c r="A1830" s="68" t="s">
        <v>2505</v>
      </c>
      <c r="B1830" s="68" t="s">
        <v>2499</v>
      </c>
      <c r="C1830" s="68" t="s">
        <v>2505</v>
      </c>
      <c r="D1830" s="68" t="str">
        <f t="shared" si="37"/>
        <v>Nebbi Municipality</v>
      </c>
      <c r="F1830" s="68">
        <v>1155</v>
      </c>
    </row>
    <row r="1831" spans="1:6">
      <c r="A1831" s="68" t="s">
        <v>2506</v>
      </c>
      <c r="B1831" s="68" t="s">
        <v>2499</v>
      </c>
      <c r="C1831" s="68" t="s">
        <v>2500</v>
      </c>
      <c r="D1831" s="68" t="str">
        <f t="shared" si="37"/>
        <v>Nyaravur</v>
      </c>
      <c r="F1831" s="68">
        <v>1156</v>
      </c>
    </row>
    <row r="1832" spans="1:6">
      <c r="A1832" s="68" t="s">
        <v>2507</v>
      </c>
      <c r="B1832" s="68" t="s">
        <v>2499</v>
      </c>
      <c r="C1832" s="68" t="s">
        <v>2500</v>
      </c>
      <c r="D1832" s="68" t="str">
        <f t="shared" si="37"/>
        <v>Parombo</v>
      </c>
      <c r="F1832" s="68">
        <v>1157</v>
      </c>
    </row>
    <row r="1833" spans="1:6">
      <c r="A1833" s="68" t="s">
        <v>2508</v>
      </c>
      <c r="B1833" s="68" t="s">
        <v>2509</v>
      </c>
      <c r="C1833" s="68" t="s">
        <v>2509</v>
      </c>
      <c r="D1833" s="68" t="str">
        <f t="shared" si="37"/>
        <v>Kapir</v>
      </c>
      <c r="F1833" s="68">
        <v>1158</v>
      </c>
    </row>
    <row r="1834" spans="1:6">
      <c r="A1834" s="68" t="s">
        <v>2510</v>
      </c>
      <c r="B1834" s="68" t="s">
        <v>2509</v>
      </c>
      <c r="C1834" s="68" t="s">
        <v>2509</v>
      </c>
      <c r="D1834" s="68" t="str">
        <f t="shared" si="37"/>
        <v>Kobwin</v>
      </c>
      <c r="F1834" s="68">
        <v>1159</v>
      </c>
    </row>
    <row r="1835" spans="1:6">
      <c r="A1835" s="68" t="s">
        <v>2511</v>
      </c>
      <c r="B1835" s="68" t="s">
        <v>2509</v>
      </c>
      <c r="C1835" s="68" t="s">
        <v>2509</v>
      </c>
      <c r="D1835" s="68" t="str">
        <f t="shared" si="37"/>
        <v>Mukura</v>
      </c>
      <c r="F1835" s="68">
        <v>1160</v>
      </c>
    </row>
    <row r="1836" spans="1:6">
      <c r="A1836" s="68" t="s">
        <v>2509</v>
      </c>
      <c r="B1836" s="68" t="s">
        <v>2509</v>
      </c>
      <c r="C1836" s="68" t="s">
        <v>2509</v>
      </c>
      <c r="D1836" s="68" t="str">
        <f t="shared" si="37"/>
        <v>Ngora</v>
      </c>
      <c r="F1836" s="68">
        <v>1161</v>
      </c>
    </row>
    <row r="1837" spans="1:6">
      <c r="A1837" s="68" t="s">
        <v>2512</v>
      </c>
      <c r="B1837" s="68" t="s">
        <v>2509</v>
      </c>
      <c r="C1837" s="68" t="s">
        <v>2509</v>
      </c>
      <c r="D1837" s="68" t="str">
        <f t="shared" si="37"/>
        <v>Ngora Town Council</v>
      </c>
      <c r="F1837" s="68">
        <v>1162</v>
      </c>
    </row>
    <row r="1838" spans="1:6">
      <c r="A1838" s="68" t="s">
        <v>2513</v>
      </c>
      <c r="B1838" s="68" t="s">
        <v>2514</v>
      </c>
      <c r="C1838" s="68" t="s">
        <v>2514</v>
      </c>
      <c r="D1838" s="68" t="str">
        <f t="shared" si="37"/>
        <v>Butungama</v>
      </c>
      <c r="F1838" s="68">
        <v>1163</v>
      </c>
    </row>
    <row r="1839" spans="1:6">
      <c r="A1839" s="68" t="s">
        <v>2515</v>
      </c>
      <c r="B1839" s="68" t="s">
        <v>2514</v>
      </c>
      <c r="C1839" s="68" t="s">
        <v>2514</v>
      </c>
      <c r="D1839" s="68" t="str">
        <f t="shared" si="37"/>
        <v>Bweramule</v>
      </c>
      <c r="F1839" s="68">
        <v>1164</v>
      </c>
    </row>
    <row r="1840" spans="1:6">
      <c r="A1840" s="68" t="s">
        <v>2516</v>
      </c>
      <c r="B1840" s="68" t="s">
        <v>2514</v>
      </c>
      <c r="C1840" s="68" t="s">
        <v>2514</v>
      </c>
      <c r="D1840" s="68" t="str">
        <f t="shared" si="37"/>
        <v>Kanara Town Council</v>
      </c>
      <c r="F1840" s="68">
        <v>1165</v>
      </c>
    </row>
    <row r="1841" spans="1:6">
      <c r="A1841" s="68" t="s">
        <v>2517</v>
      </c>
      <c r="B1841" s="68" t="s">
        <v>2514</v>
      </c>
      <c r="C1841" s="68" t="s">
        <v>2514</v>
      </c>
      <c r="D1841" s="68" t="str">
        <f t="shared" si="37"/>
        <v>Kanara-Ntoroko</v>
      </c>
      <c r="F1841" s="68">
        <v>1166</v>
      </c>
    </row>
    <row r="1842" spans="1:6">
      <c r="A1842" s="68" t="s">
        <v>2518</v>
      </c>
      <c r="B1842" s="68" t="s">
        <v>2514</v>
      </c>
      <c r="C1842" s="68" t="s">
        <v>2514</v>
      </c>
      <c r="D1842" s="68" t="str">
        <f t="shared" si="37"/>
        <v>Karugutu</v>
      </c>
      <c r="F1842" s="68">
        <v>1167</v>
      </c>
    </row>
    <row r="1843" spans="1:6">
      <c r="A1843" s="68" t="s">
        <v>2519</v>
      </c>
      <c r="B1843" s="68" t="s">
        <v>2514</v>
      </c>
      <c r="C1843" s="68" t="s">
        <v>2514</v>
      </c>
      <c r="D1843" s="68" t="str">
        <f t="shared" si="37"/>
        <v>Karugutu Town Council</v>
      </c>
      <c r="F1843" s="68">
        <v>1168</v>
      </c>
    </row>
    <row r="1844" spans="1:6">
      <c r="A1844" s="68" t="s">
        <v>2520</v>
      </c>
      <c r="B1844" s="68" t="s">
        <v>2514</v>
      </c>
      <c r="C1844" s="68" t="s">
        <v>2514</v>
      </c>
      <c r="D1844" s="68" t="str">
        <f t="shared" si="37"/>
        <v>Kibuuku Town Council</v>
      </c>
      <c r="F1844" s="68">
        <v>1169</v>
      </c>
    </row>
    <row r="1845" spans="1:6">
      <c r="A1845" s="68" t="s">
        <v>2521</v>
      </c>
      <c r="B1845" s="68" t="s">
        <v>2514</v>
      </c>
      <c r="C1845" s="68" t="s">
        <v>2514</v>
      </c>
      <c r="D1845" s="68" t="str">
        <f t="shared" si="37"/>
        <v>Nombe</v>
      </c>
      <c r="F1845" s="68">
        <v>1170</v>
      </c>
    </row>
    <row r="1846" spans="1:6">
      <c r="A1846" s="68" t="s">
        <v>2522</v>
      </c>
      <c r="B1846" s="68" t="s">
        <v>2514</v>
      </c>
      <c r="C1846" s="68" t="s">
        <v>2514</v>
      </c>
      <c r="D1846" s="68" t="str">
        <f t="shared" si="37"/>
        <v>Rwebisengo</v>
      </c>
      <c r="F1846" s="68">
        <v>1171</v>
      </c>
    </row>
    <row r="1847" spans="1:6">
      <c r="A1847" s="68" t="s">
        <v>2523</v>
      </c>
      <c r="B1847" s="68" t="s">
        <v>2514</v>
      </c>
      <c r="C1847" s="68" t="s">
        <v>2514</v>
      </c>
      <c r="D1847" s="68" t="str">
        <f t="shared" si="37"/>
        <v>Rwebisengo Town Council</v>
      </c>
      <c r="F1847" s="68">
        <v>1172</v>
      </c>
    </row>
    <row r="1848" spans="1:6">
      <c r="A1848" s="68" t="s">
        <v>2524</v>
      </c>
      <c r="B1848" s="68" t="s">
        <v>47</v>
      </c>
      <c r="C1848" s="68" t="s">
        <v>2525</v>
      </c>
      <c r="D1848" s="68" t="str">
        <f t="shared" si="37"/>
        <v>Bwongyera</v>
      </c>
      <c r="F1848" s="68">
        <v>1173</v>
      </c>
    </row>
    <row r="1849" spans="1:6">
      <c r="A1849" s="68" t="s">
        <v>2526</v>
      </c>
      <c r="B1849" s="68" t="s">
        <v>47</v>
      </c>
      <c r="C1849" s="68" t="s">
        <v>2525</v>
      </c>
      <c r="D1849" s="68" t="str">
        <f t="shared" si="37"/>
        <v>Ihunga</v>
      </c>
      <c r="F1849" s="68">
        <v>1174</v>
      </c>
    </row>
    <row r="1850" spans="1:6">
      <c r="A1850" s="68" t="s">
        <v>2527</v>
      </c>
      <c r="B1850" s="68" t="s">
        <v>47</v>
      </c>
      <c r="C1850" s="68" t="s">
        <v>2528</v>
      </c>
      <c r="D1850" s="68" t="str">
        <f t="shared" si="37"/>
        <v>Itojo</v>
      </c>
      <c r="F1850" s="68">
        <v>1175</v>
      </c>
    </row>
    <row r="1851" spans="1:6">
      <c r="A1851" s="68" t="s">
        <v>260</v>
      </c>
      <c r="D1851" s="68" t="str">
        <f t="shared" si="37"/>
        <v>KASHENYI</v>
      </c>
      <c r="F1851" s="68">
        <v>1175</v>
      </c>
    </row>
    <row r="1852" spans="1:6">
      <c r="A1852" s="68" t="s">
        <v>2529</v>
      </c>
      <c r="B1852" s="68" t="s">
        <v>47</v>
      </c>
      <c r="C1852" s="68" t="s">
        <v>2525</v>
      </c>
      <c r="D1852" s="68" t="str">
        <f t="shared" si="37"/>
        <v>Kagarama Town Council</v>
      </c>
      <c r="F1852" s="68">
        <v>1176</v>
      </c>
    </row>
    <row r="1853" spans="1:6">
      <c r="A1853" s="68" t="s">
        <v>2530</v>
      </c>
      <c r="B1853" s="68" t="s">
        <v>47</v>
      </c>
      <c r="C1853" s="68" t="s">
        <v>2531</v>
      </c>
      <c r="D1853" s="68" t="str">
        <f t="shared" si="37"/>
        <v>Kayonza-Ntungamo</v>
      </c>
      <c r="F1853" s="68">
        <v>1177</v>
      </c>
    </row>
    <row r="1854" spans="1:6">
      <c r="A1854" s="68" t="s">
        <v>2532</v>
      </c>
      <c r="B1854" s="68" t="s">
        <v>47</v>
      </c>
      <c r="C1854" s="68" t="s">
        <v>2525</v>
      </c>
      <c r="D1854" s="68" t="str">
        <f t="shared" si="37"/>
        <v>Kibatsi</v>
      </c>
      <c r="F1854" s="68">
        <v>1178</v>
      </c>
    </row>
    <row r="1855" spans="1:6">
      <c r="A1855" s="68" t="s">
        <v>2533</v>
      </c>
      <c r="B1855" s="68" t="s">
        <v>47</v>
      </c>
      <c r="C1855" s="68" t="s">
        <v>2528</v>
      </c>
      <c r="D1855" s="68" t="str">
        <f t="shared" si="37"/>
        <v>Kitwe Town Council</v>
      </c>
      <c r="F1855" s="68">
        <v>1179</v>
      </c>
    </row>
    <row r="1856" spans="1:6">
      <c r="A1856" s="68" t="s">
        <v>2534</v>
      </c>
      <c r="B1856" s="68" t="s">
        <v>47</v>
      </c>
      <c r="C1856" s="68" t="s">
        <v>2531</v>
      </c>
      <c r="D1856" s="68" t="str">
        <f t="shared" si="37"/>
        <v>Ngoma-Ntungamo</v>
      </c>
      <c r="F1856" s="68">
        <v>1180</v>
      </c>
    </row>
    <row r="1857" spans="1:6">
      <c r="A1857" s="68" t="s">
        <v>47</v>
      </c>
      <c r="B1857" s="68" t="s">
        <v>47</v>
      </c>
      <c r="C1857" s="68" t="s">
        <v>2528</v>
      </c>
      <c r="D1857" s="68" t="str">
        <f t="shared" ref="D1857:D1920" si="38">A1857</f>
        <v>Ntungamo</v>
      </c>
      <c r="F1857" s="68">
        <v>1181</v>
      </c>
    </row>
    <row r="1858" spans="1:6">
      <c r="A1858" s="68" t="s">
        <v>2535</v>
      </c>
      <c r="B1858" s="68" t="s">
        <v>47</v>
      </c>
      <c r="C1858" s="68" t="s">
        <v>2535</v>
      </c>
      <c r="D1858" s="68" t="str">
        <f t="shared" si="38"/>
        <v>Ntungamo Municipality</v>
      </c>
      <c r="F1858" s="68">
        <v>1182</v>
      </c>
    </row>
    <row r="1859" spans="1:6">
      <c r="A1859" s="68" t="s">
        <v>2536</v>
      </c>
      <c r="D1859" s="68" t="str">
        <f t="shared" si="38"/>
        <v>Ntugamo</v>
      </c>
      <c r="F1859" s="68">
        <v>1182</v>
      </c>
    </row>
    <row r="1860" spans="1:6">
      <c r="A1860" s="68" t="s">
        <v>2537</v>
      </c>
      <c r="D1860" s="68" t="str">
        <f t="shared" si="38"/>
        <v>NTUNGANO</v>
      </c>
      <c r="F1860" s="68">
        <v>1182</v>
      </c>
    </row>
    <row r="1861" spans="1:6">
      <c r="A1861" s="68" t="s">
        <v>2538</v>
      </c>
      <c r="D1861" s="68" t="str">
        <f t="shared" si="38"/>
        <v>NTUNGAMO TOWN</v>
      </c>
      <c r="F1861" s="68">
        <v>1182</v>
      </c>
    </row>
    <row r="1862" spans="1:6">
      <c r="A1862" s="68" t="s">
        <v>2539</v>
      </c>
      <c r="D1862" s="68" t="str">
        <f t="shared" si="38"/>
        <v>NYAMUKANA</v>
      </c>
      <c r="F1862" s="68">
        <v>1182</v>
      </c>
    </row>
    <row r="1863" spans="1:6">
      <c r="A1863" s="68" t="s">
        <v>2540</v>
      </c>
      <c r="B1863" s="68" t="s">
        <v>47</v>
      </c>
      <c r="C1863" s="68" t="s">
        <v>2525</v>
      </c>
      <c r="D1863" s="68" t="str">
        <f t="shared" si="38"/>
        <v>Nyabihoko</v>
      </c>
      <c r="F1863" s="68">
        <v>1183</v>
      </c>
    </row>
    <row r="1864" spans="1:6">
      <c r="A1864" s="68" t="s">
        <v>2541</v>
      </c>
      <c r="B1864" s="68" t="s">
        <v>47</v>
      </c>
      <c r="C1864" s="68" t="s">
        <v>2528</v>
      </c>
      <c r="D1864" s="68" t="str">
        <f t="shared" si="38"/>
        <v>Nyakyera</v>
      </c>
      <c r="F1864" s="68">
        <v>1184</v>
      </c>
    </row>
    <row r="1865" spans="1:6">
      <c r="A1865" s="68" t="s">
        <v>55</v>
      </c>
      <c r="B1865" s="68" t="s">
        <v>47</v>
      </c>
      <c r="C1865" s="68" t="s">
        <v>2531</v>
      </c>
      <c r="D1865" s="68" t="str">
        <f t="shared" si="38"/>
        <v>Rubaare</v>
      </c>
      <c r="F1865" s="68">
        <v>1185</v>
      </c>
    </row>
    <row r="1866" spans="1:6">
      <c r="A1866" s="68" t="s">
        <v>2542</v>
      </c>
      <c r="B1866" s="68" t="s">
        <v>47</v>
      </c>
      <c r="C1866" s="68" t="s">
        <v>2531</v>
      </c>
      <c r="D1866" s="68" t="str">
        <f t="shared" si="38"/>
        <v>Rubaare Town Council</v>
      </c>
      <c r="F1866" s="68">
        <v>1186</v>
      </c>
    </row>
    <row r="1867" spans="1:6">
      <c r="A1867" s="68" t="s">
        <v>2543</v>
      </c>
      <c r="B1867" s="68" t="s">
        <v>47</v>
      </c>
      <c r="C1867" s="68" t="s">
        <v>2531</v>
      </c>
      <c r="D1867" s="68" t="str">
        <f t="shared" si="38"/>
        <v>Rugarama-Ntungamo</v>
      </c>
      <c r="F1867" s="68">
        <v>1187</v>
      </c>
    </row>
    <row r="1868" spans="1:6">
      <c r="A1868" s="68" t="s">
        <v>2528</v>
      </c>
      <c r="B1868" s="68" t="s">
        <v>47</v>
      </c>
      <c r="C1868" s="68" t="s">
        <v>2528</v>
      </c>
      <c r="D1868" s="68" t="str">
        <f t="shared" si="38"/>
        <v>Ruhaama</v>
      </c>
      <c r="F1868" s="68">
        <v>1188</v>
      </c>
    </row>
    <row r="1869" spans="1:6">
      <c r="A1869" s="68" t="s">
        <v>2544</v>
      </c>
      <c r="B1869" s="68" t="s">
        <v>47</v>
      </c>
      <c r="C1869" s="68" t="s">
        <v>2528</v>
      </c>
      <c r="D1869" s="68" t="str">
        <f t="shared" si="38"/>
        <v>Rukoni East</v>
      </c>
      <c r="F1869" s="68">
        <v>1189</v>
      </c>
    </row>
    <row r="1870" spans="1:6">
      <c r="A1870" s="68" t="s">
        <v>2545</v>
      </c>
      <c r="B1870" s="68" t="s">
        <v>47</v>
      </c>
      <c r="C1870" s="68" t="s">
        <v>2528</v>
      </c>
      <c r="D1870" s="68" t="str">
        <f t="shared" si="38"/>
        <v>Rukoni West</v>
      </c>
      <c r="F1870" s="68">
        <v>1190</v>
      </c>
    </row>
    <row r="1871" spans="1:6">
      <c r="A1871" s="68" t="s">
        <v>2546</v>
      </c>
      <c r="B1871" s="68" t="s">
        <v>47</v>
      </c>
      <c r="C1871" s="68" t="s">
        <v>2525</v>
      </c>
      <c r="D1871" s="68" t="str">
        <f t="shared" si="38"/>
        <v>Rwashamaire Town Council</v>
      </c>
      <c r="F1871" s="68">
        <v>1191</v>
      </c>
    </row>
    <row r="1872" spans="1:6">
      <c r="A1872" s="68" t="s">
        <v>2547</v>
      </c>
      <c r="B1872" s="68" t="s">
        <v>47</v>
      </c>
      <c r="C1872" s="68" t="s">
        <v>2528</v>
      </c>
      <c r="D1872" s="68" t="str">
        <f t="shared" si="38"/>
        <v>Rweikiniro</v>
      </c>
      <c r="F1872" s="68">
        <v>1192</v>
      </c>
    </row>
    <row r="1873" spans="1:6">
      <c r="A1873" s="68" t="s">
        <v>2548</v>
      </c>
      <c r="B1873" s="68" t="s">
        <v>2549</v>
      </c>
      <c r="C1873" s="68" t="s">
        <v>2549</v>
      </c>
      <c r="D1873" s="68" t="str">
        <f t="shared" si="38"/>
        <v>Alero</v>
      </c>
      <c r="F1873" s="68">
        <v>1193</v>
      </c>
    </row>
    <row r="1874" spans="1:6">
      <c r="A1874" s="68" t="s">
        <v>2550</v>
      </c>
      <c r="B1874" s="68" t="s">
        <v>2549</v>
      </c>
      <c r="C1874" s="68" t="s">
        <v>2549</v>
      </c>
      <c r="D1874" s="68" t="str">
        <f t="shared" si="38"/>
        <v>Anaka Payira</v>
      </c>
      <c r="F1874" s="68">
        <v>1194</v>
      </c>
    </row>
    <row r="1875" spans="1:6">
      <c r="A1875" s="68" t="s">
        <v>2551</v>
      </c>
      <c r="B1875" s="68" t="s">
        <v>2549</v>
      </c>
      <c r="C1875" s="68" t="s">
        <v>2549</v>
      </c>
      <c r="D1875" s="68" t="str">
        <f t="shared" si="38"/>
        <v>Anaka Town Council</v>
      </c>
      <c r="F1875" s="68">
        <v>1195</v>
      </c>
    </row>
    <row r="1876" spans="1:6">
      <c r="A1876" s="68" t="s">
        <v>2552</v>
      </c>
      <c r="B1876" s="68" t="s">
        <v>2549</v>
      </c>
      <c r="C1876" s="68" t="s">
        <v>2549</v>
      </c>
      <c r="D1876" s="68" t="str">
        <f t="shared" si="38"/>
        <v>Koch-Goma</v>
      </c>
      <c r="F1876" s="68">
        <v>1196</v>
      </c>
    </row>
    <row r="1877" spans="1:6">
      <c r="A1877" s="68" t="s">
        <v>2553</v>
      </c>
      <c r="B1877" s="68" t="s">
        <v>2549</v>
      </c>
      <c r="C1877" s="68" t="s">
        <v>2549</v>
      </c>
      <c r="D1877" s="68" t="str">
        <f t="shared" si="38"/>
        <v>Purongo</v>
      </c>
      <c r="F1877" s="68">
        <v>1197</v>
      </c>
    </row>
    <row r="1878" spans="1:6">
      <c r="A1878" s="68" t="s">
        <v>2554</v>
      </c>
      <c r="B1878" s="68" t="s">
        <v>687</v>
      </c>
      <c r="C1878" s="68" t="s">
        <v>687</v>
      </c>
      <c r="D1878" s="68" t="str">
        <f t="shared" si="38"/>
        <v>Bobi</v>
      </c>
      <c r="F1878" s="68">
        <v>1198</v>
      </c>
    </row>
    <row r="1879" spans="1:6">
      <c r="A1879" s="68" t="s">
        <v>2555</v>
      </c>
      <c r="B1879" s="68" t="s">
        <v>687</v>
      </c>
      <c r="C1879" s="68" t="s">
        <v>687</v>
      </c>
      <c r="D1879" s="68" t="str">
        <f t="shared" si="38"/>
        <v>Koro</v>
      </c>
      <c r="F1879" s="68">
        <v>1199</v>
      </c>
    </row>
    <row r="1880" spans="1:6">
      <c r="A1880" s="68" t="s">
        <v>2556</v>
      </c>
      <c r="B1880" s="68" t="s">
        <v>687</v>
      </c>
      <c r="C1880" s="68" t="s">
        <v>687</v>
      </c>
      <c r="D1880" s="68" t="str">
        <f t="shared" si="38"/>
        <v>Lakwana</v>
      </c>
      <c r="F1880" s="68">
        <v>1200</v>
      </c>
    </row>
    <row r="1881" spans="1:6">
      <c r="A1881" s="68" t="s">
        <v>2557</v>
      </c>
      <c r="B1881" s="68" t="s">
        <v>687</v>
      </c>
      <c r="C1881" s="68" t="s">
        <v>687</v>
      </c>
      <c r="D1881" s="68" t="str">
        <f t="shared" si="38"/>
        <v>Lalogi</v>
      </c>
      <c r="F1881" s="68">
        <v>1201</v>
      </c>
    </row>
    <row r="1882" spans="1:6">
      <c r="A1882" s="68" t="s">
        <v>2558</v>
      </c>
      <c r="B1882" s="68" t="s">
        <v>687</v>
      </c>
      <c r="C1882" s="68" t="s">
        <v>687</v>
      </c>
      <c r="D1882" s="68" t="str">
        <f t="shared" si="38"/>
        <v>Odek</v>
      </c>
      <c r="F1882" s="68">
        <v>1202</v>
      </c>
    </row>
    <row r="1883" spans="1:6">
      <c r="A1883" s="68" t="s">
        <v>2559</v>
      </c>
      <c r="B1883" s="68" t="s">
        <v>687</v>
      </c>
      <c r="C1883" s="68" t="s">
        <v>687</v>
      </c>
      <c r="D1883" s="68" t="str">
        <f t="shared" si="38"/>
        <v>Omoro Town Council</v>
      </c>
      <c r="F1883" s="68">
        <v>1203</v>
      </c>
    </row>
    <row r="1884" spans="1:6">
      <c r="A1884" s="68" t="s">
        <v>2560</v>
      </c>
      <c r="B1884" s="68" t="s">
        <v>687</v>
      </c>
      <c r="C1884" s="68" t="s">
        <v>687</v>
      </c>
      <c r="D1884" s="68" t="str">
        <f t="shared" si="38"/>
        <v>Ongako</v>
      </c>
      <c r="F1884" s="68">
        <v>1204</v>
      </c>
    </row>
    <row r="1885" spans="1:6">
      <c r="A1885" s="68" t="s">
        <v>2561</v>
      </c>
      <c r="B1885" s="68" t="s">
        <v>2562</v>
      </c>
      <c r="C1885" s="68" t="s">
        <v>2562</v>
      </c>
      <c r="D1885" s="68" t="str">
        <f t="shared" si="38"/>
        <v>Adwari</v>
      </c>
      <c r="F1885" s="68">
        <v>1205</v>
      </c>
    </row>
    <row r="1886" spans="1:6">
      <c r="A1886" s="68" t="s">
        <v>2563</v>
      </c>
      <c r="B1886" s="68" t="s">
        <v>2562</v>
      </c>
      <c r="C1886" s="68" t="s">
        <v>2562</v>
      </c>
      <c r="D1886" s="68" t="str">
        <f t="shared" si="38"/>
        <v>Alango</v>
      </c>
      <c r="F1886" s="68">
        <v>1206</v>
      </c>
    </row>
    <row r="1887" spans="1:6">
      <c r="A1887" s="68" t="s">
        <v>2564</v>
      </c>
      <c r="B1887" s="68" t="s">
        <v>2562</v>
      </c>
      <c r="C1887" s="68" t="s">
        <v>2562</v>
      </c>
      <c r="D1887" s="68" t="str">
        <f t="shared" si="38"/>
        <v>Ogor</v>
      </c>
      <c r="F1887" s="68">
        <v>1207</v>
      </c>
    </row>
    <row r="1888" spans="1:6">
      <c r="A1888" s="68" t="s">
        <v>2565</v>
      </c>
      <c r="B1888" s="68" t="s">
        <v>2562</v>
      </c>
      <c r="C1888" s="68" t="s">
        <v>2562</v>
      </c>
      <c r="D1888" s="68" t="str">
        <f t="shared" si="38"/>
        <v>Ogwette</v>
      </c>
      <c r="F1888" s="68">
        <v>1208</v>
      </c>
    </row>
    <row r="1889" spans="1:6">
      <c r="A1889" s="68" t="s">
        <v>2566</v>
      </c>
      <c r="B1889" s="68" t="s">
        <v>2562</v>
      </c>
      <c r="C1889" s="68" t="s">
        <v>2562</v>
      </c>
      <c r="D1889" s="68" t="str">
        <f t="shared" si="38"/>
        <v>Okwang</v>
      </c>
      <c r="F1889" s="68">
        <v>1209</v>
      </c>
    </row>
    <row r="1890" spans="1:6">
      <c r="A1890" s="68" t="s">
        <v>2567</v>
      </c>
      <c r="B1890" s="68" t="s">
        <v>2562</v>
      </c>
      <c r="C1890" s="68" t="s">
        <v>2562</v>
      </c>
      <c r="D1890" s="68" t="str">
        <f t="shared" si="38"/>
        <v>Olilim</v>
      </c>
      <c r="F1890" s="68">
        <v>1210</v>
      </c>
    </row>
    <row r="1891" spans="1:6">
      <c r="A1891" s="68" t="s">
        <v>2568</v>
      </c>
      <c r="B1891" s="68" t="s">
        <v>2562</v>
      </c>
      <c r="C1891" s="68" t="s">
        <v>2562</v>
      </c>
      <c r="D1891" s="68" t="str">
        <f t="shared" si="38"/>
        <v>Orum</v>
      </c>
      <c r="F1891" s="68">
        <v>1211</v>
      </c>
    </row>
    <row r="1892" spans="1:6">
      <c r="A1892" s="68" t="s">
        <v>2569</v>
      </c>
      <c r="B1892" s="68" t="s">
        <v>2562</v>
      </c>
      <c r="C1892" s="68" t="s">
        <v>2562</v>
      </c>
      <c r="D1892" s="68" t="str">
        <f t="shared" si="38"/>
        <v>Otuke Town Council</v>
      </c>
      <c r="F1892" s="68">
        <v>1212</v>
      </c>
    </row>
    <row r="1893" spans="1:6">
      <c r="A1893" s="68" t="s">
        <v>2570</v>
      </c>
      <c r="B1893" s="68" t="s">
        <v>2571</v>
      </c>
      <c r="C1893" s="68" t="s">
        <v>2571</v>
      </c>
      <c r="D1893" s="68" t="str">
        <f t="shared" si="38"/>
        <v>Aber</v>
      </c>
      <c r="F1893" s="68">
        <v>1213</v>
      </c>
    </row>
    <row r="1894" spans="1:6">
      <c r="A1894" s="68" t="s">
        <v>2572</v>
      </c>
      <c r="B1894" s="68" t="s">
        <v>2571</v>
      </c>
      <c r="C1894" s="68" t="s">
        <v>2571</v>
      </c>
      <c r="D1894" s="68" t="str">
        <f t="shared" si="38"/>
        <v>Abok</v>
      </c>
      <c r="F1894" s="68">
        <v>1214</v>
      </c>
    </row>
    <row r="1895" spans="1:6">
      <c r="A1895" s="68" t="s">
        <v>2573</v>
      </c>
      <c r="B1895" s="68" t="s">
        <v>2571</v>
      </c>
      <c r="C1895" s="68" t="s">
        <v>2571</v>
      </c>
      <c r="D1895" s="68" t="str">
        <f t="shared" si="38"/>
        <v>Acaba</v>
      </c>
      <c r="F1895" s="68">
        <v>1215</v>
      </c>
    </row>
    <row r="1896" spans="1:6">
      <c r="A1896" s="68" t="s">
        <v>2574</v>
      </c>
      <c r="B1896" s="68" t="s">
        <v>2571</v>
      </c>
      <c r="C1896" s="68" t="s">
        <v>2571</v>
      </c>
      <c r="D1896" s="68" t="str">
        <f t="shared" si="38"/>
        <v>Aleka</v>
      </c>
      <c r="F1896" s="68">
        <v>1216</v>
      </c>
    </row>
    <row r="1897" spans="1:6">
      <c r="A1897" s="68" t="s">
        <v>2575</v>
      </c>
      <c r="B1897" s="68" t="s">
        <v>2571</v>
      </c>
      <c r="C1897" s="68" t="s">
        <v>2571</v>
      </c>
      <c r="D1897" s="68" t="str">
        <f t="shared" si="38"/>
        <v>Iceme</v>
      </c>
      <c r="F1897" s="68">
        <v>1217</v>
      </c>
    </row>
    <row r="1898" spans="1:6">
      <c r="A1898" s="68" t="s">
        <v>2576</v>
      </c>
      <c r="B1898" s="68" t="s">
        <v>2571</v>
      </c>
      <c r="C1898" s="68" t="s">
        <v>2571</v>
      </c>
      <c r="D1898" s="68" t="str">
        <f t="shared" si="38"/>
        <v>Kamdini</v>
      </c>
      <c r="F1898" s="68">
        <v>1218</v>
      </c>
    </row>
    <row r="1899" spans="1:6">
      <c r="A1899" s="68" t="s">
        <v>2577</v>
      </c>
      <c r="D1899" s="68" t="str">
        <f t="shared" si="38"/>
        <v>Kamudini</v>
      </c>
      <c r="F1899" s="68">
        <v>1218</v>
      </c>
    </row>
    <row r="1900" spans="1:6">
      <c r="A1900" s="68" t="s">
        <v>2578</v>
      </c>
      <c r="B1900" s="68" t="s">
        <v>2571</v>
      </c>
      <c r="C1900" s="68" t="s">
        <v>2571</v>
      </c>
      <c r="D1900" s="68" t="str">
        <f t="shared" si="38"/>
        <v>Loro</v>
      </c>
      <c r="F1900" s="68">
        <v>1219</v>
      </c>
    </row>
    <row r="1901" spans="1:6">
      <c r="A1901" s="68" t="s">
        <v>2579</v>
      </c>
      <c r="B1901" s="68" t="s">
        <v>2571</v>
      </c>
      <c r="C1901" s="68" t="s">
        <v>2571</v>
      </c>
      <c r="D1901" s="68" t="str">
        <f t="shared" si="38"/>
        <v>Minakulu</v>
      </c>
      <c r="F1901" s="68">
        <v>1220</v>
      </c>
    </row>
    <row r="1902" spans="1:6">
      <c r="A1902" s="68" t="s">
        <v>2580</v>
      </c>
      <c r="B1902" s="68" t="s">
        <v>2571</v>
      </c>
      <c r="C1902" s="68" t="s">
        <v>2571</v>
      </c>
      <c r="D1902" s="68" t="str">
        <f t="shared" si="38"/>
        <v>Myene</v>
      </c>
      <c r="F1902" s="68">
        <v>1221</v>
      </c>
    </row>
    <row r="1903" spans="1:6">
      <c r="A1903" s="68" t="s">
        <v>2581</v>
      </c>
      <c r="B1903" s="68" t="s">
        <v>2571</v>
      </c>
      <c r="C1903" s="68" t="s">
        <v>2571</v>
      </c>
      <c r="D1903" s="68" t="str">
        <f t="shared" si="38"/>
        <v>Ngai</v>
      </c>
      <c r="F1903" s="68">
        <v>1222</v>
      </c>
    </row>
    <row r="1904" spans="1:6">
      <c r="A1904" s="68" t="s">
        <v>2582</v>
      </c>
      <c r="B1904" s="68" t="s">
        <v>2571</v>
      </c>
      <c r="C1904" s="68" t="s">
        <v>2571</v>
      </c>
      <c r="D1904" s="68" t="str">
        <f t="shared" si="38"/>
        <v>Otwal</v>
      </c>
      <c r="F1904" s="68">
        <v>1223</v>
      </c>
    </row>
    <row r="1905" spans="1:6">
      <c r="A1905" s="68" t="s">
        <v>2583</v>
      </c>
      <c r="B1905" s="68" t="s">
        <v>2571</v>
      </c>
      <c r="C1905" s="68" t="s">
        <v>2571</v>
      </c>
      <c r="D1905" s="68" t="str">
        <f t="shared" si="38"/>
        <v>Oyam Town Council</v>
      </c>
      <c r="F1905" s="68">
        <v>1224</v>
      </c>
    </row>
    <row r="1906" spans="1:6">
      <c r="A1906" s="68" t="s">
        <v>2571</v>
      </c>
      <c r="D1906" s="68" t="str">
        <f t="shared" si="38"/>
        <v>Oyam</v>
      </c>
      <c r="F1906" s="68">
        <v>1224</v>
      </c>
    </row>
    <row r="1907" spans="1:6">
      <c r="A1907" s="68" t="s">
        <v>2584</v>
      </c>
      <c r="B1907" s="68" t="s">
        <v>2585</v>
      </c>
      <c r="C1907" s="68" t="s">
        <v>2586</v>
      </c>
      <c r="D1907" s="68" t="str">
        <f t="shared" si="38"/>
        <v>Acholibur</v>
      </c>
      <c r="F1907" s="68">
        <v>1225</v>
      </c>
    </row>
    <row r="1908" spans="1:6">
      <c r="A1908" s="68" t="s">
        <v>2587</v>
      </c>
      <c r="B1908" s="68" t="s">
        <v>2585</v>
      </c>
      <c r="C1908" s="68" t="s">
        <v>2586</v>
      </c>
      <c r="D1908" s="68" t="str">
        <f t="shared" si="38"/>
        <v>Angagura</v>
      </c>
      <c r="F1908" s="68">
        <v>1226</v>
      </c>
    </row>
    <row r="1909" spans="1:6">
      <c r="A1909" s="68" t="s">
        <v>2588</v>
      </c>
      <c r="B1909" s="68" t="s">
        <v>2585</v>
      </c>
      <c r="C1909" s="68" t="s">
        <v>2586</v>
      </c>
      <c r="D1909" s="68" t="str">
        <f t="shared" si="38"/>
        <v>Atanga</v>
      </c>
      <c r="F1909" s="68">
        <v>1227</v>
      </c>
    </row>
    <row r="1910" spans="1:6">
      <c r="A1910" s="68" t="s">
        <v>2589</v>
      </c>
      <c r="B1910" s="68" t="s">
        <v>2585</v>
      </c>
      <c r="C1910" s="68" t="s">
        <v>2586</v>
      </c>
      <c r="D1910" s="68" t="str">
        <f t="shared" si="38"/>
        <v>Awere</v>
      </c>
      <c r="F1910" s="68">
        <v>1228</v>
      </c>
    </row>
    <row r="1911" spans="1:6">
      <c r="A1911" s="68" t="s">
        <v>2590</v>
      </c>
      <c r="B1911" s="68" t="s">
        <v>2585</v>
      </c>
      <c r="C1911" s="68" t="s">
        <v>2586</v>
      </c>
      <c r="D1911" s="68" t="str">
        <f t="shared" si="38"/>
        <v>Laguti</v>
      </c>
      <c r="F1911" s="68">
        <v>1229</v>
      </c>
    </row>
    <row r="1912" spans="1:6">
      <c r="A1912" s="68" t="s">
        <v>2591</v>
      </c>
      <c r="B1912" s="68" t="s">
        <v>2585</v>
      </c>
      <c r="C1912" s="68" t="s">
        <v>2586</v>
      </c>
      <c r="D1912" s="68" t="str">
        <f t="shared" si="38"/>
        <v>Lapul</v>
      </c>
      <c r="F1912" s="68">
        <v>1230</v>
      </c>
    </row>
    <row r="1913" spans="1:6">
      <c r="A1913" s="68" t="s">
        <v>2592</v>
      </c>
      <c r="B1913" s="68" t="s">
        <v>2585</v>
      </c>
      <c r="C1913" s="68" t="s">
        <v>2586</v>
      </c>
      <c r="D1913" s="68" t="str">
        <f t="shared" si="38"/>
        <v>Latanya</v>
      </c>
      <c r="F1913" s="68">
        <v>1231</v>
      </c>
    </row>
    <row r="1914" spans="1:6">
      <c r="A1914" s="68" t="s">
        <v>2593</v>
      </c>
      <c r="B1914" s="68" t="s">
        <v>2585</v>
      </c>
      <c r="C1914" s="68" t="s">
        <v>2586</v>
      </c>
      <c r="D1914" s="68" t="str">
        <f t="shared" si="38"/>
        <v>Ogom</v>
      </c>
      <c r="F1914" s="68">
        <v>1232</v>
      </c>
    </row>
    <row r="1915" spans="1:6">
      <c r="A1915" s="68" t="s">
        <v>2585</v>
      </c>
      <c r="B1915" s="68" t="s">
        <v>2585</v>
      </c>
      <c r="C1915" s="68" t="s">
        <v>2586</v>
      </c>
      <c r="D1915" s="68" t="str">
        <f t="shared" si="38"/>
        <v>Pader</v>
      </c>
      <c r="F1915" s="68">
        <v>1233</v>
      </c>
    </row>
    <row r="1916" spans="1:6">
      <c r="A1916" s="68" t="s">
        <v>2594</v>
      </c>
      <c r="B1916" s="68" t="s">
        <v>2585</v>
      </c>
      <c r="C1916" s="68" t="s">
        <v>2586</v>
      </c>
      <c r="D1916" s="68" t="str">
        <f t="shared" si="38"/>
        <v>Pader Town Council</v>
      </c>
      <c r="F1916" s="68">
        <v>1234</v>
      </c>
    </row>
    <row r="1917" spans="1:6">
      <c r="A1917" s="68" t="s">
        <v>2595</v>
      </c>
      <c r="B1917" s="68" t="s">
        <v>2585</v>
      </c>
      <c r="C1917" s="68" t="s">
        <v>2586</v>
      </c>
      <c r="D1917" s="68" t="str">
        <f t="shared" si="38"/>
        <v>Pajule</v>
      </c>
      <c r="F1917" s="68">
        <v>1235</v>
      </c>
    </row>
    <row r="1918" spans="1:6">
      <c r="A1918" s="68" t="s">
        <v>2596</v>
      </c>
      <c r="B1918" s="68" t="s">
        <v>2585</v>
      </c>
      <c r="C1918" s="68" t="s">
        <v>2586</v>
      </c>
      <c r="D1918" s="68" t="str">
        <f t="shared" si="38"/>
        <v>Puranga</v>
      </c>
      <c r="F1918" s="68">
        <v>1236</v>
      </c>
    </row>
    <row r="1919" spans="1:6">
      <c r="A1919" s="68" t="s">
        <v>2597</v>
      </c>
      <c r="B1919" s="68" t="s">
        <v>2598</v>
      </c>
      <c r="C1919" s="68" t="s">
        <v>2599</v>
      </c>
      <c r="D1919" s="68" t="str">
        <f t="shared" si="38"/>
        <v>Alwi</v>
      </c>
      <c r="F1919" s="68">
        <v>1237</v>
      </c>
    </row>
    <row r="1920" spans="1:6">
      <c r="A1920" s="68" t="s">
        <v>2598</v>
      </c>
      <c r="B1920" s="68" t="s">
        <v>2598</v>
      </c>
      <c r="C1920" s="68" t="s">
        <v>2599</v>
      </c>
      <c r="D1920" s="68" t="str">
        <f t="shared" si="38"/>
        <v>Pakwach</v>
      </c>
      <c r="F1920" s="68">
        <v>1238</v>
      </c>
    </row>
    <row r="1921" spans="1:6">
      <c r="A1921" s="68" t="s">
        <v>2600</v>
      </c>
      <c r="D1921" s="68" t="str">
        <f t="shared" ref="D1921:D1984" si="39">A1921</f>
        <v>Parkwach</v>
      </c>
      <c r="F1921" s="68">
        <v>1238</v>
      </c>
    </row>
    <row r="1922" spans="1:6">
      <c r="A1922" s="68" t="s">
        <v>2601</v>
      </c>
      <c r="B1922" s="68" t="s">
        <v>2598</v>
      </c>
      <c r="C1922" s="68" t="s">
        <v>2599</v>
      </c>
      <c r="D1922" s="68" t="str">
        <f t="shared" si="39"/>
        <v>Pakwach Town Council</v>
      </c>
      <c r="F1922" s="68">
        <v>1239</v>
      </c>
    </row>
    <row r="1923" spans="1:6">
      <c r="A1923" s="68" t="s">
        <v>2602</v>
      </c>
      <c r="B1923" s="68" t="s">
        <v>2598</v>
      </c>
      <c r="C1923" s="68" t="s">
        <v>2599</v>
      </c>
      <c r="D1923" s="68" t="str">
        <f t="shared" si="39"/>
        <v>Panyango</v>
      </c>
      <c r="F1923" s="68">
        <v>1240</v>
      </c>
    </row>
    <row r="1924" spans="1:6">
      <c r="A1924" s="68" t="s">
        <v>2603</v>
      </c>
      <c r="B1924" s="68" t="s">
        <v>2598</v>
      </c>
      <c r="C1924" s="68" t="s">
        <v>2599</v>
      </c>
      <c r="D1924" s="68" t="str">
        <f t="shared" si="39"/>
        <v>Panyimur</v>
      </c>
      <c r="F1924" s="68">
        <v>1241</v>
      </c>
    </row>
    <row r="1925" spans="1:6">
      <c r="A1925" s="68" t="s">
        <v>2604</v>
      </c>
      <c r="B1925" s="68" t="s">
        <v>2598</v>
      </c>
      <c r="C1925" s="68" t="s">
        <v>2599</v>
      </c>
      <c r="D1925" s="68" t="str">
        <f t="shared" si="39"/>
        <v>Wadelai</v>
      </c>
      <c r="F1925" s="68">
        <v>1242</v>
      </c>
    </row>
    <row r="1926" spans="1:6">
      <c r="A1926" s="68" t="s">
        <v>2605</v>
      </c>
      <c r="B1926" s="68" t="s">
        <v>2606</v>
      </c>
      <c r="C1926" s="68" t="s">
        <v>2605</v>
      </c>
      <c r="D1926" s="68" t="str">
        <f t="shared" si="39"/>
        <v>Agule</v>
      </c>
      <c r="F1926" s="68">
        <v>1243</v>
      </c>
    </row>
    <row r="1927" spans="1:6">
      <c r="A1927" s="68" t="s">
        <v>2607</v>
      </c>
      <c r="B1927" s="68" t="s">
        <v>2606</v>
      </c>
      <c r="C1927" s="68" t="s">
        <v>2605</v>
      </c>
      <c r="D1927" s="68" t="str">
        <f t="shared" si="39"/>
        <v>Akisim</v>
      </c>
      <c r="F1927" s="68">
        <v>1244</v>
      </c>
    </row>
    <row r="1928" spans="1:6">
      <c r="A1928" s="68" t="s">
        <v>2608</v>
      </c>
      <c r="B1928" s="68" t="s">
        <v>2606</v>
      </c>
      <c r="C1928" s="68" t="s">
        <v>2605</v>
      </c>
      <c r="D1928" s="68" t="str">
        <f t="shared" si="39"/>
        <v>Apopong</v>
      </c>
      <c r="F1928" s="68">
        <v>1245</v>
      </c>
    </row>
    <row r="1929" spans="1:6">
      <c r="A1929" s="68" t="s">
        <v>2609</v>
      </c>
      <c r="B1929" s="68" t="s">
        <v>2606</v>
      </c>
      <c r="C1929" s="68" t="s">
        <v>2605</v>
      </c>
      <c r="D1929" s="68" t="str">
        <f t="shared" si="39"/>
        <v>Chelekura</v>
      </c>
      <c r="F1929" s="68">
        <v>1246</v>
      </c>
    </row>
    <row r="1930" spans="1:6">
      <c r="A1930" s="68" t="s">
        <v>2610</v>
      </c>
      <c r="B1930" s="68" t="s">
        <v>2606</v>
      </c>
      <c r="C1930" s="68" t="s">
        <v>2605</v>
      </c>
      <c r="D1930" s="68" t="str">
        <f t="shared" si="39"/>
        <v>Gogonyo</v>
      </c>
      <c r="F1930" s="68">
        <v>1247</v>
      </c>
    </row>
    <row r="1931" spans="1:6">
      <c r="A1931" s="68" t="s">
        <v>2611</v>
      </c>
      <c r="B1931" s="68" t="s">
        <v>2606</v>
      </c>
      <c r="C1931" s="68" t="s">
        <v>2605</v>
      </c>
      <c r="D1931" s="68" t="str">
        <f t="shared" si="39"/>
        <v>Kameke</v>
      </c>
      <c r="F1931" s="68">
        <v>1248</v>
      </c>
    </row>
    <row r="1932" spans="1:6">
      <c r="A1932" s="68" t="s">
        <v>2612</v>
      </c>
      <c r="B1932" s="68" t="s">
        <v>2606</v>
      </c>
      <c r="C1932" s="68" t="s">
        <v>2606</v>
      </c>
      <c r="D1932" s="68" t="str">
        <f t="shared" si="39"/>
        <v>Kamuge</v>
      </c>
      <c r="F1932" s="68">
        <v>1249</v>
      </c>
    </row>
    <row r="1933" spans="1:6">
      <c r="A1933" s="68" t="s">
        <v>2613</v>
      </c>
      <c r="B1933" s="68" t="s">
        <v>2606</v>
      </c>
      <c r="C1933" s="68" t="s">
        <v>2606</v>
      </c>
      <c r="D1933" s="68" t="str">
        <f t="shared" si="39"/>
        <v>Kasodo</v>
      </c>
      <c r="F1933" s="68">
        <v>1250</v>
      </c>
    </row>
    <row r="1934" spans="1:6">
      <c r="A1934" s="68" t="s">
        <v>2614</v>
      </c>
      <c r="B1934" s="68" t="s">
        <v>2606</v>
      </c>
      <c r="C1934" s="68" t="s">
        <v>2606</v>
      </c>
      <c r="D1934" s="68" t="str">
        <f t="shared" si="39"/>
        <v>Olok</v>
      </c>
      <c r="F1934" s="68">
        <v>1251</v>
      </c>
    </row>
    <row r="1935" spans="1:6">
      <c r="A1935" s="68" t="s">
        <v>2606</v>
      </c>
      <c r="B1935" s="68" t="s">
        <v>2606</v>
      </c>
      <c r="C1935" s="68" t="s">
        <v>2606</v>
      </c>
      <c r="D1935" s="68" t="str">
        <f t="shared" si="39"/>
        <v>Pallisa</v>
      </c>
      <c r="F1935" s="68">
        <v>1252</v>
      </c>
    </row>
    <row r="1936" spans="1:6">
      <c r="A1936" s="68" t="s">
        <v>2615</v>
      </c>
      <c r="B1936" s="68" t="s">
        <v>2606</v>
      </c>
      <c r="C1936" s="68" t="s">
        <v>2606</v>
      </c>
      <c r="D1936" s="68" t="str">
        <f t="shared" si="39"/>
        <v>Pallisa Town Council</v>
      </c>
      <c r="F1936" s="68">
        <v>1253</v>
      </c>
    </row>
    <row r="1937" spans="1:6">
      <c r="A1937" s="68" t="s">
        <v>2616</v>
      </c>
      <c r="B1937" s="68" t="s">
        <v>2606</v>
      </c>
      <c r="C1937" s="68" t="s">
        <v>2606</v>
      </c>
      <c r="D1937" s="68" t="str">
        <f t="shared" si="39"/>
        <v>Puti-Puti</v>
      </c>
      <c r="F1937" s="68">
        <v>1254</v>
      </c>
    </row>
    <row r="1938" spans="1:6">
      <c r="A1938" s="68" t="s">
        <v>2617</v>
      </c>
      <c r="B1938" s="68" t="s">
        <v>2618</v>
      </c>
      <c r="C1938" s="68" t="s">
        <v>2078</v>
      </c>
      <c r="D1938" s="68" t="str">
        <f t="shared" si="39"/>
        <v>Byakabanda</v>
      </c>
      <c r="F1938" s="68">
        <v>1255</v>
      </c>
    </row>
    <row r="1939" spans="1:6">
      <c r="A1939" s="68" t="s">
        <v>2619</v>
      </c>
      <c r="B1939" s="68" t="s">
        <v>2618</v>
      </c>
      <c r="C1939" s="68" t="s">
        <v>2078</v>
      </c>
      <c r="D1939" s="68" t="str">
        <f t="shared" si="39"/>
        <v>Ddwaniro-Rakai</v>
      </c>
      <c r="F1939" s="68">
        <v>1256</v>
      </c>
    </row>
    <row r="1940" spans="1:6">
      <c r="A1940" s="68" t="s">
        <v>2620</v>
      </c>
      <c r="B1940" s="68" t="s">
        <v>2618</v>
      </c>
      <c r="C1940" s="68" t="s">
        <v>2078</v>
      </c>
      <c r="D1940" s="68" t="str">
        <f t="shared" si="39"/>
        <v>Kacheera</v>
      </c>
      <c r="F1940" s="68">
        <v>1257</v>
      </c>
    </row>
    <row r="1941" spans="1:6">
      <c r="A1941" s="68" t="s">
        <v>2621</v>
      </c>
      <c r="B1941" s="68" t="s">
        <v>2618</v>
      </c>
      <c r="C1941" s="68" t="s">
        <v>2078</v>
      </c>
      <c r="D1941" s="68" t="str">
        <f t="shared" si="39"/>
        <v>Kagamba</v>
      </c>
      <c r="F1941" s="68">
        <v>1258</v>
      </c>
    </row>
    <row r="1942" spans="1:6">
      <c r="A1942" s="68" t="s">
        <v>2622</v>
      </c>
      <c r="B1942" s="68" t="s">
        <v>2618</v>
      </c>
      <c r="C1942" s="68" t="s">
        <v>2622</v>
      </c>
      <c r="D1942" s="68" t="str">
        <f t="shared" si="39"/>
        <v>Kakuuto</v>
      </c>
      <c r="F1942" s="68">
        <v>1259</v>
      </c>
    </row>
    <row r="1943" spans="1:6">
      <c r="A1943" s="68" t="s">
        <v>2623</v>
      </c>
      <c r="B1943" s="68" t="s">
        <v>2618</v>
      </c>
      <c r="C1943" s="68" t="s">
        <v>2622</v>
      </c>
      <c r="D1943" s="68" t="str">
        <f t="shared" si="39"/>
        <v>Kifamba</v>
      </c>
      <c r="F1943" s="68">
        <v>1260</v>
      </c>
    </row>
    <row r="1944" spans="1:6">
      <c r="A1944" s="68" t="s">
        <v>2624</v>
      </c>
      <c r="B1944" s="68" t="s">
        <v>2618</v>
      </c>
      <c r="C1944" s="68" t="s">
        <v>2078</v>
      </c>
      <c r="D1944" s="68" t="str">
        <f t="shared" si="39"/>
        <v>Kiziba</v>
      </c>
      <c r="F1944" s="68">
        <v>1261</v>
      </c>
    </row>
    <row r="1945" spans="1:6">
      <c r="A1945" s="68" t="s">
        <v>2625</v>
      </c>
      <c r="B1945" s="68" t="s">
        <v>2618</v>
      </c>
      <c r="C1945" s="68" t="s">
        <v>2078</v>
      </c>
      <c r="D1945" s="68" t="str">
        <f t="shared" si="39"/>
        <v>Kyalulangira</v>
      </c>
      <c r="F1945" s="68">
        <v>1262</v>
      </c>
    </row>
    <row r="1946" spans="1:6">
      <c r="A1946" s="68" t="s">
        <v>2626</v>
      </c>
      <c r="B1946" s="68" t="s">
        <v>2618</v>
      </c>
      <c r="C1946" s="68" t="s">
        <v>2078</v>
      </c>
      <c r="D1946" s="68" t="str">
        <f t="shared" si="39"/>
        <v>Lwamaggwa</v>
      </c>
      <c r="F1946" s="68">
        <v>1263</v>
      </c>
    </row>
    <row r="1947" spans="1:6">
      <c r="A1947" s="68" t="s">
        <v>2627</v>
      </c>
      <c r="B1947" s="68" t="s">
        <v>2618</v>
      </c>
      <c r="C1947" s="68" t="s">
        <v>2078</v>
      </c>
      <c r="D1947" s="68" t="str">
        <f t="shared" si="39"/>
        <v>Lwanda</v>
      </c>
      <c r="F1947" s="68">
        <v>1264</v>
      </c>
    </row>
    <row r="1948" spans="1:6">
      <c r="A1948" s="68" t="s">
        <v>2628</v>
      </c>
      <c r="B1948" s="68" t="s">
        <v>2618</v>
      </c>
      <c r="C1948" s="68" t="s">
        <v>2078</v>
      </c>
      <c r="D1948" s="68" t="str">
        <f t="shared" si="39"/>
        <v>Rakai Town Council</v>
      </c>
      <c r="F1948" s="68">
        <v>1265</v>
      </c>
    </row>
    <row r="1949" spans="1:6">
      <c r="A1949" s="68" t="s">
        <v>3219</v>
      </c>
      <c r="D1949" s="68" t="str">
        <f t="shared" si="39"/>
        <v>RAKAI</v>
      </c>
      <c r="F1949" s="68">
        <v>1265</v>
      </c>
    </row>
    <row r="1950" spans="1:6">
      <c r="A1950" s="68" t="s">
        <v>2629</v>
      </c>
      <c r="D1950" s="68" t="str">
        <f t="shared" si="39"/>
        <v>Kiluli</v>
      </c>
      <c r="F1950" s="68">
        <v>1265</v>
      </c>
    </row>
    <row r="1951" spans="1:6">
      <c r="A1951" s="68" t="s">
        <v>2630</v>
      </c>
      <c r="D1951" s="68" t="str">
        <f t="shared" si="39"/>
        <v>Kisansa</v>
      </c>
      <c r="F1951" s="68">
        <v>1265</v>
      </c>
    </row>
    <row r="1952" spans="1:6">
      <c r="A1952" s="68" t="s">
        <v>2631</v>
      </c>
      <c r="B1952" s="68" t="s">
        <v>2632</v>
      </c>
      <c r="C1952" s="68" t="s">
        <v>2632</v>
      </c>
      <c r="D1952" s="68" t="str">
        <f t="shared" si="39"/>
        <v>Bubaare-Rubanda</v>
      </c>
      <c r="F1952" s="68">
        <v>1266</v>
      </c>
    </row>
    <row r="1953" spans="1:6">
      <c r="A1953" s="68" t="s">
        <v>2633</v>
      </c>
      <c r="B1953" s="68" t="s">
        <v>2632</v>
      </c>
      <c r="C1953" s="68" t="s">
        <v>2632</v>
      </c>
      <c r="D1953" s="68" t="str">
        <f t="shared" si="39"/>
        <v>Bufundi</v>
      </c>
      <c r="F1953" s="68">
        <v>1267</v>
      </c>
    </row>
    <row r="1954" spans="1:6">
      <c r="A1954" s="68" t="s">
        <v>2634</v>
      </c>
      <c r="B1954" s="68" t="s">
        <v>2632</v>
      </c>
      <c r="C1954" s="68" t="s">
        <v>2632</v>
      </c>
      <c r="D1954" s="68" t="str">
        <f t="shared" si="39"/>
        <v>Hamurwa</v>
      </c>
      <c r="F1954" s="68">
        <v>1268</v>
      </c>
    </row>
    <row r="1955" spans="1:6">
      <c r="A1955" s="68" t="s">
        <v>2635</v>
      </c>
      <c r="B1955" s="68" t="s">
        <v>2632</v>
      </c>
      <c r="C1955" s="68" t="s">
        <v>2632</v>
      </c>
      <c r="D1955" s="68" t="str">
        <f t="shared" si="39"/>
        <v>Hamurwa Town Council</v>
      </c>
      <c r="F1955" s="68">
        <v>1269</v>
      </c>
    </row>
    <row r="1956" spans="1:6">
      <c r="A1956" s="68" t="s">
        <v>2636</v>
      </c>
      <c r="B1956" s="68" t="s">
        <v>2632</v>
      </c>
      <c r="C1956" s="68" t="s">
        <v>2632</v>
      </c>
      <c r="D1956" s="68" t="str">
        <f t="shared" si="39"/>
        <v>Ikumba</v>
      </c>
      <c r="F1956" s="68">
        <v>1270</v>
      </c>
    </row>
    <row r="1957" spans="1:6">
      <c r="A1957" s="68" t="s">
        <v>2637</v>
      </c>
      <c r="B1957" s="68" t="s">
        <v>2632</v>
      </c>
      <c r="C1957" s="68" t="s">
        <v>2632</v>
      </c>
      <c r="D1957" s="68" t="str">
        <f t="shared" si="39"/>
        <v>Muko</v>
      </c>
      <c r="F1957" s="68">
        <v>1271</v>
      </c>
    </row>
    <row r="1958" spans="1:6">
      <c r="A1958" s="68" t="s">
        <v>2638</v>
      </c>
      <c r="B1958" s="68" t="s">
        <v>2632</v>
      </c>
      <c r="C1958" s="68" t="s">
        <v>2632</v>
      </c>
      <c r="D1958" s="68" t="str">
        <f t="shared" si="39"/>
        <v>Nyamweru</v>
      </c>
      <c r="F1958" s="68">
        <v>1272</v>
      </c>
    </row>
    <row r="1959" spans="1:6">
      <c r="A1959" s="68" t="s">
        <v>2639</v>
      </c>
      <c r="B1959" s="68" t="s">
        <v>2632</v>
      </c>
      <c r="C1959" s="68" t="s">
        <v>2632</v>
      </c>
      <c r="D1959" s="68" t="str">
        <f t="shared" si="39"/>
        <v>Rubanda Town Council</v>
      </c>
      <c r="F1959" s="68">
        <v>1273</v>
      </c>
    </row>
    <row r="1960" spans="1:6">
      <c r="A1960" s="68" t="s">
        <v>2640</v>
      </c>
      <c r="B1960" s="68" t="s">
        <v>2632</v>
      </c>
      <c r="C1960" s="68" t="s">
        <v>2632</v>
      </c>
      <c r="D1960" s="68" t="str">
        <f t="shared" si="39"/>
        <v>Ruhija</v>
      </c>
      <c r="F1960" s="68">
        <v>1274</v>
      </c>
    </row>
    <row r="1961" spans="1:6">
      <c r="A1961" s="68" t="s">
        <v>2641</v>
      </c>
      <c r="B1961" s="68" t="s">
        <v>2642</v>
      </c>
      <c r="C1961" s="68" t="s">
        <v>2643</v>
      </c>
      <c r="D1961" s="68" t="str">
        <f t="shared" si="39"/>
        <v>Katanda</v>
      </c>
      <c r="F1961" s="68">
        <v>1275</v>
      </c>
    </row>
    <row r="1962" spans="1:6">
      <c r="A1962" s="68" t="s">
        <v>2643</v>
      </c>
      <c r="B1962" s="68" t="s">
        <v>2642</v>
      </c>
      <c r="C1962" s="68" t="s">
        <v>2643</v>
      </c>
      <c r="D1962" s="68" t="str">
        <f t="shared" si="39"/>
        <v>Katerera</v>
      </c>
      <c r="F1962" s="68">
        <v>1276</v>
      </c>
    </row>
    <row r="1963" spans="1:6">
      <c r="A1963" s="68" t="s">
        <v>2644</v>
      </c>
      <c r="B1963" s="68" t="s">
        <v>2642</v>
      </c>
      <c r="C1963" s="68" t="s">
        <v>2643</v>
      </c>
      <c r="D1963" s="68" t="str">
        <f t="shared" si="39"/>
        <v>Katerera Town Council</v>
      </c>
      <c r="F1963" s="68">
        <v>1277</v>
      </c>
    </row>
    <row r="1964" spans="1:6">
      <c r="A1964" s="68" t="s">
        <v>2645</v>
      </c>
      <c r="B1964" s="68" t="s">
        <v>2642</v>
      </c>
      <c r="C1964" s="68" t="s">
        <v>49</v>
      </c>
      <c r="D1964" s="68" t="str">
        <f t="shared" si="39"/>
        <v>Katunguru</v>
      </c>
      <c r="F1964" s="68">
        <v>1278</v>
      </c>
    </row>
    <row r="1965" spans="1:6">
      <c r="A1965" s="68" t="s">
        <v>52</v>
      </c>
      <c r="B1965" s="68" t="s">
        <v>2642</v>
      </c>
      <c r="C1965" s="68" t="s">
        <v>49</v>
      </c>
      <c r="D1965" s="68" t="str">
        <f t="shared" si="39"/>
        <v>Kichwamba</v>
      </c>
      <c r="F1965" s="68">
        <v>1279</v>
      </c>
    </row>
    <row r="1966" spans="1:6">
      <c r="A1966" s="68" t="s">
        <v>2646</v>
      </c>
      <c r="B1966" s="68" t="s">
        <v>2642</v>
      </c>
      <c r="C1966" s="68" t="s">
        <v>2643</v>
      </c>
      <c r="D1966" s="68" t="str">
        <f t="shared" si="39"/>
        <v>Kirugu</v>
      </c>
      <c r="F1966" s="68">
        <v>1280</v>
      </c>
    </row>
    <row r="1967" spans="1:6">
      <c r="A1967" s="68" t="s">
        <v>2647</v>
      </c>
      <c r="B1967" s="68" t="s">
        <v>2642</v>
      </c>
      <c r="C1967" s="68" t="s">
        <v>2643</v>
      </c>
      <c r="D1967" s="68" t="str">
        <f t="shared" si="39"/>
        <v>Kyabakara</v>
      </c>
      <c r="F1967" s="68">
        <v>1281</v>
      </c>
    </row>
    <row r="1968" spans="1:6">
      <c r="A1968" s="68" t="s">
        <v>2648</v>
      </c>
      <c r="B1968" s="68" t="s">
        <v>2642</v>
      </c>
      <c r="C1968" s="68" t="s">
        <v>49</v>
      </c>
      <c r="D1968" s="68" t="str">
        <f t="shared" si="39"/>
        <v>Magambo</v>
      </c>
      <c r="F1968" s="68">
        <v>1282</v>
      </c>
    </row>
    <row r="1969" spans="1:6">
      <c r="A1969" s="68" t="s">
        <v>2649</v>
      </c>
      <c r="B1969" s="68" t="s">
        <v>2642</v>
      </c>
      <c r="C1969" s="68" t="s">
        <v>49</v>
      </c>
      <c r="D1969" s="68" t="str">
        <f t="shared" si="39"/>
        <v>Rubiriziri Town Council</v>
      </c>
      <c r="F1969" s="68">
        <v>1283</v>
      </c>
    </row>
    <row r="1970" spans="1:6">
      <c r="A1970" s="68" t="s">
        <v>2650</v>
      </c>
      <c r="D1970" s="68" t="str">
        <f t="shared" si="39"/>
        <v>RUBIRIZI TOWN</v>
      </c>
      <c r="F1970" s="68">
        <v>1283</v>
      </c>
    </row>
    <row r="1971" spans="1:6">
      <c r="A1971" s="68" t="s">
        <v>2651</v>
      </c>
      <c r="D1971" s="68" t="str">
        <f t="shared" si="39"/>
        <v>BUNYARUGURU</v>
      </c>
      <c r="F1971" s="68">
        <v>1283</v>
      </c>
    </row>
    <row r="1972" spans="1:6">
      <c r="A1972" s="68" t="s">
        <v>2652</v>
      </c>
      <c r="D1972" s="68" t="str">
        <f t="shared" si="39"/>
        <v>RUMBIRIZI</v>
      </c>
      <c r="F1972" s="68">
        <v>1283</v>
      </c>
    </row>
    <row r="1973" spans="1:6">
      <c r="A1973" s="68" t="s">
        <v>2653</v>
      </c>
      <c r="B1973" s="68" t="s">
        <v>2642</v>
      </c>
      <c r="C1973" s="68" t="s">
        <v>49</v>
      </c>
      <c r="D1973" s="68" t="str">
        <f t="shared" si="39"/>
        <v>Rutoto</v>
      </c>
      <c r="F1973" s="68">
        <v>1284</v>
      </c>
    </row>
    <row r="1974" spans="1:6">
      <c r="A1974" s="68" t="s">
        <v>2654</v>
      </c>
      <c r="B1974" s="68" t="s">
        <v>2642</v>
      </c>
      <c r="C1974" s="68" t="s">
        <v>49</v>
      </c>
      <c r="D1974" s="68" t="str">
        <f t="shared" si="39"/>
        <v>Ryeru</v>
      </c>
      <c r="F1974" s="68">
        <v>1285</v>
      </c>
    </row>
    <row r="1975" spans="1:6">
      <c r="A1975" s="68" t="s">
        <v>2655</v>
      </c>
      <c r="B1975" s="68" t="s">
        <v>2656</v>
      </c>
      <c r="C1975" s="68" t="s">
        <v>2656</v>
      </c>
      <c r="D1975" s="68" t="str">
        <f t="shared" si="39"/>
        <v>Bukinda</v>
      </c>
      <c r="F1975" s="68">
        <v>1286</v>
      </c>
    </row>
    <row r="1976" spans="1:6">
      <c r="A1976" s="68" t="s">
        <v>2657</v>
      </c>
      <c r="B1976" s="68" t="s">
        <v>2656</v>
      </c>
      <c r="C1976" s="68" t="s">
        <v>2656</v>
      </c>
      <c r="D1976" s="68" t="str">
        <f t="shared" si="39"/>
        <v>Kamwezi</v>
      </c>
      <c r="F1976" s="68">
        <v>1287</v>
      </c>
    </row>
    <row r="1977" spans="1:6">
      <c r="A1977" s="68" t="s">
        <v>2658</v>
      </c>
      <c r="B1977" s="68" t="s">
        <v>2656</v>
      </c>
      <c r="C1977" s="68" t="s">
        <v>2656</v>
      </c>
      <c r="D1977" s="68" t="str">
        <f t="shared" si="39"/>
        <v>Kashambya</v>
      </c>
      <c r="F1977" s="68">
        <v>1288</v>
      </c>
    </row>
    <row r="1978" spans="1:6">
      <c r="A1978" s="68" t="s">
        <v>445</v>
      </c>
      <c r="D1978" s="68" t="str">
        <f t="shared" si="39"/>
        <v>KARUBANDA</v>
      </c>
      <c r="F1978" s="68">
        <v>1288</v>
      </c>
    </row>
    <row r="1979" spans="1:6">
      <c r="A1979" s="68" t="s">
        <v>2659</v>
      </c>
      <c r="B1979" s="68" t="s">
        <v>2656</v>
      </c>
      <c r="C1979" s="68" t="s">
        <v>2656</v>
      </c>
      <c r="D1979" s="68" t="str">
        <f t="shared" si="39"/>
        <v>Mparo Town Council</v>
      </c>
      <c r="F1979" s="68">
        <v>1289</v>
      </c>
    </row>
    <row r="1980" spans="1:6">
      <c r="A1980" s="68" t="s">
        <v>2660</v>
      </c>
      <c r="B1980" s="68" t="s">
        <v>2656</v>
      </c>
      <c r="C1980" s="68" t="s">
        <v>2656</v>
      </c>
      <c r="D1980" s="68" t="str">
        <f t="shared" si="39"/>
        <v>Muhanga Town Council</v>
      </c>
      <c r="F1980" s="68">
        <v>1290</v>
      </c>
    </row>
    <row r="1981" spans="1:6">
      <c r="A1981" s="68" t="s">
        <v>2661</v>
      </c>
      <c r="B1981" s="68" t="s">
        <v>2656</v>
      </c>
      <c r="C1981" s="68" t="s">
        <v>2656</v>
      </c>
      <c r="D1981" s="68" t="str">
        <f t="shared" si="39"/>
        <v>Rwamucucu</v>
      </c>
      <c r="F1981" s="68">
        <v>1291</v>
      </c>
    </row>
    <row r="1982" spans="1:6">
      <c r="A1982" s="68" t="s">
        <v>2662</v>
      </c>
      <c r="B1982" s="68" t="s">
        <v>40</v>
      </c>
      <c r="C1982" s="68" t="s">
        <v>2663</v>
      </c>
      <c r="D1982" s="68" t="str">
        <f t="shared" si="39"/>
        <v>Bugangari</v>
      </c>
      <c r="F1982" s="68">
        <v>1292</v>
      </c>
    </row>
    <row r="1983" spans="1:6">
      <c r="A1983" s="68" t="s">
        <v>2664</v>
      </c>
      <c r="B1983" s="68" t="s">
        <v>40</v>
      </c>
      <c r="C1983" s="68" t="s">
        <v>2663</v>
      </c>
      <c r="D1983" s="68" t="str">
        <f t="shared" si="39"/>
        <v>Buhunga</v>
      </c>
      <c r="F1983" s="68">
        <v>1293</v>
      </c>
    </row>
    <row r="1984" spans="1:6">
      <c r="A1984" s="68" t="s">
        <v>1872</v>
      </c>
      <c r="B1984" s="68" t="s">
        <v>40</v>
      </c>
      <c r="C1984" s="68" t="s">
        <v>2665</v>
      </c>
      <c r="D1984" s="68" t="str">
        <f t="shared" si="39"/>
        <v>Buyanja</v>
      </c>
      <c r="F1984" s="68">
        <v>1294</v>
      </c>
    </row>
    <row r="1985" spans="1:6">
      <c r="A1985" s="68" t="s">
        <v>2666</v>
      </c>
      <c r="B1985" s="68" t="s">
        <v>40</v>
      </c>
      <c r="C1985" s="68" t="s">
        <v>2665</v>
      </c>
      <c r="D1985" s="68" t="str">
        <f t="shared" ref="D1985:D2048" si="40">A1985</f>
        <v>Buyanja Town Council</v>
      </c>
      <c r="F1985" s="68">
        <v>1295</v>
      </c>
    </row>
    <row r="1986" spans="1:6">
      <c r="A1986" s="68" t="s">
        <v>2667</v>
      </c>
      <c r="B1986" s="68" t="s">
        <v>40</v>
      </c>
      <c r="C1986" s="68" t="s">
        <v>2663</v>
      </c>
      <c r="D1986" s="68" t="str">
        <f t="shared" si="40"/>
        <v>Bwambara</v>
      </c>
      <c r="F1986" s="68">
        <v>1296</v>
      </c>
    </row>
    <row r="1987" spans="1:6">
      <c r="A1987" s="68" t="s">
        <v>2668</v>
      </c>
      <c r="B1987" s="68" t="s">
        <v>40</v>
      </c>
      <c r="C1987" s="68" t="s">
        <v>2665</v>
      </c>
      <c r="D1987" s="68" t="str">
        <f t="shared" si="40"/>
        <v>Kebisoni</v>
      </c>
      <c r="F1987" s="68">
        <v>1297</v>
      </c>
    </row>
    <row r="1988" spans="1:6">
      <c r="A1988" s="68" t="s">
        <v>2669</v>
      </c>
      <c r="B1988" s="68" t="s">
        <v>40</v>
      </c>
      <c r="C1988" s="68" t="s">
        <v>2665</v>
      </c>
      <c r="D1988" s="68" t="str">
        <f t="shared" si="40"/>
        <v>Kebisoni Town Council</v>
      </c>
      <c r="F1988" s="68">
        <v>1298</v>
      </c>
    </row>
    <row r="1989" spans="1:6">
      <c r="A1989" s="68" t="s">
        <v>2670</v>
      </c>
      <c r="B1989" s="68" t="s">
        <v>40</v>
      </c>
      <c r="C1989" s="68" t="s">
        <v>2663</v>
      </c>
      <c r="D1989" s="68" t="str">
        <f t="shared" si="40"/>
        <v>Nyakagyeme</v>
      </c>
      <c r="F1989" s="68">
        <v>1299</v>
      </c>
    </row>
    <row r="1990" spans="1:6">
      <c r="A1990" s="68" t="s">
        <v>2671</v>
      </c>
      <c r="B1990" s="68" t="s">
        <v>40</v>
      </c>
      <c r="C1990" s="68" t="s">
        <v>2665</v>
      </c>
      <c r="D1990" s="68" t="str">
        <f t="shared" si="40"/>
        <v>Nyakishenyi</v>
      </c>
      <c r="F1990" s="68">
        <v>1300</v>
      </c>
    </row>
    <row r="1991" spans="1:6">
      <c r="A1991" s="68" t="s">
        <v>2672</v>
      </c>
      <c r="B1991" s="68" t="s">
        <v>40</v>
      </c>
      <c r="C1991" s="68" t="s">
        <v>2665</v>
      </c>
      <c r="D1991" s="68" t="str">
        <f t="shared" si="40"/>
        <v>Nyarushanje</v>
      </c>
      <c r="F1991" s="68">
        <v>1301</v>
      </c>
    </row>
    <row r="1992" spans="1:6">
      <c r="A1992" s="68" t="s">
        <v>2272</v>
      </c>
      <c r="B1992" s="68" t="s">
        <v>40</v>
      </c>
      <c r="C1992" s="68" t="s">
        <v>2663</v>
      </c>
      <c r="D1992" s="68" t="str">
        <f t="shared" si="40"/>
        <v>Ruhinda</v>
      </c>
      <c r="F1992" s="68">
        <v>1302</v>
      </c>
    </row>
    <row r="1993" spans="1:6">
      <c r="A1993" s="68" t="s">
        <v>2673</v>
      </c>
      <c r="B1993" s="68" t="s">
        <v>40</v>
      </c>
      <c r="C1993" s="68" t="s">
        <v>2673</v>
      </c>
      <c r="D1993" s="68" t="str">
        <f t="shared" si="40"/>
        <v>Rukungiri Municipality</v>
      </c>
      <c r="F1993" s="68">
        <v>1303</v>
      </c>
    </row>
    <row r="1994" spans="1:6">
      <c r="A1994" s="68" t="s">
        <v>40</v>
      </c>
      <c r="D1994" s="68" t="str">
        <f t="shared" si="40"/>
        <v>Rukungiri</v>
      </c>
      <c r="F1994" s="68">
        <v>1303</v>
      </c>
    </row>
    <row r="1995" spans="1:6">
      <c r="A1995" s="68" t="s">
        <v>433</v>
      </c>
      <c r="D1995" s="68" t="str">
        <f t="shared" si="40"/>
        <v>RUKUNGIRI TOWN</v>
      </c>
      <c r="F1995" s="68">
        <v>1303</v>
      </c>
    </row>
    <row r="1996" spans="1:6">
      <c r="A1996" s="68" t="s">
        <v>2632</v>
      </c>
      <c r="D1996" s="68" t="str">
        <f t="shared" si="40"/>
        <v>Rubanda</v>
      </c>
      <c r="F1996" s="68">
        <v>422</v>
      </c>
    </row>
    <row r="1997" spans="1:6">
      <c r="A1997" s="68" t="s">
        <v>3225</v>
      </c>
      <c r="D1997" s="68" t="str">
        <f t="shared" si="40"/>
        <v>Kitojjo</v>
      </c>
      <c r="F1997" s="68">
        <v>442</v>
      </c>
    </row>
    <row r="1998" spans="1:6">
      <c r="A1998" s="68" t="s">
        <v>3226</v>
      </c>
      <c r="D1998" s="68" t="str">
        <f t="shared" si="40"/>
        <v>Kitojo</v>
      </c>
      <c r="F1998" s="68">
        <v>442</v>
      </c>
    </row>
    <row r="1999" spans="1:6">
      <c r="A1999" s="68" t="s">
        <v>3227</v>
      </c>
      <c r="D1999" s="68" t="str">
        <f t="shared" si="40"/>
        <v>Nyakana</v>
      </c>
      <c r="F1999" s="68">
        <v>525</v>
      </c>
    </row>
    <row r="2000" spans="1:6">
      <c r="A2000" s="68" t="s">
        <v>1779</v>
      </c>
      <c r="D2000" s="68" t="str">
        <f t="shared" si="40"/>
        <v>Kanungu</v>
      </c>
      <c r="F2000" s="68">
        <v>616</v>
      </c>
    </row>
    <row r="2001" spans="1:6">
      <c r="A2001" s="68" t="s">
        <v>3228</v>
      </c>
      <c r="D2001" s="68" t="str">
        <f t="shared" si="40"/>
        <v>Buteraniro</v>
      </c>
      <c r="F2001" s="68">
        <v>723</v>
      </c>
    </row>
    <row r="2002" spans="1:6">
      <c r="A2002" s="68" t="s">
        <v>3144</v>
      </c>
      <c r="D2002" s="68" t="str">
        <f t="shared" si="40"/>
        <v>Kinoni</v>
      </c>
      <c r="F2002" s="68">
        <v>938</v>
      </c>
    </row>
    <row r="2003" spans="1:6">
      <c r="A2003" s="68" t="s">
        <v>3229</v>
      </c>
      <c r="D2003" s="68" t="str">
        <f t="shared" si="40"/>
        <v>Kyema</v>
      </c>
      <c r="F2003" s="68">
        <v>941</v>
      </c>
    </row>
    <row r="2004" spans="1:6">
      <c r="A2004" s="68" t="s">
        <v>175</v>
      </c>
      <c r="D2004" s="68" t="str">
        <f t="shared" si="40"/>
        <v>MULUTI</v>
      </c>
      <c r="F2004" s="68">
        <v>987</v>
      </c>
    </row>
    <row r="2005" spans="1:6">
      <c r="A2005" s="68" t="s">
        <v>3230</v>
      </c>
      <c r="D2005" s="68" t="str">
        <f t="shared" si="40"/>
        <v>Ruti</v>
      </c>
      <c r="F2005" s="68">
        <v>987</v>
      </c>
    </row>
    <row r="2006" spans="1:6">
      <c r="A2006" s="68" t="s">
        <v>536</v>
      </c>
      <c r="D2006" s="68" t="str">
        <f t="shared" si="40"/>
        <v>LUTI</v>
      </c>
      <c r="F2006" s="68">
        <v>987</v>
      </c>
    </row>
    <row r="2007" spans="1:6">
      <c r="A2007" s="68" t="s">
        <v>3231</v>
      </c>
      <c r="D2007" s="68" t="str">
        <f t="shared" si="40"/>
        <v>Nyeihanga</v>
      </c>
      <c r="F2007" s="68">
        <v>989</v>
      </c>
    </row>
    <row r="2008" spans="1:6">
      <c r="A2008" s="68" t="s">
        <v>3232</v>
      </c>
      <c r="D2008" s="68" t="str">
        <f t="shared" si="40"/>
        <v>Kakigani</v>
      </c>
      <c r="F2008" s="68">
        <v>989</v>
      </c>
    </row>
    <row r="2009" spans="1:6">
      <c r="A2009" s="68" t="s">
        <v>3233</v>
      </c>
      <c r="B2009" s="68" t="s">
        <v>2251</v>
      </c>
      <c r="D2009" s="68" t="str">
        <f t="shared" si="40"/>
        <v>Rwampala</v>
      </c>
      <c r="F2009" s="68">
        <v>993</v>
      </c>
    </row>
    <row r="2010" spans="1:6">
      <c r="A2010" s="68" t="s">
        <v>199</v>
      </c>
      <c r="B2010" s="68" t="s">
        <v>2251</v>
      </c>
      <c r="D2010" s="68" t="str">
        <f t="shared" si="40"/>
        <v>LWAMPALA TOWN</v>
      </c>
      <c r="F2010" s="68">
        <v>993</v>
      </c>
    </row>
    <row r="2011" spans="1:6">
      <c r="A2011" s="68" t="s">
        <v>3235</v>
      </c>
      <c r="B2011" s="68" t="s">
        <v>2251</v>
      </c>
      <c r="D2011" s="68" t="str">
        <f t="shared" si="40"/>
        <v>Nyembaga</v>
      </c>
      <c r="F2011" s="68">
        <v>993</v>
      </c>
    </row>
    <row r="2012" spans="1:6">
      <c r="A2012" s="68" t="s">
        <v>2254</v>
      </c>
      <c r="D2012" s="68" t="str">
        <f t="shared" si="40"/>
        <v>Rwampara</v>
      </c>
      <c r="F2012" s="68">
        <v>993</v>
      </c>
    </row>
    <row r="2013" spans="1:6">
      <c r="A2013" s="68" t="s">
        <v>3236</v>
      </c>
      <c r="D2013" s="68" t="str">
        <f t="shared" si="40"/>
        <v>Wrampara</v>
      </c>
      <c r="F2013" s="68">
        <v>993</v>
      </c>
    </row>
    <row r="2014" spans="1:6">
      <c r="A2014" s="68" t="s">
        <v>3237</v>
      </c>
      <c r="D2014" s="68" t="str">
        <f t="shared" si="40"/>
        <v>Wampera</v>
      </c>
      <c r="F2014" s="68">
        <v>993</v>
      </c>
    </row>
    <row r="2015" spans="1:6">
      <c r="A2015" s="68" t="s">
        <v>3238</v>
      </c>
      <c r="B2015" s="68" t="s">
        <v>47</v>
      </c>
      <c r="C2015" s="68" t="s">
        <v>2528</v>
      </c>
      <c r="D2015" s="68" t="str">
        <f t="shared" si="40"/>
        <v>Kitwe</v>
      </c>
      <c r="F2015" s="68">
        <v>1179</v>
      </c>
    </row>
    <row r="2016" spans="1:6">
      <c r="A2016" s="68" t="s">
        <v>3239</v>
      </c>
      <c r="D2016" s="68" t="str">
        <f t="shared" si="40"/>
        <v>Karegyeya</v>
      </c>
      <c r="F2016" s="68">
        <v>1182</v>
      </c>
    </row>
    <row r="2017" spans="1:6">
      <c r="A2017" s="68" t="s">
        <v>3240</v>
      </c>
      <c r="D2017" s="68" t="str">
        <f t="shared" si="40"/>
        <v>Nyamukanu</v>
      </c>
      <c r="F2017" s="68">
        <v>1182</v>
      </c>
    </row>
    <row r="2018" spans="1:6">
      <c r="A2018" s="68" t="s">
        <v>3241</v>
      </c>
      <c r="B2018" s="68" t="s">
        <v>47</v>
      </c>
      <c r="C2018" s="68" t="s">
        <v>2531</v>
      </c>
      <c r="D2018" s="68" t="str">
        <f t="shared" si="40"/>
        <v>Kubale</v>
      </c>
      <c r="F2018" s="68">
        <v>1185</v>
      </c>
    </row>
    <row r="2019" spans="1:6">
      <c r="A2019" s="68" t="s">
        <v>3242</v>
      </c>
      <c r="D2019" s="68" t="str">
        <f t="shared" si="40"/>
        <v>Rubare</v>
      </c>
      <c r="F2019" s="68">
        <v>1185</v>
      </c>
    </row>
    <row r="2020" spans="1:6">
      <c r="A2020" s="68" t="s">
        <v>3243</v>
      </c>
      <c r="B2020" s="68" t="s">
        <v>47</v>
      </c>
      <c r="C2020" s="68" t="s">
        <v>2528</v>
      </c>
      <c r="D2020" s="68" t="str">
        <f t="shared" si="40"/>
        <v>Ruhana</v>
      </c>
      <c r="F2020" s="68">
        <v>1188</v>
      </c>
    </row>
    <row r="2021" spans="1:6">
      <c r="A2021" s="68" t="s">
        <v>3244</v>
      </c>
      <c r="D2021" s="68" t="str">
        <f t="shared" si="40"/>
        <v>Rwoho</v>
      </c>
      <c r="F2021" s="68">
        <v>1190</v>
      </c>
    </row>
    <row r="2022" spans="1:6">
      <c r="A2022" s="68" t="s">
        <v>3245</v>
      </c>
      <c r="D2022" s="68" t="str">
        <f t="shared" si="40"/>
        <v>Rwashamire</v>
      </c>
      <c r="F2022" s="68">
        <v>1191</v>
      </c>
    </row>
    <row r="2023" spans="1:6">
      <c r="A2023" s="68" t="s">
        <v>3246</v>
      </c>
      <c r="D2023" s="68" t="str">
        <f t="shared" si="40"/>
        <v>Kahunga</v>
      </c>
      <c r="F2023" s="68">
        <v>1258</v>
      </c>
    </row>
    <row r="2024" spans="1:6">
      <c r="A2024" s="68" t="s">
        <v>3247</v>
      </c>
      <c r="D2024" s="68" t="str">
        <f t="shared" si="40"/>
        <v>Muhanga</v>
      </c>
      <c r="F2024" s="68">
        <v>1286</v>
      </c>
    </row>
    <row r="2025" spans="1:6">
      <c r="A2025" s="68" t="s">
        <v>2656</v>
      </c>
      <c r="D2025" s="68" t="str">
        <f t="shared" si="40"/>
        <v>Rukiga</v>
      </c>
      <c r="F2025" s="68">
        <v>1289</v>
      </c>
    </row>
    <row r="2026" spans="1:6">
      <c r="A2026" s="68" t="s">
        <v>3248</v>
      </c>
      <c r="B2026" s="68" t="s">
        <v>40</v>
      </c>
      <c r="C2026" s="68" t="s">
        <v>2673</v>
      </c>
      <c r="D2026" s="68" t="str">
        <f t="shared" si="40"/>
        <v>Rwenkunjjo</v>
      </c>
      <c r="F2026" s="68">
        <v>1303</v>
      </c>
    </row>
    <row r="2027" spans="1:6">
      <c r="A2027" s="68" t="s">
        <v>3249</v>
      </c>
      <c r="D2027" s="68" t="str">
        <f t="shared" si="40"/>
        <v>Kisizi</v>
      </c>
      <c r="F2027" s="68">
        <v>1303</v>
      </c>
    </row>
    <row r="2028" spans="1:6">
      <c r="A2028" s="68" t="s">
        <v>3250</v>
      </c>
      <c r="B2028" s="68" t="s">
        <v>41</v>
      </c>
      <c r="C2028" s="68" t="s">
        <v>41</v>
      </c>
      <c r="D2028" s="68" t="str">
        <f t="shared" si="40"/>
        <v>Kabwo</v>
      </c>
      <c r="F2028" s="68">
        <v>1316</v>
      </c>
    </row>
    <row r="2029" spans="1:6">
      <c r="A2029" s="68" t="s">
        <v>2674</v>
      </c>
      <c r="B2029" s="68" t="s">
        <v>2675</v>
      </c>
      <c r="C2029" s="68" t="s">
        <v>2675</v>
      </c>
      <c r="D2029" s="68" t="str">
        <f t="shared" si="40"/>
        <v>Atiira</v>
      </c>
      <c r="F2029" s="68">
        <v>1304</v>
      </c>
    </row>
    <row r="2030" spans="1:6">
      <c r="A2030" s="68" t="s">
        <v>2676</v>
      </c>
      <c r="B2030" s="68" t="s">
        <v>2675</v>
      </c>
      <c r="C2030" s="68" t="s">
        <v>2677</v>
      </c>
      <c r="D2030" s="68" t="str">
        <f t="shared" si="40"/>
        <v>Bugondo</v>
      </c>
      <c r="F2030" s="68">
        <v>1305</v>
      </c>
    </row>
    <row r="2031" spans="1:6">
      <c r="A2031" s="68" t="s">
        <v>2678</v>
      </c>
      <c r="B2031" s="68" t="s">
        <v>2675</v>
      </c>
      <c r="C2031" s="68" t="s">
        <v>2677</v>
      </c>
      <c r="D2031" s="68" t="str">
        <f t="shared" si="40"/>
        <v>Kadungulu</v>
      </c>
      <c r="F2031" s="68">
        <v>1306</v>
      </c>
    </row>
    <row r="2032" spans="1:6">
      <c r="A2032" s="68" t="s">
        <v>2679</v>
      </c>
      <c r="B2032" s="68" t="s">
        <v>2675</v>
      </c>
      <c r="C2032" s="68" t="s">
        <v>2677</v>
      </c>
      <c r="D2032" s="68" t="str">
        <f t="shared" si="40"/>
        <v>Kasilo Town Council</v>
      </c>
      <c r="F2032" s="68">
        <v>1307</v>
      </c>
    </row>
    <row r="2033" spans="1:6">
      <c r="A2033" s="68" t="s">
        <v>2680</v>
      </c>
      <c r="B2033" s="68" t="s">
        <v>2675</v>
      </c>
      <c r="C2033" s="68" t="s">
        <v>2675</v>
      </c>
      <c r="D2033" s="68" t="str">
        <f t="shared" si="40"/>
        <v>Kateta</v>
      </c>
      <c r="F2033" s="68">
        <v>1308</v>
      </c>
    </row>
    <row r="2034" spans="1:6">
      <c r="A2034" s="68" t="s">
        <v>2681</v>
      </c>
      <c r="B2034" s="68" t="s">
        <v>2675</v>
      </c>
      <c r="C2034" s="68" t="s">
        <v>2675</v>
      </c>
      <c r="D2034" s="68" t="str">
        <f t="shared" si="40"/>
        <v>Kyere</v>
      </c>
      <c r="F2034" s="68">
        <v>1309</v>
      </c>
    </row>
    <row r="2035" spans="1:6">
      <c r="A2035" s="68" t="s">
        <v>2682</v>
      </c>
      <c r="B2035" s="68" t="s">
        <v>2675</v>
      </c>
      <c r="C2035" s="68" t="s">
        <v>2677</v>
      </c>
      <c r="D2035" s="68" t="str">
        <f t="shared" si="40"/>
        <v>Labori</v>
      </c>
      <c r="F2035" s="68">
        <v>1310</v>
      </c>
    </row>
    <row r="2036" spans="1:6">
      <c r="A2036" s="68" t="s">
        <v>2683</v>
      </c>
      <c r="B2036" s="68" t="s">
        <v>2675</v>
      </c>
      <c r="C2036" s="68" t="s">
        <v>2675</v>
      </c>
      <c r="D2036" s="68" t="str">
        <f t="shared" si="40"/>
        <v>Olio</v>
      </c>
      <c r="F2036" s="68">
        <v>1311</v>
      </c>
    </row>
    <row r="2037" spans="1:6">
      <c r="A2037" s="68" t="s">
        <v>2684</v>
      </c>
      <c r="B2037" s="68" t="s">
        <v>2675</v>
      </c>
      <c r="C2037" s="68" t="s">
        <v>2677</v>
      </c>
      <c r="D2037" s="68" t="str">
        <f t="shared" si="40"/>
        <v>Pingire</v>
      </c>
      <c r="F2037" s="68">
        <v>1312</v>
      </c>
    </row>
    <row r="2038" spans="1:6">
      <c r="A2038" s="68" t="s">
        <v>2685</v>
      </c>
      <c r="B2038" s="68" t="s">
        <v>2675</v>
      </c>
      <c r="C2038" s="68" t="s">
        <v>2675</v>
      </c>
      <c r="D2038" s="68" t="str">
        <f t="shared" si="40"/>
        <v>Serere Town Council</v>
      </c>
      <c r="F2038" s="68">
        <v>1313</v>
      </c>
    </row>
    <row r="2039" spans="1:6">
      <c r="A2039" s="68" t="s">
        <v>2686</v>
      </c>
      <c r="B2039" s="68" t="s">
        <v>41</v>
      </c>
      <c r="C2039" s="68" t="s">
        <v>41</v>
      </c>
      <c r="D2039" s="68" t="str">
        <f t="shared" si="40"/>
        <v>Bugongi Town Council</v>
      </c>
      <c r="F2039" s="68">
        <v>1314</v>
      </c>
    </row>
    <row r="2040" spans="1:6">
      <c r="A2040" s="68" t="s">
        <v>2687</v>
      </c>
      <c r="B2040" s="68" t="s">
        <v>41</v>
      </c>
      <c r="C2040" s="68" t="s">
        <v>2688</v>
      </c>
      <c r="D2040" s="68" t="str">
        <f t="shared" si="40"/>
        <v>Kagango Division-Sheema</v>
      </c>
      <c r="F2040" s="68">
        <v>1315</v>
      </c>
    </row>
    <row r="2041" spans="1:6">
      <c r="A2041" s="68" t="s">
        <v>2689</v>
      </c>
      <c r="D2041" s="68" t="str">
        <f t="shared" si="40"/>
        <v>KIHUNDA</v>
      </c>
      <c r="F2041" s="68">
        <v>1315</v>
      </c>
    </row>
    <row r="2042" spans="1:6">
      <c r="A2042" s="68" t="s">
        <v>2690</v>
      </c>
      <c r="B2042" s="68" t="s">
        <v>41</v>
      </c>
      <c r="C2042" s="68" t="s">
        <v>41</v>
      </c>
      <c r="D2042" s="68" t="str">
        <f t="shared" si="40"/>
        <v>Kakindo Town Council</v>
      </c>
      <c r="F2042" s="68">
        <v>1316</v>
      </c>
    </row>
    <row r="2043" spans="1:6">
      <c r="A2043" s="68" t="s">
        <v>2691</v>
      </c>
      <c r="D2043" s="68" t="str">
        <f t="shared" si="40"/>
        <v>Kabwohe</v>
      </c>
      <c r="F2043" s="68">
        <v>1316</v>
      </c>
    </row>
    <row r="2044" spans="1:6">
      <c r="A2044" s="68" t="s">
        <v>510</v>
      </c>
      <c r="D2044" s="68" t="str">
        <f t="shared" si="40"/>
        <v>KIBINGO</v>
      </c>
      <c r="F2044" s="68">
        <v>1316</v>
      </c>
    </row>
    <row r="2045" spans="1:6">
      <c r="A2045" s="68" t="s">
        <v>2692</v>
      </c>
      <c r="D2045" s="68" t="str">
        <f t="shared" si="40"/>
        <v>MUSHANGA</v>
      </c>
      <c r="F2045" s="68">
        <v>1316</v>
      </c>
    </row>
    <row r="2046" spans="1:6">
      <c r="A2046" s="68" t="s">
        <v>2693</v>
      </c>
      <c r="D2046" s="68" t="str">
        <f t="shared" si="40"/>
        <v>ITENDERO</v>
      </c>
      <c r="F2046" s="68">
        <v>1316</v>
      </c>
    </row>
    <row r="2047" spans="1:6">
      <c r="A2047" s="68" t="s">
        <v>2694</v>
      </c>
      <c r="B2047" s="68" t="s">
        <v>41</v>
      </c>
      <c r="C2047" s="68" t="s">
        <v>41</v>
      </c>
      <c r="D2047" s="68" t="str">
        <f t="shared" si="40"/>
        <v>Kasaana</v>
      </c>
      <c r="F2047" s="68">
        <v>1317</v>
      </c>
    </row>
    <row r="2048" spans="1:6">
      <c r="A2048" s="68" t="s">
        <v>2695</v>
      </c>
      <c r="B2048" s="68" t="s">
        <v>41</v>
      </c>
      <c r="C2048" s="68" t="s">
        <v>41</v>
      </c>
      <c r="D2048" s="68" t="str">
        <f t="shared" si="40"/>
        <v>Kigarama</v>
      </c>
      <c r="F2048" s="68">
        <v>1318</v>
      </c>
    </row>
    <row r="2049" spans="1:6">
      <c r="A2049" s="68" t="s">
        <v>2696</v>
      </c>
      <c r="B2049" s="68" t="s">
        <v>41</v>
      </c>
      <c r="C2049" s="68" t="s">
        <v>41</v>
      </c>
      <c r="D2049" s="68" t="str">
        <f t="shared" ref="D2049:D2112" si="41">A2049</f>
        <v>Kitagata</v>
      </c>
      <c r="F2049" s="68">
        <v>1319</v>
      </c>
    </row>
    <row r="2050" spans="1:6">
      <c r="A2050" s="68" t="s">
        <v>2697</v>
      </c>
      <c r="D2050" s="68" t="str">
        <f t="shared" si="41"/>
        <v>Kasinga</v>
      </c>
      <c r="F2050" s="68">
        <v>1319</v>
      </c>
    </row>
    <row r="2051" spans="1:6">
      <c r="A2051" s="68" t="s">
        <v>2698</v>
      </c>
      <c r="B2051" s="68" t="s">
        <v>41</v>
      </c>
      <c r="C2051" s="68" t="s">
        <v>41</v>
      </c>
      <c r="D2051" s="68" t="str">
        <f t="shared" si="41"/>
        <v>Kyangyenyi</v>
      </c>
      <c r="F2051" s="68">
        <v>1320</v>
      </c>
    </row>
    <row r="2052" spans="1:6">
      <c r="A2052" s="68" t="s">
        <v>2699</v>
      </c>
      <c r="B2052" s="68" t="s">
        <v>41</v>
      </c>
      <c r="C2052" s="68" t="s">
        <v>41</v>
      </c>
      <c r="D2052" s="68" t="str">
        <f t="shared" si="41"/>
        <v>Masheruka</v>
      </c>
      <c r="F2052" s="68">
        <v>1321</v>
      </c>
    </row>
    <row r="2053" spans="1:6">
      <c r="A2053" s="68" t="s">
        <v>2700</v>
      </c>
      <c r="B2053" s="68" t="s">
        <v>41</v>
      </c>
      <c r="C2053" s="68" t="s">
        <v>41</v>
      </c>
      <c r="D2053" s="68" t="str">
        <f t="shared" si="41"/>
        <v>Rugarama-Sheema</v>
      </c>
      <c r="F2053" s="68">
        <v>1322</v>
      </c>
    </row>
    <row r="2054" spans="1:6">
      <c r="A2054" s="68" t="s">
        <v>2688</v>
      </c>
      <c r="B2054" s="68" t="s">
        <v>41</v>
      </c>
      <c r="C2054" s="68" t="s">
        <v>2688</v>
      </c>
      <c r="D2054" s="68" t="str">
        <f t="shared" si="41"/>
        <v>Sheema Municipality</v>
      </c>
      <c r="F2054" s="68">
        <v>1323</v>
      </c>
    </row>
    <row r="2055" spans="1:6">
      <c r="A2055" s="68" t="s">
        <v>2701</v>
      </c>
      <c r="D2055" s="68" t="str">
        <f t="shared" si="41"/>
        <v>SHEEMA</v>
      </c>
      <c r="F2055" s="68">
        <v>1323</v>
      </c>
    </row>
    <row r="2056" spans="1:6">
      <c r="A2056" s="68" t="s">
        <v>2702</v>
      </c>
      <c r="D2056" s="68" t="str">
        <f t="shared" si="41"/>
        <v>SHEEMA TOWN</v>
      </c>
      <c r="F2056" s="68">
        <v>1323</v>
      </c>
    </row>
    <row r="2057" spans="1:6">
      <c r="A2057" s="68" t="s">
        <v>2703</v>
      </c>
      <c r="B2057" s="68" t="s">
        <v>41</v>
      </c>
      <c r="C2057" s="68" t="s">
        <v>41</v>
      </c>
      <c r="D2057" s="68" t="str">
        <f t="shared" si="41"/>
        <v>Shuuku</v>
      </c>
      <c r="F2057" s="68">
        <v>1324</v>
      </c>
    </row>
    <row r="2058" spans="1:6">
      <c r="A2058" s="68" t="s">
        <v>2704</v>
      </c>
      <c r="B2058" s="68" t="s">
        <v>41</v>
      </c>
      <c r="C2058" s="68" t="s">
        <v>41</v>
      </c>
      <c r="D2058" s="68" t="str">
        <f t="shared" si="41"/>
        <v>Shuuku Town Council</v>
      </c>
      <c r="F2058" s="68">
        <v>1325</v>
      </c>
    </row>
    <row r="2059" spans="1:6">
      <c r="A2059" s="68" t="s">
        <v>2705</v>
      </c>
      <c r="B2059" s="68" t="s">
        <v>2706</v>
      </c>
      <c r="C2059" s="68" t="s">
        <v>2707</v>
      </c>
      <c r="D2059" s="68" t="str">
        <f t="shared" si="41"/>
        <v>Budadiri Town Council</v>
      </c>
      <c r="F2059" s="68">
        <v>1326</v>
      </c>
    </row>
    <row r="2060" spans="1:6">
      <c r="A2060" s="68" t="s">
        <v>2708</v>
      </c>
      <c r="B2060" s="68" t="s">
        <v>2706</v>
      </c>
      <c r="C2060" s="68" t="s">
        <v>2707</v>
      </c>
      <c r="D2060" s="68" t="str">
        <f t="shared" si="41"/>
        <v>Bugitimwa</v>
      </c>
      <c r="F2060" s="68">
        <v>1327</v>
      </c>
    </row>
    <row r="2061" spans="1:6">
      <c r="A2061" s="68" t="s">
        <v>2709</v>
      </c>
      <c r="B2061" s="68" t="s">
        <v>2706</v>
      </c>
      <c r="C2061" s="68" t="s">
        <v>2707</v>
      </c>
      <c r="D2061" s="68" t="str">
        <f t="shared" si="41"/>
        <v>Buhugu</v>
      </c>
      <c r="F2061" s="68">
        <v>1328</v>
      </c>
    </row>
    <row r="2062" spans="1:6">
      <c r="A2062" s="68" t="s">
        <v>2710</v>
      </c>
      <c r="B2062" s="68" t="s">
        <v>2706</v>
      </c>
      <c r="C2062" s="68" t="s">
        <v>2707</v>
      </c>
      <c r="D2062" s="68" t="str">
        <f t="shared" si="41"/>
        <v>Bukhulo</v>
      </c>
      <c r="F2062" s="68">
        <v>1329</v>
      </c>
    </row>
    <row r="2063" spans="1:6">
      <c r="A2063" s="68" t="s">
        <v>2711</v>
      </c>
      <c r="B2063" s="68" t="s">
        <v>2706</v>
      </c>
      <c r="C2063" s="68" t="s">
        <v>2707</v>
      </c>
      <c r="D2063" s="68" t="str">
        <f t="shared" si="41"/>
        <v>Bukiise</v>
      </c>
      <c r="F2063" s="68">
        <v>1330</v>
      </c>
    </row>
    <row r="2064" spans="1:6">
      <c r="A2064" s="68" t="s">
        <v>2712</v>
      </c>
      <c r="B2064" s="68" t="s">
        <v>2706</v>
      </c>
      <c r="C2064" s="68" t="s">
        <v>2707</v>
      </c>
      <c r="D2064" s="68" t="str">
        <f t="shared" si="41"/>
        <v>Bukiyi</v>
      </c>
      <c r="F2064" s="68">
        <v>1331</v>
      </c>
    </row>
    <row r="2065" spans="1:6">
      <c r="A2065" s="68" t="s">
        <v>2713</v>
      </c>
      <c r="B2065" s="68" t="s">
        <v>2706</v>
      </c>
      <c r="C2065" s="68" t="s">
        <v>2707</v>
      </c>
      <c r="D2065" s="68" t="str">
        <f t="shared" si="41"/>
        <v>Bukyabo</v>
      </c>
      <c r="F2065" s="68">
        <v>1332</v>
      </c>
    </row>
    <row r="2066" spans="1:6">
      <c r="A2066" s="68" t="s">
        <v>2714</v>
      </c>
      <c r="B2066" s="68" t="s">
        <v>2706</v>
      </c>
      <c r="C2066" s="68" t="s">
        <v>2707</v>
      </c>
      <c r="D2066" s="68" t="str">
        <f t="shared" si="41"/>
        <v>Bukyambi</v>
      </c>
      <c r="F2066" s="68">
        <v>1333</v>
      </c>
    </row>
    <row r="2067" spans="1:6">
      <c r="A2067" s="68" t="s">
        <v>2715</v>
      </c>
      <c r="B2067" s="68" t="s">
        <v>2706</v>
      </c>
      <c r="C2067" s="68" t="s">
        <v>2707</v>
      </c>
      <c r="D2067" s="68" t="str">
        <f t="shared" si="41"/>
        <v>Bumalimba</v>
      </c>
      <c r="F2067" s="68">
        <v>1334</v>
      </c>
    </row>
    <row r="2068" spans="1:6">
      <c r="A2068" s="68" t="s">
        <v>2716</v>
      </c>
      <c r="B2068" s="68" t="s">
        <v>2706</v>
      </c>
      <c r="C2068" s="68" t="s">
        <v>2707</v>
      </c>
      <c r="D2068" s="68" t="str">
        <f t="shared" si="41"/>
        <v>Bumasifwa</v>
      </c>
      <c r="F2068" s="68">
        <v>1335</v>
      </c>
    </row>
    <row r="2069" spans="1:6">
      <c r="A2069" s="68" t="s">
        <v>2717</v>
      </c>
      <c r="B2069" s="68" t="s">
        <v>2706</v>
      </c>
      <c r="C2069" s="68" t="s">
        <v>2707</v>
      </c>
      <c r="D2069" s="68" t="str">
        <f t="shared" si="41"/>
        <v>Bunyafa</v>
      </c>
      <c r="F2069" s="68">
        <v>1336</v>
      </c>
    </row>
    <row r="2070" spans="1:6">
      <c r="A2070" s="68" t="s">
        <v>2718</v>
      </c>
      <c r="B2070" s="68" t="s">
        <v>2706</v>
      </c>
      <c r="C2070" s="68" t="s">
        <v>2707</v>
      </c>
      <c r="D2070" s="68" t="str">
        <f t="shared" si="41"/>
        <v>Busulani</v>
      </c>
      <c r="F2070" s="68">
        <v>1337</v>
      </c>
    </row>
    <row r="2071" spans="1:6">
      <c r="A2071" s="68" t="s">
        <v>2719</v>
      </c>
      <c r="B2071" s="68" t="s">
        <v>2706</v>
      </c>
      <c r="C2071" s="68" t="s">
        <v>2707</v>
      </c>
      <c r="D2071" s="68" t="str">
        <f t="shared" si="41"/>
        <v>Butandiga</v>
      </c>
      <c r="F2071" s="68">
        <v>1338</v>
      </c>
    </row>
    <row r="2072" spans="1:6">
      <c r="A2072" s="68" t="s">
        <v>2720</v>
      </c>
      <c r="B2072" s="68" t="s">
        <v>2706</v>
      </c>
      <c r="C2072" s="68" t="s">
        <v>2707</v>
      </c>
      <c r="D2072" s="68" t="str">
        <f t="shared" si="41"/>
        <v>Buteza</v>
      </c>
      <c r="F2072" s="68">
        <v>1339</v>
      </c>
    </row>
    <row r="2073" spans="1:6">
      <c r="A2073" s="68" t="s">
        <v>2721</v>
      </c>
      <c r="B2073" s="68" t="s">
        <v>2706</v>
      </c>
      <c r="C2073" s="68" t="s">
        <v>2707</v>
      </c>
      <c r="D2073" s="68" t="str">
        <f t="shared" si="41"/>
        <v>Buwalasi</v>
      </c>
      <c r="F2073" s="68">
        <v>1340</v>
      </c>
    </row>
    <row r="2074" spans="1:6">
      <c r="A2074" s="68" t="s">
        <v>2722</v>
      </c>
      <c r="B2074" s="68" t="s">
        <v>2706</v>
      </c>
      <c r="C2074" s="68" t="s">
        <v>2707</v>
      </c>
      <c r="D2074" s="68" t="str">
        <f t="shared" si="41"/>
        <v>Buwasa</v>
      </c>
      <c r="F2074" s="68">
        <v>1341</v>
      </c>
    </row>
    <row r="2075" spans="1:6">
      <c r="A2075" s="68" t="s">
        <v>2723</v>
      </c>
      <c r="B2075" s="68" t="s">
        <v>2706</v>
      </c>
      <c r="C2075" s="68" t="s">
        <v>2707</v>
      </c>
      <c r="D2075" s="68" t="str">
        <f t="shared" si="41"/>
        <v>Buyobo</v>
      </c>
      <c r="F2075" s="68">
        <v>1342</v>
      </c>
    </row>
    <row r="2076" spans="1:6">
      <c r="A2076" s="68" t="s">
        <v>2724</v>
      </c>
      <c r="B2076" s="68" t="s">
        <v>2706</v>
      </c>
      <c r="C2076" s="68" t="s">
        <v>2707</v>
      </c>
      <c r="D2076" s="68" t="str">
        <f t="shared" si="41"/>
        <v>Masaba-Sironko</v>
      </c>
      <c r="F2076" s="68">
        <v>1343</v>
      </c>
    </row>
    <row r="2077" spans="1:6">
      <c r="A2077" s="68" t="s">
        <v>2725</v>
      </c>
      <c r="B2077" s="68" t="s">
        <v>2706</v>
      </c>
      <c r="C2077" s="68" t="s">
        <v>2707</v>
      </c>
      <c r="D2077" s="68" t="str">
        <f t="shared" si="41"/>
        <v>Nalusala</v>
      </c>
      <c r="F2077" s="68">
        <v>1344</v>
      </c>
    </row>
    <row r="2078" spans="1:6">
      <c r="A2078" s="68" t="s">
        <v>2726</v>
      </c>
      <c r="B2078" s="68" t="s">
        <v>2706</v>
      </c>
      <c r="C2078" s="68" t="s">
        <v>2707</v>
      </c>
      <c r="D2078" s="68" t="str">
        <f t="shared" si="41"/>
        <v>Sironko Town Council</v>
      </c>
      <c r="F2078" s="68">
        <v>1345</v>
      </c>
    </row>
    <row r="2079" spans="1:6">
      <c r="A2079" s="68" t="s">
        <v>2727</v>
      </c>
      <c r="B2079" s="68" t="s">
        <v>2706</v>
      </c>
      <c r="C2079" s="68" t="s">
        <v>2707</v>
      </c>
      <c r="D2079" s="68" t="str">
        <f t="shared" si="41"/>
        <v>Zesui</v>
      </c>
      <c r="F2079" s="68">
        <v>1346</v>
      </c>
    </row>
    <row r="2080" spans="1:6">
      <c r="A2080" s="68" t="s">
        <v>2728</v>
      </c>
      <c r="B2080" s="68" t="s">
        <v>2729</v>
      </c>
      <c r="C2080" s="68" t="s">
        <v>2729</v>
      </c>
      <c r="D2080" s="68" t="str">
        <f t="shared" si="41"/>
        <v>Arapai</v>
      </c>
      <c r="F2080" s="68">
        <v>1347</v>
      </c>
    </row>
    <row r="2081" spans="1:6">
      <c r="A2081" s="68" t="s">
        <v>2730</v>
      </c>
      <c r="B2081" s="68" t="s">
        <v>2729</v>
      </c>
      <c r="C2081" s="68" t="s">
        <v>2729</v>
      </c>
      <c r="D2081" s="68" t="str">
        <f t="shared" si="41"/>
        <v>Asuret</v>
      </c>
      <c r="F2081" s="68">
        <v>1348</v>
      </c>
    </row>
    <row r="2082" spans="1:6">
      <c r="A2082" s="68" t="s">
        <v>2731</v>
      </c>
      <c r="B2082" s="68" t="s">
        <v>2729</v>
      </c>
      <c r="C2082" s="68" t="s">
        <v>2729</v>
      </c>
      <c r="D2082" s="68" t="str">
        <f t="shared" si="41"/>
        <v>Gweri</v>
      </c>
      <c r="F2082" s="68">
        <v>1349</v>
      </c>
    </row>
    <row r="2083" spans="1:6">
      <c r="A2083" s="68" t="s">
        <v>2732</v>
      </c>
      <c r="B2083" s="68" t="s">
        <v>2729</v>
      </c>
      <c r="C2083" s="68" t="s">
        <v>2729</v>
      </c>
      <c r="D2083" s="68" t="str">
        <f t="shared" si="41"/>
        <v>Kamuda</v>
      </c>
      <c r="F2083" s="68">
        <v>1350</v>
      </c>
    </row>
    <row r="2084" spans="1:6">
      <c r="A2084" s="68" t="s">
        <v>2733</v>
      </c>
      <c r="B2084" s="68" t="s">
        <v>2729</v>
      </c>
      <c r="C2084" s="68" t="s">
        <v>2729</v>
      </c>
      <c r="D2084" s="68" t="str">
        <f t="shared" si="41"/>
        <v>Katine</v>
      </c>
      <c r="F2084" s="68">
        <v>1351</v>
      </c>
    </row>
    <row r="2085" spans="1:6">
      <c r="A2085" s="68" t="s">
        <v>2729</v>
      </c>
      <c r="B2085" s="68" t="s">
        <v>2729</v>
      </c>
      <c r="C2085" s="68" t="s">
        <v>2729</v>
      </c>
      <c r="D2085" s="68" t="str">
        <f t="shared" si="41"/>
        <v>Soroti</v>
      </c>
      <c r="F2085" s="68">
        <v>1352</v>
      </c>
    </row>
    <row r="2086" spans="1:6">
      <c r="A2086" s="68" t="s">
        <v>2734</v>
      </c>
      <c r="B2086" s="68" t="s">
        <v>2729</v>
      </c>
      <c r="C2086" s="68" t="s">
        <v>2734</v>
      </c>
      <c r="D2086" s="68" t="str">
        <f t="shared" si="41"/>
        <v>Soroti Municipality</v>
      </c>
      <c r="F2086" s="68">
        <v>1353</v>
      </c>
    </row>
    <row r="2087" spans="1:6">
      <c r="A2087" s="68" t="s">
        <v>2735</v>
      </c>
      <c r="D2087" s="68" t="str">
        <f t="shared" si="41"/>
        <v>Soroti town</v>
      </c>
      <c r="F2087" s="68">
        <v>1353</v>
      </c>
    </row>
    <row r="2088" spans="1:6">
      <c r="A2088" s="68" t="s">
        <v>2736</v>
      </c>
      <c r="B2088" s="68" t="s">
        <v>2729</v>
      </c>
      <c r="C2088" s="68" t="s">
        <v>2729</v>
      </c>
      <c r="D2088" s="68" t="str">
        <f t="shared" si="41"/>
        <v>Tubur</v>
      </c>
      <c r="F2088" s="68">
        <v>1354</v>
      </c>
    </row>
    <row r="2089" spans="1:6">
      <c r="A2089" s="68" t="s">
        <v>2737</v>
      </c>
      <c r="B2089" s="68" t="s">
        <v>2738</v>
      </c>
      <c r="C2089" s="68" t="s">
        <v>2739</v>
      </c>
      <c r="D2089" s="68" t="str">
        <f t="shared" si="41"/>
        <v>Lugusulu</v>
      </c>
      <c r="F2089" s="68">
        <v>1355</v>
      </c>
    </row>
    <row r="2090" spans="1:6">
      <c r="A2090" s="68" t="s">
        <v>2740</v>
      </c>
      <c r="B2090" s="68" t="s">
        <v>2738</v>
      </c>
      <c r="C2090" s="68" t="s">
        <v>2739</v>
      </c>
      <c r="D2090" s="68" t="str">
        <f t="shared" si="41"/>
        <v>Lwebitakuli</v>
      </c>
      <c r="F2090" s="68">
        <v>1356</v>
      </c>
    </row>
    <row r="2091" spans="1:6">
      <c r="A2091" s="68" t="s">
        <v>2741</v>
      </c>
      <c r="B2091" s="68" t="s">
        <v>2738</v>
      </c>
      <c r="C2091" s="68" t="s">
        <v>2741</v>
      </c>
      <c r="D2091" s="68" t="str">
        <f t="shared" si="41"/>
        <v>Lwemiyaga</v>
      </c>
      <c r="F2091" s="68">
        <v>1357</v>
      </c>
    </row>
    <row r="2092" spans="1:6">
      <c r="A2092" s="68" t="s">
        <v>2742</v>
      </c>
      <c r="B2092" s="68" t="s">
        <v>2738</v>
      </c>
      <c r="C2092" s="68" t="s">
        <v>2739</v>
      </c>
      <c r="D2092" s="68" t="str">
        <f t="shared" si="41"/>
        <v>Mateete</v>
      </c>
      <c r="F2092" s="68">
        <v>1358</v>
      </c>
    </row>
    <row r="2093" spans="1:6">
      <c r="A2093" s="68" t="s">
        <v>2743</v>
      </c>
      <c r="B2093" s="68" t="s">
        <v>2738</v>
      </c>
      <c r="C2093" s="68" t="s">
        <v>2739</v>
      </c>
      <c r="D2093" s="68" t="str">
        <f t="shared" si="41"/>
        <v>Mateete Town Council</v>
      </c>
      <c r="F2093" s="68">
        <v>1359</v>
      </c>
    </row>
    <row r="2094" spans="1:6">
      <c r="A2094" s="68" t="s">
        <v>2744</v>
      </c>
      <c r="B2094" s="68" t="s">
        <v>2738</v>
      </c>
      <c r="C2094" s="68" t="s">
        <v>2739</v>
      </c>
      <c r="D2094" s="68" t="str">
        <f t="shared" si="41"/>
        <v>Mijwala</v>
      </c>
      <c r="F2094" s="68">
        <v>1360</v>
      </c>
    </row>
    <row r="2095" spans="1:6">
      <c r="A2095" s="68" t="s">
        <v>2745</v>
      </c>
      <c r="B2095" s="68" t="s">
        <v>2738</v>
      </c>
      <c r="C2095" s="68" t="s">
        <v>2741</v>
      </c>
      <c r="D2095" s="68" t="str">
        <f t="shared" si="41"/>
        <v>Ntuusi</v>
      </c>
      <c r="F2095" s="68">
        <v>1361</v>
      </c>
    </row>
    <row r="2096" spans="1:6">
      <c r="A2096" s="68" t="s">
        <v>2746</v>
      </c>
      <c r="B2096" s="68" t="s">
        <v>2738</v>
      </c>
      <c r="C2096" s="68" t="s">
        <v>2739</v>
      </c>
      <c r="D2096" s="68" t="str">
        <f t="shared" si="41"/>
        <v>Sembabule Town Council</v>
      </c>
      <c r="F2096" s="68">
        <v>1362</v>
      </c>
    </row>
    <row r="2097" spans="1:6">
      <c r="A2097" s="68" t="s">
        <v>2738</v>
      </c>
      <c r="D2097" s="68" t="str">
        <f t="shared" si="41"/>
        <v>Ssembabule</v>
      </c>
      <c r="F2097" s="68">
        <v>1362</v>
      </c>
    </row>
    <row r="2098" spans="1:6">
      <c r="A2098" s="68" t="s">
        <v>2747</v>
      </c>
      <c r="D2098" s="68" t="str">
        <f t="shared" si="41"/>
        <v>Sembabule</v>
      </c>
      <c r="F2098" s="68">
        <v>1362</v>
      </c>
    </row>
    <row r="2099" spans="1:6">
      <c r="A2099" s="68" t="s">
        <v>2748</v>
      </c>
      <c r="D2099" s="68" t="str">
        <f t="shared" si="41"/>
        <v>Ganda</v>
      </c>
      <c r="F2099" s="68">
        <v>1362</v>
      </c>
    </row>
    <row r="2100" spans="1:6">
      <c r="A2100" s="68" t="s">
        <v>2749</v>
      </c>
      <c r="D2100" s="68" t="str">
        <f t="shared" si="41"/>
        <v>Gganda</v>
      </c>
      <c r="F2100" s="68">
        <v>1362</v>
      </c>
    </row>
    <row r="2101" spans="1:6">
      <c r="A2101" s="68" t="s">
        <v>2750</v>
      </c>
      <c r="B2101" s="68" t="s">
        <v>2751</v>
      </c>
      <c r="C2101" s="68" t="s">
        <v>2752</v>
      </c>
      <c r="D2101" s="68" t="str">
        <f t="shared" si="41"/>
        <v>Iyolwa</v>
      </c>
      <c r="F2101" s="68">
        <v>1363</v>
      </c>
    </row>
    <row r="2102" spans="1:6">
      <c r="A2102" s="68" t="s">
        <v>2753</v>
      </c>
      <c r="B2102" s="68" t="s">
        <v>2751</v>
      </c>
      <c r="C2102" s="68" t="s">
        <v>2752</v>
      </c>
      <c r="D2102" s="68" t="str">
        <f t="shared" si="41"/>
        <v>Kirewa</v>
      </c>
      <c r="F2102" s="68">
        <v>1364</v>
      </c>
    </row>
    <row r="2103" spans="1:6">
      <c r="A2103" s="68" t="s">
        <v>2754</v>
      </c>
      <c r="B2103" s="68" t="s">
        <v>2751</v>
      </c>
      <c r="C2103" s="68" t="s">
        <v>2752</v>
      </c>
      <c r="D2103" s="68" t="str">
        <f t="shared" si="41"/>
        <v>Kisoko</v>
      </c>
      <c r="F2103" s="68">
        <v>1365</v>
      </c>
    </row>
    <row r="2104" spans="1:6">
      <c r="A2104" s="68" t="s">
        <v>2755</v>
      </c>
      <c r="B2104" s="68" t="s">
        <v>2751</v>
      </c>
      <c r="C2104" s="68" t="s">
        <v>2751</v>
      </c>
      <c r="D2104" s="68" t="str">
        <f t="shared" si="41"/>
        <v>Kwapa</v>
      </c>
      <c r="F2104" s="68">
        <v>1366</v>
      </c>
    </row>
    <row r="2105" spans="1:6">
      <c r="A2105" s="68" t="s">
        <v>2756</v>
      </c>
      <c r="B2105" s="68" t="s">
        <v>2751</v>
      </c>
      <c r="C2105" s="68" t="s">
        <v>2752</v>
      </c>
      <c r="D2105" s="68" t="str">
        <f t="shared" si="41"/>
        <v>Magola</v>
      </c>
      <c r="F2105" s="68">
        <v>1367</v>
      </c>
    </row>
    <row r="2106" spans="1:6">
      <c r="A2106" s="68" t="s">
        <v>2757</v>
      </c>
      <c r="B2106" s="68" t="s">
        <v>2751</v>
      </c>
      <c r="C2106" s="68" t="s">
        <v>2751</v>
      </c>
      <c r="D2106" s="68" t="str">
        <f t="shared" si="41"/>
        <v>Malaba Town Council</v>
      </c>
      <c r="F2106" s="68">
        <v>1368</v>
      </c>
    </row>
    <row r="2107" spans="1:6">
      <c r="A2107" s="68" t="s">
        <v>2758</v>
      </c>
      <c r="B2107" s="68" t="s">
        <v>2751</v>
      </c>
      <c r="C2107" s="68" t="s">
        <v>2751</v>
      </c>
      <c r="D2107" s="68" t="str">
        <f t="shared" si="41"/>
        <v>Mella</v>
      </c>
      <c r="F2107" s="68">
        <v>1369</v>
      </c>
    </row>
    <row r="2108" spans="1:6">
      <c r="A2108" s="68" t="s">
        <v>2759</v>
      </c>
      <c r="B2108" s="68" t="s">
        <v>2751</v>
      </c>
      <c r="C2108" s="68" t="s">
        <v>2751</v>
      </c>
      <c r="D2108" s="68" t="str">
        <f t="shared" si="41"/>
        <v>Merikit</v>
      </c>
      <c r="F2108" s="68">
        <v>1370</v>
      </c>
    </row>
    <row r="2109" spans="1:6">
      <c r="A2109" s="68" t="s">
        <v>2760</v>
      </c>
      <c r="B2109" s="68" t="s">
        <v>2751</v>
      </c>
      <c r="C2109" s="68" t="s">
        <v>2751</v>
      </c>
      <c r="D2109" s="68" t="str">
        <f t="shared" si="41"/>
        <v>Molo</v>
      </c>
      <c r="F2109" s="68">
        <v>1371</v>
      </c>
    </row>
    <row r="2110" spans="1:6">
      <c r="A2110" s="68" t="s">
        <v>2761</v>
      </c>
      <c r="B2110" s="68" t="s">
        <v>2751</v>
      </c>
      <c r="C2110" s="68" t="s">
        <v>2751</v>
      </c>
      <c r="D2110" s="68" t="str">
        <f t="shared" si="41"/>
        <v>Mukuju</v>
      </c>
      <c r="F2110" s="68">
        <v>1372</v>
      </c>
    </row>
    <row r="2111" spans="1:6">
      <c r="A2111" s="68" t="s">
        <v>2762</v>
      </c>
      <c r="B2111" s="68" t="s">
        <v>2751</v>
      </c>
      <c r="C2111" s="68" t="s">
        <v>2752</v>
      </c>
      <c r="D2111" s="68" t="str">
        <f t="shared" si="41"/>
        <v>Mulanda</v>
      </c>
      <c r="F2111" s="68">
        <v>1373</v>
      </c>
    </row>
    <row r="2112" spans="1:6">
      <c r="A2112" s="68" t="s">
        <v>2763</v>
      </c>
      <c r="B2112" s="68" t="s">
        <v>2751</v>
      </c>
      <c r="C2112" s="68" t="s">
        <v>2752</v>
      </c>
      <c r="D2112" s="68" t="str">
        <f t="shared" si="41"/>
        <v>Nabuyoga</v>
      </c>
      <c r="F2112" s="68">
        <v>1374</v>
      </c>
    </row>
    <row r="2113" spans="1:6">
      <c r="A2113" s="68" t="s">
        <v>2764</v>
      </c>
      <c r="B2113" s="68" t="s">
        <v>2751</v>
      </c>
      <c r="C2113" s="68" t="s">
        <v>2752</v>
      </c>
      <c r="D2113" s="68" t="str">
        <f t="shared" ref="D2113:D2176" si="42">A2113</f>
        <v>Nagongera</v>
      </c>
      <c r="F2113" s="68">
        <v>1375</v>
      </c>
    </row>
    <row r="2114" spans="1:6">
      <c r="A2114" s="68" t="s">
        <v>2765</v>
      </c>
      <c r="B2114" s="68" t="s">
        <v>2751</v>
      </c>
      <c r="C2114" s="68" t="s">
        <v>2752</v>
      </c>
      <c r="D2114" s="68" t="str">
        <f t="shared" si="42"/>
        <v>Nagongera Town Council</v>
      </c>
      <c r="F2114" s="68">
        <v>1376</v>
      </c>
    </row>
    <row r="2115" spans="1:6">
      <c r="A2115" s="68" t="s">
        <v>2766</v>
      </c>
      <c r="B2115" s="68" t="s">
        <v>2751</v>
      </c>
      <c r="C2115" s="68" t="s">
        <v>2751</v>
      </c>
      <c r="D2115" s="68" t="str">
        <f t="shared" si="42"/>
        <v>Osukuru</v>
      </c>
      <c r="F2115" s="68">
        <v>1377</v>
      </c>
    </row>
    <row r="2116" spans="1:6">
      <c r="A2116" s="68" t="s">
        <v>2767</v>
      </c>
      <c r="B2116" s="68" t="s">
        <v>2751</v>
      </c>
      <c r="C2116" s="68" t="s">
        <v>2752</v>
      </c>
      <c r="D2116" s="68" t="str">
        <f t="shared" si="42"/>
        <v>Paya</v>
      </c>
      <c r="F2116" s="68">
        <v>1378</v>
      </c>
    </row>
    <row r="2117" spans="1:6">
      <c r="A2117" s="68" t="s">
        <v>2768</v>
      </c>
      <c r="B2117" s="68" t="s">
        <v>2751</v>
      </c>
      <c r="C2117" s="68" t="s">
        <v>2752</v>
      </c>
      <c r="D2117" s="68" t="str">
        <f t="shared" si="42"/>
        <v>Petta</v>
      </c>
      <c r="F2117" s="68">
        <v>1379</v>
      </c>
    </row>
    <row r="2118" spans="1:6">
      <c r="A2118" s="68" t="s">
        <v>2769</v>
      </c>
      <c r="B2118" s="68" t="s">
        <v>2751</v>
      </c>
      <c r="C2118" s="68" t="s">
        <v>2752</v>
      </c>
      <c r="D2118" s="68" t="str">
        <f t="shared" si="42"/>
        <v>Rubongi</v>
      </c>
      <c r="F2118" s="68">
        <v>1380</v>
      </c>
    </row>
    <row r="2119" spans="1:6">
      <c r="A2119" s="68" t="s">
        <v>2770</v>
      </c>
      <c r="B2119" s="68" t="s">
        <v>2751</v>
      </c>
      <c r="C2119" s="68" t="s">
        <v>2752</v>
      </c>
      <c r="D2119" s="68" t="str">
        <f t="shared" si="42"/>
        <v>Sop-Sop</v>
      </c>
      <c r="F2119" s="68">
        <v>1381</v>
      </c>
    </row>
    <row r="2120" spans="1:6">
      <c r="A2120" s="68" t="s">
        <v>2771</v>
      </c>
      <c r="B2120" s="68" t="s">
        <v>2751</v>
      </c>
      <c r="C2120" s="68" t="s">
        <v>2771</v>
      </c>
      <c r="D2120" s="68" t="str">
        <f t="shared" si="42"/>
        <v>Tororo Municipality</v>
      </c>
      <c r="F2120" s="68">
        <v>1382</v>
      </c>
    </row>
    <row r="2121" spans="1:6">
      <c r="A2121" s="68" t="s">
        <v>2772</v>
      </c>
      <c r="D2121" s="68" t="str">
        <f t="shared" si="42"/>
        <v>Tororo town</v>
      </c>
      <c r="F2121" s="68">
        <v>1382</v>
      </c>
    </row>
    <row r="2122" spans="1:6">
      <c r="A2122" s="68" t="s">
        <v>2751</v>
      </c>
      <c r="D2122" s="68" t="str">
        <f t="shared" si="42"/>
        <v>Tororo</v>
      </c>
      <c r="F2122" s="68">
        <v>1382</v>
      </c>
    </row>
    <row r="2123" spans="1:6">
      <c r="A2123" s="68" t="s">
        <v>2773</v>
      </c>
      <c r="B2123" s="68" t="s">
        <v>2774</v>
      </c>
      <c r="C2123" s="68" t="s">
        <v>2775</v>
      </c>
      <c r="D2123" s="68" t="str">
        <f t="shared" si="42"/>
        <v>Bunamwaya</v>
      </c>
      <c r="F2123" s="68">
        <v>1383</v>
      </c>
    </row>
    <row r="2124" spans="1:6">
      <c r="A2124" s="68" t="s">
        <v>2776</v>
      </c>
      <c r="D2124" s="68" t="str">
        <f t="shared" si="42"/>
        <v>KINAAWA</v>
      </c>
      <c r="F2124" s="68">
        <v>1383</v>
      </c>
    </row>
    <row r="2125" spans="1:6">
      <c r="A2125" s="68" t="s">
        <v>2777</v>
      </c>
      <c r="B2125" s="68" t="s">
        <v>2774</v>
      </c>
      <c r="C2125" s="68" t="s">
        <v>2778</v>
      </c>
      <c r="D2125" s="68" t="str">
        <f t="shared" si="42"/>
        <v>Bussi</v>
      </c>
      <c r="F2125" s="68">
        <v>1384</v>
      </c>
    </row>
    <row r="2126" spans="1:6">
      <c r="A2126" s="68" t="s">
        <v>2779</v>
      </c>
      <c r="B2126" s="68" t="s">
        <v>2774</v>
      </c>
      <c r="C2126" s="68" t="s">
        <v>2780</v>
      </c>
      <c r="D2126" s="68" t="str">
        <f t="shared" si="42"/>
        <v>Busukuma</v>
      </c>
      <c r="F2126" s="68">
        <v>1385</v>
      </c>
    </row>
    <row r="2127" spans="1:6">
      <c r="A2127" s="68" t="s">
        <v>2781</v>
      </c>
      <c r="D2127" s="68" t="str">
        <f t="shared" si="42"/>
        <v>magigye</v>
      </c>
      <c r="F2127" s="68">
        <v>1385</v>
      </c>
    </row>
    <row r="2128" spans="1:6">
      <c r="A2128" s="68" t="s">
        <v>28</v>
      </c>
      <c r="B2128" s="68" t="s">
        <v>2774</v>
      </c>
      <c r="C2128" s="68" t="s">
        <v>2782</v>
      </c>
      <c r="D2128" s="68" t="str">
        <f t="shared" si="42"/>
        <v>Bweyogerere</v>
      </c>
      <c r="F2128" s="68">
        <v>1386</v>
      </c>
    </row>
    <row r="2129" spans="1:6">
      <c r="A2129" s="68" t="s">
        <v>2783</v>
      </c>
      <c r="D2129" s="68" t="str">
        <f t="shared" si="42"/>
        <v xml:space="preserve"> BWEYOGERERE</v>
      </c>
      <c r="F2129" s="68">
        <v>1386</v>
      </c>
    </row>
    <row r="2130" spans="1:6">
      <c r="A2130" s="68" t="s">
        <v>2784</v>
      </c>
      <c r="D2130" s="68" t="str">
        <f t="shared" si="42"/>
        <v>BWEYOGERER</v>
      </c>
      <c r="F2130" s="68">
        <v>1386</v>
      </c>
    </row>
    <row r="2131" spans="1:6">
      <c r="A2131" s="68" t="s">
        <v>2785</v>
      </c>
      <c r="D2131" s="68" t="str">
        <f t="shared" si="42"/>
        <v>BYWOGERERE</v>
      </c>
      <c r="F2131" s="68">
        <v>1386</v>
      </c>
    </row>
    <row r="2132" spans="1:6">
      <c r="A2132" s="68" t="s">
        <v>2786</v>
      </c>
      <c r="D2132" s="68" t="str">
        <f t="shared" si="42"/>
        <v>BWEYOGERE</v>
      </c>
      <c r="F2132" s="68">
        <v>1386</v>
      </c>
    </row>
    <row r="2133" spans="1:6">
      <c r="A2133" s="68" t="s">
        <v>2787</v>
      </c>
      <c r="D2133" s="68" t="str">
        <f t="shared" si="42"/>
        <v>KIRINYA</v>
      </c>
      <c r="F2133" s="68">
        <v>1386</v>
      </c>
    </row>
    <row r="2134" spans="1:6">
      <c r="A2134" s="68" t="s">
        <v>2788</v>
      </c>
      <c r="D2134" s="68" t="str">
        <f t="shared" si="42"/>
        <v>Nambole</v>
      </c>
      <c r="F2134" s="68">
        <v>1386</v>
      </c>
    </row>
    <row r="2135" spans="1:6">
      <c r="A2135" s="68" t="s">
        <v>2789</v>
      </c>
      <c r="D2135" s="68" t="str">
        <f t="shared" si="42"/>
        <v>Nanboole</v>
      </c>
      <c r="F2135" s="68">
        <v>1386</v>
      </c>
    </row>
    <row r="2136" spans="1:6">
      <c r="A2136" s="68" t="s">
        <v>2790</v>
      </c>
      <c r="D2136" s="68" t="str">
        <f t="shared" si="42"/>
        <v>Namboole</v>
      </c>
      <c r="F2136" s="68">
        <v>1386</v>
      </c>
    </row>
    <row r="2137" spans="1:6">
      <c r="A2137" s="68" t="s">
        <v>2791</v>
      </c>
      <c r="B2137" s="68" t="s">
        <v>2774</v>
      </c>
      <c r="C2137" s="68" t="s">
        <v>2792</v>
      </c>
      <c r="D2137" s="68" t="str">
        <f t="shared" si="42"/>
        <v>Entebbe Airport</v>
      </c>
      <c r="F2137" s="68">
        <v>1387</v>
      </c>
    </row>
    <row r="2138" spans="1:6">
      <c r="A2138" s="68" t="s">
        <v>2793</v>
      </c>
      <c r="D2138" s="68" t="str">
        <f t="shared" si="42"/>
        <v>Airport</v>
      </c>
      <c r="F2138" s="68">
        <v>1387</v>
      </c>
    </row>
    <row r="2139" spans="1:6">
      <c r="A2139" s="68" t="s">
        <v>2794</v>
      </c>
      <c r="D2139" s="68" t="str">
        <f t="shared" si="42"/>
        <v>ENTEBBE</v>
      </c>
      <c r="F2139" s="68">
        <v>1387</v>
      </c>
    </row>
    <row r="2140" spans="1:6">
      <c r="A2140" s="68" t="s">
        <v>2795</v>
      </c>
      <c r="D2140" s="68" t="str">
        <f t="shared" si="42"/>
        <v>ENTEBBE TOWN</v>
      </c>
      <c r="F2140" s="68">
        <v>1387</v>
      </c>
    </row>
    <row r="2141" spans="1:6">
      <c r="A2141" s="68" t="s">
        <v>2796</v>
      </c>
      <c r="D2141" s="68" t="str">
        <f t="shared" si="42"/>
        <v>Entebba</v>
      </c>
      <c r="F2141" s="68">
        <v>1387</v>
      </c>
    </row>
    <row r="2142" spans="1:6">
      <c r="A2142" s="68" t="s">
        <v>2797</v>
      </c>
      <c r="D2142" s="68" t="str">
        <f t="shared" si="42"/>
        <v xml:space="preserve">Entebbe </v>
      </c>
      <c r="F2142" s="68">
        <v>1387</v>
      </c>
    </row>
    <row r="2143" spans="1:6">
      <c r="A2143" s="68" t="s">
        <v>2798</v>
      </c>
      <c r="D2143" s="68" t="str">
        <f t="shared" si="42"/>
        <v xml:space="preserve">ENTEBE </v>
      </c>
      <c r="F2143" s="68">
        <v>1387</v>
      </c>
    </row>
    <row r="2144" spans="1:6">
      <c r="A2144" s="68" t="s">
        <v>2799</v>
      </c>
      <c r="D2144" s="68" t="str">
        <f t="shared" si="42"/>
        <v>NTEBBE</v>
      </c>
      <c r="F2144" s="68">
        <v>1387</v>
      </c>
    </row>
    <row r="2145" spans="1:6">
      <c r="A2145" s="68" t="s">
        <v>2800</v>
      </c>
      <c r="D2145" s="68" t="str">
        <f t="shared" si="42"/>
        <v>Enttebe</v>
      </c>
      <c r="F2145" s="68">
        <v>1387</v>
      </c>
    </row>
    <row r="2146" spans="1:6">
      <c r="A2146" s="68" t="s">
        <v>2801</v>
      </c>
      <c r="D2146" s="68" t="str">
        <f t="shared" si="42"/>
        <v>Kitoro</v>
      </c>
      <c r="F2146" s="68">
        <v>1387</v>
      </c>
    </row>
    <row r="2147" spans="1:6">
      <c r="A2147" s="68" t="s">
        <v>2802</v>
      </c>
      <c r="D2147" s="68" t="str">
        <f t="shared" si="42"/>
        <v>Kitooro</v>
      </c>
      <c r="F2147" s="68">
        <v>1387</v>
      </c>
    </row>
    <row r="2148" spans="1:6">
      <c r="A2148" s="68" t="s">
        <v>2803</v>
      </c>
      <c r="D2148" s="68" t="str">
        <f t="shared" si="42"/>
        <v>Kawuku</v>
      </c>
      <c r="F2148" s="68">
        <v>1387</v>
      </c>
    </row>
    <row r="2149" spans="1:6">
      <c r="A2149" s="68" t="s">
        <v>2804</v>
      </c>
      <c r="D2149" s="68" t="str">
        <f t="shared" si="42"/>
        <v>Kawuka</v>
      </c>
      <c r="F2149" s="68">
        <v>1387</v>
      </c>
    </row>
    <row r="2150" spans="1:6">
      <c r="A2150" s="68" t="s">
        <v>2805</v>
      </c>
      <c r="D2150" s="68" t="str">
        <f t="shared" si="42"/>
        <v>Namulanda</v>
      </c>
      <c r="F2150" s="68">
        <v>1387</v>
      </c>
    </row>
    <row r="2151" spans="1:6">
      <c r="A2151" s="68" t="s">
        <v>2792</v>
      </c>
      <c r="B2151" s="68" t="s">
        <v>2774</v>
      </c>
      <c r="C2151" s="68" t="s">
        <v>2792</v>
      </c>
      <c r="D2151" s="68" t="str">
        <f t="shared" si="42"/>
        <v>Entebbe Municipality</v>
      </c>
      <c r="F2151" s="68">
        <v>1388</v>
      </c>
    </row>
    <row r="2152" spans="1:6">
      <c r="A2152" s="68" t="s">
        <v>2806</v>
      </c>
      <c r="B2152" s="68" t="s">
        <v>2774</v>
      </c>
      <c r="C2152" s="68" t="s">
        <v>2780</v>
      </c>
      <c r="D2152" s="68" t="str">
        <f t="shared" si="42"/>
        <v>Gombe</v>
      </c>
      <c r="F2152" s="68">
        <v>1389</v>
      </c>
    </row>
    <row r="2153" spans="1:6">
      <c r="A2153" s="68" t="s">
        <v>2807</v>
      </c>
      <c r="B2153" s="68" t="s">
        <v>2774</v>
      </c>
      <c r="C2153" s="68" t="s">
        <v>2778</v>
      </c>
      <c r="D2153" s="68" t="str">
        <f t="shared" si="42"/>
        <v>Kajjansi Town Council</v>
      </c>
      <c r="F2153" s="68">
        <v>1390</v>
      </c>
    </row>
    <row r="2154" spans="1:6">
      <c r="A2154" s="68" t="s">
        <v>2808</v>
      </c>
      <c r="D2154" s="68" t="str">
        <f t="shared" si="42"/>
        <v xml:space="preserve">Kajjansi  </v>
      </c>
      <c r="F2154" s="68">
        <v>1390</v>
      </c>
    </row>
    <row r="2155" spans="1:6">
      <c r="A2155" s="68" t="s">
        <v>2809</v>
      </c>
      <c r="D2155" s="68" t="str">
        <f t="shared" si="42"/>
        <v>KAJANSI</v>
      </c>
      <c r="F2155" s="68">
        <v>1390</v>
      </c>
    </row>
    <row r="2156" spans="1:6">
      <c r="A2156" s="68" t="s">
        <v>2810</v>
      </c>
      <c r="D2156" s="68" t="str">
        <f t="shared" si="42"/>
        <v>Kajjasi</v>
      </c>
      <c r="F2156" s="68">
        <v>1390</v>
      </c>
    </row>
    <row r="2157" spans="1:6">
      <c r="A2157" s="68" t="s">
        <v>2811</v>
      </c>
      <c r="D2157" s="68" t="str">
        <f t="shared" si="42"/>
        <v>KANJJASI</v>
      </c>
      <c r="F2157" s="68">
        <v>1390</v>
      </c>
    </row>
    <row r="2158" spans="1:6">
      <c r="A2158" s="68" t="s">
        <v>2812</v>
      </c>
      <c r="D2158" s="68" t="str">
        <f t="shared" si="42"/>
        <v>Muwana</v>
      </c>
      <c r="F2158" s="68">
        <v>1390</v>
      </c>
    </row>
    <row r="2159" spans="1:6">
      <c r="A2159" s="68" t="s">
        <v>2813</v>
      </c>
      <c r="D2159" s="68" t="str">
        <f t="shared" si="42"/>
        <v>Sseguku</v>
      </c>
      <c r="F2159" s="68">
        <v>1390</v>
      </c>
    </row>
    <row r="2160" spans="1:6">
      <c r="A2160" s="68" t="s">
        <v>2814</v>
      </c>
      <c r="D2160" s="68" t="str">
        <f t="shared" si="42"/>
        <v>SEGGUKU</v>
      </c>
      <c r="F2160" s="68">
        <v>1390</v>
      </c>
    </row>
    <row r="2161" spans="1:6">
      <c r="A2161" s="68" t="s">
        <v>2815</v>
      </c>
      <c r="D2161" s="68" t="str">
        <f t="shared" si="42"/>
        <v>Lunya</v>
      </c>
      <c r="F2161" s="68">
        <v>1390</v>
      </c>
    </row>
    <row r="2162" spans="1:6">
      <c r="A2162" s="68" t="s">
        <v>2816</v>
      </c>
      <c r="D2162" s="68" t="str">
        <f t="shared" si="42"/>
        <v>Bwebajja</v>
      </c>
      <c r="F2162" s="68">
        <v>1390</v>
      </c>
    </row>
    <row r="2163" spans="1:6">
      <c r="A2163" s="68" t="s">
        <v>2817</v>
      </c>
      <c r="D2163" s="68" t="str">
        <f t="shared" si="42"/>
        <v>BWEBAJA</v>
      </c>
      <c r="F2163" s="68">
        <v>1390</v>
      </c>
    </row>
    <row r="2164" spans="1:6">
      <c r="A2164" s="68" t="s">
        <v>2818</v>
      </c>
      <c r="D2164" s="68" t="str">
        <f t="shared" si="42"/>
        <v>Dewe</v>
      </c>
      <c r="F2164" s="68">
        <v>1390</v>
      </c>
    </row>
    <row r="2165" spans="1:6">
      <c r="A2165" s="68" t="s">
        <v>2819</v>
      </c>
      <c r="D2165" s="68" t="str">
        <f t="shared" si="42"/>
        <v>Lweza</v>
      </c>
      <c r="F2165" s="68">
        <v>1390</v>
      </c>
    </row>
    <row r="2166" spans="1:6">
      <c r="A2166" s="68" t="s">
        <v>2820</v>
      </c>
      <c r="D2166" s="68" t="str">
        <f t="shared" si="42"/>
        <v>Lweeza</v>
      </c>
      <c r="F2166" s="68">
        <v>1390</v>
      </c>
    </row>
    <row r="2167" spans="1:6">
      <c r="A2167" s="68" t="s">
        <v>2821</v>
      </c>
      <c r="D2167" s="68" t="str">
        <f t="shared" si="42"/>
        <v>Lwera</v>
      </c>
      <c r="F2167" s="68">
        <v>1390</v>
      </c>
    </row>
    <row r="2168" spans="1:6">
      <c r="A2168" s="68" t="s">
        <v>2822</v>
      </c>
      <c r="D2168" s="68" t="str">
        <f t="shared" si="42"/>
        <v>LWERE</v>
      </c>
      <c r="F2168" s="68">
        <v>1390</v>
      </c>
    </row>
    <row r="2169" spans="1:6">
      <c r="A2169" s="68" t="s">
        <v>2823</v>
      </c>
      <c r="D2169" s="68" t="str">
        <f t="shared" si="42"/>
        <v>Kasana</v>
      </c>
      <c r="F2169" s="68">
        <v>1390</v>
      </c>
    </row>
    <row r="2170" spans="1:6">
      <c r="A2170" s="68" t="s">
        <v>2824</v>
      </c>
      <c r="D2170" s="68" t="str">
        <f t="shared" si="42"/>
        <v>KAJJANSI</v>
      </c>
      <c r="F2170" s="68">
        <v>1390</v>
      </c>
    </row>
    <row r="2171" spans="1:6">
      <c r="A2171" s="68" t="s">
        <v>2825</v>
      </c>
      <c r="D2171" s="68" t="str">
        <f t="shared" si="42"/>
        <v>Kitende</v>
      </c>
      <c r="F2171" s="68">
        <v>1390</v>
      </c>
    </row>
    <row r="2172" spans="1:6">
      <c r="A2172" s="68" t="s">
        <v>2826</v>
      </c>
      <c r="D2172" s="68" t="str">
        <f t="shared" si="42"/>
        <v xml:space="preserve">KITENDE </v>
      </c>
      <c r="F2172" s="68">
        <v>1390</v>
      </c>
    </row>
    <row r="2173" spans="1:6">
      <c r="A2173" s="68" t="s">
        <v>2827</v>
      </c>
      <c r="B2173" s="68" t="s">
        <v>2774</v>
      </c>
      <c r="C2173" s="68" t="s">
        <v>2778</v>
      </c>
      <c r="D2173" s="68" t="str">
        <f t="shared" si="42"/>
        <v>Kakiri</v>
      </c>
      <c r="F2173" s="68">
        <v>1391</v>
      </c>
    </row>
    <row r="2174" spans="1:6">
      <c r="A2174" s="68" t="s">
        <v>2828</v>
      </c>
      <c r="D2174" s="68" t="str">
        <f t="shared" si="42"/>
        <v>BUKALANGO</v>
      </c>
      <c r="F2174" s="68">
        <v>1391</v>
      </c>
    </row>
    <row r="2175" spans="1:6">
      <c r="A2175" s="68" t="s">
        <v>2829</v>
      </c>
      <c r="D2175" s="68" t="str">
        <f t="shared" si="42"/>
        <v>Nkowe</v>
      </c>
      <c r="F2175" s="68">
        <v>1391</v>
      </c>
    </row>
    <row r="2176" spans="1:6">
      <c r="A2176" s="68" t="s">
        <v>2830</v>
      </c>
      <c r="D2176" s="68" t="str">
        <f t="shared" si="42"/>
        <v>Sentema</v>
      </c>
      <c r="F2176" s="68">
        <v>1391</v>
      </c>
    </row>
    <row r="2177" spans="1:6">
      <c r="A2177" s="68" t="s">
        <v>2831</v>
      </c>
      <c r="D2177" s="68" t="str">
        <f t="shared" ref="D2177:D2240" si="43">A2177</f>
        <v>Ssentema</v>
      </c>
      <c r="F2177" s="68">
        <v>1391</v>
      </c>
    </row>
    <row r="2178" spans="1:6">
      <c r="A2178" s="68" t="s">
        <v>2832</v>
      </c>
      <c r="B2178" s="68" t="s">
        <v>2774</v>
      </c>
      <c r="C2178" s="68" t="s">
        <v>2778</v>
      </c>
      <c r="D2178" s="68" t="str">
        <f t="shared" si="43"/>
        <v>Kakiri Town Council</v>
      </c>
      <c r="F2178" s="68">
        <v>1392</v>
      </c>
    </row>
    <row r="2179" spans="1:6">
      <c r="A2179" s="68" t="s">
        <v>2833</v>
      </c>
      <c r="B2179" s="68" t="s">
        <v>2774</v>
      </c>
      <c r="C2179" s="68" t="s">
        <v>1546</v>
      </c>
      <c r="D2179" s="68" t="str">
        <f t="shared" si="43"/>
        <v>Kasangati Town Council</v>
      </c>
      <c r="F2179" s="68">
        <v>1393</v>
      </c>
    </row>
    <row r="2180" spans="1:6">
      <c r="A2180" s="68" t="s">
        <v>2834</v>
      </c>
      <c r="D2180" s="68" t="str">
        <f t="shared" si="43"/>
        <v>Kasangatu</v>
      </c>
      <c r="F2180" s="68">
        <v>1393</v>
      </c>
    </row>
    <row r="2181" spans="1:6">
      <c r="A2181" s="68" t="s">
        <v>2835</v>
      </c>
      <c r="D2181" s="68" t="str">
        <f t="shared" si="43"/>
        <v>KASANGATTI</v>
      </c>
      <c r="F2181" s="68">
        <v>1393</v>
      </c>
    </row>
    <row r="2182" spans="1:6">
      <c r="A2182" s="68" t="s">
        <v>2836</v>
      </c>
      <c r="D2182" s="68" t="str">
        <f t="shared" si="43"/>
        <v>Miles</v>
      </c>
      <c r="F2182" s="68">
        <v>1393</v>
      </c>
    </row>
    <row r="2183" spans="1:6">
      <c r="A2183" s="68" t="s">
        <v>2837</v>
      </c>
      <c r="D2183" s="68" t="str">
        <f t="shared" si="43"/>
        <v>Kyankima</v>
      </c>
      <c r="F2183" s="68">
        <v>1393</v>
      </c>
    </row>
    <row r="2184" spans="1:6">
      <c r="A2184" s="68" t="s">
        <v>2838</v>
      </c>
      <c r="D2184" s="68" t="str">
        <f t="shared" si="43"/>
        <v>BULAMU</v>
      </c>
      <c r="F2184" s="68">
        <v>1393</v>
      </c>
    </row>
    <row r="2185" spans="1:6">
      <c r="A2185" s="68" t="s">
        <v>2839</v>
      </c>
      <c r="D2185" s="68" t="str">
        <f t="shared" si="43"/>
        <v>KITEGOMBA</v>
      </c>
      <c r="F2185" s="68">
        <v>1393</v>
      </c>
    </row>
    <row r="2186" spans="1:6">
      <c r="A2186" s="68" t="s">
        <v>2840</v>
      </c>
      <c r="D2186" s="68" t="str">
        <f t="shared" si="43"/>
        <v>KITEGOMBWA</v>
      </c>
      <c r="F2186" s="68">
        <v>1393</v>
      </c>
    </row>
    <row r="2187" spans="1:6">
      <c r="A2187" s="68" t="s">
        <v>2841</v>
      </c>
      <c r="D2187" s="68" t="str">
        <f t="shared" si="43"/>
        <v>GITTA</v>
      </c>
      <c r="F2187" s="68">
        <v>1393</v>
      </c>
    </row>
    <row r="2188" spans="1:6">
      <c r="A2188" s="68" t="s">
        <v>2842</v>
      </c>
      <c r="D2188" s="68" t="str">
        <f t="shared" si="43"/>
        <v>GIITA</v>
      </c>
      <c r="F2188" s="68">
        <v>1393</v>
      </c>
    </row>
    <row r="2189" spans="1:6">
      <c r="A2189" s="68" t="s">
        <v>2843</v>
      </c>
      <c r="D2189" s="68" t="str">
        <f t="shared" si="43"/>
        <v>NANGABO</v>
      </c>
      <c r="F2189" s="68">
        <v>1393</v>
      </c>
    </row>
    <row r="2190" spans="1:6">
      <c r="A2190" s="68" t="s">
        <v>2844</v>
      </c>
      <c r="D2190" s="68" t="str">
        <f t="shared" si="43"/>
        <v>NANGBO</v>
      </c>
      <c r="F2190" s="68">
        <v>1393</v>
      </c>
    </row>
    <row r="2191" spans="1:6">
      <c r="A2191" s="68" t="s">
        <v>2845</v>
      </c>
      <c r="D2191" s="68" t="str">
        <f t="shared" si="43"/>
        <v>MAWULE</v>
      </c>
      <c r="F2191" s="68">
        <v>1393</v>
      </c>
    </row>
    <row r="2192" spans="1:6">
      <c r="A2192" s="68" t="s">
        <v>2846</v>
      </c>
      <c r="D2192" s="68" t="str">
        <f t="shared" si="43"/>
        <v>Busiika</v>
      </c>
      <c r="F2192" s="68">
        <v>1393</v>
      </c>
    </row>
    <row r="2193" spans="1:6">
      <c r="A2193" s="68" t="s">
        <v>2847</v>
      </c>
      <c r="D2193" s="68" t="str">
        <f t="shared" si="43"/>
        <v>Busika</v>
      </c>
      <c r="F2193" s="68">
        <v>1393</v>
      </c>
    </row>
    <row r="2194" spans="1:6">
      <c r="A2194" s="68" t="s">
        <v>2848</v>
      </c>
      <c r="D2194" s="68" t="str">
        <f t="shared" si="43"/>
        <v>KASANGATI</v>
      </c>
      <c r="F2194" s="68">
        <v>1393</v>
      </c>
    </row>
    <row r="2195" spans="1:6">
      <c r="A2195" s="68" t="s">
        <v>2849</v>
      </c>
      <c r="D2195" s="68" t="str">
        <f t="shared" si="43"/>
        <v>Kansangati</v>
      </c>
      <c r="F2195" s="68">
        <v>1393</v>
      </c>
    </row>
    <row r="2196" spans="1:6">
      <c r="A2196" s="68" t="s">
        <v>2850</v>
      </c>
      <c r="B2196" s="68" t="s">
        <v>2774</v>
      </c>
      <c r="C2196" s="68" t="s">
        <v>2778</v>
      </c>
      <c r="D2196" s="68" t="str">
        <f t="shared" si="43"/>
        <v>Kasanje</v>
      </c>
      <c r="F2196" s="68">
        <v>1394</v>
      </c>
    </row>
    <row r="2197" spans="1:6">
      <c r="A2197" s="68" t="s">
        <v>2851</v>
      </c>
      <c r="D2197" s="68" t="str">
        <f t="shared" si="43"/>
        <v>Kawoko</v>
      </c>
      <c r="F2197" s="68">
        <v>1394</v>
      </c>
    </row>
    <row r="2198" spans="1:6">
      <c r="A2198" s="68" t="s">
        <v>2852</v>
      </c>
      <c r="B2198" s="68" t="s">
        <v>2774</v>
      </c>
      <c r="C2198" s="68" t="s">
        <v>2778</v>
      </c>
      <c r="D2198" s="68" t="str">
        <f t="shared" si="43"/>
        <v>Katabi Town Council</v>
      </c>
      <c r="F2198" s="68">
        <v>1395</v>
      </c>
    </row>
    <row r="2199" spans="1:6">
      <c r="A2199" s="68" t="s">
        <v>2853</v>
      </c>
      <c r="D2199" s="68" t="str">
        <f t="shared" si="43"/>
        <v>Gombolola</v>
      </c>
      <c r="F2199" s="68">
        <v>1395</v>
      </c>
    </row>
    <row r="2200" spans="1:6">
      <c r="A2200" s="68" t="s">
        <v>2854</v>
      </c>
      <c r="B2200" s="68" t="s">
        <v>2774</v>
      </c>
      <c r="C2200" s="68" t="s">
        <v>2782</v>
      </c>
      <c r="D2200" s="68" t="str">
        <f t="shared" si="43"/>
        <v>Kira</v>
      </c>
      <c r="F2200" s="68">
        <v>1396</v>
      </c>
    </row>
    <row r="2201" spans="1:6">
      <c r="A2201" s="68" t="s">
        <v>442</v>
      </c>
      <c r="D2201" s="68" t="str">
        <f t="shared" si="43"/>
        <v xml:space="preserve">KIIRA </v>
      </c>
      <c r="F2201" s="68">
        <v>1396</v>
      </c>
    </row>
    <row r="2202" spans="1:6">
      <c r="A2202" s="68" t="s">
        <v>2855</v>
      </c>
      <c r="D2202" s="68" t="str">
        <f t="shared" si="43"/>
        <v>Kijabijo</v>
      </c>
      <c r="F2202" s="68">
        <v>1396</v>
      </c>
    </row>
    <row r="2203" spans="1:6">
      <c r="A2203" s="68" t="s">
        <v>2856</v>
      </c>
      <c r="D2203" s="68" t="str">
        <f t="shared" si="43"/>
        <v>KIRA MUNICIPAL</v>
      </c>
      <c r="F2203" s="68">
        <v>1396</v>
      </c>
    </row>
    <row r="2204" spans="1:6">
      <c r="A2204" s="68" t="s">
        <v>2857</v>
      </c>
      <c r="D2204" s="68" t="str">
        <f t="shared" si="43"/>
        <v>Mulawa</v>
      </c>
      <c r="F2204" s="68">
        <v>1396</v>
      </c>
    </row>
    <row r="2205" spans="1:6">
      <c r="A2205" s="68" t="s">
        <v>2858</v>
      </c>
      <c r="D2205" s="68" t="str">
        <f t="shared" si="43"/>
        <v>Kireka</v>
      </c>
      <c r="F2205" s="68">
        <v>1396</v>
      </c>
    </row>
    <row r="2206" spans="1:6">
      <c r="A2206" s="68" t="s">
        <v>2859</v>
      </c>
      <c r="D2206" s="68" t="str">
        <f t="shared" si="43"/>
        <v>Garage</v>
      </c>
      <c r="F2206" s="68">
        <v>1396</v>
      </c>
    </row>
    <row r="2207" spans="1:6">
      <c r="A2207" s="68" t="s">
        <v>2860</v>
      </c>
      <c r="D2207" s="68" t="str">
        <f t="shared" si="43"/>
        <v>KAMULI A ZONE</v>
      </c>
      <c r="F2207" s="68">
        <v>1396</v>
      </c>
    </row>
    <row r="2208" spans="1:6">
      <c r="A2208" s="68" t="s">
        <v>2861</v>
      </c>
      <c r="D2208" s="68" t="str">
        <f t="shared" si="43"/>
        <v>Kamuli rd</v>
      </c>
      <c r="F2208" s="68">
        <v>1396</v>
      </c>
    </row>
    <row r="2209" spans="1:6">
      <c r="A2209" s="68" t="s">
        <v>1744</v>
      </c>
      <c r="D2209" s="68" t="str">
        <f t="shared" si="43"/>
        <v>Kamuli</v>
      </c>
      <c r="F2209" s="68">
        <v>1396</v>
      </c>
    </row>
    <row r="2210" spans="1:6">
      <c r="A2210" s="68" t="s">
        <v>2862</v>
      </c>
      <c r="D2210" s="68" t="str">
        <f t="shared" si="43"/>
        <v>Agenda</v>
      </c>
      <c r="F2210" s="68">
        <v>1396</v>
      </c>
    </row>
    <row r="2211" spans="1:6">
      <c r="A2211" s="68" t="s">
        <v>2863</v>
      </c>
      <c r="D2211" s="68" t="str">
        <f t="shared" si="43"/>
        <v>Kiira</v>
      </c>
      <c r="F2211" s="68">
        <v>1396</v>
      </c>
    </row>
    <row r="2212" spans="1:6">
      <c r="A2212" s="68" t="s">
        <v>2864</v>
      </c>
      <c r="D2212" s="68" t="str">
        <f t="shared" si="43"/>
        <v>Bulindo</v>
      </c>
      <c r="F2212" s="68">
        <v>1396</v>
      </c>
    </row>
    <row r="2213" spans="1:6">
      <c r="A2213" s="68" t="s">
        <v>2865</v>
      </c>
      <c r="D2213" s="68" t="str">
        <f t="shared" si="43"/>
        <v>KITIKUTWE</v>
      </c>
      <c r="F2213" s="68">
        <v>1396</v>
      </c>
    </row>
    <row r="2214" spans="1:6">
      <c r="A2214" s="68" t="s">
        <v>2866</v>
      </c>
      <c r="D2214" s="68" t="str">
        <f t="shared" si="43"/>
        <v xml:space="preserve">BULINDO </v>
      </c>
      <c r="F2214" s="68">
        <v>1396</v>
      </c>
    </row>
    <row r="2215" spans="1:6">
      <c r="A2215" s="68" t="s">
        <v>2867</v>
      </c>
      <c r="D2215" s="68" t="str">
        <f t="shared" si="43"/>
        <v>Nsasa</v>
      </c>
      <c r="F2215" s="68">
        <v>1396</v>
      </c>
    </row>
    <row r="2216" spans="1:6">
      <c r="A2216" s="68" t="s">
        <v>2868</v>
      </c>
      <c r="D2216" s="68" t="str">
        <f t="shared" si="43"/>
        <v>NABUSAGWE</v>
      </c>
      <c r="F2216" s="68">
        <v>1396</v>
      </c>
    </row>
    <row r="2217" spans="1:6">
      <c r="A2217" s="68" t="s">
        <v>2869</v>
      </c>
      <c r="D2217" s="68" t="str">
        <f t="shared" si="43"/>
        <v>KITUKUTWE</v>
      </c>
      <c r="F2217" s="68">
        <v>1396</v>
      </c>
    </row>
    <row r="2218" spans="1:6">
      <c r="A2218" s="68" t="s">
        <v>2870</v>
      </c>
      <c r="D2218" s="68" t="str">
        <f t="shared" si="43"/>
        <v>KIWOLOGOMA</v>
      </c>
      <c r="F2218" s="68">
        <v>1396</v>
      </c>
    </row>
    <row r="2219" spans="1:6">
      <c r="A2219" s="68" t="s">
        <v>2871</v>
      </c>
      <c r="B2219" s="68" t="s">
        <v>2774</v>
      </c>
      <c r="C2219" s="68" t="s">
        <v>2778</v>
      </c>
      <c r="D2219" s="68" t="str">
        <f t="shared" si="43"/>
        <v>Kyengera Town Council</v>
      </c>
      <c r="F2219" s="68">
        <v>1397</v>
      </c>
    </row>
    <row r="2220" spans="1:6">
      <c r="A2220" s="68" t="s">
        <v>2872</v>
      </c>
      <c r="B2220" s="68" t="s">
        <v>2774</v>
      </c>
      <c r="D2220" s="68" t="str">
        <f t="shared" si="43"/>
        <v>KYENGERA</v>
      </c>
      <c r="F2220" s="68">
        <v>1397</v>
      </c>
    </row>
    <row r="2221" spans="1:6">
      <c r="A2221" s="68" t="s">
        <v>2873</v>
      </c>
      <c r="B2221" s="68" t="s">
        <v>2774</v>
      </c>
      <c r="D2221" s="68" t="str">
        <f t="shared" si="43"/>
        <v>NABINGO</v>
      </c>
      <c r="F2221" s="68">
        <v>1397</v>
      </c>
    </row>
    <row r="2222" spans="1:6">
      <c r="A2222" s="68" t="s">
        <v>2874</v>
      </c>
      <c r="D2222" s="68" t="str">
        <f t="shared" si="43"/>
        <v>Namagoma</v>
      </c>
      <c r="F2222" s="68">
        <v>1397</v>
      </c>
    </row>
    <row r="2223" spans="1:6">
      <c r="A2223" s="68" t="s">
        <v>2875</v>
      </c>
      <c r="D2223" s="68" t="str">
        <f t="shared" si="43"/>
        <v>Nsangi</v>
      </c>
      <c r="F2223" s="68">
        <v>1397</v>
      </c>
    </row>
    <row r="2224" spans="1:6">
      <c r="A2224" s="68" t="s">
        <v>2876</v>
      </c>
      <c r="D2224" s="68" t="str">
        <f t="shared" si="43"/>
        <v>Buddo</v>
      </c>
      <c r="F2224" s="68">
        <v>1397</v>
      </c>
    </row>
    <row r="2225" spans="1:6">
      <c r="A2225" s="68" t="s">
        <v>2877</v>
      </c>
      <c r="D2225" s="68" t="str">
        <f t="shared" si="43"/>
        <v>Nsanji</v>
      </c>
      <c r="F2225" s="68">
        <v>1397</v>
      </c>
    </row>
    <row r="2226" spans="1:6">
      <c r="A2226" s="68" t="s">
        <v>2878</v>
      </c>
      <c r="D2226" s="68" t="str">
        <f t="shared" si="43"/>
        <v>Kitaala</v>
      </c>
      <c r="F2226" s="68">
        <v>1397</v>
      </c>
    </row>
    <row r="2227" spans="1:6">
      <c r="A2227" s="68" t="s">
        <v>2879</v>
      </c>
      <c r="D2227" s="68" t="str">
        <f t="shared" si="43"/>
        <v>Kasenge</v>
      </c>
      <c r="F2227" s="68">
        <v>1397</v>
      </c>
    </row>
    <row r="2228" spans="1:6">
      <c r="A2228" s="68" t="s">
        <v>2880</v>
      </c>
      <c r="D2228" s="68" t="str">
        <f t="shared" si="43"/>
        <v>Kayembe</v>
      </c>
      <c r="F2228" s="68">
        <v>1397</v>
      </c>
    </row>
    <row r="2229" spans="1:6">
      <c r="A2229" s="68" t="s">
        <v>2881</v>
      </c>
      <c r="B2229" s="68" t="s">
        <v>2774</v>
      </c>
      <c r="C2229" s="68" t="s">
        <v>2775</v>
      </c>
      <c r="D2229" s="68" t="str">
        <f t="shared" si="43"/>
        <v>Masajja</v>
      </c>
      <c r="F2229" s="68">
        <v>1398</v>
      </c>
    </row>
    <row r="2230" spans="1:6">
      <c r="A2230" s="68" t="s">
        <v>2882</v>
      </c>
      <c r="D2230" s="68" t="str">
        <f t="shared" si="43"/>
        <v>Masjja</v>
      </c>
      <c r="F2230" s="68">
        <v>1398</v>
      </c>
    </row>
    <row r="2231" spans="1:6">
      <c r="A2231" s="68" t="s">
        <v>2883</v>
      </c>
      <c r="D2231" s="68" t="str">
        <f t="shared" si="43"/>
        <v>Massajja</v>
      </c>
      <c r="F2231" s="68">
        <v>1398</v>
      </c>
    </row>
    <row r="2232" spans="1:6">
      <c r="A2232" s="68" t="s">
        <v>2884</v>
      </c>
      <c r="D2232" s="68" t="str">
        <f t="shared" si="43"/>
        <v>KIBUTIKA</v>
      </c>
      <c r="F2232" s="68">
        <v>1398</v>
      </c>
    </row>
    <row r="2233" spans="1:6">
      <c r="A2233" s="68" t="s">
        <v>2885</v>
      </c>
      <c r="B2233" s="68" t="s">
        <v>2774</v>
      </c>
      <c r="C2233" s="68" t="s">
        <v>2778</v>
      </c>
      <c r="D2233" s="68" t="str">
        <f t="shared" si="43"/>
        <v>Masuliita</v>
      </c>
      <c r="F2233" s="68">
        <v>1399</v>
      </c>
    </row>
    <row r="2234" spans="1:6">
      <c r="A2234" s="68" t="s">
        <v>2886</v>
      </c>
      <c r="B2234" s="68" t="s">
        <v>2774</v>
      </c>
      <c r="C2234" s="68" t="s">
        <v>2778</v>
      </c>
      <c r="D2234" s="68" t="str">
        <f t="shared" si="43"/>
        <v>Masulita Town Council</v>
      </c>
      <c r="F2234" s="68">
        <v>1400</v>
      </c>
    </row>
    <row r="2235" spans="1:6">
      <c r="A2235" s="68" t="s">
        <v>2887</v>
      </c>
      <c r="B2235" s="68" t="s">
        <v>2774</v>
      </c>
      <c r="C2235" s="68" t="s">
        <v>2778</v>
      </c>
      <c r="D2235" s="68" t="str">
        <f t="shared" si="43"/>
        <v>Mende</v>
      </c>
      <c r="F2235" s="68">
        <v>1401</v>
      </c>
    </row>
    <row r="2236" spans="1:6">
      <c r="A2236" s="68" t="s">
        <v>2888</v>
      </c>
      <c r="B2236" s="68" t="s">
        <v>2774</v>
      </c>
      <c r="C2236" s="68" t="s">
        <v>2780</v>
      </c>
      <c r="D2236" s="68" t="str">
        <f t="shared" si="43"/>
        <v>Nabweru</v>
      </c>
      <c r="F2236" s="68">
        <v>1402</v>
      </c>
    </row>
    <row r="2237" spans="1:6">
      <c r="A2237" s="68" t="s">
        <v>2889</v>
      </c>
      <c r="D2237" s="68" t="str">
        <f t="shared" si="43"/>
        <v>Nabwero</v>
      </c>
      <c r="F2237" s="68">
        <v>1402</v>
      </c>
    </row>
    <row r="2238" spans="1:6">
      <c r="A2238" s="68" t="s">
        <v>2890</v>
      </c>
      <c r="D2238" s="68" t="str">
        <f t="shared" si="43"/>
        <v>Mabwero</v>
      </c>
      <c r="F2238" s="68">
        <v>1402</v>
      </c>
    </row>
    <row r="2239" spans="1:6">
      <c r="A2239" s="68" t="s">
        <v>2891</v>
      </c>
      <c r="D2239" s="68" t="str">
        <f t="shared" si="43"/>
        <v>Nabwera</v>
      </c>
      <c r="F2239" s="68">
        <v>1402</v>
      </c>
    </row>
    <row r="2240" spans="1:6">
      <c r="A2240" s="68" t="s">
        <v>2892</v>
      </c>
      <c r="D2240" s="68" t="str">
        <f t="shared" si="43"/>
        <v>NABWERU ROAD</v>
      </c>
      <c r="F2240" s="68">
        <v>1402</v>
      </c>
    </row>
    <row r="2241" spans="1:6">
      <c r="A2241" s="68" t="s">
        <v>2893</v>
      </c>
      <c r="D2241" s="68" t="str">
        <f t="shared" ref="D2241:D2304" si="44">A2241</f>
        <v>Lubigi</v>
      </c>
      <c r="F2241" s="68">
        <v>1402</v>
      </c>
    </row>
    <row r="2242" spans="1:6">
      <c r="A2242" s="68" t="s">
        <v>2894</v>
      </c>
      <c r="D2242" s="68" t="str">
        <f t="shared" si="44"/>
        <v>Rubigi town</v>
      </c>
      <c r="F2242" s="68">
        <v>1402</v>
      </c>
    </row>
    <row r="2243" spans="1:6">
      <c r="A2243" s="68" t="s">
        <v>2895</v>
      </c>
      <c r="D2243" s="68" t="str">
        <f t="shared" si="44"/>
        <v>LIBINGI</v>
      </c>
      <c r="F2243" s="68">
        <v>1402</v>
      </c>
    </row>
    <row r="2244" spans="1:6">
      <c r="A2244" s="68" t="s">
        <v>2896</v>
      </c>
      <c r="D2244" s="68" t="str">
        <f t="shared" si="44"/>
        <v>Rubigi</v>
      </c>
      <c r="F2244" s="68">
        <v>1402</v>
      </c>
    </row>
    <row r="2245" spans="1:6">
      <c r="A2245" s="68" t="s">
        <v>2897</v>
      </c>
      <c r="D2245" s="68" t="str">
        <f t="shared" si="44"/>
        <v>Kawanda</v>
      </c>
      <c r="F2245" s="68">
        <v>1402</v>
      </c>
    </row>
    <row r="2246" spans="1:6">
      <c r="A2246" s="68" t="s">
        <v>2898</v>
      </c>
      <c r="D2246" s="68" t="str">
        <f t="shared" si="44"/>
        <v>Namarere</v>
      </c>
      <c r="F2246" s="68">
        <v>1402</v>
      </c>
    </row>
    <row r="2247" spans="1:6">
      <c r="A2247" s="68" t="s">
        <v>2899</v>
      </c>
      <c r="D2247" s="68" t="str">
        <f t="shared" si="44"/>
        <v>Maganjo</v>
      </c>
      <c r="F2247" s="68">
        <v>1402</v>
      </c>
    </row>
    <row r="2248" spans="1:6">
      <c r="A2248" s="68" t="s">
        <v>2900</v>
      </c>
      <c r="D2248" s="68" t="str">
        <f t="shared" si="44"/>
        <v>Senge</v>
      </c>
      <c r="F2248" s="68">
        <v>1402</v>
      </c>
    </row>
    <row r="2249" spans="1:6">
      <c r="A2249" s="68" t="s">
        <v>2901</v>
      </c>
      <c r="D2249" s="68" t="str">
        <f t="shared" si="44"/>
        <v>Matugo</v>
      </c>
      <c r="F2249" s="68">
        <v>1402</v>
      </c>
    </row>
    <row r="2250" spans="1:6">
      <c r="A2250" s="68" t="s">
        <v>2902</v>
      </c>
      <c r="D2250" s="68" t="str">
        <f t="shared" si="44"/>
        <v>Matugga</v>
      </c>
      <c r="F2250" s="68">
        <v>1402</v>
      </c>
    </row>
    <row r="2251" spans="1:6">
      <c r="A2251" s="68" t="s">
        <v>2903</v>
      </c>
      <c r="D2251" s="68" t="str">
        <f t="shared" si="44"/>
        <v>Kabunza</v>
      </c>
      <c r="F2251" s="68">
        <v>1402</v>
      </c>
    </row>
    <row r="2252" spans="1:6">
      <c r="A2252" s="68" t="s">
        <v>2904</v>
      </c>
      <c r="D2252" s="68" t="str">
        <f t="shared" si="44"/>
        <v>Kigogwa</v>
      </c>
      <c r="F2252" s="68">
        <v>1402</v>
      </c>
    </row>
    <row r="2253" spans="1:6">
      <c r="A2253" s="68" t="s">
        <v>2905</v>
      </c>
      <c r="D2253" s="68" t="str">
        <f t="shared" si="44"/>
        <v>Kiggogwa</v>
      </c>
      <c r="F2253" s="68">
        <v>1402</v>
      </c>
    </row>
    <row r="2254" spans="1:6">
      <c r="A2254" s="68" t="s">
        <v>2906</v>
      </c>
      <c r="D2254" s="68" t="str">
        <f t="shared" si="44"/>
        <v>Kikgogwa</v>
      </c>
      <c r="F2254" s="68">
        <v>1402</v>
      </c>
    </row>
    <row r="2255" spans="1:6">
      <c r="A2255" s="68" t="s">
        <v>2907</v>
      </c>
      <c r="D2255" s="68" t="str">
        <f t="shared" si="44"/>
        <v>Buwambo</v>
      </c>
      <c r="F2255" s="68">
        <v>1402</v>
      </c>
    </row>
    <row r="2256" spans="1:6">
      <c r="A2256" s="68" t="s">
        <v>2908</v>
      </c>
      <c r="D2256" s="68" t="str">
        <f t="shared" si="44"/>
        <v>BUYERA</v>
      </c>
      <c r="F2256" s="68">
        <v>1402</v>
      </c>
    </row>
    <row r="2257" spans="1:6">
      <c r="A2257" s="68" t="s">
        <v>2909</v>
      </c>
      <c r="D2257" s="68" t="str">
        <f t="shared" si="44"/>
        <v>KITTI</v>
      </c>
      <c r="F2257" s="68">
        <v>1402</v>
      </c>
    </row>
    <row r="2258" spans="1:6">
      <c r="A2258" s="68" t="s">
        <v>2910</v>
      </c>
      <c r="D2258" s="68" t="str">
        <f t="shared" si="44"/>
        <v>KITI</v>
      </c>
      <c r="F2258" s="68">
        <v>1402</v>
      </c>
    </row>
    <row r="2259" spans="1:6">
      <c r="A2259" s="68" t="s">
        <v>2911</v>
      </c>
      <c r="D2259" s="68" t="str">
        <f t="shared" si="44"/>
        <v>Kasengejje</v>
      </c>
      <c r="F2259" s="68">
        <v>1402</v>
      </c>
    </row>
    <row r="2260" spans="1:6">
      <c r="A2260" s="68" t="s">
        <v>2912</v>
      </c>
      <c r="D2260" s="68" t="str">
        <f t="shared" si="44"/>
        <v>KASEGEJJE</v>
      </c>
      <c r="F2260" s="68">
        <v>1402</v>
      </c>
    </row>
    <row r="2261" spans="1:6">
      <c r="A2261" s="68" t="s">
        <v>2913</v>
      </c>
      <c r="D2261" s="68" t="str">
        <f t="shared" si="44"/>
        <v>Kasengeje</v>
      </c>
      <c r="F2261" s="68">
        <v>1402</v>
      </c>
    </row>
    <row r="2262" spans="1:6">
      <c r="A2262" s="68" t="s">
        <v>2914</v>
      </c>
      <c r="D2262" s="68" t="str">
        <f t="shared" si="44"/>
        <v>KIMANYA</v>
      </c>
      <c r="F2262" s="68">
        <v>1402</v>
      </c>
    </row>
    <row r="2263" spans="1:6">
      <c r="A2263" s="68" t="s">
        <v>2915</v>
      </c>
      <c r="D2263" s="68" t="str">
        <f t="shared" si="44"/>
        <v>Matuga</v>
      </c>
      <c r="F2263" s="68">
        <v>1402</v>
      </c>
    </row>
    <row r="2264" spans="1:6">
      <c r="A2264" s="68" t="s">
        <v>2916</v>
      </c>
      <c r="D2264" s="68" t="str">
        <f t="shared" si="44"/>
        <v>Mayirikiti</v>
      </c>
      <c r="F2264" s="68">
        <v>1402</v>
      </c>
    </row>
    <row r="2265" spans="1:6">
      <c r="A2265" s="68" t="s">
        <v>2917</v>
      </c>
      <c r="D2265" s="68" t="str">
        <f t="shared" si="44"/>
        <v>Kiryagonja</v>
      </c>
      <c r="F2265" s="68">
        <v>1402</v>
      </c>
    </row>
    <row r="2266" spans="1:6">
      <c r="A2266" s="68" t="s">
        <v>2918</v>
      </c>
      <c r="D2266" s="68" t="str">
        <f t="shared" si="44"/>
        <v>Watindo</v>
      </c>
      <c r="F2266" s="68">
        <v>1402</v>
      </c>
    </row>
    <row r="2267" spans="1:6">
      <c r="A2267" s="68" t="s">
        <v>2919</v>
      </c>
      <c r="D2267" s="68" t="str">
        <f t="shared" si="44"/>
        <v>Ssemuto</v>
      </c>
      <c r="F2267" s="68">
        <v>1402</v>
      </c>
    </row>
    <row r="2268" spans="1:6">
      <c r="A2268" s="68" t="s">
        <v>2920</v>
      </c>
      <c r="D2268" s="68" t="str">
        <f t="shared" si="44"/>
        <v>Ssemutto</v>
      </c>
      <c r="F2268" s="68">
        <v>1402</v>
      </c>
    </row>
    <row r="2269" spans="1:6">
      <c r="A2269" s="68" t="s">
        <v>2921</v>
      </c>
      <c r="D2269" s="68" t="str">
        <f t="shared" si="44"/>
        <v>Namengo</v>
      </c>
      <c r="F2269" s="68">
        <v>1402</v>
      </c>
    </row>
    <row r="2270" spans="1:6">
      <c r="A2270" s="68" t="s">
        <v>2922</v>
      </c>
      <c r="D2270" s="68" t="str">
        <f t="shared" si="44"/>
        <v>Green valley</v>
      </c>
      <c r="F2270" s="68">
        <v>1402</v>
      </c>
    </row>
    <row r="2271" spans="1:6">
      <c r="A2271" s="68" t="s">
        <v>2923</v>
      </c>
      <c r="B2271" s="68" t="s">
        <v>2774</v>
      </c>
      <c r="C2271" s="68" t="s">
        <v>2778</v>
      </c>
      <c r="D2271" s="68" t="str">
        <f t="shared" si="44"/>
        <v>Namayumba</v>
      </c>
      <c r="F2271" s="68">
        <v>1403</v>
      </c>
    </row>
    <row r="2272" spans="1:6">
      <c r="A2272" s="68" t="s">
        <v>2924</v>
      </c>
      <c r="B2272" s="68" t="s">
        <v>2774</v>
      </c>
      <c r="C2272" s="68" t="s">
        <v>2778</v>
      </c>
      <c r="D2272" s="68" t="str">
        <f t="shared" si="44"/>
        <v>Namayumba Town Council</v>
      </c>
      <c r="F2272" s="68">
        <v>1404</v>
      </c>
    </row>
    <row r="2273" spans="1:6">
      <c r="A2273" s="68" t="s">
        <v>2925</v>
      </c>
      <c r="B2273" s="68" t="s">
        <v>2774</v>
      </c>
      <c r="C2273" s="68" t="s">
        <v>2782</v>
      </c>
      <c r="D2273" s="68" t="str">
        <f t="shared" si="44"/>
        <v>Namugongo</v>
      </c>
      <c r="F2273" s="68">
        <v>1405</v>
      </c>
    </row>
    <row r="2274" spans="1:6">
      <c r="A2274" s="68" t="s">
        <v>2926</v>
      </c>
      <c r="D2274" s="68" t="str">
        <f t="shared" si="44"/>
        <v>NUGONGO</v>
      </c>
      <c r="F2274" s="68">
        <v>1405</v>
      </c>
    </row>
    <row r="2275" spans="1:6">
      <c r="A2275" s="68" t="s">
        <v>2927</v>
      </c>
      <c r="D2275" s="68" t="str">
        <f t="shared" si="44"/>
        <v>ssonde</v>
      </c>
      <c r="F2275" s="68">
        <v>1405</v>
      </c>
    </row>
    <row r="2276" spans="1:6">
      <c r="A2276" s="68" t="s">
        <v>2928</v>
      </c>
      <c r="D2276" s="68" t="str">
        <f t="shared" si="44"/>
        <v>NAMUGONGO SHRINE</v>
      </c>
      <c r="F2276" s="68">
        <v>1405</v>
      </c>
    </row>
    <row r="2277" spans="1:6">
      <c r="A2277" s="68" t="s">
        <v>2929</v>
      </c>
      <c r="D2277" s="68" t="str">
        <f t="shared" si="44"/>
        <v>Sonde</v>
      </c>
      <c r="F2277" s="68">
        <v>1405</v>
      </c>
    </row>
    <row r="2278" spans="1:6">
      <c r="A2278" s="68" t="s">
        <v>2930</v>
      </c>
      <c r="D2278" s="68" t="str">
        <f t="shared" si="44"/>
        <v>Naalya</v>
      </c>
      <c r="F2278" s="68">
        <v>1405</v>
      </c>
    </row>
    <row r="2279" spans="1:6">
      <c r="A2279" s="68" t="s">
        <v>2931</v>
      </c>
      <c r="D2279" s="68" t="str">
        <f t="shared" si="44"/>
        <v>MBALWA</v>
      </c>
      <c r="F2279" s="68">
        <v>1405</v>
      </c>
    </row>
    <row r="2280" spans="1:6">
      <c r="A2280" s="68" t="s">
        <v>2932</v>
      </c>
      <c r="D2280" s="68" t="str">
        <f t="shared" si="44"/>
        <v>Nalya</v>
      </c>
      <c r="F2280" s="68">
        <v>1405</v>
      </c>
    </row>
    <row r="2281" spans="1:6">
      <c r="A2281" s="68" t="s">
        <v>2933</v>
      </c>
      <c r="D2281" s="68" t="str">
        <f t="shared" si="44"/>
        <v>Kyaliwajala</v>
      </c>
      <c r="F2281" s="68">
        <v>1405</v>
      </c>
    </row>
    <row r="2282" spans="1:6">
      <c r="A2282" s="68" t="s">
        <v>2934</v>
      </c>
      <c r="D2282" s="68" t="str">
        <f t="shared" si="44"/>
        <v>KYALIWAJALA ROAD</v>
      </c>
      <c r="F2282" s="68">
        <v>1405</v>
      </c>
    </row>
    <row r="2283" spans="1:6">
      <c r="A2283" s="68" t="s">
        <v>2935</v>
      </c>
      <c r="D2283" s="68" t="str">
        <f t="shared" si="44"/>
        <v>KYALUWAJALA</v>
      </c>
      <c r="F2283" s="68">
        <v>1405</v>
      </c>
    </row>
    <row r="2284" spans="1:6">
      <c r="A2284" s="68" t="s">
        <v>2936</v>
      </c>
      <c r="D2284" s="68" t="str">
        <f t="shared" si="44"/>
        <v>KYALIWAJJALA</v>
      </c>
      <c r="F2284" s="68">
        <v>1405</v>
      </c>
    </row>
    <row r="2285" spans="1:6">
      <c r="A2285" s="68" t="s">
        <v>2937</v>
      </c>
      <c r="D2285" s="68" t="str">
        <f t="shared" si="44"/>
        <v>KYALIWAJARA</v>
      </c>
      <c r="F2285" s="68">
        <v>1405</v>
      </c>
    </row>
    <row r="2286" spans="1:6">
      <c r="A2286" s="68" t="s">
        <v>2938</v>
      </c>
      <c r="D2286" s="68" t="str">
        <f t="shared" si="44"/>
        <v>KALIWAJJALA</v>
      </c>
      <c r="F2286" s="68">
        <v>1405</v>
      </c>
    </row>
    <row r="2287" spans="1:6">
      <c r="A2287" s="68" t="s">
        <v>2939</v>
      </c>
      <c r="D2287" s="68" t="str">
        <f t="shared" si="44"/>
        <v>Najera</v>
      </c>
      <c r="F2287" s="68">
        <v>1405</v>
      </c>
    </row>
    <row r="2288" spans="1:6">
      <c r="A2288" s="68" t="s">
        <v>2940</v>
      </c>
      <c r="D2288" s="68" t="str">
        <f t="shared" si="44"/>
        <v>Najjera</v>
      </c>
      <c r="F2288" s="68">
        <v>1405</v>
      </c>
    </row>
    <row r="2289" spans="1:6">
      <c r="A2289" s="68" t="s">
        <v>2941</v>
      </c>
      <c r="D2289" s="68" t="str">
        <f t="shared" si="44"/>
        <v>Nagyera</v>
      </c>
      <c r="F2289" s="68">
        <v>1405</v>
      </c>
    </row>
    <row r="2290" spans="1:6">
      <c r="A2290" s="68" t="s">
        <v>2942</v>
      </c>
      <c r="D2290" s="68" t="str">
        <f t="shared" si="44"/>
        <v>Najeera</v>
      </c>
      <c r="F2290" s="68">
        <v>1405</v>
      </c>
    </row>
    <row r="2291" spans="1:6">
      <c r="A2291" s="68" t="s">
        <v>2943</v>
      </c>
      <c r="D2291" s="68" t="str">
        <f t="shared" si="44"/>
        <v>Najeera 1</v>
      </c>
      <c r="F2291" s="68">
        <v>1405</v>
      </c>
    </row>
    <row r="2292" spans="1:6">
      <c r="A2292" s="68" t="s">
        <v>2944</v>
      </c>
      <c r="D2292" s="68" t="str">
        <f t="shared" si="44"/>
        <v>Najeera 2</v>
      </c>
      <c r="F2292" s="68">
        <v>1405</v>
      </c>
    </row>
    <row r="2293" spans="1:6">
      <c r="A2293" s="68" t="s">
        <v>2945</v>
      </c>
      <c r="D2293" s="68" t="str">
        <f t="shared" si="44"/>
        <v xml:space="preserve">NAJEERA </v>
      </c>
      <c r="F2293" s="68">
        <v>1405</v>
      </c>
    </row>
    <row r="2294" spans="1:6">
      <c r="A2294" s="68" t="s">
        <v>2946</v>
      </c>
      <c r="D2294" s="68" t="str">
        <f t="shared" si="44"/>
        <v>NAJJEERA</v>
      </c>
      <c r="F2294" s="68">
        <v>1405</v>
      </c>
    </row>
    <row r="2295" spans="1:6">
      <c r="A2295" s="68" t="s">
        <v>2947</v>
      </c>
      <c r="D2295" s="68" t="str">
        <f t="shared" si="44"/>
        <v>PK SUPERMARKET</v>
      </c>
      <c r="F2295" s="68">
        <v>1405</v>
      </c>
    </row>
    <row r="2296" spans="1:6">
      <c r="A2296" s="68" t="s">
        <v>2948</v>
      </c>
      <c r="D2296" s="68" t="str">
        <f t="shared" si="44"/>
        <v>BULABIRA</v>
      </c>
      <c r="F2296" s="68">
        <v>1405</v>
      </c>
    </row>
    <row r="2297" spans="1:6">
      <c r="A2297" s="68" t="s">
        <v>2949</v>
      </c>
      <c r="D2297" s="68" t="str">
        <f t="shared" si="44"/>
        <v>Buwate</v>
      </c>
      <c r="F2297" s="68">
        <v>1405</v>
      </c>
    </row>
    <row r="2298" spans="1:6">
      <c r="A2298" s="68" t="s">
        <v>2950</v>
      </c>
      <c r="D2298" s="68" t="str">
        <f t="shared" si="44"/>
        <v>Buwaate</v>
      </c>
      <c r="F2298" s="68">
        <v>1405</v>
      </c>
    </row>
    <row r="2299" spans="1:6">
      <c r="A2299" s="68" t="s">
        <v>2951</v>
      </c>
      <c r="D2299" s="68" t="str">
        <f t="shared" si="44"/>
        <v>Bwate</v>
      </c>
      <c r="F2299" s="68">
        <v>1405</v>
      </c>
    </row>
    <row r="2300" spans="1:6">
      <c r="A2300" s="68" t="s">
        <v>2952</v>
      </c>
      <c r="D2300" s="68" t="str">
        <f t="shared" si="44"/>
        <v>BUWATTE</v>
      </c>
      <c r="F2300" s="68">
        <v>1405</v>
      </c>
    </row>
    <row r="2301" spans="1:6">
      <c r="A2301" s="68" t="s">
        <v>2953</v>
      </c>
      <c r="D2301" s="68" t="str">
        <f t="shared" si="44"/>
        <v>Green hill</v>
      </c>
      <c r="F2301" s="68">
        <v>1405</v>
      </c>
    </row>
    <row r="2302" spans="1:6">
      <c r="A2302" s="68" t="s">
        <v>2954</v>
      </c>
      <c r="D2302" s="68" t="str">
        <f t="shared" si="44"/>
        <v>KIBIRA</v>
      </c>
      <c r="F2302" s="68">
        <v>1405</v>
      </c>
    </row>
    <row r="2303" spans="1:6">
      <c r="A2303" s="68" t="s">
        <v>2955</v>
      </c>
      <c r="B2303" s="68" t="s">
        <v>2774</v>
      </c>
      <c r="C2303" s="68" t="s">
        <v>2780</v>
      </c>
      <c r="D2303" s="68" t="str">
        <f t="shared" si="44"/>
        <v>Nansana</v>
      </c>
      <c r="F2303" s="68">
        <v>1406</v>
      </c>
    </row>
    <row r="2304" spans="1:6">
      <c r="A2304" s="68" t="s">
        <v>2956</v>
      </c>
      <c r="D2304" s="68" t="str">
        <f t="shared" si="44"/>
        <v>NANSANA STORES</v>
      </c>
      <c r="F2304" s="68">
        <v>1406</v>
      </c>
    </row>
    <row r="2305" spans="1:6">
      <c r="A2305" s="68" t="s">
        <v>2957</v>
      </c>
      <c r="D2305" s="68" t="str">
        <f t="shared" ref="D2305:D2368" si="45">A2305</f>
        <v>KAZINGA</v>
      </c>
      <c r="F2305" s="68">
        <v>1406</v>
      </c>
    </row>
    <row r="2306" spans="1:6">
      <c r="A2306" s="68" t="s">
        <v>2958</v>
      </c>
      <c r="D2306" s="68" t="str">
        <f t="shared" si="45"/>
        <v>Kaziga</v>
      </c>
      <c r="F2306" s="68">
        <v>1406</v>
      </c>
    </row>
    <row r="2307" spans="1:6">
      <c r="A2307" s="68" t="s">
        <v>2959</v>
      </c>
      <c r="D2307" s="68" t="str">
        <f t="shared" si="45"/>
        <v>WORSHIP HOUSE</v>
      </c>
      <c r="F2307" s="68">
        <v>1406</v>
      </c>
    </row>
    <row r="2308" spans="1:6">
      <c r="A2308" s="68" t="s">
        <v>2960</v>
      </c>
      <c r="D2308" s="68" t="str">
        <f t="shared" si="45"/>
        <v>MASITOWA</v>
      </c>
      <c r="F2308" s="68">
        <v>1406</v>
      </c>
    </row>
    <row r="2309" spans="1:6">
      <c r="A2309" s="68" t="s">
        <v>2961</v>
      </c>
      <c r="D2309" s="68" t="str">
        <f t="shared" si="45"/>
        <v>Kabumbi</v>
      </c>
      <c r="F2309" s="68">
        <v>1406</v>
      </c>
    </row>
    <row r="2310" spans="1:6">
      <c r="A2310" s="68" t="s">
        <v>2962</v>
      </c>
      <c r="D2310" s="68" t="str">
        <f t="shared" si="45"/>
        <v>Kabulenga</v>
      </c>
      <c r="F2310" s="68">
        <v>1406</v>
      </c>
    </row>
    <row r="2311" spans="1:6">
      <c r="A2311" s="68" t="s">
        <v>2963</v>
      </c>
      <c r="D2311" s="68" t="str">
        <f t="shared" si="45"/>
        <v>Kabulengwa</v>
      </c>
      <c r="F2311" s="68">
        <v>1406</v>
      </c>
    </row>
    <row r="2312" spans="1:6">
      <c r="A2312" s="68" t="s">
        <v>2964</v>
      </c>
      <c r="D2312" s="68" t="str">
        <f t="shared" si="45"/>
        <v>Naluvule</v>
      </c>
      <c r="F2312" s="68">
        <v>1406</v>
      </c>
    </row>
    <row r="2313" spans="1:6">
      <c r="A2313" s="68" t="s">
        <v>2965</v>
      </c>
      <c r="D2313" s="68" t="str">
        <f t="shared" si="45"/>
        <v>Yesu amala</v>
      </c>
      <c r="F2313" s="68">
        <v>1406</v>
      </c>
    </row>
    <row r="2314" spans="1:6">
      <c r="A2314" s="68" t="s">
        <v>2966</v>
      </c>
      <c r="D2314" s="68" t="str">
        <f t="shared" si="45"/>
        <v>Namuseera</v>
      </c>
      <c r="F2314" s="68">
        <v>1406</v>
      </c>
    </row>
    <row r="2315" spans="1:6">
      <c r="A2315" s="68" t="s">
        <v>2967</v>
      </c>
      <c r="D2315" s="68" t="str">
        <f t="shared" si="45"/>
        <v>YESSU AMALA</v>
      </c>
      <c r="F2315" s="68">
        <v>1406</v>
      </c>
    </row>
    <row r="2316" spans="1:6">
      <c r="A2316" s="68" t="s">
        <v>2968</v>
      </c>
      <c r="D2316" s="68" t="str">
        <f t="shared" si="45"/>
        <v>Ssemakula</v>
      </c>
      <c r="F2316" s="68">
        <v>1406</v>
      </c>
    </row>
    <row r="2317" spans="1:6">
      <c r="A2317" s="68" t="s">
        <v>2969</v>
      </c>
      <c r="D2317" s="68" t="str">
        <f t="shared" si="45"/>
        <v>MAGERE</v>
      </c>
      <c r="F2317" s="68">
        <v>1406</v>
      </c>
    </row>
    <row r="2318" spans="1:6">
      <c r="A2318" s="68" t="s">
        <v>2970</v>
      </c>
      <c r="D2318" s="68" t="str">
        <f t="shared" si="45"/>
        <v>Nasana</v>
      </c>
      <c r="F2318" s="68">
        <v>1406</v>
      </c>
    </row>
    <row r="2319" spans="1:6">
      <c r="A2319" s="68" t="s">
        <v>2971</v>
      </c>
      <c r="B2319" s="68" t="s">
        <v>2774</v>
      </c>
      <c r="C2319" s="68" t="s">
        <v>2775</v>
      </c>
      <c r="D2319" s="68" t="str">
        <f t="shared" si="45"/>
        <v>Ndejje</v>
      </c>
      <c r="F2319" s="68">
        <v>1407</v>
      </c>
    </row>
    <row r="2320" spans="1:6">
      <c r="A2320" s="68" t="s">
        <v>2972</v>
      </c>
      <c r="D2320" s="68" t="str">
        <f t="shared" si="45"/>
        <v>Zanta</v>
      </c>
      <c r="F2320" s="68">
        <v>1407</v>
      </c>
    </row>
    <row r="2321" spans="1:6">
      <c r="A2321" s="68" t="s">
        <v>2973</v>
      </c>
      <c r="D2321" s="68" t="str">
        <f t="shared" si="45"/>
        <v>Ndejja</v>
      </c>
      <c r="F2321" s="68">
        <v>1407</v>
      </c>
    </row>
    <row r="2322" spans="1:6">
      <c r="A2322" s="68" t="s">
        <v>2774</v>
      </c>
      <c r="B2322" s="68" t="s">
        <v>2774</v>
      </c>
      <c r="C2322" s="68" t="s">
        <v>2778</v>
      </c>
      <c r="D2322" s="68" t="str">
        <f t="shared" si="45"/>
        <v>Wakiso</v>
      </c>
      <c r="F2322" s="68">
        <v>1408</v>
      </c>
    </row>
    <row r="2323" spans="1:6">
      <c r="A2323" s="68" t="s">
        <v>2974</v>
      </c>
      <c r="D2323" s="68" t="str">
        <f t="shared" si="45"/>
        <v>Wakiso town</v>
      </c>
      <c r="F2323" s="68">
        <v>1408</v>
      </c>
    </row>
    <row r="2324" spans="1:6">
      <c r="A2324" s="68" t="s">
        <v>2975</v>
      </c>
      <c r="D2324" s="68" t="str">
        <f t="shared" si="45"/>
        <v>KITALYA</v>
      </c>
      <c r="F2324" s="68">
        <v>1408</v>
      </c>
    </row>
    <row r="2325" spans="1:6">
      <c r="A2325" s="68" t="s">
        <v>2976</v>
      </c>
      <c r="D2325" s="68" t="str">
        <f t="shared" si="45"/>
        <v>Wakiso road</v>
      </c>
      <c r="F2325" s="68">
        <v>1408</v>
      </c>
    </row>
    <row r="2326" spans="1:6">
      <c r="A2326" s="68" t="s">
        <v>2977</v>
      </c>
      <c r="D2326" s="68" t="str">
        <f t="shared" si="45"/>
        <v>kavumba</v>
      </c>
      <c r="F2326" s="68">
        <v>1408</v>
      </c>
    </row>
    <row r="2327" spans="1:6">
      <c r="A2327" s="68" t="s">
        <v>2978</v>
      </c>
      <c r="D2327" s="68" t="str">
        <f t="shared" si="45"/>
        <v>Watuba</v>
      </c>
      <c r="F2327" s="68">
        <v>1408</v>
      </c>
    </row>
    <row r="2328" spans="1:6">
      <c r="A2328" s="68" t="s">
        <v>2979</v>
      </c>
      <c r="D2328" s="68" t="str">
        <f t="shared" si="45"/>
        <v>Kitagobwa</v>
      </c>
      <c r="F2328" s="68">
        <v>1408</v>
      </c>
    </row>
    <row r="2329" spans="1:6">
      <c r="A2329" s="68" t="s">
        <v>2980</v>
      </c>
      <c r="D2329" s="68" t="str">
        <f t="shared" si="45"/>
        <v>NAKANAKU</v>
      </c>
      <c r="F2329" s="68">
        <v>1408</v>
      </c>
    </row>
    <row r="2330" spans="1:6">
      <c r="A2330" s="68" t="s">
        <v>2981</v>
      </c>
      <c r="D2330" s="68" t="str">
        <f t="shared" si="45"/>
        <v>KITEGOBWA</v>
      </c>
      <c r="F2330" s="68">
        <v>1408</v>
      </c>
    </row>
    <row r="2331" spans="1:6">
      <c r="A2331" s="68" t="s">
        <v>2982</v>
      </c>
      <c r="D2331" s="68" t="str">
        <f t="shared" si="45"/>
        <v>KITEGOMWA</v>
      </c>
      <c r="F2331" s="68">
        <v>1408</v>
      </c>
    </row>
    <row r="2332" spans="1:6">
      <c r="A2332" s="68" t="s">
        <v>2983</v>
      </c>
      <c r="D2332" s="68" t="str">
        <f t="shared" si="45"/>
        <v>KITEGAMBA</v>
      </c>
      <c r="F2332" s="68">
        <v>1408</v>
      </c>
    </row>
    <row r="2333" spans="1:6">
      <c r="A2333" s="68" t="s">
        <v>2984</v>
      </c>
      <c r="D2333" s="68" t="str">
        <f t="shared" si="45"/>
        <v>KITEGOMA</v>
      </c>
      <c r="F2333" s="68">
        <v>1408</v>
      </c>
    </row>
    <row r="2334" spans="1:6">
      <c r="A2334" s="68" t="s">
        <v>2985</v>
      </c>
      <c r="D2334" s="68" t="str">
        <f t="shared" si="45"/>
        <v>MPUNGA</v>
      </c>
      <c r="F2334" s="68">
        <v>1408</v>
      </c>
    </row>
    <row r="2335" spans="1:6">
      <c r="A2335" s="68" t="s">
        <v>2986</v>
      </c>
      <c r="D2335" s="68" t="str">
        <f t="shared" si="45"/>
        <v>KISIMBIRI</v>
      </c>
      <c r="F2335" s="68">
        <v>1408</v>
      </c>
    </row>
    <row r="2336" spans="1:6">
      <c r="A2336" s="68" t="s">
        <v>2987</v>
      </c>
      <c r="D2336" s="68" t="str">
        <f t="shared" si="45"/>
        <v>Mbuga</v>
      </c>
      <c r="F2336" s="68">
        <v>1408</v>
      </c>
    </row>
    <row r="2337" spans="1:6">
      <c r="A2337" s="68" t="s">
        <v>2988</v>
      </c>
      <c r="D2337" s="68" t="str">
        <f t="shared" si="45"/>
        <v>NAMUSERA</v>
      </c>
      <c r="F2337" s="68">
        <v>1408</v>
      </c>
    </row>
    <row r="2338" spans="1:6">
      <c r="A2338" s="68" t="s">
        <v>2989</v>
      </c>
      <c r="D2338" s="68" t="str">
        <f t="shared" si="45"/>
        <v>NKOOWE</v>
      </c>
      <c r="F2338" s="68">
        <v>1408</v>
      </c>
    </row>
    <row r="2339" spans="1:6">
      <c r="A2339" s="68" t="s">
        <v>2990</v>
      </c>
      <c r="D2339" s="68" t="str">
        <f t="shared" si="45"/>
        <v>Entebbe road</v>
      </c>
      <c r="F2339" s="68">
        <v>1408</v>
      </c>
    </row>
    <row r="2340" spans="1:6">
      <c r="A2340" s="68" t="s">
        <v>2991</v>
      </c>
      <c r="B2340" s="68" t="s">
        <v>2774</v>
      </c>
      <c r="C2340" s="68" t="s">
        <v>2778</v>
      </c>
      <c r="D2340" s="68" t="str">
        <f t="shared" si="45"/>
        <v>Bulenga</v>
      </c>
      <c r="F2340" s="68">
        <v>1408</v>
      </c>
    </row>
    <row r="2341" spans="1:6">
      <c r="A2341" s="68" t="s">
        <v>2992</v>
      </c>
      <c r="D2341" s="68" t="str">
        <f t="shared" si="45"/>
        <v>Nankuwadde</v>
      </c>
      <c r="F2341" s="68">
        <v>1408</v>
      </c>
    </row>
    <row r="2342" spans="1:6">
      <c r="A2342" s="68" t="s">
        <v>2993</v>
      </c>
      <c r="D2342" s="68" t="str">
        <f t="shared" si="45"/>
        <v>NANKUWADE</v>
      </c>
      <c r="F2342" s="68">
        <v>1408</v>
      </c>
    </row>
    <row r="2343" spans="1:6">
      <c r="A2343" s="68" t="s">
        <v>2994</v>
      </c>
      <c r="D2343" s="68" t="str">
        <f t="shared" si="45"/>
        <v>NAKUWADDE</v>
      </c>
      <c r="F2343" s="68">
        <v>1408</v>
      </c>
    </row>
    <row r="2344" spans="1:6">
      <c r="A2344" s="68" t="s">
        <v>2995</v>
      </c>
      <c r="D2344" s="68" t="str">
        <f t="shared" si="45"/>
        <v>Nakuwade</v>
      </c>
      <c r="F2344" s="68">
        <v>1408</v>
      </c>
    </row>
    <row r="2345" spans="1:6">
      <c r="A2345" s="68" t="s">
        <v>2996</v>
      </c>
      <c r="D2345" s="68" t="str">
        <f t="shared" si="45"/>
        <v>Bira</v>
      </c>
      <c r="F2345" s="68">
        <v>1408</v>
      </c>
    </row>
    <row r="2346" spans="1:6">
      <c r="A2346" s="68" t="s">
        <v>2997</v>
      </c>
      <c r="D2346" s="68" t="str">
        <f t="shared" si="45"/>
        <v>Mbira</v>
      </c>
      <c r="F2346" s="68">
        <v>1408</v>
      </c>
    </row>
    <row r="2347" spans="1:6">
      <c r="A2347" s="68" t="s">
        <v>2998</v>
      </c>
      <c r="D2347" s="68" t="str">
        <f t="shared" si="45"/>
        <v>Bbira</v>
      </c>
      <c r="F2347" s="68">
        <v>1408</v>
      </c>
    </row>
    <row r="2348" spans="1:6">
      <c r="A2348" s="68" t="s">
        <v>2999</v>
      </c>
      <c r="D2348" s="68" t="str">
        <f t="shared" si="45"/>
        <v>Biira</v>
      </c>
      <c r="F2348" s="68">
        <v>1408</v>
      </c>
    </row>
    <row r="2349" spans="1:6">
      <c r="A2349" s="68" t="s">
        <v>3000</v>
      </c>
      <c r="B2349" s="68" t="s">
        <v>2774</v>
      </c>
      <c r="C2349" s="68" t="s">
        <v>2778</v>
      </c>
      <c r="D2349" s="68" t="str">
        <f t="shared" si="45"/>
        <v>Buloba</v>
      </c>
      <c r="F2349" s="68">
        <v>1408</v>
      </c>
    </row>
    <row r="2350" spans="1:6">
      <c r="A2350" s="68" t="s">
        <v>3001</v>
      </c>
      <c r="D2350" s="68" t="str">
        <f t="shared" si="45"/>
        <v xml:space="preserve">BULOBA </v>
      </c>
      <c r="F2350" s="68">
        <v>1408</v>
      </c>
    </row>
    <row r="2351" spans="1:6">
      <c r="A2351" s="68" t="s">
        <v>3002</v>
      </c>
      <c r="D2351" s="68" t="str">
        <f t="shared" si="45"/>
        <v>Bujuko</v>
      </c>
      <c r="F2351" s="68">
        <v>1408</v>
      </c>
    </row>
    <row r="2352" spans="1:6">
      <c r="A2352" s="68" t="s">
        <v>3003</v>
      </c>
      <c r="D2352" s="68" t="str">
        <f t="shared" si="45"/>
        <v>Bujuuko</v>
      </c>
      <c r="F2352" s="68">
        <v>1408</v>
      </c>
    </row>
    <row r="2353" spans="1:6">
      <c r="A2353" s="68" t="s">
        <v>3004</v>
      </c>
      <c r="D2353" s="68" t="str">
        <f t="shared" si="45"/>
        <v>BUJJUKO</v>
      </c>
      <c r="F2353" s="68">
        <v>1408</v>
      </c>
    </row>
    <row r="2354" spans="1:6">
      <c r="A2354" s="68" t="s">
        <v>3005</v>
      </c>
      <c r="D2354" s="68" t="str">
        <f t="shared" si="45"/>
        <v>Kisamula</v>
      </c>
      <c r="F2354" s="68">
        <v>1408</v>
      </c>
    </row>
    <row r="2355" spans="1:6">
      <c r="A2355" s="68" t="s">
        <v>3006</v>
      </c>
      <c r="B2355" s="68" t="s">
        <v>2774</v>
      </c>
      <c r="C2355" s="68" t="s">
        <v>2778</v>
      </c>
      <c r="D2355" s="68" t="str">
        <f t="shared" si="45"/>
        <v>Wakiso Town Council</v>
      </c>
      <c r="F2355" s="68">
        <v>1409</v>
      </c>
    </row>
    <row r="2356" spans="1:6">
      <c r="A2356" s="68" t="s">
        <v>3007</v>
      </c>
      <c r="D2356" s="68" t="str">
        <f t="shared" si="45"/>
        <v xml:space="preserve">Wakiso town  </v>
      </c>
      <c r="F2356" s="68">
        <v>1409</v>
      </c>
    </row>
    <row r="2357" spans="1:6">
      <c r="A2357" s="68" t="s">
        <v>3008</v>
      </c>
      <c r="B2357" s="68" t="s">
        <v>3009</v>
      </c>
      <c r="C2357" s="68" t="s">
        <v>3010</v>
      </c>
      <c r="D2357" s="68" t="str">
        <f t="shared" si="45"/>
        <v>Apo</v>
      </c>
      <c r="F2357" s="68">
        <v>1410</v>
      </c>
    </row>
    <row r="2358" spans="1:6">
      <c r="A2358" s="68" t="s">
        <v>3011</v>
      </c>
      <c r="B2358" s="68" t="s">
        <v>3009</v>
      </c>
      <c r="C2358" s="68" t="s">
        <v>3010</v>
      </c>
      <c r="D2358" s="68" t="str">
        <f t="shared" si="45"/>
        <v>Ariwa</v>
      </c>
      <c r="F2358" s="68">
        <v>1411</v>
      </c>
    </row>
    <row r="2359" spans="1:6">
      <c r="A2359" s="68" t="s">
        <v>3012</v>
      </c>
      <c r="B2359" s="68" t="s">
        <v>3009</v>
      </c>
      <c r="C2359" s="68" t="s">
        <v>3010</v>
      </c>
      <c r="D2359" s="68" t="str">
        <f t="shared" si="45"/>
        <v>Drajini</v>
      </c>
      <c r="F2359" s="68">
        <v>1412</v>
      </c>
    </row>
    <row r="2360" spans="1:6">
      <c r="A2360" s="68" t="s">
        <v>3013</v>
      </c>
      <c r="B2360" s="68" t="s">
        <v>3009</v>
      </c>
      <c r="C2360" s="68" t="s">
        <v>3010</v>
      </c>
      <c r="D2360" s="68" t="str">
        <f t="shared" si="45"/>
        <v>Kei</v>
      </c>
      <c r="F2360" s="68">
        <v>1413</v>
      </c>
    </row>
    <row r="2361" spans="1:6">
      <c r="A2361" s="68" t="s">
        <v>3014</v>
      </c>
      <c r="B2361" s="68" t="s">
        <v>3009</v>
      </c>
      <c r="C2361" s="68" t="s">
        <v>3010</v>
      </c>
      <c r="D2361" s="68" t="str">
        <f t="shared" si="45"/>
        <v>Kerwa</v>
      </c>
      <c r="F2361" s="68">
        <v>1414</v>
      </c>
    </row>
    <row r="2362" spans="1:6">
      <c r="A2362" s="68" t="s">
        <v>3015</v>
      </c>
      <c r="B2362" s="68" t="s">
        <v>3009</v>
      </c>
      <c r="C2362" s="68" t="s">
        <v>3010</v>
      </c>
      <c r="D2362" s="68" t="str">
        <f t="shared" si="45"/>
        <v>Kochi</v>
      </c>
      <c r="F2362" s="68">
        <v>1415</v>
      </c>
    </row>
    <row r="2363" spans="1:6">
      <c r="A2363" s="68" t="s">
        <v>3016</v>
      </c>
      <c r="B2363" s="68" t="s">
        <v>3009</v>
      </c>
      <c r="C2363" s="68" t="s">
        <v>3010</v>
      </c>
      <c r="D2363" s="68" t="str">
        <f t="shared" si="45"/>
        <v>Kululu</v>
      </c>
      <c r="F2363" s="68">
        <v>1416</v>
      </c>
    </row>
    <row r="2364" spans="1:6">
      <c r="A2364" s="68" t="s">
        <v>3017</v>
      </c>
      <c r="B2364" s="68" t="s">
        <v>3009</v>
      </c>
      <c r="C2364" s="68" t="s">
        <v>3010</v>
      </c>
      <c r="D2364" s="68" t="str">
        <f t="shared" si="45"/>
        <v>Kuru</v>
      </c>
      <c r="F2364" s="68">
        <v>1417</v>
      </c>
    </row>
    <row r="2365" spans="1:6">
      <c r="A2365" s="68" t="s">
        <v>3018</v>
      </c>
      <c r="B2365" s="68" t="s">
        <v>3009</v>
      </c>
      <c r="C2365" s="68" t="s">
        <v>3010</v>
      </c>
      <c r="D2365" s="68" t="str">
        <f t="shared" si="45"/>
        <v>Lodonga</v>
      </c>
      <c r="F2365" s="68">
        <v>1418</v>
      </c>
    </row>
    <row r="2366" spans="1:6">
      <c r="A2366" s="68" t="s">
        <v>3019</v>
      </c>
      <c r="B2366" s="68" t="s">
        <v>3009</v>
      </c>
      <c r="C2366" s="68" t="s">
        <v>3010</v>
      </c>
      <c r="D2366" s="68" t="str">
        <f t="shared" si="45"/>
        <v>Midigo</v>
      </c>
      <c r="F2366" s="68">
        <v>1419</v>
      </c>
    </row>
    <row r="2367" spans="1:6">
      <c r="A2367" s="68" t="s">
        <v>3020</v>
      </c>
      <c r="B2367" s="68" t="s">
        <v>3009</v>
      </c>
      <c r="C2367" s="68" t="s">
        <v>3010</v>
      </c>
      <c r="D2367" s="68" t="str">
        <f t="shared" si="45"/>
        <v>Odravu</v>
      </c>
      <c r="F2367" s="68">
        <v>1420</v>
      </c>
    </row>
    <row r="2368" spans="1:6">
      <c r="A2368" s="68" t="s">
        <v>3021</v>
      </c>
      <c r="B2368" s="68" t="s">
        <v>3009</v>
      </c>
      <c r="C2368" s="68" t="s">
        <v>3010</v>
      </c>
      <c r="D2368" s="68" t="str">
        <f t="shared" si="45"/>
        <v>Romogi</v>
      </c>
      <c r="F2368" s="68">
        <v>1421</v>
      </c>
    </row>
    <row r="2369" spans="1:6">
      <c r="A2369" s="68" t="s">
        <v>3022</v>
      </c>
      <c r="B2369" s="68" t="s">
        <v>3009</v>
      </c>
      <c r="C2369" s="68" t="s">
        <v>3010</v>
      </c>
      <c r="D2369" s="68" t="str">
        <f t="shared" ref="D2369:D2415" si="46">A2369</f>
        <v>Yumbe Town Council</v>
      </c>
      <c r="F2369" s="68">
        <v>1422</v>
      </c>
    </row>
    <row r="2370" spans="1:6">
      <c r="A2370" s="68" t="s">
        <v>3009</v>
      </c>
      <c r="D2370" s="68" t="str">
        <f t="shared" si="46"/>
        <v>Yumbe</v>
      </c>
      <c r="F2370" s="68">
        <v>1422</v>
      </c>
    </row>
    <row r="2371" spans="1:6">
      <c r="A2371" s="68" t="s">
        <v>3023</v>
      </c>
      <c r="B2371" s="68" t="s">
        <v>3024</v>
      </c>
      <c r="C2371" s="68" t="s">
        <v>3025</v>
      </c>
      <c r="D2371" s="68" t="str">
        <f t="shared" si="46"/>
        <v>Abanga</v>
      </c>
      <c r="F2371" s="68">
        <v>1423</v>
      </c>
    </row>
    <row r="2372" spans="1:6">
      <c r="A2372" s="68" t="s">
        <v>3026</v>
      </c>
      <c r="B2372" s="68" t="s">
        <v>3024</v>
      </c>
      <c r="C2372" s="68" t="s">
        <v>3025</v>
      </c>
      <c r="D2372" s="68" t="str">
        <f t="shared" si="46"/>
        <v>Atyak</v>
      </c>
      <c r="F2372" s="68">
        <v>1424</v>
      </c>
    </row>
    <row r="2373" spans="1:6">
      <c r="A2373" s="68" t="s">
        <v>3027</v>
      </c>
      <c r="B2373" s="68" t="s">
        <v>3024</v>
      </c>
      <c r="C2373" s="68" t="s">
        <v>3025</v>
      </c>
      <c r="D2373" s="68" t="str">
        <f t="shared" si="46"/>
        <v>Jangokoro</v>
      </c>
      <c r="F2373" s="68">
        <v>1425</v>
      </c>
    </row>
    <row r="2374" spans="1:6">
      <c r="A2374" s="68" t="s">
        <v>3028</v>
      </c>
      <c r="B2374" s="68" t="s">
        <v>3024</v>
      </c>
      <c r="C2374" s="68" t="s">
        <v>3025</v>
      </c>
      <c r="D2374" s="68" t="str">
        <f t="shared" si="46"/>
        <v>Kango</v>
      </c>
      <c r="F2374" s="68">
        <v>1426</v>
      </c>
    </row>
    <row r="2375" spans="1:6">
      <c r="A2375" s="68" t="s">
        <v>3029</v>
      </c>
      <c r="B2375" s="68" t="s">
        <v>3024</v>
      </c>
      <c r="C2375" s="68" t="s">
        <v>3025</v>
      </c>
      <c r="D2375" s="68" t="str">
        <f t="shared" si="46"/>
        <v>Nyapea</v>
      </c>
      <c r="F2375" s="68">
        <v>1427</v>
      </c>
    </row>
    <row r="2376" spans="1:6">
      <c r="A2376" s="68" t="s">
        <v>3030</v>
      </c>
      <c r="B2376" s="68" t="s">
        <v>3024</v>
      </c>
      <c r="C2376" s="68" t="s">
        <v>3025</v>
      </c>
      <c r="D2376" s="68" t="str">
        <f t="shared" si="46"/>
        <v>Paidha</v>
      </c>
      <c r="F2376" s="68">
        <v>1428</v>
      </c>
    </row>
    <row r="2377" spans="1:6">
      <c r="A2377" s="68" t="s">
        <v>3031</v>
      </c>
      <c r="B2377" s="68" t="s">
        <v>3024</v>
      </c>
      <c r="C2377" s="68" t="s">
        <v>3025</v>
      </c>
      <c r="D2377" s="68" t="str">
        <f t="shared" si="46"/>
        <v>Paidha Town Council</v>
      </c>
      <c r="F2377" s="68">
        <v>1429</v>
      </c>
    </row>
    <row r="2378" spans="1:6">
      <c r="A2378" s="68" t="s">
        <v>3032</v>
      </c>
      <c r="B2378" s="68" t="s">
        <v>3024</v>
      </c>
      <c r="C2378" s="68" t="s">
        <v>3025</v>
      </c>
      <c r="D2378" s="68" t="str">
        <f t="shared" si="46"/>
        <v>Warr</v>
      </c>
      <c r="F2378" s="68">
        <v>1430</v>
      </c>
    </row>
    <row r="2379" spans="1:6">
      <c r="A2379" s="68" t="s">
        <v>3033</v>
      </c>
      <c r="B2379" s="68" t="s">
        <v>3024</v>
      </c>
      <c r="C2379" s="68" t="s">
        <v>3025</v>
      </c>
      <c r="D2379" s="68" t="str">
        <f t="shared" si="46"/>
        <v>Zeu</v>
      </c>
      <c r="F2379" s="68">
        <v>1431</v>
      </c>
    </row>
    <row r="2380" spans="1:6">
      <c r="A2380" s="68" t="s">
        <v>3034</v>
      </c>
      <c r="B2380" s="68" t="s">
        <v>3024</v>
      </c>
      <c r="C2380" s="68" t="s">
        <v>3025</v>
      </c>
      <c r="D2380" s="68" t="str">
        <f t="shared" si="46"/>
        <v>Zombo Town Council</v>
      </c>
      <c r="F2380" s="68">
        <v>1432</v>
      </c>
    </row>
    <row r="2381" spans="1:6">
      <c r="A2381" s="86" t="s">
        <v>3035</v>
      </c>
      <c r="B2381" s="86"/>
      <c r="C2381" s="86"/>
      <c r="D2381" s="86"/>
      <c r="E2381" s="86"/>
      <c r="F2381" s="86"/>
    </row>
    <row r="2382" spans="1:6">
      <c r="A2382" s="68" t="s">
        <v>3036</v>
      </c>
      <c r="B2382" s="68" t="s">
        <v>50</v>
      </c>
      <c r="C2382" s="68" t="s">
        <v>2751</v>
      </c>
      <c r="D2382" s="68" t="str">
        <f t="shared" si="46"/>
        <v xml:space="preserve">Malaba </v>
      </c>
      <c r="F2382" s="68">
        <v>1433</v>
      </c>
    </row>
    <row r="2383" spans="1:6">
      <c r="A2383" s="68" t="s">
        <v>50</v>
      </c>
      <c r="D2383" s="68" t="str">
        <f t="shared" si="46"/>
        <v>Kenya</v>
      </c>
      <c r="F2383" s="68">
        <v>1433</v>
      </c>
    </row>
    <row r="2384" spans="1:6">
      <c r="A2384" s="68" t="s">
        <v>947</v>
      </c>
      <c r="B2384" s="68" t="s">
        <v>50</v>
      </c>
      <c r="C2384" s="68" t="s">
        <v>947</v>
      </c>
      <c r="D2384" s="68" t="str">
        <f t="shared" si="46"/>
        <v>Busia</v>
      </c>
      <c r="F2384" s="68">
        <v>1434</v>
      </c>
    </row>
    <row r="2385" spans="1:6">
      <c r="A2385" s="68" t="s">
        <v>3037</v>
      </c>
      <c r="D2385" s="68" t="str">
        <f t="shared" si="46"/>
        <v>Nairobi</v>
      </c>
      <c r="F2385" s="68">
        <v>1434</v>
      </c>
    </row>
    <row r="2386" spans="1:6">
      <c r="A2386" s="68" t="s">
        <v>3038</v>
      </c>
      <c r="D2386" s="68" t="str">
        <f t="shared" si="46"/>
        <v>Mombasa</v>
      </c>
      <c r="F2386" s="68">
        <v>1434</v>
      </c>
    </row>
    <row r="2387" spans="1:6">
      <c r="A2387" s="68" t="s">
        <v>3039</v>
      </c>
      <c r="B2387" s="68" t="s">
        <v>53</v>
      </c>
      <c r="C2387" s="68" t="s">
        <v>2074</v>
      </c>
      <c r="D2387" s="68" t="str">
        <f t="shared" si="46"/>
        <v>Mutukula</v>
      </c>
      <c r="F2387" s="68">
        <v>1435</v>
      </c>
    </row>
    <row r="2388" spans="1:6">
      <c r="A2388" s="68" t="s">
        <v>53</v>
      </c>
      <c r="D2388" s="68" t="str">
        <f t="shared" si="46"/>
        <v>Tanzania</v>
      </c>
      <c r="F2388" s="68">
        <v>1435</v>
      </c>
    </row>
    <row r="2389" spans="1:6">
      <c r="A2389" s="68" t="s">
        <v>178</v>
      </c>
      <c r="D2389" s="68" t="str">
        <f t="shared" si="46"/>
        <v>TANZANIA TOWN</v>
      </c>
      <c r="F2389" s="68">
        <v>1435</v>
      </c>
    </row>
    <row r="2390" spans="1:6">
      <c r="A2390" s="68" t="s">
        <v>385</v>
      </c>
      <c r="D2390" s="68" t="str">
        <f t="shared" si="46"/>
        <v>KYERWA TOWN</v>
      </c>
      <c r="F2390" s="68">
        <v>1435</v>
      </c>
    </row>
    <row r="2391" spans="1:6">
      <c r="A2391" s="68" t="s">
        <v>3040</v>
      </c>
      <c r="D2391" s="68" t="str">
        <f t="shared" si="46"/>
        <v>Karegwe</v>
      </c>
      <c r="F2391" s="68">
        <v>1435</v>
      </c>
    </row>
    <row r="2392" spans="1:6">
      <c r="A2392" s="68" t="s">
        <v>3041</v>
      </c>
      <c r="B2392" s="68" t="s">
        <v>42</v>
      </c>
      <c r="C2392" s="68" t="s">
        <v>1148</v>
      </c>
      <c r="D2392" s="68" t="str">
        <f t="shared" si="46"/>
        <v>Katuna</v>
      </c>
      <c r="F2392" s="68">
        <v>1436</v>
      </c>
    </row>
    <row r="2393" spans="1:6">
      <c r="A2393" s="68" t="s">
        <v>3042</v>
      </c>
      <c r="D2393" s="68" t="str">
        <f t="shared" si="46"/>
        <v>Manzi</v>
      </c>
      <c r="F2393" s="68">
        <v>1436</v>
      </c>
    </row>
    <row r="2394" spans="1:6">
      <c r="A2394" s="68" t="s">
        <v>3043</v>
      </c>
      <c r="B2394" s="68" t="s">
        <v>42</v>
      </c>
      <c r="C2394" s="68" t="s">
        <v>1940</v>
      </c>
      <c r="D2394" s="68" t="str">
        <f t="shared" si="46"/>
        <v>Cyanika</v>
      </c>
      <c r="F2394" s="68">
        <v>1437</v>
      </c>
    </row>
    <row r="2395" spans="1:6">
      <c r="A2395" s="68" t="s">
        <v>3044</v>
      </c>
      <c r="B2395" s="68" t="s">
        <v>3045</v>
      </c>
      <c r="C2395" s="68" t="s">
        <v>1940</v>
      </c>
      <c r="D2395" s="68" t="str">
        <f t="shared" si="46"/>
        <v>Bunagana</v>
      </c>
      <c r="F2395" s="68">
        <v>1438</v>
      </c>
    </row>
    <row r="2396" spans="1:6">
      <c r="A2396" s="68" t="s">
        <v>44</v>
      </c>
      <c r="D2396" s="68" t="str">
        <f t="shared" si="46"/>
        <v>Congo</v>
      </c>
      <c r="F2396" s="68">
        <v>1438</v>
      </c>
    </row>
    <row r="2397" spans="1:6">
      <c r="A2397" s="68" t="s">
        <v>3046</v>
      </c>
      <c r="D2397" s="68" t="str">
        <f t="shared" si="46"/>
        <v>Goma</v>
      </c>
      <c r="F2397" s="68">
        <v>1438</v>
      </c>
    </row>
    <row r="2398" spans="1:6">
      <c r="A2398" s="68" t="s">
        <v>54</v>
      </c>
      <c r="B2398" s="68" t="s">
        <v>3045</v>
      </c>
      <c r="C2398" s="68" t="s">
        <v>1779</v>
      </c>
      <c r="D2398" s="68" t="str">
        <f t="shared" si="46"/>
        <v>Ishasha</v>
      </c>
      <c r="F2398" s="68">
        <v>1439</v>
      </c>
    </row>
    <row r="2399" spans="1:6">
      <c r="A2399" s="68" t="s">
        <v>345</v>
      </c>
      <c r="D2399" s="68" t="str">
        <f t="shared" si="46"/>
        <v>RWENZIRINGIRO</v>
      </c>
      <c r="F2399" s="68">
        <v>1439</v>
      </c>
    </row>
    <row r="2400" spans="1:6">
      <c r="A2400" s="68" t="s">
        <v>3047</v>
      </c>
      <c r="D2400" s="68" t="str">
        <f t="shared" si="46"/>
        <v>Busumba</v>
      </c>
      <c r="F2400" s="68">
        <v>1439</v>
      </c>
    </row>
    <row r="2401" spans="1:7">
      <c r="A2401" s="68" t="s">
        <v>3048</v>
      </c>
      <c r="B2401" s="68" t="s">
        <v>3045</v>
      </c>
      <c r="C2401" s="68" t="s">
        <v>3049</v>
      </c>
      <c r="D2401" s="68" t="str">
        <f t="shared" si="46"/>
        <v>Mpondwe</v>
      </c>
      <c r="F2401" s="68">
        <v>1440</v>
      </c>
    </row>
    <row r="2402" spans="1:7">
      <c r="A2402" s="68" t="s">
        <v>3050</v>
      </c>
      <c r="B2402" s="68" t="s">
        <v>3045</v>
      </c>
      <c r="C2402" s="68" t="s">
        <v>3051</v>
      </c>
      <c r="D2402" s="68" t="str">
        <f t="shared" si="46"/>
        <v>Goli</v>
      </c>
      <c r="F2402" s="68">
        <v>1441</v>
      </c>
    </row>
    <row r="2403" spans="1:7">
      <c r="A2403" s="68" t="s">
        <v>3052</v>
      </c>
      <c r="B2403" s="68" t="s">
        <v>3053</v>
      </c>
      <c r="C2403" s="68" t="s">
        <v>723</v>
      </c>
      <c r="D2403" s="68" t="str">
        <f t="shared" si="46"/>
        <v>Elegu</v>
      </c>
      <c r="F2403" s="68">
        <v>1443</v>
      </c>
    </row>
    <row r="2404" spans="1:7">
      <c r="A2404" s="68" t="s">
        <v>3054</v>
      </c>
      <c r="D2404" s="68" t="str">
        <f t="shared" si="46"/>
        <v>Juba</v>
      </c>
      <c r="F2404" s="68">
        <v>1443</v>
      </c>
    </row>
    <row r="2405" spans="1:7">
      <c r="A2405" s="68" t="s">
        <v>3055</v>
      </c>
      <c r="D2405" s="68" t="str">
        <f t="shared" si="46"/>
        <v>Sudan</v>
      </c>
      <c r="F2405" s="68">
        <v>1443</v>
      </c>
    </row>
    <row r="2406" spans="1:7">
      <c r="A2406" s="68" t="s">
        <v>3056</v>
      </c>
      <c r="B2406" s="68" t="s">
        <v>3053</v>
      </c>
      <c r="C2406" s="68" t="s">
        <v>723</v>
      </c>
      <c r="D2406" s="68" t="str">
        <f t="shared" si="46"/>
        <v>Nimule</v>
      </c>
      <c r="F2406" s="68">
        <v>1443</v>
      </c>
    </row>
    <row r="2407" spans="1:7">
      <c r="A2407" s="68" t="s">
        <v>3057</v>
      </c>
      <c r="B2407" s="68" t="s">
        <v>42</v>
      </c>
      <c r="C2407" s="68" t="s">
        <v>3058</v>
      </c>
      <c r="D2407" s="68" t="str">
        <f t="shared" si="46"/>
        <v>Mirama Hills</v>
      </c>
      <c r="F2407" s="68">
        <v>1444</v>
      </c>
    </row>
    <row r="2408" spans="1:7">
      <c r="A2408" s="68" t="s">
        <v>3059</v>
      </c>
      <c r="B2408" s="68" t="s">
        <v>3053</v>
      </c>
      <c r="C2408" s="68" t="s">
        <v>1969</v>
      </c>
      <c r="D2408" s="68" t="str">
        <f t="shared" si="46"/>
        <v>Oraba</v>
      </c>
      <c r="F2408" s="68">
        <v>1445</v>
      </c>
    </row>
    <row r="2409" spans="1:7">
      <c r="A2409" s="68" t="s">
        <v>3060</v>
      </c>
      <c r="B2409" s="68" t="s">
        <v>3045</v>
      </c>
      <c r="C2409" s="68" t="s">
        <v>3024</v>
      </c>
      <c r="D2409" s="68" t="str">
        <f t="shared" si="46"/>
        <v>Padea</v>
      </c>
      <c r="F2409" s="68">
        <v>1446</v>
      </c>
    </row>
    <row r="2410" spans="1:7">
      <c r="A2410" s="68" t="s">
        <v>3251</v>
      </c>
      <c r="D2410" s="68" t="str">
        <f t="shared" si="46"/>
        <v>Kakunga</v>
      </c>
      <c r="F2410" s="68">
        <v>1434</v>
      </c>
    </row>
    <row r="2411" spans="1:7">
      <c r="A2411" s="68" t="s">
        <v>3252</v>
      </c>
      <c r="B2411" s="68" t="s">
        <v>42</v>
      </c>
      <c r="C2411" s="68" t="s">
        <v>1148</v>
      </c>
      <c r="D2411" s="68" t="str">
        <f t="shared" si="46"/>
        <v>Burundi</v>
      </c>
      <c r="F2411" s="68">
        <v>1436</v>
      </c>
    </row>
    <row r="2412" spans="1:7">
      <c r="A2412" s="68" t="s">
        <v>42</v>
      </c>
      <c r="D2412" s="68" t="str">
        <f t="shared" si="46"/>
        <v>Rwanda</v>
      </c>
      <c r="F2412" s="68">
        <v>1436</v>
      </c>
    </row>
    <row r="2413" spans="1:7">
      <c r="A2413" s="68" t="s">
        <v>3253</v>
      </c>
      <c r="D2413" s="68" t="str">
        <f t="shared" si="46"/>
        <v>Rwahi</v>
      </c>
      <c r="F2413" s="68">
        <v>1436</v>
      </c>
    </row>
    <row r="2414" spans="1:7">
      <c r="A2414" s="68" t="s">
        <v>3254</v>
      </c>
      <c r="D2414" s="68" t="str">
        <f t="shared" si="46"/>
        <v>Kigali</v>
      </c>
      <c r="F2414" s="68">
        <v>1437</v>
      </c>
    </row>
    <row r="2415" spans="1:7">
      <c r="A2415" s="68" t="s">
        <v>3255</v>
      </c>
      <c r="D2415" s="68" t="str">
        <f t="shared" si="46"/>
        <v>Mirama</v>
      </c>
      <c r="F2415" s="68">
        <v>1444</v>
      </c>
    </row>
    <row r="2416" spans="1:7">
      <c r="A2416"/>
      <c r="B2416"/>
      <c r="C2416"/>
      <c r="D2416"/>
      <c r="E2416"/>
      <c r="F2416"/>
      <c r="G2416"/>
    </row>
    <row r="2417" spans="1:7">
      <c r="A2417"/>
      <c r="B2417"/>
      <c r="C2417"/>
      <c r="D2417"/>
      <c r="E2417"/>
      <c r="F2417"/>
      <c r="G2417"/>
    </row>
    <row r="2418" spans="1:7">
      <c r="A2418"/>
      <c r="B2418"/>
      <c r="C2418"/>
      <c r="D2418"/>
      <c r="E2418"/>
      <c r="F2418"/>
      <c r="G2418"/>
    </row>
    <row r="2419" spans="1:7">
      <c r="A2419"/>
      <c r="B2419"/>
      <c r="C2419"/>
      <c r="D2419"/>
      <c r="E2419"/>
      <c r="F2419"/>
      <c r="G2419"/>
    </row>
    <row r="2420" spans="1:7">
      <c r="A2420"/>
      <c r="B2420"/>
      <c r="C2420"/>
      <c r="D2420"/>
      <c r="E2420"/>
      <c r="F2420"/>
      <c r="G2420"/>
    </row>
    <row r="2421" spans="1:7">
      <c r="A2421"/>
      <c r="B2421"/>
      <c r="C2421"/>
      <c r="D2421"/>
      <c r="E2421"/>
      <c r="F2421"/>
      <c r="G2421"/>
    </row>
    <row r="2422" spans="1:7">
      <c r="A2422"/>
      <c r="B2422"/>
      <c r="C2422"/>
      <c r="D2422"/>
      <c r="E2422"/>
      <c r="F2422"/>
      <c r="G2422"/>
    </row>
    <row r="2423" spans="1:7">
      <c r="A2423"/>
      <c r="B2423"/>
      <c r="C2423"/>
      <c r="D2423"/>
      <c r="E2423"/>
      <c r="F2423"/>
      <c r="G2423"/>
    </row>
    <row r="2424" spans="1:7">
      <c r="A2424"/>
      <c r="B2424"/>
      <c r="C2424"/>
      <c r="D2424"/>
      <c r="E2424"/>
      <c r="F2424"/>
      <c r="G2424"/>
    </row>
    <row r="2425" spans="1:7">
      <c r="A2425"/>
      <c r="B2425"/>
      <c r="C2425"/>
      <c r="D2425"/>
      <c r="E2425"/>
      <c r="F2425"/>
      <c r="G2425"/>
    </row>
    <row r="2426" spans="1:7">
      <c r="A2426"/>
      <c r="B2426"/>
      <c r="C2426"/>
      <c r="D2426"/>
      <c r="E2426"/>
      <c r="F2426"/>
      <c r="G2426"/>
    </row>
    <row r="2427" spans="1:7">
      <c r="A2427"/>
      <c r="B2427"/>
      <c r="C2427"/>
      <c r="D2427"/>
      <c r="E2427"/>
      <c r="F2427"/>
      <c r="G2427"/>
    </row>
    <row r="2428" spans="1:7">
      <c r="A2428"/>
      <c r="B2428"/>
      <c r="C2428"/>
      <c r="D2428"/>
      <c r="E2428"/>
      <c r="F2428"/>
      <c r="G2428"/>
    </row>
    <row r="2429" spans="1:7">
      <c r="A2429"/>
      <c r="B2429"/>
      <c r="C2429"/>
      <c r="D2429"/>
      <c r="E2429"/>
      <c r="F2429"/>
      <c r="G2429"/>
    </row>
    <row r="2430" spans="1:7">
      <c r="A2430"/>
      <c r="B2430"/>
      <c r="C2430"/>
      <c r="D2430"/>
      <c r="E2430"/>
      <c r="F2430"/>
      <c r="G2430"/>
    </row>
    <row r="2431" spans="1:7">
      <c r="A2431"/>
      <c r="B2431"/>
      <c r="C2431"/>
      <c r="D2431"/>
      <c r="E2431"/>
      <c r="F2431"/>
      <c r="G2431"/>
    </row>
    <row r="2432" spans="1:7">
      <c r="A2432"/>
      <c r="B2432"/>
      <c r="C2432"/>
      <c r="D2432"/>
      <c r="E2432"/>
      <c r="F2432"/>
      <c r="G2432"/>
    </row>
    <row r="2433" spans="1:7">
      <c r="A2433"/>
      <c r="B2433"/>
      <c r="C2433"/>
      <c r="D2433"/>
      <c r="E2433"/>
      <c r="F2433"/>
      <c r="G2433"/>
    </row>
    <row r="2434" spans="1:7">
      <c r="A2434"/>
      <c r="B2434"/>
      <c r="C2434"/>
      <c r="D2434"/>
      <c r="E2434"/>
      <c r="F2434"/>
      <c r="G2434"/>
    </row>
    <row r="2435" spans="1:7">
      <c r="A2435"/>
      <c r="B2435"/>
      <c r="C2435"/>
      <c r="D2435"/>
      <c r="E2435"/>
      <c r="F2435"/>
      <c r="G2435"/>
    </row>
    <row r="2436" spans="1:7">
      <c r="A2436"/>
      <c r="B2436"/>
      <c r="C2436"/>
      <c r="D2436"/>
      <c r="E2436"/>
      <c r="F2436"/>
      <c r="G2436"/>
    </row>
    <row r="2437" spans="1:7">
      <c r="A2437"/>
      <c r="B2437"/>
      <c r="C2437"/>
      <c r="D2437"/>
      <c r="E2437"/>
      <c r="F2437"/>
      <c r="G2437"/>
    </row>
    <row r="2438" spans="1:7">
      <c r="A2438"/>
      <c r="B2438"/>
      <c r="C2438"/>
      <c r="D2438"/>
      <c r="E2438"/>
      <c r="F2438"/>
      <c r="G2438"/>
    </row>
    <row r="2439" spans="1:7">
      <c r="A2439"/>
      <c r="B2439"/>
      <c r="C2439"/>
      <c r="D2439"/>
      <c r="E2439"/>
      <c r="F2439"/>
      <c r="G2439"/>
    </row>
    <row r="2440" spans="1:7">
      <c r="A2440"/>
      <c r="B2440"/>
      <c r="C2440"/>
      <c r="D2440"/>
      <c r="E2440"/>
      <c r="F2440"/>
      <c r="G2440"/>
    </row>
    <row r="2441" spans="1:7">
      <c r="A2441"/>
      <c r="B2441"/>
      <c r="C2441"/>
      <c r="D2441"/>
      <c r="E2441"/>
      <c r="F2441"/>
      <c r="G2441"/>
    </row>
    <row r="2442" spans="1:7">
      <c r="A2442"/>
      <c r="B2442"/>
      <c r="C2442"/>
      <c r="D2442"/>
      <c r="E2442"/>
      <c r="F2442"/>
      <c r="G2442"/>
    </row>
    <row r="2443" spans="1:7">
      <c r="A2443"/>
      <c r="B2443"/>
      <c r="C2443"/>
      <c r="D2443"/>
      <c r="E2443"/>
      <c r="F2443"/>
      <c r="G2443"/>
    </row>
    <row r="2444" spans="1:7">
      <c r="A2444"/>
      <c r="B2444"/>
      <c r="C2444"/>
      <c r="D2444"/>
      <c r="E2444"/>
      <c r="F2444"/>
      <c r="G2444"/>
    </row>
    <row r="2445" spans="1:7">
      <c r="A2445"/>
      <c r="B2445"/>
      <c r="C2445"/>
      <c r="D2445"/>
      <c r="E2445"/>
      <c r="F2445"/>
      <c r="G2445"/>
    </row>
    <row r="2446" spans="1:7">
      <c r="A2446"/>
      <c r="B2446"/>
      <c r="C2446"/>
      <c r="D2446"/>
      <c r="E2446"/>
      <c r="F2446"/>
      <c r="G2446"/>
    </row>
    <row r="2447" spans="1:7">
      <c r="A2447"/>
      <c r="B2447"/>
      <c r="C2447"/>
      <c r="D2447"/>
      <c r="E2447"/>
      <c r="F2447"/>
      <c r="G2447"/>
    </row>
    <row r="2448" spans="1:7">
      <c r="A2448"/>
      <c r="B2448"/>
      <c r="C2448"/>
      <c r="D2448"/>
      <c r="E2448"/>
      <c r="F2448"/>
      <c r="G2448"/>
    </row>
    <row r="2449" spans="1:7">
      <c r="A2449"/>
      <c r="B2449"/>
      <c r="C2449"/>
      <c r="D2449"/>
      <c r="E2449"/>
      <c r="F2449"/>
      <c r="G2449"/>
    </row>
    <row r="2450" spans="1:7">
      <c r="A2450"/>
      <c r="B2450"/>
      <c r="C2450"/>
      <c r="D2450"/>
      <c r="E2450"/>
      <c r="F2450"/>
      <c r="G2450"/>
    </row>
    <row r="2451" spans="1:7">
      <c r="A2451"/>
      <c r="B2451"/>
      <c r="C2451"/>
      <c r="D2451"/>
      <c r="E2451"/>
      <c r="F2451"/>
      <c r="G2451"/>
    </row>
    <row r="2452" spans="1:7">
      <c r="A2452"/>
      <c r="B2452"/>
      <c r="C2452"/>
      <c r="D2452"/>
      <c r="E2452"/>
      <c r="F2452"/>
      <c r="G2452"/>
    </row>
    <row r="2453" spans="1:7">
      <c r="A2453"/>
      <c r="B2453"/>
      <c r="C2453"/>
      <c r="D2453"/>
      <c r="E2453"/>
      <c r="F2453"/>
      <c r="G2453"/>
    </row>
    <row r="2454" spans="1:7">
      <c r="A2454"/>
      <c r="B2454"/>
      <c r="C2454"/>
      <c r="D2454"/>
      <c r="E2454"/>
      <c r="F2454"/>
      <c r="G2454"/>
    </row>
    <row r="2455" spans="1:7">
      <c r="A2455"/>
      <c r="B2455"/>
      <c r="C2455"/>
      <c r="D2455"/>
      <c r="E2455"/>
      <c r="F2455"/>
      <c r="G2455"/>
    </row>
    <row r="2456" spans="1:7">
      <c r="A2456"/>
      <c r="B2456"/>
      <c r="C2456"/>
      <c r="D2456"/>
      <c r="E2456"/>
      <c r="F2456"/>
      <c r="G2456"/>
    </row>
    <row r="2457" spans="1:7">
      <c r="A2457"/>
      <c r="B2457"/>
      <c r="C2457"/>
      <c r="D2457"/>
      <c r="E2457"/>
      <c r="F2457"/>
      <c r="G2457"/>
    </row>
    <row r="2458" spans="1:7">
      <c r="A2458"/>
      <c r="B2458"/>
      <c r="C2458"/>
      <c r="D2458"/>
      <c r="E2458"/>
      <c r="F2458"/>
      <c r="G2458"/>
    </row>
    <row r="2459" spans="1:7">
      <c r="A2459"/>
      <c r="B2459"/>
      <c r="C2459"/>
      <c r="D2459"/>
      <c r="E2459"/>
      <c r="F2459"/>
      <c r="G2459"/>
    </row>
    <row r="2460" spans="1:7">
      <c r="A2460"/>
      <c r="B2460"/>
      <c r="C2460"/>
      <c r="D2460"/>
      <c r="E2460"/>
      <c r="F2460"/>
      <c r="G2460"/>
    </row>
    <row r="2461" spans="1:7">
      <c r="A2461"/>
      <c r="B2461"/>
      <c r="C2461"/>
      <c r="D2461"/>
      <c r="E2461"/>
      <c r="F2461"/>
      <c r="G2461"/>
    </row>
    <row r="2462" spans="1:7">
      <c r="A2462"/>
      <c r="B2462"/>
      <c r="C2462"/>
      <c r="D2462"/>
      <c r="E2462"/>
      <c r="F2462"/>
      <c r="G2462"/>
    </row>
    <row r="2463" spans="1:7">
      <c r="A2463"/>
      <c r="B2463"/>
      <c r="C2463"/>
      <c r="D2463"/>
      <c r="E2463"/>
      <c r="F2463"/>
      <c r="G2463"/>
    </row>
    <row r="2464" spans="1:7">
      <c r="A2464"/>
      <c r="B2464"/>
      <c r="C2464"/>
      <c r="D2464"/>
      <c r="E2464"/>
      <c r="F2464"/>
      <c r="G2464"/>
    </row>
    <row r="2465" spans="1:7">
      <c r="A2465"/>
      <c r="B2465"/>
      <c r="C2465"/>
      <c r="D2465"/>
      <c r="E2465"/>
      <c r="F2465"/>
      <c r="G2465"/>
    </row>
    <row r="2466" spans="1:7">
      <c r="A2466"/>
      <c r="B2466"/>
      <c r="C2466"/>
      <c r="D2466"/>
      <c r="E2466"/>
      <c r="F2466"/>
      <c r="G2466"/>
    </row>
    <row r="2467" spans="1:7">
      <c r="A2467"/>
      <c r="B2467"/>
      <c r="C2467"/>
      <c r="D2467"/>
      <c r="E2467"/>
      <c r="F2467"/>
      <c r="G2467"/>
    </row>
    <row r="2468" spans="1:7">
      <c r="A2468"/>
      <c r="B2468"/>
      <c r="C2468"/>
      <c r="D2468"/>
      <c r="E2468"/>
      <c r="F2468"/>
      <c r="G2468"/>
    </row>
    <row r="2469" spans="1:7">
      <c r="A2469"/>
      <c r="B2469"/>
      <c r="C2469"/>
      <c r="D2469"/>
      <c r="E2469"/>
      <c r="F2469"/>
      <c r="G2469"/>
    </row>
    <row r="2470" spans="1:7">
      <c r="A2470"/>
      <c r="B2470"/>
      <c r="C2470"/>
      <c r="D2470"/>
      <c r="E2470"/>
      <c r="F2470"/>
      <c r="G2470"/>
    </row>
    <row r="2471" spans="1:7">
      <c r="A2471"/>
      <c r="B2471"/>
      <c r="C2471"/>
      <c r="D2471"/>
      <c r="E2471"/>
      <c r="F2471"/>
      <c r="G2471"/>
    </row>
    <row r="2472" spans="1:7">
      <c r="A2472"/>
      <c r="B2472"/>
      <c r="C2472"/>
      <c r="D2472"/>
      <c r="E2472"/>
      <c r="F2472"/>
      <c r="G2472"/>
    </row>
    <row r="2473" spans="1:7">
      <c r="A2473"/>
      <c r="B2473"/>
      <c r="C2473"/>
      <c r="D2473"/>
      <c r="E2473"/>
      <c r="F2473"/>
      <c r="G2473"/>
    </row>
    <row r="2474" spans="1:7">
      <c r="A2474"/>
      <c r="B2474"/>
      <c r="C2474"/>
      <c r="D2474"/>
      <c r="E2474"/>
      <c r="F2474"/>
      <c r="G2474"/>
    </row>
    <row r="2475" spans="1:7">
      <c r="A2475"/>
      <c r="B2475"/>
      <c r="C2475"/>
      <c r="D2475"/>
      <c r="E2475"/>
      <c r="F2475"/>
      <c r="G2475"/>
    </row>
    <row r="2476" spans="1:7">
      <c r="A2476"/>
      <c r="B2476"/>
      <c r="C2476"/>
      <c r="D2476"/>
      <c r="E2476"/>
      <c r="F2476"/>
      <c r="G2476"/>
    </row>
    <row r="2477" spans="1:7">
      <c r="A2477"/>
      <c r="B2477"/>
      <c r="C2477"/>
      <c r="D2477"/>
      <c r="E2477"/>
      <c r="F2477"/>
      <c r="G2477"/>
    </row>
    <row r="2478" spans="1:7">
      <c r="A2478"/>
      <c r="B2478"/>
      <c r="C2478"/>
      <c r="D2478"/>
      <c r="E2478"/>
      <c r="F2478"/>
      <c r="G2478"/>
    </row>
    <row r="2479" spans="1:7">
      <c r="A2479"/>
      <c r="B2479"/>
      <c r="C2479"/>
      <c r="D2479"/>
      <c r="E2479"/>
      <c r="F2479"/>
      <c r="G2479"/>
    </row>
    <row r="2480" spans="1:7">
      <c r="A2480"/>
      <c r="B2480"/>
      <c r="C2480"/>
      <c r="D2480"/>
      <c r="E2480"/>
      <c r="F2480"/>
      <c r="G2480"/>
    </row>
    <row r="2481" spans="1:7">
      <c r="A2481"/>
      <c r="B2481"/>
      <c r="C2481"/>
      <c r="D2481"/>
      <c r="E2481"/>
      <c r="F2481"/>
      <c r="G2481"/>
    </row>
    <row r="2482" spans="1:7">
      <c r="A2482"/>
      <c r="B2482"/>
      <c r="C2482"/>
      <c r="D2482"/>
      <c r="E2482"/>
      <c r="F2482"/>
      <c r="G2482"/>
    </row>
    <row r="2483" spans="1:7">
      <c r="A2483"/>
      <c r="B2483"/>
      <c r="C2483"/>
      <c r="D2483"/>
      <c r="E2483"/>
      <c r="F2483"/>
      <c r="G2483"/>
    </row>
    <row r="2484" spans="1:7">
      <c r="A2484"/>
      <c r="B2484"/>
      <c r="C2484"/>
      <c r="D2484"/>
      <c r="E2484"/>
      <c r="F2484"/>
      <c r="G2484"/>
    </row>
    <row r="2485" spans="1:7">
      <c r="A2485"/>
      <c r="B2485"/>
      <c r="C2485"/>
      <c r="D2485"/>
      <c r="E2485"/>
      <c r="F2485"/>
      <c r="G2485"/>
    </row>
    <row r="2486" spans="1:7">
      <c r="A2486"/>
      <c r="B2486"/>
      <c r="C2486"/>
      <c r="D2486"/>
      <c r="E2486"/>
      <c r="F2486"/>
      <c r="G2486"/>
    </row>
    <row r="2487" spans="1:7">
      <c r="A2487"/>
      <c r="B2487"/>
      <c r="C2487"/>
      <c r="D2487"/>
      <c r="E2487"/>
      <c r="F2487"/>
      <c r="G2487"/>
    </row>
    <row r="2488" spans="1:7">
      <c r="A2488"/>
      <c r="B2488"/>
      <c r="C2488"/>
      <c r="D2488"/>
      <c r="E2488"/>
      <c r="F2488"/>
      <c r="G2488"/>
    </row>
    <row r="2489" spans="1:7">
      <c r="A2489"/>
      <c r="B2489"/>
      <c r="C2489"/>
      <c r="D2489"/>
      <c r="E2489"/>
      <c r="F2489"/>
      <c r="G2489"/>
    </row>
    <row r="2490" spans="1:7">
      <c r="A2490"/>
      <c r="B2490"/>
      <c r="C2490"/>
      <c r="D2490"/>
      <c r="E2490"/>
      <c r="F2490"/>
      <c r="G2490"/>
    </row>
    <row r="2491" spans="1:7">
      <c r="A2491"/>
      <c r="B2491"/>
      <c r="C2491"/>
      <c r="D2491"/>
      <c r="E2491"/>
      <c r="F2491"/>
      <c r="G2491"/>
    </row>
    <row r="2492" spans="1:7">
      <c r="A2492"/>
      <c r="B2492"/>
      <c r="C2492"/>
      <c r="D2492"/>
      <c r="E2492"/>
      <c r="F2492"/>
      <c r="G2492"/>
    </row>
    <row r="2493" spans="1:7">
      <c r="A2493"/>
      <c r="B2493"/>
      <c r="C2493"/>
      <c r="D2493"/>
      <c r="E2493"/>
      <c r="F2493"/>
      <c r="G2493"/>
    </row>
    <row r="2494" spans="1:7">
      <c r="A2494"/>
      <c r="B2494"/>
      <c r="C2494"/>
      <c r="D2494"/>
      <c r="E2494"/>
      <c r="F2494"/>
      <c r="G2494"/>
    </row>
    <row r="2495" spans="1:7">
      <c r="A2495"/>
      <c r="B2495"/>
      <c r="C2495"/>
      <c r="D2495"/>
      <c r="E2495"/>
      <c r="F2495"/>
      <c r="G2495"/>
    </row>
    <row r="2496" spans="1:7">
      <c r="A2496"/>
      <c r="B2496"/>
      <c r="C2496"/>
      <c r="D2496"/>
      <c r="E2496"/>
      <c r="F2496"/>
      <c r="G2496"/>
    </row>
    <row r="2497" spans="1:7">
      <c r="A2497"/>
      <c r="B2497"/>
      <c r="C2497"/>
      <c r="D2497"/>
      <c r="E2497"/>
      <c r="F2497"/>
      <c r="G2497"/>
    </row>
    <row r="2498" spans="1:7">
      <c r="A2498"/>
      <c r="B2498"/>
      <c r="C2498"/>
      <c r="D2498"/>
      <c r="E2498"/>
      <c r="F2498"/>
      <c r="G2498"/>
    </row>
    <row r="2499" spans="1:7">
      <c r="A2499"/>
      <c r="B2499"/>
      <c r="C2499"/>
      <c r="D2499"/>
      <c r="E2499"/>
      <c r="F2499"/>
      <c r="G2499"/>
    </row>
    <row r="2500" spans="1:7">
      <c r="A2500"/>
      <c r="B2500"/>
      <c r="C2500"/>
      <c r="D2500"/>
      <c r="E2500"/>
      <c r="F2500"/>
      <c r="G2500"/>
    </row>
    <row r="2501" spans="1:7">
      <c r="A2501"/>
      <c r="B2501"/>
      <c r="C2501"/>
      <c r="D2501"/>
      <c r="E2501"/>
      <c r="F2501"/>
      <c r="G2501"/>
    </row>
    <row r="2502" spans="1:7">
      <c r="A2502"/>
      <c r="B2502"/>
      <c r="C2502"/>
      <c r="D2502"/>
      <c r="E2502"/>
      <c r="F2502"/>
      <c r="G2502"/>
    </row>
    <row r="2503" spans="1:7">
      <c r="A2503"/>
      <c r="B2503"/>
      <c r="C2503"/>
      <c r="D2503"/>
      <c r="E2503"/>
      <c r="F2503"/>
      <c r="G2503"/>
    </row>
    <row r="2504" spans="1:7">
      <c r="A2504"/>
      <c r="B2504"/>
      <c r="C2504"/>
      <c r="D2504"/>
      <c r="E2504"/>
      <c r="F2504"/>
      <c r="G2504"/>
    </row>
    <row r="2505" spans="1:7">
      <c r="A2505"/>
      <c r="B2505"/>
      <c r="C2505"/>
      <c r="D2505"/>
      <c r="E2505"/>
      <c r="F2505"/>
      <c r="G2505"/>
    </row>
    <row r="2506" spans="1:7">
      <c r="A2506"/>
      <c r="B2506"/>
      <c r="C2506"/>
      <c r="D2506"/>
      <c r="E2506"/>
      <c r="F2506"/>
      <c r="G2506"/>
    </row>
    <row r="2507" spans="1:7">
      <c r="A2507"/>
      <c r="B2507"/>
      <c r="C2507"/>
      <c r="D2507"/>
      <c r="E2507"/>
      <c r="F2507"/>
      <c r="G2507"/>
    </row>
    <row r="2508" spans="1:7">
      <c r="A2508"/>
      <c r="B2508"/>
      <c r="C2508"/>
      <c r="D2508"/>
      <c r="E2508"/>
      <c r="F2508"/>
      <c r="G2508"/>
    </row>
    <row r="2509" spans="1:7">
      <c r="A2509"/>
      <c r="B2509"/>
      <c r="C2509"/>
      <c r="D2509"/>
      <c r="E2509"/>
      <c r="F2509"/>
      <c r="G2509"/>
    </row>
    <row r="2510" spans="1:7">
      <c r="A2510"/>
      <c r="B2510"/>
      <c r="C2510"/>
      <c r="D2510"/>
      <c r="E2510"/>
      <c r="F2510"/>
      <c r="G2510"/>
    </row>
    <row r="2511" spans="1:7">
      <c r="A2511"/>
      <c r="B2511"/>
      <c r="C2511"/>
      <c r="D2511"/>
      <c r="E2511"/>
      <c r="F2511"/>
      <c r="G2511"/>
    </row>
    <row r="2512" spans="1:7">
      <c r="A2512"/>
      <c r="B2512"/>
      <c r="C2512"/>
      <c r="D2512"/>
      <c r="E2512"/>
      <c r="F2512"/>
      <c r="G2512"/>
    </row>
    <row r="2513" spans="1:7">
      <c r="A2513"/>
      <c r="B2513"/>
      <c r="C2513"/>
      <c r="D2513"/>
      <c r="E2513"/>
      <c r="F2513"/>
      <c r="G2513"/>
    </row>
    <row r="2514" spans="1:7">
      <c r="A2514"/>
      <c r="B2514"/>
      <c r="C2514"/>
      <c r="D2514"/>
      <c r="E2514"/>
      <c r="F2514"/>
      <c r="G2514"/>
    </row>
    <row r="2515" spans="1:7">
      <c r="A2515"/>
      <c r="B2515"/>
      <c r="C2515"/>
      <c r="D2515"/>
      <c r="E2515"/>
      <c r="F2515"/>
      <c r="G2515"/>
    </row>
    <row r="2516" spans="1:7">
      <c r="A2516"/>
      <c r="B2516"/>
      <c r="C2516"/>
      <c r="D2516"/>
      <c r="E2516"/>
      <c r="F2516"/>
      <c r="G2516"/>
    </row>
    <row r="2517" spans="1:7">
      <c r="A2517"/>
      <c r="B2517"/>
      <c r="C2517"/>
      <c r="D2517"/>
      <c r="E2517"/>
      <c r="F2517"/>
      <c r="G2517"/>
    </row>
    <row r="2518" spans="1:7">
      <c r="A2518"/>
      <c r="B2518"/>
      <c r="C2518"/>
      <c r="D2518"/>
      <c r="E2518"/>
      <c r="F2518"/>
      <c r="G2518"/>
    </row>
    <row r="2519" spans="1:7">
      <c r="A2519"/>
      <c r="B2519"/>
      <c r="C2519"/>
      <c r="D2519"/>
      <c r="E2519"/>
      <c r="F2519"/>
      <c r="G2519"/>
    </row>
    <row r="2520" spans="1:7">
      <c r="A2520"/>
      <c r="B2520"/>
      <c r="C2520"/>
      <c r="D2520"/>
      <c r="E2520"/>
      <c r="F2520"/>
      <c r="G2520"/>
    </row>
    <row r="2521" spans="1:7">
      <c r="A2521"/>
      <c r="B2521"/>
      <c r="C2521"/>
      <c r="D2521"/>
      <c r="E2521"/>
      <c r="F2521"/>
      <c r="G2521"/>
    </row>
    <row r="2522" spans="1:7">
      <c r="A2522"/>
      <c r="B2522"/>
      <c r="C2522"/>
      <c r="D2522"/>
      <c r="E2522"/>
      <c r="F2522"/>
      <c r="G2522"/>
    </row>
    <row r="2523" spans="1:7">
      <c r="A2523"/>
      <c r="B2523"/>
      <c r="C2523"/>
      <c r="D2523"/>
      <c r="E2523"/>
      <c r="F2523"/>
      <c r="G2523"/>
    </row>
    <row r="2524" spans="1:7">
      <c r="A2524"/>
      <c r="B2524"/>
      <c r="C2524"/>
      <c r="D2524"/>
      <c r="E2524"/>
      <c r="F2524"/>
      <c r="G2524"/>
    </row>
    <row r="2525" spans="1:7">
      <c r="A2525"/>
      <c r="B2525"/>
      <c r="C2525"/>
      <c r="D2525"/>
      <c r="E2525"/>
      <c r="F2525"/>
      <c r="G2525"/>
    </row>
    <row r="2526" spans="1:7">
      <c r="A2526"/>
      <c r="B2526"/>
      <c r="C2526"/>
      <c r="D2526"/>
      <c r="E2526"/>
      <c r="F2526"/>
      <c r="G2526"/>
    </row>
    <row r="2527" spans="1:7">
      <c r="A2527"/>
      <c r="B2527"/>
      <c r="C2527"/>
      <c r="D2527"/>
      <c r="E2527"/>
      <c r="F2527"/>
      <c r="G2527"/>
    </row>
    <row r="2528" spans="1:7">
      <c r="A2528"/>
      <c r="B2528"/>
      <c r="C2528"/>
      <c r="D2528"/>
      <c r="E2528"/>
      <c r="F2528"/>
      <c r="G2528"/>
    </row>
    <row r="2529" spans="1:7">
      <c r="A2529"/>
      <c r="B2529"/>
      <c r="C2529"/>
      <c r="D2529"/>
      <c r="E2529"/>
      <c r="F2529"/>
      <c r="G2529"/>
    </row>
    <row r="2530" spans="1:7">
      <c r="A2530"/>
      <c r="B2530"/>
      <c r="C2530"/>
      <c r="D2530"/>
      <c r="E2530"/>
      <c r="F2530"/>
      <c r="G2530"/>
    </row>
    <row r="2531" spans="1:7">
      <c r="A2531"/>
      <c r="B2531"/>
      <c r="C2531"/>
      <c r="D2531"/>
      <c r="E2531"/>
      <c r="F2531"/>
      <c r="G2531"/>
    </row>
    <row r="2532" spans="1:7">
      <c r="A2532"/>
      <c r="B2532"/>
      <c r="C2532"/>
      <c r="D2532"/>
      <c r="E2532"/>
      <c r="F2532"/>
      <c r="G2532"/>
    </row>
    <row r="2533" spans="1:7">
      <c r="A2533"/>
      <c r="B2533"/>
      <c r="C2533"/>
      <c r="D2533"/>
      <c r="E2533"/>
      <c r="F2533"/>
      <c r="G2533"/>
    </row>
    <row r="2534" spans="1:7">
      <c r="A2534"/>
      <c r="B2534"/>
      <c r="C2534"/>
      <c r="D2534"/>
      <c r="E2534"/>
      <c r="F2534"/>
      <c r="G2534"/>
    </row>
    <row r="2535" spans="1:7">
      <c r="A2535"/>
      <c r="B2535"/>
      <c r="C2535"/>
      <c r="D2535"/>
      <c r="E2535"/>
      <c r="F2535"/>
      <c r="G2535"/>
    </row>
    <row r="2536" spans="1:7">
      <c r="A2536"/>
      <c r="B2536"/>
      <c r="C2536"/>
      <c r="D2536"/>
      <c r="E2536"/>
      <c r="F2536"/>
      <c r="G2536"/>
    </row>
    <row r="2537" spans="1:7">
      <c r="A2537"/>
      <c r="B2537"/>
      <c r="C2537"/>
      <c r="D2537"/>
      <c r="E2537"/>
      <c r="F2537"/>
      <c r="G2537"/>
    </row>
    <row r="2538" spans="1:7">
      <c r="A2538"/>
      <c r="B2538"/>
      <c r="C2538"/>
      <c r="D2538"/>
      <c r="E2538"/>
      <c r="F2538"/>
      <c r="G2538"/>
    </row>
    <row r="2539" spans="1:7">
      <c r="A2539"/>
      <c r="B2539"/>
      <c r="C2539"/>
      <c r="D2539"/>
      <c r="E2539"/>
      <c r="F2539"/>
      <c r="G2539"/>
    </row>
    <row r="2540" spans="1:7">
      <c r="A2540"/>
      <c r="B2540"/>
      <c r="C2540"/>
      <c r="D2540"/>
      <c r="E2540"/>
      <c r="F2540"/>
      <c r="G2540"/>
    </row>
    <row r="2541" spans="1:7">
      <c r="A2541"/>
      <c r="B2541"/>
      <c r="C2541"/>
      <c r="D2541"/>
      <c r="E2541"/>
      <c r="F2541"/>
      <c r="G2541"/>
    </row>
    <row r="2542" spans="1:7">
      <c r="A2542"/>
      <c r="B2542"/>
      <c r="C2542"/>
      <c r="D2542"/>
      <c r="E2542"/>
      <c r="F2542"/>
      <c r="G2542"/>
    </row>
    <row r="2543" spans="1:7">
      <c r="A2543"/>
      <c r="B2543"/>
      <c r="C2543"/>
      <c r="D2543"/>
      <c r="E2543"/>
      <c r="F2543"/>
      <c r="G2543"/>
    </row>
    <row r="2544" spans="1:7">
      <c r="A2544"/>
      <c r="B2544"/>
      <c r="C2544"/>
      <c r="D2544"/>
      <c r="E2544"/>
      <c r="F2544"/>
      <c r="G2544"/>
    </row>
    <row r="2545" spans="1:7">
      <c r="A2545"/>
      <c r="B2545"/>
      <c r="C2545"/>
      <c r="D2545"/>
      <c r="E2545"/>
      <c r="F2545"/>
      <c r="G2545"/>
    </row>
    <row r="2546" spans="1:7">
      <c r="A2546"/>
      <c r="B2546"/>
      <c r="C2546"/>
      <c r="D2546"/>
      <c r="E2546"/>
      <c r="F2546"/>
      <c r="G2546"/>
    </row>
    <row r="2547" spans="1:7">
      <c r="A2547"/>
      <c r="B2547"/>
      <c r="C2547"/>
      <c r="D2547"/>
      <c r="E2547"/>
      <c r="F2547"/>
      <c r="G2547"/>
    </row>
    <row r="2548" spans="1:7">
      <c r="A2548"/>
      <c r="B2548"/>
      <c r="C2548"/>
      <c r="D2548"/>
      <c r="E2548"/>
      <c r="F2548"/>
      <c r="G2548"/>
    </row>
    <row r="2549" spans="1:7">
      <c r="A2549"/>
      <c r="B2549"/>
      <c r="C2549"/>
      <c r="D2549"/>
      <c r="E2549"/>
      <c r="F2549"/>
      <c r="G2549"/>
    </row>
    <row r="2550" spans="1:7">
      <c r="A2550"/>
      <c r="B2550"/>
      <c r="C2550"/>
      <c r="D2550"/>
      <c r="E2550"/>
      <c r="F2550"/>
      <c r="G2550"/>
    </row>
    <row r="2551" spans="1:7">
      <c r="A2551"/>
      <c r="B2551"/>
      <c r="C2551"/>
      <c r="D2551"/>
      <c r="E2551"/>
      <c r="F2551"/>
      <c r="G2551"/>
    </row>
    <row r="2552" spans="1:7">
      <c r="A2552"/>
      <c r="B2552"/>
      <c r="C2552"/>
      <c r="D2552"/>
      <c r="E2552"/>
      <c r="F2552"/>
      <c r="G2552"/>
    </row>
    <row r="2553" spans="1:7">
      <c r="A2553"/>
      <c r="B2553"/>
      <c r="C2553"/>
      <c r="D2553"/>
      <c r="E2553"/>
      <c r="F2553"/>
      <c r="G2553"/>
    </row>
    <row r="2554" spans="1:7">
      <c r="A2554"/>
      <c r="B2554"/>
      <c r="C2554"/>
      <c r="D2554"/>
      <c r="E2554"/>
      <c r="F2554"/>
      <c r="G2554"/>
    </row>
    <row r="2555" spans="1:7">
      <c r="A2555"/>
      <c r="B2555"/>
      <c r="C2555"/>
      <c r="D2555"/>
      <c r="E2555"/>
      <c r="F2555"/>
      <c r="G2555"/>
    </row>
    <row r="2556" spans="1:7">
      <c r="A2556"/>
      <c r="B2556"/>
      <c r="C2556"/>
      <c r="D2556"/>
      <c r="E2556"/>
      <c r="F2556"/>
      <c r="G2556"/>
    </row>
    <row r="2557" spans="1:7">
      <c r="A2557"/>
      <c r="B2557"/>
      <c r="C2557"/>
      <c r="D2557"/>
      <c r="E2557"/>
      <c r="F2557"/>
      <c r="G2557"/>
    </row>
    <row r="2558" spans="1:7">
      <c r="A2558"/>
      <c r="B2558"/>
      <c r="C2558"/>
      <c r="D2558"/>
      <c r="E2558"/>
      <c r="F2558"/>
      <c r="G2558"/>
    </row>
    <row r="2559" spans="1:7">
      <c r="A2559"/>
      <c r="B2559"/>
      <c r="C2559"/>
      <c r="D2559"/>
      <c r="E2559"/>
      <c r="F2559"/>
      <c r="G2559"/>
    </row>
    <row r="2560" spans="1:7">
      <c r="A2560"/>
      <c r="B2560"/>
      <c r="C2560"/>
      <c r="D2560"/>
      <c r="E2560"/>
      <c r="F2560"/>
      <c r="G2560"/>
    </row>
    <row r="2561" spans="1:7">
      <c r="A2561"/>
      <c r="B2561"/>
      <c r="C2561"/>
      <c r="D2561"/>
      <c r="E2561"/>
      <c r="F2561"/>
      <c r="G2561"/>
    </row>
    <row r="2562" spans="1:7">
      <c r="A2562"/>
      <c r="B2562"/>
      <c r="C2562"/>
      <c r="D2562"/>
      <c r="E2562"/>
      <c r="F2562"/>
      <c r="G2562"/>
    </row>
    <row r="2563" spans="1:7">
      <c r="A2563"/>
      <c r="B2563"/>
      <c r="C2563"/>
      <c r="D2563"/>
      <c r="E2563"/>
      <c r="F2563"/>
      <c r="G2563"/>
    </row>
    <row r="2564" spans="1:7">
      <c r="A2564"/>
      <c r="B2564"/>
      <c r="C2564"/>
      <c r="D2564"/>
      <c r="E2564"/>
      <c r="F2564"/>
      <c r="G2564"/>
    </row>
    <row r="2565" spans="1:7">
      <c r="A2565"/>
      <c r="B2565"/>
      <c r="C2565"/>
      <c r="D2565"/>
      <c r="E2565"/>
      <c r="F2565"/>
      <c r="G2565"/>
    </row>
    <row r="2566" spans="1:7">
      <c r="A2566"/>
      <c r="B2566"/>
      <c r="C2566"/>
      <c r="D2566"/>
      <c r="E2566"/>
      <c r="F2566"/>
      <c r="G2566"/>
    </row>
    <row r="2567" spans="1:7">
      <c r="A2567"/>
      <c r="B2567"/>
      <c r="C2567"/>
      <c r="D2567"/>
      <c r="E2567"/>
      <c r="F2567"/>
      <c r="G2567"/>
    </row>
    <row r="2568" spans="1:7">
      <c r="A2568"/>
      <c r="B2568"/>
      <c r="C2568"/>
      <c r="D2568"/>
      <c r="E2568"/>
      <c r="F2568"/>
      <c r="G2568"/>
    </row>
    <row r="2569" spans="1:7">
      <c r="A2569"/>
      <c r="B2569"/>
      <c r="C2569"/>
      <c r="D2569"/>
      <c r="E2569"/>
      <c r="F2569"/>
      <c r="G2569"/>
    </row>
    <row r="2570" spans="1:7">
      <c r="A2570"/>
      <c r="B2570"/>
      <c r="C2570"/>
      <c r="D2570"/>
      <c r="E2570"/>
      <c r="F2570"/>
      <c r="G2570"/>
    </row>
    <row r="2571" spans="1:7">
      <c r="A2571"/>
      <c r="B2571"/>
      <c r="C2571"/>
      <c r="D2571"/>
      <c r="E2571"/>
      <c r="F2571"/>
      <c r="G2571"/>
    </row>
    <row r="2572" spans="1:7">
      <c r="A2572"/>
      <c r="B2572"/>
      <c r="C2572"/>
      <c r="D2572"/>
      <c r="E2572"/>
      <c r="F2572"/>
      <c r="G2572"/>
    </row>
    <row r="2573" spans="1:7">
      <c r="A2573"/>
      <c r="B2573"/>
      <c r="C2573"/>
      <c r="D2573"/>
      <c r="E2573"/>
      <c r="F2573"/>
      <c r="G2573"/>
    </row>
    <row r="2574" spans="1:7">
      <c r="A2574"/>
      <c r="B2574"/>
      <c r="C2574"/>
      <c r="D2574"/>
      <c r="E2574"/>
      <c r="F2574"/>
      <c r="G2574"/>
    </row>
    <row r="2575" spans="1:7">
      <c r="A2575"/>
      <c r="B2575"/>
      <c r="C2575"/>
      <c r="D2575"/>
      <c r="E2575"/>
      <c r="F2575"/>
      <c r="G2575"/>
    </row>
    <row r="2576" spans="1:7">
      <c r="A2576"/>
      <c r="B2576"/>
      <c r="C2576"/>
      <c r="D2576"/>
      <c r="E2576"/>
      <c r="F2576"/>
      <c r="G2576"/>
    </row>
    <row r="2577" spans="1:7">
      <c r="A2577"/>
      <c r="B2577"/>
      <c r="C2577"/>
      <c r="D2577"/>
      <c r="E2577"/>
      <c r="F2577"/>
      <c r="G2577"/>
    </row>
    <row r="2578" spans="1:7">
      <c r="A2578"/>
      <c r="B2578"/>
      <c r="C2578"/>
      <c r="D2578"/>
      <c r="E2578"/>
      <c r="F2578"/>
      <c r="G2578"/>
    </row>
    <row r="2579" spans="1:7">
      <c r="A2579"/>
      <c r="B2579"/>
      <c r="C2579"/>
      <c r="D2579"/>
      <c r="E2579"/>
      <c r="F2579"/>
      <c r="G2579"/>
    </row>
    <row r="2580" spans="1:7">
      <c r="A2580"/>
      <c r="B2580"/>
      <c r="C2580"/>
      <c r="D2580"/>
      <c r="E2580"/>
      <c r="F2580"/>
      <c r="G2580"/>
    </row>
    <row r="2581" spans="1:7">
      <c r="A2581"/>
      <c r="B2581"/>
      <c r="C2581"/>
      <c r="D2581"/>
      <c r="E2581"/>
      <c r="F2581"/>
      <c r="G2581"/>
    </row>
    <row r="2582" spans="1:7">
      <c r="A2582"/>
      <c r="B2582"/>
      <c r="C2582"/>
      <c r="D2582"/>
      <c r="E2582"/>
      <c r="F2582"/>
      <c r="G2582"/>
    </row>
    <row r="2583" spans="1:7">
      <c r="A2583"/>
      <c r="B2583"/>
      <c r="C2583"/>
      <c r="D2583"/>
      <c r="E2583"/>
      <c r="F2583"/>
      <c r="G2583"/>
    </row>
    <row r="2584" spans="1:7">
      <c r="A2584"/>
      <c r="B2584"/>
      <c r="C2584"/>
      <c r="D2584"/>
      <c r="E2584"/>
      <c r="F2584"/>
      <c r="G2584"/>
    </row>
    <row r="2585" spans="1:7">
      <c r="A2585"/>
      <c r="B2585"/>
      <c r="C2585"/>
      <c r="D2585"/>
      <c r="E2585"/>
      <c r="F2585"/>
      <c r="G2585"/>
    </row>
    <row r="2586" spans="1:7">
      <c r="A2586"/>
      <c r="B2586"/>
      <c r="C2586"/>
      <c r="D2586"/>
      <c r="E2586"/>
      <c r="F2586"/>
      <c r="G2586"/>
    </row>
    <row r="2587" spans="1:7" ht="16.5" customHeight="1">
      <c r="A2587"/>
      <c r="B2587"/>
      <c r="C2587"/>
      <c r="D2587"/>
      <c r="E2587"/>
      <c r="F2587"/>
      <c r="G2587"/>
    </row>
    <row r="2588" spans="1:7">
      <c r="A2588"/>
      <c r="B2588"/>
      <c r="C2588"/>
      <c r="D2588"/>
      <c r="E2588"/>
      <c r="F2588"/>
      <c r="G2588"/>
    </row>
    <row r="2589" spans="1:7">
      <c r="A2589"/>
      <c r="B2589"/>
      <c r="C2589"/>
      <c r="D2589"/>
      <c r="E2589"/>
      <c r="F2589"/>
      <c r="G2589"/>
    </row>
    <row r="2590" spans="1:7">
      <c r="A2590"/>
      <c r="B2590"/>
      <c r="C2590"/>
      <c r="D2590"/>
      <c r="E2590"/>
      <c r="F2590"/>
      <c r="G2590"/>
    </row>
    <row r="2591" spans="1:7">
      <c r="A2591"/>
      <c r="B2591"/>
      <c r="C2591"/>
      <c r="D2591"/>
      <c r="E2591"/>
      <c r="F2591"/>
      <c r="G2591"/>
    </row>
    <row r="2592" spans="1:7">
      <c r="A2592"/>
      <c r="B2592"/>
      <c r="C2592"/>
      <c r="D2592"/>
      <c r="E2592"/>
      <c r="F2592"/>
      <c r="G2592"/>
    </row>
    <row r="2593" spans="1:7">
      <c r="A2593"/>
      <c r="B2593"/>
      <c r="C2593"/>
      <c r="D2593"/>
      <c r="E2593"/>
      <c r="F2593"/>
      <c r="G2593"/>
    </row>
    <row r="2594" spans="1:7">
      <c r="A2594"/>
      <c r="B2594"/>
      <c r="C2594"/>
      <c r="D2594"/>
      <c r="E2594"/>
      <c r="F2594"/>
      <c r="G2594"/>
    </row>
    <row r="2595" spans="1:7">
      <c r="A2595"/>
      <c r="B2595"/>
      <c r="C2595"/>
      <c r="D2595"/>
      <c r="E2595"/>
      <c r="F2595"/>
      <c r="G2595"/>
    </row>
    <row r="2596" spans="1:7">
      <c r="A2596"/>
      <c r="B2596"/>
      <c r="C2596"/>
      <c r="D2596"/>
      <c r="E2596"/>
      <c r="F2596"/>
      <c r="G2596"/>
    </row>
    <row r="2597" spans="1:7">
      <c r="A2597"/>
      <c r="B2597"/>
      <c r="C2597"/>
      <c r="D2597"/>
      <c r="E2597"/>
      <c r="F2597"/>
      <c r="G2597"/>
    </row>
    <row r="2598" spans="1:7">
      <c r="A2598"/>
      <c r="B2598"/>
      <c r="C2598"/>
      <c r="D2598"/>
      <c r="E2598"/>
      <c r="F2598"/>
      <c r="G2598"/>
    </row>
    <row r="2599" spans="1:7">
      <c r="A2599"/>
      <c r="B2599"/>
      <c r="C2599"/>
      <c r="D2599"/>
      <c r="E2599"/>
      <c r="F2599"/>
      <c r="G2599"/>
    </row>
    <row r="2600" spans="1:7">
      <c r="A2600"/>
      <c r="B2600"/>
      <c r="C2600"/>
      <c r="D2600"/>
      <c r="E2600"/>
      <c r="F2600"/>
      <c r="G2600"/>
    </row>
    <row r="2601" spans="1:7">
      <c r="A2601"/>
      <c r="B2601"/>
      <c r="C2601"/>
      <c r="D2601"/>
      <c r="E2601"/>
      <c r="F2601"/>
      <c r="G2601"/>
    </row>
    <row r="2602" spans="1:7">
      <c r="A2602"/>
      <c r="B2602"/>
      <c r="C2602"/>
      <c r="D2602"/>
      <c r="E2602"/>
      <c r="F2602"/>
      <c r="G2602"/>
    </row>
    <row r="2603" spans="1:7">
      <c r="A2603"/>
      <c r="B2603"/>
      <c r="C2603"/>
      <c r="D2603"/>
      <c r="E2603"/>
      <c r="F2603"/>
      <c r="G2603"/>
    </row>
    <row r="2604" spans="1:7">
      <c r="A2604"/>
      <c r="B2604"/>
      <c r="C2604"/>
      <c r="D2604"/>
      <c r="E2604"/>
      <c r="F2604"/>
      <c r="G2604"/>
    </row>
    <row r="2605" spans="1:7">
      <c r="A2605"/>
      <c r="B2605"/>
      <c r="C2605"/>
      <c r="D2605"/>
      <c r="E2605"/>
      <c r="F2605"/>
      <c r="G2605"/>
    </row>
    <row r="2606" spans="1:7">
      <c r="A2606"/>
      <c r="B2606"/>
      <c r="C2606"/>
      <c r="D2606"/>
      <c r="E2606"/>
      <c r="F2606"/>
      <c r="G2606"/>
    </row>
    <row r="2607" spans="1:7">
      <c r="A2607"/>
      <c r="B2607"/>
      <c r="C2607"/>
      <c r="D2607"/>
      <c r="E2607"/>
      <c r="F2607"/>
      <c r="G2607"/>
    </row>
    <row r="2608" spans="1:7">
      <c r="A2608"/>
      <c r="B2608"/>
      <c r="C2608"/>
      <c r="D2608"/>
      <c r="E2608"/>
      <c r="F2608"/>
      <c r="G2608"/>
    </row>
    <row r="2609" spans="1:7">
      <c r="A2609"/>
      <c r="B2609"/>
      <c r="C2609"/>
      <c r="D2609"/>
      <c r="E2609"/>
      <c r="F2609"/>
      <c r="G2609"/>
    </row>
    <row r="2610" spans="1:7">
      <c r="A2610"/>
      <c r="B2610"/>
      <c r="C2610"/>
      <c r="D2610"/>
      <c r="E2610"/>
      <c r="F2610"/>
      <c r="G2610"/>
    </row>
    <row r="2611" spans="1:7">
      <c r="A2611"/>
      <c r="B2611"/>
      <c r="C2611"/>
      <c r="D2611"/>
      <c r="E2611"/>
      <c r="F2611"/>
      <c r="G2611"/>
    </row>
    <row r="2612" spans="1:7">
      <c r="A2612"/>
      <c r="B2612"/>
      <c r="C2612"/>
      <c r="D2612"/>
      <c r="E2612"/>
      <c r="F2612"/>
      <c r="G2612"/>
    </row>
    <row r="2613" spans="1:7" ht="15" customHeight="1">
      <c r="A2613"/>
      <c r="B2613"/>
      <c r="C2613"/>
      <c r="D2613"/>
      <c r="E2613"/>
      <c r="F2613"/>
      <c r="G2613"/>
    </row>
    <row r="2614" spans="1:7">
      <c r="A2614"/>
      <c r="B2614"/>
      <c r="C2614"/>
      <c r="D2614"/>
      <c r="E2614"/>
      <c r="F2614"/>
      <c r="G2614"/>
    </row>
    <row r="2615" spans="1:7">
      <c r="A2615"/>
      <c r="B2615"/>
      <c r="C2615"/>
      <c r="D2615"/>
      <c r="E2615"/>
      <c r="F2615"/>
      <c r="G2615"/>
    </row>
    <row r="2616" spans="1:7">
      <c r="A2616"/>
      <c r="B2616"/>
      <c r="C2616"/>
      <c r="D2616"/>
      <c r="E2616"/>
      <c r="F2616"/>
      <c r="G2616"/>
    </row>
    <row r="2617" spans="1:7">
      <c r="A2617"/>
      <c r="B2617"/>
      <c r="C2617"/>
      <c r="D2617"/>
      <c r="E2617"/>
      <c r="F2617"/>
      <c r="G2617"/>
    </row>
    <row r="2618" spans="1:7">
      <c r="A2618"/>
      <c r="B2618"/>
      <c r="C2618"/>
      <c r="D2618"/>
      <c r="E2618"/>
      <c r="F2618"/>
      <c r="G2618"/>
    </row>
    <row r="2619" spans="1:7">
      <c r="A2619"/>
      <c r="B2619"/>
      <c r="C2619"/>
      <c r="D2619"/>
      <c r="E2619"/>
      <c r="F2619"/>
      <c r="G2619"/>
    </row>
    <row r="2620" spans="1:7">
      <c r="A2620"/>
      <c r="B2620"/>
      <c r="C2620"/>
      <c r="D2620"/>
      <c r="E2620"/>
      <c r="F2620"/>
      <c r="G2620"/>
    </row>
    <row r="2621" spans="1:7">
      <c r="A2621"/>
      <c r="B2621"/>
      <c r="C2621"/>
      <c r="D2621"/>
      <c r="E2621"/>
      <c r="F2621"/>
      <c r="G2621"/>
    </row>
    <row r="2622" spans="1:7">
      <c r="A2622"/>
      <c r="B2622"/>
      <c r="C2622"/>
      <c r="D2622"/>
      <c r="E2622"/>
      <c r="F2622"/>
      <c r="G2622"/>
    </row>
    <row r="2623" spans="1:7">
      <c r="A2623"/>
      <c r="B2623"/>
      <c r="C2623"/>
      <c r="D2623"/>
      <c r="E2623"/>
      <c r="F2623"/>
      <c r="G2623"/>
    </row>
    <row r="2624" spans="1:7">
      <c r="A2624"/>
      <c r="B2624"/>
      <c r="C2624"/>
      <c r="D2624"/>
      <c r="E2624"/>
      <c r="F2624"/>
      <c r="G2624"/>
    </row>
    <row r="2625" spans="1:7">
      <c r="A2625"/>
      <c r="B2625"/>
      <c r="C2625"/>
      <c r="D2625"/>
      <c r="E2625"/>
      <c r="F2625"/>
      <c r="G2625"/>
    </row>
    <row r="2626" spans="1:7">
      <c r="A2626"/>
      <c r="B2626"/>
      <c r="C2626"/>
      <c r="D2626"/>
      <c r="E2626"/>
      <c r="F2626"/>
      <c r="G2626"/>
    </row>
    <row r="2627" spans="1:7">
      <c r="A2627"/>
      <c r="B2627"/>
      <c r="C2627"/>
      <c r="D2627"/>
      <c r="E2627"/>
      <c r="F2627"/>
      <c r="G2627"/>
    </row>
    <row r="2628" spans="1:7">
      <c r="A2628"/>
      <c r="B2628"/>
      <c r="C2628"/>
      <c r="D2628"/>
      <c r="E2628"/>
      <c r="F2628"/>
      <c r="G2628"/>
    </row>
    <row r="2629" spans="1:7">
      <c r="A2629"/>
      <c r="B2629"/>
      <c r="C2629"/>
      <c r="D2629"/>
      <c r="E2629"/>
      <c r="F2629"/>
      <c r="G2629"/>
    </row>
    <row r="2630" spans="1:7">
      <c r="A2630"/>
      <c r="B2630"/>
      <c r="C2630"/>
      <c r="D2630"/>
      <c r="E2630"/>
      <c r="F2630"/>
      <c r="G2630"/>
    </row>
    <row r="2631" spans="1:7">
      <c r="A2631"/>
      <c r="B2631"/>
      <c r="C2631"/>
      <c r="D2631"/>
      <c r="E2631"/>
      <c r="F2631"/>
      <c r="G2631"/>
    </row>
    <row r="2632" spans="1:7">
      <c r="A2632"/>
      <c r="B2632"/>
      <c r="C2632"/>
      <c r="D2632"/>
      <c r="E2632"/>
      <c r="F2632"/>
      <c r="G2632"/>
    </row>
    <row r="2633" spans="1:7">
      <c r="A2633"/>
      <c r="B2633"/>
      <c r="C2633"/>
      <c r="D2633"/>
      <c r="E2633"/>
      <c r="F2633"/>
      <c r="G2633"/>
    </row>
    <row r="2634" spans="1:7">
      <c r="A2634"/>
      <c r="B2634"/>
      <c r="C2634"/>
      <c r="D2634"/>
      <c r="E2634"/>
      <c r="F2634"/>
      <c r="G2634"/>
    </row>
    <row r="2635" spans="1:7">
      <c r="A2635"/>
      <c r="B2635"/>
      <c r="C2635"/>
      <c r="D2635"/>
      <c r="E2635"/>
      <c r="F2635"/>
      <c r="G2635"/>
    </row>
    <row r="2636" spans="1:7">
      <c r="A2636"/>
      <c r="B2636"/>
      <c r="C2636"/>
      <c r="D2636"/>
      <c r="E2636"/>
      <c r="F2636"/>
      <c r="G2636"/>
    </row>
    <row r="2637" spans="1:7">
      <c r="A2637"/>
      <c r="B2637"/>
      <c r="C2637"/>
      <c r="D2637"/>
      <c r="E2637"/>
      <c r="F2637"/>
      <c r="G2637"/>
    </row>
    <row r="2638" spans="1:7">
      <c r="A2638"/>
      <c r="B2638"/>
      <c r="C2638"/>
      <c r="D2638"/>
      <c r="E2638"/>
      <c r="F2638"/>
      <c r="G2638"/>
    </row>
    <row r="2639" spans="1:7">
      <c r="A2639"/>
      <c r="B2639"/>
      <c r="C2639"/>
      <c r="D2639"/>
      <c r="E2639"/>
      <c r="F2639"/>
      <c r="G2639"/>
    </row>
    <row r="2640" spans="1:7">
      <c r="A2640"/>
      <c r="B2640"/>
      <c r="C2640"/>
      <c r="D2640"/>
      <c r="E2640"/>
      <c r="F2640"/>
      <c r="G2640"/>
    </row>
    <row r="2641" spans="1:7">
      <c r="A2641"/>
      <c r="B2641"/>
      <c r="C2641"/>
      <c r="D2641"/>
      <c r="E2641"/>
      <c r="F2641"/>
      <c r="G2641"/>
    </row>
    <row r="2642" spans="1:7">
      <c r="A2642"/>
      <c r="B2642"/>
      <c r="C2642"/>
      <c r="D2642"/>
      <c r="E2642"/>
      <c r="F2642"/>
      <c r="G2642"/>
    </row>
    <row r="2643" spans="1:7">
      <c r="A2643"/>
      <c r="B2643"/>
      <c r="C2643"/>
      <c r="D2643"/>
      <c r="E2643"/>
      <c r="F2643"/>
      <c r="G2643"/>
    </row>
    <row r="2644" spans="1:7">
      <c r="A2644"/>
      <c r="B2644"/>
      <c r="C2644"/>
      <c r="D2644"/>
      <c r="E2644"/>
      <c r="F2644"/>
      <c r="G2644"/>
    </row>
    <row r="2645" spans="1:7">
      <c r="A2645"/>
      <c r="B2645"/>
      <c r="C2645"/>
      <c r="D2645"/>
      <c r="E2645"/>
      <c r="F2645"/>
      <c r="G2645"/>
    </row>
    <row r="2646" spans="1:7">
      <c r="A2646"/>
      <c r="B2646"/>
      <c r="C2646"/>
      <c r="D2646"/>
      <c r="E2646"/>
      <c r="F2646"/>
      <c r="G2646"/>
    </row>
    <row r="2647" spans="1:7">
      <c r="A2647"/>
      <c r="B2647"/>
      <c r="C2647"/>
      <c r="D2647"/>
      <c r="E2647"/>
      <c r="F2647"/>
      <c r="G2647"/>
    </row>
    <row r="2648" spans="1:7">
      <c r="A2648"/>
      <c r="B2648"/>
      <c r="C2648"/>
      <c r="D2648"/>
      <c r="E2648"/>
      <c r="F2648"/>
      <c r="G2648"/>
    </row>
    <row r="2649" spans="1:7">
      <c r="A2649"/>
      <c r="B2649"/>
      <c r="C2649"/>
      <c r="D2649"/>
      <c r="E2649"/>
      <c r="F2649"/>
      <c r="G2649"/>
    </row>
    <row r="2650" spans="1:7">
      <c r="A2650"/>
      <c r="B2650"/>
      <c r="C2650"/>
      <c r="D2650"/>
      <c r="E2650"/>
      <c r="F2650"/>
      <c r="G2650"/>
    </row>
    <row r="2651" spans="1:7">
      <c r="A2651"/>
      <c r="B2651"/>
      <c r="C2651"/>
      <c r="D2651"/>
      <c r="E2651"/>
      <c r="F2651"/>
      <c r="G2651"/>
    </row>
    <row r="2652" spans="1:7">
      <c r="A2652"/>
      <c r="B2652"/>
      <c r="C2652"/>
      <c r="D2652"/>
      <c r="E2652"/>
      <c r="F2652"/>
      <c r="G2652"/>
    </row>
    <row r="2653" spans="1:7">
      <c r="A2653"/>
      <c r="B2653"/>
      <c r="C2653"/>
      <c r="D2653"/>
      <c r="E2653"/>
      <c r="F2653"/>
      <c r="G2653"/>
    </row>
    <row r="2654" spans="1:7">
      <c r="A2654"/>
      <c r="B2654"/>
      <c r="C2654"/>
      <c r="D2654"/>
      <c r="E2654"/>
      <c r="F2654"/>
      <c r="G2654"/>
    </row>
    <row r="2655" spans="1:7">
      <c r="A2655"/>
      <c r="B2655"/>
      <c r="C2655"/>
      <c r="D2655"/>
      <c r="E2655"/>
      <c r="F2655"/>
      <c r="G2655"/>
    </row>
    <row r="2656" spans="1:7">
      <c r="A2656"/>
      <c r="B2656"/>
      <c r="C2656"/>
      <c r="D2656"/>
      <c r="E2656"/>
      <c r="F2656"/>
      <c r="G2656"/>
    </row>
    <row r="2657" spans="1:7">
      <c r="A2657"/>
      <c r="B2657"/>
      <c r="C2657"/>
      <c r="D2657"/>
      <c r="E2657"/>
      <c r="F2657"/>
      <c r="G2657"/>
    </row>
    <row r="2658" spans="1:7">
      <c r="A2658"/>
      <c r="B2658"/>
      <c r="C2658"/>
      <c r="D2658"/>
      <c r="E2658"/>
      <c r="F2658"/>
      <c r="G2658"/>
    </row>
    <row r="2659" spans="1:7">
      <c r="A2659"/>
      <c r="B2659"/>
      <c r="C2659"/>
      <c r="D2659"/>
      <c r="E2659"/>
      <c r="F2659"/>
      <c r="G2659"/>
    </row>
    <row r="2660" spans="1:7">
      <c r="A2660"/>
      <c r="B2660"/>
      <c r="C2660"/>
      <c r="D2660"/>
      <c r="E2660"/>
      <c r="F2660"/>
      <c r="G2660"/>
    </row>
    <row r="2661" spans="1:7">
      <c r="A2661"/>
      <c r="B2661"/>
      <c r="C2661"/>
      <c r="D2661"/>
      <c r="E2661"/>
      <c r="F2661"/>
      <c r="G2661"/>
    </row>
    <row r="2662" spans="1:7">
      <c r="A2662"/>
      <c r="B2662"/>
      <c r="C2662"/>
      <c r="D2662"/>
      <c r="E2662"/>
      <c r="F2662"/>
      <c r="G2662"/>
    </row>
    <row r="2663" spans="1:7">
      <c r="A2663"/>
      <c r="B2663"/>
      <c r="C2663"/>
      <c r="D2663"/>
      <c r="E2663"/>
      <c r="F2663"/>
      <c r="G2663"/>
    </row>
    <row r="2664" spans="1:7">
      <c r="A2664"/>
      <c r="B2664"/>
      <c r="C2664"/>
      <c r="D2664"/>
      <c r="E2664"/>
      <c r="F2664"/>
      <c r="G2664"/>
    </row>
    <row r="2665" spans="1:7">
      <c r="A2665"/>
      <c r="B2665"/>
      <c r="C2665"/>
      <c r="D2665"/>
      <c r="E2665"/>
      <c r="F2665"/>
      <c r="G2665"/>
    </row>
    <row r="2666" spans="1:7">
      <c r="A2666"/>
      <c r="B2666"/>
      <c r="C2666"/>
      <c r="D2666"/>
      <c r="E2666"/>
      <c r="F2666"/>
      <c r="G2666"/>
    </row>
    <row r="2667" spans="1:7">
      <c r="A2667"/>
      <c r="B2667"/>
      <c r="C2667"/>
      <c r="D2667"/>
      <c r="E2667"/>
      <c r="F2667"/>
      <c r="G2667"/>
    </row>
    <row r="2668" spans="1:7">
      <c r="A2668"/>
      <c r="B2668"/>
      <c r="C2668"/>
      <c r="D2668"/>
      <c r="E2668"/>
      <c r="F2668"/>
      <c r="G2668"/>
    </row>
    <row r="2669" spans="1:7">
      <c r="A2669"/>
      <c r="B2669"/>
      <c r="C2669"/>
      <c r="D2669"/>
      <c r="E2669"/>
      <c r="F2669"/>
      <c r="G2669"/>
    </row>
    <row r="2670" spans="1:7">
      <c r="A2670"/>
      <c r="B2670"/>
      <c r="C2670"/>
      <c r="D2670"/>
      <c r="E2670"/>
      <c r="F2670"/>
      <c r="G2670"/>
    </row>
    <row r="2671" spans="1:7">
      <c r="A2671"/>
      <c r="B2671"/>
      <c r="C2671"/>
      <c r="D2671"/>
      <c r="E2671"/>
      <c r="F2671"/>
      <c r="G2671"/>
    </row>
    <row r="2672" spans="1:7">
      <c r="A2672"/>
      <c r="B2672"/>
      <c r="C2672"/>
      <c r="D2672"/>
      <c r="E2672"/>
      <c r="F2672"/>
      <c r="G2672"/>
    </row>
    <row r="2673" spans="1:7">
      <c r="A2673"/>
      <c r="B2673"/>
      <c r="C2673"/>
      <c r="D2673"/>
      <c r="E2673"/>
      <c r="F2673"/>
      <c r="G2673"/>
    </row>
    <row r="2674" spans="1:7">
      <c r="A2674"/>
      <c r="B2674"/>
      <c r="C2674"/>
      <c r="D2674"/>
      <c r="E2674"/>
      <c r="F2674"/>
      <c r="G2674"/>
    </row>
    <row r="2675" spans="1:7">
      <c r="A2675"/>
      <c r="B2675"/>
      <c r="C2675"/>
      <c r="D2675"/>
      <c r="E2675"/>
      <c r="F2675"/>
      <c r="G2675"/>
    </row>
    <row r="2676" spans="1:7">
      <c r="A2676"/>
      <c r="B2676"/>
      <c r="C2676"/>
      <c r="D2676"/>
      <c r="E2676"/>
      <c r="F2676"/>
      <c r="G2676"/>
    </row>
    <row r="2677" spans="1:7">
      <c r="A2677"/>
      <c r="B2677"/>
      <c r="C2677"/>
      <c r="D2677"/>
      <c r="E2677"/>
      <c r="F2677"/>
      <c r="G2677"/>
    </row>
    <row r="2678" spans="1:7">
      <c r="A2678"/>
      <c r="B2678"/>
      <c r="C2678"/>
      <c r="D2678"/>
      <c r="E2678"/>
      <c r="F2678"/>
      <c r="G2678"/>
    </row>
    <row r="2679" spans="1:7">
      <c r="A2679"/>
      <c r="B2679"/>
      <c r="C2679"/>
      <c r="D2679"/>
      <c r="E2679"/>
      <c r="F2679"/>
      <c r="G2679"/>
    </row>
    <row r="2680" spans="1:7">
      <c r="A2680"/>
      <c r="B2680"/>
      <c r="C2680"/>
      <c r="D2680"/>
      <c r="E2680"/>
      <c r="F2680"/>
      <c r="G2680"/>
    </row>
    <row r="2681" spans="1:7">
      <c r="A2681"/>
      <c r="B2681"/>
      <c r="C2681"/>
      <c r="D2681"/>
      <c r="E2681"/>
      <c r="F2681"/>
      <c r="G2681"/>
    </row>
    <row r="2682" spans="1:7">
      <c r="A2682"/>
      <c r="B2682"/>
      <c r="C2682"/>
      <c r="D2682"/>
      <c r="E2682"/>
      <c r="F2682"/>
      <c r="G2682"/>
    </row>
    <row r="2683" spans="1:7">
      <c r="A2683"/>
      <c r="B2683"/>
      <c r="C2683"/>
      <c r="D2683"/>
      <c r="E2683"/>
      <c r="F2683"/>
      <c r="G2683"/>
    </row>
    <row r="2684" spans="1:7">
      <c r="A2684"/>
      <c r="B2684"/>
      <c r="C2684"/>
      <c r="D2684"/>
      <c r="E2684"/>
      <c r="F2684"/>
      <c r="G2684"/>
    </row>
    <row r="2685" spans="1:7">
      <c r="A2685"/>
      <c r="B2685"/>
      <c r="C2685"/>
      <c r="D2685"/>
      <c r="E2685"/>
      <c r="F2685"/>
      <c r="G2685"/>
    </row>
    <row r="2686" spans="1:7">
      <c r="A2686"/>
      <c r="B2686"/>
      <c r="C2686"/>
      <c r="D2686"/>
      <c r="E2686"/>
      <c r="F2686"/>
      <c r="G2686"/>
    </row>
    <row r="2687" spans="1:7">
      <c r="A2687"/>
      <c r="B2687"/>
      <c r="C2687"/>
      <c r="D2687"/>
      <c r="E2687"/>
      <c r="F2687"/>
      <c r="G2687"/>
    </row>
    <row r="2688" spans="1:7">
      <c r="A2688"/>
      <c r="B2688"/>
      <c r="C2688"/>
      <c r="D2688"/>
      <c r="E2688"/>
      <c r="F2688"/>
      <c r="G2688"/>
    </row>
    <row r="2689" spans="1:7">
      <c r="A2689"/>
      <c r="B2689"/>
      <c r="C2689"/>
      <c r="D2689"/>
      <c r="E2689"/>
      <c r="F2689"/>
      <c r="G2689"/>
    </row>
    <row r="2690" spans="1:7">
      <c r="A2690"/>
      <c r="B2690"/>
      <c r="C2690"/>
      <c r="D2690"/>
      <c r="E2690"/>
      <c r="F2690"/>
      <c r="G2690"/>
    </row>
    <row r="2691" spans="1:7">
      <c r="A2691"/>
      <c r="B2691"/>
      <c r="C2691"/>
      <c r="D2691"/>
      <c r="E2691"/>
      <c r="F2691"/>
      <c r="G2691"/>
    </row>
    <row r="2692" spans="1:7">
      <c r="A2692"/>
      <c r="B2692"/>
      <c r="C2692"/>
      <c r="D2692"/>
      <c r="E2692"/>
      <c r="F2692"/>
      <c r="G2692"/>
    </row>
    <row r="2693" spans="1:7">
      <c r="A2693"/>
      <c r="B2693"/>
      <c r="C2693"/>
      <c r="D2693"/>
      <c r="E2693"/>
      <c r="F2693"/>
      <c r="G2693"/>
    </row>
    <row r="2694" spans="1:7">
      <c r="A2694"/>
      <c r="B2694"/>
      <c r="C2694"/>
      <c r="D2694"/>
      <c r="E2694"/>
      <c r="F2694"/>
      <c r="G2694"/>
    </row>
    <row r="2695" spans="1:7">
      <c r="A2695"/>
      <c r="B2695"/>
      <c r="C2695"/>
      <c r="D2695"/>
      <c r="E2695"/>
      <c r="F2695"/>
      <c r="G2695"/>
    </row>
    <row r="2696" spans="1:7">
      <c r="A2696"/>
      <c r="B2696"/>
      <c r="C2696"/>
      <c r="D2696"/>
      <c r="E2696"/>
      <c r="F2696"/>
      <c r="G2696"/>
    </row>
    <row r="2697" spans="1:7">
      <c r="A2697"/>
      <c r="B2697"/>
      <c r="C2697"/>
      <c r="D2697"/>
      <c r="E2697"/>
      <c r="F2697"/>
      <c r="G2697"/>
    </row>
    <row r="2698" spans="1:7">
      <c r="A2698"/>
      <c r="B2698"/>
      <c r="C2698"/>
      <c r="D2698"/>
      <c r="E2698"/>
      <c r="F2698"/>
      <c r="G2698"/>
    </row>
    <row r="2699" spans="1:7">
      <c r="A2699"/>
      <c r="B2699"/>
      <c r="C2699"/>
      <c r="D2699"/>
      <c r="E2699"/>
      <c r="F2699"/>
      <c r="G2699"/>
    </row>
    <row r="2700" spans="1:7">
      <c r="A2700"/>
      <c r="B2700"/>
      <c r="C2700"/>
      <c r="D2700"/>
      <c r="E2700"/>
      <c r="F2700"/>
      <c r="G2700"/>
    </row>
    <row r="2701" spans="1:7">
      <c r="A2701"/>
      <c r="B2701"/>
      <c r="C2701"/>
      <c r="D2701"/>
      <c r="E2701"/>
      <c r="F2701"/>
      <c r="G2701"/>
    </row>
    <row r="2702" spans="1:7">
      <c r="A2702"/>
      <c r="B2702"/>
      <c r="C2702"/>
      <c r="D2702"/>
      <c r="E2702"/>
      <c r="F2702"/>
      <c r="G2702"/>
    </row>
    <row r="2703" spans="1:7">
      <c r="A2703"/>
      <c r="B2703"/>
      <c r="C2703"/>
      <c r="D2703"/>
      <c r="E2703"/>
      <c r="F2703"/>
      <c r="G2703"/>
    </row>
    <row r="2704" spans="1:7">
      <c r="A2704"/>
      <c r="B2704"/>
      <c r="C2704"/>
      <c r="D2704"/>
      <c r="E2704"/>
      <c r="F2704"/>
      <c r="G2704"/>
    </row>
    <row r="2705" spans="1:7">
      <c r="A2705"/>
      <c r="B2705"/>
      <c r="C2705"/>
      <c r="D2705"/>
      <c r="E2705"/>
      <c r="F2705"/>
      <c r="G2705"/>
    </row>
    <row r="2706" spans="1:7">
      <c r="A2706"/>
      <c r="B2706"/>
      <c r="C2706"/>
      <c r="D2706"/>
      <c r="E2706"/>
      <c r="F2706"/>
      <c r="G2706"/>
    </row>
    <row r="2707" spans="1:7">
      <c r="A2707"/>
      <c r="B2707"/>
      <c r="C2707"/>
      <c r="D2707"/>
      <c r="E2707"/>
      <c r="F2707"/>
      <c r="G2707"/>
    </row>
    <row r="2708" spans="1:7">
      <c r="A2708"/>
      <c r="B2708"/>
      <c r="C2708"/>
      <c r="D2708"/>
      <c r="E2708"/>
      <c r="F2708"/>
      <c r="G2708"/>
    </row>
    <row r="2709" spans="1:7">
      <c r="A2709"/>
      <c r="B2709"/>
      <c r="C2709"/>
      <c r="D2709"/>
      <c r="E2709"/>
      <c r="F2709"/>
      <c r="G2709"/>
    </row>
    <row r="2710" spans="1:7">
      <c r="A2710"/>
      <c r="B2710"/>
      <c r="C2710"/>
      <c r="D2710"/>
      <c r="E2710"/>
      <c r="F2710"/>
      <c r="G2710"/>
    </row>
    <row r="2711" spans="1:7">
      <c r="A2711"/>
      <c r="B2711"/>
      <c r="C2711"/>
      <c r="D2711"/>
      <c r="E2711"/>
      <c r="F2711"/>
      <c r="G2711"/>
    </row>
    <row r="2712" spans="1:7">
      <c r="A2712"/>
      <c r="B2712"/>
      <c r="C2712"/>
      <c r="D2712"/>
      <c r="E2712"/>
      <c r="F2712"/>
      <c r="G2712"/>
    </row>
    <row r="2713" spans="1:7">
      <c r="A2713"/>
      <c r="B2713"/>
      <c r="C2713"/>
      <c r="D2713"/>
      <c r="E2713"/>
      <c r="F2713"/>
      <c r="G2713"/>
    </row>
    <row r="2714" spans="1:7">
      <c r="A2714"/>
      <c r="B2714"/>
      <c r="C2714"/>
      <c r="D2714"/>
      <c r="E2714"/>
      <c r="F2714"/>
      <c r="G2714"/>
    </row>
    <row r="2715" spans="1:7">
      <c r="A2715"/>
      <c r="B2715"/>
      <c r="C2715"/>
      <c r="D2715"/>
      <c r="E2715"/>
      <c r="F2715"/>
      <c r="G2715"/>
    </row>
    <row r="2716" spans="1:7">
      <c r="A2716"/>
      <c r="B2716"/>
      <c r="C2716"/>
      <c r="D2716"/>
      <c r="E2716"/>
      <c r="F2716"/>
      <c r="G2716"/>
    </row>
    <row r="2717" spans="1:7">
      <c r="A2717"/>
      <c r="B2717"/>
      <c r="C2717"/>
      <c r="D2717"/>
      <c r="E2717"/>
      <c r="F2717"/>
      <c r="G2717"/>
    </row>
    <row r="2718" spans="1:7">
      <c r="A2718"/>
      <c r="B2718"/>
      <c r="C2718"/>
      <c r="D2718"/>
      <c r="E2718"/>
      <c r="F2718"/>
      <c r="G2718"/>
    </row>
    <row r="2719" spans="1:7">
      <c r="A2719"/>
      <c r="B2719"/>
      <c r="C2719"/>
      <c r="D2719"/>
      <c r="E2719"/>
      <c r="F2719"/>
      <c r="G2719"/>
    </row>
    <row r="2720" spans="1:7">
      <c r="A2720"/>
      <c r="B2720"/>
      <c r="C2720"/>
      <c r="D2720"/>
      <c r="E2720"/>
      <c r="F2720"/>
      <c r="G2720"/>
    </row>
    <row r="2721" spans="1:7">
      <c r="A2721"/>
      <c r="B2721"/>
      <c r="C2721"/>
      <c r="D2721"/>
      <c r="E2721"/>
      <c r="F2721"/>
      <c r="G2721"/>
    </row>
    <row r="2722" spans="1:7">
      <c r="A2722"/>
      <c r="B2722"/>
      <c r="C2722"/>
      <c r="D2722"/>
      <c r="E2722"/>
      <c r="F2722"/>
      <c r="G2722"/>
    </row>
    <row r="2723" spans="1:7">
      <c r="A2723"/>
      <c r="B2723"/>
      <c r="C2723"/>
      <c r="D2723"/>
      <c r="E2723"/>
      <c r="F2723"/>
      <c r="G2723"/>
    </row>
    <row r="2724" spans="1:7">
      <c r="A2724"/>
      <c r="B2724"/>
      <c r="C2724"/>
      <c r="D2724"/>
      <c r="E2724"/>
      <c r="F2724"/>
      <c r="G2724"/>
    </row>
    <row r="2725" spans="1:7">
      <c r="A2725"/>
      <c r="B2725"/>
      <c r="C2725"/>
      <c r="D2725"/>
      <c r="E2725"/>
      <c r="F2725"/>
      <c r="G2725"/>
    </row>
    <row r="2726" spans="1:7">
      <c r="A2726"/>
      <c r="B2726"/>
      <c r="C2726"/>
      <c r="D2726"/>
      <c r="E2726"/>
      <c r="F2726"/>
      <c r="G2726"/>
    </row>
    <row r="2727" spans="1:7">
      <c r="A2727"/>
      <c r="B2727"/>
      <c r="C2727"/>
      <c r="D2727"/>
      <c r="E2727"/>
      <c r="F2727"/>
      <c r="G2727"/>
    </row>
    <row r="2728" spans="1:7">
      <c r="A2728"/>
      <c r="B2728"/>
      <c r="C2728"/>
      <c r="D2728"/>
      <c r="E2728"/>
      <c r="F2728"/>
      <c r="G2728"/>
    </row>
    <row r="2729" spans="1:7">
      <c r="A2729"/>
      <c r="B2729"/>
      <c r="C2729"/>
      <c r="D2729"/>
      <c r="E2729"/>
      <c r="F2729"/>
      <c r="G2729"/>
    </row>
    <row r="2730" spans="1:7">
      <c r="A2730"/>
      <c r="B2730"/>
      <c r="C2730"/>
      <c r="D2730"/>
      <c r="E2730"/>
      <c r="F2730"/>
      <c r="G2730"/>
    </row>
    <row r="2731" spans="1:7">
      <c r="A2731"/>
      <c r="B2731"/>
      <c r="C2731"/>
      <c r="D2731"/>
      <c r="E2731"/>
      <c r="F2731"/>
      <c r="G2731"/>
    </row>
    <row r="2732" spans="1:7">
      <c r="A2732"/>
      <c r="B2732"/>
      <c r="C2732"/>
      <c r="D2732"/>
      <c r="E2732"/>
      <c r="F2732"/>
      <c r="G2732"/>
    </row>
    <row r="2733" spans="1:7">
      <c r="A2733"/>
      <c r="B2733"/>
      <c r="C2733"/>
      <c r="D2733"/>
      <c r="E2733"/>
      <c r="F2733"/>
      <c r="G2733"/>
    </row>
    <row r="2734" spans="1:7">
      <c r="A2734"/>
      <c r="B2734"/>
      <c r="C2734"/>
      <c r="D2734"/>
      <c r="E2734"/>
      <c r="F2734"/>
      <c r="G2734"/>
    </row>
    <row r="2735" spans="1:7">
      <c r="A2735"/>
      <c r="B2735"/>
      <c r="C2735"/>
      <c r="D2735"/>
      <c r="E2735"/>
      <c r="F2735"/>
      <c r="G2735"/>
    </row>
    <row r="2736" spans="1:7">
      <c r="A2736"/>
      <c r="B2736"/>
      <c r="C2736"/>
      <c r="D2736"/>
      <c r="E2736"/>
      <c r="F2736"/>
      <c r="G2736"/>
    </row>
    <row r="2737" spans="1:7">
      <c r="A2737"/>
      <c r="B2737"/>
      <c r="C2737"/>
      <c r="D2737"/>
      <c r="E2737"/>
      <c r="F2737"/>
      <c r="G2737"/>
    </row>
    <row r="2738" spans="1:7">
      <c r="A2738"/>
      <c r="B2738"/>
      <c r="C2738"/>
      <c r="D2738"/>
      <c r="E2738"/>
      <c r="F2738"/>
      <c r="G2738"/>
    </row>
    <row r="2739" spans="1:7">
      <c r="A2739"/>
      <c r="B2739"/>
      <c r="C2739"/>
      <c r="D2739"/>
      <c r="E2739"/>
      <c r="F2739"/>
      <c r="G2739"/>
    </row>
    <row r="2740" spans="1:7">
      <c r="A2740"/>
      <c r="B2740"/>
      <c r="C2740"/>
      <c r="D2740"/>
      <c r="E2740"/>
      <c r="F2740"/>
      <c r="G2740"/>
    </row>
    <row r="2741" spans="1:7">
      <c r="A2741"/>
      <c r="B2741"/>
      <c r="C2741"/>
      <c r="D2741"/>
      <c r="E2741"/>
      <c r="F2741"/>
      <c r="G2741"/>
    </row>
    <row r="2742" spans="1:7">
      <c r="A2742"/>
      <c r="B2742"/>
      <c r="C2742"/>
      <c r="D2742"/>
      <c r="E2742"/>
      <c r="F2742"/>
      <c r="G2742"/>
    </row>
    <row r="2743" spans="1:7">
      <c r="A2743"/>
      <c r="B2743"/>
      <c r="C2743"/>
      <c r="D2743"/>
      <c r="E2743"/>
      <c r="F2743"/>
      <c r="G2743"/>
    </row>
    <row r="2744" spans="1:7">
      <c r="A2744"/>
      <c r="B2744"/>
      <c r="C2744"/>
      <c r="D2744"/>
      <c r="E2744"/>
      <c r="F2744"/>
      <c r="G2744"/>
    </row>
    <row r="2745" spans="1:7">
      <c r="A2745"/>
      <c r="B2745"/>
      <c r="C2745"/>
      <c r="D2745"/>
      <c r="E2745"/>
      <c r="F2745"/>
      <c r="G2745"/>
    </row>
    <row r="2746" spans="1:7">
      <c r="A2746"/>
      <c r="B2746"/>
      <c r="C2746"/>
      <c r="D2746"/>
      <c r="E2746"/>
      <c r="F2746"/>
      <c r="G2746"/>
    </row>
    <row r="2747" spans="1:7">
      <c r="A2747"/>
      <c r="B2747"/>
      <c r="C2747"/>
      <c r="D2747"/>
      <c r="E2747"/>
      <c r="F2747"/>
      <c r="G2747"/>
    </row>
    <row r="2748" spans="1:7">
      <c r="A2748"/>
      <c r="B2748"/>
      <c r="C2748"/>
      <c r="D2748"/>
      <c r="E2748"/>
      <c r="F2748"/>
      <c r="G2748"/>
    </row>
    <row r="2749" spans="1:7">
      <c r="A2749"/>
      <c r="B2749"/>
      <c r="C2749"/>
      <c r="D2749"/>
      <c r="E2749"/>
      <c r="F2749"/>
      <c r="G2749"/>
    </row>
    <row r="2750" spans="1:7">
      <c r="A2750"/>
      <c r="B2750"/>
      <c r="C2750"/>
      <c r="D2750"/>
      <c r="E2750"/>
      <c r="F2750"/>
      <c r="G2750"/>
    </row>
    <row r="2751" spans="1:7">
      <c r="A2751"/>
      <c r="B2751"/>
      <c r="C2751"/>
      <c r="D2751"/>
      <c r="E2751"/>
      <c r="F2751"/>
      <c r="G2751"/>
    </row>
    <row r="2752" spans="1:7">
      <c r="A2752"/>
      <c r="B2752"/>
      <c r="C2752"/>
      <c r="D2752"/>
      <c r="E2752"/>
      <c r="F2752"/>
      <c r="G2752"/>
    </row>
    <row r="2753" spans="1:7">
      <c r="A2753"/>
      <c r="B2753"/>
      <c r="C2753"/>
      <c r="D2753"/>
      <c r="E2753"/>
      <c r="F2753"/>
      <c r="G2753"/>
    </row>
    <row r="2754" spans="1:7">
      <c r="A2754"/>
      <c r="B2754"/>
      <c r="C2754"/>
      <c r="D2754"/>
      <c r="E2754"/>
      <c r="F2754"/>
      <c r="G2754"/>
    </row>
    <row r="2755" spans="1:7">
      <c r="A2755"/>
      <c r="B2755"/>
      <c r="C2755"/>
      <c r="D2755"/>
      <c r="E2755"/>
      <c r="F2755"/>
      <c r="G2755"/>
    </row>
    <row r="2756" spans="1:7">
      <c r="A2756"/>
      <c r="B2756"/>
      <c r="C2756"/>
      <c r="D2756"/>
      <c r="E2756"/>
      <c r="F2756"/>
      <c r="G2756"/>
    </row>
    <row r="2757" spans="1:7">
      <c r="A2757"/>
      <c r="B2757"/>
      <c r="C2757"/>
      <c r="D2757"/>
      <c r="E2757"/>
      <c r="F2757"/>
      <c r="G2757"/>
    </row>
    <row r="2758" spans="1:7">
      <c r="A2758"/>
      <c r="B2758"/>
      <c r="C2758"/>
      <c r="D2758"/>
      <c r="E2758"/>
      <c r="F2758"/>
      <c r="G2758"/>
    </row>
    <row r="2759" spans="1:7">
      <c r="A2759"/>
      <c r="B2759"/>
      <c r="C2759"/>
      <c r="D2759"/>
      <c r="E2759"/>
      <c r="F2759"/>
      <c r="G2759"/>
    </row>
    <row r="2760" spans="1:7">
      <c r="A2760"/>
      <c r="B2760"/>
      <c r="C2760"/>
      <c r="D2760"/>
      <c r="E2760"/>
      <c r="F2760"/>
      <c r="G2760"/>
    </row>
    <row r="2761" spans="1:7">
      <c r="A2761"/>
      <c r="B2761"/>
      <c r="C2761"/>
      <c r="D2761"/>
      <c r="E2761"/>
      <c r="F2761"/>
      <c r="G2761"/>
    </row>
    <row r="2762" spans="1:7">
      <c r="A2762"/>
      <c r="B2762"/>
      <c r="C2762"/>
      <c r="D2762"/>
      <c r="E2762"/>
      <c r="F2762"/>
      <c r="G2762"/>
    </row>
    <row r="2763" spans="1:7">
      <c r="A2763"/>
      <c r="B2763"/>
      <c r="C2763"/>
      <c r="D2763"/>
      <c r="E2763"/>
      <c r="F2763"/>
      <c r="G2763"/>
    </row>
    <row r="2764" spans="1:7">
      <c r="A2764"/>
      <c r="B2764"/>
      <c r="C2764"/>
      <c r="D2764"/>
      <c r="E2764"/>
      <c r="F2764"/>
      <c r="G2764"/>
    </row>
    <row r="2765" spans="1:7">
      <c r="A2765"/>
      <c r="B2765"/>
      <c r="C2765"/>
      <c r="D2765"/>
      <c r="E2765"/>
      <c r="F2765"/>
      <c r="G2765"/>
    </row>
    <row r="2766" spans="1:7">
      <c r="A2766"/>
      <c r="B2766"/>
      <c r="C2766"/>
      <c r="D2766"/>
      <c r="E2766"/>
      <c r="F2766"/>
      <c r="G2766"/>
    </row>
    <row r="2767" spans="1:7">
      <c r="A2767"/>
      <c r="B2767"/>
      <c r="C2767"/>
      <c r="D2767"/>
      <c r="E2767"/>
      <c r="F2767"/>
      <c r="G2767"/>
    </row>
    <row r="2768" spans="1:7">
      <c r="A2768"/>
      <c r="B2768"/>
      <c r="C2768"/>
      <c r="D2768"/>
      <c r="E2768"/>
      <c r="F2768"/>
      <c r="G2768"/>
    </row>
    <row r="2769" spans="1:7">
      <c r="A2769"/>
      <c r="B2769"/>
      <c r="C2769"/>
      <c r="D2769"/>
      <c r="E2769"/>
      <c r="F2769"/>
      <c r="G2769"/>
    </row>
    <row r="2770" spans="1:7">
      <c r="A2770"/>
      <c r="B2770"/>
      <c r="C2770"/>
      <c r="D2770"/>
      <c r="E2770"/>
      <c r="F2770"/>
      <c r="G2770"/>
    </row>
    <row r="2771" spans="1:7">
      <c r="A2771"/>
      <c r="B2771"/>
      <c r="C2771"/>
      <c r="D2771"/>
      <c r="E2771"/>
      <c r="F2771"/>
      <c r="G2771"/>
    </row>
    <row r="2772" spans="1:7">
      <c r="A2772"/>
      <c r="B2772"/>
      <c r="C2772"/>
      <c r="D2772"/>
      <c r="E2772"/>
      <c r="F2772"/>
      <c r="G2772"/>
    </row>
    <row r="2773" spans="1:7">
      <c r="A2773"/>
      <c r="B2773"/>
      <c r="C2773"/>
      <c r="D2773"/>
      <c r="E2773"/>
      <c r="F2773"/>
      <c r="G2773"/>
    </row>
    <row r="2774" spans="1:7">
      <c r="A2774"/>
      <c r="B2774"/>
      <c r="C2774"/>
      <c r="D2774"/>
      <c r="E2774"/>
      <c r="F2774"/>
      <c r="G2774"/>
    </row>
    <row r="2775" spans="1:7">
      <c r="A2775"/>
      <c r="B2775"/>
      <c r="C2775"/>
      <c r="D2775"/>
      <c r="E2775"/>
      <c r="F2775"/>
      <c r="G2775"/>
    </row>
    <row r="2776" spans="1:7">
      <c r="A2776"/>
      <c r="B2776"/>
      <c r="C2776"/>
      <c r="D2776"/>
      <c r="E2776"/>
      <c r="F2776"/>
      <c r="G2776"/>
    </row>
    <row r="2777" spans="1:7">
      <c r="A2777"/>
      <c r="B2777"/>
      <c r="C2777"/>
      <c r="D2777"/>
      <c r="E2777"/>
      <c r="F2777"/>
      <c r="G2777"/>
    </row>
    <row r="2778" spans="1:7">
      <c r="A2778"/>
      <c r="B2778"/>
      <c r="C2778"/>
      <c r="D2778"/>
      <c r="E2778"/>
      <c r="F2778"/>
      <c r="G2778"/>
    </row>
    <row r="2779" spans="1:7">
      <c r="A2779"/>
      <c r="B2779"/>
      <c r="C2779"/>
      <c r="D2779"/>
      <c r="E2779"/>
      <c r="F2779"/>
      <c r="G2779"/>
    </row>
    <row r="2780" spans="1:7">
      <c r="A2780"/>
      <c r="B2780"/>
      <c r="C2780"/>
      <c r="D2780"/>
      <c r="E2780"/>
      <c r="F2780"/>
      <c r="G2780"/>
    </row>
    <row r="2781" spans="1:7">
      <c r="A2781"/>
      <c r="B2781"/>
      <c r="C2781"/>
      <c r="D2781"/>
      <c r="E2781"/>
      <c r="F2781"/>
      <c r="G2781"/>
    </row>
    <row r="2782" spans="1:7">
      <c r="A2782"/>
      <c r="B2782"/>
      <c r="C2782"/>
      <c r="D2782"/>
      <c r="E2782"/>
      <c r="F2782"/>
      <c r="G2782"/>
    </row>
    <row r="2783" spans="1:7">
      <c r="A2783"/>
      <c r="B2783"/>
      <c r="C2783"/>
      <c r="D2783"/>
      <c r="E2783"/>
      <c r="F2783"/>
      <c r="G2783"/>
    </row>
    <row r="2784" spans="1:7">
      <c r="A2784"/>
      <c r="B2784"/>
      <c r="C2784"/>
      <c r="D2784"/>
      <c r="E2784"/>
      <c r="F2784"/>
      <c r="G2784"/>
    </row>
    <row r="2785" spans="1:7">
      <c r="A2785"/>
      <c r="B2785"/>
      <c r="C2785"/>
      <c r="D2785"/>
      <c r="E2785"/>
      <c r="F2785"/>
      <c r="G2785"/>
    </row>
    <row r="2786" spans="1:7">
      <c r="A2786"/>
      <c r="B2786"/>
      <c r="C2786"/>
      <c r="D2786"/>
      <c r="E2786"/>
      <c r="F2786"/>
      <c r="G2786"/>
    </row>
    <row r="2787" spans="1:7">
      <c r="A2787"/>
      <c r="B2787"/>
      <c r="C2787"/>
      <c r="D2787"/>
      <c r="E2787"/>
      <c r="F2787"/>
      <c r="G2787"/>
    </row>
    <row r="2788" spans="1:7">
      <c r="A2788"/>
      <c r="B2788"/>
      <c r="C2788"/>
      <c r="D2788"/>
      <c r="E2788"/>
      <c r="F2788"/>
      <c r="G2788"/>
    </row>
    <row r="2789" spans="1:7">
      <c r="A2789"/>
      <c r="B2789"/>
      <c r="C2789"/>
      <c r="D2789"/>
      <c r="E2789"/>
      <c r="F2789"/>
      <c r="G2789"/>
    </row>
    <row r="2790" spans="1:7">
      <c r="A2790"/>
      <c r="B2790"/>
      <c r="C2790"/>
      <c r="D2790"/>
      <c r="E2790"/>
      <c r="F2790"/>
      <c r="G2790"/>
    </row>
    <row r="2791" spans="1:7">
      <c r="A2791"/>
      <c r="B2791"/>
      <c r="C2791"/>
      <c r="D2791"/>
      <c r="E2791"/>
      <c r="F2791"/>
      <c r="G2791"/>
    </row>
    <row r="2792" spans="1:7" ht="16.5" customHeight="1">
      <c r="A2792"/>
      <c r="B2792"/>
      <c r="C2792"/>
      <c r="D2792"/>
      <c r="E2792"/>
      <c r="F2792"/>
      <c r="G2792"/>
    </row>
    <row r="2793" spans="1:7">
      <c r="A2793"/>
      <c r="B2793"/>
      <c r="C2793"/>
      <c r="D2793"/>
      <c r="E2793"/>
      <c r="F2793"/>
      <c r="G2793"/>
    </row>
    <row r="2794" spans="1:7">
      <c r="A2794"/>
      <c r="B2794"/>
      <c r="C2794"/>
      <c r="D2794"/>
      <c r="E2794"/>
      <c r="F2794"/>
      <c r="G2794"/>
    </row>
    <row r="2795" spans="1:7">
      <c r="A2795"/>
      <c r="B2795"/>
      <c r="C2795"/>
      <c r="D2795"/>
      <c r="E2795"/>
      <c r="F2795"/>
      <c r="G2795"/>
    </row>
    <row r="2796" spans="1:7">
      <c r="A2796"/>
      <c r="B2796"/>
      <c r="C2796"/>
      <c r="D2796"/>
      <c r="E2796"/>
      <c r="F2796"/>
      <c r="G2796"/>
    </row>
    <row r="2797" spans="1:7">
      <c r="A2797"/>
      <c r="B2797"/>
      <c r="C2797"/>
      <c r="D2797"/>
      <c r="E2797"/>
      <c r="F2797"/>
      <c r="G2797"/>
    </row>
    <row r="2798" spans="1:7">
      <c r="A2798"/>
      <c r="B2798"/>
      <c r="C2798"/>
      <c r="D2798"/>
      <c r="E2798"/>
      <c r="F2798"/>
      <c r="G2798"/>
    </row>
    <row r="2799" spans="1:7">
      <c r="A2799"/>
      <c r="B2799"/>
      <c r="C2799"/>
      <c r="D2799"/>
      <c r="E2799"/>
      <c r="F2799"/>
      <c r="G2799"/>
    </row>
    <row r="2800" spans="1:7">
      <c r="A2800"/>
      <c r="B2800"/>
      <c r="C2800"/>
      <c r="D2800"/>
      <c r="E2800"/>
      <c r="F2800"/>
      <c r="G2800"/>
    </row>
    <row r="2801" spans="1:7">
      <c r="A2801"/>
      <c r="B2801"/>
      <c r="C2801"/>
      <c r="D2801"/>
      <c r="E2801"/>
      <c r="F2801"/>
      <c r="G2801"/>
    </row>
    <row r="2802" spans="1:7">
      <c r="A2802"/>
      <c r="B2802"/>
      <c r="C2802"/>
      <c r="D2802"/>
      <c r="E2802"/>
      <c r="F2802"/>
      <c r="G2802"/>
    </row>
    <row r="2803" spans="1:7">
      <c r="A2803"/>
      <c r="B2803"/>
      <c r="C2803"/>
      <c r="D2803"/>
      <c r="E2803"/>
      <c r="F2803"/>
      <c r="G2803"/>
    </row>
    <row r="2804" spans="1:7">
      <c r="A2804"/>
      <c r="B2804"/>
      <c r="C2804"/>
      <c r="D2804"/>
      <c r="E2804"/>
      <c r="F2804"/>
      <c r="G2804"/>
    </row>
    <row r="2805" spans="1:7">
      <c r="A2805"/>
      <c r="B2805"/>
      <c r="C2805"/>
      <c r="D2805"/>
      <c r="E2805"/>
      <c r="F2805"/>
      <c r="G2805"/>
    </row>
    <row r="2806" spans="1:7">
      <c r="A2806"/>
      <c r="B2806"/>
      <c r="C2806"/>
      <c r="D2806"/>
      <c r="E2806"/>
      <c r="F2806"/>
      <c r="G2806"/>
    </row>
    <row r="2807" spans="1:7">
      <c r="A2807"/>
      <c r="B2807"/>
      <c r="C2807"/>
      <c r="D2807"/>
      <c r="E2807"/>
      <c r="F2807"/>
      <c r="G2807"/>
    </row>
    <row r="2808" spans="1:7">
      <c r="A2808"/>
      <c r="B2808"/>
      <c r="C2808"/>
      <c r="D2808"/>
      <c r="E2808"/>
      <c r="F2808"/>
      <c r="G2808"/>
    </row>
    <row r="2809" spans="1:7">
      <c r="A2809"/>
      <c r="B2809"/>
      <c r="C2809"/>
      <c r="D2809"/>
      <c r="E2809"/>
      <c r="F2809"/>
      <c r="G2809"/>
    </row>
    <row r="2810" spans="1:7">
      <c r="A2810"/>
      <c r="B2810"/>
      <c r="C2810"/>
      <c r="D2810"/>
      <c r="E2810"/>
      <c r="F2810"/>
      <c r="G2810"/>
    </row>
    <row r="2811" spans="1:7">
      <c r="A2811"/>
      <c r="B2811"/>
      <c r="C2811"/>
      <c r="D2811"/>
      <c r="E2811"/>
      <c r="F2811"/>
      <c r="G2811"/>
    </row>
    <row r="2812" spans="1:7">
      <c r="A2812"/>
      <c r="B2812"/>
      <c r="C2812"/>
      <c r="D2812"/>
      <c r="E2812"/>
      <c r="F2812"/>
      <c r="G2812"/>
    </row>
    <row r="2813" spans="1:7">
      <c r="A2813"/>
      <c r="B2813"/>
      <c r="C2813"/>
      <c r="D2813"/>
      <c r="E2813"/>
      <c r="F2813"/>
      <c r="G2813"/>
    </row>
    <row r="2814" spans="1:7">
      <c r="A2814"/>
      <c r="B2814"/>
      <c r="C2814"/>
      <c r="D2814"/>
      <c r="E2814"/>
      <c r="F2814"/>
      <c r="G2814"/>
    </row>
    <row r="2815" spans="1:7">
      <c r="A2815"/>
      <c r="B2815"/>
      <c r="C2815"/>
      <c r="D2815"/>
      <c r="E2815"/>
      <c r="F2815"/>
      <c r="G2815"/>
    </row>
    <row r="2816" spans="1:7">
      <c r="A2816"/>
      <c r="B2816"/>
      <c r="C2816"/>
      <c r="D2816"/>
      <c r="E2816"/>
      <c r="F2816"/>
      <c r="G2816"/>
    </row>
    <row r="2817" spans="1:7">
      <c r="A2817"/>
      <c r="B2817"/>
      <c r="C2817"/>
      <c r="D2817"/>
      <c r="E2817"/>
      <c r="F2817"/>
      <c r="G2817"/>
    </row>
    <row r="2818" spans="1:7">
      <c r="A2818"/>
      <c r="B2818"/>
      <c r="C2818"/>
      <c r="D2818"/>
      <c r="E2818"/>
      <c r="F2818"/>
      <c r="G2818"/>
    </row>
    <row r="2819" spans="1:7">
      <c r="A2819"/>
      <c r="B2819"/>
      <c r="C2819"/>
      <c r="D2819"/>
      <c r="E2819"/>
      <c r="F2819"/>
      <c r="G2819"/>
    </row>
    <row r="2820" spans="1:7">
      <c r="A2820"/>
      <c r="B2820"/>
      <c r="C2820"/>
      <c r="D2820"/>
      <c r="E2820"/>
      <c r="F2820"/>
      <c r="G2820"/>
    </row>
    <row r="2821" spans="1:7">
      <c r="A2821"/>
      <c r="B2821"/>
      <c r="C2821"/>
      <c r="D2821"/>
      <c r="E2821"/>
      <c r="F2821"/>
      <c r="G2821"/>
    </row>
    <row r="2822" spans="1:7">
      <c r="A2822"/>
      <c r="B2822"/>
      <c r="C2822"/>
      <c r="D2822"/>
      <c r="E2822"/>
      <c r="F2822"/>
      <c r="G2822"/>
    </row>
    <row r="2823" spans="1:7">
      <c r="A2823"/>
      <c r="B2823"/>
      <c r="C2823"/>
      <c r="D2823"/>
      <c r="E2823"/>
      <c r="F2823"/>
      <c r="G2823"/>
    </row>
    <row r="2824" spans="1:7">
      <c r="A2824"/>
      <c r="B2824"/>
      <c r="C2824"/>
      <c r="D2824"/>
      <c r="E2824"/>
      <c r="F2824"/>
      <c r="G2824"/>
    </row>
    <row r="2825" spans="1:7">
      <c r="A2825"/>
      <c r="B2825"/>
      <c r="C2825"/>
      <c r="D2825"/>
      <c r="E2825"/>
      <c r="F2825"/>
      <c r="G2825"/>
    </row>
    <row r="2826" spans="1:7">
      <c r="A2826"/>
      <c r="B2826"/>
      <c r="C2826"/>
      <c r="D2826"/>
      <c r="E2826"/>
      <c r="F2826"/>
      <c r="G2826"/>
    </row>
    <row r="2827" spans="1:7">
      <c r="A2827"/>
      <c r="B2827"/>
      <c r="C2827"/>
      <c r="D2827"/>
      <c r="E2827"/>
      <c r="F2827"/>
      <c r="G2827"/>
    </row>
    <row r="2828" spans="1:7">
      <c r="A2828"/>
      <c r="B2828"/>
      <c r="C2828"/>
      <c r="D2828"/>
      <c r="E2828"/>
      <c r="F2828"/>
      <c r="G2828"/>
    </row>
    <row r="2829" spans="1:7">
      <c r="A2829"/>
      <c r="B2829"/>
      <c r="C2829"/>
      <c r="D2829"/>
      <c r="E2829"/>
      <c r="F2829"/>
      <c r="G2829"/>
    </row>
    <row r="2830" spans="1:7">
      <c r="A2830"/>
      <c r="B2830"/>
      <c r="C2830"/>
      <c r="D2830"/>
      <c r="E2830"/>
      <c r="F2830"/>
      <c r="G2830"/>
    </row>
    <row r="2831" spans="1:7">
      <c r="A2831"/>
      <c r="B2831"/>
      <c r="C2831"/>
      <c r="D2831"/>
      <c r="E2831"/>
      <c r="F2831"/>
      <c r="G2831"/>
    </row>
    <row r="2832" spans="1:7">
      <c r="A2832"/>
      <c r="B2832"/>
      <c r="C2832"/>
      <c r="D2832"/>
      <c r="E2832"/>
      <c r="F2832"/>
      <c r="G2832"/>
    </row>
    <row r="2833" spans="1:7">
      <c r="A2833"/>
      <c r="B2833"/>
      <c r="C2833"/>
      <c r="D2833"/>
      <c r="E2833"/>
      <c r="F2833"/>
      <c r="G2833"/>
    </row>
    <row r="2834" spans="1:7">
      <c r="A2834"/>
      <c r="B2834"/>
      <c r="C2834"/>
      <c r="D2834"/>
      <c r="E2834"/>
      <c r="F2834"/>
      <c r="G2834"/>
    </row>
    <row r="2835" spans="1:7">
      <c r="A2835"/>
      <c r="B2835"/>
      <c r="C2835"/>
      <c r="D2835"/>
      <c r="E2835"/>
      <c r="F2835"/>
      <c r="G2835"/>
    </row>
    <row r="2836" spans="1:7">
      <c r="A2836"/>
      <c r="B2836"/>
      <c r="C2836"/>
      <c r="D2836"/>
      <c r="E2836"/>
      <c r="F2836"/>
      <c r="G2836"/>
    </row>
    <row r="2837" spans="1:7">
      <c r="A2837"/>
      <c r="B2837"/>
      <c r="C2837"/>
      <c r="D2837"/>
      <c r="E2837"/>
      <c r="F2837"/>
      <c r="G2837"/>
    </row>
    <row r="2838" spans="1:7">
      <c r="A2838"/>
      <c r="B2838"/>
      <c r="C2838"/>
      <c r="D2838"/>
      <c r="E2838"/>
      <c r="F2838"/>
      <c r="G2838"/>
    </row>
    <row r="2839" spans="1:7">
      <c r="A2839"/>
      <c r="B2839"/>
      <c r="C2839"/>
      <c r="D2839"/>
      <c r="E2839"/>
      <c r="F2839"/>
      <c r="G2839"/>
    </row>
    <row r="2840" spans="1:7">
      <c r="A2840"/>
      <c r="B2840"/>
      <c r="C2840"/>
      <c r="D2840"/>
      <c r="E2840"/>
      <c r="F2840"/>
      <c r="G2840"/>
    </row>
    <row r="2841" spans="1:7">
      <c r="A2841"/>
      <c r="B2841"/>
      <c r="C2841"/>
      <c r="D2841"/>
      <c r="E2841"/>
      <c r="F2841"/>
      <c r="G2841"/>
    </row>
    <row r="2842" spans="1:7">
      <c r="A2842"/>
      <c r="B2842"/>
      <c r="C2842"/>
      <c r="D2842"/>
      <c r="E2842"/>
      <c r="F2842"/>
      <c r="G2842"/>
    </row>
    <row r="2843" spans="1:7">
      <c r="A2843"/>
      <c r="B2843"/>
      <c r="C2843"/>
      <c r="D2843"/>
      <c r="E2843"/>
      <c r="F2843"/>
      <c r="G2843"/>
    </row>
    <row r="2844" spans="1:7">
      <c r="A2844"/>
      <c r="B2844"/>
      <c r="C2844"/>
      <c r="D2844"/>
      <c r="E2844"/>
      <c r="F2844"/>
      <c r="G2844"/>
    </row>
    <row r="2845" spans="1:7">
      <c r="A2845"/>
      <c r="B2845"/>
      <c r="C2845"/>
      <c r="D2845"/>
      <c r="E2845"/>
      <c r="F2845"/>
      <c r="G2845"/>
    </row>
    <row r="2846" spans="1:7">
      <c r="A2846"/>
      <c r="B2846"/>
      <c r="C2846"/>
      <c r="D2846"/>
      <c r="E2846"/>
      <c r="F2846"/>
      <c r="G2846"/>
    </row>
    <row r="2847" spans="1:7">
      <c r="A2847"/>
      <c r="B2847"/>
      <c r="C2847"/>
      <c r="D2847"/>
      <c r="E2847"/>
      <c r="F2847"/>
      <c r="G2847"/>
    </row>
    <row r="2848" spans="1:7">
      <c r="A2848"/>
      <c r="B2848"/>
      <c r="C2848"/>
      <c r="D2848"/>
      <c r="E2848"/>
      <c r="F2848"/>
      <c r="G2848"/>
    </row>
    <row r="2849" spans="1:7">
      <c r="A2849"/>
      <c r="B2849"/>
      <c r="C2849"/>
      <c r="D2849"/>
      <c r="E2849"/>
      <c r="F2849"/>
      <c r="G2849"/>
    </row>
    <row r="2850" spans="1:7">
      <c r="A2850"/>
      <c r="B2850"/>
      <c r="C2850"/>
      <c r="D2850"/>
      <c r="E2850"/>
      <c r="F2850"/>
      <c r="G2850"/>
    </row>
    <row r="2851" spans="1:7">
      <c r="A2851"/>
      <c r="B2851"/>
      <c r="C2851"/>
      <c r="D2851"/>
      <c r="E2851"/>
      <c r="F2851"/>
      <c r="G2851"/>
    </row>
    <row r="2852" spans="1:7">
      <c r="A2852"/>
      <c r="B2852"/>
      <c r="C2852"/>
      <c r="D2852"/>
      <c r="E2852"/>
      <c r="F2852"/>
      <c r="G2852"/>
    </row>
    <row r="2853" spans="1:7">
      <c r="A2853"/>
      <c r="B2853"/>
      <c r="C2853"/>
      <c r="D2853"/>
      <c r="E2853"/>
      <c r="F2853"/>
      <c r="G2853"/>
    </row>
    <row r="2854" spans="1:7">
      <c r="A2854"/>
      <c r="B2854"/>
      <c r="C2854"/>
      <c r="D2854"/>
      <c r="E2854"/>
      <c r="F2854"/>
      <c r="G2854"/>
    </row>
    <row r="2855" spans="1:7">
      <c r="A2855"/>
      <c r="B2855"/>
      <c r="C2855"/>
      <c r="D2855"/>
      <c r="E2855"/>
      <c r="F2855"/>
      <c r="G2855"/>
    </row>
    <row r="2856" spans="1:7">
      <c r="A2856"/>
      <c r="B2856"/>
      <c r="C2856"/>
      <c r="D2856"/>
      <c r="E2856"/>
      <c r="F2856"/>
      <c r="G2856"/>
    </row>
    <row r="2857" spans="1:7">
      <c r="A2857"/>
      <c r="B2857"/>
      <c r="C2857"/>
      <c r="D2857"/>
      <c r="E2857"/>
      <c r="F2857"/>
      <c r="G2857"/>
    </row>
    <row r="2858" spans="1:7">
      <c r="A2858"/>
      <c r="B2858"/>
      <c r="C2858"/>
      <c r="D2858"/>
      <c r="E2858"/>
      <c r="F2858"/>
      <c r="G2858"/>
    </row>
    <row r="2859" spans="1:7">
      <c r="A2859"/>
      <c r="B2859"/>
      <c r="C2859"/>
      <c r="D2859"/>
      <c r="E2859"/>
      <c r="F2859"/>
      <c r="G2859"/>
    </row>
    <row r="2860" spans="1:7">
      <c r="A2860"/>
      <c r="B2860"/>
      <c r="C2860"/>
      <c r="D2860"/>
      <c r="E2860"/>
      <c r="F2860"/>
      <c r="G2860"/>
    </row>
    <row r="2861" spans="1:7">
      <c r="A2861"/>
      <c r="B2861"/>
      <c r="C2861"/>
      <c r="D2861"/>
      <c r="E2861"/>
      <c r="F2861"/>
      <c r="G2861"/>
    </row>
    <row r="2862" spans="1:7">
      <c r="A2862"/>
      <c r="B2862"/>
      <c r="C2862"/>
      <c r="D2862"/>
      <c r="E2862"/>
      <c r="F2862"/>
      <c r="G2862"/>
    </row>
    <row r="2863" spans="1:7">
      <c r="A2863"/>
      <c r="B2863"/>
      <c r="C2863"/>
      <c r="D2863"/>
      <c r="E2863"/>
      <c r="F2863"/>
      <c r="G2863"/>
    </row>
    <row r="2864" spans="1:7">
      <c r="A2864"/>
      <c r="B2864"/>
      <c r="C2864"/>
      <c r="D2864"/>
      <c r="E2864"/>
      <c r="F2864"/>
      <c r="G2864"/>
    </row>
    <row r="2865" spans="1:7">
      <c r="A2865"/>
      <c r="B2865"/>
      <c r="C2865"/>
      <c r="D2865"/>
      <c r="E2865"/>
      <c r="F2865"/>
      <c r="G2865"/>
    </row>
    <row r="2866" spans="1:7">
      <c r="A2866"/>
      <c r="B2866"/>
      <c r="C2866"/>
      <c r="D2866"/>
      <c r="E2866"/>
      <c r="F2866"/>
      <c r="G2866"/>
    </row>
    <row r="2867" spans="1:7">
      <c r="A2867"/>
      <c r="B2867"/>
      <c r="C2867"/>
      <c r="D2867"/>
      <c r="E2867"/>
      <c r="F2867"/>
      <c r="G2867"/>
    </row>
    <row r="2868" spans="1:7">
      <c r="A2868"/>
      <c r="B2868"/>
      <c r="C2868"/>
      <c r="D2868"/>
      <c r="E2868"/>
      <c r="F2868"/>
      <c r="G2868"/>
    </row>
    <row r="2869" spans="1:7">
      <c r="A2869"/>
      <c r="B2869"/>
      <c r="C2869"/>
      <c r="D2869"/>
      <c r="E2869"/>
      <c r="F2869"/>
      <c r="G2869"/>
    </row>
    <row r="2870" spans="1:7">
      <c r="A2870"/>
      <c r="B2870"/>
      <c r="C2870"/>
      <c r="D2870"/>
      <c r="E2870"/>
      <c r="F2870"/>
      <c r="G2870"/>
    </row>
    <row r="2871" spans="1:7">
      <c r="A2871"/>
      <c r="B2871"/>
      <c r="C2871"/>
      <c r="D2871"/>
      <c r="E2871"/>
      <c r="F2871"/>
      <c r="G2871"/>
    </row>
    <row r="2872" spans="1:7">
      <c r="A2872"/>
      <c r="B2872"/>
      <c r="C2872"/>
      <c r="D2872"/>
      <c r="E2872"/>
      <c r="F2872"/>
      <c r="G2872"/>
    </row>
    <row r="2873" spans="1:7">
      <c r="A2873"/>
      <c r="B2873"/>
      <c r="C2873"/>
      <c r="D2873"/>
      <c r="E2873"/>
      <c r="F2873"/>
      <c r="G2873"/>
    </row>
    <row r="2874" spans="1:7">
      <c r="A2874"/>
      <c r="B2874"/>
      <c r="C2874"/>
      <c r="D2874"/>
      <c r="E2874"/>
      <c r="F2874"/>
      <c r="G2874"/>
    </row>
    <row r="2875" spans="1:7">
      <c r="A2875"/>
      <c r="B2875"/>
      <c r="C2875"/>
      <c r="D2875"/>
      <c r="E2875"/>
      <c r="F2875"/>
      <c r="G2875"/>
    </row>
    <row r="2876" spans="1:7">
      <c r="A2876"/>
      <c r="B2876"/>
      <c r="C2876"/>
      <c r="D2876"/>
      <c r="E2876"/>
      <c r="F2876"/>
      <c r="G2876"/>
    </row>
    <row r="2877" spans="1:7">
      <c r="A2877"/>
      <c r="B2877"/>
      <c r="C2877"/>
      <c r="D2877"/>
      <c r="E2877"/>
      <c r="F2877"/>
      <c r="G2877"/>
    </row>
    <row r="2878" spans="1:7">
      <c r="A2878"/>
      <c r="B2878"/>
      <c r="C2878"/>
      <c r="D2878"/>
      <c r="E2878"/>
      <c r="F2878"/>
      <c r="G2878"/>
    </row>
    <row r="2879" spans="1:7">
      <c r="A2879"/>
      <c r="B2879"/>
      <c r="C2879"/>
      <c r="D2879"/>
      <c r="E2879"/>
      <c r="F2879"/>
      <c r="G2879"/>
    </row>
    <row r="2880" spans="1:7">
      <c r="A2880"/>
      <c r="B2880"/>
      <c r="C2880"/>
      <c r="D2880"/>
      <c r="E2880"/>
      <c r="F2880"/>
      <c r="G2880"/>
    </row>
    <row r="2881" spans="1:7">
      <c r="A2881"/>
      <c r="B2881"/>
      <c r="C2881"/>
      <c r="D2881"/>
      <c r="E2881"/>
      <c r="F2881"/>
      <c r="G2881"/>
    </row>
    <row r="2882" spans="1:7">
      <c r="A2882"/>
      <c r="B2882"/>
      <c r="C2882"/>
      <c r="D2882"/>
      <c r="E2882"/>
      <c r="F2882"/>
      <c r="G2882"/>
    </row>
    <row r="2883" spans="1:7">
      <c r="A2883"/>
      <c r="B2883"/>
      <c r="C2883"/>
      <c r="D2883"/>
      <c r="E2883"/>
      <c r="F2883"/>
      <c r="G2883"/>
    </row>
    <row r="2884" spans="1:7">
      <c r="A2884"/>
      <c r="B2884"/>
      <c r="C2884"/>
      <c r="D2884"/>
      <c r="E2884"/>
      <c r="F2884"/>
      <c r="G2884"/>
    </row>
    <row r="2885" spans="1:7">
      <c r="A2885"/>
      <c r="B2885"/>
      <c r="C2885"/>
      <c r="D2885"/>
      <c r="E2885"/>
      <c r="F2885"/>
      <c r="G2885"/>
    </row>
    <row r="2886" spans="1:7">
      <c r="A2886"/>
      <c r="B2886"/>
      <c r="C2886"/>
      <c r="D2886"/>
      <c r="E2886"/>
      <c r="F2886"/>
      <c r="G2886"/>
    </row>
    <row r="2887" spans="1:7">
      <c r="A2887"/>
      <c r="B2887"/>
      <c r="C2887"/>
      <c r="D2887"/>
      <c r="E2887"/>
      <c r="F2887"/>
      <c r="G2887"/>
    </row>
    <row r="2888" spans="1:7">
      <c r="A2888"/>
      <c r="B2888"/>
      <c r="C2888"/>
      <c r="D2888"/>
      <c r="E2888"/>
      <c r="F2888"/>
      <c r="G2888"/>
    </row>
    <row r="2889" spans="1:7">
      <c r="A2889"/>
      <c r="B2889"/>
      <c r="C2889"/>
      <c r="D2889"/>
      <c r="E2889"/>
      <c r="F2889"/>
      <c r="G2889"/>
    </row>
    <row r="2890" spans="1:7">
      <c r="A2890"/>
      <c r="B2890"/>
      <c r="C2890"/>
      <c r="D2890"/>
      <c r="E2890"/>
      <c r="F2890"/>
      <c r="G2890"/>
    </row>
    <row r="2891" spans="1:7">
      <c r="A2891"/>
      <c r="B2891"/>
      <c r="C2891"/>
      <c r="D2891"/>
      <c r="E2891"/>
      <c r="F2891"/>
      <c r="G2891"/>
    </row>
    <row r="2892" spans="1:7">
      <c r="A2892"/>
      <c r="B2892"/>
      <c r="C2892"/>
      <c r="D2892"/>
      <c r="E2892"/>
      <c r="F2892"/>
      <c r="G2892"/>
    </row>
    <row r="2893" spans="1:7">
      <c r="A2893"/>
      <c r="B2893"/>
      <c r="C2893"/>
      <c r="D2893"/>
      <c r="E2893"/>
      <c r="F2893"/>
      <c r="G2893"/>
    </row>
    <row r="2894" spans="1:7">
      <c r="A2894"/>
      <c r="B2894"/>
      <c r="C2894"/>
      <c r="D2894"/>
      <c r="E2894"/>
      <c r="F2894"/>
      <c r="G2894"/>
    </row>
    <row r="2895" spans="1:7">
      <c r="A2895"/>
      <c r="B2895"/>
      <c r="C2895"/>
      <c r="D2895"/>
      <c r="E2895"/>
      <c r="F2895"/>
      <c r="G2895"/>
    </row>
    <row r="2896" spans="1:7">
      <c r="A2896"/>
      <c r="B2896"/>
      <c r="C2896"/>
      <c r="D2896"/>
      <c r="E2896"/>
      <c r="F2896"/>
      <c r="G2896"/>
    </row>
    <row r="2897" spans="1:7">
      <c r="A2897"/>
      <c r="B2897"/>
      <c r="C2897"/>
      <c r="D2897"/>
      <c r="E2897"/>
      <c r="F2897"/>
      <c r="G2897"/>
    </row>
    <row r="2898" spans="1:7">
      <c r="A2898"/>
      <c r="B2898"/>
      <c r="C2898"/>
      <c r="D2898"/>
      <c r="E2898"/>
      <c r="F2898"/>
      <c r="G2898"/>
    </row>
    <row r="2899" spans="1:7">
      <c r="A2899"/>
      <c r="B2899"/>
      <c r="C2899"/>
      <c r="D2899"/>
      <c r="E2899"/>
      <c r="F2899"/>
      <c r="G2899"/>
    </row>
    <row r="2900" spans="1:7">
      <c r="A2900"/>
      <c r="B2900"/>
      <c r="C2900"/>
      <c r="D2900"/>
      <c r="E2900"/>
      <c r="F2900"/>
      <c r="G2900"/>
    </row>
    <row r="2901" spans="1:7">
      <c r="A2901"/>
      <c r="B2901"/>
      <c r="C2901"/>
      <c r="D2901"/>
      <c r="E2901"/>
      <c r="F2901"/>
      <c r="G2901"/>
    </row>
    <row r="2902" spans="1:7">
      <c r="A2902"/>
      <c r="B2902"/>
      <c r="C2902"/>
      <c r="D2902"/>
      <c r="E2902"/>
      <c r="F2902"/>
      <c r="G2902"/>
    </row>
    <row r="2903" spans="1:7">
      <c r="A2903"/>
      <c r="B2903"/>
      <c r="C2903"/>
      <c r="D2903"/>
      <c r="E2903"/>
      <c r="F2903"/>
      <c r="G2903"/>
    </row>
    <row r="2904" spans="1:7">
      <c r="A2904"/>
      <c r="B2904"/>
      <c r="C2904"/>
      <c r="D2904"/>
      <c r="E2904"/>
      <c r="F2904"/>
      <c r="G2904"/>
    </row>
    <row r="2905" spans="1:7">
      <c r="A2905"/>
      <c r="B2905"/>
      <c r="C2905"/>
      <c r="D2905"/>
      <c r="E2905"/>
      <c r="F2905"/>
      <c r="G2905"/>
    </row>
    <row r="2906" spans="1:7">
      <c r="A2906"/>
      <c r="B2906"/>
      <c r="C2906"/>
      <c r="D2906"/>
      <c r="E2906"/>
      <c r="F2906"/>
      <c r="G2906"/>
    </row>
    <row r="2907" spans="1:7">
      <c r="A2907"/>
      <c r="B2907"/>
      <c r="C2907"/>
      <c r="D2907"/>
      <c r="E2907"/>
      <c r="F2907"/>
      <c r="G2907"/>
    </row>
    <row r="2908" spans="1:7">
      <c r="A2908"/>
      <c r="B2908"/>
      <c r="C2908"/>
      <c r="D2908"/>
      <c r="E2908"/>
      <c r="F2908"/>
      <c r="G2908"/>
    </row>
    <row r="2909" spans="1:7">
      <c r="A2909"/>
      <c r="B2909"/>
      <c r="C2909"/>
      <c r="D2909"/>
      <c r="E2909"/>
      <c r="F2909"/>
      <c r="G2909"/>
    </row>
    <row r="2910" spans="1:7">
      <c r="A2910"/>
      <c r="B2910"/>
      <c r="C2910"/>
      <c r="D2910"/>
      <c r="E2910"/>
      <c r="F2910"/>
      <c r="G2910"/>
    </row>
    <row r="2911" spans="1:7">
      <c r="A2911"/>
      <c r="B2911"/>
      <c r="C2911"/>
      <c r="D2911"/>
      <c r="E2911"/>
      <c r="F2911"/>
      <c r="G2911"/>
    </row>
    <row r="2912" spans="1:7">
      <c r="A2912"/>
      <c r="B2912"/>
      <c r="C2912"/>
      <c r="D2912"/>
      <c r="E2912"/>
      <c r="F2912"/>
      <c r="G2912"/>
    </row>
    <row r="2913" spans="1:7">
      <c r="A2913"/>
      <c r="B2913"/>
      <c r="C2913"/>
      <c r="D2913"/>
      <c r="E2913"/>
      <c r="F2913"/>
      <c r="G2913"/>
    </row>
    <row r="2914" spans="1:7">
      <c r="A2914"/>
      <c r="B2914"/>
      <c r="C2914"/>
      <c r="D2914"/>
      <c r="E2914"/>
      <c r="F2914"/>
      <c r="G2914"/>
    </row>
    <row r="2915" spans="1:7">
      <c r="A2915"/>
      <c r="B2915"/>
      <c r="C2915"/>
      <c r="D2915"/>
      <c r="E2915"/>
      <c r="F2915"/>
      <c r="G2915"/>
    </row>
    <row r="2916" spans="1:7">
      <c r="A2916"/>
      <c r="B2916"/>
      <c r="C2916"/>
      <c r="D2916"/>
      <c r="E2916"/>
      <c r="F2916"/>
      <c r="G2916"/>
    </row>
    <row r="2917" spans="1:7">
      <c r="A2917"/>
      <c r="B2917"/>
      <c r="C2917"/>
      <c r="D2917"/>
      <c r="E2917"/>
      <c r="F2917"/>
      <c r="G2917"/>
    </row>
    <row r="2918" spans="1:7">
      <c r="A2918"/>
      <c r="B2918"/>
      <c r="C2918"/>
      <c r="D2918"/>
      <c r="E2918"/>
      <c r="F2918"/>
      <c r="G2918"/>
    </row>
    <row r="2919" spans="1:7">
      <c r="A2919"/>
      <c r="B2919"/>
      <c r="C2919"/>
      <c r="D2919"/>
      <c r="E2919"/>
      <c r="F2919"/>
      <c r="G2919"/>
    </row>
    <row r="2920" spans="1:7">
      <c r="A2920"/>
      <c r="B2920"/>
      <c r="C2920"/>
      <c r="D2920"/>
      <c r="E2920"/>
      <c r="F2920"/>
      <c r="G2920"/>
    </row>
    <row r="2921" spans="1:7">
      <c r="A2921"/>
      <c r="B2921"/>
      <c r="C2921"/>
      <c r="D2921"/>
      <c r="E2921"/>
      <c r="F2921"/>
      <c r="G2921"/>
    </row>
    <row r="2922" spans="1:7">
      <c r="A2922"/>
      <c r="B2922"/>
      <c r="C2922"/>
      <c r="D2922"/>
      <c r="E2922"/>
      <c r="F2922"/>
      <c r="G2922"/>
    </row>
    <row r="2923" spans="1:7">
      <c r="A2923"/>
      <c r="B2923"/>
      <c r="C2923"/>
      <c r="D2923"/>
      <c r="E2923"/>
      <c r="F2923"/>
      <c r="G2923"/>
    </row>
    <row r="2924" spans="1:7">
      <c r="A2924"/>
      <c r="B2924"/>
      <c r="C2924"/>
      <c r="D2924"/>
      <c r="E2924"/>
      <c r="F2924"/>
      <c r="G2924"/>
    </row>
    <row r="2925" spans="1:7">
      <c r="A2925"/>
      <c r="B2925"/>
      <c r="C2925"/>
      <c r="D2925"/>
      <c r="E2925"/>
      <c r="F2925"/>
      <c r="G2925"/>
    </row>
    <row r="2926" spans="1:7">
      <c r="A2926"/>
      <c r="B2926"/>
      <c r="C2926"/>
      <c r="D2926"/>
      <c r="E2926"/>
      <c r="F2926"/>
      <c r="G2926"/>
    </row>
    <row r="2927" spans="1:7">
      <c r="A2927"/>
      <c r="B2927"/>
      <c r="C2927"/>
      <c r="D2927"/>
      <c r="E2927"/>
      <c r="F2927"/>
      <c r="G2927"/>
    </row>
    <row r="2928" spans="1:7">
      <c r="A2928"/>
      <c r="B2928"/>
      <c r="C2928"/>
      <c r="D2928"/>
      <c r="E2928"/>
      <c r="F2928"/>
      <c r="G2928"/>
    </row>
    <row r="2929" spans="1:7">
      <c r="A2929"/>
      <c r="B2929"/>
      <c r="C2929"/>
      <c r="D2929"/>
      <c r="E2929"/>
      <c r="F2929"/>
      <c r="G2929"/>
    </row>
    <row r="2930" spans="1:7">
      <c r="A2930"/>
      <c r="B2930"/>
      <c r="C2930"/>
      <c r="D2930"/>
      <c r="E2930"/>
      <c r="F2930"/>
      <c r="G2930"/>
    </row>
    <row r="2931" spans="1:7">
      <c r="A2931"/>
      <c r="B2931"/>
      <c r="C2931"/>
      <c r="D2931"/>
      <c r="E2931"/>
      <c r="F2931"/>
      <c r="G2931"/>
    </row>
    <row r="2932" spans="1:7">
      <c r="A2932"/>
      <c r="B2932"/>
      <c r="C2932"/>
      <c r="D2932"/>
      <c r="E2932"/>
      <c r="F2932"/>
      <c r="G2932"/>
    </row>
    <row r="2933" spans="1:7">
      <c r="A2933"/>
      <c r="B2933"/>
      <c r="C2933"/>
      <c r="D2933"/>
      <c r="E2933"/>
      <c r="F2933"/>
      <c r="G2933"/>
    </row>
    <row r="2934" spans="1:7">
      <c r="A2934"/>
      <c r="B2934"/>
      <c r="C2934"/>
      <c r="D2934"/>
      <c r="E2934"/>
      <c r="F2934"/>
      <c r="G2934"/>
    </row>
    <row r="2935" spans="1:7">
      <c r="A2935"/>
      <c r="B2935"/>
      <c r="C2935"/>
      <c r="D2935"/>
      <c r="E2935"/>
      <c r="F2935"/>
      <c r="G2935"/>
    </row>
    <row r="2936" spans="1:7">
      <c r="A2936"/>
      <c r="B2936"/>
      <c r="C2936"/>
      <c r="D2936"/>
      <c r="E2936"/>
      <c r="F2936"/>
      <c r="G2936"/>
    </row>
    <row r="2937" spans="1:7">
      <c r="A2937"/>
      <c r="B2937"/>
      <c r="C2937"/>
      <c r="D2937"/>
      <c r="E2937"/>
      <c r="F2937"/>
      <c r="G2937"/>
    </row>
    <row r="2938" spans="1:7">
      <c r="A2938"/>
      <c r="B2938"/>
      <c r="C2938"/>
      <c r="D2938"/>
      <c r="E2938"/>
      <c r="F2938"/>
      <c r="G2938"/>
    </row>
    <row r="2939" spans="1:7">
      <c r="A2939"/>
      <c r="B2939"/>
      <c r="C2939"/>
      <c r="D2939"/>
      <c r="E2939"/>
      <c r="F2939"/>
      <c r="G2939"/>
    </row>
    <row r="2940" spans="1:7">
      <c r="A2940"/>
      <c r="B2940"/>
      <c r="C2940"/>
      <c r="D2940"/>
      <c r="E2940"/>
      <c r="F2940"/>
      <c r="G2940"/>
    </row>
    <row r="2941" spans="1:7">
      <c r="A2941"/>
      <c r="B2941"/>
      <c r="C2941"/>
      <c r="D2941"/>
      <c r="E2941"/>
      <c r="F2941"/>
      <c r="G2941"/>
    </row>
    <row r="2942" spans="1:7">
      <c r="A2942"/>
      <c r="B2942"/>
      <c r="C2942"/>
      <c r="D2942"/>
      <c r="E2942"/>
      <c r="F2942"/>
      <c r="G2942"/>
    </row>
    <row r="2943" spans="1:7">
      <c r="A2943"/>
      <c r="B2943"/>
      <c r="C2943"/>
      <c r="D2943"/>
      <c r="E2943"/>
      <c r="F2943"/>
      <c r="G2943"/>
    </row>
    <row r="2944" spans="1:7">
      <c r="A2944"/>
      <c r="B2944"/>
      <c r="C2944"/>
      <c r="D2944"/>
      <c r="E2944"/>
      <c r="F2944"/>
      <c r="G2944"/>
    </row>
    <row r="2945" spans="1:7">
      <c r="A2945"/>
      <c r="B2945"/>
      <c r="C2945"/>
      <c r="D2945"/>
      <c r="E2945"/>
      <c r="F2945"/>
      <c r="G2945"/>
    </row>
    <row r="2946" spans="1:7">
      <c r="A2946"/>
      <c r="B2946"/>
      <c r="C2946"/>
      <c r="D2946"/>
      <c r="E2946"/>
      <c r="F2946"/>
      <c r="G2946"/>
    </row>
    <row r="2947" spans="1:7">
      <c r="A2947"/>
      <c r="B2947"/>
      <c r="C2947"/>
      <c r="D2947"/>
      <c r="E2947"/>
      <c r="F2947"/>
      <c r="G2947"/>
    </row>
    <row r="2948" spans="1:7">
      <c r="A2948"/>
      <c r="B2948"/>
      <c r="C2948"/>
      <c r="D2948"/>
      <c r="E2948"/>
      <c r="F2948"/>
      <c r="G2948"/>
    </row>
    <row r="2949" spans="1:7">
      <c r="A2949"/>
      <c r="B2949"/>
      <c r="C2949"/>
      <c r="D2949"/>
      <c r="E2949"/>
      <c r="F2949"/>
      <c r="G2949"/>
    </row>
    <row r="2950" spans="1:7">
      <c r="A2950"/>
      <c r="B2950"/>
      <c r="C2950"/>
      <c r="D2950"/>
      <c r="E2950"/>
      <c r="F2950"/>
      <c r="G2950"/>
    </row>
    <row r="2951" spans="1:7">
      <c r="A2951"/>
      <c r="B2951"/>
      <c r="C2951"/>
      <c r="D2951"/>
      <c r="E2951"/>
      <c r="F2951"/>
      <c r="G2951"/>
    </row>
    <row r="2952" spans="1:7">
      <c r="A2952"/>
      <c r="B2952"/>
      <c r="C2952"/>
      <c r="D2952"/>
      <c r="E2952"/>
      <c r="F2952"/>
      <c r="G2952"/>
    </row>
    <row r="2953" spans="1:7">
      <c r="A2953"/>
      <c r="B2953"/>
      <c r="C2953"/>
      <c r="D2953"/>
      <c r="E2953"/>
      <c r="F2953"/>
      <c r="G2953"/>
    </row>
    <row r="2954" spans="1:7">
      <c r="A2954"/>
      <c r="B2954"/>
      <c r="C2954"/>
      <c r="D2954"/>
      <c r="E2954"/>
      <c r="F2954"/>
      <c r="G2954"/>
    </row>
    <row r="2955" spans="1:7">
      <c r="A2955"/>
      <c r="B2955"/>
      <c r="C2955"/>
      <c r="D2955"/>
      <c r="E2955"/>
      <c r="F2955"/>
      <c r="G2955"/>
    </row>
    <row r="2956" spans="1:7">
      <c r="A2956"/>
      <c r="B2956"/>
      <c r="C2956"/>
      <c r="D2956"/>
      <c r="E2956"/>
      <c r="F2956"/>
      <c r="G2956"/>
    </row>
    <row r="2957" spans="1:7">
      <c r="A2957"/>
      <c r="B2957"/>
      <c r="C2957"/>
      <c r="D2957"/>
      <c r="E2957"/>
      <c r="F2957"/>
      <c r="G2957"/>
    </row>
    <row r="2958" spans="1:7">
      <c r="A2958"/>
      <c r="B2958"/>
      <c r="C2958"/>
      <c r="D2958"/>
      <c r="E2958"/>
      <c r="F2958"/>
      <c r="G2958"/>
    </row>
    <row r="2959" spans="1:7">
      <c r="A2959"/>
      <c r="B2959"/>
      <c r="C2959"/>
      <c r="D2959"/>
      <c r="E2959"/>
      <c r="F2959"/>
      <c r="G2959"/>
    </row>
    <row r="2960" spans="1:7">
      <c r="A2960"/>
      <c r="B2960"/>
      <c r="C2960"/>
      <c r="D2960"/>
      <c r="E2960"/>
      <c r="F2960"/>
      <c r="G2960"/>
    </row>
    <row r="2961" spans="1:7">
      <c r="A2961"/>
      <c r="B2961"/>
      <c r="C2961"/>
      <c r="D2961"/>
      <c r="E2961"/>
      <c r="F2961"/>
      <c r="G2961"/>
    </row>
    <row r="2962" spans="1:7">
      <c r="A2962"/>
      <c r="B2962"/>
      <c r="C2962"/>
      <c r="D2962"/>
      <c r="E2962"/>
      <c r="F2962"/>
      <c r="G2962"/>
    </row>
    <row r="2963" spans="1:7">
      <c r="A2963"/>
      <c r="B2963"/>
      <c r="C2963"/>
      <c r="D2963"/>
      <c r="E2963"/>
      <c r="F2963"/>
      <c r="G2963"/>
    </row>
    <row r="2964" spans="1:7">
      <c r="A2964"/>
      <c r="B2964"/>
      <c r="C2964"/>
      <c r="D2964"/>
      <c r="E2964"/>
      <c r="F2964"/>
      <c r="G2964"/>
    </row>
    <row r="2965" spans="1:7">
      <c r="A2965"/>
      <c r="B2965"/>
      <c r="C2965"/>
      <c r="D2965"/>
      <c r="E2965"/>
      <c r="F2965"/>
      <c r="G2965"/>
    </row>
    <row r="2966" spans="1:7">
      <c r="A2966"/>
      <c r="B2966"/>
      <c r="C2966"/>
      <c r="D2966"/>
      <c r="E2966"/>
      <c r="F2966"/>
      <c r="G2966"/>
    </row>
    <row r="2967" spans="1:7">
      <c r="A2967"/>
      <c r="B2967"/>
      <c r="C2967"/>
      <c r="D2967"/>
      <c r="E2967"/>
      <c r="F2967"/>
      <c r="G2967"/>
    </row>
    <row r="2968" spans="1:7">
      <c r="A2968"/>
      <c r="B2968"/>
      <c r="C2968"/>
      <c r="D2968"/>
      <c r="E2968"/>
      <c r="F2968"/>
      <c r="G2968"/>
    </row>
    <row r="2969" spans="1:7">
      <c r="A2969"/>
      <c r="B2969"/>
      <c r="C2969"/>
      <c r="D2969"/>
      <c r="E2969"/>
      <c r="F2969"/>
      <c r="G2969"/>
    </row>
    <row r="2970" spans="1:7">
      <c r="A2970"/>
      <c r="B2970"/>
      <c r="C2970"/>
      <c r="D2970"/>
      <c r="E2970"/>
      <c r="F2970"/>
      <c r="G2970"/>
    </row>
    <row r="2971" spans="1:7">
      <c r="A2971"/>
      <c r="B2971"/>
      <c r="C2971"/>
      <c r="D2971"/>
      <c r="E2971"/>
      <c r="F2971"/>
      <c r="G2971"/>
    </row>
    <row r="2972" spans="1:7">
      <c r="A2972"/>
      <c r="B2972"/>
      <c r="C2972"/>
      <c r="D2972"/>
      <c r="E2972"/>
      <c r="F2972"/>
      <c r="G2972"/>
    </row>
    <row r="2973" spans="1:7">
      <c r="A2973"/>
      <c r="B2973"/>
      <c r="C2973"/>
      <c r="D2973"/>
      <c r="E2973"/>
      <c r="F2973"/>
      <c r="G2973"/>
    </row>
    <row r="2974" spans="1:7">
      <c r="A2974"/>
      <c r="B2974"/>
      <c r="C2974"/>
      <c r="D2974"/>
      <c r="E2974"/>
      <c r="F2974"/>
      <c r="G2974"/>
    </row>
    <row r="2975" spans="1:7">
      <c r="A2975"/>
      <c r="B2975"/>
      <c r="C2975"/>
      <c r="D2975"/>
      <c r="E2975"/>
      <c r="F2975"/>
      <c r="G2975"/>
    </row>
    <row r="2976" spans="1:7">
      <c r="A2976"/>
      <c r="B2976"/>
      <c r="C2976"/>
      <c r="D2976"/>
      <c r="E2976"/>
      <c r="F2976"/>
      <c r="G2976"/>
    </row>
    <row r="2977" spans="1:7">
      <c r="A2977"/>
      <c r="B2977"/>
      <c r="C2977"/>
      <c r="D2977"/>
      <c r="E2977"/>
      <c r="F2977"/>
      <c r="G2977"/>
    </row>
    <row r="2978" spans="1:7">
      <c r="A2978"/>
      <c r="B2978"/>
      <c r="C2978"/>
      <c r="D2978"/>
      <c r="E2978"/>
      <c r="F2978"/>
      <c r="G2978"/>
    </row>
    <row r="2979" spans="1:7">
      <c r="A2979"/>
      <c r="B2979"/>
      <c r="C2979"/>
      <c r="D2979"/>
      <c r="E2979"/>
      <c r="F2979"/>
      <c r="G2979"/>
    </row>
    <row r="2980" spans="1:7">
      <c r="A2980"/>
      <c r="B2980"/>
      <c r="C2980"/>
      <c r="D2980"/>
      <c r="E2980"/>
      <c r="F2980"/>
      <c r="G2980"/>
    </row>
    <row r="2981" spans="1:7">
      <c r="A2981"/>
      <c r="B2981"/>
      <c r="C2981"/>
      <c r="D2981"/>
      <c r="E2981"/>
      <c r="F2981"/>
      <c r="G2981"/>
    </row>
    <row r="2982" spans="1:7">
      <c r="A2982"/>
      <c r="B2982"/>
      <c r="C2982"/>
      <c r="D2982"/>
      <c r="E2982"/>
      <c r="F2982"/>
      <c r="G2982"/>
    </row>
    <row r="2983" spans="1:7">
      <c r="A2983"/>
      <c r="B2983"/>
      <c r="C2983"/>
      <c r="D2983"/>
      <c r="E2983"/>
      <c r="F2983"/>
      <c r="G2983"/>
    </row>
    <row r="2984" spans="1:7">
      <c r="A2984"/>
      <c r="B2984"/>
      <c r="C2984"/>
      <c r="D2984"/>
      <c r="E2984"/>
      <c r="F2984"/>
      <c r="G2984"/>
    </row>
    <row r="2985" spans="1:7">
      <c r="A2985"/>
      <c r="B2985"/>
      <c r="C2985"/>
      <c r="D2985"/>
      <c r="E2985"/>
      <c r="F2985"/>
      <c r="G2985"/>
    </row>
    <row r="2986" spans="1:7">
      <c r="A2986"/>
      <c r="B2986"/>
      <c r="C2986"/>
      <c r="D2986"/>
      <c r="E2986"/>
      <c r="F2986"/>
      <c r="G2986"/>
    </row>
    <row r="2987" spans="1:7">
      <c r="A2987"/>
      <c r="B2987"/>
      <c r="C2987"/>
      <c r="D2987"/>
      <c r="E2987"/>
      <c r="F2987"/>
      <c r="G2987"/>
    </row>
    <row r="2988" spans="1:7">
      <c r="A2988"/>
      <c r="B2988"/>
      <c r="C2988"/>
      <c r="D2988"/>
      <c r="E2988"/>
      <c r="F2988"/>
      <c r="G2988"/>
    </row>
    <row r="2989" spans="1:7">
      <c r="A2989"/>
      <c r="B2989"/>
      <c r="C2989"/>
      <c r="D2989"/>
      <c r="E2989"/>
      <c r="F2989"/>
      <c r="G2989"/>
    </row>
    <row r="2990" spans="1:7">
      <c r="A2990"/>
      <c r="B2990"/>
      <c r="C2990"/>
      <c r="D2990"/>
      <c r="E2990"/>
      <c r="F2990"/>
      <c r="G2990"/>
    </row>
    <row r="2991" spans="1:7">
      <c r="A2991"/>
      <c r="B2991"/>
      <c r="C2991"/>
      <c r="D2991"/>
      <c r="E2991"/>
      <c r="F2991"/>
      <c r="G2991"/>
    </row>
    <row r="2992" spans="1:7">
      <c r="A2992"/>
      <c r="B2992"/>
      <c r="C2992"/>
      <c r="D2992"/>
      <c r="E2992"/>
      <c r="F2992"/>
      <c r="G2992"/>
    </row>
    <row r="2993" spans="1:7">
      <c r="A2993"/>
      <c r="B2993"/>
      <c r="C2993"/>
      <c r="D2993"/>
      <c r="E2993"/>
      <c r="F2993"/>
      <c r="G2993"/>
    </row>
    <row r="2994" spans="1:7">
      <c r="A2994"/>
      <c r="B2994"/>
      <c r="C2994"/>
      <c r="D2994"/>
      <c r="E2994"/>
      <c r="F2994"/>
      <c r="G2994"/>
    </row>
    <row r="2995" spans="1:7">
      <c r="A2995"/>
      <c r="B2995"/>
      <c r="C2995"/>
      <c r="D2995"/>
      <c r="E2995"/>
      <c r="F2995"/>
      <c r="G2995"/>
    </row>
    <row r="2996" spans="1:7">
      <c r="A2996"/>
      <c r="B2996"/>
      <c r="C2996"/>
      <c r="D2996"/>
      <c r="E2996"/>
      <c r="F2996"/>
      <c r="G2996"/>
    </row>
    <row r="2997" spans="1:7">
      <c r="A2997"/>
      <c r="B2997"/>
      <c r="C2997"/>
      <c r="D2997"/>
      <c r="E2997"/>
      <c r="F2997"/>
      <c r="G2997"/>
    </row>
    <row r="2998" spans="1:7">
      <c r="A2998"/>
      <c r="B2998"/>
      <c r="C2998"/>
      <c r="D2998"/>
      <c r="E2998"/>
      <c r="F2998"/>
      <c r="G2998"/>
    </row>
    <row r="2999" spans="1:7">
      <c r="A2999"/>
      <c r="B2999"/>
      <c r="C2999"/>
      <c r="D2999"/>
      <c r="E2999"/>
      <c r="F2999"/>
      <c r="G2999"/>
    </row>
    <row r="3000" spans="1:7">
      <c r="A3000"/>
      <c r="B3000"/>
      <c r="C3000"/>
      <c r="D3000"/>
      <c r="E3000"/>
      <c r="F3000"/>
      <c r="G3000"/>
    </row>
    <row r="3001" spans="1:7">
      <c r="A3001"/>
      <c r="B3001"/>
      <c r="C3001"/>
      <c r="D3001"/>
      <c r="E3001"/>
      <c r="F3001"/>
      <c r="G3001"/>
    </row>
    <row r="3002" spans="1:7">
      <c r="A3002"/>
      <c r="B3002"/>
      <c r="C3002"/>
      <c r="D3002"/>
      <c r="E3002"/>
      <c r="F3002"/>
      <c r="G3002"/>
    </row>
    <row r="3003" spans="1:7">
      <c r="A3003"/>
      <c r="B3003"/>
      <c r="C3003"/>
      <c r="D3003"/>
      <c r="E3003"/>
      <c r="F3003"/>
      <c r="G3003"/>
    </row>
    <row r="3004" spans="1:7">
      <c r="A3004"/>
      <c r="B3004"/>
      <c r="C3004"/>
      <c r="D3004"/>
      <c r="E3004"/>
      <c r="F3004"/>
      <c r="G3004"/>
    </row>
    <row r="3005" spans="1:7">
      <c r="A3005"/>
      <c r="B3005"/>
      <c r="C3005"/>
      <c r="D3005"/>
      <c r="E3005"/>
      <c r="F3005"/>
      <c r="G3005"/>
    </row>
    <row r="3006" spans="1:7">
      <c r="A3006"/>
      <c r="B3006"/>
      <c r="C3006"/>
      <c r="D3006"/>
      <c r="E3006"/>
      <c r="F3006"/>
      <c r="G3006"/>
    </row>
    <row r="3007" spans="1:7">
      <c r="A3007"/>
      <c r="B3007"/>
      <c r="C3007"/>
      <c r="D3007"/>
      <c r="E3007"/>
      <c r="F3007"/>
      <c r="G3007"/>
    </row>
    <row r="3008" spans="1:7">
      <c r="A3008"/>
      <c r="B3008"/>
      <c r="C3008"/>
      <c r="D3008"/>
      <c r="E3008"/>
      <c r="F3008"/>
      <c r="G3008"/>
    </row>
    <row r="3009" spans="1:7">
      <c r="A3009"/>
      <c r="B3009"/>
      <c r="C3009"/>
      <c r="D3009"/>
      <c r="E3009"/>
      <c r="F3009"/>
      <c r="G3009"/>
    </row>
    <row r="3010" spans="1:7">
      <c r="A3010"/>
      <c r="B3010"/>
      <c r="C3010"/>
      <c r="D3010"/>
      <c r="E3010"/>
      <c r="F3010"/>
      <c r="G3010"/>
    </row>
    <row r="3011" spans="1:7">
      <c r="A3011"/>
      <c r="B3011"/>
      <c r="C3011"/>
      <c r="D3011"/>
      <c r="E3011"/>
      <c r="F3011"/>
      <c r="G3011"/>
    </row>
    <row r="3012" spans="1:7">
      <c r="A3012"/>
      <c r="B3012"/>
      <c r="C3012"/>
      <c r="D3012"/>
      <c r="E3012"/>
      <c r="F3012"/>
      <c r="G3012"/>
    </row>
    <row r="3013" spans="1:7">
      <c r="A3013"/>
      <c r="B3013"/>
      <c r="C3013"/>
      <c r="D3013"/>
      <c r="E3013"/>
      <c r="F3013"/>
      <c r="G3013"/>
    </row>
    <row r="3014" spans="1:7">
      <c r="A3014"/>
      <c r="B3014"/>
      <c r="C3014"/>
      <c r="D3014"/>
      <c r="E3014"/>
      <c r="F3014"/>
      <c r="G3014"/>
    </row>
    <row r="3015" spans="1:7">
      <c r="A3015"/>
      <c r="B3015"/>
      <c r="C3015"/>
      <c r="D3015"/>
      <c r="E3015"/>
      <c r="F3015"/>
      <c r="G3015"/>
    </row>
    <row r="3016" spans="1:7">
      <c r="A3016"/>
      <c r="B3016"/>
      <c r="C3016"/>
      <c r="D3016"/>
      <c r="E3016"/>
      <c r="F3016"/>
      <c r="G3016"/>
    </row>
    <row r="3017" spans="1:7">
      <c r="A3017"/>
      <c r="B3017"/>
      <c r="C3017"/>
      <c r="D3017"/>
      <c r="E3017"/>
      <c r="F3017"/>
      <c r="G3017"/>
    </row>
    <row r="3018" spans="1:7">
      <c r="A3018"/>
      <c r="B3018"/>
      <c r="C3018"/>
      <c r="D3018"/>
      <c r="E3018"/>
      <c r="F3018"/>
      <c r="G3018"/>
    </row>
    <row r="3019" spans="1:7">
      <c r="A3019"/>
      <c r="B3019"/>
      <c r="C3019"/>
      <c r="D3019"/>
      <c r="E3019"/>
      <c r="F3019"/>
      <c r="G3019"/>
    </row>
    <row r="3020" spans="1:7">
      <c r="A3020"/>
      <c r="B3020"/>
      <c r="C3020"/>
      <c r="D3020"/>
      <c r="E3020"/>
      <c r="F3020"/>
      <c r="G3020"/>
    </row>
    <row r="3021" spans="1:7">
      <c r="A3021"/>
      <c r="B3021"/>
      <c r="C3021"/>
      <c r="D3021"/>
      <c r="E3021"/>
      <c r="F3021"/>
      <c r="G3021"/>
    </row>
    <row r="3022" spans="1:7">
      <c r="A3022"/>
      <c r="B3022"/>
      <c r="C3022"/>
      <c r="D3022"/>
      <c r="E3022"/>
      <c r="F3022"/>
      <c r="G3022"/>
    </row>
    <row r="3023" spans="1:7">
      <c r="A3023"/>
      <c r="B3023"/>
      <c r="C3023"/>
      <c r="D3023"/>
      <c r="E3023"/>
      <c r="F3023"/>
      <c r="G3023"/>
    </row>
    <row r="3024" spans="1:7">
      <c r="A3024"/>
      <c r="B3024"/>
      <c r="C3024"/>
      <c r="D3024"/>
      <c r="E3024"/>
      <c r="F3024"/>
      <c r="G3024"/>
    </row>
    <row r="3025" spans="1:7">
      <c r="A3025"/>
      <c r="B3025"/>
      <c r="C3025"/>
      <c r="D3025"/>
      <c r="E3025"/>
      <c r="F3025"/>
      <c r="G3025"/>
    </row>
    <row r="3026" spans="1:7">
      <c r="A3026"/>
      <c r="B3026"/>
      <c r="C3026"/>
      <c r="D3026"/>
      <c r="E3026"/>
      <c r="F3026"/>
      <c r="G3026"/>
    </row>
    <row r="3027" spans="1:7">
      <c r="A3027"/>
      <c r="B3027"/>
      <c r="C3027"/>
      <c r="D3027"/>
      <c r="E3027"/>
      <c r="F3027"/>
      <c r="G3027"/>
    </row>
    <row r="3028" spans="1:7">
      <c r="A3028"/>
      <c r="B3028"/>
      <c r="C3028"/>
      <c r="D3028"/>
      <c r="E3028"/>
      <c r="F3028"/>
      <c r="G3028"/>
    </row>
    <row r="3029" spans="1:7">
      <c r="A3029"/>
      <c r="B3029"/>
      <c r="C3029"/>
      <c r="D3029"/>
      <c r="E3029"/>
      <c r="F3029"/>
      <c r="G3029"/>
    </row>
    <row r="3030" spans="1:7">
      <c r="A3030"/>
      <c r="B3030"/>
      <c r="C3030"/>
      <c r="D3030"/>
      <c r="E3030"/>
      <c r="F3030"/>
      <c r="G3030"/>
    </row>
    <row r="3031" spans="1:7">
      <c r="A3031"/>
      <c r="B3031"/>
      <c r="C3031"/>
      <c r="D3031"/>
      <c r="E3031"/>
      <c r="F3031"/>
      <c r="G3031"/>
    </row>
    <row r="3032" spans="1:7">
      <c r="A3032"/>
      <c r="B3032"/>
      <c r="C3032"/>
      <c r="D3032"/>
      <c r="E3032"/>
      <c r="F3032"/>
      <c r="G3032"/>
    </row>
    <row r="3033" spans="1:7">
      <c r="A3033"/>
      <c r="B3033"/>
      <c r="C3033"/>
      <c r="D3033"/>
      <c r="E3033"/>
      <c r="F3033"/>
      <c r="G3033"/>
    </row>
    <row r="3034" spans="1:7">
      <c r="A3034"/>
      <c r="B3034"/>
      <c r="C3034"/>
      <c r="D3034"/>
      <c r="E3034"/>
      <c r="F3034"/>
      <c r="G3034"/>
    </row>
    <row r="3035" spans="1:7">
      <c r="A3035"/>
      <c r="B3035"/>
      <c r="C3035"/>
      <c r="D3035"/>
      <c r="E3035"/>
      <c r="F3035"/>
      <c r="G3035"/>
    </row>
    <row r="3036" spans="1:7">
      <c r="A3036"/>
      <c r="B3036"/>
      <c r="C3036"/>
      <c r="D3036"/>
      <c r="E3036"/>
      <c r="F3036"/>
      <c r="G3036"/>
    </row>
    <row r="3037" spans="1:7">
      <c r="A3037"/>
      <c r="B3037"/>
      <c r="C3037"/>
      <c r="D3037"/>
      <c r="E3037"/>
      <c r="F3037"/>
      <c r="G3037"/>
    </row>
    <row r="3038" spans="1:7">
      <c r="A3038"/>
      <c r="B3038"/>
      <c r="C3038"/>
      <c r="D3038"/>
      <c r="E3038"/>
      <c r="F3038"/>
      <c r="G3038"/>
    </row>
    <row r="3039" spans="1:7">
      <c r="A3039"/>
      <c r="B3039"/>
      <c r="C3039"/>
      <c r="D3039"/>
      <c r="E3039"/>
      <c r="F3039"/>
      <c r="G3039"/>
    </row>
    <row r="3040" spans="1:7">
      <c r="A3040"/>
      <c r="B3040"/>
      <c r="C3040"/>
      <c r="D3040"/>
      <c r="E3040"/>
      <c r="F3040"/>
      <c r="G3040"/>
    </row>
    <row r="3041" spans="1:7">
      <c r="A3041"/>
      <c r="B3041"/>
      <c r="C3041"/>
      <c r="D3041"/>
      <c r="E3041"/>
      <c r="F3041"/>
      <c r="G3041"/>
    </row>
    <row r="3042" spans="1:7">
      <c r="A3042"/>
      <c r="B3042"/>
      <c r="C3042"/>
      <c r="D3042"/>
      <c r="E3042"/>
      <c r="F3042"/>
      <c r="G3042"/>
    </row>
    <row r="3043" spans="1:7">
      <c r="A3043"/>
      <c r="B3043"/>
      <c r="C3043"/>
      <c r="D3043"/>
      <c r="E3043"/>
      <c r="F3043"/>
      <c r="G3043"/>
    </row>
    <row r="3044" spans="1:7">
      <c r="A3044"/>
      <c r="B3044"/>
      <c r="C3044"/>
      <c r="D3044"/>
      <c r="E3044"/>
      <c r="F3044"/>
      <c r="G3044"/>
    </row>
    <row r="3045" spans="1:7">
      <c r="A3045"/>
      <c r="B3045"/>
      <c r="C3045"/>
      <c r="D3045"/>
      <c r="E3045"/>
      <c r="F3045"/>
      <c r="G3045"/>
    </row>
    <row r="3046" spans="1:7">
      <c r="A3046"/>
      <c r="B3046"/>
      <c r="C3046"/>
      <c r="D3046"/>
      <c r="E3046"/>
      <c r="F3046"/>
      <c r="G3046"/>
    </row>
    <row r="3047" spans="1:7">
      <c r="A3047"/>
      <c r="B3047"/>
      <c r="C3047"/>
      <c r="D3047"/>
      <c r="E3047"/>
      <c r="F3047"/>
      <c r="G3047"/>
    </row>
    <row r="3048" spans="1:7">
      <c r="A3048"/>
      <c r="B3048"/>
      <c r="C3048"/>
      <c r="D3048"/>
      <c r="E3048"/>
      <c r="F3048"/>
      <c r="G3048"/>
    </row>
    <row r="3049" spans="1:7">
      <c r="A3049"/>
      <c r="B3049"/>
      <c r="C3049"/>
      <c r="D3049"/>
      <c r="E3049"/>
      <c r="F3049"/>
      <c r="G3049"/>
    </row>
    <row r="3050" spans="1:7">
      <c r="A3050"/>
      <c r="B3050"/>
      <c r="C3050"/>
      <c r="D3050"/>
      <c r="E3050"/>
      <c r="F3050"/>
      <c r="G3050"/>
    </row>
    <row r="3051" spans="1:7">
      <c r="A3051"/>
      <c r="B3051"/>
      <c r="C3051"/>
      <c r="D3051"/>
      <c r="E3051"/>
      <c r="F3051"/>
      <c r="G3051"/>
    </row>
    <row r="3052" spans="1:7">
      <c r="A3052"/>
      <c r="B3052"/>
      <c r="C3052"/>
      <c r="D3052"/>
      <c r="E3052"/>
      <c r="F3052"/>
      <c r="G3052"/>
    </row>
    <row r="3053" spans="1:7">
      <c r="A3053"/>
      <c r="B3053"/>
      <c r="C3053"/>
      <c r="D3053"/>
      <c r="E3053"/>
      <c r="F3053"/>
      <c r="G3053"/>
    </row>
    <row r="3054" spans="1:7">
      <c r="A3054"/>
      <c r="B3054"/>
      <c r="C3054"/>
      <c r="D3054"/>
      <c r="E3054"/>
      <c r="F3054"/>
      <c r="G3054"/>
    </row>
    <row r="3055" spans="1:7">
      <c r="A3055"/>
      <c r="B3055"/>
      <c r="C3055"/>
      <c r="D3055"/>
      <c r="E3055"/>
      <c r="F3055"/>
      <c r="G3055"/>
    </row>
    <row r="3056" spans="1:7">
      <c r="A3056"/>
      <c r="B3056"/>
      <c r="C3056"/>
      <c r="D3056"/>
      <c r="E3056"/>
      <c r="F3056"/>
      <c r="G3056"/>
    </row>
    <row r="3057" spans="1:7">
      <c r="A3057"/>
      <c r="B3057"/>
      <c r="C3057"/>
      <c r="D3057"/>
      <c r="E3057"/>
      <c r="F3057"/>
      <c r="G3057"/>
    </row>
    <row r="3058" spans="1:7">
      <c r="A3058"/>
      <c r="B3058"/>
      <c r="C3058"/>
      <c r="D3058"/>
      <c r="E3058"/>
      <c r="F3058"/>
      <c r="G3058"/>
    </row>
    <row r="3059" spans="1:7">
      <c r="A3059"/>
      <c r="B3059"/>
      <c r="C3059"/>
      <c r="D3059"/>
      <c r="E3059"/>
      <c r="F3059"/>
      <c r="G3059"/>
    </row>
    <row r="3060" spans="1:7">
      <c r="A3060"/>
      <c r="B3060"/>
      <c r="C3060"/>
      <c r="D3060"/>
      <c r="E3060"/>
      <c r="F3060"/>
      <c r="G3060"/>
    </row>
    <row r="3061" spans="1:7">
      <c r="A3061"/>
      <c r="B3061"/>
      <c r="C3061"/>
      <c r="D3061"/>
      <c r="E3061"/>
      <c r="F3061"/>
      <c r="G3061"/>
    </row>
    <row r="3062" spans="1:7">
      <c r="A3062"/>
      <c r="B3062"/>
      <c r="C3062"/>
      <c r="D3062"/>
      <c r="E3062"/>
      <c r="F3062"/>
      <c r="G3062"/>
    </row>
    <row r="3063" spans="1:7">
      <c r="A3063"/>
      <c r="B3063"/>
      <c r="C3063"/>
      <c r="D3063"/>
      <c r="E3063"/>
      <c r="F3063"/>
      <c r="G3063"/>
    </row>
    <row r="3064" spans="1:7">
      <c r="A3064"/>
      <c r="B3064"/>
      <c r="C3064"/>
      <c r="D3064"/>
      <c r="E3064"/>
      <c r="F3064"/>
      <c r="G3064"/>
    </row>
    <row r="3065" spans="1:7">
      <c r="A3065"/>
      <c r="B3065"/>
      <c r="C3065"/>
      <c r="D3065"/>
      <c r="E3065"/>
      <c r="F3065"/>
      <c r="G3065"/>
    </row>
    <row r="3066" spans="1:7">
      <c r="A3066"/>
      <c r="B3066"/>
      <c r="C3066"/>
      <c r="D3066"/>
      <c r="E3066"/>
      <c r="F3066"/>
      <c r="G3066"/>
    </row>
    <row r="3067" spans="1:7">
      <c r="A3067"/>
      <c r="B3067"/>
      <c r="C3067"/>
      <c r="D3067"/>
      <c r="E3067"/>
      <c r="F3067"/>
      <c r="G3067"/>
    </row>
    <row r="3068" spans="1:7">
      <c r="A3068"/>
      <c r="B3068"/>
      <c r="C3068"/>
      <c r="D3068"/>
      <c r="E3068"/>
      <c r="F3068"/>
      <c r="G3068"/>
    </row>
    <row r="3069" spans="1:7">
      <c r="A3069"/>
      <c r="B3069"/>
      <c r="C3069"/>
      <c r="D3069"/>
      <c r="E3069"/>
      <c r="F3069"/>
      <c r="G3069"/>
    </row>
    <row r="3070" spans="1:7">
      <c r="A3070"/>
      <c r="B3070"/>
      <c r="C3070"/>
      <c r="D3070"/>
      <c r="E3070"/>
      <c r="F3070"/>
      <c r="G3070"/>
    </row>
    <row r="3071" spans="1:7">
      <c r="A3071"/>
      <c r="B3071"/>
      <c r="C3071"/>
      <c r="D3071"/>
      <c r="E3071"/>
      <c r="F3071"/>
      <c r="G3071"/>
    </row>
    <row r="3072" spans="1:7">
      <c r="A3072"/>
      <c r="B3072"/>
      <c r="C3072"/>
      <c r="D3072"/>
      <c r="E3072"/>
      <c r="F3072"/>
      <c r="G3072"/>
    </row>
    <row r="3073" spans="1:7">
      <c r="A3073"/>
      <c r="B3073"/>
      <c r="C3073"/>
      <c r="D3073"/>
      <c r="E3073"/>
      <c r="F3073"/>
      <c r="G3073"/>
    </row>
    <row r="3074" spans="1:7">
      <c r="A3074"/>
      <c r="B3074"/>
      <c r="C3074"/>
      <c r="D3074"/>
      <c r="E3074"/>
      <c r="F3074"/>
      <c r="G3074"/>
    </row>
    <row r="3075" spans="1:7">
      <c r="A3075"/>
      <c r="B3075"/>
      <c r="C3075"/>
      <c r="D3075"/>
      <c r="E3075"/>
      <c r="F3075"/>
      <c r="G3075"/>
    </row>
    <row r="3076" spans="1:7">
      <c r="A3076"/>
      <c r="B3076"/>
      <c r="C3076"/>
      <c r="D3076"/>
      <c r="E3076"/>
      <c r="F3076"/>
      <c r="G3076"/>
    </row>
    <row r="3077" spans="1:7">
      <c r="A3077"/>
      <c r="B3077"/>
      <c r="C3077"/>
      <c r="D3077"/>
      <c r="E3077"/>
      <c r="F3077"/>
      <c r="G3077"/>
    </row>
    <row r="3078" spans="1:7">
      <c r="A3078"/>
      <c r="B3078"/>
      <c r="C3078"/>
      <c r="D3078"/>
      <c r="E3078"/>
      <c r="F3078"/>
      <c r="G3078"/>
    </row>
    <row r="3079" spans="1:7">
      <c r="A3079"/>
      <c r="B3079"/>
      <c r="C3079"/>
      <c r="D3079"/>
      <c r="E3079"/>
      <c r="F3079"/>
      <c r="G3079"/>
    </row>
    <row r="3080" spans="1:7">
      <c r="A3080"/>
      <c r="B3080"/>
      <c r="C3080"/>
      <c r="D3080"/>
      <c r="E3080"/>
      <c r="F3080"/>
      <c r="G3080"/>
    </row>
    <row r="3081" spans="1:7">
      <c r="A3081"/>
      <c r="B3081"/>
      <c r="C3081"/>
      <c r="D3081"/>
      <c r="E3081"/>
      <c r="F3081"/>
      <c r="G3081"/>
    </row>
    <row r="3082" spans="1:7">
      <c r="A3082"/>
      <c r="B3082"/>
      <c r="C3082"/>
      <c r="D3082"/>
      <c r="E3082"/>
      <c r="F3082"/>
      <c r="G3082"/>
    </row>
    <row r="3083" spans="1:7">
      <c r="A3083"/>
      <c r="B3083"/>
      <c r="C3083"/>
      <c r="D3083"/>
      <c r="E3083"/>
      <c r="F3083"/>
      <c r="G3083"/>
    </row>
    <row r="3084" spans="1:7">
      <c r="A3084"/>
      <c r="B3084"/>
      <c r="C3084"/>
      <c r="D3084"/>
      <c r="E3084"/>
      <c r="F3084"/>
      <c r="G3084"/>
    </row>
    <row r="3085" spans="1:7">
      <c r="A3085"/>
      <c r="B3085"/>
      <c r="C3085"/>
      <c r="D3085"/>
      <c r="E3085"/>
      <c r="F3085"/>
      <c r="G3085"/>
    </row>
    <row r="3086" spans="1:7">
      <c r="A3086"/>
      <c r="B3086"/>
      <c r="C3086"/>
      <c r="D3086"/>
      <c r="E3086"/>
      <c r="F3086"/>
      <c r="G3086"/>
    </row>
    <row r="3087" spans="1:7">
      <c r="A3087"/>
      <c r="B3087"/>
      <c r="C3087"/>
      <c r="D3087"/>
      <c r="E3087"/>
      <c r="F3087"/>
      <c r="G3087"/>
    </row>
    <row r="3088" spans="1:7">
      <c r="A3088"/>
      <c r="B3088"/>
      <c r="C3088"/>
      <c r="D3088"/>
      <c r="E3088"/>
      <c r="F3088"/>
      <c r="G3088"/>
    </row>
    <row r="3089" spans="1:7">
      <c r="A3089"/>
      <c r="B3089"/>
      <c r="C3089"/>
      <c r="D3089"/>
      <c r="E3089"/>
      <c r="F3089"/>
      <c r="G3089"/>
    </row>
    <row r="3090" spans="1:7">
      <c r="A3090"/>
      <c r="B3090"/>
      <c r="C3090"/>
      <c r="D3090"/>
      <c r="E3090"/>
      <c r="F3090"/>
      <c r="G3090"/>
    </row>
    <row r="3091" spans="1:7">
      <c r="A3091"/>
      <c r="B3091"/>
      <c r="C3091"/>
      <c r="D3091"/>
      <c r="E3091"/>
      <c r="F3091"/>
      <c r="G3091"/>
    </row>
    <row r="3092" spans="1:7">
      <c r="A3092"/>
      <c r="B3092"/>
      <c r="C3092"/>
      <c r="D3092"/>
      <c r="E3092"/>
      <c r="F3092"/>
      <c r="G3092"/>
    </row>
    <row r="3093" spans="1:7">
      <c r="A3093"/>
      <c r="B3093"/>
      <c r="C3093"/>
      <c r="D3093"/>
      <c r="E3093"/>
      <c r="F3093"/>
      <c r="G3093"/>
    </row>
    <row r="3094" spans="1:7">
      <c r="A3094"/>
      <c r="B3094"/>
      <c r="C3094"/>
      <c r="D3094"/>
      <c r="E3094"/>
      <c r="F3094"/>
      <c r="G3094"/>
    </row>
    <row r="3095" spans="1:7">
      <c r="A3095"/>
      <c r="B3095"/>
      <c r="C3095"/>
      <c r="D3095"/>
      <c r="E3095"/>
      <c r="F3095"/>
      <c r="G3095"/>
    </row>
    <row r="3096" spans="1:7">
      <c r="A3096"/>
      <c r="B3096"/>
      <c r="C3096"/>
      <c r="D3096"/>
      <c r="E3096"/>
      <c r="F3096"/>
      <c r="G3096"/>
    </row>
    <row r="3097" spans="1:7">
      <c r="A3097"/>
      <c r="B3097"/>
      <c r="C3097"/>
      <c r="D3097"/>
      <c r="E3097"/>
      <c r="F3097"/>
      <c r="G3097"/>
    </row>
    <row r="3098" spans="1:7">
      <c r="A3098"/>
      <c r="B3098"/>
      <c r="C3098"/>
      <c r="D3098"/>
      <c r="E3098"/>
      <c r="F3098"/>
      <c r="G3098"/>
    </row>
    <row r="3099" spans="1:7">
      <c r="A3099"/>
      <c r="B3099"/>
      <c r="C3099"/>
      <c r="D3099"/>
      <c r="E3099"/>
      <c r="F3099"/>
      <c r="G3099"/>
    </row>
    <row r="3100" spans="1:7">
      <c r="A3100"/>
      <c r="B3100"/>
      <c r="C3100"/>
      <c r="D3100"/>
      <c r="E3100"/>
      <c r="F3100"/>
      <c r="G3100"/>
    </row>
    <row r="3101" spans="1:7">
      <c r="A3101"/>
      <c r="B3101"/>
      <c r="C3101"/>
      <c r="D3101"/>
      <c r="E3101"/>
      <c r="F3101"/>
      <c r="G3101"/>
    </row>
    <row r="3102" spans="1:7">
      <c r="A3102"/>
      <c r="B3102"/>
      <c r="C3102"/>
      <c r="D3102"/>
      <c r="E3102"/>
      <c r="F3102"/>
      <c r="G3102"/>
    </row>
    <row r="3103" spans="1:7">
      <c r="A3103"/>
      <c r="B3103"/>
      <c r="C3103"/>
      <c r="D3103"/>
      <c r="E3103"/>
      <c r="F3103"/>
      <c r="G3103"/>
    </row>
    <row r="3104" spans="1:7">
      <c r="A3104"/>
      <c r="B3104"/>
      <c r="C3104"/>
      <c r="D3104"/>
      <c r="E3104"/>
      <c r="F3104"/>
      <c r="G3104"/>
    </row>
    <row r="3105" spans="1:7">
      <c r="A3105"/>
      <c r="B3105"/>
      <c r="C3105"/>
      <c r="D3105"/>
      <c r="E3105"/>
      <c r="F3105"/>
      <c r="G3105"/>
    </row>
    <row r="3106" spans="1:7">
      <c r="A3106"/>
      <c r="B3106"/>
      <c r="C3106"/>
      <c r="D3106"/>
      <c r="E3106"/>
      <c r="F3106"/>
      <c r="G3106"/>
    </row>
    <row r="3107" spans="1:7">
      <c r="A3107"/>
      <c r="B3107"/>
      <c r="C3107"/>
      <c r="D3107"/>
      <c r="E3107"/>
      <c r="F3107"/>
      <c r="G3107"/>
    </row>
    <row r="3108" spans="1:7">
      <c r="A3108"/>
      <c r="B3108"/>
      <c r="C3108"/>
      <c r="D3108"/>
      <c r="E3108"/>
      <c r="F3108"/>
      <c r="G3108"/>
    </row>
    <row r="3109" spans="1:7">
      <c r="A3109"/>
      <c r="B3109"/>
      <c r="C3109"/>
      <c r="D3109"/>
      <c r="E3109"/>
      <c r="F3109"/>
      <c r="G3109"/>
    </row>
    <row r="3110" spans="1:7">
      <c r="A3110"/>
      <c r="B3110"/>
      <c r="C3110"/>
      <c r="D3110"/>
      <c r="E3110"/>
      <c r="F3110"/>
      <c r="G3110"/>
    </row>
    <row r="3111" spans="1:7">
      <c r="A3111"/>
      <c r="B3111"/>
      <c r="C3111"/>
      <c r="D3111"/>
      <c r="E3111"/>
      <c r="F3111"/>
      <c r="G3111"/>
    </row>
    <row r="3112" spans="1:7">
      <c r="A3112"/>
      <c r="B3112"/>
      <c r="C3112"/>
      <c r="D3112"/>
      <c r="E3112"/>
      <c r="F3112"/>
      <c r="G3112"/>
    </row>
    <row r="3113" spans="1:7">
      <c r="A3113"/>
      <c r="B3113"/>
      <c r="C3113"/>
      <c r="D3113"/>
      <c r="E3113"/>
      <c r="F3113"/>
      <c r="G3113"/>
    </row>
    <row r="3114" spans="1:7">
      <c r="A3114"/>
      <c r="B3114"/>
      <c r="C3114"/>
      <c r="D3114"/>
      <c r="E3114"/>
      <c r="F3114"/>
      <c r="G3114"/>
    </row>
    <row r="3115" spans="1:7">
      <c r="A3115"/>
      <c r="B3115"/>
      <c r="C3115"/>
      <c r="D3115"/>
      <c r="E3115"/>
      <c r="F3115"/>
      <c r="G3115"/>
    </row>
    <row r="3116" spans="1:7">
      <c r="A3116"/>
      <c r="B3116"/>
      <c r="C3116"/>
      <c r="D3116"/>
      <c r="E3116"/>
      <c r="F3116"/>
      <c r="G3116"/>
    </row>
    <row r="3117" spans="1:7">
      <c r="A3117"/>
      <c r="B3117"/>
      <c r="C3117"/>
      <c r="D3117"/>
      <c r="E3117"/>
      <c r="F3117"/>
      <c r="G3117"/>
    </row>
    <row r="3118" spans="1:7">
      <c r="A3118"/>
      <c r="B3118"/>
      <c r="C3118"/>
      <c r="D3118"/>
      <c r="E3118"/>
      <c r="F3118"/>
      <c r="G3118"/>
    </row>
    <row r="3119" spans="1:7">
      <c r="A3119"/>
      <c r="B3119"/>
      <c r="C3119"/>
      <c r="D3119"/>
      <c r="E3119"/>
      <c r="F3119"/>
      <c r="G3119"/>
    </row>
    <row r="3120" spans="1:7">
      <c r="A3120"/>
      <c r="B3120"/>
      <c r="C3120"/>
      <c r="D3120"/>
      <c r="E3120"/>
      <c r="F3120"/>
      <c r="G3120"/>
    </row>
    <row r="3121" spans="1:7">
      <c r="A3121"/>
      <c r="B3121"/>
      <c r="C3121"/>
      <c r="D3121"/>
      <c r="E3121"/>
      <c r="F3121"/>
      <c r="G3121"/>
    </row>
    <row r="3122" spans="1:7">
      <c r="A3122"/>
      <c r="B3122"/>
      <c r="C3122"/>
      <c r="D3122"/>
      <c r="E3122"/>
      <c r="F3122"/>
      <c r="G3122"/>
    </row>
    <row r="3123" spans="1:7">
      <c r="A3123"/>
      <c r="B3123"/>
      <c r="C3123"/>
      <c r="D3123"/>
      <c r="E3123"/>
      <c r="F3123"/>
      <c r="G3123"/>
    </row>
    <row r="3124" spans="1:7">
      <c r="A3124"/>
      <c r="B3124"/>
      <c r="C3124"/>
      <c r="D3124"/>
      <c r="E3124"/>
      <c r="F3124"/>
      <c r="G3124"/>
    </row>
    <row r="3125" spans="1:7">
      <c r="A3125"/>
      <c r="B3125"/>
      <c r="C3125"/>
      <c r="D3125"/>
      <c r="E3125"/>
      <c r="F3125"/>
      <c r="G3125"/>
    </row>
    <row r="3126" spans="1:7">
      <c r="A3126"/>
      <c r="B3126"/>
      <c r="C3126"/>
      <c r="D3126"/>
      <c r="E3126"/>
      <c r="F3126"/>
      <c r="G3126"/>
    </row>
    <row r="3127" spans="1:7">
      <c r="A3127"/>
      <c r="B3127"/>
      <c r="C3127"/>
      <c r="D3127"/>
      <c r="E3127"/>
      <c r="F3127"/>
      <c r="G3127"/>
    </row>
    <row r="3128" spans="1:7">
      <c r="A3128"/>
      <c r="B3128"/>
      <c r="C3128"/>
      <c r="D3128"/>
      <c r="E3128"/>
      <c r="F3128"/>
      <c r="G3128"/>
    </row>
    <row r="3129" spans="1:7">
      <c r="A3129"/>
      <c r="B3129"/>
      <c r="C3129"/>
      <c r="D3129"/>
      <c r="E3129"/>
      <c r="F3129"/>
      <c r="G3129"/>
    </row>
    <row r="3130" spans="1:7">
      <c r="A3130"/>
      <c r="B3130"/>
      <c r="C3130"/>
      <c r="D3130"/>
      <c r="E3130"/>
      <c r="F3130"/>
      <c r="G3130"/>
    </row>
    <row r="3131" spans="1:7">
      <c r="A3131"/>
      <c r="B3131"/>
      <c r="C3131"/>
      <c r="D3131"/>
      <c r="E3131"/>
      <c r="F3131"/>
      <c r="G3131"/>
    </row>
    <row r="3132" spans="1:7">
      <c r="A3132"/>
      <c r="B3132"/>
      <c r="C3132"/>
      <c r="D3132"/>
      <c r="E3132"/>
      <c r="F3132"/>
      <c r="G3132"/>
    </row>
    <row r="3133" spans="1:7">
      <c r="A3133"/>
      <c r="B3133"/>
      <c r="C3133"/>
      <c r="D3133"/>
      <c r="E3133"/>
      <c r="F3133"/>
      <c r="G3133"/>
    </row>
    <row r="3134" spans="1:7">
      <c r="A3134"/>
      <c r="B3134"/>
      <c r="C3134"/>
      <c r="D3134"/>
      <c r="E3134"/>
      <c r="F3134"/>
      <c r="G3134"/>
    </row>
    <row r="3135" spans="1:7">
      <c r="A3135"/>
      <c r="B3135"/>
      <c r="C3135"/>
      <c r="D3135"/>
      <c r="E3135"/>
      <c r="F3135"/>
      <c r="G3135"/>
    </row>
    <row r="3136" spans="1:7">
      <c r="A3136"/>
      <c r="B3136"/>
      <c r="C3136"/>
      <c r="D3136"/>
      <c r="E3136"/>
      <c r="F3136"/>
      <c r="G3136"/>
    </row>
    <row r="3137" spans="1:7">
      <c r="A3137"/>
      <c r="B3137"/>
      <c r="C3137"/>
      <c r="D3137"/>
      <c r="E3137"/>
      <c r="F3137"/>
      <c r="G3137"/>
    </row>
    <row r="3138" spans="1:7">
      <c r="A3138"/>
      <c r="B3138"/>
      <c r="C3138"/>
      <c r="D3138"/>
      <c r="E3138"/>
      <c r="F3138"/>
      <c r="G3138"/>
    </row>
    <row r="3139" spans="1:7">
      <c r="A3139"/>
      <c r="B3139"/>
      <c r="C3139"/>
      <c r="D3139"/>
      <c r="E3139"/>
      <c r="F3139"/>
      <c r="G3139"/>
    </row>
    <row r="3140" spans="1:7">
      <c r="A3140"/>
      <c r="B3140"/>
      <c r="C3140"/>
      <c r="D3140"/>
      <c r="E3140"/>
      <c r="F3140"/>
      <c r="G3140"/>
    </row>
    <row r="3141" spans="1:7">
      <c r="A3141"/>
      <c r="B3141"/>
      <c r="C3141"/>
      <c r="D3141"/>
      <c r="E3141"/>
      <c r="F3141"/>
      <c r="G3141"/>
    </row>
    <row r="3142" spans="1:7">
      <c r="A3142"/>
      <c r="B3142"/>
      <c r="C3142"/>
      <c r="D3142"/>
      <c r="E3142"/>
      <c r="F3142"/>
      <c r="G3142"/>
    </row>
    <row r="3143" spans="1:7">
      <c r="A3143"/>
      <c r="B3143"/>
      <c r="C3143"/>
      <c r="D3143"/>
      <c r="E3143"/>
      <c r="F3143"/>
      <c r="G3143"/>
    </row>
    <row r="3144" spans="1:7">
      <c r="A3144"/>
      <c r="B3144"/>
      <c r="C3144"/>
      <c r="D3144"/>
      <c r="E3144"/>
      <c r="F3144"/>
      <c r="G3144"/>
    </row>
    <row r="3145" spans="1:7">
      <c r="A3145"/>
      <c r="B3145"/>
      <c r="C3145"/>
      <c r="D3145"/>
      <c r="E3145"/>
      <c r="F3145"/>
      <c r="G3145"/>
    </row>
    <row r="3146" spans="1:7">
      <c r="A3146"/>
      <c r="B3146"/>
      <c r="C3146"/>
      <c r="D3146"/>
      <c r="E3146"/>
      <c r="F3146"/>
      <c r="G3146"/>
    </row>
    <row r="3147" spans="1:7">
      <c r="A3147"/>
      <c r="B3147"/>
      <c r="C3147"/>
      <c r="D3147"/>
      <c r="E3147"/>
      <c r="F3147"/>
      <c r="G3147"/>
    </row>
    <row r="3148" spans="1:7">
      <c r="A3148"/>
      <c r="B3148"/>
      <c r="C3148"/>
      <c r="D3148"/>
      <c r="E3148"/>
      <c r="F3148"/>
      <c r="G3148"/>
    </row>
    <row r="3149" spans="1:7">
      <c r="A3149"/>
      <c r="B3149"/>
      <c r="C3149"/>
      <c r="D3149"/>
      <c r="E3149"/>
      <c r="F3149"/>
      <c r="G3149"/>
    </row>
    <row r="3150" spans="1:7">
      <c r="A3150"/>
      <c r="B3150"/>
      <c r="C3150"/>
      <c r="D3150"/>
      <c r="E3150"/>
      <c r="F3150"/>
      <c r="G3150"/>
    </row>
    <row r="3151" spans="1:7">
      <c r="A3151"/>
      <c r="B3151"/>
      <c r="C3151"/>
      <c r="D3151"/>
      <c r="E3151"/>
      <c r="F3151"/>
      <c r="G3151"/>
    </row>
    <row r="3152" spans="1:7">
      <c r="A3152"/>
      <c r="B3152"/>
      <c r="C3152"/>
      <c r="D3152"/>
      <c r="E3152"/>
      <c r="F3152"/>
      <c r="G3152"/>
    </row>
    <row r="3153" spans="1:7">
      <c r="A3153"/>
      <c r="B3153"/>
      <c r="C3153"/>
      <c r="D3153"/>
      <c r="E3153"/>
      <c r="F3153"/>
      <c r="G3153"/>
    </row>
    <row r="3154" spans="1:7">
      <c r="A3154"/>
      <c r="B3154"/>
      <c r="C3154"/>
      <c r="D3154"/>
      <c r="E3154"/>
      <c r="F3154"/>
      <c r="G3154"/>
    </row>
    <row r="3155" spans="1:7">
      <c r="A3155"/>
      <c r="B3155"/>
      <c r="C3155"/>
      <c r="D3155"/>
      <c r="E3155"/>
      <c r="F3155"/>
      <c r="G3155"/>
    </row>
    <row r="3156" spans="1:7">
      <c r="A3156"/>
      <c r="B3156"/>
      <c r="C3156"/>
      <c r="D3156"/>
      <c r="E3156"/>
      <c r="F3156"/>
      <c r="G3156"/>
    </row>
    <row r="3157" spans="1:7">
      <c r="A3157"/>
      <c r="B3157"/>
      <c r="C3157"/>
      <c r="D3157"/>
      <c r="E3157"/>
      <c r="F3157"/>
      <c r="G3157"/>
    </row>
    <row r="3158" spans="1:7">
      <c r="A3158"/>
      <c r="B3158"/>
      <c r="C3158"/>
      <c r="D3158"/>
      <c r="E3158"/>
      <c r="F3158"/>
      <c r="G3158"/>
    </row>
    <row r="3159" spans="1:7">
      <c r="A3159"/>
      <c r="B3159"/>
      <c r="C3159"/>
      <c r="D3159"/>
      <c r="E3159"/>
      <c r="F3159"/>
      <c r="G3159"/>
    </row>
    <row r="3160" spans="1:7">
      <c r="A3160"/>
      <c r="B3160"/>
      <c r="C3160"/>
      <c r="D3160"/>
      <c r="E3160"/>
      <c r="F3160"/>
      <c r="G3160"/>
    </row>
    <row r="3161" spans="1:7">
      <c r="A3161"/>
      <c r="B3161"/>
      <c r="C3161"/>
      <c r="D3161"/>
      <c r="E3161"/>
      <c r="F3161"/>
      <c r="G3161"/>
    </row>
    <row r="3162" spans="1:7">
      <c r="A3162"/>
      <c r="B3162"/>
      <c r="C3162"/>
      <c r="D3162"/>
      <c r="E3162"/>
      <c r="F3162"/>
      <c r="G3162"/>
    </row>
    <row r="3163" spans="1:7">
      <c r="A3163"/>
      <c r="B3163"/>
      <c r="C3163"/>
      <c r="D3163"/>
      <c r="E3163"/>
      <c r="F3163"/>
      <c r="G3163"/>
    </row>
    <row r="3164" spans="1:7">
      <c r="A3164"/>
      <c r="B3164"/>
      <c r="C3164"/>
      <c r="D3164"/>
      <c r="E3164"/>
      <c r="F3164"/>
      <c r="G3164"/>
    </row>
    <row r="3165" spans="1:7">
      <c r="A3165"/>
      <c r="B3165"/>
      <c r="C3165"/>
      <c r="D3165"/>
      <c r="E3165"/>
      <c r="F3165"/>
      <c r="G3165"/>
    </row>
    <row r="3166" spans="1:7">
      <c r="A3166"/>
      <c r="B3166"/>
      <c r="C3166"/>
      <c r="D3166"/>
      <c r="E3166"/>
      <c r="F3166"/>
      <c r="G3166"/>
    </row>
    <row r="3167" spans="1:7">
      <c r="A3167"/>
      <c r="B3167"/>
      <c r="C3167"/>
      <c r="D3167"/>
      <c r="E3167"/>
      <c r="F3167"/>
      <c r="G3167"/>
    </row>
    <row r="3168" spans="1:7">
      <c r="A3168"/>
      <c r="B3168"/>
      <c r="C3168"/>
      <c r="D3168"/>
      <c r="E3168"/>
      <c r="F3168"/>
      <c r="G3168"/>
    </row>
    <row r="3169" spans="1:7">
      <c r="A3169"/>
      <c r="B3169"/>
      <c r="C3169"/>
      <c r="D3169"/>
      <c r="E3169"/>
      <c r="F3169"/>
      <c r="G3169"/>
    </row>
    <row r="3170" spans="1:7">
      <c r="A3170"/>
      <c r="B3170"/>
      <c r="C3170"/>
      <c r="D3170"/>
      <c r="E3170"/>
      <c r="F3170"/>
      <c r="G3170"/>
    </row>
    <row r="3171" spans="1:7">
      <c r="A3171"/>
      <c r="B3171"/>
      <c r="C3171"/>
      <c r="D3171"/>
      <c r="E3171"/>
      <c r="F3171"/>
      <c r="G3171"/>
    </row>
    <row r="3172" spans="1:7">
      <c r="A3172"/>
      <c r="B3172"/>
      <c r="C3172"/>
      <c r="D3172"/>
      <c r="E3172"/>
      <c r="F3172"/>
      <c r="G3172"/>
    </row>
    <row r="3173" spans="1:7">
      <c r="A3173"/>
      <c r="B3173"/>
      <c r="C3173"/>
      <c r="D3173"/>
      <c r="E3173"/>
      <c r="F3173"/>
      <c r="G3173"/>
    </row>
    <row r="3174" spans="1:7">
      <c r="A3174"/>
      <c r="B3174"/>
      <c r="C3174"/>
      <c r="D3174"/>
      <c r="E3174"/>
      <c r="F3174"/>
      <c r="G3174"/>
    </row>
    <row r="3175" spans="1:7">
      <c r="A3175"/>
      <c r="B3175"/>
      <c r="C3175"/>
      <c r="D3175"/>
      <c r="E3175"/>
      <c r="F3175"/>
      <c r="G3175"/>
    </row>
    <row r="3176" spans="1:7">
      <c r="A3176"/>
      <c r="B3176"/>
      <c r="C3176"/>
      <c r="D3176"/>
      <c r="E3176"/>
      <c r="F3176"/>
      <c r="G3176"/>
    </row>
    <row r="3177" spans="1:7">
      <c r="A3177"/>
      <c r="B3177"/>
      <c r="C3177"/>
      <c r="D3177"/>
      <c r="E3177"/>
      <c r="F3177"/>
      <c r="G3177"/>
    </row>
    <row r="3178" spans="1:7">
      <c r="A3178"/>
      <c r="B3178"/>
      <c r="C3178"/>
      <c r="D3178"/>
      <c r="E3178"/>
      <c r="F3178"/>
      <c r="G3178"/>
    </row>
    <row r="3179" spans="1:7">
      <c r="A3179"/>
      <c r="B3179"/>
      <c r="C3179"/>
      <c r="D3179"/>
      <c r="E3179"/>
      <c r="F3179"/>
      <c r="G3179"/>
    </row>
    <row r="3180" spans="1:7">
      <c r="A3180"/>
      <c r="B3180"/>
      <c r="C3180"/>
      <c r="D3180"/>
      <c r="E3180"/>
      <c r="F3180"/>
      <c r="G3180"/>
    </row>
    <row r="3181" spans="1:7">
      <c r="A3181"/>
      <c r="B3181"/>
      <c r="C3181"/>
      <c r="D3181"/>
      <c r="E3181"/>
      <c r="F3181"/>
      <c r="G3181"/>
    </row>
    <row r="3182" spans="1:7">
      <c r="A3182"/>
      <c r="B3182"/>
      <c r="C3182"/>
      <c r="D3182"/>
      <c r="E3182"/>
      <c r="F3182"/>
      <c r="G3182"/>
    </row>
    <row r="3183" spans="1:7">
      <c r="A3183"/>
      <c r="B3183"/>
      <c r="C3183"/>
      <c r="D3183"/>
      <c r="E3183"/>
      <c r="F3183"/>
      <c r="G3183"/>
    </row>
    <row r="3184" spans="1:7">
      <c r="A3184"/>
      <c r="B3184"/>
      <c r="C3184"/>
      <c r="D3184"/>
      <c r="E3184"/>
      <c r="F3184"/>
      <c r="G3184"/>
    </row>
    <row r="3185" spans="1:7">
      <c r="A3185"/>
      <c r="B3185"/>
      <c r="C3185"/>
      <c r="D3185"/>
      <c r="E3185"/>
      <c r="F3185"/>
      <c r="G3185"/>
    </row>
    <row r="3186" spans="1:7">
      <c r="A3186"/>
      <c r="B3186"/>
      <c r="C3186"/>
      <c r="D3186"/>
      <c r="E3186"/>
      <c r="F3186"/>
      <c r="G3186"/>
    </row>
    <row r="3187" spans="1:7">
      <c r="A3187"/>
      <c r="B3187"/>
      <c r="C3187"/>
      <c r="D3187"/>
      <c r="E3187"/>
      <c r="F3187"/>
      <c r="G3187"/>
    </row>
    <row r="3188" spans="1:7">
      <c r="A3188"/>
      <c r="B3188"/>
      <c r="C3188"/>
      <c r="D3188"/>
      <c r="E3188"/>
      <c r="F3188"/>
      <c r="G3188"/>
    </row>
    <row r="3189" spans="1:7">
      <c r="A3189"/>
      <c r="B3189"/>
      <c r="C3189"/>
      <c r="D3189"/>
      <c r="E3189"/>
      <c r="F3189"/>
      <c r="G3189"/>
    </row>
    <row r="3190" spans="1:7">
      <c r="A3190"/>
      <c r="B3190"/>
      <c r="C3190"/>
      <c r="D3190"/>
      <c r="E3190"/>
      <c r="F3190"/>
      <c r="G3190"/>
    </row>
    <row r="3191" spans="1:7">
      <c r="A3191"/>
      <c r="B3191"/>
      <c r="C3191"/>
      <c r="D3191"/>
      <c r="E3191"/>
      <c r="F3191"/>
      <c r="G3191"/>
    </row>
    <row r="3192" spans="1:7">
      <c r="A3192"/>
      <c r="B3192"/>
      <c r="C3192"/>
      <c r="D3192"/>
      <c r="E3192"/>
      <c r="F3192"/>
      <c r="G3192"/>
    </row>
    <row r="3193" spans="1:7">
      <c r="A3193"/>
      <c r="B3193"/>
      <c r="C3193"/>
      <c r="D3193"/>
      <c r="E3193"/>
      <c r="F3193"/>
      <c r="G3193"/>
    </row>
    <row r="3194" spans="1:7">
      <c r="A3194"/>
      <c r="B3194"/>
      <c r="C3194"/>
      <c r="D3194"/>
      <c r="E3194"/>
      <c r="F3194"/>
      <c r="G3194"/>
    </row>
    <row r="3195" spans="1:7">
      <c r="A3195"/>
      <c r="B3195"/>
      <c r="C3195"/>
      <c r="D3195"/>
      <c r="E3195"/>
      <c r="F3195"/>
      <c r="G3195"/>
    </row>
    <row r="3196" spans="1:7">
      <c r="A3196"/>
      <c r="B3196"/>
      <c r="C3196"/>
      <c r="D3196"/>
      <c r="E3196"/>
      <c r="F3196"/>
      <c r="G3196"/>
    </row>
    <row r="3197" spans="1:7">
      <c r="A3197"/>
      <c r="B3197"/>
      <c r="C3197"/>
      <c r="D3197"/>
      <c r="E3197"/>
      <c r="F3197"/>
      <c r="G3197"/>
    </row>
    <row r="3198" spans="1:7">
      <c r="A3198"/>
      <c r="B3198"/>
      <c r="C3198"/>
      <c r="D3198"/>
      <c r="E3198"/>
      <c r="F3198"/>
      <c r="G3198"/>
    </row>
    <row r="3199" spans="1:7">
      <c r="A3199"/>
      <c r="B3199"/>
      <c r="C3199"/>
      <c r="D3199"/>
      <c r="E3199"/>
      <c r="F3199"/>
      <c r="G3199"/>
    </row>
    <row r="3200" spans="1:7">
      <c r="A3200"/>
      <c r="B3200"/>
      <c r="C3200"/>
      <c r="D3200"/>
      <c r="E3200"/>
      <c r="F3200"/>
      <c r="G3200"/>
    </row>
    <row r="3201" spans="1:7">
      <c r="A3201"/>
      <c r="B3201"/>
      <c r="C3201"/>
      <c r="D3201"/>
      <c r="E3201"/>
      <c r="F3201"/>
      <c r="G3201"/>
    </row>
    <row r="3202" spans="1:7">
      <c r="A3202"/>
      <c r="B3202"/>
      <c r="C3202"/>
      <c r="D3202"/>
      <c r="E3202"/>
      <c r="F3202"/>
      <c r="G3202"/>
    </row>
    <row r="3203" spans="1:7">
      <c r="A3203"/>
      <c r="B3203"/>
      <c r="C3203"/>
      <c r="D3203"/>
      <c r="E3203"/>
      <c r="F3203"/>
      <c r="G3203"/>
    </row>
    <row r="3204" spans="1:7">
      <c r="A3204"/>
      <c r="B3204"/>
      <c r="C3204"/>
      <c r="D3204"/>
      <c r="E3204"/>
      <c r="F3204"/>
      <c r="G3204"/>
    </row>
    <row r="3205" spans="1:7">
      <c r="A3205"/>
      <c r="B3205"/>
      <c r="C3205"/>
      <c r="D3205"/>
      <c r="E3205"/>
      <c r="F3205"/>
      <c r="G3205"/>
    </row>
    <row r="3206" spans="1:7">
      <c r="A3206"/>
      <c r="B3206"/>
      <c r="C3206"/>
      <c r="D3206"/>
      <c r="E3206"/>
      <c r="F3206"/>
      <c r="G3206"/>
    </row>
    <row r="3207" spans="1:7">
      <c r="A3207"/>
      <c r="B3207"/>
      <c r="C3207"/>
      <c r="D3207"/>
      <c r="E3207"/>
      <c r="F3207"/>
      <c r="G3207"/>
    </row>
    <row r="3208" spans="1:7">
      <c r="A3208"/>
      <c r="B3208"/>
      <c r="C3208"/>
      <c r="D3208"/>
      <c r="E3208"/>
      <c r="F3208"/>
      <c r="G3208"/>
    </row>
    <row r="3209" spans="1:7">
      <c r="A3209"/>
      <c r="B3209"/>
      <c r="C3209"/>
      <c r="D3209"/>
      <c r="E3209"/>
      <c r="F3209"/>
      <c r="G3209"/>
    </row>
    <row r="3210" spans="1:7">
      <c r="A3210"/>
      <c r="B3210"/>
      <c r="C3210"/>
      <c r="D3210"/>
      <c r="E3210"/>
      <c r="F3210"/>
      <c r="G3210"/>
    </row>
    <row r="3211" spans="1:7">
      <c r="A3211"/>
      <c r="B3211"/>
      <c r="C3211"/>
      <c r="D3211"/>
      <c r="E3211"/>
      <c r="F3211"/>
      <c r="G3211"/>
    </row>
    <row r="3212" spans="1:7">
      <c r="A3212"/>
      <c r="B3212"/>
      <c r="C3212"/>
      <c r="D3212"/>
      <c r="E3212"/>
      <c r="F3212"/>
      <c r="G3212"/>
    </row>
    <row r="3213" spans="1:7">
      <c r="A3213"/>
      <c r="B3213"/>
      <c r="C3213"/>
      <c r="D3213"/>
      <c r="E3213"/>
      <c r="F3213"/>
      <c r="G3213"/>
    </row>
    <row r="3214" spans="1:7">
      <c r="A3214"/>
      <c r="B3214"/>
      <c r="C3214"/>
      <c r="D3214"/>
      <c r="E3214"/>
      <c r="F3214"/>
      <c r="G3214"/>
    </row>
    <row r="3215" spans="1:7">
      <c r="A3215"/>
      <c r="B3215"/>
      <c r="C3215"/>
      <c r="D3215"/>
      <c r="E3215"/>
      <c r="F3215"/>
      <c r="G3215"/>
    </row>
    <row r="3216" spans="1:7">
      <c r="A3216"/>
      <c r="B3216"/>
      <c r="C3216"/>
      <c r="D3216"/>
      <c r="E3216"/>
      <c r="F3216"/>
      <c r="G3216"/>
    </row>
    <row r="3217" spans="1:7">
      <c r="A3217"/>
      <c r="B3217"/>
      <c r="C3217"/>
      <c r="D3217"/>
      <c r="E3217"/>
      <c r="F3217"/>
      <c r="G3217"/>
    </row>
    <row r="3218" spans="1:7">
      <c r="A3218"/>
      <c r="B3218"/>
      <c r="C3218"/>
      <c r="D3218"/>
      <c r="E3218"/>
      <c r="F3218"/>
      <c r="G3218"/>
    </row>
    <row r="3219" spans="1:7">
      <c r="A3219"/>
      <c r="B3219"/>
      <c r="C3219"/>
      <c r="D3219"/>
      <c r="E3219"/>
      <c r="F3219"/>
      <c r="G3219"/>
    </row>
    <row r="3220" spans="1:7">
      <c r="A3220"/>
      <c r="B3220"/>
      <c r="C3220"/>
      <c r="D3220"/>
      <c r="E3220"/>
      <c r="F3220"/>
      <c r="G3220"/>
    </row>
    <row r="3221" spans="1:7">
      <c r="A3221"/>
      <c r="B3221"/>
      <c r="C3221"/>
      <c r="D3221"/>
      <c r="E3221"/>
      <c r="F3221"/>
      <c r="G3221"/>
    </row>
    <row r="3222" spans="1:7">
      <c r="A3222"/>
      <c r="B3222"/>
      <c r="C3222"/>
      <c r="D3222"/>
      <c r="E3222"/>
      <c r="F3222"/>
      <c r="G3222"/>
    </row>
    <row r="3223" spans="1:7">
      <c r="A3223"/>
      <c r="B3223"/>
      <c r="C3223"/>
      <c r="D3223"/>
      <c r="E3223"/>
      <c r="F3223"/>
      <c r="G3223"/>
    </row>
    <row r="3224" spans="1:7">
      <c r="A3224"/>
      <c r="B3224"/>
      <c r="C3224"/>
      <c r="D3224"/>
      <c r="E3224"/>
      <c r="F3224"/>
      <c r="G3224"/>
    </row>
    <row r="3225" spans="1:7">
      <c r="A3225"/>
      <c r="B3225"/>
      <c r="C3225"/>
      <c r="D3225"/>
      <c r="E3225"/>
      <c r="F3225"/>
      <c r="G3225"/>
    </row>
    <row r="3226" spans="1:7">
      <c r="A3226"/>
      <c r="B3226"/>
      <c r="C3226"/>
      <c r="D3226"/>
      <c r="E3226"/>
      <c r="F3226"/>
      <c r="G3226"/>
    </row>
    <row r="3227" spans="1:7">
      <c r="A3227"/>
      <c r="B3227"/>
      <c r="C3227"/>
      <c r="D3227"/>
      <c r="E3227"/>
      <c r="F3227"/>
      <c r="G3227"/>
    </row>
    <row r="3228" spans="1:7">
      <c r="A3228"/>
      <c r="B3228"/>
      <c r="C3228"/>
      <c r="D3228"/>
      <c r="E3228"/>
      <c r="F3228"/>
      <c r="G3228"/>
    </row>
    <row r="3229" spans="1:7">
      <c r="A3229"/>
      <c r="B3229"/>
      <c r="C3229"/>
      <c r="D3229"/>
      <c r="E3229"/>
      <c r="F3229"/>
      <c r="G3229"/>
    </row>
    <row r="3230" spans="1:7">
      <c r="A3230"/>
      <c r="B3230"/>
      <c r="C3230"/>
      <c r="D3230"/>
      <c r="E3230"/>
      <c r="F3230"/>
      <c r="G3230"/>
    </row>
    <row r="3231" spans="1:7">
      <c r="A3231"/>
      <c r="B3231"/>
      <c r="C3231"/>
      <c r="D3231"/>
      <c r="E3231"/>
      <c r="F3231"/>
      <c r="G3231"/>
    </row>
    <row r="3232" spans="1:7">
      <c r="A3232"/>
      <c r="B3232"/>
      <c r="C3232"/>
      <c r="D3232"/>
      <c r="E3232"/>
      <c r="F3232"/>
      <c r="G3232"/>
    </row>
    <row r="3233" spans="1:7">
      <c r="A3233"/>
      <c r="B3233"/>
      <c r="C3233"/>
      <c r="D3233"/>
      <c r="E3233"/>
      <c r="F3233"/>
      <c r="G3233"/>
    </row>
    <row r="3234" spans="1:7">
      <c r="A3234"/>
      <c r="B3234"/>
      <c r="C3234"/>
      <c r="D3234"/>
      <c r="E3234"/>
      <c r="F3234"/>
      <c r="G3234"/>
    </row>
    <row r="3235" spans="1:7">
      <c r="A3235"/>
      <c r="B3235"/>
      <c r="C3235"/>
      <c r="D3235"/>
      <c r="E3235"/>
      <c r="F3235"/>
      <c r="G3235"/>
    </row>
    <row r="3236" spans="1:7">
      <c r="A3236"/>
      <c r="B3236"/>
      <c r="C3236"/>
      <c r="D3236"/>
      <c r="E3236"/>
      <c r="F3236"/>
      <c r="G3236"/>
    </row>
    <row r="3237" spans="1:7">
      <c r="A3237"/>
      <c r="B3237"/>
      <c r="C3237"/>
      <c r="D3237"/>
      <c r="E3237"/>
      <c r="F3237"/>
      <c r="G3237"/>
    </row>
    <row r="3238" spans="1:7">
      <c r="A3238"/>
      <c r="B3238"/>
      <c r="C3238"/>
      <c r="D3238"/>
      <c r="E3238"/>
      <c r="F3238"/>
      <c r="G3238"/>
    </row>
    <row r="3239" spans="1:7">
      <c r="A3239"/>
      <c r="B3239"/>
      <c r="C3239"/>
      <c r="D3239"/>
      <c r="E3239"/>
      <c r="F3239"/>
      <c r="G3239"/>
    </row>
    <row r="3240" spans="1:7">
      <c r="A3240"/>
      <c r="B3240"/>
      <c r="C3240"/>
      <c r="D3240"/>
      <c r="E3240"/>
      <c r="F3240"/>
      <c r="G3240"/>
    </row>
    <row r="3241" spans="1:7">
      <c r="A3241"/>
      <c r="B3241"/>
      <c r="C3241"/>
      <c r="D3241"/>
      <c r="E3241"/>
      <c r="F3241"/>
      <c r="G3241"/>
    </row>
    <row r="3242" spans="1:7">
      <c r="A3242"/>
      <c r="B3242"/>
      <c r="C3242"/>
      <c r="D3242"/>
      <c r="E3242"/>
      <c r="F3242"/>
      <c r="G3242"/>
    </row>
    <row r="3243" spans="1:7">
      <c r="A3243"/>
      <c r="B3243"/>
      <c r="C3243"/>
      <c r="D3243"/>
      <c r="E3243"/>
      <c r="F3243"/>
      <c r="G3243"/>
    </row>
    <row r="3244" spans="1:7">
      <c r="A3244"/>
      <c r="B3244"/>
      <c r="C3244"/>
      <c r="D3244"/>
      <c r="E3244"/>
      <c r="F3244"/>
      <c r="G3244"/>
    </row>
    <row r="3245" spans="1:7">
      <c r="A3245"/>
      <c r="B3245"/>
      <c r="C3245"/>
      <c r="D3245"/>
      <c r="E3245"/>
      <c r="F3245"/>
      <c r="G3245"/>
    </row>
    <row r="3246" spans="1:7">
      <c r="A3246"/>
      <c r="B3246"/>
      <c r="C3246"/>
      <c r="D3246"/>
      <c r="E3246"/>
      <c r="F3246"/>
      <c r="G3246"/>
    </row>
    <row r="3247" spans="1:7">
      <c r="A3247"/>
      <c r="B3247"/>
      <c r="C3247"/>
      <c r="D3247"/>
      <c r="E3247"/>
      <c r="F3247"/>
      <c r="G3247"/>
    </row>
    <row r="3248" spans="1:7">
      <c r="A3248"/>
      <c r="B3248"/>
      <c r="C3248"/>
      <c r="D3248"/>
      <c r="E3248"/>
      <c r="F3248"/>
      <c r="G3248"/>
    </row>
    <row r="3249" spans="1:7">
      <c r="A3249"/>
      <c r="B3249"/>
      <c r="C3249"/>
      <c r="D3249"/>
      <c r="E3249"/>
      <c r="F3249"/>
      <c r="G3249"/>
    </row>
    <row r="3250" spans="1:7">
      <c r="A3250"/>
      <c r="B3250"/>
      <c r="C3250"/>
      <c r="D3250"/>
      <c r="E3250"/>
      <c r="F3250"/>
      <c r="G3250"/>
    </row>
    <row r="3251" spans="1:7">
      <c r="A3251"/>
      <c r="B3251"/>
      <c r="C3251"/>
      <c r="D3251"/>
      <c r="E3251"/>
      <c r="F3251"/>
      <c r="G3251"/>
    </row>
    <row r="3252" spans="1:7">
      <c r="A3252"/>
      <c r="B3252"/>
      <c r="C3252"/>
      <c r="D3252"/>
      <c r="E3252"/>
      <c r="F3252"/>
      <c r="G3252"/>
    </row>
    <row r="3253" spans="1:7">
      <c r="A3253"/>
      <c r="B3253"/>
      <c r="C3253"/>
      <c r="D3253"/>
      <c r="E3253"/>
      <c r="F3253"/>
      <c r="G3253"/>
    </row>
    <row r="3254" spans="1:7">
      <c r="A3254"/>
      <c r="B3254"/>
      <c r="C3254"/>
      <c r="D3254"/>
      <c r="E3254"/>
      <c r="F3254"/>
      <c r="G3254"/>
    </row>
    <row r="3255" spans="1:7">
      <c r="A3255"/>
      <c r="B3255"/>
      <c r="C3255"/>
      <c r="D3255"/>
      <c r="E3255"/>
      <c r="F3255"/>
      <c r="G3255"/>
    </row>
    <row r="3256" spans="1:7">
      <c r="A3256"/>
      <c r="B3256"/>
      <c r="C3256"/>
      <c r="D3256"/>
      <c r="E3256"/>
      <c r="F3256"/>
      <c r="G3256"/>
    </row>
    <row r="3257" spans="1:7">
      <c r="A3257"/>
      <c r="B3257"/>
      <c r="C3257"/>
      <c r="D3257"/>
      <c r="E3257"/>
      <c r="F3257"/>
      <c r="G3257"/>
    </row>
    <row r="3258" spans="1:7">
      <c r="A3258"/>
      <c r="B3258"/>
      <c r="C3258"/>
      <c r="D3258"/>
      <c r="E3258"/>
      <c r="F3258"/>
      <c r="G3258"/>
    </row>
    <row r="3259" spans="1:7">
      <c r="A3259"/>
      <c r="B3259"/>
      <c r="C3259"/>
      <c r="D3259"/>
      <c r="E3259"/>
      <c r="F3259"/>
      <c r="G3259"/>
    </row>
    <row r="3260" spans="1:7">
      <c r="A3260"/>
      <c r="B3260"/>
      <c r="C3260"/>
      <c r="D3260"/>
      <c r="E3260"/>
      <c r="F3260"/>
      <c r="G3260"/>
    </row>
    <row r="3261" spans="1:7">
      <c r="A3261"/>
      <c r="B3261"/>
      <c r="C3261"/>
      <c r="D3261"/>
      <c r="E3261"/>
      <c r="F3261"/>
      <c r="G3261"/>
    </row>
    <row r="3262" spans="1:7">
      <c r="A3262"/>
      <c r="B3262"/>
      <c r="C3262"/>
      <c r="D3262"/>
      <c r="E3262"/>
      <c r="F3262"/>
      <c r="G3262"/>
    </row>
    <row r="3263" spans="1:7">
      <c r="A3263"/>
      <c r="B3263"/>
      <c r="C3263"/>
      <c r="D3263"/>
      <c r="E3263"/>
      <c r="F3263"/>
      <c r="G3263"/>
    </row>
    <row r="3264" spans="1:7">
      <c r="A3264"/>
      <c r="B3264"/>
      <c r="C3264"/>
      <c r="D3264"/>
      <c r="E3264"/>
      <c r="F3264"/>
      <c r="G3264"/>
    </row>
    <row r="3265" spans="1:7">
      <c r="A3265"/>
      <c r="B3265"/>
      <c r="C3265"/>
      <c r="D3265"/>
      <c r="E3265"/>
      <c r="F3265"/>
      <c r="G3265"/>
    </row>
    <row r="3266" spans="1:7">
      <c r="A3266"/>
      <c r="B3266"/>
      <c r="C3266"/>
      <c r="D3266"/>
      <c r="E3266"/>
      <c r="F3266"/>
      <c r="G3266"/>
    </row>
    <row r="3267" spans="1:7">
      <c r="A3267"/>
      <c r="B3267"/>
      <c r="C3267"/>
      <c r="D3267"/>
      <c r="E3267"/>
      <c r="F3267"/>
      <c r="G3267"/>
    </row>
    <row r="3268" spans="1:7">
      <c r="A3268"/>
      <c r="B3268"/>
      <c r="C3268"/>
      <c r="D3268"/>
      <c r="E3268"/>
      <c r="F3268"/>
      <c r="G3268"/>
    </row>
    <row r="3269" spans="1:7">
      <c r="A3269"/>
      <c r="B3269"/>
      <c r="C3269"/>
      <c r="D3269"/>
      <c r="E3269"/>
      <c r="F3269"/>
      <c r="G3269"/>
    </row>
    <row r="3270" spans="1:7">
      <c r="A3270"/>
      <c r="B3270"/>
      <c r="C3270"/>
      <c r="D3270"/>
      <c r="E3270"/>
      <c r="F3270"/>
      <c r="G3270"/>
    </row>
    <row r="3271" spans="1:7">
      <c r="A3271"/>
      <c r="B3271"/>
      <c r="C3271"/>
      <c r="D3271"/>
      <c r="E3271"/>
      <c r="F3271"/>
      <c r="G3271"/>
    </row>
    <row r="3272" spans="1:7">
      <c r="A3272"/>
      <c r="B3272"/>
      <c r="C3272"/>
      <c r="D3272"/>
      <c r="E3272"/>
      <c r="F3272"/>
      <c r="G3272"/>
    </row>
    <row r="3273" spans="1:7">
      <c r="A3273"/>
      <c r="B3273"/>
      <c r="C3273"/>
      <c r="D3273"/>
      <c r="E3273"/>
      <c r="F3273"/>
      <c r="G3273"/>
    </row>
    <row r="3274" spans="1:7">
      <c r="A3274"/>
      <c r="B3274"/>
      <c r="C3274"/>
      <c r="D3274"/>
      <c r="E3274"/>
      <c r="F3274"/>
      <c r="G3274"/>
    </row>
    <row r="3275" spans="1:7">
      <c r="A3275"/>
      <c r="B3275"/>
      <c r="C3275"/>
      <c r="D3275"/>
      <c r="E3275"/>
      <c r="F3275"/>
      <c r="G3275"/>
    </row>
    <row r="3276" spans="1:7">
      <c r="A3276"/>
      <c r="B3276"/>
      <c r="C3276"/>
      <c r="D3276"/>
      <c r="E3276"/>
      <c r="F3276"/>
      <c r="G3276"/>
    </row>
    <row r="3277" spans="1:7">
      <c r="A3277"/>
      <c r="B3277"/>
      <c r="C3277"/>
      <c r="D3277"/>
      <c r="E3277"/>
      <c r="F3277"/>
      <c r="G3277"/>
    </row>
    <row r="3278" spans="1:7">
      <c r="A3278"/>
      <c r="B3278"/>
      <c r="C3278"/>
      <c r="D3278"/>
      <c r="E3278"/>
      <c r="F3278"/>
      <c r="G3278"/>
    </row>
    <row r="3279" spans="1:7">
      <c r="A3279"/>
      <c r="B3279"/>
      <c r="C3279"/>
      <c r="D3279"/>
      <c r="E3279"/>
      <c r="F3279"/>
      <c r="G3279"/>
    </row>
    <row r="3280" spans="1:7">
      <c r="A3280"/>
      <c r="B3280"/>
      <c r="C3280"/>
      <c r="D3280"/>
      <c r="E3280"/>
      <c r="F3280"/>
      <c r="G3280"/>
    </row>
    <row r="3281" spans="1:7">
      <c r="A3281"/>
      <c r="B3281"/>
      <c r="C3281"/>
      <c r="D3281"/>
      <c r="E3281"/>
      <c r="F3281"/>
      <c r="G3281"/>
    </row>
    <row r="3282" spans="1:7">
      <c r="A3282"/>
      <c r="B3282"/>
      <c r="C3282"/>
      <c r="D3282"/>
      <c r="E3282"/>
      <c r="F3282"/>
      <c r="G3282"/>
    </row>
    <row r="3283" spans="1:7">
      <c r="A3283"/>
      <c r="B3283"/>
      <c r="C3283"/>
      <c r="D3283"/>
      <c r="E3283"/>
      <c r="F3283"/>
      <c r="G3283"/>
    </row>
    <row r="3284" spans="1:7">
      <c r="A3284"/>
      <c r="B3284"/>
      <c r="C3284"/>
      <c r="D3284"/>
      <c r="E3284"/>
      <c r="F3284"/>
      <c r="G3284"/>
    </row>
    <row r="3285" spans="1:7">
      <c r="A3285"/>
      <c r="B3285"/>
      <c r="C3285"/>
      <c r="D3285"/>
      <c r="E3285"/>
      <c r="F3285"/>
      <c r="G3285"/>
    </row>
    <row r="3286" spans="1:7">
      <c r="A3286"/>
      <c r="B3286"/>
      <c r="C3286"/>
      <c r="D3286"/>
      <c r="E3286"/>
      <c r="F3286"/>
      <c r="G3286"/>
    </row>
    <row r="3287" spans="1:7">
      <c r="A3287"/>
      <c r="B3287"/>
      <c r="C3287"/>
      <c r="D3287"/>
      <c r="E3287"/>
      <c r="F3287"/>
      <c r="G3287"/>
    </row>
    <row r="3288" spans="1:7">
      <c r="A3288"/>
      <c r="B3288"/>
      <c r="C3288"/>
      <c r="D3288"/>
      <c r="E3288"/>
      <c r="F3288"/>
      <c r="G3288"/>
    </row>
    <row r="3289" spans="1:7">
      <c r="A3289"/>
      <c r="B3289"/>
      <c r="C3289"/>
      <c r="D3289"/>
      <c r="E3289"/>
      <c r="F3289"/>
      <c r="G3289"/>
    </row>
    <row r="3290" spans="1:7">
      <c r="A3290"/>
      <c r="B3290"/>
      <c r="C3290"/>
      <c r="D3290"/>
      <c r="E3290"/>
      <c r="F3290"/>
      <c r="G3290"/>
    </row>
    <row r="3291" spans="1:7">
      <c r="A3291"/>
      <c r="B3291"/>
      <c r="C3291"/>
      <c r="D3291"/>
      <c r="E3291"/>
      <c r="F3291"/>
      <c r="G3291"/>
    </row>
    <row r="3292" spans="1:7">
      <c r="A3292"/>
      <c r="B3292"/>
      <c r="C3292"/>
      <c r="D3292"/>
      <c r="E3292"/>
      <c r="F3292"/>
      <c r="G3292"/>
    </row>
    <row r="3293" spans="1:7">
      <c r="A3293"/>
      <c r="B3293"/>
      <c r="C3293"/>
      <c r="D3293"/>
      <c r="E3293"/>
      <c r="F3293"/>
      <c r="G3293"/>
    </row>
    <row r="3294" spans="1:7">
      <c r="A3294"/>
      <c r="B3294"/>
      <c r="C3294"/>
      <c r="D3294"/>
      <c r="E3294"/>
      <c r="F3294"/>
      <c r="G3294"/>
    </row>
    <row r="3295" spans="1:7">
      <c r="A3295"/>
      <c r="B3295"/>
      <c r="C3295"/>
      <c r="D3295"/>
      <c r="E3295"/>
      <c r="F3295"/>
      <c r="G3295"/>
    </row>
    <row r="3296" spans="1:7">
      <c r="A3296"/>
      <c r="B3296"/>
      <c r="C3296"/>
      <c r="D3296"/>
      <c r="E3296"/>
      <c r="F3296"/>
      <c r="G3296"/>
    </row>
    <row r="3297" spans="1:7">
      <c r="A3297"/>
      <c r="B3297"/>
      <c r="C3297"/>
      <c r="D3297"/>
      <c r="E3297"/>
      <c r="F3297"/>
      <c r="G3297"/>
    </row>
    <row r="3298" spans="1:7">
      <c r="A3298"/>
      <c r="B3298"/>
      <c r="C3298"/>
      <c r="D3298"/>
      <c r="E3298"/>
      <c r="F3298"/>
      <c r="G3298"/>
    </row>
    <row r="3299" spans="1:7">
      <c r="A3299"/>
      <c r="B3299"/>
      <c r="C3299"/>
      <c r="D3299"/>
      <c r="E3299"/>
      <c r="F3299"/>
      <c r="G3299"/>
    </row>
    <row r="3300" spans="1:7">
      <c r="A3300"/>
      <c r="B3300"/>
      <c r="C3300"/>
      <c r="D3300"/>
      <c r="E3300"/>
      <c r="F3300"/>
      <c r="G3300"/>
    </row>
    <row r="3301" spans="1:7">
      <c r="A3301"/>
      <c r="B3301"/>
      <c r="C3301"/>
      <c r="D3301"/>
      <c r="E3301"/>
      <c r="F3301"/>
      <c r="G3301"/>
    </row>
    <row r="3302" spans="1:7">
      <c r="A3302"/>
      <c r="B3302"/>
      <c r="C3302"/>
      <c r="D3302"/>
      <c r="E3302"/>
      <c r="F3302"/>
      <c r="G3302"/>
    </row>
    <row r="3303" spans="1:7">
      <c r="A3303"/>
      <c r="B3303"/>
      <c r="C3303"/>
      <c r="D3303"/>
      <c r="E3303"/>
      <c r="F3303"/>
      <c r="G3303"/>
    </row>
    <row r="3304" spans="1:7">
      <c r="A3304"/>
      <c r="B3304"/>
      <c r="C3304"/>
      <c r="D3304"/>
      <c r="E3304"/>
      <c r="F3304"/>
      <c r="G3304"/>
    </row>
    <row r="3305" spans="1:7">
      <c r="A3305"/>
      <c r="B3305"/>
      <c r="C3305"/>
      <c r="D3305"/>
      <c r="E3305"/>
      <c r="F3305"/>
      <c r="G3305"/>
    </row>
    <row r="3306" spans="1:7">
      <c r="A3306"/>
      <c r="B3306"/>
      <c r="C3306"/>
      <c r="D3306"/>
      <c r="E3306"/>
      <c r="F3306"/>
      <c r="G3306"/>
    </row>
    <row r="3307" spans="1:7">
      <c r="A3307"/>
      <c r="B3307"/>
      <c r="C3307"/>
      <c r="D3307"/>
      <c r="E3307"/>
      <c r="F3307"/>
      <c r="G3307"/>
    </row>
    <row r="3308" spans="1:7">
      <c r="A3308"/>
      <c r="B3308"/>
      <c r="C3308"/>
      <c r="D3308"/>
      <c r="E3308"/>
      <c r="F3308"/>
      <c r="G3308"/>
    </row>
    <row r="3309" spans="1:7">
      <c r="A3309"/>
      <c r="B3309"/>
      <c r="C3309"/>
      <c r="D3309"/>
      <c r="E3309"/>
      <c r="F3309"/>
      <c r="G3309"/>
    </row>
    <row r="3310" spans="1:7">
      <c r="A3310"/>
      <c r="B3310"/>
      <c r="C3310"/>
      <c r="D3310"/>
      <c r="E3310"/>
      <c r="F3310"/>
      <c r="G3310"/>
    </row>
    <row r="3311" spans="1:7">
      <c r="A3311"/>
      <c r="B3311"/>
      <c r="C3311"/>
      <c r="D3311"/>
      <c r="E3311"/>
      <c r="F3311"/>
      <c r="G3311"/>
    </row>
    <row r="3312" spans="1:7">
      <c r="A3312"/>
      <c r="B3312"/>
      <c r="C3312"/>
      <c r="D3312"/>
      <c r="E3312"/>
      <c r="F3312"/>
      <c r="G3312"/>
    </row>
    <row r="3313" spans="1:7">
      <c r="A3313"/>
      <c r="B3313"/>
      <c r="C3313"/>
      <c r="D3313"/>
      <c r="E3313"/>
      <c r="F3313"/>
      <c r="G3313"/>
    </row>
    <row r="3314" spans="1:7">
      <c r="A3314"/>
      <c r="B3314"/>
      <c r="C3314"/>
      <c r="D3314"/>
      <c r="E3314"/>
      <c r="F3314"/>
      <c r="G3314"/>
    </row>
    <row r="3315" spans="1:7">
      <c r="A3315"/>
      <c r="B3315"/>
      <c r="C3315"/>
      <c r="D3315"/>
      <c r="E3315"/>
      <c r="F3315"/>
      <c r="G3315"/>
    </row>
    <row r="3316" spans="1:7">
      <c r="A3316"/>
      <c r="B3316"/>
      <c r="C3316"/>
      <c r="D3316"/>
      <c r="E3316"/>
      <c r="F3316"/>
      <c r="G3316"/>
    </row>
    <row r="3317" spans="1:7">
      <c r="A3317"/>
      <c r="B3317"/>
      <c r="C3317"/>
      <c r="D3317"/>
      <c r="E3317"/>
      <c r="F3317"/>
      <c r="G3317"/>
    </row>
    <row r="3318" spans="1:7">
      <c r="A3318"/>
      <c r="B3318"/>
      <c r="C3318"/>
      <c r="D3318"/>
      <c r="E3318"/>
      <c r="F3318"/>
      <c r="G3318"/>
    </row>
    <row r="3319" spans="1:7">
      <c r="A3319"/>
      <c r="B3319"/>
      <c r="C3319"/>
      <c r="D3319"/>
      <c r="E3319"/>
      <c r="F3319"/>
      <c r="G3319"/>
    </row>
    <row r="3320" spans="1:7">
      <c r="A3320"/>
      <c r="B3320"/>
      <c r="C3320"/>
      <c r="D3320"/>
      <c r="E3320"/>
      <c r="F3320"/>
      <c r="G3320"/>
    </row>
    <row r="3321" spans="1:7">
      <c r="A3321"/>
      <c r="B3321"/>
      <c r="C3321"/>
      <c r="D3321"/>
      <c r="E3321"/>
      <c r="F3321"/>
      <c r="G3321"/>
    </row>
    <row r="3322" spans="1:7">
      <c r="A3322"/>
      <c r="B3322"/>
      <c r="C3322"/>
      <c r="D3322"/>
      <c r="E3322"/>
      <c r="F3322"/>
      <c r="G3322"/>
    </row>
    <row r="3323" spans="1:7">
      <c r="A3323"/>
      <c r="B3323"/>
      <c r="C3323"/>
      <c r="D3323"/>
      <c r="E3323"/>
      <c r="F3323"/>
      <c r="G3323"/>
    </row>
    <row r="3324" spans="1:7">
      <c r="A3324"/>
      <c r="B3324"/>
      <c r="C3324"/>
      <c r="D3324"/>
      <c r="E3324"/>
      <c r="F3324"/>
      <c r="G3324"/>
    </row>
    <row r="3325" spans="1:7">
      <c r="A3325"/>
      <c r="B3325"/>
      <c r="C3325"/>
      <c r="D3325"/>
      <c r="E3325"/>
      <c r="F3325"/>
      <c r="G3325"/>
    </row>
    <row r="3326" spans="1:7">
      <c r="A3326"/>
      <c r="B3326"/>
      <c r="C3326"/>
      <c r="D3326"/>
      <c r="E3326"/>
      <c r="F3326"/>
      <c r="G3326"/>
    </row>
    <row r="3327" spans="1:7">
      <c r="A3327"/>
      <c r="B3327"/>
      <c r="C3327"/>
      <c r="D3327"/>
      <c r="E3327"/>
      <c r="F3327"/>
      <c r="G3327"/>
    </row>
    <row r="3328" spans="1:7">
      <c r="A3328"/>
      <c r="B3328"/>
      <c r="C3328"/>
      <c r="D3328"/>
      <c r="E3328"/>
      <c r="F3328"/>
      <c r="G3328"/>
    </row>
    <row r="3329" spans="1:7">
      <c r="A3329"/>
      <c r="B3329"/>
      <c r="C3329"/>
      <c r="D3329"/>
      <c r="E3329"/>
      <c r="F3329"/>
      <c r="G3329"/>
    </row>
    <row r="3330" spans="1:7">
      <c r="A3330"/>
      <c r="B3330"/>
      <c r="C3330"/>
      <c r="D3330"/>
      <c r="E3330"/>
      <c r="F3330"/>
      <c r="G3330"/>
    </row>
    <row r="3331" spans="1:7">
      <c r="A3331"/>
      <c r="B3331"/>
      <c r="C3331"/>
      <c r="D3331"/>
      <c r="E3331"/>
      <c r="F3331"/>
      <c r="G3331"/>
    </row>
    <row r="3332" spans="1:7">
      <c r="A3332"/>
      <c r="B3332"/>
      <c r="C3332"/>
      <c r="D3332"/>
      <c r="E3332"/>
      <c r="F3332"/>
      <c r="G3332"/>
    </row>
    <row r="3333" spans="1:7">
      <c r="A3333"/>
      <c r="B3333"/>
      <c r="C3333"/>
      <c r="D3333"/>
      <c r="E3333"/>
      <c r="F3333"/>
      <c r="G3333"/>
    </row>
    <row r="3334" spans="1:7">
      <c r="A3334"/>
      <c r="B3334"/>
      <c r="C3334"/>
      <c r="D3334"/>
      <c r="E3334"/>
      <c r="F3334"/>
      <c r="G3334"/>
    </row>
    <row r="3335" spans="1:7">
      <c r="A3335"/>
      <c r="B3335"/>
      <c r="C3335"/>
      <c r="D3335"/>
      <c r="E3335"/>
      <c r="F3335"/>
      <c r="G3335"/>
    </row>
    <row r="3336" spans="1:7">
      <c r="A3336"/>
      <c r="B3336"/>
      <c r="C3336"/>
      <c r="D3336"/>
      <c r="E3336"/>
      <c r="F3336"/>
      <c r="G3336"/>
    </row>
    <row r="3337" spans="1:7">
      <c r="A3337"/>
      <c r="B3337"/>
      <c r="C3337"/>
      <c r="D3337"/>
      <c r="E3337"/>
      <c r="F3337"/>
      <c r="G3337"/>
    </row>
    <row r="3338" spans="1:7">
      <c r="A3338"/>
      <c r="B3338"/>
      <c r="C3338"/>
      <c r="D3338"/>
      <c r="E3338"/>
      <c r="F3338"/>
      <c r="G3338"/>
    </row>
    <row r="3339" spans="1:7">
      <c r="A3339"/>
      <c r="B3339"/>
      <c r="C3339"/>
      <c r="D3339"/>
      <c r="E3339"/>
      <c r="F3339"/>
      <c r="G3339"/>
    </row>
    <row r="3340" spans="1:7">
      <c r="A3340"/>
      <c r="B3340"/>
      <c r="C3340"/>
      <c r="D3340"/>
      <c r="E3340"/>
      <c r="F3340"/>
      <c r="G3340"/>
    </row>
    <row r="3341" spans="1:7">
      <c r="A3341"/>
      <c r="B3341"/>
      <c r="C3341"/>
      <c r="D3341"/>
      <c r="E3341"/>
      <c r="F3341"/>
      <c r="G3341"/>
    </row>
    <row r="3342" spans="1:7">
      <c r="A3342"/>
      <c r="B3342"/>
      <c r="C3342"/>
      <c r="D3342"/>
      <c r="E3342"/>
      <c r="F3342"/>
      <c r="G3342"/>
    </row>
    <row r="3343" spans="1:7">
      <c r="A3343"/>
      <c r="B3343"/>
      <c r="C3343"/>
      <c r="D3343"/>
      <c r="E3343"/>
      <c r="F3343"/>
      <c r="G3343"/>
    </row>
    <row r="3344" spans="1:7">
      <c r="A3344"/>
      <c r="B3344"/>
      <c r="C3344"/>
      <c r="D3344"/>
      <c r="E3344"/>
      <c r="F3344"/>
      <c r="G3344"/>
    </row>
    <row r="3345" spans="1:7">
      <c r="A3345"/>
      <c r="B3345"/>
      <c r="C3345"/>
      <c r="D3345"/>
      <c r="E3345"/>
      <c r="F3345"/>
      <c r="G3345"/>
    </row>
    <row r="3346" spans="1:7">
      <c r="A3346"/>
      <c r="B3346"/>
      <c r="C3346"/>
      <c r="D3346"/>
      <c r="E3346"/>
      <c r="F3346"/>
      <c r="G3346"/>
    </row>
    <row r="3347" spans="1:7">
      <c r="A3347"/>
      <c r="B3347"/>
      <c r="C3347"/>
      <c r="D3347"/>
      <c r="E3347"/>
      <c r="F3347"/>
      <c r="G3347"/>
    </row>
    <row r="3348" spans="1:7">
      <c r="A3348"/>
      <c r="B3348"/>
      <c r="C3348"/>
      <c r="D3348"/>
      <c r="E3348"/>
      <c r="F3348"/>
      <c r="G3348"/>
    </row>
    <row r="3349" spans="1:7">
      <c r="A3349"/>
      <c r="B3349"/>
      <c r="C3349"/>
      <c r="D3349"/>
      <c r="E3349"/>
      <c r="F3349"/>
      <c r="G3349"/>
    </row>
    <row r="3350" spans="1:7">
      <c r="A3350"/>
      <c r="B3350"/>
      <c r="C3350"/>
      <c r="D3350"/>
      <c r="E3350"/>
      <c r="F3350"/>
      <c r="G3350"/>
    </row>
    <row r="3351" spans="1:7">
      <c r="A3351"/>
      <c r="B3351"/>
      <c r="C3351"/>
      <c r="D3351"/>
      <c r="E3351"/>
      <c r="F3351"/>
      <c r="G3351"/>
    </row>
    <row r="3352" spans="1:7">
      <c r="A3352"/>
      <c r="B3352"/>
      <c r="C3352"/>
      <c r="D3352"/>
      <c r="E3352"/>
      <c r="F3352"/>
      <c r="G3352"/>
    </row>
    <row r="3353" spans="1:7">
      <c r="A3353"/>
      <c r="B3353"/>
      <c r="C3353"/>
      <c r="D3353"/>
      <c r="E3353"/>
      <c r="F3353"/>
      <c r="G3353"/>
    </row>
    <row r="3354" spans="1:7">
      <c r="A3354"/>
      <c r="B3354"/>
      <c r="C3354"/>
      <c r="D3354"/>
      <c r="E3354"/>
      <c r="F3354"/>
      <c r="G3354"/>
    </row>
    <row r="3355" spans="1:7">
      <c r="A3355"/>
      <c r="B3355"/>
      <c r="C3355"/>
      <c r="D3355"/>
      <c r="E3355"/>
      <c r="F3355"/>
      <c r="G3355"/>
    </row>
    <row r="3356" spans="1:7">
      <c r="A3356"/>
      <c r="B3356"/>
      <c r="C3356"/>
      <c r="D3356"/>
      <c r="E3356"/>
      <c r="F3356"/>
      <c r="G3356"/>
    </row>
    <row r="3357" spans="1:7">
      <c r="A3357"/>
      <c r="B3357"/>
      <c r="C3357"/>
      <c r="D3357"/>
      <c r="E3357"/>
      <c r="F3357"/>
      <c r="G3357"/>
    </row>
    <row r="3358" spans="1:7">
      <c r="A3358"/>
      <c r="B3358"/>
      <c r="C3358"/>
      <c r="D3358"/>
      <c r="E3358"/>
      <c r="F3358"/>
      <c r="G3358"/>
    </row>
    <row r="3359" spans="1:7">
      <c r="A3359"/>
      <c r="B3359"/>
      <c r="C3359"/>
      <c r="D3359"/>
      <c r="E3359"/>
      <c r="F3359"/>
      <c r="G3359"/>
    </row>
    <row r="3360" spans="1:7">
      <c r="A3360"/>
      <c r="B3360"/>
      <c r="C3360"/>
      <c r="D3360"/>
      <c r="E3360"/>
      <c r="F3360"/>
      <c r="G3360"/>
    </row>
    <row r="3361" spans="1:7">
      <c r="A3361"/>
      <c r="B3361"/>
      <c r="C3361"/>
      <c r="D3361"/>
      <c r="E3361"/>
      <c r="F3361"/>
      <c r="G3361"/>
    </row>
    <row r="3362" spans="1:7">
      <c r="A3362"/>
      <c r="B3362"/>
      <c r="C3362"/>
      <c r="D3362"/>
      <c r="E3362"/>
      <c r="F3362"/>
      <c r="G3362"/>
    </row>
    <row r="3363" spans="1:7">
      <c r="A3363"/>
      <c r="B3363"/>
      <c r="C3363"/>
      <c r="D3363"/>
      <c r="E3363"/>
      <c r="F3363"/>
      <c r="G3363"/>
    </row>
    <row r="3364" spans="1:7">
      <c r="A3364"/>
      <c r="B3364"/>
      <c r="C3364"/>
      <c r="D3364"/>
      <c r="E3364"/>
      <c r="F3364"/>
      <c r="G3364"/>
    </row>
    <row r="3365" spans="1:7">
      <c r="A3365"/>
      <c r="B3365"/>
      <c r="C3365"/>
      <c r="D3365"/>
      <c r="E3365"/>
      <c r="F3365"/>
      <c r="G3365"/>
    </row>
    <row r="3366" spans="1:7">
      <c r="A3366"/>
      <c r="B3366"/>
      <c r="C3366"/>
      <c r="D3366"/>
      <c r="E3366"/>
      <c r="F3366"/>
      <c r="G3366"/>
    </row>
    <row r="3367" spans="1:7">
      <c r="A3367"/>
      <c r="B3367"/>
      <c r="C3367"/>
      <c r="D3367"/>
      <c r="E3367"/>
      <c r="F3367"/>
      <c r="G3367"/>
    </row>
    <row r="3368" spans="1:7">
      <c r="A3368"/>
      <c r="B3368"/>
      <c r="C3368"/>
      <c r="D3368"/>
      <c r="E3368"/>
      <c r="F3368"/>
      <c r="G3368"/>
    </row>
    <row r="3369" spans="1:7">
      <c r="A3369"/>
      <c r="B3369"/>
      <c r="C3369"/>
      <c r="D3369"/>
      <c r="E3369"/>
      <c r="F3369"/>
      <c r="G3369"/>
    </row>
    <row r="3370" spans="1:7">
      <c r="A3370"/>
      <c r="B3370"/>
      <c r="C3370"/>
      <c r="D3370"/>
      <c r="E3370"/>
      <c r="F3370"/>
      <c r="G3370"/>
    </row>
    <row r="3371" spans="1:7">
      <c r="A3371"/>
      <c r="B3371"/>
      <c r="C3371"/>
      <c r="D3371"/>
      <c r="E3371"/>
      <c r="F3371"/>
      <c r="G3371"/>
    </row>
    <row r="3372" spans="1:7">
      <c r="A3372"/>
      <c r="B3372"/>
      <c r="C3372"/>
      <c r="D3372"/>
      <c r="E3372"/>
      <c r="F3372"/>
      <c r="G3372"/>
    </row>
    <row r="3373" spans="1:7">
      <c r="A3373"/>
      <c r="B3373"/>
      <c r="C3373"/>
      <c r="D3373"/>
      <c r="E3373"/>
      <c r="F3373"/>
      <c r="G3373"/>
    </row>
    <row r="3374" spans="1:7">
      <c r="A3374"/>
      <c r="B3374"/>
      <c r="C3374"/>
      <c r="D3374"/>
      <c r="E3374"/>
      <c r="F3374"/>
      <c r="G3374"/>
    </row>
    <row r="3375" spans="1:7">
      <c r="A3375"/>
      <c r="B3375"/>
      <c r="C3375"/>
      <c r="D3375"/>
      <c r="E3375"/>
      <c r="F3375"/>
      <c r="G3375"/>
    </row>
    <row r="3376" spans="1:7">
      <c r="A3376"/>
      <c r="B3376"/>
      <c r="C3376"/>
      <c r="D3376"/>
      <c r="E3376"/>
      <c r="F3376"/>
      <c r="G3376"/>
    </row>
    <row r="3377" spans="1:7">
      <c r="A3377"/>
      <c r="B3377"/>
      <c r="C3377"/>
      <c r="D3377"/>
      <c r="E3377"/>
      <c r="F3377"/>
      <c r="G3377"/>
    </row>
    <row r="3378" spans="1:7">
      <c r="A3378"/>
      <c r="B3378"/>
      <c r="C3378"/>
      <c r="D3378"/>
      <c r="E3378"/>
      <c r="F3378"/>
      <c r="G3378"/>
    </row>
    <row r="3379" spans="1:7">
      <c r="A3379"/>
      <c r="B3379"/>
      <c r="C3379"/>
      <c r="D3379"/>
      <c r="E3379"/>
      <c r="F3379"/>
      <c r="G3379"/>
    </row>
    <row r="3380" spans="1:7">
      <c r="A3380"/>
      <c r="B3380"/>
      <c r="C3380"/>
      <c r="D3380"/>
      <c r="E3380"/>
      <c r="F3380"/>
      <c r="G3380"/>
    </row>
    <row r="3381" spans="1:7">
      <c r="A3381"/>
      <c r="B3381"/>
      <c r="C3381"/>
      <c r="D3381"/>
      <c r="E3381"/>
      <c r="F3381"/>
      <c r="G3381"/>
    </row>
    <row r="3382" spans="1:7">
      <c r="A3382"/>
      <c r="B3382"/>
      <c r="C3382"/>
      <c r="D3382"/>
      <c r="E3382"/>
      <c r="F3382"/>
      <c r="G3382"/>
    </row>
    <row r="3383" spans="1:7">
      <c r="A3383"/>
      <c r="B3383"/>
      <c r="C3383"/>
      <c r="D3383"/>
      <c r="E3383"/>
      <c r="F3383"/>
      <c r="G3383"/>
    </row>
    <row r="3384" spans="1:7">
      <c r="A3384"/>
      <c r="B3384"/>
      <c r="C3384"/>
      <c r="D3384"/>
      <c r="E3384"/>
      <c r="F3384"/>
      <c r="G3384"/>
    </row>
    <row r="3385" spans="1:7">
      <c r="A3385"/>
      <c r="B3385"/>
      <c r="C3385"/>
      <c r="D3385"/>
      <c r="E3385"/>
      <c r="F3385"/>
      <c r="G3385"/>
    </row>
    <row r="3386" spans="1:7">
      <c r="A3386"/>
      <c r="B3386"/>
      <c r="C3386"/>
      <c r="D3386"/>
      <c r="E3386"/>
      <c r="F3386"/>
      <c r="G3386"/>
    </row>
    <row r="3387" spans="1:7">
      <c r="A3387"/>
      <c r="B3387"/>
      <c r="C3387"/>
      <c r="D3387"/>
      <c r="E3387"/>
      <c r="F3387"/>
      <c r="G3387"/>
    </row>
    <row r="3388" spans="1:7">
      <c r="A3388"/>
      <c r="B3388"/>
      <c r="C3388"/>
      <c r="D3388"/>
      <c r="E3388"/>
      <c r="F3388"/>
      <c r="G3388"/>
    </row>
    <row r="3389" spans="1:7">
      <c r="A3389"/>
      <c r="B3389"/>
      <c r="C3389"/>
      <c r="D3389"/>
      <c r="E3389"/>
      <c r="F3389"/>
      <c r="G3389"/>
    </row>
    <row r="3390" spans="1:7">
      <c r="A3390"/>
      <c r="B3390"/>
      <c r="C3390"/>
      <c r="D3390"/>
      <c r="E3390"/>
      <c r="F3390"/>
      <c r="G3390"/>
    </row>
    <row r="3391" spans="1:7">
      <c r="A3391"/>
      <c r="B3391"/>
      <c r="C3391"/>
      <c r="D3391"/>
      <c r="E3391"/>
      <c r="F3391"/>
      <c r="G3391"/>
    </row>
    <row r="3392" spans="1:7">
      <c r="A3392"/>
      <c r="B3392"/>
      <c r="C3392"/>
      <c r="D3392"/>
      <c r="E3392"/>
      <c r="F3392"/>
      <c r="G3392"/>
    </row>
    <row r="3393" spans="1:7">
      <c r="A3393"/>
      <c r="B3393"/>
      <c r="C3393"/>
      <c r="D3393"/>
      <c r="E3393"/>
      <c r="F3393"/>
      <c r="G3393"/>
    </row>
    <row r="3394" spans="1:7">
      <c r="A3394"/>
      <c r="B3394"/>
      <c r="C3394"/>
      <c r="D3394"/>
      <c r="E3394"/>
      <c r="F3394"/>
      <c r="G3394"/>
    </row>
    <row r="3395" spans="1:7">
      <c r="A3395"/>
      <c r="B3395"/>
      <c r="C3395"/>
      <c r="D3395"/>
      <c r="E3395"/>
      <c r="F3395"/>
      <c r="G3395"/>
    </row>
    <row r="3396" spans="1:7">
      <c r="A3396"/>
      <c r="B3396"/>
      <c r="C3396"/>
      <c r="D3396"/>
      <c r="E3396"/>
      <c r="F3396"/>
      <c r="G3396"/>
    </row>
    <row r="3397" spans="1:7">
      <c r="A3397"/>
      <c r="B3397"/>
      <c r="C3397"/>
      <c r="D3397"/>
      <c r="E3397"/>
      <c r="F3397"/>
      <c r="G3397"/>
    </row>
    <row r="3398" spans="1:7">
      <c r="A3398"/>
      <c r="B3398"/>
      <c r="C3398"/>
      <c r="D3398"/>
      <c r="E3398"/>
      <c r="F3398"/>
      <c r="G3398"/>
    </row>
    <row r="3399" spans="1:7">
      <c r="A3399"/>
      <c r="B3399"/>
      <c r="C3399"/>
      <c r="D3399"/>
      <c r="E3399"/>
      <c r="F3399"/>
      <c r="G3399"/>
    </row>
    <row r="3400" spans="1:7">
      <c r="A3400"/>
      <c r="B3400"/>
      <c r="C3400"/>
      <c r="D3400"/>
      <c r="E3400"/>
      <c r="F3400"/>
      <c r="G3400"/>
    </row>
    <row r="3401" spans="1:7">
      <c r="A3401"/>
      <c r="B3401"/>
      <c r="C3401"/>
      <c r="D3401"/>
      <c r="E3401"/>
      <c r="F3401"/>
      <c r="G3401"/>
    </row>
    <row r="3402" spans="1:7">
      <c r="A3402"/>
      <c r="B3402"/>
      <c r="C3402"/>
      <c r="D3402"/>
      <c r="E3402"/>
      <c r="F3402"/>
      <c r="G3402"/>
    </row>
    <row r="3403" spans="1:7">
      <c r="A3403"/>
      <c r="B3403"/>
      <c r="C3403"/>
      <c r="D3403"/>
      <c r="E3403"/>
      <c r="F3403"/>
      <c r="G3403"/>
    </row>
    <row r="3404" spans="1:7">
      <c r="A3404"/>
      <c r="B3404"/>
      <c r="C3404"/>
      <c r="D3404"/>
      <c r="E3404"/>
      <c r="F3404"/>
      <c r="G3404"/>
    </row>
    <row r="3405" spans="1:7">
      <c r="A3405"/>
      <c r="B3405"/>
      <c r="C3405"/>
      <c r="D3405"/>
      <c r="E3405"/>
      <c r="F3405"/>
      <c r="G3405"/>
    </row>
    <row r="3406" spans="1:7">
      <c r="A3406"/>
      <c r="B3406"/>
      <c r="C3406"/>
      <c r="D3406"/>
      <c r="E3406"/>
      <c r="F3406"/>
      <c r="G3406"/>
    </row>
    <row r="3407" spans="1:7">
      <c r="A3407"/>
      <c r="B3407"/>
      <c r="C3407"/>
      <c r="D3407"/>
      <c r="E3407"/>
      <c r="F3407"/>
      <c r="G3407"/>
    </row>
    <row r="3408" spans="1:7">
      <c r="A3408"/>
      <c r="B3408"/>
      <c r="C3408"/>
      <c r="D3408"/>
      <c r="E3408"/>
      <c r="F3408"/>
      <c r="G3408"/>
    </row>
    <row r="3409" spans="1:7">
      <c r="A3409"/>
      <c r="B3409"/>
      <c r="C3409"/>
      <c r="D3409"/>
      <c r="E3409"/>
      <c r="F3409"/>
      <c r="G3409"/>
    </row>
    <row r="3410" spans="1:7">
      <c r="A3410"/>
      <c r="B3410"/>
      <c r="C3410"/>
      <c r="D3410"/>
      <c r="E3410"/>
      <c r="F3410"/>
      <c r="G3410"/>
    </row>
    <row r="3411" spans="1:7">
      <c r="A3411"/>
      <c r="B3411"/>
      <c r="C3411"/>
      <c r="D3411"/>
      <c r="E3411"/>
      <c r="F3411"/>
      <c r="G3411"/>
    </row>
    <row r="3412" spans="1:7">
      <c r="A3412"/>
      <c r="B3412"/>
      <c r="C3412"/>
      <c r="D3412"/>
      <c r="E3412"/>
      <c r="F3412"/>
      <c r="G3412"/>
    </row>
    <row r="3413" spans="1:7">
      <c r="A3413"/>
      <c r="B3413"/>
      <c r="C3413"/>
      <c r="D3413"/>
      <c r="E3413"/>
      <c r="F3413"/>
      <c r="G3413"/>
    </row>
    <row r="3414" spans="1:7">
      <c r="A3414"/>
      <c r="B3414"/>
      <c r="C3414"/>
      <c r="D3414"/>
      <c r="E3414"/>
      <c r="F3414"/>
      <c r="G3414"/>
    </row>
    <row r="3415" spans="1:7">
      <c r="A3415"/>
      <c r="B3415"/>
      <c r="C3415"/>
      <c r="D3415"/>
      <c r="E3415"/>
      <c r="F3415"/>
      <c r="G3415"/>
    </row>
    <row r="3416" spans="1:7">
      <c r="A3416"/>
      <c r="B3416"/>
      <c r="C3416"/>
      <c r="D3416"/>
      <c r="E3416"/>
      <c r="F3416"/>
      <c r="G3416"/>
    </row>
    <row r="3417" spans="1:7">
      <c r="A3417"/>
      <c r="B3417"/>
      <c r="C3417"/>
      <c r="D3417"/>
      <c r="E3417"/>
      <c r="F3417"/>
      <c r="G3417"/>
    </row>
    <row r="3418" spans="1:7">
      <c r="A3418"/>
      <c r="B3418"/>
      <c r="C3418"/>
      <c r="D3418"/>
      <c r="E3418"/>
      <c r="F3418"/>
      <c r="G3418"/>
    </row>
    <row r="3419" spans="1:7">
      <c r="A3419"/>
      <c r="B3419"/>
      <c r="C3419"/>
      <c r="D3419"/>
      <c r="E3419"/>
      <c r="F3419"/>
      <c r="G3419"/>
    </row>
    <row r="3420" spans="1:7">
      <c r="A3420"/>
      <c r="B3420"/>
      <c r="C3420"/>
      <c r="D3420"/>
      <c r="E3420"/>
      <c r="F3420"/>
      <c r="G3420"/>
    </row>
    <row r="3421" spans="1:7">
      <c r="A3421"/>
      <c r="B3421"/>
      <c r="C3421"/>
      <c r="D3421"/>
      <c r="E3421"/>
      <c r="F3421"/>
      <c r="G3421"/>
    </row>
    <row r="3422" spans="1:7">
      <c r="A3422"/>
      <c r="B3422"/>
      <c r="C3422"/>
      <c r="D3422"/>
      <c r="E3422"/>
      <c r="F3422"/>
      <c r="G3422"/>
    </row>
    <row r="3423" spans="1:7">
      <c r="A3423"/>
      <c r="B3423"/>
      <c r="C3423"/>
      <c r="D3423"/>
      <c r="E3423"/>
      <c r="F3423"/>
      <c r="G3423"/>
    </row>
    <row r="3424" spans="1:7">
      <c r="A3424"/>
      <c r="B3424"/>
      <c r="C3424"/>
      <c r="D3424"/>
      <c r="E3424"/>
      <c r="F3424"/>
      <c r="G3424"/>
    </row>
    <row r="3425" spans="1:7">
      <c r="A3425"/>
      <c r="B3425"/>
      <c r="C3425"/>
      <c r="D3425"/>
      <c r="E3425"/>
      <c r="F3425"/>
      <c r="G3425"/>
    </row>
    <row r="3426" spans="1:7">
      <c r="A3426"/>
      <c r="B3426"/>
      <c r="C3426"/>
      <c r="D3426"/>
      <c r="E3426"/>
      <c r="F3426"/>
      <c r="G3426"/>
    </row>
    <row r="3427" spans="1:7">
      <c r="A3427"/>
      <c r="B3427"/>
      <c r="C3427"/>
      <c r="D3427"/>
      <c r="E3427"/>
      <c r="F3427"/>
      <c r="G3427"/>
    </row>
    <row r="3428" spans="1:7">
      <c r="A3428"/>
      <c r="B3428"/>
      <c r="C3428"/>
      <c r="D3428"/>
      <c r="E3428"/>
      <c r="F3428"/>
      <c r="G3428"/>
    </row>
    <row r="3429" spans="1:7">
      <c r="A3429"/>
      <c r="B3429"/>
      <c r="C3429"/>
      <c r="D3429"/>
      <c r="E3429"/>
      <c r="F3429"/>
      <c r="G3429"/>
    </row>
    <row r="3430" spans="1:7">
      <c r="A3430"/>
      <c r="B3430"/>
      <c r="C3430"/>
      <c r="D3430"/>
      <c r="E3430"/>
      <c r="F3430"/>
      <c r="G3430"/>
    </row>
    <row r="3431" spans="1:7">
      <c r="A3431"/>
      <c r="B3431"/>
      <c r="C3431"/>
      <c r="D3431"/>
      <c r="E3431"/>
      <c r="F3431"/>
      <c r="G3431"/>
    </row>
    <row r="3432" spans="1:7">
      <c r="A3432"/>
      <c r="B3432"/>
      <c r="C3432"/>
      <c r="D3432"/>
      <c r="E3432"/>
      <c r="F3432"/>
      <c r="G3432"/>
    </row>
    <row r="3433" spans="1:7">
      <c r="A3433"/>
      <c r="B3433"/>
      <c r="C3433"/>
      <c r="D3433"/>
      <c r="E3433"/>
      <c r="F3433"/>
      <c r="G3433"/>
    </row>
    <row r="3434" spans="1:7">
      <c r="A3434"/>
      <c r="B3434"/>
      <c r="C3434"/>
      <c r="D3434"/>
      <c r="E3434"/>
      <c r="F3434"/>
      <c r="G3434"/>
    </row>
    <row r="3435" spans="1:7">
      <c r="A3435"/>
      <c r="B3435"/>
      <c r="C3435"/>
      <c r="D3435"/>
      <c r="E3435"/>
      <c r="F3435"/>
      <c r="G3435"/>
    </row>
    <row r="3436" spans="1:7">
      <c r="A3436"/>
      <c r="B3436"/>
      <c r="C3436"/>
      <c r="D3436"/>
      <c r="E3436"/>
      <c r="F3436"/>
      <c r="G3436"/>
    </row>
    <row r="3437" spans="1:7">
      <c r="A3437"/>
      <c r="B3437"/>
      <c r="C3437"/>
      <c r="D3437"/>
      <c r="E3437"/>
      <c r="F3437"/>
      <c r="G3437"/>
    </row>
    <row r="3438" spans="1:7">
      <c r="A3438"/>
      <c r="B3438"/>
      <c r="C3438"/>
      <c r="D3438"/>
      <c r="E3438"/>
      <c r="F3438"/>
      <c r="G3438"/>
    </row>
    <row r="3439" spans="1:7">
      <c r="A3439"/>
      <c r="B3439"/>
      <c r="C3439"/>
      <c r="D3439"/>
      <c r="E3439"/>
      <c r="F3439"/>
      <c r="G3439"/>
    </row>
    <row r="3440" spans="1:7">
      <c r="A3440"/>
      <c r="B3440"/>
      <c r="C3440"/>
      <c r="D3440"/>
      <c r="E3440"/>
      <c r="F3440"/>
      <c r="G3440"/>
    </row>
    <row r="3441" spans="1:7">
      <c r="A3441"/>
      <c r="B3441"/>
      <c r="C3441"/>
      <c r="D3441"/>
      <c r="E3441"/>
      <c r="F3441"/>
      <c r="G3441"/>
    </row>
    <row r="3442" spans="1:7">
      <c r="A3442"/>
      <c r="B3442"/>
      <c r="C3442"/>
      <c r="D3442"/>
      <c r="E3442"/>
      <c r="F3442"/>
      <c r="G3442"/>
    </row>
    <row r="3443" spans="1:7">
      <c r="A3443"/>
      <c r="B3443"/>
      <c r="C3443"/>
      <c r="D3443"/>
      <c r="E3443"/>
      <c r="F3443"/>
      <c r="G3443"/>
    </row>
    <row r="3444" spans="1:7">
      <c r="A3444"/>
      <c r="B3444"/>
      <c r="C3444"/>
      <c r="D3444"/>
      <c r="E3444"/>
      <c r="F3444"/>
      <c r="G3444"/>
    </row>
    <row r="3445" spans="1:7">
      <c r="A3445"/>
      <c r="B3445"/>
      <c r="C3445"/>
      <c r="D3445"/>
      <c r="E3445"/>
      <c r="F3445"/>
      <c r="G3445"/>
    </row>
    <row r="3446" spans="1:7">
      <c r="A3446"/>
      <c r="B3446"/>
      <c r="C3446"/>
      <c r="D3446"/>
      <c r="E3446"/>
      <c r="F3446"/>
      <c r="G3446"/>
    </row>
    <row r="3447" spans="1:7">
      <c r="A3447"/>
      <c r="B3447"/>
      <c r="C3447"/>
      <c r="D3447"/>
      <c r="E3447"/>
      <c r="F3447"/>
      <c r="G3447"/>
    </row>
    <row r="3448" spans="1:7">
      <c r="A3448"/>
      <c r="B3448"/>
      <c r="C3448"/>
      <c r="D3448"/>
      <c r="E3448"/>
      <c r="F3448"/>
      <c r="G3448"/>
    </row>
    <row r="3449" spans="1:7">
      <c r="A3449"/>
      <c r="B3449"/>
      <c r="C3449"/>
      <c r="D3449"/>
      <c r="E3449"/>
      <c r="F3449"/>
      <c r="G3449"/>
    </row>
    <row r="3450" spans="1:7">
      <c r="A3450"/>
      <c r="B3450"/>
      <c r="C3450"/>
      <c r="D3450"/>
      <c r="E3450"/>
      <c r="F3450"/>
      <c r="G3450"/>
    </row>
    <row r="3451" spans="1:7">
      <c r="A3451"/>
      <c r="B3451"/>
      <c r="C3451"/>
      <c r="D3451"/>
      <c r="E3451"/>
      <c r="F3451"/>
      <c r="G3451"/>
    </row>
    <row r="3452" spans="1:7">
      <c r="A3452"/>
      <c r="B3452"/>
      <c r="C3452"/>
      <c r="D3452"/>
      <c r="E3452"/>
      <c r="F3452"/>
      <c r="G3452"/>
    </row>
    <row r="3453" spans="1:7">
      <c r="A3453"/>
      <c r="B3453"/>
      <c r="C3453"/>
      <c r="D3453"/>
      <c r="E3453"/>
      <c r="F3453"/>
      <c r="G3453"/>
    </row>
    <row r="3454" spans="1:7">
      <c r="A3454"/>
      <c r="B3454"/>
      <c r="C3454"/>
      <c r="D3454"/>
      <c r="E3454"/>
      <c r="F3454"/>
      <c r="G3454"/>
    </row>
    <row r="3455" spans="1:7">
      <c r="A3455"/>
      <c r="B3455"/>
      <c r="C3455"/>
      <c r="D3455"/>
      <c r="E3455"/>
      <c r="F3455"/>
      <c r="G3455"/>
    </row>
    <row r="3456" spans="1:7">
      <c r="A3456"/>
      <c r="B3456"/>
      <c r="C3456"/>
      <c r="D3456"/>
      <c r="E3456"/>
      <c r="F3456"/>
      <c r="G3456"/>
    </row>
    <row r="3457" spans="1:7">
      <c r="A3457"/>
      <c r="B3457"/>
      <c r="C3457"/>
      <c r="D3457"/>
      <c r="E3457"/>
      <c r="F3457"/>
      <c r="G3457"/>
    </row>
    <row r="3458" spans="1:7">
      <c r="A3458"/>
      <c r="B3458"/>
      <c r="C3458"/>
      <c r="D3458"/>
      <c r="E3458"/>
      <c r="F3458"/>
      <c r="G3458"/>
    </row>
    <row r="3459" spans="1:7">
      <c r="A3459"/>
      <c r="B3459"/>
      <c r="C3459"/>
      <c r="D3459"/>
      <c r="E3459"/>
      <c r="F3459"/>
      <c r="G3459"/>
    </row>
    <row r="3460" spans="1:7">
      <c r="A3460"/>
      <c r="B3460"/>
      <c r="C3460"/>
      <c r="D3460"/>
      <c r="E3460"/>
      <c r="F3460"/>
      <c r="G3460"/>
    </row>
    <row r="3461" spans="1:7">
      <c r="A3461"/>
      <c r="B3461"/>
      <c r="C3461"/>
      <c r="D3461"/>
      <c r="E3461"/>
      <c r="F3461"/>
      <c r="G3461"/>
    </row>
    <row r="3462" spans="1:7">
      <c r="A3462"/>
      <c r="B3462"/>
      <c r="C3462"/>
      <c r="D3462"/>
      <c r="E3462"/>
      <c r="F3462"/>
      <c r="G3462"/>
    </row>
    <row r="3463" spans="1:7">
      <c r="A3463"/>
      <c r="B3463"/>
      <c r="C3463"/>
      <c r="D3463"/>
      <c r="E3463"/>
      <c r="F3463"/>
      <c r="G3463"/>
    </row>
    <row r="3464" spans="1:7">
      <c r="A3464"/>
      <c r="B3464"/>
      <c r="C3464"/>
      <c r="D3464"/>
      <c r="E3464"/>
      <c r="F3464"/>
      <c r="G3464"/>
    </row>
    <row r="3465" spans="1:7">
      <c r="A3465"/>
      <c r="B3465"/>
      <c r="C3465"/>
      <c r="D3465"/>
      <c r="E3465"/>
      <c r="F3465"/>
      <c r="G3465"/>
    </row>
    <row r="3466" spans="1:7">
      <c r="A3466"/>
      <c r="B3466"/>
      <c r="C3466"/>
      <c r="D3466"/>
      <c r="E3466"/>
      <c r="F3466"/>
      <c r="G3466"/>
    </row>
    <row r="3467" spans="1:7">
      <c r="A3467"/>
      <c r="B3467"/>
      <c r="C3467"/>
      <c r="D3467"/>
      <c r="E3467"/>
      <c r="F3467"/>
      <c r="G3467"/>
    </row>
    <row r="3468" spans="1:7">
      <c r="A3468"/>
      <c r="B3468"/>
      <c r="C3468"/>
      <c r="D3468"/>
      <c r="E3468"/>
      <c r="F3468"/>
      <c r="G3468"/>
    </row>
    <row r="3469" spans="1:7">
      <c r="A3469"/>
      <c r="B3469"/>
      <c r="C3469"/>
      <c r="D3469"/>
      <c r="E3469"/>
      <c r="F3469"/>
      <c r="G3469"/>
    </row>
    <row r="3470" spans="1:7">
      <c r="A3470"/>
      <c r="B3470"/>
      <c r="C3470"/>
      <c r="D3470"/>
      <c r="E3470"/>
      <c r="F3470"/>
      <c r="G3470"/>
    </row>
    <row r="3471" spans="1:7">
      <c r="A3471"/>
      <c r="B3471"/>
      <c r="C3471"/>
      <c r="D3471"/>
      <c r="E3471"/>
      <c r="F3471"/>
      <c r="G3471"/>
    </row>
    <row r="3472" spans="1:7">
      <c r="A3472"/>
      <c r="B3472"/>
      <c r="C3472"/>
      <c r="D3472"/>
      <c r="E3472"/>
      <c r="F3472"/>
      <c r="G3472"/>
    </row>
    <row r="3473" spans="1:7">
      <c r="A3473"/>
      <c r="B3473"/>
      <c r="C3473"/>
      <c r="D3473"/>
      <c r="E3473"/>
      <c r="F3473"/>
      <c r="G3473"/>
    </row>
    <row r="3474" spans="1:7">
      <c r="A3474"/>
      <c r="B3474"/>
      <c r="C3474"/>
      <c r="D3474"/>
      <c r="E3474"/>
      <c r="F3474"/>
      <c r="G3474"/>
    </row>
    <row r="3475" spans="1:7">
      <c r="A3475"/>
      <c r="B3475"/>
      <c r="C3475"/>
      <c r="D3475"/>
      <c r="E3475"/>
      <c r="F3475"/>
      <c r="G3475"/>
    </row>
    <row r="3476" spans="1:7">
      <c r="A3476"/>
      <c r="B3476"/>
      <c r="C3476"/>
      <c r="D3476"/>
      <c r="E3476"/>
      <c r="F3476"/>
      <c r="G3476"/>
    </row>
    <row r="3477" spans="1:7">
      <c r="A3477"/>
      <c r="B3477"/>
      <c r="C3477"/>
      <c r="D3477"/>
      <c r="E3477"/>
      <c r="F3477"/>
      <c r="G3477"/>
    </row>
    <row r="3478" spans="1:7">
      <c r="A3478"/>
      <c r="B3478"/>
      <c r="C3478"/>
      <c r="D3478"/>
      <c r="E3478"/>
      <c r="F3478"/>
      <c r="G3478"/>
    </row>
    <row r="3479" spans="1:7">
      <c r="A3479"/>
      <c r="B3479"/>
      <c r="C3479"/>
      <c r="D3479"/>
      <c r="E3479"/>
      <c r="F3479"/>
      <c r="G3479"/>
    </row>
    <row r="3480" spans="1:7">
      <c r="A3480"/>
      <c r="B3480"/>
      <c r="C3480"/>
      <c r="D3480"/>
      <c r="E3480"/>
      <c r="F3480"/>
      <c r="G3480"/>
    </row>
    <row r="3481" spans="1:7">
      <c r="A3481"/>
      <c r="B3481"/>
      <c r="C3481"/>
      <c r="D3481"/>
      <c r="E3481"/>
      <c r="F3481"/>
      <c r="G3481"/>
    </row>
    <row r="3482" spans="1:7">
      <c r="A3482"/>
      <c r="B3482"/>
      <c r="C3482"/>
      <c r="D3482"/>
      <c r="E3482"/>
      <c r="F3482"/>
      <c r="G3482"/>
    </row>
    <row r="3483" spans="1:7">
      <c r="A3483"/>
      <c r="B3483"/>
      <c r="C3483"/>
      <c r="D3483"/>
      <c r="E3483"/>
      <c r="F3483"/>
      <c r="G3483"/>
    </row>
    <row r="3484" spans="1:7">
      <c r="A3484"/>
      <c r="B3484"/>
      <c r="C3484"/>
      <c r="D3484"/>
      <c r="E3484"/>
      <c r="F3484"/>
      <c r="G3484"/>
    </row>
    <row r="3485" spans="1:7">
      <c r="A3485"/>
      <c r="B3485"/>
      <c r="C3485"/>
      <c r="D3485"/>
      <c r="E3485"/>
      <c r="F3485"/>
      <c r="G3485"/>
    </row>
    <row r="3486" spans="1:7">
      <c r="A3486"/>
      <c r="B3486"/>
      <c r="C3486"/>
      <c r="D3486"/>
      <c r="E3486"/>
      <c r="F3486"/>
      <c r="G3486"/>
    </row>
    <row r="3487" spans="1:7">
      <c r="A3487"/>
      <c r="B3487"/>
      <c r="C3487"/>
      <c r="D3487"/>
      <c r="E3487"/>
      <c r="F3487"/>
      <c r="G3487"/>
    </row>
    <row r="3488" spans="1:7">
      <c r="A3488"/>
      <c r="B3488"/>
      <c r="C3488"/>
      <c r="D3488"/>
      <c r="E3488"/>
      <c r="F3488"/>
      <c r="G3488"/>
    </row>
    <row r="3489" spans="1:7">
      <c r="A3489"/>
      <c r="B3489"/>
      <c r="C3489"/>
      <c r="D3489"/>
      <c r="E3489"/>
      <c r="F3489"/>
      <c r="G3489"/>
    </row>
    <row r="3490" spans="1:7">
      <c r="A3490"/>
      <c r="B3490"/>
      <c r="C3490"/>
      <c r="D3490"/>
      <c r="E3490"/>
      <c r="F3490"/>
      <c r="G3490"/>
    </row>
    <row r="3491" spans="1:7">
      <c r="A3491"/>
      <c r="B3491"/>
      <c r="C3491"/>
      <c r="D3491"/>
      <c r="E3491"/>
      <c r="F3491"/>
      <c r="G3491"/>
    </row>
    <row r="3492" spans="1:7">
      <c r="A3492"/>
      <c r="B3492"/>
      <c r="C3492"/>
      <c r="D3492"/>
      <c r="E3492"/>
      <c r="F3492"/>
      <c r="G3492"/>
    </row>
    <row r="3493" spans="1:7">
      <c r="A3493"/>
      <c r="B3493"/>
      <c r="C3493"/>
      <c r="D3493"/>
      <c r="E3493"/>
      <c r="F3493"/>
      <c r="G3493"/>
    </row>
    <row r="3494" spans="1:7">
      <c r="A3494"/>
      <c r="B3494"/>
      <c r="C3494"/>
      <c r="D3494"/>
      <c r="E3494"/>
      <c r="F3494"/>
      <c r="G3494"/>
    </row>
    <row r="3495" spans="1:7">
      <c r="A3495"/>
      <c r="B3495"/>
      <c r="C3495"/>
      <c r="D3495"/>
      <c r="E3495"/>
      <c r="F3495"/>
      <c r="G3495"/>
    </row>
    <row r="3496" spans="1:7">
      <c r="A3496"/>
      <c r="B3496"/>
      <c r="C3496"/>
      <c r="D3496"/>
      <c r="E3496"/>
      <c r="F3496"/>
      <c r="G3496"/>
    </row>
    <row r="3497" spans="1:7">
      <c r="A3497"/>
      <c r="B3497"/>
      <c r="C3497"/>
      <c r="D3497"/>
      <c r="E3497"/>
      <c r="F3497"/>
      <c r="G3497"/>
    </row>
    <row r="3498" spans="1:7">
      <c r="A3498"/>
      <c r="B3498"/>
      <c r="C3498"/>
      <c r="D3498"/>
      <c r="E3498"/>
      <c r="F3498"/>
      <c r="G3498"/>
    </row>
    <row r="3499" spans="1:7">
      <c r="A3499"/>
      <c r="B3499"/>
      <c r="C3499"/>
      <c r="D3499"/>
      <c r="E3499"/>
      <c r="F3499"/>
      <c r="G3499"/>
    </row>
    <row r="3500" spans="1:7">
      <c r="A3500"/>
      <c r="B3500"/>
      <c r="C3500"/>
      <c r="D3500"/>
      <c r="E3500"/>
      <c r="F3500"/>
      <c r="G3500"/>
    </row>
    <row r="3501" spans="1:7">
      <c r="A3501"/>
      <c r="B3501"/>
      <c r="C3501"/>
      <c r="D3501"/>
      <c r="E3501"/>
      <c r="F3501"/>
      <c r="G3501"/>
    </row>
    <row r="3502" spans="1:7">
      <c r="A3502"/>
      <c r="B3502"/>
      <c r="C3502"/>
      <c r="D3502"/>
      <c r="E3502"/>
      <c r="F3502"/>
      <c r="G3502"/>
    </row>
    <row r="3503" spans="1:7">
      <c r="A3503"/>
      <c r="B3503"/>
      <c r="C3503"/>
      <c r="D3503"/>
      <c r="E3503"/>
      <c r="F3503"/>
      <c r="G3503"/>
    </row>
    <row r="3504" spans="1:7">
      <c r="A3504"/>
      <c r="B3504"/>
      <c r="C3504"/>
      <c r="D3504"/>
      <c r="E3504"/>
      <c r="F3504"/>
      <c r="G3504"/>
    </row>
    <row r="3505" spans="1:7">
      <c r="A3505"/>
      <c r="B3505"/>
      <c r="C3505"/>
      <c r="D3505"/>
      <c r="E3505"/>
      <c r="F3505"/>
      <c r="G3505"/>
    </row>
    <row r="3506" spans="1:7">
      <c r="A3506"/>
      <c r="B3506"/>
      <c r="C3506"/>
      <c r="D3506"/>
      <c r="E3506"/>
      <c r="F3506"/>
      <c r="G3506"/>
    </row>
    <row r="3507" spans="1:7">
      <c r="A3507"/>
      <c r="B3507"/>
      <c r="C3507"/>
      <c r="D3507"/>
      <c r="E3507"/>
      <c r="F3507"/>
      <c r="G3507"/>
    </row>
    <row r="3508" spans="1:7">
      <c r="A3508"/>
      <c r="B3508"/>
      <c r="C3508"/>
      <c r="D3508"/>
      <c r="E3508"/>
      <c r="F3508"/>
      <c r="G3508"/>
    </row>
    <row r="3509" spans="1:7">
      <c r="A3509"/>
      <c r="B3509"/>
      <c r="C3509"/>
      <c r="D3509"/>
      <c r="E3509"/>
      <c r="F3509"/>
      <c r="G3509"/>
    </row>
    <row r="3510" spans="1:7">
      <c r="A3510"/>
      <c r="B3510"/>
      <c r="C3510"/>
      <c r="D3510"/>
      <c r="E3510"/>
      <c r="F3510"/>
      <c r="G3510"/>
    </row>
    <row r="3511" spans="1:7">
      <c r="A3511"/>
      <c r="B3511"/>
      <c r="C3511"/>
      <c r="D3511"/>
      <c r="E3511"/>
      <c r="F3511"/>
      <c r="G3511"/>
    </row>
    <row r="3512" spans="1:7">
      <c r="A3512"/>
      <c r="B3512"/>
      <c r="C3512"/>
      <c r="D3512"/>
      <c r="E3512"/>
      <c r="F3512"/>
      <c r="G3512"/>
    </row>
    <row r="3513" spans="1:7">
      <c r="A3513"/>
      <c r="B3513"/>
      <c r="C3513"/>
      <c r="D3513"/>
      <c r="E3513"/>
      <c r="F3513"/>
      <c r="G3513"/>
    </row>
    <row r="3514" spans="1:7">
      <c r="A3514"/>
      <c r="B3514"/>
      <c r="C3514"/>
      <c r="D3514"/>
      <c r="E3514"/>
      <c r="F3514"/>
      <c r="G3514"/>
    </row>
    <row r="3515" spans="1:7">
      <c r="A3515"/>
      <c r="B3515"/>
      <c r="C3515"/>
      <c r="D3515"/>
      <c r="E3515"/>
      <c r="F3515"/>
      <c r="G3515"/>
    </row>
    <row r="3516" spans="1:7">
      <c r="A3516"/>
      <c r="B3516"/>
      <c r="C3516"/>
      <c r="D3516"/>
      <c r="E3516"/>
      <c r="F3516"/>
      <c r="G3516"/>
    </row>
    <row r="3517" spans="1:7">
      <c r="A3517"/>
      <c r="B3517"/>
      <c r="C3517"/>
      <c r="D3517"/>
      <c r="E3517"/>
      <c r="F3517"/>
      <c r="G3517"/>
    </row>
    <row r="3518" spans="1:7">
      <c r="A3518"/>
      <c r="B3518"/>
      <c r="C3518"/>
      <c r="D3518"/>
      <c r="E3518"/>
      <c r="F3518"/>
      <c r="G3518"/>
    </row>
    <row r="3519" spans="1:7">
      <c r="A3519"/>
      <c r="B3519"/>
      <c r="C3519"/>
      <c r="D3519"/>
      <c r="E3519"/>
      <c r="F3519"/>
      <c r="G3519"/>
    </row>
    <row r="3520" spans="1:7">
      <c r="A3520"/>
      <c r="B3520"/>
      <c r="C3520"/>
      <c r="D3520"/>
      <c r="E3520"/>
      <c r="F3520"/>
      <c r="G3520"/>
    </row>
    <row r="3521" spans="1:7">
      <c r="A3521"/>
      <c r="B3521"/>
      <c r="C3521"/>
      <c r="D3521"/>
      <c r="E3521"/>
      <c r="F3521"/>
      <c r="G3521"/>
    </row>
    <row r="3522" spans="1:7">
      <c r="A3522"/>
      <c r="B3522"/>
      <c r="C3522"/>
      <c r="D3522"/>
      <c r="E3522"/>
      <c r="F3522"/>
      <c r="G3522"/>
    </row>
    <row r="3523" spans="1:7">
      <c r="A3523"/>
      <c r="B3523"/>
      <c r="C3523"/>
      <c r="D3523"/>
      <c r="E3523"/>
      <c r="F3523"/>
      <c r="G3523"/>
    </row>
    <row r="3524" spans="1:7">
      <c r="A3524"/>
      <c r="B3524"/>
      <c r="C3524"/>
      <c r="D3524"/>
      <c r="E3524"/>
      <c r="F3524"/>
      <c r="G3524"/>
    </row>
    <row r="3525" spans="1:7">
      <c r="A3525"/>
      <c r="B3525"/>
      <c r="C3525"/>
      <c r="D3525"/>
      <c r="E3525"/>
      <c r="F3525"/>
      <c r="G3525"/>
    </row>
    <row r="3526" spans="1:7">
      <c r="A3526"/>
      <c r="B3526"/>
      <c r="C3526"/>
      <c r="D3526"/>
      <c r="E3526"/>
      <c r="F3526"/>
      <c r="G3526"/>
    </row>
    <row r="3527" spans="1:7">
      <c r="A3527"/>
      <c r="B3527"/>
      <c r="C3527"/>
      <c r="D3527"/>
      <c r="E3527"/>
      <c r="F3527"/>
      <c r="G3527"/>
    </row>
    <row r="3528" spans="1:7">
      <c r="A3528"/>
      <c r="B3528"/>
      <c r="C3528"/>
      <c r="D3528"/>
      <c r="E3528"/>
      <c r="F3528"/>
      <c r="G3528"/>
    </row>
    <row r="3529" spans="1:7">
      <c r="A3529"/>
      <c r="B3529"/>
      <c r="C3529"/>
      <c r="D3529"/>
      <c r="E3529"/>
      <c r="F3529"/>
      <c r="G3529"/>
    </row>
    <row r="3530" spans="1:7">
      <c r="A3530"/>
      <c r="B3530"/>
      <c r="C3530"/>
      <c r="D3530"/>
      <c r="E3530"/>
      <c r="F3530"/>
      <c r="G3530"/>
    </row>
    <row r="3531" spans="1:7">
      <c r="A3531"/>
      <c r="B3531"/>
      <c r="C3531"/>
      <c r="D3531"/>
      <c r="E3531"/>
      <c r="F3531"/>
      <c r="G3531"/>
    </row>
    <row r="3532" spans="1:7">
      <c r="A3532"/>
      <c r="B3532"/>
      <c r="C3532"/>
      <c r="D3532"/>
      <c r="E3532"/>
      <c r="F3532"/>
      <c r="G3532"/>
    </row>
    <row r="3533" spans="1:7">
      <c r="A3533"/>
      <c r="B3533"/>
      <c r="C3533"/>
      <c r="D3533"/>
      <c r="E3533"/>
      <c r="F3533"/>
      <c r="G3533"/>
    </row>
    <row r="3534" spans="1:7">
      <c r="A3534"/>
      <c r="B3534"/>
      <c r="C3534"/>
      <c r="D3534"/>
      <c r="E3534"/>
      <c r="F3534"/>
      <c r="G3534"/>
    </row>
    <row r="3535" spans="1:7">
      <c r="A3535"/>
      <c r="B3535"/>
      <c r="C3535"/>
      <c r="D3535"/>
      <c r="E3535"/>
      <c r="F3535"/>
      <c r="G3535"/>
    </row>
    <row r="3536" spans="1:7">
      <c r="A3536"/>
      <c r="B3536"/>
      <c r="C3536"/>
      <c r="D3536"/>
      <c r="E3536"/>
      <c r="F3536"/>
      <c r="G3536"/>
    </row>
    <row r="3537" spans="1:7">
      <c r="A3537"/>
      <c r="B3537"/>
      <c r="C3537"/>
      <c r="D3537"/>
      <c r="E3537"/>
      <c r="F3537"/>
      <c r="G3537"/>
    </row>
    <row r="3538" spans="1:7">
      <c r="A3538"/>
      <c r="B3538"/>
      <c r="C3538"/>
      <c r="D3538"/>
      <c r="E3538"/>
      <c r="F3538"/>
      <c r="G3538"/>
    </row>
    <row r="3539" spans="1:7">
      <c r="A3539"/>
      <c r="B3539"/>
      <c r="C3539"/>
      <c r="D3539"/>
      <c r="E3539"/>
      <c r="F3539"/>
      <c r="G3539"/>
    </row>
    <row r="3540" spans="1:7">
      <c r="A3540"/>
      <c r="B3540"/>
      <c r="C3540"/>
      <c r="D3540"/>
      <c r="E3540"/>
      <c r="F3540"/>
      <c r="G3540"/>
    </row>
    <row r="3541" spans="1:7">
      <c r="A3541"/>
      <c r="B3541"/>
      <c r="C3541"/>
      <c r="D3541"/>
      <c r="E3541"/>
      <c r="F3541"/>
      <c r="G3541"/>
    </row>
    <row r="3542" spans="1:7">
      <c r="A3542"/>
      <c r="B3542"/>
      <c r="C3542"/>
      <c r="D3542"/>
      <c r="E3542"/>
      <c r="F3542"/>
      <c r="G3542"/>
    </row>
    <row r="3543" spans="1:7">
      <c r="A3543"/>
      <c r="B3543"/>
      <c r="C3543"/>
      <c r="D3543"/>
      <c r="E3543"/>
      <c r="F3543"/>
      <c r="G3543"/>
    </row>
    <row r="3544" spans="1:7">
      <c r="A3544"/>
      <c r="B3544"/>
      <c r="C3544"/>
      <c r="D3544"/>
      <c r="E3544"/>
      <c r="F3544"/>
      <c r="G3544"/>
    </row>
    <row r="3545" spans="1:7">
      <c r="A3545"/>
      <c r="B3545"/>
      <c r="C3545"/>
      <c r="D3545"/>
      <c r="E3545"/>
      <c r="F3545"/>
      <c r="G3545"/>
    </row>
    <row r="3546" spans="1:7">
      <c r="A3546"/>
      <c r="B3546"/>
      <c r="C3546"/>
      <c r="D3546"/>
      <c r="E3546"/>
      <c r="F3546"/>
      <c r="G3546"/>
    </row>
    <row r="3547" spans="1:7">
      <c r="A3547"/>
      <c r="B3547"/>
      <c r="C3547"/>
      <c r="D3547"/>
      <c r="E3547"/>
      <c r="F3547"/>
      <c r="G3547"/>
    </row>
    <row r="3548" spans="1:7">
      <c r="A3548"/>
      <c r="B3548"/>
      <c r="C3548"/>
      <c r="D3548"/>
      <c r="E3548"/>
      <c r="F3548"/>
      <c r="G3548"/>
    </row>
    <row r="3549" spans="1:7">
      <c r="A3549"/>
      <c r="B3549"/>
      <c r="C3549"/>
      <c r="D3549"/>
      <c r="E3549"/>
      <c r="F3549"/>
      <c r="G3549"/>
    </row>
    <row r="3550" spans="1:7">
      <c r="A3550"/>
      <c r="B3550"/>
      <c r="C3550"/>
      <c r="D3550"/>
      <c r="E3550"/>
      <c r="F3550"/>
      <c r="G3550"/>
    </row>
    <row r="3551" spans="1:7">
      <c r="A3551"/>
      <c r="B3551"/>
      <c r="C3551"/>
      <c r="D3551"/>
      <c r="E3551"/>
      <c r="F3551"/>
      <c r="G3551"/>
    </row>
    <row r="3552" spans="1:7">
      <c r="A3552"/>
      <c r="B3552"/>
      <c r="C3552"/>
      <c r="D3552"/>
      <c r="E3552"/>
      <c r="F3552"/>
      <c r="G3552"/>
    </row>
    <row r="3553" spans="1:7">
      <c r="A3553"/>
      <c r="B3553"/>
      <c r="C3553"/>
      <c r="D3553"/>
      <c r="E3553"/>
      <c r="F3553"/>
      <c r="G3553"/>
    </row>
    <row r="3554" spans="1:7">
      <c r="A3554"/>
      <c r="B3554"/>
      <c r="C3554"/>
      <c r="D3554"/>
      <c r="E3554"/>
      <c r="F3554"/>
      <c r="G3554"/>
    </row>
    <row r="3555" spans="1:7">
      <c r="A3555"/>
      <c r="B3555"/>
      <c r="C3555"/>
      <c r="D3555"/>
      <c r="E3555"/>
      <c r="F3555"/>
      <c r="G3555"/>
    </row>
    <row r="3556" spans="1:7">
      <c r="A3556"/>
      <c r="B3556"/>
      <c r="C3556"/>
      <c r="D3556"/>
      <c r="E3556"/>
      <c r="F3556"/>
      <c r="G3556"/>
    </row>
    <row r="3557" spans="1:7">
      <c r="A3557"/>
      <c r="B3557"/>
      <c r="C3557"/>
      <c r="D3557"/>
      <c r="E3557"/>
      <c r="F3557"/>
      <c r="G3557"/>
    </row>
    <row r="3558" spans="1:7">
      <c r="A3558"/>
      <c r="B3558"/>
      <c r="C3558"/>
      <c r="D3558"/>
      <c r="E3558"/>
      <c r="F3558"/>
      <c r="G3558"/>
    </row>
    <row r="3559" spans="1:7">
      <c r="A3559"/>
      <c r="B3559"/>
      <c r="C3559"/>
      <c r="D3559"/>
      <c r="E3559"/>
      <c r="F3559"/>
      <c r="G3559"/>
    </row>
    <row r="3560" spans="1:7">
      <c r="A3560"/>
      <c r="B3560"/>
      <c r="C3560"/>
      <c r="D3560"/>
      <c r="E3560"/>
      <c r="F3560"/>
      <c r="G3560"/>
    </row>
    <row r="3561" spans="1:7">
      <c r="A3561"/>
      <c r="B3561"/>
      <c r="C3561"/>
      <c r="D3561"/>
      <c r="E3561"/>
      <c r="F3561"/>
      <c r="G3561"/>
    </row>
    <row r="3562" spans="1:7">
      <c r="A3562"/>
      <c r="B3562"/>
      <c r="C3562"/>
      <c r="D3562"/>
      <c r="E3562"/>
      <c r="F3562"/>
      <c r="G3562"/>
    </row>
    <row r="3563" spans="1:7">
      <c r="A3563"/>
      <c r="B3563"/>
      <c r="C3563"/>
      <c r="D3563"/>
      <c r="E3563"/>
      <c r="F3563"/>
      <c r="G3563"/>
    </row>
    <row r="3564" spans="1:7">
      <c r="A3564"/>
      <c r="B3564"/>
      <c r="C3564"/>
      <c r="D3564"/>
      <c r="E3564"/>
      <c r="F3564"/>
      <c r="G3564"/>
    </row>
    <row r="3565" spans="1:7">
      <c r="A3565"/>
      <c r="B3565"/>
      <c r="C3565"/>
      <c r="D3565"/>
      <c r="E3565"/>
      <c r="F3565"/>
      <c r="G3565"/>
    </row>
    <row r="3566" spans="1:7">
      <c r="A3566"/>
      <c r="B3566"/>
      <c r="C3566"/>
      <c r="D3566"/>
      <c r="E3566"/>
      <c r="F3566"/>
      <c r="G3566"/>
    </row>
    <row r="3567" spans="1:7">
      <c r="A3567"/>
      <c r="B3567"/>
      <c r="C3567"/>
      <c r="D3567"/>
      <c r="E3567"/>
      <c r="F3567"/>
      <c r="G3567"/>
    </row>
    <row r="3568" spans="1:7">
      <c r="A3568"/>
      <c r="B3568"/>
      <c r="C3568"/>
      <c r="D3568"/>
      <c r="E3568"/>
      <c r="F3568"/>
      <c r="G3568"/>
    </row>
    <row r="3569" spans="1:7">
      <c r="A3569"/>
      <c r="B3569"/>
      <c r="C3569"/>
      <c r="D3569"/>
      <c r="E3569"/>
      <c r="F3569"/>
      <c r="G3569"/>
    </row>
    <row r="3570" spans="1:7">
      <c r="A3570"/>
      <c r="B3570"/>
      <c r="C3570"/>
      <c r="D3570"/>
      <c r="E3570"/>
      <c r="F3570"/>
      <c r="G3570"/>
    </row>
    <row r="3571" spans="1:7">
      <c r="A3571"/>
      <c r="B3571"/>
      <c r="C3571"/>
      <c r="D3571"/>
      <c r="E3571"/>
      <c r="F3571"/>
      <c r="G3571"/>
    </row>
    <row r="3572" spans="1:7">
      <c r="A3572"/>
      <c r="B3572"/>
      <c r="C3572"/>
      <c r="D3572"/>
      <c r="E3572"/>
      <c r="F3572"/>
      <c r="G3572"/>
    </row>
    <row r="3573" spans="1:7">
      <c r="A3573"/>
      <c r="B3573"/>
      <c r="C3573"/>
      <c r="D3573"/>
      <c r="E3573"/>
      <c r="F3573"/>
      <c r="G3573"/>
    </row>
    <row r="3574" spans="1:7">
      <c r="A3574"/>
      <c r="B3574"/>
      <c r="C3574"/>
      <c r="D3574"/>
      <c r="E3574"/>
      <c r="F3574"/>
      <c r="G3574"/>
    </row>
    <row r="3575" spans="1:7">
      <c r="A3575"/>
      <c r="B3575"/>
      <c r="C3575"/>
      <c r="D3575"/>
      <c r="E3575"/>
      <c r="F3575"/>
      <c r="G3575"/>
    </row>
    <row r="3576" spans="1:7">
      <c r="A3576"/>
      <c r="B3576"/>
      <c r="C3576"/>
      <c r="D3576"/>
      <c r="E3576"/>
      <c r="F3576"/>
      <c r="G3576"/>
    </row>
    <row r="3577" spans="1:7">
      <c r="A3577"/>
      <c r="B3577"/>
      <c r="C3577"/>
      <c r="D3577"/>
      <c r="E3577"/>
      <c r="F3577"/>
      <c r="G3577"/>
    </row>
    <row r="3578" spans="1:7">
      <c r="A3578"/>
      <c r="B3578"/>
      <c r="C3578"/>
      <c r="D3578"/>
      <c r="E3578"/>
      <c r="F3578"/>
      <c r="G3578"/>
    </row>
    <row r="3579" spans="1:7">
      <c r="A3579"/>
      <c r="B3579"/>
      <c r="C3579"/>
      <c r="D3579"/>
      <c r="E3579"/>
      <c r="F3579"/>
      <c r="G3579"/>
    </row>
    <row r="3580" spans="1:7">
      <c r="A3580"/>
      <c r="B3580"/>
      <c r="C3580"/>
      <c r="D3580"/>
      <c r="E3580"/>
      <c r="F3580"/>
      <c r="G3580"/>
    </row>
    <row r="3581" spans="1:7">
      <c r="A3581"/>
      <c r="B3581"/>
      <c r="C3581"/>
      <c r="D3581"/>
      <c r="E3581"/>
      <c r="F3581"/>
      <c r="G3581"/>
    </row>
    <row r="3582" spans="1:7">
      <c r="A3582"/>
      <c r="B3582"/>
      <c r="C3582"/>
      <c r="D3582"/>
      <c r="E3582"/>
      <c r="F3582"/>
      <c r="G3582"/>
    </row>
    <row r="3583" spans="1:7">
      <c r="A3583"/>
      <c r="B3583"/>
      <c r="C3583"/>
      <c r="D3583"/>
      <c r="E3583"/>
      <c r="F3583"/>
      <c r="G3583"/>
    </row>
    <row r="3584" spans="1:7">
      <c r="A3584"/>
      <c r="B3584"/>
      <c r="C3584"/>
      <c r="D3584"/>
      <c r="E3584"/>
      <c r="F3584"/>
      <c r="G3584"/>
    </row>
    <row r="3585" spans="1:7">
      <c r="A3585"/>
      <c r="B3585"/>
      <c r="C3585"/>
      <c r="D3585"/>
      <c r="E3585"/>
      <c r="F3585"/>
      <c r="G3585"/>
    </row>
    <row r="3586" spans="1:7">
      <c r="A3586"/>
      <c r="B3586"/>
      <c r="C3586"/>
      <c r="D3586"/>
      <c r="E3586"/>
      <c r="F3586"/>
      <c r="G3586"/>
    </row>
    <row r="3587" spans="1:7">
      <c r="A3587"/>
      <c r="B3587"/>
      <c r="C3587"/>
      <c r="D3587"/>
      <c r="E3587"/>
      <c r="F3587"/>
      <c r="G3587"/>
    </row>
    <row r="3588" spans="1:7">
      <c r="A3588"/>
      <c r="B3588"/>
      <c r="C3588"/>
      <c r="D3588"/>
      <c r="E3588"/>
      <c r="F3588"/>
      <c r="G3588"/>
    </row>
    <row r="3589" spans="1:7">
      <c r="A3589"/>
      <c r="B3589"/>
      <c r="C3589"/>
      <c r="D3589"/>
      <c r="E3589"/>
      <c r="F3589"/>
      <c r="G3589"/>
    </row>
    <row r="3590" spans="1:7">
      <c r="A3590"/>
      <c r="B3590"/>
      <c r="C3590"/>
      <c r="D3590"/>
      <c r="E3590"/>
      <c r="F3590"/>
      <c r="G3590"/>
    </row>
    <row r="3591" spans="1:7">
      <c r="A3591"/>
      <c r="B3591"/>
      <c r="C3591"/>
      <c r="D3591"/>
      <c r="E3591"/>
      <c r="F3591"/>
      <c r="G3591"/>
    </row>
    <row r="3592" spans="1:7">
      <c r="A3592"/>
      <c r="B3592"/>
      <c r="C3592"/>
      <c r="D3592"/>
      <c r="E3592"/>
      <c r="F3592"/>
      <c r="G3592"/>
    </row>
    <row r="3593" spans="1:7">
      <c r="A3593"/>
      <c r="B3593"/>
      <c r="C3593"/>
      <c r="D3593"/>
      <c r="E3593"/>
      <c r="F3593"/>
      <c r="G3593"/>
    </row>
    <row r="3594" spans="1:7">
      <c r="A3594"/>
      <c r="B3594"/>
      <c r="C3594"/>
      <c r="D3594"/>
      <c r="E3594"/>
      <c r="F3594"/>
      <c r="G3594"/>
    </row>
    <row r="3595" spans="1:7">
      <c r="A3595"/>
      <c r="B3595"/>
      <c r="C3595"/>
      <c r="D3595"/>
      <c r="E3595"/>
      <c r="F3595"/>
      <c r="G3595"/>
    </row>
    <row r="3596" spans="1:7">
      <c r="A3596"/>
      <c r="B3596"/>
      <c r="C3596"/>
      <c r="D3596"/>
      <c r="E3596"/>
      <c r="F3596"/>
      <c r="G3596"/>
    </row>
    <row r="3597" spans="1:7">
      <c r="A3597"/>
      <c r="B3597"/>
      <c r="C3597"/>
      <c r="D3597"/>
      <c r="E3597"/>
      <c r="F3597"/>
      <c r="G3597"/>
    </row>
    <row r="3598" spans="1:7">
      <c r="A3598"/>
      <c r="B3598"/>
      <c r="C3598"/>
      <c r="D3598"/>
      <c r="E3598"/>
      <c r="F3598"/>
      <c r="G3598"/>
    </row>
    <row r="3599" spans="1:7">
      <c r="A3599"/>
      <c r="B3599"/>
      <c r="C3599"/>
      <c r="D3599"/>
      <c r="E3599"/>
      <c r="F3599"/>
      <c r="G3599"/>
    </row>
    <row r="3600" spans="1:7">
      <c r="A3600"/>
      <c r="B3600"/>
      <c r="C3600"/>
      <c r="D3600"/>
      <c r="E3600"/>
      <c r="F3600"/>
      <c r="G3600"/>
    </row>
    <row r="3601" spans="1:7">
      <c r="A3601"/>
      <c r="B3601"/>
      <c r="C3601"/>
      <c r="D3601"/>
      <c r="E3601"/>
      <c r="F3601"/>
      <c r="G3601"/>
    </row>
    <row r="3602" spans="1:7">
      <c r="A3602"/>
      <c r="B3602"/>
      <c r="C3602"/>
      <c r="D3602"/>
      <c r="E3602"/>
      <c r="F3602"/>
      <c r="G3602"/>
    </row>
    <row r="3603" spans="1:7">
      <c r="A3603"/>
      <c r="B3603"/>
      <c r="C3603"/>
      <c r="D3603"/>
      <c r="E3603"/>
      <c r="F3603"/>
      <c r="G3603"/>
    </row>
    <row r="3604" spans="1:7">
      <c r="A3604"/>
      <c r="B3604"/>
      <c r="C3604"/>
      <c r="D3604"/>
      <c r="E3604"/>
      <c r="F3604"/>
      <c r="G3604"/>
    </row>
    <row r="3605" spans="1:7">
      <c r="A3605"/>
      <c r="B3605"/>
      <c r="C3605"/>
      <c r="D3605"/>
      <c r="E3605"/>
      <c r="F3605"/>
      <c r="G3605"/>
    </row>
    <row r="3606" spans="1:7">
      <c r="A3606"/>
      <c r="B3606"/>
      <c r="C3606"/>
      <c r="D3606"/>
      <c r="E3606"/>
      <c r="F3606"/>
      <c r="G3606"/>
    </row>
    <row r="3607" spans="1:7">
      <c r="A3607"/>
      <c r="B3607"/>
      <c r="C3607"/>
      <c r="D3607"/>
      <c r="E3607"/>
      <c r="F3607"/>
      <c r="G3607"/>
    </row>
    <row r="3608" spans="1:7">
      <c r="A3608"/>
      <c r="B3608"/>
      <c r="C3608"/>
      <c r="D3608"/>
      <c r="E3608"/>
      <c r="F3608"/>
      <c r="G3608"/>
    </row>
    <row r="3609" spans="1:7">
      <c r="A3609"/>
      <c r="B3609"/>
      <c r="C3609"/>
      <c r="D3609"/>
      <c r="E3609"/>
      <c r="F3609"/>
      <c r="G3609"/>
    </row>
    <row r="3610" spans="1:7">
      <c r="A3610"/>
      <c r="B3610"/>
      <c r="C3610"/>
      <c r="D3610"/>
      <c r="E3610"/>
      <c r="F3610"/>
      <c r="G3610"/>
    </row>
    <row r="3611" spans="1:7">
      <c r="A3611"/>
      <c r="B3611"/>
      <c r="C3611"/>
      <c r="D3611"/>
      <c r="E3611"/>
      <c r="F3611"/>
      <c r="G3611"/>
    </row>
    <row r="3612" spans="1:7">
      <c r="A3612"/>
      <c r="B3612"/>
      <c r="C3612"/>
      <c r="D3612"/>
      <c r="E3612"/>
      <c r="F3612"/>
      <c r="G3612"/>
    </row>
    <row r="3613" spans="1:7">
      <c r="A3613"/>
      <c r="B3613"/>
      <c r="C3613"/>
      <c r="D3613"/>
      <c r="E3613"/>
      <c r="F3613"/>
      <c r="G3613"/>
    </row>
    <row r="3614" spans="1:7">
      <c r="A3614"/>
      <c r="B3614"/>
      <c r="C3614"/>
      <c r="D3614"/>
      <c r="E3614"/>
      <c r="F3614"/>
      <c r="G3614"/>
    </row>
    <row r="3615" spans="1:7">
      <c r="A3615"/>
      <c r="B3615"/>
      <c r="C3615"/>
      <c r="D3615"/>
      <c r="E3615"/>
      <c r="F3615"/>
      <c r="G3615"/>
    </row>
    <row r="3616" spans="1:7">
      <c r="A3616"/>
      <c r="B3616"/>
      <c r="C3616"/>
      <c r="D3616"/>
      <c r="E3616"/>
      <c r="F3616"/>
      <c r="G3616"/>
    </row>
    <row r="3617" spans="1:7">
      <c r="A3617"/>
      <c r="B3617"/>
      <c r="C3617"/>
      <c r="D3617"/>
      <c r="E3617"/>
      <c r="F3617"/>
      <c r="G3617"/>
    </row>
    <row r="3618" spans="1:7">
      <c r="A3618"/>
      <c r="B3618"/>
      <c r="C3618"/>
      <c r="D3618"/>
      <c r="E3618"/>
      <c r="F3618"/>
      <c r="G3618"/>
    </row>
    <row r="3619" spans="1:7">
      <c r="A3619"/>
      <c r="B3619"/>
      <c r="C3619"/>
      <c r="D3619"/>
      <c r="E3619"/>
      <c r="F3619"/>
      <c r="G3619"/>
    </row>
    <row r="3620" spans="1:7">
      <c r="A3620"/>
      <c r="B3620"/>
      <c r="C3620"/>
      <c r="D3620"/>
      <c r="E3620"/>
      <c r="F3620"/>
      <c r="G3620"/>
    </row>
    <row r="3621" spans="1:7">
      <c r="A3621"/>
      <c r="B3621"/>
      <c r="C3621"/>
      <c r="D3621"/>
      <c r="E3621"/>
      <c r="F3621"/>
      <c r="G3621"/>
    </row>
    <row r="3622" spans="1:7">
      <c r="A3622"/>
      <c r="B3622"/>
      <c r="C3622"/>
      <c r="D3622"/>
      <c r="E3622"/>
      <c r="F3622"/>
      <c r="G3622"/>
    </row>
    <row r="3623" spans="1:7">
      <c r="A3623"/>
      <c r="B3623"/>
      <c r="C3623"/>
      <c r="D3623"/>
      <c r="E3623"/>
      <c r="F3623"/>
      <c r="G3623"/>
    </row>
    <row r="3624" spans="1:7">
      <c r="A3624"/>
      <c r="B3624"/>
      <c r="C3624"/>
      <c r="D3624"/>
      <c r="E3624"/>
      <c r="F3624"/>
      <c r="G3624"/>
    </row>
    <row r="3625" spans="1:7">
      <c r="A3625"/>
      <c r="B3625"/>
      <c r="C3625"/>
      <c r="D3625"/>
      <c r="E3625"/>
      <c r="F3625"/>
      <c r="G3625"/>
    </row>
    <row r="3626" spans="1:7">
      <c r="A3626"/>
      <c r="B3626"/>
      <c r="C3626"/>
      <c r="D3626"/>
      <c r="E3626"/>
      <c r="F3626"/>
      <c r="G3626"/>
    </row>
    <row r="3627" spans="1:7">
      <c r="A3627"/>
      <c r="B3627"/>
      <c r="C3627"/>
      <c r="D3627"/>
      <c r="E3627"/>
      <c r="F3627"/>
      <c r="G3627"/>
    </row>
    <row r="3628" spans="1:7">
      <c r="A3628"/>
      <c r="B3628"/>
      <c r="C3628"/>
      <c r="D3628"/>
      <c r="E3628"/>
      <c r="F3628"/>
      <c r="G3628"/>
    </row>
    <row r="3629" spans="1:7">
      <c r="A3629"/>
      <c r="B3629"/>
      <c r="C3629"/>
      <c r="D3629"/>
      <c r="E3629"/>
      <c r="F3629"/>
      <c r="G3629"/>
    </row>
    <row r="3630" spans="1:7">
      <c r="A3630"/>
      <c r="B3630"/>
      <c r="C3630"/>
      <c r="D3630"/>
      <c r="E3630"/>
      <c r="F3630"/>
      <c r="G3630"/>
    </row>
    <row r="3631" spans="1:7">
      <c r="A3631"/>
      <c r="B3631"/>
      <c r="C3631"/>
      <c r="D3631"/>
      <c r="E3631"/>
      <c r="F3631"/>
      <c r="G3631"/>
    </row>
    <row r="3632" spans="1:7">
      <c r="A3632"/>
      <c r="B3632"/>
      <c r="C3632"/>
      <c r="D3632"/>
      <c r="E3632"/>
      <c r="F3632"/>
      <c r="G3632"/>
    </row>
    <row r="3633" spans="1:7">
      <c r="A3633"/>
      <c r="B3633"/>
      <c r="C3633"/>
      <c r="D3633"/>
      <c r="E3633"/>
      <c r="F3633"/>
      <c r="G3633"/>
    </row>
    <row r="3634" spans="1:7">
      <c r="A3634"/>
      <c r="B3634"/>
      <c r="C3634"/>
      <c r="D3634"/>
      <c r="E3634"/>
      <c r="F3634"/>
      <c r="G3634"/>
    </row>
    <row r="3635" spans="1:7">
      <c r="A3635"/>
      <c r="B3635"/>
      <c r="C3635"/>
      <c r="D3635"/>
      <c r="E3635"/>
      <c r="F3635"/>
      <c r="G3635"/>
    </row>
    <row r="3636" spans="1:7">
      <c r="A3636"/>
      <c r="B3636"/>
      <c r="C3636"/>
      <c r="D3636"/>
      <c r="E3636"/>
      <c r="F3636"/>
      <c r="G3636"/>
    </row>
    <row r="3637" spans="1:7">
      <c r="A3637"/>
      <c r="B3637"/>
      <c r="C3637"/>
      <c r="D3637"/>
      <c r="E3637"/>
      <c r="F3637"/>
      <c r="G3637"/>
    </row>
    <row r="3638" spans="1:7">
      <c r="A3638"/>
      <c r="B3638"/>
      <c r="C3638"/>
      <c r="D3638"/>
      <c r="E3638"/>
      <c r="F3638"/>
      <c r="G3638"/>
    </row>
    <row r="3639" spans="1:7">
      <c r="A3639"/>
      <c r="B3639"/>
      <c r="C3639"/>
      <c r="D3639"/>
      <c r="E3639"/>
      <c r="F3639"/>
      <c r="G3639"/>
    </row>
    <row r="3640" spans="1:7">
      <c r="A3640"/>
      <c r="B3640"/>
      <c r="C3640"/>
      <c r="D3640"/>
      <c r="E3640"/>
      <c r="F3640"/>
      <c r="G3640"/>
    </row>
    <row r="3641" spans="1:7">
      <c r="A3641"/>
      <c r="B3641"/>
      <c r="C3641"/>
      <c r="D3641"/>
      <c r="E3641"/>
      <c r="F3641"/>
      <c r="G3641"/>
    </row>
    <row r="3642" spans="1:7">
      <c r="A3642"/>
      <c r="B3642"/>
      <c r="C3642"/>
      <c r="D3642"/>
      <c r="E3642"/>
      <c r="F3642"/>
      <c r="G3642"/>
    </row>
    <row r="3643" spans="1:7">
      <c r="A3643"/>
      <c r="B3643"/>
      <c r="C3643"/>
      <c r="D3643"/>
      <c r="E3643"/>
      <c r="F3643"/>
      <c r="G3643"/>
    </row>
    <row r="3644" spans="1:7">
      <c r="A3644"/>
      <c r="B3644"/>
      <c r="C3644"/>
      <c r="D3644"/>
      <c r="E3644"/>
      <c r="F3644"/>
      <c r="G3644"/>
    </row>
    <row r="3645" spans="1:7">
      <c r="A3645"/>
      <c r="B3645"/>
      <c r="C3645"/>
      <c r="D3645"/>
      <c r="E3645"/>
      <c r="F3645"/>
      <c r="G3645"/>
    </row>
    <row r="3646" spans="1:7">
      <c r="A3646"/>
      <c r="B3646"/>
      <c r="C3646"/>
      <c r="D3646"/>
      <c r="E3646"/>
      <c r="F3646"/>
      <c r="G3646"/>
    </row>
    <row r="3647" spans="1:7">
      <c r="A3647"/>
      <c r="B3647"/>
      <c r="C3647"/>
      <c r="D3647"/>
      <c r="E3647"/>
      <c r="F3647"/>
      <c r="G3647"/>
    </row>
    <row r="3648" spans="1:7">
      <c r="A3648"/>
      <c r="B3648"/>
      <c r="C3648"/>
      <c r="D3648"/>
      <c r="E3648"/>
      <c r="F3648"/>
      <c r="G3648"/>
    </row>
    <row r="3649" spans="1:7">
      <c r="A3649"/>
      <c r="B3649"/>
      <c r="C3649"/>
      <c r="D3649"/>
      <c r="E3649"/>
      <c r="F3649"/>
      <c r="G3649"/>
    </row>
    <row r="3650" spans="1:7">
      <c r="A3650"/>
      <c r="B3650"/>
      <c r="C3650"/>
      <c r="D3650"/>
      <c r="E3650"/>
      <c r="F3650"/>
      <c r="G3650"/>
    </row>
    <row r="3651" spans="1:7">
      <c r="A3651"/>
      <c r="B3651"/>
      <c r="C3651"/>
      <c r="D3651"/>
      <c r="E3651"/>
      <c r="F3651"/>
      <c r="G3651"/>
    </row>
    <row r="3652" spans="1:7">
      <c r="A3652"/>
      <c r="B3652"/>
      <c r="C3652"/>
      <c r="D3652"/>
      <c r="E3652"/>
      <c r="F3652"/>
      <c r="G3652"/>
    </row>
    <row r="3653" spans="1:7">
      <c r="A3653"/>
      <c r="B3653"/>
      <c r="C3653"/>
      <c r="D3653"/>
      <c r="E3653"/>
      <c r="F3653"/>
      <c r="G3653"/>
    </row>
    <row r="3654" spans="1:7">
      <c r="A3654"/>
      <c r="B3654"/>
      <c r="C3654"/>
      <c r="D3654"/>
      <c r="E3654"/>
      <c r="F3654"/>
      <c r="G3654"/>
    </row>
    <row r="3655" spans="1:7">
      <c r="A3655"/>
      <c r="B3655"/>
      <c r="C3655"/>
      <c r="D3655"/>
      <c r="E3655"/>
      <c r="F3655"/>
      <c r="G3655"/>
    </row>
    <row r="3656" spans="1:7">
      <c r="A3656"/>
      <c r="B3656"/>
      <c r="C3656"/>
      <c r="D3656"/>
      <c r="E3656"/>
      <c r="F3656"/>
      <c r="G3656"/>
    </row>
    <row r="3657" spans="1:7">
      <c r="A3657"/>
      <c r="B3657"/>
      <c r="C3657"/>
      <c r="D3657"/>
      <c r="E3657"/>
      <c r="F3657"/>
      <c r="G3657"/>
    </row>
    <row r="3658" spans="1:7">
      <c r="A3658"/>
      <c r="B3658"/>
      <c r="C3658"/>
      <c r="D3658"/>
      <c r="E3658"/>
      <c r="F3658"/>
      <c r="G3658"/>
    </row>
    <row r="3659" spans="1:7">
      <c r="A3659"/>
      <c r="B3659"/>
      <c r="C3659"/>
      <c r="D3659"/>
      <c r="E3659"/>
      <c r="F3659"/>
      <c r="G3659"/>
    </row>
    <row r="3660" spans="1:7">
      <c r="A3660"/>
      <c r="B3660"/>
      <c r="C3660"/>
      <c r="D3660"/>
      <c r="E3660"/>
      <c r="F3660"/>
      <c r="G3660"/>
    </row>
    <row r="3661" spans="1:7">
      <c r="A3661"/>
      <c r="B3661"/>
      <c r="C3661"/>
      <c r="D3661"/>
      <c r="E3661"/>
      <c r="F3661"/>
      <c r="G3661"/>
    </row>
    <row r="3662" spans="1:7">
      <c r="A3662"/>
      <c r="B3662"/>
      <c r="C3662"/>
      <c r="D3662"/>
      <c r="E3662"/>
      <c r="F3662"/>
      <c r="G3662"/>
    </row>
    <row r="3663" spans="1:7">
      <c r="A3663"/>
      <c r="B3663"/>
      <c r="C3663"/>
      <c r="D3663"/>
      <c r="E3663"/>
      <c r="F3663"/>
      <c r="G3663"/>
    </row>
    <row r="3664" spans="1:7">
      <c r="A3664"/>
      <c r="B3664"/>
      <c r="C3664"/>
      <c r="D3664"/>
      <c r="E3664"/>
      <c r="F3664"/>
      <c r="G3664"/>
    </row>
    <row r="3665" spans="1:7">
      <c r="A3665"/>
      <c r="B3665"/>
      <c r="C3665"/>
      <c r="D3665"/>
      <c r="E3665"/>
      <c r="F3665"/>
      <c r="G3665"/>
    </row>
    <row r="3666" spans="1:7">
      <c r="A3666"/>
      <c r="B3666"/>
      <c r="C3666"/>
      <c r="D3666"/>
      <c r="E3666"/>
      <c r="F3666"/>
      <c r="G3666"/>
    </row>
    <row r="3667" spans="1:7">
      <c r="A3667"/>
      <c r="B3667"/>
      <c r="C3667"/>
      <c r="D3667"/>
      <c r="E3667"/>
      <c r="F3667"/>
      <c r="G3667"/>
    </row>
    <row r="3668" spans="1:7">
      <c r="A3668"/>
      <c r="B3668"/>
      <c r="C3668"/>
      <c r="D3668"/>
      <c r="E3668"/>
      <c r="F3668"/>
      <c r="G3668"/>
    </row>
    <row r="3669" spans="1:7">
      <c r="A3669"/>
      <c r="B3669"/>
      <c r="C3669"/>
      <c r="D3669"/>
      <c r="E3669"/>
      <c r="F3669"/>
      <c r="G3669"/>
    </row>
    <row r="3670" spans="1:7">
      <c r="A3670"/>
      <c r="B3670"/>
      <c r="C3670"/>
      <c r="D3670"/>
      <c r="E3670"/>
      <c r="F3670"/>
      <c r="G3670"/>
    </row>
    <row r="3671" spans="1:7">
      <c r="A3671"/>
      <c r="B3671"/>
      <c r="C3671"/>
      <c r="D3671"/>
      <c r="E3671"/>
      <c r="F3671"/>
      <c r="G3671"/>
    </row>
    <row r="3672" spans="1:7">
      <c r="A3672"/>
      <c r="B3672"/>
      <c r="C3672"/>
      <c r="D3672"/>
      <c r="E3672"/>
      <c r="F3672"/>
      <c r="G3672"/>
    </row>
    <row r="3673" spans="1:7">
      <c r="A3673"/>
      <c r="B3673"/>
      <c r="C3673"/>
      <c r="D3673"/>
      <c r="E3673"/>
      <c r="F3673"/>
      <c r="G3673"/>
    </row>
    <row r="3674" spans="1:7">
      <c r="A3674"/>
      <c r="B3674"/>
      <c r="C3674"/>
      <c r="D3674"/>
      <c r="E3674"/>
      <c r="F3674"/>
      <c r="G3674"/>
    </row>
    <row r="3675" spans="1:7">
      <c r="A3675"/>
      <c r="B3675"/>
      <c r="C3675"/>
      <c r="D3675"/>
      <c r="E3675"/>
      <c r="F3675"/>
      <c r="G3675"/>
    </row>
    <row r="3676" spans="1:7">
      <c r="A3676"/>
      <c r="B3676"/>
      <c r="C3676"/>
      <c r="D3676"/>
      <c r="E3676"/>
      <c r="F3676"/>
      <c r="G3676"/>
    </row>
    <row r="3677" spans="1:7">
      <c r="A3677"/>
      <c r="B3677"/>
      <c r="C3677"/>
      <c r="D3677"/>
      <c r="E3677"/>
      <c r="F3677"/>
      <c r="G3677"/>
    </row>
    <row r="3678" spans="1:7">
      <c r="A3678"/>
      <c r="B3678"/>
      <c r="C3678"/>
      <c r="D3678"/>
      <c r="E3678"/>
      <c r="F3678"/>
      <c r="G3678"/>
    </row>
    <row r="3679" spans="1:7">
      <c r="A3679"/>
      <c r="B3679"/>
      <c r="C3679"/>
      <c r="D3679"/>
      <c r="E3679"/>
      <c r="F3679"/>
      <c r="G3679"/>
    </row>
    <row r="3680" spans="1:7">
      <c r="A3680"/>
      <c r="B3680"/>
      <c r="C3680"/>
      <c r="D3680"/>
      <c r="E3680"/>
      <c r="F3680"/>
      <c r="G3680"/>
    </row>
    <row r="3681" spans="1:7">
      <c r="A3681"/>
      <c r="B3681"/>
      <c r="C3681"/>
      <c r="D3681"/>
      <c r="E3681"/>
      <c r="F3681"/>
      <c r="G3681"/>
    </row>
    <row r="3682" spans="1:7">
      <c r="A3682"/>
      <c r="B3682"/>
      <c r="C3682"/>
      <c r="D3682"/>
      <c r="E3682"/>
      <c r="F3682"/>
      <c r="G3682"/>
    </row>
    <row r="3683" spans="1:7">
      <c r="A3683"/>
      <c r="B3683"/>
      <c r="C3683"/>
      <c r="D3683"/>
      <c r="E3683"/>
      <c r="F3683"/>
      <c r="G3683"/>
    </row>
    <row r="3684" spans="1:7">
      <c r="A3684"/>
      <c r="B3684"/>
      <c r="C3684"/>
      <c r="D3684"/>
      <c r="E3684"/>
      <c r="F3684"/>
      <c r="G3684"/>
    </row>
    <row r="3685" spans="1:7">
      <c r="A3685"/>
      <c r="B3685"/>
      <c r="C3685"/>
      <c r="D3685"/>
      <c r="E3685"/>
      <c r="F3685"/>
      <c r="G3685"/>
    </row>
    <row r="3686" spans="1:7">
      <c r="A3686"/>
      <c r="B3686"/>
      <c r="C3686"/>
      <c r="D3686"/>
      <c r="E3686"/>
      <c r="F3686"/>
      <c r="G3686"/>
    </row>
    <row r="3687" spans="1:7">
      <c r="A3687"/>
      <c r="B3687"/>
      <c r="C3687"/>
      <c r="D3687"/>
      <c r="E3687"/>
      <c r="F3687"/>
      <c r="G3687"/>
    </row>
    <row r="3688" spans="1:7">
      <c r="A3688"/>
      <c r="B3688"/>
      <c r="C3688"/>
      <c r="D3688"/>
      <c r="E3688"/>
      <c r="F3688"/>
      <c r="G3688"/>
    </row>
    <row r="3689" spans="1:7">
      <c r="A3689"/>
      <c r="B3689"/>
      <c r="C3689"/>
      <c r="D3689"/>
      <c r="E3689"/>
      <c r="F3689"/>
      <c r="G3689"/>
    </row>
    <row r="3690" spans="1:7">
      <c r="A3690"/>
      <c r="B3690"/>
      <c r="C3690"/>
      <c r="D3690"/>
      <c r="E3690"/>
      <c r="F3690"/>
      <c r="G3690"/>
    </row>
    <row r="3691" spans="1:7">
      <c r="A3691"/>
      <c r="B3691"/>
      <c r="C3691"/>
      <c r="D3691"/>
      <c r="E3691"/>
      <c r="F3691"/>
      <c r="G3691"/>
    </row>
    <row r="3692" spans="1:7">
      <c r="A3692"/>
      <c r="B3692"/>
      <c r="C3692"/>
      <c r="D3692"/>
      <c r="E3692"/>
      <c r="F3692"/>
      <c r="G3692"/>
    </row>
    <row r="3693" spans="1:7">
      <c r="A3693"/>
      <c r="B3693"/>
      <c r="C3693"/>
      <c r="D3693"/>
      <c r="E3693"/>
      <c r="F3693"/>
      <c r="G3693"/>
    </row>
    <row r="3694" spans="1:7">
      <c r="A3694"/>
      <c r="B3694"/>
      <c r="C3694"/>
      <c r="D3694"/>
      <c r="E3694"/>
      <c r="F3694"/>
      <c r="G3694"/>
    </row>
    <row r="3695" spans="1:7">
      <c r="A3695"/>
      <c r="B3695"/>
      <c r="C3695"/>
      <c r="D3695"/>
      <c r="E3695"/>
      <c r="F3695"/>
      <c r="G3695"/>
    </row>
    <row r="3696" spans="1:7">
      <c r="A3696"/>
      <c r="B3696"/>
      <c r="C3696"/>
      <c r="D3696"/>
      <c r="E3696"/>
      <c r="F3696"/>
      <c r="G3696"/>
    </row>
    <row r="3697" spans="1:7">
      <c r="A3697"/>
      <c r="B3697"/>
      <c r="C3697"/>
      <c r="D3697"/>
      <c r="E3697"/>
      <c r="F3697"/>
      <c r="G3697"/>
    </row>
    <row r="3698" spans="1:7">
      <c r="A3698"/>
      <c r="B3698"/>
      <c r="C3698"/>
      <c r="D3698"/>
      <c r="E3698"/>
      <c r="F3698"/>
      <c r="G3698"/>
    </row>
    <row r="3699" spans="1:7">
      <c r="A3699"/>
      <c r="B3699"/>
      <c r="C3699"/>
      <c r="D3699"/>
      <c r="E3699"/>
      <c r="F3699"/>
      <c r="G3699"/>
    </row>
    <row r="3700" spans="1:7">
      <c r="A3700"/>
      <c r="B3700"/>
      <c r="C3700"/>
      <c r="D3700"/>
      <c r="E3700"/>
      <c r="F3700"/>
      <c r="G3700"/>
    </row>
    <row r="3701" spans="1:7">
      <c r="A3701"/>
      <c r="B3701"/>
      <c r="C3701"/>
      <c r="D3701"/>
      <c r="E3701"/>
      <c r="F3701"/>
      <c r="G3701"/>
    </row>
    <row r="3702" spans="1:7">
      <c r="A3702"/>
      <c r="B3702"/>
      <c r="C3702"/>
      <c r="D3702"/>
      <c r="E3702"/>
      <c r="F3702"/>
      <c r="G3702"/>
    </row>
    <row r="3703" spans="1:7">
      <c r="A3703"/>
      <c r="B3703"/>
      <c r="C3703"/>
      <c r="D3703"/>
      <c r="E3703"/>
      <c r="F3703"/>
      <c r="G3703"/>
    </row>
    <row r="3704" spans="1:7">
      <c r="A3704"/>
      <c r="B3704"/>
      <c r="C3704"/>
      <c r="D3704"/>
      <c r="E3704"/>
      <c r="F3704"/>
      <c r="G3704"/>
    </row>
    <row r="3705" spans="1:7">
      <c r="A3705"/>
      <c r="B3705"/>
      <c r="C3705"/>
      <c r="D3705"/>
      <c r="E3705"/>
      <c r="F3705"/>
      <c r="G3705"/>
    </row>
    <row r="3706" spans="1:7">
      <c r="A3706"/>
      <c r="B3706"/>
      <c r="C3706"/>
      <c r="D3706"/>
      <c r="E3706"/>
      <c r="F3706"/>
      <c r="G3706"/>
    </row>
    <row r="3707" spans="1:7">
      <c r="A3707"/>
      <c r="B3707"/>
      <c r="C3707"/>
      <c r="D3707"/>
      <c r="E3707"/>
      <c r="F3707"/>
      <c r="G3707"/>
    </row>
    <row r="3708" spans="1:7">
      <c r="A3708"/>
      <c r="B3708"/>
      <c r="C3708"/>
      <c r="D3708"/>
      <c r="E3708"/>
      <c r="F3708"/>
      <c r="G3708"/>
    </row>
    <row r="3709" spans="1:7">
      <c r="A3709"/>
      <c r="B3709"/>
      <c r="C3709"/>
      <c r="D3709"/>
      <c r="E3709"/>
      <c r="F3709"/>
      <c r="G3709"/>
    </row>
    <row r="3710" spans="1:7">
      <c r="A3710"/>
      <c r="B3710"/>
      <c r="C3710"/>
      <c r="D3710"/>
      <c r="E3710"/>
      <c r="F3710"/>
      <c r="G3710"/>
    </row>
    <row r="3711" spans="1:7">
      <c r="A3711"/>
      <c r="B3711"/>
      <c r="C3711"/>
      <c r="D3711"/>
      <c r="E3711"/>
      <c r="F3711"/>
      <c r="G3711"/>
    </row>
    <row r="3712" spans="1:7">
      <c r="A3712"/>
      <c r="B3712"/>
      <c r="C3712"/>
      <c r="D3712"/>
      <c r="E3712"/>
      <c r="F3712"/>
      <c r="G3712"/>
    </row>
    <row r="3713" spans="1:7">
      <c r="A3713"/>
      <c r="B3713"/>
      <c r="C3713"/>
      <c r="D3713"/>
      <c r="E3713"/>
      <c r="F3713"/>
      <c r="G3713"/>
    </row>
    <row r="3714" spans="1:7">
      <c r="A3714"/>
      <c r="B3714"/>
      <c r="C3714"/>
      <c r="D3714"/>
      <c r="E3714"/>
      <c r="F3714"/>
      <c r="G3714"/>
    </row>
    <row r="3715" spans="1:7">
      <c r="A3715"/>
      <c r="B3715"/>
      <c r="C3715"/>
      <c r="D3715"/>
      <c r="E3715"/>
      <c r="F3715"/>
      <c r="G3715"/>
    </row>
    <row r="3716" spans="1:7">
      <c r="A3716"/>
      <c r="B3716"/>
      <c r="C3716"/>
      <c r="D3716"/>
      <c r="E3716"/>
      <c r="F3716"/>
      <c r="G3716"/>
    </row>
    <row r="3717" spans="1:7">
      <c r="A3717"/>
      <c r="B3717"/>
      <c r="C3717"/>
      <c r="D3717"/>
      <c r="E3717"/>
      <c r="F3717"/>
      <c r="G3717"/>
    </row>
    <row r="3718" spans="1:7">
      <c r="A3718"/>
      <c r="B3718"/>
      <c r="C3718"/>
      <c r="D3718"/>
      <c r="E3718"/>
      <c r="F3718"/>
      <c r="G3718"/>
    </row>
    <row r="3719" spans="1:7">
      <c r="A3719"/>
      <c r="B3719"/>
      <c r="C3719"/>
      <c r="D3719"/>
      <c r="E3719"/>
      <c r="F3719"/>
      <c r="G3719"/>
    </row>
    <row r="3720" spans="1:7">
      <c r="A3720"/>
      <c r="B3720"/>
      <c r="C3720"/>
      <c r="D3720"/>
      <c r="E3720"/>
      <c r="F3720"/>
      <c r="G3720"/>
    </row>
    <row r="3721" spans="1:7">
      <c r="A3721"/>
      <c r="B3721"/>
      <c r="C3721"/>
      <c r="D3721"/>
      <c r="E3721"/>
      <c r="F3721"/>
      <c r="G3721"/>
    </row>
    <row r="3722" spans="1:7">
      <c r="A3722"/>
      <c r="B3722"/>
      <c r="C3722"/>
      <c r="D3722"/>
      <c r="E3722"/>
      <c r="F3722"/>
      <c r="G3722"/>
    </row>
    <row r="3723" spans="1:7">
      <c r="A3723"/>
      <c r="B3723"/>
      <c r="C3723"/>
      <c r="D3723"/>
      <c r="E3723"/>
      <c r="F3723"/>
      <c r="G3723"/>
    </row>
    <row r="3724" spans="1:7">
      <c r="A3724"/>
      <c r="B3724"/>
      <c r="C3724"/>
      <c r="D3724"/>
      <c r="E3724"/>
      <c r="F3724"/>
      <c r="G3724"/>
    </row>
    <row r="3725" spans="1:7">
      <c r="A3725"/>
      <c r="B3725"/>
      <c r="C3725"/>
      <c r="D3725"/>
      <c r="E3725"/>
      <c r="F3725"/>
      <c r="G3725"/>
    </row>
    <row r="3726" spans="1:7">
      <c r="A3726"/>
      <c r="B3726"/>
      <c r="C3726"/>
      <c r="D3726"/>
      <c r="E3726"/>
      <c r="F3726"/>
      <c r="G3726"/>
    </row>
    <row r="3727" spans="1:7">
      <c r="A3727"/>
      <c r="B3727"/>
      <c r="C3727"/>
      <c r="D3727"/>
      <c r="E3727"/>
      <c r="F3727"/>
      <c r="G3727"/>
    </row>
    <row r="3728" spans="1:7">
      <c r="A3728"/>
      <c r="B3728"/>
      <c r="C3728"/>
      <c r="D3728"/>
      <c r="E3728"/>
      <c r="F3728"/>
      <c r="G3728"/>
    </row>
    <row r="3729" spans="1:7">
      <c r="A3729"/>
      <c r="B3729"/>
      <c r="C3729"/>
      <c r="D3729"/>
      <c r="E3729"/>
      <c r="F3729"/>
      <c r="G3729"/>
    </row>
    <row r="3730" spans="1:7">
      <c r="A3730"/>
      <c r="B3730"/>
      <c r="C3730"/>
      <c r="D3730"/>
      <c r="E3730"/>
      <c r="F3730"/>
      <c r="G3730"/>
    </row>
    <row r="3731" spans="1:7">
      <c r="A3731"/>
      <c r="B3731"/>
      <c r="C3731"/>
      <c r="D3731"/>
      <c r="E3731"/>
      <c r="F3731"/>
      <c r="G3731"/>
    </row>
    <row r="3732" spans="1:7">
      <c r="A3732"/>
      <c r="B3732"/>
      <c r="C3732"/>
      <c r="D3732"/>
      <c r="E3732"/>
      <c r="F3732"/>
      <c r="G3732"/>
    </row>
    <row r="3733" spans="1:7">
      <c r="A3733"/>
      <c r="B3733"/>
      <c r="C3733"/>
      <c r="D3733"/>
      <c r="E3733"/>
      <c r="F3733"/>
      <c r="G3733"/>
    </row>
    <row r="3734" spans="1:7">
      <c r="A3734"/>
      <c r="B3734"/>
      <c r="C3734"/>
      <c r="D3734"/>
      <c r="E3734"/>
      <c r="F3734"/>
      <c r="G3734"/>
    </row>
    <row r="3735" spans="1:7">
      <c r="A3735"/>
      <c r="B3735"/>
      <c r="C3735"/>
      <c r="D3735"/>
      <c r="E3735"/>
      <c r="F3735"/>
      <c r="G3735"/>
    </row>
    <row r="3736" spans="1:7">
      <c r="A3736"/>
      <c r="B3736"/>
      <c r="C3736"/>
      <c r="D3736"/>
      <c r="E3736"/>
      <c r="F3736"/>
      <c r="G3736"/>
    </row>
    <row r="3737" spans="1:7">
      <c r="A3737"/>
      <c r="B3737"/>
      <c r="C3737"/>
      <c r="D3737"/>
      <c r="E3737"/>
      <c r="F3737"/>
      <c r="G3737"/>
    </row>
    <row r="3738" spans="1:7">
      <c r="A3738"/>
      <c r="B3738"/>
      <c r="C3738"/>
      <c r="D3738"/>
      <c r="E3738"/>
      <c r="F3738"/>
      <c r="G3738"/>
    </row>
    <row r="3739" spans="1:7">
      <c r="A3739"/>
      <c r="B3739"/>
      <c r="C3739"/>
      <c r="D3739"/>
      <c r="E3739"/>
      <c r="F3739"/>
      <c r="G3739"/>
    </row>
    <row r="3740" spans="1:7">
      <c r="A3740"/>
      <c r="B3740"/>
      <c r="C3740"/>
      <c r="D3740"/>
      <c r="E3740"/>
      <c r="F3740"/>
      <c r="G3740"/>
    </row>
    <row r="3741" spans="1:7">
      <c r="A3741"/>
      <c r="B3741"/>
      <c r="C3741"/>
      <c r="D3741"/>
      <c r="E3741"/>
      <c r="F3741"/>
      <c r="G3741"/>
    </row>
    <row r="3742" spans="1:7">
      <c r="A3742"/>
      <c r="B3742"/>
      <c r="C3742"/>
      <c r="D3742"/>
      <c r="E3742"/>
      <c r="F3742"/>
      <c r="G3742"/>
    </row>
    <row r="3743" spans="1:7">
      <c r="A3743"/>
      <c r="B3743"/>
      <c r="C3743"/>
      <c r="D3743"/>
      <c r="E3743"/>
      <c r="F3743"/>
      <c r="G3743"/>
    </row>
    <row r="3744" spans="1:7">
      <c r="A3744"/>
      <c r="B3744"/>
      <c r="C3744"/>
      <c r="D3744"/>
      <c r="E3744"/>
      <c r="F3744"/>
      <c r="G3744"/>
    </row>
    <row r="3745" spans="1:7">
      <c r="A3745"/>
      <c r="B3745"/>
      <c r="C3745"/>
      <c r="D3745"/>
      <c r="E3745"/>
      <c r="F3745"/>
      <c r="G3745"/>
    </row>
    <row r="3746" spans="1:7">
      <c r="A3746"/>
      <c r="B3746"/>
      <c r="C3746"/>
      <c r="D3746"/>
      <c r="E3746"/>
      <c r="F3746"/>
      <c r="G3746"/>
    </row>
    <row r="3747" spans="1:7">
      <c r="A3747"/>
      <c r="B3747"/>
      <c r="C3747"/>
      <c r="D3747"/>
      <c r="E3747"/>
      <c r="F3747"/>
      <c r="G3747"/>
    </row>
    <row r="3748" spans="1:7">
      <c r="A3748"/>
      <c r="B3748"/>
      <c r="C3748"/>
      <c r="D3748"/>
      <c r="E3748"/>
      <c r="F3748"/>
      <c r="G3748"/>
    </row>
    <row r="3749" spans="1:7">
      <c r="A3749"/>
      <c r="B3749"/>
      <c r="C3749"/>
      <c r="D3749"/>
      <c r="E3749"/>
      <c r="F3749"/>
      <c r="G3749"/>
    </row>
    <row r="3750" spans="1:7">
      <c r="A3750"/>
      <c r="B3750"/>
      <c r="C3750"/>
      <c r="D3750"/>
      <c r="E3750"/>
      <c r="F3750"/>
      <c r="G3750"/>
    </row>
    <row r="3751" spans="1:7">
      <c r="A3751"/>
      <c r="B3751"/>
      <c r="C3751"/>
      <c r="D3751"/>
      <c r="E3751"/>
      <c r="F3751"/>
      <c r="G3751"/>
    </row>
    <row r="3752" spans="1:7">
      <c r="A3752"/>
      <c r="B3752"/>
      <c r="C3752"/>
      <c r="D3752"/>
      <c r="E3752"/>
      <c r="F3752"/>
      <c r="G3752"/>
    </row>
    <row r="3753" spans="1:7">
      <c r="A3753"/>
      <c r="B3753"/>
      <c r="C3753"/>
      <c r="D3753"/>
      <c r="E3753"/>
      <c r="F3753"/>
      <c r="G3753"/>
    </row>
    <row r="3754" spans="1:7">
      <c r="A3754"/>
      <c r="B3754"/>
      <c r="C3754"/>
      <c r="D3754"/>
      <c r="E3754"/>
      <c r="F3754"/>
      <c r="G3754"/>
    </row>
    <row r="3755" spans="1:7">
      <c r="A3755"/>
      <c r="B3755"/>
      <c r="C3755"/>
      <c r="D3755"/>
      <c r="E3755"/>
      <c r="F3755"/>
      <c r="G3755"/>
    </row>
    <row r="3756" spans="1:7">
      <c r="A3756"/>
      <c r="B3756"/>
      <c r="C3756"/>
      <c r="D3756"/>
      <c r="E3756"/>
      <c r="F3756"/>
      <c r="G3756"/>
    </row>
    <row r="3757" spans="1:7">
      <c r="A3757"/>
      <c r="B3757"/>
      <c r="C3757"/>
      <c r="D3757"/>
      <c r="E3757"/>
      <c r="F3757"/>
      <c r="G3757"/>
    </row>
    <row r="3758" spans="1:7">
      <c r="A3758"/>
      <c r="B3758"/>
      <c r="C3758"/>
      <c r="D3758"/>
      <c r="E3758"/>
      <c r="F3758"/>
      <c r="G3758"/>
    </row>
    <row r="3759" spans="1:7">
      <c r="A3759"/>
      <c r="B3759"/>
      <c r="C3759"/>
      <c r="D3759"/>
      <c r="E3759"/>
      <c r="F3759"/>
      <c r="G3759"/>
    </row>
    <row r="3760" spans="1:7">
      <c r="A3760"/>
      <c r="B3760"/>
      <c r="C3760"/>
      <c r="D3760"/>
      <c r="E3760"/>
      <c r="F3760"/>
      <c r="G3760"/>
    </row>
    <row r="3761" spans="1:7">
      <c r="A3761"/>
      <c r="B3761"/>
      <c r="C3761"/>
      <c r="D3761"/>
      <c r="E3761"/>
      <c r="F3761"/>
      <c r="G3761"/>
    </row>
    <row r="3762" spans="1:7">
      <c r="A3762"/>
      <c r="B3762"/>
      <c r="C3762"/>
      <c r="D3762"/>
      <c r="E3762"/>
      <c r="F3762"/>
      <c r="G3762"/>
    </row>
    <row r="3763" spans="1:7">
      <c r="A3763"/>
      <c r="B3763"/>
      <c r="C3763"/>
      <c r="D3763"/>
      <c r="E3763"/>
      <c r="F3763"/>
      <c r="G3763"/>
    </row>
    <row r="3764" spans="1:7">
      <c r="A3764"/>
      <c r="B3764"/>
      <c r="C3764"/>
      <c r="D3764"/>
      <c r="E3764"/>
      <c r="F3764"/>
      <c r="G3764"/>
    </row>
    <row r="3765" spans="1:7">
      <c r="A3765"/>
      <c r="B3765"/>
      <c r="C3765"/>
      <c r="D3765"/>
      <c r="E3765"/>
      <c r="F3765"/>
      <c r="G3765"/>
    </row>
    <row r="3766" spans="1:7">
      <c r="A3766"/>
      <c r="B3766"/>
      <c r="C3766"/>
      <c r="D3766"/>
      <c r="E3766"/>
      <c r="F3766"/>
      <c r="G3766"/>
    </row>
    <row r="3767" spans="1:7">
      <c r="A3767"/>
      <c r="B3767"/>
      <c r="C3767"/>
      <c r="D3767"/>
      <c r="E3767"/>
      <c r="F3767"/>
      <c r="G3767"/>
    </row>
    <row r="3768" spans="1:7">
      <c r="A3768"/>
      <c r="B3768"/>
      <c r="C3768"/>
      <c r="D3768"/>
      <c r="E3768"/>
      <c r="F3768"/>
      <c r="G3768"/>
    </row>
    <row r="3769" spans="1:7">
      <c r="A3769"/>
      <c r="B3769"/>
      <c r="C3769"/>
      <c r="D3769"/>
      <c r="E3769"/>
      <c r="F3769"/>
      <c r="G3769"/>
    </row>
    <row r="3770" spans="1:7">
      <c r="A3770"/>
      <c r="B3770"/>
      <c r="C3770"/>
      <c r="D3770"/>
      <c r="E3770"/>
      <c r="F3770"/>
      <c r="G3770"/>
    </row>
    <row r="3771" spans="1:7">
      <c r="A3771"/>
      <c r="B3771"/>
      <c r="C3771"/>
      <c r="D3771"/>
      <c r="E3771"/>
      <c r="F3771"/>
      <c r="G3771"/>
    </row>
    <row r="3772" spans="1:7">
      <c r="A3772"/>
      <c r="B3772"/>
      <c r="C3772"/>
      <c r="D3772"/>
      <c r="E3772"/>
      <c r="F3772"/>
      <c r="G3772"/>
    </row>
    <row r="3773" spans="1:7">
      <c r="A3773"/>
      <c r="B3773"/>
      <c r="C3773"/>
      <c r="D3773"/>
      <c r="E3773"/>
      <c r="F3773"/>
      <c r="G3773"/>
    </row>
    <row r="3774" spans="1:7">
      <c r="A3774"/>
      <c r="B3774"/>
      <c r="C3774"/>
      <c r="D3774"/>
      <c r="E3774"/>
      <c r="F3774"/>
      <c r="G3774"/>
    </row>
    <row r="3775" spans="1:7">
      <c r="A3775"/>
      <c r="B3775"/>
      <c r="C3775"/>
      <c r="D3775"/>
      <c r="E3775"/>
      <c r="F3775"/>
      <c r="G3775"/>
    </row>
    <row r="3776" spans="1:7">
      <c r="A3776"/>
      <c r="B3776"/>
      <c r="C3776"/>
      <c r="D3776"/>
      <c r="E3776"/>
      <c r="F3776"/>
      <c r="G3776"/>
    </row>
    <row r="3777" spans="1:7">
      <c r="A3777"/>
      <c r="B3777"/>
      <c r="C3777"/>
      <c r="D3777"/>
      <c r="E3777"/>
      <c r="F3777"/>
      <c r="G3777"/>
    </row>
    <row r="3778" spans="1:7">
      <c r="A3778"/>
      <c r="B3778"/>
      <c r="C3778"/>
      <c r="D3778"/>
      <c r="E3778"/>
      <c r="F3778"/>
      <c r="G3778"/>
    </row>
    <row r="3779" spans="1:7">
      <c r="A3779"/>
      <c r="B3779"/>
      <c r="C3779"/>
      <c r="D3779"/>
      <c r="E3779"/>
      <c r="F3779"/>
      <c r="G3779"/>
    </row>
    <row r="3780" spans="1:7">
      <c r="A3780"/>
      <c r="B3780"/>
      <c r="C3780"/>
      <c r="D3780"/>
      <c r="E3780"/>
      <c r="F3780"/>
      <c r="G3780"/>
    </row>
    <row r="3781" spans="1:7">
      <c r="A3781"/>
      <c r="B3781"/>
      <c r="C3781"/>
      <c r="D3781"/>
      <c r="E3781"/>
      <c r="F3781"/>
      <c r="G3781"/>
    </row>
    <row r="3782" spans="1:7">
      <c r="A3782"/>
      <c r="B3782"/>
      <c r="C3782"/>
      <c r="D3782"/>
      <c r="E3782"/>
      <c r="F3782"/>
      <c r="G3782"/>
    </row>
    <row r="3783" spans="1:7">
      <c r="A3783"/>
      <c r="B3783"/>
      <c r="C3783"/>
      <c r="D3783"/>
      <c r="E3783"/>
      <c r="F3783"/>
      <c r="G3783"/>
    </row>
    <row r="3784" spans="1:7">
      <c r="A3784"/>
      <c r="B3784"/>
      <c r="C3784"/>
      <c r="D3784"/>
      <c r="E3784"/>
      <c r="F3784"/>
      <c r="G3784"/>
    </row>
    <row r="3785" spans="1:7">
      <c r="A3785"/>
      <c r="B3785"/>
      <c r="C3785"/>
      <c r="D3785"/>
      <c r="E3785"/>
      <c r="F3785"/>
      <c r="G3785"/>
    </row>
    <row r="3786" spans="1:7">
      <c r="A3786"/>
      <c r="B3786"/>
      <c r="C3786"/>
      <c r="D3786"/>
      <c r="E3786"/>
      <c r="F3786"/>
      <c r="G3786"/>
    </row>
    <row r="3787" spans="1:7">
      <c r="A3787"/>
      <c r="B3787"/>
      <c r="C3787"/>
      <c r="D3787"/>
      <c r="E3787"/>
      <c r="F3787"/>
      <c r="G3787"/>
    </row>
    <row r="3788" spans="1:7">
      <c r="A3788"/>
      <c r="B3788"/>
      <c r="C3788"/>
      <c r="D3788"/>
      <c r="E3788"/>
      <c r="F3788"/>
      <c r="G3788"/>
    </row>
    <row r="3789" spans="1:7">
      <c r="A3789"/>
      <c r="B3789"/>
      <c r="C3789"/>
      <c r="D3789"/>
      <c r="E3789"/>
      <c r="F3789"/>
      <c r="G3789"/>
    </row>
    <row r="3790" spans="1:7">
      <c r="A3790"/>
      <c r="B3790"/>
      <c r="C3790"/>
      <c r="D3790"/>
      <c r="E3790"/>
      <c r="F3790"/>
      <c r="G3790"/>
    </row>
    <row r="3791" spans="1:7">
      <c r="A3791"/>
      <c r="B3791"/>
      <c r="C3791"/>
      <c r="D3791"/>
      <c r="E3791"/>
      <c r="F3791"/>
      <c r="G3791"/>
    </row>
    <row r="3792" spans="1:7">
      <c r="A3792"/>
      <c r="B3792"/>
      <c r="C3792"/>
      <c r="D3792"/>
      <c r="E3792"/>
      <c r="F3792"/>
      <c r="G3792"/>
    </row>
    <row r="3793" spans="1:7">
      <c r="A3793"/>
      <c r="B3793"/>
      <c r="C3793"/>
      <c r="D3793"/>
      <c r="E3793"/>
      <c r="F3793"/>
      <c r="G3793"/>
    </row>
    <row r="3794" spans="1:7">
      <c r="A3794"/>
      <c r="B3794"/>
      <c r="C3794"/>
      <c r="D3794"/>
      <c r="E3794"/>
      <c r="F3794"/>
      <c r="G3794"/>
    </row>
    <row r="3795" spans="1:7">
      <c r="A3795"/>
      <c r="B3795"/>
      <c r="C3795"/>
      <c r="D3795"/>
      <c r="E3795"/>
      <c r="F3795"/>
      <c r="G3795"/>
    </row>
    <row r="3796" spans="1:7">
      <c r="A3796"/>
      <c r="B3796"/>
      <c r="C3796"/>
      <c r="D3796"/>
      <c r="E3796"/>
      <c r="F3796"/>
      <c r="G3796"/>
    </row>
    <row r="3797" spans="1:7">
      <c r="A3797"/>
      <c r="B3797"/>
      <c r="C3797"/>
      <c r="D3797"/>
      <c r="E3797"/>
      <c r="F3797"/>
      <c r="G3797"/>
    </row>
    <row r="3798" spans="1:7">
      <c r="A3798"/>
      <c r="B3798"/>
      <c r="C3798"/>
      <c r="D3798"/>
      <c r="E3798"/>
      <c r="F3798"/>
      <c r="G3798"/>
    </row>
    <row r="3799" spans="1:7">
      <c r="A3799"/>
      <c r="B3799"/>
      <c r="C3799"/>
      <c r="D3799"/>
      <c r="E3799"/>
      <c r="F3799"/>
      <c r="G3799"/>
    </row>
    <row r="3800" spans="1:7">
      <c r="A3800"/>
      <c r="B3800"/>
      <c r="C3800"/>
      <c r="D3800"/>
      <c r="E3800"/>
      <c r="F3800"/>
      <c r="G3800"/>
    </row>
    <row r="3801" spans="1:7">
      <c r="A3801"/>
      <c r="B3801"/>
      <c r="C3801"/>
      <c r="D3801"/>
      <c r="E3801"/>
      <c r="F3801"/>
      <c r="G3801"/>
    </row>
    <row r="3802" spans="1:7">
      <c r="A3802"/>
      <c r="B3802"/>
      <c r="C3802"/>
      <c r="D3802"/>
      <c r="E3802"/>
      <c r="F3802"/>
      <c r="G3802"/>
    </row>
    <row r="3803" spans="1:7">
      <c r="A3803"/>
      <c r="B3803"/>
      <c r="C3803"/>
      <c r="D3803"/>
      <c r="E3803"/>
      <c r="F3803"/>
      <c r="G3803"/>
    </row>
    <row r="3804" spans="1:7">
      <c r="A3804"/>
      <c r="B3804"/>
      <c r="C3804"/>
      <c r="D3804"/>
      <c r="E3804"/>
      <c r="F3804"/>
      <c r="G3804"/>
    </row>
    <row r="3805" spans="1:7">
      <c r="A3805"/>
      <c r="B3805"/>
      <c r="C3805"/>
      <c r="D3805"/>
      <c r="E3805"/>
      <c r="F3805"/>
      <c r="G3805"/>
    </row>
    <row r="3806" spans="1:7">
      <c r="A3806"/>
      <c r="B3806"/>
      <c r="C3806"/>
      <c r="D3806"/>
      <c r="E3806"/>
      <c r="F3806"/>
      <c r="G3806"/>
    </row>
    <row r="3807" spans="1:7">
      <c r="A3807"/>
      <c r="B3807"/>
      <c r="C3807"/>
      <c r="D3807"/>
      <c r="E3807"/>
      <c r="F3807"/>
      <c r="G3807"/>
    </row>
    <row r="3808" spans="1:7">
      <c r="A3808"/>
      <c r="B3808"/>
      <c r="C3808"/>
      <c r="D3808"/>
      <c r="E3808"/>
      <c r="F3808"/>
      <c r="G3808"/>
    </row>
    <row r="3809" spans="1:7">
      <c r="A3809"/>
      <c r="B3809"/>
      <c r="C3809"/>
      <c r="D3809"/>
      <c r="E3809"/>
      <c r="F3809"/>
      <c r="G3809"/>
    </row>
    <row r="3810" spans="1:7">
      <c r="A3810"/>
      <c r="B3810"/>
      <c r="C3810"/>
      <c r="D3810"/>
      <c r="E3810"/>
      <c r="F3810"/>
      <c r="G3810"/>
    </row>
    <row r="3811" spans="1:7">
      <c r="A3811"/>
      <c r="B3811"/>
      <c r="C3811"/>
      <c r="D3811"/>
      <c r="E3811"/>
      <c r="F3811"/>
      <c r="G3811"/>
    </row>
    <row r="3812" spans="1:7">
      <c r="A3812"/>
      <c r="B3812"/>
      <c r="C3812"/>
      <c r="D3812"/>
      <c r="E3812"/>
      <c r="F3812"/>
      <c r="G3812"/>
    </row>
    <row r="3813" spans="1:7">
      <c r="A3813"/>
      <c r="B3813"/>
      <c r="C3813"/>
      <c r="D3813"/>
      <c r="E3813"/>
      <c r="F3813"/>
      <c r="G3813"/>
    </row>
    <row r="3814" spans="1:7">
      <c r="A3814"/>
      <c r="B3814"/>
      <c r="C3814"/>
      <c r="D3814"/>
      <c r="E3814"/>
      <c r="F3814"/>
      <c r="G3814"/>
    </row>
    <row r="3815" spans="1:7">
      <c r="A3815"/>
      <c r="B3815"/>
      <c r="C3815"/>
      <c r="D3815"/>
      <c r="E3815"/>
      <c r="F3815"/>
      <c r="G3815"/>
    </row>
    <row r="3816" spans="1:7">
      <c r="A3816"/>
      <c r="B3816"/>
      <c r="C3816"/>
      <c r="D3816"/>
      <c r="E3816"/>
      <c r="F3816"/>
      <c r="G3816"/>
    </row>
    <row r="3817" spans="1:7">
      <c r="A3817"/>
      <c r="B3817"/>
      <c r="C3817"/>
      <c r="D3817"/>
      <c r="E3817"/>
      <c r="F3817"/>
      <c r="G3817"/>
    </row>
    <row r="3818" spans="1:7">
      <c r="A3818"/>
      <c r="B3818"/>
      <c r="C3818"/>
      <c r="D3818"/>
      <c r="E3818"/>
      <c r="F3818"/>
      <c r="G3818"/>
    </row>
    <row r="3819" spans="1:7">
      <c r="A3819"/>
      <c r="B3819"/>
      <c r="C3819"/>
      <c r="D3819"/>
      <c r="E3819"/>
      <c r="F3819"/>
      <c r="G3819"/>
    </row>
    <row r="3820" spans="1:7">
      <c r="A3820"/>
      <c r="B3820"/>
      <c r="C3820"/>
      <c r="D3820"/>
      <c r="E3820"/>
      <c r="F3820"/>
      <c r="G3820"/>
    </row>
    <row r="3821" spans="1:7">
      <c r="A3821"/>
      <c r="B3821"/>
      <c r="C3821"/>
      <c r="D3821"/>
      <c r="E3821"/>
      <c r="F3821"/>
      <c r="G3821"/>
    </row>
    <row r="3822" spans="1:7">
      <c r="A3822"/>
      <c r="B3822"/>
      <c r="C3822"/>
      <c r="D3822"/>
      <c r="E3822"/>
      <c r="F3822"/>
      <c r="G3822"/>
    </row>
    <row r="3823" spans="1:7">
      <c r="A3823"/>
      <c r="B3823"/>
      <c r="C3823"/>
      <c r="D3823"/>
      <c r="E3823"/>
      <c r="F3823"/>
      <c r="G3823"/>
    </row>
    <row r="3824" spans="1:7">
      <c r="A3824"/>
      <c r="B3824"/>
      <c r="C3824"/>
      <c r="D3824"/>
      <c r="E3824"/>
      <c r="F3824"/>
      <c r="G3824"/>
    </row>
    <row r="3825" spans="1:7">
      <c r="A3825"/>
      <c r="B3825"/>
      <c r="C3825"/>
      <c r="D3825"/>
      <c r="E3825"/>
      <c r="F3825"/>
      <c r="G3825"/>
    </row>
    <row r="3826" spans="1:7">
      <c r="A3826"/>
      <c r="B3826"/>
      <c r="C3826"/>
      <c r="D3826"/>
      <c r="E3826"/>
      <c r="F3826"/>
      <c r="G3826"/>
    </row>
    <row r="3827" spans="1:7">
      <c r="A3827"/>
      <c r="B3827"/>
      <c r="C3827"/>
      <c r="D3827"/>
      <c r="E3827"/>
      <c r="F3827"/>
      <c r="G3827"/>
    </row>
    <row r="3828" spans="1:7">
      <c r="A3828"/>
      <c r="B3828"/>
      <c r="C3828"/>
      <c r="D3828"/>
      <c r="E3828"/>
      <c r="F3828"/>
      <c r="G3828"/>
    </row>
    <row r="3829" spans="1:7">
      <c r="A3829"/>
      <c r="B3829"/>
      <c r="C3829"/>
      <c r="D3829"/>
      <c r="E3829"/>
      <c r="F3829"/>
      <c r="G3829"/>
    </row>
    <row r="3830" spans="1:7">
      <c r="A3830"/>
      <c r="B3830"/>
      <c r="C3830"/>
      <c r="D3830"/>
      <c r="E3830"/>
      <c r="F3830"/>
      <c r="G3830"/>
    </row>
    <row r="3831" spans="1:7">
      <c r="A3831"/>
      <c r="B3831"/>
      <c r="C3831"/>
      <c r="D3831"/>
      <c r="E3831"/>
      <c r="F3831"/>
      <c r="G3831"/>
    </row>
    <row r="3832" spans="1:7">
      <c r="A3832"/>
      <c r="B3832"/>
      <c r="C3832"/>
      <c r="D3832"/>
      <c r="E3832"/>
      <c r="F3832"/>
      <c r="G3832"/>
    </row>
    <row r="3833" spans="1:7">
      <c r="A3833"/>
      <c r="B3833"/>
      <c r="C3833"/>
      <c r="D3833"/>
      <c r="E3833"/>
      <c r="F3833"/>
      <c r="G3833"/>
    </row>
    <row r="3834" spans="1:7">
      <c r="A3834"/>
      <c r="B3834"/>
      <c r="C3834"/>
      <c r="D3834"/>
      <c r="E3834"/>
      <c r="F3834"/>
      <c r="G3834"/>
    </row>
    <row r="3835" spans="1:7">
      <c r="A3835"/>
      <c r="B3835"/>
      <c r="C3835"/>
      <c r="D3835"/>
      <c r="E3835"/>
      <c r="F3835"/>
      <c r="G3835"/>
    </row>
    <row r="3836" spans="1:7">
      <c r="A3836"/>
      <c r="B3836"/>
      <c r="C3836"/>
      <c r="D3836"/>
      <c r="E3836"/>
      <c r="F3836"/>
      <c r="G3836"/>
    </row>
    <row r="3837" spans="1:7">
      <c r="A3837"/>
      <c r="B3837"/>
      <c r="C3837"/>
      <c r="D3837"/>
      <c r="E3837"/>
      <c r="F3837"/>
      <c r="G3837"/>
    </row>
    <row r="3838" spans="1:7">
      <c r="A3838"/>
      <c r="B3838"/>
      <c r="C3838"/>
      <c r="D3838"/>
      <c r="E3838"/>
      <c r="F3838"/>
      <c r="G3838"/>
    </row>
    <row r="3839" spans="1:7">
      <c r="A3839"/>
      <c r="B3839"/>
      <c r="C3839"/>
      <c r="D3839"/>
      <c r="E3839"/>
      <c r="F3839"/>
      <c r="G3839"/>
    </row>
    <row r="3840" spans="1:7">
      <c r="A3840"/>
      <c r="B3840"/>
      <c r="C3840"/>
      <c r="D3840"/>
      <c r="E3840"/>
      <c r="F3840"/>
      <c r="G3840"/>
    </row>
    <row r="3841" spans="1:7">
      <c r="A3841"/>
      <c r="B3841"/>
      <c r="C3841"/>
      <c r="D3841"/>
      <c r="E3841"/>
      <c r="F3841"/>
      <c r="G3841"/>
    </row>
    <row r="3842" spans="1:7">
      <c r="A3842"/>
      <c r="B3842"/>
      <c r="C3842"/>
      <c r="D3842"/>
      <c r="E3842"/>
      <c r="F3842"/>
      <c r="G3842"/>
    </row>
    <row r="3843" spans="1:7">
      <c r="A3843"/>
      <c r="B3843"/>
      <c r="C3843"/>
      <c r="D3843"/>
      <c r="E3843"/>
      <c r="F3843"/>
      <c r="G3843"/>
    </row>
    <row r="3844" spans="1:7">
      <c r="A3844"/>
      <c r="B3844"/>
      <c r="C3844"/>
      <c r="D3844"/>
      <c r="E3844"/>
      <c r="F3844"/>
      <c r="G3844"/>
    </row>
    <row r="3845" spans="1:7">
      <c r="A3845"/>
      <c r="B3845"/>
      <c r="C3845"/>
      <c r="D3845"/>
      <c r="E3845"/>
      <c r="F3845"/>
      <c r="G3845"/>
    </row>
    <row r="3846" spans="1:7">
      <c r="A3846"/>
      <c r="B3846"/>
      <c r="C3846"/>
      <c r="D3846"/>
      <c r="E3846"/>
      <c r="F3846"/>
      <c r="G3846"/>
    </row>
    <row r="3847" spans="1:7">
      <c r="A3847"/>
      <c r="B3847"/>
      <c r="C3847"/>
      <c r="D3847"/>
      <c r="E3847"/>
      <c r="F3847"/>
      <c r="G3847"/>
    </row>
    <row r="3848" spans="1:7">
      <c r="A3848"/>
      <c r="B3848"/>
      <c r="C3848"/>
      <c r="D3848"/>
      <c r="E3848"/>
      <c r="F3848"/>
      <c r="G3848"/>
    </row>
    <row r="3849" spans="1:7">
      <c r="A3849"/>
      <c r="B3849"/>
      <c r="C3849"/>
      <c r="D3849"/>
      <c r="E3849"/>
      <c r="F3849"/>
      <c r="G3849"/>
    </row>
    <row r="3850" spans="1:7">
      <c r="A3850"/>
      <c r="B3850"/>
      <c r="C3850"/>
      <c r="D3850"/>
      <c r="E3850"/>
      <c r="F3850"/>
      <c r="G3850"/>
    </row>
    <row r="3851" spans="1:7">
      <c r="A3851"/>
      <c r="B3851"/>
      <c r="C3851"/>
      <c r="D3851"/>
      <c r="E3851"/>
      <c r="F3851"/>
      <c r="G3851"/>
    </row>
    <row r="3852" spans="1:7">
      <c r="A3852"/>
      <c r="B3852"/>
      <c r="C3852"/>
      <c r="D3852"/>
      <c r="E3852"/>
      <c r="F3852"/>
      <c r="G3852"/>
    </row>
    <row r="3853" spans="1:7">
      <c r="A3853"/>
      <c r="B3853"/>
      <c r="C3853"/>
      <c r="D3853"/>
      <c r="E3853"/>
      <c r="F3853"/>
      <c r="G3853"/>
    </row>
    <row r="3854" spans="1:7">
      <c r="A3854"/>
      <c r="B3854"/>
      <c r="C3854"/>
      <c r="D3854"/>
      <c r="E3854"/>
      <c r="F3854"/>
      <c r="G3854"/>
    </row>
    <row r="3855" spans="1:7">
      <c r="A3855"/>
      <c r="B3855"/>
      <c r="C3855"/>
      <c r="D3855"/>
      <c r="E3855"/>
      <c r="F3855"/>
      <c r="G3855"/>
    </row>
    <row r="3856" spans="1:7">
      <c r="A3856"/>
      <c r="B3856"/>
      <c r="C3856"/>
      <c r="D3856"/>
      <c r="E3856"/>
      <c r="F3856"/>
      <c r="G3856"/>
    </row>
    <row r="3857" spans="1:7">
      <c r="A3857"/>
      <c r="B3857"/>
      <c r="C3857"/>
      <c r="D3857"/>
      <c r="E3857"/>
      <c r="F3857"/>
      <c r="G3857"/>
    </row>
    <row r="3858" spans="1:7">
      <c r="A3858"/>
      <c r="B3858"/>
      <c r="C3858"/>
      <c r="D3858"/>
      <c r="E3858"/>
      <c r="F3858"/>
      <c r="G3858"/>
    </row>
    <row r="3859" spans="1:7">
      <c r="A3859"/>
      <c r="B3859"/>
      <c r="C3859"/>
      <c r="D3859"/>
      <c r="E3859"/>
      <c r="F3859"/>
      <c r="G3859"/>
    </row>
    <row r="3860" spans="1:7">
      <c r="A3860"/>
      <c r="B3860"/>
      <c r="C3860"/>
      <c r="D3860"/>
      <c r="E3860"/>
      <c r="F3860"/>
      <c r="G3860"/>
    </row>
    <row r="3861" spans="1:7">
      <c r="A3861"/>
      <c r="B3861"/>
      <c r="C3861"/>
      <c r="D3861"/>
      <c r="E3861"/>
      <c r="F3861"/>
      <c r="G3861"/>
    </row>
    <row r="3862" spans="1:7">
      <c r="A3862"/>
      <c r="B3862"/>
      <c r="C3862"/>
      <c r="D3862"/>
      <c r="E3862"/>
      <c r="F3862"/>
      <c r="G3862"/>
    </row>
    <row r="3863" spans="1:7">
      <c r="A3863"/>
      <c r="B3863"/>
      <c r="C3863"/>
      <c r="D3863"/>
      <c r="E3863"/>
      <c r="F3863"/>
      <c r="G3863"/>
    </row>
    <row r="3864" spans="1:7">
      <c r="A3864"/>
      <c r="B3864"/>
      <c r="C3864"/>
      <c r="D3864"/>
      <c r="E3864"/>
      <c r="F3864"/>
      <c r="G3864"/>
    </row>
    <row r="3865" spans="1:7">
      <c r="A3865"/>
      <c r="B3865"/>
      <c r="C3865"/>
      <c r="D3865"/>
      <c r="E3865"/>
      <c r="F3865"/>
      <c r="G3865"/>
    </row>
    <row r="3866" spans="1:7">
      <c r="A3866"/>
      <c r="B3866"/>
      <c r="C3866"/>
      <c r="D3866"/>
      <c r="E3866"/>
      <c r="F3866"/>
      <c r="G3866"/>
    </row>
    <row r="3867" spans="1:7">
      <c r="A3867"/>
      <c r="B3867"/>
      <c r="C3867"/>
      <c r="D3867"/>
      <c r="E3867"/>
      <c r="F3867"/>
      <c r="G3867"/>
    </row>
    <row r="3868" spans="1:7">
      <c r="A3868"/>
      <c r="B3868"/>
      <c r="C3868"/>
      <c r="D3868"/>
      <c r="E3868"/>
      <c r="F3868"/>
      <c r="G3868"/>
    </row>
    <row r="3869" spans="1:7">
      <c r="A3869"/>
      <c r="B3869"/>
      <c r="C3869"/>
      <c r="D3869"/>
      <c r="E3869"/>
      <c r="F3869"/>
      <c r="G3869"/>
    </row>
    <row r="3870" spans="1:7">
      <c r="A3870"/>
      <c r="B3870"/>
      <c r="C3870"/>
      <c r="D3870"/>
      <c r="E3870"/>
      <c r="F3870"/>
      <c r="G3870"/>
    </row>
    <row r="3871" spans="1:7">
      <c r="A3871"/>
      <c r="B3871"/>
      <c r="C3871"/>
      <c r="D3871"/>
      <c r="E3871"/>
      <c r="F3871"/>
      <c r="G3871"/>
    </row>
    <row r="3872" spans="1:7">
      <c r="A3872"/>
      <c r="B3872"/>
      <c r="C3872"/>
      <c r="D3872"/>
      <c r="E3872"/>
      <c r="F3872"/>
      <c r="G3872"/>
    </row>
    <row r="3873" spans="1:7">
      <c r="A3873"/>
      <c r="B3873"/>
      <c r="C3873"/>
      <c r="D3873"/>
      <c r="E3873"/>
      <c r="F3873"/>
      <c r="G3873"/>
    </row>
    <row r="3874" spans="1:7">
      <c r="A3874"/>
      <c r="B3874"/>
      <c r="C3874"/>
      <c r="D3874"/>
      <c r="E3874"/>
      <c r="F3874"/>
      <c r="G3874"/>
    </row>
    <row r="3875" spans="1:7">
      <c r="A3875"/>
      <c r="B3875"/>
      <c r="C3875"/>
      <c r="D3875"/>
      <c r="E3875"/>
      <c r="F3875"/>
      <c r="G3875"/>
    </row>
    <row r="3876" spans="1:7">
      <c r="A3876"/>
      <c r="B3876"/>
      <c r="C3876"/>
      <c r="D3876"/>
      <c r="E3876"/>
      <c r="F3876"/>
      <c r="G3876"/>
    </row>
    <row r="3877" spans="1:7">
      <c r="A3877"/>
      <c r="B3877"/>
      <c r="C3877"/>
      <c r="D3877"/>
      <c r="E3877"/>
      <c r="F3877"/>
      <c r="G3877"/>
    </row>
    <row r="3878" spans="1:7">
      <c r="A3878"/>
      <c r="B3878"/>
      <c r="C3878"/>
      <c r="D3878"/>
      <c r="E3878"/>
      <c r="F3878"/>
      <c r="G3878"/>
    </row>
    <row r="3879" spans="1:7">
      <c r="A3879"/>
      <c r="B3879"/>
      <c r="C3879"/>
      <c r="D3879"/>
      <c r="E3879"/>
      <c r="F3879"/>
      <c r="G3879"/>
    </row>
    <row r="3880" spans="1:7">
      <c r="A3880"/>
      <c r="B3880"/>
      <c r="C3880"/>
      <c r="D3880"/>
      <c r="E3880"/>
      <c r="F3880"/>
      <c r="G3880"/>
    </row>
    <row r="3881" spans="1:7">
      <c r="A3881"/>
      <c r="B3881"/>
      <c r="C3881"/>
      <c r="D3881"/>
      <c r="E3881"/>
      <c r="F3881"/>
      <c r="G3881"/>
    </row>
    <row r="3882" spans="1:7">
      <c r="A3882"/>
      <c r="B3882"/>
      <c r="C3882"/>
      <c r="D3882"/>
      <c r="E3882"/>
      <c r="F3882"/>
      <c r="G3882"/>
    </row>
    <row r="3883" spans="1:7">
      <c r="A3883"/>
      <c r="B3883"/>
      <c r="C3883"/>
      <c r="D3883"/>
      <c r="E3883"/>
      <c r="F3883"/>
      <c r="G3883"/>
    </row>
    <row r="3884" spans="1:7">
      <c r="A3884"/>
      <c r="B3884"/>
      <c r="C3884"/>
      <c r="D3884"/>
      <c r="E3884"/>
      <c r="F3884"/>
      <c r="G3884"/>
    </row>
    <row r="3885" spans="1:7">
      <c r="A3885"/>
      <c r="B3885"/>
      <c r="C3885"/>
      <c r="D3885"/>
      <c r="E3885"/>
      <c r="F3885"/>
      <c r="G3885"/>
    </row>
    <row r="3886" spans="1:7">
      <c r="A3886"/>
      <c r="B3886"/>
      <c r="C3886"/>
      <c r="D3886"/>
      <c r="E3886"/>
      <c r="F3886"/>
      <c r="G3886"/>
    </row>
    <row r="3887" spans="1:7">
      <c r="A3887"/>
      <c r="B3887"/>
      <c r="C3887"/>
      <c r="D3887"/>
      <c r="E3887"/>
      <c r="F3887"/>
      <c r="G3887"/>
    </row>
    <row r="3888" spans="1:7">
      <c r="A3888"/>
      <c r="B3888"/>
      <c r="C3888"/>
      <c r="D3888"/>
      <c r="E3888"/>
      <c r="F3888"/>
      <c r="G3888"/>
    </row>
    <row r="3889" spans="1:7">
      <c r="A3889"/>
      <c r="B3889"/>
      <c r="C3889"/>
      <c r="D3889"/>
      <c r="E3889"/>
      <c r="F3889"/>
      <c r="G3889"/>
    </row>
    <row r="3890" spans="1:7">
      <c r="A3890"/>
      <c r="B3890"/>
      <c r="C3890"/>
      <c r="D3890"/>
      <c r="E3890"/>
      <c r="F3890"/>
      <c r="G3890"/>
    </row>
    <row r="3891" spans="1:7">
      <c r="A3891"/>
      <c r="B3891"/>
      <c r="C3891"/>
      <c r="D3891"/>
      <c r="E3891"/>
      <c r="F3891"/>
      <c r="G3891"/>
    </row>
    <row r="3892" spans="1:7">
      <c r="A3892"/>
      <c r="B3892"/>
      <c r="C3892"/>
      <c r="D3892"/>
      <c r="E3892"/>
      <c r="F3892"/>
      <c r="G3892"/>
    </row>
    <row r="3893" spans="1:7">
      <c r="A3893"/>
      <c r="B3893"/>
      <c r="C3893"/>
      <c r="D3893"/>
      <c r="E3893"/>
      <c r="F3893"/>
      <c r="G3893"/>
    </row>
    <row r="3894" spans="1:7">
      <c r="A3894"/>
      <c r="B3894"/>
      <c r="C3894"/>
      <c r="D3894"/>
      <c r="E3894"/>
      <c r="F3894"/>
      <c r="G3894"/>
    </row>
    <row r="3895" spans="1:7">
      <c r="A3895"/>
      <c r="B3895"/>
      <c r="C3895"/>
      <c r="D3895"/>
      <c r="E3895"/>
      <c r="F3895"/>
      <c r="G3895"/>
    </row>
    <row r="3896" spans="1:7">
      <c r="A3896"/>
      <c r="B3896"/>
      <c r="C3896"/>
      <c r="D3896"/>
      <c r="E3896"/>
      <c r="F3896"/>
      <c r="G3896"/>
    </row>
    <row r="3897" spans="1:7">
      <c r="A3897"/>
      <c r="B3897"/>
      <c r="C3897"/>
      <c r="D3897"/>
      <c r="E3897"/>
      <c r="F3897"/>
      <c r="G3897"/>
    </row>
    <row r="3898" spans="1:7">
      <c r="A3898"/>
      <c r="B3898"/>
      <c r="C3898"/>
      <c r="D3898"/>
      <c r="E3898"/>
      <c r="F3898"/>
      <c r="G3898"/>
    </row>
    <row r="3899" spans="1:7">
      <c r="A3899"/>
      <c r="B3899"/>
      <c r="C3899"/>
      <c r="D3899"/>
      <c r="E3899"/>
      <c r="F3899"/>
      <c r="G3899"/>
    </row>
    <row r="3900" spans="1:7">
      <c r="A3900"/>
      <c r="B3900"/>
      <c r="C3900"/>
      <c r="D3900"/>
      <c r="E3900"/>
      <c r="F3900"/>
      <c r="G3900"/>
    </row>
    <row r="3901" spans="1:7">
      <c r="A3901"/>
      <c r="B3901"/>
      <c r="C3901"/>
      <c r="D3901"/>
      <c r="E3901"/>
      <c r="F3901"/>
      <c r="G3901"/>
    </row>
    <row r="3902" spans="1:7">
      <c r="A3902"/>
      <c r="B3902"/>
      <c r="C3902"/>
      <c r="D3902"/>
      <c r="E3902"/>
      <c r="F3902"/>
      <c r="G3902"/>
    </row>
    <row r="3903" spans="1:7">
      <c r="A3903"/>
      <c r="B3903"/>
      <c r="C3903"/>
      <c r="D3903"/>
      <c r="E3903"/>
      <c r="F3903"/>
      <c r="G3903"/>
    </row>
    <row r="3904" spans="1:7">
      <c r="A3904"/>
      <c r="B3904"/>
      <c r="C3904"/>
      <c r="D3904"/>
      <c r="E3904"/>
      <c r="F3904"/>
      <c r="G3904"/>
    </row>
    <row r="3905" spans="1:7">
      <c r="A3905"/>
      <c r="B3905"/>
      <c r="C3905"/>
      <c r="D3905"/>
      <c r="E3905"/>
      <c r="F3905"/>
      <c r="G3905"/>
    </row>
    <row r="3906" spans="1:7">
      <c r="A3906"/>
      <c r="B3906"/>
      <c r="C3906"/>
      <c r="D3906"/>
      <c r="E3906"/>
      <c r="F3906"/>
      <c r="G3906"/>
    </row>
    <row r="3907" spans="1:7">
      <c r="A3907"/>
      <c r="B3907"/>
      <c r="C3907"/>
      <c r="D3907"/>
      <c r="E3907"/>
      <c r="F3907"/>
      <c r="G3907"/>
    </row>
    <row r="3908" spans="1:7">
      <c r="A3908"/>
      <c r="B3908"/>
      <c r="C3908"/>
      <c r="D3908"/>
      <c r="E3908"/>
      <c r="F3908"/>
      <c r="G3908"/>
    </row>
    <row r="3909" spans="1:7">
      <c r="A3909"/>
      <c r="B3909"/>
      <c r="C3909"/>
      <c r="D3909"/>
      <c r="E3909"/>
      <c r="F3909"/>
      <c r="G3909"/>
    </row>
    <row r="3910" spans="1:7">
      <c r="A3910"/>
      <c r="B3910"/>
      <c r="C3910"/>
      <c r="D3910"/>
      <c r="E3910"/>
      <c r="F3910"/>
      <c r="G3910"/>
    </row>
    <row r="3911" spans="1:7">
      <c r="A3911"/>
      <c r="B3911"/>
      <c r="C3911"/>
      <c r="D3911"/>
      <c r="E3911"/>
      <c r="F3911"/>
      <c r="G3911"/>
    </row>
    <row r="3912" spans="1:7">
      <c r="A3912"/>
      <c r="B3912"/>
      <c r="C3912"/>
      <c r="D3912"/>
      <c r="E3912"/>
      <c r="F3912"/>
      <c r="G3912"/>
    </row>
    <row r="3913" spans="1:7">
      <c r="A3913"/>
      <c r="B3913"/>
      <c r="C3913"/>
      <c r="D3913"/>
      <c r="E3913"/>
      <c r="F3913"/>
      <c r="G3913"/>
    </row>
    <row r="3914" spans="1:7">
      <c r="A3914"/>
      <c r="B3914"/>
      <c r="C3914"/>
      <c r="D3914"/>
      <c r="E3914"/>
      <c r="F3914"/>
      <c r="G3914"/>
    </row>
    <row r="3915" spans="1:7">
      <c r="A3915"/>
      <c r="B3915"/>
      <c r="C3915"/>
      <c r="D3915"/>
      <c r="E3915"/>
      <c r="F3915"/>
      <c r="G3915"/>
    </row>
    <row r="3916" spans="1:7">
      <c r="A3916"/>
      <c r="B3916"/>
      <c r="C3916"/>
      <c r="D3916"/>
      <c r="E3916"/>
      <c r="F3916"/>
      <c r="G3916"/>
    </row>
    <row r="3917" spans="1:7">
      <c r="A3917"/>
      <c r="B3917"/>
      <c r="C3917"/>
      <c r="D3917"/>
      <c r="E3917"/>
      <c r="F3917"/>
      <c r="G3917"/>
    </row>
    <row r="3918" spans="1:7">
      <c r="A3918"/>
      <c r="B3918"/>
      <c r="C3918"/>
      <c r="D3918"/>
      <c r="E3918"/>
      <c r="F3918"/>
      <c r="G3918"/>
    </row>
    <row r="3919" spans="1:7">
      <c r="A3919"/>
      <c r="B3919"/>
      <c r="C3919"/>
      <c r="D3919"/>
      <c r="E3919"/>
      <c r="F3919"/>
      <c r="G3919"/>
    </row>
    <row r="3920" spans="1:7">
      <c r="A3920"/>
      <c r="B3920"/>
      <c r="C3920"/>
      <c r="D3920"/>
      <c r="E3920"/>
      <c r="F3920"/>
      <c r="G3920"/>
    </row>
    <row r="3921" spans="1:7">
      <c r="A3921"/>
      <c r="B3921"/>
      <c r="C3921"/>
      <c r="D3921"/>
      <c r="E3921"/>
      <c r="F3921"/>
      <c r="G3921"/>
    </row>
    <row r="3922" spans="1:7">
      <c r="A3922"/>
      <c r="B3922"/>
      <c r="C3922"/>
      <c r="D3922"/>
      <c r="E3922"/>
      <c r="F3922"/>
      <c r="G3922"/>
    </row>
    <row r="3923" spans="1:7">
      <c r="A3923"/>
      <c r="B3923"/>
      <c r="C3923"/>
      <c r="D3923"/>
      <c r="E3923"/>
      <c r="F3923"/>
      <c r="G3923"/>
    </row>
    <row r="3924" spans="1:7">
      <c r="A3924"/>
      <c r="B3924"/>
      <c r="C3924"/>
      <c r="D3924"/>
      <c r="E3924"/>
      <c r="F3924"/>
      <c r="G3924"/>
    </row>
    <row r="3925" spans="1:7">
      <c r="A3925"/>
      <c r="B3925"/>
      <c r="C3925"/>
      <c r="D3925"/>
      <c r="E3925"/>
      <c r="F3925"/>
      <c r="G3925"/>
    </row>
    <row r="3926" spans="1:7">
      <c r="A3926"/>
      <c r="B3926"/>
      <c r="C3926"/>
      <c r="D3926"/>
      <c r="E3926"/>
      <c r="F3926"/>
      <c r="G3926"/>
    </row>
    <row r="3927" spans="1:7">
      <c r="A3927"/>
      <c r="B3927"/>
      <c r="C3927"/>
      <c r="D3927"/>
      <c r="E3927"/>
      <c r="F3927"/>
      <c r="G3927"/>
    </row>
    <row r="3928" spans="1:7">
      <c r="A3928"/>
      <c r="B3928"/>
      <c r="C3928"/>
      <c r="D3928"/>
      <c r="E3928"/>
      <c r="F3928"/>
      <c r="G3928"/>
    </row>
    <row r="3929" spans="1:7">
      <c r="A3929"/>
      <c r="B3929"/>
      <c r="C3929"/>
      <c r="D3929"/>
      <c r="E3929"/>
      <c r="F3929"/>
      <c r="G3929"/>
    </row>
    <row r="3930" spans="1:7">
      <c r="A3930"/>
      <c r="B3930"/>
      <c r="C3930"/>
      <c r="D3930"/>
      <c r="E3930"/>
      <c r="F3930"/>
      <c r="G3930"/>
    </row>
    <row r="3931" spans="1:7">
      <c r="A3931"/>
      <c r="B3931"/>
      <c r="C3931"/>
      <c r="D3931"/>
      <c r="E3931"/>
      <c r="F3931"/>
      <c r="G3931"/>
    </row>
    <row r="3932" spans="1:7">
      <c r="A3932"/>
      <c r="B3932"/>
      <c r="C3932"/>
      <c r="D3932"/>
      <c r="E3932"/>
      <c r="F3932"/>
      <c r="G3932"/>
    </row>
    <row r="3933" spans="1:7">
      <c r="A3933"/>
      <c r="B3933"/>
      <c r="C3933"/>
      <c r="D3933"/>
      <c r="E3933"/>
      <c r="F3933"/>
      <c r="G3933"/>
    </row>
    <row r="3934" spans="1:7">
      <c r="A3934"/>
      <c r="B3934"/>
      <c r="C3934"/>
      <c r="D3934"/>
      <c r="E3934"/>
      <c r="F3934"/>
      <c r="G3934"/>
    </row>
    <row r="3935" spans="1:7">
      <c r="A3935"/>
      <c r="B3935"/>
      <c r="C3935"/>
      <c r="D3935"/>
      <c r="E3935"/>
      <c r="F3935"/>
      <c r="G3935"/>
    </row>
    <row r="3936" spans="1:7">
      <c r="A3936"/>
      <c r="B3936"/>
      <c r="C3936"/>
      <c r="D3936"/>
      <c r="E3936"/>
      <c r="F3936"/>
      <c r="G3936"/>
    </row>
    <row r="3937" spans="1:7">
      <c r="A3937"/>
      <c r="B3937"/>
      <c r="C3937"/>
      <c r="D3937"/>
      <c r="E3937"/>
      <c r="F3937"/>
      <c r="G3937"/>
    </row>
    <row r="3938" spans="1:7">
      <c r="A3938"/>
      <c r="B3938"/>
      <c r="C3938"/>
      <c r="D3938"/>
      <c r="E3938"/>
      <c r="F3938"/>
      <c r="G3938"/>
    </row>
    <row r="3939" spans="1:7">
      <c r="A3939"/>
      <c r="B3939"/>
      <c r="C3939"/>
      <c r="D3939"/>
      <c r="E3939"/>
      <c r="F3939"/>
      <c r="G3939"/>
    </row>
    <row r="3940" spans="1:7">
      <c r="A3940"/>
      <c r="B3940"/>
      <c r="C3940"/>
      <c r="D3940"/>
      <c r="E3940"/>
      <c r="F3940"/>
      <c r="G3940"/>
    </row>
    <row r="3941" spans="1:7">
      <c r="A3941"/>
      <c r="B3941"/>
      <c r="C3941"/>
      <c r="D3941"/>
      <c r="E3941"/>
      <c r="F3941"/>
      <c r="G3941"/>
    </row>
    <row r="3942" spans="1:7">
      <c r="A3942"/>
      <c r="B3942"/>
      <c r="C3942"/>
      <c r="D3942"/>
      <c r="E3942"/>
      <c r="F3942"/>
      <c r="G3942"/>
    </row>
    <row r="3943" spans="1:7">
      <c r="A3943"/>
      <c r="B3943"/>
      <c r="C3943"/>
      <c r="D3943"/>
      <c r="E3943"/>
      <c r="F3943"/>
      <c r="G3943"/>
    </row>
    <row r="3944" spans="1:7">
      <c r="A3944"/>
      <c r="B3944"/>
      <c r="C3944"/>
      <c r="D3944"/>
      <c r="E3944"/>
      <c r="F3944"/>
      <c r="G3944"/>
    </row>
    <row r="3945" spans="1:7">
      <c r="A3945"/>
      <c r="B3945"/>
      <c r="C3945"/>
      <c r="D3945"/>
      <c r="E3945"/>
      <c r="F3945"/>
      <c r="G3945"/>
    </row>
    <row r="3946" spans="1:7">
      <c r="A3946"/>
      <c r="B3946"/>
      <c r="C3946"/>
      <c r="D3946"/>
      <c r="E3946"/>
      <c r="F3946"/>
      <c r="G3946"/>
    </row>
    <row r="3947" spans="1:7">
      <c r="A3947"/>
      <c r="B3947"/>
      <c r="C3947"/>
      <c r="D3947"/>
      <c r="E3947"/>
      <c r="F3947"/>
      <c r="G3947"/>
    </row>
    <row r="3948" spans="1:7">
      <c r="A3948"/>
      <c r="B3948"/>
      <c r="C3948"/>
      <c r="D3948"/>
      <c r="E3948"/>
      <c r="F3948"/>
      <c r="G3948"/>
    </row>
    <row r="3949" spans="1:7">
      <c r="A3949"/>
      <c r="B3949"/>
      <c r="C3949"/>
      <c r="D3949"/>
      <c r="E3949"/>
      <c r="F3949"/>
      <c r="G3949"/>
    </row>
    <row r="3950" spans="1:7">
      <c r="A3950"/>
      <c r="B3950"/>
      <c r="C3950"/>
      <c r="D3950"/>
      <c r="E3950"/>
      <c r="F3950"/>
      <c r="G3950"/>
    </row>
    <row r="3951" spans="1:7">
      <c r="A3951"/>
      <c r="B3951"/>
      <c r="C3951"/>
      <c r="D3951"/>
      <c r="E3951"/>
      <c r="F3951"/>
      <c r="G3951"/>
    </row>
    <row r="3952" spans="1:7">
      <c r="A3952"/>
      <c r="B3952"/>
      <c r="C3952"/>
      <c r="D3952"/>
      <c r="E3952"/>
      <c r="F3952"/>
      <c r="G3952"/>
    </row>
    <row r="3953" spans="1:7">
      <c r="A3953"/>
      <c r="B3953"/>
      <c r="C3953"/>
      <c r="D3953"/>
      <c r="E3953"/>
      <c r="F3953"/>
      <c r="G3953"/>
    </row>
    <row r="3954" spans="1:7">
      <c r="A3954"/>
      <c r="B3954"/>
      <c r="C3954"/>
      <c r="D3954"/>
      <c r="E3954"/>
      <c r="F3954"/>
      <c r="G3954"/>
    </row>
    <row r="3955" spans="1:7">
      <c r="A3955"/>
      <c r="B3955"/>
      <c r="C3955"/>
      <c r="D3955"/>
      <c r="E3955"/>
      <c r="F3955"/>
      <c r="G3955"/>
    </row>
    <row r="3956" spans="1:7">
      <c r="A3956"/>
      <c r="B3956"/>
      <c r="C3956"/>
      <c r="D3956"/>
      <c r="E3956"/>
      <c r="F3956"/>
      <c r="G3956"/>
    </row>
    <row r="3957" spans="1:7">
      <c r="A3957"/>
      <c r="B3957"/>
      <c r="C3957"/>
      <c r="D3957"/>
      <c r="E3957"/>
      <c r="F3957"/>
      <c r="G3957"/>
    </row>
    <row r="3958" spans="1:7">
      <c r="A3958"/>
      <c r="B3958"/>
      <c r="C3958"/>
      <c r="D3958"/>
      <c r="E3958"/>
      <c r="F3958"/>
      <c r="G3958"/>
    </row>
    <row r="3959" spans="1:7">
      <c r="A3959"/>
      <c r="B3959"/>
      <c r="C3959"/>
      <c r="D3959"/>
      <c r="E3959"/>
      <c r="F3959"/>
      <c r="G3959"/>
    </row>
    <row r="3960" spans="1:7">
      <c r="A3960"/>
      <c r="B3960"/>
      <c r="C3960"/>
      <c r="D3960"/>
      <c r="E3960"/>
      <c r="F3960"/>
      <c r="G3960"/>
    </row>
    <row r="3961" spans="1:7">
      <c r="A3961"/>
      <c r="B3961"/>
      <c r="C3961"/>
      <c r="D3961"/>
      <c r="E3961"/>
      <c r="F3961"/>
      <c r="G3961"/>
    </row>
    <row r="3962" spans="1:7">
      <c r="A3962"/>
      <c r="B3962"/>
      <c r="C3962"/>
      <c r="D3962"/>
      <c r="E3962"/>
      <c r="F3962"/>
      <c r="G3962"/>
    </row>
    <row r="3963" spans="1:7">
      <c r="A3963"/>
      <c r="B3963"/>
      <c r="C3963"/>
      <c r="D3963"/>
      <c r="E3963"/>
      <c r="F3963"/>
      <c r="G3963"/>
    </row>
    <row r="3964" spans="1:7">
      <c r="A3964"/>
      <c r="B3964"/>
      <c r="C3964"/>
      <c r="D3964"/>
      <c r="E3964"/>
      <c r="F3964"/>
      <c r="G3964"/>
    </row>
    <row r="3965" spans="1:7">
      <c r="A3965"/>
      <c r="B3965"/>
      <c r="C3965"/>
      <c r="D3965"/>
      <c r="E3965"/>
      <c r="F3965"/>
      <c r="G3965"/>
    </row>
    <row r="3966" spans="1:7">
      <c r="A3966"/>
      <c r="B3966"/>
      <c r="C3966"/>
      <c r="D3966"/>
      <c r="E3966"/>
      <c r="F3966"/>
      <c r="G3966"/>
    </row>
    <row r="3967" spans="1:7">
      <c r="A3967"/>
      <c r="B3967"/>
      <c r="C3967"/>
      <c r="D3967"/>
      <c r="E3967"/>
      <c r="F3967"/>
      <c r="G3967"/>
    </row>
    <row r="3968" spans="1:7">
      <c r="A3968"/>
      <c r="B3968"/>
      <c r="C3968"/>
      <c r="D3968"/>
      <c r="E3968"/>
      <c r="F3968"/>
      <c r="G3968"/>
    </row>
    <row r="3969" spans="1:7">
      <c r="A3969"/>
      <c r="B3969"/>
      <c r="C3969"/>
      <c r="D3969"/>
      <c r="E3969"/>
      <c r="F3969"/>
      <c r="G3969"/>
    </row>
    <row r="3970" spans="1:7">
      <c r="A3970"/>
      <c r="B3970"/>
      <c r="C3970"/>
      <c r="D3970"/>
      <c r="E3970"/>
      <c r="F3970"/>
      <c r="G3970"/>
    </row>
    <row r="3971" spans="1:7">
      <c r="A3971"/>
      <c r="B3971"/>
      <c r="C3971"/>
      <c r="D3971"/>
      <c r="E3971"/>
      <c r="F3971"/>
      <c r="G3971"/>
    </row>
    <row r="3972" spans="1:7">
      <c r="A3972"/>
      <c r="B3972"/>
      <c r="C3972"/>
      <c r="D3972"/>
      <c r="E3972"/>
      <c r="F3972"/>
      <c r="G3972"/>
    </row>
    <row r="3973" spans="1:7">
      <c r="A3973"/>
      <c r="B3973"/>
      <c r="C3973"/>
      <c r="D3973"/>
      <c r="E3973"/>
      <c r="F3973"/>
      <c r="G3973"/>
    </row>
    <row r="3974" spans="1:7">
      <c r="A3974"/>
      <c r="B3974"/>
      <c r="C3974"/>
      <c r="D3974"/>
      <c r="E3974"/>
      <c r="F3974"/>
      <c r="G3974"/>
    </row>
    <row r="3975" spans="1:7">
      <c r="A3975"/>
      <c r="B3975"/>
      <c r="C3975"/>
      <c r="D3975"/>
      <c r="E3975"/>
      <c r="F3975"/>
      <c r="G3975"/>
    </row>
    <row r="3976" spans="1:7">
      <c r="A3976"/>
      <c r="B3976"/>
      <c r="C3976"/>
      <c r="D3976"/>
      <c r="E3976"/>
      <c r="F3976"/>
      <c r="G3976"/>
    </row>
    <row r="3977" spans="1:7">
      <c r="A3977"/>
      <c r="B3977"/>
      <c r="C3977"/>
      <c r="D3977"/>
      <c r="E3977"/>
      <c r="F3977"/>
      <c r="G3977"/>
    </row>
    <row r="3978" spans="1:7">
      <c r="A3978"/>
      <c r="B3978"/>
      <c r="C3978"/>
      <c r="D3978"/>
      <c r="E3978"/>
      <c r="F3978"/>
      <c r="G3978"/>
    </row>
    <row r="3979" spans="1:7">
      <c r="A3979"/>
      <c r="B3979"/>
      <c r="C3979"/>
      <c r="D3979"/>
      <c r="E3979"/>
      <c r="F3979"/>
      <c r="G3979"/>
    </row>
    <row r="3980" spans="1:7">
      <c r="A3980"/>
      <c r="B3980"/>
      <c r="C3980"/>
      <c r="D3980"/>
      <c r="E3980"/>
      <c r="F3980"/>
      <c r="G3980"/>
    </row>
    <row r="3981" spans="1:7">
      <c r="A3981"/>
      <c r="B3981"/>
      <c r="C3981"/>
      <c r="D3981"/>
      <c r="E3981"/>
      <c r="F3981"/>
      <c r="G3981"/>
    </row>
    <row r="3982" spans="1:7">
      <c r="A3982"/>
      <c r="B3982"/>
      <c r="C3982"/>
      <c r="D3982"/>
      <c r="E3982"/>
      <c r="F3982"/>
      <c r="G3982"/>
    </row>
    <row r="3983" spans="1:7">
      <c r="A3983"/>
      <c r="B3983"/>
      <c r="C3983"/>
      <c r="D3983"/>
      <c r="E3983"/>
      <c r="F3983"/>
      <c r="G3983"/>
    </row>
    <row r="3984" spans="1:7">
      <c r="A3984"/>
      <c r="B3984"/>
      <c r="C3984"/>
      <c r="D3984"/>
      <c r="E3984"/>
      <c r="F3984"/>
      <c r="G3984"/>
    </row>
    <row r="3985" spans="1:7">
      <c r="A3985"/>
      <c r="B3985"/>
      <c r="C3985"/>
      <c r="D3985"/>
      <c r="E3985"/>
      <c r="F3985"/>
      <c r="G3985"/>
    </row>
    <row r="3986" spans="1:7">
      <c r="A3986"/>
      <c r="B3986"/>
      <c r="C3986"/>
      <c r="D3986"/>
      <c r="E3986"/>
      <c r="F3986"/>
      <c r="G3986"/>
    </row>
    <row r="3987" spans="1:7">
      <c r="A3987"/>
      <c r="B3987"/>
      <c r="C3987"/>
      <c r="D3987"/>
      <c r="E3987"/>
      <c r="F3987"/>
      <c r="G3987"/>
    </row>
    <row r="3988" spans="1:7">
      <c r="A3988"/>
      <c r="B3988"/>
      <c r="C3988"/>
      <c r="D3988"/>
      <c r="E3988"/>
      <c r="F3988"/>
      <c r="G3988"/>
    </row>
    <row r="3989" spans="1:7">
      <c r="A3989"/>
      <c r="B3989"/>
      <c r="C3989"/>
      <c r="D3989"/>
      <c r="E3989"/>
      <c r="F3989"/>
      <c r="G3989"/>
    </row>
    <row r="3990" spans="1:7">
      <c r="A3990"/>
      <c r="B3990"/>
      <c r="C3990"/>
      <c r="D3990"/>
      <c r="E3990"/>
      <c r="F3990"/>
      <c r="G3990"/>
    </row>
    <row r="3991" spans="1:7">
      <c r="A3991"/>
      <c r="B3991"/>
      <c r="C3991"/>
      <c r="D3991"/>
      <c r="E3991"/>
      <c r="F3991"/>
      <c r="G3991"/>
    </row>
    <row r="3992" spans="1:7">
      <c r="A3992"/>
      <c r="B3992"/>
      <c r="C3992"/>
      <c r="D3992"/>
      <c r="E3992"/>
      <c r="F3992"/>
      <c r="G3992"/>
    </row>
    <row r="3993" spans="1:7">
      <c r="A3993"/>
      <c r="B3993"/>
      <c r="C3993"/>
      <c r="D3993"/>
      <c r="E3993"/>
      <c r="F3993"/>
      <c r="G3993"/>
    </row>
    <row r="3994" spans="1:7">
      <c r="A3994"/>
      <c r="B3994"/>
      <c r="C3994"/>
      <c r="D3994"/>
      <c r="E3994"/>
      <c r="F3994"/>
      <c r="G3994"/>
    </row>
    <row r="3995" spans="1:7">
      <c r="A3995"/>
      <c r="B3995"/>
      <c r="C3995"/>
      <c r="D3995"/>
      <c r="E3995"/>
      <c r="F3995"/>
      <c r="G3995"/>
    </row>
    <row r="3996" spans="1:7">
      <c r="A3996"/>
      <c r="B3996"/>
      <c r="C3996"/>
      <c r="D3996"/>
      <c r="E3996"/>
      <c r="F3996"/>
      <c r="G3996"/>
    </row>
    <row r="3997" spans="1:7">
      <c r="A3997"/>
      <c r="B3997"/>
      <c r="C3997"/>
      <c r="D3997"/>
      <c r="E3997"/>
      <c r="F3997"/>
      <c r="G3997"/>
    </row>
    <row r="3998" spans="1:7">
      <c r="A3998"/>
      <c r="B3998"/>
      <c r="C3998"/>
      <c r="D3998"/>
      <c r="E3998"/>
      <c r="F3998"/>
      <c r="G3998"/>
    </row>
    <row r="3999" spans="1:7">
      <c r="A3999"/>
      <c r="B3999"/>
      <c r="C3999"/>
      <c r="D3999"/>
      <c r="E3999"/>
      <c r="F3999"/>
      <c r="G3999"/>
    </row>
    <row r="4000" spans="1:7">
      <c r="A4000"/>
      <c r="B4000"/>
      <c r="C4000"/>
      <c r="D4000"/>
      <c r="E4000"/>
      <c r="F4000"/>
      <c r="G4000"/>
    </row>
    <row r="4001" spans="1:7">
      <c r="A4001"/>
      <c r="B4001"/>
      <c r="C4001"/>
      <c r="D4001"/>
      <c r="E4001"/>
      <c r="F4001"/>
      <c r="G4001"/>
    </row>
    <row r="4002" spans="1:7">
      <c r="A4002"/>
      <c r="B4002"/>
      <c r="C4002"/>
      <c r="D4002"/>
      <c r="E4002"/>
      <c r="F4002"/>
      <c r="G4002"/>
    </row>
    <row r="4003" spans="1:7">
      <c r="A4003"/>
      <c r="B4003"/>
      <c r="C4003"/>
      <c r="D4003"/>
      <c r="E4003"/>
      <c r="F4003"/>
      <c r="G4003"/>
    </row>
    <row r="4004" spans="1:7">
      <c r="A4004"/>
      <c r="B4004"/>
      <c r="C4004"/>
      <c r="D4004"/>
      <c r="E4004"/>
      <c r="F4004"/>
      <c r="G4004"/>
    </row>
    <row r="4005" spans="1:7">
      <c r="A4005"/>
      <c r="B4005"/>
      <c r="C4005"/>
      <c r="D4005"/>
      <c r="E4005"/>
      <c r="F4005"/>
      <c r="G4005"/>
    </row>
    <row r="4006" spans="1:7">
      <c r="A4006"/>
      <c r="B4006"/>
      <c r="C4006"/>
      <c r="D4006"/>
      <c r="E4006"/>
      <c r="F4006"/>
      <c r="G4006"/>
    </row>
    <row r="4007" spans="1:7">
      <c r="A4007"/>
      <c r="B4007"/>
      <c r="C4007"/>
      <c r="D4007"/>
      <c r="E4007"/>
      <c r="F4007"/>
      <c r="G4007"/>
    </row>
    <row r="4008" spans="1:7">
      <c r="A4008"/>
      <c r="B4008"/>
      <c r="C4008"/>
      <c r="D4008"/>
      <c r="E4008"/>
      <c r="F4008"/>
      <c r="G4008"/>
    </row>
    <row r="4009" spans="1:7">
      <c r="A4009"/>
      <c r="B4009"/>
      <c r="C4009"/>
      <c r="D4009"/>
      <c r="E4009"/>
      <c r="F4009"/>
      <c r="G4009"/>
    </row>
    <row r="4010" spans="1:7">
      <c r="A4010"/>
      <c r="B4010"/>
      <c r="C4010"/>
      <c r="D4010"/>
      <c r="E4010"/>
      <c r="F4010"/>
      <c r="G4010"/>
    </row>
    <row r="4011" spans="1:7">
      <c r="A4011"/>
      <c r="B4011"/>
      <c r="C4011"/>
      <c r="D4011"/>
      <c r="E4011"/>
      <c r="F4011"/>
      <c r="G4011"/>
    </row>
    <row r="4012" spans="1:7">
      <c r="A4012"/>
      <c r="B4012"/>
      <c r="C4012"/>
      <c r="D4012"/>
      <c r="E4012"/>
      <c r="F4012"/>
      <c r="G4012"/>
    </row>
    <row r="4013" spans="1:7">
      <c r="A4013"/>
      <c r="B4013"/>
      <c r="C4013"/>
      <c r="D4013"/>
      <c r="E4013"/>
      <c r="F4013"/>
      <c r="G4013"/>
    </row>
    <row r="4014" spans="1:7">
      <c r="A4014"/>
      <c r="B4014"/>
      <c r="C4014"/>
      <c r="D4014"/>
      <c r="E4014"/>
      <c r="F4014"/>
      <c r="G4014"/>
    </row>
    <row r="4015" spans="1:7">
      <c r="A4015"/>
      <c r="B4015"/>
      <c r="C4015"/>
      <c r="D4015"/>
      <c r="E4015"/>
      <c r="F4015"/>
      <c r="G4015"/>
    </row>
    <row r="4016" spans="1:7">
      <c r="A4016"/>
      <c r="B4016"/>
      <c r="C4016"/>
      <c r="D4016"/>
      <c r="E4016"/>
      <c r="F4016"/>
      <c r="G4016"/>
    </row>
    <row r="4017" spans="1:7">
      <c r="A4017"/>
      <c r="B4017"/>
      <c r="C4017"/>
      <c r="D4017"/>
      <c r="E4017"/>
      <c r="F4017"/>
      <c r="G4017"/>
    </row>
    <row r="4018" spans="1:7">
      <c r="A4018"/>
      <c r="B4018"/>
      <c r="C4018"/>
      <c r="D4018"/>
      <c r="E4018"/>
      <c r="F4018"/>
      <c r="G4018"/>
    </row>
    <row r="4019" spans="1:7">
      <c r="A4019"/>
      <c r="B4019"/>
      <c r="C4019"/>
      <c r="D4019"/>
      <c r="E4019"/>
      <c r="F4019"/>
      <c r="G4019"/>
    </row>
    <row r="4020" spans="1:7">
      <c r="A4020"/>
      <c r="B4020"/>
      <c r="C4020"/>
      <c r="D4020"/>
      <c r="E4020"/>
      <c r="F4020"/>
      <c r="G4020"/>
    </row>
    <row r="4021" spans="1:7">
      <c r="A4021"/>
      <c r="B4021"/>
      <c r="C4021"/>
      <c r="D4021"/>
      <c r="E4021"/>
      <c r="F4021"/>
      <c r="G4021"/>
    </row>
    <row r="4022" spans="1:7">
      <c r="A4022"/>
      <c r="B4022"/>
      <c r="C4022"/>
      <c r="D4022"/>
      <c r="E4022"/>
      <c r="F4022"/>
      <c r="G4022"/>
    </row>
    <row r="4023" spans="1:7">
      <c r="A4023"/>
      <c r="B4023"/>
      <c r="C4023"/>
      <c r="D4023"/>
      <c r="E4023"/>
      <c r="F4023"/>
      <c r="G4023"/>
    </row>
    <row r="4024" spans="1:7">
      <c r="A4024"/>
      <c r="B4024"/>
      <c r="C4024"/>
      <c r="D4024"/>
      <c r="E4024"/>
      <c r="F4024"/>
      <c r="G4024"/>
    </row>
    <row r="4025" spans="1:7">
      <c r="A4025"/>
      <c r="B4025"/>
      <c r="C4025"/>
      <c r="D4025"/>
      <c r="E4025"/>
      <c r="F4025"/>
      <c r="G4025"/>
    </row>
    <row r="4026" spans="1:7">
      <c r="A4026"/>
      <c r="B4026"/>
      <c r="C4026"/>
      <c r="D4026"/>
      <c r="E4026"/>
      <c r="F4026"/>
      <c r="G4026"/>
    </row>
    <row r="4027" spans="1:7">
      <c r="A4027"/>
      <c r="B4027"/>
      <c r="C4027"/>
      <c r="D4027"/>
      <c r="E4027"/>
      <c r="F4027"/>
      <c r="G4027"/>
    </row>
    <row r="4028" spans="1:7">
      <c r="A4028"/>
      <c r="B4028"/>
      <c r="C4028"/>
      <c r="D4028"/>
      <c r="E4028"/>
      <c r="F4028"/>
      <c r="G4028"/>
    </row>
    <row r="4029" spans="1:7">
      <c r="A4029"/>
      <c r="B4029"/>
      <c r="C4029"/>
      <c r="D4029"/>
      <c r="E4029"/>
      <c r="F4029"/>
      <c r="G4029"/>
    </row>
    <row r="4030" spans="1:7">
      <c r="A4030"/>
      <c r="B4030"/>
      <c r="C4030"/>
      <c r="D4030"/>
      <c r="E4030"/>
      <c r="F4030"/>
      <c r="G4030"/>
    </row>
    <row r="4031" spans="1:7">
      <c r="A4031"/>
      <c r="B4031"/>
      <c r="C4031"/>
      <c r="D4031"/>
      <c r="E4031"/>
      <c r="F4031"/>
      <c r="G4031"/>
    </row>
    <row r="4032" spans="1:7">
      <c r="A4032"/>
      <c r="B4032"/>
      <c r="C4032"/>
      <c r="D4032"/>
      <c r="E4032"/>
      <c r="F4032"/>
      <c r="G4032"/>
    </row>
    <row r="4033" spans="1:7">
      <c r="A4033"/>
      <c r="B4033"/>
      <c r="C4033"/>
      <c r="D4033"/>
      <c r="E4033"/>
      <c r="F4033"/>
      <c r="G4033"/>
    </row>
    <row r="4034" spans="1:7">
      <c r="A4034"/>
      <c r="B4034"/>
      <c r="C4034"/>
      <c r="D4034"/>
      <c r="E4034"/>
      <c r="F4034"/>
      <c r="G4034"/>
    </row>
    <row r="4035" spans="1:7">
      <c r="A4035"/>
      <c r="B4035"/>
      <c r="C4035"/>
      <c r="D4035"/>
      <c r="E4035"/>
      <c r="F4035"/>
      <c r="G4035"/>
    </row>
    <row r="4036" spans="1:7">
      <c r="A4036"/>
      <c r="B4036"/>
      <c r="C4036"/>
      <c r="D4036"/>
      <c r="E4036"/>
      <c r="F4036"/>
      <c r="G4036"/>
    </row>
    <row r="4037" spans="1:7">
      <c r="A4037"/>
      <c r="B4037"/>
      <c r="C4037"/>
      <c r="D4037"/>
      <c r="E4037"/>
      <c r="F4037"/>
      <c r="G4037"/>
    </row>
    <row r="4038" spans="1:7">
      <c r="A4038"/>
      <c r="B4038"/>
      <c r="C4038"/>
      <c r="D4038"/>
      <c r="E4038"/>
      <c r="F4038"/>
      <c r="G4038"/>
    </row>
    <row r="4039" spans="1:7">
      <c r="A4039"/>
      <c r="B4039"/>
      <c r="C4039"/>
      <c r="D4039"/>
      <c r="E4039"/>
      <c r="F4039"/>
      <c r="G4039"/>
    </row>
    <row r="4040" spans="1:7">
      <c r="A4040"/>
      <c r="B4040"/>
      <c r="C4040"/>
      <c r="D4040"/>
      <c r="E4040"/>
      <c r="F4040"/>
      <c r="G4040"/>
    </row>
    <row r="4041" spans="1:7">
      <c r="A4041"/>
      <c r="B4041"/>
      <c r="C4041"/>
      <c r="D4041"/>
      <c r="E4041"/>
      <c r="F4041"/>
      <c r="G4041"/>
    </row>
    <row r="4042" spans="1:7">
      <c r="A4042"/>
      <c r="B4042"/>
      <c r="C4042"/>
      <c r="D4042"/>
      <c r="E4042"/>
      <c r="F4042"/>
      <c r="G4042"/>
    </row>
    <row r="4043" spans="1:7">
      <c r="A4043"/>
      <c r="B4043"/>
      <c r="C4043"/>
      <c r="D4043"/>
      <c r="E4043"/>
      <c r="F4043"/>
      <c r="G4043"/>
    </row>
    <row r="4044" spans="1:7">
      <c r="A4044"/>
      <c r="B4044"/>
      <c r="C4044"/>
      <c r="D4044"/>
      <c r="E4044"/>
      <c r="F4044"/>
      <c r="G4044"/>
    </row>
    <row r="4045" spans="1:7">
      <c r="A4045"/>
      <c r="B4045"/>
      <c r="C4045"/>
      <c r="D4045"/>
      <c r="E4045"/>
      <c r="F4045"/>
      <c r="G4045"/>
    </row>
    <row r="4046" spans="1:7">
      <c r="A4046"/>
      <c r="B4046"/>
      <c r="C4046"/>
      <c r="D4046"/>
      <c r="E4046"/>
      <c r="F4046"/>
      <c r="G4046"/>
    </row>
    <row r="4047" spans="1:7">
      <c r="A4047"/>
      <c r="B4047"/>
      <c r="C4047"/>
      <c r="D4047"/>
      <c r="E4047"/>
      <c r="F4047"/>
      <c r="G4047"/>
    </row>
    <row r="4048" spans="1:7">
      <c r="A4048"/>
      <c r="B4048"/>
      <c r="C4048"/>
      <c r="D4048"/>
      <c r="E4048"/>
      <c r="F4048"/>
      <c r="G4048"/>
    </row>
    <row r="4049" spans="1:7">
      <c r="A4049"/>
      <c r="B4049"/>
      <c r="C4049"/>
      <c r="D4049"/>
      <c r="E4049"/>
      <c r="F4049"/>
      <c r="G4049"/>
    </row>
    <row r="4050" spans="1:7">
      <c r="A4050"/>
      <c r="B4050"/>
      <c r="C4050"/>
      <c r="D4050"/>
      <c r="E4050"/>
      <c r="F4050"/>
      <c r="G4050"/>
    </row>
    <row r="4051" spans="1:7">
      <c r="A4051"/>
      <c r="B4051"/>
      <c r="C4051"/>
      <c r="D4051"/>
      <c r="E4051"/>
      <c r="F4051"/>
      <c r="G4051"/>
    </row>
    <row r="4052" spans="1:7">
      <c r="A4052"/>
      <c r="B4052"/>
      <c r="C4052"/>
      <c r="D4052"/>
      <c r="E4052"/>
      <c r="F4052"/>
      <c r="G4052"/>
    </row>
    <row r="4053" spans="1:7">
      <c r="A4053"/>
      <c r="B4053"/>
      <c r="C4053"/>
      <c r="D4053"/>
      <c r="E4053"/>
      <c r="F4053"/>
      <c r="G4053"/>
    </row>
    <row r="4054" spans="1:7">
      <c r="A4054"/>
      <c r="B4054"/>
      <c r="C4054"/>
      <c r="D4054"/>
      <c r="E4054"/>
      <c r="F4054"/>
      <c r="G4054"/>
    </row>
    <row r="4055" spans="1:7">
      <c r="A4055"/>
      <c r="B4055"/>
      <c r="C4055"/>
      <c r="D4055"/>
      <c r="E4055"/>
      <c r="F4055"/>
      <c r="G4055"/>
    </row>
    <row r="4056" spans="1:7">
      <c r="A4056"/>
      <c r="B4056"/>
      <c r="C4056"/>
      <c r="D4056"/>
      <c r="E4056"/>
      <c r="F4056"/>
      <c r="G4056"/>
    </row>
    <row r="4057" spans="1:7">
      <c r="A4057"/>
      <c r="B4057"/>
      <c r="C4057"/>
      <c r="D4057"/>
      <c r="E4057"/>
      <c r="F4057"/>
      <c r="G4057"/>
    </row>
    <row r="4058" spans="1:7">
      <c r="A4058"/>
      <c r="B4058"/>
      <c r="C4058"/>
      <c r="D4058"/>
      <c r="E4058"/>
      <c r="F4058"/>
      <c r="G4058"/>
    </row>
    <row r="4059" spans="1:7">
      <c r="A4059"/>
      <c r="B4059"/>
      <c r="C4059"/>
      <c r="D4059"/>
      <c r="E4059"/>
      <c r="F4059"/>
      <c r="G4059"/>
    </row>
    <row r="4060" spans="1:7">
      <c r="A4060"/>
      <c r="B4060"/>
      <c r="C4060"/>
      <c r="D4060"/>
      <c r="E4060"/>
      <c r="F4060"/>
      <c r="G4060"/>
    </row>
    <row r="4061" spans="1:7">
      <c r="A4061"/>
      <c r="B4061"/>
      <c r="C4061"/>
      <c r="D4061"/>
      <c r="E4061"/>
      <c r="F4061"/>
      <c r="G4061"/>
    </row>
    <row r="4062" spans="1:7">
      <c r="A4062"/>
      <c r="B4062"/>
      <c r="C4062"/>
      <c r="D4062"/>
      <c r="E4062"/>
      <c r="F4062"/>
      <c r="G4062"/>
    </row>
    <row r="4063" spans="1:7">
      <c r="A4063"/>
      <c r="B4063"/>
      <c r="C4063"/>
      <c r="D4063"/>
      <c r="E4063"/>
      <c r="F4063"/>
      <c r="G4063"/>
    </row>
    <row r="4064" spans="1:7">
      <c r="A4064"/>
      <c r="B4064"/>
      <c r="C4064"/>
      <c r="D4064"/>
      <c r="E4064"/>
      <c r="F4064"/>
      <c r="G4064"/>
    </row>
    <row r="4065" spans="1:7">
      <c r="A4065"/>
      <c r="B4065"/>
      <c r="C4065"/>
      <c r="D4065"/>
      <c r="E4065"/>
      <c r="F4065"/>
      <c r="G4065"/>
    </row>
    <row r="4066" spans="1:7">
      <c r="A4066"/>
      <c r="B4066"/>
      <c r="C4066"/>
      <c r="D4066"/>
      <c r="E4066"/>
      <c r="F4066"/>
      <c r="G4066"/>
    </row>
    <row r="4067" spans="1:7">
      <c r="A4067"/>
      <c r="B4067"/>
      <c r="C4067"/>
      <c r="D4067"/>
      <c r="E4067"/>
      <c r="F4067"/>
      <c r="G4067"/>
    </row>
    <row r="4068" spans="1:7">
      <c r="A4068"/>
      <c r="B4068"/>
      <c r="C4068"/>
      <c r="D4068"/>
      <c r="E4068"/>
      <c r="F4068"/>
      <c r="G4068"/>
    </row>
    <row r="4069" spans="1:7">
      <c r="A4069"/>
      <c r="B4069"/>
      <c r="C4069"/>
      <c r="D4069"/>
      <c r="E4069"/>
      <c r="F4069"/>
      <c r="G4069"/>
    </row>
    <row r="4070" spans="1:7">
      <c r="A4070"/>
      <c r="B4070"/>
      <c r="C4070"/>
      <c r="D4070"/>
      <c r="E4070"/>
      <c r="F4070"/>
      <c r="G4070"/>
    </row>
    <row r="4071" spans="1:7">
      <c r="A4071"/>
      <c r="B4071"/>
      <c r="C4071"/>
      <c r="D4071"/>
      <c r="E4071"/>
      <c r="F4071"/>
      <c r="G4071"/>
    </row>
    <row r="4072" spans="1:7">
      <c r="A4072"/>
      <c r="B4072"/>
      <c r="C4072"/>
      <c r="D4072"/>
      <c r="E4072"/>
      <c r="F4072"/>
      <c r="G4072"/>
    </row>
    <row r="4073" spans="1:7">
      <c r="A4073"/>
      <c r="B4073"/>
      <c r="C4073"/>
      <c r="D4073"/>
      <c r="E4073"/>
      <c r="F4073"/>
      <c r="G4073"/>
    </row>
    <row r="4074" spans="1:7">
      <c r="A4074"/>
      <c r="B4074"/>
      <c r="C4074"/>
      <c r="D4074"/>
      <c r="E4074"/>
      <c r="F4074"/>
      <c r="G4074"/>
    </row>
    <row r="4075" spans="1:7">
      <c r="A4075"/>
      <c r="B4075"/>
      <c r="C4075"/>
      <c r="D4075"/>
      <c r="E4075"/>
      <c r="F4075"/>
      <c r="G4075"/>
    </row>
    <row r="4076" spans="1:7">
      <c r="A4076"/>
      <c r="B4076"/>
      <c r="C4076"/>
      <c r="D4076"/>
      <c r="E4076"/>
      <c r="F4076"/>
      <c r="G4076"/>
    </row>
    <row r="4077" spans="1:7">
      <c r="A4077"/>
      <c r="B4077"/>
      <c r="C4077"/>
      <c r="D4077"/>
      <c r="E4077"/>
      <c r="F4077"/>
      <c r="G4077"/>
    </row>
    <row r="4078" spans="1:7">
      <c r="A4078"/>
      <c r="B4078"/>
      <c r="C4078"/>
      <c r="D4078"/>
      <c r="E4078"/>
      <c r="F4078"/>
      <c r="G4078"/>
    </row>
    <row r="4079" spans="1:7">
      <c r="A4079"/>
      <c r="B4079"/>
      <c r="C4079"/>
      <c r="D4079"/>
      <c r="E4079"/>
      <c r="F4079"/>
      <c r="G4079"/>
    </row>
    <row r="4080" spans="1:7">
      <c r="A4080"/>
      <c r="B4080"/>
      <c r="C4080"/>
      <c r="D4080"/>
      <c r="E4080"/>
      <c r="F4080"/>
      <c r="G4080"/>
    </row>
    <row r="4081" spans="1:7">
      <c r="A4081"/>
      <c r="B4081"/>
      <c r="C4081"/>
      <c r="D4081"/>
      <c r="E4081"/>
      <c r="F4081"/>
      <c r="G4081"/>
    </row>
    <row r="4082" spans="1:7">
      <c r="A4082"/>
      <c r="B4082"/>
      <c r="C4082"/>
      <c r="D4082"/>
      <c r="E4082"/>
      <c r="F4082"/>
      <c r="G4082"/>
    </row>
    <row r="4083" spans="1:7">
      <c r="A4083"/>
      <c r="B4083"/>
      <c r="C4083"/>
      <c r="D4083"/>
      <c r="E4083"/>
      <c r="F4083"/>
      <c r="G4083"/>
    </row>
    <row r="4084" spans="1:7">
      <c r="A4084"/>
      <c r="B4084"/>
      <c r="C4084"/>
      <c r="D4084"/>
      <c r="E4084"/>
      <c r="F4084"/>
      <c r="G4084"/>
    </row>
    <row r="4085" spans="1:7">
      <c r="A4085"/>
      <c r="B4085"/>
      <c r="C4085"/>
      <c r="D4085"/>
      <c r="E4085"/>
      <c r="F4085"/>
      <c r="G4085"/>
    </row>
    <row r="4086" spans="1:7">
      <c r="A4086"/>
      <c r="B4086"/>
      <c r="C4086"/>
      <c r="D4086"/>
      <c r="E4086"/>
      <c r="F4086"/>
      <c r="G4086"/>
    </row>
    <row r="4087" spans="1:7">
      <c r="A4087"/>
      <c r="B4087"/>
      <c r="C4087"/>
      <c r="D4087"/>
      <c r="E4087"/>
      <c r="F4087"/>
      <c r="G4087"/>
    </row>
    <row r="4088" spans="1:7">
      <c r="A4088"/>
      <c r="B4088"/>
      <c r="C4088"/>
      <c r="D4088"/>
      <c r="E4088"/>
      <c r="F4088"/>
      <c r="G4088"/>
    </row>
    <row r="4089" spans="1:7">
      <c r="A4089"/>
      <c r="B4089"/>
      <c r="C4089"/>
      <c r="D4089"/>
      <c r="E4089"/>
      <c r="F4089"/>
      <c r="G4089"/>
    </row>
    <row r="4090" spans="1:7">
      <c r="A4090"/>
      <c r="B4090"/>
      <c r="C4090"/>
      <c r="D4090"/>
      <c r="E4090"/>
      <c r="F4090"/>
      <c r="G4090"/>
    </row>
    <row r="4091" spans="1:7">
      <c r="A4091"/>
      <c r="B4091"/>
      <c r="C4091"/>
      <c r="D4091"/>
      <c r="E4091"/>
      <c r="F4091"/>
      <c r="G4091"/>
    </row>
    <row r="4092" spans="1:7">
      <c r="A4092"/>
      <c r="B4092"/>
      <c r="C4092"/>
      <c r="D4092"/>
      <c r="E4092"/>
      <c r="F4092"/>
      <c r="G4092"/>
    </row>
    <row r="4093" spans="1:7">
      <c r="A4093"/>
      <c r="B4093"/>
      <c r="C4093"/>
      <c r="D4093"/>
      <c r="E4093"/>
      <c r="F4093"/>
      <c r="G4093"/>
    </row>
    <row r="4094" spans="1:7">
      <c r="A4094"/>
      <c r="B4094"/>
      <c r="C4094"/>
      <c r="D4094"/>
      <c r="E4094"/>
      <c r="F4094"/>
      <c r="G4094"/>
    </row>
    <row r="4095" spans="1:7">
      <c r="A4095"/>
      <c r="B4095"/>
      <c r="C4095"/>
      <c r="D4095"/>
      <c r="E4095"/>
      <c r="F4095"/>
      <c r="G4095"/>
    </row>
    <row r="4096" spans="1:7">
      <c r="A4096"/>
      <c r="B4096"/>
      <c r="C4096"/>
      <c r="D4096"/>
      <c r="E4096"/>
      <c r="F4096"/>
      <c r="G4096"/>
    </row>
    <row r="4097" spans="1:7">
      <c r="A4097"/>
      <c r="B4097"/>
      <c r="C4097"/>
      <c r="D4097"/>
      <c r="E4097"/>
      <c r="F4097"/>
      <c r="G4097"/>
    </row>
    <row r="4098" spans="1:7">
      <c r="A4098"/>
      <c r="B4098"/>
      <c r="C4098"/>
      <c r="D4098"/>
      <c r="E4098"/>
      <c r="F4098"/>
      <c r="G4098"/>
    </row>
    <row r="4099" spans="1:7">
      <c r="A4099"/>
      <c r="B4099"/>
      <c r="C4099"/>
      <c r="D4099"/>
      <c r="E4099"/>
      <c r="F4099"/>
      <c r="G4099"/>
    </row>
    <row r="4100" spans="1:7">
      <c r="A4100"/>
      <c r="B4100"/>
      <c r="C4100"/>
      <c r="D4100"/>
      <c r="E4100"/>
      <c r="F4100"/>
      <c r="G4100"/>
    </row>
    <row r="4101" spans="1:7">
      <c r="A4101"/>
      <c r="B4101"/>
      <c r="C4101"/>
      <c r="D4101"/>
      <c r="E4101"/>
      <c r="F4101"/>
      <c r="G4101"/>
    </row>
    <row r="4102" spans="1:7">
      <c r="A4102"/>
      <c r="B4102"/>
      <c r="C4102"/>
      <c r="D4102"/>
      <c r="E4102"/>
      <c r="F4102"/>
      <c r="G4102"/>
    </row>
    <row r="4103" spans="1:7">
      <c r="A4103"/>
      <c r="B4103"/>
      <c r="C4103"/>
      <c r="D4103"/>
      <c r="E4103"/>
      <c r="F4103"/>
      <c r="G4103"/>
    </row>
    <row r="4104" spans="1:7">
      <c r="A4104"/>
      <c r="B4104"/>
      <c r="C4104"/>
      <c r="D4104"/>
      <c r="E4104"/>
      <c r="F4104"/>
      <c r="G4104"/>
    </row>
    <row r="4105" spans="1:7">
      <c r="A4105"/>
      <c r="B4105"/>
      <c r="C4105"/>
      <c r="D4105"/>
      <c r="E4105"/>
      <c r="F4105"/>
      <c r="G4105"/>
    </row>
    <row r="4106" spans="1:7">
      <c r="A4106"/>
      <c r="B4106"/>
      <c r="C4106"/>
      <c r="D4106"/>
      <c r="E4106"/>
      <c r="F4106"/>
      <c r="G4106"/>
    </row>
    <row r="4107" spans="1:7">
      <c r="A4107"/>
      <c r="B4107"/>
      <c r="C4107"/>
      <c r="D4107"/>
      <c r="E4107"/>
      <c r="F4107"/>
      <c r="G4107"/>
    </row>
    <row r="4108" spans="1:7">
      <c r="A4108"/>
      <c r="B4108"/>
      <c r="C4108"/>
      <c r="D4108"/>
      <c r="E4108"/>
      <c r="F4108"/>
      <c r="G4108"/>
    </row>
    <row r="4109" spans="1:7">
      <c r="A4109"/>
      <c r="B4109"/>
      <c r="C4109"/>
      <c r="D4109"/>
      <c r="E4109"/>
      <c r="F4109"/>
      <c r="G4109"/>
    </row>
    <row r="4110" spans="1:7">
      <c r="A4110"/>
      <c r="B4110"/>
      <c r="C4110"/>
      <c r="D4110"/>
      <c r="E4110"/>
      <c r="F4110"/>
      <c r="G4110"/>
    </row>
    <row r="4111" spans="1:7">
      <c r="A4111"/>
      <c r="B4111"/>
      <c r="C4111"/>
      <c r="D4111"/>
      <c r="E4111"/>
      <c r="F4111"/>
      <c r="G4111"/>
    </row>
    <row r="4112" spans="1:7">
      <c r="A4112"/>
      <c r="B4112"/>
      <c r="C4112"/>
      <c r="D4112"/>
      <c r="E4112"/>
      <c r="F4112"/>
      <c r="G4112"/>
    </row>
    <row r="4113" spans="1:7">
      <c r="A4113"/>
      <c r="B4113"/>
      <c r="C4113"/>
      <c r="D4113"/>
      <c r="E4113"/>
      <c r="F4113"/>
      <c r="G4113"/>
    </row>
    <row r="4114" spans="1:7">
      <c r="A4114"/>
      <c r="B4114"/>
      <c r="C4114"/>
      <c r="D4114"/>
      <c r="E4114"/>
      <c r="F4114"/>
      <c r="G4114"/>
    </row>
    <row r="4115" spans="1:7">
      <c r="A4115"/>
      <c r="B4115"/>
      <c r="C4115"/>
      <c r="D4115"/>
      <c r="E4115"/>
      <c r="F4115"/>
      <c r="G4115"/>
    </row>
    <row r="4116" spans="1:7">
      <c r="A4116"/>
      <c r="B4116"/>
      <c r="C4116"/>
      <c r="D4116"/>
      <c r="E4116"/>
      <c r="F4116"/>
      <c r="G4116"/>
    </row>
    <row r="4117" spans="1:7">
      <c r="A4117"/>
      <c r="B4117"/>
      <c r="C4117"/>
      <c r="D4117"/>
      <c r="E4117"/>
      <c r="F4117"/>
      <c r="G4117"/>
    </row>
    <row r="4118" spans="1:7">
      <c r="A4118"/>
      <c r="B4118"/>
      <c r="C4118"/>
      <c r="D4118"/>
      <c r="E4118"/>
      <c r="F4118"/>
      <c r="G4118"/>
    </row>
    <row r="4119" spans="1:7">
      <c r="A4119"/>
      <c r="B4119"/>
      <c r="C4119"/>
      <c r="D4119"/>
      <c r="E4119"/>
      <c r="F4119"/>
      <c r="G4119"/>
    </row>
    <row r="4120" spans="1:7">
      <c r="A4120"/>
      <c r="B4120"/>
      <c r="C4120"/>
      <c r="D4120"/>
      <c r="E4120"/>
      <c r="F4120"/>
      <c r="G4120"/>
    </row>
    <row r="4121" spans="1:7">
      <c r="A4121"/>
      <c r="B4121"/>
      <c r="C4121"/>
      <c r="D4121"/>
      <c r="E4121"/>
      <c r="F4121"/>
      <c r="G4121"/>
    </row>
    <row r="4122" spans="1:7">
      <c r="A4122"/>
      <c r="B4122"/>
      <c r="C4122"/>
      <c r="D4122"/>
      <c r="E4122"/>
      <c r="F4122"/>
      <c r="G4122"/>
    </row>
    <row r="4123" spans="1:7">
      <c r="A4123"/>
      <c r="B4123"/>
      <c r="C4123"/>
      <c r="D4123"/>
      <c r="E4123"/>
      <c r="F4123"/>
      <c r="G4123"/>
    </row>
    <row r="4124" spans="1:7">
      <c r="A4124"/>
      <c r="B4124"/>
      <c r="C4124"/>
      <c r="D4124"/>
      <c r="E4124"/>
      <c r="F4124"/>
      <c r="G4124"/>
    </row>
    <row r="4125" spans="1:7">
      <c r="A4125"/>
      <c r="B4125"/>
      <c r="C4125"/>
      <c r="D4125"/>
      <c r="E4125"/>
      <c r="F4125"/>
      <c r="G4125"/>
    </row>
    <row r="4126" spans="1:7">
      <c r="A4126"/>
      <c r="B4126"/>
      <c r="C4126"/>
      <c r="D4126"/>
      <c r="E4126"/>
      <c r="F4126"/>
      <c r="G4126"/>
    </row>
    <row r="4127" spans="1:7">
      <c r="A4127"/>
      <c r="B4127"/>
      <c r="C4127"/>
      <c r="D4127"/>
      <c r="E4127"/>
      <c r="F4127"/>
      <c r="G4127"/>
    </row>
    <row r="4128" spans="1:7">
      <c r="A4128"/>
      <c r="B4128"/>
      <c r="C4128"/>
      <c r="D4128"/>
      <c r="E4128"/>
      <c r="F4128"/>
      <c r="G4128"/>
    </row>
    <row r="4129" spans="1:7">
      <c r="A4129"/>
      <c r="B4129"/>
      <c r="C4129"/>
      <c r="D4129"/>
      <c r="E4129"/>
      <c r="F4129"/>
      <c r="G4129"/>
    </row>
    <row r="4130" spans="1:7">
      <c r="A4130"/>
      <c r="B4130"/>
      <c r="C4130"/>
      <c r="D4130"/>
      <c r="E4130"/>
      <c r="F4130"/>
      <c r="G4130"/>
    </row>
    <row r="4131" spans="1:7">
      <c r="A4131"/>
      <c r="B4131"/>
      <c r="C4131"/>
      <c r="D4131"/>
      <c r="E4131"/>
      <c r="F4131"/>
      <c r="G4131"/>
    </row>
    <row r="4132" spans="1:7">
      <c r="A4132"/>
      <c r="B4132"/>
      <c r="C4132"/>
      <c r="D4132"/>
      <c r="E4132"/>
      <c r="F4132"/>
      <c r="G4132"/>
    </row>
    <row r="4133" spans="1:7">
      <c r="A4133"/>
      <c r="B4133"/>
      <c r="C4133"/>
      <c r="D4133"/>
      <c r="E4133"/>
      <c r="F4133"/>
      <c r="G4133"/>
    </row>
    <row r="4134" spans="1:7">
      <c r="A4134"/>
      <c r="B4134"/>
      <c r="C4134"/>
      <c r="D4134"/>
      <c r="E4134"/>
      <c r="F4134"/>
      <c r="G4134"/>
    </row>
    <row r="4135" spans="1:7">
      <c r="A4135"/>
      <c r="B4135"/>
      <c r="C4135"/>
      <c r="D4135"/>
      <c r="E4135"/>
      <c r="F4135"/>
      <c r="G4135"/>
    </row>
    <row r="4136" spans="1:7">
      <c r="A4136"/>
      <c r="B4136"/>
      <c r="C4136"/>
      <c r="D4136"/>
      <c r="E4136"/>
      <c r="F4136"/>
      <c r="G4136"/>
    </row>
    <row r="4137" spans="1:7">
      <c r="A4137"/>
      <c r="B4137"/>
      <c r="C4137"/>
      <c r="D4137"/>
      <c r="E4137"/>
      <c r="F4137"/>
      <c r="G4137"/>
    </row>
    <row r="4138" spans="1:7">
      <c r="A4138"/>
      <c r="B4138"/>
      <c r="C4138"/>
      <c r="D4138"/>
      <c r="E4138"/>
      <c r="F4138"/>
      <c r="G4138"/>
    </row>
    <row r="4139" spans="1:7">
      <c r="A4139"/>
      <c r="B4139"/>
      <c r="C4139"/>
      <c r="D4139"/>
      <c r="E4139"/>
      <c r="F4139"/>
      <c r="G4139"/>
    </row>
    <row r="4140" spans="1:7">
      <c r="A4140"/>
      <c r="B4140"/>
      <c r="C4140"/>
      <c r="D4140"/>
      <c r="E4140"/>
      <c r="F4140"/>
      <c r="G4140"/>
    </row>
    <row r="4141" spans="1:7">
      <c r="A4141"/>
      <c r="B4141"/>
      <c r="C4141"/>
      <c r="D4141"/>
      <c r="E4141"/>
      <c r="F4141"/>
      <c r="G4141"/>
    </row>
    <row r="4142" spans="1:7">
      <c r="A4142"/>
      <c r="B4142"/>
      <c r="C4142"/>
      <c r="D4142"/>
      <c r="E4142"/>
      <c r="F4142"/>
      <c r="G4142"/>
    </row>
    <row r="4143" spans="1:7">
      <c r="A4143"/>
      <c r="B4143"/>
      <c r="C4143"/>
      <c r="D4143"/>
      <c r="E4143"/>
      <c r="F4143"/>
      <c r="G4143"/>
    </row>
    <row r="4144" spans="1:7">
      <c r="A4144"/>
      <c r="B4144"/>
      <c r="C4144"/>
      <c r="D4144"/>
      <c r="E4144"/>
      <c r="F4144"/>
      <c r="G4144"/>
    </row>
    <row r="4145" spans="1:7">
      <c r="A4145"/>
      <c r="B4145"/>
      <c r="C4145"/>
      <c r="D4145"/>
      <c r="E4145"/>
      <c r="F4145"/>
      <c r="G4145"/>
    </row>
    <row r="4146" spans="1:7">
      <c r="A4146"/>
      <c r="B4146"/>
      <c r="C4146"/>
      <c r="D4146"/>
      <c r="E4146"/>
      <c r="F4146"/>
      <c r="G4146"/>
    </row>
    <row r="4147" spans="1:7">
      <c r="A4147"/>
      <c r="B4147"/>
      <c r="C4147"/>
      <c r="D4147"/>
      <c r="E4147"/>
      <c r="F4147"/>
      <c r="G4147"/>
    </row>
    <row r="4148" spans="1:7">
      <c r="A4148"/>
      <c r="B4148"/>
      <c r="C4148"/>
      <c r="D4148"/>
      <c r="E4148"/>
      <c r="F4148"/>
      <c r="G4148"/>
    </row>
    <row r="4149" spans="1:7">
      <c r="A4149"/>
      <c r="B4149"/>
      <c r="C4149"/>
      <c r="D4149"/>
      <c r="E4149"/>
      <c r="F4149"/>
      <c r="G4149"/>
    </row>
    <row r="4150" spans="1:7">
      <c r="A4150"/>
      <c r="B4150"/>
      <c r="C4150"/>
      <c r="D4150"/>
      <c r="E4150"/>
      <c r="F4150"/>
      <c r="G4150"/>
    </row>
    <row r="4151" spans="1:7">
      <c r="A4151"/>
      <c r="B4151"/>
      <c r="C4151"/>
      <c r="D4151"/>
      <c r="E4151"/>
      <c r="F4151"/>
      <c r="G4151"/>
    </row>
    <row r="4152" spans="1:7">
      <c r="A4152"/>
      <c r="B4152"/>
      <c r="C4152"/>
      <c r="D4152"/>
      <c r="E4152"/>
      <c r="F4152"/>
      <c r="G4152"/>
    </row>
    <row r="4153" spans="1:7">
      <c r="A4153"/>
      <c r="B4153"/>
      <c r="C4153"/>
      <c r="D4153"/>
      <c r="E4153"/>
      <c r="F4153"/>
      <c r="G4153"/>
    </row>
    <row r="4154" spans="1:7">
      <c r="A4154"/>
      <c r="B4154"/>
      <c r="C4154"/>
      <c r="D4154"/>
      <c r="E4154"/>
      <c r="F4154"/>
      <c r="G4154"/>
    </row>
    <row r="4155" spans="1:7">
      <c r="A4155"/>
      <c r="B4155"/>
      <c r="C4155"/>
      <c r="D4155"/>
      <c r="E4155"/>
      <c r="F4155"/>
      <c r="G4155"/>
    </row>
    <row r="4156" spans="1:7">
      <c r="A4156"/>
      <c r="B4156"/>
      <c r="C4156"/>
      <c r="D4156"/>
      <c r="E4156"/>
      <c r="F4156"/>
      <c r="G4156"/>
    </row>
    <row r="4157" spans="1:7">
      <c r="A4157"/>
      <c r="B4157"/>
      <c r="C4157"/>
      <c r="D4157"/>
      <c r="E4157"/>
      <c r="F4157"/>
      <c r="G4157"/>
    </row>
    <row r="4158" spans="1:7">
      <c r="A4158"/>
      <c r="B4158"/>
      <c r="C4158"/>
      <c r="D4158"/>
      <c r="E4158"/>
      <c r="F4158"/>
      <c r="G4158"/>
    </row>
    <row r="4159" spans="1:7">
      <c r="A4159"/>
      <c r="B4159"/>
      <c r="C4159"/>
      <c r="D4159"/>
      <c r="E4159"/>
      <c r="F4159"/>
      <c r="G4159"/>
    </row>
    <row r="4160" spans="1:7">
      <c r="A4160"/>
      <c r="B4160"/>
      <c r="C4160"/>
      <c r="D4160"/>
      <c r="E4160"/>
      <c r="F4160"/>
      <c r="G4160"/>
    </row>
    <row r="4161" spans="1:7">
      <c r="A4161"/>
      <c r="B4161"/>
      <c r="C4161"/>
      <c r="D4161"/>
      <c r="E4161"/>
      <c r="F4161"/>
      <c r="G4161"/>
    </row>
    <row r="4162" spans="1:7">
      <c r="A4162"/>
      <c r="B4162"/>
      <c r="C4162"/>
      <c r="D4162"/>
      <c r="E4162"/>
      <c r="F4162"/>
      <c r="G4162"/>
    </row>
    <row r="4163" spans="1:7">
      <c r="A4163"/>
      <c r="B4163"/>
      <c r="C4163"/>
      <c r="D4163"/>
      <c r="E4163"/>
      <c r="F4163"/>
      <c r="G4163"/>
    </row>
    <row r="4164" spans="1:7">
      <c r="A4164"/>
      <c r="B4164"/>
      <c r="C4164"/>
      <c r="D4164"/>
      <c r="E4164"/>
      <c r="F4164"/>
      <c r="G4164"/>
    </row>
    <row r="4165" spans="1:7">
      <c r="A4165"/>
      <c r="B4165"/>
      <c r="C4165"/>
      <c r="D4165"/>
      <c r="E4165"/>
      <c r="F4165"/>
      <c r="G4165"/>
    </row>
    <row r="4166" spans="1:7">
      <c r="A4166"/>
      <c r="B4166"/>
      <c r="C4166"/>
      <c r="D4166"/>
      <c r="E4166"/>
      <c r="F4166"/>
      <c r="G4166"/>
    </row>
    <row r="4167" spans="1:7">
      <c r="A4167"/>
      <c r="B4167"/>
      <c r="C4167"/>
      <c r="D4167"/>
      <c r="E4167"/>
      <c r="F4167"/>
      <c r="G4167"/>
    </row>
    <row r="4168" spans="1:7">
      <c r="A4168"/>
      <c r="B4168"/>
      <c r="C4168"/>
      <c r="D4168"/>
      <c r="E4168"/>
      <c r="F4168"/>
      <c r="G4168"/>
    </row>
    <row r="4169" spans="1:7">
      <c r="A4169"/>
      <c r="B4169"/>
      <c r="C4169"/>
      <c r="D4169"/>
      <c r="E4169"/>
      <c r="F4169"/>
      <c r="G4169"/>
    </row>
    <row r="4170" spans="1:7">
      <c r="A4170"/>
      <c r="B4170"/>
      <c r="C4170"/>
      <c r="D4170"/>
      <c r="E4170"/>
      <c r="F4170"/>
      <c r="G4170"/>
    </row>
    <row r="4171" spans="1:7">
      <c r="A4171"/>
      <c r="B4171"/>
      <c r="C4171"/>
      <c r="D4171"/>
      <c r="E4171"/>
      <c r="F4171"/>
      <c r="G4171"/>
    </row>
    <row r="4172" spans="1:7">
      <c r="A4172"/>
      <c r="B4172"/>
      <c r="C4172"/>
      <c r="D4172"/>
      <c r="E4172"/>
      <c r="F4172"/>
      <c r="G4172"/>
    </row>
    <row r="4173" spans="1:7">
      <c r="A4173"/>
      <c r="B4173"/>
      <c r="C4173"/>
      <c r="D4173"/>
      <c r="E4173"/>
      <c r="F4173"/>
      <c r="G4173"/>
    </row>
    <row r="4174" spans="1:7">
      <c r="A4174"/>
      <c r="B4174"/>
      <c r="C4174"/>
      <c r="D4174"/>
      <c r="E4174"/>
      <c r="F4174"/>
      <c r="G4174"/>
    </row>
    <row r="4175" spans="1:7">
      <c r="A4175"/>
      <c r="B4175"/>
      <c r="C4175"/>
      <c r="D4175"/>
      <c r="E4175"/>
      <c r="F4175"/>
      <c r="G4175"/>
    </row>
    <row r="4176" spans="1:7">
      <c r="A4176"/>
      <c r="B4176"/>
      <c r="C4176"/>
      <c r="D4176"/>
      <c r="E4176"/>
      <c r="F4176"/>
      <c r="G4176"/>
    </row>
    <row r="4177" spans="1:7">
      <c r="A4177"/>
      <c r="B4177"/>
      <c r="C4177"/>
      <c r="D4177"/>
      <c r="E4177"/>
      <c r="F4177"/>
      <c r="G4177"/>
    </row>
    <row r="4178" spans="1:7">
      <c r="A4178"/>
      <c r="B4178"/>
      <c r="C4178"/>
      <c r="D4178"/>
      <c r="E4178"/>
      <c r="F4178"/>
      <c r="G4178"/>
    </row>
    <row r="4179" spans="1:7">
      <c r="A4179"/>
      <c r="B4179"/>
      <c r="C4179"/>
      <c r="D4179"/>
      <c r="E4179"/>
      <c r="F4179"/>
      <c r="G4179"/>
    </row>
    <row r="4180" spans="1:7">
      <c r="A4180"/>
      <c r="B4180"/>
      <c r="C4180"/>
      <c r="D4180"/>
      <c r="E4180"/>
      <c r="F4180"/>
      <c r="G4180"/>
    </row>
    <row r="4181" spans="1:7">
      <c r="A4181"/>
      <c r="B4181"/>
      <c r="C4181"/>
      <c r="D4181"/>
      <c r="E4181"/>
      <c r="F4181"/>
      <c r="G4181"/>
    </row>
    <row r="4182" spans="1:7">
      <c r="A4182"/>
      <c r="B4182"/>
      <c r="C4182"/>
      <c r="D4182"/>
      <c r="E4182"/>
      <c r="F4182"/>
      <c r="G4182"/>
    </row>
    <row r="4183" spans="1:7">
      <c r="A4183"/>
      <c r="B4183"/>
      <c r="C4183"/>
      <c r="D4183"/>
      <c r="E4183"/>
      <c r="F4183"/>
      <c r="G4183"/>
    </row>
    <row r="4184" spans="1:7">
      <c r="A4184"/>
      <c r="B4184"/>
      <c r="C4184"/>
      <c r="D4184"/>
      <c r="E4184"/>
      <c r="F4184"/>
      <c r="G4184"/>
    </row>
    <row r="4185" spans="1:7">
      <c r="A4185"/>
      <c r="B4185"/>
      <c r="C4185"/>
      <c r="D4185"/>
      <c r="E4185"/>
      <c r="F4185"/>
      <c r="G4185"/>
    </row>
    <row r="4186" spans="1:7">
      <c r="A4186"/>
      <c r="B4186"/>
      <c r="C4186"/>
      <c r="D4186"/>
      <c r="E4186"/>
      <c r="F4186"/>
      <c r="G4186"/>
    </row>
    <row r="4187" spans="1:7">
      <c r="A4187"/>
      <c r="B4187"/>
      <c r="C4187"/>
      <c r="D4187"/>
      <c r="E4187"/>
      <c r="F4187"/>
      <c r="G4187"/>
    </row>
    <row r="4188" spans="1:7">
      <c r="A4188"/>
      <c r="B4188"/>
      <c r="C4188"/>
      <c r="D4188"/>
      <c r="E4188"/>
      <c r="F4188"/>
      <c r="G4188"/>
    </row>
    <row r="4189" spans="1:7">
      <c r="A4189"/>
      <c r="B4189"/>
      <c r="C4189"/>
      <c r="D4189"/>
      <c r="E4189"/>
      <c r="F4189"/>
      <c r="G4189"/>
    </row>
    <row r="4190" spans="1:7">
      <c r="A4190"/>
      <c r="B4190"/>
      <c r="C4190"/>
      <c r="D4190"/>
      <c r="E4190"/>
      <c r="F4190"/>
      <c r="G4190"/>
    </row>
    <row r="4191" spans="1:7">
      <c r="A4191"/>
      <c r="B4191"/>
      <c r="C4191"/>
      <c r="D4191"/>
      <c r="E4191"/>
      <c r="F4191"/>
      <c r="G4191"/>
    </row>
    <row r="4192" spans="1:7">
      <c r="A4192"/>
      <c r="B4192"/>
      <c r="C4192"/>
      <c r="D4192"/>
      <c r="E4192"/>
      <c r="F4192"/>
      <c r="G4192"/>
    </row>
    <row r="4193" spans="1:7">
      <c r="A4193"/>
      <c r="B4193"/>
      <c r="C4193"/>
      <c r="D4193"/>
      <c r="E4193"/>
      <c r="F4193"/>
      <c r="G4193"/>
    </row>
    <row r="4194" spans="1:7">
      <c r="A4194"/>
      <c r="B4194"/>
      <c r="C4194"/>
      <c r="D4194"/>
      <c r="E4194"/>
      <c r="F4194"/>
      <c r="G4194"/>
    </row>
    <row r="4195" spans="1:7">
      <c r="A4195"/>
      <c r="B4195"/>
      <c r="C4195"/>
      <c r="D4195"/>
      <c r="E4195"/>
      <c r="F4195"/>
      <c r="G4195"/>
    </row>
    <row r="4196" spans="1:7">
      <c r="A4196"/>
      <c r="B4196"/>
      <c r="C4196"/>
      <c r="D4196"/>
      <c r="E4196"/>
      <c r="F4196"/>
      <c r="G4196"/>
    </row>
    <row r="4197" spans="1:7">
      <c r="A4197"/>
      <c r="B4197"/>
      <c r="C4197"/>
      <c r="D4197"/>
      <c r="E4197"/>
      <c r="F4197"/>
      <c r="G4197"/>
    </row>
    <row r="4198" spans="1:7">
      <c r="A4198"/>
      <c r="B4198"/>
      <c r="C4198"/>
      <c r="D4198"/>
      <c r="E4198"/>
      <c r="F4198"/>
      <c r="G4198"/>
    </row>
    <row r="4199" spans="1:7">
      <c r="A4199"/>
      <c r="B4199"/>
      <c r="C4199"/>
      <c r="D4199"/>
      <c r="E4199"/>
      <c r="F4199"/>
      <c r="G4199"/>
    </row>
    <row r="4200" spans="1:7">
      <c r="A4200"/>
      <c r="B4200"/>
      <c r="C4200"/>
      <c r="D4200"/>
      <c r="E4200"/>
      <c r="F4200"/>
      <c r="G4200"/>
    </row>
    <row r="4201" spans="1:7">
      <c r="A4201"/>
      <c r="B4201"/>
      <c r="C4201"/>
      <c r="D4201"/>
      <c r="E4201"/>
      <c r="F4201"/>
      <c r="G4201"/>
    </row>
    <row r="4202" spans="1:7">
      <c r="A4202"/>
      <c r="B4202"/>
      <c r="C4202"/>
      <c r="D4202"/>
      <c r="E4202"/>
      <c r="F4202"/>
      <c r="G4202"/>
    </row>
    <row r="4203" spans="1:7">
      <c r="A4203"/>
      <c r="B4203"/>
      <c r="C4203"/>
      <c r="D4203"/>
      <c r="E4203"/>
      <c r="F4203"/>
      <c r="G4203"/>
    </row>
    <row r="4204" spans="1:7">
      <c r="A4204"/>
      <c r="B4204"/>
      <c r="C4204"/>
      <c r="D4204"/>
      <c r="E4204"/>
      <c r="F4204"/>
      <c r="G4204"/>
    </row>
    <row r="4205" spans="1:7">
      <c r="A4205"/>
      <c r="B4205"/>
      <c r="C4205"/>
      <c r="D4205"/>
      <c r="E4205"/>
      <c r="F4205"/>
      <c r="G4205"/>
    </row>
    <row r="4206" spans="1:7">
      <c r="A4206"/>
      <c r="B4206"/>
      <c r="C4206"/>
      <c r="D4206"/>
      <c r="E4206"/>
      <c r="F4206"/>
      <c r="G4206"/>
    </row>
    <row r="4207" spans="1:7">
      <c r="A4207"/>
      <c r="B4207"/>
      <c r="C4207"/>
      <c r="D4207"/>
      <c r="E4207"/>
      <c r="F4207"/>
      <c r="G4207"/>
    </row>
    <row r="4208" spans="1:7">
      <c r="A4208"/>
      <c r="B4208"/>
      <c r="C4208"/>
      <c r="D4208"/>
      <c r="E4208"/>
      <c r="F4208"/>
      <c r="G4208"/>
    </row>
    <row r="4209" spans="1:7">
      <c r="A4209"/>
      <c r="B4209"/>
      <c r="C4209"/>
      <c r="D4209"/>
      <c r="E4209"/>
      <c r="F4209"/>
      <c r="G4209"/>
    </row>
    <row r="4210" spans="1:7">
      <c r="A4210"/>
      <c r="B4210"/>
      <c r="C4210"/>
      <c r="D4210"/>
      <c r="E4210"/>
      <c r="F4210"/>
      <c r="G4210"/>
    </row>
    <row r="4211" spans="1:7">
      <c r="A4211"/>
      <c r="B4211"/>
      <c r="C4211"/>
      <c r="D4211"/>
      <c r="E4211"/>
      <c r="F4211"/>
      <c r="G4211"/>
    </row>
    <row r="4212" spans="1:7">
      <c r="A4212"/>
      <c r="B4212"/>
      <c r="C4212"/>
      <c r="D4212"/>
      <c r="E4212"/>
      <c r="F4212"/>
      <c r="G4212"/>
    </row>
    <row r="4213" spans="1:7">
      <c r="A4213"/>
      <c r="B4213"/>
      <c r="C4213"/>
      <c r="D4213"/>
      <c r="E4213"/>
      <c r="F4213"/>
      <c r="G4213"/>
    </row>
    <row r="4214" spans="1:7">
      <c r="A4214"/>
      <c r="B4214"/>
      <c r="C4214"/>
      <c r="D4214"/>
      <c r="E4214"/>
      <c r="F4214"/>
      <c r="G4214"/>
    </row>
    <row r="4215" spans="1:7">
      <c r="A4215"/>
      <c r="B4215"/>
      <c r="C4215"/>
      <c r="D4215"/>
      <c r="E4215"/>
      <c r="F4215"/>
      <c r="G4215"/>
    </row>
    <row r="4216" spans="1:7">
      <c r="A4216"/>
      <c r="B4216"/>
      <c r="C4216"/>
      <c r="D4216"/>
      <c r="E4216"/>
      <c r="F4216"/>
      <c r="G4216"/>
    </row>
    <row r="4217" spans="1:7">
      <c r="A4217"/>
      <c r="B4217"/>
      <c r="C4217"/>
      <c r="D4217"/>
      <c r="E4217"/>
      <c r="F4217"/>
      <c r="G4217"/>
    </row>
    <row r="4218" spans="1:7">
      <c r="A4218"/>
      <c r="B4218"/>
      <c r="C4218"/>
      <c r="D4218"/>
      <c r="E4218"/>
      <c r="F4218"/>
      <c r="G4218"/>
    </row>
    <row r="4219" spans="1:7">
      <c r="A4219"/>
      <c r="B4219"/>
      <c r="C4219"/>
      <c r="D4219"/>
      <c r="E4219"/>
      <c r="F4219"/>
      <c r="G4219"/>
    </row>
    <row r="4220" spans="1:7">
      <c r="A4220"/>
      <c r="B4220"/>
      <c r="C4220"/>
      <c r="D4220"/>
      <c r="E4220"/>
      <c r="F4220"/>
      <c r="G4220"/>
    </row>
    <row r="4221" spans="1:7">
      <c r="A4221"/>
      <c r="B4221"/>
      <c r="C4221"/>
      <c r="D4221"/>
      <c r="E4221"/>
      <c r="F4221"/>
      <c r="G4221"/>
    </row>
    <row r="4222" spans="1:7">
      <c r="A4222"/>
      <c r="B4222"/>
      <c r="C4222"/>
      <c r="D4222"/>
      <c r="E4222"/>
      <c r="F4222"/>
      <c r="G4222"/>
    </row>
    <row r="4223" spans="1:7">
      <c r="A4223"/>
      <c r="B4223"/>
      <c r="C4223"/>
      <c r="D4223"/>
      <c r="E4223"/>
      <c r="F4223"/>
      <c r="G4223"/>
    </row>
    <row r="4224" spans="1:7">
      <c r="A4224"/>
      <c r="B4224"/>
      <c r="C4224"/>
      <c r="D4224"/>
      <c r="E4224"/>
      <c r="F4224"/>
      <c r="G4224"/>
    </row>
    <row r="4225" spans="1:7">
      <c r="A4225"/>
      <c r="B4225"/>
      <c r="C4225"/>
      <c r="D4225"/>
      <c r="E4225"/>
      <c r="F4225"/>
      <c r="G4225"/>
    </row>
    <row r="4226" spans="1:7">
      <c r="A4226"/>
      <c r="B4226"/>
      <c r="C4226"/>
      <c r="D4226"/>
      <c r="E4226"/>
      <c r="F4226"/>
      <c r="G4226"/>
    </row>
    <row r="4227" spans="1:7">
      <c r="A4227"/>
      <c r="B4227"/>
      <c r="C4227"/>
      <c r="D4227"/>
      <c r="E4227"/>
      <c r="F4227"/>
      <c r="G4227"/>
    </row>
    <row r="4228" spans="1:7">
      <c r="A4228"/>
      <c r="B4228"/>
      <c r="C4228"/>
      <c r="D4228"/>
      <c r="E4228"/>
      <c r="F4228"/>
      <c r="G4228"/>
    </row>
    <row r="4229" spans="1:7">
      <c r="A4229"/>
      <c r="B4229"/>
      <c r="C4229"/>
      <c r="D4229"/>
      <c r="E4229"/>
      <c r="F4229"/>
      <c r="G4229"/>
    </row>
    <row r="4230" spans="1:7">
      <c r="A4230"/>
      <c r="B4230"/>
      <c r="C4230"/>
      <c r="D4230"/>
      <c r="E4230"/>
      <c r="F4230"/>
      <c r="G4230"/>
    </row>
    <row r="4231" spans="1:7">
      <c r="A4231"/>
      <c r="B4231"/>
      <c r="C4231"/>
      <c r="D4231"/>
      <c r="E4231"/>
      <c r="F4231"/>
      <c r="G4231"/>
    </row>
    <row r="4232" spans="1:7">
      <c r="A4232"/>
      <c r="B4232"/>
      <c r="C4232"/>
      <c r="D4232"/>
      <c r="E4232"/>
      <c r="F4232"/>
      <c r="G4232"/>
    </row>
    <row r="4233" spans="1:7">
      <c r="A4233"/>
      <c r="B4233"/>
      <c r="C4233"/>
      <c r="D4233"/>
      <c r="E4233"/>
      <c r="F4233"/>
      <c r="G4233"/>
    </row>
    <row r="4234" spans="1:7">
      <c r="A4234"/>
      <c r="B4234"/>
      <c r="C4234"/>
      <c r="D4234"/>
      <c r="E4234"/>
      <c r="F4234"/>
      <c r="G4234"/>
    </row>
    <row r="4235" spans="1:7">
      <c r="A4235"/>
      <c r="B4235"/>
      <c r="C4235"/>
      <c r="D4235"/>
      <c r="E4235"/>
      <c r="F4235"/>
      <c r="G4235"/>
    </row>
    <row r="4236" spans="1:7">
      <c r="A4236"/>
      <c r="B4236"/>
      <c r="C4236"/>
      <c r="D4236"/>
      <c r="E4236"/>
      <c r="F4236"/>
      <c r="G4236"/>
    </row>
    <row r="4237" spans="1:7">
      <c r="A4237"/>
      <c r="B4237"/>
      <c r="C4237"/>
      <c r="D4237"/>
      <c r="E4237"/>
      <c r="F4237"/>
      <c r="G4237"/>
    </row>
    <row r="4238" spans="1:7">
      <c r="A4238"/>
      <c r="B4238"/>
      <c r="C4238"/>
      <c r="D4238"/>
      <c r="E4238"/>
      <c r="F4238"/>
      <c r="G4238"/>
    </row>
    <row r="4239" spans="1:7">
      <c r="A4239"/>
      <c r="B4239"/>
      <c r="C4239"/>
      <c r="D4239"/>
      <c r="E4239"/>
      <c r="F4239"/>
      <c r="G4239"/>
    </row>
    <row r="4240" spans="1:7">
      <c r="A4240"/>
      <c r="B4240"/>
      <c r="C4240"/>
      <c r="D4240"/>
      <c r="E4240"/>
      <c r="F4240"/>
      <c r="G4240"/>
    </row>
    <row r="4241" spans="1:7">
      <c r="A4241"/>
      <c r="B4241"/>
      <c r="C4241"/>
      <c r="D4241"/>
      <c r="E4241"/>
      <c r="F4241"/>
      <c r="G4241"/>
    </row>
    <row r="4242" spans="1:7">
      <c r="A4242"/>
      <c r="B4242"/>
      <c r="C4242"/>
      <c r="D4242"/>
      <c r="E4242"/>
      <c r="F4242"/>
      <c r="G4242"/>
    </row>
    <row r="4243" spans="1:7">
      <c r="A4243"/>
      <c r="B4243"/>
      <c r="C4243"/>
      <c r="D4243"/>
      <c r="E4243"/>
      <c r="F4243"/>
      <c r="G4243"/>
    </row>
    <row r="4244" spans="1:7">
      <c r="A4244"/>
      <c r="B4244"/>
      <c r="C4244"/>
      <c r="D4244"/>
      <c r="E4244"/>
      <c r="F4244"/>
      <c r="G4244"/>
    </row>
    <row r="4245" spans="1:7">
      <c r="A4245"/>
      <c r="B4245"/>
      <c r="C4245"/>
      <c r="D4245"/>
      <c r="E4245"/>
      <c r="F4245"/>
      <c r="G4245"/>
    </row>
    <row r="4246" spans="1:7">
      <c r="A4246"/>
      <c r="B4246"/>
      <c r="C4246"/>
      <c r="D4246"/>
      <c r="E4246"/>
      <c r="F4246"/>
      <c r="G4246"/>
    </row>
    <row r="4247" spans="1:7">
      <c r="A4247"/>
      <c r="B4247"/>
      <c r="C4247"/>
      <c r="D4247"/>
      <c r="E4247"/>
      <c r="F4247"/>
      <c r="G4247"/>
    </row>
    <row r="4248" spans="1:7">
      <c r="A4248"/>
      <c r="B4248"/>
      <c r="C4248"/>
      <c r="D4248"/>
      <c r="E4248"/>
      <c r="F4248"/>
      <c r="G4248"/>
    </row>
    <row r="4249" spans="1:7">
      <c r="A4249"/>
      <c r="B4249"/>
      <c r="C4249"/>
      <c r="D4249"/>
      <c r="E4249"/>
      <c r="F4249"/>
      <c r="G4249"/>
    </row>
    <row r="4250" spans="1:7">
      <c r="A4250"/>
      <c r="B4250"/>
      <c r="C4250"/>
      <c r="D4250"/>
      <c r="E4250"/>
      <c r="F4250"/>
      <c r="G4250"/>
    </row>
    <row r="4251" spans="1:7">
      <c r="A4251"/>
      <c r="B4251"/>
      <c r="C4251"/>
      <c r="D4251"/>
      <c r="E4251"/>
      <c r="F4251"/>
      <c r="G4251"/>
    </row>
    <row r="4252" spans="1:7">
      <c r="A4252"/>
      <c r="B4252"/>
      <c r="C4252"/>
      <c r="D4252"/>
      <c r="E4252"/>
      <c r="F4252"/>
      <c r="G4252"/>
    </row>
    <row r="4253" spans="1:7">
      <c r="A4253"/>
      <c r="B4253"/>
      <c r="C4253"/>
      <c r="D4253"/>
      <c r="E4253"/>
      <c r="F4253"/>
      <c r="G4253"/>
    </row>
    <row r="4254" spans="1:7">
      <c r="A4254"/>
      <c r="B4254"/>
      <c r="C4254"/>
      <c r="D4254"/>
      <c r="E4254"/>
      <c r="F4254"/>
      <c r="G4254"/>
    </row>
    <row r="4255" spans="1:7">
      <c r="A4255"/>
      <c r="B4255"/>
      <c r="C4255"/>
      <c r="D4255"/>
      <c r="E4255"/>
      <c r="F4255"/>
      <c r="G4255"/>
    </row>
    <row r="4256" spans="1:7">
      <c r="A4256"/>
      <c r="B4256"/>
      <c r="C4256"/>
      <c r="D4256"/>
      <c r="E4256"/>
      <c r="F4256"/>
      <c r="G4256"/>
    </row>
    <row r="4257" spans="1:7">
      <c r="A4257"/>
      <c r="B4257"/>
      <c r="C4257"/>
      <c r="D4257"/>
      <c r="E4257"/>
      <c r="F4257"/>
      <c r="G4257"/>
    </row>
    <row r="4258" spans="1:7">
      <c r="A4258"/>
      <c r="B4258"/>
      <c r="C4258"/>
      <c r="D4258"/>
      <c r="E4258"/>
      <c r="F4258"/>
      <c r="G4258"/>
    </row>
    <row r="4259" spans="1:7">
      <c r="A4259"/>
      <c r="B4259"/>
      <c r="C4259"/>
      <c r="D4259"/>
      <c r="E4259"/>
      <c r="F4259"/>
      <c r="G4259"/>
    </row>
    <row r="4260" spans="1:7">
      <c r="A4260"/>
      <c r="B4260"/>
      <c r="C4260"/>
      <c r="D4260"/>
      <c r="E4260"/>
      <c r="F4260"/>
      <c r="G4260"/>
    </row>
    <row r="4261" spans="1:7">
      <c r="A4261"/>
      <c r="B4261"/>
      <c r="C4261"/>
      <c r="D4261"/>
      <c r="E4261"/>
      <c r="F4261"/>
      <c r="G4261"/>
    </row>
    <row r="4262" spans="1:7">
      <c r="A4262"/>
      <c r="B4262"/>
      <c r="C4262"/>
      <c r="D4262"/>
      <c r="E4262"/>
      <c r="F4262"/>
      <c r="G4262"/>
    </row>
    <row r="4263" spans="1:7">
      <c r="A4263"/>
      <c r="B4263"/>
      <c r="C4263"/>
      <c r="D4263"/>
      <c r="E4263"/>
      <c r="F4263"/>
      <c r="G4263"/>
    </row>
    <row r="4264" spans="1:7">
      <c r="A4264"/>
      <c r="B4264"/>
      <c r="C4264"/>
      <c r="D4264"/>
      <c r="E4264"/>
      <c r="F4264"/>
      <c r="G4264"/>
    </row>
    <row r="4265" spans="1:7">
      <c r="A4265"/>
      <c r="B4265"/>
      <c r="C4265"/>
      <c r="D4265"/>
      <c r="E4265"/>
      <c r="F4265"/>
      <c r="G4265"/>
    </row>
    <row r="4266" spans="1:7">
      <c r="A4266"/>
      <c r="B4266"/>
      <c r="C4266"/>
      <c r="D4266"/>
      <c r="E4266"/>
      <c r="F4266"/>
      <c r="G4266"/>
    </row>
    <row r="4267" spans="1:7">
      <c r="A4267"/>
      <c r="B4267"/>
      <c r="C4267"/>
      <c r="D4267"/>
      <c r="E4267"/>
      <c r="F4267"/>
      <c r="G4267"/>
    </row>
    <row r="4268" spans="1:7">
      <c r="A4268"/>
      <c r="B4268"/>
      <c r="C4268"/>
      <c r="D4268"/>
      <c r="E4268"/>
      <c r="F4268"/>
      <c r="G4268"/>
    </row>
    <row r="4269" spans="1:7">
      <c r="A4269"/>
      <c r="B4269"/>
      <c r="C4269"/>
      <c r="D4269"/>
      <c r="E4269"/>
      <c r="F4269"/>
      <c r="G4269"/>
    </row>
    <row r="4270" spans="1:7">
      <c r="A4270"/>
      <c r="B4270"/>
      <c r="C4270"/>
      <c r="D4270"/>
      <c r="E4270"/>
      <c r="F4270"/>
      <c r="G4270"/>
    </row>
    <row r="4271" spans="1:7">
      <c r="A4271"/>
      <c r="B4271"/>
      <c r="C4271"/>
      <c r="D4271"/>
      <c r="E4271"/>
      <c r="F4271"/>
      <c r="G4271"/>
    </row>
    <row r="4272" spans="1:7">
      <c r="A4272"/>
      <c r="B4272"/>
      <c r="C4272"/>
      <c r="D4272"/>
      <c r="E4272"/>
      <c r="F4272"/>
      <c r="G4272"/>
    </row>
    <row r="4273" spans="1:7">
      <c r="A4273"/>
      <c r="B4273"/>
      <c r="C4273"/>
      <c r="D4273"/>
      <c r="E4273"/>
      <c r="F4273"/>
      <c r="G4273"/>
    </row>
    <row r="4274" spans="1:7">
      <c r="A4274"/>
      <c r="B4274"/>
      <c r="C4274"/>
      <c r="D4274"/>
      <c r="E4274"/>
      <c r="F4274"/>
      <c r="G4274"/>
    </row>
    <row r="4275" spans="1:7">
      <c r="A4275"/>
      <c r="B4275"/>
      <c r="C4275"/>
      <c r="D4275"/>
      <c r="E4275"/>
      <c r="F4275"/>
      <c r="G4275"/>
    </row>
    <row r="4276" spans="1:7">
      <c r="A4276"/>
      <c r="B4276"/>
      <c r="C4276"/>
      <c r="D4276"/>
      <c r="E4276"/>
      <c r="F4276"/>
      <c r="G4276"/>
    </row>
    <row r="4277" spans="1:7">
      <c r="A4277"/>
      <c r="B4277"/>
      <c r="C4277"/>
      <c r="D4277"/>
      <c r="E4277"/>
      <c r="F4277"/>
      <c r="G4277"/>
    </row>
    <row r="4278" spans="1:7">
      <c r="A4278"/>
      <c r="B4278"/>
      <c r="C4278"/>
      <c r="D4278"/>
      <c r="E4278"/>
      <c r="F4278"/>
      <c r="G4278"/>
    </row>
    <row r="4279" spans="1:7">
      <c r="A4279"/>
      <c r="B4279"/>
      <c r="C4279"/>
      <c r="D4279"/>
      <c r="E4279"/>
      <c r="F4279"/>
      <c r="G4279"/>
    </row>
    <row r="4280" spans="1:7">
      <c r="A4280"/>
      <c r="B4280"/>
      <c r="C4280"/>
      <c r="D4280"/>
      <c r="E4280"/>
      <c r="F4280"/>
      <c r="G4280"/>
    </row>
    <row r="4281" spans="1:7">
      <c r="A4281"/>
      <c r="B4281"/>
      <c r="C4281"/>
      <c r="D4281"/>
      <c r="E4281"/>
      <c r="F4281"/>
      <c r="G4281"/>
    </row>
    <row r="4282" spans="1:7">
      <c r="A4282"/>
      <c r="B4282"/>
      <c r="C4282"/>
      <c r="D4282"/>
      <c r="E4282"/>
      <c r="F4282"/>
      <c r="G4282"/>
    </row>
    <row r="4283" spans="1:7">
      <c r="A4283"/>
      <c r="B4283"/>
      <c r="C4283"/>
      <c r="D4283"/>
      <c r="E4283"/>
      <c r="F4283"/>
      <c r="G4283"/>
    </row>
    <row r="4284" spans="1:7">
      <c r="A4284"/>
      <c r="B4284"/>
      <c r="C4284"/>
      <c r="D4284"/>
      <c r="E4284"/>
      <c r="F4284"/>
      <c r="G4284"/>
    </row>
    <row r="4285" spans="1:7">
      <c r="A4285"/>
      <c r="B4285"/>
      <c r="C4285"/>
      <c r="D4285"/>
      <c r="E4285"/>
      <c r="F4285"/>
      <c r="G4285"/>
    </row>
    <row r="4286" spans="1:7">
      <c r="A4286"/>
      <c r="B4286"/>
      <c r="C4286"/>
      <c r="D4286"/>
      <c r="E4286"/>
      <c r="F4286"/>
      <c r="G4286"/>
    </row>
    <row r="4287" spans="1:7">
      <c r="A4287"/>
      <c r="B4287"/>
      <c r="C4287"/>
      <c r="D4287"/>
      <c r="E4287"/>
      <c r="F4287"/>
      <c r="G4287"/>
    </row>
    <row r="4288" spans="1:7">
      <c r="A4288"/>
      <c r="B4288"/>
      <c r="C4288"/>
      <c r="D4288"/>
      <c r="E4288"/>
      <c r="F4288"/>
      <c r="G4288"/>
    </row>
    <row r="4289" spans="1:7">
      <c r="A4289"/>
      <c r="B4289"/>
      <c r="C4289"/>
      <c r="D4289"/>
      <c r="E4289"/>
      <c r="F4289"/>
      <c r="G4289"/>
    </row>
    <row r="4290" spans="1:7">
      <c r="A4290"/>
      <c r="B4290"/>
      <c r="C4290"/>
      <c r="D4290"/>
      <c r="E4290"/>
      <c r="F4290"/>
      <c r="G4290"/>
    </row>
    <row r="4291" spans="1:7">
      <c r="A4291"/>
      <c r="B4291"/>
      <c r="C4291"/>
      <c r="D4291"/>
      <c r="E4291"/>
      <c r="F4291"/>
      <c r="G4291"/>
    </row>
    <row r="4292" spans="1:7">
      <c r="A4292"/>
      <c r="B4292"/>
      <c r="C4292"/>
      <c r="D4292"/>
      <c r="E4292"/>
      <c r="F4292"/>
      <c r="G4292"/>
    </row>
    <row r="4293" spans="1:7">
      <c r="A4293"/>
      <c r="B4293"/>
      <c r="C4293"/>
      <c r="D4293"/>
      <c r="E4293"/>
      <c r="F4293"/>
      <c r="G4293"/>
    </row>
    <row r="4294" spans="1:7">
      <c r="A4294"/>
      <c r="B4294"/>
      <c r="C4294"/>
      <c r="D4294"/>
      <c r="E4294"/>
      <c r="F4294"/>
      <c r="G4294"/>
    </row>
    <row r="4295" spans="1:7">
      <c r="A4295"/>
      <c r="B4295"/>
      <c r="C4295"/>
      <c r="D4295"/>
      <c r="E4295"/>
      <c r="F4295"/>
      <c r="G4295"/>
    </row>
    <row r="4296" spans="1:7">
      <c r="A4296"/>
      <c r="B4296"/>
      <c r="C4296"/>
      <c r="D4296"/>
      <c r="E4296"/>
      <c r="F4296"/>
      <c r="G4296"/>
    </row>
    <row r="4297" spans="1:7">
      <c r="A4297"/>
      <c r="B4297"/>
      <c r="C4297"/>
      <c r="D4297"/>
      <c r="E4297"/>
      <c r="F4297"/>
      <c r="G4297"/>
    </row>
    <row r="4298" spans="1:7">
      <c r="A4298"/>
      <c r="B4298"/>
      <c r="C4298"/>
      <c r="D4298"/>
      <c r="E4298"/>
      <c r="F4298"/>
      <c r="G4298"/>
    </row>
    <row r="4299" spans="1:7">
      <c r="A4299"/>
      <c r="B4299"/>
      <c r="C4299"/>
      <c r="D4299"/>
      <c r="E4299"/>
      <c r="F4299"/>
      <c r="G4299"/>
    </row>
    <row r="4300" spans="1:7">
      <c r="A4300"/>
      <c r="B4300"/>
      <c r="C4300"/>
      <c r="D4300"/>
      <c r="E4300"/>
      <c r="F4300"/>
      <c r="G4300"/>
    </row>
    <row r="4301" spans="1:7">
      <c r="A4301"/>
      <c r="B4301"/>
      <c r="C4301"/>
      <c r="D4301"/>
      <c r="E4301"/>
      <c r="F4301"/>
      <c r="G4301"/>
    </row>
    <row r="4302" spans="1:7">
      <c r="A4302"/>
      <c r="B4302"/>
      <c r="C4302"/>
      <c r="D4302"/>
      <c r="E4302"/>
      <c r="F4302"/>
      <c r="G4302"/>
    </row>
    <row r="4303" spans="1:7">
      <c r="A4303"/>
      <c r="B4303"/>
      <c r="C4303"/>
      <c r="D4303"/>
      <c r="E4303"/>
      <c r="F4303"/>
      <c r="G4303"/>
    </row>
    <row r="4304" spans="1:7">
      <c r="A4304"/>
      <c r="B4304"/>
      <c r="C4304"/>
      <c r="D4304"/>
      <c r="E4304"/>
      <c r="F4304"/>
      <c r="G4304"/>
    </row>
    <row r="4305" spans="1:7">
      <c r="A4305"/>
      <c r="B4305"/>
      <c r="C4305"/>
      <c r="D4305"/>
      <c r="E4305"/>
      <c r="F4305"/>
      <c r="G4305"/>
    </row>
    <row r="4306" spans="1:7">
      <c r="A4306"/>
      <c r="B4306"/>
      <c r="C4306"/>
      <c r="D4306"/>
      <c r="E4306"/>
      <c r="F4306"/>
      <c r="G4306"/>
    </row>
    <row r="4307" spans="1:7">
      <c r="A4307"/>
      <c r="B4307"/>
      <c r="C4307"/>
      <c r="D4307"/>
      <c r="E4307"/>
      <c r="F4307"/>
      <c r="G4307"/>
    </row>
    <row r="4308" spans="1:7">
      <c r="A4308"/>
      <c r="B4308"/>
      <c r="C4308"/>
      <c r="D4308"/>
      <c r="E4308"/>
      <c r="F4308"/>
      <c r="G4308"/>
    </row>
    <row r="4309" spans="1:7">
      <c r="A4309"/>
      <c r="B4309"/>
      <c r="C4309"/>
      <c r="D4309"/>
      <c r="E4309"/>
      <c r="F4309"/>
      <c r="G4309"/>
    </row>
    <row r="4310" spans="1:7">
      <c r="A4310"/>
      <c r="B4310"/>
      <c r="C4310"/>
      <c r="D4310"/>
      <c r="E4310"/>
      <c r="F4310"/>
      <c r="G4310"/>
    </row>
    <row r="4311" spans="1:7">
      <c r="A4311"/>
      <c r="B4311"/>
      <c r="C4311"/>
      <c r="D4311"/>
      <c r="E4311"/>
      <c r="F4311"/>
      <c r="G4311"/>
    </row>
    <row r="4312" spans="1:7">
      <c r="A4312"/>
      <c r="B4312"/>
      <c r="C4312"/>
      <c r="D4312"/>
      <c r="E4312"/>
      <c r="F4312"/>
      <c r="G4312"/>
    </row>
    <row r="4313" spans="1:7">
      <c r="A4313"/>
      <c r="B4313"/>
      <c r="C4313"/>
      <c r="D4313"/>
      <c r="E4313"/>
      <c r="F4313"/>
      <c r="G4313"/>
    </row>
    <row r="4314" spans="1:7">
      <c r="A4314"/>
      <c r="B4314"/>
      <c r="C4314"/>
      <c r="D4314"/>
      <c r="E4314"/>
      <c r="F4314"/>
      <c r="G4314"/>
    </row>
    <row r="4315" spans="1:7">
      <c r="A4315"/>
      <c r="B4315"/>
      <c r="C4315"/>
      <c r="D4315"/>
      <c r="E4315"/>
      <c r="F4315"/>
      <c r="G4315"/>
    </row>
    <row r="4316" spans="1:7">
      <c r="A4316"/>
      <c r="B4316"/>
      <c r="C4316"/>
      <c r="D4316"/>
      <c r="E4316"/>
      <c r="F4316"/>
      <c r="G4316"/>
    </row>
    <row r="4317" spans="1:7">
      <c r="A4317"/>
      <c r="B4317"/>
      <c r="C4317"/>
      <c r="D4317"/>
      <c r="E4317"/>
      <c r="F4317"/>
      <c r="G4317"/>
    </row>
    <row r="4318" spans="1:7">
      <c r="A4318"/>
      <c r="B4318"/>
      <c r="C4318"/>
      <c r="D4318"/>
      <c r="E4318"/>
      <c r="F4318"/>
      <c r="G4318"/>
    </row>
    <row r="4319" spans="1:7">
      <c r="A4319"/>
      <c r="B4319"/>
      <c r="C4319"/>
      <c r="D4319"/>
      <c r="E4319"/>
      <c r="F4319"/>
      <c r="G4319"/>
    </row>
    <row r="4320" spans="1:7">
      <c r="A4320"/>
      <c r="B4320"/>
      <c r="C4320"/>
      <c r="D4320"/>
      <c r="E4320"/>
      <c r="F4320"/>
      <c r="G4320"/>
    </row>
    <row r="4321" spans="1:7">
      <c r="A4321"/>
      <c r="B4321"/>
      <c r="C4321"/>
      <c r="D4321"/>
      <c r="E4321"/>
      <c r="F4321"/>
      <c r="G4321"/>
    </row>
    <row r="4322" spans="1:7">
      <c r="A4322"/>
      <c r="B4322"/>
      <c r="C4322"/>
      <c r="D4322"/>
      <c r="E4322"/>
      <c r="F4322"/>
      <c r="G4322"/>
    </row>
    <row r="4323" spans="1:7">
      <c r="A4323"/>
      <c r="B4323"/>
      <c r="C4323"/>
      <c r="D4323"/>
      <c r="E4323"/>
      <c r="F4323"/>
      <c r="G4323"/>
    </row>
    <row r="4324" spans="1:7">
      <c r="A4324"/>
      <c r="B4324"/>
      <c r="C4324"/>
      <c r="D4324"/>
      <c r="E4324"/>
      <c r="F4324"/>
      <c r="G4324"/>
    </row>
    <row r="4325" spans="1:7">
      <c r="A4325"/>
      <c r="B4325"/>
      <c r="C4325"/>
      <c r="D4325"/>
      <c r="E4325"/>
      <c r="F4325"/>
      <c r="G4325"/>
    </row>
    <row r="4326" spans="1:7">
      <c r="A4326"/>
      <c r="B4326"/>
      <c r="C4326"/>
      <c r="D4326"/>
      <c r="E4326"/>
      <c r="F4326"/>
      <c r="G4326"/>
    </row>
    <row r="4327" spans="1:7">
      <c r="A4327"/>
      <c r="B4327"/>
      <c r="C4327"/>
      <c r="D4327"/>
      <c r="E4327"/>
      <c r="F4327"/>
      <c r="G4327"/>
    </row>
    <row r="4328" spans="1:7">
      <c r="A4328"/>
      <c r="B4328"/>
      <c r="C4328"/>
      <c r="D4328"/>
      <c r="E4328"/>
      <c r="F4328"/>
      <c r="G4328"/>
    </row>
    <row r="4329" spans="1:7">
      <c r="A4329"/>
      <c r="B4329"/>
      <c r="C4329"/>
      <c r="D4329"/>
      <c r="E4329"/>
      <c r="F4329"/>
      <c r="G4329"/>
    </row>
    <row r="4330" spans="1:7">
      <c r="A4330"/>
      <c r="B4330"/>
      <c r="C4330"/>
      <c r="D4330"/>
      <c r="E4330"/>
      <c r="F4330"/>
      <c r="G4330"/>
    </row>
    <row r="4331" spans="1:7">
      <c r="A4331"/>
      <c r="B4331"/>
      <c r="C4331"/>
      <c r="D4331"/>
      <c r="E4331"/>
      <c r="F4331"/>
      <c r="G4331"/>
    </row>
    <row r="4332" spans="1:7">
      <c r="A4332"/>
      <c r="B4332"/>
      <c r="C4332"/>
      <c r="D4332"/>
      <c r="E4332"/>
      <c r="F4332"/>
      <c r="G4332"/>
    </row>
    <row r="4333" spans="1:7">
      <c r="A4333"/>
      <c r="B4333"/>
      <c r="C4333"/>
      <c r="D4333"/>
      <c r="E4333"/>
      <c r="F4333"/>
      <c r="G4333"/>
    </row>
    <row r="4334" spans="1:7">
      <c r="A4334"/>
      <c r="B4334"/>
      <c r="C4334"/>
      <c r="D4334"/>
      <c r="E4334"/>
      <c r="F4334"/>
      <c r="G4334"/>
    </row>
    <row r="4335" spans="1:7">
      <c r="A4335"/>
      <c r="B4335"/>
      <c r="C4335"/>
      <c r="D4335"/>
      <c r="E4335"/>
      <c r="F4335"/>
      <c r="G4335"/>
    </row>
    <row r="4336" spans="1:7">
      <c r="A4336"/>
      <c r="B4336"/>
      <c r="C4336"/>
      <c r="D4336"/>
      <c r="E4336"/>
      <c r="F4336"/>
      <c r="G4336"/>
    </row>
    <row r="4337" spans="1:7">
      <c r="A4337"/>
      <c r="B4337"/>
      <c r="C4337"/>
      <c r="D4337"/>
      <c r="E4337"/>
      <c r="F4337"/>
      <c r="G4337"/>
    </row>
    <row r="4338" spans="1:7">
      <c r="A4338"/>
      <c r="B4338"/>
      <c r="C4338"/>
      <c r="D4338"/>
      <c r="E4338"/>
      <c r="F4338"/>
      <c r="G4338"/>
    </row>
    <row r="4339" spans="1:7">
      <c r="A4339"/>
      <c r="B4339"/>
      <c r="C4339"/>
      <c r="D4339"/>
      <c r="E4339"/>
      <c r="F4339"/>
      <c r="G4339"/>
    </row>
    <row r="4340" spans="1:7">
      <c r="A4340"/>
      <c r="B4340"/>
      <c r="C4340"/>
      <c r="D4340"/>
      <c r="E4340"/>
      <c r="F4340"/>
      <c r="G4340"/>
    </row>
    <row r="4341" spans="1:7">
      <c r="A4341"/>
      <c r="B4341"/>
      <c r="C4341"/>
      <c r="D4341"/>
      <c r="E4341"/>
      <c r="F4341"/>
      <c r="G4341"/>
    </row>
    <row r="4342" spans="1:7">
      <c r="A4342"/>
      <c r="B4342"/>
      <c r="C4342"/>
      <c r="D4342"/>
      <c r="E4342"/>
      <c r="F4342"/>
      <c r="G4342"/>
    </row>
    <row r="4343" spans="1:7">
      <c r="A4343"/>
      <c r="B4343"/>
      <c r="C4343"/>
      <c r="D4343"/>
      <c r="E4343"/>
      <c r="F4343"/>
      <c r="G4343"/>
    </row>
    <row r="4344" spans="1:7">
      <c r="A4344"/>
      <c r="B4344"/>
      <c r="C4344"/>
      <c r="D4344"/>
      <c r="E4344"/>
      <c r="F4344"/>
      <c r="G4344"/>
    </row>
    <row r="4345" spans="1:7">
      <c r="A4345"/>
      <c r="B4345"/>
      <c r="C4345"/>
      <c r="D4345"/>
      <c r="E4345"/>
      <c r="F4345"/>
      <c r="G4345"/>
    </row>
    <row r="4346" spans="1:7">
      <c r="A4346"/>
      <c r="B4346"/>
      <c r="C4346"/>
      <c r="D4346"/>
      <c r="E4346"/>
      <c r="F4346"/>
      <c r="G4346"/>
    </row>
    <row r="4347" spans="1:7">
      <c r="A4347"/>
      <c r="B4347"/>
      <c r="C4347"/>
      <c r="D4347"/>
      <c r="E4347"/>
      <c r="F4347"/>
      <c r="G4347"/>
    </row>
    <row r="4348" spans="1:7">
      <c r="A4348"/>
      <c r="B4348"/>
      <c r="C4348"/>
      <c r="D4348"/>
      <c r="E4348"/>
      <c r="F4348"/>
      <c r="G4348"/>
    </row>
    <row r="4349" spans="1:7">
      <c r="A4349"/>
      <c r="B4349"/>
      <c r="C4349"/>
      <c r="D4349"/>
      <c r="E4349"/>
      <c r="F4349"/>
      <c r="G4349"/>
    </row>
    <row r="4350" spans="1:7">
      <c r="A4350"/>
      <c r="B4350"/>
      <c r="C4350"/>
      <c r="D4350"/>
      <c r="E4350"/>
      <c r="F4350"/>
      <c r="G4350"/>
    </row>
    <row r="4351" spans="1:7">
      <c r="A4351"/>
      <c r="B4351"/>
      <c r="C4351"/>
      <c r="D4351"/>
      <c r="E4351"/>
      <c r="F4351"/>
      <c r="G4351"/>
    </row>
    <row r="4352" spans="1:7">
      <c r="A4352"/>
      <c r="B4352"/>
      <c r="C4352"/>
      <c r="D4352"/>
      <c r="E4352"/>
      <c r="F4352"/>
      <c r="G4352"/>
    </row>
    <row r="4353" spans="1:7">
      <c r="A4353"/>
      <c r="B4353"/>
      <c r="C4353"/>
      <c r="D4353"/>
      <c r="E4353"/>
      <c r="F4353"/>
      <c r="G4353"/>
    </row>
    <row r="4354" spans="1:7">
      <c r="A4354"/>
      <c r="B4354"/>
      <c r="C4354"/>
      <c r="D4354"/>
      <c r="E4354"/>
      <c r="F4354"/>
      <c r="G4354"/>
    </row>
    <row r="4355" spans="1:7">
      <c r="A4355"/>
      <c r="B4355"/>
      <c r="C4355"/>
      <c r="D4355"/>
      <c r="E4355"/>
      <c r="F4355"/>
      <c r="G4355"/>
    </row>
    <row r="4356" spans="1:7">
      <c r="A4356"/>
      <c r="B4356"/>
      <c r="C4356"/>
      <c r="D4356"/>
      <c r="E4356"/>
      <c r="F4356"/>
      <c r="G4356"/>
    </row>
    <row r="4357" spans="1:7">
      <c r="A4357"/>
      <c r="B4357"/>
      <c r="C4357"/>
      <c r="D4357"/>
      <c r="E4357"/>
      <c r="F4357"/>
      <c r="G4357"/>
    </row>
    <row r="4358" spans="1:7">
      <c r="A4358"/>
      <c r="B4358"/>
      <c r="C4358"/>
      <c r="D4358"/>
      <c r="E4358"/>
      <c r="F4358"/>
      <c r="G4358"/>
    </row>
    <row r="4359" spans="1:7">
      <c r="A4359"/>
      <c r="B4359"/>
      <c r="C4359"/>
      <c r="D4359"/>
      <c r="E4359"/>
      <c r="F4359"/>
      <c r="G4359"/>
    </row>
    <row r="4360" spans="1:7">
      <c r="A4360"/>
      <c r="B4360"/>
      <c r="C4360"/>
      <c r="D4360"/>
      <c r="E4360"/>
      <c r="F4360"/>
      <c r="G4360"/>
    </row>
    <row r="4361" spans="1:7">
      <c r="A4361"/>
      <c r="B4361"/>
      <c r="C4361"/>
      <c r="D4361"/>
      <c r="E4361"/>
      <c r="F4361"/>
      <c r="G4361"/>
    </row>
    <row r="4362" spans="1:7">
      <c r="A4362"/>
      <c r="B4362"/>
      <c r="C4362"/>
      <c r="D4362"/>
      <c r="E4362"/>
      <c r="F4362"/>
      <c r="G4362"/>
    </row>
    <row r="4363" spans="1:7">
      <c r="A4363"/>
      <c r="B4363"/>
      <c r="C4363"/>
      <c r="D4363"/>
      <c r="E4363"/>
      <c r="F4363"/>
      <c r="G4363"/>
    </row>
    <row r="4364" spans="1:7">
      <c r="A4364"/>
      <c r="B4364"/>
      <c r="C4364"/>
      <c r="D4364"/>
      <c r="E4364"/>
      <c r="F4364"/>
      <c r="G4364"/>
    </row>
    <row r="4365" spans="1:7">
      <c r="A4365"/>
      <c r="B4365"/>
      <c r="C4365"/>
      <c r="D4365"/>
      <c r="E4365"/>
      <c r="F4365"/>
      <c r="G4365"/>
    </row>
    <row r="4366" spans="1:7">
      <c r="A4366"/>
      <c r="B4366"/>
      <c r="C4366"/>
      <c r="D4366"/>
      <c r="E4366"/>
      <c r="F4366"/>
      <c r="G4366"/>
    </row>
    <row r="4367" spans="1:7">
      <c r="A4367"/>
      <c r="B4367"/>
      <c r="C4367"/>
      <c r="D4367"/>
      <c r="E4367"/>
      <c r="F4367"/>
      <c r="G4367"/>
    </row>
    <row r="4368" spans="1:7">
      <c r="A4368"/>
      <c r="B4368"/>
      <c r="C4368"/>
      <c r="D4368"/>
      <c r="E4368"/>
      <c r="F4368"/>
      <c r="G4368"/>
    </row>
    <row r="4369" spans="1:7">
      <c r="A4369"/>
      <c r="B4369"/>
      <c r="C4369"/>
      <c r="D4369"/>
      <c r="E4369"/>
      <c r="F4369"/>
      <c r="G4369"/>
    </row>
    <row r="4370" spans="1:7">
      <c r="A4370"/>
      <c r="B4370"/>
      <c r="C4370"/>
      <c r="D4370"/>
      <c r="E4370"/>
      <c r="F4370"/>
      <c r="G4370"/>
    </row>
    <row r="4371" spans="1:7">
      <c r="A4371"/>
      <c r="B4371"/>
      <c r="C4371"/>
      <c r="D4371"/>
      <c r="E4371"/>
      <c r="F4371"/>
      <c r="G4371"/>
    </row>
    <row r="4372" spans="1:7">
      <c r="A4372"/>
      <c r="B4372"/>
      <c r="C4372"/>
      <c r="D4372"/>
      <c r="E4372"/>
      <c r="F4372"/>
      <c r="G4372"/>
    </row>
    <row r="4373" spans="1:7">
      <c r="A4373"/>
      <c r="B4373"/>
      <c r="C4373"/>
      <c r="D4373"/>
      <c r="E4373"/>
      <c r="F4373"/>
      <c r="G4373"/>
    </row>
    <row r="4374" spans="1:7">
      <c r="A4374"/>
      <c r="B4374"/>
      <c r="C4374"/>
      <c r="D4374"/>
      <c r="E4374"/>
      <c r="F4374"/>
      <c r="G4374"/>
    </row>
    <row r="4375" spans="1:7">
      <c r="A4375"/>
      <c r="B4375"/>
      <c r="C4375"/>
      <c r="D4375"/>
      <c r="E4375"/>
      <c r="F4375"/>
      <c r="G4375"/>
    </row>
    <row r="4376" spans="1:7">
      <c r="A4376"/>
      <c r="B4376"/>
      <c r="C4376"/>
      <c r="D4376"/>
      <c r="E4376"/>
      <c r="F4376"/>
      <c r="G4376"/>
    </row>
    <row r="4377" spans="1:7">
      <c r="A4377"/>
      <c r="B4377"/>
      <c r="C4377"/>
      <c r="D4377"/>
      <c r="E4377"/>
      <c r="F4377"/>
      <c r="G4377"/>
    </row>
    <row r="4378" spans="1:7">
      <c r="A4378"/>
      <c r="B4378"/>
      <c r="C4378"/>
      <c r="D4378"/>
      <c r="E4378"/>
      <c r="F4378"/>
      <c r="G4378"/>
    </row>
    <row r="4379" spans="1:7">
      <c r="A4379"/>
      <c r="B4379"/>
      <c r="C4379"/>
      <c r="D4379"/>
      <c r="E4379"/>
      <c r="F4379"/>
      <c r="G4379"/>
    </row>
    <row r="4380" spans="1:7">
      <c r="A4380"/>
      <c r="B4380"/>
      <c r="C4380"/>
      <c r="D4380"/>
      <c r="E4380"/>
      <c r="F4380"/>
      <c r="G4380"/>
    </row>
    <row r="4381" spans="1:7">
      <c r="A4381"/>
      <c r="B4381"/>
      <c r="C4381"/>
      <c r="D4381"/>
      <c r="E4381"/>
      <c r="F4381"/>
      <c r="G4381"/>
    </row>
    <row r="4382" spans="1:7">
      <c r="A4382"/>
      <c r="B4382"/>
      <c r="C4382"/>
      <c r="D4382"/>
      <c r="E4382"/>
      <c r="F4382"/>
      <c r="G4382"/>
    </row>
    <row r="4383" spans="1:7">
      <c r="A4383"/>
      <c r="B4383"/>
      <c r="C4383"/>
      <c r="D4383"/>
      <c r="E4383"/>
      <c r="F4383"/>
      <c r="G4383"/>
    </row>
    <row r="4384" spans="1:7">
      <c r="A4384"/>
      <c r="B4384"/>
      <c r="C4384"/>
      <c r="D4384"/>
      <c r="E4384"/>
      <c r="F4384"/>
      <c r="G4384"/>
    </row>
    <row r="4385" spans="1:7">
      <c r="A4385"/>
      <c r="B4385"/>
      <c r="C4385"/>
      <c r="D4385"/>
      <c r="E4385"/>
      <c r="F4385"/>
      <c r="G4385"/>
    </row>
    <row r="4386" spans="1:7">
      <c r="A4386"/>
      <c r="B4386"/>
      <c r="C4386"/>
      <c r="D4386"/>
      <c r="E4386"/>
      <c r="F4386"/>
      <c r="G4386"/>
    </row>
    <row r="4387" spans="1:7">
      <c r="A4387"/>
      <c r="B4387"/>
      <c r="C4387"/>
      <c r="D4387"/>
      <c r="E4387"/>
      <c r="F4387"/>
      <c r="G4387"/>
    </row>
    <row r="4388" spans="1:7">
      <c r="A4388"/>
      <c r="B4388"/>
      <c r="C4388"/>
      <c r="D4388"/>
      <c r="E4388"/>
      <c r="F4388"/>
      <c r="G4388"/>
    </row>
    <row r="4389" spans="1:7">
      <c r="A4389"/>
      <c r="B4389"/>
      <c r="C4389"/>
      <c r="D4389"/>
      <c r="E4389"/>
      <c r="F4389"/>
      <c r="G4389"/>
    </row>
    <row r="4390" spans="1:7">
      <c r="A4390"/>
      <c r="B4390"/>
      <c r="C4390"/>
      <c r="D4390"/>
      <c r="E4390"/>
      <c r="F4390"/>
      <c r="G4390"/>
    </row>
    <row r="4391" spans="1:7">
      <c r="A4391"/>
      <c r="B4391"/>
      <c r="C4391"/>
      <c r="D4391"/>
      <c r="E4391"/>
      <c r="F4391"/>
      <c r="G4391"/>
    </row>
    <row r="4392" spans="1:7">
      <c r="A4392"/>
      <c r="B4392"/>
      <c r="C4392"/>
      <c r="D4392"/>
      <c r="E4392"/>
      <c r="F4392"/>
      <c r="G4392"/>
    </row>
    <row r="4393" spans="1:7">
      <c r="A4393"/>
      <c r="B4393"/>
      <c r="C4393"/>
      <c r="D4393"/>
      <c r="E4393"/>
      <c r="F4393"/>
      <c r="G4393"/>
    </row>
    <row r="4394" spans="1:7">
      <c r="A4394"/>
      <c r="B4394"/>
      <c r="C4394"/>
      <c r="D4394"/>
      <c r="E4394"/>
      <c r="F4394"/>
      <c r="G4394"/>
    </row>
    <row r="4395" spans="1:7">
      <c r="A4395"/>
      <c r="B4395"/>
      <c r="C4395"/>
      <c r="D4395"/>
      <c r="E4395"/>
      <c r="F4395"/>
      <c r="G4395"/>
    </row>
    <row r="4396" spans="1:7">
      <c r="A4396"/>
      <c r="B4396"/>
      <c r="C4396"/>
      <c r="D4396"/>
      <c r="E4396"/>
      <c r="F4396"/>
      <c r="G4396"/>
    </row>
    <row r="4397" spans="1:7">
      <c r="A4397"/>
      <c r="B4397"/>
      <c r="C4397"/>
      <c r="D4397"/>
      <c r="E4397"/>
      <c r="F4397"/>
      <c r="G4397"/>
    </row>
    <row r="4398" spans="1:7">
      <c r="A4398"/>
      <c r="B4398"/>
      <c r="C4398"/>
      <c r="D4398"/>
      <c r="E4398"/>
      <c r="F4398"/>
      <c r="G4398"/>
    </row>
    <row r="4399" spans="1:7">
      <c r="A4399"/>
      <c r="B4399"/>
      <c r="C4399"/>
      <c r="D4399"/>
      <c r="E4399"/>
      <c r="F4399"/>
      <c r="G4399"/>
    </row>
    <row r="4400" spans="1:7">
      <c r="A4400"/>
      <c r="B4400"/>
      <c r="C4400"/>
      <c r="D4400"/>
      <c r="E4400"/>
      <c r="F4400"/>
      <c r="G4400"/>
    </row>
    <row r="4401" spans="1:7">
      <c r="A4401"/>
      <c r="B4401"/>
      <c r="C4401"/>
      <c r="D4401"/>
      <c r="E4401"/>
      <c r="F4401"/>
      <c r="G4401"/>
    </row>
    <row r="4402" spans="1:7">
      <c r="A4402"/>
      <c r="B4402"/>
      <c r="C4402"/>
      <c r="D4402"/>
      <c r="E4402"/>
      <c r="F4402"/>
      <c r="G4402"/>
    </row>
    <row r="4403" spans="1:7">
      <c r="A4403"/>
      <c r="B4403"/>
      <c r="C4403"/>
      <c r="D4403"/>
      <c r="E4403"/>
      <c r="F4403"/>
      <c r="G4403"/>
    </row>
    <row r="4404" spans="1:7">
      <c r="A4404"/>
      <c r="B4404"/>
      <c r="C4404"/>
      <c r="D4404"/>
      <c r="E4404"/>
      <c r="F4404"/>
      <c r="G4404"/>
    </row>
    <row r="4405" spans="1:7">
      <c r="A4405"/>
      <c r="B4405"/>
      <c r="C4405"/>
      <c r="D4405"/>
      <c r="E4405"/>
      <c r="F4405"/>
      <c r="G4405"/>
    </row>
    <row r="4406" spans="1:7">
      <c r="A4406"/>
      <c r="B4406"/>
      <c r="C4406"/>
      <c r="D4406"/>
      <c r="E4406"/>
      <c r="F4406"/>
      <c r="G4406"/>
    </row>
    <row r="4407" spans="1:7">
      <c r="A4407"/>
      <c r="B4407"/>
      <c r="C4407"/>
      <c r="D4407"/>
      <c r="E4407"/>
      <c r="F4407"/>
      <c r="G4407"/>
    </row>
    <row r="4408" spans="1:7">
      <c r="A4408"/>
      <c r="B4408"/>
      <c r="C4408"/>
      <c r="D4408"/>
      <c r="E4408"/>
      <c r="F4408"/>
      <c r="G4408"/>
    </row>
    <row r="4409" spans="1:7">
      <c r="A4409"/>
      <c r="B4409"/>
      <c r="C4409"/>
      <c r="D4409"/>
      <c r="E4409"/>
      <c r="F4409"/>
      <c r="G4409"/>
    </row>
    <row r="4410" spans="1:7">
      <c r="A4410"/>
      <c r="B4410"/>
      <c r="C4410"/>
      <c r="D4410"/>
      <c r="E4410"/>
      <c r="F4410"/>
      <c r="G4410"/>
    </row>
    <row r="4411" spans="1:7">
      <c r="A4411"/>
      <c r="B4411"/>
      <c r="C4411"/>
      <c r="D4411"/>
      <c r="E4411"/>
      <c r="F4411"/>
      <c r="G4411"/>
    </row>
    <row r="4412" spans="1:7">
      <c r="A4412"/>
      <c r="B4412"/>
      <c r="C4412"/>
      <c r="D4412"/>
      <c r="E4412"/>
      <c r="F4412"/>
      <c r="G4412"/>
    </row>
    <row r="4413" spans="1:7">
      <c r="A4413"/>
      <c r="B4413"/>
      <c r="C4413"/>
      <c r="D4413"/>
      <c r="E4413"/>
      <c r="F4413"/>
      <c r="G4413"/>
    </row>
    <row r="4414" spans="1:7">
      <c r="A4414"/>
      <c r="B4414"/>
      <c r="C4414"/>
      <c r="D4414"/>
      <c r="E4414"/>
      <c r="F4414"/>
      <c r="G4414"/>
    </row>
    <row r="4415" spans="1:7">
      <c r="A4415"/>
      <c r="B4415"/>
      <c r="C4415"/>
      <c r="D4415"/>
      <c r="E4415"/>
      <c r="F4415"/>
      <c r="G4415"/>
    </row>
    <row r="4416" spans="1:7">
      <c r="A4416"/>
      <c r="B4416"/>
      <c r="C4416"/>
      <c r="D4416"/>
      <c r="E4416"/>
      <c r="F4416"/>
      <c r="G4416"/>
    </row>
    <row r="4417" spans="1:7">
      <c r="A4417"/>
      <c r="B4417"/>
      <c r="C4417"/>
      <c r="D4417"/>
      <c r="E4417"/>
      <c r="F4417"/>
      <c r="G4417"/>
    </row>
    <row r="4418" spans="1:7">
      <c r="A4418"/>
      <c r="B4418"/>
      <c r="C4418"/>
      <c r="D4418"/>
      <c r="E4418"/>
      <c r="F4418"/>
      <c r="G4418"/>
    </row>
    <row r="4419" spans="1:7">
      <c r="A4419"/>
      <c r="B4419"/>
      <c r="C4419"/>
      <c r="D4419"/>
      <c r="E4419"/>
      <c r="F4419"/>
      <c r="G4419"/>
    </row>
    <row r="4420" spans="1:7">
      <c r="A4420"/>
      <c r="B4420"/>
      <c r="C4420"/>
      <c r="D4420"/>
      <c r="E4420"/>
      <c r="F4420"/>
      <c r="G4420"/>
    </row>
    <row r="4421" spans="1:7">
      <c r="A4421"/>
      <c r="B4421"/>
      <c r="C4421"/>
      <c r="D4421"/>
      <c r="E4421"/>
      <c r="F4421"/>
      <c r="G4421"/>
    </row>
    <row r="4422" spans="1:7">
      <c r="A4422"/>
      <c r="B4422"/>
      <c r="C4422"/>
      <c r="D4422"/>
      <c r="E4422"/>
      <c r="F4422"/>
      <c r="G4422"/>
    </row>
    <row r="4423" spans="1:7">
      <c r="A4423"/>
      <c r="B4423"/>
      <c r="C4423"/>
      <c r="D4423"/>
      <c r="E4423"/>
      <c r="F4423"/>
      <c r="G4423"/>
    </row>
    <row r="4424" spans="1:7">
      <c r="A4424"/>
      <c r="B4424"/>
      <c r="C4424"/>
      <c r="D4424"/>
      <c r="E4424"/>
      <c r="F4424"/>
      <c r="G4424"/>
    </row>
    <row r="4425" spans="1:7">
      <c r="A4425"/>
      <c r="B4425"/>
      <c r="C4425"/>
      <c r="D4425"/>
      <c r="E4425"/>
      <c r="F4425"/>
      <c r="G4425"/>
    </row>
    <row r="4426" spans="1:7">
      <c r="A4426"/>
      <c r="B4426"/>
      <c r="C4426"/>
      <c r="D4426"/>
      <c r="E4426"/>
      <c r="F4426"/>
      <c r="G4426"/>
    </row>
    <row r="4427" spans="1:7">
      <c r="A4427"/>
      <c r="B4427"/>
      <c r="C4427"/>
      <c r="D4427"/>
      <c r="E4427"/>
      <c r="F4427"/>
      <c r="G4427"/>
    </row>
    <row r="4428" spans="1:7">
      <c r="A4428"/>
      <c r="B4428"/>
      <c r="C4428"/>
      <c r="D4428"/>
      <c r="E4428"/>
      <c r="F4428"/>
      <c r="G4428"/>
    </row>
    <row r="4429" spans="1:7">
      <c r="A4429"/>
      <c r="B4429"/>
      <c r="C4429"/>
      <c r="D4429"/>
      <c r="E4429"/>
      <c r="F4429"/>
      <c r="G4429"/>
    </row>
    <row r="4430" spans="1:7">
      <c r="A4430"/>
      <c r="B4430"/>
      <c r="C4430"/>
      <c r="D4430"/>
      <c r="E4430"/>
      <c r="F4430"/>
      <c r="G4430"/>
    </row>
    <row r="4431" spans="1:7">
      <c r="A4431"/>
      <c r="B4431"/>
      <c r="C4431"/>
      <c r="D4431"/>
      <c r="E4431"/>
      <c r="F4431"/>
      <c r="G4431"/>
    </row>
    <row r="4432" spans="1:7">
      <c r="A4432"/>
      <c r="B4432"/>
      <c r="C4432"/>
      <c r="D4432"/>
      <c r="E4432"/>
      <c r="F4432"/>
      <c r="G4432"/>
    </row>
    <row r="4433" spans="1:7">
      <c r="A4433"/>
      <c r="B4433"/>
      <c r="C4433"/>
      <c r="D4433"/>
      <c r="E4433"/>
      <c r="F4433"/>
      <c r="G4433"/>
    </row>
    <row r="4434" spans="1:7">
      <c r="A4434"/>
      <c r="B4434"/>
      <c r="C4434"/>
      <c r="D4434"/>
      <c r="E4434"/>
      <c r="F4434"/>
      <c r="G4434"/>
    </row>
    <row r="4435" spans="1:7">
      <c r="A4435"/>
      <c r="B4435"/>
      <c r="C4435"/>
      <c r="D4435"/>
      <c r="E4435"/>
      <c r="F4435"/>
      <c r="G4435"/>
    </row>
    <row r="4436" spans="1:7">
      <c r="A4436"/>
      <c r="B4436"/>
      <c r="C4436"/>
      <c r="D4436"/>
      <c r="E4436"/>
      <c r="F4436"/>
      <c r="G4436"/>
    </row>
    <row r="4437" spans="1:7">
      <c r="A4437"/>
      <c r="B4437"/>
      <c r="C4437"/>
      <c r="D4437"/>
      <c r="E4437"/>
      <c r="F4437"/>
      <c r="G4437"/>
    </row>
    <row r="4438" spans="1:7">
      <c r="A4438"/>
      <c r="B4438"/>
      <c r="C4438"/>
      <c r="D4438"/>
      <c r="E4438"/>
      <c r="F4438"/>
      <c r="G4438"/>
    </row>
    <row r="4439" spans="1:7">
      <c r="A4439"/>
      <c r="B4439"/>
      <c r="C4439"/>
      <c r="D4439"/>
      <c r="E4439"/>
      <c r="F4439"/>
      <c r="G4439"/>
    </row>
    <row r="4440" spans="1:7">
      <c r="A4440"/>
      <c r="B4440"/>
      <c r="C4440"/>
      <c r="D4440"/>
      <c r="E4440"/>
      <c r="F4440"/>
      <c r="G4440"/>
    </row>
    <row r="4441" spans="1:7">
      <c r="A4441"/>
      <c r="B4441"/>
      <c r="C4441"/>
      <c r="D4441"/>
      <c r="E4441"/>
      <c r="F4441"/>
      <c r="G4441"/>
    </row>
    <row r="4442" spans="1:7">
      <c r="A4442"/>
      <c r="B4442"/>
      <c r="C4442"/>
      <c r="D4442"/>
      <c r="E4442"/>
      <c r="F4442"/>
      <c r="G4442"/>
    </row>
    <row r="4443" spans="1:7">
      <c r="A4443"/>
      <c r="B4443"/>
      <c r="C4443"/>
      <c r="D4443"/>
      <c r="E4443"/>
      <c r="F4443"/>
      <c r="G4443"/>
    </row>
    <row r="4444" spans="1:7">
      <c r="A4444"/>
      <c r="B4444"/>
      <c r="C4444"/>
      <c r="D4444"/>
      <c r="E4444"/>
      <c r="F4444"/>
      <c r="G4444"/>
    </row>
    <row r="4445" spans="1:7">
      <c r="A4445"/>
      <c r="B4445"/>
      <c r="C4445"/>
      <c r="D4445"/>
      <c r="E4445"/>
      <c r="F4445"/>
      <c r="G4445"/>
    </row>
    <row r="4446" spans="1:7">
      <c r="A4446"/>
      <c r="B4446"/>
      <c r="C4446"/>
      <c r="D4446"/>
      <c r="E4446"/>
      <c r="F4446"/>
      <c r="G4446"/>
    </row>
    <row r="4447" spans="1:7">
      <c r="A4447"/>
      <c r="B4447"/>
      <c r="C4447"/>
      <c r="D4447"/>
      <c r="E4447"/>
      <c r="F4447"/>
      <c r="G4447"/>
    </row>
    <row r="4448" spans="1:7">
      <c r="A4448"/>
      <c r="B4448"/>
      <c r="C4448"/>
      <c r="D4448"/>
      <c r="E4448"/>
      <c r="F4448"/>
      <c r="G4448"/>
    </row>
    <row r="4449" spans="1:7">
      <c r="A4449"/>
      <c r="B4449"/>
      <c r="C4449"/>
      <c r="D4449"/>
      <c r="E4449"/>
      <c r="F4449"/>
      <c r="G4449"/>
    </row>
    <row r="4450" spans="1:7">
      <c r="A4450"/>
      <c r="B4450"/>
      <c r="C4450"/>
      <c r="D4450"/>
      <c r="E4450"/>
      <c r="F4450"/>
      <c r="G4450"/>
    </row>
    <row r="4451" spans="1:7">
      <c r="A4451"/>
      <c r="B4451"/>
      <c r="C4451"/>
      <c r="D4451"/>
      <c r="E4451"/>
      <c r="F4451"/>
      <c r="G4451"/>
    </row>
    <row r="4452" spans="1:7">
      <c r="A4452"/>
      <c r="B4452"/>
      <c r="C4452"/>
      <c r="D4452"/>
      <c r="E4452"/>
      <c r="F4452"/>
      <c r="G4452"/>
    </row>
    <row r="4453" spans="1:7">
      <c r="A4453"/>
      <c r="B4453"/>
      <c r="C4453"/>
      <c r="D4453"/>
      <c r="E4453"/>
      <c r="F4453"/>
      <c r="G4453"/>
    </row>
    <row r="4454" spans="1:7">
      <c r="A4454"/>
      <c r="B4454"/>
      <c r="C4454"/>
      <c r="D4454"/>
      <c r="E4454"/>
      <c r="F4454"/>
      <c r="G4454"/>
    </row>
    <row r="4455" spans="1:7">
      <c r="A4455"/>
      <c r="B4455"/>
      <c r="C4455"/>
      <c r="D4455"/>
      <c r="E4455"/>
      <c r="F4455"/>
      <c r="G4455"/>
    </row>
    <row r="4456" spans="1:7">
      <c r="A4456"/>
      <c r="B4456"/>
      <c r="C4456"/>
      <c r="D4456"/>
      <c r="E4456"/>
      <c r="F4456"/>
      <c r="G4456"/>
    </row>
    <row r="4457" spans="1:7">
      <c r="A4457"/>
      <c r="B4457"/>
      <c r="C4457"/>
      <c r="D4457"/>
      <c r="E4457"/>
      <c r="F4457"/>
      <c r="G4457"/>
    </row>
    <row r="4458" spans="1:7">
      <c r="A4458"/>
      <c r="B4458"/>
      <c r="C4458"/>
      <c r="D4458"/>
      <c r="E4458"/>
      <c r="F4458"/>
      <c r="G4458"/>
    </row>
    <row r="4459" spans="1:7">
      <c r="A4459"/>
      <c r="B4459"/>
      <c r="C4459"/>
      <c r="D4459"/>
      <c r="E4459"/>
      <c r="F4459"/>
      <c r="G4459"/>
    </row>
    <row r="4460" spans="1:7">
      <c r="A4460"/>
      <c r="B4460"/>
      <c r="C4460"/>
      <c r="D4460"/>
      <c r="E4460"/>
      <c r="F4460"/>
      <c r="G4460"/>
    </row>
    <row r="4461" spans="1:7">
      <c r="A4461"/>
      <c r="B4461"/>
      <c r="C4461"/>
      <c r="D4461"/>
      <c r="E4461"/>
      <c r="F4461"/>
      <c r="G4461"/>
    </row>
    <row r="4462" spans="1:7">
      <c r="A4462"/>
      <c r="B4462"/>
      <c r="C4462"/>
      <c r="D4462"/>
      <c r="E4462"/>
      <c r="F4462"/>
      <c r="G4462"/>
    </row>
    <row r="4463" spans="1:7">
      <c r="A4463"/>
      <c r="B4463"/>
      <c r="C4463"/>
      <c r="D4463"/>
      <c r="E4463"/>
      <c r="F4463"/>
      <c r="G4463"/>
    </row>
    <row r="4464" spans="1:7">
      <c r="A4464"/>
      <c r="B4464"/>
      <c r="C4464"/>
      <c r="D4464"/>
      <c r="E4464"/>
      <c r="F4464"/>
      <c r="G4464"/>
    </row>
    <row r="4465" spans="1:7">
      <c r="A4465"/>
      <c r="B4465"/>
      <c r="C4465"/>
      <c r="D4465"/>
      <c r="E4465"/>
      <c r="F4465"/>
      <c r="G4465"/>
    </row>
    <row r="4466" spans="1:7">
      <c r="A4466"/>
      <c r="B4466"/>
      <c r="C4466"/>
      <c r="D4466"/>
      <c r="E4466"/>
      <c r="F4466"/>
      <c r="G4466"/>
    </row>
    <row r="4467" spans="1:7">
      <c r="A4467"/>
      <c r="B4467"/>
      <c r="C4467"/>
      <c r="D4467"/>
      <c r="E4467"/>
      <c r="F4467"/>
      <c r="G4467"/>
    </row>
    <row r="4468" spans="1:7">
      <c r="A4468"/>
      <c r="B4468"/>
      <c r="C4468"/>
      <c r="D4468"/>
      <c r="E4468"/>
      <c r="F4468"/>
      <c r="G4468"/>
    </row>
    <row r="4469" spans="1:7">
      <c r="A4469"/>
      <c r="B4469"/>
      <c r="C4469"/>
      <c r="D4469"/>
      <c r="E4469"/>
      <c r="F4469"/>
      <c r="G4469"/>
    </row>
    <row r="4470" spans="1:7">
      <c r="A4470"/>
      <c r="B4470"/>
      <c r="C4470"/>
      <c r="D4470"/>
      <c r="E4470"/>
      <c r="F4470"/>
      <c r="G4470"/>
    </row>
    <row r="4471" spans="1:7">
      <c r="A4471"/>
      <c r="B4471"/>
      <c r="C4471"/>
      <c r="D4471"/>
      <c r="E4471"/>
      <c r="F4471"/>
      <c r="G4471"/>
    </row>
    <row r="4472" spans="1:7">
      <c r="A4472"/>
      <c r="B4472"/>
      <c r="C4472"/>
      <c r="D4472"/>
      <c r="E4472"/>
      <c r="F4472"/>
      <c r="G4472"/>
    </row>
    <row r="4473" spans="1:7">
      <c r="A4473"/>
      <c r="B4473"/>
      <c r="C4473"/>
      <c r="D4473"/>
      <c r="E4473"/>
      <c r="F4473"/>
      <c r="G4473"/>
    </row>
    <row r="4474" spans="1:7">
      <c r="A4474"/>
      <c r="B4474"/>
      <c r="C4474"/>
      <c r="D4474"/>
      <c r="E4474"/>
      <c r="F4474"/>
      <c r="G4474"/>
    </row>
    <row r="4475" spans="1:7">
      <c r="A4475"/>
      <c r="B4475"/>
      <c r="C4475"/>
      <c r="D4475"/>
      <c r="E4475"/>
      <c r="F4475"/>
      <c r="G4475"/>
    </row>
    <row r="4476" spans="1:7">
      <c r="A4476"/>
      <c r="B4476"/>
      <c r="C4476"/>
      <c r="D4476"/>
      <c r="E4476"/>
      <c r="F4476"/>
      <c r="G4476"/>
    </row>
    <row r="4477" spans="1:7">
      <c r="A4477"/>
      <c r="B4477"/>
      <c r="C4477"/>
      <c r="D4477"/>
      <c r="E4477"/>
      <c r="F4477"/>
      <c r="G4477"/>
    </row>
    <row r="4478" spans="1:7">
      <c r="A4478"/>
      <c r="B4478"/>
      <c r="C4478"/>
      <c r="D4478"/>
      <c r="E4478"/>
      <c r="F4478"/>
      <c r="G4478"/>
    </row>
    <row r="4479" spans="1:7">
      <c r="A4479"/>
      <c r="B4479"/>
      <c r="C4479"/>
      <c r="D4479"/>
      <c r="E4479"/>
      <c r="F4479"/>
      <c r="G4479"/>
    </row>
    <row r="4480" spans="1:7">
      <c r="A4480"/>
      <c r="B4480"/>
      <c r="C4480"/>
      <c r="D4480"/>
      <c r="E4480"/>
      <c r="F4480"/>
      <c r="G4480"/>
    </row>
    <row r="4481" spans="1:7">
      <c r="A4481"/>
      <c r="B4481"/>
      <c r="C4481"/>
      <c r="D4481"/>
      <c r="E4481"/>
      <c r="F4481"/>
      <c r="G4481"/>
    </row>
    <row r="4482" spans="1:7">
      <c r="A4482"/>
      <c r="B4482"/>
      <c r="C4482"/>
      <c r="D4482"/>
      <c r="E4482"/>
      <c r="F4482"/>
      <c r="G4482"/>
    </row>
    <row r="4483" spans="1:7">
      <c r="A4483"/>
      <c r="B4483"/>
      <c r="C4483"/>
      <c r="D4483"/>
      <c r="E4483"/>
      <c r="F4483"/>
      <c r="G4483"/>
    </row>
    <row r="4484" spans="1:7">
      <c r="A4484"/>
      <c r="B4484"/>
      <c r="C4484"/>
      <c r="D4484"/>
      <c r="E4484"/>
      <c r="F4484"/>
      <c r="G4484"/>
    </row>
    <row r="4485" spans="1:7">
      <c r="A4485"/>
      <c r="B4485"/>
      <c r="C4485"/>
      <c r="D4485"/>
      <c r="E4485"/>
      <c r="F4485"/>
      <c r="G4485"/>
    </row>
    <row r="4486" spans="1:7">
      <c r="A4486"/>
      <c r="B4486"/>
      <c r="C4486"/>
      <c r="D4486"/>
      <c r="E4486"/>
      <c r="F4486"/>
      <c r="G4486"/>
    </row>
    <row r="4487" spans="1:7">
      <c r="A4487"/>
      <c r="B4487"/>
      <c r="C4487"/>
      <c r="D4487"/>
      <c r="E4487"/>
      <c r="F4487"/>
      <c r="G4487"/>
    </row>
    <row r="4488" spans="1:7">
      <c r="A4488"/>
      <c r="B4488"/>
      <c r="C4488"/>
      <c r="D4488"/>
      <c r="E4488"/>
      <c r="F4488"/>
      <c r="G4488"/>
    </row>
    <row r="4489" spans="1:7">
      <c r="A4489"/>
      <c r="B4489"/>
      <c r="C4489"/>
      <c r="D4489"/>
      <c r="E4489"/>
      <c r="F4489"/>
      <c r="G4489"/>
    </row>
    <row r="4490" spans="1:7">
      <c r="A4490"/>
      <c r="B4490"/>
      <c r="C4490"/>
      <c r="D4490"/>
      <c r="E4490"/>
      <c r="F4490"/>
      <c r="G4490"/>
    </row>
    <row r="4491" spans="1:7">
      <c r="A4491"/>
      <c r="B4491"/>
      <c r="C4491"/>
      <c r="D4491"/>
      <c r="E4491"/>
      <c r="F4491"/>
      <c r="G4491"/>
    </row>
    <row r="4492" spans="1:7">
      <c r="A4492"/>
      <c r="B4492"/>
      <c r="C4492"/>
      <c r="D4492"/>
      <c r="E4492"/>
      <c r="F4492"/>
      <c r="G4492"/>
    </row>
    <row r="4493" spans="1:7">
      <c r="A4493"/>
      <c r="B4493"/>
      <c r="C4493"/>
      <c r="D4493"/>
      <c r="E4493"/>
      <c r="F4493"/>
      <c r="G4493"/>
    </row>
    <row r="4494" spans="1:7">
      <c r="A4494"/>
      <c r="B4494"/>
      <c r="C4494"/>
      <c r="D4494"/>
      <c r="E4494"/>
      <c r="F4494"/>
      <c r="G4494"/>
    </row>
    <row r="4495" spans="1:7">
      <c r="A4495"/>
      <c r="B4495"/>
      <c r="C4495"/>
      <c r="D4495"/>
      <c r="E4495"/>
      <c r="F4495"/>
      <c r="G4495"/>
    </row>
    <row r="4496" spans="1:7">
      <c r="A4496"/>
      <c r="B4496"/>
      <c r="C4496"/>
      <c r="D4496"/>
      <c r="E4496"/>
      <c r="F4496"/>
      <c r="G4496"/>
    </row>
    <row r="4497" spans="1:7">
      <c r="A4497"/>
      <c r="B4497"/>
      <c r="C4497"/>
      <c r="D4497"/>
      <c r="E4497"/>
      <c r="F4497"/>
      <c r="G4497"/>
    </row>
    <row r="4498" spans="1:7">
      <c r="A4498"/>
      <c r="B4498"/>
      <c r="C4498"/>
      <c r="D4498"/>
      <c r="E4498"/>
      <c r="F4498"/>
      <c r="G4498"/>
    </row>
    <row r="4499" spans="1:7">
      <c r="A4499"/>
      <c r="B4499"/>
      <c r="C4499"/>
      <c r="D4499"/>
      <c r="E4499"/>
      <c r="F4499"/>
      <c r="G4499"/>
    </row>
    <row r="4500" spans="1:7">
      <c r="A4500"/>
      <c r="B4500"/>
      <c r="C4500"/>
      <c r="D4500"/>
      <c r="E4500"/>
      <c r="F4500"/>
      <c r="G4500"/>
    </row>
    <row r="4501" spans="1:7">
      <c r="A4501"/>
      <c r="B4501"/>
      <c r="C4501"/>
      <c r="D4501"/>
      <c r="E4501"/>
      <c r="F4501"/>
      <c r="G4501"/>
    </row>
    <row r="4502" spans="1:7">
      <c r="A4502"/>
      <c r="B4502"/>
      <c r="C4502"/>
      <c r="D4502"/>
      <c r="E4502"/>
      <c r="F4502"/>
      <c r="G4502"/>
    </row>
    <row r="4503" spans="1:7">
      <c r="A4503"/>
      <c r="B4503"/>
      <c r="C4503"/>
      <c r="D4503"/>
      <c r="E4503"/>
      <c r="F4503"/>
      <c r="G4503"/>
    </row>
    <row r="4504" spans="1:7">
      <c r="A4504"/>
      <c r="B4504"/>
      <c r="C4504"/>
      <c r="D4504"/>
      <c r="E4504"/>
      <c r="F4504"/>
      <c r="G4504"/>
    </row>
    <row r="4505" spans="1:7">
      <c r="A4505"/>
      <c r="B4505"/>
      <c r="C4505"/>
      <c r="D4505"/>
      <c r="E4505"/>
      <c r="F4505"/>
      <c r="G4505"/>
    </row>
    <row r="4506" spans="1:7">
      <c r="A4506"/>
      <c r="B4506"/>
      <c r="C4506"/>
      <c r="D4506"/>
      <c r="E4506"/>
      <c r="F4506"/>
      <c r="G4506"/>
    </row>
    <row r="4507" spans="1:7">
      <c r="A4507"/>
      <c r="B4507"/>
      <c r="C4507"/>
      <c r="D4507"/>
      <c r="E4507"/>
      <c r="F4507"/>
      <c r="G4507"/>
    </row>
    <row r="4508" spans="1:7">
      <c r="A4508"/>
      <c r="B4508"/>
      <c r="C4508"/>
      <c r="D4508"/>
      <c r="E4508"/>
      <c r="F4508"/>
      <c r="G4508"/>
    </row>
    <row r="4509" spans="1:7">
      <c r="A4509"/>
      <c r="B4509"/>
      <c r="C4509"/>
      <c r="D4509"/>
      <c r="E4509"/>
      <c r="F4509"/>
      <c r="G4509"/>
    </row>
    <row r="4510" spans="1:7">
      <c r="A4510"/>
      <c r="B4510"/>
      <c r="C4510"/>
      <c r="D4510"/>
      <c r="E4510"/>
      <c r="F4510"/>
      <c r="G4510"/>
    </row>
    <row r="4511" spans="1:7">
      <c r="A4511"/>
      <c r="B4511"/>
      <c r="C4511"/>
      <c r="D4511"/>
      <c r="E4511"/>
      <c r="F4511"/>
      <c r="G4511"/>
    </row>
    <row r="4512" spans="1:7">
      <c r="A4512"/>
      <c r="B4512"/>
      <c r="C4512"/>
      <c r="D4512"/>
      <c r="E4512"/>
      <c r="F4512"/>
      <c r="G4512"/>
    </row>
    <row r="4513" spans="1:7">
      <c r="A4513"/>
      <c r="B4513"/>
      <c r="C4513"/>
      <c r="D4513"/>
      <c r="E4513"/>
      <c r="F4513"/>
      <c r="G4513"/>
    </row>
    <row r="4514" spans="1:7">
      <c r="A4514"/>
      <c r="B4514"/>
      <c r="C4514"/>
      <c r="D4514"/>
      <c r="E4514"/>
      <c r="F4514"/>
      <c r="G4514"/>
    </row>
    <row r="4515" spans="1:7">
      <c r="A4515"/>
      <c r="B4515"/>
      <c r="C4515"/>
      <c r="D4515"/>
      <c r="E4515"/>
      <c r="F4515"/>
      <c r="G4515"/>
    </row>
    <row r="4516" spans="1:7">
      <c r="A4516"/>
      <c r="B4516"/>
      <c r="C4516"/>
      <c r="D4516"/>
      <c r="E4516"/>
      <c r="F4516"/>
      <c r="G4516"/>
    </row>
    <row r="4517" spans="1:7">
      <c r="A4517"/>
      <c r="B4517"/>
      <c r="C4517"/>
      <c r="D4517"/>
      <c r="E4517"/>
      <c r="F4517"/>
      <c r="G4517"/>
    </row>
    <row r="4518" spans="1:7">
      <c r="A4518"/>
      <c r="B4518"/>
      <c r="C4518"/>
      <c r="D4518"/>
      <c r="E4518"/>
      <c r="F4518"/>
      <c r="G4518"/>
    </row>
    <row r="4519" spans="1:7">
      <c r="A4519"/>
      <c r="B4519"/>
      <c r="C4519"/>
      <c r="D4519"/>
      <c r="E4519"/>
      <c r="F4519"/>
      <c r="G4519"/>
    </row>
    <row r="4520" spans="1:7">
      <c r="A4520"/>
      <c r="B4520"/>
      <c r="C4520"/>
      <c r="D4520"/>
      <c r="E4520"/>
      <c r="F4520"/>
      <c r="G4520"/>
    </row>
    <row r="4521" spans="1:7">
      <c r="A4521"/>
      <c r="B4521"/>
      <c r="C4521"/>
      <c r="D4521"/>
      <c r="E4521"/>
      <c r="F4521"/>
      <c r="G4521"/>
    </row>
    <row r="4522" spans="1:7">
      <c r="A4522"/>
      <c r="B4522"/>
      <c r="C4522"/>
      <c r="D4522"/>
      <c r="E4522"/>
      <c r="F4522"/>
      <c r="G4522"/>
    </row>
    <row r="4523" spans="1:7">
      <c r="A4523"/>
      <c r="B4523"/>
      <c r="C4523"/>
      <c r="D4523"/>
      <c r="E4523"/>
      <c r="F4523"/>
      <c r="G4523"/>
    </row>
    <row r="4524" spans="1:7">
      <c r="A4524"/>
      <c r="B4524"/>
      <c r="C4524"/>
      <c r="D4524"/>
      <c r="E4524"/>
      <c r="F4524"/>
      <c r="G4524"/>
    </row>
    <row r="4525" spans="1:7">
      <c r="A4525"/>
      <c r="B4525"/>
      <c r="C4525"/>
      <c r="D4525"/>
      <c r="E4525"/>
      <c r="F4525"/>
      <c r="G4525"/>
    </row>
    <row r="4526" spans="1:7">
      <c r="A4526"/>
      <c r="B4526"/>
      <c r="C4526"/>
      <c r="D4526"/>
      <c r="E4526"/>
      <c r="F4526"/>
      <c r="G4526"/>
    </row>
    <row r="4527" spans="1:7">
      <c r="A4527"/>
      <c r="B4527"/>
      <c r="C4527"/>
      <c r="D4527"/>
      <c r="E4527"/>
      <c r="F4527"/>
      <c r="G4527"/>
    </row>
    <row r="4528" spans="1:7">
      <c r="A4528"/>
      <c r="B4528"/>
      <c r="C4528"/>
      <c r="D4528"/>
      <c r="E4528"/>
      <c r="F4528"/>
      <c r="G4528"/>
    </row>
    <row r="4529" spans="1:7">
      <c r="A4529"/>
      <c r="B4529"/>
      <c r="C4529"/>
      <c r="D4529"/>
      <c r="E4529"/>
      <c r="F4529"/>
      <c r="G4529"/>
    </row>
    <row r="4530" spans="1:7">
      <c r="A4530"/>
      <c r="B4530"/>
      <c r="C4530"/>
      <c r="D4530"/>
      <c r="E4530"/>
      <c r="F4530"/>
      <c r="G4530"/>
    </row>
    <row r="4531" spans="1:7">
      <c r="A4531"/>
      <c r="B4531"/>
      <c r="C4531"/>
      <c r="D4531"/>
      <c r="E4531"/>
      <c r="F4531"/>
      <c r="G4531"/>
    </row>
    <row r="4532" spans="1:7">
      <c r="A4532"/>
      <c r="B4532"/>
      <c r="C4532"/>
      <c r="D4532"/>
      <c r="E4532"/>
      <c r="F4532"/>
      <c r="G4532"/>
    </row>
    <row r="4533" spans="1:7">
      <c r="A4533"/>
      <c r="B4533"/>
      <c r="C4533"/>
      <c r="D4533"/>
      <c r="E4533"/>
      <c r="F4533"/>
      <c r="G4533"/>
    </row>
    <row r="4534" spans="1:7">
      <c r="A4534"/>
      <c r="B4534"/>
      <c r="C4534"/>
      <c r="D4534"/>
      <c r="E4534"/>
      <c r="F4534"/>
      <c r="G4534"/>
    </row>
    <row r="4535" spans="1:7">
      <c r="A4535"/>
      <c r="B4535"/>
      <c r="C4535"/>
      <c r="D4535"/>
      <c r="E4535"/>
      <c r="F4535"/>
      <c r="G4535"/>
    </row>
    <row r="4536" spans="1:7">
      <c r="A4536"/>
      <c r="B4536"/>
      <c r="C4536"/>
      <c r="D4536"/>
      <c r="E4536"/>
      <c r="F4536"/>
      <c r="G4536"/>
    </row>
    <row r="4537" spans="1:7">
      <c r="A4537"/>
      <c r="B4537"/>
      <c r="C4537"/>
      <c r="D4537"/>
      <c r="E4537"/>
      <c r="F4537"/>
      <c r="G4537"/>
    </row>
    <row r="4538" spans="1:7">
      <c r="A4538"/>
      <c r="B4538"/>
      <c r="C4538"/>
      <c r="D4538"/>
      <c r="E4538"/>
      <c r="F4538"/>
      <c r="G4538"/>
    </row>
    <row r="4539" spans="1:7">
      <c r="A4539"/>
      <c r="B4539"/>
      <c r="C4539"/>
      <c r="D4539"/>
      <c r="E4539"/>
      <c r="F4539"/>
      <c r="G4539"/>
    </row>
    <row r="4540" spans="1:7">
      <c r="A4540"/>
      <c r="B4540"/>
      <c r="C4540"/>
      <c r="D4540"/>
      <c r="E4540"/>
      <c r="F4540"/>
      <c r="G4540"/>
    </row>
    <row r="4541" spans="1:7">
      <c r="A4541"/>
      <c r="B4541"/>
      <c r="C4541"/>
      <c r="D4541"/>
      <c r="E4541"/>
      <c r="F4541"/>
      <c r="G4541"/>
    </row>
    <row r="4542" spans="1:7">
      <c r="A4542"/>
      <c r="B4542"/>
      <c r="C4542"/>
      <c r="D4542"/>
      <c r="E4542"/>
      <c r="F4542"/>
      <c r="G4542"/>
    </row>
    <row r="4543" spans="1:7">
      <c r="A4543"/>
      <c r="B4543"/>
      <c r="C4543"/>
      <c r="D4543"/>
      <c r="E4543"/>
      <c r="F4543"/>
      <c r="G4543"/>
    </row>
    <row r="4544" spans="1:7">
      <c r="A4544"/>
      <c r="B4544"/>
      <c r="C4544"/>
      <c r="D4544"/>
      <c r="E4544"/>
      <c r="F4544"/>
      <c r="G4544"/>
    </row>
    <row r="4545" spans="1:7">
      <c r="A4545"/>
      <c r="B4545"/>
      <c r="C4545"/>
      <c r="D4545"/>
      <c r="E4545"/>
      <c r="F4545"/>
      <c r="G4545"/>
    </row>
    <row r="4546" spans="1:7">
      <c r="A4546"/>
      <c r="B4546"/>
      <c r="C4546"/>
      <c r="D4546"/>
      <c r="E4546"/>
      <c r="F4546"/>
      <c r="G4546"/>
    </row>
    <row r="4547" spans="1:7">
      <c r="A4547"/>
      <c r="B4547"/>
      <c r="C4547"/>
      <c r="D4547"/>
      <c r="E4547"/>
      <c r="F4547"/>
      <c r="G4547"/>
    </row>
    <row r="4548" spans="1:7">
      <c r="A4548"/>
      <c r="B4548"/>
      <c r="C4548"/>
      <c r="D4548"/>
      <c r="E4548"/>
      <c r="F4548"/>
      <c r="G4548"/>
    </row>
    <row r="4549" spans="1:7">
      <c r="A4549"/>
      <c r="B4549"/>
      <c r="C4549"/>
      <c r="D4549"/>
      <c r="E4549"/>
      <c r="F4549"/>
      <c r="G4549"/>
    </row>
    <row r="4550" spans="1:7">
      <c r="A4550"/>
      <c r="B4550"/>
      <c r="C4550"/>
      <c r="D4550"/>
      <c r="E4550"/>
      <c r="F4550"/>
      <c r="G4550"/>
    </row>
    <row r="4551" spans="1:7">
      <c r="A4551"/>
      <c r="B4551"/>
      <c r="C4551"/>
      <c r="D4551"/>
      <c r="E4551"/>
      <c r="F4551"/>
      <c r="G4551"/>
    </row>
    <row r="4552" spans="1:7">
      <c r="A4552"/>
      <c r="B4552"/>
      <c r="C4552"/>
      <c r="D4552"/>
      <c r="E4552"/>
      <c r="F4552"/>
      <c r="G4552"/>
    </row>
    <row r="4553" spans="1:7">
      <c r="A4553"/>
      <c r="B4553"/>
      <c r="C4553"/>
      <c r="D4553"/>
      <c r="E4553"/>
      <c r="F4553"/>
      <c r="G4553"/>
    </row>
    <row r="4554" spans="1:7">
      <c r="A4554"/>
      <c r="B4554"/>
      <c r="C4554"/>
      <c r="D4554"/>
      <c r="E4554"/>
      <c r="F4554"/>
      <c r="G4554"/>
    </row>
    <row r="4555" spans="1:7">
      <c r="A4555"/>
      <c r="B4555"/>
      <c r="C4555"/>
      <c r="D4555"/>
      <c r="E4555"/>
      <c r="F4555"/>
      <c r="G4555"/>
    </row>
    <row r="4556" spans="1:7">
      <c r="A4556"/>
      <c r="B4556"/>
      <c r="C4556"/>
      <c r="D4556"/>
      <c r="E4556"/>
      <c r="F4556"/>
      <c r="G4556"/>
    </row>
    <row r="4557" spans="1:7">
      <c r="A4557"/>
      <c r="B4557"/>
      <c r="C4557"/>
      <c r="D4557"/>
      <c r="E4557"/>
      <c r="F4557"/>
      <c r="G4557"/>
    </row>
    <row r="4558" spans="1:7">
      <c r="A4558"/>
      <c r="B4558"/>
      <c r="C4558"/>
      <c r="D4558"/>
      <c r="E4558"/>
      <c r="F4558"/>
      <c r="G4558"/>
    </row>
    <row r="4559" spans="1:7">
      <c r="A4559"/>
      <c r="B4559"/>
      <c r="C4559"/>
      <c r="D4559"/>
      <c r="E4559"/>
      <c r="F4559"/>
      <c r="G4559"/>
    </row>
    <row r="4560" spans="1:7">
      <c r="A4560"/>
      <c r="B4560"/>
      <c r="C4560"/>
      <c r="D4560"/>
      <c r="E4560"/>
      <c r="F4560"/>
      <c r="G4560"/>
    </row>
    <row r="4561" spans="1:7">
      <c r="A4561"/>
      <c r="B4561"/>
      <c r="C4561"/>
      <c r="D4561"/>
      <c r="E4561"/>
      <c r="F4561"/>
      <c r="G4561"/>
    </row>
    <row r="4562" spans="1:7">
      <c r="A4562"/>
      <c r="B4562"/>
      <c r="C4562"/>
      <c r="D4562"/>
      <c r="E4562"/>
      <c r="F4562"/>
      <c r="G4562"/>
    </row>
    <row r="4563" spans="1:7">
      <c r="A4563"/>
      <c r="B4563"/>
      <c r="C4563"/>
      <c r="D4563"/>
      <c r="E4563"/>
      <c r="F4563"/>
      <c r="G4563"/>
    </row>
    <row r="4564" spans="1:7">
      <c r="A4564"/>
      <c r="B4564"/>
      <c r="C4564"/>
      <c r="D4564"/>
      <c r="E4564"/>
      <c r="F4564"/>
      <c r="G4564"/>
    </row>
    <row r="4565" spans="1:7">
      <c r="A4565"/>
      <c r="B4565"/>
      <c r="C4565"/>
      <c r="D4565"/>
      <c r="E4565"/>
      <c r="F4565"/>
      <c r="G4565"/>
    </row>
    <row r="4566" spans="1:7">
      <c r="A4566"/>
      <c r="B4566"/>
      <c r="C4566"/>
      <c r="D4566"/>
      <c r="E4566"/>
      <c r="F4566"/>
      <c r="G4566"/>
    </row>
    <row r="4567" spans="1:7">
      <c r="A4567"/>
      <c r="B4567"/>
      <c r="C4567"/>
      <c r="D4567"/>
      <c r="E4567"/>
      <c r="F4567"/>
      <c r="G4567"/>
    </row>
    <row r="4568" spans="1:7">
      <c r="A4568"/>
      <c r="B4568"/>
      <c r="C4568"/>
      <c r="D4568"/>
      <c r="E4568"/>
      <c r="F4568"/>
      <c r="G4568"/>
    </row>
    <row r="4569" spans="1:7">
      <c r="A4569"/>
      <c r="B4569"/>
      <c r="C4569"/>
      <c r="D4569"/>
      <c r="E4569"/>
      <c r="F4569"/>
      <c r="G4569"/>
    </row>
    <row r="4570" spans="1:7">
      <c r="A4570"/>
      <c r="B4570"/>
      <c r="C4570"/>
      <c r="D4570"/>
      <c r="E4570"/>
      <c r="F4570"/>
      <c r="G4570"/>
    </row>
    <row r="4571" spans="1:7">
      <c r="A4571"/>
      <c r="B4571"/>
      <c r="C4571"/>
      <c r="D4571"/>
      <c r="E4571"/>
      <c r="F4571"/>
      <c r="G4571"/>
    </row>
    <row r="4572" spans="1:7">
      <c r="A4572"/>
      <c r="B4572"/>
      <c r="C4572"/>
      <c r="D4572"/>
      <c r="E4572"/>
      <c r="F4572"/>
      <c r="G4572"/>
    </row>
    <row r="4573" spans="1:7">
      <c r="A4573"/>
      <c r="B4573"/>
      <c r="C4573"/>
      <c r="D4573"/>
      <c r="E4573"/>
      <c r="F4573"/>
      <c r="G4573"/>
    </row>
    <row r="4574" spans="1:7">
      <c r="A4574"/>
      <c r="B4574"/>
      <c r="C4574"/>
      <c r="D4574"/>
      <c r="E4574"/>
      <c r="F4574"/>
      <c r="G4574"/>
    </row>
    <row r="4575" spans="1:7">
      <c r="A4575"/>
      <c r="B4575"/>
      <c r="C4575"/>
      <c r="D4575"/>
      <c r="E4575"/>
      <c r="F4575"/>
      <c r="G4575"/>
    </row>
    <row r="4576" spans="1:7">
      <c r="A4576"/>
      <c r="B4576"/>
      <c r="C4576"/>
      <c r="D4576"/>
      <c r="E4576"/>
      <c r="F4576"/>
      <c r="G4576"/>
    </row>
    <row r="4577" spans="1:7">
      <c r="A4577"/>
      <c r="B4577"/>
      <c r="C4577"/>
      <c r="D4577"/>
      <c r="E4577"/>
      <c r="F4577"/>
      <c r="G4577"/>
    </row>
    <row r="4578" spans="1:7">
      <c r="A4578"/>
      <c r="B4578"/>
      <c r="C4578"/>
      <c r="D4578"/>
      <c r="E4578"/>
      <c r="F4578"/>
      <c r="G4578"/>
    </row>
    <row r="4579" spans="1:7">
      <c r="A4579"/>
      <c r="B4579"/>
      <c r="C4579"/>
      <c r="D4579"/>
      <c r="E4579"/>
      <c r="F4579"/>
      <c r="G4579"/>
    </row>
    <row r="4580" spans="1:7">
      <c r="A4580"/>
      <c r="B4580"/>
      <c r="C4580"/>
      <c r="D4580"/>
      <c r="E4580"/>
      <c r="F4580"/>
      <c r="G4580"/>
    </row>
    <row r="4581" spans="1:7">
      <c r="A4581"/>
      <c r="B4581"/>
      <c r="C4581"/>
      <c r="D4581"/>
      <c r="E4581"/>
      <c r="F4581"/>
      <c r="G4581"/>
    </row>
    <row r="4582" spans="1:7">
      <c r="A4582"/>
      <c r="B4582"/>
      <c r="C4582"/>
      <c r="D4582"/>
      <c r="E4582"/>
      <c r="F4582"/>
      <c r="G4582"/>
    </row>
    <row r="4583" spans="1:7">
      <c r="A4583"/>
      <c r="B4583"/>
      <c r="C4583"/>
      <c r="D4583"/>
      <c r="E4583"/>
      <c r="F4583"/>
      <c r="G4583"/>
    </row>
    <row r="4584" spans="1:7">
      <c r="A4584"/>
      <c r="B4584"/>
      <c r="C4584"/>
      <c r="D4584"/>
      <c r="E4584"/>
      <c r="F4584"/>
      <c r="G4584"/>
    </row>
    <row r="4585" spans="1:7">
      <c r="A4585"/>
      <c r="B4585"/>
      <c r="C4585"/>
      <c r="D4585"/>
      <c r="E4585"/>
      <c r="F4585"/>
      <c r="G4585"/>
    </row>
    <row r="4586" spans="1:7">
      <c r="A4586"/>
      <c r="B4586"/>
      <c r="C4586"/>
      <c r="D4586"/>
      <c r="E4586"/>
      <c r="F4586"/>
      <c r="G4586"/>
    </row>
    <row r="4587" spans="1:7">
      <c r="A4587"/>
      <c r="B4587"/>
      <c r="C4587"/>
      <c r="D4587"/>
      <c r="E4587"/>
      <c r="F4587"/>
      <c r="G4587"/>
    </row>
    <row r="4588" spans="1:7">
      <c r="A4588"/>
      <c r="B4588"/>
      <c r="C4588"/>
      <c r="D4588"/>
      <c r="E4588"/>
      <c r="F4588"/>
      <c r="G4588"/>
    </row>
    <row r="4589" spans="1:7">
      <c r="A4589"/>
      <c r="B4589"/>
      <c r="C4589"/>
      <c r="D4589"/>
      <c r="E4589"/>
      <c r="F4589"/>
      <c r="G4589"/>
    </row>
    <row r="4590" spans="1:7">
      <c r="A4590"/>
      <c r="B4590"/>
      <c r="C4590"/>
      <c r="D4590"/>
      <c r="E4590"/>
      <c r="F4590"/>
      <c r="G4590"/>
    </row>
    <row r="4591" spans="1:7">
      <c r="A4591"/>
      <c r="B4591"/>
      <c r="C4591"/>
      <c r="D4591"/>
      <c r="E4591"/>
      <c r="F4591"/>
      <c r="G4591"/>
    </row>
    <row r="4592" spans="1:7">
      <c r="A4592"/>
      <c r="B4592"/>
      <c r="C4592"/>
      <c r="D4592"/>
      <c r="E4592"/>
      <c r="F4592"/>
      <c r="G4592"/>
    </row>
    <row r="4593" spans="1:7">
      <c r="A4593"/>
      <c r="B4593"/>
      <c r="C4593"/>
      <c r="D4593"/>
      <c r="E4593"/>
      <c r="F4593"/>
      <c r="G4593"/>
    </row>
    <row r="4594" spans="1:7">
      <c r="A4594"/>
      <c r="B4594"/>
      <c r="C4594"/>
      <c r="D4594"/>
      <c r="E4594"/>
      <c r="F4594"/>
      <c r="G4594"/>
    </row>
    <row r="4595" spans="1:7">
      <c r="A4595"/>
      <c r="B4595"/>
      <c r="C4595"/>
      <c r="D4595"/>
      <c r="E4595"/>
      <c r="F4595"/>
      <c r="G4595"/>
    </row>
    <row r="4596" spans="1:7">
      <c r="A4596"/>
      <c r="B4596"/>
      <c r="C4596"/>
      <c r="D4596"/>
      <c r="E4596"/>
      <c r="F4596"/>
      <c r="G4596"/>
    </row>
    <row r="4597" spans="1:7">
      <c r="A4597"/>
      <c r="B4597"/>
      <c r="C4597"/>
      <c r="D4597"/>
      <c r="E4597"/>
      <c r="F4597"/>
      <c r="G4597"/>
    </row>
    <row r="4598" spans="1:7">
      <c r="A4598"/>
      <c r="B4598"/>
      <c r="C4598"/>
      <c r="D4598"/>
      <c r="E4598"/>
      <c r="F4598"/>
      <c r="G4598"/>
    </row>
    <row r="4599" spans="1:7">
      <c r="A4599"/>
      <c r="B4599"/>
      <c r="C4599"/>
      <c r="D4599"/>
      <c r="E4599"/>
      <c r="F4599"/>
      <c r="G4599"/>
    </row>
    <row r="4600" spans="1:7">
      <c r="A4600"/>
      <c r="B4600"/>
      <c r="C4600"/>
      <c r="D4600"/>
      <c r="E4600"/>
      <c r="F4600"/>
      <c r="G4600"/>
    </row>
    <row r="4601" spans="1:7">
      <c r="A4601"/>
      <c r="B4601"/>
      <c r="C4601"/>
      <c r="D4601"/>
      <c r="E4601"/>
      <c r="F4601"/>
      <c r="G4601"/>
    </row>
    <row r="4602" spans="1:7">
      <c r="A4602"/>
      <c r="B4602"/>
      <c r="C4602"/>
      <c r="D4602"/>
      <c r="E4602"/>
      <c r="F4602"/>
      <c r="G4602"/>
    </row>
    <row r="4603" spans="1:7">
      <c r="A4603"/>
      <c r="B4603"/>
      <c r="C4603"/>
      <c r="D4603"/>
      <c r="E4603"/>
      <c r="F4603"/>
      <c r="G4603"/>
    </row>
    <row r="4604" spans="1:7">
      <c r="A4604"/>
      <c r="B4604"/>
      <c r="C4604"/>
      <c r="D4604"/>
      <c r="E4604"/>
      <c r="F4604"/>
      <c r="G4604"/>
    </row>
    <row r="4605" spans="1:7">
      <c r="A4605"/>
      <c r="B4605"/>
      <c r="C4605"/>
      <c r="D4605"/>
      <c r="E4605"/>
      <c r="F4605"/>
      <c r="G4605"/>
    </row>
    <row r="4606" spans="1:7">
      <c r="A4606"/>
      <c r="B4606"/>
      <c r="C4606"/>
      <c r="D4606"/>
      <c r="E4606"/>
      <c r="F4606"/>
      <c r="G4606"/>
    </row>
    <row r="4607" spans="1:7">
      <c r="A4607"/>
      <c r="B4607"/>
      <c r="C4607"/>
      <c r="D4607"/>
      <c r="E4607"/>
      <c r="F4607"/>
      <c r="G4607"/>
    </row>
    <row r="4608" spans="1:7">
      <c r="A4608"/>
      <c r="B4608"/>
      <c r="C4608"/>
      <c r="D4608"/>
      <c r="E4608"/>
      <c r="F4608"/>
      <c r="G4608"/>
    </row>
    <row r="4609" spans="1:7">
      <c r="A4609"/>
      <c r="B4609"/>
      <c r="C4609"/>
      <c r="D4609"/>
      <c r="E4609"/>
      <c r="F4609"/>
      <c r="G4609"/>
    </row>
    <row r="4610" spans="1:7">
      <c r="A4610"/>
      <c r="B4610"/>
      <c r="C4610"/>
      <c r="D4610"/>
      <c r="E4610"/>
      <c r="F4610"/>
      <c r="G4610"/>
    </row>
    <row r="4611" spans="1:7">
      <c r="A4611"/>
      <c r="B4611"/>
      <c r="C4611"/>
      <c r="D4611"/>
      <c r="E4611"/>
      <c r="F4611"/>
      <c r="G4611"/>
    </row>
    <row r="4612" spans="1:7">
      <c r="A4612"/>
      <c r="B4612"/>
      <c r="C4612"/>
      <c r="D4612"/>
      <c r="E4612"/>
      <c r="F4612"/>
      <c r="G4612"/>
    </row>
    <row r="4613" spans="1:7">
      <c r="A4613"/>
      <c r="B4613"/>
      <c r="C4613"/>
      <c r="D4613"/>
      <c r="E4613"/>
      <c r="F4613"/>
      <c r="G4613"/>
    </row>
    <row r="4614" spans="1:7">
      <c r="A4614"/>
      <c r="B4614"/>
      <c r="C4614"/>
      <c r="D4614"/>
      <c r="E4614"/>
      <c r="F4614"/>
      <c r="G4614"/>
    </row>
    <row r="4615" spans="1:7">
      <c r="A4615"/>
      <c r="B4615"/>
      <c r="C4615"/>
      <c r="D4615"/>
      <c r="E4615"/>
      <c r="F4615"/>
      <c r="G4615"/>
    </row>
    <row r="4616" spans="1:7">
      <c r="A4616"/>
      <c r="B4616"/>
      <c r="C4616"/>
      <c r="D4616"/>
      <c r="E4616"/>
      <c r="F4616"/>
      <c r="G4616"/>
    </row>
    <row r="4617" spans="1:7">
      <c r="A4617"/>
      <c r="B4617"/>
      <c r="C4617"/>
      <c r="D4617"/>
      <c r="E4617"/>
      <c r="F4617"/>
      <c r="G4617"/>
    </row>
    <row r="4618" spans="1:7">
      <c r="A4618"/>
      <c r="B4618"/>
      <c r="C4618"/>
      <c r="D4618"/>
      <c r="E4618"/>
      <c r="F4618"/>
      <c r="G4618"/>
    </row>
    <row r="4619" spans="1:7">
      <c r="A4619"/>
      <c r="B4619"/>
      <c r="C4619"/>
      <c r="D4619"/>
      <c r="E4619"/>
      <c r="F4619"/>
      <c r="G4619"/>
    </row>
    <row r="4620" spans="1:7">
      <c r="A4620"/>
      <c r="B4620"/>
      <c r="C4620"/>
      <c r="D4620"/>
      <c r="E4620"/>
      <c r="F4620"/>
      <c r="G4620"/>
    </row>
    <row r="4621" spans="1:7">
      <c r="A4621"/>
      <c r="B4621"/>
      <c r="C4621"/>
      <c r="D4621"/>
      <c r="E4621"/>
      <c r="F4621"/>
      <c r="G4621"/>
    </row>
    <row r="4622" spans="1:7">
      <c r="A4622"/>
      <c r="B4622"/>
      <c r="C4622"/>
      <c r="D4622"/>
      <c r="E4622"/>
      <c r="F4622"/>
      <c r="G4622"/>
    </row>
    <row r="4623" spans="1:7">
      <c r="A4623"/>
      <c r="B4623"/>
      <c r="C4623"/>
      <c r="D4623"/>
      <c r="E4623"/>
      <c r="F4623"/>
      <c r="G4623"/>
    </row>
    <row r="4624" spans="1:7">
      <c r="A4624"/>
      <c r="B4624"/>
      <c r="C4624"/>
      <c r="D4624"/>
      <c r="E4624"/>
      <c r="F4624"/>
      <c r="G4624"/>
    </row>
    <row r="4625" spans="1:7">
      <c r="A4625"/>
      <c r="B4625"/>
      <c r="C4625"/>
      <c r="D4625"/>
      <c r="E4625"/>
      <c r="F4625"/>
      <c r="G4625"/>
    </row>
    <row r="4626" spans="1:7">
      <c r="A4626"/>
      <c r="B4626"/>
      <c r="C4626"/>
      <c r="D4626"/>
      <c r="E4626"/>
      <c r="F4626"/>
      <c r="G4626"/>
    </row>
    <row r="4627" spans="1:7">
      <c r="A4627"/>
      <c r="B4627"/>
      <c r="C4627"/>
      <c r="D4627"/>
      <c r="E4627"/>
      <c r="F4627"/>
      <c r="G4627"/>
    </row>
    <row r="4628" spans="1:7">
      <c r="A4628"/>
      <c r="B4628"/>
      <c r="C4628"/>
      <c r="D4628"/>
      <c r="E4628"/>
      <c r="F4628"/>
      <c r="G4628"/>
    </row>
    <row r="4629" spans="1:7">
      <c r="A4629"/>
      <c r="B4629"/>
      <c r="C4629"/>
      <c r="D4629"/>
      <c r="E4629"/>
      <c r="F4629"/>
      <c r="G4629"/>
    </row>
    <row r="4630" spans="1:7">
      <c r="A4630"/>
      <c r="B4630"/>
      <c r="C4630"/>
      <c r="D4630"/>
      <c r="E4630"/>
      <c r="F4630"/>
      <c r="G4630"/>
    </row>
    <row r="4631" spans="1:7">
      <c r="A4631"/>
      <c r="B4631"/>
      <c r="C4631"/>
      <c r="D4631"/>
      <c r="E4631"/>
      <c r="F4631"/>
      <c r="G4631"/>
    </row>
    <row r="4632" spans="1:7">
      <c r="A4632"/>
      <c r="B4632"/>
      <c r="C4632"/>
      <c r="D4632"/>
      <c r="E4632"/>
      <c r="F4632"/>
      <c r="G4632"/>
    </row>
    <row r="4633" spans="1:7">
      <c r="A4633"/>
      <c r="B4633"/>
      <c r="C4633"/>
      <c r="D4633"/>
      <c r="E4633"/>
      <c r="F4633"/>
      <c r="G4633"/>
    </row>
    <row r="4634" spans="1:7">
      <c r="A4634"/>
      <c r="B4634"/>
      <c r="C4634"/>
      <c r="D4634"/>
      <c r="E4634"/>
      <c r="F4634"/>
      <c r="G4634"/>
    </row>
    <row r="4635" spans="1:7">
      <c r="A4635"/>
      <c r="B4635"/>
      <c r="C4635"/>
      <c r="D4635"/>
      <c r="E4635"/>
      <c r="F4635"/>
      <c r="G4635"/>
    </row>
    <row r="4636" spans="1:7">
      <c r="A4636"/>
      <c r="B4636"/>
      <c r="C4636"/>
      <c r="D4636"/>
      <c r="E4636"/>
      <c r="F4636"/>
      <c r="G4636"/>
    </row>
    <row r="4637" spans="1:7">
      <c r="A4637"/>
      <c r="B4637"/>
      <c r="C4637"/>
      <c r="D4637"/>
      <c r="E4637"/>
      <c r="F4637"/>
      <c r="G4637"/>
    </row>
    <row r="4638" spans="1:7">
      <c r="A4638"/>
      <c r="B4638"/>
      <c r="C4638"/>
      <c r="D4638"/>
      <c r="E4638"/>
      <c r="F4638"/>
      <c r="G4638"/>
    </row>
    <row r="4639" spans="1:7">
      <c r="A4639"/>
      <c r="B4639"/>
      <c r="C4639"/>
      <c r="D4639"/>
      <c r="E4639"/>
      <c r="F4639"/>
      <c r="G4639"/>
    </row>
    <row r="4640" spans="1:7">
      <c r="A4640"/>
      <c r="B4640"/>
      <c r="C4640"/>
      <c r="D4640"/>
      <c r="E4640"/>
      <c r="F4640"/>
      <c r="G4640"/>
    </row>
    <row r="4641" spans="1:7">
      <c r="A4641"/>
      <c r="B4641"/>
      <c r="C4641"/>
      <c r="D4641"/>
      <c r="E4641"/>
      <c r="F4641"/>
      <c r="G4641"/>
    </row>
    <row r="4642" spans="1:7">
      <c r="A4642"/>
      <c r="B4642"/>
      <c r="C4642"/>
      <c r="D4642"/>
      <c r="E4642"/>
      <c r="F4642"/>
      <c r="G4642"/>
    </row>
    <row r="4643" spans="1:7">
      <c r="A4643"/>
      <c r="B4643"/>
      <c r="C4643"/>
      <c r="D4643"/>
      <c r="E4643"/>
      <c r="F4643"/>
      <c r="G4643"/>
    </row>
    <row r="4644" spans="1:7">
      <c r="A4644"/>
      <c r="B4644"/>
      <c r="C4644"/>
      <c r="D4644"/>
      <c r="E4644"/>
      <c r="F4644"/>
      <c r="G4644"/>
    </row>
    <row r="4645" spans="1:7">
      <c r="A4645"/>
      <c r="B4645"/>
      <c r="C4645"/>
      <c r="D4645"/>
      <c r="E4645"/>
      <c r="F4645"/>
      <c r="G4645"/>
    </row>
    <row r="4646" spans="1:7">
      <c r="A4646"/>
      <c r="B4646"/>
      <c r="C4646"/>
      <c r="D4646"/>
      <c r="E4646"/>
      <c r="F4646"/>
      <c r="G4646"/>
    </row>
    <row r="4647" spans="1:7">
      <c r="A4647"/>
      <c r="B4647"/>
      <c r="C4647"/>
      <c r="D4647"/>
      <c r="E4647"/>
      <c r="F4647"/>
      <c r="G4647"/>
    </row>
    <row r="4648" spans="1:7">
      <c r="A4648"/>
      <c r="B4648"/>
      <c r="C4648"/>
      <c r="D4648"/>
      <c r="E4648"/>
      <c r="F4648"/>
      <c r="G4648"/>
    </row>
    <row r="4649" spans="1:7">
      <c r="A4649"/>
      <c r="B4649"/>
      <c r="C4649"/>
      <c r="D4649"/>
      <c r="E4649"/>
      <c r="F4649"/>
      <c r="G4649"/>
    </row>
    <row r="4650" spans="1:7">
      <c r="A4650"/>
      <c r="B4650"/>
      <c r="C4650"/>
      <c r="D4650"/>
      <c r="E4650"/>
      <c r="F4650"/>
      <c r="G4650"/>
    </row>
    <row r="4651" spans="1:7">
      <c r="A4651"/>
      <c r="B4651"/>
      <c r="C4651"/>
      <c r="D4651"/>
      <c r="E4651"/>
      <c r="F4651"/>
      <c r="G4651"/>
    </row>
    <row r="4652" spans="1:7">
      <c r="A4652"/>
      <c r="B4652"/>
      <c r="C4652"/>
      <c r="D4652"/>
      <c r="E4652"/>
      <c r="F4652"/>
      <c r="G4652"/>
    </row>
    <row r="4653" spans="1:7">
      <c r="A4653"/>
      <c r="B4653"/>
      <c r="C4653"/>
      <c r="D4653"/>
      <c r="E4653"/>
      <c r="F4653"/>
      <c r="G4653"/>
    </row>
    <row r="4654" spans="1:7">
      <c r="A4654"/>
      <c r="B4654"/>
      <c r="C4654"/>
      <c r="D4654"/>
      <c r="E4654"/>
      <c r="F4654"/>
      <c r="G4654"/>
    </row>
    <row r="4655" spans="1:7">
      <c r="A4655"/>
      <c r="B4655"/>
      <c r="C4655"/>
      <c r="D4655"/>
      <c r="E4655"/>
      <c r="F4655"/>
      <c r="G4655"/>
    </row>
    <row r="4656" spans="1:7">
      <c r="A4656"/>
      <c r="B4656"/>
      <c r="C4656"/>
      <c r="D4656"/>
      <c r="E4656"/>
      <c r="F4656"/>
      <c r="G4656"/>
    </row>
    <row r="4657" spans="1:7">
      <c r="A4657"/>
      <c r="B4657"/>
      <c r="C4657"/>
      <c r="D4657"/>
      <c r="E4657"/>
      <c r="F4657"/>
      <c r="G4657"/>
    </row>
    <row r="4658" spans="1:7">
      <c r="A4658"/>
      <c r="B4658"/>
      <c r="C4658"/>
      <c r="D4658"/>
      <c r="E4658"/>
      <c r="F4658"/>
      <c r="G4658"/>
    </row>
    <row r="4659" spans="1:7">
      <c r="A4659"/>
      <c r="B4659"/>
      <c r="C4659"/>
      <c r="D4659"/>
      <c r="E4659"/>
      <c r="F4659"/>
      <c r="G4659"/>
    </row>
    <row r="4660" spans="1:7">
      <c r="A4660"/>
      <c r="B4660"/>
      <c r="C4660"/>
      <c r="D4660"/>
      <c r="E4660"/>
      <c r="F4660"/>
      <c r="G4660"/>
    </row>
    <row r="4661" spans="1:7">
      <c r="A4661"/>
      <c r="B4661"/>
      <c r="C4661"/>
      <c r="D4661"/>
      <c r="E4661"/>
      <c r="F4661"/>
      <c r="G4661"/>
    </row>
    <row r="4662" spans="1:7">
      <c r="A4662"/>
      <c r="B4662"/>
      <c r="C4662"/>
      <c r="D4662"/>
      <c r="E4662"/>
      <c r="F4662"/>
      <c r="G4662"/>
    </row>
    <row r="4663" spans="1:7">
      <c r="A4663"/>
      <c r="B4663"/>
      <c r="C4663"/>
      <c r="D4663"/>
      <c r="E4663"/>
      <c r="F4663"/>
      <c r="G4663"/>
    </row>
    <row r="4664" spans="1:7">
      <c r="A4664"/>
      <c r="B4664"/>
      <c r="C4664"/>
      <c r="D4664"/>
      <c r="E4664"/>
      <c r="F4664"/>
      <c r="G4664"/>
    </row>
    <row r="4665" spans="1:7">
      <c r="A4665"/>
      <c r="B4665"/>
      <c r="C4665"/>
      <c r="D4665"/>
      <c r="E4665"/>
      <c r="F4665"/>
      <c r="G4665"/>
    </row>
    <row r="4666" spans="1:7">
      <c r="A4666"/>
      <c r="B4666"/>
      <c r="C4666"/>
      <c r="D4666"/>
      <c r="E4666"/>
      <c r="F4666"/>
      <c r="G4666"/>
    </row>
    <row r="4667" spans="1:7">
      <c r="A4667"/>
      <c r="B4667"/>
      <c r="C4667"/>
      <c r="D4667"/>
      <c r="E4667"/>
      <c r="F4667"/>
      <c r="G4667"/>
    </row>
    <row r="4668" spans="1:7">
      <c r="A4668"/>
      <c r="B4668"/>
      <c r="C4668"/>
      <c r="D4668"/>
      <c r="E4668"/>
      <c r="F4668"/>
      <c r="G4668"/>
    </row>
    <row r="4669" spans="1:7">
      <c r="A4669"/>
      <c r="B4669"/>
      <c r="C4669"/>
      <c r="D4669"/>
      <c r="E4669"/>
      <c r="F4669"/>
      <c r="G4669"/>
    </row>
    <row r="4670" spans="1:7">
      <c r="A4670"/>
      <c r="B4670"/>
      <c r="C4670"/>
      <c r="D4670"/>
      <c r="E4670"/>
      <c r="F4670"/>
      <c r="G4670"/>
    </row>
    <row r="4671" spans="1:7">
      <c r="A4671"/>
      <c r="B4671"/>
      <c r="C4671"/>
      <c r="D4671"/>
      <c r="E4671"/>
      <c r="F4671"/>
      <c r="G4671"/>
    </row>
    <row r="4672" spans="1:7">
      <c r="A4672"/>
      <c r="B4672"/>
      <c r="C4672"/>
      <c r="D4672"/>
      <c r="E4672"/>
      <c r="F4672"/>
      <c r="G4672"/>
    </row>
    <row r="4673" spans="1:7">
      <c r="A4673"/>
      <c r="B4673"/>
      <c r="C4673"/>
      <c r="D4673"/>
      <c r="E4673"/>
      <c r="F4673"/>
      <c r="G4673"/>
    </row>
    <row r="4674" spans="1:7">
      <c r="A4674"/>
      <c r="B4674"/>
      <c r="C4674"/>
      <c r="D4674"/>
      <c r="E4674"/>
      <c r="F4674"/>
      <c r="G4674"/>
    </row>
    <row r="4675" spans="1:7">
      <c r="A4675"/>
      <c r="B4675"/>
      <c r="C4675"/>
      <c r="D4675"/>
      <c r="E4675"/>
      <c r="F4675"/>
      <c r="G4675"/>
    </row>
    <row r="4676" spans="1:7">
      <c r="A4676"/>
      <c r="B4676"/>
      <c r="C4676"/>
      <c r="D4676"/>
      <c r="E4676"/>
      <c r="F4676"/>
      <c r="G4676"/>
    </row>
    <row r="4677" spans="1:7">
      <c r="A4677"/>
      <c r="B4677"/>
      <c r="C4677"/>
      <c r="D4677"/>
      <c r="E4677"/>
      <c r="F4677"/>
      <c r="G4677"/>
    </row>
    <row r="4678" spans="1:7">
      <c r="A4678"/>
      <c r="B4678"/>
      <c r="C4678"/>
      <c r="D4678"/>
      <c r="E4678"/>
      <c r="F4678"/>
      <c r="G4678"/>
    </row>
    <row r="4679" spans="1:7">
      <c r="A4679"/>
      <c r="B4679"/>
      <c r="C4679"/>
      <c r="D4679"/>
      <c r="E4679"/>
      <c r="F4679"/>
      <c r="G4679"/>
    </row>
    <row r="4680" spans="1:7">
      <c r="A4680"/>
      <c r="B4680"/>
      <c r="C4680"/>
      <c r="D4680"/>
      <c r="E4680"/>
      <c r="F4680"/>
      <c r="G4680"/>
    </row>
    <row r="4681" spans="1:7">
      <c r="A4681"/>
      <c r="B4681"/>
      <c r="C4681"/>
      <c r="D4681"/>
      <c r="E4681"/>
      <c r="F4681"/>
      <c r="G4681"/>
    </row>
    <row r="4682" spans="1:7">
      <c r="A4682"/>
      <c r="B4682"/>
      <c r="C4682"/>
      <c r="D4682"/>
      <c r="E4682"/>
      <c r="F4682"/>
      <c r="G4682"/>
    </row>
    <row r="4683" spans="1:7">
      <c r="A4683"/>
      <c r="B4683"/>
      <c r="C4683"/>
      <c r="D4683"/>
      <c r="E4683"/>
      <c r="F4683"/>
      <c r="G4683"/>
    </row>
    <row r="4684" spans="1:7">
      <c r="A4684"/>
      <c r="B4684"/>
      <c r="C4684"/>
      <c r="D4684"/>
      <c r="E4684"/>
      <c r="F4684"/>
      <c r="G4684"/>
    </row>
    <row r="4685" spans="1:7">
      <c r="A4685"/>
      <c r="B4685"/>
      <c r="C4685"/>
      <c r="D4685"/>
      <c r="E4685"/>
      <c r="F4685"/>
      <c r="G4685"/>
    </row>
    <row r="4686" spans="1:7">
      <c r="A4686"/>
      <c r="B4686"/>
      <c r="C4686"/>
      <c r="D4686"/>
      <c r="E4686"/>
      <c r="F4686"/>
      <c r="G4686"/>
    </row>
    <row r="4687" spans="1:7">
      <c r="A4687"/>
      <c r="B4687"/>
      <c r="C4687"/>
      <c r="D4687"/>
      <c r="E4687"/>
      <c r="F4687"/>
      <c r="G4687"/>
    </row>
    <row r="4688" spans="1:7">
      <c r="A4688"/>
      <c r="B4688"/>
      <c r="C4688"/>
      <c r="D4688"/>
      <c r="E4688"/>
      <c r="F4688"/>
      <c r="G4688"/>
    </row>
    <row r="4689" spans="1:7">
      <c r="A4689"/>
      <c r="B4689"/>
      <c r="C4689"/>
      <c r="D4689"/>
      <c r="E4689"/>
      <c r="F4689"/>
      <c r="G4689"/>
    </row>
    <row r="4690" spans="1:7">
      <c r="A4690"/>
      <c r="B4690"/>
      <c r="C4690"/>
      <c r="D4690"/>
      <c r="E4690"/>
      <c r="F4690"/>
      <c r="G4690"/>
    </row>
    <row r="4691" spans="1:7">
      <c r="A4691"/>
      <c r="B4691"/>
      <c r="C4691"/>
      <c r="D4691"/>
      <c r="E4691"/>
      <c r="F4691"/>
      <c r="G4691"/>
    </row>
    <row r="4692" spans="1:7">
      <c r="A4692"/>
      <c r="B4692"/>
      <c r="C4692"/>
      <c r="D4692"/>
      <c r="E4692"/>
      <c r="F4692"/>
      <c r="G4692"/>
    </row>
    <row r="4693" spans="1:7">
      <c r="A4693"/>
      <c r="B4693"/>
      <c r="C4693"/>
      <c r="D4693"/>
      <c r="E4693"/>
      <c r="F4693"/>
      <c r="G4693"/>
    </row>
    <row r="4694" spans="1:7">
      <c r="A4694"/>
      <c r="B4694"/>
      <c r="C4694"/>
      <c r="D4694"/>
      <c r="E4694"/>
      <c r="F4694"/>
      <c r="G4694"/>
    </row>
    <row r="4695" spans="1:7">
      <c r="A4695"/>
      <c r="B4695"/>
      <c r="C4695"/>
      <c r="D4695"/>
      <c r="E4695"/>
      <c r="F4695"/>
      <c r="G4695"/>
    </row>
    <row r="4696" spans="1:7">
      <c r="A4696"/>
      <c r="B4696"/>
      <c r="C4696"/>
      <c r="D4696"/>
      <c r="E4696"/>
      <c r="F4696"/>
      <c r="G4696"/>
    </row>
    <row r="4697" spans="1:7">
      <c r="A4697"/>
      <c r="B4697"/>
      <c r="C4697"/>
      <c r="D4697"/>
      <c r="E4697"/>
      <c r="F4697"/>
      <c r="G4697"/>
    </row>
    <row r="4698" spans="1:7">
      <c r="A4698"/>
      <c r="B4698"/>
      <c r="C4698"/>
      <c r="D4698"/>
      <c r="E4698"/>
      <c r="F4698"/>
      <c r="G4698"/>
    </row>
    <row r="4699" spans="1:7">
      <c r="A4699"/>
      <c r="B4699"/>
      <c r="C4699"/>
      <c r="D4699"/>
      <c r="E4699"/>
      <c r="F4699"/>
      <c r="G4699"/>
    </row>
    <row r="4700" spans="1:7">
      <c r="A4700"/>
      <c r="B4700"/>
      <c r="C4700"/>
      <c r="D4700"/>
      <c r="E4700"/>
      <c r="F4700"/>
      <c r="G4700"/>
    </row>
    <row r="4701" spans="1:7">
      <c r="A4701"/>
      <c r="B4701"/>
      <c r="C4701"/>
      <c r="D4701"/>
      <c r="E4701"/>
      <c r="F4701"/>
      <c r="G4701"/>
    </row>
    <row r="4702" spans="1:7">
      <c r="A4702"/>
      <c r="B4702"/>
      <c r="C4702"/>
      <c r="D4702"/>
      <c r="E4702"/>
      <c r="F4702"/>
      <c r="G4702"/>
    </row>
    <row r="4703" spans="1:7">
      <c r="A4703"/>
      <c r="B4703"/>
      <c r="C4703"/>
      <c r="D4703"/>
      <c r="E4703"/>
      <c r="F4703"/>
      <c r="G4703"/>
    </row>
    <row r="4704" spans="1:7">
      <c r="A4704"/>
      <c r="B4704"/>
      <c r="C4704"/>
      <c r="D4704"/>
      <c r="E4704"/>
      <c r="F4704"/>
      <c r="G4704"/>
    </row>
    <row r="4705" spans="1:7">
      <c r="A4705"/>
      <c r="B4705"/>
      <c r="C4705"/>
      <c r="D4705"/>
      <c r="E4705"/>
      <c r="F4705"/>
      <c r="G4705"/>
    </row>
    <row r="4706" spans="1:7">
      <c r="A4706"/>
      <c r="B4706"/>
      <c r="C4706"/>
      <c r="D4706"/>
      <c r="E4706"/>
      <c r="F4706"/>
      <c r="G4706"/>
    </row>
    <row r="4707" spans="1:7">
      <c r="A4707"/>
      <c r="B4707"/>
      <c r="C4707"/>
      <c r="D4707"/>
      <c r="E4707"/>
      <c r="F4707"/>
      <c r="G4707"/>
    </row>
    <row r="4708" spans="1:7">
      <c r="A4708"/>
      <c r="B4708"/>
      <c r="C4708"/>
      <c r="D4708"/>
      <c r="E4708"/>
      <c r="F4708"/>
      <c r="G4708"/>
    </row>
    <row r="4709" spans="1:7">
      <c r="A4709"/>
      <c r="B4709"/>
      <c r="C4709"/>
      <c r="D4709"/>
      <c r="E4709"/>
      <c r="F4709"/>
      <c r="G4709"/>
    </row>
    <row r="4710" spans="1:7">
      <c r="A4710"/>
      <c r="B4710"/>
      <c r="C4710"/>
      <c r="D4710"/>
      <c r="E4710"/>
      <c r="F4710"/>
      <c r="G4710"/>
    </row>
    <row r="4711" spans="1:7">
      <c r="A4711"/>
      <c r="B4711"/>
      <c r="C4711"/>
      <c r="D4711"/>
      <c r="E4711"/>
      <c r="F4711"/>
      <c r="G4711"/>
    </row>
    <row r="4712" spans="1:7">
      <c r="A4712"/>
      <c r="B4712"/>
      <c r="C4712"/>
      <c r="D4712"/>
      <c r="E4712"/>
      <c r="F4712"/>
      <c r="G4712"/>
    </row>
    <row r="4713" spans="1:7">
      <c r="A4713"/>
      <c r="B4713"/>
      <c r="C4713"/>
      <c r="D4713"/>
      <c r="E4713"/>
      <c r="F4713"/>
      <c r="G4713"/>
    </row>
    <row r="4714" spans="1:7">
      <c r="A4714"/>
      <c r="B4714"/>
      <c r="C4714"/>
      <c r="D4714"/>
      <c r="E4714"/>
      <c r="F4714"/>
      <c r="G4714"/>
    </row>
    <row r="4715" spans="1:7">
      <c r="A4715"/>
      <c r="B4715"/>
      <c r="C4715"/>
      <c r="D4715"/>
      <c r="E4715"/>
      <c r="F4715"/>
      <c r="G4715"/>
    </row>
    <row r="4716" spans="1:7">
      <c r="A4716"/>
      <c r="B4716"/>
      <c r="C4716"/>
      <c r="D4716"/>
      <c r="E4716"/>
      <c r="F4716"/>
      <c r="G4716"/>
    </row>
    <row r="4717" spans="1:7">
      <c r="A4717"/>
      <c r="B4717"/>
      <c r="C4717"/>
      <c r="D4717"/>
      <c r="E4717"/>
      <c r="F4717"/>
      <c r="G4717"/>
    </row>
    <row r="4718" spans="1:7">
      <c r="A4718"/>
      <c r="B4718"/>
      <c r="C4718"/>
      <c r="D4718"/>
      <c r="E4718"/>
      <c r="F4718"/>
      <c r="G4718"/>
    </row>
    <row r="4719" spans="1:7">
      <c r="A4719"/>
      <c r="B4719"/>
      <c r="C4719"/>
      <c r="D4719"/>
      <c r="E4719"/>
      <c r="F4719"/>
      <c r="G4719"/>
    </row>
    <row r="4720" spans="1:7">
      <c r="A4720"/>
      <c r="B4720"/>
      <c r="C4720"/>
      <c r="D4720"/>
      <c r="E4720"/>
      <c r="F4720"/>
      <c r="G4720"/>
    </row>
    <row r="4721" spans="1:7">
      <c r="A4721"/>
      <c r="B4721"/>
      <c r="C4721"/>
      <c r="D4721"/>
      <c r="E4721"/>
      <c r="F4721"/>
      <c r="G4721"/>
    </row>
    <row r="4722" spans="1:7">
      <c r="A4722"/>
      <c r="B4722"/>
      <c r="C4722"/>
      <c r="D4722"/>
      <c r="E4722"/>
      <c r="F4722"/>
      <c r="G4722"/>
    </row>
    <row r="4723" spans="1:7">
      <c r="A4723"/>
      <c r="B4723"/>
      <c r="C4723"/>
      <c r="D4723"/>
      <c r="E4723"/>
      <c r="F4723"/>
      <c r="G4723"/>
    </row>
    <row r="4724" spans="1:7">
      <c r="A4724"/>
      <c r="B4724"/>
      <c r="C4724"/>
      <c r="D4724"/>
      <c r="E4724"/>
      <c r="F4724"/>
      <c r="G4724"/>
    </row>
    <row r="4725" spans="1:7">
      <c r="A4725"/>
      <c r="B4725"/>
      <c r="C4725"/>
      <c r="D4725"/>
      <c r="E4725"/>
      <c r="F4725"/>
      <c r="G4725"/>
    </row>
    <row r="4726" spans="1:7">
      <c r="A4726"/>
      <c r="B4726"/>
      <c r="C4726"/>
      <c r="D4726"/>
      <c r="E4726"/>
      <c r="F4726"/>
      <c r="G4726"/>
    </row>
    <row r="4727" spans="1:7">
      <c r="A4727"/>
      <c r="B4727"/>
      <c r="C4727"/>
      <c r="D4727"/>
      <c r="E4727"/>
      <c r="F4727"/>
      <c r="G4727"/>
    </row>
    <row r="4728" spans="1:7">
      <c r="A4728"/>
      <c r="B4728"/>
      <c r="C4728"/>
      <c r="D4728"/>
      <c r="E4728"/>
      <c r="F4728"/>
      <c r="G4728"/>
    </row>
    <row r="4729" spans="1:7">
      <c r="A4729"/>
      <c r="B4729"/>
      <c r="C4729"/>
      <c r="D4729"/>
      <c r="E4729"/>
      <c r="F4729"/>
      <c r="G4729"/>
    </row>
    <row r="4730" spans="1:7">
      <c r="A4730"/>
      <c r="B4730"/>
      <c r="C4730"/>
      <c r="D4730"/>
      <c r="E4730"/>
      <c r="F4730"/>
      <c r="G4730"/>
    </row>
    <row r="4731" spans="1:7">
      <c r="A4731"/>
      <c r="B4731"/>
      <c r="C4731"/>
      <c r="D4731"/>
      <c r="E4731"/>
      <c r="F4731"/>
      <c r="G4731"/>
    </row>
    <row r="4732" spans="1:7">
      <c r="A4732"/>
      <c r="B4732"/>
      <c r="C4732"/>
      <c r="D4732"/>
      <c r="E4732"/>
      <c r="F4732"/>
      <c r="G4732"/>
    </row>
    <row r="4733" spans="1:7">
      <c r="A4733"/>
      <c r="B4733"/>
      <c r="C4733"/>
      <c r="D4733"/>
      <c r="E4733"/>
      <c r="F4733"/>
      <c r="G4733"/>
    </row>
    <row r="4734" spans="1:7">
      <c r="A4734"/>
      <c r="B4734"/>
      <c r="C4734"/>
      <c r="D4734"/>
      <c r="E4734"/>
      <c r="F4734"/>
      <c r="G4734"/>
    </row>
    <row r="4735" spans="1:7">
      <c r="A4735"/>
      <c r="B4735"/>
      <c r="C4735"/>
      <c r="D4735"/>
      <c r="E4735"/>
      <c r="F4735"/>
      <c r="G4735"/>
    </row>
    <row r="4736" spans="1:7">
      <c r="A4736"/>
      <c r="B4736"/>
      <c r="C4736"/>
      <c r="D4736"/>
      <c r="E4736"/>
      <c r="F4736"/>
      <c r="G4736"/>
    </row>
    <row r="4737" spans="1:7">
      <c r="A4737"/>
      <c r="B4737"/>
      <c r="C4737"/>
      <c r="D4737"/>
      <c r="E4737"/>
      <c r="F4737"/>
      <c r="G4737"/>
    </row>
    <row r="4738" spans="1:7">
      <c r="A4738"/>
      <c r="B4738"/>
      <c r="C4738"/>
      <c r="D4738"/>
      <c r="E4738"/>
      <c r="F4738"/>
      <c r="G4738"/>
    </row>
    <row r="4739" spans="1:7">
      <c r="A4739"/>
      <c r="B4739"/>
      <c r="C4739"/>
      <c r="D4739"/>
      <c r="E4739"/>
      <c r="F4739"/>
      <c r="G4739"/>
    </row>
    <row r="4740" spans="1:7">
      <c r="A4740"/>
      <c r="B4740"/>
      <c r="C4740"/>
      <c r="D4740"/>
      <c r="E4740"/>
      <c r="F4740"/>
      <c r="G4740"/>
    </row>
    <row r="4741" spans="1:7">
      <c r="A4741"/>
      <c r="B4741"/>
      <c r="C4741"/>
      <c r="D4741"/>
      <c r="E4741"/>
      <c r="F4741"/>
      <c r="G4741"/>
    </row>
    <row r="4742" spans="1:7">
      <c r="A4742"/>
      <c r="B4742"/>
      <c r="C4742"/>
      <c r="D4742"/>
      <c r="E4742"/>
      <c r="F4742"/>
      <c r="G4742"/>
    </row>
    <row r="4743" spans="1:7">
      <c r="A4743"/>
      <c r="B4743"/>
      <c r="C4743"/>
      <c r="D4743"/>
      <c r="E4743"/>
      <c r="F4743"/>
      <c r="G4743"/>
    </row>
    <row r="4744" spans="1:7">
      <c r="A4744"/>
      <c r="B4744"/>
      <c r="C4744"/>
      <c r="D4744"/>
      <c r="E4744"/>
      <c r="F4744"/>
      <c r="G4744"/>
    </row>
    <row r="4745" spans="1:7">
      <c r="A4745"/>
      <c r="B4745"/>
      <c r="C4745"/>
      <c r="D4745"/>
      <c r="E4745"/>
      <c r="F4745"/>
      <c r="G4745"/>
    </row>
    <row r="4746" spans="1:7">
      <c r="A4746"/>
      <c r="B4746"/>
      <c r="C4746"/>
      <c r="D4746"/>
      <c r="E4746"/>
      <c r="F4746"/>
      <c r="G4746"/>
    </row>
    <row r="4747" spans="1:7">
      <c r="A4747"/>
      <c r="B4747"/>
      <c r="C4747"/>
      <c r="D4747"/>
      <c r="E4747"/>
      <c r="F4747"/>
      <c r="G4747"/>
    </row>
    <row r="4748" spans="1:7">
      <c r="A4748"/>
      <c r="B4748"/>
      <c r="C4748"/>
      <c r="D4748"/>
      <c r="E4748"/>
      <c r="F4748"/>
      <c r="G4748"/>
    </row>
    <row r="4749" spans="1:7">
      <c r="A4749"/>
      <c r="B4749"/>
      <c r="C4749"/>
      <c r="D4749"/>
      <c r="E4749"/>
      <c r="F4749"/>
      <c r="G4749"/>
    </row>
    <row r="4750" spans="1:7">
      <c r="A4750"/>
      <c r="B4750"/>
      <c r="C4750"/>
      <c r="D4750"/>
      <c r="E4750"/>
      <c r="F4750"/>
      <c r="G4750"/>
    </row>
    <row r="4751" spans="1:7">
      <c r="A4751"/>
      <c r="B4751"/>
      <c r="C4751"/>
      <c r="D4751"/>
      <c r="E4751"/>
      <c r="F4751"/>
      <c r="G4751"/>
    </row>
    <row r="4752" spans="1:7">
      <c r="A4752"/>
      <c r="B4752"/>
      <c r="C4752"/>
      <c r="D4752"/>
      <c r="E4752"/>
      <c r="F4752"/>
      <c r="G4752"/>
    </row>
    <row r="4753" spans="1:7">
      <c r="A4753"/>
      <c r="B4753"/>
      <c r="C4753"/>
      <c r="D4753"/>
      <c r="E4753"/>
      <c r="F4753"/>
      <c r="G4753"/>
    </row>
    <row r="4754" spans="1:7">
      <c r="A4754"/>
      <c r="B4754"/>
      <c r="C4754"/>
      <c r="D4754"/>
      <c r="E4754"/>
      <c r="F4754"/>
      <c r="G4754"/>
    </row>
    <row r="4755" spans="1:7">
      <c r="A4755"/>
      <c r="B4755"/>
      <c r="C4755"/>
      <c r="D4755"/>
      <c r="E4755"/>
      <c r="F4755"/>
      <c r="G4755"/>
    </row>
    <row r="4756" spans="1:7">
      <c r="A4756"/>
      <c r="B4756"/>
      <c r="C4756"/>
      <c r="D4756"/>
      <c r="E4756"/>
      <c r="F4756"/>
      <c r="G4756"/>
    </row>
    <row r="4757" spans="1:7">
      <c r="A4757"/>
      <c r="B4757"/>
      <c r="C4757"/>
      <c r="D4757"/>
      <c r="E4757"/>
      <c r="F4757"/>
      <c r="G4757"/>
    </row>
    <row r="4758" spans="1:7">
      <c r="A4758"/>
      <c r="B4758"/>
      <c r="C4758"/>
      <c r="D4758"/>
      <c r="E4758"/>
      <c r="F4758"/>
      <c r="G4758"/>
    </row>
    <row r="4759" spans="1:7">
      <c r="A4759"/>
      <c r="B4759"/>
      <c r="C4759"/>
      <c r="D4759"/>
      <c r="E4759"/>
      <c r="F4759"/>
      <c r="G4759"/>
    </row>
    <row r="4760" spans="1:7">
      <c r="A4760"/>
      <c r="B4760"/>
      <c r="C4760"/>
      <c r="D4760"/>
      <c r="E4760"/>
      <c r="F4760"/>
      <c r="G4760"/>
    </row>
    <row r="4761" spans="1:7">
      <c r="A4761"/>
      <c r="B4761"/>
      <c r="C4761"/>
      <c r="D4761"/>
      <c r="E4761"/>
      <c r="F4761"/>
      <c r="G4761"/>
    </row>
    <row r="4762" spans="1:7">
      <c r="A4762"/>
      <c r="B4762"/>
      <c r="C4762"/>
      <c r="D4762"/>
      <c r="E4762"/>
      <c r="F4762"/>
      <c r="G4762"/>
    </row>
    <row r="4763" spans="1:7">
      <c r="A4763"/>
      <c r="B4763"/>
      <c r="C4763"/>
      <c r="D4763"/>
      <c r="E4763"/>
      <c r="F4763"/>
      <c r="G4763"/>
    </row>
    <row r="4764" spans="1:7">
      <c r="A4764"/>
      <c r="B4764"/>
      <c r="C4764"/>
      <c r="D4764"/>
      <c r="E4764"/>
      <c r="F4764"/>
      <c r="G4764"/>
    </row>
    <row r="4765" spans="1:7">
      <c r="A4765"/>
      <c r="B4765"/>
      <c r="C4765"/>
      <c r="D4765"/>
      <c r="E4765"/>
      <c r="F4765"/>
      <c r="G4765"/>
    </row>
    <row r="4766" spans="1:7">
      <c r="A4766"/>
      <c r="B4766"/>
      <c r="C4766"/>
      <c r="D4766"/>
      <c r="E4766"/>
      <c r="F4766"/>
      <c r="G4766"/>
    </row>
    <row r="4767" spans="1:7">
      <c r="A4767"/>
      <c r="B4767"/>
      <c r="C4767"/>
      <c r="D4767"/>
      <c r="E4767"/>
      <c r="F4767"/>
      <c r="G4767"/>
    </row>
    <row r="4768" spans="1:7">
      <c r="A4768"/>
      <c r="B4768"/>
      <c r="C4768"/>
      <c r="D4768"/>
      <c r="E4768"/>
      <c r="F4768"/>
      <c r="G4768"/>
    </row>
    <row r="4769" spans="1:7">
      <c r="A4769"/>
      <c r="B4769"/>
      <c r="C4769"/>
      <c r="D4769"/>
      <c r="E4769"/>
      <c r="F4769"/>
      <c r="G4769"/>
    </row>
    <row r="4770" spans="1:7">
      <c r="A4770"/>
      <c r="B4770"/>
      <c r="C4770"/>
      <c r="D4770"/>
      <c r="E4770"/>
      <c r="F4770"/>
      <c r="G4770"/>
    </row>
    <row r="4771" spans="1:7">
      <c r="A4771"/>
      <c r="B4771"/>
      <c r="C4771"/>
      <c r="D4771"/>
      <c r="E4771"/>
      <c r="F4771"/>
      <c r="G4771"/>
    </row>
    <row r="4772" spans="1:7">
      <c r="A4772"/>
      <c r="B4772"/>
      <c r="C4772"/>
      <c r="D4772"/>
      <c r="E4772"/>
      <c r="F4772"/>
      <c r="G4772"/>
    </row>
    <row r="4773" spans="1:7">
      <c r="A4773"/>
      <c r="B4773"/>
      <c r="C4773"/>
      <c r="D4773"/>
      <c r="E4773"/>
      <c r="F4773"/>
      <c r="G4773"/>
    </row>
    <row r="4774" spans="1:7">
      <c r="A4774"/>
      <c r="B4774"/>
      <c r="C4774"/>
      <c r="D4774"/>
      <c r="E4774"/>
      <c r="F4774"/>
      <c r="G4774"/>
    </row>
    <row r="4775" spans="1:7">
      <c r="A4775"/>
      <c r="B4775"/>
      <c r="C4775"/>
      <c r="D4775"/>
      <c r="E4775"/>
      <c r="F4775"/>
      <c r="G4775"/>
    </row>
    <row r="4776" spans="1:7">
      <c r="A4776"/>
      <c r="B4776"/>
      <c r="C4776"/>
      <c r="D4776"/>
      <c r="E4776"/>
      <c r="F4776"/>
      <c r="G4776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84" customWidth="1"/>
    <col min="2" max="2" width="17.42578125" style="85" customWidth="1"/>
    <col min="3" max="3" width="16.42578125" style="85" customWidth="1"/>
    <col min="4" max="4" width="25.140625" style="85" customWidth="1"/>
    <col min="5" max="5" width="17" style="85" customWidth="1"/>
    <col min="6" max="7" width="23.28515625" style="68" customWidth="1"/>
    <col min="8" max="8" width="25.140625" style="85" customWidth="1"/>
    <col min="9" max="16384" width="9.140625" style="68"/>
  </cols>
  <sheetData>
    <row r="1" spans="1:8" ht="16.5" thickTop="1" thickBot="1">
      <c r="A1" s="70" t="s">
        <v>3061</v>
      </c>
      <c r="B1" s="71" t="s">
        <v>57</v>
      </c>
      <c r="C1" s="71" t="s">
        <v>3062</v>
      </c>
      <c r="D1" s="71" t="s">
        <v>3063</v>
      </c>
      <c r="E1" s="71" t="s">
        <v>639</v>
      </c>
      <c r="F1" s="65" t="s">
        <v>3064</v>
      </c>
      <c r="G1" s="66" t="s">
        <v>636</v>
      </c>
      <c r="H1" s="71" t="s">
        <v>3063</v>
      </c>
    </row>
    <row r="2" spans="1:8" ht="15.75" thickTop="1">
      <c r="A2" s="72">
        <v>243</v>
      </c>
      <c r="B2" s="73" t="s">
        <v>678</v>
      </c>
      <c r="C2" s="73" t="s">
        <v>679</v>
      </c>
      <c r="D2" s="73" t="s">
        <v>677</v>
      </c>
      <c r="E2" s="73"/>
      <c r="F2" s="68" t="str">
        <f>D2</f>
        <v>Abako</v>
      </c>
      <c r="G2" s="68" t="str">
        <f>B2</f>
        <v>Alebtong</v>
      </c>
      <c r="H2" s="73" t="s">
        <v>677</v>
      </c>
    </row>
    <row r="3" spans="1:8">
      <c r="A3" s="74">
        <v>295</v>
      </c>
      <c r="B3" s="75" t="s">
        <v>3024</v>
      </c>
      <c r="C3" s="75" t="s">
        <v>3025</v>
      </c>
      <c r="D3" s="75" t="s">
        <v>3023</v>
      </c>
      <c r="E3" s="75"/>
      <c r="F3" s="68" t="str">
        <f t="shared" ref="F3:F66" si="0">D3</f>
        <v>Abanga</v>
      </c>
      <c r="G3" s="68" t="str">
        <f t="shared" ref="G3:G66" si="1">B3</f>
        <v>Zombo</v>
      </c>
      <c r="H3" s="75" t="s">
        <v>3023</v>
      </c>
    </row>
    <row r="4" spans="1:8">
      <c r="A4" s="74">
        <v>886</v>
      </c>
      <c r="B4" s="75" t="s">
        <v>707</v>
      </c>
      <c r="C4" s="75" t="s">
        <v>707</v>
      </c>
      <c r="D4" s="75" t="s">
        <v>706</v>
      </c>
      <c r="E4" s="75"/>
      <c r="F4" s="68" t="str">
        <f t="shared" si="0"/>
        <v>Abarilela</v>
      </c>
      <c r="G4" s="68" t="str">
        <f t="shared" si="1"/>
        <v>Amuria</v>
      </c>
      <c r="H4" s="75" t="s">
        <v>706</v>
      </c>
    </row>
    <row r="5" spans="1:8">
      <c r="A5" s="74">
        <v>215</v>
      </c>
      <c r="B5" s="75" t="s">
        <v>2571</v>
      </c>
      <c r="C5" s="75" t="s">
        <v>2571</v>
      </c>
      <c r="D5" s="75" t="s">
        <v>2570</v>
      </c>
      <c r="E5" s="75"/>
      <c r="F5" s="68" t="str">
        <f t="shared" si="0"/>
        <v>Aber</v>
      </c>
      <c r="G5" s="68" t="str">
        <f t="shared" si="1"/>
        <v>Oyam</v>
      </c>
      <c r="H5" s="75" t="s">
        <v>2570</v>
      </c>
    </row>
    <row r="6" spans="1:8">
      <c r="A6" s="74">
        <v>244</v>
      </c>
      <c r="B6" s="75" t="s">
        <v>678</v>
      </c>
      <c r="C6" s="75" t="s">
        <v>679</v>
      </c>
      <c r="D6" s="75" t="s">
        <v>680</v>
      </c>
      <c r="E6" s="75"/>
      <c r="F6" s="68" t="str">
        <f t="shared" si="0"/>
        <v>Abia</v>
      </c>
      <c r="G6" s="68" t="str">
        <f t="shared" si="1"/>
        <v>Alebtong</v>
      </c>
      <c r="H6" s="75" t="s">
        <v>680</v>
      </c>
    </row>
    <row r="7" spans="1:8">
      <c r="A7" s="74">
        <v>151</v>
      </c>
      <c r="B7" s="75" t="s">
        <v>641</v>
      </c>
      <c r="C7" s="75" t="s">
        <v>642</v>
      </c>
      <c r="D7" s="75" t="s">
        <v>641</v>
      </c>
      <c r="E7" s="75"/>
      <c r="F7" s="68" t="str">
        <f t="shared" si="0"/>
        <v>Abim</v>
      </c>
      <c r="G7" s="68" t="str">
        <f t="shared" si="1"/>
        <v>Abim</v>
      </c>
      <c r="H7" s="75" t="s">
        <v>641</v>
      </c>
    </row>
    <row r="8" spans="1:8">
      <c r="A8" s="74">
        <v>152</v>
      </c>
      <c r="B8" s="75" t="s">
        <v>641</v>
      </c>
      <c r="C8" s="75" t="s">
        <v>642</v>
      </c>
      <c r="D8" s="75" t="s">
        <v>643</v>
      </c>
      <c r="E8" s="75"/>
      <c r="F8" s="68" t="str">
        <f t="shared" si="0"/>
        <v>Abim Town Council</v>
      </c>
      <c r="G8" s="68" t="str">
        <f t="shared" si="1"/>
        <v>Abim</v>
      </c>
      <c r="H8" s="75" t="s">
        <v>643</v>
      </c>
    </row>
    <row r="9" spans="1:8">
      <c r="A9" s="74">
        <v>107</v>
      </c>
      <c r="B9" s="75" t="s">
        <v>2499</v>
      </c>
      <c r="C9" s="76" t="s">
        <v>2505</v>
      </c>
      <c r="D9" s="75" t="s">
        <v>3065</v>
      </c>
      <c r="E9" s="75"/>
      <c r="F9" s="69" t="str">
        <f>VLOOKUP(C9,[2]Municipalities!$C$9:$F$1522,4,FALSE)</f>
        <v>Nebbi Municipality</v>
      </c>
      <c r="G9" s="68" t="str">
        <f t="shared" si="1"/>
        <v>Nebbi</v>
      </c>
      <c r="H9" s="75" t="s">
        <v>3065</v>
      </c>
    </row>
    <row r="10" spans="1:8">
      <c r="A10" s="74">
        <v>216</v>
      </c>
      <c r="B10" s="75" t="s">
        <v>2571</v>
      </c>
      <c r="C10" s="75" t="s">
        <v>2571</v>
      </c>
      <c r="D10" s="75" t="s">
        <v>2572</v>
      </c>
      <c r="E10" s="75"/>
      <c r="F10" s="68" t="str">
        <f t="shared" si="0"/>
        <v>Abok</v>
      </c>
      <c r="G10" s="68" t="str">
        <f t="shared" si="1"/>
        <v>Oyam</v>
      </c>
      <c r="H10" s="75" t="s">
        <v>2572</v>
      </c>
    </row>
    <row r="11" spans="1:8">
      <c r="A11" s="74">
        <v>256</v>
      </c>
      <c r="B11" s="75" t="s">
        <v>1977</v>
      </c>
      <c r="C11" s="75" t="s">
        <v>1977</v>
      </c>
      <c r="D11" s="75" t="s">
        <v>1976</v>
      </c>
      <c r="E11" s="75"/>
      <c r="F11" s="68" t="str">
        <f t="shared" si="0"/>
        <v>Aboke</v>
      </c>
      <c r="G11" s="68" t="str">
        <f t="shared" si="1"/>
        <v>Kole</v>
      </c>
      <c r="H11" s="75" t="s">
        <v>1976</v>
      </c>
    </row>
    <row r="12" spans="1:8">
      <c r="A12" s="74">
        <v>11</v>
      </c>
      <c r="B12" s="75" t="s">
        <v>731</v>
      </c>
      <c r="C12" s="75" t="s">
        <v>732</v>
      </c>
      <c r="D12" s="75" t="s">
        <v>3066</v>
      </c>
      <c r="E12" s="75"/>
      <c r="F12" s="68" t="str">
        <f t="shared" si="0"/>
        <v>Abongomola</v>
      </c>
      <c r="G12" s="68" t="str">
        <f t="shared" si="1"/>
        <v>Apac</v>
      </c>
      <c r="H12" s="75" t="s">
        <v>3066</v>
      </c>
    </row>
    <row r="13" spans="1:8">
      <c r="A13" s="74">
        <v>198</v>
      </c>
      <c r="B13" s="75" t="s">
        <v>1969</v>
      </c>
      <c r="C13" s="75" t="s">
        <v>1969</v>
      </c>
      <c r="D13" s="75" t="s">
        <v>1968</v>
      </c>
      <c r="E13" s="75"/>
      <c r="F13" s="68" t="str">
        <f t="shared" si="0"/>
        <v>Abuku</v>
      </c>
      <c r="G13" s="68" t="str">
        <f t="shared" si="1"/>
        <v>Koboko</v>
      </c>
      <c r="H13" s="75" t="s">
        <v>1968</v>
      </c>
    </row>
    <row r="14" spans="1:8">
      <c r="A14" s="74">
        <v>217</v>
      </c>
      <c r="B14" s="75" t="s">
        <v>2571</v>
      </c>
      <c r="C14" s="75" t="s">
        <v>2571</v>
      </c>
      <c r="D14" s="75" t="s">
        <v>2573</v>
      </c>
      <c r="E14" s="75"/>
      <c r="F14" s="68" t="str">
        <f t="shared" si="0"/>
        <v>Acaba</v>
      </c>
      <c r="G14" s="68" t="str">
        <f t="shared" si="1"/>
        <v>Oyam</v>
      </c>
      <c r="H14" s="75" t="s">
        <v>2573</v>
      </c>
    </row>
    <row r="15" spans="1:8">
      <c r="A15" s="74">
        <v>126</v>
      </c>
      <c r="B15" s="75" t="s">
        <v>2585</v>
      </c>
      <c r="C15" s="75" t="s">
        <v>2586</v>
      </c>
      <c r="D15" s="75" t="s">
        <v>2584</v>
      </c>
      <c r="E15" s="75"/>
      <c r="F15" s="68" t="str">
        <f t="shared" si="0"/>
        <v>Acholibur</v>
      </c>
      <c r="G15" s="68" t="str">
        <f t="shared" si="1"/>
        <v>Pader</v>
      </c>
      <c r="H15" s="75" t="s">
        <v>2584</v>
      </c>
    </row>
    <row r="16" spans="1:8">
      <c r="A16" s="74">
        <v>897</v>
      </c>
      <c r="B16" s="75" t="s">
        <v>707</v>
      </c>
      <c r="C16" s="75" t="s">
        <v>709</v>
      </c>
      <c r="D16" s="75" t="s">
        <v>708</v>
      </c>
      <c r="E16" s="75"/>
      <c r="F16" s="68" t="str">
        <f t="shared" si="0"/>
        <v>Acowa</v>
      </c>
      <c r="G16" s="68" t="str">
        <f t="shared" si="1"/>
        <v>Amuria</v>
      </c>
      <c r="H16" s="75" t="s">
        <v>708</v>
      </c>
    </row>
    <row r="17" spans="1:8">
      <c r="A17" s="74">
        <v>173</v>
      </c>
      <c r="B17" s="75" t="s">
        <v>1014</v>
      </c>
      <c r="C17" s="75" t="s">
        <v>1014</v>
      </c>
      <c r="D17" s="75" t="s">
        <v>1013</v>
      </c>
      <c r="E17" s="75"/>
      <c r="F17" s="68" t="str">
        <f t="shared" si="0"/>
        <v>Adeknino</v>
      </c>
      <c r="G17" s="68" t="str">
        <f t="shared" si="1"/>
        <v>Dokolo</v>
      </c>
      <c r="H17" s="75" t="s">
        <v>1013</v>
      </c>
    </row>
    <row r="18" spans="1:8">
      <c r="A18" s="74">
        <v>79</v>
      </c>
      <c r="B18" s="75" t="s">
        <v>2094</v>
      </c>
      <c r="C18" s="75" t="s">
        <v>2095</v>
      </c>
      <c r="D18" s="75" t="s">
        <v>2093</v>
      </c>
      <c r="E18" s="75"/>
      <c r="F18" s="68" t="str">
        <f t="shared" si="0"/>
        <v>Adekokwok</v>
      </c>
      <c r="G18" s="68" t="str">
        <f t="shared" si="1"/>
        <v>Lira</v>
      </c>
      <c r="H18" s="75" t="s">
        <v>2093</v>
      </c>
    </row>
    <row r="19" spans="1:8">
      <c r="A19" s="74">
        <v>227</v>
      </c>
      <c r="B19" s="75" t="s">
        <v>661</v>
      </c>
      <c r="C19" s="75" t="s">
        <v>661</v>
      </c>
      <c r="D19" s="75" t="s">
        <v>660</v>
      </c>
      <c r="E19" s="75"/>
      <c r="F19" s="68" t="str">
        <f t="shared" si="0"/>
        <v>Adilang</v>
      </c>
      <c r="G19" s="68" t="str">
        <f t="shared" si="1"/>
        <v>Agago</v>
      </c>
      <c r="H19" s="75" t="s">
        <v>660</v>
      </c>
    </row>
    <row r="20" spans="1:8">
      <c r="A20" s="74">
        <v>1</v>
      </c>
      <c r="B20" s="75" t="s">
        <v>649</v>
      </c>
      <c r="C20" s="75" t="s">
        <v>650</v>
      </c>
      <c r="D20" s="75" t="s">
        <v>648</v>
      </c>
      <c r="E20" s="75"/>
      <c r="F20" s="68" t="str">
        <f t="shared" si="0"/>
        <v>Adjumani Town Council</v>
      </c>
      <c r="G20" s="68" t="str">
        <f t="shared" si="1"/>
        <v>Adjumani</v>
      </c>
      <c r="H20" s="75" t="s">
        <v>648</v>
      </c>
    </row>
    <row r="21" spans="1:8">
      <c r="A21" s="74">
        <v>174</v>
      </c>
      <c r="B21" s="75" t="s">
        <v>1014</v>
      </c>
      <c r="C21" s="75" t="s">
        <v>1014</v>
      </c>
      <c r="D21" s="75" t="s">
        <v>1015</v>
      </c>
      <c r="E21" s="75"/>
      <c r="F21" s="68" t="str">
        <f t="shared" si="0"/>
        <v>Adok</v>
      </c>
      <c r="G21" s="68" t="str">
        <f t="shared" si="1"/>
        <v>Dokolo</v>
      </c>
      <c r="H21" s="75" t="s">
        <v>1015</v>
      </c>
    </row>
    <row r="22" spans="1:8">
      <c r="A22" s="74">
        <v>2</v>
      </c>
      <c r="B22" s="75" t="s">
        <v>649</v>
      </c>
      <c r="C22" s="75" t="s">
        <v>650</v>
      </c>
      <c r="D22" s="75" t="s">
        <v>651</v>
      </c>
      <c r="E22" s="75"/>
      <c r="F22" s="68" t="str">
        <f t="shared" si="0"/>
        <v>Adropi</v>
      </c>
      <c r="G22" s="68" t="str">
        <f t="shared" si="1"/>
        <v>Adjumani</v>
      </c>
      <c r="H22" s="75" t="s">
        <v>651</v>
      </c>
    </row>
    <row r="23" spans="1:8">
      <c r="A23" s="74">
        <v>12</v>
      </c>
      <c r="B23" s="75" t="s">
        <v>731</v>
      </c>
      <c r="C23" s="75" t="s">
        <v>732</v>
      </c>
      <c r="D23" s="75" t="s">
        <v>733</v>
      </c>
      <c r="E23" s="75"/>
      <c r="F23" s="68" t="str">
        <f t="shared" si="0"/>
        <v>Aduku</v>
      </c>
      <c r="G23" s="68" t="str">
        <f t="shared" si="1"/>
        <v>Apac</v>
      </c>
      <c r="H23" s="75" t="s">
        <v>733</v>
      </c>
    </row>
    <row r="24" spans="1:8">
      <c r="A24" s="74">
        <v>13</v>
      </c>
      <c r="B24" s="75" t="s">
        <v>731</v>
      </c>
      <c r="C24" s="75" t="s">
        <v>732</v>
      </c>
      <c r="D24" s="75" t="s">
        <v>734</v>
      </c>
      <c r="E24" s="75"/>
      <c r="F24" s="68" t="str">
        <f t="shared" si="0"/>
        <v>Aduku Town Council</v>
      </c>
      <c r="G24" s="68" t="str">
        <f t="shared" si="1"/>
        <v>Apac</v>
      </c>
      <c r="H24" s="75" t="s">
        <v>734</v>
      </c>
    </row>
    <row r="25" spans="1:8">
      <c r="A25" s="74">
        <v>24</v>
      </c>
      <c r="B25" s="75" t="s">
        <v>745</v>
      </c>
      <c r="C25" s="75" t="s">
        <v>746</v>
      </c>
      <c r="D25" s="75" t="s">
        <v>744</v>
      </c>
      <c r="E25" s="75"/>
      <c r="F25" s="68" t="str">
        <f t="shared" si="0"/>
        <v>Adumi</v>
      </c>
      <c r="G25" s="68" t="str">
        <f t="shared" si="1"/>
        <v>Arua</v>
      </c>
      <c r="H25" s="75" t="s">
        <v>744</v>
      </c>
    </row>
    <row r="26" spans="1:8">
      <c r="A26" s="74">
        <v>287</v>
      </c>
      <c r="B26" s="75" t="s">
        <v>2562</v>
      </c>
      <c r="C26" s="75" t="s">
        <v>2562</v>
      </c>
      <c r="D26" s="75" t="s">
        <v>2561</v>
      </c>
      <c r="E26" s="75"/>
      <c r="F26" s="68" t="str">
        <f t="shared" si="0"/>
        <v>Adwari</v>
      </c>
      <c r="G26" s="68" t="str">
        <f t="shared" si="1"/>
        <v>Otuke</v>
      </c>
      <c r="H26" s="75" t="s">
        <v>2561</v>
      </c>
    </row>
    <row r="27" spans="1:8">
      <c r="A27" s="74">
        <v>88</v>
      </c>
      <c r="B27" s="75" t="s">
        <v>2094</v>
      </c>
      <c r="C27" s="76" t="s">
        <v>2101</v>
      </c>
      <c r="D27" s="75" t="s">
        <v>3067</v>
      </c>
      <c r="E27" s="75"/>
      <c r="F27" s="69" t="str">
        <f>VLOOKUP(C27,[2]Municipalities!$C$9:$F$1522,4,FALSE)</f>
        <v>Lira Municipality</v>
      </c>
      <c r="G27" s="68" t="str">
        <f t="shared" si="1"/>
        <v>Lira</v>
      </c>
      <c r="H27" s="75" t="s">
        <v>3067</v>
      </c>
    </row>
    <row r="28" spans="1:8">
      <c r="A28" s="74">
        <v>228</v>
      </c>
      <c r="B28" s="75" t="s">
        <v>661</v>
      </c>
      <c r="C28" s="75" t="s">
        <v>661</v>
      </c>
      <c r="D28" s="75" t="s">
        <v>662</v>
      </c>
      <c r="E28" s="75"/>
      <c r="F28" s="68" t="str">
        <f t="shared" si="0"/>
        <v>Agago Town Council</v>
      </c>
      <c r="G28" s="68" t="str">
        <f t="shared" si="1"/>
        <v>Agago</v>
      </c>
      <c r="H28" s="75" t="s">
        <v>662</v>
      </c>
    </row>
    <row r="29" spans="1:8">
      <c r="A29" s="74">
        <v>80</v>
      </c>
      <c r="B29" s="75" t="s">
        <v>2094</v>
      </c>
      <c r="C29" s="75" t="s">
        <v>2095</v>
      </c>
      <c r="D29" s="75" t="s">
        <v>2096</v>
      </c>
      <c r="E29" s="75"/>
      <c r="F29" s="68" t="str">
        <f t="shared" si="0"/>
        <v>Agali</v>
      </c>
      <c r="G29" s="68" t="str">
        <f t="shared" si="1"/>
        <v>Lira</v>
      </c>
      <c r="H29" s="75" t="s">
        <v>2096</v>
      </c>
    </row>
    <row r="30" spans="1:8">
      <c r="A30" s="74">
        <v>157</v>
      </c>
      <c r="B30" s="75" t="s">
        <v>689</v>
      </c>
      <c r="C30" s="75" t="s">
        <v>690</v>
      </c>
      <c r="D30" s="75" t="s">
        <v>688</v>
      </c>
      <c r="E30" s="75"/>
      <c r="F30" s="68" t="str">
        <f t="shared" si="0"/>
        <v>Agikdak</v>
      </c>
      <c r="G30" s="68" t="str">
        <f t="shared" si="1"/>
        <v>Amolatar</v>
      </c>
      <c r="H30" s="75" t="s">
        <v>688</v>
      </c>
    </row>
    <row r="31" spans="1:8">
      <c r="A31" s="74">
        <v>263</v>
      </c>
      <c r="B31" s="75" t="s">
        <v>2086</v>
      </c>
      <c r="C31" s="75" t="s">
        <v>2086</v>
      </c>
      <c r="D31" s="75" t="s">
        <v>2085</v>
      </c>
      <c r="E31" s="75"/>
      <c r="F31" s="68" t="str">
        <f t="shared" si="0"/>
        <v>Agoro</v>
      </c>
      <c r="G31" s="68" t="str">
        <f t="shared" si="1"/>
        <v>Lamwo</v>
      </c>
      <c r="H31" s="75" t="s">
        <v>2085</v>
      </c>
    </row>
    <row r="32" spans="1:8">
      <c r="A32" s="74">
        <v>802</v>
      </c>
      <c r="B32" s="75" t="s">
        <v>2606</v>
      </c>
      <c r="C32" s="75" t="s">
        <v>2605</v>
      </c>
      <c r="D32" s="75" t="s">
        <v>2605</v>
      </c>
      <c r="E32" s="75"/>
      <c r="F32" s="68" t="str">
        <f t="shared" si="0"/>
        <v>Agule</v>
      </c>
      <c r="G32" s="68" t="str">
        <f t="shared" si="1"/>
        <v>Pallisa</v>
      </c>
      <c r="H32" s="75" t="s">
        <v>2605</v>
      </c>
    </row>
    <row r="33" spans="1:8">
      <c r="A33" s="74">
        <v>175</v>
      </c>
      <c r="B33" s="75" t="s">
        <v>1014</v>
      </c>
      <c r="C33" s="75" t="s">
        <v>1014</v>
      </c>
      <c r="D33" s="75" t="s">
        <v>1016</v>
      </c>
      <c r="E33" s="75"/>
      <c r="F33" s="68" t="str">
        <f t="shared" si="0"/>
        <v>Agwata</v>
      </c>
      <c r="G33" s="68" t="str">
        <f t="shared" si="1"/>
        <v>Dokolo</v>
      </c>
      <c r="H33" s="75" t="s">
        <v>1016</v>
      </c>
    </row>
    <row r="34" spans="1:8">
      <c r="A34" s="74">
        <v>81</v>
      </c>
      <c r="B34" s="75" t="s">
        <v>2094</v>
      </c>
      <c r="C34" s="75" t="s">
        <v>2095</v>
      </c>
      <c r="D34" s="75" t="s">
        <v>2097</v>
      </c>
      <c r="E34" s="75"/>
      <c r="F34" s="68" t="str">
        <f t="shared" si="0"/>
        <v>Agweng</v>
      </c>
      <c r="G34" s="68" t="str">
        <f t="shared" si="1"/>
        <v>Lira</v>
      </c>
      <c r="H34" s="75" t="s">
        <v>2097</v>
      </c>
    </row>
    <row r="35" spans="1:8">
      <c r="A35" s="74">
        <v>158</v>
      </c>
      <c r="B35" s="75" t="s">
        <v>689</v>
      </c>
      <c r="C35" s="75" t="s">
        <v>690</v>
      </c>
      <c r="D35" s="75" t="s">
        <v>691</v>
      </c>
      <c r="E35" s="75"/>
      <c r="F35" s="68" t="str">
        <f t="shared" si="0"/>
        <v>Agwingiri</v>
      </c>
      <c r="G35" s="68" t="str">
        <f t="shared" si="1"/>
        <v>Amolatar</v>
      </c>
      <c r="H35" s="75" t="s">
        <v>691</v>
      </c>
    </row>
    <row r="36" spans="1:8">
      <c r="A36" s="74">
        <v>40</v>
      </c>
      <c r="B36" s="75" t="s">
        <v>745</v>
      </c>
      <c r="C36" s="75" t="s">
        <v>748</v>
      </c>
      <c r="D36" s="75" t="s">
        <v>747</v>
      </c>
      <c r="E36" s="75"/>
      <c r="F36" s="68" t="str">
        <f t="shared" si="0"/>
        <v>Aii-Vu</v>
      </c>
      <c r="G36" s="68" t="str">
        <f t="shared" si="1"/>
        <v>Arua</v>
      </c>
      <c r="H36" s="75" t="s">
        <v>747</v>
      </c>
    </row>
    <row r="37" spans="1:8">
      <c r="A37" s="74">
        <v>46</v>
      </c>
      <c r="B37" s="75" t="s">
        <v>745</v>
      </c>
      <c r="C37" s="75" t="s">
        <v>750</v>
      </c>
      <c r="D37" s="75" t="s">
        <v>749</v>
      </c>
      <c r="E37" s="75"/>
      <c r="F37" s="68" t="str">
        <f t="shared" si="0"/>
        <v>Ajia</v>
      </c>
      <c r="G37" s="68" t="str">
        <f t="shared" si="1"/>
        <v>Arua</v>
      </c>
      <c r="H37" s="75" t="s">
        <v>749</v>
      </c>
    </row>
    <row r="38" spans="1:8">
      <c r="A38" s="74">
        <v>257</v>
      </c>
      <c r="B38" s="75" t="s">
        <v>1977</v>
      </c>
      <c r="C38" s="75" t="s">
        <v>1977</v>
      </c>
      <c r="D38" s="75" t="s">
        <v>1978</v>
      </c>
      <c r="E38" s="75"/>
      <c r="F38" s="68" t="str">
        <f t="shared" si="0"/>
        <v>Akalo</v>
      </c>
      <c r="G38" s="68" t="str">
        <f t="shared" si="1"/>
        <v>Kole</v>
      </c>
      <c r="H38" s="75" t="s">
        <v>1978</v>
      </c>
    </row>
    <row r="39" spans="1:8">
      <c r="A39" s="74">
        <v>887</v>
      </c>
      <c r="B39" s="75" t="s">
        <v>707</v>
      </c>
      <c r="C39" s="75" t="s">
        <v>707</v>
      </c>
      <c r="D39" s="75" t="s">
        <v>710</v>
      </c>
      <c r="E39" s="75"/>
      <c r="F39" s="68" t="str">
        <f t="shared" si="0"/>
        <v>Akeriau</v>
      </c>
      <c r="G39" s="68" t="str">
        <f t="shared" si="1"/>
        <v>Amuria</v>
      </c>
      <c r="H39" s="75" t="s">
        <v>710</v>
      </c>
    </row>
    <row r="40" spans="1:8">
      <c r="A40" s="74">
        <v>803</v>
      </c>
      <c r="B40" s="75" t="s">
        <v>2606</v>
      </c>
      <c r="C40" s="75" t="s">
        <v>2605</v>
      </c>
      <c r="D40" s="75" t="s">
        <v>2607</v>
      </c>
      <c r="E40" s="75"/>
      <c r="F40" s="68" t="str">
        <f t="shared" si="0"/>
        <v>Akisim</v>
      </c>
      <c r="G40" s="68" t="str">
        <f t="shared" si="1"/>
        <v>Pallisa</v>
      </c>
      <c r="H40" s="75" t="s">
        <v>2607</v>
      </c>
    </row>
    <row r="41" spans="1:8">
      <c r="A41" s="74">
        <v>17</v>
      </c>
      <c r="B41" s="75" t="s">
        <v>731</v>
      </c>
      <c r="C41" s="75" t="s">
        <v>736</v>
      </c>
      <c r="D41" s="75" t="s">
        <v>735</v>
      </c>
      <c r="E41" s="75"/>
      <c r="F41" s="68" t="str">
        <f t="shared" si="0"/>
        <v>Akokoro</v>
      </c>
      <c r="G41" s="68" t="str">
        <f t="shared" si="1"/>
        <v>Apac</v>
      </c>
      <c r="H41" s="75" t="s">
        <v>735</v>
      </c>
    </row>
    <row r="42" spans="1:8">
      <c r="A42" s="74">
        <v>898</v>
      </c>
      <c r="B42" s="75" t="s">
        <v>707</v>
      </c>
      <c r="C42" s="75" t="s">
        <v>709</v>
      </c>
      <c r="D42" s="75" t="s">
        <v>711</v>
      </c>
      <c r="E42" s="75"/>
      <c r="F42" s="68" t="str">
        <f t="shared" si="0"/>
        <v>Akoromit</v>
      </c>
      <c r="G42" s="68" t="str">
        <f t="shared" si="1"/>
        <v>Amuria</v>
      </c>
      <c r="H42" s="75" t="s">
        <v>711</v>
      </c>
    </row>
    <row r="43" spans="1:8">
      <c r="A43" s="74">
        <v>245</v>
      </c>
      <c r="B43" s="75" t="s">
        <v>678</v>
      </c>
      <c r="C43" s="75" t="s">
        <v>679</v>
      </c>
      <c r="D43" s="75" t="s">
        <v>681</v>
      </c>
      <c r="E43" s="75"/>
      <c r="F43" s="68" t="str">
        <f t="shared" si="0"/>
        <v>Akura</v>
      </c>
      <c r="G43" s="68" t="str">
        <f t="shared" si="1"/>
        <v>Alebtong</v>
      </c>
      <c r="H43" s="75" t="s">
        <v>681</v>
      </c>
    </row>
    <row r="44" spans="1:8">
      <c r="A44" s="74">
        <v>159</v>
      </c>
      <c r="B44" s="75" t="s">
        <v>689</v>
      </c>
      <c r="C44" s="75" t="s">
        <v>690</v>
      </c>
      <c r="D44" s="75" t="s">
        <v>692</v>
      </c>
      <c r="E44" s="75"/>
      <c r="F44" s="68" t="str">
        <f t="shared" si="0"/>
        <v>Akwon</v>
      </c>
      <c r="G44" s="68" t="str">
        <f t="shared" si="1"/>
        <v>Amolatar</v>
      </c>
      <c r="H44" s="75" t="s">
        <v>692</v>
      </c>
    </row>
    <row r="45" spans="1:8">
      <c r="A45" s="74">
        <v>110</v>
      </c>
      <c r="B45" s="75" t="s">
        <v>2499</v>
      </c>
      <c r="C45" s="75" t="s">
        <v>2500</v>
      </c>
      <c r="D45" s="75" t="s">
        <v>2498</v>
      </c>
      <c r="E45" s="75"/>
      <c r="F45" s="68" t="str">
        <f t="shared" si="0"/>
        <v>Akworo</v>
      </c>
      <c r="G45" s="68" t="str">
        <f t="shared" si="1"/>
        <v>Nebbi</v>
      </c>
      <c r="H45" s="75" t="s">
        <v>2498</v>
      </c>
    </row>
    <row r="46" spans="1:8">
      <c r="A46" s="74">
        <v>288</v>
      </c>
      <c r="B46" s="75" t="s">
        <v>2562</v>
      </c>
      <c r="C46" s="75" t="s">
        <v>2562</v>
      </c>
      <c r="D46" s="75" t="s">
        <v>2563</v>
      </c>
      <c r="E46" s="75"/>
      <c r="F46" s="68" t="str">
        <f t="shared" si="0"/>
        <v>Alango</v>
      </c>
      <c r="G46" s="68" t="str">
        <f t="shared" si="1"/>
        <v>Otuke</v>
      </c>
      <c r="H46" s="75" t="s">
        <v>2563</v>
      </c>
    </row>
    <row r="47" spans="1:8">
      <c r="A47" s="74">
        <v>246</v>
      </c>
      <c r="B47" s="75" t="s">
        <v>678</v>
      </c>
      <c r="C47" s="75" t="s">
        <v>679</v>
      </c>
      <c r="D47" s="75" t="s">
        <v>682</v>
      </c>
      <c r="E47" s="75"/>
      <c r="F47" s="68" t="str">
        <f t="shared" si="0"/>
        <v>Alebtong Town Council</v>
      </c>
      <c r="G47" s="68" t="str">
        <f t="shared" si="1"/>
        <v>Alebtong</v>
      </c>
      <c r="H47" s="75" t="s">
        <v>682</v>
      </c>
    </row>
    <row r="48" spans="1:8">
      <c r="A48" s="74">
        <v>218</v>
      </c>
      <c r="B48" s="75" t="s">
        <v>2571</v>
      </c>
      <c r="C48" s="75" t="s">
        <v>2571</v>
      </c>
      <c r="D48" s="75" t="s">
        <v>2574</v>
      </c>
      <c r="E48" s="75"/>
      <c r="F48" s="68" t="str">
        <f t="shared" si="0"/>
        <v>Aleka</v>
      </c>
      <c r="G48" s="68" t="str">
        <f t="shared" si="1"/>
        <v>Oyam</v>
      </c>
      <c r="H48" s="75" t="s">
        <v>2574</v>
      </c>
    </row>
    <row r="49" spans="1:8">
      <c r="A49" s="74">
        <v>153</v>
      </c>
      <c r="B49" s="75" t="s">
        <v>641</v>
      </c>
      <c r="C49" s="75" t="s">
        <v>642</v>
      </c>
      <c r="D49" s="75" t="s">
        <v>644</v>
      </c>
      <c r="E49" s="75"/>
      <c r="F49" s="68" t="str">
        <f t="shared" si="0"/>
        <v>Alerek</v>
      </c>
      <c r="G49" s="68" t="str">
        <f t="shared" si="1"/>
        <v>Abim</v>
      </c>
      <c r="H49" s="75" t="s">
        <v>644</v>
      </c>
    </row>
    <row r="50" spans="1:8">
      <c r="A50" s="74">
        <v>282</v>
      </c>
      <c r="B50" s="75" t="s">
        <v>2549</v>
      </c>
      <c r="C50" s="75" t="s">
        <v>2549</v>
      </c>
      <c r="D50" s="75" t="s">
        <v>2548</v>
      </c>
      <c r="E50" s="75"/>
      <c r="F50" s="68" t="str">
        <f t="shared" si="0"/>
        <v>Alero</v>
      </c>
      <c r="G50" s="68" t="str">
        <f t="shared" si="1"/>
        <v>Nwoya</v>
      </c>
      <c r="H50" s="75" t="s">
        <v>2548</v>
      </c>
    </row>
    <row r="51" spans="1:8">
      <c r="A51" s="74">
        <v>98</v>
      </c>
      <c r="B51" s="75" t="s">
        <v>2317</v>
      </c>
      <c r="C51" s="75" t="s">
        <v>2318</v>
      </c>
      <c r="D51" s="75" t="s">
        <v>2316</v>
      </c>
      <c r="E51" s="75"/>
      <c r="F51" s="68" t="str">
        <f t="shared" si="0"/>
        <v>Aliba</v>
      </c>
      <c r="G51" s="68" t="str">
        <f t="shared" si="1"/>
        <v>Moyo</v>
      </c>
      <c r="H51" s="75" t="s">
        <v>2316</v>
      </c>
    </row>
    <row r="52" spans="1:8">
      <c r="A52" s="74">
        <v>258</v>
      </c>
      <c r="B52" s="75" t="s">
        <v>1977</v>
      </c>
      <c r="C52" s="75" t="s">
        <v>1977</v>
      </c>
      <c r="D52" s="75" t="s">
        <v>1979</v>
      </c>
      <c r="E52" s="75"/>
      <c r="F52" s="68" t="str">
        <f t="shared" si="0"/>
        <v>Alito</v>
      </c>
      <c r="G52" s="68" t="str">
        <f t="shared" si="1"/>
        <v>Kole</v>
      </c>
      <c r="H52" s="75" t="s">
        <v>1979</v>
      </c>
    </row>
    <row r="53" spans="1:8">
      <c r="A53" s="74">
        <v>247</v>
      </c>
      <c r="B53" s="75" t="s">
        <v>678</v>
      </c>
      <c r="C53" s="75" t="s">
        <v>679</v>
      </c>
      <c r="D53" s="75" t="s">
        <v>683</v>
      </c>
      <c r="E53" s="75"/>
      <c r="F53" s="68" t="str">
        <f t="shared" si="0"/>
        <v>Aloi</v>
      </c>
      <c r="G53" s="68" t="str">
        <f t="shared" si="1"/>
        <v>Alebtong</v>
      </c>
      <c r="H53" s="75" t="s">
        <v>683</v>
      </c>
    </row>
    <row r="54" spans="1:8">
      <c r="A54" s="74">
        <v>839</v>
      </c>
      <c r="B54" s="75" t="s">
        <v>1181</v>
      </c>
      <c r="C54" s="75" t="s">
        <v>1181</v>
      </c>
      <c r="D54" s="75" t="s">
        <v>1180</v>
      </c>
      <c r="E54" s="75"/>
      <c r="F54" s="68" t="str">
        <f t="shared" si="0"/>
        <v>Alwa</v>
      </c>
      <c r="G54" s="68" t="str">
        <f t="shared" si="1"/>
        <v>Kaberamaido</v>
      </c>
      <c r="H54" s="75" t="s">
        <v>1180</v>
      </c>
    </row>
    <row r="55" spans="1:8">
      <c r="A55" s="74">
        <v>312</v>
      </c>
      <c r="B55" s="75" t="s">
        <v>2598</v>
      </c>
      <c r="C55" s="75" t="s">
        <v>2599</v>
      </c>
      <c r="D55" s="75" t="s">
        <v>2597</v>
      </c>
      <c r="E55" s="75"/>
      <c r="F55" s="68" t="str">
        <f t="shared" si="0"/>
        <v>Alwi</v>
      </c>
      <c r="G55" s="68" t="str">
        <f t="shared" si="1"/>
        <v>Pakwach</v>
      </c>
      <c r="H55" s="75" t="s">
        <v>2597</v>
      </c>
    </row>
    <row r="56" spans="1:8">
      <c r="A56" s="74">
        <v>82</v>
      </c>
      <c r="B56" s="75" t="s">
        <v>2094</v>
      </c>
      <c r="C56" s="75" t="s">
        <v>2095</v>
      </c>
      <c r="D56" s="75" t="s">
        <v>2098</v>
      </c>
      <c r="E56" s="75"/>
      <c r="F56" s="68" t="str">
        <f t="shared" si="0"/>
        <v>Amach</v>
      </c>
      <c r="G56" s="68" t="str">
        <f t="shared" si="1"/>
        <v>Lira</v>
      </c>
      <c r="H56" s="75" t="s">
        <v>2098</v>
      </c>
    </row>
    <row r="57" spans="1:8">
      <c r="A57" s="74">
        <v>160</v>
      </c>
      <c r="B57" s="75" t="s">
        <v>689</v>
      </c>
      <c r="C57" s="75" t="s">
        <v>690</v>
      </c>
      <c r="D57" s="75" t="s">
        <v>693</v>
      </c>
      <c r="E57" s="75"/>
      <c r="F57" s="68" t="str">
        <f t="shared" si="0"/>
        <v>Amolatar Town Council</v>
      </c>
      <c r="G57" s="68" t="str">
        <f t="shared" si="1"/>
        <v>Amolatar</v>
      </c>
      <c r="H57" s="75" t="s">
        <v>693</v>
      </c>
    </row>
    <row r="58" spans="1:8">
      <c r="A58" s="74">
        <v>252</v>
      </c>
      <c r="B58" s="75" t="s">
        <v>701</v>
      </c>
      <c r="C58" s="75" t="s">
        <v>702</v>
      </c>
      <c r="D58" s="75" t="s">
        <v>701</v>
      </c>
      <c r="E58" s="75"/>
      <c r="F58" s="68" t="str">
        <f t="shared" si="0"/>
        <v>Amudat</v>
      </c>
      <c r="G58" s="68" t="str">
        <f t="shared" si="1"/>
        <v>Amudat</v>
      </c>
      <c r="H58" s="75" t="s">
        <v>701</v>
      </c>
    </row>
    <row r="59" spans="1:8">
      <c r="A59" s="74">
        <v>253</v>
      </c>
      <c r="B59" s="75" t="s">
        <v>701</v>
      </c>
      <c r="C59" s="75" t="s">
        <v>702</v>
      </c>
      <c r="D59" s="75" t="s">
        <v>703</v>
      </c>
      <c r="E59" s="75"/>
      <c r="F59" s="68" t="str">
        <f t="shared" si="0"/>
        <v>Amudat Town Council</v>
      </c>
      <c r="G59" s="68" t="str">
        <f t="shared" si="1"/>
        <v>Amudat</v>
      </c>
      <c r="H59" s="75" t="s">
        <v>703</v>
      </c>
    </row>
    <row r="60" spans="1:8">
      <c r="A60" s="74">
        <v>248</v>
      </c>
      <c r="B60" s="75" t="s">
        <v>678</v>
      </c>
      <c r="C60" s="75" t="s">
        <v>679</v>
      </c>
      <c r="D60" s="75" t="s">
        <v>684</v>
      </c>
      <c r="E60" s="75"/>
      <c r="F60" s="68" t="str">
        <f t="shared" si="0"/>
        <v>Amugu</v>
      </c>
      <c r="G60" s="68" t="str">
        <f t="shared" si="1"/>
        <v>Alebtong</v>
      </c>
      <c r="H60" s="75" t="s">
        <v>684</v>
      </c>
    </row>
    <row r="61" spans="1:8">
      <c r="A61" s="74">
        <v>739</v>
      </c>
      <c r="B61" s="75" t="s">
        <v>1798</v>
      </c>
      <c r="C61" s="75" t="s">
        <v>1799</v>
      </c>
      <c r="D61" s="75" t="s">
        <v>1797</v>
      </c>
      <c r="E61" s="75"/>
      <c r="F61" s="68" t="str">
        <f t="shared" si="0"/>
        <v>Amukol</v>
      </c>
      <c r="G61" s="68" t="str">
        <f t="shared" si="1"/>
        <v>Kapchorwa</v>
      </c>
      <c r="H61" s="75" t="s">
        <v>1797</v>
      </c>
    </row>
    <row r="62" spans="1:8">
      <c r="A62" s="74">
        <v>888</v>
      </c>
      <c r="B62" s="75" t="s">
        <v>707</v>
      </c>
      <c r="C62" s="75" t="s">
        <v>707</v>
      </c>
      <c r="D62" s="75" t="s">
        <v>712</v>
      </c>
      <c r="E62" s="75"/>
      <c r="F62" s="68" t="str">
        <f t="shared" si="0"/>
        <v>Amuria Town Council</v>
      </c>
      <c r="G62" s="68" t="str">
        <f t="shared" si="1"/>
        <v>Amuria</v>
      </c>
      <c r="H62" s="75" t="s">
        <v>712</v>
      </c>
    </row>
    <row r="63" spans="1:8">
      <c r="A63" s="74">
        <v>168</v>
      </c>
      <c r="B63" s="75" t="s">
        <v>723</v>
      </c>
      <c r="C63" s="75" t="s">
        <v>724</v>
      </c>
      <c r="D63" s="75" t="s">
        <v>723</v>
      </c>
      <c r="E63" s="75"/>
      <c r="F63" s="68" t="str">
        <f t="shared" si="0"/>
        <v>Amuru</v>
      </c>
      <c r="G63" s="68" t="str">
        <f t="shared" si="1"/>
        <v>Amuru</v>
      </c>
      <c r="H63" s="75" t="s">
        <v>723</v>
      </c>
    </row>
    <row r="64" spans="1:8">
      <c r="A64" s="74">
        <v>169</v>
      </c>
      <c r="B64" s="75" t="s">
        <v>723</v>
      </c>
      <c r="C64" s="75" t="s">
        <v>724</v>
      </c>
      <c r="D64" s="75" t="s">
        <v>725</v>
      </c>
      <c r="E64" s="75"/>
      <c r="F64" s="68" t="str">
        <f t="shared" si="0"/>
        <v>Amuru Town Council</v>
      </c>
      <c r="G64" s="68" t="str">
        <f t="shared" si="1"/>
        <v>Amuru</v>
      </c>
      <c r="H64" s="75" t="s">
        <v>725</v>
      </c>
    </row>
    <row r="65" spans="1:8">
      <c r="A65" s="74">
        <v>176</v>
      </c>
      <c r="B65" s="75" t="s">
        <v>1014</v>
      </c>
      <c r="C65" s="75" t="s">
        <v>1014</v>
      </c>
      <c r="D65" s="75" t="s">
        <v>1017</v>
      </c>
      <c r="E65" s="75"/>
      <c r="F65" s="68" t="str">
        <f t="shared" si="0"/>
        <v>Amwoma</v>
      </c>
      <c r="G65" s="68" t="str">
        <f t="shared" si="1"/>
        <v>Dokolo</v>
      </c>
      <c r="H65" s="75" t="s">
        <v>1017</v>
      </c>
    </row>
    <row r="66" spans="1:8">
      <c r="A66" s="74">
        <v>283</v>
      </c>
      <c r="B66" s="75" t="s">
        <v>2549</v>
      </c>
      <c r="C66" s="75" t="s">
        <v>2549</v>
      </c>
      <c r="D66" s="75" t="s">
        <v>2550</v>
      </c>
      <c r="E66" s="75"/>
      <c r="F66" s="68" t="str">
        <f t="shared" si="0"/>
        <v>Anaka Payira</v>
      </c>
      <c r="G66" s="68" t="str">
        <f t="shared" si="1"/>
        <v>Nwoya</v>
      </c>
      <c r="H66" s="75" t="s">
        <v>2550</v>
      </c>
    </row>
    <row r="67" spans="1:8">
      <c r="A67" s="74">
        <v>285</v>
      </c>
      <c r="B67" s="75" t="s">
        <v>2549</v>
      </c>
      <c r="C67" s="75" t="s">
        <v>2549</v>
      </c>
      <c r="D67" s="75" t="s">
        <v>2551</v>
      </c>
      <c r="E67" s="75"/>
      <c r="F67" s="68" t="str">
        <f t="shared" ref="F67:F117" si="2">D67</f>
        <v>Anaka Town Council</v>
      </c>
      <c r="G67" s="68" t="str">
        <f t="shared" ref="G67:G72" si="3">B67</f>
        <v>Nwoya</v>
      </c>
      <c r="H67" s="75" t="s">
        <v>2551</v>
      </c>
    </row>
    <row r="68" spans="1:8">
      <c r="A68" s="74">
        <v>127</v>
      </c>
      <c r="B68" s="75" t="s">
        <v>2585</v>
      </c>
      <c r="C68" s="75" t="s">
        <v>2586</v>
      </c>
      <c r="D68" s="75" t="s">
        <v>2587</v>
      </c>
      <c r="E68" s="75"/>
      <c r="F68" s="68" t="str">
        <f t="shared" si="2"/>
        <v>Angagura</v>
      </c>
      <c r="G68" s="68" t="str">
        <f t="shared" si="3"/>
        <v>Pader</v>
      </c>
      <c r="H68" s="75" t="s">
        <v>2587</v>
      </c>
    </row>
    <row r="69" spans="1:8">
      <c r="A69" s="74">
        <v>845</v>
      </c>
      <c r="B69" s="75" t="s">
        <v>1181</v>
      </c>
      <c r="C69" s="75" t="s">
        <v>1183</v>
      </c>
      <c r="D69" s="75" t="s">
        <v>1182</v>
      </c>
      <c r="E69" s="75"/>
      <c r="F69" s="68" t="str">
        <f t="shared" si="2"/>
        <v>Anyara</v>
      </c>
      <c r="G69" s="68" t="str">
        <f t="shared" si="3"/>
        <v>Kaberamaido</v>
      </c>
      <c r="H69" s="75" t="s">
        <v>1182</v>
      </c>
    </row>
    <row r="70" spans="1:8">
      <c r="A70" s="74">
        <v>31</v>
      </c>
      <c r="B70" s="75" t="s">
        <v>745</v>
      </c>
      <c r="C70" s="75" t="s">
        <v>752</v>
      </c>
      <c r="D70" s="75" t="s">
        <v>751</v>
      </c>
      <c r="E70" s="75"/>
      <c r="F70" s="68" t="str">
        <f t="shared" si="2"/>
        <v>Anyiribu</v>
      </c>
      <c r="G70" s="68" t="str">
        <f t="shared" si="3"/>
        <v>Arua</v>
      </c>
      <c r="H70" s="75" t="s">
        <v>751</v>
      </c>
    </row>
    <row r="71" spans="1:8">
      <c r="A71" s="74">
        <v>20</v>
      </c>
      <c r="B71" s="77" t="s">
        <v>731</v>
      </c>
      <c r="C71" s="78" t="s">
        <v>738</v>
      </c>
      <c r="D71" s="77" t="s">
        <v>731</v>
      </c>
      <c r="E71" s="77"/>
      <c r="F71" s="69" t="str">
        <f>VLOOKUP(C71,[2]Municipalities!$C$9:$F$1522,4,FALSE)</f>
        <v>Apac Muicipality</v>
      </c>
      <c r="G71" s="68" t="str">
        <f t="shared" si="3"/>
        <v>Apac</v>
      </c>
      <c r="H71" s="77" t="s">
        <v>731</v>
      </c>
    </row>
    <row r="72" spans="1:8">
      <c r="A72" s="74">
        <v>21</v>
      </c>
      <c r="B72" s="77" t="s">
        <v>731</v>
      </c>
      <c r="C72" s="78" t="s">
        <v>738</v>
      </c>
      <c r="D72" s="77" t="s">
        <v>3068</v>
      </c>
      <c r="E72" s="77"/>
      <c r="F72" s="69" t="str">
        <f>VLOOKUP(C72,[2]Municipalities!$C$9:$F$1522,4,FALSE)</f>
        <v>Apac Muicipality</v>
      </c>
      <c r="G72" s="68" t="str">
        <f t="shared" si="3"/>
        <v>Apac</v>
      </c>
      <c r="H72" s="77" t="s">
        <v>3068</v>
      </c>
    </row>
    <row r="73" spans="1:8">
      <c r="A73" s="74">
        <v>249</v>
      </c>
      <c r="B73" s="75" t="s">
        <v>678</v>
      </c>
      <c r="C73" s="75" t="s">
        <v>679</v>
      </c>
      <c r="D73" s="75" t="s">
        <v>685</v>
      </c>
      <c r="E73" s="75"/>
      <c r="F73" s="68" t="str">
        <f t="shared" si="2"/>
        <v>Apala</v>
      </c>
      <c r="G73" s="68" t="str">
        <f>B73</f>
        <v>Alebtong</v>
      </c>
      <c r="H73" s="75" t="s">
        <v>685</v>
      </c>
    </row>
    <row r="74" spans="1:8">
      <c r="A74" s="74">
        <v>846</v>
      </c>
      <c r="B74" s="75" t="s">
        <v>1181</v>
      </c>
      <c r="C74" s="75" t="s">
        <v>1183</v>
      </c>
      <c r="D74" s="75" t="s">
        <v>1184</v>
      </c>
      <c r="E74" s="75"/>
      <c r="F74" s="68" t="str">
        <f t="shared" si="2"/>
        <v>Apapai</v>
      </c>
      <c r="G74" s="68" t="str">
        <f t="shared" ref="G74:G137" si="4">B74</f>
        <v>Kaberamaido</v>
      </c>
      <c r="H74" s="75" t="s">
        <v>1184</v>
      </c>
    </row>
    <row r="75" spans="1:8">
      <c r="A75" s="74">
        <v>889</v>
      </c>
      <c r="B75" s="75" t="s">
        <v>707</v>
      </c>
      <c r="C75" s="75" t="s">
        <v>707</v>
      </c>
      <c r="D75" s="75" t="s">
        <v>713</v>
      </c>
      <c r="E75" s="75"/>
      <c r="F75" s="68" t="str">
        <f t="shared" si="2"/>
        <v>Apeduru</v>
      </c>
      <c r="G75" s="68" t="str">
        <f t="shared" si="4"/>
        <v>Amuria</v>
      </c>
      <c r="H75" s="75" t="s">
        <v>713</v>
      </c>
    </row>
    <row r="76" spans="1:8">
      <c r="A76" s="74">
        <v>840</v>
      </c>
      <c r="B76" s="75" t="s">
        <v>1181</v>
      </c>
      <c r="C76" s="75" t="s">
        <v>1181</v>
      </c>
      <c r="D76" s="75" t="s">
        <v>1185</v>
      </c>
      <c r="E76" s="75"/>
      <c r="F76" s="68" t="str">
        <f t="shared" si="2"/>
        <v>Aperkira</v>
      </c>
      <c r="G76" s="68" t="str">
        <f t="shared" si="4"/>
        <v>Kaberamaido</v>
      </c>
      <c r="H76" s="75" t="s">
        <v>1185</v>
      </c>
    </row>
    <row r="77" spans="1:8">
      <c r="A77" s="74">
        <v>138</v>
      </c>
      <c r="B77" s="75" t="s">
        <v>3009</v>
      </c>
      <c r="C77" s="75" t="s">
        <v>3010</v>
      </c>
      <c r="D77" s="75" t="s">
        <v>3008</v>
      </c>
      <c r="E77" s="75"/>
      <c r="F77" s="68" t="str">
        <f t="shared" si="2"/>
        <v>Apo</v>
      </c>
      <c r="G77" s="68" t="str">
        <f t="shared" si="4"/>
        <v>Yumbe</v>
      </c>
      <c r="H77" s="75" t="s">
        <v>3008</v>
      </c>
    </row>
    <row r="78" spans="1:8">
      <c r="A78" s="74">
        <v>804</v>
      </c>
      <c r="B78" s="75" t="s">
        <v>2606</v>
      </c>
      <c r="C78" s="75" t="s">
        <v>2605</v>
      </c>
      <c r="D78" s="75" t="s">
        <v>2608</v>
      </c>
      <c r="E78" s="75"/>
      <c r="F78" s="68" t="str">
        <f t="shared" si="2"/>
        <v>Apopong</v>
      </c>
      <c r="G78" s="68" t="str">
        <f t="shared" si="4"/>
        <v>Pallisa</v>
      </c>
      <c r="H78" s="75" t="s">
        <v>2608</v>
      </c>
    </row>
    <row r="79" spans="1:8">
      <c r="A79" s="74">
        <v>161</v>
      </c>
      <c r="B79" s="75" t="s">
        <v>689</v>
      </c>
      <c r="C79" s="75" t="s">
        <v>690</v>
      </c>
      <c r="D79" s="75" t="s">
        <v>694</v>
      </c>
      <c r="E79" s="75"/>
      <c r="F79" s="68" t="str">
        <f t="shared" si="2"/>
        <v>Aputi</v>
      </c>
      <c r="G79" s="68" t="str">
        <f t="shared" si="4"/>
        <v>Amolatar</v>
      </c>
      <c r="H79" s="75" t="s">
        <v>694</v>
      </c>
    </row>
    <row r="80" spans="1:8">
      <c r="A80" s="74">
        <v>813</v>
      </c>
      <c r="B80" s="75" t="s">
        <v>2729</v>
      </c>
      <c r="C80" s="75" t="s">
        <v>2729</v>
      </c>
      <c r="D80" s="75" t="s">
        <v>2728</v>
      </c>
      <c r="E80" s="75"/>
      <c r="F80" s="68" t="str">
        <f t="shared" si="2"/>
        <v>Arapai</v>
      </c>
      <c r="G80" s="68" t="str">
        <f t="shared" si="4"/>
        <v>Soroti</v>
      </c>
      <c r="H80" s="75" t="s">
        <v>2728</v>
      </c>
    </row>
    <row r="81" spans="1:8">
      <c r="A81" s="74">
        <v>3</v>
      </c>
      <c r="B81" s="75" t="s">
        <v>649</v>
      </c>
      <c r="C81" s="75" t="s">
        <v>650</v>
      </c>
      <c r="D81" s="75" t="s">
        <v>652</v>
      </c>
      <c r="E81" s="75"/>
      <c r="F81" s="68" t="str">
        <f t="shared" si="2"/>
        <v>Arinyapi</v>
      </c>
      <c r="G81" s="68" t="str">
        <f t="shared" si="4"/>
        <v>Adjumani</v>
      </c>
      <c r="H81" s="75" t="s">
        <v>652</v>
      </c>
    </row>
    <row r="82" spans="1:8">
      <c r="A82" s="74">
        <v>47</v>
      </c>
      <c r="B82" s="75" t="s">
        <v>745</v>
      </c>
      <c r="C82" s="75" t="s">
        <v>750</v>
      </c>
      <c r="D82" s="75" t="s">
        <v>753</v>
      </c>
      <c r="E82" s="75"/>
      <c r="F82" s="68" t="str">
        <f t="shared" si="2"/>
        <v>Arivu</v>
      </c>
      <c r="G82" s="68" t="str">
        <f t="shared" si="4"/>
        <v>Arua</v>
      </c>
      <c r="H82" s="75" t="s">
        <v>753</v>
      </c>
    </row>
    <row r="83" spans="1:8">
      <c r="A83" s="74">
        <v>139</v>
      </c>
      <c r="B83" s="75" t="s">
        <v>3009</v>
      </c>
      <c r="C83" s="75" t="s">
        <v>3010</v>
      </c>
      <c r="D83" s="75" t="s">
        <v>3011</v>
      </c>
      <c r="E83" s="75"/>
      <c r="F83" s="68" t="str">
        <f t="shared" si="2"/>
        <v>Ariwa</v>
      </c>
      <c r="G83" s="68" t="str">
        <f t="shared" si="4"/>
        <v>Yumbe</v>
      </c>
      <c r="H83" s="75" t="s">
        <v>3011</v>
      </c>
    </row>
    <row r="84" spans="1:8">
      <c r="A84" s="74">
        <v>25</v>
      </c>
      <c r="B84" s="75" t="s">
        <v>745</v>
      </c>
      <c r="C84" s="75" t="s">
        <v>746</v>
      </c>
      <c r="D84" s="75" t="s">
        <v>754</v>
      </c>
      <c r="E84" s="75"/>
      <c r="F84" s="68" t="str">
        <f t="shared" si="2"/>
        <v>Aroi</v>
      </c>
      <c r="G84" s="68" t="str">
        <f t="shared" si="4"/>
        <v>Arua</v>
      </c>
      <c r="H84" s="75" t="s">
        <v>754</v>
      </c>
    </row>
    <row r="85" spans="1:8">
      <c r="A85" s="74">
        <v>83</v>
      </c>
      <c r="B85" s="75" t="s">
        <v>2094</v>
      </c>
      <c r="C85" s="75" t="s">
        <v>2095</v>
      </c>
      <c r="D85" s="75" t="s">
        <v>2099</v>
      </c>
      <c r="E85" s="75"/>
      <c r="F85" s="68" t="str">
        <f t="shared" si="2"/>
        <v>Aromo</v>
      </c>
      <c r="G85" s="68" t="str">
        <f t="shared" si="4"/>
        <v>Lira</v>
      </c>
      <c r="H85" s="75" t="s">
        <v>2099</v>
      </c>
    </row>
    <row r="86" spans="1:8">
      <c r="A86" s="74">
        <v>22</v>
      </c>
      <c r="B86" s="77" t="s">
        <v>745</v>
      </c>
      <c r="C86" s="78" t="s">
        <v>755</v>
      </c>
      <c r="D86" s="77" t="s">
        <v>3069</v>
      </c>
      <c r="E86" s="77"/>
      <c r="F86" s="69" t="str">
        <f>VLOOKUP(C86,[2]Municipalities!$C$9:$F$1522,4,FALSE)</f>
        <v>Arua Municipality</v>
      </c>
      <c r="G86" s="68" t="str">
        <f t="shared" si="4"/>
        <v>Arua</v>
      </c>
      <c r="H86" s="77" t="s">
        <v>3069</v>
      </c>
    </row>
    <row r="87" spans="1:8">
      <c r="A87" s="74">
        <v>229</v>
      </c>
      <c r="B87" s="75" t="s">
        <v>661</v>
      </c>
      <c r="C87" s="75" t="s">
        <v>661</v>
      </c>
      <c r="D87" s="75" t="s">
        <v>663</v>
      </c>
      <c r="E87" s="75"/>
      <c r="F87" s="68" t="str">
        <f t="shared" si="2"/>
        <v>Arum</v>
      </c>
      <c r="G87" s="68" t="str">
        <f t="shared" si="4"/>
        <v>Agago</v>
      </c>
      <c r="H87" s="75" t="s">
        <v>663</v>
      </c>
    </row>
    <row r="88" spans="1:8">
      <c r="A88" s="74">
        <v>162</v>
      </c>
      <c r="B88" s="75" t="s">
        <v>689</v>
      </c>
      <c r="C88" s="75" t="s">
        <v>690</v>
      </c>
      <c r="D88" s="75" t="s">
        <v>695</v>
      </c>
      <c r="E88" s="75"/>
      <c r="F88" s="68" t="str">
        <f t="shared" si="2"/>
        <v>Arwotcek</v>
      </c>
      <c r="G88" s="68" t="str">
        <f t="shared" si="4"/>
        <v>Amolatar</v>
      </c>
      <c r="H88" s="75" t="s">
        <v>695</v>
      </c>
    </row>
    <row r="89" spans="1:8">
      <c r="A89" s="74">
        <v>890</v>
      </c>
      <c r="B89" s="75" t="s">
        <v>707</v>
      </c>
      <c r="C89" s="75" t="s">
        <v>707</v>
      </c>
      <c r="D89" s="75" t="s">
        <v>714</v>
      </c>
      <c r="E89" s="75"/>
      <c r="F89" s="68" t="str">
        <f t="shared" si="2"/>
        <v>Asamuk</v>
      </c>
      <c r="G89" s="68" t="str">
        <f t="shared" si="4"/>
        <v>Amuria</v>
      </c>
      <c r="H89" s="75" t="s">
        <v>714</v>
      </c>
    </row>
    <row r="90" spans="1:8">
      <c r="A90" s="74">
        <v>810</v>
      </c>
      <c r="B90" s="75" t="s">
        <v>2729</v>
      </c>
      <c r="C90" s="75" t="s">
        <v>2729</v>
      </c>
      <c r="D90" s="75" t="s">
        <v>2730</v>
      </c>
      <c r="E90" s="75"/>
      <c r="F90" s="68" t="str">
        <f t="shared" si="2"/>
        <v>Asuret</v>
      </c>
      <c r="G90" s="68" t="str">
        <f t="shared" si="4"/>
        <v>Soroti</v>
      </c>
      <c r="H90" s="75" t="s">
        <v>2730</v>
      </c>
    </row>
    <row r="91" spans="1:8">
      <c r="A91" s="74">
        <v>128</v>
      </c>
      <c r="B91" s="75" t="s">
        <v>2585</v>
      </c>
      <c r="C91" s="75" t="s">
        <v>2586</v>
      </c>
      <c r="D91" s="75" t="s">
        <v>2588</v>
      </c>
      <c r="E91" s="75"/>
      <c r="F91" s="68" t="str">
        <f t="shared" si="2"/>
        <v>Atanga</v>
      </c>
      <c r="G91" s="68" t="str">
        <f t="shared" si="4"/>
        <v>Pader</v>
      </c>
      <c r="H91" s="75" t="s">
        <v>2588</v>
      </c>
    </row>
    <row r="92" spans="1:8">
      <c r="A92" s="74">
        <v>111</v>
      </c>
      <c r="B92" s="75" t="s">
        <v>2499</v>
      </c>
      <c r="C92" s="75" t="s">
        <v>2500</v>
      </c>
      <c r="D92" s="75" t="s">
        <v>2501</v>
      </c>
      <c r="E92" s="75"/>
      <c r="F92" s="68" t="str">
        <f t="shared" si="2"/>
        <v>Atego</v>
      </c>
      <c r="G92" s="68" t="str">
        <f t="shared" si="4"/>
        <v>Nebbi</v>
      </c>
      <c r="H92" s="75" t="s">
        <v>2501</v>
      </c>
    </row>
    <row r="93" spans="1:8">
      <c r="A93" s="74">
        <v>1073</v>
      </c>
      <c r="B93" s="75" t="s">
        <v>2675</v>
      </c>
      <c r="C93" s="75" t="s">
        <v>2675</v>
      </c>
      <c r="D93" s="75" t="s">
        <v>2674</v>
      </c>
      <c r="E93" s="75"/>
      <c r="F93" s="68" t="str">
        <f t="shared" si="2"/>
        <v>Atiira</v>
      </c>
      <c r="G93" s="68" t="str">
        <f t="shared" si="4"/>
        <v>Serere</v>
      </c>
      <c r="H93" s="75" t="s">
        <v>2674</v>
      </c>
    </row>
    <row r="94" spans="1:8">
      <c r="A94" s="74">
        <v>170</v>
      </c>
      <c r="B94" s="75" t="s">
        <v>723</v>
      </c>
      <c r="C94" s="75" t="s">
        <v>724</v>
      </c>
      <c r="D94" s="75" t="s">
        <v>727</v>
      </c>
      <c r="E94" s="75"/>
      <c r="F94" s="68" t="str">
        <f t="shared" si="2"/>
        <v>Attiak</v>
      </c>
      <c r="G94" s="68" t="str">
        <f t="shared" si="4"/>
        <v>Amuru</v>
      </c>
      <c r="H94" s="75" t="s">
        <v>727</v>
      </c>
    </row>
    <row r="95" spans="1:8">
      <c r="A95" s="74">
        <v>763</v>
      </c>
      <c r="B95" s="75" t="s">
        <v>1992</v>
      </c>
      <c r="C95" s="75" t="s">
        <v>1992</v>
      </c>
      <c r="D95" s="75" t="s">
        <v>1991</v>
      </c>
      <c r="E95" s="75"/>
      <c r="F95" s="68" t="str">
        <f t="shared" si="2"/>
        <v>Atutur</v>
      </c>
      <c r="G95" s="68" t="str">
        <f t="shared" si="4"/>
        <v>Kumi</v>
      </c>
      <c r="H95" s="75" t="s">
        <v>1991</v>
      </c>
    </row>
    <row r="96" spans="1:8">
      <c r="A96" s="74">
        <v>296</v>
      </c>
      <c r="B96" s="75" t="s">
        <v>3024</v>
      </c>
      <c r="C96" s="75" t="s">
        <v>3025</v>
      </c>
      <c r="D96" s="75" t="s">
        <v>3026</v>
      </c>
      <c r="E96" s="75"/>
      <c r="F96" s="68" t="str">
        <f t="shared" si="2"/>
        <v>Atyak</v>
      </c>
      <c r="G96" s="68" t="str">
        <f t="shared" si="4"/>
        <v>Zombo</v>
      </c>
      <c r="H96" s="75" t="s">
        <v>3026</v>
      </c>
    </row>
    <row r="97" spans="1:8">
      <c r="A97" s="74">
        <v>50</v>
      </c>
      <c r="B97" s="75" t="s">
        <v>1031</v>
      </c>
      <c r="C97" s="75" t="s">
        <v>1032</v>
      </c>
      <c r="D97" s="75" t="s">
        <v>1030</v>
      </c>
      <c r="E97" s="75"/>
      <c r="F97" s="68" t="str">
        <f t="shared" si="2"/>
        <v>Awach</v>
      </c>
      <c r="G97" s="68" t="str">
        <f t="shared" si="4"/>
        <v>Gulu</v>
      </c>
      <c r="H97" s="75" t="s">
        <v>1030</v>
      </c>
    </row>
    <row r="98" spans="1:8">
      <c r="A98" s="74">
        <v>250</v>
      </c>
      <c r="B98" s="75" t="s">
        <v>678</v>
      </c>
      <c r="C98" s="75" t="s">
        <v>679</v>
      </c>
      <c r="D98" s="75" t="s">
        <v>686</v>
      </c>
      <c r="E98" s="75"/>
      <c r="F98" s="68" t="str">
        <f t="shared" si="2"/>
        <v>Awei</v>
      </c>
      <c r="G98" s="68" t="str">
        <f t="shared" si="4"/>
        <v>Alebtong</v>
      </c>
      <c r="H98" s="75" t="s">
        <v>686</v>
      </c>
    </row>
    <row r="99" spans="1:8">
      <c r="A99" s="74">
        <v>163</v>
      </c>
      <c r="B99" s="75" t="s">
        <v>689</v>
      </c>
      <c r="C99" s="75" t="s">
        <v>690</v>
      </c>
      <c r="D99" s="75" t="s">
        <v>696</v>
      </c>
      <c r="E99" s="75"/>
      <c r="F99" s="68" t="str">
        <f t="shared" si="2"/>
        <v>Awelo</v>
      </c>
      <c r="G99" s="68" t="str">
        <f t="shared" si="4"/>
        <v>Amolatar</v>
      </c>
      <c r="H99" s="75" t="s">
        <v>696</v>
      </c>
    </row>
    <row r="100" spans="1:8">
      <c r="A100" s="74">
        <v>129</v>
      </c>
      <c r="B100" s="75" t="s">
        <v>2585</v>
      </c>
      <c r="C100" s="75" t="s">
        <v>2586</v>
      </c>
      <c r="D100" s="75" t="s">
        <v>2589</v>
      </c>
      <c r="E100" s="75"/>
      <c r="F100" s="68" t="str">
        <f t="shared" si="2"/>
        <v>Awere</v>
      </c>
      <c r="G100" s="68" t="str">
        <f t="shared" si="4"/>
        <v>Pader</v>
      </c>
      <c r="H100" s="75" t="s">
        <v>2589</v>
      </c>
    </row>
    <row r="101" spans="1:8">
      <c r="A101" s="74">
        <v>259</v>
      </c>
      <c r="B101" s="75" t="s">
        <v>1977</v>
      </c>
      <c r="C101" s="75" t="s">
        <v>1977</v>
      </c>
      <c r="D101" s="75" t="s">
        <v>1980</v>
      </c>
      <c r="E101" s="75"/>
      <c r="F101" s="68" t="str">
        <f t="shared" si="2"/>
        <v>Ayer</v>
      </c>
      <c r="G101" s="68" t="str">
        <f t="shared" si="4"/>
        <v>Kole</v>
      </c>
      <c r="H101" s="75" t="s">
        <v>1980</v>
      </c>
    </row>
    <row r="102" spans="1:8">
      <c r="A102" s="74">
        <v>26</v>
      </c>
      <c r="B102" s="75" t="s">
        <v>745</v>
      </c>
      <c r="C102" s="75" t="s">
        <v>746</v>
      </c>
      <c r="D102" s="75" t="s">
        <v>756</v>
      </c>
      <c r="E102" s="75"/>
      <c r="F102" s="68" t="str">
        <f t="shared" si="2"/>
        <v>Ayivuni</v>
      </c>
      <c r="G102" s="68" t="str">
        <f t="shared" si="4"/>
        <v>Arua</v>
      </c>
      <c r="H102" s="75" t="s">
        <v>756</v>
      </c>
    </row>
    <row r="103" spans="1:8">
      <c r="A103" s="74">
        <v>462</v>
      </c>
      <c r="B103" s="75" t="s">
        <v>2342</v>
      </c>
      <c r="C103" s="75" t="s">
        <v>2343</v>
      </c>
      <c r="D103" s="75" t="s">
        <v>2341</v>
      </c>
      <c r="E103" s="75"/>
      <c r="F103" s="68" t="str">
        <f t="shared" si="2"/>
        <v>Bagezza</v>
      </c>
      <c r="G103" s="68" t="str">
        <f t="shared" si="4"/>
        <v>Mubende</v>
      </c>
      <c r="H103" s="75" t="s">
        <v>2341</v>
      </c>
    </row>
    <row r="104" spans="1:8">
      <c r="A104" s="74">
        <v>851</v>
      </c>
      <c r="B104" s="75" t="s">
        <v>2209</v>
      </c>
      <c r="C104" s="75" t="s">
        <v>2210</v>
      </c>
      <c r="D104" s="75" t="s">
        <v>2208</v>
      </c>
      <c r="E104" s="75"/>
      <c r="F104" s="68" t="str">
        <f t="shared" si="2"/>
        <v>Baitambogwe</v>
      </c>
      <c r="G104" s="68" t="str">
        <f t="shared" si="4"/>
        <v>Mayuge</v>
      </c>
      <c r="H104" s="75" t="s">
        <v>2208</v>
      </c>
    </row>
    <row r="105" spans="1:8">
      <c r="A105" s="74">
        <v>260</v>
      </c>
      <c r="B105" s="75" t="s">
        <v>1977</v>
      </c>
      <c r="C105" s="75" t="s">
        <v>1977</v>
      </c>
      <c r="D105" s="75" t="s">
        <v>1981</v>
      </c>
      <c r="E105" s="75"/>
      <c r="F105" s="68" t="str">
        <f t="shared" si="2"/>
        <v>Bala</v>
      </c>
      <c r="G105" s="68" t="str">
        <f t="shared" si="4"/>
        <v>Kole</v>
      </c>
      <c r="H105" s="75" t="s">
        <v>1981</v>
      </c>
    </row>
    <row r="106" spans="1:8">
      <c r="A106" s="74">
        <v>725</v>
      </c>
      <c r="B106" s="75" t="s">
        <v>1744</v>
      </c>
      <c r="C106" s="75" t="s">
        <v>1745</v>
      </c>
      <c r="D106" s="75" t="s">
        <v>1743</v>
      </c>
      <c r="E106" s="75"/>
      <c r="F106" s="68" t="str">
        <f t="shared" si="2"/>
        <v>Balawoli</v>
      </c>
      <c r="G106" s="68" t="str">
        <f t="shared" si="4"/>
        <v>Kamuli</v>
      </c>
      <c r="H106" s="75" t="s">
        <v>1743</v>
      </c>
    </row>
    <row r="107" spans="1:8">
      <c r="A107" s="74">
        <v>429</v>
      </c>
      <c r="B107" s="75" t="s">
        <v>2113</v>
      </c>
      <c r="C107" s="75" t="s">
        <v>2112</v>
      </c>
      <c r="D107" s="75" t="s">
        <v>2112</v>
      </c>
      <c r="E107" s="75"/>
      <c r="F107" s="68" t="str">
        <f t="shared" si="2"/>
        <v>Bamunanika</v>
      </c>
      <c r="G107" s="68" t="str">
        <f t="shared" si="4"/>
        <v>Luwero</v>
      </c>
      <c r="H107" s="75" t="s">
        <v>2112</v>
      </c>
    </row>
    <row r="108" spans="1:8">
      <c r="A108" s="74">
        <v>638</v>
      </c>
      <c r="B108" s="75" t="s">
        <v>2012</v>
      </c>
      <c r="C108" s="75" t="s">
        <v>1882</v>
      </c>
      <c r="D108" s="75" t="s">
        <v>2011</v>
      </c>
      <c r="E108" s="75"/>
      <c r="F108" s="68" t="str">
        <f t="shared" si="2"/>
        <v>Bananywa</v>
      </c>
      <c r="G108" s="68" t="str">
        <f t="shared" si="4"/>
        <v>Kyankwanzi</v>
      </c>
      <c r="H108" s="75" t="s">
        <v>2011</v>
      </c>
    </row>
    <row r="109" spans="1:8">
      <c r="A109" s="74">
        <v>1054</v>
      </c>
      <c r="B109" s="75" t="s">
        <v>2450</v>
      </c>
      <c r="C109" s="75" t="s">
        <v>2451</v>
      </c>
      <c r="D109" s="75" t="s">
        <v>1254</v>
      </c>
      <c r="E109" s="75"/>
      <c r="F109" s="68" t="str">
        <f t="shared" si="2"/>
        <v>Banda</v>
      </c>
      <c r="G109" s="68" t="str">
        <f t="shared" si="4"/>
        <v>Namayingo</v>
      </c>
      <c r="H109" s="75" t="s">
        <v>1254</v>
      </c>
    </row>
    <row r="110" spans="1:8">
      <c r="A110" s="74">
        <v>54</v>
      </c>
      <c r="B110" s="75" t="s">
        <v>1031</v>
      </c>
      <c r="C110" s="76" t="s">
        <v>1034</v>
      </c>
      <c r="D110" s="75" t="s">
        <v>3070</v>
      </c>
      <c r="E110" s="75"/>
      <c r="F110" s="69" t="str">
        <f>VLOOKUP(C110,[2]Municipalities!$C$9:$F$1522,4,FALSE)</f>
        <v>Gulu Municipality</v>
      </c>
      <c r="G110" s="68" t="str">
        <f t="shared" si="4"/>
        <v>Gulu</v>
      </c>
      <c r="H110" s="75" t="s">
        <v>3070</v>
      </c>
    </row>
    <row r="111" spans="1:8">
      <c r="A111" s="74">
        <v>84</v>
      </c>
      <c r="B111" s="75" t="s">
        <v>2094</v>
      </c>
      <c r="C111" s="75" t="s">
        <v>2095</v>
      </c>
      <c r="D111" s="75" t="s">
        <v>2100</v>
      </c>
      <c r="E111" s="75"/>
      <c r="F111" s="68" t="str">
        <f t="shared" si="2"/>
        <v>Barr</v>
      </c>
      <c r="G111" s="68" t="str">
        <f t="shared" si="4"/>
        <v>Lira</v>
      </c>
      <c r="H111" s="75" t="s">
        <v>2100</v>
      </c>
    </row>
    <row r="112" spans="1:8">
      <c r="A112" s="74">
        <v>177</v>
      </c>
      <c r="B112" s="75" t="s">
        <v>1014</v>
      </c>
      <c r="C112" s="75" t="s">
        <v>1014</v>
      </c>
      <c r="D112" s="75" t="s">
        <v>1018</v>
      </c>
      <c r="E112" s="75"/>
      <c r="F112" s="68" t="str">
        <f t="shared" si="2"/>
        <v>Batta</v>
      </c>
      <c r="G112" s="68" t="str">
        <f t="shared" si="4"/>
        <v>Dokolo</v>
      </c>
      <c r="H112" s="75" t="s">
        <v>1018</v>
      </c>
    </row>
    <row r="113" spans="1:8">
      <c r="A113" s="74">
        <v>523</v>
      </c>
      <c r="B113" s="75" t="s">
        <v>1855</v>
      </c>
      <c r="C113" s="75" t="s">
        <v>1854</v>
      </c>
      <c r="D113" s="75" t="s">
        <v>1854</v>
      </c>
      <c r="E113" s="75"/>
      <c r="F113" s="68" t="str">
        <f t="shared" si="2"/>
        <v>Bbaale</v>
      </c>
      <c r="G113" s="68" t="str">
        <f t="shared" si="4"/>
        <v>Kayunga</v>
      </c>
      <c r="H113" s="75" t="s">
        <v>1854</v>
      </c>
    </row>
    <row r="114" spans="1:8">
      <c r="A114" s="74">
        <v>565</v>
      </c>
      <c r="B114" s="75" t="s">
        <v>2284</v>
      </c>
      <c r="C114" s="75" t="s">
        <v>2285</v>
      </c>
      <c r="D114" s="75" t="s">
        <v>2283</v>
      </c>
      <c r="E114" s="75"/>
      <c r="F114" s="68" t="str">
        <f t="shared" si="2"/>
        <v>Bbanda</v>
      </c>
      <c r="G114" s="68" t="str">
        <f t="shared" si="4"/>
        <v>Mityana</v>
      </c>
      <c r="H114" s="75" t="s">
        <v>2283</v>
      </c>
    </row>
    <row r="115" spans="1:8">
      <c r="A115" s="74">
        <v>1034</v>
      </c>
      <c r="B115" s="75" t="s">
        <v>1999</v>
      </c>
      <c r="C115" s="75" t="s">
        <v>1999</v>
      </c>
      <c r="D115" s="75" t="s">
        <v>1998</v>
      </c>
      <c r="E115" s="75"/>
      <c r="F115" s="68" t="str">
        <f t="shared" si="2"/>
        <v>Benet</v>
      </c>
      <c r="G115" s="68" t="str">
        <f t="shared" si="4"/>
        <v>Kween</v>
      </c>
      <c r="H115" s="75" t="s">
        <v>1998</v>
      </c>
    </row>
    <row r="116" spans="1:8">
      <c r="A116" s="74">
        <v>606</v>
      </c>
      <c r="B116" s="75" t="s">
        <v>851</v>
      </c>
      <c r="C116" s="75" t="s">
        <v>851</v>
      </c>
      <c r="D116" s="75" t="s">
        <v>850</v>
      </c>
      <c r="E116" s="75"/>
      <c r="F116" s="68" t="str">
        <f t="shared" si="2"/>
        <v>Bigasa</v>
      </c>
      <c r="G116" s="68" t="str">
        <f t="shared" si="4"/>
        <v>Bukomansimbi</v>
      </c>
      <c r="H116" s="75" t="s">
        <v>850</v>
      </c>
    </row>
    <row r="117" spans="1:8">
      <c r="A117" s="74">
        <v>1297</v>
      </c>
      <c r="B117" s="75" t="s">
        <v>45</v>
      </c>
      <c r="C117" s="75" t="s">
        <v>989</v>
      </c>
      <c r="D117" s="75" t="s">
        <v>1759</v>
      </c>
      <c r="E117" s="75"/>
      <c r="F117" s="68" t="str">
        <f t="shared" si="2"/>
        <v>Biguli</v>
      </c>
      <c r="G117" s="68" t="str">
        <f t="shared" si="4"/>
        <v>Kamwenge</v>
      </c>
      <c r="H117" s="75" t="s">
        <v>1759</v>
      </c>
    </row>
    <row r="118" spans="1:8">
      <c r="A118" s="74">
        <v>1304</v>
      </c>
      <c r="B118" s="75" t="s">
        <v>45</v>
      </c>
      <c r="C118" s="75" t="s">
        <v>989</v>
      </c>
      <c r="D118" s="79" t="s">
        <v>3071</v>
      </c>
      <c r="E118" s="75"/>
      <c r="F118" s="68" t="str">
        <f>D118&amp;"-"&amp;B118</f>
        <v>Bihanga-Kamwenge</v>
      </c>
      <c r="G118" s="68" t="str">
        <f t="shared" si="4"/>
        <v>Kamwenge</v>
      </c>
      <c r="H118" s="79" t="s">
        <v>3071</v>
      </c>
    </row>
    <row r="119" spans="1:8">
      <c r="A119" s="74">
        <v>1405</v>
      </c>
      <c r="B119" s="75" t="s">
        <v>819</v>
      </c>
      <c r="C119" s="75" t="s">
        <v>819</v>
      </c>
      <c r="D119" s="79" t="s">
        <v>3071</v>
      </c>
      <c r="E119" s="75"/>
      <c r="F119" s="68" t="str">
        <f>D119&amp;"-"&amp;B119</f>
        <v>Bihanga-Buhweju</v>
      </c>
      <c r="G119" s="68" t="str">
        <f t="shared" si="4"/>
        <v>Buhweju</v>
      </c>
      <c r="H119" s="79" t="s">
        <v>3071</v>
      </c>
    </row>
    <row r="120" spans="1:8" ht="25.5">
      <c r="A120" s="74">
        <v>1254</v>
      </c>
      <c r="B120" s="75" t="s">
        <v>2251</v>
      </c>
      <c r="C120" s="76" t="s">
        <v>2258</v>
      </c>
      <c r="D120" s="75" t="s">
        <v>3072</v>
      </c>
      <c r="E120" s="75"/>
      <c r="F120" s="69" t="str">
        <f>VLOOKUP(C120,[2]Municipalities!$C$9:$F$1522,4,FALSE)</f>
        <v>Mbarara Municipality</v>
      </c>
      <c r="G120" s="68" t="str">
        <f t="shared" si="4"/>
        <v>Mbarara</v>
      </c>
      <c r="H120" s="75" t="s">
        <v>3072</v>
      </c>
    </row>
    <row r="121" spans="1:8">
      <c r="A121" s="74">
        <v>1346</v>
      </c>
      <c r="B121" s="75" t="s">
        <v>890</v>
      </c>
      <c r="C121" s="75" t="s">
        <v>890</v>
      </c>
      <c r="D121" s="75" t="s">
        <v>889</v>
      </c>
      <c r="E121" s="75"/>
      <c r="F121" s="68" t="str">
        <f t="shared" ref="F121:F132" si="5">D121</f>
        <v>Biiso</v>
      </c>
      <c r="G121" s="68" t="str">
        <f t="shared" si="4"/>
        <v>Buliisa</v>
      </c>
      <c r="H121" s="75" t="s">
        <v>889</v>
      </c>
    </row>
    <row r="122" spans="1:8">
      <c r="A122" s="74">
        <v>41</v>
      </c>
      <c r="B122" s="75" t="s">
        <v>745</v>
      </c>
      <c r="C122" s="75" t="s">
        <v>748</v>
      </c>
      <c r="D122" s="75" t="s">
        <v>757</v>
      </c>
      <c r="E122" s="75"/>
      <c r="F122" s="68" t="str">
        <f t="shared" si="5"/>
        <v>Bileafe</v>
      </c>
      <c r="G122" s="68" t="str">
        <f t="shared" si="4"/>
        <v>Arua</v>
      </c>
      <c r="H122" s="75" t="s">
        <v>757</v>
      </c>
    </row>
    <row r="123" spans="1:8">
      <c r="A123" s="74">
        <v>1035</v>
      </c>
      <c r="B123" s="75" t="s">
        <v>1999</v>
      </c>
      <c r="C123" s="75" t="s">
        <v>1999</v>
      </c>
      <c r="D123" s="75" t="s">
        <v>2000</v>
      </c>
      <c r="E123" s="75"/>
      <c r="F123" s="68" t="str">
        <f t="shared" si="5"/>
        <v>Binyiny</v>
      </c>
      <c r="G123" s="68" t="str">
        <f t="shared" si="4"/>
        <v>Kween</v>
      </c>
      <c r="H123" s="75" t="s">
        <v>2000</v>
      </c>
    </row>
    <row r="124" spans="1:8">
      <c r="A124" s="74">
        <v>1036</v>
      </c>
      <c r="B124" s="75" t="s">
        <v>1999</v>
      </c>
      <c r="C124" s="75" t="s">
        <v>1999</v>
      </c>
      <c r="D124" s="75" t="s">
        <v>2001</v>
      </c>
      <c r="E124" s="75"/>
      <c r="F124" s="68" t="str">
        <f t="shared" si="5"/>
        <v>Binyiny Town Council</v>
      </c>
      <c r="G124" s="68" t="str">
        <f t="shared" si="4"/>
        <v>Kween</v>
      </c>
      <c r="H124" s="75" t="s">
        <v>2001</v>
      </c>
    </row>
    <row r="125" spans="1:8">
      <c r="A125" s="74">
        <v>1495</v>
      </c>
      <c r="B125" s="75" t="s">
        <v>1212</v>
      </c>
      <c r="C125" s="75" t="s">
        <v>1213</v>
      </c>
      <c r="D125" s="75" t="s">
        <v>1211</v>
      </c>
      <c r="E125" s="75"/>
      <c r="F125" s="68" t="str">
        <f t="shared" si="5"/>
        <v>Birembo</v>
      </c>
      <c r="G125" s="68" t="str">
        <f t="shared" si="4"/>
        <v>Kakumiro</v>
      </c>
      <c r="H125" s="75" t="s">
        <v>1211</v>
      </c>
    </row>
    <row r="126" spans="1:8">
      <c r="A126" s="74">
        <v>1375</v>
      </c>
      <c r="B126" s="75" t="s">
        <v>48</v>
      </c>
      <c r="C126" s="75" t="s">
        <v>48</v>
      </c>
      <c r="D126" s="75" t="s">
        <v>1091</v>
      </c>
      <c r="E126" s="75"/>
      <c r="F126" s="68" t="str">
        <f t="shared" si="5"/>
        <v>Birere</v>
      </c>
      <c r="G126" s="68" t="str">
        <f t="shared" si="4"/>
        <v>Isingiro</v>
      </c>
      <c r="H126" s="75" t="s">
        <v>1091</v>
      </c>
    </row>
    <row r="127" spans="1:8" ht="25.5">
      <c r="A127" s="74">
        <v>1363</v>
      </c>
      <c r="B127" s="75" t="s">
        <v>43</v>
      </c>
      <c r="C127" s="76" t="s">
        <v>1058</v>
      </c>
      <c r="D127" s="75" t="s">
        <v>3073</v>
      </c>
      <c r="E127" s="75"/>
      <c r="F127" s="69" t="str">
        <f>VLOOKUP(C127,[2]Municipalities!$C$9:$F$1522,4,FALSE)</f>
        <v>Ibanda Municipality</v>
      </c>
      <c r="G127" s="68" t="str">
        <f t="shared" si="4"/>
        <v>Ibanda</v>
      </c>
      <c r="H127" s="75" t="s">
        <v>3073</v>
      </c>
    </row>
    <row r="128" spans="1:8">
      <c r="A128" s="74">
        <v>1430</v>
      </c>
      <c r="B128" s="75" t="s">
        <v>46</v>
      </c>
      <c r="C128" s="75" t="s">
        <v>2272</v>
      </c>
      <c r="D128" s="75" t="s">
        <v>2271</v>
      </c>
      <c r="E128" s="75"/>
      <c r="F128" s="68" t="str">
        <f t="shared" si="5"/>
        <v>Bitereko</v>
      </c>
      <c r="G128" s="68" t="str">
        <f t="shared" si="4"/>
        <v>Mitooma</v>
      </c>
      <c r="H128" s="75" t="s">
        <v>2271</v>
      </c>
    </row>
    <row r="129" spans="1:8">
      <c r="A129" s="74">
        <v>1125</v>
      </c>
      <c r="B129" s="75" t="s">
        <v>38</v>
      </c>
      <c r="C129" s="75" t="s">
        <v>932</v>
      </c>
      <c r="D129" s="75" t="s">
        <v>931</v>
      </c>
      <c r="E129" s="75"/>
      <c r="F129" s="68" t="str">
        <f t="shared" si="5"/>
        <v>Bitooma</v>
      </c>
      <c r="G129" s="68" t="str">
        <f t="shared" si="4"/>
        <v>Bushenyi</v>
      </c>
      <c r="H129" s="75" t="s">
        <v>931</v>
      </c>
    </row>
    <row r="130" spans="1:8">
      <c r="A130" s="74">
        <v>1406</v>
      </c>
      <c r="B130" s="75" t="s">
        <v>819</v>
      </c>
      <c r="C130" s="75" t="s">
        <v>819</v>
      </c>
      <c r="D130" s="75" t="s">
        <v>821</v>
      </c>
      <c r="E130" s="75"/>
      <c r="F130" s="68" t="str">
        <f t="shared" si="5"/>
        <v>Bitsya</v>
      </c>
      <c r="G130" s="68" t="str">
        <f t="shared" si="4"/>
        <v>Buhweju</v>
      </c>
      <c r="H130" s="75" t="s">
        <v>821</v>
      </c>
    </row>
    <row r="131" spans="1:8">
      <c r="A131" s="74">
        <v>305</v>
      </c>
      <c r="B131" s="75" t="s">
        <v>687</v>
      </c>
      <c r="C131" s="75" t="s">
        <v>687</v>
      </c>
      <c r="D131" s="75" t="s">
        <v>2554</v>
      </c>
      <c r="E131" s="75"/>
      <c r="F131" s="68" t="str">
        <f t="shared" si="5"/>
        <v>Bobi</v>
      </c>
      <c r="G131" s="68" t="str">
        <f t="shared" si="4"/>
        <v>Omoro</v>
      </c>
      <c r="H131" s="75" t="s">
        <v>2554</v>
      </c>
    </row>
    <row r="132" spans="1:8">
      <c r="A132" s="74">
        <v>434</v>
      </c>
      <c r="B132" s="75" t="s">
        <v>2113</v>
      </c>
      <c r="C132" s="75" t="s">
        <v>2115</v>
      </c>
      <c r="D132" s="75" t="s">
        <v>2114</v>
      </c>
      <c r="E132" s="75"/>
      <c r="F132" s="68" t="str">
        <f t="shared" si="5"/>
        <v>Bombo Town Council</v>
      </c>
      <c r="G132" s="68" t="str">
        <f t="shared" si="4"/>
        <v>Luwero</v>
      </c>
      <c r="H132" s="75" t="s">
        <v>2114</v>
      </c>
    </row>
    <row r="133" spans="1:8">
      <c r="A133" s="74">
        <v>1244</v>
      </c>
      <c r="B133" s="75" t="s">
        <v>2251</v>
      </c>
      <c r="C133" s="75" t="s">
        <v>2252</v>
      </c>
      <c r="D133" s="79" t="s">
        <v>3074</v>
      </c>
      <c r="E133" s="75"/>
      <c r="F133" s="68" t="str">
        <f t="shared" ref="F133:F134" si="6">D133&amp;"-"&amp;B133</f>
        <v>Bubaare-Mbarara</v>
      </c>
      <c r="G133" s="68" t="str">
        <f t="shared" si="4"/>
        <v>Mbarara</v>
      </c>
      <c r="H133" s="79" t="s">
        <v>3074</v>
      </c>
    </row>
    <row r="134" spans="1:8">
      <c r="A134" s="74">
        <v>1506</v>
      </c>
      <c r="B134" s="75" t="s">
        <v>2632</v>
      </c>
      <c r="C134" s="75" t="s">
        <v>2632</v>
      </c>
      <c r="D134" s="79" t="s">
        <v>3074</v>
      </c>
      <c r="E134" s="75"/>
      <c r="F134" s="68" t="str">
        <f t="shared" si="6"/>
        <v>Bubaare-Rubanda</v>
      </c>
      <c r="G134" s="68" t="str">
        <f t="shared" si="4"/>
        <v>Rubanda</v>
      </c>
      <c r="H134" s="79" t="s">
        <v>3074</v>
      </c>
    </row>
    <row r="135" spans="1:8">
      <c r="A135" s="74">
        <v>1112</v>
      </c>
      <c r="B135" s="75" t="s">
        <v>897</v>
      </c>
      <c r="C135" s="75" t="s">
        <v>898</v>
      </c>
      <c r="D135" s="75" t="s">
        <v>896</v>
      </c>
      <c r="E135" s="75"/>
      <c r="F135" s="68" t="str">
        <f t="shared" ref="F135:F162" si="7">D135</f>
        <v>Bubandi</v>
      </c>
      <c r="G135" s="68" t="str">
        <f t="shared" si="4"/>
        <v>Bundibugyo</v>
      </c>
      <c r="H135" s="75" t="s">
        <v>896</v>
      </c>
    </row>
    <row r="136" spans="1:8">
      <c r="A136" s="74">
        <v>1208</v>
      </c>
      <c r="B136" s="75" t="s">
        <v>1871</v>
      </c>
      <c r="C136" s="75" t="s">
        <v>1872</v>
      </c>
      <c r="D136" s="75" t="s">
        <v>1870</v>
      </c>
      <c r="E136" s="75"/>
      <c r="F136" s="68" t="str">
        <f t="shared" si="7"/>
        <v>Bubango</v>
      </c>
      <c r="G136" s="68" t="str">
        <f t="shared" si="4"/>
        <v>Kibaale</v>
      </c>
      <c r="H136" s="75" t="s">
        <v>1870</v>
      </c>
    </row>
    <row r="137" spans="1:8">
      <c r="A137" s="74">
        <v>321</v>
      </c>
      <c r="B137" s="75" t="s">
        <v>1226</v>
      </c>
      <c r="C137" s="75" t="s">
        <v>1227</v>
      </c>
      <c r="D137" s="75" t="s">
        <v>1225</v>
      </c>
      <c r="E137" s="75"/>
      <c r="F137" s="68" t="str">
        <f t="shared" si="7"/>
        <v>Bubeke</v>
      </c>
      <c r="G137" s="68" t="str">
        <f t="shared" si="4"/>
        <v>Kalangala</v>
      </c>
      <c r="H137" s="75" t="s">
        <v>1225</v>
      </c>
    </row>
    <row r="138" spans="1:8">
      <c r="A138" s="74">
        <v>915</v>
      </c>
      <c r="B138" s="75" t="s">
        <v>789</v>
      </c>
      <c r="C138" s="75" t="s">
        <v>790</v>
      </c>
      <c r="D138" s="75" t="s">
        <v>788</v>
      </c>
      <c r="E138" s="75"/>
      <c r="F138" s="68" t="str">
        <f t="shared" si="7"/>
        <v>Bubiita</v>
      </c>
      <c r="G138" s="68" t="str">
        <f t="shared" ref="G138:G201" si="8">B138</f>
        <v>Bududa</v>
      </c>
      <c r="H138" s="75" t="s">
        <v>788</v>
      </c>
    </row>
    <row r="139" spans="1:8">
      <c r="A139" s="74">
        <v>1113</v>
      </c>
      <c r="B139" s="75" t="s">
        <v>897</v>
      </c>
      <c r="C139" s="75" t="s">
        <v>898</v>
      </c>
      <c r="D139" s="75" t="s">
        <v>899</v>
      </c>
      <c r="E139" s="75"/>
      <c r="F139" s="68" t="str">
        <f t="shared" si="7"/>
        <v>Bubukwanga</v>
      </c>
      <c r="G139" s="68" t="str">
        <f t="shared" si="8"/>
        <v>Bundibugyo</v>
      </c>
      <c r="H139" s="75" t="s">
        <v>899</v>
      </c>
    </row>
    <row r="140" spans="1:8">
      <c r="A140" s="74">
        <v>1085</v>
      </c>
      <c r="B140" s="75" t="s">
        <v>2462</v>
      </c>
      <c r="C140" s="75" t="s">
        <v>2462</v>
      </c>
      <c r="D140" s="75" t="s">
        <v>2461</v>
      </c>
      <c r="E140" s="75"/>
      <c r="F140" s="68" t="str">
        <f t="shared" si="7"/>
        <v>Bubutu</v>
      </c>
      <c r="G140" s="68" t="str">
        <f t="shared" si="8"/>
        <v>Namisindwa</v>
      </c>
      <c r="H140" s="75" t="s">
        <v>2461</v>
      </c>
    </row>
    <row r="141" spans="1:8">
      <c r="A141" s="74">
        <v>771</v>
      </c>
      <c r="B141" s="75" t="s">
        <v>2225</v>
      </c>
      <c r="C141" s="75" t="s">
        <v>2226</v>
      </c>
      <c r="D141" s="75" t="s">
        <v>2224</v>
      </c>
      <c r="E141" s="75"/>
      <c r="F141" s="68" t="str">
        <f t="shared" si="7"/>
        <v>Bubyangu</v>
      </c>
      <c r="G141" s="68" t="str">
        <f t="shared" si="8"/>
        <v>Mbale</v>
      </c>
      <c r="H141" s="75" t="s">
        <v>2224</v>
      </c>
    </row>
    <row r="142" spans="1:8">
      <c r="A142" s="74">
        <v>865</v>
      </c>
      <c r="B142" s="75" t="s">
        <v>2706</v>
      </c>
      <c r="C142" s="75" t="s">
        <v>2707</v>
      </c>
      <c r="D142" s="75" t="s">
        <v>2705</v>
      </c>
      <c r="E142" s="75"/>
      <c r="F142" s="68" t="str">
        <f t="shared" si="7"/>
        <v>Budadiri Town Council</v>
      </c>
      <c r="G142" s="68" t="str">
        <f t="shared" si="8"/>
        <v>Sironko</v>
      </c>
      <c r="H142" s="75" t="s">
        <v>2705</v>
      </c>
    </row>
    <row r="143" spans="1:8">
      <c r="A143" s="74">
        <v>902</v>
      </c>
      <c r="B143" s="75" t="s">
        <v>775</v>
      </c>
      <c r="C143" s="75" t="s">
        <v>775</v>
      </c>
      <c r="D143" s="75" t="s">
        <v>775</v>
      </c>
      <c r="E143" s="75"/>
      <c r="F143" s="68" t="str">
        <f t="shared" si="7"/>
        <v>Budaka</v>
      </c>
      <c r="G143" s="68" t="str">
        <f t="shared" si="8"/>
        <v>Budaka</v>
      </c>
      <c r="H143" s="75" t="s">
        <v>775</v>
      </c>
    </row>
    <row r="144" spans="1:8">
      <c r="A144" s="74">
        <v>903</v>
      </c>
      <c r="B144" s="75" t="s">
        <v>775</v>
      </c>
      <c r="C144" s="75" t="s">
        <v>775</v>
      </c>
      <c r="D144" s="75" t="s">
        <v>776</v>
      </c>
      <c r="E144" s="75"/>
      <c r="F144" s="68" t="str">
        <f t="shared" si="7"/>
        <v>Budaka Town Council</v>
      </c>
      <c r="G144" s="68" t="str">
        <f t="shared" si="8"/>
        <v>Budaka</v>
      </c>
      <c r="H144" s="75" t="s">
        <v>776</v>
      </c>
    </row>
    <row r="145" spans="1:8">
      <c r="A145" s="74">
        <v>611</v>
      </c>
      <c r="B145" s="75" t="s">
        <v>978</v>
      </c>
      <c r="C145" s="75" t="s">
        <v>978</v>
      </c>
      <c r="D145" s="75" t="s">
        <v>977</v>
      </c>
      <c r="E145" s="75"/>
      <c r="F145" s="68" t="str">
        <f t="shared" si="7"/>
        <v>Budde</v>
      </c>
      <c r="G145" s="68" t="str">
        <f t="shared" si="8"/>
        <v>Butambala</v>
      </c>
      <c r="H145" s="75" t="s">
        <v>977</v>
      </c>
    </row>
    <row r="146" spans="1:8">
      <c r="A146" s="74">
        <v>671</v>
      </c>
      <c r="B146" s="75" t="s">
        <v>806</v>
      </c>
      <c r="C146" s="75" t="s">
        <v>807</v>
      </c>
      <c r="D146" s="75" t="s">
        <v>805</v>
      </c>
      <c r="E146" s="75"/>
      <c r="F146" s="68" t="str">
        <f t="shared" si="7"/>
        <v>Budhaya</v>
      </c>
      <c r="G146" s="68" t="str">
        <f t="shared" si="8"/>
        <v>Bugiri</v>
      </c>
      <c r="H146" s="75" t="s">
        <v>805</v>
      </c>
    </row>
    <row r="147" spans="1:8">
      <c r="A147" s="74">
        <v>961</v>
      </c>
      <c r="B147" s="75" t="s">
        <v>1234</v>
      </c>
      <c r="C147" s="75" t="s">
        <v>1073</v>
      </c>
      <c r="D147" s="75" t="s">
        <v>1233</v>
      </c>
      <c r="E147" s="75"/>
      <c r="F147" s="68" t="str">
        <f t="shared" si="7"/>
        <v>Budomero</v>
      </c>
      <c r="G147" s="68" t="str">
        <f t="shared" si="8"/>
        <v>Kaliro</v>
      </c>
      <c r="H147" s="75" t="s">
        <v>1233</v>
      </c>
    </row>
    <row r="148" spans="1:8">
      <c r="A148" s="74">
        <v>720</v>
      </c>
      <c r="B148" s="75" t="s">
        <v>1114</v>
      </c>
      <c r="C148" s="75" t="s">
        <v>1115</v>
      </c>
      <c r="D148" s="75" t="s">
        <v>1113</v>
      </c>
      <c r="E148" s="75"/>
      <c r="F148" s="68" t="str">
        <f t="shared" si="7"/>
        <v>Budondo</v>
      </c>
      <c r="G148" s="68" t="str">
        <f t="shared" si="8"/>
        <v>Jinja</v>
      </c>
      <c r="H148" s="75" t="s">
        <v>1113</v>
      </c>
    </row>
    <row r="149" spans="1:8">
      <c r="A149" s="74">
        <v>1235</v>
      </c>
      <c r="B149" s="75" t="s">
        <v>2200</v>
      </c>
      <c r="C149" s="75" t="s">
        <v>2201</v>
      </c>
      <c r="D149" s="75" t="s">
        <v>2199</v>
      </c>
      <c r="E149" s="75"/>
      <c r="F149" s="68" t="str">
        <f t="shared" si="7"/>
        <v>Budongo</v>
      </c>
      <c r="G149" s="68" t="str">
        <f t="shared" si="8"/>
        <v>Masindi</v>
      </c>
      <c r="H149" s="75" t="s">
        <v>2199</v>
      </c>
    </row>
    <row r="150" spans="1:8">
      <c r="A150" s="74">
        <v>917</v>
      </c>
      <c r="B150" s="75" t="s">
        <v>789</v>
      </c>
      <c r="C150" s="75" t="s">
        <v>790</v>
      </c>
      <c r="D150" s="75" t="s">
        <v>789</v>
      </c>
      <c r="E150" s="75"/>
      <c r="F150" s="68" t="str">
        <f t="shared" si="7"/>
        <v>Bududa</v>
      </c>
      <c r="G150" s="68" t="str">
        <f t="shared" si="8"/>
        <v>Bududa</v>
      </c>
      <c r="H150" s="75" t="s">
        <v>789</v>
      </c>
    </row>
    <row r="151" spans="1:8">
      <c r="A151" s="74">
        <v>916</v>
      </c>
      <c r="B151" s="75" t="s">
        <v>789</v>
      </c>
      <c r="C151" s="75" t="s">
        <v>790</v>
      </c>
      <c r="D151" s="75" t="s">
        <v>791</v>
      </c>
      <c r="E151" s="75"/>
      <c r="F151" s="68" t="str">
        <f t="shared" si="7"/>
        <v>Bududa Town Council</v>
      </c>
      <c r="G151" s="68" t="str">
        <f t="shared" si="8"/>
        <v>Bududa</v>
      </c>
      <c r="H151" s="75" t="s">
        <v>791</v>
      </c>
    </row>
    <row r="152" spans="1:8">
      <c r="A152" s="74">
        <v>949</v>
      </c>
      <c r="B152" s="75" t="s">
        <v>965</v>
      </c>
      <c r="C152" s="75" t="s">
        <v>966</v>
      </c>
      <c r="D152" s="75" t="s">
        <v>964</v>
      </c>
      <c r="E152" s="75"/>
      <c r="F152" s="68" t="str">
        <f t="shared" si="7"/>
        <v>Budumba</v>
      </c>
      <c r="G152" s="68" t="str">
        <f t="shared" si="8"/>
        <v>Butaleja</v>
      </c>
      <c r="H152" s="75" t="s">
        <v>964</v>
      </c>
    </row>
    <row r="153" spans="1:8">
      <c r="A153" s="74">
        <v>772</v>
      </c>
      <c r="B153" s="75" t="s">
        <v>2225</v>
      </c>
      <c r="C153" s="75" t="s">
        <v>2226</v>
      </c>
      <c r="D153" s="75" t="s">
        <v>2227</v>
      </c>
      <c r="E153" s="75"/>
      <c r="F153" s="68" t="str">
        <f t="shared" si="7"/>
        <v>Budwale</v>
      </c>
      <c r="G153" s="68" t="str">
        <f t="shared" si="8"/>
        <v>Mbale</v>
      </c>
      <c r="H153" s="75" t="s">
        <v>2227</v>
      </c>
    </row>
    <row r="154" spans="1:8">
      <c r="A154" s="74">
        <v>773</v>
      </c>
      <c r="B154" s="75" t="s">
        <v>2225</v>
      </c>
      <c r="C154" s="75" t="s">
        <v>2226</v>
      </c>
      <c r="D154" s="75" t="s">
        <v>2228</v>
      </c>
      <c r="E154" s="75"/>
      <c r="F154" s="68" t="str">
        <f t="shared" si="7"/>
        <v>Bufumbo</v>
      </c>
      <c r="G154" s="68" t="str">
        <f t="shared" si="8"/>
        <v>Mbale</v>
      </c>
      <c r="H154" s="75" t="s">
        <v>2228</v>
      </c>
    </row>
    <row r="155" spans="1:8">
      <c r="A155" s="74">
        <v>322</v>
      </c>
      <c r="B155" s="75" t="s">
        <v>1226</v>
      </c>
      <c r="C155" s="75" t="s">
        <v>1227</v>
      </c>
      <c r="D155" s="75" t="s">
        <v>1228</v>
      </c>
      <c r="E155" s="75"/>
      <c r="F155" s="68" t="str">
        <f t="shared" si="7"/>
        <v>Bufumira</v>
      </c>
      <c r="G155" s="68" t="str">
        <f t="shared" si="8"/>
        <v>Kalangala</v>
      </c>
      <c r="H155" s="75" t="s">
        <v>1228</v>
      </c>
    </row>
    <row r="156" spans="1:8" ht="25.5">
      <c r="A156" s="74">
        <v>1364</v>
      </c>
      <c r="B156" s="75" t="s">
        <v>43</v>
      </c>
      <c r="C156" s="76" t="s">
        <v>1058</v>
      </c>
      <c r="D156" s="75" t="s">
        <v>3075</v>
      </c>
      <c r="E156" s="75"/>
      <c r="F156" s="69" t="str">
        <f>VLOOKUP(C156,[2]Municipalities!$C$9:$F$1522,4,FALSE)</f>
        <v>Ibanda Municipality</v>
      </c>
      <c r="G156" s="68" t="str">
        <f t="shared" si="8"/>
        <v>Ibanda</v>
      </c>
      <c r="H156" s="75" t="s">
        <v>3075</v>
      </c>
    </row>
    <row r="157" spans="1:8">
      <c r="A157" s="74">
        <v>1507</v>
      </c>
      <c r="B157" s="75" t="s">
        <v>2632</v>
      </c>
      <c r="C157" s="75" t="s">
        <v>2632</v>
      </c>
      <c r="D157" s="75" t="s">
        <v>2633</v>
      </c>
      <c r="E157" s="75"/>
      <c r="F157" s="68" t="str">
        <f t="shared" si="7"/>
        <v>Bufundi</v>
      </c>
      <c r="G157" s="68" t="str">
        <f t="shared" si="8"/>
        <v>Rubanda</v>
      </c>
      <c r="H157" s="75" t="s">
        <v>2633</v>
      </c>
    </row>
    <row r="158" spans="1:8">
      <c r="A158" s="74">
        <v>1330</v>
      </c>
      <c r="B158" s="75" t="s">
        <v>2056</v>
      </c>
      <c r="C158" s="75" t="s">
        <v>2057</v>
      </c>
      <c r="D158" s="75" t="s">
        <v>2055</v>
      </c>
      <c r="E158" s="75"/>
      <c r="F158" s="68" t="str">
        <f t="shared" si="7"/>
        <v>Bufunjo</v>
      </c>
      <c r="G158" s="68" t="str">
        <f t="shared" si="8"/>
        <v>Kyenjojo</v>
      </c>
      <c r="H158" s="75" t="s">
        <v>2055</v>
      </c>
    </row>
    <row r="159" spans="1:8">
      <c r="A159" s="74">
        <v>1331</v>
      </c>
      <c r="B159" s="75" t="s">
        <v>2056</v>
      </c>
      <c r="C159" s="75" t="s">
        <v>2057</v>
      </c>
      <c r="D159" s="75" t="s">
        <v>2058</v>
      </c>
      <c r="E159" s="75"/>
      <c r="F159" s="68" t="str">
        <f t="shared" si="7"/>
        <v>Bugaaki</v>
      </c>
      <c r="G159" s="68" t="str">
        <f t="shared" si="8"/>
        <v>Kyenjojo</v>
      </c>
      <c r="H159" s="75" t="s">
        <v>2058</v>
      </c>
    </row>
    <row r="160" spans="1:8">
      <c r="A160" s="74">
        <v>1257</v>
      </c>
      <c r="B160" s="75" t="s">
        <v>2251</v>
      </c>
      <c r="C160" s="75" t="s">
        <v>2254</v>
      </c>
      <c r="D160" s="75" t="s">
        <v>2253</v>
      </c>
      <c r="E160" s="75"/>
      <c r="F160" s="68" t="str">
        <f t="shared" si="7"/>
        <v>Bugamba</v>
      </c>
      <c r="G160" s="68" t="str">
        <f t="shared" si="8"/>
        <v>Mbarara</v>
      </c>
      <c r="H160" s="75" t="s">
        <v>2253</v>
      </c>
    </row>
    <row r="161" spans="1:8">
      <c r="A161" s="74">
        <v>1140</v>
      </c>
      <c r="B161" s="75" t="s">
        <v>1040</v>
      </c>
      <c r="C161" s="75" t="s">
        <v>1041</v>
      </c>
      <c r="D161" s="75" t="s">
        <v>1039</v>
      </c>
      <c r="E161" s="75"/>
      <c r="F161" s="68" t="str">
        <f t="shared" si="7"/>
        <v>Bugambe</v>
      </c>
      <c r="G161" s="68" t="str">
        <f t="shared" si="8"/>
        <v>Hoima</v>
      </c>
      <c r="H161" s="75" t="s">
        <v>1039</v>
      </c>
    </row>
    <row r="162" spans="1:8">
      <c r="A162" s="74">
        <v>1289</v>
      </c>
      <c r="B162" s="75" t="s">
        <v>40</v>
      </c>
      <c r="C162" s="75" t="s">
        <v>2663</v>
      </c>
      <c r="D162" s="75" t="s">
        <v>2662</v>
      </c>
      <c r="E162" s="75"/>
      <c r="F162" s="68" t="str">
        <f t="shared" si="7"/>
        <v>Bugangari</v>
      </c>
      <c r="G162" s="68" t="str">
        <f t="shared" si="8"/>
        <v>Rukungiri</v>
      </c>
      <c r="H162" s="75" t="s">
        <v>2662</v>
      </c>
    </row>
    <row r="163" spans="1:8">
      <c r="A163" s="74">
        <v>617</v>
      </c>
      <c r="B163" s="75" t="s">
        <v>995</v>
      </c>
      <c r="C163" s="75" t="s">
        <v>996</v>
      </c>
      <c r="D163" s="79" t="s">
        <v>3076</v>
      </c>
      <c r="E163" s="75"/>
      <c r="F163" s="68" t="str">
        <f t="shared" ref="F163:F164" si="9">D163&amp;"-"&amp;B163</f>
        <v>Bugaya-Buvuma</v>
      </c>
      <c r="G163" s="68" t="str">
        <f t="shared" si="8"/>
        <v>Buvuma</v>
      </c>
      <c r="H163" s="79" t="s">
        <v>3076</v>
      </c>
    </row>
    <row r="164" spans="1:8">
      <c r="A164" s="74">
        <v>1018</v>
      </c>
      <c r="B164" s="75" t="s">
        <v>1007</v>
      </c>
      <c r="C164" s="75" t="s">
        <v>1008</v>
      </c>
      <c r="D164" s="79" t="s">
        <v>3076</v>
      </c>
      <c r="E164" s="75"/>
      <c r="F164" s="68" t="str">
        <f t="shared" si="9"/>
        <v>Bugaya-Buyende</v>
      </c>
      <c r="G164" s="68" t="str">
        <f t="shared" si="8"/>
        <v>Buyende</v>
      </c>
      <c r="H164" s="79" t="s">
        <v>3076</v>
      </c>
    </row>
    <row r="165" spans="1:8">
      <c r="A165" s="74">
        <v>713</v>
      </c>
      <c r="B165" s="75" t="s">
        <v>1114</v>
      </c>
      <c r="C165" s="75" t="s">
        <v>1117</v>
      </c>
      <c r="D165" s="75" t="s">
        <v>1116</v>
      </c>
      <c r="E165" s="75"/>
      <c r="F165" s="68" t="str">
        <f t="shared" ref="F165:F228" si="10">D165</f>
        <v>Bugembe Town Council</v>
      </c>
      <c r="G165" s="68" t="str">
        <f t="shared" si="8"/>
        <v>Jinja</v>
      </c>
      <c r="H165" s="75" t="s">
        <v>1116</v>
      </c>
    </row>
    <row r="166" spans="1:8">
      <c r="A166" s="74">
        <v>999</v>
      </c>
      <c r="B166" s="75" t="s">
        <v>870</v>
      </c>
      <c r="C166" s="75" t="s">
        <v>870</v>
      </c>
      <c r="D166" s="75" t="s">
        <v>869</v>
      </c>
      <c r="E166" s="75"/>
      <c r="F166" s="68" t="str">
        <f t="shared" si="10"/>
        <v>Buginyanya</v>
      </c>
      <c r="G166" s="68" t="str">
        <f t="shared" si="8"/>
        <v>Bulambuli</v>
      </c>
      <c r="H166" s="75" t="s">
        <v>869</v>
      </c>
    </row>
    <row r="167" spans="1:8">
      <c r="A167" s="74">
        <v>866</v>
      </c>
      <c r="B167" s="75" t="s">
        <v>2706</v>
      </c>
      <c r="C167" s="75" t="s">
        <v>2707</v>
      </c>
      <c r="D167" s="75" t="s">
        <v>2708</v>
      </c>
      <c r="E167" s="75"/>
      <c r="F167" s="68" t="str">
        <f t="shared" si="10"/>
        <v>Bugitimwa</v>
      </c>
      <c r="G167" s="68" t="str">
        <f t="shared" si="8"/>
        <v>Sironko</v>
      </c>
      <c r="H167" s="75" t="s">
        <v>2708</v>
      </c>
    </row>
    <row r="168" spans="1:8">
      <c r="A168" s="74">
        <v>973</v>
      </c>
      <c r="B168" s="75" t="s">
        <v>2158</v>
      </c>
      <c r="C168" s="75" t="s">
        <v>2159</v>
      </c>
      <c r="D168" s="75" t="s">
        <v>2157</v>
      </c>
      <c r="E168" s="75"/>
      <c r="F168" s="68" t="str">
        <f t="shared" si="10"/>
        <v>Bugobero</v>
      </c>
      <c r="G168" s="68" t="str">
        <f t="shared" si="8"/>
        <v>Manafwa</v>
      </c>
      <c r="H168" s="75" t="s">
        <v>2157</v>
      </c>
    </row>
    <row r="169" spans="1:8">
      <c r="A169" s="74">
        <v>1068</v>
      </c>
      <c r="B169" s="75" t="s">
        <v>2675</v>
      </c>
      <c r="C169" s="75" t="s">
        <v>2677</v>
      </c>
      <c r="D169" s="75" t="s">
        <v>2676</v>
      </c>
      <c r="E169" s="75"/>
      <c r="F169" s="68" t="str">
        <f t="shared" si="10"/>
        <v>Bugondo</v>
      </c>
      <c r="G169" s="68" t="str">
        <f t="shared" si="8"/>
        <v>Serere</v>
      </c>
      <c r="H169" s="75" t="s">
        <v>2676</v>
      </c>
    </row>
    <row r="170" spans="1:8">
      <c r="A170" s="74">
        <v>1463</v>
      </c>
      <c r="B170" s="75" t="s">
        <v>41</v>
      </c>
      <c r="C170" s="75" t="s">
        <v>41</v>
      </c>
      <c r="D170" s="75" t="s">
        <v>2686</v>
      </c>
      <c r="E170" s="75"/>
      <c r="F170" s="68" t="str">
        <f t="shared" si="10"/>
        <v>Bugongi Town Council</v>
      </c>
      <c r="G170" s="68" t="str">
        <f t="shared" si="8"/>
        <v>Sheema</v>
      </c>
      <c r="H170" s="75" t="s">
        <v>2686</v>
      </c>
    </row>
    <row r="171" spans="1:8">
      <c r="A171" s="74">
        <v>1192</v>
      </c>
      <c r="B171" s="75" t="s">
        <v>36</v>
      </c>
      <c r="C171" s="75" t="s">
        <v>1812</v>
      </c>
      <c r="D171" s="75" t="s">
        <v>1811</v>
      </c>
      <c r="E171" s="75"/>
      <c r="F171" s="68" t="str">
        <f t="shared" si="10"/>
        <v>Bugoye</v>
      </c>
      <c r="G171" s="68" t="str">
        <f t="shared" si="8"/>
        <v>Kasese</v>
      </c>
      <c r="H171" s="75" t="s">
        <v>1811</v>
      </c>
    </row>
    <row r="172" spans="1:8">
      <c r="A172" s="74">
        <v>732</v>
      </c>
      <c r="B172" s="75" t="s">
        <v>1744</v>
      </c>
      <c r="C172" s="75" t="s">
        <v>1747</v>
      </c>
      <c r="D172" s="75" t="s">
        <v>1746</v>
      </c>
      <c r="E172" s="75"/>
      <c r="F172" s="68" t="str">
        <f t="shared" si="10"/>
        <v>Bugulumbya</v>
      </c>
      <c r="G172" s="68" t="str">
        <f t="shared" si="8"/>
        <v>Kamuli</v>
      </c>
      <c r="H172" s="75" t="s">
        <v>1746</v>
      </c>
    </row>
    <row r="173" spans="1:8">
      <c r="A173" s="74">
        <v>1307</v>
      </c>
      <c r="B173" s="75" t="s">
        <v>45</v>
      </c>
      <c r="C173" s="75" t="s">
        <v>1762</v>
      </c>
      <c r="D173" s="75" t="s">
        <v>1761</v>
      </c>
      <c r="E173" s="75"/>
      <c r="F173" s="68" t="str">
        <f t="shared" si="10"/>
        <v>Buhanda</v>
      </c>
      <c r="G173" s="68" t="str">
        <f t="shared" si="8"/>
        <v>Kamwenge</v>
      </c>
      <c r="H173" s="75" t="s">
        <v>1761</v>
      </c>
    </row>
    <row r="174" spans="1:8">
      <c r="A174" s="74">
        <v>1135</v>
      </c>
      <c r="B174" s="75" t="s">
        <v>1040</v>
      </c>
      <c r="C174" s="75" t="s">
        <v>1044</v>
      </c>
      <c r="D174" s="75" t="s">
        <v>1043</v>
      </c>
      <c r="E174" s="75"/>
      <c r="F174" s="68" t="str">
        <f t="shared" si="10"/>
        <v>Buhanika</v>
      </c>
      <c r="G174" s="68" t="str">
        <f t="shared" si="8"/>
        <v>Hoima</v>
      </c>
      <c r="H174" s="75" t="s">
        <v>1043</v>
      </c>
    </row>
    <row r="175" spans="1:8">
      <c r="A175" s="74">
        <v>1152</v>
      </c>
      <c r="B175" s="75" t="s">
        <v>1148</v>
      </c>
      <c r="C175" s="75" t="s">
        <v>1149</v>
      </c>
      <c r="D175" s="75" t="s">
        <v>1147</v>
      </c>
      <c r="E175" s="75"/>
      <c r="F175" s="68" t="str">
        <f t="shared" si="10"/>
        <v>Buhara</v>
      </c>
      <c r="G175" s="68" t="str">
        <f t="shared" si="8"/>
        <v>Kabale</v>
      </c>
      <c r="H175" s="75" t="s">
        <v>1147</v>
      </c>
    </row>
    <row r="176" spans="1:8">
      <c r="A176" s="74">
        <v>1515</v>
      </c>
      <c r="B176" s="75" t="s">
        <v>920</v>
      </c>
      <c r="C176" s="75" t="s">
        <v>920</v>
      </c>
      <c r="D176" s="75" t="s">
        <v>919</v>
      </c>
      <c r="E176" s="75"/>
      <c r="F176" s="68" t="str">
        <f t="shared" si="10"/>
        <v>Buheesi</v>
      </c>
      <c r="G176" s="68" t="str">
        <f t="shared" si="8"/>
        <v>Bunyangabu</v>
      </c>
      <c r="H176" s="75" t="s">
        <v>919</v>
      </c>
    </row>
    <row r="177" spans="1:8">
      <c r="A177" s="74">
        <v>1524</v>
      </c>
      <c r="B177" s="75" t="s">
        <v>920</v>
      </c>
      <c r="C177" s="75" t="s">
        <v>920</v>
      </c>
      <c r="D177" s="75" t="s">
        <v>921</v>
      </c>
      <c r="E177" s="75"/>
      <c r="F177" s="68" t="str">
        <f t="shared" si="10"/>
        <v>Buheesi Town Council</v>
      </c>
      <c r="G177" s="68" t="str">
        <f t="shared" si="8"/>
        <v>Bunyangabu</v>
      </c>
      <c r="H177" s="75" t="s">
        <v>921</v>
      </c>
    </row>
    <row r="178" spans="1:8">
      <c r="A178" s="74">
        <v>683</v>
      </c>
      <c r="B178" s="75" t="s">
        <v>947</v>
      </c>
      <c r="C178" s="75" t="s">
        <v>948</v>
      </c>
      <c r="D178" s="75" t="s">
        <v>946</v>
      </c>
      <c r="E178" s="75"/>
      <c r="F178" s="68" t="str">
        <f t="shared" si="10"/>
        <v>Buhehe</v>
      </c>
      <c r="G178" s="68" t="str">
        <f t="shared" si="8"/>
        <v>Busia</v>
      </c>
      <c r="H178" s="75" t="s">
        <v>946</v>
      </c>
    </row>
    <row r="179" spans="1:8">
      <c r="A179" s="74">
        <v>1056</v>
      </c>
      <c r="B179" s="75" t="s">
        <v>2450</v>
      </c>
      <c r="C179" s="75" t="s">
        <v>2451</v>
      </c>
      <c r="D179" s="75" t="s">
        <v>2453</v>
      </c>
      <c r="E179" s="75"/>
      <c r="F179" s="68" t="str">
        <f t="shared" si="10"/>
        <v>Buhemba</v>
      </c>
      <c r="G179" s="68" t="str">
        <f t="shared" si="8"/>
        <v>Namayingo</v>
      </c>
      <c r="H179" s="75" t="s">
        <v>2453</v>
      </c>
    </row>
    <row r="180" spans="1:8">
      <c r="A180" s="74">
        <v>1141</v>
      </c>
      <c r="B180" s="75" t="s">
        <v>1040</v>
      </c>
      <c r="C180" s="75" t="s">
        <v>1041</v>
      </c>
      <c r="D180" s="75" t="s">
        <v>1045</v>
      </c>
      <c r="E180" s="75"/>
      <c r="F180" s="68" t="str">
        <f t="shared" si="10"/>
        <v>Buhimba</v>
      </c>
      <c r="G180" s="68" t="str">
        <f t="shared" si="8"/>
        <v>Hoima</v>
      </c>
      <c r="H180" s="75" t="s">
        <v>1045</v>
      </c>
    </row>
    <row r="181" spans="1:8">
      <c r="A181" s="74">
        <v>867</v>
      </c>
      <c r="B181" s="75" t="s">
        <v>2706</v>
      </c>
      <c r="C181" s="75" t="s">
        <v>2707</v>
      </c>
      <c r="D181" s="75" t="s">
        <v>2709</v>
      </c>
      <c r="E181" s="75"/>
      <c r="F181" s="68" t="str">
        <f t="shared" si="10"/>
        <v>Buhugu</v>
      </c>
      <c r="G181" s="68" t="str">
        <f t="shared" si="8"/>
        <v>Sironko</v>
      </c>
      <c r="H181" s="75" t="s">
        <v>2709</v>
      </c>
    </row>
    <row r="182" spans="1:8">
      <c r="A182" s="74">
        <v>1193</v>
      </c>
      <c r="B182" s="75" t="s">
        <v>36</v>
      </c>
      <c r="C182" s="75" t="s">
        <v>1812</v>
      </c>
      <c r="D182" s="75" t="s">
        <v>1813</v>
      </c>
      <c r="E182" s="75"/>
      <c r="F182" s="68" t="str">
        <f t="shared" si="10"/>
        <v>Buhuhira</v>
      </c>
      <c r="G182" s="68" t="str">
        <f t="shared" si="8"/>
        <v>Kasese</v>
      </c>
      <c r="H182" s="75" t="s">
        <v>1813</v>
      </c>
    </row>
    <row r="183" spans="1:8">
      <c r="A183" s="74">
        <v>1290</v>
      </c>
      <c r="B183" s="75" t="s">
        <v>40</v>
      </c>
      <c r="C183" s="75" t="s">
        <v>2663</v>
      </c>
      <c r="D183" s="75" t="s">
        <v>2664</v>
      </c>
      <c r="E183" s="75"/>
      <c r="F183" s="68" t="str">
        <f t="shared" si="10"/>
        <v>Buhunga</v>
      </c>
      <c r="G183" s="68" t="str">
        <f t="shared" si="8"/>
        <v>Rukungiri</v>
      </c>
      <c r="H183" s="75" t="s">
        <v>2664</v>
      </c>
    </row>
    <row r="184" spans="1:8">
      <c r="A184" s="74">
        <v>594</v>
      </c>
      <c r="B184" s="75" t="s">
        <v>828</v>
      </c>
      <c r="C184" s="75" t="s">
        <v>828</v>
      </c>
      <c r="D184" s="75" t="s">
        <v>828</v>
      </c>
      <c r="E184" s="75"/>
      <c r="F184" s="68" t="str">
        <f t="shared" si="10"/>
        <v>Buikwe</v>
      </c>
      <c r="G184" s="68" t="str">
        <f t="shared" si="8"/>
        <v>Buikwe</v>
      </c>
      <c r="H184" s="75" t="s">
        <v>828</v>
      </c>
    </row>
    <row r="185" spans="1:8">
      <c r="A185" s="74">
        <v>595</v>
      </c>
      <c r="B185" s="75" t="s">
        <v>828</v>
      </c>
      <c r="C185" s="75" t="s">
        <v>828</v>
      </c>
      <c r="D185" s="75" t="s">
        <v>831</v>
      </c>
      <c r="E185" s="75"/>
      <c r="F185" s="68" t="str">
        <f t="shared" si="10"/>
        <v>Buikwe Town Council</v>
      </c>
      <c r="G185" s="68" t="str">
        <f t="shared" si="8"/>
        <v>Buikwe</v>
      </c>
      <c r="H185" s="75" t="s">
        <v>831</v>
      </c>
    </row>
    <row r="186" spans="1:8">
      <c r="A186" s="74">
        <v>318</v>
      </c>
      <c r="B186" s="75" t="s">
        <v>1226</v>
      </c>
      <c r="C186" s="75" t="s">
        <v>1229</v>
      </c>
      <c r="D186" s="75" t="s">
        <v>1229</v>
      </c>
      <c r="E186" s="75"/>
      <c r="F186" s="68" t="str">
        <f t="shared" si="10"/>
        <v>Bujumba</v>
      </c>
      <c r="G186" s="68" t="str">
        <f t="shared" si="8"/>
        <v>Kalangala</v>
      </c>
      <c r="H186" s="75" t="s">
        <v>1229</v>
      </c>
    </row>
    <row r="187" spans="1:8" ht="16.5" customHeight="1">
      <c r="A187" s="74">
        <v>1145</v>
      </c>
      <c r="B187" s="77" t="s">
        <v>1040</v>
      </c>
      <c r="C187" s="78" t="s">
        <v>1046</v>
      </c>
      <c r="D187" s="77" t="s">
        <v>3077</v>
      </c>
      <c r="E187" s="77"/>
      <c r="F187" s="69" t="str">
        <f>VLOOKUP(C187,[2]Municipalities!$C$9:$F$1522,4,FALSE)</f>
        <v>Hoima Municipality</v>
      </c>
      <c r="G187" s="68" t="str">
        <f t="shared" si="8"/>
        <v>Hoima</v>
      </c>
      <c r="H187" s="77" t="s">
        <v>3077</v>
      </c>
    </row>
    <row r="188" spans="1:8">
      <c r="A188" s="74">
        <v>852</v>
      </c>
      <c r="B188" s="75" t="s">
        <v>2209</v>
      </c>
      <c r="C188" s="75" t="s">
        <v>2210</v>
      </c>
      <c r="D188" s="75" t="s">
        <v>2211</v>
      </c>
      <c r="E188" s="75"/>
      <c r="F188" s="68" t="str">
        <f t="shared" si="10"/>
        <v>Bukabooli</v>
      </c>
      <c r="G188" s="68" t="str">
        <f t="shared" si="8"/>
        <v>Mayuge</v>
      </c>
      <c r="H188" s="75" t="s">
        <v>2211</v>
      </c>
    </row>
    <row r="189" spans="1:8">
      <c r="A189" s="74">
        <v>442</v>
      </c>
      <c r="B189" s="75" t="s">
        <v>39</v>
      </c>
      <c r="C189" s="75" t="s">
        <v>23</v>
      </c>
      <c r="D189" s="75" t="s">
        <v>2185</v>
      </c>
      <c r="E189" s="75"/>
      <c r="F189" s="68" t="str">
        <f t="shared" si="10"/>
        <v>Bukakata</v>
      </c>
      <c r="G189" s="68" t="str">
        <f t="shared" si="8"/>
        <v>Masaka</v>
      </c>
      <c r="H189" s="75" t="s">
        <v>2185</v>
      </c>
    </row>
    <row r="190" spans="1:8">
      <c r="A190" s="74">
        <v>918</v>
      </c>
      <c r="B190" s="75" t="s">
        <v>789</v>
      </c>
      <c r="C190" s="75" t="s">
        <v>790</v>
      </c>
      <c r="D190" s="75" t="s">
        <v>792</v>
      </c>
      <c r="E190" s="75"/>
      <c r="F190" s="68" t="str">
        <f t="shared" si="10"/>
        <v>Bukalasi</v>
      </c>
      <c r="G190" s="68" t="str">
        <f t="shared" si="8"/>
        <v>Bududa</v>
      </c>
      <c r="H190" s="75" t="s">
        <v>792</v>
      </c>
    </row>
    <row r="191" spans="1:8">
      <c r="A191" s="74">
        <v>962</v>
      </c>
      <c r="B191" s="75" t="s">
        <v>1234</v>
      </c>
      <c r="C191" s="75" t="s">
        <v>1073</v>
      </c>
      <c r="D191" s="75" t="s">
        <v>1235</v>
      </c>
      <c r="E191" s="75"/>
      <c r="F191" s="68" t="str">
        <f t="shared" si="10"/>
        <v>Bukamba</v>
      </c>
      <c r="G191" s="68" t="str">
        <f t="shared" si="8"/>
        <v>Kaliro</v>
      </c>
      <c r="H191" s="75" t="s">
        <v>1235</v>
      </c>
    </row>
    <row r="192" spans="1:8">
      <c r="A192" s="74">
        <v>1055</v>
      </c>
      <c r="B192" s="75" t="s">
        <v>2450</v>
      </c>
      <c r="C192" s="75" t="s">
        <v>2451</v>
      </c>
      <c r="D192" s="75" t="s">
        <v>2454</v>
      </c>
      <c r="E192" s="75"/>
      <c r="F192" s="68" t="str">
        <f t="shared" si="10"/>
        <v>Bukana</v>
      </c>
      <c r="G192" s="68" t="str">
        <f t="shared" si="8"/>
        <v>Namayingo</v>
      </c>
      <c r="H192" s="75" t="s">
        <v>2454</v>
      </c>
    </row>
    <row r="193" spans="1:8">
      <c r="A193" s="74">
        <v>1046</v>
      </c>
      <c r="B193" s="75" t="s">
        <v>2104</v>
      </c>
      <c r="C193" s="75" t="s">
        <v>2104</v>
      </c>
      <c r="D193" s="75" t="s">
        <v>1093</v>
      </c>
      <c r="E193" s="75"/>
      <c r="F193" s="68" t="str">
        <f t="shared" si="10"/>
        <v>Bukanga</v>
      </c>
      <c r="G193" s="68" t="str">
        <f t="shared" si="8"/>
        <v>Luuka</v>
      </c>
      <c r="H193" s="75" t="s">
        <v>1093</v>
      </c>
    </row>
    <row r="194" spans="1:8">
      <c r="A194" s="74">
        <v>774</v>
      </c>
      <c r="B194" s="75" t="s">
        <v>2225</v>
      </c>
      <c r="C194" s="75" t="s">
        <v>2226</v>
      </c>
      <c r="D194" s="75" t="s">
        <v>2229</v>
      </c>
      <c r="E194" s="75"/>
      <c r="F194" s="68" t="str">
        <f t="shared" si="10"/>
        <v>Bukasakya</v>
      </c>
      <c r="G194" s="68" t="str">
        <f t="shared" si="8"/>
        <v>Mbale</v>
      </c>
      <c r="H194" s="75" t="s">
        <v>2229</v>
      </c>
    </row>
    <row r="195" spans="1:8">
      <c r="A195" s="74">
        <v>853</v>
      </c>
      <c r="B195" s="75" t="s">
        <v>2209</v>
      </c>
      <c r="C195" s="75" t="s">
        <v>2210</v>
      </c>
      <c r="D195" s="75" t="s">
        <v>2212</v>
      </c>
      <c r="E195" s="75"/>
      <c r="F195" s="68" t="str">
        <f t="shared" si="10"/>
        <v>Bukatube</v>
      </c>
      <c r="G195" s="68" t="str">
        <f t="shared" si="8"/>
        <v>Mayuge</v>
      </c>
      <c r="H195" s="75" t="s">
        <v>2212</v>
      </c>
    </row>
    <row r="196" spans="1:8">
      <c r="A196" s="74">
        <v>931</v>
      </c>
      <c r="B196" s="75" t="s">
        <v>844</v>
      </c>
      <c r="C196" s="75" t="s">
        <v>844</v>
      </c>
      <c r="D196" s="75" t="s">
        <v>844</v>
      </c>
      <c r="E196" s="75"/>
      <c r="F196" s="68" t="str">
        <f t="shared" si="10"/>
        <v>Bukedea</v>
      </c>
      <c r="G196" s="68" t="str">
        <f t="shared" si="8"/>
        <v>Bukedea</v>
      </c>
      <c r="H196" s="75" t="s">
        <v>844</v>
      </c>
    </row>
    <row r="197" spans="1:8">
      <c r="A197" s="74">
        <v>932</v>
      </c>
      <c r="B197" s="75" t="s">
        <v>844</v>
      </c>
      <c r="C197" s="75" t="s">
        <v>844</v>
      </c>
      <c r="D197" s="75" t="s">
        <v>845</v>
      </c>
      <c r="E197" s="75"/>
      <c r="F197" s="68" t="str">
        <f t="shared" si="10"/>
        <v>Bukedea Town Council</v>
      </c>
      <c r="G197" s="68" t="str">
        <f t="shared" si="8"/>
        <v>Bukedea</v>
      </c>
      <c r="H197" s="75" t="s">
        <v>845</v>
      </c>
    </row>
    <row r="198" spans="1:8">
      <c r="A198" s="74">
        <v>1086</v>
      </c>
      <c r="B198" s="75" t="s">
        <v>2462</v>
      </c>
      <c r="C198" s="75" t="s">
        <v>2462</v>
      </c>
      <c r="D198" s="75" t="s">
        <v>2463</v>
      </c>
      <c r="E198" s="75"/>
      <c r="F198" s="68" t="str">
        <f t="shared" si="10"/>
        <v>Bukhabusi</v>
      </c>
      <c r="G198" s="68" t="str">
        <f t="shared" si="8"/>
        <v>Namisindwa</v>
      </c>
      <c r="H198" s="75" t="s">
        <v>2463</v>
      </c>
    </row>
    <row r="199" spans="1:8">
      <c r="A199" s="74">
        <v>1000</v>
      </c>
      <c r="B199" s="75" t="s">
        <v>870</v>
      </c>
      <c r="C199" s="75" t="s">
        <v>870</v>
      </c>
      <c r="D199" s="75" t="s">
        <v>871</v>
      </c>
      <c r="E199" s="75"/>
      <c r="F199" s="68" t="str">
        <f t="shared" si="10"/>
        <v>Bukhalu</v>
      </c>
      <c r="G199" s="68" t="str">
        <f t="shared" si="8"/>
        <v>Bulambuli</v>
      </c>
      <c r="H199" s="75" t="s">
        <v>871</v>
      </c>
    </row>
    <row r="200" spans="1:8">
      <c r="A200" s="74">
        <v>1087</v>
      </c>
      <c r="B200" s="75" t="s">
        <v>2462</v>
      </c>
      <c r="C200" s="75" t="s">
        <v>2462</v>
      </c>
      <c r="D200" s="75" t="s">
        <v>2464</v>
      </c>
      <c r="E200" s="75"/>
      <c r="F200" s="68" t="str">
        <f t="shared" si="10"/>
        <v>Bukhaweka</v>
      </c>
      <c r="G200" s="68" t="str">
        <f t="shared" si="8"/>
        <v>Namisindwa</v>
      </c>
      <c r="H200" s="75" t="s">
        <v>2464</v>
      </c>
    </row>
    <row r="201" spans="1:8">
      <c r="A201" s="74">
        <v>974</v>
      </c>
      <c r="B201" s="75" t="s">
        <v>2158</v>
      </c>
      <c r="C201" s="75" t="s">
        <v>2159</v>
      </c>
      <c r="D201" s="75" t="s">
        <v>2160</v>
      </c>
      <c r="E201" s="75"/>
      <c r="F201" s="68" t="str">
        <f t="shared" si="10"/>
        <v>Bukhofu</v>
      </c>
      <c r="G201" s="68" t="str">
        <f t="shared" si="8"/>
        <v>Manafwa</v>
      </c>
      <c r="H201" s="75" t="s">
        <v>2160</v>
      </c>
    </row>
    <row r="202" spans="1:8">
      <c r="A202" s="74">
        <v>868</v>
      </c>
      <c r="B202" s="75" t="s">
        <v>2706</v>
      </c>
      <c r="C202" s="75" t="s">
        <v>2707</v>
      </c>
      <c r="D202" s="75" t="s">
        <v>2710</v>
      </c>
      <c r="E202" s="75"/>
      <c r="F202" s="68" t="str">
        <f t="shared" si="10"/>
        <v>Bukhulo</v>
      </c>
      <c r="G202" s="68" t="str">
        <f t="shared" ref="G202:G265" si="11">B202</f>
        <v>Sironko</v>
      </c>
      <c r="H202" s="75" t="s">
        <v>2710</v>
      </c>
    </row>
    <row r="203" spans="1:8">
      <c r="A203" s="74">
        <v>1088</v>
      </c>
      <c r="B203" s="75" t="s">
        <v>2462</v>
      </c>
      <c r="C203" s="75" t="s">
        <v>2462</v>
      </c>
      <c r="D203" s="75" t="s">
        <v>2465</v>
      </c>
      <c r="E203" s="75"/>
      <c r="F203" s="68" t="str">
        <f t="shared" si="10"/>
        <v>Bukiabi</v>
      </c>
      <c r="G203" s="68" t="str">
        <f t="shared" si="11"/>
        <v>Namisindwa</v>
      </c>
      <c r="H203" s="75" t="s">
        <v>2465</v>
      </c>
    </row>
    <row r="204" spans="1:8">
      <c r="A204" s="74">
        <v>919</v>
      </c>
      <c r="B204" s="75" t="s">
        <v>789</v>
      </c>
      <c r="C204" s="75" t="s">
        <v>790</v>
      </c>
      <c r="D204" s="75" t="s">
        <v>793</v>
      </c>
      <c r="E204" s="75"/>
      <c r="F204" s="68" t="str">
        <f t="shared" si="10"/>
        <v>Bukibokolo</v>
      </c>
      <c r="G204" s="68" t="str">
        <f t="shared" si="11"/>
        <v>Bududa</v>
      </c>
      <c r="H204" s="75" t="s">
        <v>793</v>
      </c>
    </row>
    <row r="205" spans="1:8">
      <c r="A205" s="74">
        <v>775</v>
      </c>
      <c r="B205" s="75" t="s">
        <v>2225</v>
      </c>
      <c r="C205" s="75" t="s">
        <v>2226</v>
      </c>
      <c r="D205" s="75" t="s">
        <v>2230</v>
      </c>
      <c r="E205" s="75"/>
      <c r="F205" s="68" t="str">
        <f t="shared" si="10"/>
        <v>Bukiende</v>
      </c>
      <c r="G205" s="68" t="str">
        <f t="shared" si="11"/>
        <v>Mbale</v>
      </c>
      <c r="H205" s="75" t="s">
        <v>2230</v>
      </c>
    </row>
    <row r="206" spans="1:8">
      <c r="A206" s="74">
        <v>920</v>
      </c>
      <c r="B206" s="75" t="s">
        <v>789</v>
      </c>
      <c r="C206" s="75" t="s">
        <v>790</v>
      </c>
      <c r="D206" s="75" t="s">
        <v>794</v>
      </c>
      <c r="E206" s="75"/>
      <c r="F206" s="68" t="str">
        <f t="shared" si="10"/>
        <v>Bukigai</v>
      </c>
      <c r="G206" s="68" t="str">
        <f t="shared" si="11"/>
        <v>Bududa</v>
      </c>
      <c r="H206" s="75" t="s">
        <v>794</v>
      </c>
    </row>
    <row r="207" spans="1:8">
      <c r="A207" s="74">
        <v>869</v>
      </c>
      <c r="B207" s="75" t="s">
        <v>2706</v>
      </c>
      <c r="C207" s="75" t="s">
        <v>2707</v>
      </c>
      <c r="D207" s="75" t="s">
        <v>2711</v>
      </c>
      <c r="E207" s="75"/>
      <c r="F207" s="68" t="str">
        <f t="shared" si="10"/>
        <v>Bukiise</v>
      </c>
      <c r="G207" s="68" t="str">
        <f t="shared" si="11"/>
        <v>Sironko</v>
      </c>
      <c r="H207" s="75" t="s">
        <v>2711</v>
      </c>
    </row>
    <row r="208" spans="1:8">
      <c r="A208" s="74">
        <v>1218</v>
      </c>
      <c r="B208" s="75" t="s">
        <v>1940</v>
      </c>
      <c r="C208" s="75" t="s">
        <v>1941</v>
      </c>
      <c r="D208" s="75" t="s">
        <v>1939</v>
      </c>
      <c r="E208" s="75"/>
      <c r="F208" s="68" t="str">
        <f t="shared" si="10"/>
        <v>Bukimbiri</v>
      </c>
      <c r="G208" s="68" t="str">
        <f t="shared" si="11"/>
        <v>Kisoro</v>
      </c>
      <c r="H208" s="75" t="s">
        <v>1939</v>
      </c>
    </row>
    <row r="209" spans="1:8">
      <c r="A209" s="74">
        <v>1526</v>
      </c>
      <c r="B209" s="75" t="s">
        <v>2656</v>
      </c>
      <c r="C209" s="75" t="s">
        <v>2656</v>
      </c>
      <c r="D209" s="75" t="s">
        <v>3078</v>
      </c>
      <c r="E209" s="75"/>
      <c r="F209" s="68" t="str">
        <f t="shared" si="10"/>
        <v>Bukinda</v>
      </c>
      <c r="G209" s="68" t="str">
        <f t="shared" si="11"/>
        <v>Rukiga</v>
      </c>
      <c r="H209" s="75" t="s">
        <v>3078</v>
      </c>
    </row>
    <row r="210" spans="1:8">
      <c r="A210" s="74">
        <v>1245</v>
      </c>
      <c r="B210" s="75" t="s">
        <v>2251</v>
      </c>
      <c r="C210" s="75" t="s">
        <v>2252</v>
      </c>
      <c r="D210" s="75" t="s">
        <v>2255</v>
      </c>
      <c r="E210" s="75"/>
      <c r="F210" s="68" t="str">
        <f t="shared" si="10"/>
        <v>Bukiro</v>
      </c>
      <c r="G210" s="68" t="str">
        <f t="shared" si="11"/>
        <v>Mbarara</v>
      </c>
      <c r="H210" s="75" t="s">
        <v>2255</v>
      </c>
    </row>
    <row r="211" spans="1:8">
      <c r="A211" s="74">
        <v>870</v>
      </c>
      <c r="B211" s="75" t="s">
        <v>2706</v>
      </c>
      <c r="C211" s="75" t="s">
        <v>2707</v>
      </c>
      <c r="D211" s="75" t="s">
        <v>2712</v>
      </c>
      <c r="E211" s="75"/>
      <c r="F211" s="68" t="str">
        <f t="shared" si="10"/>
        <v>Bukiyi</v>
      </c>
      <c r="G211" s="68" t="str">
        <f t="shared" si="11"/>
        <v>Sironko</v>
      </c>
      <c r="H211" s="75" t="s">
        <v>2712</v>
      </c>
    </row>
    <row r="212" spans="1:8">
      <c r="A212" s="74">
        <v>1089</v>
      </c>
      <c r="B212" s="75" t="s">
        <v>2462</v>
      </c>
      <c r="C212" s="75" t="s">
        <v>2462</v>
      </c>
      <c r="D212" s="75" t="s">
        <v>2466</v>
      </c>
      <c r="E212" s="75"/>
      <c r="F212" s="68" t="str">
        <f t="shared" si="10"/>
        <v>Bukokho</v>
      </c>
      <c r="G212" s="68" t="str">
        <f t="shared" si="11"/>
        <v>Namisindwa</v>
      </c>
      <c r="H212" s="75" t="s">
        <v>2466</v>
      </c>
    </row>
    <row r="213" spans="1:8" ht="15" customHeight="1">
      <c r="A213" s="74">
        <v>607</v>
      </c>
      <c r="B213" s="77" t="s">
        <v>851</v>
      </c>
      <c r="C213" s="77" t="s">
        <v>851</v>
      </c>
      <c r="D213" s="77" t="s">
        <v>852</v>
      </c>
      <c r="E213" s="75"/>
      <c r="F213" s="68" t="str">
        <f t="shared" si="10"/>
        <v>Bukomansimbi Town Council</v>
      </c>
      <c r="G213" s="68" t="str">
        <f t="shared" si="11"/>
        <v>Bukomansimbi</v>
      </c>
      <c r="H213" s="77" t="s">
        <v>852</v>
      </c>
    </row>
    <row r="214" spans="1:8">
      <c r="A214" s="74">
        <v>421</v>
      </c>
      <c r="B214" s="75" t="s">
        <v>1882</v>
      </c>
      <c r="C214" s="75" t="s">
        <v>1882</v>
      </c>
      <c r="D214" s="75" t="s">
        <v>1881</v>
      </c>
      <c r="E214" s="75"/>
      <c r="F214" s="68" t="str">
        <f t="shared" si="10"/>
        <v>Bukomero</v>
      </c>
      <c r="G214" s="68" t="str">
        <f t="shared" si="11"/>
        <v>Kiboga</v>
      </c>
      <c r="H214" s="75" t="s">
        <v>1881</v>
      </c>
    </row>
    <row r="215" spans="1:8">
      <c r="A215" s="74">
        <v>422</v>
      </c>
      <c r="B215" s="75" t="s">
        <v>1882</v>
      </c>
      <c r="C215" s="75" t="s">
        <v>1882</v>
      </c>
      <c r="D215" s="75" t="s">
        <v>1885</v>
      </c>
      <c r="E215" s="75"/>
      <c r="F215" s="68" t="str">
        <f t="shared" si="10"/>
        <v>Bukomero Town Council</v>
      </c>
      <c r="G215" s="68" t="str">
        <f t="shared" si="11"/>
        <v>Kiboga</v>
      </c>
      <c r="H215" s="75" t="s">
        <v>1885</v>
      </c>
    </row>
    <row r="216" spans="1:8">
      <c r="A216" s="74">
        <v>776</v>
      </c>
      <c r="B216" s="75" t="s">
        <v>2225</v>
      </c>
      <c r="C216" s="75" t="s">
        <v>2226</v>
      </c>
      <c r="D216" s="75" t="s">
        <v>2231</v>
      </c>
      <c r="E216" s="75"/>
      <c r="F216" s="68" t="str">
        <f t="shared" si="10"/>
        <v>Bukonde</v>
      </c>
      <c r="G216" s="68" t="str">
        <f t="shared" si="11"/>
        <v>Mbale</v>
      </c>
      <c r="H216" s="75" t="s">
        <v>2231</v>
      </c>
    </row>
    <row r="217" spans="1:8">
      <c r="A217" s="74">
        <v>1102</v>
      </c>
      <c r="B217" s="75" t="s">
        <v>897</v>
      </c>
      <c r="C217" s="75" t="s">
        <v>901</v>
      </c>
      <c r="D217" s="75" t="s">
        <v>900</v>
      </c>
      <c r="E217" s="75"/>
      <c r="F217" s="68" t="str">
        <f t="shared" si="10"/>
        <v>Bukonzo</v>
      </c>
      <c r="G217" s="68" t="str">
        <f t="shared" si="11"/>
        <v>Bundibugyo</v>
      </c>
      <c r="H217" s="75" t="s">
        <v>900</v>
      </c>
    </row>
    <row r="218" spans="1:8">
      <c r="A218" s="74">
        <v>1047</v>
      </c>
      <c r="B218" s="75" t="s">
        <v>2104</v>
      </c>
      <c r="C218" s="75" t="s">
        <v>2104</v>
      </c>
      <c r="D218" s="75" t="s">
        <v>2105</v>
      </c>
      <c r="E218" s="75"/>
      <c r="F218" s="68" t="str">
        <f t="shared" si="10"/>
        <v>Bukooma</v>
      </c>
      <c r="G218" s="68" t="str">
        <f t="shared" si="11"/>
        <v>Luuka</v>
      </c>
      <c r="H218" s="75" t="s">
        <v>2105</v>
      </c>
    </row>
    <row r="219" spans="1:8">
      <c r="A219" s="74">
        <v>631</v>
      </c>
      <c r="B219" s="75" t="s">
        <v>1248</v>
      </c>
      <c r="C219" s="75" t="s">
        <v>1248</v>
      </c>
      <c r="D219" s="75" t="s">
        <v>1247</v>
      </c>
      <c r="E219" s="75"/>
      <c r="F219" s="68" t="str">
        <f t="shared" si="10"/>
        <v>Bukulula</v>
      </c>
      <c r="G219" s="68" t="str">
        <f t="shared" si="11"/>
        <v>Kalungu</v>
      </c>
      <c r="H219" s="75" t="s">
        <v>1247</v>
      </c>
    </row>
    <row r="220" spans="1:8">
      <c r="A220" s="74">
        <v>975</v>
      </c>
      <c r="B220" s="75" t="s">
        <v>2158</v>
      </c>
      <c r="C220" s="75" t="s">
        <v>2159</v>
      </c>
      <c r="D220" s="75" t="s">
        <v>2161</v>
      </c>
      <c r="E220" s="75"/>
      <c r="F220" s="68" t="str">
        <f t="shared" si="10"/>
        <v>Bukusu</v>
      </c>
      <c r="G220" s="68" t="str">
        <f t="shared" si="11"/>
        <v>Manafwa</v>
      </c>
      <c r="H220" s="75" t="s">
        <v>2161</v>
      </c>
    </row>
    <row r="221" spans="1:8">
      <c r="A221" s="74">
        <v>1162</v>
      </c>
      <c r="B221" s="75" t="s">
        <v>1162</v>
      </c>
      <c r="C221" s="75" t="s">
        <v>1163</v>
      </c>
      <c r="D221" s="75" t="s">
        <v>1161</v>
      </c>
      <c r="E221" s="75"/>
      <c r="F221" s="68" t="str">
        <f t="shared" si="10"/>
        <v>Bukuuku</v>
      </c>
      <c r="G221" s="68" t="str">
        <f t="shared" si="11"/>
        <v>Kabarole</v>
      </c>
      <c r="H221" s="75" t="s">
        <v>1161</v>
      </c>
    </row>
    <row r="222" spans="1:8">
      <c r="A222" s="74">
        <v>467</v>
      </c>
      <c r="B222" s="75" t="s">
        <v>2342</v>
      </c>
      <c r="C222" s="75" t="s">
        <v>2345</v>
      </c>
      <c r="D222" s="75" t="s">
        <v>2344</v>
      </c>
      <c r="E222" s="75"/>
      <c r="F222" s="68" t="str">
        <f t="shared" si="10"/>
        <v>Bukuya</v>
      </c>
      <c r="G222" s="68" t="str">
        <f t="shared" si="11"/>
        <v>Mubende</v>
      </c>
      <c r="H222" s="75" t="s">
        <v>2344</v>
      </c>
    </row>
    <row r="223" spans="1:8">
      <c r="A223" s="74">
        <v>937</v>
      </c>
      <c r="B223" s="75" t="s">
        <v>856</v>
      </c>
      <c r="C223" s="75" t="s">
        <v>857</v>
      </c>
      <c r="D223" s="75" t="s">
        <v>856</v>
      </c>
      <c r="E223" s="75"/>
      <c r="F223" s="68" t="str">
        <f t="shared" si="10"/>
        <v>Bukwo</v>
      </c>
      <c r="G223" s="68" t="str">
        <f t="shared" si="11"/>
        <v>Bukwo</v>
      </c>
      <c r="H223" s="75" t="s">
        <v>856</v>
      </c>
    </row>
    <row r="224" spans="1:8">
      <c r="A224" s="74">
        <v>938</v>
      </c>
      <c r="B224" s="75" t="s">
        <v>856</v>
      </c>
      <c r="C224" s="75" t="s">
        <v>857</v>
      </c>
      <c r="D224" s="75" t="s">
        <v>858</v>
      </c>
      <c r="E224" s="75"/>
      <c r="F224" s="68" t="str">
        <f t="shared" si="10"/>
        <v>Bukwo Town Council</v>
      </c>
      <c r="G224" s="68" t="str">
        <f t="shared" si="11"/>
        <v>Bukwo</v>
      </c>
      <c r="H224" s="75" t="s">
        <v>858</v>
      </c>
    </row>
    <row r="225" spans="1:8">
      <c r="A225" s="74">
        <v>871</v>
      </c>
      <c r="B225" s="75" t="s">
        <v>2706</v>
      </c>
      <c r="C225" s="75" t="s">
        <v>2707</v>
      </c>
      <c r="D225" s="75" t="s">
        <v>2713</v>
      </c>
      <c r="E225" s="75"/>
      <c r="F225" s="68" t="str">
        <f t="shared" si="10"/>
        <v>Bukyabo</v>
      </c>
      <c r="G225" s="68" t="str">
        <f t="shared" si="11"/>
        <v>Sironko</v>
      </c>
      <c r="H225" s="75" t="s">
        <v>2713</v>
      </c>
    </row>
    <row r="226" spans="1:8">
      <c r="A226" s="74">
        <v>872</v>
      </c>
      <c r="B226" s="75" t="s">
        <v>2706</v>
      </c>
      <c r="C226" s="75" t="s">
        <v>2707</v>
      </c>
      <c r="D226" s="75" t="s">
        <v>2714</v>
      </c>
      <c r="E226" s="75"/>
      <c r="F226" s="68" t="str">
        <f t="shared" si="10"/>
        <v>Bukyambi</v>
      </c>
      <c r="G226" s="68" t="str">
        <f t="shared" si="11"/>
        <v>Sironko</v>
      </c>
      <c r="H226" s="75" t="s">
        <v>2714</v>
      </c>
    </row>
    <row r="227" spans="1:8">
      <c r="A227" s="74">
        <v>1001</v>
      </c>
      <c r="B227" s="75" t="s">
        <v>870</v>
      </c>
      <c r="C227" s="75" t="s">
        <v>870</v>
      </c>
      <c r="D227" s="75" t="s">
        <v>872</v>
      </c>
      <c r="E227" s="75"/>
      <c r="F227" s="68" t="str">
        <f t="shared" si="10"/>
        <v>Bulaago</v>
      </c>
      <c r="G227" s="68" t="str">
        <f t="shared" si="11"/>
        <v>Bulambuli</v>
      </c>
      <c r="H227" s="75" t="s">
        <v>872</v>
      </c>
    </row>
    <row r="228" spans="1:8">
      <c r="A228" s="74">
        <v>1002</v>
      </c>
      <c r="B228" s="75" t="s">
        <v>870</v>
      </c>
      <c r="C228" s="75" t="s">
        <v>870</v>
      </c>
      <c r="D228" s="75" t="s">
        <v>873</v>
      </c>
      <c r="E228" s="75"/>
      <c r="F228" s="68" t="str">
        <f t="shared" si="10"/>
        <v>Bulambuli Town Council</v>
      </c>
      <c r="G228" s="68" t="str">
        <f t="shared" si="11"/>
        <v>Bulambuli</v>
      </c>
      <c r="H228" s="75" t="s">
        <v>873</v>
      </c>
    </row>
    <row r="229" spans="1:8">
      <c r="A229" s="74">
        <v>705</v>
      </c>
      <c r="B229" s="75" t="s">
        <v>1074</v>
      </c>
      <c r="C229" s="75" t="s">
        <v>1075</v>
      </c>
      <c r="D229" s="75" t="s">
        <v>1073</v>
      </c>
      <c r="E229" s="75"/>
      <c r="F229" s="68" t="str">
        <f t="shared" ref="F229:F292" si="12">D229</f>
        <v>Bulamogi</v>
      </c>
      <c r="G229" s="68" t="str">
        <f t="shared" si="11"/>
        <v>Iganga</v>
      </c>
      <c r="H229" s="75" t="s">
        <v>1073</v>
      </c>
    </row>
    <row r="230" spans="1:8">
      <c r="A230" s="74">
        <v>990</v>
      </c>
      <c r="B230" s="75" t="s">
        <v>2480</v>
      </c>
      <c r="C230" s="75" t="s">
        <v>2481</v>
      </c>
      <c r="D230" s="75" t="s">
        <v>2479</v>
      </c>
      <c r="E230" s="75"/>
      <c r="F230" s="68" t="str">
        <f t="shared" si="12"/>
        <v>Bulange</v>
      </c>
      <c r="G230" s="68" t="str">
        <f t="shared" si="11"/>
        <v>Namutumba</v>
      </c>
      <c r="H230" s="75" t="s">
        <v>2479</v>
      </c>
    </row>
    <row r="231" spans="1:8">
      <c r="A231" s="74">
        <v>1024</v>
      </c>
      <c r="B231" s="75" t="s">
        <v>1895</v>
      </c>
      <c r="C231" s="75" t="s">
        <v>1895</v>
      </c>
      <c r="D231" s="75" t="s">
        <v>1894</v>
      </c>
      <c r="E231" s="75"/>
      <c r="F231" s="68" t="str">
        <f t="shared" si="12"/>
        <v>Bulangira</v>
      </c>
      <c r="G231" s="68" t="str">
        <f t="shared" si="11"/>
        <v>Kibuku</v>
      </c>
      <c r="H231" s="75" t="s">
        <v>1894</v>
      </c>
    </row>
    <row r="232" spans="1:8">
      <c r="A232" s="74">
        <v>1003</v>
      </c>
      <c r="B232" s="75" t="s">
        <v>870</v>
      </c>
      <c r="C232" s="75" t="s">
        <v>870</v>
      </c>
      <c r="D232" s="75" t="s">
        <v>874</v>
      </c>
      <c r="E232" s="75"/>
      <c r="F232" s="68" t="str">
        <f t="shared" si="12"/>
        <v>Bulegeni</v>
      </c>
      <c r="G232" s="68" t="str">
        <f t="shared" si="11"/>
        <v>Bulambuli</v>
      </c>
      <c r="H232" s="75" t="s">
        <v>874</v>
      </c>
    </row>
    <row r="233" spans="1:8">
      <c r="A233" s="74">
        <v>1017</v>
      </c>
      <c r="B233" s="75" t="s">
        <v>870</v>
      </c>
      <c r="C233" s="75" t="s">
        <v>870</v>
      </c>
      <c r="D233" s="75" t="s">
        <v>875</v>
      </c>
      <c r="E233" s="75"/>
      <c r="F233" s="68" t="str">
        <f t="shared" si="12"/>
        <v>Bulegeni Town Council</v>
      </c>
      <c r="G233" s="68" t="str">
        <f t="shared" si="11"/>
        <v>Bulambuli</v>
      </c>
      <c r="H233" s="75" t="s">
        <v>875</v>
      </c>
    </row>
    <row r="234" spans="1:8" ht="25.5">
      <c r="A234" s="74">
        <v>1205</v>
      </c>
      <c r="B234" s="77" t="s">
        <v>36</v>
      </c>
      <c r="C234" s="78" t="s">
        <v>1820</v>
      </c>
      <c r="D234" s="77" t="s">
        <v>3079</v>
      </c>
      <c r="E234" s="77"/>
      <c r="F234" s="69" t="str">
        <f>VLOOKUP(C234,[2]Municipalities!$C$9:$F$1522,4,FALSE)</f>
        <v>Kasese Municipality</v>
      </c>
      <c r="G234" s="68" t="str">
        <f t="shared" si="11"/>
        <v>Kasese</v>
      </c>
      <c r="H234" s="77" t="s">
        <v>3079</v>
      </c>
    </row>
    <row r="235" spans="1:8">
      <c r="A235" s="74">
        <v>570</v>
      </c>
      <c r="B235" s="75" t="s">
        <v>2284</v>
      </c>
      <c r="C235" s="75" t="s">
        <v>2284</v>
      </c>
      <c r="D235" s="75" t="s">
        <v>2286</v>
      </c>
      <c r="E235" s="75"/>
      <c r="F235" s="68" t="str">
        <f t="shared" si="12"/>
        <v>Bulera</v>
      </c>
      <c r="G235" s="68" t="str">
        <f t="shared" si="11"/>
        <v>Mityana</v>
      </c>
      <c r="H235" s="75" t="s">
        <v>2286</v>
      </c>
    </row>
    <row r="236" spans="1:8">
      <c r="A236" s="74">
        <v>672</v>
      </c>
      <c r="B236" s="75" t="s">
        <v>806</v>
      </c>
      <c r="C236" s="75" t="s">
        <v>807</v>
      </c>
      <c r="D236" s="75" t="s">
        <v>809</v>
      </c>
      <c r="E236" s="75"/>
      <c r="F236" s="68" t="str">
        <f t="shared" si="12"/>
        <v>Bulesa</v>
      </c>
      <c r="G236" s="68" t="str">
        <f t="shared" si="11"/>
        <v>Bugiri</v>
      </c>
      <c r="H236" s="75" t="s">
        <v>809</v>
      </c>
    </row>
    <row r="237" spans="1:8">
      <c r="A237" s="74">
        <v>673</v>
      </c>
      <c r="B237" s="75" t="s">
        <v>806</v>
      </c>
      <c r="C237" s="75" t="s">
        <v>807</v>
      </c>
      <c r="D237" s="75" t="s">
        <v>810</v>
      </c>
      <c r="E237" s="75"/>
      <c r="F237" s="68" t="str">
        <f t="shared" si="12"/>
        <v>Bulidha</v>
      </c>
      <c r="G237" s="68" t="str">
        <f t="shared" si="11"/>
        <v>Bugiri</v>
      </c>
      <c r="H237" s="75" t="s">
        <v>810</v>
      </c>
    </row>
    <row r="238" spans="1:8">
      <c r="A238" s="74">
        <v>1347</v>
      </c>
      <c r="B238" s="75" t="s">
        <v>890</v>
      </c>
      <c r="C238" s="75" t="s">
        <v>890</v>
      </c>
      <c r="D238" s="75" t="s">
        <v>890</v>
      </c>
      <c r="E238" s="75"/>
      <c r="F238" s="68" t="str">
        <f t="shared" si="12"/>
        <v>Buliisa</v>
      </c>
      <c r="G238" s="68" t="str">
        <f t="shared" si="11"/>
        <v>Buliisa</v>
      </c>
      <c r="H238" s="75" t="s">
        <v>890</v>
      </c>
    </row>
    <row r="239" spans="1:8">
      <c r="A239" s="74">
        <v>1348</v>
      </c>
      <c r="B239" s="75" t="s">
        <v>890</v>
      </c>
      <c r="C239" s="75" t="s">
        <v>890</v>
      </c>
      <c r="D239" s="75" t="s">
        <v>891</v>
      </c>
      <c r="E239" s="75"/>
      <c r="F239" s="68" t="str">
        <f t="shared" si="12"/>
        <v>Buliisa Town Council</v>
      </c>
      <c r="G239" s="68" t="str">
        <f t="shared" si="11"/>
        <v>Buliisa</v>
      </c>
      <c r="H239" s="75" t="s">
        <v>891</v>
      </c>
    </row>
    <row r="240" spans="1:8">
      <c r="A240" s="74">
        <v>612</v>
      </c>
      <c r="B240" s="75" t="s">
        <v>978</v>
      </c>
      <c r="C240" s="75" t="s">
        <v>978</v>
      </c>
      <c r="D240" s="75" t="s">
        <v>979</v>
      </c>
      <c r="E240" s="75"/>
      <c r="F240" s="68" t="str">
        <f t="shared" si="12"/>
        <v>Bulo</v>
      </c>
      <c r="G240" s="68" t="str">
        <f t="shared" si="11"/>
        <v>Butambala</v>
      </c>
      <c r="H240" s="75" t="s">
        <v>979</v>
      </c>
    </row>
    <row r="241" spans="1:8">
      <c r="A241" s="74">
        <v>1048</v>
      </c>
      <c r="B241" s="75" t="s">
        <v>2104</v>
      </c>
      <c r="C241" s="75" t="s">
        <v>2104</v>
      </c>
      <c r="D241" s="75" t="s">
        <v>2106</v>
      </c>
      <c r="E241" s="75"/>
      <c r="F241" s="68" t="str">
        <f t="shared" si="12"/>
        <v>Bulongo</v>
      </c>
      <c r="G241" s="68" t="str">
        <f t="shared" si="11"/>
        <v>Luuka</v>
      </c>
      <c r="H241" s="75" t="s">
        <v>2106</v>
      </c>
    </row>
    <row r="242" spans="1:8">
      <c r="A242" s="74">
        <v>726</v>
      </c>
      <c r="B242" s="75" t="s">
        <v>1744</v>
      </c>
      <c r="C242" s="75" t="s">
        <v>1745</v>
      </c>
      <c r="D242" s="75" t="s">
        <v>1748</v>
      </c>
      <c r="E242" s="75"/>
      <c r="F242" s="68" t="str">
        <f t="shared" si="12"/>
        <v>Bulopa</v>
      </c>
      <c r="G242" s="68" t="str">
        <f t="shared" si="11"/>
        <v>Kamuli</v>
      </c>
      <c r="H242" s="75" t="s">
        <v>1748</v>
      </c>
    </row>
    <row r="243" spans="1:8">
      <c r="A243" s="74">
        <v>921</v>
      </c>
      <c r="B243" s="75" t="s">
        <v>789</v>
      </c>
      <c r="C243" s="75" t="s">
        <v>790</v>
      </c>
      <c r="D243" s="75" t="s">
        <v>795</v>
      </c>
      <c r="E243" s="75"/>
      <c r="F243" s="68" t="str">
        <f t="shared" si="12"/>
        <v>Bulucheke</v>
      </c>
      <c r="G243" s="68" t="str">
        <f t="shared" si="11"/>
        <v>Bududa</v>
      </c>
      <c r="H243" s="75" t="s">
        <v>795</v>
      </c>
    </row>
    <row r="244" spans="1:8">
      <c r="A244" s="74">
        <v>1005</v>
      </c>
      <c r="B244" s="75" t="s">
        <v>870</v>
      </c>
      <c r="C244" s="75" t="s">
        <v>870</v>
      </c>
      <c r="D244" s="75" t="s">
        <v>876</v>
      </c>
      <c r="E244" s="75"/>
      <c r="F244" s="68" t="str">
        <f t="shared" si="12"/>
        <v>Buluganya</v>
      </c>
      <c r="G244" s="68" t="str">
        <f t="shared" si="11"/>
        <v>Bulambuli</v>
      </c>
      <c r="H244" s="75" t="s">
        <v>876</v>
      </c>
    </row>
    <row r="245" spans="1:8">
      <c r="A245" s="74">
        <v>674</v>
      </c>
      <c r="B245" s="75" t="s">
        <v>806</v>
      </c>
      <c r="C245" s="75" t="s">
        <v>807</v>
      </c>
      <c r="D245" s="75" t="s">
        <v>811</v>
      </c>
      <c r="E245" s="75"/>
      <c r="F245" s="68" t="str">
        <f t="shared" si="12"/>
        <v>Buluguyi</v>
      </c>
      <c r="G245" s="68" t="str">
        <f t="shared" si="11"/>
        <v>Bugiri</v>
      </c>
      <c r="H245" s="75" t="s">
        <v>811</v>
      </c>
    </row>
    <row r="246" spans="1:8">
      <c r="A246" s="74">
        <v>847</v>
      </c>
      <c r="B246" s="75" t="s">
        <v>1181</v>
      </c>
      <c r="C246" s="75" t="s">
        <v>1183</v>
      </c>
      <c r="D246" s="75" t="s">
        <v>1186</v>
      </c>
      <c r="E246" s="75"/>
      <c r="F246" s="68" t="str">
        <f t="shared" si="12"/>
        <v>Bululu</v>
      </c>
      <c r="G246" s="68" t="str">
        <f t="shared" si="11"/>
        <v>Kaberamaido</v>
      </c>
      <c r="H246" s="75" t="s">
        <v>1186</v>
      </c>
    </row>
    <row r="247" spans="1:8">
      <c r="A247" s="74">
        <v>684</v>
      </c>
      <c r="B247" s="75" t="s">
        <v>947</v>
      </c>
      <c r="C247" s="75" t="s">
        <v>948</v>
      </c>
      <c r="D247" s="75" t="s">
        <v>949</v>
      </c>
      <c r="E247" s="75"/>
      <c r="F247" s="68" t="str">
        <f t="shared" si="12"/>
        <v>Bulumbi</v>
      </c>
      <c r="G247" s="68" t="str">
        <f t="shared" si="11"/>
        <v>Busia</v>
      </c>
      <c r="H247" s="75" t="s">
        <v>949</v>
      </c>
    </row>
    <row r="248" spans="1:8">
      <c r="A248" s="74">
        <v>873</v>
      </c>
      <c r="B248" s="75" t="s">
        <v>2706</v>
      </c>
      <c r="C248" s="75" t="s">
        <v>2707</v>
      </c>
      <c r="D248" s="75" t="s">
        <v>2715</v>
      </c>
      <c r="E248" s="75"/>
      <c r="F248" s="68" t="str">
        <f t="shared" si="12"/>
        <v>Bumalimba</v>
      </c>
      <c r="G248" s="68" t="str">
        <f t="shared" si="11"/>
        <v>Sironko</v>
      </c>
      <c r="H248" s="75" t="s">
        <v>2715</v>
      </c>
    </row>
    <row r="249" spans="1:8">
      <c r="A249" s="74">
        <v>963</v>
      </c>
      <c r="B249" s="75" t="s">
        <v>1234</v>
      </c>
      <c r="C249" s="75" t="s">
        <v>1073</v>
      </c>
      <c r="D249" s="75" t="s">
        <v>1236</v>
      </c>
      <c r="E249" s="75"/>
      <c r="F249" s="68" t="str">
        <f t="shared" si="12"/>
        <v>Bumanya</v>
      </c>
      <c r="G249" s="68" t="str">
        <f t="shared" si="11"/>
        <v>Kaliro</v>
      </c>
      <c r="H249" s="75" t="s">
        <v>1236</v>
      </c>
    </row>
    <row r="250" spans="1:8">
      <c r="A250" s="74">
        <v>922</v>
      </c>
      <c r="B250" s="75" t="s">
        <v>789</v>
      </c>
      <c r="C250" s="75" t="s">
        <v>790</v>
      </c>
      <c r="D250" s="75" t="s">
        <v>796</v>
      </c>
      <c r="E250" s="75"/>
      <c r="F250" s="68" t="str">
        <f t="shared" si="12"/>
        <v>Bumasheti</v>
      </c>
      <c r="G250" s="68" t="str">
        <f t="shared" si="11"/>
        <v>Bududa</v>
      </c>
      <c r="H250" s="75" t="s">
        <v>796</v>
      </c>
    </row>
    <row r="251" spans="1:8">
      <c r="A251" s="74">
        <v>874</v>
      </c>
      <c r="B251" s="75" t="s">
        <v>2706</v>
      </c>
      <c r="C251" s="75" t="s">
        <v>2707</v>
      </c>
      <c r="D251" s="75" t="s">
        <v>2716</v>
      </c>
      <c r="E251" s="75"/>
      <c r="F251" s="68" t="str">
        <f t="shared" si="12"/>
        <v>Bumasifwa</v>
      </c>
      <c r="G251" s="68" t="str">
        <f t="shared" si="11"/>
        <v>Sironko</v>
      </c>
      <c r="H251" s="75" t="s">
        <v>2716</v>
      </c>
    </row>
    <row r="252" spans="1:8">
      <c r="A252" s="74">
        <v>777</v>
      </c>
      <c r="B252" s="75" t="s">
        <v>2225</v>
      </c>
      <c r="C252" s="75" t="s">
        <v>2226</v>
      </c>
      <c r="D252" s="75" t="s">
        <v>2232</v>
      </c>
      <c r="E252" s="75"/>
      <c r="F252" s="68" t="str">
        <f t="shared" si="12"/>
        <v>Bumasikye</v>
      </c>
      <c r="G252" s="68" t="str">
        <f t="shared" si="11"/>
        <v>Mbale</v>
      </c>
      <c r="H252" s="75" t="s">
        <v>2232</v>
      </c>
    </row>
    <row r="253" spans="1:8">
      <c r="A253" s="74">
        <v>1006</v>
      </c>
      <c r="B253" s="75" t="s">
        <v>870</v>
      </c>
      <c r="C253" s="75" t="s">
        <v>870</v>
      </c>
      <c r="D253" s="75" t="s">
        <v>877</v>
      </c>
      <c r="E253" s="75"/>
      <c r="F253" s="68" t="str">
        <f t="shared" si="12"/>
        <v>Bumasobo</v>
      </c>
      <c r="G253" s="68" t="str">
        <f t="shared" si="11"/>
        <v>Bulambuli</v>
      </c>
      <c r="H253" s="75" t="s">
        <v>877</v>
      </c>
    </row>
    <row r="254" spans="1:8">
      <c r="A254" s="74">
        <v>923</v>
      </c>
      <c r="B254" s="75" t="s">
        <v>789</v>
      </c>
      <c r="C254" s="75" t="s">
        <v>790</v>
      </c>
      <c r="D254" s="75" t="s">
        <v>797</v>
      </c>
      <c r="E254" s="75"/>
      <c r="F254" s="68" t="str">
        <f t="shared" si="12"/>
        <v>Bumayoka</v>
      </c>
      <c r="G254" s="68" t="str">
        <f t="shared" si="11"/>
        <v>Bududa</v>
      </c>
      <c r="H254" s="75" t="s">
        <v>797</v>
      </c>
    </row>
    <row r="255" spans="1:8">
      <c r="A255" s="74">
        <v>1126</v>
      </c>
      <c r="B255" s="75" t="s">
        <v>38</v>
      </c>
      <c r="C255" s="75" t="s">
        <v>932</v>
      </c>
      <c r="D255" s="75" t="s">
        <v>933</v>
      </c>
      <c r="E255" s="75"/>
      <c r="F255" s="68" t="str">
        <f t="shared" si="12"/>
        <v>Bumbaire</v>
      </c>
      <c r="G255" s="68" t="str">
        <f t="shared" si="11"/>
        <v>Bushenyi</v>
      </c>
      <c r="H255" s="75" t="s">
        <v>933</v>
      </c>
    </row>
    <row r="256" spans="1:8">
      <c r="A256" s="74">
        <v>1090</v>
      </c>
      <c r="B256" s="75" t="s">
        <v>2462</v>
      </c>
      <c r="C256" s="75" t="s">
        <v>2462</v>
      </c>
      <c r="D256" s="75" t="s">
        <v>2467</v>
      </c>
      <c r="E256" s="75"/>
      <c r="F256" s="68" t="str">
        <f t="shared" si="12"/>
        <v>Bumbo</v>
      </c>
      <c r="G256" s="68" t="str">
        <f t="shared" si="11"/>
        <v>Namisindwa</v>
      </c>
      <c r="H256" s="75" t="s">
        <v>2467</v>
      </c>
    </row>
    <row r="257" spans="1:8">
      <c r="A257" s="74">
        <v>778</v>
      </c>
      <c r="B257" s="75" t="s">
        <v>2225</v>
      </c>
      <c r="C257" s="75" t="s">
        <v>2226</v>
      </c>
      <c r="D257" s="75" t="s">
        <v>2233</v>
      </c>
      <c r="E257" s="75"/>
      <c r="F257" s="68" t="str">
        <f t="shared" si="12"/>
        <v>Bumbobi</v>
      </c>
      <c r="G257" s="68" t="str">
        <f t="shared" si="11"/>
        <v>Mbale</v>
      </c>
      <c r="H257" s="75" t="s">
        <v>2233</v>
      </c>
    </row>
    <row r="258" spans="1:8">
      <c r="A258" s="74">
        <v>1007</v>
      </c>
      <c r="B258" s="75" t="s">
        <v>870</v>
      </c>
      <c r="C258" s="75" t="s">
        <v>870</v>
      </c>
      <c r="D258" s="75" t="s">
        <v>878</v>
      </c>
      <c r="E258" s="75"/>
      <c r="F258" s="68" t="str">
        <f t="shared" si="12"/>
        <v>Bumugibole</v>
      </c>
      <c r="G258" s="68" t="str">
        <f t="shared" si="11"/>
        <v>Bulambuli</v>
      </c>
      <c r="H258" s="75" t="s">
        <v>878</v>
      </c>
    </row>
    <row r="259" spans="1:8">
      <c r="A259" s="74">
        <v>1091</v>
      </c>
      <c r="B259" s="75" t="s">
        <v>2462</v>
      </c>
      <c r="C259" s="75" t="s">
        <v>2462</v>
      </c>
      <c r="D259" s="75" t="s">
        <v>2468</v>
      </c>
      <c r="E259" s="75"/>
      <c r="F259" s="68" t="str">
        <f t="shared" si="12"/>
        <v>Bumwoni</v>
      </c>
      <c r="G259" s="68" t="str">
        <f t="shared" si="11"/>
        <v>Namisindwa</v>
      </c>
      <c r="H259" s="75" t="s">
        <v>2468</v>
      </c>
    </row>
    <row r="260" spans="1:8">
      <c r="A260" s="74">
        <v>976</v>
      </c>
      <c r="B260" s="75" t="s">
        <v>2158</v>
      </c>
      <c r="C260" s="75" t="s">
        <v>2159</v>
      </c>
      <c r="D260" s="75" t="s">
        <v>2162</v>
      </c>
      <c r="E260" s="75"/>
      <c r="F260" s="68" t="str">
        <f t="shared" si="12"/>
        <v>Bunabwana</v>
      </c>
      <c r="G260" s="68" t="str">
        <f t="shared" si="11"/>
        <v>Manafwa</v>
      </c>
      <c r="H260" s="75" t="s">
        <v>2162</v>
      </c>
    </row>
    <row r="261" spans="1:8">
      <c r="A261" s="74">
        <v>1008</v>
      </c>
      <c r="B261" s="75" t="s">
        <v>870</v>
      </c>
      <c r="C261" s="75" t="s">
        <v>870</v>
      </c>
      <c r="D261" s="75" t="s">
        <v>879</v>
      </c>
      <c r="E261" s="75"/>
      <c r="F261" s="68" t="str">
        <f t="shared" si="12"/>
        <v>Bunambutye</v>
      </c>
      <c r="G261" s="68" t="str">
        <f t="shared" si="11"/>
        <v>Bulambuli</v>
      </c>
      <c r="H261" s="75" t="s">
        <v>879</v>
      </c>
    </row>
    <row r="262" spans="1:8" ht="38.25">
      <c r="A262" s="74">
        <v>552</v>
      </c>
      <c r="B262" s="77" t="s">
        <v>2774</v>
      </c>
      <c r="C262" s="78" t="s">
        <v>2775</v>
      </c>
      <c r="D262" s="77" t="s">
        <v>3080</v>
      </c>
      <c r="E262" s="77"/>
      <c r="F262" s="69" t="str">
        <f>VLOOKUP(C262,[2]Municipalities!$C$9:$F$1522,4,FALSE)</f>
        <v>Bunamwaya</v>
      </c>
      <c r="G262" s="68" t="str">
        <f t="shared" si="11"/>
        <v>Wakiso</v>
      </c>
      <c r="H262" s="77" t="s">
        <v>3080</v>
      </c>
    </row>
    <row r="263" spans="1:8">
      <c r="A263" s="74">
        <v>1114</v>
      </c>
      <c r="B263" s="75" t="s">
        <v>897</v>
      </c>
      <c r="C263" s="75" t="s">
        <v>898</v>
      </c>
      <c r="D263" s="75" t="s">
        <v>902</v>
      </c>
      <c r="E263" s="75"/>
      <c r="F263" s="68" t="str">
        <f t="shared" si="12"/>
        <v>Bundibugyo Town Council</v>
      </c>
      <c r="G263" s="68" t="str">
        <f t="shared" si="11"/>
        <v>Bundibugyo</v>
      </c>
      <c r="H263" s="75" t="s">
        <v>902</v>
      </c>
    </row>
    <row r="264" spans="1:8">
      <c r="A264" s="74">
        <v>1116</v>
      </c>
      <c r="B264" s="75" t="s">
        <v>897</v>
      </c>
      <c r="C264" s="75" t="s">
        <v>898</v>
      </c>
      <c r="D264" s="75" t="s">
        <v>903</v>
      </c>
      <c r="E264" s="75"/>
      <c r="F264" s="68" t="str">
        <f t="shared" si="12"/>
        <v>Bundingoma</v>
      </c>
      <c r="G264" s="68" t="str">
        <f t="shared" si="11"/>
        <v>Bundibugyo</v>
      </c>
      <c r="H264" s="75" t="s">
        <v>903</v>
      </c>
    </row>
    <row r="265" spans="1:8">
      <c r="A265" s="74">
        <v>51</v>
      </c>
      <c r="B265" s="75" t="s">
        <v>1031</v>
      </c>
      <c r="C265" s="75" t="s">
        <v>1032</v>
      </c>
      <c r="D265" s="75" t="s">
        <v>1033</v>
      </c>
      <c r="E265" s="75"/>
      <c r="F265" s="68" t="str">
        <f t="shared" si="12"/>
        <v>Bungatira</v>
      </c>
      <c r="G265" s="68" t="str">
        <f t="shared" si="11"/>
        <v>Gulu</v>
      </c>
      <c r="H265" s="75" t="s">
        <v>1033</v>
      </c>
    </row>
    <row r="266" spans="1:8">
      <c r="A266" s="74">
        <v>779</v>
      </c>
      <c r="B266" s="75" t="s">
        <v>2225</v>
      </c>
      <c r="C266" s="75" t="s">
        <v>2226</v>
      </c>
      <c r="D266" s="75" t="s">
        <v>2226</v>
      </c>
      <c r="E266" s="75"/>
      <c r="F266" s="68" t="str">
        <f t="shared" si="12"/>
        <v>Bungokho</v>
      </c>
      <c r="G266" s="68" t="str">
        <f t="shared" ref="G266:G329" si="13">B266</f>
        <v>Mbale</v>
      </c>
      <c r="H266" s="75" t="s">
        <v>2226</v>
      </c>
    </row>
    <row r="267" spans="1:8">
      <c r="A267" s="74">
        <v>780</v>
      </c>
      <c r="B267" s="75" t="s">
        <v>2225</v>
      </c>
      <c r="C267" s="75" t="s">
        <v>2226</v>
      </c>
      <c r="D267" s="75" t="s">
        <v>2234</v>
      </c>
      <c r="E267" s="75"/>
      <c r="F267" s="68" t="str">
        <f t="shared" si="12"/>
        <v>Bungokho Mutoto</v>
      </c>
      <c r="G267" s="68" t="str">
        <f t="shared" si="13"/>
        <v>Mbale</v>
      </c>
      <c r="H267" s="75" t="s">
        <v>2234</v>
      </c>
    </row>
    <row r="268" spans="1:8">
      <c r="A268" s="74">
        <v>875</v>
      </c>
      <c r="B268" s="75" t="s">
        <v>2706</v>
      </c>
      <c r="C268" s="75" t="s">
        <v>2707</v>
      </c>
      <c r="D268" s="75" t="s">
        <v>2717</v>
      </c>
      <c r="E268" s="75"/>
      <c r="F268" s="68" t="str">
        <f t="shared" si="12"/>
        <v>Bunyafa</v>
      </c>
      <c r="G268" s="68" t="str">
        <f t="shared" si="13"/>
        <v>Sironko</v>
      </c>
      <c r="H268" s="75" t="s">
        <v>2717</v>
      </c>
    </row>
    <row r="269" spans="1:8">
      <c r="A269" s="74">
        <v>988</v>
      </c>
      <c r="B269" s="75" t="s">
        <v>2158</v>
      </c>
      <c r="C269" s="75" t="s">
        <v>2159</v>
      </c>
      <c r="D269" s="75" t="s">
        <v>2163</v>
      </c>
      <c r="E269" s="75"/>
      <c r="F269" s="68" t="str">
        <f t="shared" si="12"/>
        <v>Bunyinza Town Council</v>
      </c>
      <c r="G269" s="68" t="str">
        <f t="shared" si="13"/>
        <v>Manafwa</v>
      </c>
      <c r="H269" s="75" t="s">
        <v>2163</v>
      </c>
    </row>
    <row r="270" spans="1:8">
      <c r="A270" s="74">
        <v>1092</v>
      </c>
      <c r="B270" s="75" t="s">
        <v>2462</v>
      </c>
      <c r="C270" s="75" t="s">
        <v>2462</v>
      </c>
      <c r="D270" s="75" t="s">
        <v>2469</v>
      </c>
      <c r="E270" s="75"/>
      <c r="F270" s="68" t="str">
        <f t="shared" si="12"/>
        <v>Bupoto</v>
      </c>
      <c r="G270" s="68" t="str">
        <f t="shared" si="13"/>
        <v>Namisindwa</v>
      </c>
      <c r="H270" s="75" t="s">
        <v>2469</v>
      </c>
    </row>
    <row r="271" spans="1:8">
      <c r="A271" s="74">
        <v>1387</v>
      </c>
      <c r="B271" s="75" t="s">
        <v>1905</v>
      </c>
      <c r="C271" s="75" t="s">
        <v>1906</v>
      </c>
      <c r="D271" s="75" t="s">
        <v>1904</v>
      </c>
      <c r="E271" s="75"/>
      <c r="F271" s="68" t="str">
        <f t="shared" si="12"/>
        <v>Buremba</v>
      </c>
      <c r="G271" s="68" t="str">
        <f t="shared" si="13"/>
        <v>Kiruhura</v>
      </c>
      <c r="H271" s="75" t="s">
        <v>1904</v>
      </c>
    </row>
    <row r="272" spans="1:8">
      <c r="A272" s="74">
        <v>1407</v>
      </c>
      <c r="B272" s="75" t="s">
        <v>819</v>
      </c>
      <c r="C272" s="75" t="s">
        <v>819</v>
      </c>
      <c r="D272" s="75" t="s">
        <v>822</v>
      </c>
      <c r="E272" s="75"/>
      <c r="F272" s="68" t="str">
        <f t="shared" si="12"/>
        <v>Burere</v>
      </c>
      <c r="G272" s="68" t="str">
        <f t="shared" si="13"/>
        <v>Buhweju</v>
      </c>
      <c r="H272" s="75" t="s">
        <v>822</v>
      </c>
    </row>
    <row r="273" spans="1:8">
      <c r="A273" s="74">
        <v>1109</v>
      </c>
      <c r="B273" s="75" t="s">
        <v>897</v>
      </c>
      <c r="C273" s="75" t="s">
        <v>901</v>
      </c>
      <c r="D273" s="75" t="s">
        <v>904</v>
      </c>
      <c r="E273" s="75"/>
      <c r="F273" s="68" t="str">
        <f t="shared" si="12"/>
        <v>Burondo</v>
      </c>
      <c r="G273" s="68" t="str">
        <f t="shared" si="13"/>
        <v>Bundibugyo</v>
      </c>
      <c r="H273" s="75" t="s">
        <v>904</v>
      </c>
    </row>
    <row r="274" spans="1:8">
      <c r="A274" s="74">
        <v>1477</v>
      </c>
      <c r="B274" s="75" t="s">
        <v>1193</v>
      </c>
      <c r="C274" s="75" t="s">
        <v>1194</v>
      </c>
      <c r="D274" s="75" t="s">
        <v>1192</v>
      </c>
      <c r="E274" s="75"/>
      <c r="F274" s="68" t="str">
        <f t="shared" si="12"/>
        <v>Burora</v>
      </c>
      <c r="G274" s="68" t="str">
        <f t="shared" si="13"/>
        <v>Kagadi</v>
      </c>
      <c r="H274" s="75" t="s">
        <v>1192</v>
      </c>
    </row>
    <row r="275" spans="1:8">
      <c r="A275" s="74">
        <v>1388</v>
      </c>
      <c r="B275" s="75" t="s">
        <v>1905</v>
      </c>
      <c r="C275" s="75" t="s">
        <v>1906</v>
      </c>
      <c r="D275" s="75" t="s">
        <v>1907</v>
      </c>
      <c r="E275" s="75"/>
      <c r="F275" s="68" t="str">
        <f t="shared" si="12"/>
        <v>Burunga</v>
      </c>
      <c r="G275" s="68" t="str">
        <f t="shared" si="13"/>
        <v>Kiruhura</v>
      </c>
      <c r="H275" s="75" t="s">
        <v>1907</v>
      </c>
    </row>
    <row r="276" spans="1:8">
      <c r="A276" s="74">
        <v>527</v>
      </c>
      <c r="B276" s="75" t="s">
        <v>1855</v>
      </c>
      <c r="C276" s="75" t="s">
        <v>1857</v>
      </c>
      <c r="D276" s="75" t="s">
        <v>1856</v>
      </c>
      <c r="E276" s="75"/>
      <c r="F276" s="68" t="str">
        <f t="shared" si="12"/>
        <v>Busaana</v>
      </c>
      <c r="G276" s="68" t="str">
        <f t="shared" si="13"/>
        <v>Kayunga</v>
      </c>
      <c r="H276" s="75" t="s">
        <v>1856</v>
      </c>
    </row>
    <row r="277" spans="1:8">
      <c r="A277" s="74">
        <v>950</v>
      </c>
      <c r="B277" s="75" t="s">
        <v>965</v>
      </c>
      <c r="C277" s="75" t="s">
        <v>966</v>
      </c>
      <c r="D277" s="75" t="s">
        <v>967</v>
      </c>
      <c r="E277" s="75"/>
      <c r="F277" s="68" t="str">
        <f t="shared" si="12"/>
        <v>Busaba</v>
      </c>
      <c r="G277" s="68" t="str">
        <f t="shared" si="13"/>
        <v>Butaleja</v>
      </c>
      <c r="H277" s="75" t="s">
        <v>967</v>
      </c>
    </row>
    <row r="278" spans="1:8">
      <c r="A278" s="74">
        <v>951</v>
      </c>
      <c r="B278" s="75" t="s">
        <v>965</v>
      </c>
      <c r="C278" s="75" t="s">
        <v>966</v>
      </c>
      <c r="D278" s="75" t="s">
        <v>968</v>
      </c>
      <c r="E278" s="75"/>
      <c r="F278" s="68" t="str">
        <f t="shared" si="12"/>
        <v>Busabi</v>
      </c>
      <c r="G278" s="68" t="str">
        <f t="shared" si="13"/>
        <v>Butaleja</v>
      </c>
      <c r="H278" s="75" t="s">
        <v>968</v>
      </c>
    </row>
    <row r="279" spans="1:8">
      <c r="A279" s="74">
        <v>854</v>
      </c>
      <c r="B279" s="75" t="s">
        <v>2209</v>
      </c>
      <c r="C279" s="75" t="s">
        <v>2210</v>
      </c>
      <c r="D279" s="75" t="s">
        <v>2213</v>
      </c>
      <c r="E279" s="75"/>
      <c r="F279" s="68" t="str">
        <f t="shared" si="12"/>
        <v>Busakira</v>
      </c>
      <c r="G279" s="68" t="str">
        <f t="shared" si="13"/>
        <v>Mayuge</v>
      </c>
      <c r="H279" s="75" t="s">
        <v>2213</v>
      </c>
    </row>
    <row r="280" spans="1:8">
      <c r="A280" s="74">
        <v>618</v>
      </c>
      <c r="B280" s="75" t="s">
        <v>995</v>
      </c>
      <c r="C280" s="75" t="s">
        <v>996</v>
      </c>
      <c r="D280" s="75" t="s">
        <v>997</v>
      </c>
      <c r="E280" s="75"/>
      <c r="F280" s="68" t="str">
        <f t="shared" si="12"/>
        <v>Busamuzi</v>
      </c>
      <c r="G280" s="68" t="str">
        <f t="shared" si="13"/>
        <v>Buvuma</v>
      </c>
      <c r="H280" s="75" t="s">
        <v>997</v>
      </c>
    </row>
    <row r="281" spans="1:8">
      <c r="A281" s="74">
        <v>781</v>
      </c>
      <c r="B281" s="75" t="s">
        <v>2225</v>
      </c>
      <c r="C281" s="75" t="s">
        <v>2226</v>
      </c>
      <c r="D281" s="75" t="s">
        <v>2235</v>
      </c>
      <c r="E281" s="75"/>
      <c r="F281" s="68" t="str">
        <f t="shared" si="12"/>
        <v>Busano</v>
      </c>
      <c r="G281" s="68" t="str">
        <f t="shared" si="13"/>
        <v>Mbale</v>
      </c>
      <c r="H281" s="75" t="s">
        <v>2235</v>
      </c>
    </row>
    <row r="282" spans="1:8">
      <c r="A282" s="74">
        <v>1219</v>
      </c>
      <c r="B282" s="75" t="s">
        <v>1940</v>
      </c>
      <c r="C282" s="75" t="s">
        <v>1941</v>
      </c>
      <c r="D282" s="75" t="s">
        <v>1942</v>
      </c>
      <c r="E282" s="75"/>
      <c r="F282" s="68" t="str">
        <f t="shared" si="12"/>
        <v>Busanza</v>
      </c>
      <c r="G282" s="68" t="str">
        <f t="shared" si="13"/>
        <v>Kisoro</v>
      </c>
      <c r="H282" s="75" t="s">
        <v>1942</v>
      </c>
    </row>
    <row r="283" spans="1:8">
      <c r="A283" s="74">
        <v>1115</v>
      </c>
      <c r="B283" s="75" t="s">
        <v>897</v>
      </c>
      <c r="C283" s="75" t="s">
        <v>898</v>
      </c>
      <c r="D283" s="75" t="s">
        <v>905</v>
      </c>
      <c r="E283" s="75"/>
      <c r="F283" s="68" t="str">
        <f t="shared" si="12"/>
        <v>Busaru</v>
      </c>
      <c r="G283" s="68" t="str">
        <f t="shared" si="13"/>
        <v>Bundibugyo</v>
      </c>
      <c r="H283" s="75" t="s">
        <v>905</v>
      </c>
    </row>
    <row r="284" spans="1:8">
      <c r="A284" s="74">
        <v>714</v>
      </c>
      <c r="B284" s="75" t="s">
        <v>1114</v>
      </c>
      <c r="C284" s="75" t="s">
        <v>1117</v>
      </c>
      <c r="D284" s="75" t="s">
        <v>1118</v>
      </c>
      <c r="E284" s="75"/>
      <c r="F284" s="68" t="str">
        <f t="shared" si="12"/>
        <v>Busedde</v>
      </c>
      <c r="G284" s="68" t="str">
        <f t="shared" si="13"/>
        <v>Jinja</v>
      </c>
      <c r="H284" s="75" t="s">
        <v>1118</v>
      </c>
    </row>
    <row r="285" spans="1:8">
      <c r="A285" s="74">
        <v>697</v>
      </c>
      <c r="B285" s="75" t="s">
        <v>1074</v>
      </c>
      <c r="C285" s="75" t="s">
        <v>1077</v>
      </c>
      <c r="D285" s="75" t="s">
        <v>1076</v>
      </c>
      <c r="E285" s="75"/>
      <c r="F285" s="68" t="str">
        <f t="shared" si="12"/>
        <v>Busembatia Town Council</v>
      </c>
      <c r="G285" s="68" t="str">
        <f t="shared" si="13"/>
        <v>Iganga</v>
      </c>
      <c r="H285" s="75" t="s">
        <v>1076</v>
      </c>
    </row>
    <row r="286" spans="1:8">
      <c r="A286" s="74">
        <v>1025</v>
      </c>
      <c r="B286" s="75" t="s">
        <v>1895</v>
      </c>
      <c r="C286" s="75" t="s">
        <v>1895</v>
      </c>
      <c r="D286" s="75" t="s">
        <v>1896</v>
      </c>
      <c r="E286" s="75"/>
      <c r="F286" s="68" t="str">
        <f t="shared" si="12"/>
        <v>Buseta</v>
      </c>
      <c r="G286" s="68" t="str">
        <f t="shared" si="13"/>
        <v>Kibuku</v>
      </c>
      <c r="H286" s="75" t="s">
        <v>1896</v>
      </c>
    </row>
    <row r="287" spans="1:8">
      <c r="A287" s="74">
        <v>924</v>
      </c>
      <c r="B287" s="75" t="s">
        <v>789</v>
      </c>
      <c r="C287" s="75" t="s">
        <v>790</v>
      </c>
      <c r="D287" s="75" t="s">
        <v>798</v>
      </c>
      <c r="E287" s="75"/>
      <c r="F287" s="68" t="str">
        <f t="shared" si="12"/>
        <v>Bushika</v>
      </c>
      <c r="G287" s="68" t="str">
        <f t="shared" si="13"/>
        <v>Bududa</v>
      </c>
      <c r="H287" s="75" t="s">
        <v>798</v>
      </c>
    </row>
    <row r="288" spans="1:8">
      <c r="A288" s="74">
        <v>925</v>
      </c>
      <c r="B288" s="75" t="s">
        <v>789</v>
      </c>
      <c r="C288" s="75" t="s">
        <v>790</v>
      </c>
      <c r="D288" s="75" t="s">
        <v>799</v>
      </c>
      <c r="E288" s="75"/>
      <c r="F288" s="68" t="str">
        <f t="shared" si="12"/>
        <v>Bushiribo</v>
      </c>
      <c r="G288" s="68" t="str">
        <f t="shared" si="13"/>
        <v>Bududa</v>
      </c>
      <c r="H288" s="75" t="s">
        <v>799</v>
      </c>
    </row>
    <row r="289" spans="1:8">
      <c r="A289" s="74">
        <v>926</v>
      </c>
      <c r="B289" s="75" t="s">
        <v>789</v>
      </c>
      <c r="C289" s="75" t="s">
        <v>790</v>
      </c>
      <c r="D289" s="75" t="s">
        <v>800</v>
      </c>
      <c r="E289" s="75"/>
      <c r="F289" s="68" t="str">
        <f t="shared" si="12"/>
        <v>Bushiyi</v>
      </c>
      <c r="G289" s="68" t="str">
        <f t="shared" si="13"/>
        <v>Bududa</v>
      </c>
      <c r="H289" s="75" t="s">
        <v>800</v>
      </c>
    </row>
    <row r="290" spans="1:8" ht="25.5">
      <c r="A290" s="74">
        <v>1146</v>
      </c>
      <c r="B290" s="75" t="s">
        <v>1040</v>
      </c>
      <c r="C290" s="76" t="s">
        <v>1046</v>
      </c>
      <c r="D290" s="75" t="s">
        <v>3081</v>
      </c>
      <c r="E290" s="75"/>
      <c r="F290" s="69" t="str">
        <f>VLOOKUP(C290,[2]Municipalities!$C$9:$F$1522,4,FALSE)</f>
        <v>Hoima Municipality</v>
      </c>
      <c r="G290" s="68" t="str">
        <f t="shared" si="13"/>
        <v>Hoima</v>
      </c>
      <c r="H290" s="75" t="s">
        <v>3081</v>
      </c>
    </row>
    <row r="291" spans="1:8" ht="25.5">
      <c r="A291" s="74">
        <v>576</v>
      </c>
      <c r="B291" s="75" t="s">
        <v>2284</v>
      </c>
      <c r="C291" s="76" t="s">
        <v>2288</v>
      </c>
      <c r="D291" s="75" t="s">
        <v>2287</v>
      </c>
      <c r="E291" s="75"/>
      <c r="F291" s="68" t="str">
        <f t="shared" si="12"/>
        <v>Busimbi Division</v>
      </c>
      <c r="G291" s="68" t="str">
        <f t="shared" si="13"/>
        <v>Mityana</v>
      </c>
      <c r="H291" s="75" t="s">
        <v>2287</v>
      </c>
    </row>
    <row r="292" spans="1:8">
      <c r="A292" s="74">
        <v>685</v>
      </c>
      <c r="B292" s="75" t="s">
        <v>947</v>
      </c>
      <c r="C292" s="75" t="s">
        <v>948</v>
      </c>
      <c r="D292" s="75" t="s">
        <v>952</v>
      </c>
      <c r="E292" s="75"/>
      <c r="F292" s="68" t="str">
        <f t="shared" si="12"/>
        <v>Busime</v>
      </c>
      <c r="G292" s="68" t="str">
        <f t="shared" si="13"/>
        <v>Busia</v>
      </c>
      <c r="H292" s="75" t="s">
        <v>952</v>
      </c>
    </row>
    <row r="293" spans="1:8">
      <c r="A293" s="74">
        <v>1298</v>
      </c>
      <c r="B293" s="75" t="s">
        <v>45</v>
      </c>
      <c r="C293" s="75" t="s">
        <v>989</v>
      </c>
      <c r="D293" s="75" t="s">
        <v>1763</v>
      </c>
      <c r="E293" s="75"/>
      <c r="F293" s="68" t="str">
        <f t="shared" ref="F293:F342" si="14">D293</f>
        <v>Busiriba</v>
      </c>
      <c r="G293" s="68" t="str">
        <f t="shared" si="13"/>
        <v>Kamwenge</v>
      </c>
      <c r="H293" s="75" t="s">
        <v>1763</v>
      </c>
    </row>
    <row r="294" spans="1:8">
      <c r="A294" s="74">
        <v>686</v>
      </c>
      <c r="B294" s="75" t="s">
        <v>947</v>
      </c>
      <c r="C294" s="75" t="s">
        <v>948</v>
      </c>
      <c r="D294" s="75" t="s">
        <v>953</v>
      </c>
      <c r="E294" s="75"/>
      <c r="F294" s="68" t="str">
        <f t="shared" si="14"/>
        <v>Busitema</v>
      </c>
      <c r="G294" s="68" t="str">
        <f t="shared" si="13"/>
        <v>Busia</v>
      </c>
      <c r="H294" s="75" t="s">
        <v>953</v>
      </c>
    </row>
    <row r="295" spans="1:8">
      <c r="A295" s="74">
        <v>782</v>
      </c>
      <c r="B295" s="75" t="s">
        <v>2225</v>
      </c>
      <c r="C295" s="75" t="s">
        <v>2226</v>
      </c>
      <c r="D295" s="75" t="s">
        <v>2236</v>
      </c>
      <c r="E295" s="75"/>
      <c r="F295" s="68" t="str">
        <f t="shared" si="14"/>
        <v>Busiu</v>
      </c>
      <c r="G295" s="68" t="str">
        <f t="shared" si="13"/>
        <v>Mbale</v>
      </c>
      <c r="H295" s="75" t="s">
        <v>2236</v>
      </c>
    </row>
    <row r="296" spans="1:8">
      <c r="A296" s="74">
        <v>791</v>
      </c>
      <c r="B296" s="75" t="s">
        <v>2225</v>
      </c>
      <c r="C296" s="75" t="s">
        <v>2226</v>
      </c>
      <c r="D296" s="75" t="s">
        <v>2237</v>
      </c>
      <c r="E296" s="75"/>
      <c r="F296" s="68" t="str">
        <f t="shared" si="14"/>
        <v>Busiu Town Council</v>
      </c>
      <c r="G296" s="68" t="str">
        <f t="shared" si="13"/>
        <v>Mbale</v>
      </c>
      <c r="H296" s="75" t="s">
        <v>2237</v>
      </c>
    </row>
    <row r="297" spans="1:8">
      <c r="A297" s="74">
        <v>783</v>
      </c>
      <c r="B297" s="75" t="s">
        <v>2225</v>
      </c>
      <c r="C297" s="75" t="s">
        <v>2226</v>
      </c>
      <c r="D297" s="75" t="s">
        <v>2238</v>
      </c>
      <c r="E297" s="75"/>
      <c r="F297" s="68" t="str">
        <f t="shared" si="14"/>
        <v>Busoba</v>
      </c>
      <c r="G297" s="68" t="str">
        <f t="shared" si="13"/>
        <v>Mbale</v>
      </c>
      <c r="H297" s="75" t="s">
        <v>2238</v>
      </c>
    </row>
    <row r="298" spans="1:8">
      <c r="A298" s="74">
        <v>952</v>
      </c>
      <c r="B298" s="75" t="s">
        <v>965</v>
      </c>
      <c r="C298" s="75" t="s">
        <v>966</v>
      </c>
      <c r="D298" s="75" t="s">
        <v>969</v>
      </c>
      <c r="E298" s="75"/>
      <c r="F298" s="68" t="str">
        <f t="shared" si="14"/>
        <v>Busolwe</v>
      </c>
      <c r="G298" s="68" t="str">
        <f t="shared" si="13"/>
        <v>Butaleja</v>
      </c>
      <c r="H298" s="75" t="s">
        <v>969</v>
      </c>
    </row>
    <row r="299" spans="1:8">
      <c r="A299" s="74">
        <v>953</v>
      </c>
      <c r="B299" s="75" t="s">
        <v>965</v>
      </c>
      <c r="C299" s="75" t="s">
        <v>966</v>
      </c>
      <c r="D299" s="75" t="s">
        <v>970</v>
      </c>
      <c r="E299" s="75"/>
      <c r="F299" s="68" t="str">
        <f t="shared" si="14"/>
        <v>Busolwe Town Council</v>
      </c>
      <c r="G299" s="68" t="str">
        <f t="shared" si="13"/>
        <v>Butaleja</v>
      </c>
      <c r="H299" s="75" t="s">
        <v>970</v>
      </c>
    </row>
    <row r="300" spans="1:8">
      <c r="A300" s="74">
        <v>1163</v>
      </c>
      <c r="B300" s="75" t="s">
        <v>1162</v>
      </c>
      <c r="C300" s="75" t="s">
        <v>1163</v>
      </c>
      <c r="D300" s="75" t="s">
        <v>1164</v>
      </c>
      <c r="E300" s="75"/>
      <c r="F300" s="68" t="str">
        <f t="shared" si="14"/>
        <v>Busoro</v>
      </c>
      <c r="G300" s="68" t="str">
        <f t="shared" si="13"/>
        <v>Kabarole</v>
      </c>
      <c r="H300" s="75" t="s">
        <v>1164</v>
      </c>
    </row>
    <row r="301" spans="1:8">
      <c r="A301" s="74">
        <v>532</v>
      </c>
      <c r="B301" s="75" t="s">
        <v>2774</v>
      </c>
      <c r="C301" s="75" t="s">
        <v>2778</v>
      </c>
      <c r="D301" s="75" t="s">
        <v>2777</v>
      </c>
      <c r="E301" s="75"/>
      <c r="F301" s="68" t="str">
        <f t="shared" si="14"/>
        <v>Bussi</v>
      </c>
      <c r="G301" s="68" t="str">
        <f t="shared" si="13"/>
        <v>Wakiso</v>
      </c>
      <c r="H301" s="75" t="s">
        <v>2777</v>
      </c>
    </row>
    <row r="302" spans="1:8" ht="25.5">
      <c r="A302" s="74">
        <v>555</v>
      </c>
      <c r="B302" s="75" t="s">
        <v>2774</v>
      </c>
      <c r="C302" s="76" t="s">
        <v>2780</v>
      </c>
      <c r="D302" s="75" t="s">
        <v>3082</v>
      </c>
      <c r="E302" s="75"/>
      <c r="F302" s="69" t="str">
        <f>VLOOKUP(C302,[2]Municipalities!$C$9:$F$1522,4,FALSE)</f>
        <v>Busukuma</v>
      </c>
      <c r="G302" s="68" t="str">
        <f t="shared" si="13"/>
        <v>Wakiso</v>
      </c>
      <c r="H302" s="75" t="s">
        <v>3082</v>
      </c>
    </row>
    <row r="303" spans="1:8">
      <c r="A303" s="74">
        <v>977</v>
      </c>
      <c r="B303" s="75" t="s">
        <v>2158</v>
      </c>
      <c r="C303" s="75" t="s">
        <v>2159</v>
      </c>
      <c r="D303" s="75" t="s">
        <v>2164</v>
      </c>
      <c r="E303" s="75"/>
      <c r="F303" s="68" t="str">
        <f t="shared" si="14"/>
        <v>Busukuya</v>
      </c>
      <c r="G303" s="68" t="str">
        <f t="shared" si="13"/>
        <v>Manafwa</v>
      </c>
      <c r="H303" s="75" t="s">
        <v>2164</v>
      </c>
    </row>
    <row r="304" spans="1:8">
      <c r="A304" s="74">
        <v>876</v>
      </c>
      <c r="B304" s="75" t="s">
        <v>2706</v>
      </c>
      <c r="C304" s="75" t="s">
        <v>2707</v>
      </c>
      <c r="D304" s="75" t="s">
        <v>2718</v>
      </c>
      <c r="E304" s="75"/>
      <c r="F304" s="68" t="str">
        <f t="shared" si="14"/>
        <v>Busulani</v>
      </c>
      <c r="G304" s="68" t="str">
        <f t="shared" si="13"/>
        <v>Sironko</v>
      </c>
      <c r="H304" s="75" t="s">
        <v>2718</v>
      </c>
    </row>
    <row r="305" spans="1:8">
      <c r="A305" s="74">
        <v>575</v>
      </c>
      <c r="B305" s="75" t="s">
        <v>2284</v>
      </c>
      <c r="C305" s="75" t="s">
        <v>2284</v>
      </c>
      <c r="D305" s="75" t="s">
        <v>2289</v>
      </c>
      <c r="E305" s="75"/>
      <c r="F305" s="68" t="str">
        <f t="shared" si="14"/>
        <v>Busunju Town Council</v>
      </c>
      <c r="G305" s="68" t="str">
        <f t="shared" si="13"/>
        <v>Mityana</v>
      </c>
      <c r="H305" s="75" t="s">
        <v>2289</v>
      </c>
    </row>
    <row r="306" spans="1:8">
      <c r="A306" s="74">
        <v>1057</v>
      </c>
      <c r="B306" s="75" t="s">
        <v>2450</v>
      </c>
      <c r="C306" s="75" t="s">
        <v>2451</v>
      </c>
      <c r="D306" s="75" t="s">
        <v>2455</v>
      </c>
      <c r="E306" s="75"/>
      <c r="F306" s="68" t="str">
        <f t="shared" si="14"/>
        <v>Buswale</v>
      </c>
      <c r="G306" s="68" t="str">
        <f t="shared" si="13"/>
        <v>Namayingo</v>
      </c>
      <c r="H306" s="75" t="s">
        <v>2455</v>
      </c>
    </row>
    <row r="307" spans="1:8">
      <c r="A307" s="74">
        <v>721</v>
      </c>
      <c r="B307" s="75" t="s">
        <v>1114</v>
      </c>
      <c r="C307" s="75" t="s">
        <v>1115</v>
      </c>
      <c r="D307" s="75" t="s">
        <v>1119</v>
      </c>
      <c r="E307" s="75"/>
      <c r="F307" s="68" t="str">
        <f t="shared" si="14"/>
        <v>Butagaya</v>
      </c>
      <c r="G307" s="68" t="str">
        <f t="shared" si="13"/>
        <v>Jinja</v>
      </c>
      <c r="H307" s="75" t="s">
        <v>1119</v>
      </c>
    </row>
    <row r="308" spans="1:8">
      <c r="A308" s="74">
        <v>579</v>
      </c>
      <c r="B308" s="75" t="s">
        <v>2418</v>
      </c>
      <c r="C308" s="75" t="s">
        <v>2418</v>
      </c>
      <c r="D308" s="75" t="s">
        <v>2417</v>
      </c>
      <c r="E308" s="75"/>
      <c r="F308" s="68" t="str">
        <f t="shared" si="14"/>
        <v>Butalangu Town Council</v>
      </c>
      <c r="G308" s="68" t="str">
        <f t="shared" si="13"/>
        <v>Nakaseke</v>
      </c>
      <c r="H308" s="75" t="s">
        <v>2417</v>
      </c>
    </row>
    <row r="309" spans="1:8">
      <c r="A309" s="74">
        <v>954</v>
      </c>
      <c r="B309" s="75" t="s">
        <v>965</v>
      </c>
      <c r="C309" s="75" t="s">
        <v>966</v>
      </c>
      <c r="D309" s="75" t="s">
        <v>965</v>
      </c>
      <c r="E309" s="75"/>
      <c r="F309" s="68" t="str">
        <f t="shared" si="14"/>
        <v>Butaleja</v>
      </c>
      <c r="G309" s="68" t="str">
        <f t="shared" si="13"/>
        <v>Butaleja</v>
      </c>
      <c r="H309" s="75" t="s">
        <v>965</v>
      </c>
    </row>
    <row r="310" spans="1:8">
      <c r="A310" s="74">
        <v>955</v>
      </c>
      <c r="B310" s="75" t="s">
        <v>965</v>
      </c>
      <c r="C310" s="75" t="s">
        <v>966</v>
      </c>
      <c r="D310" s="75" t="s">
        <v>971</v>
      </c>
      <c r="E310" s="75"/>
      <c r="F310" s="68" t="str">
        <f t="shared" si="14"/>
        <v>Butaleja Town Council</v>
      </c>
      <c r="G310" s="68" t="str">
        <f t="shared" si="13"/>
        <v>Butaleja</v>
      </c>
      <c r="H310" s="75" t="s">
        <v>971</v>
      </c>
    </row>
    <row r="311" spans="1:8">
      <c r="A311" s="74">
        <v>1153</v>
      </c>
      <c r="B311" s="75" t="s">
        <v>1148</v>
      </c>
      <c r="C311" s="75" t="s">
        <v>1149</v>
      </c>
      <c r="D311" s="75" t="s">
        <v>1150</v>
      </c>
      <c r="E311" s="75"/>
      <c r="F311" s="68" t="str">
        <f t="shared" si="14"/>
        <v>Butanda</v>
      </c>
      <c r="G311" s="68" t="str">
        <f t="shared" si="13"/>
        <v>Kabale</v>
      </c>
      <c r="H311" s="75" t="s">
        <v>1150</v>
      </c>
    </row>
    <row r="312" spans="1:8">
      <c r="A312" s="74">
        <v>877</v>
      </c>
      <c r="B312" s="75" t="s">
        <v>2706</v>
      </c>
      <c r="C312" s="75" t="s">
        <v>2707</v>
      </c>
      <c r="D312" s="75" t="s">
        <v>2719</v>
      </c>
      <c r="E312" s="75"/>
      <c r="F312" s="68" t="str">
        <f t="shared" si="14"/>
        <v>Butandiga</v>
      </c>
      <c r="G312" s="68" t="str">
        <f t="shared" si="13"/>
        <v>Sironko</v>
      </c>
      <c r="H312" s="75" t="s">
        <v>2719</v>
      </c>
    </row>
    <row r="313" spans="1:8">
      <c r="A313" s="74">
        <v>727</v>
      </c>
      <c r="B313" s="75" t="s">
        <v>1744</v>
      </c>
      <c r="C313" s="75" t="s">
        <v>1745</v>
      </c>
      <c r="D313" s="75" t="s">
        <v>1749</v>
      </c>
      <c r="E313" s="75"/>
      <c r="F313" s="68" t="str">
        <f t="shared" si="14"/>
        <v>Butansi</v>
      </c>
      <c r="G313" s="68" t="str">
        <f t="shared" si="13"/>
        <v>Kamuli</v>
      </c>
      <c r="H313" s="75" t="s">
        <v>1749</v>
      </c>
    </row>
    <row r="314" spans="1:8">
      <c r="A314" s="74">
        <v>566</v>
      </c>
      <c r="B314" s="75" t="s">
        <v>2284</v>
      </c>
      <c r="C314" s="75" t="s">
        <v>2285</v>
      </c>
      <c r="D314" s="75" t="s">
        <v>2294</v>
      </c>
      <c r="E314" s="75"/>
      <c r="F314" s="68" t="str">
        <f t="shared" si="14"/>
        <v>Butayunja</v>
      </c>
      <c r="G314" s="68" t="str">
        <f t="shared" si="13"/>
        <v>Mityana</v>
      </c>
      <c r="H314" s="75" t="s">
        <v>2294</v>
      </c>
    </row>
    <row r="315" spans="1:8">
      <c r="A315" s="74">
        <v>687</v>
      </c>
      <c r="B315" s="75" t="s">
        <v>947</v>
      </c>
      <c r="C315" s="75" t="s">
        <v>948</v>
      </c>
      <c r="D315" s="75" t="s">
        <v>954</v>
      </c>
      <c r="E315" s="75"/>
      <c r="F315" s="68" t="str">
        <f t="shared" si="14"/>
        <v>Buteba</v>
      </c>
      <c r="G315" s="68" t="str">
        <f t="shared" si="13"/>
        <v>Busia</v>
      </c>
      <c r="H315" s="75" t="s">
        <v>954</v>
      </c>
    </row>
    <row r="316" spans="1:8" ht="25.5">
      <c r="A316" s="74">
        <v>1078</v>
      </c>
      <c r="B316" s="75" t="s">
        <v>984</v>
      </c>
      <c r="C316" s="75" t="s">
        <v>985</v>
      </c>
      <c r="D316" s="75" t="s">
        <v>984</v>
      </c>
      <c r="E316" s="75"/>
      <c r="F316" s="68" t="str">
        <f t="shared" si="14"/>
        <v>Butebo</v>
      </c>
      <c r="G316" s="68" t="str">
        <f t="shared" si="13"/>
        <v>Butebo</v>
      </c>
      <c r="H316" s="75" t="s">
        <v>984</v>
      </c>
    </row>
    <row r="317" spans="1:8">
      <c r="A317" s="74">
        <v>639</v>
      </c>
      <c r="B317" s="75" t="s">
        <v>2012</v>
      </c>
      <c r="C317" s="75" t="s">
        <v>1882</v>
      </c>
      <c r="D317" s="75" t="s">
        <v>2013</v>
      </c>
      <c r="E317" s="75"/>
      <c r="F317" s="68" t="str">
        <f t="shared" si="14"/>
        <v>Butemba</v>
      </c>
      <c r="G317" s="68" t="str">
        <f t="shared" si="13"/>
        <v>Kyankwanzi</v>
      </c>
      <c r="H317" s="75" t="s">
        <v>2013</v>
      </c>
    </row>
    <row r="318" spans="1:8">
      <c r="A318" s="74">
        <v>640</v>
      </c>
      <c r="B318" s="75" t="s">
        <v>2012</v>
      </c>
      <c r="C318" s="75" t="s">
        <v>1882</v>
      </c>
      <c r="D318" s="75" t="s">
        <v>2014</v>
      </c>
      <c r="E318" s="75"/>
      <c r="F318" s="68" t="str">
        <f t="shared" si="14"/>
        <v>Butemba Town Council</v>
      </c>
      <c r="G318" s="68" t="str">
        <f t="shared" si="13"/>
        <v>Kyankwanzi</v>
      </c>
      <c r="H318" s="75" t="s">
        <v>2014</v>
      </c>
    </row>
    <row r="319" spans="1:8">
      <c r="A319" s="74">
        <v>608</v>
      </c>
      <c r="B319" s="75" t="s">
        <v>851</v>
      </c>
      <c r="C319" s="75" t="s">
        <v>851</v>
      </c>
      <c r="D319" s="75" t="s">
        <v>853</v>
      </c>
      <c r="E319" s="75"/>
      <c r="F319" s="68" t="str">
        <f t="shared" si="14"/>
        <v>Butenga</v>
      </c>
      <c r="G319" s="68" t="str">
        <f t="shared" si="13"/>
        <v>Bukomansimbi</v>
      </c>
      <c r="H319" s="75" t="s">
        <v>853</v>
      </c>
    </row>
    <row r="320" spans="1:8">
      <c r="A320" s="74">
        <v>878</v>
      </c>
      <c r="B320" s="75" t="s">
        <v>2706</v>
      </c>
      <c r="C320" s="75" t="s">
        <v>2707</v>
      </c>
      <c r="D320" s="75" t="s">
        <v>2720</v>
      </c>
      <c r="E320" s="75"/>
      <c r="F320" s="68" t="str">
        <f t="shared" si="14"/>
        <v>Buteza</v>
      </c>
      <c r="G320" s="68" t="str">
        <f t="shared" si="13"/>
        <v>Sironko</v>
      </c>
      <c r="H320" s="75" t="s">
        <v>2720</v>
      </c>
    </row>
    <row r="321" spans="1:8">
      <c r="A321" s="74">
        <v>1349</v>
      </c>
      <c r="B321" s="75" t="s">
        <v>890</v>
      </c>
      <c r="C321" s="75" t="s">
        <v>890</v>
      </c>
      <c r="D321" s="75" t="s">
        <v>892</v>
      </c>
      <c r="E321" s="75"/>
      <c r="F321" s="68" t="str">
        <f t="shared" si="14"/>
        <v>Butiaba</v>
      </c>
      <c r="G321" s="68" t="str">
        <f t="shared" si="13"/>
        <v>Buliisa</v>
      </c>
      <c r="H321" s="75" t="s">
        <v>892</v>
      </c>
    </row>
    <row r="322" spans="1:8">
      <c r="A322" s="74">
        <v>1332</v>
      </c>
      <c r="B322" s="75" t="s">
        <v>2056</v>
      </c>
      <c r="C322" s="75" t="s">
        <v>2057</v>
      </c>
      <c r="D322" s="75" t="s">
        <v>2059</v>
      </c>
      <c r="E322" s="75"/>
      <c r="F322" s="68" t="str">
        <f t="shared" si="14"/>
        <v>Butiiti</v>
      </c>
      <c r="G322" s="68" t="str">
        <f t="shared" si="13"/>
        <v>Kyenjojo</v>
      </c>
      <c r="H322" s="75" t="s">
        <v>2059</v>
      </c>
    </row>
    <row r="323" spans="1:8">
      <c r="A323" s="74">
        <v>978</v>
      </c>
      <c r="B323" s="75" t="s">
        <v>2158</v>
      </c>
      <c r="C323" s="75" t="s">
        <v>2159</v>
      </c>
      <c r="D323" s="75" t="s">
        <v>2165</v>
      </c>
      <c r="E323" s="75"/>
      <c r="F323" s="68" t="str">
        <f t="shared" si="14"/>
        <v>Butiru</v>
      </c>
      <c r="G323" s="68" t="str">
        <f t="shared" si="13"/>
        <v>Manafwa</v>
      </c>
      <c r="H323" s="75" t="s">
        <v>2165</v>
      </c>
    </row>
    <row r="324" spans="1:8">
      <c r="A324" s="74">
        <v>1313</v>
      </c>
      <c r="B324" s="75" t="s">
        <v>1779</v>
      </c>
      <c r="C324" s="75" t="s">
        <v>1780</v>
      </c>
      <c r="D324" s="75" t="s">
        <v>1778</v>
      </c>
      <c r="E324" s="75"/>
      <c r="F324" s="68" t="str">
        <f t="shared" si="14"/>
        <v>Butogota Town Council</v>
      </c>
      <c r="G324" s="68" t="str">
        <f t="shared" si="13"/>
        <v>Kanungu</v>
      </c>
      <c r="H324" s="75" t="s">
        <v>1778</v>
      </c>
    </row>
    <row r="325" spans="1:8">
      <c r="A325" s="74">
        <v>458</v>
      </c>
      <c r="B325" s="75" t="s">
        <v>2342</v>
      </c>
      <c r="C325" s="75" t="s">
        <v>2348</v>
      </c>
      <c r="D325" s="75" t="s">
        <v>2347</v>
      </c>
      <c r="E325" s="75"/>
      <c r="F325" s="68" t="str">
        <f t="shared" si="14"/>
        <v>Butoloogo</v>
      </c>
      <c r="G325" s="68" t="str">
        <f t="shared" si="13"/>
        <v>Mubende</v>
      </c>
      <c r="H325" s="75" t="s">
        <v>2347</v>
      </c>
    </row>
    <row r="326" spans="1:8">
      <c r="A326" s="74">
        <v>979</v>
      </c>
      <c r="B326" s="75" t="s">
        <v>2158</v>
      </c>
      <c r="C326" s="75" t="s">
        <v>2159</v>
      </c>
      <c r="D326" s="75" t="s">
        <v>2166</v>
      </c>
      <c r="E326" s="75"/>
      <c r="F326" s="68" t="str">
        <f t="shared" si="14"/>
        <v>Butta</v>
      </c>
      <c r="G326" s="68" t="str">
        <f t="shared" si="13"/>
        <v>Manafwa</v>
      </c>
      <c r="H326" s="75" t="s">
        <v>2166</v>
      </c>
    </row>
    <row r="327" spans="1:8">
      <c r="A327" s="74">
        <v>1333</v>
      </c>
      <c r="B327" s="75" t="s">
        <v>2056</v>
      </c>
      <c r="C327" s="75" t="s">
        <v>2057</v>
      </c>
      <c r="D327" s="75" t="s">
        <v>2060</v>
      </c>
      <c r="E327" s="75"/>
      <c r="F327" s="68" t="str">
        <f t="shared" si="14"/>
        <v>Butunduzi</v>
      </c>
      <c r="G327" s="68" t="str">
        <f t="shared" si="13"/>
        <v>Kyenjojo</v>
      </c>
      <c r="H327" s="75" t="s">
        <v>2060</v>
      </c>
    </row>
    <row r="328" spans="1:8">
      <c r="A328" s="74">
        <v>1334</v>
      </c>
      <c r="B328" s="75" t="s">
        <v>2056</v>
      </c>
      <c r="C328" s="75" t="s">
        <v>2057</v>
      </c>
      <c r="D328" s="75" t="s">
        <v>2061</v>
      </c>
      <c r="E328" s="75"/>
      <c r="F328" s="68" t="str">
        <f t="shared" si="14"/>
        <v>Butunduzi Town Council</v>
      </c>
      <c r="G328" s="68" t="str">
        <f t="shared" si="13"/>
        <v>Kyenjojo</v>
      </c>
      <c r="H328" s="75" t="s">
        <v>2061</v>
      </c>
    </row>
    <row r="329" spans="1:8">
      <c r="A329" s="74">
        <v>1442</v>
      </c>
      <c r="B329" s="75" t="s">
        <v>2514</v>
      </c>
      <c r="C329" s="75" t="s">
        <v>2514</v>
      </c>
      <c r="D329" s="75" t="s">
        <v>2513</v>
      </c>
      <c r="E329" s="75"/>
      <c r="F329" s="68" t="str">
        <f t="shared" si="14"/>
        <v>Butungama</v>
      </c>
      <c r="G329" s="68" t="str">
        <f t="shared" si="13"/>
        <v>Ntoroko</v>
      </c>
      <c r="H329" s="75" t="s">
        <v>2513</v>
      </c>
    </row>
    <row r="330" spans="1:8">
      <c r="A330" s="74">
        <v>435</v>
      </c>
      <c r="B330" s="75" t="s">
        <v>2113</v>
      </c>
      <c r="C330" s="75" t="s">
        <v>2115</v>
      </c>
      <c r="D330" s="75" t="s">
        <v>2119</v>
      </c>
      <c r="E330" s="75"/>
      <c r="F330" s="68" t="str">
        <f t="shared" si="14"/>
        <v>Butuntumula</v>
      </c>
      <c r="G330" s="68" t="str">
        <f t="shared" ref="G330:G393" si="15">B330</f>
        <v>Luwero</v>
      </c>
      <c r="H330" s="75" t="s">
        <v>2119</v>
      </c>
    </row>
    <row r="331" spans="1:8">
      <c r="A331" s="74">
        <v>619</v>
      </c>
      <c r="B331" s="75" t="s">
        <v>995</v>
      </c>
      <c r="C331" s="75" t="s">
        <v>996</v>
      </c>
      <c r="D331" s="75" t="s">
        <v>998</v>
      </c>
      <c r="E331" s="75"/>
      <c r="F331" s="68" t="str">
        <f t="shared" si="14"/>
        <v>Buvuma Town Council</v>
      </c>
      <c r="G331" s="68" t="str">
        <f t="shared" si="15"/>
        <v>Buvuma</v>
      </c>
      <c r="H331" s="75" t="s">
        <v>998</v>
      </c>
    </row>
    <row r="332" spans="1:8">
      <c r="A332" s="74">
        <v>855</v>
      </c>
      <c r="B332" s="75" t="s">
        <v>2209</v>
      </c>
      <c r="C332" s="75" t="s">
        <v>2210</v>
      </c>
      <c r="D332" s="75" t="s">
        <v>2214</v>
      </c>
      <c r="E332" s="75"/>
      <c r="F332" s="68" t="str">
        <f t="shared" si="14"/>
        <v>Buwaaya</v>
      </c>
      <c r="G332" s="68" t="str">
        <f t="shared" si="15"/>
        <v>Mayuge</v>
      </c>
      <c r="H332" s="75" t="s">
        <v>2214</v>
      </c>
    </row>
    <row r="333" spans="1:8">
      <c r="A333" s="74">
        <v>1093</v>
      </c>
      <c r="B333" s="75" t="s">
        <v>2462</v>
      </c>
      <c r="C333" s="75" t="s">
        <v>2462</v>
      </c>
      <c r="D333" s="75" t="s">
        <v>2470</v>
      </c>
      <c r="E333" s="75"/>
      <c r="F333" s="68" t="str">
        <f t="shared" si="14"/>
        <v>Buwabwala</v>
      </c>
      <c r="G333" s="68" t="str">
        <f t="shared" si="15"/>
        <v>Namisindwa</v>
      </c>
      <c r="H333" s="75" t="s">
        <v>2470</v>
      </c>
    </row>
    <row r="334" spans="1:8">
      <c r="A334" s="74">
        <v>980</v>
      </c>
      <c r="B334" s="75" t="s">
        <v>2158</v>
      </c>
      <c r="C334" s="75" t="s">
        <v>2159</v>
      </c>
      <c r="D334" s="75" t="s">
        <v>2167</v>
      </c>
      <c r="E334" s="75"/>
      <c r="F334" s="68" t="str">
        <f t="shared" si="14"/>
        <v>Buwagogo</v>
      </c>
      <c r="G334" s="68" t="str">
        <f t="shared" si="15"/>
        <v>Manafwa</v>
      </c>
      <c r="H334" s="75" t="s">
        <v>2167</v>
      </c>
    </row>
    <row r="335" spans="1:8">
      <c r="A335" s="74">
        <v>879</v>
      </c>
      <c r="B335" s="75" t="s">
        <v>2706</v>
      </c>
      <c r="C335" s="75" t="s">
        <v>2707</v>
      </c>
      <c r="D335" s="75" t="s">
        <v>2721</v>
      </c>
      <c r="E335" s="75"/>
      <c r="F335" s="68" t="str">
        <f t="shared" si="14"/>
        <v>Buwalasi</v>
      </c>
      <c r="G335" s="68" t="str">
        <f t="shared" si="15"/>
        <v>Sironko</v>
      </c>
      <c r="H335" s="75" t="s">
        <v>2721</v>
      </c>
    </row>
    <row r="336" spans="1:8">
      <c r="A336" s="74">
        <v>927</v>
      </c>
      <c r="B336" s="75" t="s">
        <v>789</v>
      </c>
      <c r="C336" s="75" t="s">
        <v>790</v>
      </c>
      <c r="D336" s="75" t="s">
        <v>801</v>
      </c>
      <c r="E336" s="75"/>
      <c r="F336" s="68" t="str">
        <f t="shared" si="14"/>
        <v>Buwali</v>
      </c>
      <c r="G336" s="68" t="str">
        <f t="shared" si="15"/>
        <v>Bududa</v>
      </c>
      <c r="H336" s="75" t="s">
        <v>801</v>
      </c>
    </row>
    <row r="337" spans="1:8">
      <c r="A337" s="74">
        <v>451</v>
      </c>
      <c r="B337" s="75" t="s">
        <v>2328</v>
      </c>
      <c r="C337" s="75" t="s">
        <v>2329</v>
      </c>
      <c r="D337" s="75" t="s">
        <v>2327</v>
      </c>
      <c r="E337" s="75"/>
      <c r="F337" s="68" t="str">
        <f t="shared" si="14"/>
        <v>Buwama</v>
      </c>
      <c r="G337" s="68" t="str">
        <f t="shared" si="15"/>
        <v>Mpigi</v>
      </c>
      <c r="H337" s="75" t="s">
        <v>2327</v>
      </c>
    </row>
    <row r="338" spans="1:8">
      <c r="A338" s="74">
        <v>989</v>
      </c>
      <c r="B338" s="75" t="s">
        <v>2158</v>
      </c>
      <c r="C338" s="75" t="s">
        <v>2159</v>
      </c>
      <c r="D338" s="75" t="s">
        <v>2168</v>
      </c>
      <c r="E338" s="75"/>
      <c r="F338" s="68" t="str">
        <f t="shared" si="14"/>
        <v>Buwangani Town Council</v>
      </c>
      <c r="G338" s="68" t="str">
        <f t="shared" si="15"/>
        <v>Manafwa</v>
      </c>
      <c r="H338" s="75" t="s">
        <v>2168</v>
      </c>
    </row>
    <row r="339" spans="1:8">
      <c r="A339" s="74">
        <v>880</v>
      </c>
      <c r="B339" s="75" t="s">
        <v>2706</v>
      </c>
      <c r="C339" s="75" t="s">
        <v>2707</v>
      </c>
      <c r="D339" s="75" t="s">
        <v>2722</v>
      </c>
      <c r="E339" s="75"/>
      <c r="F339" s="68" t="str">
        <f t="shared" si="14"/>
        <v>Buwasa</v>
      </c>
      <c r="G339" s="68" t="str">
        <f t="shared" si="15"/>
        <v>Sironko</v>
      </c>
      <c r="H339" s="75" t="s">
        <v>2722</v>
      </c>
    </row>
    <row r="340" spans="1:8">
      <c r="A340" s="74">
        <v>722</v>
      </c>
      <c r="B340" s="75" t="s">
        <v>1114</v>
      </c>
      <c r="C340" s="75" t="s">
        <v>1115</v>
      </c>
      <c r="D340" s="75" t="s">
        <v>1120</v>
      </c>
      <c r="E340" s="75"/>
      <c r="F340" s="68" t="str">
        <f t="shared" si="14"/>
        <v>Buwenge</v>
      </c>
      <c r="G340" s="68" t="str">
        <f t="shared" si="15"/>
        <v>Jinja</v>
      </c>
      <c r="H340" s="75" t="s">
        <v>1120</v>
      </c>
    </row>
    <row r="341" spans="1:8">
      <c r="A341" s="74">
        <v>723</v>
      </c>
      <c r="B341" s="75" t="s">
        <v>1114</v>
      </c>
      <c r="C341" s="75" t="s">
        <v>1115</v>
      </c>
      <c r="D341" s="75" t="s">
        <v>1121</v>
      </c>
      <c r="E341" s="75"/>
      <c r="F341" s="68" t="str">
        <f t="shared" si="14"/>
        <v>Buwenge Town Council</v>
      </c>
      <c r="G341" s="68" t="str">
        <f t="shared" si="15"/>
        <v>Jinja</v>
      </c>
      <c r="H341" s="75" t="s">
        <v>1121</v>
      </c>
    </row>
    <row r="342" spans="1:8">
      <c r="A342" s="74">
        <v>620</v>
      </c>
      <c r="B342" s="75" t="s">
        <v>995</v>
      </c>
      <c r="C342" s="75" t="s">
        <v>996</v>
      </c>
      <c r="D342" s="75" t="s">
        <v>999</v>
      </c>
      <c r="E342" s="75"/>
      <c r="F342" s="68" t="str">
        <f t="shared" si="14"/>
        <v>Buwooya</v>
      </c>
      <c r="G342" s="68" t="str">
        <f t="shared" si="15"/>
        <v>Buvuma</v>
      </c>
      <c r="H342" s="75" t="s">
        <v>999</v>
      </c>
    </row>
    <row r="343" spans="1:8">
      <c r="A343" s="74">
        <v>443</v>
      </c>
      <c r="B343" s="75" t="s">
        <v>39</v>
      </c>
      <c r="C343" s="75" t="s">
        <v>23</v>
      </c>
      <c r="D343" s="79" t="s">
        <v>3083</v>
      </c>
      <c r="E343" s="75"/>
      <c r="F343" s="68" t="str">
        <f t="shared" ref="F343:F346" si="16">D343&amp;"-"&amp;B343</f>
        <v>Buwunga-Masaka</v>
      </c>
      <c r="G343" s="68" t="str">
        <f t="shared" si="15"/>
        <v>Masaka</v>
      </c>
      <c r="H343" s="79" t="s">
        <v>3083</v>
      </c>
    </row>
    <row r="344" spans="1:8">
      <c r="A344" s="74">
        <v>675</v>
      </c>
      <c r="B344" s="75" t="s">
        <v>806</v>
      </c>
      <c r="C344" s="75" t="s">
        <v>807</v>
      </c>
      <c r="D344" s="79" t="s">
        <v>3083</v>
      </c>
      <c r="E344" s="75"/>
      <c r="F344" s="68" t="str">
        <f t="shared" si="16"/>
        <v>Buwunga-Bugiri</v>
      </c>
      <c r="G344" s="68" t="str">
        <f t="shared" si="15"/>
        <v>Bugiri</v>
      </c>
      <c r="H344" s="79" t="s">
        <v>3083</v>
      </c>
    </row>
    <row r="345" spans="1:8">
      <c r="A345" s="74">
        <v>688</v>
      </c>
      <c r="B345" s="75" t="s">
        <v>947</v>
      </c>
      <c r="C345" s="75" t="s">
        <v>948</v>
      </c>
      <c r="D345" s="79" t="s">
        <v>3084</v>
      </c>
      <c r="E345" s="75"/>
      <c r="F345" s="68" t="str">
        <f t="shared" si="16"/>
        <v>Buyanga-Busia</v>
      </c>
      <c r="G345" s="68" t="str">
        <f t="shared" si="15"/>
        <v>Busia</v>
      </c>
      <c r="H345" s="79" t="s">
        <v>3084</v>
      </c>
    </row>
    <row r="346" spans="1:8">
      <c r="A346" s="74">
        <v>698</v>
      </c>
      <c r="B346" s="75" t="s">
        <v>1074</v>
      </c>
      <c r="C346" s="75" t="s">
        <v>1077</v>
      </c>
      <c r="D346" s="79" t="s">
        <v>3084</v>
      </c>
      <c r="E346" s="75"/>
      <c r="F346" s="68" t="str">
        <f t="shared" si="16"/>
        <v>Buyanga-Iganga</v>
      </c>
      <c r="G346" s="68" t="str">
        <f t="shared" si="15"/>
        <v>Iganga</v>
      </c>
      <c r="H346" s="79" t="s">
        <v>3084</v>
      </c>
    </row>
    <row r="347" spans="1:8">
      <c r="A347" s="74">
        <v>1283</v>
      </c>
      <c r="B347" s="75" t="s">
        <v>40</v>
      </c>
      <c r="C347" s="75" t="s">
        <v>2665</v>
      </c>
      <c r="D347" s="75" t="s">
        <v>1872</v>
      </c>
      <c r="E347" s="75"/>
      <c r="F347" s="68" t="str">
        <f t="shared" ref="F347:F370" si="17">D347</f>
        <v>Buyanja</v>
      </c>
      <c r="G347" s="68" t="str">
        <f t="shared" si="15"/>
        <v>Rukungiri</v>
      </c>
      <c r="H347" s="75" t="s">
        <v>1872</v>
      </c>
    </row>
    <row r="348" spans="1:8">
      <c r="A348" s="74">
        <v>1287</v>
      </c>
      <c r="B348" s="75" t="s">
        <v>40</v>
      </c>
      <c r="C348" s="75" t="s">
        <v>2665</v>
      </c>
      <c r="D348" s="75" t="s">
        <v>2666</v>
      </c>
      <c r="E348" s="75"/>
      <c r="F348" s="68" t="str">
        <f t="shared" si="17"/>
        <v>Buyanja Town Council</v>
      </c>
      <c r="G348" s="68" t="str">
        <f t="shared" si="15"/>
        <v>Rukungiri</v>
      </c>
      <c r="H348" s="75" t="s">
        <v>2666</v>
      </c>
    </row>
    <row r="349" spans="1:8">
      <c r="A349" s="74">
        <v>1019</v>
      </c>
      <c r="B349" s="75" t="s">
        <v>1007</v>
      </c>
      <c r="C349" s="75" t="s">
        <v>1008</v>
      </c>
      <c r="D349" s="75" t="s">
        <v>1007</v>
      </c>
      <c r="E349" s="75"/>
      <c r="F349" s="68" t="str">
        <f t="shared" si="17"/>
        <v>Buyende</v>
      </c>
      <c r="G349" s="68" t="str">
        <f t="shared" si="15"/>
        <v>Buyende</v>
      </c>
      <c r="H349" s="75" t="s">
        <v>1007</v>
      </c>
    </row>
    <row r="350" spans="1:8">
      <c r="A350" s="74">
        <v>1020</v>
      </c>
      <c r="B350" s="75" t="s">
        <v>1007</v>
      </c>
      <c r="C350" s="75" t="s">
        <v>1008</v>
      </c>
      <c r="D350" s="75" t="s">
        <v>1009</v>
      </c>
      <c r="E350" s="75"/>
      <c r="F350" s="68" t="str">
        <f t="shared" si="17"/>
        <v>Buyende Town Council</v>
      </c>
      <c r="G350" s="68" t="str">
        <f t="shared" si="15"/>
        <v>Buyende</v>
      </c>
      <c r="H350" s="75" t="s">
        <v>1009</v>
      </c>
    </row>
    <row r="351" spans="1:8">
      <c r="A351" s="74">
        <v>724</v>
      </c>
      <c r="B351" s="75" t="s">
        <v>1114</v>
      </c>
      <c r="C351" s="75" t="s">
        <v>1115</v>
      </c>
      <c r="D351" s="75" t="s">
        <v>1122</v>
      </c>
      <c r="E351" s="75"/>
      <c r="F351" s="68" t="str">
        <f t="shared" si="17"/>
        <v>Buyengo</v>
      </c>
      <c r="G351" s="68" t="str">
        <f t="shared" si="15"/>
        <v>Jinja</v>
      </c>
      <c r="H351" s="75" t="s">
        <v>1122</v>
      </c>
    </row>
    <row r="352" spans="1:8">
      <c r="A352" s="74">
        <v>964</v>
      </c>
      <c r="B352" s="75" t="s">
        <v>1234</v>
      </c>
      <c r="C352" s="75" t="s">
        <v>1073</v>
      </c>
      <c r="D352" s="75" t="s">
        <v>1237</v>
      </c>
      <c r="E352" s="75"/>
      <c r="F352" s="68" t="str">
        <f t="shared" si="17"/>
        <v>Buyinda</v>
      </c>
      <c r="G352" s="68" t="str">
        <f t="shared" si="15"/>
        <v>Kaliro</v>
      </c>
      <c r="H352" s="75" t="s">
        <v>1237</v>
      </c>
    </row>
    <row r="353" spans="1:8">
      <c r="A353" s="74">
        <v>1058</v>
      </c>
      <c r="B353" s="75" t="s">
        <v>2450</v>
      </c>
      <c r="C353" s="75" t="s">
        <v>2451</v>
      </c>
      <c r="D353" s="75" t="s">
        <v>2456</v>
      </c>
      <c r="E353" s="75"/>
      <c r="F353" s="68" t="str">
        <f t="shared" si="17"/>
        <v>Buyinja</v>
      </c>
      <c r="G353" s="68" t="str">
        <f t="shared" si="15"/>
        <v>Namayingo</v>
      </c>
      <c r="H353" s="75" t="s">
        <v>2456</v>
      </c>
    </row>
    <row r="354" spans="1:8">
      <c r="A354" s="74">
        <v>881</v>
      </c>
      <c r="B354" s="75" t="s">
        <v>2706</v>
      </c>
      <c r="C354" s="75" t="s">
        <v>2707</v>
      </c>
      <c r="D354" s="75" t="s">
        <v>2723</v>
      </c>
      <c r="E354" s="75"/>
      <c r="F354" s="68" t="str">
        <f t="shared" si="17"/>
        <v>Buyobo</v>
      </c>
      <c r="G354" s="68" t="str">
        <f t="shared" si="15"/>
        <v>Sironko</v>
      </c>
      <c r="H354" s="75" t="s">
        <v>2723</v>
      </c>
    </row>
    <row r="355" spans="1:8">
      <c r="A355" s="74">
        <v>1291</v>
      </c>
      <c r="B355" s="75" t="s">
        <v>40</v>
      </c>
      <c r="C355" s="75" t="s">
        <v>2663</v>
      </c>
      <c r="D355" s="75" t="s">
        <v>2667</v>
      </c>
      <c r="E355" s="75"/>
      <c r="F355" s="68" t="str">
        <f t="shared" si="17"/>
        <v>Bwambara</v>
      </c>
      <c r="G355" s="68" t="str">
        <f t="shared" si="15"/>
        <v>Rukungiri</v>
      </c>
      <c r="H355" s="75" t="s">
        <v>2667</v>
      </c>
    </row>
    <row r="356" spans="1:8">
      <c r="A356" s="74">
        <v>1209</v>
      </c>
      <c r="B356" s="75" t="s">
        <v>1871</v>
      </c>
      <c r="C356" s="75" t="s">
        <v>1872</v>
      </c>
      <c r="D356" s="75" t="s">
        <v>1873</v>
      </c>
      <c r="E356" s="75"/>
      <c r="F356" s="68" t="str">
        <f t="shared" si="17"/>
        <v>Bwamiramira</v>
      </c>
      <c r="G356" s="68" t="str">
        <f t="shared" si="15"/>
        <v>Kibaale</v>
      </c>
      <c r="H356" s="75" t="s">
        <v>1873</v>
      </c>
    </row>
    <row r="357" spans="1:8">
      <c r="A357" s="74">
        <v>1496</v>
      </c>
      <c r="B357" s="75" t="s">
        <v>1212</v>
      </c>
      <c r="C357" s="75" t="s">
        <v>1213</v>
      </c>
      <c r="D357" s="75" t="s">
        <v>1214</v>
      </c>
      <c r="E357" s="75"/>
      <c r="F357" s="68" t="str">
        <f t="shared" si="17"/>
        <v>Bwanswa</v>
      </c>
      <c r="G357" s="68" t="str">
        <f t="shared" si="15"/>
        <v>Kakumiro</v>
      </c>
      <c r="H357" s="75" t="s">
        <v>1214</v>
      </c>
    </row>
    <row r="358" spans="1:8">
      <c r="A358" s="74">
        <v>621</v>
      </c>
      <c r="B358" s="75" t="s">
        <v>995</v>
      </c>
      <c r="C358" s="75" t="s">
        <v>996</v>
      </c>
      <c r="D358" s="75" t="s">
        <v>1000</v>
      </c>
      <c r="E358" s="75"/>
      <c r="F358" s="68" t="str">
        <f t="shared" si="17"/>
        <v>Bweema</v>
      </c>
      <c r="G358" s="68" t="str">
        <f t="shared" si="15"/>
        <v>Buvuma</v>
      </c>
      <c r="H358" s="75" t="s">
        <v>1000</v>
      </c>
    </row>
    <row r="359" spans="1:8">
      <c r="A359" s="74">
        <v>1178</v>
      </c>
      <c r="B359" s="75" t="s">
        <v>36</v>
      </c>
      <c r="C359" s="75" t="s">
        <v>900</v>
      </c>
      <c r="D359" s="75" t="s">
        <v>37</v>
      </c>
      <c r="E359" s="75"/>
      <c r="F359" s="68" t="str">
        <f t="shared" si="17"/>
        <v>Bwera</v>
      </c>
      <c r="G359" s="68" t="str">
        <f t="shared" si="15"/>
        <v>Kasese</v>
      </c>
      <c r="H359" s="75" t="s">
        <v>37</v>
      </c>
    </row>
    <row r="360" spans="1:8">
      <c r="A360" s="74">
        <v>1443</v>
      </c>
      <c r="B360" s="75" t="s">
        <v>2514</v>
      </c>
      <c r="C360" s="75" t="s">
        <v>2514</v>
      </c>
      <c r="D360" s="75" t="s">
        <v>2515</v>
      </c>
      <c r="E360" s="75"/>
      <c r="F360" s="68" t="str">
        <f t="shared" si="17"/>
        <v>Bweramule</v>
      </c>
      <c r="G360" s="68" t="str">
        <f t="shared" si="15"/>
        <v>Ntoroko</v>
      </c>
      <c r="H360" s="75" t="s">
        <v>2515</v>
      </c>
    </row>
    <row r="361" spans="1:8">
      <c r="A361" s="74">
        <v>1194</v>
      </c>
      <c r="B361" s="75" t="s">
        <v>36</v>
      </c>
      <c r="C361" s="75" t="s">
        <v>1812</v>
      </c>
      <c r="D361" s="75" t="s">
        <v>1814</v>
      </c>
      <c r="E361" s="75"/>
      <c r="F361" s="68" t="str">
        <f t="shared" si="17"/>
        <v>Bwesumbu</v>
      </c>
      <c r="G361" s="68" t="str">
        <f t="shared" si="15"/>
        <v>Kasese</v>
      </c>
      <c r="H361" s="75" t="s">
        <v>1814</v>
      </c>
    </row>
    <row r="362" spans="1:8">
      <c r="A362" s="74">
        <v>1413</v>
      </c>
      <c r="B362" s="75" t="s">
        <v>1928</v>
      </c>
      <c r="C362" s="75" t="s">
        <v>1929</v>
      </c>
      <c r="D362" s="75" t="s">
        <v>1927</v>
      </c>
      <c r="E362" s="75"/>
      <c r="F362" s="68" t="str">
        <f t="shared" si="17"/>
        <v>Bweyale Town Council</v>
      </c>
      <c r="G362" s="68" t="str">
        <f t="shared" si="15"/>
        <v>Kiryandongo</v>
      </c>
      <c r="H362" s="75" t="s">
        <v>1927</v>
      </c>
    </row>
    <row r="363" spans="1:8">
      <c r="A363" s="74">
        <v>548</v>
      </c>
      <c r="B363" s="75" t="s">
        <v>2774</v>
      </c>
      <c r="C363" s="76" t="s">
        <v>2782</v>
      </c>
      <c r="D363" s="75" t="s">
        <v>3085</v>
      </c>
      <c r="E363" s="75"/>
      <c r="F363" s="69" t="str">
        <f>VLOOKUP(C363,[2]Municipalities!$C$9:$F$1522,4,FALSE)</f>
        <v>Bweyogerere</v>
      </c>
      <c r="G363" s="68" t="str">
        <f t="shared" si="15"/>
        <v>Wakiso</v>
      </c>
      <c r="H363" s="75" t="s">
        <v>3085</v>
      </c>
    </row>
    <row r="364" spans="1:8">
      <c r="A364" s="74">
        <v>1236</v>
      </c>
      <c r="B364" s="75" t="s">
        <v>2200</v>
      </c>
      <c r="C364" s="75" t="s">
        <v>2201</v>
      </c>
      <c r="D364" s="75" t="s">
        <v>2202</v>
      </c>
      <c r="E364" s="75"/>
      <c r="F364" s="68" t="str">
        <f t="shared" si="17"/>
        <v>Bwijanga</v>
      </c>
      <c r="G364" s="68" t="str">
        <f t="shared" si="15"/>
        <v>Masindi</v>
      </c>
      <c r="H364" s="75" t="s">
        <v>2202</v>
      </c>
    </row>
    <row r="365" spans="1:8">
      <c r="A365" s="74">
        <v>1478</v>
      </c>
      <c r="B365" s="75" t="s">
        <v>1193</v>
      </c>
      <c r="C365" s="75" t="s">
        <v>1194</v>
      </c>
      <c r="D365" s="75" t="s">
        <v>1195</v>
      </c>
      <c r="E365" s="75"/>
      <c r="F365" s="68" t="str">
        <f t="shared" si="17"/>
        <v>Bwikara</v>
      </c>
      <c r="G365" s="68" t="str">
        <f t="shared" si="15"/>
        <v>Kagadi</v>
      </c>
      <c r="H365" s="75" t="s">
        <v>1195</v>
      </c>
    </row>
    <row r="366" spans="1:8">
      <c r="A366" s="74">
        <v>1009</v>
      </c>
      <c r="B366" s="75" t="s">
        <v>870</v>
      </c>
      <c r="C366" s="75" t="s">
        <v>870</v>
      </c>
      <c r="D366" s="75" t="s">
        <v>880</v>
      </c>
      <c r="E366" s="75"/>
      <c r="F366" s="68" t="str">
        <f t="shared" si="17"/>
        <v>Bwikhonge</v>
      </c>
      <c r="G366" s="68" t="str">
        <f t="shared" si="15"/>
        <v>Bulambuli</v>
      </c>
      <c r="H366" s="75" t="s">
        <v>880</v>
      </c>
    </row>
    <row r="367" spans="1:8">
      <c r="A367" s="74">
        <v>1299</v>
      </c>
      <c r="B367" s="75" t="s">
        <v>45</v>
      </c>
      <c r="C367" s="75" t="s">
        <v>989</v>
      </c>
      <c r="D367" s="75" t="s">
        <v>1764</v>
      </c>
      <c r="E367" s="75"/>
      <c r="F367" s="68" t="str">
        <f t="shared" si="17"/>
        <v>Bwizi</v>
      </c>
      <c r="G367" s="68" t="str">
        <f t="shared" si="15"/>
        <v>Kamwenge</v>
      </c>
      <c r="H367" s="75" t="s">
        <v>1764</v>
      </c>
    </row>
    <row r="368" spans="1:8">
      <c r="A368" s="74">
        <v>1261</v>
      </c>
      <c r="B368" s="75" t="s">
        <v>47</v>
      </c>
      <c r="C368" s="75" t="s">
        <v>2525</v>
      </c>
      <c r="D368" s="75" t="s">
        <v>2524</v>
      </c>
      <c r="E368" s="75"/>
      <c r="F368" s="68" t="str">
        <f t="shared" si="17"/>
        <v>Bwongyera</v>
      </c>
      <c r="G368" s="68" t="str">
        <f t="shared" si="15"/>
        <v>Ntungamo</v>
      </c>
      <c r="H368" s="75" t="s">
        <v>2524</v>
      </c>
    </row>
    <row r="369" spans="1:9">
      <c r="A369" s="74">
        <v>506</v>
      </c>
      <c r="B369" s="75" t="s">
        <v>2618</v>
      </c>
      <c r="C369" s="75" t="s">
        <v>2078</v>
      </c>
      <c r="D369" s="75" t="s">
        <v>2617</v>
      </c>
      <c r="E369" s="75"/>
      <c r="F369" s="68" t="str">
        <f t="shared" si="17"/>
        <v>Byakabanda</v>
      </c>
      <c r="G369" s="68" t="str">
        <f t="shared" si="15"/>
        <v>Rakai</v>
      </c>
      <c r="H369" s="75" t="s">
        <v>2617</v>
      </c>
    </row>
    <row r="370" spans="1:9">
      <c r="A370" s="74">
        <v>649</v>
      </c>
      <c r="B370" s="75" t="s">
        <v>2012</v>
      </c>
      <c r="C370" s="75" t="s">
        <v>1882</v>
      </c>
      <c r="D370" s="75" t="s">
        <v>2015</v>
      </c>
      <c r="E370" s="75"/>
      <c r="F370" s="68" t="str">
        <f t="shared" si="17"/>
        <v>Byerima</v>
      </c>
      <c r="G370" s="68" t="str">
        <f t="shared" si="15"/>
        <v>Kyankwanzi</v>
      </c>
      <c r="H370" s="75" t="s">
        <v>2015</v>
      </c>
    </row>
    <row r="371" spans="1:9" ht="25.5">
      <c r="A371" s="74">
        <v>1232</v>
      </c>
      <c r="B371" s="77" t="s">
        <v>1940</v>
      </c>
      <c r="C371" s="78" t="s">
        <v>1946</v>
      </c>
      <c r="D371" s="77" t="s">
        <v>3086</v>
      </c>
      <c r="E371" s="77"/>
      <c r="F371" s="69" t="str">
        <f>VLOOKUP(C371,[2]Municipalities!$C$9:$F$1522,4,FALSE)</f>
        <v>Kisoro Municipality</v>
      </c>
      <c r="G371" s="68" t="str">
        <f t="shared" si="15"/>
        <v>Kisoro</v>
      </c>
      <c r="H371" s="77" t="s">
        <v>3086</v>
      </c>
    </row>
    <row r="372" spans="1:9" ht="25.5">
      <c r="A372" s="74">
        <v>67</v>
      </c>
      <c r="B372" s="77" t="s">
        <v>1957</v>
      </c>
      <c r="C372" s="78" t="s">
        <v>1959</v>
      </c>
      <c r="D372" s="77" t="s">
        <v>1270</v>
      </c>
      <c r="E372" s="77"/>
      <c r="F372" s="69" t="str">
        <f>VLOOKUP(C372,[2]Municipalities!$C$9:$F$1522,4,FALSE)</f>
        <v>Kitgum Municipality</v>
      </c>
      <c r="G372" s="68" t="str">
        <f t="shared" si="15"/>
        <v>Kitgum</v>
      </c>
      <c r="H372" s="77" t="s">
        <v>1270</v>
      </c>
    </row>
    <row r="373" spans="1:9" ht="16.5" customHeight="1">
      <c r="A373" s="74">
        <v>75</v>
      </c>
      <c r="B373" s="77" t="s">
        <v>1985</v>
      </c>
      <c r="C373" s="78" t="s">
        <v>1987</v>
      </c>
      <c r="D373" s="77" t="s">
        <v>1270</v>
      </c>
      <c r="E373" s="77"/>
      <c r="F373" s="69" t="str">
        <f>VLOOKUP(C373,[2]Municipalities!$C$9:$F$1522,4,FALSE)</f>
        <v>Kotido Municipality</v>
      </c>
      <c r="G373" s="68" t="str">
        <f t="shared" si="15"/>
        <v>Kotido</v>
      </c>
      <c r="H373" s="77" t="s">
        <v>1270</v>
      </c>
    </row>
    <row r="374" spans="1:9">
      <c r="A374" s="74">
        <v>89</v>
      </c>
      <c r="B374" s="75" t="s">
        <v>2094</v>
      </c>
      <c r="C374" s="76" t="s">
        <v>2101</v>
      </c>
      <c r="D374" s="77" t="s">
        <v>1270</v>
      </c>
      <c r="E374" s="75"/>
      <c r="F374" s="69" t="str">
        <f>VLOOKUP(C374,[2]Municipalities!$C$9:$F$1522,4,FALSE)</f>
        <v>Lira Municipality</v>
      </c>
      <c r="G374" s="68" t="str">
        <f t="shared" si="15"/>
        <v>Lira</v>
      </c>
      <c r="H374" s="77" t="s">
        <v>1270</v>
      </c>
    </row>
    <row r="375" spans="1:9">
      <c r="A375" s="74">
        <v>108</v>
      </c>
      <c r="B375" s="75" t="s">
        <v>2499</v>
      </c>
      <c r="C375" s="76" t="s">
        <v>2505</v>
      </c>
      <c r="D375" s="77" t="s">
        <v>1270</v>
      </c>
      <c r="E375" s="75"/>
      <c r="F375" s="69" t="str">
        <f>VLOOKUP(C375,[2]Municipalities!$C$9:$F$1522,4,FALSE)</f>
        <v>Nebbi Municipality</v>
      </c>
      <c r="G375" s="68" t="str">
        <f t="shared" si="15"/>
        <v>Nebbi</v>
      </c>
      <c r="H375" s="77" t="s">
        <v>1270</v>
      </c>
    </row>
    <row r="376" spans="1:9">
      <c r="A376" s="74">
        <v>325</v>
      </c>
      <c r="B376" s="75" t="s">
        <v>1255</v>
      </c>
      <c r="C376" s="75" t="s">
        <v>1256</v>
      </c>
      <c r="D376" s="75" t="s">
        <v>1270</v>
      </c>
      <c r="E376" s="75" t="s">
        <v>1269</v>
      </c>
      <c r="F376" s="68" t="str">
        <f>[2]KCCA!F376</f>
        <v>Bukesa</v>
      </c>
      <c r="G376" s="68" t="str">
        <f t="shared" si="15"/>
        <v>Kampala</v>
      </c>
      <c r="H376" s="75" t="s">
        <v>1270</v>
      </c>
    </row>
    <row r="377" spans="1:9">
      <c r="A377" s="74">
        <v>326</v>
      </c>
      <c r="B377" s="75" t="s">
        <v>1255</v>
      </c>
      <c r="C377" s="75" t="s">
        <v>1256</v>
      </c>
      <c r="D377" s="75" t="s">
        <v>1270</v>
      </c>
      <c r="E377" s="75" t="s">
        <v>1290</v>
      </c>
      <c r="F377" s="68" t="str">
        <f>[2]KCCA!F377</f>
        <v>Civic Centre</v>
      </c>
      <c r="G377" s="68" t="str">
        <f t="shared" si="15"/>
        <v>Kampala</v>
      </c>
      <c r="H377" s="75" t="s">
        <v>1270</v>
      </c>
    </row>
    <row r="378" spans="1:9">
      <c r="A378" s="74">
        <v>327</v>
      </c>
      <c r="B378" s="75" t="s">
        <v>1255</v>
      </c>
      <c r="C378" s="75" t="s">
        <v>1256</v>
      </c>
      <c r="D378" s="75" t="s">
        <v>1270</v>
      </c>
      <c r="E378" s="75" t="s">
        <v>1469</v>
      </c>
      <c r="F378" s="68" t="str">
        <f>[2]KCCA!F378</f>
        <v>Industrial Area</v>
      </c>
      <c r="G378" s="68" t="str">
        <f t="shared" si="15"/>
        <v>Kampala</v>
      </c>
      <c r="H378" s="75" t="s">
        <v>1270</v>
      </c>
    </row>
    <row r="379" spans="1:9">
      <c r="A379" s="74">
        <v>328</v>
      </c>
      <c r="B379" s="75" t="s">
        <v>1255</v>
      </c>
      <c r="C379" s="75" t="s">
        <v>1256</v>
      </c>
      <c r="D379" s="75" t="s">
        <v>1270</v>
      </c>
      <c r="E379" s="75" t="s">
        <v>1475</v>
      </c>
      <c r="F379" s="68" t="str">
        <f>[2]KCCA!F379</f>
        <v>Kagugube</v>
      </c>
      <c r="G379" s="68" t="str">
        <f t="shared" si="15"/>
        <v>Kampala</v>
      </c>
      <c r="H379" s="75" t="s">
        <v>1270</v>
      </c>
    </row>
    <row r="380" spans="1:9">
      <c r="A380" s="74">
        <v>329</v>
      </c>
      <c r="B380" s="75" t="s">
        <v>1255</v>
      </c>
      <c r="C380" s="75" t="s">
        <v>1256</v>
      </c>
      <c r="D380" s="75" t="s">
        <v>1270</v>
      </c>
      <c r="E380" s="79" t="s">
        <v>3087</v>
      </c>
      <c r="F380" s="143" t="s">
        <v>1476</v>
      </c>
      <c r="G380" s="68" t="str">
        <f t="shared" si="15"/>
        <v>Kampala</v>
      </c>
      <c r="H380" s="75" t="s">
        <v>1270</v>
      </c>
    </row>
    <row r="381" spans="1:9">
      <c r="A381" s="74">
        <v>330</v>
      </c>
      <c r="B381" s="75" t="s">
        <v>1255</v>
      </c>
      <c r="C381" s="75" t="s">
        <v>1256</v>
      </c>
      <c r="D381" s="75" t="s">
        <v>1270</v>
      </c>
      <c r="E381" s="79" t="s">
        <v>3088</v>
      </c>
      <c r="F381" s="144"/>
      <c r="G381" s="68" t="str">
        <f t="shared" si="15"/>
        <v>Kampala</v>
      </c>
      <c r="H381" s="75" t="s">
        <v>1270</v>
      </c>
      <c r="I381" s="80" t="s">
        <v>3089</v>
      </c>
    </row>
    <row r="382" spans="1:9">
      <c r="A382" s="74">
        <v>331</v>
      </c>
      <c r="B382" s="75" t="s">
        <v>1255</v>
      </c>
      <c r="C382" s="75" t="s">
        <v>1256</v>
      </c>
      <c r="D382" s="75" t="s">
        <v>1270</v>
      </c>
      <c r="E382" s="79" t="s">
        <v>3090</v>
      </c>
      <c r="F382" s="143" t="s">
        <v>1516</v>
      </c>
      <c r="G382" s="68" t="str">
        <f t="shared" si="15"/>
        <v>Kampala</v>
      </c>
      <c r="H382" s="75" t="s">
        <v>1270</v>
      </c>
    </row>
    <row r="383" spans="1:9">
      <c r="A383" s="74">
        <v>332</v>
      </c>
      <c r="B383" s="75" t="s">
        <v>1255</v>
      </c>
      <c r="C383" s="75" t="s">
        <v>1256</v>
      </c>
      <c r="D383" s="75" t="s">
        <v>1270</v>
      </c>
      <c r="E383" s="79" t="s">
        <v>3091</v>
      </c>
      <c r="F383" s="145"/>
      <c r="G383" s="68" t="str">
        <f t="shared" si="15"/>
        <v>Kampala</v>
      </c>
      <c r="H383" s="75" t="s">
        <v>1270</v>
      </c>
      <c r="I383" s="80" t="s">
        <v>3089</v>
      </c>
    </row>
    <row r="384" spans="1:9">
      <c r="A384" s="74">
        <v>333</v>
      </c>
      <c r="B384" s="75" t="s">
        <v>1255</v>
      </c>
      <c r="C384" s="75" t="s">
        <v>1256</v>
      </c>
      <c r="D384" s="75" t="s">
        <v>1270</v>
      </c>
      <c r="E384" s="79" t="s">
        <v>3092</v>
      </c>
      <c r="F384" s="144"/>
      <c r="G384" s="68" t="str">
        <f t="shared" si="15"/>
        <v>Kampala</v>
      </c>
      <c r="H384" s="75" t="s">
        <v>1270</v>
      </c>
      <c r="I384" s="80" t="s">
        <v>3089</v>
      </c>
    </row>
    <row r="385" spans="1:9">
      <c r="A385" s="74">
        <v>334</v>
      </c>
      <c r="B385" s="75" t="s">
        <v>1255</v>
      </c>
      <c r="C385" s="75" t="s">
        <v>1256</v>
      </c>
      <c r="D385" s="75" t="s">
        <v>1270</v>
      </c>
      <c r="E385" s="79" t="s">
        <v>3093</v>
      </c>
      <c r="F385" s="143" t="s">
        <v>1530</v>
      </c>
      <c r="G385" s="68" t="str">
        <f t="shared" si="15"/>
        <v>Kampala</v>
      </c>
      <c r="H385" s="75" t="s">
        <v>1270</v>
      </c>
    </row>
    <row r="386" spans="1:9">
      <c r="A386" s="74">
        <v>335</v>
      </c>
      <c r="B386" s="75" t="s">
        <v>1255</v>
      </c>
      <c r="C386" s="75" t="s">
        <v>1256</v>
      </c>
      <c r="D386" s="75" t="s">
        <v>1270</v>
      </c>
      <c r="E386" s="79" t="s">
        <v>3094</v>
      </c>
      <c r="F386" s="145"/>
      <c r="G386" s="68" t="str">
        <f t="shared" si="15"/>
        <v>Kampala</v>
      </c>
      <c r="H386" s="75" t="s">
        <v>1270</v>
      </c>
      <c r="I386" s="80" t="s">
        <v>3089</v>
      </c>
    </row>
    <row r="387" spans="1:9">
      <c r="A387" s="74">
        <v>336</v>
      </c>
      <c r="B387" s="75" t="s">
        <v>1255</v>
      </c>
      <c r="C387" s="75" t="s">
        <v>1256</v>
      </c>
      <c r="D387" s="75" t="s">
        <v>1270</v>
      </c>
      <c r="E387" s="79" t="s">
        <v>3095</v>
      </c>
      <c r="F387" s="145"/>
      <c r="G387" s="68" t="str">
        <f t="shared" si="15"/>
        <v>Kampala</v>
      </c>
      <c r="H387" s="75" t="s">
        <v>1270</v>
      </c>
      <c r="I387" s="80" t="s">
        <v>3089</v>
      </c>
    </row>
    <row r="388" spans="1:9">
      <c r="A388" s="74">
        <v>337</v>
      </c>
      <c r="B388" s="75" t="s">
        <v>1255</v>
      </c>
      <c r="C388" s="75" t="s">
        <v>1256</v>
      </c>
      <c r="D388" s="75" t="s">
        <v>1270</v>
      </c>
      <c r="E388" s="79" t="s">
        <v>3096</v>
      </c>
      <c r="F388" s="144"/>
      <c r="G388" s="68" t="str">
        <f t="shared" si="15"/>
        <v>Kampala</v>
      </c>
      <c r="H388" s="75" t="s">
        <v>1270</v>
      </c>
      <c r="I388" s="80" t="s">
        <v>3089</v>
      </c>
    </row>
    <row r="389" spans="1:9">
      <c r="A389" s="74">
        <v>338</v>
      </c>
      <c r="B389" s="75" t="s">
        <v>1255</v>
      </c>
      <c r="C389" s="75" t="s">
        <v>1256</v>
      </c>
      <c r="D389" s="75" t="s">
        <v>1270</v>
      </c>
      <c r="E389" s="75" t="s">
        <v>1594</v>
      </c>
      <c r="F389" s="68" t="str">
        <f>[2]KCCA!F389</f>
        <v>Mengo</v>
      </c>
      <c r="G389" s="68" t="str">
        <f t="shared" si="15"/>
        <v>Kampala</v>
      </c>
      <c r="H389" s="75" t="s">
        <v>1270</v>
      </c>
    </row>
    <row r="390" spans="1:9">
      <c r="A390" s="74">
        <v>339</v>
      </c>
      <c r="B390" s="75" t="s">
        <v>1255</v>
      </c>
      <c r="C390" s="75" t="s">
        <v>1256</v>
      </c>
      <c r="D390" s="75" t="s">
        <v>1270</v>
      </c>
      <c r="E390" s="79" t="s">
        <v>3097</v>
      </c>
      <c r="F390" s="143" t="s">
        <v>1665</v>
      </c>
      <c r="G390" s="68" t="str">
        <f t="shared" si="15"/>
        <v>Kampala</v>
      </c>
      <c r="H390" s="75" t="s">
        <v>1270</v>
      </c>
    </row>
    <row r="391" spans="1:9">
      <c r="A391" s="74">
        <v>340</v>
      </c>
      <c r="B391" s="75" t="s">
        <v>1255</v>
      </c>
      <c r="C391" s="75" t="s">
        <v>1256</v>
      </c>
      <c r="D391" s="75" t="s">
        <v>1270</v>
      </c>
      <c r="E391" s="79" t="s">
        <v>3098</v>
      </c>
      <c r="F391" s="145"/>
      <c r="G391" s="68" t="str">
        <f t="shared" si="15"/>
        <v>Kampala</v>
      </c>
      <c r="H391" s="75" t="s">
        <v>1270</v>
      </c>
      <c r="I391" s="80" t="s">
        <v>3089</v>
      </c>
    </row>
    <row r="392" spans="1:9">
      <c r="A392" s="74">
        <v>341</v>
      </c>
      <c r="B392" s="75" t="s">
        <v>1255</v>
      </c>
      <c r="C392" s="75" t="s">
        <v>1256</v>
      </c>
      <c r="D392" s="75" t="s">
        <v>1270</v>
      </c>
      <c r="E392" s="79" t="s">
        <v>3099</v>
      </c>
      <c r="F392" s="145"/>
      <c r="G392" s="68" t="str">
        <f t="shared" si="15"/>
        <v>Kampala</v>
      </c>
      <c r="H392" s="75" t="s">
        <v>1270</v>
      </c>
      <c r="I392" s="80" t="s">
        <v>3089</v>
      </c>
    </row>
    <row r="393" spans="1:9">
      <c r="A393" s="74">
        <v>342</v>
      </c>
      <c r="B393" s="75" t="s">
        <v>1255</v>
      </c>
      <c r="C393" s="75" t="s">
        <v>1256</v>
      </c>
      <c r="D393" s="75" t="s">
        <v>1270</v>
      </c>
      <c r="E393" s="79" t="s">
        <v>3100</v>
      </c>
      <c r="F393" s="144"/>
      <c r="G393" s="68" t="str">
        <f t="shared" si="15"/>
        <v>Kampala</v>
      </c>
      <c r="H393" s="75" t="s">
        <v>1270</v>
      </c>
      <c r="I393" s="80" t="s">
        <v>3089</v>
      </c>
    </row>
    <row r="394" spans="1:9" ht="25.5">
      <c r="A394" s="74">
        <v>343</v>
      </c>
      <c r="B394" s="75" t="s">
        <v>1255</v>
      </c>
      <c r="C394" s="75" t="s">
        <v>1256</v>
      </c>
      <c r="D394" s="75" t="s">
        <v>1270</v>
      </c>
      <c r="E394" s="75" t="s">
        <v>1685</v>
      </c>
      <c r="F394" s="68" t="str">
        <f>[2]KCCA!F394</f>
        <v>Nakivubo Shauriyaako</v>
      </c>
      <c r="G394" s="68" t="str">
        <f t="shared" ref="G394:G457" si="18">B394</f>
        <v>Kampala</v>
      </c>
      <c r="H394" s="75" t="s">
        <v>1270</v>
      </c>
    </row>
    <row r="395" spans="1:9">
      <c r="A395" s="74">
        <v>344</v>
      </c>
      <c r="B395" s="75" t="s">
        <v>1255</v>
      </c>
      <c r="C395" s="75" t="s">
        <v>1256</v>
      </c>
      <c r="D395" s="75" t="s">
        <v>1270</v>
      </c>
      <c r="E395" s="75" t="s">
        <v>1719</v>
      </c>
      <c r="F395" s="68" t="str">
        <f>[2]KCCA!F395</f>
        <v>Old Kampala</v>
      </c>
      <c r="G395" s="68" t="str">
        <f t="shared" si="18"/>
        <v>Kampala</v>
      </c>
      <c r="H395" s="75" t="s">
        <v>1270</v>
      </c>
    </row>
    <row r="396" spans="1:9" ht="25.5">
      <c r="A396" s="74">
        <v>485</v>
      </c>
      <c r="B396" s="75" t="s">
        <v>2369</v>
      </c>
      <c r="C396" s="76" t="s">
        <v>2378</v>
      </c>
      <c r="D396" s="79" t="s">
        <v>1270</v>
      </c>
      <c r="E396" s="75"/>
      <c r="F396" s="69" t="str">
        <f>VLOOKUP(C396,[2]Municipalities!$C$9:$F$1522,4,FALSE)</f>
        <v>Mukono Municipality</v>
      </c>
      <c r="G396" s="68" t="str">
        <f t="shared" si="18"/>
        <v>Mukono</v>
      </c>
      <c r="H396" s="79" t="s">
        <v>1270</v>
      </c>
    </row>
    <row r="397" spans="1:9" ht="25.5">
      <c r="A397" s="74">
        <v>577</v>
      </c>
      <c r="B397" s="75" t="s">
        <v>2284</v>
      </c>
      <c r="C397" s="76" t="s">
        <v>2288</v>
      </c>
      <c r="D397" s="79" t="s">
        <v>1270</v>
      </c>
      <c r="E397" s="75"/>
      <c r="F397" s="69" t="str">
        <f>VLOOKUP(C397,[2]Municipalities!$C$9:$F$1522,4,FALSE)</f>
        <v>Mityana Municipality</v>
      </c>
      <c r="G397" s="68" t="str">
        <f t="shared" si="18"/>
        <v>Mityana</v>
      </c>
      <c r="H397" s="79" t="s">
        <v>1270</v>
      </c>
    </row>
    <row r="398" spans="1:9" ht="25.5">
      <c r="A398" s="74">
        <v>600</v>
      </c>
      <c r="B398" s="75" t="s">
        <v>828</v>
      </c>
      <c r="C398" s="76" t="s">
        <v>836</v>
      </c>
      <c r="D398" s="79" t="s">
        <v>1270</v>
      </c>
      <c r="E398" s="75"/>
      <c r="F398" s="69" t="str">
        <f>VLOOKUP(C398,[2]Municipalities!$C$9:$F$1522,4,FALSE)</f>
        <v>Lugazi Municipality</v>
      </c>
      <c r="G398" s="68" t="str">
        <f t="shared" si="18"/>
        <v>Buikwe</v>
      </c>
      <c r="H398" s="79" t="s">
        <v>1270</v>
      </c>
    </row>
    <row r="399" spans="1:9" ht="25.5">
      <c r="A399" s="74">
        <v>703</v>
      </c>
      <c r="B399" s="75" t="s">
        <v>1074</v>
      </c>
      <c r="C399" s="76" t="s">
        <v>1080</v>
      </c>
      <c r="D399" s="79" t="s">
        <v>1270</v>
      </c>
      <c r="E399" s="75"/>
      <c r="F399" s="69" t="str">
        <f>VLOOKUP(C399,[2]Municipalities!$C$9:$F$1522,4,FALSE)</f>
        <v>Iganga Municipality</v>
      </c>
      <c r="G399" s="68" t="str">
        <f t="shared" si="18"/>
        <v>Iganga</v>
      </c>
      <c r="H399" s="79" t="s">
        <v>1270</v>
      </c>
    </row>
    <row r="400" spans="1:9">
      <c r="A400" s="74">
        <v>717</v>
      </c>
      <c r="B400" s="75" t="s">
        <v>1114</v>
      </c>
      <c r="C400" s="76" t="s">
        <v>1123</v>
      </c>
      <c r="D400" s="79" t="s">
        <v>1270</v>
      </c>
      <c r="E400" s="75"/>
      <c r="F400" s="69" t="str">
        <f>VLOOKUP(C400,[2]Municipalities!$C$9:$F$1522,4,FALSE)</f>
        <v>Jinja Municipality</v>
      </c>
      <c r="G400" s="68" t="str">
        <f t="shared" si="18"/>
        <v>Jinja</v>
      </c>
      <c r="H400" s="79" t="s">
        <v>1270</v>
      </c>
    </row>
    <row r="401" spans="1:8" ht="25.5">
      <c r="A401" s="74">
        <v>750</v>
      </c>
      <c r="B401" s="75" t="s">
        <v>1798</v>
      </c>
      <c r="C401" s="76" t="s">
        <v>1804</v>
      </c>
      <c r="D401" s="79" t="s">
        <v>1270</v>
      </c>
      <c r="E401" s="75"/>
      <c r="F401" s="69" t="str">
        <f>VLOOKUP(C401,[2]Municipalities!$C$9:$F$1522,4,FALSE)</f>
        <v>Kapchorwa Municipality</v>
      </c>
      <c r="G401" s="68" t="str">
        <f t="shared" si="18"/>
        <v>Kapchorwa</v>
      </c>
      <c r="H401" s="79" t="s">
        <v>1270</v>
      </c>
    </row>
    <row r="402" spans="1:8" ht="25.5">
      <c r="A402" s="74">
        <v>1149</v>
      </c>
      <c r="B402" s="75" t="s">
        <v>1148</v>
      </c>
      <c r="C402" s="76" t="s">
        <v>1151</v>
      </c>
      <c r="D402" s="79" t="s">
        <v>1270</v>
      </c>
      <c r="E402" s="75"/>
      <c r="F402" s="69" t="str">
        <f>VLOOKUP(C402,[2]Municipalities!$C$9:$F$1522,4,FALSE)</f>
        <v>Kabale Municipality</v>
      </c>
      <c r="G402" s="68" t="str">
        <f t="shared" si="18"/>
        <v>Kabale</v>
      </c>
      <c r="H402" s="79" t="s">
        <v>1270</v>
      </c>
    </row>
    <row r="403" spans="1:8" ht="25.5">
      <c r="A403" s="74">
        <v>1206</v>
      </c>
      <c r="B403" s="75" t="s">
        <v>36</v>
      </c>
      <c r="C403" s="76" t="s">
        <v>1820</v>
      </c>
      <c r="D403" s="79" t="s">
        <v>1270</v>
      </c>
      <c r="E403" s="75"/>
      <c r="F403" s="69" t="str">
        <f>VLOOKUP(C403,[2]Municipalities!$C$9:$F$1522,4,FALSE)</f>
        <v>Kasese Municipality</v>
      </c>
      <c r="G403" s="68" t="str">
        <f t="shared" si="18"/>
        <v>Kasese</v>
      </c>
      <c r="H403" s="79" t="s">
        <v>1270</v>
      </c>
    </row>
    <row r="404" spans="1:8" ht="25.5">
      <c r="A404" s="74">
        <v>1243</v>
      </c>
      <c r="B404" s="75" t="s">
        <v>2200</v>
      </c>
      <c r="C404" s="76" t="s">
        <v>2205</v>
      </c>
      <c r="D404" s="79" t="s">
        <v>1270</v>
      </c>
      <c r="E404" s="75"/>
      <c r="F404" s="69" t="str">
        <f>VLOOKUP(C404,[2]Municipalities!$C$9:$F$1522,4,FALSE)</f>
        <v>Masindi Municipality</v>
      </c>
      <c r="G404" s="68" t="str">
        <f t="shared" si="18"/>
        <v>Masindi</v>
      </c>
      <c r="H404" s="79" t="s">
        <v>1270</v>
      </c>
    </row>
    <row r="405" spans="1:8" ht="25.5">
      <c r="A405" s="74">
        <v>1267</v>
      </c>
      <c r="B405" s="75" t="s">
        <v>47</v>
      </c>
      <c r="C405" s="76" t="s">
        <v>2535</v>
      </c>
      <c r="D405" s="79" t="s">
        <v>1270</v>
      </c>
      <c r="E405" s="75"/>
      <c r="F405" s="69" t="str">
        <f>VLOOKUP(C405,[2]Municipalities!$C$9:$F$1522,4,FALSE)</f>
        <v>Ntungamo Municipality</v>
      </c>
      <c r="G405" s="68" t="str">
        <f t="shared" si="18"/>
        <v>Ntungamo</v>
      </c>
      <c r="H405" s="79" t="s">
        <v>1270</v>
      </c>
    </row>
    <row r="406" spans="1:8" ht="25.5">
      <c r="A406" s="74">
        <v>1122</v>
      </c>
      <c r="B406" s="75" t="s">
        <v>38</v>
      </c>
      <c r="C406" s="76" t="s">
        <v>934</v>
      </c>
      <c r="D406" s="79" t="s">
        <v>3101</v>
      </c>
      <c r="E406" s="75"/>
      <c r="F406" s="69" t="str">
        <f>VLOOKUP(C406,[2]Municipalities!$C$9:$F$1522,4,FALSE)</f>
        <v>Bushenyi-Ishaka Municipality</v>
      </c>
      <c r="G406" s="68" t="str">
        <f t="shared" si="18"/>
        <v>Bushenyi</v>
      </c>
      <c r="H406" s="79" t="s">
        <v>3101</v>
      </c>
    </row>
    <row r="407" spans="1:8">
      <c r="A407" s="74">
        <v>1220</v>
      </c>
      <c r="B407" s="75" t="s">
        <v>1940</v>
      </c>
      <c r="C407" s="75" t="s">
        <v>1941</v>
      </c>
      <c r="D407" s="75" t="s">
        <v>1943</v>
      </c>
      <c r="E407" s="75"/>
      <c r="F407" s="68" t="str">
        <f t="shared" ref="F407:F417" si="19">D407</f>
        <v>Chahi</v>
      </c>
      <c r="G407" s="68" t="str">
        <f t="shared" si="18"/>
        <v>Kisoro</v>
      </c>
      <c r="H407" s="75" t="s">
        <v>1943</v>
      </c>
    </row>
    <row r="408" spans="1:8">
      <c r="A408" s="74">
        <v>14</v>
      </c>
      <c r="B408" s="75" t="s">
        <v>731</v>
      </c>
      <c r="C408" s="75" t="s">
        <v>732</v>
      </c>
      <c r="D408" s="75" t="s">
        <v>739</v>
      </c>
      <c r="E408" s="75"/>
      <c r="F408" s="68" t="str">
        <f t="shared" si="19"/>
        <v>Chawente</v>
      </c>
      <c r="G408" s="68" t="str">
        <f t="shared" si="18"/>
        <v>Apac</v>
      </c>
      <c r="H408" s="75" t="s">
        <v>739</v>
      </c>
    </row>
    <row r="409" spans="1:8">
      <c r="A409" s="74">
        <v>18</v>
      </c>
      <c r="B409" s="75" t="s">
        <v>731</v>
      </c>
      <c r="C409" s="75" t="s">
        <v>736</v>
      </c>
      <c r="D409" s="75" t="s">
        <v>740</v>
      </c>
      <c r="E409" s="75"/>
      <c r="F409" s="68" t="str">
        <f t="shared" si="19"/>
        <v>Chegere</v>
      </c>
      <c r="G409" s="68" t="str">
        <f t="shared" si="18"/>
        <v>Apac</v>
      </c>
      <c r="H409" s="75" t="s">
        <v>740</v>
      </c>
    </row>
    <row r="410" spans="1:8">
      <c r="A410" s="74">
        <v>805</v>
      </c>
      <c r="B410" s="75" t="s">
        <v>2606</v>
      </c>
      <c r="C410" s="75" t="s">
        <v>2605</v>
      </c>
      <c r="D410" s="75" t="s">
        <v>2609</v>
      </c>
      <c r="E410" s="75"/>
      <c r="F410" s="68" t="str">
        <f t="shared" si="19"/>
        <v>Chelekura</v>
      </c>
      <c r="G410" s="68" t="str">
        <f t="shared" si="18"/>
        <v>Pallisa</v>
      </c>
      <c r="H410" s="75" t="s">
        <v>2609</v>
      </c>
    </row>
    <row r="411" spans="1:8">
      <c r="A411" s="74">
        <v>740</v>
      </c>
      <c r="B411" s="75" t="s">
        <v>1798</v>
      </c>
      <c r="C411" s="75" t="s">
        <v>1799</v>
      </c>
      <c r="D411" s="75" t="s">
        <v>1800</v>
      </c>
      <c r="E411" s="75"/>
      <c r="F411" s="68" t="str">
        <f t="shared" si="19"/>
        <v>Chema</v>
      </c>
      <c r="G411" s="68" t="str">
        <f t="shared" si="18"/>
        <v>Kapchorwa</v>
      </c>
      <c r="H411" s="75" t="s">
        <v>1800</v>
      </c>
    </row>
    <row r="412" spans="1:8">
      <c r="A412" s="74">
        <v>939</v>
      </c>
      <c r="B412" s="75" t="s">
        <v>856</v>
      </c>
      <c r="C412" s="75" t="s">
        <v>857</v>
      </c>
      <c r="D412" s="75" t="s">
        <v>859</v>
      </c>
      <c r="E412" s="75"/>
      <c r="F412" s="68" t="str">
        <f t="shared" si="19"/>
        <v>Chepkwasta</v>
      </c>
      <c r="G412" s="68" t="str">
        <f t="shared" si="18"/>
        <v>Bukwo</v>
      </c>
      <c r="H412" s="75" t="s">
        <v>859</v>
      </c>
    </row>
    <row r="413" spans="1:8">
      <c r="A413" s="74">
        <v>741</v>
      </c>
      <c r="B413" s="75" t="s">
        <v>1798</v>
      </c>
      <c r="C413" s="75" t="s">
        <v>1799</v>
      </c>
      <c r="D413" s="75" t="s">
        <v>1801</v>
      </c>
      <c r="E413" s="75"/>
      <c r="F413" s="68" t="str">
        <f t="shared" si="19"/>
        <v>Chepterech</v>
      </c>
      <c r="G413" s="68" t="str">
        <f t="shared" si="18"/>
        <v>Kapchorwa</v>
      </c>
      <c r="H413" s="75" t="s">
        <v>1801</v>
      </c>
    </row>
    <row r="414" spans="1:8">
      <c r="A414" s="74">
        <v>940</v>
      </c>
      <c r="B414" s="75" t="s">
        <v>856</v>
      </c>
      <c r="C414" s="75" t="s">
        <v>857</v>
      </c>
      <c r="D414" s="75" t="s">
        <v>860</v>
      </c>
      <c r="E414" s="75"/>
      <c r="F414" s="68" t="str">
        <f t="shared" si="19"/>
        <v>Chesower</v>
      </c>
      <c r="G414" s="68" t="str">
        <f t="shared" si="18"/>
        <v>Bukwo</v>
      </c>
      <c r="H414" s="75" t="s">
        <v>860</v>
      </c>
    </row>
    <row r="415" spans="1:8">
      <c r="A415" s="74">
        <v>4</v>
      </c>
      <c r="B415" s="75" t="s">
        <v>649</v>
      </c>
      <c r="C415" s="75" t="s">
        <v>650</v>
      </c>
      <c r="D415" s="75" t="s">
        <v>653</v>
      </c>
      <c r="E415" s="75"/>
      <c r="F415" s="68" t="str">
        <f t="shared" si="19"/>
        <v>Ciforo</v>
      </c>
      <c r="G415" s="68" t="str">
        <f t="shared" si="18"/>
        <v>Adjumani</v>
      </c>
      <c r="H415" s="75" t="s">
        <v>653</v>
      </c>
    </row>
    <row r="416" spans="1:8">
      <c r="A416" s="74">
        <v>689</v>
      </c>
      <c r="B416" s="75" t="s">
        <v>947</v>
      </c>
      <c r="C416" s="75" t="s">
        <v>948</v>
      </c>
      <c r="D416" s="75" t="s">
        <v>956</v>
      </c>
      <c r="E416" s="75"/>
      <c r="F416" s="68" t="str">
        <f t="shared" si="19"/>
        <v>Dabani</v>
      </c>
      <c r="G416" s="68" t="str">
        <f t="shared" si="18"/>
        <v>Busia</v>
      </c>
      <c r="H416" s="75" t="s">
        <v>956</v>
      </c>
    </row>
    <row r="417" spans="1:8">
      <c r="A417" s="74">
        <v>27</v>
      </c>
      <c r="B417" s="75" t="s">
        <v>745</v>
      </c>
      <c r="C417" s="75" t="s">
        <v>746</v>
      </c>
      <c r="D417" s="75" t="s">
        <v>758</v>
      </c>
      <c r="E417" s="75"/>
      <c r="F417" s="68" t="str">
        <f t="shared" si="19"/>
        <v>Dadamu</v>
      </c>
      <c r="G417" s="68" t="str">
        <f t="shared" si="18"/>
        <v>Arua</v>
      </c>
      <c r="H417" s="75" t="s">
        <v>758</v>
      </c>
    </row>
    <row r="418" spans="1:8">
      <c r="A418" s="74">
        <v>423</v>
      </c>
      <c r="B418" s="75" t="s">
        <v>1882</v>
      </c>
      <c r="C418" s="75" t="s">
        <v>1882</v>
      </c>
      <c r="D418" s="79" t="s">
        <v>3102</v>
      </c>
      <c r="E418" s="75"/>
      <c r="F418" s="68" t="str">
        <f t="shared" ref="F418:F419" si="20">D418&amp;"-"&amp;B418</f>
        <v>Ddwaniro-Kiboga</v>
      </c>
      <c r="G418" s="68" t="str">
        <f t="shared" si="18"/>
        <v>Kiboga</v>
      </c>
      <c r="H418" s="79" t="s">
        <v>3102</v>
      </c>
    </row>
    <row r="419" spans="1:8">
      <c r="A419" s="74">
        <v>507</v>
      </c>
      <c r="B419" s="75" t="s">
        <v>2618</v>
      </c>
      <c r="C419" s="75" t="s">
        <v>2078</v>
      </c>
      <c r="D419" s="79" t="s">
        <v>3102</v>
      </c>
      <c r="E419" s="75"/>
      <c r="F419" s="68" t="str">
        <f t="shared" si="20"/>
        <v>Ddwaniro-Rakai</v>
      </c>
      <c r="G419" s="68" t="str">
        <f t="shared" si="18"/>
        <v>Rakai</v>
      </c>
      <c r="H419" s="79" t="s">
        <v>3102</v>
      </c>
    </row>
    <row r="420" spans="1:8">
      <c r="A420" s="74">
        <v>101</v>
      </c>
      <c r="B420" s="75" t="s">
        <v>2317</v>
      </c>
      <c r="C420" s="75" t="s">
        <v>2320</v>
      </c>
      <c r="D420" s="75" t="s">
        <v>2319</v>
      </c>
      <c r="E420" s="75"/>
      <c r="F420" s="68" t="str">
        <f t="shared" ref="F420" si="21">D420</f>
        <v>Difule</v>
      </c>
      <c r="G420" s="68" t="str">
        <f t="shared" si="18"/>
        <v>Moyo</v>
      </c>
      <c r="H420" s="75" t="s">
        <v>2319</v>
      </c>
    </row>
    <row r="421" spans="1:8" ht="25.5">
      <c r="A421" s="74">
        <v>546</v>
      </c>
      <c r="B421" s="77" t="s">
        <v>2774</v>
      </c>
      <c r="C421" s="78" t="s">
        <v>2792</v>
      </c>
      <c r="D421" s="81" t="s">
        <v>3103</v>
      </c>
      <c r="E421" s="77"/>
      <c r="F421" s="69" t="str">
        <f>VLOOKUP(C421,[2]Municipalities!$C$9:$F$1522,4,FALSE)</f>
        <v>Entebbe Municipality</v>
      </c>
      <c r="G421" s="68" t="str">
        <f t="shared" si="18"/>
        <v>Wakiso</v>
      </c>
      <c r="H421" s="81" t="s">
        <v>3103</v>
      </c>
    </row>
    <row r="422" spans="1:8" ht="25.5">
      <c r="A422" s="74">
        <v>547</v>
      </c>
      <c r="B422" s="77" t="s">
        <v>2774</v>
      </c>
      <c r="C422" s="78" t="s">
        <v>2792</v>
      </c>
      <c r="D422" s="81" t="s">
        <v>3104</v>
      </c>
      <c r="E422" s="77"/>
      <c r="F422" s="69" t="s">
        <v>2791</v>
      </c>
      <c r="G422" s="68" t="str">
        <f t="shared" si="18"/>
        <v>Wakiso</v>
      </c>
      <c r="H422" s="81" t="s">
        <v>3104</v>
      </c>
    </row>
    <row r="423" spans="1:8">
      <c r="A423" s="74">
        <v>178</v>
      </c>
      <c r="B423" s="75" t="s">
        <v>1014</v>
      </c>
      <c r="C423" s="75" t="s">
        <v>1014</v>
      </c>
      <c r="D423" s="75" t="s">
        <v>1014</v>
      </c>
      <c r="E423" s="75"/>
      <c r="F423" s="68" t="str">
        <f t="shared" ref="F423:F427" si="22">D423</f>
        <v>Dokolo</v>
      </c>
      <c r="G423" s="68" t="str">
        <f t="shared" si="18"/>
        <v>Dokolo</v>
      </c>
      <c r="H423" s="75" t="s">
        <v>1014</v>
      </c>
    </row>
    <row r="424" spans="1:8">
      <c r="A424" s="74">
        <v>179</v>
      </c>
      <c r="B424" s="75" t="s">
        <v>1014</v>
      </c>
      <c r="C424" s="75" t="s">
        <v>1014</v>
      </c>
      <c r="D424" s="75" t="s">
        <v>1019</v>
      </c>
      <c r="E424" s="75"/>
      <c r="F424" s="68" t="str">
        <f t="shared" si="22"/>
        <v>Dokolo Tc</v>
      </c>
      <c r="G424" s="68" t="str">
        <f t="shared" si="18"/>
        <v>Dokolo</v>
      </c>
      <c r="H424" s="75" t="s">
        <v>1019</v>
      </c>
    </row>
    <row r="425" spans="1:8">
      <c r="A425" s="74">
        <v>140</v>
      </c>
      <c r="B425" s="75" t="s">
        <v>3009</v>
      </c>
      <c r="C425" s="75" t="s">
        <v>3010</v>
      </c>
      <c r="D425" s="75" t="s">
        <v>3012</v>
      </c>
      <c r="E425" s="75"/>
      <c r="F425" s="68" t="str">
        <f t="shared" si="22"/>
        <v>Drajini</v>
      </c>
      <c r="G425" s="68" t="str">
        <f t="shared" si="18"/>
        <v>Yumbe</v>
      </c>
      <c r="H425" s="75" t="s">
        <v>3012</v>
      </c>
    </row>
    <row r="426" spans="1:8">
      <c r="A426" s="74">
        <v>199</v>
      </c>
      <c r="B426" s="75" t="s">
        <v>1969</v>
      </c>
      <c r="C426" s="75" t="s">
        <v>1969</v>
      </c>
      <c r="D426" s="75" t="s">
        <v>1970</v>
      </c>
      <c r="E426" s="75"/>
      <c r="F426" s="68" t="str">
        <f t="shared" si="22"/>
        <v>Dranya</v>
      </c>
      <c r="G426" s="68" t="str">
        <f t="shared" si="18"/>
        <v>Koboko</v>
      </c>
      <c r="H426" s="75" t="s">
        <v>1970</v>
      </c>
    </row>
    <row r="427" spans="1:8">
      <c r="A427" s="74">
        <v>5</v>
      </c>
      <c r="B427" s="75" t="s">
        <v>649</v>
      </c>
      <c r="C427" s="75" t="s">
        <v>650</v>
      </c>
      <c r="D427" s="75" t="s">
        <v>654</v>
      </c>
      <c r="E427" s="75"/>
      <c r="F427" s="68" t="str">
        <f t="shared" si="22"/>
        <v>Dzaipi</v>
      </c>
      <c r="G427" s="68" t="str">
        <f t="shared" si="18"/>
        <v>Adjumani</v>
      </c>
      <c r="H427" s="75" t="s">
        <v>654</v>
      </c>
    </row>
    <row r="428" spans="1:8" ht="25.5">
      <c r="A428" s="74">
        <v>475</v>
      </c>
      <c r="B428" s="75" t="s">
        <v>2342</v>
      </c>
      <c r="C428" s="76" t="s">
        <v>2361</v>
      </c>
      <c r="D428" s="79" t="s">
        <v>3105</v>
      </c>
      <c r="E428" s="75"/>
      <c r="F428" s="69" t="str">
        <f>VLOOKUP(C428,[2]Municipalities!$C$9:$F$1522,4,FALSE)</f>
        <v>Mubende Municipality</v>
      </c>
      <c r="G428" s="68" t="str">
        <f t="shared" si="18"/>
        <v>Mubende</v>
      </c>
      <c r="H428" s="79" t="s">
        <v>3105</v>
      </c>
    </row>
    <row r="429" spans="1:8" ht="25.5">
      <c r="A429" s="74">
        <v>669</v>
      </c>
      <c r="B429" s="75" t="s">
        <v>806</v>
      </c>
      <c r="C429" s="76" t="s">
        <v>808</v>
      </c>
      <c r="D429" s="79" t="s">
        <v>3105</v>
      </c>
      <c r="E429" s="75"/>
      <c r="F429" s="69" t="str">
        <f>VLOOKUP(C429,[2]Municipalities!$C$9:$F$1522,4,FALSE)</f>
        <v>Bugiri Municipality</v>
      </c>
      <c r="G429" s="68" t="str">
        <f t="shared" si="18"/>
        <v>Bugiri</v>
      </c>
      <c r="H429" s="79" t="s">
        <v>3105</v>
      </c>
    </row>
    <row r="430" spans="1:8" ht="25.5">
      <c r="A430" s="74">
        <v>681</v>
      </c>
      <c r="B430" s="75" t="s">
        <v>947</v>
      </c>
      <c r="C430" s="76" t="s">
        <v>950</v>
      </c>
      <c r="D430" s="79" t="s">
        <v>3105</v>
      </c>
      <c r="E430" s="75"/>
      <c r="F430" s="76" t="s">
        <v>950</v>
      </c>
      <c r="G430" s="68" t="str">
        <f t="shared" si="18"/>
        <v>Busia</v>
      </c>
      <c r="H430" s="79" t="s">
        <v>3105</v>
      </c>
    </row>
    <row r="431" spans="1:8" ht="25.5">
      <c r="A431" s="74">
        <v>751</v>
      </c>
      <c r="B431" s="75" t="s">
        <v>1798</v>
      </c>
      <c r="C431" s="76" t="s">
        <v>1804</v>
      </c>
      <c r="D431" s="79" t="s">
        <v>3105</v>
      </c>
      <c r="E431" s="75"/>
      <c r="F431" s="69" t="str">
        <f>VLOOKUP(C431,[2]Municipalities!$C$9:$F$1522,4,FALSE)</f>
        <v>Kapchorwa Municipality</v>
      </c>
      <c r="G431" s="68" t="str">
        <f t="shared" si="18"/>
        <v>Kapchorwa</v>
      </c>
      <c r="H431" s="79" t="s">
        <v>3105</v>
      </c>
    </row>
    <row r="432" spans="1:8" ht="25.5">
      <c r="A432" s="74">
        <v>816</v>
      </c>
      <c r="B432" s="75" t="s">
        <v>2729</v>
      </c>
      <c r="C432" s="76" t="s">
        <v>2734</v>
      </c>
      <c r="D432" s="79" t="s">
        <v>3105</v>
      </c>
      <c r="E432" s="75"/>
      <c r="F432" s="69" t="str">
        <f>VLOOKUP(C432,[2]Municipalities!$C$9:$F$1522,4,FALSE)</f>
        <v>Soroti Municipality</v>
      </c>
      <c r="G432" s="68" t="str">
        <f t="shared" si="18"/>
        <v>Soroti</v>
      </c>
      <c r="H432" s="79" t="s">
        <v>3105</v>
      </c>
    </row>
    <row r="433" spans="1:8" ht="25.5">
      <c r="A433" s="74">
        <v>825</v>
      </c>
      <c r="B433" s="75" t="s">
        <v>2751</v>
      </c>
      <c r="C433" s="76" t="s">
        <v>2771</v>
      </c>
      <c r="D433" s="79" t="s">
        <v>3105</v>
      </c>
      <c r="E433" s="75"/>
      <c r="F433" s="69" t="str">
        <f>VLOOKUP(C433,[2]Municipalities!$C$9:$F$1522,4,FALSE)</f>
        <v>Tororo Municipality</v>
      </c>
      <c r="G433" s="68" t="str">
        <f t="shared" si="18"/>
        <v>Tororo</v>
      </c>
      <c r="H433" s="79" t="s">
        <v>3105</v>
      </c>
    </row>
    <row r="434" spans="1:8" ht="25.5">
      <c r="A434" s="74">
        <v>1175</v>
      </c>
      <c r="B434" s="75" t="s">
        <v>1162</v>
      </c>
      <c r="C434" s="76" t="s">
        <v>1165</v>
      </c>
      <c r="D434" s="79" t="s">
        <v>3105</v>
      </c>
      <c r="E434" s="75"/>
      <c r="F434" s="69" t="str">
        <f>VLOOKUP(C434,[2]Municipalities!$C$9:$F$1522,4,FALSE)</f>
        <v>Fort Portal Municipality</v>
      </c>
      <c r="G434" s="68" t="str">
        <f t="shared" si="18"/>
        <v>Kabarole</v>
      </c>
      <c r="H434" s="79" t="s">
        <v>3105</v>
      </c>
    </row>
    <row r="435" spans="1:8" ht="25.5">
      <c r="A435" s="74">
        <v>1268</v>
      </c>
      <c r="B435" s="75" t="s">
        <v>47</v>
      </c>
      <c r="C435" s="76" t="s">
        <v>2535</v>
      </c>
      <c r="D435" s="79" t="s">
        <v>3105</v>
      </c>
      <c r="E435" s="75"/>
      <c r="F435" s="69" t="str">
        <f>VLOOKUP(C435,[2]Municipalities!$C$9:$F$1522,4,FALSE)</f>
        <v>Ntungamo Municipality</v>
      </c>
      <c r="G435" s="68" t="str">
        <f t="shared" si="18"/>
        <v>Ntungamo</v>
      </c>
      <c r="H435" s="79" t="s">
        <v>3105</v>
      </c>
    </row>
    <row r="436" spans="1:8" ht="25.5">
      <c r="A436" s="74">
        <v>1294</v>
      </c>
      <c r="B436" s="75" t="s">
        <v>40</v>
      </c>
      <c r="C436" s="76" t="s">
        <v>2673</v>
      </c>
      <c r="D436" s="79" t="s">
        <v>3106</v>
      </c>
      <c r="E436" s="75"/>
      <c r="F436" s="69" t="str">
        <f>VLOOKUP(C436,[2]Municipalities!$C$9:$F$1522,4,FALSE)</f>
        <v>Rukungiri Municipality</v>
      </c>
      <c r="G436" s="68" t="str">
        <f t="shared" si="18"/>
        <v>Rukungiri</v>
      </c>
      <c r="H436" s="79" t="s">
        <v>3106</v>
      </c>
    </row>
    <row r="437" spans="1:8">
      <c r="A437" s="74">
        <v>1366</v>
      </c>
      <c r="B437" s="75" t="s">
        <v>48</v>
      </c>
      <c r="C437" s="75" t="s">
        <v>1093</v>
      </c>
      <c r="D437" s="75" t="s">
        <v>1092</v>
      </c>
      <c r="E437" s="75"/>
      <c r="F437" s="68" t="str">
        <f t="shared" ref="F437:F449" si="23">D437</f>
        <v>Endiinzi</v>
      </c>
      <c r="G437" s="68" t="str">
        <f t="shared" si="18"/>
        <v>Isingiro</v>
      </c>
      <c r="H437" s="75" t="s">
        <v>1092</v>
      </c>
    </row>
    <row r="438" spans="1:8">
      <c r="A438" s="74">
        <v>1373</v>
      </c>
      <c r="B438" s="75" t="s">
        <v>48</v>
      </c>
      <c r="C438" s="75" t="s">
        <v>1093</v>
      </c>
      <c r="D438" s="75" t="s">
        <v>1094</v>
      </c>
      <c r="E438" s="75"/>
      <c r="F438" s="68" t="str">
        <f t="shared" si="23"/>
        <v>Endiinzi Town Council</v>
      </c>
      <c r="G438" s="68" t="str">
        <f t="shared" si="18"/>
        <v>Isingiro</v>
      </c>
      <c r="H438" s="75" t="s">
        <v>1094</v>
      </c>
    </row>
    <row r="439" spans="1:8">
      <c r="A439" s="74">
        <v>1408</v>
      </c>
      <c r="B439" s="75" t="s">
        <v>819</v>
      </c>
      <c r="C439" s="75" t="s">
        <v>819</v>
      </c>
      <c r="D439" s="75" t="s">
        <v>823</v>
      </c>
      <c r="E439" s="75"/>
      <c r="F439" s="68" t="str">
        <f t="shared" si="23"/>
        <v>Engaju</v>
      </c>
      <c r="G439" s="68" t="str">
        <f t="shared" si="18"/>
        <v>Buhweju</v>
      </c>
      <c r="H439" s="75" t="s">
        <v>823</v>
      </c>
    </row>
    <row r="440" spans="1:8">
      <c r="A440" s="74">
        <v>1389</v>
      </c>
      <c r="B440" s="75" t="s">
        <v>1905</v>
      </c>
      <c r="C440" s="75" t="s">
        <v>1906</v>
      </c>
      <c r="D440" s="75" t="s">
        <v>1908</v>
      </c>
      <c r="E440" s="75"/>
      <c r="F440" s="68" t="str">
        <f t="shared" si="23"/>
        <v>Engari</v>
      </c>
      <c r="G440" s="68" t="str">
        <f t="shared" si="18"/>
        <v>Kiruhura</v>
      </c>
      <c r="H440" s="75" t="s">
        <v>1908</v>
      </c>
    </row>
    <row r="441" spans="1:8">
      <c r="A441" s="74">
        <v>112</v>
      </c>
      <c r="B441" s="75" t="s">
        <v>2499</v>
      </c>
      <c r="C441" s="75" t="s">
        <v>2500</v>
      </c>
      <c r="D441" s="75" t="s">
        <v>2502</v>
      </c>
      <c r="E441" s="75"/>
      <c r="F441" s="68" t="str">
        <f t="shared" si="23"/>
        <v>Erussi</v>
      </c>
      <c r="G441" s="68" t="str">
        <f t="shared" si="18"/>
        <v>Nebbi</v>
      </c>
      <c r="H441" s="75" t="s">
        <v>2502</v>
      </c>
    </row>
    <row r="442" spans="1:8">
      <c r="A442" s="74">
        <v>164</v>
      </c>
      <c r="B442" s="75" t="s">
        <v>689</v>
      </c>
      <c r="C442" s="75" t="s">
        <v>690</v>
      </c>
      <c r="D442" s="75" t="s">
        <v>697</v>
      </c>
      <c r="E442" s="75"/>
      <c r="F442" s="68" t="str">
        <f t="shared" si="23"/>
        <v>Etam</v>
      </c>
      <c r="G442" s="68" t="str">
        <f t="shared" si="18"/>
        <v>Amolatar</v>
      </c>
      <c r="H442" s="75" t="s">
        <v>697</v>
      </c>
    </row>
    <row r="443" spans="1:8">
      <c r="A443" s="74">
        <v>32</v>
      </c>
      <c r="B443" s="75" t="s">
        <v>745</v>
      </c>
      <c r="C443" s="75" t="s">
        <v>752</v>
      </c>
      <c r="D443" s="75" t="s">
        <v>759</v>
      </c>
      <c r="E443" s="75"/>
      <c r="F443" s="68" t="str">
        <f t="shared" si="23"/>
        <v>Ewanga</v>
      </c>
      <c r="G443" s="68" t="str">
        <f t="shared" si="18"/>
        <v>Arua</v>
      </c>
      <c r="H443" s="75" t="s">
        <v>759</v>
      </c>
    </row>
    <row r="444" spans="1:8">
      <c r="A444" s="74">
        <v>965</v>
      </c>
      <c r="B444" s="75" t="s">
        <v>1234</v>
      </c>
      <c r="C444" s="75" t="s">
        <v>1073</v>
      </c>
      <c r="D444" s="75" t="s">
        <v>1238</v>
      </c>
      <c r="E444" s="75"/>
      <c r="F444" s="68" t="str">
        <f t="shared" si="23"/>
        <v>Gadumire</v>
      </c>
      <c r="G444" s="68" t="str">
        <f t="shared" si="18"/>
        <v>Kaliro</v>
      </c>
      <c r="H444" s="75" t="s">
        <v>1238</v>
      </c>
    </row>
    <row r="445" spans="1:8">
      <c r="A445" s="74">
        <v>524</v>
      </c>
      <c r="B445" s="75" t="s">
        <v>1855</v>
      </c>
      <c r="C445" s="75" t="s">
        <v>1854</v>
      </c>
      <c r="D445" s="75" t="s">
        <v>1858</v>
      </c>
      <c r="E445" s="75"/>
      <c r="F445" s="68" t="str">
        <f t="shared" si="23"/>
        <v>Galiraya</v>
      </c>
      <c r="G445" s="68" t="str">
        <f t="shared" si="18"/>
        <v>Kayunga</v>
      </c>
      <c r="H445" s="75" t="s">
        <v>1858</v>
      </c>
    </row>
    <row r="446" spans="1:8">
      <c r="A446" s="74">
        <v>742</v>
      </c>
      <c r="B446" s="75" t="s">
        <v>1798</v>
      </c>
      <c r="C446" s="75" t="s">
        <v>1799</v>
      </c>
      <c r="D446" s="75" t="s">
        <v>1802</v>
      </c>
      <c r="E446" s="75"/>
      <c r="F446" s="68" t="str">
        <f t="shared" si="23"/>
        <v>Gamogo</v>
      </c>
      <c r="G446" s="68" t="str">
        <f t="shared" si="18"/>
        <v>Kapchorwa</v>
      </c>
      <c r="H446" s="75" t="s">
        <v>1802</v>
      </c>
    </row>
    <row r="447" spans="1:8">
      <c r="A447" s="74">
        <v>641</v>
      </c>
      <c r="B447" s="75" t="s">
        <v>2012</v>
      </c>
      <c r="C447" s="75" t="s">
        <v>1882</v>
      </c>
      <c r="D447" s="75" t="s">
        <v>2016</v>
      </c>
      <c r="E447" s="75"/>
      <c r="F447" s="68" t="str">
        <f t="shared" si="23"/>
        <v>Gayaza</v>
      </c>
      <c r="G447" s="68" t="str">
        <f t="shared" si="18"/>
        <v>Kyankwanzi</v>
      </c>
      <c r="H447" s="75" t="s">
        <v>2016</v>
      </c>
    </row>
    <row r="448" spans="1:8">
      <c r="A448" s="74">
        <v>99</v>
      </c>
      <c r="B448" s="75" t="s">
        <v>2317</v>
      </c>
      <c r="C448" s="75" t="s">
        <v>2318</v>
      </c>
      <c r="D448" s="75" t="s">
        <v>2321</v>
      </c>
      <c r="E448" s="75"/>
      <c r="F448" s="68" t="str">
        <f t="shared" si="23"/>
        <v>Gimara</v>
      </c>
      <c r="G448" s="68" t="str">
        <f t="shared" si="18"/>
        <v>Moyo</v>
      </c>
      <c r="H448" s="75" t="s">
        <v>2321</v>
      </c>
    </row>
    <row r="449" spans="1:8">
      <c r="A449" s="74">
        <v>806</v>
      </c>
      <c r="B449" s="75" t="s">
        <v>2606</v>
      </c>
      <c r="C449" s="75" t="s">
        <v>2605</v>
      </c>
      <c r="D449" s="75" t="s">
        <v>2610</v>
      </c>
      <c r="E449" s="75"/>
      <c r="F449" s="68" t="str">
        <f t="shared" si="23"/>
        <v>Gogonyo</v>
      </c>
      <c r="G449" s="68" t="str">
        <f t="shared" si="18"/>
        <v>Pallisa</v>
      </c>
      <c r="H449" s="75" t="s">
        <v>2610</v>
      </c>
    </row>
    <row r="450" spans="1:8" ht="25.5">
      <c r="A450" s="74">
        <v>486</v>
      </c>
      <c r="B450" s="75" t="s">
        <v>2369</v>
      </c>
      <c r="C450" s="76" t="s">
        <v>2378</v>
      </c>
      <c r="D450" s="75" t="s">
        <v>3107</v>
      </c>
      <c r="E450" s="75"/>
      <c r="F450" s="69" t="str">
        <f>VLOOKUP(C450,[2]Municipalities!$C$9:$F$1522,4,FALSE)</f>
        <v>Mukono Municipality</v>
      </c>
      <c r="G450" s="68" t="str">
        <f t="shared" si="18"/>
        <v>Mukono</v>
      </c>
      <c r="H450" s="75" t="s">
        <v>3107</v>
      </c>
    </row>
    <row r="451" spans="1:8" ht="25.5">
      <c r="A451" s="74">
        <v>556</v>
      </c>
      <c r="B451" s="75" t="s">
        <v>2774</v>
      </c>
      <c r="C451" s="76" t="s">
        <v>2780</v>
      </c>
      <c r="D451" s="75" t="s">
        <v>3108</v>
      </c>
      <c r="E451" s="75"/>
      <c r="F451" s="69" t="s">
        <v>2806</v>
      </c>
      <c r="G451" s="68" t="str">
        <f t="shared" si="18"/>
        <v>Wakiso</v>
      </c>
      <c r="H451" s="75" t="s">
        <v>3108</v>
      </c>
    </row>
    <row r="452" spans="1:8">
      <c r="A452" s="74">
        <v>613</v>
      </c>
      <c r="B452" s="75" t="s">
        <v>978</v>
      </c>
      <c r="C452" s="75" t="s">
        <v>978</v>
      </c>
      <c r="D452" s="75" t="s">
        <v>980</v>
      </c>
      <c r="E452" s="75"/>
      <c r="F452" s="68" t="str">
        <f t="shared" ref="F452:F515" si="24">D452</f>
        <v>Gombe Town Council</v>
      </c>
      <c r="G452" s="68" t="str">
        <f t="shared" si="18"/>
        <v>Butambala</v>
      </c>
      <c r="H452" s="75" t="s">
        <v>980</v>
      </c>
    </row>
    <row r="453" spans="1:8">
      <c r="A453" s="74">
        <v>814</v>
      </c>
      <c r="B453" s="75" t="s">
        <v>2729</v>
      </c>
      <c r="C453" s="75" t="s">
        <v>2729</v>
      </c>
      <c r="D453" s="75" t="s">
        <v>2731</v>
      </c>
      <c r="E453" s="75"/>
      <c r="F453" s="68" t="str">
        <f t="shared" si="24"/>
        <v>Gweri</v>
      </c>
      <c r="G453" s="68" t="str">
        <f t="shared" si="18"/>
        <v>Soroti</v>
      </c>
      <c r="H453" s="75" t="s">
        <v>2731</v>
      </c>
    </row>
    <row r="454" spans="1:8">
      <c r="A454" s="74">
        <v>1164</v>
      </c>
      <c r="B454" s="75" t="s">
        <v>1162</v>
      </c>
      <c r="C454" s="75" t="s">
        <v>1163</v>
      </c>
      <c r="D454" s="75" t="s">
        <v>1169</v>
      </c>
      <c r="E454" s="75"/>
      <c r="F454" s="68" t="str">
        <f t="shared" si="24"/>
        <v>Hakibaale</v>
      </c>
      <c r="G454" s="68" t="str">
        <f t="shared" si="18"/>
        <v>Kabarole</v>
      </c>
      <c r="H454" s="75" t="s">
        <v>1169</v>
      </c>
    </row>
    <row r="455" spans="1:8">
      <c r="A455" s="74">
        <v>1508</v>
      </c>
      <c r="B455" s="75" t="s">
        <v>2632</v>
      </c>
      <c r="C455" s="75" t="s">
        <v>2632</v>
      </c>
      <c r="D455" s="75" t="s">
        <v>2634</v>
      </c>
      <c r="E455" s="75"/>
      <c r="F455" s="68" t="str">
        <f t="shared" si="24"/>
        <v>Hamurwa</v>
      </c>
      <c r="G455" s="68" t="str">
        <f t="shared" si="18"/>
        <v>Rubanda</v>
      </c>
      <c r="H455" s="75" t="s">
        <v>2634</v>
      </c>
    </row>
    <row r="456" spans="1:8">
      <c r="A456" s="74">
        <v>1509</v>
      </c>
      <c r="B456" s="75" t="s">
        <v>2632</v>
      </c>
      <c r="C456" s="75" t="s">
        <v>2632</v>
      </c>
      <c r="D456" s="75" t="s">
        <v>2635</v>
      </c>
      <c r="E456" s="75"/>
      <c r="F456" s="68" t="str">
        <f t="shared" si="24"/>
        <v>Hamurwa Town Council</v>
      </c>
      <c r="G456" s="68" t="str">
        <f t="shared" si="18"/>
        <v>Rubanda</v>
      </c>
      <c r="H456" s="75" t="s">
        <v>2635</v>
      </c>
    </row>
    <row r="457" spans="1:8">
      <c r="A457" s="74">
        <v>1421</v>
      </c>
      <c r="B457" s="75" t="s">
        <v>2045</v>
      </c>
      <c r="C457" s="75" t="s">
        <v>2046</v>
      </c>
      <c r="D457" s="75" t="s">
        <v>2044</v>
      </c>
      <c r="E457" s="75"/>
      <c r="F457" s="68" t="str">
        <f t="shared" si="24"/>
        <v>Hapuuyo</v>
      </c>
      <c r="G457" s="68" t="str">
        <f t="shared" si="18"/>
        <v>Kyegegwa</v>
      </c>
      <c r="H457" s="75" t="s">
        <v>2044</v>
      </c>
    </row>
    <row r="458" spans="1:8">
      <c r="A458" s="74">
        <v>1103</v>
      </c>
      <c r="B458" s="75" t="s">
        <v>897</v>
      </c>
      <c r="C458" s="75" t="s">
        <v>901</v>
      </c>
      <c r="D458" s="75" t="s">
        <v>906</v>
      </c>
      <c r="E458" s="75"/>
      <c r="F458" s="68" t="str">
        <f t="shared" si="24"/>
        <v>Harugale</v>
      </c>
      <c r="G458" s="68" t="str">
        <f t="shared" ref="G458:G521" si="25">B458</f>
        <v>Bundibugyo</v>
      </c>
      <c r="H458" s="75" t="s">
        <v>906</v>
      </c>
    </row>
    <row r="459" spans="1:8">
      <c r="A459" s="74">
        <v>1195</v>
      </c>
      <c r="B459" s="75" t="s">
        <v>36</v>
      </c>
      <c r="C459" s="75" t="s">
        <v>1812</v>
      </c>
      <c r="D459" s="75" t="s">
        <v>1815</v>
      </c>
      <c r="E459" s="75"/>
      <c r="F459" s="68" t="str">
        <f t="shared" si="24"/>
        <v>Hima Town Council</v>
      </c>
      <c r="G459" s="68" t="str">
        <f t="shared" si="25"/>
        <v>Kasese</v>
      </c>
      <c r="H459" s="75" t="s">
        <v>1815</v>
      </c>
    </row>
    <row r="460" spans="1:8">
      <c r="A460" s="74">
        <v>956</v>
      </c>
      <c r="B460" s="75" t="s">
        <v>965</v>
      </c>
      <c r="C460" s="75" t="s">
        <v>966</v>
      </c>
      <c r="D460" s="75" t="s">
        <v>972</v>
      </c>
      <c r="E460" s="75"/>
      <c r="F460" s="68" t="str">
        <f t="shared" si="24"/>
        <v>Himutu</v>
      </c>
      <c r="G460" s="68" t="str">
        <f t="shared" si="25"/>
        <v>Butaleja</v>
      </c>
      <c r="H460" s="75" t="s">
        <v>972</v>
      </c>
    </row>
    <row r="461" spans="1:8">
      <c r="A461" s="74">
        <v>1127</v>
      </c>
      <c r="B461" s="75" t="s">
        <v>38</v>
      </c>
      <c r="C461" s="75" t="s">
        <v>932</v>
      </c>
      <c r="D461" s="75" t="s">
        <v>939</v>
      </c>
      <c r="E461" s="75"/>
      <c r="F461" s="68" t="str">
        <f t="shared" si="24"/>
        <v>Ibaare</v>
      </c>
      <c r="G461" s="68" t="str">
        <f t="shared" si="25"/>
        <v>Bushenyi</v>
      </c>
      <c r="H461" s="75" t="s">
        <v>939</v>
      </c>
    </row>
    <row r="462" spans="1:8">
      <c r="A462" s="74">
        <v>19</v>
      </c>
      <c r="B462" s="75" t="s">
        <v>731</v>
      </c>
      <c r="C462" s="75" t="s">
        <v>736</v>
      </c>
      <c r="D462" s="75" t="s">
        <v>741</v>
      </c>
      <c r="E462" s="75"/>
      <c r="F462" s="68" t="str">
        <f t="shared" si="24"/>
        <v>Ibuje</v>
      </c>
      <c r="G462" s="68" t="str">
        <f t="shared" si="25"/>
        <v>Apac</v>
      </c>
      <c r="H462" s="75" t="s">
        <v>741</v>
      </c>
    </row>
    <row r="463" spans="1:8">
      <c r="A463" s="74">
        <v>699</v>
      </c>
      <c r="B463" s="75" t="s">
        <v>1074</v>
      </c>
      <c r="C463" s="75" t="s">
        <v>1077</v>
      </c>
      <c r="D463" s="75" t="s">
        <v>1079</v>
      </c>
      <c r="E463" s="75"/>
      <c r="F463" s="68" t="str">
        <f t="shared" si="24"/>
        <v>Ibulanku</v>
      </c>
      <c r="G463" s="68" t="str">
        <f t="shared" si="25"/>
        <v>Iganga</v>
      </c>
      <c r="H463" s="75" t="s">
        <v>1079</v>
      </c>
    </row>
    <row r="464" spans="1:8">
      <c r="A464" s="74">
        <v>219</v>
      </c>
      <c r="B464" s="75" t="s">
        <v>2571</v>
      </c>
      <c r="C464" s="75" t="s">
        <v>2571</v>
      </c>
      <c r="D464" s="75" t="s">
        <v>2575</v>
      </c>
      <c r="E464" s="75"/>
      <c r="F464" s="68" t="str">
        <f t="shared" si="24"/>
        <v>Iceme</v>
      </c>
      <c r="G464" s="68" t="str">
        <f t="shared" si="25"/>
        <v>Oyam</v>
      </c>
      <c r="H464" s="75" t="s">
        <v>2575</v>
      </c>
    </row>
    <row r="465" spans="1:8">
      <c r="A465" s="74">
        <v>700</v>
      </c>
      <c r="B465" s="75" t="s">
        <v>1074</v>
      </c>
      <c r="C465" s="75" t="s">
        <v>1077</v>
      </c>
      <c r="D465" s="75" t="s">
        <v>1081</v>
      </c>
      <c r="E465" s="75"/>
      <c r="F465" s="68" t="str">
        <f t="shared" si="24"/>
        <v>Igombe</v>
      </c>
      <c r="G465" s="68" t="str">
        <f t="shared" si="25"/>
        <v>Iganga</v>
      </c>
      <c r="H465" s="75" t="s">
        <v>1081</v>
      </c>
    </row>
    <row r="466" spans="1:8">
      <c r="A466" s="74">
        <v>1353</v>
      </c>
      <c r="B466" s="75" t="s">
        <v>43</v>
      </c>
      <c r="C466" s="75" t="s">
        <v>43</v>
      </c>
      <c r="D466" s="75" t="s">
        <v>1062</v>
      </c>
      <c r="E466" s="75"/>
      <c r="F466" s="68" t="str">
        <f t="shared" si="24"/>
        <v>Igorora Town Council</v>
      </c>
      <c r="G466" s="68" t="str">
        <f t="shared" si="25"/>
        <v>Ibanda</v>
      </c>
      <c r="H466" s="75" t="s">
        <v>1062</v>
      </c>
    </row>
    <row r="467" spans="1:8">
      <c r="A467" s="74">
        <v>1179</v>
      </c>
      <c r="B467" s="75" t="s">
        <v>36</v>
      </c>
      <c r="C467" s="75" t="s">
        <v>900</v>
      </c>
      <c r="D467" s="75" t="s">
        <v>1816</v>
      </c>
      <c r="E467" s="75"/>
      <c r="F467" s="68" t="str">
        <f t="shared" si="24"/>
        <v>Ihandiro</v>
      </c>
      <c r="G467" s="68" t="str">
        <f t="shared" si="25"/>
        <v>Kasese</v>
      </c>
      <c r="H467" s="75" t="s">
        <v>1816</v>
      </c>
    </row>
    <row r="468" spans="1:8">
      <c r="A468" s="74">
        <v>1262</v>
      </c>
      <c r="B468" s="75" t="s">
        <v>47</v>
      </c>
      <c r="C468" s="75" t="s">
        <v>2525</v>
      </c>
      <c r="D468" s="75" t="s">
        <v>2526</v>
      </c>
      <c r="E468" s="75"/>
      <c r="F468" s="68" t="str">
        <f t="shared" si="24"/>
        <v>Ihunga</v>
      </c>
      <c r="G468" s="68" t="str">
        <f t="shared" si="25"/>
        <v>Ntungamo</v>
      </c>
      <c r="H468" s="75" t="s">
        <v>2526</v>
      </c>
    </row>
    <row r="469" spans="1:8">
      <c r="A469" s="74">
        <v>910</v>
      </c>
      <c r="B469" s="75" t="s">
        <v>775</v>
      </c>
      <c r="C469" s="75" t="s">
        <v>777</v>
      </c>
      <c r="D469" s="75" t="s">
        <v>777</v>
      </c>
      <c r="E469" s="75"/>
      <c r="F469" s="68" t="str">
        <f t="shared" si="24"/>
        <v>Iki-Iki</v>
      </c>
      <c r="G469" s="68" t="str">
        <f t="shared" si="25"/>
        <v>Budaka</v>
      </c>
      <c r="H469" s="75" t="s">
        <v>777</v>
      </c>
    </row>
    <row r="470" spans="1:8">
      <c r="A470" s="74">
        <v>1510</v>
      </c>
      <c r="B470" s="75" t="s">
        <v>2632</v>
      </c>
      <c r="C470" s="75" t="s">
        <v>2632</v>
      </c>
      <c r="D470" s="75" t="s">
        <v>2636</v>
      </c>
      <c r="E470" s="75"/>
      <c r="F470" s="68" t="str">
        <f t="shared" si="24"/>
        <v>Ikumba</v>
      </c>
      <c r="G470" s="68" t="str">
        <f t="shared" si="25"/>
        <v>Rubanda</v>
      </c>
      <c r="H470" s="75" t="s">
        <v>2636</v>
      </c>
    </row>
    <row r="471" spans="1:8">
      <c r="A471" s="74">
        <v>1049</v>
      </c>
      <c r="B471" s="75" t="s">
        <v>2104</v>
      </c>
      <c r="C471" s="75" t="s">
        <v>2104</v>
      </c>
      <c r="D471" s="75" t="s">
        <v>2107</v>
      </c>
      <c r="E471" s="75"/>
      <c r="F471" s="68" t="str">
        <f t="shared" si="24"/>
        <v>Ikumbya</v>
      </c>
      <c r="G471" s="68" t="str">
        <f t="shared" si="25"/>
        <v>Luuka</v>
      </c>
      <c r="H471" s="75" t="s">
        <v>2107</v>
      </c>
    </row>
    <row r="472" spans="1:8">
      <c r="A472" s="74">
        <v>856</v>
      </c>
      <c r="B472" s="75" t="s">
        <v>2209</v>
      </c>
      <c r="C472" s="75" t="s">
        <v>2210</v>
      </c>
      <c r="D472" s="75" t="s">
        <v>2215</v>
      </c>
      <c r="E472" s="75"/>
      <c r="F472" s="68" t="str">
        <f t="shared" si="24"/>
        <v>Imanyiro</v>
      </c>
      <c r="G472" s="68" t="str">
        <f t="shared" si="25"/>
        <v>Mayuge</v>
      </c>
      <c r="H472" s="75" t="s">
        <v>2215</v>
      </c>
    </row>
    <row r="473" spans="1:8" ht="25.5">
      <c r="A473" s="74">
        <v>793</v>
      </c>
      <c r="B473" s="77" t="s">
        <v>2225</v>
      </c>
      <c r="C473" s="78" t="s">
        <v>2241</v>
      </c>
      <c r="D473" s="77" t="s">
        <v>3109</v>
      </c>
      <c r="E473" s="77"/>
      <c r="F473" s="69" t="str">
        <f>VLOOKUP(C473,[2]Municipalities!$C$9:$F$1522,4,FALSE)</f>
        <v>Mbale Municipality</v>
      </c>
      <c r="G473" s="68" t="str">
        <f t="shared" si="25"/>
        <v>Mbale</v>
      </c>
      <c r="H473" s="77" t="s">
        <v>3109</v>
      </c>
    </row>
    <row r="474" spans="1:8">
      <c r="A474" s="74">
        <v>15</v>
      </c>
      <c r="B474" s="75" t="s">
        <v>731</v>
      </c>
      <c r="C474" s="75" t="s">
        <v>732</v>
      </c>
      <c r="D474" s="75" t="s">
        <v>742</v>
      </c>
      <c r="E474" s="75"/>
      <c r="F474" s="68" t="str">
        <f t="shared" si="24"/>
        <v>Inomo</v>
      </c>
      <c r="G474" s="68" t="str">
        <f t="shared" si="25"/>
        <v>Apac</v>
      </c>
      <c r="H474" s="75" t="s">
        <v>742</v>
      </c>
    </row>
    <row r="475" spans="1:8">
      <c r="A475" s="74">
        <v>274</v>
      </c>
      <c r="B475" s="75" t="s">
        <v>2489</v>
      </c>
      <c r="C475" s="75" t="s">
        <v>2490</v>
      </c>
      <c r="D475" s="75" t="s">
        <v>2488</v>
      </c>
      <c r="E475" s="75"/>
      <c r="F475" s="68" t="str">
        <f t="shared" si="24"/>
        <v>Iriiri</v>
      </c>
      <c r="G475" s="68" t="str">
        <f t="shared" si="25"/>
        <v>Napak</v>
      </c>
      <c r="H475" s="75" t="s">
        <v>2488</v>
      </c>
    </row>
    <row r="476" spans="1:8">
      <c r="A476" s="74">
        <v>1050</v>
      </c>
      <c r="B476" s="75" t="s">
        <v>2104</v>
      </c>
      <c r="C476" s="75" t="s">
        <v>2104</v>
      </c>
      <c r="D476" s="75" t="s">
        <v>2108</v>
      </c>
      <c r="E476" s="75"/>
      <c r="F476" s="68" t="str">
        <f t="shared" si="24"/>
        <v>Irongo</v>
      </c>
      <c r="G476" s="68" t="str">
        <f t="shared" si="25"/>
        <v>Luuka</v>
      </c>
      <c r="H476" s="75" t="s">
        <v>2108</v>
      </c>
    </row>
    <row r="477" spans="1:8">
      <c r="A477" s="74">
        <v>1180</v>
      </c>
      <c r="B477" s="75" t="s">
        <v>36</v>
      </c>
      <c r="C477" s="75" t="s">
        <v>900</v>
      </c>
      <c r="D477" s="75" t="s">
        <v>1817</v>
      </c>
      <c r="E477" s="75"/>
      <c r="F477" s="68" t="str">
        <f t="shared" si="24"/>
        <v>Isango</v>
      </c>
      <c r="G477" s="68" t="str">
        <f t="shared" si="25"/>
        <v>Kasese</v>
      </c>
      <c r="H477" s="75" t="s">
        <v>1817</v>
      </c>
    </row>
    <row r="478" spans="1:8" ht="25.5">
      <c r="A478" s="74">
        <v>1123</v>
      </c>
      <c r="B478" s="75" t="s">
        <v>38</v>
      </c>
      <c r="C478" s="76" t="s">
        <v>934</v>
      </c>
      <c r="D478" s="75" t="s">
        <v>3110</v>
      </c>
      <c r="E478" s="75"/>
      <c r="F478" s="69" t="str">
        <f>VLOOKUP(C478,[2]Municipalities!$C$9:$F$1522,4,FALSE)</f>
        <v>Bushenyi-Ishaka Municipality</v>
      </c>
      <c r="G478" s="68" t="str">
        <f t="shared" si="25"/>
        <v>Bushenyi</v>
      </c>
      <c r="H478" s="75" t="s">
        <v>3110</v>
      </c>
    </row>
    <row r="479" spans="1:8">
      <c r="A479" s="74">
        <v>1354</v>
      </c>
      <c r="B479" s="75" t="s">
        <v>43</v>
      </c>
      <c r="C479" s="75" t="s">
        <v>43</v>
      </c>
      <c r="D479" s="75" t="s">
        <v>1063</v>
      </c>
      <c r="E479" s="75"/>
      <c r="F479" s="68" t="str">
        <f t="shared" si="24"/>
        <v>Ishongororo</v>
      </c>
      <c r="G479" s="68" t="str">
        <f t="shared" si="25"/>
        <v>Ibanda</v>
      </c>
      <c r="H479" s="75" t="s">
        <v>1063</v>
      </c>
    </row>
    <row r="480" spans="1:8">
      <c r="A480" s="74">
        <v>1355</v>
      </c>
      <c r="B480" s="75" t="s">
        <v>43</v>
      </c>
      <c r="C480" s="75" t="s">
        <v>43</v>
      </c>
      <c r="D480" s="75" t="s">
        <v>1064</v>
      </c>
      <c r="E480" s="75"/>
      <c r="F480" s="68" t="str">
        <f t="shared" si="24"/>
        <v>Ishongororo Town Council</v>
      </c>
      <c r="G480" s="68" t="str">
        <f t="shared" si="25"/>
        <v>Ibanda</v>
      </c>
      <c r="H480" s="75" t="s">
        <v>1064</v>
      </c>
    </row>
    <row r="481" spans="1:8">
      <c r="A481" s="74">
        <v>1376</v>
      </c>
      <c r="B481" s="75" t="s">
        <v>48</v>
      </c>
      <c r="C481" s="75" t="s">
        <v>48</v>
      </c>
      <c r="D481" s="75" t="s">
        <v>1095</v>
      </c>
      <c r="E481" s="75"/>
      <c r="F481" s="68" t="str">
        <f t="shared" si="24"/>
        <v>Isingiro Town Council</v>
      </c>
      <c r="G481" s="68" t="str">
        <f t="shared" si="25"/>
        <v>Isingiro</v>
      </c>
      <c r="H481" s="75" t="s">
        <v>1095</v>
      </c>
    </row>
    <row r="482" spans="1:8">
      <c r="A482" s="74">
        <v>6</v>
      </c>
      <c r="B482" s="75" t="s">
        <v>649</v>
      </c>
      <c r="C482" s="75" t="s">
        <v>650</v>
      </c>
      <c r="D482" s="75" t="s">
        <v>655</v>
      </c>
      <c r="E482" s="75"/>
      <c r="F482" s="68" t="str">
        <f t="shared" si="24"/>
        <v>Itirikwa</v>
      </c>
      <c r="G482" s="68" t="str">
        <f t="shared" si="25"/>
        <v>Adjumani</v>
      </c>
      <c r="H482" s="75" t="s">
        <v>655</v>
      </c>
    </row>
    <row r="483" spans="1:8">
      <c r="A483" s="74">
        <v>1270</v>
      </c>
      <c r="B483" s="75" t="s">
        <v>47</v>
      </c>
      <c r="C483" s="75" t="s">
        <v>2528</v>
      </c>
      <c r="D483" s="75" t="s">
        <v>2527</v>
      </c>
      <c r="E483" s="75"/>
      <c r="F483" s="68" t="str">
        <f t="shared" si="24"/>
        <v>Itojo</v>
      </c>
      <c r="G483" s="68" t="str">
        <f t="shared" si="25"/>
        <v>Ntungamo</v>
      </c>
      <c r="H483" s="75" t="s">
        <v>2527</v>
      </c>
    </row>
    <row r="484" spans="1:8">
      <c r="A484" s="74">
        <v>100</v>
      </c>
      <c r="B484" s="75" t="s">
        <v>2317</v>
      </c>
      <c r="C484" s="75" t="s">
        <v>2318</v>
      </c>
      <c r="D484" s="75" t="s">
        <v>2322</v>
      </c>
      <c r="E484" s="75"/>
      <c r="F484" s="68" t="str">
        <f t="shared" si="24"/>
        <v>Itula</v>
      </c>
      <c r="G484" s="68" t="str">
        <f t="shared" si="25"/>
        <v>Moyo</v>
      </c>
      <c r="H484" s="75" t="s">
        <v>2322</v>
      </c>
    </row>
    <row r="485" spans="1:8">
      <c r="A485" s="74">
        <v>991</v>
      </c>
      <c r="B485" s="75" t="s">
        <v>2480</v>
      </c>
      <c r="C485" s="75" t="s">
        <v>2481</v>
      </c>
      <c r="D485" s="75" t="s">
        <v>2482</v>
      </c>
      <c r="E485" s="75"/>
      <c r="F485" s="68" t="str">
        <f t="shared" si="24"/>
        <v>Ivukula</v>
      </c>
      <c r="G485" s="68" t="str">
        <f t="shared" si="25"/>
        <v>Namutumba</v>
      </c>
      <c r="H485" s="75" t="s">
        <v>2482</v>
      </c>
    </row>
    <row r="486" spans="1:8">
      <c r="A486" s="74">
        <v>676</v>
      </c>
      <c r="B486" s="75" t="s">
        <v>806</v>
      </c>
      <c r="C486" s="75" t="s">
        <v>807</v>
      </c>
      <c r="D486" s="75" t="s">
        <v>813</v>
      </c>
      <c r="E486" s="75"/>
      <c r="F486" s="68" t="str">
        <f t="shared" si="24"/>
        <v>Iwemba</v>
      </c>
      <c r="G486" s="68" t="str">
        <f t="shared" si="25"/>
        <v>Bugiri</v>
      </c>
      <c r="H486" s="75" t="s">
        <v>813</v>
      </c>
    </row>
    <row r="487" spans="1:8">
      <c r="A487" s="74">
        <v>827</v>
      </c>
      <c r="B487" s="75" t="s">
        <v>2751</v>
      </c>
      <c r="C487" s="75" t="s">
        <v>2752</v>
      </c>
      <c r="D487" s="75" t="s">
        <v>2750</v>
      </c>
      <c r="E487" s="75"/>
      <c r="F487" s="68" t="str">
        <f t="shared" si="24"/>
        <v>Iyolwa</v>
      </c>
      <c r="G487" s="68" t="str">
        <f t="shared" si="25"/>
        <v>Tororo</v>
      </c>
      <c r="H487" s="75" t="s">
        <v>2750</v>
      </c>
    </row>
    <row r="488" spans="1:8">
      <c r="A488" s="74">
        <v>857</v>
      </c>
      <c r="B488" s="75" t="s">
        <v>2209</v>
      </c>
      <c r="C488" s="75" t="s">
        <v>2210</v>
      </c>
      <c r="D488" s="75" t="s">
        <v>2216</v>
      </c>
      <c r="E488" s="75"/>
      <c r="F488" s="68" t="str">
        <f t="shared" si="24"/>
        <v>Jaguzi</v>
      </c>
      <c r="G488" s="68" t="str">
        <f t="shared" si="25"/>
        <v>Mayuge</v>
      </c>
      <c r="H488" s="75" t="s">
        <v>2216</v>
      </c>
    </row>
    <row r="489" spans="1:8">
      <c r="A489" s="74">
        <v>297</v>
      </c>
      <c r="B489" s="75" t="s">
        <v>3024</v>
      </c>
      <c r="C489" s="75" t="s">
        <v>3025</v>
      </c>
      <c r="D489" s="75" t="s">
        <v>3027</v>
      </c>
      <c r="E489" s="75"/>
      <c r="F489" s="68" t="str">
        <f t="shared" si="24"/>
        <v>Jangokoro</v>
      </c>
      <c r="G489" s="68" t="str">
        <f t="shared" si="25"/>
        <v>Zombo</v>
      </c>
      <c r="H489" s="75" t="s">
        <v>3027</v>
      </c>
    </row>
    <row r="490" spans="1:8">
      <c r="A490" s="74">
        <v>184</v>
      </c>
      <c r="B490" s="75" t="s">
        <v>1132</v>
      </c>
      <c r="C490" s="75" t="s">
        <v>1133</v>
      </c>
      <c r="D490" s="75" t="s">
        <v>1131</v>
      </c>
      <c r="E490" s="75"/>
      <c r="F490" s="68" t="str">
        <f t="shared" si="24"/>
        <v>Kaabong East</v>
      </c>
      <c r="G490" s="68" t="str">
        <f t="shared" si="25"/>
        <v>Kaabong</v>
      </c>
      <c r="H490" s="75" t="s">
        <v>1131</v>
      </c>
    </row>
    <row r="491" spans="1:8">
      <c r="A491" s="74">
        <v>185</v>
      </c>
      <c r="B491" s="75" t="s">
        <v>1132</v>
      </c>
      <c r="C491" s="75" t="s">
        <v>1133</v>
      </c>
      <c r="D491" s="75" t="s">
        <v>3111</v>
      </c>
      <c r="E491" s="75"/>
      <c r="F491" s="68" t="str">
        <f t="shared" si="24"/>
        <v>Kaabong Town Council</v>
      </c>
      <c r="G491" s="68" t="str">
        <f t="shared" si="25"/>
        <v>Kaabong</v>
      </c>
      <c r="H491" s="75" t="s">
        <v>3111</v>
      </c>
    </row>
    <row r="492" spans="1:8">
      <c r="A492" s="74">
        <v>186</v>
      </c>
      <c r="B492" s="75" t="s">
        <v>1132</v>
      </c>
      <c r="C492" s="75" t="s">
        <v>1133</v>
      </c>
      <c r="D492" s="75" t="s">
        <v>1135</v>
      </c>
      <c r="E492" s="75"/>
      <c r="F492" s="68" t="str">
        <f t="shared" si="24"/>
        <v>Kaabong West</v>
      </c>
      <c r="G492" s="68" t="str">
        <f t="shared" si="25"/>
        <v>Kaabong</v>
      </c>
      <c r="H492" s="75" t="s">
        <v>1135</v>
      </c>
    </row>
    <row r="493" spans="1:8">
      <c r="A493" s="74">
        <v>981</v>
      </c>
      <c r="B493" s="75" t="s">
        <v>2158</v>
      </c>
      <c r="C493" s="75" t="s">
        <v>2159</v>
      </c>
      <c r="D493" s="75" t="s">
        <v>2169</v>
      </c>
      <c r="E493" s="75"/>
      <c r="F493" s="68" t="str">
        <f t="shared" si="24"/>
        <v>Kaato</v>
      </c>
      <c r="G493" s="68" t="str">
        <f t="shared" si="25"/>
        <v>Manafwa</v>
      </c>
      <c r="H493" s="75" t="s">
        <v>2169</v>
      </c>
    </row>
    <row r="494" spans="1:8">
      <c r="A494" s="74">
        <v>1479</v>
      </c>
      <c r="B494" s="75" t="s">
        <v>1193</v>
      </c>
      <c r="C494" s="75" t="s">
        <v>1194</v>
      </c>
      <c r="D494" s="75" t="s">
        <v>1196</v>
      </c>
      <c r="E494" s="75"/>
      <c r="F494" s="68" t="str">
        <f t="shared" si="24"/>
        <v>Kabamba</v>
      </c>
      <c r="G494" s="68" t="str">
        <f t="shared" si="25"/>
        <v>Kagadi</v>
      </c>
      <c r="H494" s="75" t="s">
        <v>1196</v>
      </c>
    </row>
    <row r="495" spans="1:8">
      <c r="A495" s="74">
        <v>1300</v>
      </c>
      <c r="B495" s="75" t="s">
        <v>45</v>
      </c>
      <c r="C495" s="75" t="s">
        <v>989</v>
      </c>
      <c r="D495" s="75" t="s">
        <v>1765</v>
      </c>
      <c r="E495" s="75"/>
      <c r="F495" s="68" t="str">
        <f t="shared" si="24"/>
        <v>Kabambiro</v>
      </c>
      <c r="G495" s="68" t="str">
        <f t="shared" si="25"/>
        <v>Kamwenge</v>
      </c>
      <c r="H495" s="75" t="s">
        <v>1765</v>
      </c>
    </row>
    <row r="496" spans="1:8">
      <c r="A496" s="74">
        <v>1216</v>
      </c>
      <c r="B496" s="75" t="s">
        <v>1871</v>
      </c>
      <c r="C496" s="75" t="s">
        <v>1872</v>
      </c>
      <c r="D496" s="75" t="s">
        <v>1874</v>
      </c>
      <c r="E496" s="75"/>
      <c r="F496" s="68" t="str">
        <f t="shared" si="24"/>
        <v>Kabasekende</v>
      </c>
      <c r="G496" s="68" t="str">
        <f t="shared" si="25"/>
        <v>Kibaale</v>
      </c>
      <c r="H496" s="75" t="s">
        <v>1874</v>
      </c>
    </row>
    <row r="497" spans="1:8">
      <c r="A497" s="74">
        <v>941</v>
      </c>
      <c r="B497" s="75" t="s">
        <v>856</v>
      </c>
      <c r="C497" s="75" t="s">
        <v>857</v>
      </c>
      <c r="D497" s="75" t="s">
        <v>861</v>
      </c>
      <c r="E497" s="75"/>
      <c r="F497" s="68" t="str">
        <f t="shared" si="24"/>
        <v>Kabei</v>
      </c>
      <c r="G497" s="68" t="str">
        <f t="shared" si="25"/>
        <v>Bukwo</v>
      </c>
      <c r="H497" s="75" t="s">
        <v>861</v>
      </c>
    </row>
    <row r="498" spans="1:8">
      <c r="A498" s="74">
        <v>841</v>
      </c>
      <c r="B498" s="75" t="s">
        <v>1181</v>
      </c>
      <c r="C498" s="75" t="s">
        <v>1181</v>
      </c>
      <c r="D498" s="75" t="s">
        <v>1181</v>
      </c>
      <c r="E498" s="75"/>
      <c r="F498" s="68" t="str">
        <f t="shared" si="24"/>
        <v>Kaberamaido</v>
      </c>
      <c r="G498" s="68" t="str">
        <f t="shared" si="25"/>
        <v>Kaberamaido</v>
      </c>
      <c r="H498" s="75" t="s">
        <v>1181</v>
      </c>
    </row>
    <row r="499" spans="1:8">
      <c r="A499" s="74">
        <v>842</v>
      </c>
      <c r="B499" s="75" t="s">
        <v>1181</v>
      </c>
      <c r="C499" s="75" t="s">
        <v>1181</v>
      </c>
      <c r="D499" s="75" t="s">
        <v>1187</v>
      </c>
      <c r="E499" s="75"/>
      <c r="F499" s="68" t="str">
        <f t="shared" si="24"/>
        <v>Kaberamaido Town Council</v>
      </c>
      <c r="G499" s="68" t="str">
        <f t="shared" si="25"/>
        <v>Kaberamaido</v>
      </c>
      <c r="H499" s="75" t="s">
        <v>1187</v>
      </c>
    </row>
    <row r="500" spans="1:8">
      <c r="A500" s="74">
        <v>1377</v>
      </c>
      <c r="B500" s="75" t="s">
        <v>48</v>
      </c>
      <c r="C500" s="75" t="s">
        <v>48</v>
      </c>
      <c r="D500" s="75" t="s">
        <v>1097</v>
      </c>
      <c r="E500" s="75"/>
      <c r="F500" s="68" t="str">
        <f t="shared" si="24"/>
        <v>Kaberebere Town Council</v>
      </c>
      <c r="G500" s="68" t="str">
        <f t="shared" si="25"/>
        <v>Isingiro</v>
      </c>
      <c r="H500" s="75" t="s">
        <v>1097</v>
      </c>
    </row>
    <row r="501" spans="1:8">
      <c r="A501" s="74">
        <v>743</v>
      </c>
      <c r="B501" s="75" t="s">
        <v>1798</v>
      </c>
      <c r="C501" s="75" t="s">
        <v>1799</v>
      </c>
      <c r="D501" s="75" t="s">
        <v>1803</v>
      </c>
      <c r="E501" s="75"/>
      <c r="F501" s="68" t="str">
        <f t="shared" si="24"/>
        <v>Kabeywa</v>
      </c>
      <c r="G501" s="68" t="str">
        <f t="shared" si="25"/>
        <v>Kapchorwa</v>
      </c>
      <c r="H501" s="75" t="s">
        <v>1803</v>
      </c>
    </row>
    <row r="502" spans="1:8">
      <c r="A502" s="74">
        <v>1378</v>
      </c>
      <c r="B502" s="75" t="s">
        <v>48</v>
      </c>
      <c r="C502" s="75" t="s">
        <v>48</v>
      </c>
      <c r="D502" s="75" t="s">
        <v>1098</v>
      </c>
      <c r="E502" s="75"/>
      <c r="F502" s="68" t="str">
        <f t="shared" si="24"/>
        <v>Kabingo</v>
      </c>
      <c r="G502" s="68" t="str">
        <f t="shared" si="25"/>
        <v>Isingiro</v>
      </c>
      <c r="H502" s="75" t="s">
        <v>1098</v>
      </c>
    </row>
    <row r="503" spans="1:8">
      <c r="A503" s="74">
        <v>662</v>
      </c>
      <c r="B503" s="75" t="s">
        <v>2074</v>
      </c>
      <c r="C503" s="75" t="s">
        <v>2074</v>
      </c>
      <c r="D503" s="75" t="s">
        <v>2073</v>
      </c>
      <c r="E503" s="75"/>
      <c r="F503" s="68" t="str">
        <f t="shared" si="24"/>
        <v>Kabira</v>
      </c>
      <c r="G503" s="68" t="str">
        <f t="shared" si="25"/>
        <v>Kyotera</v>
      </c>
      <c r="H503" s="75" t="s">
        <v>2073</v>
      </c>
    </row>
    <row r="504" spans="1:8">
      <c r="A504" s="74">
        <v>1431</v>
      </c>
      <c r="B504" s="75" t="s">
        <v>46</v>
      </c>
      <c r="C504" s="75" t="s">
        <v>2272</v>
      </c>
      <c r="D504" s="75" t="s">
        <v>2073</v>
      </c>
      <c r="E504" s="75"/>
      <c r="F504" s="68" t="str">
        <f t="shared" si="24"/>
        <v>Kabira</v>
      </c>
      <c r="G504" s="68" t="str">
        <f t="shared" si="25"/>
        <v>Mitooma</v>
      </c>
      <c r="H504" s="75" t="s">
        <v>2073</v>
      </c>
    </row>
    <row r="505" spans="1:8">
      <c r="A505" s="74">
        <v>444</v>
      </c>
      <c r="B505" s="75" t="s">
        <v>39</v>
      </c>
      <c r="C505" s="75" t="s">
        <v>23</v>
      </c>
      <c r="D505" s="75" t="s">
        <v>2187</v>
      </c>
      <c r="E505" s="75"/>
      <c r="F505" s="68" t="str">
        <f t="shared" si="24"/>
        <v>Kabonera</v>
      </c>
      <c r="G505" s="68" t="str">
        <f t="shared" si="25"/>
        <v>Masaka</v>
      </c>
      <c r="H505" s="75" t="s">
        <v>2187</v>
      </c>
    </row>
    <row r="506" spans="1:8">
      <c r="A506" s="74">
        <v>1516</v>
      </c>
      <c r="B506" s="75" t="s">
        <v>920</v>
      </c>
      <c r="C506" s="75" t="s">
        <v>920</v>
      </c>
      <c r="D506" s="75" t="s">
        <v>922</v>
      </c>
      <c r="E506" s="75"/>
      <c r="F506" s="68" t="str">
        <f t="shared" si="24"/>
        <v>Kabonero</v>
      </c>
      <c r="G506" s="68" t="str">
        <f t="shared" si="25"/>
        <v>Bunyangabu</v>
      </c>
      <c r="H506" s="75" t="s">
        <v>922</v>
      </c>
    </row>
    <row r="507" spans="1:8">
      <c r="A507" s="74">
        <v>626</v>
      </c>
      <c r="B507" s="75" t="s">
        <v>1025</v>
      </c>
      <c r="C507" s="75" t="s">
        <v>1025</v>
      </c>
      <c r="D507" s="75" t="s">
        <v>1024</v>
      </c>
      <c r="E507" s="75"/>
      <c r="F507" s="68" t="str">
        <f t="shared" si="24"/>
        <v>Kabulasoke</v>
      </c>
      <c r="G507" s="68" t="str">
        <f t="shared" si="25"/>
        <v>Gomba</v>
      </c>
      <c r="H507" s="75" t="s">
        <v>1024</v>
      </c>
    </row>
    <row r="508" spans="1:8">
      <c r="A508" s="74">
        <v>1379</v>
      </c>
      <c r="B508" s="75" t="s">
        <v>48</v>
      </c>
      <c r="C508" s="75" t="s">
        <v>48</v>
      </c>
      <c r="D508" s="75" t="s">
        <v>1099</v>
      </c>
      <c r="E508" s="75"/>
      <c r="F508" s="68" t="str">
        <f t="shared" si="24"/>
        <v>Kabuyanda</v>
      </c>
      <c r="G508" s="68" t="str">
        <f t="shared" si="25"/>
        <v>Isingiro</v>
      </c>
      <c r="H508" s="75" t="s">
        <v>1099</v>
      </c>
    </row>
    <row r="509" spans="1:8">
      <c r="A509" s="74">
        <v>1380</v>
      </c>
      <c r="B509" s="75" t="s">
        <v>48</v>
      </c>
      <c r="C509" s="75" t="s">
        <v>48</v>
      </c>
      <c r="D509" s="75" t="s">
        <v>1100</v>
      </c>
      <c r="E509" s="75"/>
      <c r="F509" s="68" t="str">
        <f t="shared" si="24"/>
        <v>Kabuyanda Town Council</v>
      </c>
      <c r="G509" s="68" t="str">
        <f t="shared" si="25"/>
        <v>Isingiro</v>
      </c>
      <c r="H509" s="75" t="s">
        <v>1100</v>
      </c>
    </row>
    <row r="510" spans="1:8" ht="25.5">
      <c r="A510" s="74">
        <v>1079</v>
      </c>
      <c r="B510" s="75" t="s">
        <v>984</v>
      </c>
      <c r="C510" s="75" t="s">
        <v>985</v>
      </c>
      <c r="D510" s="75" t="s">
        <v>986</v>
      </c>
      <c r="E510" s="75"/>
      <c r="F510" s="68" t="str">
        <f t="shared" si="24"/>
        <v>Kabwangasi</v>
      </c>
      <c r="G510" s="68" t="str">
        <f t="shared" si="25"/>
        <v>Butebo</v>
      </c>
      <c r="H510" s="75" t="s">
        <v>986</v>
      </c>
    </row>
    <row r="511" spans="1:8">
      <c r="A511" s="74">
        <v>1026</v>
      </c>
      <c r="B511" s="75" t="s">
        <v>1895</v>
      </c>
      <c r="C511" s="75" t="s">
        <v>1895</v>
      </c>
      <c r="D511" s="75" t="s">
        <v>1897</v>
      </c>
      <c r="E511" s="75"/>
      <c r="F511" s="68" t="str">
        <f t="shared" si="24"/>
        <v>Kabweri</v>
      </c>
      <c r="G511" s="68" t="str">
        <f t="shared" si="25"/>
        <v>Kibuku</v>
      </c>
      <c r="H511" s="75" t="s">
        <v>1897</v>
      </c>
    </row>
    <row r="512" spans="1:8">
      <c r="A512" s="74">
        <v>1422</v>
      </c>
      <c r="B512" s="75" t="s">
        <v>2045</v>
      </c>
      <c r="C512" s="75" t="s">
        <v>2046</v>
      </c>
      <c r="D512" s="75" t="s">
        <v>2047</v>
      </c>
      <c r="E512" s="75"/>
      <c r="F512" s="68" t="str">
        <f t="shared" si="24"/>
        <v>Kabweza Kyegegwa</v>
      </c>
      <c r="G512" s="68" t="str">
        <f t="shared" si="25"/>
        <v>Kyegegwa</v>
      </c>
      <c r="H512" s="75" t="s">
        <v>2047</v>
      </c>
    </row>
    <row r="513" spans="1:8" ht="25.5">
      <c r="A513" s="74">
        <v>1473</v>
      </c>
      <c r="B513" s="75" t="s">
        <v>41</v>
      </c>
      <c r="C513" s="76" t="s">
        <v>2688</v>
      </c>
      <c r="D513" s="75" t="s">
        <v>3112</v>
      </c>
      <c r="E513" s="75"/>
      <c r="F513" s="69" t="str">
        <f>VLOOKUP(C513,[2]Municipalities!$C$9:$F$1522,4,FALSE)</f>
        <v>Sheema Municipality</v>
      </c>
      <c r="G513" s="68" t="str">
        <f t="shared" si="25"/>
        <v>Sheema</v>
      </c>
      <c r="H513" s="75" t="s">
        <v>3112</v>
      </c>
    </row>
    <row r="514" spans="1:8">
      <c r="A514" s="74">
        <v>1142</v>
      </c>
      <c r="B514" s="75" t="s">
        <v>1040</v>
      </c>
      <c r="C514" s="75" t="s">
        <v>1041</v>
      </c>
      <c r="D514" s="75" t="s">
        <v>1050</v>
      </c>
      <c r="E514" s="75"/>
      <c r="F514" s="68" t="str">
        <f t="shared" si="24"/>
        <v>Kabwoya</v>
      </c>
      <c r="G514" s="68" t="str">
        <f t="shared" si="25"/>
        <v>Hoima</v>
      </c>
      <c r="H514" s="75" t="s">
        <v>1050</v>
      </c>
    </row>
    <row r="515" spans="1:8">
      <c r="A515" s="74">
        <v>508</v>
      </c>
      <c r="B515" s="75" t="s">
        <v>2618</v>
      </c>
      <c r="C515" s="75" t="s">
        <v>2078</v>
      </c>
      <c r="D515" s="75" t="s">
        <v>2620</v>
      </c>
      <c r="E515" s="75"/>
      <c r="F515" s="68" t="str">
        <f t="shared" si="24"/>
        <v>Kacheera</v>
      </c>
      <c r="G515" s="68" t="str">
        <f t="shared" si="25"/>
        <v>Rakai</v>
      </c>
      <c r="H515" s="75" t="s">
        <v>2620</v>
      </c>
    </row>
    <row r="516" spans="1:8">
      <c r="A516" s="74">
        <v>70</v>
      </c>
      <c r="B516" s="75" t="s">
        <v>1985</v>
      </c>
      <c r="C516" s="75" t="s">
        <v>1986</v>
      </c>
      <c r="D516" s="75" t="s">
        <v>1984</v>
      </c>
      <c r="E516" s="75"/>
      <c r="F516" s="68" t="str">
        <f t="shared" ref="F516:F525" si="26">D516</f>
        <v>Kacheri</v>
      </c>
      <c r="G516" s="68" t="str">
        <f t="shared" si="25"/>
        <v>Kotido</v>
      </c>
      <c r="H516" s="75" t="s">
        <v>1984</v>
      </c>
    </row>
    <row r="517" spans="1:8">
      <c r="A517" s="74">
        <v>904</v>
      </c>
      <c r="B517" s="75" t="s">
        <v>775</v>
      </c>
      <c r="C517" s="75" t="s">
        <v>775</v>
      </c>
      <c r="D517" s="75" t="s">
        <v>778</v>
      </c>
      <c r="E517" s="75"/>
      <c r="F517" s="68" t="str">
        <f t="shared" si="26"/>
        <v>Kachomo</v>
      </c>
      <c r="G517" s="68" t="str">
        <f t="shared" si="25"/>
        <v>Budaka</v>
      </c>
      <c r="H517" s="75" t="s">
        <v>778</v>
      </c>
    </row>
    <row r="518" spans="1:8">
      <c r="A518" s="74">
        <v>957</v>
      </c>
      <c r="B518" s="75" t="s">
        <v>965</v>
      </c>
      <c r="C518" s="75" t="s">
        <v>966</v>
      </c>
      <c r="D518" s="75" t="s">
        <v>973</v>
      </c>
      <c r="E518" s="75"/>
      <c r="F518" s="68" t="str">
        <f t="shared" si="26"/>
        <v>Kachonga</v>
      </c>
      <c r="G518" s="68" t="str">
        <f t="shared" si="25"/>
        <v>Butaleja</v>
      </c>
      <c r="H518" s="75" t="s">
        <v>973</v>
      </c>
    </row>
    <row r="519" spans="1:8">
      <c r="A519" s="74">
        <v>933</v>
      </c>
      <c r="B519" s="75" t="s">
        <v>844</v>
      </c>
      <c r="C519" s="75" t="s">
        <v>844</v>
      </c>
      <c r="D519" s="75" t="s">
        <v>846</v>
      </c>
      <c r="E519" s="75"/>
      <c r="F519" s="68" t="str">
        <f t="shared" si="26"/>
        <v>Kachumbala</v>
      </c>
      <c r="G519" s="68" t="str">
        <f t="shared" si="25"/>
        <v>Bukedea</v>
      </c>
      <c r="H519" s="75" t="s">
        <v>846</v>
      </c>
    </row>
    <row r="520" spans="1:8">
      <c r="A520" s="74">
        <v>1027</v>
      </c>
      <c r="B520" s="75" t="s">
        <v>1895</v>
      </c>
      <c r="C520" s="75" t="s">
        <v>1895</v>
      </c>
      <c r="D520" s="75" t="s">
        <v>1898</v>
      </c>
      <c r="E520" s="75"/>
      <c r="F520" s="68" t="str">
        <f t="shared" si="26"/>
        <v>Kadama</v>
      </c>
      <c r="G520" s="68" t="str">
        <f t="shared" si="25"/>
        <v>Kibuku</v>
      </c>
      <c r="H520" s="75" t="s">
        <v>1898</v>
      </c>
    </row>
    <row r="521" spans="1:8">
      <c r="A521" s="74">
        <v>905</v>
      </c>
      <c r="B521" s="75" t="s">
        <v>775</v>
      </c>
      <c r="C521" s="75" t="s">
        <v>775</v>
      </c>
      <c r="D521" s="75" t="s">
        <v>779</v>
      </c>
      <c r="E521" s="75"/>
      <c r="F521" s="68" t="str">
        <f t="shared" si="26"/>
        <v>Kaderuna</v>
      </c>
      <c r="G521" s="68" t="str">
        <f t="shared" si="25"/>
        <v>Budaka</v>
      </c>
      <c r="H521" s="75" t="s">
        <v>779</v>
      </c>
    </row>
    <row r="522" spans="1:8">
      <c r="A522" s="74">
        <v>1069</v>
      </c>
      <c r="B522" s="75" t="s">
        <v>2675</v>
      </c>
      <c r="C522" s="75" t="s">
        <v>2677</v>
      </c>
      <c r="D522" s="75" t="s">
        <v>2678</v>
      </c>
      <c r="E522" s="75"/>
      <c r="F522" s="68" t="str">
        <f t="shared" si="26"/>
        <v>Kadungulu</v>
      </c>
      <c r="G522" s="68" t="str">
        <f t="shared" ref="G522:G585" si="27">B522</f>
        <v>Serere</v>
      </c>
      <c r="H522" s="75" t="s">
        <v>2678</v>
      </c>
    </row>
    <row r="523" spans="1:8">
      <c r="A523" s="74">
        <v>1480</v>
      </c>
      <c r="B523" s="75" t="s">
        <v>1193</v>
      </c>
      <c r="C523" s="75" t="s">
        <v>1194</v>
      </c>
      <c r="D523" s="75" t="s">
        <v>1193</v>
      </c>
      <c r="E523" s="75"/>
      <c r="F523" s="68" t="str">
        <f t="shared" si="26"/>
        <v>Kagadi</v>
      </c>
      <c r="G523" s="68" t="str">
        <f t="shared" si="27"/>
        <v>Kagadi</v>
      </c>
      <c r="H523" s="75" t="s">
        <v>1193</v>
      </c>
    </row>
    <row r="524" spans="1:8">
      <c r="A524" s="74">
        <v>1481</v>
      </c>
      <c r="B524" s="75" t="s">
        <v>1193</v>
      </c>
      <c r="C524" s="75" t="s">
        <v>1194</v>
      </c>
      <c r="D524" s="75" t="s">
        <v>1197</v>
      </c>
      <c r="E524" s="75"/>
      <c r="F524" s="68" t="str">
        <f t="shared" si="26"/>
        <v>Kagadi Town Council</v>
      </c>
      <c r="G524" s="68" t="str">
        <f t="shared" si="27"/>
        <v>Kagadi</v>
      </c>
      <c r="H524" s="75" t="s">
        <v>1197</v>
      </c>
    </row>
    <row r="525" spans="1:8">
      <c r="A525" s="74">
        <v>509</v>
      </c>
      <c r="B525" s="75" t="s">
        <v>2618</v>
      </c>
      <c r="C525" s="75" t="s">
        <v>2078</v>
      </c>
      <c r="D525" s="75" t="s">
        <v>2621</v>
      </c>
      <c r="E525" s="75"/>
      <c r="F525" s="68" t="str">
        <f t="shared" si="26"/>
        <v>Kagamba</v>
      </c>
      <c r="G525" s="68" t="str">
        <f t="shared" si="27"/>
        <v>Rakai</v>
      </c>
      <c r="H525" s="75" t="s">
        <v>2621</v>
      </c>
    </row>
    <row r="526" spans="1:8" ht="25.5">
      <c r="A526" s="74">
        <v>1365</v>
      </c>
      <c r="B526" s="77" t="s">
        <v>43</v>
      </c>
      <c r="C526" s="78" t="s">
        <v>1058</v>
      </c>
      <c r="D526" s="81" t="s">
        <v>3113</v>
      </c>
      <c r="E526" s="77"/>
      <c r="F526" s="68" t="str">
        <f t="shared" ref="F526:F527" si="28">D526&amp;"-"&amp;B526</f>
        <v>Kagango Division-Ibanda</v>
      </c>
      <c r="G526" s="68" t="str">
        <f t="shared" si="27"/>
        <v>Ibanda</v>
      </c>
      <c r="H526" s="81" t="s">
        <v>3113</v>
      </c>
    </row>
    <row r="527" spans="1:8" ht="25.5">
      <c r="A527" s="74">
        <v>1474</v>
      </c>
      <c r="B527" s="77" t="s">
        <v>41</v>
      </c>
      <c r="C527" s="78" t="s">
        <v>2688</v>
      </c>
      <c r="D527" s="81" t="s">
        <v>3113</v>
      </c>
      <c r="E527" s="77"/>
      <c r="F527" s="68" t="str">
        <f t="shared" si="28"/>
        <v>Kagango Division-Sheema</v>
      </c>
      <c r="G527" s="68" t="str">
        <f t="shared" si="27"/>
        <v>Sheema</v>
      </c>
      <c r="H527" s="81" t="s">
        <v>3113</v>
      </c>
    </row>
    <row r="528" spans="1:8">
      <c r="A528" s="74">
        <v>1266</v>
      </c>
      <c r="B528" s="75" t="s">
        <v>47</v>
      </c>
      <c r="C528" s="75" t="s">
        <v>2525</v>
      </c>
      <c r="D528" s="75" t="s">
        <v>2529</v>
      </c>
      <c r="E528" s="75"/>
      <c r="F528" s="68" t="str">
        <f t="shared" ref="F528:F537" si="29">D528</f>
        <v>Kagarama Town Council</v>
      </c>
      <c r="G528" s="68" t="str">
        <f t="shared" si="27"/>
        <v>Ntungamo</v>
      </c>
      <c r="H528" s="75" t="s">
        <v>2529</v>
      </c>
    </row>
    <row r="529" spans="1:9">
      <c r="A529" s="74">
        <v>1246</v>
      </c>
      <c r="B529" s="75" t="s">
        <v>2251</v>
      </c>
      <c r="C529" s="75" t="s">
        <v>2252</v>
      </c>
      <c r="D529" s="75" t="s">
        <v>2256</v>
      </c>
      <c r="E529" s="75"/>
      <c r="F529" s="68" t="str">
        <f t="shared" si="29"/>
        <v>Kagongi</v>
      </c>
      <c r="G529" s="68" t="str">
        <f t="shared" si="27"/>
        <v>Mbarara</v>
      </c>
      <c r="H529" s="75" t="s">
        <v>2256</v>
      </c>
    </row>
    <row r="530" spans="1:9">
      <c r="A530" s="74">
        <v>1110</v>
      </c>
      <c r="B530" s="75" t="s">
        <v>897</v>
      </c>
      <c r="C530" s="75" t="s">
        <v>901</v>
      </c>
      <c r="D530" s="75" t="s">
        <v>907</v>
      </c>
      <c r="E530" s="75"/>
      <c r="F530" s="68" t="str">
        <f t="shared" si="29"/>
        <v>Kagugu</v>
      </c>
      <c r="G530" s="68" t="str">
        <f t="shared" si="27"/>
        <v>Bundibugyo</v>
      </c>
      <c r="H530" s="75" t="s">
        <v>907</v>
      </c>
    </row>
    <row r="531" spans="1:9">
      <c r="A531" s="74">
        <v>1021</v>
      </c>
      <c r="B531" s="75" t="s">
        <v>1007</v>
      </c>
      <c r="C531" s="75" t="s">
        <v>1008</v>
      </c>
      <c r="D531" s="75" t="s">
        <v>1010</v>
      </c>
      <c r="E531" s="75"/>
      <c r="F531" s="68" t="str">
        <f t="shared" si="29"/>
        <v>Kagulu</v>
      </c>
      <c r="G531" s="68" t="str">
        <f t="shared" si="27"/>
        <v>Buyende</v>
      </c>
      <c r="H531" s="75" t="s">
        <v>1010</v>
      </c>
    </row>
    <row r="532" spans="1:9">
      <c r="A532" s="74">
        <v>1028</v>
      </c>
      <c r="B532" s="75" t="s">
        <v>1895</v>
      </c>
      <c r="C532" s="75" t="s">
        <v>1895</v>
      </c>
      <c r="D532" s="75" t="s">
        <v>1899</v>
      </c>
      <c r="E532" s="75"/>
      <c r="F532" s="68" t="str">
        <f t="shared" si="29"/>
        <v>Kagumu</v>
      </c>
      <c r="G532" s="68" t="str">
        <f t="shared" si="27"/>
        <v>Kibuku</v>
      </c>
      <c r="H532" s="75" t="s">
        <v>1899</v>
      </c>
    </row>
    <row r="533" spans="1:9">
      <c r="A533" s="74">
        <v>1154</v>
      </c>
      <c r="B533" s="75" t="s">
        <v>1148</v>
      </c>
      <c r="C533" s="75" t="s">
        <v>1149</v>
      </c>
      <c r="D533" s="75" t="s">
        <v>1153</v>
      </c>
      <c r="E533" s="75"/>
      <c r="F533" s="68" t="str">
        <f t="shared" si="29"/>
        <v>Kaharo</v>
      </c>
      <c r="G533" s="68" t="str">
        <f t="shared" si="27"/>
        <v>Kabale</v>
      </c>
      <c r="H533" s="75" t="s">
        <v>1153</v>
      </c>
    </row>
    <row r="534" spans="1:9" ht="25.5">
      <c r="A534" s="74">
        <v>1147</v>
      </c>
      <c r="B534" s="75" t="s">
        <v>1040</v>
      </c>
      <c r="C534" s="76" t="s">
        <v>1046</v>
      </c>
      <c r="D534" s="75" t="s">
        <v>3114</v>
      </c>
      <c r="E534" s="75"/>
      <c r="F534" s="69" t="str">
        <f>VLOOKUP(C534,[2]Municipalities!$C$9:$F$1522,4,FALSE)</f>
        <v>Hoima Municipality</v>
      </c>
      <c r="G534" s="68" t="str">
        <f t="shared" si="27"/>
        <v>Hoima</v>
      </c>
      <c r="H534" s="75" t="s">
        <v>3114</v>
      </c>
    </row>
    <row r="535" spans="1:9">
      <c r="A535" s="74">
        <v>1301</v>
      </c>
      <c r="B535" s="75" t="s">
        <v>45</v>
      </c>
      <c r="C535" s="75" t="s">
        <v>989</v>
      </c>
      <c r="D535" s="75" t="s">
        <v>1766</v>
      </c>
      <c r="E535" s="75"/>
      <c r="F535" s="68" t="str">
        <f t="shared" si="29"/>
        <v>Kahunge</v>
      </c>
      <c r="G535" s="68" t="str">
        <f t="shared" si="27"/>
        <v>Kamwenge</v>
      </c>
      <c r="H535" s="75" t="s">
        <v>1766</v>
      </c>
    </row>
    <row r="536" spans="1:9">
      <c r="A536" s="74">
        <v>543</v>
      </c>
      <c r="B536" s="75" t="s">
        <v>2774</v>
      </c>
      <c r="C536" s="75" t="s">
        <v>2778</v>
      </c>
      <c r="D536" s="75" t="s">
        <v>2807</v>
      </c>
      <c r="E536" s="75"/>
      <c r="F536" s="68" t="str">
        <f t="shared" si="29"/>
        <v>Kajjansi Town Council</v>
      </c>
      <c r="G536" s="68" t="str">
        <f t="shared" si="27"/>
        <v>Wakiso</v>
      </c>
      <c r="H536" s="75" t="s">
        <v>2807</v>
      </c>
    </row>
    <row r="537" spans="1:9">
      <c r="A537" s="74">
        <v>1423</v>
      </c>
      <c r="B537" s="75" t="s">
        <v>2045</v>
      </c>
      <c r="C537" s="75" t="s">
        <v>2046</v>
      </c>
      <c r="D537" s="75" t="s">
        <v>2048</v>
      </c>
      <c r="E537" s="75"/>
      <c r="F537" s="68" t="str">
        <f t="shared" si="29"/>
        <v>Kakabara</v>
      </c>
      <c r="G537" s="68" t="str">
        <f t="shared" si="27"/>
        <v>Kyegegwa</v>
      </c>
      <c r="H537" s="75" t="s">
        <v>2048</v>
      </c>
    </row>
    <row r="538" spans="1:9">
      <c r="A538" s="74">
        <v>1367</v>
      </c>
      <c r="B538" s="75" t="s">
        <v>48</v>
      </c>
      <c r="C538" s="75" t="s">
        <v>1093</v>
      </c>
      <c r="D538" s="79" t="s">
        <v>3115</v>
      </c>
      <c r="E538" s="75"/>
      <c r="F538" s="68" t="str">
        <f t="shared" ref="F538:F539" si="30">D538&amp;"-"&amp;B538</f>
        <v>Kakamba-Isingiro</v>
      </c>
      <c r="G538" s="68" t="str">
        <f t="shared" si="27"/>
        <v>Isingiro</v>
      </c>
      <c r="H538" s="79" t="s">
        <v>3115</v>
      </c>
    </row>
    <row r="539" spans="1:9" s="80" customFormat="1">
      <c r="A539" s="82">
        <v>1374</v>
      </c>
      <c r="B539" s="79" t="s">
        <v>48</v>
      </c>
      <c r="C539" s="79" t="s">
        <v>1093</v>
      </c>
      <c r="D539" s="79" t="s">
        <v>3115</v>
      </c>
      <c r="E539" s="79"/>
      <c r="F539" s="80" t="str">
        <f t="shared" si="30"/>
        <v>Kakamba-Isingiro</v>
      </c>
      <c r="G539" s="68" t="str">
        <f t="shared" si="27"/>
        <v>Isingiro</v>
      </c>
      <c r="H539" s="79" t="s">
        <v>3115</v>
      </c>
      <c r="I539" s="80" t="s">
        <v>3089</v>
      </c>
    </row>
    <row r="540" spans="1:9">
      <c r="A540" s="74">
        <v>1128</v>
      </c>
      <c r="B540" s="75" t="s">
        <v>38</v>
      </c>
      <c r="C540" s="75" t="s">
        <v>932</v>
      </c>
      <c r="D540" s="75" t="s">
        <v>940</v>
      </c>
      <c r="E540" s="75"/>
      <c r="F540" s="68" t="str">
        <f t="shared" ref="F540:F591" si="31">D540</f>
        <v>Kakanju</v>
      </c>
      <c r="G540" s="68" t="str">
        <f t="shared" si="27"/>
        <v>Bushenyi</v>
      </c>
      <c r="H540" s="75" t="s">
        <v>940</v>
      </c>
    </row>
    <row r="541" spans="1:9" ht="25.5">
      <c r="A541" s="74">
        <v>1255</v>
      </c>
      <c r="B541" s="77" t="s">
        <v>2251</v>
      </c>
      <c r="C541" s="78" t="s">
        <v>2258</v>
      </c>
      <c r="D541" s="77" t="s">
        <v>3116</v>
      </c>
      <c r="E541" s="77"/>
      <c r="F541" s="69" t="str">
        <f>VLOOKUP(C541,[2]Municipalities!$C$9:$F$1522,4,FALSE)</f>
        <v>Mbarara Municipality</v>
      </c>
      <c r="G541" s="68" t="str">
        <f t="shared" si="27"/>
        <v>Mbarara</v>
      </c>
      <c r="H541" s="77" t="s">
        <v>3116</v>
      </c>
    </row>
    <row r="542" spans="1:9">
      <c r="A542" s="74">
        <v>1497</v>
      </c>
      <c r="B542" s="75" t="s">
        <v>1212</v>
      </c>
      <c r="C542" s="75" t="s">
        <v>1213</v>
      </c>
      <c r="D542" s="75" t="s">
        <v>1215</v>
      </c>
      <c r="E542" s="75"/>
      <c r="F542" s="68" t="str">
        <f t="shared" si="31"/>
        <v>Kakindo</v>
      </c>
      <c r="G542" s="68" t="str">
        <f t="shared" si="27"/>
        <v>Kakumiro</v>
      </c>
      <c r="H542" s="75" t="s">
        <v>1215</v>
      </c>
    </row>
    <row r="543" spans="1:9">
      <c r="A543" s="74">
        <v>1472</v>
      </c>
      <c r="B543" s="75" t="s">
        <v>41</v>
      </c>
      <c r="C543" s="75" t="s">
        <v>41</v>
      </c>
      <c r="D543" s="75" t="s">
        <v>2690</v>
      </c>
      <c r="E543" s="75"/>
      <c r="F543" s="68" t="str">
        <f t="shared" si="31"/>
        <v>Kakindo Town Council</v>
      </c>
      <c r="G543" s="68" t="str">
        <f t="shared" si="27"/>
        <v>Sheema</v>
      </c>
      <c r="H543" s="75" t="s">
        <v>2690</v>
      </c>
    </row>
    <row r="544" spans="1:9">
      <c r="A544" s="74">
        <v>567</v>
      </c>
      <c r="B544" s="75" t="s">
        <v>2284</v>
      </c>
      <c r="C544" s="75" t="s">
        <v>2285</v>
      </c>
      <c r="D544" s="75" t="s">
        <v>2295</v>
      </c>
      <c r="E544" s="75"/>
      <c r="F544" s="68" t="str">
        <f t="shared" si="31"/>
        <v>Kakindu</v>
      </c>
      <c r="G544" s="68" t="str">
        <f t="shared" si="27"/>
        <v>Mityana</v>
      </c>
      <c r="H544" s="75" t="s">
        <v>2295</v>
      </c>
    </row>
    <row r="545" spans="1:8">
      <c r="A545" s="74">
        <v>715</v>
      </c>
      <c r="B545" s="75" t="s">
        <v>1114</v>
      </c>
      <c r="C545" s="75" t="s">
        <v>1117</v>
      </c>
      <c r="D545" s="75" t="s">
        <v>1128</v>
      </c>
      <c r="E545" s="75"/>
      <c r="F545" s="68" t="str">
        <f t="shared" si="31"/>
        <v>Kakira Town Council</v>
      </c>
      <c r="G545" s="68" t="str">
        <f t="shared" si="27"/>
        <v>Jinja</v>
      </c>
      <c r="H545" s="75" t="s">
        <v>1128</v>
      </c>
    </row>
    <row r="546" spans="1:8">
      <c r="A546" s="74">
        <v>533</v>
      </c>
      <c r="B546" s="75" t="s">
        <v>2774</v>
      </c>
      <c r="C546" s="75" t="s">
        <v>2778</v>
      </c>
      <c r="D546" s="75" t="s">
        <v>2827</v>
      </c>
      <c r="E546" s="75"/>
      <c r="F546" s="68" t="str">
        <f t="shared" si="31"/>
        <v>Kakiri</v>
      </c>
      <c r="G546" s="68" t="str">
        <f t="shared" si="27"/>
        <v>Wakiso</v>
      </c>
      <c r="H546" s="75" t="s">
        <v>2827</v>
      </c>
    </row>
    <row r="547" spans="1:8">
      <c r="A547" s="74">
        <v>534</v>
      </c>
      <c r="B547" s="75" t="s">
        <v>2774</v>
      </c>
      <c r="C547" s="75" t="s">
        <v>2778</v>
      </c>
      <c r="D547" s="75" t="s">
        <v>2832</v>
      </c>
      <c r="E547" s="75"/>
      <c r="F547" s="68" t="str">
        <f t="shared" si="31"/>
        <v>Kakiri Town Council</v>
      </c>
      <c r="G547" s="68" t="str">
        <f t="shared" si="27"/>
        <v>Wakiso</v>
      </c>
      <c r="H547" s="75" t="s">
        <v>2832</v>
      </c>
    </row>
    <row r="548" spans="1:8" ht="25.5">
      <c r="A548" s="74">
        <v>1251</v>
      </c>
      <c r="B548" s="77" t="s">
        <v>2251</v>
      </c>
      <c r="C548" s="78" t="s">
        <v>2258</v>
      </c>
      <c r="D548" s="77" t="s">
        <v>3117</v>
      </c>
      <c r="E548" s="77"/>
      <c r="F548" s="69" t="str">
        <f>VLOOKUP(C548,[2]Municipalities!$C$9:$F$1522,4,FALSE)</f>
        <v>Mbarara Municipality</v>
      </c>
      <c r="G548" s="68" t="str">
        <f t="shared" si="27"/>
        <v>Mbarara</v>
      </c>
      <c r="H548" s="77" t="s">
        <v>3117</v>
      </c>
    </row>
    <row r="549" spans="1:8">
      <c r="A549" s="74">
        <v>122</v>
      </c>
      <c r="B549" s="75" t="s">
        <v>2407</v>
      </c>
      <c r="C549" s="75" t="s">
        <v>2408</v>
      </c>
      <c r="D549" s="75" t="s">
        <v>2406</v>
      </c>
      <c r="E549" s="75"/>
      <c r="F549" s="68" t="str">
        <f t="shared" si="31"/>
        <v>Kakomongole</v>
      </c>
      <c r="G549" s="68" t="str">
        <f t="shared" si="27"/>
        <v>Nakapiripirit</v>
      </c>
      <c r="H549" s="75" t="s">
        <v>2406</v>
      </c>
    </row>
    <row r="550" spans="1:8">
      <c r="A550" s="74">
        <v>493</v>
      </c>
      <c r="B550" s="75" t="s">
        <v>2437</v>
      </c>
      <c r="C550" s="75" t="s">
        <v>2204</v>
      </c>
      <c r="D550" s="75" t="s">
        <v>2436</v>
      </c>
      <c r="E550" s="75"/>
      <c r="F550" s="68" t="str">
        <f t="shared" si="31"/>
        <v>Kakooge</v>
      </c>
      <c r="G550" s="68" t="str">
        <f t="shared" si="27"/>
        <v>Nakasongola</v>
      </c>
      <c r="H550" s="75" t="s">
        <v>2436</v>
      </c>
    </row>
    <row r="551" spans="1:8">
      <c r="A551" s="74">
        <v>494</v>
      </c>
      <c r="B551" s="75" t="s">
        <v>2437</v>
      </c>
      <c r="C551" s="75" t="s">
        <v>2204</v>
      </c>
      <c r="D551" s="75" t="s">
        <v>2438</v>
      </c>
      <c r="E551" s="75"/>
      <c r="F551" s="68" t="str">
        <f t="shared" si="31"/>
        <v>Kakooge Town Council</v>
      </c>
      <c r="G551" s="68" t="str">
        <f t="shared" si="27"/>
        <v>Nakasongola</v>
      </c>
      <c r="H551" s="75" t="s">
        <v>2438</v>
      </c>
    </row>
    <row r="552" spans="1:8" ht="25.5">
      <c r="A552" s="74">
        <v>1080</v>
      </c>
      <c r="B552" s="77" t="s">
        <v>984</v>
      </c>
      <c r="C552" s="77" t="s">
        <v>985</v>
      </c>
      <c r="D552" s="77" t="s">
        <v>987</v>
      </c>
      <c r="E552" s="77"/>
      <c r="F552" s="68" t="str">
        <f t="shared" si="31"/>
        <v>Kakoro</v>
      </c>
      <c r="G552" s="68" t="str">
        <f t="shared" si="27"/>
        <v>Butebo</v>
      </c>
      <c r="H552" s="77" t="s">
        <v>987</v>
      </c>
    </row>
    <row r="553" spans="1:8">
      <c r="A553" s="74">
        <v>906</v>
      </c>
      <c r="B553" s="75" t="s">
        <v>775</v>
      </c>
      <c r="C553" s="75" t="s">
        <v>775</v>
      </c>
      <c r="D553" s="75" t="s">
        <v>780</v>
      </c>
      <c r="E553" s="75"/>
      <c r="F553" s="68" t="str">
        <f t="shared" si="31"/>
        <v>Kakule</v>
      </c>
      <c r="G553" s="68" t="str">
        <f t="shared" si="27"/>
        <v>Budaka</v>
      </c>
      <c r="H553" s="75" t="s">
        <v>780</v>
      </c>
    </row>
    <row r="554" spans="1:8">
      <c r="A554" s="74">
        <v>1498</v>
      </c>
      <c r="B554" s="75" t="s">
        <v>1212</v>
      </c>
      <c r="C554" s="75" t="s">
        <v>1213</v>
      </c>
      <c r="D554" s="75" t="s">
        <v>1216</v>
      </c>
      <c r="E554" s="75"/>
      <c r="F554" s="68" t="str">
        <f t="shared" si="31"/>
        <v>Kakumiro Town Council</v>
      </c>
      <c r="G554" s="68" t="str">
        <f t="shared" si="27"/>
        <v>Kakumiro</v>
      </c>
      <c r="H554" s="75" t="s">
        <v>1216</v>
      </c>
    </row>
    <row r="555" spans="1:8">
      <c r="A555" s="74">
        <v>848</v>
      </c>
      <c r="B555" s="75" t="s">
        <v>1181</v>
      </c>
      <c r="C555" s="75" t="s">
        <v>1183</v>
      </c>
      <c r="D555" s="75" t="s">
        <v>1188</v>
      </c>
      <c r="E555" s="75"/>
      <c r="F555" s="68" t="str">
        <f t="shared" si="31"/>
        <v>Kakure</v>
      </c>
      <c r="G555" s="68" t="str">
        <f t="shared" si="27"/>
        <v>Kaberamaido</v>
      </c>
      <c r="H555" s="75" t="s">
        <v>1188</v>
      </c>
    </row>
    <row r="556" spans="1:8">
      <c r="A556" s="74">
        <v>504</v>
      </c>
      <c r="B556" s="75" t="s">
        <v>2618</v>
      </c>
      <c r="C556" s="75" t="s">
        <v>2622</v>
      </c>
      <c r="D556" s="75" t="s">
        <v>2622</v>
      </c>
      <c r="E556" s="75"/>
      <c r="F556" s="68" t="str">
        <f t="shared" si="31"/>
        <v>Kakuuto</v>
      </c>
      <c r="G556" s="68" t="str">
        <f t="shared" si="27"/>
        <v>Rakai</v>
      </c>
      <c r="H556" s="75" t="s">
        <v>2622</v>
      </c>
    </row>
    <row r="557" spans="1:8">
      <c r="A557" s="74">
        <v>430</v>
      </c>
      <c r="B557" s="75" t="s">
        <v>2113</v>
      </c>
      <c r="C557" s="75" t="s">
        <v>2112</v>
      </c>
      <c r="D557" s="75" t="s">
        <v>2121</v>
      </c>
      <c r="E557" s="75"/>
      <c r="F557" s="68" t="str">
        <f t="shared" si="31"/>
        <v>Kalagala</v>
      </c>
      <c r="G557" s="68" t="str">
        <f t="shared" si="27"/>
        <v>Luwero</v>
      </c>
      <c r="H557" s="75" t="s">
        <v>2121</v>
      </c>
    </row>
    <row r="558" spans="1:8">
      <c r="A558" s="74">
        <v>849</v>
      </c>
      <c r="B558" s="75" t="s">
        <v>1181</v>
      </c>
      <c r="C558" s="75" t="s">
        <v>1183</v>
      </c>
      <c r="D558" s="75" t="s">
        <v>1183</v>
      </c>
      <c r="E558" s="75"/>
      <c r="F558" s="68" t="str">
        <f t="shared" si="31"/>
        <v>Kalaki</v>
      </c>
      <c r="G558" s="68" t="str">
        <f t="shared" si="27"/>
        <v>Kaberamaido</v>
      </c>
      <c r="H558" s="75" t="s">
        <v>1183</v>
      </c>
    </row>
    <row r="559" spans="1:8">
      <c r="A559" s="74">
        <v>614</v>
      </c>
      <c r="B559" s="75" t="s">
        <v>978</v>
      </c>
      <c r="C559" s="75" t="s">
        <v>978</v>
      </c>
      <c r="D559" s="75" t="s">
        <v>981</v>
      </c>
      <c r="E559" s="75"/>
      <c r="F559" s="68" t="str">
        <f t="shared" si="31"/>
        <v>Kalamba</v>
      </c>
      <c r="G559" s="68" t="str">
        <f t="shared" si="27"/>
        <v>Butambala</v>
      </c>
      <c r="H559" s="75" t="s">
        <v>981</v>
      </c>
    </row>
    <row r="560" spans="1:8">
      <c r="A560" s="74">
        <v>571</v>
      </c>
      <c r="B560" s="75" t="s">
        <v>2284</v>
      </c>
      <c r="C560" s="75" t="s">
        <v>2284</v>
      </c>
      <c r="D560" s="75" t="s">
        <v>2296</v>
      </c>
      <c r="E560" s="75"/>
      <c r="F560" s="68" t="str">
        <f t="shared" si="31"/>
        <v>Kalangaalo</v>
      </c>
      <c r="G560" s="68" t="str">
        <f t="shared" si="27"/>
        <v>Mityana</v>
      </c>
      <c r="H560" s="75" t="s">
        <v>2296</v>
      </c>
    </row>
    <row r="561" spans="1:8">
      <c r="A561" s="74">
        <v>319</v>
      </c>
      <c r="B561" s="75" t="s">
        <v>1226</v>
      </c>
      <c r="C561" s="75" t="s">
        <v>1229</v>
      </c>
      <c r="D561" s="75" t="s">
        <v>1230</v>
      </c>
      <c r="E561" s="75"/>
      <c r="F561" s="68" t="str">
        <f t="shared" si="31"/>
        <v>Kalangala Town Council</v>
      </c>
      <c r="G561" s="68" t="str">
        <f t="shared" si="27"/>
        <v>Kalangala</v>
      </c>
      <c r="H561" s="75" t="s">
        <v>1230</v>
      </c>
    </row>
    <row r="562" spans="1:8">
      <c r="A562" s="74">
        <v>187</v>
      </c>
      <c r="B562" s="75" t="s">
        <v>1132</v>
      </c>
      <c r="C562" s="75" t="s">
        <v>1133</v>
      </c>
      <c r="D562" s="75" t="s">
        <v>1136</v>
      </c>
      <c r="E562" s="75"/>
      <c r="F562" s="68" t="str">
        <f t="shared" si="31"/>
        <v>Kalapata</v>
      </c>
      <c r="G562" s="68" t="str">
        <f t="shared" si="27"/>
        <v>Kaabong</v>
      </c>
      <c r="H562" s="75" t="s">
        <v>1136</v>
      </c>
    </row>
    <row r="563" spans="1:8">
      <c r="A563" s="74">
        <v>559</v>
      </c>
      <c r="B563" s="75" t="s">
        <v>2150</v>
      </c>
      <c r="C563" s="75" t="s">
        <v>2151</v>
      </c>
      <c r="D563" s="75" t="s">
        <v>2149</v>
      </c>
      <c r="E563" s="75"/>
      <c r="F563" s="68" t="str">
        <f t="shared" si="31"/>
        <v>Kaliiro</v>
      </c>
      <c r="G563" s="68" t="str">
        <f t="shared" si="27"/>
        <v>Lyantonde</v>
      </c>
      <c r="H563" s="75" t="s">
        <v>2149</v>
      </c>
    </row>
    <row r="564" spans="1:8">
      <c r="A564" s="74">
        <v>966</v>
      </c>
      <c r="B564" s="75" t="s">
        <v>1234</v>
      </c>
      <c r="C564" s="75" t="s">
        <v>1073</v>
      </c>
      <c r="D564" s="75" t="s">
        <v>1239</v>
      </c>
      <c r="E564" s="75"/>
      <c r="F564" s="68" t="str">
        <f t="shared" si="31"/>
        <v>Kaliro Town Council</v>
      </c>
      <c r="G564" s="68" t="str">
        <f t="shared" si="27"/>
        <v>Kaliro</v>
      </c>
      <c r="H564" s="75" t="s">
        <v>1239</v>
      </c>
    </row>
    <row r="565" spans="1:8">
      <c r="A565" s="74">
        <v>663</v>
      </c>
      <c r="B565" s="75" t="s">
        <v>2074</v>
      </c>
      <c r="C565" s="75" t="s">
        <v>2074</v>
      </c>
      <c r="D565" s="75" t="s">
        <v>2075</v>
      </c>
      <c r="E565" s="75"/>
      <c r="F565" s="68" t="str">
        <f t="shared" si="31"/>
        <v>Kalisizo</v>
      </c>
      <c r="G565" s="68" t="str">
        <f t="shared" si="27"/>
        <v>Kyotera</v>
      </c>
      <c r="H565" s="75" t="s">
        <v>2075</v>
      </c>
    </row>
    <row r="566" spans="1:8">
      <c r="A566" s="74">
        <v>664</v>
      </c>
      <c r="B566" s="75" t="s">
        <v>2074</v>
      </c>
      <c r="C566" s="75" t="s">
        <v>2074</v>
      </c>
      <c r="D566" s="75" t="s">
        <v>2076</v>
      </c>
      <c r="E566" s="75"/>
      <c r="F566" s="68" t="str">
        <f t="shared" si="31"/>
        <v>Kalisizo Town Council</v>
      </c>
      <c r="G566" s="68" t="str">
        <f t="shared" si="27"/>
        <v>Kyotera</v>
      </c>
      <c r="H566" s="75" t="s">
        <v>2076</v>
      </c>
    </row>
    <row r="567" spans="1:8">
      <c r="A567" s="74">
        <v>495</v>
      </c>
      <c r="B567" s="75" t="s">
        <v>2437</v>
      </c>
      <c r="C567" s="75" t="s">
        <v>2204</v>
      </c>
      <c r="D567" s="75" t="s">
        <v>2439</v>
      </c>
      <c r="E567" s="75"/>
      <c r="F567" s="68" t="str">
        <f t="shared" si="31"/>
        <v>Kalongo</v>
      </c>
      <c r="G567" s="68" t="str">
        <f t="shared" si="27"/>
        <v>Nakasongola</v>
      </c>
      <c r="H567" s="75" t="s">
        <v>2439</v>
      </c>
    </row>
    <row r="568" spans="1:8">
      <c r="A568" s="74">
        <v>230</v>
      </c>
      <c r="B568" s="75" t="s">
        <v>661</v>
      </c>
      <c r="C568" s="75" t="s">
        <v>661</v>
      </c>
      <c r="D568" s="75" t="s">
        <v>664</v>
      </c>
      <c r="E568" s="75"/>
      <c r="F568" s="68" t="str">
        <f t="shared" si="31"/>
        <v>Kalongo Town Council</v>
      </c>
      <c r="G568" s="68" t="str">
        <f t="shared" si="27"/>
        <v>Agago</v>
      </c>
      <c r="H568" s="75" t="s">
        <v>664</v>
      </c>
    </row>
    <row r="569" spans="1:8">
      <c r="A569" s="74">
        <v>496</v>
      </c>
      <c r="B569" s="75" t="s">
        <v>2437</v>
      </c>
      <c r="C569" s="75" t="s">
        <v>2204</v>
      </c>
      <c r="D569" s="75" t="s">
        <v>2440</v>
      </c>
      <c r="E569" s="75"/>
      <c r="F569" s="68" t="str">
        <f t="shared" si="31"/>
        <v>Kalungi</v>
      </c>
      <c r="G569" s="68" t="str">
        <f t="shared" si="27"/>
        <v>Nakasongola</v>
      </c>
      <c r="H569" s="75" t="s">
        <v>2440</v>
      </c>
    </row>
    <row r="570" spans="1:8">
      <c r="A570" s="74">
        <v>632</v>
      </c>
      <c r="B570" s="75" t="s">
        <v>1248</v>
      </c>
      <c r="C570" s="75" t="s">
        <v>1248</v>
      </c>
      <c r="D570" s="75" t="s">
        <v>1248</v>
      </c>
      <c r="E570" s="75"/>
      <c r="F570" s="68" t="str">
        <f t="shared" si="31"/>
        <v>Kalungu</v>
      </c>
      <c r="G570" s="68" t="str">
        <f t="shared" si="27"/>
        <v>Kalungu</v>
      </c>
      <c r="H570" s="75" t="s">
        <v>1248</v>
      </c>
    </row>
    <row r="571" spans="1:8">
      <c r="A571" s="74">
        <v>633</v>
      </c>
      <c r="B571" s="75" t="s">
        <v>1248</v>
      </c>
      <c r="C571" s="75" t="s">
        <v>1248</v>
      </c>
      <c r="D571" s="75" t="s">
        <v>1249</v>
      </c>
      <c r="E571" s="75"/>
      <c r="F571" s="68" t="str">
        <f t="shared" si="31"/>
        <v>Kalungu Town Council</v>
      </c>
      <c r="G571" s="68" t="str">
        <f t="shared" si="27"/>
        <v>Kalungu</v>
      </c>
      <c r="H571" s="75" t="s">
        <v>1249</v>
      </c>
    </row>
    <row r="572" spans="1:8">
      <c r="A572" s="74">
        <v>468</v>
      </c>
      <c r="B572" s="75" t="s">
        <v>2342</v>
      </c>
      <c r="C572" s="75" t="s">
        <v>2345</v>
      </c>
      <c r="D572" s="75" t="s">
        <v>2349</v>
      </c>
      <c r="E572" s="75"/>
      <c r="F572" s="68" t="str">
        <f t="shared" si="31"/>
        <v>Kalwana</v>
      </c>
      <c r="G572" s="68" t="str">
        <f t="shared" si="27"/>
        <v>Mubende</v>
      </c>
      <c r="H572" s="75" t="s">
        <v>2349</v>
      </c>
    </row>
    <row r="573" spans="1:8">
      <c r="A573" s="74">
        <v>1314</v>
      </c>
      <c r="B573" s="75" t="s">
        <v>1779</v>
      </c>
      <c r="C573" s="75" t="s">
        <v>1780</v>
      </c>
      <c r="D573" s="75" t="s">
        <v>1781</v>
      </c>
      <c r="E573" s="75"/>
      <c r="F573" s="68" t="str">
        <f t="shared" si="31"/>
        <v>Kambuga</v>
      </c>
      <c r="G573" s="68" t="str">
        <f t="shared" si="27"/>
        <v>Kanungu</v>
      </c>
      <c r="H573" s="75" t="s">
        <v>1781</v>
      </c>
    </row>
    <row r="574" spans="1:8">
      <c r="A574" s="74">
        <v>1315</v>
      </c>
      <c r="B574" s="75" t="s">
        <v>1779</v>
      </c>
      <c r="C574" s="75" t="s">
        <v>1780</v>
      </c>
      <c r="D574" s="75" t="s">
        <v>1782</v>
      </c>
      <c r="E574" s="75"/>
      <c r="F574" s="68" t="str">
        <f t="shared" si="31"/>
        <v>Kambuga Town Council</v>
      </c>
      <c r="G574" s="68" t="str">
        <f t="shared" si="27"/>
        <v>Kanungu</v>
      </c>
      <c r="H574" s="75" t="s">
        <v>1782</v>
      </c>
    </row>
    <row r="575" spans="1:8">
      <c r="A575" s="74">
        <v>220</v>
      </c>
      <c r="B575" s="75" t="s">
        <v>2571</v>
      </c>
      <c r="C575" s="75" t="s">
        <v>2571</v>
      </c>
      <c r="D575" s="75" t="s">
        <v>2576</v>
      </c>
      <c r="E575" s="75"/>
      <c r="F575" s="68" t="str">
        <f t="shared" si="31"/>
        <v>Kamdini</v>
      </c>
      <c r="G575" s="68" t="str">
        <f t="shared" si="27"/>
        <v>Oyam</v>
      </c>
      <c r="H575" s="75" t="s">
        <v>2576</v>
      </c>
    </row>
    <row r="576" spans="1:8">
      <c r="A576" s="74">
        <v>807</v>
      </c>
      <c r="B576" s="75" t="s">
        <v>2606</v>
      </c>
      <c r="C576" s="75" t="s">
        <v>2605</v>
      </c>
      <c r="D576" s="75" t="s">
        <v>2611</v>
      </c>
      <c r="E576" s="75"/>
      <c r="F576" s="68" t="str">
        <f t="shared" si="31"/>
        <v>Kameke</v>
      </c>
      <c r="G576" s="68" t="str">
        <f t="shared" si="27"/>
        <v>Pallisa</v>
      </c>
      <c r="H576" s="75" t="s">
        <v>2611</v>
      </c>
    </row>
    <row r="577" spans="1:8">
      <c r="A577" s="74">
        <v>911</v>
      </c>
      <c r="B577" s="75" t="s">
        <v>775</v>
      </c>
      <c r="C577" s="75" t="s">
        <v>777</v>
      </c>
      <c r="D577" s="75" t="s">
        <v>781</v>
      </c>
      <c r="E577" s="75"/>
      <c r="F577" s="68" t="str">
        <f t="shared" si="31"/>
        <v>Kameruka</v>
      </c>
      <c r="G577" s="68" t="str">
        <f t="shared" si="27"/>
        <v>Budaka</v>
      </c>
      <c r="H577" s="75" t="s">
        <v>781</v>
      </c>
    </row>
    <row r="578" spans="1:8">
      <c r="A578" s="74">
        <v>942</v>
      </c>
      <c r="B578" s="75" t="s">
        <v>856</v>
      </c>
      <c r="C578" s="75" t="s">
        <v>857</v>
      </c>
      <c r="D578" s="75" t="s">
        <v>862</v>
      </c>
      <c r="E578" s="75"/>
      <c r="F578" s="68" t="str">
        <f t="shared" si="31"/>
        <v>Kamet</v>
      </c>
      <c r="G578" s="68" t="str">
        <f t="shared" si="27"/>
        <v>Bukwo</v>
      </c>
      <c r="H578" s="75" t="s">
        <v>862</v>
      </c>
    </row>
    <row r="579" spans="1:8">
      <c r="A579" s="74">
        <v>188</v>
      </c>
      <c r="B579" s="75" t="s">
        <v>1132</v>
      </c>
      <c r="C579" s="75" t="s">
        <v>1133</v>
      </c>
      <c r="D579" s="75" t="s">
        <v>1137</v>
      </c>
      <c r="E579" s="75"/>
      <c r="F579" s="68" t="str">
        <f t="shared" si="31"/>
        <v>Kamion</v>
      </c>
      <c r="G579" s="68" t="str">
        <f t="shared" si="27"/>
        <v>Kaabong</v>
      </c>
      <c r="H579" s="75" t="s">
        <v>1137</v>
      </c>
    </row>
    <row r="580" spans="1:8">
      <c r="A580" s="74">
        <v>431</v>
      </c>
      <c r="B580" s="75" t="s">
        <v>2113</v>
      </c>
      <c r="C580" s="75" t="s">
        <v>2112</v>
      </c>
      <c r="D580" s="75" t="s">
        <v>2124</v>
      </c>
      <c r="E580" s="75"/>
      <c r="F580" s="68" t="str">
        <f t="shared" si="31"/>
        <v>Kamira</v>
      </c>
      <c r="G580" s="68" t="str">
        <f t="shared" si="27"/>
        <v>Luwero</v>
      </c>
      <c r="H580" s="75" t="s">
        <v>2124</v>
      </c>
    </row>
    <row r="581" spans="1:8">
      <c r="A581" s="74">
        <v>452</v>
      </c>
      <c r="B581" s="75" t="s">
        <v>2328</v>
      </c>
      <c r="C581" s="75" t="s">
        <v>2329</v>
      </c>
      <c r="D581" s="75" t="s">
        <v>2330</v>
      </c>
      <c r="E581" s="75"/>
      <c r="F581" s="68" t="str">
        <f t="shared" si="31"/>
        <v>Kammengo</v>
      </c>
      <c r="G581" s="68" t="str">
        <f t="shared" si="27"/>
        <v>Mpigi</v>
      </c>
      <c r="H581" s="75" t="s">
        <v>2330</v>
      </c>
    </row>
    <row r="582" spans="1:8">
      <c r="A582" s="74">
        <v>912</v>
      </c>
      <c r="B582" s="75" t="s">
        <v>775</v>
      </c>
      <c r="C582" s="75" t="s">
        <v>777</v>
      </c>
      <c r="D582" s="75" t="s">
        <v>782</v>
      </c>
      <c r="E582" s="75"/>
      <c r="F582" s="68" t="str">
        <f t="shared" si="31"/>
        <v>Kamonkoli</v>
      </c>
      <c r="G582" s="68" t="str">
        <f t="shared" si="27"/>
        <v>Budaka</v>
      </c>
      <c r="H582" s="75" t="s">
        <v>782</v>
      </c>
    </row>
    <row r="583" spans="1:8">
      <c r="A583" s="74">
        <v>1014</v>
      </c>
      <c r="B583" s="75" t="s">
        <v>870</v>
      </c>
      <c r="C583" s="75" t="s">
        <v>870</v>
      </c>
      <c r="D583" s="75" t="s">
        <v>881</v>
      </c>
      <c r="E583" s="75"/>
      <c r="F583" s="68" t="str">
        <f t="shared" si="31"/>
        <v>Kamu</v>
      </c>
      <c r="G583" s="68" t="str">
        <f t="shared" si="27"/>
        <v>Bulambuli</v>
      </c>
      <c r="H583" s="75" t="s">
        <v>881</v>
      </c>
    </row>
    <row r="584" spans="1:8">
      <c r="A584" s="74">
        <v>809</v>
      </c>
      <c r="B584" s="75" t="s">
        <v>2729</v>
      </c>
      <c r="C584" s="75" t="s">
        <v>2729</v>
      </c>
      <c r="D584" s="75" t="s">
        <v>2732</v>
      </c>
      <c r="E584" s="75"/>
      <c r="F584" s="68" t="str">
        <f t="shared" si="31"/>
        <v>Kamuda</v>
      </c>
      <c r="G584" s="68" t="str">
        <f t="shared" si="27"/>
        <v>Soroti</v>
      </c>
      <c r="H584" s="75" t="s">
        <v>2732</v>
      </c>
    </row>
    <row r="585" spans="1:8">
      <c r="A585" s="74">
        <v>1155</v>
      </c>
      <c r="B585" s="75" t="s">
        <v>1148</v>
      </c>
      <c r="C585" s="75" t="s">
        <v>1149</v>
      </c>
      <c r="D585" s="75" t="s">
        <v>1154</v>
      </c>
      <c r="E585" s="75"/>
      <c r="F585" s="68" t="str">
        <f t="shared" si="31"/>
        <v>Kamuganguzi</v>
      </c>
      <c r="G585" s="68" t="str">
        <f t="shared" si="27"/>
        <v>Kabale</v>
      </c>
      <c r="H585" s="75" t="s">
        <v>1154</v>
      </c>
    </row>
    <row r="586" spans="1:8">
      <c r="A586" s="74">
        <v>796</v>
      </c>
      <c r="B586" s="75" t="s">
        <v>2606</v>
      </c>
      <c r="C586" s="75" t="s">
        <v>2606</v>
      </c>
      <c r="D586" s="75" t="s">
        <v>2612</v>
      </c>
      <c r="E586" s="75"/>
      <c r="F586" s="68" t="str">
        <f t="shared" si="31"/>
        <v>Kamuge</v>
      </c>
      <c r="G586" s="68" t="str">
        <f t="shared" ref="G586:G649" si="32">B586</f>
        <v>Pallisa</v>
      </c>
      <c r="H586" s="75" t="s">
        <v>2612</v>
      </c>
    </row>
    <row r="587" spans="1:8" ht="25.5">
      <c r="A587" s="74">
        <v>1252</v>
      </c>
      <c r="B587" s="77" t="s">
        <v>2251</v>
      </c>
      <c r="C587" s="78" t="s">
        <v>2258</v>
      </c>
      <c r="D587" s="77" t="s">
        <v>3118</v>
      </c>
      <c r="E587" s="77"/>
      <c r="F587" s="69" t="str">
        <f>VLOOKUP(C587,[2]Municipalities!$C$9:$F$1522,4,FALSE)</f>
        <v>Mbarara Municipality</v>
      </c>
      <c r="G587" s="68" t="str">
        <f t="shared" si="32"/>
        <v>Mbarara</v>
      </c>
      <c r="H587" s="77" t="s">
        <v>3118</v>
      </c>
    </row>
    <row r="588" spans="1:8">
      <c r="A588" s="74">
        <v>1302</v>
      </c>
      <c r="B588" s="75" t="s">
        <v>45</v>
      </c>
      <c r="C588" s="75" t="s">
        <v>989</v>
      </c>
      <c r="D588" s="75" t="s">
        <v>45</v>
      </c>
      <c r="E588" s="75"/>
      <c r="F588" s="68" t="str">
        <f t="shared" si="31"/>
        <v>Kamwenge</v>
      </c>
      <c r="G588" s="68" t="str">
        <f t="shared" si="32"/>
        <v>Kamwenge</v>
      </c>
      <c r="H588" s="75" t="s">
        <v>45</v>
      </c>
    </row>
    <row r="589" spans="1:8">
      <c r="A589" s="74">
        <v>1303</v>
      </c>
      <c r="B589" s="75" t="s">
        <v>45</v>
      </c>
      <c r="C589" s="75" t="s">
        <v>989</v>
      </c>
      <c r="D589" s="75" t="s">
        <v>1767</v>
      </c>
      <c r="E589" s="75"/>
      <c r="F589" s="68" t="str">
        <f t="shared" si="31"/>
        <v>Kamwenge Town Council</v>
      </c>
      <c r="G589" s="68" t="str">
        <f t="shared" si="32"/>
        <v>Kamwenge</v>
      </c>
      <c r="H589" s="75" t="s">
        <v>1767</v>
      </c>
    </row>
    <row r="590" spans="1:8">
      <c r="A590" s="74">
        <v>1527</v>
      </c>
      <c r="B590" s="75" t="s">
        <v>2656</v>
      </c>
      <c r="C590" s="75" t="s">
        <v>2656</v>
      </c>
      <c r="D590" s="75" t="s">
        <v>3119</v>
      </c>
      <c r="E590" s="75"/>
      <c r="F590" s="68" t="str">
        <f t="shared" si="31"/>
        <v>Kamwezi</v>
      </c>
      <c r="G590" s="68" t="str">
        <f t="shared" si="32"/>
        <v>Rukiga</v>
      </c>
      <c r="H590" s="75" t="s">
        <v>3119</v>
      </c>
    </row>
    <row r="591" spans="1:8">
      <c r="A591" s="74">
        <v>1221</v>
      </c>
      <c r="B591" s="75" t="s">
        <v>1940</v>
      </c>
      <c r="C591" s="75" t="s">
        <v>1941</v>
      </c>
      <c r="D591" s="75" t="s">
        <v>1944</v>
      </c>
      <c r="E591" s="75"/>
      <c r="F591" s="68" t="str">
        <f t="shared" si="31"/>
        <v>Kanaba</v>
      </c>
      <c r="G591" s="68" t="str">
        <f t="shared" si="32"/>
        <v>Kisoro</v>
      </c>
      <c r="H591" s="75" t="s">
        <v>1944</v>
      </c>
    </row>
    <row r="592" spans="1:8">
      <c r="A592" s="74">
        <v>1308</v>
      </c>
      <c r="B592" s="75" t="s">
        <v>45</v>
      </c>
      <c r="C592" s="75" t="s">
        <v>1762</v>
      </c>
      <c r="D592" s="79" t="s">
        <v>3120</v>
      </c>
      <c r="E592" s="75"/>
      <c r="F592" s="68" t="str">
        <f t="shared" ref="F592:F593" si="33">D592&amp;"-"&amp;B592</f>
        <v>Kanara-Kamwenge</v>
      </c>
      <c r="G592" s="68" t="str">
        <f t="shared" si="32"/>
        <v>Kamwenge</v>
      </c>
      <c r="H592" s="79" t="s">
        <v>3120</v>
      </c>
    </row>
    <row r="593" spans="1:8">
      <c r="A593" s="74">
        <v>1444</v>
      </c>
      <c r="B593" s="75" t="s">
        <v>2514</v>
      </c>
      <c r="C593" s="75" t="s">
        <v>2514</v>
      </c>
      <c r="D593" s="79" t="s">
        <v>3120</v>
      </c>
      <c r="E593" s="75"/>
      <c r="F593" s="68" t="str">
        <f t="shared" si="33"/>
        <v>Kanara-Ntoroko</v>
      </c>
      <c r="G593" s="68" t="str">
        <f t="shared" si="32"/>
        <v>Ntoroko</v>
      </c>
      <c r="H593" s="79" t="s">
        <v>3120</v>
      </c>
    </row>
    <row r="594" spans="1:8">
      <c r="A594" s="74">
        <v>1445</v>
      </c>
      <c r="B594" s="75" t="s">
        <v>2514</v>
      </c>
      <c r="C594" s="75" t="s">
        <v>2514</v>
      </c>
      <c r="D594" s="75" t="s">
        <v>2516</v>
      </c>
      <c r="E594" s="75"/>
      <c r="F594" s="68" t="str">
        <f t="shared" ref="F594" si="34">D594</f>
        <v>Kanara Town Council</v>
      </c>
      <c r="G594" s="68" t="str">
        <f t="shared" si="32"/>
        <v>Ntoroko</v>
      </c>
      <c r="H594" s="75" t="s">
        <v>2516</v>
      </c>
    </row>
    <row r="595" spans="1:8" ht="25.5">
      <c r="A595" s="74">
        <v>76</v>
      </c>
      <c r="B595" s="77" t="s">
        <v>1985</v>
      </c>
      <c r="C595" s="78" t="s">
        <v>1987</v>
      </c>
      <c r="D595" s="77" t="s">
        <v>3121</v>
      </c>
      <c r="E595" s="77"/>
      <c r="F595" s="69" t="str">
        <f>VLOOKUP(C595,[2]Municipalities!$C$9:$F$1522,4,FALSE)</f>
        <v>Kotido Municipality</v>
      </c>
      <c r="G595" s="68" t="str">
        <f t="shared" si="32"/>
        <v>Kotido</v>
      </c>
      <c r="H595" s="77" t="s">
        <v>3121</v>
      </c>
    </row>
    <row r="596" spans="1:8">
      <c r="A596" s="74">
        <v>180</v>
      </c>
      <c r="B596" s="75" t="s">
        <v>1014</v>
      </c>
      <c r="C596" s="75" t="s">
        <v>1014</v>
      </c>
      <c r="D596" s="75" t="s">
        <v>1020</v>
      </c>
      <c r="E596" s="75"/>
      <c r="F596" s="68" t="str">
        <f t="shared" ref="F596:F606" si="35">D596</f>
        <v>Kangai</v>
      </c>
      <c r="G596" s="68" t="str">
        <f t="shared" si="32"/>
        <v>Dokolo</v>
      </c>
      <c r="H596" s="75" t="s">
        <v>1020</v>
      </c>
    </row>
    <row r="597" spans="1:8" ht="25.5">
      <c r="A597" s="74">
        <v>1081</v>
      </c>
      <c r="B597" s="77" t="s">
        <v>984</v>
      </c>
      <c r="C597" s="77" t="s">
        <v>985</v>
      </c>
      <c r="D597" s="77" t="s">
        <v>988</v>
      </c>
      <c r="E597" s="77"/>
      <c r="F597" s="68" t="str">
        <f t="shared" si="35"/>
        <v>Kanginima</v>
      </c>
      <c r="G597" s="68" t="str">
        <f t="shared" si="32"/>
        <v>Butebo</v>
      </c>
      <c r="H597" s="77" t="s">
        <v>988</v>
      </c>
    </row>
    <row r="598" spans="1:8">
      <c r="A598" s="74">
        <v>298</v>
      </c>
      <c r="B598" s="75" t="s">
        <v>3024</v>
      </c>
      <c r="C598" s="75" t="s">
        <v>3025</v>
      </c>
      <c r="D598" s="75" t="s">
        <v>3028</v>
      </c>
      <c r="E598" s="75"/>
      <c r="F598" s="68" t="str">
        <f t="shared" si="35"/>
        <v>Kango</v>
      </c>
      <c r="G598" s="68" t="str">
        <f t="shared" si="32"/>
        <v>Zombo</v>
      </c>
      <c r="H598" s="75" t="s">
        <v>3028</v>
      </c>
    </row>
    <row r="599" spans="1:8">
      <c r="A599" s="74">
        <v>528</v>
      </c>
      <c r="B599" s="75" t="s">
        <v>1855</v>
      </c>
      <c r="C599" s="75" t="s">
        <v>1857</v>
      </c>
      <c r="D599" s="75" t="s">
        <v>1859</v>
      </c>
      <c r="E599" s="75"/>
      <c r="F599" s="68" t="str">
        <f t="shared" si="35"/>
        <v>Kangulumira</v>
      </c>
      <c r="G599" s="68" t="str">
        <f t="shared" si="32"/>
        <v>Kayunga</v>
      </c>
      <c r="H599" s="75" t="s">
        <v>1859</v>
      </c>
    </row>
    <row r="600" spans="1:8">
      <c r="A600" s="74">
        <v>1390</v>
      </c>
      <c r="B600" s="75" t="s">
        <v>1905</v>
      </c>
      <c r="C600" s="75" t="s">
        <v>1906</v>
      </c>
      <c r="D600" s="75" t="s">
        <v>1909</v>
      </c>
      <c r="E600" s="75"/>
      <c r="F600" s="68" t="str">
        <f t="shared" si="35"/>
        <v>Kanoni</v>
      </c>
      <c r="G600" s="68" t="str">
        <f t="shared" si="32"/>
        <v>Kiruhura</v>
      </c>
      <c r="H600" s="75" t="s">
        <v>1909</v>
      </c>
    </row>
    <row r="601" spans="1:8">
      <c r="A601" s="74">
        <v>627</v>
      </c>
      <c r="B601" s="75" t="s">
        <v>1025</v>
      </c>
      <c r="C601" s="75" t="s">
        <v>1025</v>
      </c>
      <c r="D601" s="75" t="s">
        <v>1026</v>
      </c>
      <c r="E601" s="75"/>
      <c r="F601" s="68" t="str">
        <f t="shared" si="35"/>
        <v>Kanoni Town Council</v>
      </c>
      <c r="G601" s="68" t="str">
        <f t="shared" si="32"/>
        <v>Gomba</v>
      </c>
      <c r="H601" s="75" t="s">
        <v>1026</v>
      </c>
    </row>
    <row r="602" spans="1:8">
      <c r="A602" s="74">
        <v>1316</v>
      </c>
      <c r="B602" s="75" t="s">
        <v>1779</v>
      </c>
      <c r="C602" s="75" t="s">
        <v>1780</v>
      </c>
      <c r="D602" s="75" t="s">
        <v>1783</v>
      </c>
      <c r="E602" s="75"/>
      <c r="F602" s="68" t="str">
        <f t="shared" si="35"/>
        <v>Kanungu Town Council</v>
      </c>
      <c r="G602" s="68" t="str">
        <f t="shared" si="32"/>
        <v>Kanungu</v>
      </c>
      <c r="H602" s="75" t="s">
        <v>1783</v>
      </c>
    </row>
    <row r="603" spans="1:8">
      <c r="A603" s="74">
        <v>1432</v>
      </c>
      <c r="B603" s="75" t="s">
        <v>46</v>
      </c>
      <c r="C603" s="75" t="s">
        <v>2272</v>
      </c>
      <c r="D603" s="75" t="s">
        <v>2273</v>
      </c>
      <c r="E603" s="75"/>
      <c r="F603" s="68" t="str">
        <f t="shared" si="35"/>
        <v>Kanyabwanga</v>
      </c>
      <c r="G603" s="68" t="str">
        <f t="shared" si="32"/>
        <v>Mitooma</v>
      </c>
      <c r="H603" s="75" t="s">
        <v>2273</v>
      </c>
    </row>
    <row r="604" spans="1:8">
      <c r="A604" s="74">
        <v>1317</v>
      </c>
      <c r="B604" s="75" t="s">
        <v>1779</v>
      </c>
      <c r="C604" s="75" t="s">
        <v>1780</v>
      </c>
      <c r="D604" s="75" t="s">
        <v>1784</v>
      </c>
      <c r="E604" s="75"/>
      <c r="F604" s="68" t="str">
        <f t="shared" si="35"/>
        <v>Kanyantorogo</v>
      </c>
      <c r="G604" s="68" t="str">
        <f t="shared" si="32"/>
        <v>Kanungu</v>
      </c>
      <c r="H604" s="75" t="s">
        <v>1784</v>
      </c>
    </row>
    <row r="605" spans="1:8">
      <c r="A605" s="74">
        <v>1395</v>
      </c>
      <c r="B605" s="75" t="s">
        <v>1905</v>
      </c>
      <c r="C605" s="75" t="s">
        <v>1911</v>
      </c>
      <c r="D605" s="75" t="s">
        <v>1910</v>
      </c>
      <c r="E605" s="75"/>
      <c r="F605" s="68" t="str">
        <f t="shared" si="35"/>
        <v>Kanyaryeru</v>
      </c>
      <c r="G605" s="68" t="str">
        <f t="shared" si="32"/>
        <v>Kiruhura</v>
      </c>
      <c r="H605" s="75" t="s">
        <v>1910</v>
      </c>
    </row>
    <row r="606" spans="1:8">
      <c r="A606" s="74">
        <v>764</v>
      </c>
      <c r="B606" s="75" t="s">
        <v>1992</v>
      </c>
      <c r="C606" s="75" t="s">
        <v>1992</v>
      </c>
      <c r="D606" s="75" t="s">
        <v>1993</v>
      </c>
      <c r="E606" s="75"/>
      <c r="F606" s="68" t="str">
        <f t="shared" si="35"/>
        <v>Kanyum</v>
      </c>
      <c r="G606" s="68" t="str">
        <f t="shared" si="32"/>
        <v>Kumi</v>
      </c>
      <c r="H606" s="75" t="s">
        <v>1993</v>
      </c>
    </row>
    <row r="607" spans="1:8" ht="25.5">
      <c r="A607" s="74">
        <v>77</v>
      </c>
      <c r="B607" s="77" t="s">
        <v>1985</v>
      </c>
      <c r="C607" s="78" t="s">
        <v>1987</v>
      </c>
      <c r="D607" s="77" t="s">
        <v>3122</v>
      </c>
      <c r="E607" s="77"/>
      <c r="F607" s="69" t="str">
        <f>VLOOKUP(C607,[2]Municipalities!$C$9:$F$1522,4,FALSE)</f>
        <v>Kotido Municipality</v>
      </c>
      <c r="G607" s="68" t="str">
        <f t="shared" si="32"/>
        <v>Kotido</v>
      </c>
      <c r="H607" s="77" t="s">
        <v>3122</v>
      </c>
    </row>
    <row r="608" spans="1:8">
      <c r="A608" s="74">
        <v>189</v>
      </c>
      <c r="B608" s="75" t="s">
        <v>1132</v>
      </c>
      <c r="C608" s="75" t="s">
        <v>1133</v>
      </c>
      <c r="D608" s="75" t="s">
        <v>1138</v>
      </c>
      <c r="E608" s="75"/>
      <c r="F608" s="68" t="str">
        <f t="shared" ref="F608:F621" si="36">D608</f>
        <v>Kapedo</v>
      </c>
      <c r="G608" s="68" t="str">
        <f t="shared" si="32"/>
        <v>Kaabong</v>
      </c>
      <c r="H608" s="75" t="s">
        <v>1138</v>
      </c>
    </row>
    <row r="609" spans="1:8">
      <c r="A609" s="74">
        <v>580</v>
      </c>
      <c r="B609" s="75" t="s">
        <v>2418</v>
      </c>
      <c r="C609" s="75" t="s">
        <v>2418</v>
      </c>
      <c r="D609" s="75" t="s">
        <v>2419</v>
      </c>
      <c r="E609" s="75"/>
      <c r="F609" s="68" t="str">
        <f t="shared" si="36"/>
        <v>Kapeeka</v>
      </c>
      <c r="G609" s="68" t="str">
        <f t="shared" si="32"/>
        <v>Nakaseke</v>
      </c>
      <c r="H609" s="75" t="s">
        <v>2419</v>
      </c>
    </row>
    <row r="610" spans="1:8">
      <c r="A610" s="74">
        <v>424</v>
      </c>
      <c r="B610" s="75" t="s">
        <v>1882</v>
      </c>
      <c r="C610" s="75" t="s">
        <v>1882</v>
      </c>
      <c r="D610" s="75" t="s">
        <v>1887</v>
      </c>
      <c r="E610" s="75"/>
      <c r="F610" s="68" t="str">
        <f t="shared" si="36"/>
        <v>Kapeke</v>
      </c>
      <c r="G610" s="68" t="str">
        <f t="shared" si="32"/>
        <v>Kiboga</v>
      </c>
      <c r="H610" s="75" t="s">
        <v>1887</v>
      </c>
    </row>
    <row r="611" spans="1:8">
      <c r="A611" s="74">
        <v>899</v>
      </c>
      <c r="B611" s="75" t="s">
        <v>707</v>
      </c>
      <c r="C611" s="75" t="s">
        <v>709</v>
      </c>
      <c r="D611" s="75" t="s">
        <v>709</v>
      </c>
      <c r="E611" s="75"/>
      <c r="F611" s="68" t="str">
        <f t="shared" si="36"/>
        <v>Kapelebyong</v>
      </c>
      <c r="G611" s="68" t="str">
        <f t="shared" si="32"/>
        <v>Amuria</v>
      </c>
      <c r="H611" s="75" t="s">
        <v>709</v>
      </c>
    </row>
    <row r="612" spans="1:8">
      <c r="A612" s="74">
        <v>1063</v>
      </c>
      <c r="B612" s="75" t="s">
        <v>2509</v>
      </c>
      <c r="C612" s="75" t="s">
        <v>2509</v>
      </c>
      <c r="D612" s="75" t="s">
        <v>2508</v>
      </c>
      <c r="E612" s="75"/>
      <c r="F612" s="68" t="str">
        <f t="shared" si="36"/>
        <v>Kapir</v>
      </c>
      <c r="G612" s="68" t="str">
        <f t="shared" si="32"/>
        <v>Ngora</v>
      </c>
      <c r="H612" s="75" t="s">
        <v>2508</v>
      </c>
    </row>
    <row r="613" spans="1:8">
      <c r="A613" s="74">
        <v>1037</v>
      </c>
      <c r="B613" s="75" t="s">
        <v>1999</v>
      </c>
      <c r="C613" s="75" t="s">
        <v>1999</v>
      </c>
      <c r="D613" s="75" t="s">
        <v>2002</v>
      </c>
      <c r="E613" s="75"/>
      <c r="F613" s="68" t="str">
        <f t="shared" si="36"/>
        <v>Kaproron</v>
      </c>
      <c r="G613" s="68" t="str">
        <f t="shared" si="32"/>
        <v>Kween</v>
      </c>
      <c r="H613" s="75" t="s">
        <v>2002</v>
      </c>
    </row>
    <row r="614" spans="1:8">
      <c r="A614" s="74">
        <v>744</v>
      </c>
      <c r="B614" s="75" t="s">
        <v>1798</v>
      </c>
      <c r="C614" s="75" t="s">
        <v>1799</v>
      </c>
      <c r="D614" s="75" t="s">
        <v>1805</v>
      </c>
      <c r="E614" s="75"/>
      <c r="F614" s="68" t="str">
        <f t="shared" si="36"/>
        <v>Kapsinda</v>
      </c>
      <c r="G614" s="68" t="str">
        <f t="shared" si="32"/>
        <v>Kapchorwa</v>
      </c>
      <c r="H614" s="75" t="s">
        <v>1805</v>
      </c>
    </row>
    <row r="615" spans="1:8">
      <c r="A615" s="74">
        <v>745</v>
      </c>
      <c r="B615" s="75" t="s">
        <v>1798</v>
      </c>
      <c r="C615" s="75" t="s">
        <v>1799</v>
      </c>
      <c r="D615" s="75" t="s">
        <v>1806</v>
      </c>
      <c r="E615" s="75"/>
      <c r="F615" s="68" t="str">
        <f t="shared" si="36"/>
        <v>Kaptanya</v>
      </c>
      <c r="G615" s="68" t="str">
        <f t="shared" si="32"/>
        <v>Kapchorwa</v>
      </c>
      <c r="H615" s="75" t="s">
        <v>1806</v>
      </c>
    </row>
    <row r="616" spans="1:8">
      <c r="A616" s="74">
        <v>943</v>
      </c>
      <c r="B616" s="75" t="s">
        <v>856</v>
      </c>
      <c r="C616" s="75" t="s">
        <v>857</v>
      </c>
      <c r="D616" s="75" t="s">
        <v>863</v>
      </c>
      <c r="E616" s="75"/>
      <c r="F616" s="68" t="str">
        <f t="shared" si="36"/>
        <v>Kaptererwo</v>
      </c>
      <c r="G616" s="68" t="str">
        <f t="shared" si="32"/>
        <v>Bukwo</v>
      </c>
      <c r="H616" s="75" t="s">
        <v>863</v>
      </c>
    </row>
    <row r="617" spans="1:8">
      <c r="A617" s="74">
        <v>1038</v>
      </c>
      <c r="B617" s="75" t="s">
        <v>1999</v>
      </c>
      <c r="C617" s="75" t="s">
        <v>1999</v>
      </c>
      <c r="D617" s="75" t="s">
        <v>2003</v>
      </c>
      <c r="E617" s="75"/>
      <c r="F617" s="68" t="str">
        <f t="shared" si="36"/>
        <v>Kaptoyoy</v>
      </c>
      <c r="G617" s="68" t="str">
        <f t="shared" si="32"/>
        <v>Kween</v>
      </c>
      <c r="H617" s="75" t="s">
        <v>2003</v>
      </c>
    </row>
    <row r="618" spans="1:8">
      <c r="A618" s="74">
        <v>1039</v>
      </c>
      <c r="B618" s="75" t="s">
        <v>1999</v>
      </c>
      <c r="C618" s="75" t="s">
        <v>1999</v>
      </c>
      <c r="D618" s="75" t="s">
        <v>2004</v>
      </c>
      <c r="E618" s="75"/>
      <c r="F618" s="68" t="str">
        <f t="shared" si="36"/>
        <v>Kaptum</v>
      </c>
      <c r="G618" s="68" t="str">
        <f t="shared" si="32"/>
        <v>Kween</v>
      </c>
      <c r="H618" s="75" t="s">
        <v>2004</v>
      </c>
    </row>
    <row r="619" spans="1:8">
      <c r="A619" s="74">
        <v>753</v>
      </c>
      <c r="B619" s="75" t="s">
        <v>1845</v>
      </c>
      <c r="C619" s="75" t="s">
        <v>1846</v>
      </c>
      <c r="D619" s="75" t="s">
        <v>1844</v>
      </c>
      <c r="E619" s="75"/>
      <c r="F619" s="68" t="str">
        <f t="shared" si="36"/>
        <v>Kapujan</v>
      </c>
      <c r="G619" s="68" t="str">
        <f t="shared" si="32"/>
        <v>Katakwi</v>
      </c>
      <c r="H619" s="75" t="s">
        <v>1844</v>
      </c>
    </row>
    <row r="620" spans="1:8">
      <c r="A620" s="74">
        <v>677</v>
      </c>
      <c r="B620" s="75" t="s">
        <v>806</v>
      </c>
      <c r="C620" s="75" t="s">
        <v>807</v>
      </c>
      <c r="D620" s="75" t="s">
        <v>814</v>
      </c>
      <c r="E620" s="75"/>
      <c r="F620" s="68" t="str">
        <f t="shared" si="36"/>
        <v>Kapyanga</v>
      </c>
      <c r="G620" s="68" t="str">
        <f t="shared" si="32"/>
        <v>Bugiri</v>
      </c>
      <c r="H620" s="75" t="s">
        <v>814</v>
      </c>
    </row>
    <row r="621" spans="1:8">
      <c r="A621" s="74">
        <v>1165</v>
      </c>
      <c r="B621" s="75" t="s">
        <v>1162</v>
      </c>
      <c r="C621" s="75" t="s">
        <v>1163</v>
      </c>
      <c r="D621" s="75" t="s">
        <v>1170</v>
      </c>
      <c r="E621" s="75"/>
      <c r="F621" s="68" t="str">
        <f t="shared" si="36"/>
        <v>Karago Town Council</v>
      </c>
      <c r="G621" s="68" t="str">
        <f t="shared" si="32"/>
        <v>Kabarole</v>
      </c>
      <c r="H621" s="75" t="s">
        <v>1170</v>
      </c>
    </row>
    <row r="622" spans="1:8">
      <c r="A622" s="74">
        <v>1166</v>
      </c>
      <c r="B622" s="75" t="s">
        <v>1162</v>
      </c>
      <c r="C622" s="75" t="s">
        <v>1163</v>
      </c>
      <c r="D622" s="79" t="s">
        <v>3123</v>
      </c>
      <c r="E622" s="75"/>
      <c r="F622" s="68" t="str">
        <f t="shared" ref="F622:F623" si="37">D622&amp;"-"&amp;B622</f>
        <v>Karambi-Kabarole</v>
      </c>
      <c r="G622" s="68" t="str">
        <f t="shared" si="32"/>
        <v>Kabarole</v>
      </c>
      <c r="H622" s="79" t="s">
        <v>3123</v>
      </c>
    </row>
    <row r="623" spans="1:8">
      <c r="A623" s="74">
        <v>1181</v>
      </c>
      <c r="B623" s="75" t="s">
        <v>36</v>
      </c>
      <c r="C623" s="75" t="s">
        <v>900</v>
      </c>
      <c r="D623" s="79" t="s">
        <v>3123</v>
      </c>
      <c r="E623" s="75"/>
      <c r="F623" s="68" t="str">
        <f t="shared" si="37"/>
        <v>Karambi-Kasese</v>
      </c>
      <c r="G623" s="68" t="str">
        <f t="shared" si="32"/>
        <v>Kasese</v>
      </c>
      <c r="H623" s="79" t="s">
        <v>3123</v>
      </c>
    </row>
    <row r="624" spans="1:8">
      <c r="A624" s="74">
        <v>1167</v>
      </c>
      <c r="B624" s="75" t="s">
        <v>1162</v>
      </c>
      <c r="C624" s="75" t="s">
        <v>1163</v>
      </c>
      <c r="D624" s="75" t="s">
        <v>1172</v>
      </c>
      <c r="E624" s="75"/>
      <c r="F624" s="68" t="str">
        <f t="shared" ref="F624:F632" si="38">D624</f>
        <v>Karangura</v>
      </c>
      <c r="G624" s="68" t="str">
        <f t="shared" si="32"/>
        <v>Kabarole</v>
      </c>
      <c r="H624" s="75" t="s">
        <v>1172</v>
      </c>
    </row>
    <row r="625" spans="1:8">
      <c r="A625" s="74">
        <v>254</v>
      </c>
      <c r="B625" s="75" t="s">
        <v>701</v>
      </c>
      <c r="C625" s="75" t="s">
        <v>702</v>
      </c>
      <c r="D625" s="75" t="s">
        <v>704</v>
      </c>
      <c r="E625" s="75"/>
      <c r="F625" s="68" t="str">
        <f t="shared" si="38"/>
        <v>Karita</v>
      </c>
      <c r="G625" s="68" t="str">
        <f t="shared" si="32"/>
        <v>Amudat</v>
      </c>
      <c r="H625" s="75" t="s">
        <v>704</v>
      </c>
    </row>
    <row r="626" spans="1:8">
      <c r="A626" s="74">
        <v>1446</v>
      </c>
      <c r="B626" s="75" t="s">
        <v>2514</v>
      </c>
      <c r="C626" s="75" t="s">
        <v>2514</v>
      </c>
      <c r="D626" s="75" t="s">
        <v>2518</v>
      </c>
      <c r="E626" s="75"/>
      <c r="F626" s="68" t="str">
        <f t="shared" si="38"/>
        <v>Karugutu</v>
      </c>
      <c r="G626" s="68" t="str">
        <f t="shared" si="32"/>
        <v>Ntoroko</v>
      </c>
      <c r="H626" s="75" t="s">
        <v>2518</v>
      </c>
    </row>
    <row r="627" spans="1:8">
      <c r="A627" s="74">
        <v>1447</v>
      </c>
      <c r="B627" s="75" t="s">
        <v>2514</v>
      </c>
      <c r="C627" s="75" t="s">
        <v>2514</v>
      </c>
      <c r="D627" s="75" t="s">
        <v>2519</v>
      </c>
      <c r="E627" s="75"/>
      <c r="F627" s="68" t="str">
        <f t="shared" si="38"/>
        <v>Karugutu Town Council</v>
      </c>
      <c r="G627" s="68" t="str">
        <f t="shared" si="32"/>
        <v>Ntoroko</v>
      </c>
      <c r="H627" s="75" t="s">
        <v>2519</v>
      </c>
    </row>
    <row r="628" spans="1:8" ht="25.5">
      <c r="A628" s="74">
        <v>1241</v>
      </c>
      <c r="B628" s="77" t="s">
        <v>2200</v>
      </c>
      <c r="C628" s="78" t="s">
        <v>2205</v>
      </c>
      <c r="D628" s="77" t="s">
        <v>3124</v>
      </c>
      <c r="E628" s="75"/>
      <c r="F628" s="69" t="str">
        <f>VLOOKUP(C628,[2]Municipalities!$C$9:$F$1522,4,FALSE)</f>
        <v>Masindi Municipality</v>
      </c>
      <c r="G628" s="68" t="str">
        <f t="shared" si="32"/>
        <v>Masindi</v>
      </c>
      <c r="H628" s="77" t="s">
        <v>3124</v>
      </c>
    </row>
    <row r="629" spans="1:8">
      <c r="A629" s="74">
        <v>1409</v>
      </c>
      <c r="B629" s="75" t="s">
        <v>819</v>
      </c>
      <c r="C629" s="75" t="s">
        <v>819</v>
      </c>
      <c r="D629" s="75" t="s">
        <v>824</v>
      </c>
      <c r="E629" s="75"/>
      <c r="F629" s="68" t="str">
        <f t="shared" si="38"/>
        <v>Karungu</v>
      </c>
      <c r="G629" s="68" t="str">
        <f t="shared" si="32"/>
        <v>Buhweju</v>
      </c>
      <c r="H629" s="75" t="s">
        <v>824</v>
      </c>
    </row>
    <row r="630" spans="1:8">
      <c r="A630" s="74">
        <v>1196</v>
      </c>
      <c r="B630" s="75" t="s">
        <v>36</v>
      </c>
      <c r="C630" s="75" t="s">
        <v>1812</v>
      </c>
      <c r="D630" s="75" t="s">
        <v>1819</v>
      </c>
      <c r="E630" s="75"/>
      <c r="F630" s="68" t="str">
        <f t="shared" si="38"/>
        <v>Karusandara</v>
      </c>
      <c r="G630" s="68" t="str">
        <f t="shared" si="32"/>
        <v>Kasese</v>
      </c>
      <c r="H630" s="75" t="s">
        <v>1819</v>
      </c>
    </row>
    <row r="631" spans="1:8">
      <c r="A631" s="74">
        <v>1464</v>
      </c>
      <c r="B631" s="75" t="s">
        <v>41</v>
      </c>
      <c r="C631" s="75" t="s">
        <v>41</v>
      </c>
      <c r="D631" s="75" t="s">
        <v>2694</v>
      </c>
      <c r="E631" s="75"/>
      <c r="F631" s="68" t="str">
        <f t="shared" si="38"/>
        <v>Kasaana</v>
      </c>
      <c r="G631" s="68" t="str">
        <f t="shared" si="32"/>
        <v>Sheema</v>
      </c>
      <c r="H631" s="75" t="s">
        <v>2694</v>
      </c>
    </row>
    <row r="632" spans="1:8">
      <c r="A632" s="74">
        <v>560</v>
      </c>
      <c r="B632" s="75" t="s">
        <v>2150</v>
      </c>
      <c r="C632" s="75" t="s">
        <v>2151</v>
      </c>
      <c r="D632" s="75" t="s">
        <v>2152</v>
      </c>
      <c r="E632" s="75"/>
      <c r="F632" s="68" t="str">
        <f t="shared" si="38"/>
        <v>Kasagama</v>
      </c>
      <c r="G632" s="68" t="str">
        <f t="shared" si="32"/>
        <v>Lyantonde</v>
      </c>
      <c r="H632" s="75" t="s">
        <v>2152</v>
      </c>
    </row>
    <row r="633" spans="1:8">
      <c r="A633" s="74">
        <v>463</v>
      </c>
      <c r="B633" s="75" t="s">
        <v>2342</v>
      </c>
      <c r="C633" s="75" t="s">
        <v>2343</v>
      </c>
      <c r="D633" s="79" t="s">
        <v>2343</v>
      </c>
      <c r="E633" s="75"/>
      <c r="F633" s="68" t="str">
        <f t="shared" ref="F633:F634" si="39">D633&amp;"-"&amp;B633</f>
        <v>Kasambya-Mubende</v>
      </c>
      <c r="G633" s="68" t="str">
        <f t="shared" si="32"/>
        <v>Mubende</v>
      </c>
      <c r="H633" s="79" t="s">
        <v>2343</v>
      </c>
    </row>
    <row r="634" spans="1:8">
      <c r="A634" s="74">
        <v>1499</v>
      </c>
      <c r="B634" s="75" t="s">
        <v>1212</v>
      </c>
      <c r="C634" s="75" t="s">
        <v>1213</v>
      </c>
      <c r="D634" s="79" t="s">
        <v>2343</v>
      </c>
      <c r="E634" s="75"/>
      <c r="F634" s="68" t="str">
        <f t="shared" si="39"/>
        <v>Kasambya-Kakumiro</v>
      </c>
      <c r="G634" s="68" t="str">
        <f t="shared" si="32"/>
        <v>Kakumiro</v>
      </c>
      <c r="H634" s="79" t="s">
        <v>2343</v>
      </c>
    </row>
    <row r="635" spans="1:8">
      <c r="A635" s="74">
        <v>551</v>
      </c>
      <c r="B635" s="75" t="s">
        <v>2774</v>
      </c>
      <c r="C635" s="75" t="s">
        <v>1546</v>
      </c>
      <c r="D635" s="75" t="s">
        <v>2833</v>
      </c>
      <c r="E635" s="75"/>
      <c r="F635" s="68" t="str">
        <f t="shared" ref="F635:F647" si="40">D635</f>
        <v>Kasangati Town Council</v>
      </c>
      <c r="G635" s="68" t="str">
        <f t="shared" si="32"/>
        <v>Wakiso</v>
      </c>
      <c r="H635" s="75" t="s">
        <v>2833</v>
      </c>
    </row>
    <row r="636" spans="1:8">
      <c r="A636" s="74">
        <v>581</v>
      </c>
      <c r="B636" s="75" t="s">
        <v>2418</v>
      </c>
      <c r="C636" s="75" t="s">
        <v>2418</v>
      </c>
      <c r="D636" s="75" t="s">
        <v>2420</v>
      </c>
      <c r="E636" s="75"/>
      <c r="F636" s="68" t="str">
        <f t="shared" si="40"/>
        <v>Kasangombe</v>
      </c>
      <c r="G636" s="68" t="str">
        <f t="shared" si="32"/>
        <v>Nakaseke</v>
      </c>
      <c r="H636" s="75" t="s">
        <v>2420</v>
      </c>
    </row>
    <row r="637" spans="1:8">
      <c r="A637" s="74">
        <v>535</v>
      </c>
      <c r="B637" s="75" t="s">
        <v>2774</v>
      </c>
      <c r="C637" s="75" t="s">
        <v>2778</v>
      </c>
      <c r="D637" s="75" t="s">
        <v>2850</v>
      </c>
      <c r="E637" s="75"/>
      <c r="F637" s="68" t="str">
        <f t="shared" si="40"/>
        <v>Kasanje</v>
      </c>
      <c r="G637" s="68" t="str">
        <f t="shared" si="32"/>
        <v>Wakiso</v>
      </c>
      <c r="H637" s="75" t="s">
        <v>2850</v>
      </c>
    </row>
    <row r="638" spans="1:8">
      <c r="A638" s="74">
        <v>659</v>
      </c>
      <c r="B638" s="75" t="s">
        <v>2074</v>
      </c>
      <c r="C638" s="75" t="s">
        <v>2078</v>
      </c>
      <c r="D638" s="75" t="s">
        <v>2077</v>
      </c>
      <c r="E638" s="75"/>
      <c r="F638" s="68" t="str">
        <f t="shared" si="40"/>
        <v>Kasasa</v>
      </c>
      <c r="G638" s="68" t="str">
        <f t="shared" si="32"/>
        <v>Kyotera</v>
      </c>
      <c r="H638" s="75" t="s">
        <v>2077</v>
      </c>
    </row>
    <row r="639" spans="1:8">
      <c r="A639" s="74">
        <v>1029</v>
      </c>
      <c r="B639" s="75" t="s">
        <v>1895</v>
      </c>
      <c r="C639" s="75" t="s">
        <v>1895</v>
      </c>
      <c r="D639" s="75" t="s">
        <v>1900</v>
      </c>
      <c r="E639" s="75"/>
      <c r="F639" s="68" t="str">
        <f t="shared" si="40"/>
        <v>Kasasira</v>
      </c>
      <c r="G639" s="68" t="str">
        <f t="shared" si="32"/>
        <v>Kibuku</v>
      </c>
      <c r="H639" s="75" t="s">
        <v>1900</v>
      </c>
    </row>
    <row r="640" spans="1:8">
      <c r="A640" s="74">
        <v>487</v>
      </c>
      <c r="B640" s="75" t="s">
        <v>2369</v>
      </c>
      <c r="C640" s="75" t="s">
        <v>2370</v>
      </c>
      <c r="D640" s="75" t="s">
        <v>2368</v>
      </c>
      <c r="E640" s="75"/>
      <c r="F640" s="68" t="str">
        <f t="shared" si="40"/>
        <v>Kasawo</v>
      </c>
      <c r="G640" s="68" t="str">
        <f t="shared" si="32"/>
        <v>Mukono</v>
      </c>
      <c r="H640" s="75" t="s">
        <v>2368</v>
      </c>
    </row>
    <row r="641" spans="1:8">
      <c r="A641" s="74">
        <v>1168</v>
      </c>
      <c r="B641" s="75" t="s">
        <v>1162</v>
      </c>
      <c r="C641" s="75" t="s">
        <v>1163</v>
      </c>
      <c r="D641" s="75" t="s">
        <v>1173</v>
      </c>
      <c r="E641" s="75"/>
      <c r="F641" s="68" t="str">
        <f t="shared" si="40"/>
        <v>Kasenda</v>
      </c>
      <c r="G641" s="68" t="str">
        <f t="shared" si="32"/>
        <v>Kabarole</v>
      </c>
      <c r="H641" s="75" t="s">
        <v>1173</v>
      </c>
    </row>
    <row r="642" spans="1:8">
      <c r="A642" s="74">
        <v>746</v>
      </c>
      <c r="B642" s="75" t="s">
        <v>1798</v>
      </c>
      <c r="C642" s="75" t="s">
        <v>1799</v>
      </c>
      <c r="D642" s="75" t="s">
        <v>1807</v>
      </c>
      <c r="E642" s="75"/>
      <c r="F642" s="68" t="str">
        <f t="shared" si="40"/>
        <v>Kaserem</v>
      </c>
      <c r="G642" s="68" t="str">
        <f t="shared" si="32"/>
        <v>Kapchorwa</v>
      </c>
      <c r="H642" s="75" t="s">
        <v>1807</v>
      </c>
    </row>
    <row r="643" spans="1:8">
      <c r="A643" s="74">
        <v>1528</v>
      </c>
      <c r="B643" s="75" t="s">
        <v>3125</v>
      </c>
      <c r="C643" s="75" t="s">
        <v>2656</v>
      </c>
      <c r="D643" s="75" t="s">
        <v>3126</v>
      </c>
      <c r="E643" s="75"/>
      <c r="F643" s="68" t="str">
        <f t="shared" si="40"/>
        <v>Kashambya</v>
      </c>
      <c r="G643" s="68" t="str">
        <f t="shared" si="32"/>
        <v>Rukiga</v>
      </c>
      <c r="H643" s="75" t="s">
        <v>3126</v>
      </c>
    </row>
    <row r="644" spans="1:8">
      <c r="A644" s="74">
        <v>1247</v>
      </c>
      <c r="B644" s="75" t="s">
        <v>2251</v>
      </c>
      <c r="C644" s="75" t="s">
        <v>2252</v>
      </c>
      <c r="D644" s="75" t="s">
        <v>2257</v>
      </c>
      <c r="E644" s="75"/>
      <c r="F644" s="68" t="str">
        <f t="shared" si="40"/>
        <v>Kashare</v>
      </c>
      <c r="G644" s="68" t="str">
        <f t="shared" si="32"/>
        <v>Mbarara</v>
      </c>
      <c r="H644" s="75" t="s">
        <v>2257</v>
      </c>
    </row>
    <row r="645" spans="1:8">
      <c r="A645" s="74">
        <v>1433</v>
      </c>
      <c r="B645" s="75" t="s">
        <v>46</v>
      </c>
      <c r="C645" s="75" t="s">
        <v>2272</v>
      </c>
      <c r="D645" s="75" t="s">
        <v>2274</v>
      </c>
      <c r="E645" s="75"/>
      <c r="F645" s="68" t="str">
        <f t="shared" si="40"/>
        <v>Kashenshero</v>
      </c>
      <c r="G645" s="68" t="str">
        <f t="shared" si="32"/>
        <v>Mitooma</v>
      </c>
      <c r="H645" s="75" t="s">
        <v>2274</v>
      </c>
    </row>
    <row r="646" spans="1:8">
      <c r="A646" s="74">
        <v>1434</v>
      </c>
      <c r="B646" s="75" t="s">
        <v>46</v>
      </c>
      <c r="C646" s="75" t="s">
        <v>2272</v>
      </c>
      <c r="D646" s="75" t="s">
        <v>2275</v>
      </c>
      <c r="E646" s="75"/>
      <c r="F646" s="68" t="str">
        <f t="shared" si="40"/>
        <v>Kashenshero Town Council</v>
      </c>
      <c r="G646" s="68" t="str">
        <f t="shared" si="32"/>
        <v>Mitooma</v>
      </c>
      <c r="H646" s="75" t="s">
        <v>2275</v>
      </c>
    </row>
    <row r="647" spans="1:8">
      <c r="A647" s="74">
        <v>1396</v>
      </c>
      <c r="B647" s="75" t="s">
        <v>1905</v>
      </c>
      <c r="C647" s="75" t="s">
        <v>1911</v>
      </c>
      <c r="D647" s="75" t="s">
        <v>1912</v>
      </c>
      <c r="E647" s="75"/>
      <c r="F647" s="68" t="str">
        <f t="shared" si="40"/>
        <v>Kashongi</v>
      </c>
      <c r="G647" s="68" t="str">
        <f t="shared" si="32"/>
        <v>Kiruhura</v>
      </c>
      <c r="H647" s="75" t="s">
        <v>1912</v>
      </c>
    </row>
    <row r="648" spans="1:8" ht="25.5">
      <c r="A648" s="74">
        <v>1475</v>
      </c>
      <c r="B648" s="75" t="s">
        <v>41</v>
      </c>
      <c r="C648" s="76" t="s">
        <v>2688</v>
      </c>
      <c r="D648" s="75" t="s">
        <v>3127</v>
      </c>
      <c r="E648" s="75"/>
      <c r="F648" s="69" t="str">
        <f>VLOOKUP(C648,[2]Municipalities!$C$9:$F$1522,4,FALSE)</f>
        <v>Sheema Municipality</v>
      </c>
      <c r="G648" s="68" t="str">
        <f t="shared" si="32"/>
        <v>Sheema</v>
      </c>
      <c r="H648" s="75" t="s">
        <v>3127</v>
      </c>
    </row>
    <row r="649" spans="1:8">
      <c r="A649" s="74">
        <v>1070</v>
      </c>
      <c r="B649" s="75" t="s">
        <v>2675</v>
      </c>
      <c r="C649" s="75" t="s">
        <v>2677</v>
      </c>
      <c r="D649" s="75" t="s">
        <v>2679</v>
      </c>
      <c r="E649" s="75"/>
      <c r="F649" s="68" t="str">
        <f t="shared" ref="F649:F676" si="41">D649</f>
        <v>Kasilo Town Council</v>
      </c>
      <c r="G649" s="68" t="str">
        <f t="shared" si="32"/>
        <v>Serere</v>
      </c>
      <c r="H649" s="75" t="s">
        <v>2679</v>
      </c>
    </row>
    <row r="650" spans="1:8">
      <c r="A650" s="74">
        <v>1217</v>
      </c>
      <c r="B650" s="75" t="s">
        <v>1871</v>
      </c>
      <c r="C650" s="75" t="s">
        <v>1872</v>
      </c>
      <c r="D650" s="75" t="s">
        <v>1875</v>
      </c>
      <c r="E650" s="75"/>
      <c r="F650" s="68" t="str">
        <f t="shared" si="41"/>
        <v>Kasimbi</v>
      </c>
      <c r="G650" s="68" t="str">
        <f t="shared" ref="G650:G713" si="42">B650</f>
        <v>Kibaale</v>
      </c>
      <c r="H650" s="75" t="s">
        <v>1875</v>
      </c>
    </row>
    <row r="651" spans="1:8">
      <c r="A651" s="74">
        <v>1108</v>
      </c>
      <c r="B651" s="75" t="s">
        <v>897</v>
      </c>
      <c r="C651" s="75" t="s">
        <v>901</v>
      </c>
      <c r="D651" s="75" t="s">
        <v>908</v>
      </c>
      <c r="E651" s="75"/>
      <c r="F651" s="68" t="str">
        <f t="shared" si="41"/>
        <v>Kasitu</v>
      </c>
      <c r="G651" s="68" t="str">
        <f t="shared" si="42"/>
        <v>Bundibugyo</v>
      </c>
      <c r="H651" s="75" t="s">
        <v>908</v>
      </c>
    </row>
    <row r="652" spans="1:8">
      <c r="A652" s="74">
        <v>797</v>
      </c>
      <c r="B652" s="75" t="s">
        <v>2606</v>
      </c>
      <c r="C652" s="75" t="s">
        <v>2606</v>
      </c>
      <c r="D652" s="75" t="s">
        <v>2613</v>
      </c>
      <c r="E652" s="75"/>
      <c r="F652" s="68" t="str">
        <f t="shared" si="41"/>
        <v>Kasodo</v>
      </c>
      <c r="G652" s="68" t="str">
        <f t="shared" si="42"/>
        <v>Pallisa</v>
      </c>
      <c r="H652" s="75" t="s">
        <v>2613</v>
      </c>
    </row>
    <row r="653" spans="1:8">
      <c r="A653" s="74">
        <v>967</v>
      </c>
      <c r="B653" s="75" t="s">
        <v>1234</v>
      </c>
      <c r="C653" s="75" t="s">
        <v>1073</v>
      </c>
      <c r="D653" s="75" t="s">
        <v>1241</v>
      </c>
      <c r="E653" s="75"/>
      <c r="F653" s="68" t="str">
        <f t="shared" si="41"/>
        <v>Kasokwe</v>
      </c>
      <c r="G653" s="68" t="str">
        <f t="shared" si="42"/>
        <v>Kaliro</v>
      </c>
      <c r="H653" s="75" t="s">
        <v>1241</v>
      </c>
    </row>
    <row r="654" spans="1:8">
      <c r="A654" s="74">
        <v>469</v>
      </c>
      <c r="B654" s="75" t="s">
        <v>2342</v>
      </c>
      <c r="C654" s="75" t="s">
        <v>2345</v>
      </c>
      <c r="D654" s="75" t="s">
        <v>2345</v>
      </c>
      <c r="E654" s="75"/>
      <c r="F654" s="68" t="str">
        <f t="shared" si="41"/>
        <v>Kassanda</v>
      </c>
      <c r="G654" s="68" t="str">
        <f t="shared" si="42"/>
        <v>Mubende</v>
      </c>
      <c r="H654" s="75" t="s">
        <v>2345</v>
      </c>
    </row>
    <row r="655" spans="1:8">
      <c r="A655" s="74">
        <v>1424</v>
      </c>
      <c r="B655" s="75" t="s">
        <v>2045</v>
      </c>
      <c r="C655" s="75" t="s">
        <v>2046</v>
      </c>
      <c r="D655" s="75" t="s">
        <v>2049</v>
      </c>
      <c r="E655" s="75"/>
      <c r="F655" s="68" t="str">
        <f t="shared" si="41"/>
        <v>Kasule</v>
      </c>
      <c r="G655" s="68" t="str">
        <f t="shared" si="42"/>
        <v>Kyegegwa</v>
      </c>
      <c r="H655" s="75" t="s">
        <v>2049</v>
      </c>
    </row>
    <row r="656" spans="1:8">
      <c r="A656" s="74">
        <v>536</v>
      </c>
      <c r="B656" s="75" t="s">
        <v>2774</v>
      </c>
      <c r="C656" s="75" t="s">
        <v>2778</v>
      </c>
      <c r="D656" s="75" t="s">
        <v>2852</v>
      </c>
      <c r="E656" s="75"/>
      <c r="F656" s="68" t="str">
        <f t="shared" si="41"/>
        <v>Katabi Town Council</v>
      </c>
      <c r="G656" s="68" t="str">
        <f t="shared" si="42"/>
        <v>Wakiso</v>
      </c>
      <c r="H656" s="75" t="s">
        <v>2852</v>
      </c>
    </row>
    <row r="657" spans="1:8">
      <c r="A657" s="74">
        <v>757</v>
      </c>
      <c r="B657" s="75" t="s">
        <v>1845</v>
      </c>
      <c r="C657" s="75" t="s">
        <v>1847</v>
      </c>
      <c r="D657" s="75" t="s">
        <v>1845</v>
      </c>
      <c r="E657" s="75"/>
      <c r="F657" s="68" t="str">
        <f t="shared" si="41"/>
        <v>Katakwi</v>
      </c>
      <c r="G657" s="68" t="str">
        <f t="shared" si="42"/>
        <v>Katakwi</v>
      </c>
      <c r="H657" s="75" t="s">
        <v>1845</v>
      </c>
    </row>
    <row r="658" spans="1:8">
      <c r="A658" s="74">
        <v>758</v>
      </c>
      <c r="B658" s="75" t="s">
        <v>1845</v>
      </c>
      <c r="C658" s="75" t="s">
        <v>1847</v>
      </c>
      <c r="D658" s="75" t="s">
        <v>1848</v>
      </c>
      <c r="E658" s="75"/>
      <c r="F658" s="68" t="str">
        <f t="shared" si="41"/>
        <v>Katakwi Town Council</v>
      </c>
      <c r="G658" s="68" t="str">
        <f t="shared" si="42"/>
        <v>Katakwi</v>
      </c>
      <c r="H658" s="75" t="s">
        <v>1848</v>
      </c>
    </row>
    <row r="659" spans="1:8">
      <c r="A659" s="74">
        <v>1458</v>
      </c>
      <c r="B659" s="75" t="s">
        <v>2642</v>
      </c>
      <c r="C659" s="75" t="s">
        <v>2643</v>
      </c>
      <c r="D659" s="75" t="s">
        <v>2641</v>
      </c>
      <c r="E659" s="75"/>
      <c r="F659" s="68" t="str">
        <f t="shared" si="41"/>
        <v>Katanda</v>
      </c>
      <c r="G659" s="68" t="str">
        <f t="shared" si="42"/>
        <v>Rubirizi</v>
      </c>
      <c r="H659" s="75" t="s">
        <v>2641</v>
      </c>
    </row>
    <row r="660" spans="1:8">
      <c r="A660" s="74">
        <v>1517</v>
      </c>
      <c r="B660" s="75" t="s">
        <v>920</v>
      </c>
      <c r="C660" s="75" t="s">
        <v>920</v>
      </c>
      <c r="D660" s="75" t="s">
        <v>923</v>
      </c>
      <c r="E660" s="75"/>
      <c r="F660" s="68" t="str">
        <f t="shared" si="41"/>
        <v>Katebwa</v>
      </c>
      <c r="G660" s="68" t="str">
        <f t="shared" si="42"/>
        <v>Bunyangabu</v>
      </c>
      <c r="H660" s="75" t="s">
        <v>923</v>
      </c>
    </row>
    <row r="661" spans="1:8">
      <c r="A661" s="74">
        <v>1435</v>
      </c>
      <c r="B661" s="75" t="s">
        <v>46</v>
      </c>
      <c r="C661" s="75" t="s">
        <v>2272</v>
      </c>
      <c r="D661" s="75" t="s">
        <v>2276</v>
      </c>
      <c r="E661" s="75"/>
      <c r="F661" s="68" t="str">
        <f t="shared" si="41"/>
        <v>Katenga</v>
      </c>
      <c r="G661" s="68" t="str">
        <f t="shared" si="42"/>
        <v>Mitooma</v>
      </c>
      <c r="H661" s="75" t="s">
        <v>2276</v>
      </c>
    </row>
    <row r="662" spans="1:8">
      <c r="A662" s="74">
        <v>1459</v>
      </c>
      <c r="B662" s="75" t="s">
        <v>2642</v>
      </c>
      <c r="C662" s="75" t="s">
        <v>2643</v>
      </c>
      <c r="D662" s="75" t="s">
        <v>2643</v>
      </c>
      <c r="E662" s="75"/>
      <c r="F662" s="68" t="str">
        <f t="shared" si="41"/>
        <v>Katerera</v>
      </c>
      <c r="G662" s="68" t="str">
        <f t="shared" si="42"/>
        <v>Rubirizi</v>
      </c>
      <c r="H662" s="75" t="s">
        <v>2643</v>
      </c>
    </row>
    <row r="663" spans="1:8">
      <c r="A663" s="74">
        <v>1460</v>
      </c>
      <c r="B663" s="75" t="s">
        <v>2642</v>
      </c>
      <c r="C663" s="75" t="s">
        <v>2643</v>
      </c>
      <c r="D663" s="75" t="s">
        <v>2644</v>
      </c>
      <c r="E663" s="75"/>
      <c r="F663" s="68" t="str">
        <f t="shared" si="41"/>
        <v>Katerera Town Council</v>
      </c>
      <c r="G663" s="68" t="str">
        <f t="shared" si="42"/>
        <v>Rubirizi</v>
      </c>
      <c r="H663" s="75" t="s">
        <v>2644</v>
      </c>
    </row>
    <row r="664" spans="1:8">
      <c r="A664" s="74">
        <v>1074</v>
      </c>
      <c r="B664" s="75" t="s">
        <v>2675</v>
      </c>
      <c r="C664" s="75" t="s">
        <v>2675</v>
      </c>
      <c r="D664" s="75" t="s">
        <v>2680</v>
      </c>
      <c r="E664" s="75"/>
      <c r="F664" s="68" t="str">
        <f t="shared" si="41"/>
        <v>Kateta</v>
      </c>
      <c r="G664" s="68" t="str">
        <f t="shared" si="42"/>
        <v>Serere</v>
      </c>
      <c r="H664" s="75" t="s">
        <v>2680</v>
      </c>
    </row>
    <row r="665" spans="1:8">
      <c r="A665" s="74">
        <v>1318</v>
      </c>
      <c r="B665" s="75" t="s">
        <v>1779</v>
      </c>
      <c r="C665" s="75" t="s">
        <v>1780</v>
      </c>
      <c r="D665" s="75" t="s">
        <v>1785</v>
      </c>
      <c r="E665" s="75"/>
      <c r="F665" s="68" t="str">
        <f t="shared" si="41"/>
        <v>Katete</v>
      </c>
      <c r="G665" s="68" t="str">
        <f t="shared" si="42"/>
        <v>Kanungu</v>
      </c>
      <c r="H665" s="75" t="s">
        <v>1785</v>
      </c>
    </row>
    <row r="666" spans="1:8">
      <c r="A666" s="74">
        <v>190</v>
      </c>
      <c r="B666" s="75" t="s">
        <v>1132</v>
      </c>
      <c r="C666" s="75" t="s">
        <v>1133</v>
      </c>
      <c r="D666" s="75" t="s">
        <v>1139</v>
      </c>
      <c r="E666" s="75"/>
      <c r="F666" s="68" t="str">
        <f t="shared" si="41"/>
        <v>Kathile</v>
      </c>
      <c r="G666" s="68" t="str">
        <f t="shared" si="42"/>
        <v>Kaabong</v>
      </c>
      <c r="H666" s="75" t="s">
        <v>1139</v>
      </c>
    </row>
    <row r="667" spans="1:8">
      <c r="A667" s="74">
        <v>913</v>
      </c>
      <c r="B667" s="75" t="s">
        <v>775</v>
      </c>
      <c r="C667" s="75" t="s">
        <v>777</v>
      </c>
      <c r="D667" s="75" t="s">
        <v>783</v>
      </c>
      <c r="E667" s="75"/>
      <c r="F667" s="68" t="str">
        <f t="shared" si="41"/>
        <v>Katiira</v>
      </c>
      <c r="G667" s="68" t="str">
        <f t="shared" si="42"/>
        <v>Budaka</v>
      </c>
      <c r="H667" s="75" t="s">
        <v>783</v>
      </c>
    </row>
    <row r="668" spans="1:8">
      <c r="A668" s="74">
        <v>436</v>
      </c>
      <c r="B668" s="75" t="s">
        <v>2113</v>
      </c>
      <c r="C668" s="75" t="s">
        <v>2115</v>
      </c>
      <c r="D668" s="75" t="s">
        <v>2115</v>
      </c>
      <c r="E668" s="75"/>
      <c r="F668" s="68" t="str">
        <f t="shared" si="41"/>
        <v>Katikamu</v>
      </c>
      <c r="G668" s="68" t="str">
        <f t="shared" si="42"/>
        <v>Luwero</v>
      </c>
      <c r="H668" s="75" t="s">
        <v>2115</v>
      </c>
    </row>
    <row r="669" spans="1:8">
      <c r="A669" s="74">
        <v>92</v>
      </c>
      <c r="B669" s="75" t="s">
        <v>679</v>
      </c>
      <c r="C669" s="75" t="s">
        <v>2310</v>
      </c>
      <c r="D669" s="75" t="s">
        <v>2309</v>
      </c>
      <c r="E669" s="75"/>
      <c r="F669" s="68" t="str">
        <f t="shared" si="41"/>
        <v>Katikekile</v>
      </c>
      <c r="G669" s="68" t="str">
        <f t="shared" si="42"/>
        <v>Moroto</v>
      </c>
      <c r="H669" s="75" t="s">
        <v>2309</v>
      </c>
    </row>
    <row r="670" spans="1:8">
      <c r="A670" s="74">
        <v>811</v>
      </c>
      <c r="B670" s="75" t="s">
        <v>2729</v>
      </c>
      <c r="C670" s="75" t="s">
        <v>2729</v>
      </c>
      <c r="D670" s="75" t="s">
        <v>2733</v>
      </c>
      <c r="E670" s="75"/>
      <c r="F670" s="68" t="str">
        <f t="shared" si="41"/>
        <v>Katine</v>
      </c>
      <c r="G670" s="68" t="str">
        <f t="shared" si="42"/>
        <v>Soroti</v>
      </c>
      <c r="H670" s="75" t="s">
        <v>2733</v>
      </c>
    </row>
    <row r="671" spans="1:8">
      <c r="A671" s="74">
        <v>1335</v>
      </c>
      <c r="B671" s="75" t="s">
        <v>2056</v>
      </c>
      <c r="C671" s="75" t="s">
        <v>2057</v>
      </c>
      <c r="D671" s="75" t="s">
        <v>2062</v>
      </c>
      <c r="E671" s="75"/>
      <c r="F671" s="68" t="str">
        <f t="shared" si="41"/>
        <v>Katooke</v>
      </c>
      <c r="G671" s="68" t="str">
        <f t="shared" si="42"/>
        <v>Kyenjojo</v>
      </c>
      <c r="H671" s="75" t="s">
        <v>2062</v>
      </c>
    </row>
    <row r="672" spans="1:8">
      <c r="A672" s="74">
        <v>1336</v>
      </c>
      <c r="B672" s="75" t="s">
        <v>2056</v>
      </c>
      <c r="C672" s="75" t="s">
        <v>2057</v>
      </c>
      <c r="D672" s="75" t="s">
        <v>2063</v>
      </c>
      <c r="E672" s="75"/>
      <c r="F672" s="68" t="str">
        <f t="shared" si="41"/>
        <v>Katooke Town Council</v>
      </c>
      <c r="G672" s="68" t="str">
        <f t="shared" si="42"/>
        <v>Kyenjojo</v>
      </c>
      <c r="H672" s="75" t="s">
        <v>2063</v>
      </c>
    </row>
    <row r="673" spans="1:9">
      <c r="A673" s="74">
        <v>42</v>
      </c>
      <c r="B673" s="75" t="s">
        <v>745</v>
      </c>
      <c r="C673" s="75" t="s">
        <v>748</v>
      </c>
      <c r="D673" s="75" t="s">
        <v>760</v>
      </c>
      <c r="E673" s="75"/>
      <c r="F673" s="68" t="str">
        <f t="shared" si="41"/>
        <v>Katrini</v>
      </c>
      <c r="G673" s="68" t="str">
        <f t="shared" si="42"/>
        <v>Arua</v>
      </c>
      <c r="H673" s="75" t="s">
        <v>760</v>
      </c>
    </row>
    <row r="674" spans="1:9">
      <c r="A674" s="74">
        <v>1156</v>
      </c>
      <c r="B674" s="75" t="s">
        <v>1148</v>
      </c>
      <c r="C674" s="75" t="s">
        <v>1149</v>
      </c>
      <c r="D674" s="75" t="s">
        <v>1155</v>
      </c>
      <c r="E674" s="75"/>
      <c r="F674" s="68" t="str">
        <f t="shared" si="41"/>
        <v>Katuna Town Council</v>
      </c>
      <c r="G674" s="68" t="str">
        <f t="shared" si="42"/>
        <v>Kabale</v>
      </c>
      <c r="H674" s="75" t="s">
        <v>1155</v>
      </c>
    </row>
    <row r="675" spans="1:9">
      <c r="A675" s="74">
        <v>1452</v>
      </c>
      <c r="B675" s="75" t="s">
        <v>2642</v>
      </c>
      <c r="C675" s="75" t="s">
        <v>49</v>
      </c>
      <c r="D675" s="75" t="s">
        <v>2645</v>
      </c>
      <c r="E675" s="75"/>
      <c r="F675" s="68" t="str">
        <f t="shared" si="41"/>
        <v>Katunguru</v>
      </c>
      <c r="G675" s="68" t="str">
        <f t="shared" si="42"/>
        <v>Rubirizi</v>
      </c>
      <c r="H675" s="75" t="s">
        <v>2645</v>
      </c>
    </row>
    <row r="676" spans="1:9" ht="25.5">
      <c r="A676" s="74">
        <v>1197</v>
      </c>
      <c r="B676" s="75" t="s">
        <v>36</v>
      </c>
      <c r="C676" s="75" t="s">
        <v>1812</v>
      </c>
      <c r="D676" s="75" t="s">
        <v>1825</v>
      </c>
      <c r="E676" s="75"/>
      <c r="F676" s="68" t="str">
        <f t="shared" si="41"/>
        <v>Katwe Kabatoro Town Council</v>
      </c>
      <c r="G676" s="68" t="str">
        <f t="shared" si="42"/>
        <v>Kasese</v>
      </c>
      <c r="H676" s="75" t="s">
        <v>1825</v>
      </c>
    </row>
    <row r="677" spans="1:9" ht="25.5">
      <c r="A677" s="74">
        <v>448</v>
      </c>
      <c r="B677" s="75" t="s">
        <v>39</v>
      </c>
      <c r="C677" s="76" t="s">
        <v>2190</v>
      </c>
      <c r="D677" s="75" t="s">
        <v>3128</v>
      </c>
      <c r="E677" s="75"/>
      <c r="F677" s="69" t="str">
        <f>VLOOKUP(C677,[2]Municipalities!$C$9:$F$1522,4,FALSE)</f>
        <v>Masaka Municipality</v>
      </c>
      <c r="G677" s="68" t="str">
        <f t="shared" si="42"/>
        <v>Masaka</v>
      </c>
      <c r="H677" s="75" t="s">
        <v>3128</v>
      </c>
    </row>
    <row r="678" spans="1:9">
      <c r="A678" s="74">
        <v>191</v>
      </c>
      <c r="B678" s="75" t="s">
        <v>1132</v>
      </c>
      <c r="C678" s="75" t="s">
        <v>1133</v>
      </c>
      <c r="D678" s="75" t="s">
        <v>1140</v>
      </c>
      <c r="E678" s="75"/>
      <c r="F678" s="68" t="str">
        <f t="shared" ref="F678" si="43">D678</f>
        <v>Kawalakol</v>
      </c>
      <c r="G678" s="68" t="str">
        <f t="shared" si="42"/>
        <v>Kaabong</v>
      </c>
      <c r="H678" s="75" t="s">
        <v>1140</v>
      </c>
    </row>
    <row r="679" spans="1:9">
      <c r="A679" s="74">
        <v>345</v>
      </c>
      <c r="B679" s="75" t="s">
        <v>1255</v>
      </c>
      <c r="C679" s="75" t="s">
        <v>1256</v>
      </c>
      <c r="D679" s="75" t="s">
        <v>1289</v>
      </c>
      <c r="E679" s="79" t="s">
        <v>3129</v>
      </c>
      <c r="F679" s="68" t="str">
        <f>[2]KCCA!F679</f>
        <v>Bwaise</v>
      </c>
      <c r="G679" s="68" t="str">
        <f t="shared" si="42"/>
        <v>Kampala</v>
      </c>
      <c r="H679" s="75" t="s">
        <v>1289</v>
      </c>
    </row>
    <row r="680" spans="1:9">
      <c r="A680" s="74">
        <v>346</v>
      </c>
      <c r="B680" s="75" t="s">
        <v>1255</v>
      </c>
      <c r="C680" s="75" t="s">
        <v>1256</v>
      </c>
      <c r="D680" s="75" t="s">
        <v>1289</v>
      </c>
      <c r="E680" s="79" t="s">
        <v>3130</v>
      </c>
      <c r="F680" s="68" t="s">
        <v>1288</v>
      </c>
      <c r="G680" s="68" t="str">
        <f t="shared" si="42"/>
        <v>Kampala</v>
      </c>
      <c r="H680" s="75" t="s">
        <v>1289</v>
      </c>
      <c r="I680" s="80" t="s">
        <v>3089</v>
      </c>
    </row>
    <row r="681" spans="1:9">
      <c r="A681" s="74">
        <v>347</v>
      </c>
      <c r="B681" s="75" t="s">
        <v>1255</v>
      </c>
      <c r="C681" s="75" t="s">
        <v>1256</v>
      </c>
      <c r="D681" s="75" t="s">
        <v>1289</v>
      </c>
      <c r="E681" s="79" t="s">
        <v>3131</v>
      </c>
      <c r="F681" s="68" t="s">
        <v>1288</v>
      </c>
      <c r="G681" s="68" t="str">
        <f t="shared" si="42"/>
        <v>Kampala</v>
      </c>
      <c r="H681" s="75" t="s">
        <v>1289</v>
      </c>
      <c r="I681" s="80" t="s">
        <v>3089</v>
      </c>
    </row>
    <row r="682" spans="1:9">
      <c r="A682" s="74">
        <v>348</v>
      </c>
      <c r="B682" s="75" t="s">
        <v>1255</v>
      </c>
      <c r="C682" s="75" t="s">
        <v>1256</v>
      </c>
      <c r="D682" s="75" t="s">
        <v>1289</v>
      </c>
      <c r="E682" s="75" t="s">
        <v>1491</v>
      </c>
      <c r="F682" s="68" t="str">
        <f>[2]KCCA!F682</f>
        <v>Kanyanya</v>
      </c>
      <c r="G682" s="68" t="str">
        <f t="shared" si="42"/>
        <v>Kampala</v>
      </c>
      <c r="H682" s="75" t="s">
        <v>1289</v>
      </c>
    </row>
    <row r="683" spans="1:9">
      <c r="A683" s="74">
        <v>349</v>
      </c>
      <c r="B683" s="75" t="s">
        <v>1255</v>
      </c>
      <c r="C683" s="75" t="s">
        <v>1256</v>
      </c>
      <c r="D683" s="75" t="s">
        <v>1289</v>
      </c>
      <c r="E683" s="79" t="s">
        <v>3132</v>
      </c>
      <c r="F683" s="68" t="str">
        <f>[2]KCCA!F683</f>
        <v>Kawempe</v>
      </c>
      <c r="G683" s="68" t="str">
        <f t="shared" si="42"/>
        <v>Kampala</v>
      </c>
      <c r="H683" s="75" t="s">
        <v>1289</v>
      </c>
    </row>
    <row r="684" spans="1:9">
      <c r="A684" s="74">
        <v>350</v>
      </c>
      <c r="B684" s="75" t="s">
        <v>1255</v>
      </c>
      <c r="C684" s="75" t="s">
        <v>1256</v>
      </c>
      <c r="D684" s="75" t="s">
        <v>1289</v>
      </c>
      <c r="E684" s="79" t="s">
        <v>3133</v>
      </c>
      <c r="F684" s="68" t="s">
        <v>1508</v>
      </c>
      <c r="G684" s="68" t="str">
        <f t="shared" si="42"/>
        <v>Kampala</v>
      </c>
      <c r="H684" s="75" t="s">
        <v>1289</v>
      </c>
      <c r="I684" s="80" t="s">
        <v>3089</v>
      </c>
    </row>
    <row r="685" spans="1:9">
      <c r="A685" s="74">
        <v>351</v>
      </c>
      <c r="B685" s="75" t="s">
        <v>1255</v>
      </c>
      <c r="C685" s="75" t="s">
        <v>1256</v>
      </c>
      <c r="D685" s="75" t="s">
        <v>1289</v>
      </c>
      <c r="E685" s="75" t="s">
        <v>1512</v>
      </c>
      <c r="F685" s="68" t="str">
        <f>[2]KCCA!F685</f>
        <v>Kazo Angola</v>
      </c>
      <c r="G685" s="68" t="str">
        <f t="shared" si="42"/>
        <v>Kampala</v>
      </c>
      <c r="H685" s="75" t="s">
        <v>1289</v>
      </c>
    </row>
    <row r="686" spans="1:9">
      <c r="A686" s="74">
        <v>352</v>
      </c>
      <c r="B686" s="75" t="s">
        <v>1255</v>
      </c>
      <c r="C686" s="75" t="s">
        <v>1256</v>
      </c>
      <c r="D686" s="75" t="s">
        <v>1289</v>
      </c>
      <c r="E686" s="75" t="s">
        <v>1515</v>
      </c>
      <c r="F686" s="68" t="str">
        <f>[2]KCCA!F686</f>
        <v>Kikaaya</v>
      </c>
      <c r="G686" s="68" t="str">
        <f t="shared" si="42"/>
        <v>Kampala</v>
      </c>
      <c r="H686" s="75" t="s">
        <v>1289</v>
      </c>
    </row>
    <row r="687" spans="1:9">
      <c r="A687" s="74">
        <v>353</v>
      </c>
      <c r="B687" s="75" t="s">
        <v>1255</v>
      </c>
      <c r="C687" s="75" t="s">
        <v>1256</v>
      </c>
      <c r="D687" s="75" t="s">
        <v>1289</v>
      </c>
      <c r="E687" s="75" t="s">
        <v>1557</v>
      </c>
      <c r="F687" s="68" t="str">
        <f>[2]KCCA!F687</f>
        <v>Komamboga</v>
      </c>
      <c r="G687" s="68" t="str">
        <f t="shared" si="42"/>
        <v>Kampala</v>
      </c>
      <c r="H687" s="75" t="s">
        <v>1289</v>
      </c>
    </row>
    <row r="688" spans="1:9">
      <c r="A688" s="74">
        <v>354</v>
      </c>
      <c r="B688" s="75" t="s">
        <v>1255</v>
      </c>
      <c r="C688" s="75" t="s">
        <v>1256</v>
      </c>
      <c r="D688" s="75" t="s">
        <v>1289</v>
      </c>
      <c r="E688" s="75" t="s">
        <v>1568</v>
      </c>
      <c r="F688" s="68" t="str">
        <f>[2]KCCA!F688</f>
        <v>Kyebando</v>
      </c>
      <c r="G688" s="68" t="str">
        <f t="shared" si="42"/>
        <v>Kampala</v>
      </c>
      <c r="H688" s="75" t="s">
        <v>1289</v>
      </c>
    </row>
    <row r="689" spans="1:9">
      <c r="A689" s="74">
        <v>355</v>
      </c>
      <c r="B689" s="75" t="s">
        <v>1255</v>
      </c>
      <c r="C689" s="75" t="s">
        <v>1256</v>
      </c>
      <c r="D689" s="75" t="s">
        <v>1289</v>
      </c>
      <c r="E689" s="79" t="s">
        <v>3134</v>
      </c>
      <c r="F689" s="68" t="str">
        <f>[2]KCCA!F689</f>
        <v>Makerere</v>
      </c>
      <c r="G689" s="68" t="str">
        <f t="shared" si="42"/>
        <v>Kampala</v>
      </c>
      <c r="H689" s="75" t="s">
        <v>1289</v>
      </c>
    </row>
    <row r="690" spans="1:9">
      <c r="A690" s="74">
        <v>356</v>
      </c>
      <c r="B690" s="75" t="s">
        <v>1255</v>
      </c>
      <c r="C690" s="75" t="s">
        <v>1256</v>
      </c>
      <c r="D690" s="75" t="s">
        <v>1289</v>
      </c>
      <c r="E690" s="79" t="s">
        <v>3135</v>
      </c>
      <c r="F690" s="68" t="s">
        <v>1584</v>
      </c>
      <c r="G690" s="68" t="str">
        <f t="shared" si="42"/>
        <v>Kampala</v>
      </c>
      <c r="H690" s="75" t="s">
        <v>1289</v>
      </c>
      <c r="I690" s="80" t="s">
        <v>3089</v>
      </c>
    </row>
    <row r="691" spans="1:9">
      <c r="A691" s="74">
        <v>357</v>
      </c>
      <c r="B691" s="75" t="s">
        <v>1255</v>
      </c>
      <c r="C691" s="75" t="s">
        <v>1256</v>
      </c>
      <c r="D691" s="75" t="s">
        <v>1289</v>
      </c>
      <c r="E691" s="79" t="s">
        <v>3136</v>
      </c>
      <c r="F691" s="68" t="s">
        <v>1584</v>
      </c>
      <c r="G691" s="68" t="str">
        <f t="shared" si="42"/>
        <v>Kampala</v>
      </c>
      <c r="H691" s="75" t="s">
        <v>1289</v>
      </c>
      <c r="I691" s="80" t="s">
        <v>3089</v>
      </c>
    </row>
    <row r="692" spans="1:9" ht="25.5">
      <c r="A692" s="74">
        <v>358</v>
      </c>
      <c r="B692" s="75" t="s">
        <v>1255</v>
      </c>
      <c r="C692" s="75" t="s">
        <v>1256</v>
      </c>
      <c r="D692" s="75" t="s">
        <v>1289</v>
      </c>
      <c r="E692" s="75" t="s">
        <v>1590</v>
      </c>
      <c r="F692" s="68" t="str">
        <f>[2]KCCA!F692</f>
        <v>Makerere University</v>
      </c>
      <c r="G692" s="68" t="str">
        <f t="shared" si="42"/>
        <v>Kampala</v>
      </c>
      <c r="H692" s="75" t="s">
        <v>1289</v>
      </c>
    </row>
    <row r="693" spans="1:9">
      <c r="A693" s="74">
        <v>359</v>
      </c>
      <c r="B693" s="75" t="s">
        <v>1255</v>
      </c>
      <c r="C693" s="75" t="s">
        <v>1256</v>
      </c>
      <c r="D693" s="75" t="s">
        <v>1289</v>
      </c>
      <c r="E693" s="75" t="s">
        <v>1599</v>
      </c>
      <c r="F693" s="68" t="str">
        <f>[2]KCCA!F693</f>
        <v>Mpererwe</v>
      </c>
      <c r="G693" s="68" t="str">
        <f t="shared" si="42"/>
        <v>Kampala</v>
      </c>
      <c r="H693" s="75" t="s">
        <v>1289</v>
      </c>
    </row>
    <row r="694" spans="1:9">
      <c r="A694" s="74">
        <v>360</v>
      </c>
      <c r="B694" s="75" t="s">
        <v>1255</v>
      </c>
      <c r="C694" s="75" t="s">
        <v>1256</v>
      </c>
      <c r="D694" s="75" t="s">
        <v>1289</v>
      </c>
      <c r="E694" s="79" t="s">
        <v>3137</v>
      </c>
      <c r="F694" s="68" t="str">
        <f>[2]KCCA!F694</f>
        <v>Mulago</v>
      </c>
      <c r="G694" s="68" t="str">
        <f t="shared" si="42"/>
        <v>Kampala</v>
      </c>
      <c r="H694" s="75" t="s">
        <v>1289</v>
      </c>
    </row>
    <row r="695" spans="1:9">
      <c r="A695" s="74">
        <v>361</v>
      </c>
      <c r="B695" s="75" t="s">
        <v>1255</v>
      </c>
      <c r="C695" s="75" t="s">
        <v>1256</v>
      </c>
      <c r="D695" s="75" t="s">
        <v>1289</v>
      </c>
      <c r="E695" s="79" t="s">
        <v>3138</v>
      </c>
      <c r="F695" s="68" t="s">
        <v>1613</v>
      </c>
      <c r="G695" s="68" t="str">
        <f t="shared" si="42"/>
        <v>Kampala</v>
      </c>
      <c r="H695" s="75" t="s">
        <v>1289</v>
      </c>
      <c r="I695" s="80" t="s">
        <v>3089</v>
      </c>
    </row>
    <row r="696" spans="1:9">
      <c r="A696" s="74">
        <v>362</v>
      </c>
      <c r="B696" s="75" t="s">
        <v>1255</v>
      </c>
      <c r="C696" s="75" t="s">
        <v>1256</v>
      </c>
      <c r="D696" s="75" t="s">
        <v>1289</v>
      </c>
      <c r="E696" s="79" t="s">
        <v>3139</v>
      </c>
      <c r="F696" s="68" t="s">
        <v>1613</v>
      </c>
      <c r="G696" s="68" t="str">
        <f t="shared" si="42"/>
        <v>Kampala</v>
      </c>
      <c r="H696" s="75" t="s">
        <v>1289</v>
      </c>
      <c r="I696" s="80" t="s">
        <v>3089</v>
      </c>
    </row>
    <row r="697" spans="1:9">
      <c r="A697" s="74">
        <v>363</v>
      </c>
      <c r="B697" s="75" t="s">
        <v>1255</v>
      </c>
      <c r="C697" s="75" t="s">
        <v>1256</v>
      </c>
      <c r="D697" s="75" t="s">
        <v>1289</v>
      </c>
      <c r="E697" s="75" t="s">
        <v>1736</v>
      </c>
      <c r="F697" s="68" t="str">
        <f>[2]KCCA!F697</f>
        <v>Wandegeya</v>
      </c>
      <c r="G697" s="68" t="str">
        <f t="shared" si="42"/>
        <v>Kampala</v>
      </c>
      <c r="H697" s="75" t="s">
        <v>1289</v>
      </c>
    </row>
    <row r="698" spans="1:9" ht="25.5">
      <c r="A698" s="74">
        <v>601</v>
      </c>
      <c r="B698" s="75" t="s">
        <v>828</v>
      </c>
      <c r="C698" s="76" t="s">
        <v>836</v>
      </c>
      <c r="D698" s="75" t="s">
        <v>3140</v>
      </c>
      <c r="E698" s="75"/>
      <c r="F698" s="69" t="str">
        <f>VLOOKUP(C698,[2]Municipalities!$C$9:$F$1522,4,FALSE)</f>
        <v>Lugazi Municipality</v>
      </c>
      <c r="G698" s="68" t="str">
        <f t="shared" si="42"/>
        <v>Buikwe</v>
      </c>
      <c r="H698" s="75" t="s">
        <v>3140</v>
      </c>
    </row>
    <row r="699" spans="1:9">
      <c r="A699" s="74">
        <v>747</v>
      </c>
      <c r="B699" s="75" t="s">
        <v>1798</v>
      </c>
      <c r="C699" s="75" t="s">
        <v>1799</v>
      </c>
      <c r="D699" s="75" t="s">
        <v>1808</v>
      </c>
      <c r="E699" s="75"/>
      <c r="F699" s="68" t="str">
        <f t="shared" ref="F699" si="44">D699</f>
        <v>Kawowo</v>
      </c>
      <c r="G699" s="68" t="str">
        <f t="shared" si="42"/>
        <v>Kapchorwa</v>
      </c>
      <c r="H699" s="75" t="s">
        <v>1808</v>
      </c>
    </row>
    <row r="700" spans="1:9">
      <c r="A700" s="74">
        <v>525</v>
      </c>
      <c r="B700" s="75" t="s">
        <v>1855</v>
      </c>
      <c r="C700" s="75" t="s">
        <v>1854</v>
      </c>
      <c r="D700" s="79" t="s">
        <v>3141</v>
      </c>
      <c r="E700" s="75"/>
      <c r="F700" s="68" t="str">
        <f t="shared" ref="F700:F702" si="45">D700&amp;"-"&amp;B700</f>
        <v>Kayonza-Kayunga</v>
      </c>
      <c r="G700" s="68" t="str">
        <f t="shared" si="42"/>
        <v>Kayunga</v>
      </c>
      <c r="H700" s="79" t="s">
        <v>3141</v>
      </c>
    </row>
    <row r="701" spans="1:9">
      <c r="A701" s="74">
        <v>1278</v>
      </c>
      <c r="B701" s="75" t="s">
        <v>47</v>
      </c>
      <c r="C701" s="75" t="s">
        <v>2531</v>
      </c>
      <c r="D701" s="79" t="s">
        <v>3141</v>
      </c>
      <c r="E701" s="75"/>
      <c r="F701" s="68" t="str">
        <f t="shared" si="45"/>
        <v>Kayonza-Ntungamo</v>
      </c>
      <c r="G701" s="68" t="str">
        <f t="shared" si="42"/>
        <v>Ntungamo</v>
      </c>
      <c r="H701" s="79" t="s">
        <v>3141</v>
      </c>
    </row>
    <row r="702" spans="1:9">
      <c r="A702" s="74">
        <v>1319</v>
      </c>
      <c r="B702" s="75" t="s">
        <v>1779</v>
      </c>
      <c r="C702" s="75" t="s">
        <v>1780</v>
      </c>
      <c r="D702" s="79" t="s">
        <v>3141</v>
      </c>
      <c r="E702" s="75"/>
      <c r="F702" s="68" t="str">
        <f t="shared" si="45"/>
        <v>Kayonza-Kanungu</v>
      </c>
      <c r="G702" s="68" t="str">
        <f t="shared" si="42"/>
        <v>Kanungu</v>
      </c>
      <c r="H702" s="79" t="s">
        <v>3141</v>
      </c>
    </row>
    <row r="703" spans="1:9">
      <c r="A703" s="74">
        <v>529</v>
      </c>
      <c r="B703" s="75" t="s">
        <v>1855</v>
      </c>
      <c r="C703" s="75" t="s">
        <v>1857</v>
      </c>
      <c r="D703" s="75" t="s">
        <v>1855</v>
      </c>
      <c r="E703" s="75"/>
      <c r="F703" s="68" t="str">
        <f t="shared" ref="F703:F766" si="46">D703</f>
        <v>Kayunga</v>
      </c>
      <c r="G703" s="68" t="str">
        <f t="shared" si="42"/>
        <v>Kayunga</v>
      </c>
      <c r="H703" s="75" t="s">
        <v>1855</v>
      </c>
    </row>
    <row r="704" spans="1:9">
      <c r="A704" s="74">
        <v>530</v>
      </c>
      <c r="B704" s="75" t="s">
        <v>1855</v>
      </c>
      <c r="C704" s="75" t="s">
        <v>1857</v>
      </c>
      <c r="D704" s="75" t="s">
        <v>1862</v>
      </c>
      <c r="E704" s="75"/>
      <c r="F704" s="68" t="str">
        <f t="shared" si="46"/>
        <v>Kayunga Town Council</v>
      </c>
      <c r="G704" s="68" t="str">
        <f t="shared" si="42"/>
        <v>Kayunga</v>
      </c>
      <c r="H704" s="75" t="s">
        <v>1862</v>
      </c>
    </row>
    <row r="705" spans="1:8">
      <c r="A705" s="74">
        <v>1391</v>
      </c>
      <c r="B705" s="75" t="s">
        <v>1905</v>
      </c>
      <c r="C705" s="75" t="s">
        <v>1906</v>
      </c>
      <c r="D705" s="75" t="s">
        <v>1906</v>
      </c>
      <c r="E705" s="75"/>
      <c r="F705" s="68" t="str">
        <f t="shared" si="46"/>
        <v>Kazo</v>
      </c>
      <c r="G705" s="68" t="str">
        <f t="shared" si="42"/>
        <v>Kiruhura</v>
      </c>
      <c r="H705" s="75" t="s">
        <v>1906</v>
      </c>
    </row>
    <row r="706" spans="1:8">
      <c r="A706" s="74">
        <v>1392</v>
      </c>
      <c r="B706" s="75" t="s">
        <v>1905</v>
      </c>
      <c r="C706" s="75" t="s">
        <v>1906</v>
      </c>
      <c r="D706" s="75" t="s">
        <v>1914</v>
      </c>
      <c r="E706" s="75"/>
      <c r="F706" s="68" t="str">
        <f t="shared" si="46"/>
        <v>Kazo Town Council</v>
      </c>
      <c r="G706" s="68" t="str">
        <f t="shared" si="42"/>
        <v>Kiruhura</v>
      </c>
      <c r="H706" s="75" t="s">
        <v>1914</v>
      </c>
    </row>
    <row r="707" spans="1:8">
      <c r="A707" s="74">
        <v>1284</v>
      </c>
      <c r="B707" s="75" t="s">
        <v>40</v>
      </c>
      <c r="C707" s="75" t="s">
        <v>2665</v>
      </c>
      <c r="D707" s="75" t="s">
        <v>2668</v>
      </c>
      <c r="E707" s="75"/>
      <c r="F707" s="68" t="str">
        <f t="shared" si="46"/>
        <v>Kebisoni</v>
      </c>
      <c r="G707" s="68" t="str">
        <f t="shared" si="42"/>
        <v>Rukungiri</v>
      </c>
      <c r="H707" s="75" t="s">
        <v>2668</v>
      </c>
    </row>
    <row r="708" spans="1:8">
      <c r="A708" s="74">
        <v>1288</v>
      </c>
      <c r="B708" s="75" t="s">
        <v>40</v>
      </c>
      <c r="C708" s="75" t="s">
        <v>2665</v>
      </c>
      <c r="D708" s="75" t="s">
        <v>2669</v>
      </c>
      <c r="E708" s="75"/>
      <c r="F708" s="68" t="str">
        <f t="shared" si="46"/>
        <v>Kebisoni Town Council</v>
      </c>
      <c r="G708" s="68" t="str">
        <f t="shared" si="42"/>
        <v>Rukungiri</v>
      </c>
      <c r="H708" s="75" t="s">
        <v>2669</v>
      </c>
    </row>
    <row r="709" spans="1:8">
      <c r="A709" s="74">
        <v>141</v>
      </c>
      <c r="B709" s="75" t="s">
        <v>3009</v>
      </c>
      <c r="C709" s="75" t="s">
        <v>3010</v>
      </c>
      <c r="D709" s="75" t="s">
        <v>3013</v>
      </c>
      <c r="E709" s="75"/>
      <c r="F709" s="68" t="str">
        <f t="shared" si="46"/>
        <v>Kei</v>
      </c>
      <c r="G709" s="68" t="str">
        <f t="shared" si="42"/>
        <v>Yumbe</v>
      </c>
      <c r="H709" s="75" t="s">
        <v>3013</v>
      </c>
    </row>
    <row r="710" spans="1:8">
      <c r="A710" s="74">
        <v>1356</v>
      </c>
      <c r="B710" s="75" t="s">
        <v>43</v>
      </c>
      <c r="C710" s="75" t="s">
        <v>43</v>
      </c>
      <c r="D710" s="75" t="s">
        <v>1066</v>
      </c>
      <c r="E710" s="75"/>
      <c r="F710" s="68" t="str">
        <f t="shared" si="46"/>
        <v>Keihangara</v>
      </c>
      <c r="G710" s="68" t="str">
        <f t="shared" si="42"/>
        <v>Ibanda</v>
      </c>
      <c r="H710" s="75" t="s">
        <v>1066</v>
      </c>
    </row>
    <row r="711" spans="1:8">
      <c r="A711" s="74">
        <v>1397</v>
      </c>
      <c r="B711" s="75" t="s">
        <v>1905</v>
      </c>
      <c r="C711" s="75" t="s">
        <v>1911</v>
      </c>
      <c r="D711" s="75" t="s">
        <v>1915</v>
      </c>
      <c r="E711" s="75"/>
      <c r="F711" s="68" t="str">
        <f t="shared" si="46"/>
        <v>Kenshunga</v>
      </c>
      <c r="G711" s="68" t="str">
        <f t="shared" si="42"/>
        <v>Kiruhura</v>
      </c>
      <c r="H711" s="75" t="s">
        <v>1915</v>
      </c>
    </row>
    <row r="712" spans="1:8">
      <c r="A712" s="74">
        <v>142</v>
      </c>
      <c r="B712" s="75" t="s">
        <v>3009</v>
      </c>
      <c r="C712" s="75" t="s">
        <v>3010</v>
      </c>
      <c r="D712" s="75" t="s">
        <v>3014</v>
      </c>
      <c r="E712" s="75"/>
      <c r="F712" s="68" t="str">
        <f t="shared" si="46"/>
        <v>Kerwa</v>
      </c>
      <c r="G712" s="68" t="str">
        <f t="shared" si="42"/>
        <v>Yumbe</v>
      </c>
      <c r="H712" s="75" t="s">
        <v>3014</v>
      </c>
    </row>
    <row r="713" spans="1:8">
      <c r="A713" s="74">
        <v>982</v>
      </c>
      <c r="B713" s="75" t="s">
        <v>2158</v>
      </c>
      <c r="C713" s="75" t="s">
        <v>2159</v>
      </c>
      <c r="D713" s="75" t="s">
        <v>2170</v>
      </c>
      <c r="E713" s="75"/>
      <c r="F713" s="68" t="str">
        <f t="shared" si="46"/>
        <v>Khabutoola</v>
      </c>
      <c r="G713" s="68" t="str">
        <f t="shared" si="42"/>
        <v>Manafwa</v>
      </c>
      <c r="H713" s="75" t="s">
        <v>2170</v>
      </c>
    </row>
    <row r="714" spans="1:8">
      <c r="A714" s="74">
        <v>992</v>
      </c>
      <c r="B714" s="75" t="s">
        <v>2480</v>
      </c>
      <c r="C714" s="75" t="s">
        <v>2481</v>
      </c>
      <c r="D714" s="75" t="s">
        <v>1871</v>
      </c>
      <c r="E714" s="75"/>
      <c r="F714" s="68" t="str">
        <f t="shared" si="46"/>
        <v>Kibaale</v>
      </c>
      <c r="G714" s="68" t="str">
        <f t="shared" ref="G714:G777" si="47">B714</f>
        <v>Namutumba</v>
      </c>
      <c r="H714" s="75" t="s">
        <v>1871</v>
      </c>
    </row>
    <row r="715" spans="1:8">
      <c r="A715" s="74">
        <v>1210</v>
      </c>
      <c r="B715" s="75" t="s">
        <v>1871</v>
      </c>
      <c r="C715" s="75" t="s">
        <v>1872</v>
      </c>
      <c r="D715" s="75" t="s">
        <v>1876</v>
      </c>
      <c r="E715" s="75"/>
      <c r="F715" s="68" t="str">
        <f t="shared" si="46"/>
        <v>Kibaale Town Council</v>
      </c>
      <c r="G715" s="68" t="str">
        <f t="shared" si="47"/>
        <v>Kibaale</v>
      </c>
      <c r="H715" s="75" t="s">
        <v>1876</v>
      </c>
    </row>
    <row r="716" spans="1:8" ht="25.5">
      <c r="A716" s="74">
        <v>1082</v>
      </c>
      <c r="B716" s="75" t="s">
        <v>984</v>
      </c>
      <c r="C716" s="75" t="s">
        <v>985</v>
      </c>
      <c r="D716" s="75" t="s">
        <v>989</v>
      </c>
      <c r="E716" s="75"/>
      <c r="F716" s="68" t="str">
        <f t="shared" si="46"/>
        <v>Kibale</v>
      </c>
      <c r="G716" s="68" t="str">
        <f t="shared" si="47"/>
        <v>Butebo</v>
      </c>
      <c r="H716" s="75" t="s">
        <v>989</v>
      </c>
    </row>
    <row r="717" spans="1:8">
      <c r="A717" s="74">
        <v>464</v>
      </c>
      <c r="B717" s="75" t="s">
        <v>2342</v>
      </c>
      <c r="C717" s="75" t="s">
        <v>2343</v>
      </c>
      <c r="D717" s="75" t="s">
        <v>2352</v>
      </c>
      <c r="E717" s="75"/>
      <c r="F717" s="68" t="str">
        <f t="shared" si="46"/>
        <v>Kibalinga</v>
      </c>
      <c r="G717" s="68" t="str">
        <f t="shared" si="47"/>
        <v>Mubende</v>
      </c>
      <c r="H717" s="75" t="s">
        <v>2352</v>
      </c>
    </row>
    <row r="718" spans="1:8">
      <c r="A718" s="74">
        <v>660</v>
      </c>
      <c r="B718" s="75" t="s">
        <v>2074</v>
      </c>
      <c r="C718" s="75" t="s">
        <v>2078</v>
      </c>
      <c r="D718" s="75" t="s">
        <v>1929</v>
      </c>
      <c r="E718" s="75"/>
      <c r="F718" s="68" t="str">
        <f t="shared" si="46"/>
        <v>Kibanda</v>
      </c>
      <c r="G718" s="68" t="str">
        <f t="shared" si="47"/>
        <v>Kyotera</v>
      </c>
      <c r="H718" s="75" t="s">
        <v>1929</v>
      </c>
    </row>
    <row r="719" spans="1:8">
      <c r="A719" s="74">
        <v>1263</v>
      </c>
      <c r="B719" s="75" t="s">
        <v>47</v>
      </c>
      <c r="C719" s="75" t="s">
        <v>2525</v>
      </c>
      <c r="D719" s="75" t="s">
        <v>2532</v>
      </c>
      <c r="E719" s="75"/>
      <c r="F719" s="68" t="str">
        <f t="shared" si="46"/>
        <v>Kibatsi</v>
      </c>
      <c r="G719" s="68" t="str">
        <f t="shared" si="47"/>
        <v>Ntungamo</v>
      </c>
      <c r="H719" s="75" t="s">
        <v>2532</v>
      </c>
    </row>
    <row r="720" spans="1:8">
      <c r="A720" s="74">
        <v>615</v>
      </c>
      <c r="B720" s="75" t="s">
        <v>978</v>
      </c>
      <c r="C720" s="75" t="s">
        <v>978</v>
      </c>
      <c r="D720" s="75" t="s">
        <v>982</v>
      </c>
      <c r="E720" s="75"/>
      <c r="F720" s="68" t="str">
        <f t="shared" si="46"/>
        <v>Kibibi</v>
      </c>
      <c r="G720" s="68" t="str">
        <f t="shared" si="47"/>
        <v>Butambala</v>
      </c>
      <c r="H720" s="75" t="s">
        <v>982</v>
      </c>
    </row>
    <row r="721" spans="1:8">
      <c r="A721" s="74">
        <v>425</v>
      </c>
      <c r="B721" s="75" t="s">
        <v>1882</v>
      </c>
      <c r="C721" s="75" t="s">
        <v>1882</v>
      </c>
      <c r="D721" s="75" t="s">
        <v>1888</v>
      </c>
      <c r="E721" s="75"/>
      <c r="F721" s="68" t="str">
        <f t="shared" si="46"/>
        <v>Kibiga</v>
      </c>
      <c r="G721" s="68" t="str">
        <f t="shared" si="47"/>
        <v>Kiboga</v>
      </c>
      <c r="H721" s="75" t="s">
        <v>1888</v>
      </c>
    </row>
    <row r="722" spans="1:8">
      <c r="A722" s="74">
        <v>1518</v>
      </c>
      <c r="B722" s="75" t="s">
        <v>920</v>
      </c>
      <c r="C722" s="75" t="s">
        <v>920</v>
      </c>
      <c r="D722" s="75" t="s">
        <v>924</v>
      </c>
      <c r="E722" s="75"/>
      <c r="F722" s="68" t="str">
        <f t="shared" si="46"/>
        <v>Kibiito</v>
      </c>
      <c r="G722" s="68" t="str">
        <f t="shared" si="47"/>
        <v>Bunyangabu</v>
      </c>
      <c r="H722" s="75" t="s">
        <v>924</v>
      </c>
    </row>
    <row r="723" spans="1:8">
      <c r="A723" s="74">
        <v>1519</v>
      </c>
      <c r="B723" s="75" t="s">
        <v>920</v>
      </c>
      <c r="C723" s="75" t="s">
        <v>920</v>
      </c>
      <c r="D723" s="75" t="s">
        <v>925</v>
      </c>
      <c r="E723" s="75"/>
      <c r="F723" s="68" t="str">
        <f t="shared" si="46"/>
        <v>Kibiito Town Council</v>
      </c>
      <c r="G723" s="68" t="str">
        <f t="shared" si="47"/>
        <v>Bunyangabu</v>
      </c>
      <c r="H723" s="75" t="s">
        <v>925</v>
      </c>
    </row>
    <row r="724" spans="1:8">
      <c r="A724" s="74">
        <v>609</v>
      </c>
      <c r="B724" s="75" t="s">
        <v>851</v>
      </c>
      <c r="C724" s="75" t="s">
        <v>851</v>
      </c>
      <c r="D724" s="75" t="s">
        <v>854</v>
      </c>
      <c r="E724" s="75"/>
      <c r="F724" s="68" t="str">
        <f t="shared" si="46"/>
        <v>Kibinge</v>
      </c>
      <c r="G724" s="68" t="str">
        <f t="shared" si="47"/>
        <v>Bukomansimbi</v>
      </c>
      <c r="H724" s="75" t="s">
        <v>854</v>
      </c>
    </row>
    <row r="725" spans="1:8">
      <c r="A725" s="74">
        <v>426</v>
      </c>
      <c r="B725" s="75" t="s">
        <v>1882</v>
      </c>
      <c r="C725" s="75" t="s">
        <v>1882</v>
      </c>
      <c r="D725" s="75" t="s">
        <v>1889</v>
      </c>
      <c r="E725" s="75"/>
      <c r="F725" s="68" t="str">
        <f t="shared" si="46"/>
        <v>Kiboga Town Council</v>
      </c>
      <c r="G725" s="68" t="str">
        <f t="shared" si="47"/>
        <v>Kiboga</v>
      </c>
      <c r="H725" s="75" t="s">
        <v>1889</v>
      </c>
    </row>
    <row r="726" spans="1:8">
      <c r="A726" s="74">
        <v>1030</v>
      </c>
      <c r="B726" s="75" t="s">
        <v>1895</v>
      </c>
      <c r="C726" s="75" t="s">
        <v>1895</v>
      </c>
      <c r="D726" s="75" t="s">
        <v>1895</v>
      </c>
      <c r="E726" s="75"/>
      <c r="F726" s="68" t="str">
        <f t="shared" si="46"/>
        <v>Kibuku</v>
      </c>
      <c r="G726" s="68" t="str">
        <f t="shared" si="47"/>
        <v>Kibuku</v>
      </c>
      <c r="H726" s="75" t="s">
        <v>1895</v>
      </c>
    </row>
    <row r="727" spans="1:8">
      <c r="A727" s="74">
        <v>1031</v>
      </c>
      <c r="B727" s="75" t="s">
        <v>1895</v>
      </c>
      <c r="C727" s="75" t="s">
        <v>1895</v>
      </c>
      <c r="D727" s="75" t="s">
        <v>1901</v>
      </c>
      <c r="E727" s="75"/>
      <c r="F727" s="68" t="str">
        <f t="shared" si="46"/>
        <v>Kibuku Town Council</v>
      </c>
      <c r="G727" s="68" t="str">
        <f t="shared" si="47"/>
        <v>Kibuku</v>
      </c>
      <c r="H727" s="75" t="s">
        <v>1901</v>
      </c>
    </row>
    <row r="728" spans="1:8">
      <c r="A728" s="74">
        <v>1448</v>
      </c>
      <c r="B728" s="75" t="s">
        <v>2514</v>
      </c>
      <c r="C728" s="75" t="s">
        <v>2514</v>
      </c>
      <c r="D728" s="75" t="s">
        <v>2520</v>
      </c>
      <c r="E728" s="75"/>
      <c r="F728" s="68" t="str">
        <f t="shared" si="46"/>
        <v>Kibuuku Town Council</v>
      </c>
      <c r="G728" s="68" t="str">
        <f t="shared" si="47"/>
        <v>Ntoroko</v>
      </c>
      <c r="H728" s="75" t="s">
        <v>2520</v>
      </c>
    </row>
    <row r="729" spans="1:8">
      <c r="A729" s="74">
        <v>1309</v>
      </c>
      <c r="B729" s="75" t="s">
        <v>45</v>
      </c>
      <c r="C729" s="75" t="s">
        <v>1762</v>
      </c>
      <c r="D729" s="75" t="s">
        <v>1769</v>
      </c>
      <c r="E729" s="75"/>
      <c r="F729" s="68" t="str">
        <f t="shared" si="46"/>
        <v>Kicheche</v>
      </c>
      <c r="G729" s="68" t="str">
        <f t="shared" si="47"/>
        <v>Kamwenge</v>
      </c>
      <c r="H729" s="75" t="s">
        <v>1769</v>
      </c>
    </row>
    <row r="730" spans="1:8">
      <c r="A730" s="74">
        <v>1453</v>
      </c>
      <c r="B730" s="75" t="s">
        <v>2642</v>
      </c>
      <c r="C730" s="75" t="s">
        <v>49</v>
      </c>
      <c r="D730" s="75" t="s">
        <v>52</v>
      </c>
      <c r="E730" s="75"/>
      <c r="F730" s="68" t="str">
        <f t="shared" si="46"/>
        <v>Kichwamba</v>
      </c>
      <c r="G730" s="68" t="str">
        <f t="shared" si="47"/>
        <v>Rubirizi</v>
      </c>
      <c r="H730" s="75" t="s">
        <v>52</v>
      </c>
    </row>
    <row r="731" spans="1:8">
      <c r="A731" s="74">
        <v>1357</v>
      </c>
      <c r="B731" s="75" t="s">
        <v>43</v>
      </c>
      <c r="C731" s="75" t="s">
        <v>43</v>
      </c>
      <c r="D731" s="75" t="s">
        <v>1067</v>
      </c>
      <c r="E731" s="75"/>
      <c r="F731" s="68" t="str">
        <f t="shared" si="46"/>
        <v>Kicuzi</v>
      </c>
      <c r="G731" s="68" t="str">
        <f t="shared" si="47"/>
        <v>Ibanda</v>
      </c>
      <c r="H731" s="75" t="s">
        <v>1067</v>
      </c>
    </row>
    <row r="732" spans="1:8">
      <c r="A732" s="74">
        <v>1169</v>
      </c>
      <c r="B732" s="75" t="s">
        <v>1162</v>
      </c>
      <c r="C732" s="75" t="s">
        <v>1163</v>
      </c>
      <c r="D732" s="75" t="s">
        <v>1174</v>
      </c>
      <c r="E732" s="75"/>
      <c r="F732" s="68" t="str">
        <f t="shared" si="46"/>
        <v>Kicwamba</v>
      </c>
      <c r="G732" s="68" t="str">
        <f t="shared" si="47"/>
        <v>Kabarole</v>
      </c>
      <c r="H732" s="75" t="s">
        <v>1174</v>
      </c>
    </row>
    <row r="733" spans="1:8">
      <c r="A733" s="74">
        <v>1022</v>
      </c>
      <c r="B733" s="75" t="s">
        <v>1007</v>
      </c>
      <c r="C733" s="75" t="s">
        <v>1008</v>
      </c>
      <c r="D733" s="75" t="s">
        <v>1011</v>
      </c>
      <c r="E733" s="75"/>
      <c r="F733" s="68" t="str">
        <f t="shared" si="46"/>
        <v>Kidera</v>
      </c>
      <c r="G733" s="68" t="str">
        <f t="shared" si="47"/>
        <v>Buyende</v>
      </c>
      <c r="H733" s="75" t="s">
        <v>1011</v>
      </c>
    </row>
    <row r="734" spans="1:8">
      <c r="A734" s="74">
        <v>934</v>
      </c>
      <c r="B734" s="75" t="s">
        <v>844</v>
      </c>
      <c r="C734" s="75" t="s">
        <v>844</v>
      </c>
      <c r="D734" s="75" t="s">
        <v>847</v>
      </c>
      <c r="E734" s="75"/>
      <c r="F734" s="68" t="str">
        <f t="shared" si="46"/>
        <v>Kidongole</v>
      </c>
      <c r="G734" s="68" t="str">
        <f t="shared" si="47"/>
        <v>Bukedea</v>
      </c>
      <c r="H734" s="75" t="s">
        <v>847</v>
      </c>
    </row>
    <row r="735" spans="1:8">
      <c r="A735" s="74">
        <v>505</v>
      </c>
      <c r="B735" s="75" t="s">
        <v>2618</v>
      </c>
      <c r="C735" s="75" t="s">
        <v>2622</v>
      </c>
      <c r="D735" s="75" t="s">
        <v>2623</v>
      </c>
      <c r="E735" s="75"/>
      <c r="F735" s="68" t="str">
        <f t="shared" si="46"/>
        <v>Kifamba</v>
      </c>
      <c r="G735" s="68" t="str">
        <f t="shared" si="47"/>
        <v>Rakai</v>
      </c>
      <c r="H735" s="75" t="s">
        <v>2623</v>
      </c>
    </row>
    <row r="736" spans="1:8">
      <c r="A736" s="74">
        <v>470</v>
      </c>
      <c r="B736" s="75" t="s">
        <v>2342</v>
      </c>
      <c r="C736" s="75" t="s">
        <v>2345</v>
      </c>
      <c r="D736" s="75" t="s">
        <v>2353</v>
      </c>
      <c r="E736" s="75"/>
      <c r="F736" s="68" t="str">
        <f t="shared" si="46"/>
        <v>Kiganda</v>
      </c>
      <c r="G736" s="68" t="str">
        <f t="shared" si="47"/>
        <v>Mubende</v>
      </c>
      <c r="H736" s="75" t="s">
        <v>2353</v>
      </c>
    </row>
    <row r="737" spans="1:8">
      <c r="A737" s="74">
        <v>858</v>
      </c>
      <c r="B737" s="75" t="s">
        <v>2209</v>
      </c>
      <c r="C737" s="75" t="s">
        <v>2210</v>
      </c>
      <c r="D737" s="75" t="s">
        <v>2217</v>
      </c>
      <c r="E737" s="75"/>
      <c r="F737" s="68" t="str">
        <f t="shared" si="46"/>
        <v>Kigandalo</v>
      </c>
      <c r="G737" s="68" t="str">
        <f t="shared" si="47"/>
        <v>Mayuge</v>
      </c>
      <c r="H737" s="75" t="s">
        <v>2217</v>
      </c>
    </row>
    <row r="738" spans="1:8">
      <c r="A738" s="74">
        <v>465</v>
      </c>
      <c r="B738" s="75" t="s">
        <v>2342</v>
      </c>
      <c r="C738" s="75" t="s">
        <v>2343</v>
      </c>
      <c r="D738" s="75" t="s">
        <v>2354</v>
      </c>
      <c r="E738" s="75"/>
      <c r="F738" s="68" t="str">
        <f t="shared" si="46"/>
        <v>Kigando</v>
      </c>
      <c r="G738" s="68" t="str">
        <f t="shared" si="47"/>
        <v>Mubende</v>
      </c>
      <c r="H738" s="75" t="s">
        <v>2354</v>
      </c>
    </row>
    <row r="739" spans="1:8">
      <c r="A739" s="74">
        <v>1337</v>
      </c>
      <c r="B739" s="75" t="s">
        <v>2056</v>
      </c>
      <c r="C739" s="75" t="s">
        <v>2057</v>
      </c>
      <c r="D739" s="75" t="s">
        <v>2064</v>
      </c>
      <c r="E739" s="75"/>
      <c r="F739" s="68" t="str">
        <f t="shared" si="46"/>
        <v>Kigaraale</v>
      </c>
      <c r="G739" s="68" t="str">
        <f t="shared" si="47"/>
        <v>Kyenjojo</v>
      </c>
      <c r="H739" s="75" t="s">
        <v>2064</v>
      </c>
    </row>
    <row r="740" spans="1:8">
      <c r="A740" s="74">
        <v>1465</v>
      </c>
      <c r="B740" s="75" t="s">
        <v>41</v>
      </c>
      <c r="C740" s="75" t="s">
        <v>41</v>
      </c>
      <c r="D740" s="75" t="s">
        <v>2695</v>
      </c>
      <c r="E740" s="75"/>
      <c r="F740" s="68" t="str">
        <f t="shared" si="46"/>
        <v>Kigarama</v>
      </c>
      <c r="G740" s="68" t="str">
        <f t="shared" si="47"/>
        <v>Sheema</v>
      </c>
      <c r="H740" s="75" t="s">
        <v>2695</v>
      </c>
    </row>
    <row r="741" spans="1:8">
      <c r="A741" s="74">
        <v>1136</v>
      </c>
      <c r="B741" s="75" t="s">
        <v>1040</v>
      </c>
      <c r="C741" s="75" t="s">
        <v>1044</v>
      </c>
      <c r="D741" s="75" t="s">
        <v>1051</v>
      </c>
      <c r="E741" s="75"/>
      <c r="F741" s="68" t="str">
        <f t="shared" si="46"/>
        <v>Kigorobya</v>
      </c>
      <c r="G741" s="68" t="str">
        <f t="shared" si="47"/>
        <v>Hoima</v>
      </c>
      <c r="H741" s="75" t="s">
        <v>1051</v>
      </c>
    </row>
    <row r="742" spans="1:8">
      <c r="A742" s="74">
        <v>1137</v>
      </c>
      <c r="B742" s="75" t="s">
        <v>1040</v>
      </c>
      <c r="C742" s="75" t="s">
        <v>1044</v>
      </c>
      <c r="D742" s="75" t="s">
        <v>1052</v>
      </c>
      <c r="E742" s="75"/>
      <c r="F742" s="68" t="str">
        <f t="shared" si="46"/>
        <v>Kigorobya Town Council</v>
      </c>
      <c r="G742" s="68" t="str">
        <f t="shared" si="47"/>
        <v>Hoima</v>
      </c>
      <c r="H742" s="75" t="s">
        <v>1052</v>
      </c>
    </row>
    <row r="743" spans="1:8" ht="25.5">
      <c r="A743" s="74">
        <v>1240</v>
      </c>
      <c r="B743" s="77" t="s">
        <v>2200</v>
      </c>
      <c r="C743" s="78" t="s">
        <v>2205</v>
      </c>
      <c r="D743" s="77" t="s">
        <v>3142</v>
      </c>
      <c r="E743" s="77"/>
      <c r="F743" s="69" t="str">
        <f>VLOOKUP(C743,[2]Municipalities!$C$9:$F$1522,4,FALSE)</f>
        <v>Masindi Municipality</v>
      </c>
      <c r="G743" s="68" t="str">
        <f t="shared" si="47"/>
        <v>Masindi</v>
      </c>
      <c r="H743" s="77" t="s">
        <v>3142</v>
      </c>
    </row>
    <row r="744" spans="1:8">
      <c r="A744" s="74">
        <v>1414</v>
      </c>
      <c r="B744" s="75" t="s">
        <v>1928</v>
      </c>
      <c r="C744" s="75" t="s">
        <v>1929</v>
      </c>
      <c r="D744" s="75" t="s">
        <v>1931</v>
      </c>
      <c r="E744" s="75"/>
      <c r="F744" s="68" t="str">
        <f t="shared" si="46"/>
        <v>Kigumba</v>
      </c>
      <c r="G744" s="68" t="str">
        <f t="shared" si="47"/>
        <v>Kiryandongo</v>
      </c>
      <c r="H744" s="75" t="s">
        <v>1931</v>
      </c>
    </row>
    <row r="745" spans="1:8">
      <c r="A745" s="74">
        <v>1415</v>
      </c>
      <c r="B745" s="75" t="s">
        <v>1928</v>
      </c>
      <c r="C745" s="75" t="s">
        <v>1929</v>
      </c>
      <c r="D745" s="75" t="s">
        <v>1932</v>
      </c>
      <c r="E745" s="75"/>
      <c r="F745" s="68" t="str">
        <f t="shared" si="46"/>
        <v>Kigumba Town Council</v>
      </c>
      <c r="G745" s="68" t="str">
        <f t="shared" si="47"/>
        <v>Kiryandongo</v>
      </c>
      <c r="H745" s="75" t="s">
        <v>1932</v>
      </c>
    </row>
    <row r="746" spans="1:8">
      <c r="A746" s="74">
        <v>1350</v>
      </c>
      <c r="B746" s="75" t="s">
        <v>890</v>
      </c>
      <c r="C746" s="75" t="s">
        <v>890</v>
      </c>
      <c r="D746" s="75" t="s">
        <v>893</v>
      </c>
      <c r="E746" s="75"/>
      <c r="F746" s="68" t="str">
        <f t="shared" si="46"/>
        <v>Kigwera</v>
      </c>
      <c r="G746" s="68" t="str">
        <f t="shared" si="47"/>
        <v>Buliisa</v>
      </c>
      <c r="H746" s="75" t="s">
        <v>893</v>
      </c>
    </row>
    <row r="747" spans="1:8">
      <c r="A747" s="74">
        <v>1320</v>
      </c>
      <c r="B747" s="75" t="s">
        <v>1779</v>
      </c>
      <c r="C747" s="75" t="s">
        <v>1780</v>
      </c>
      <c r="D747" s="75" t="s">
        <v>1787</v>
      </c>
      <c r="E747" s="75"/>
      <c r="F747" s="68" t="str">
        <f t="shared" si="46"/>
        <v>Kihihi</v>
      </c>
      <c r="G747" s="68" t="str">
        <f t="shared" si="47"/>
        <v>Kanungu</v>
      </c>
      <c r="H747" s="75" t="s">
        <v>1787</v>
      </c>
    </row>
    <row r="748" spans="1:8">
      <c r="A748" s="74">
        <v>1321</v>
      </c>
      <c r="B748" s="75" t="s">
        <v>1779</v>
      </c>
      <c r="C748" s="75" t="s">
        <v>1780</v>
      </c>
      <c r="D748" s="75" t="s">
        <v>1788</v>
      </c>
      <c r="E748" s="75"/>
      <c r="F748" s="68" t="str">
        <f t="shared" si="46"/>
        <v>Kihiihi Town Council</v>
      </c>
      <c r="G748" s="68" t="str">
        <f t="shared" si="47"/>
        <v>Kanungu</v>
      </c>
      <c r="H748" s="75" t="s">
        <v>1788</v>
      </c>
    </row>
    <row r="749" spans="1:8">
      <c r="A749" s="74">
        <v>1351</v>
      </c>
      <c r="B749" s="75" t="s">
        <v>890</v>
      </c>
      <c r="C749" s="75" t="s">
        <v>890</v>
      </c>
      <c r="D749" s="75" t="s">
        <v>894</v>
      </c>
      <c r="E749" s="75"/>
      <c r="F749" s="68" t="str">
        <f t="shared" si="46"/>
        <v>Kihungya</v>
      </c>
      <c r="G749" s="68" t="str">
        <f t="shared" si="47"/>
        <v>Buliisa</v>
      </c>
      <c r="H749" s="75" t="s">
        <v>894</v>
      </c>
    </row>
    <row r="750" spans="1:8">
      <c r="A750" s="74">
        <v>1338</v>
      </c>
      <c r="B750" s="75" t="s">
        <v>2056</v>
      </c>
      <c r="C750" s="75" t="s">
        <v>2057</v>
      </c>
      <c r="D750" s="75" t="s">
        <v>2065</v>
      </c>
      <c r="E750" s="75"/>
      <c r="F750" s="68" t="str">
        <f t="shared" si="46"/>
        <v>Kihuura</v>
      </c>
      <c r="G750" s="68" t="str">
        <f t="shared" si="47"/>
        <v>Kyenjojo</v>
      </c>
      <c r="H750" s="75" t="s">
        <v>2065</v>
      </c>
    </row>
    <row r="751" spans="1:8">
      <c r="A751" s="74">
        <v>207</v>
      </c>
      <c r="B751" s="75" t="s">
        <v>2177</v>
      </c>
      <c r="C751" s="75" t="s">
        <v>2177</v>
      </c>
      <c r="D751" s="75" t="s">
        <v>2176</v>
      </c>
      <c r="E751" s="75"/>
      <c r="F751" s="68" t="str">
        <f t="shared" si="46"/>
        <v>Kijomoro</v>
      </c>
      <c r="G751" s="68" t="str">
        <f t="shared" si="47"/>
        <v>Maracha</v>
      </c>
      <c r="H751" s="75" t="s">
        <v>2176</v>
      </c>
    </row>
    <row r="752" spans="1:8">
      <c r="A752" s="74">
        <v>1358</v>
      </c>
      <c r="B752" s="75" t="s">
        <v>43</v>
      </c>
      <c r="C752" s="75" t="s">
        <v>43</v>
      </c>
      <c r="D752" s="75" t="s">
        <v>1068</v>
      </c>
      <c r="E752" s="75"/>
      <c r="F752" s="68" t="str">
        <f t="shared" si="46"/>
        <v>Kijongo</v>
      </c>
      <c r="G752" s="68" t="str">
        <f t="shared" si="47"/>
        <v>Ibanda</v>
      </c>
      <c r="H752" s="75" t="s">
        <v>1068</v>
      </c>
    </row>
    <row r="753" spans="1:8">
      <c r="A753" s="74">
        <v>1171</v>
      </c>
      <c r="B753" s="75" t="s">
        <v>1162</v>
      </c>
      <c r="C753" s="75" t="s">
        <v>1163</v>
      </c>
      <c r="D753" s="75" t="s">
        <v>1175</v>
      </c>
      <c r="E753" s="75"/>
      <c r="F753" s="68" t="str">
        <f t="shared" si="46"/>
        <v>Kijura Town Council</v>
      </c>
      <c r="G753" s="68" t="str">
        <f t="shared" si="47"/>
        <v>Kabarole</v>
      </c>
      <c r="H753" s="75" t="s">
        <v>1175</v>
      </c>
    </row>
    <row r="754" spans="1:8">
      <c r="A754" s="74">
        <v>1398</v>
      </c>
      <c r="B754" s="75" t="s">
        <v>1905</v>
      </c>
      <c r="C754" s="75" t="s">
        <v>1911</v>
      </c>
      <c r="D754" s="75" t="s">
        <v>1916</v>
      </c>
      <c r="E754" s="75"/>
      <c r="F754" s="68" t="str">
        <f t="shared" si="46"/>
        <v>Kikaatsi</v>
      </c>
      <c r="G754" s="68" t="str">
        <f t="shared" si="47"/>
        <v>Kiruhura</v>
      </c>
      <c r="H754" s="75" t="s">
        <v>1916</v>
      </c>
    </row>
    <row r="755" spans="1:8">
      <c r="A755" s="74">
        <v>1381</v>
      </c>
      <c r="B755" s="75" t="s">
        <v>48</v>
      </c>
      <c r="C755" s="75" t="s">
        <v>48</v>
      </c>
      <c r="D755" s="75" t="s">
        <v>1102</v>
      </c>
      <c r="E755" s="75"/>
      <c r="F755" s="68" t="str">
        <f t="shared" si="46"/>
        <v>Kikagate</v>
      </c>
      <c r="G755" s="68" t="str">
        <f t="shared" si="47"/>
        <v>Isingiro</v>
      </c>
      <c r="H755" s="75" t="s">
        <v>1102</v>
      </c>
    </row>
    <row r="756" spans="1:8">
      <c r="A756" s="74">
        <v>582</v>
      </c>
      <c r="B756" s="75" t="s">
        <v>2418</v>
      </c>
      <c r="C756" s="75" t="s">
        <v>2418</v>
      </c>
      <c r="D756" s="75" t="s">
        <v>2421</v>
      </c>
      <c r="E756" s="75"/>
      <c r="F756" s="68" t="str">
        <f t="shared" si="46"/>
        <v>Kikamulo</v>
      </c>
      <c r="G756" s="68" t="str">
        <f t="shared" si="47"/>
        <v>Nakaseke</v>
      </c>
      <c r="H756" s="75" t="s">
        <v>2421</v>
      </c>
    </row>
    <row r="757" spans="1:8">
      <c r="A757" s="74">
        <v>572</v>
      </c>
      <c r="B757" s="75" t="s">
        <v>2284</v>
      </c>
      <c r="C757" s="75" t="s">
        <v>2284</v>
      </c>
      <c r="D757" s="75" t="s">
        <v>2297</v>
      </c>
      <c r="E757" s="75"/>
      <c r="F757" s="68" t="str">
        <f t="shared" si="46"/>
        <v>Kikandwa</v>
      </c>
      <c r="G757" s="68" t="str">
        <f t="shared" si="47"/>
        <v>Mityana</v>
      </c>
      <c r="H757" s="75" t="s">
        <v>2297</v>
      </c>
    </row>
    <row r="758" spans="1:8">
      <c r="A758" s="74">
        <v>1170</v>
      </c>
      <c r="B758" s="75" t="s">
        <v>1162</v>
      </c>
      <c r="C758" s="75" t="s">
        <v>1163</v>
      </c>
      <c r="D758" s="75" t="s">
        <v>1176</v>
      </c>
      <c r="E758" s="75"/>
      <c r="F758" s="68" t="str">
        <f t="shared" si="46"/>
        <v>Kiko Town Council</v>
      </c>
      <c r="G758" s="68" t="str">
        <f t="shared" si="47"/>
        <v>Kabarole</v>
      </c>
      <c r="H758" s="75" t="s">
        <v>1176</v>
      </c>
    </row>
    <row r="759" spans="1:8">
      <c r="A759" s="74">
        <v>1505</v>
      </c>
      <c r="B759" s="75" t="s">
        <v>1212</v>
      </c>
      <c r="C759" s="75" t="s">
        <v>1213</v>
      </c>
      <c r="D759" s="75" t="s">
        <v>1219</v>
      </c>
      <c r="E759" s="75"/>
      <c r="F759" s="68" t="str">
        <f t="shared" si="46"/>
        <v>Kikwaya</v>
      </c>
      <c r="G759" s="68" t="str">
        <f t="shared" si="47"/>
        <v>Kakumiro</v>
      </c>
      <c r="H759" s="75" t="s">
        <v>1219</v>
      </c>
    </row>
    <row r="760" spans="1:8">
      <c r="A760" s="74">
        <v>1359</v>
      </c>
      <c r="B760" s="75" t="s">
        <v>43</v>
      </c>
      <c r="C760" s="75" t="s">
        <v>43</v>
      </c>
      <c r="D760" s="75" t="s">
        <v>1069</v>
      </c>
      <c r="E760" s="75"/>
      <c r="F760" s="68" t="str">
        <f t="shared" si="46"/>
        <v>Kikyenkye</v>
      </c>
      <c r="G760" s="68" t="str">
        <f t="shared" si="47"/>
        <v>Ibanda</v>
      </c>
      <c r="H760" s="75" t="s">
        <v>1069</v>
      </c>
    </row>
    <row r="761" spans="1:8">
      <c r="A761" s="74">
        <v>432</v>
      </c>
      <c r="B761" s="75" t="s">
        <v>2113</v>
      </c>
      <c r="C761" s="75" t="s">
        <v>2112</v>
      </c>
      <c r="D761" s="75" t="s">
        <v>2126</v>
      </c>
      <c r="E761" s="75"/>
      <c r="F761" s="68" t="str">
        <f t="shared" si="46"/>
        <v>Kikyusa</v>
      </c>
      <c r="G761" s="68" t="str">
        <f t="shared" si="47"/>
        <v>Luwero</v>
      </c>
      <c r="H761" s="75" t="s">
        <v>2126</v>
      </c>
    </row>
    <row r="762" spans="1:8">
      <c r="A762" s="74">
        <v>1198</v>
      </c>
      <c r="B762" s="75" t="s">
        <v>36</v>
      </c>
      <c r="C762" s="75" t="s">
        <v>1812</v>
      </c>
      <c r="D762" s="75" t="s">
        <v>1826</v>
      </c>
      <c r="E762" s="75"/>
      <c r="F762" s="68" t="str">
        <f t="shared" si="46"/>
        <v>Kilembe</v>
      </c>
      <c r="G762" s="68" t="str">
        <f t="shared" si="47"/>
        <v>Kasese</v>
      </c>
      <c r="H762" s="75" t="s">
        <v>1826</v>
      </c>
    </row>
    <row r="763" spans="1:8" ht="25.5">
      <c r="A763" s="74">
        <v>449</v>
      </c>
      <c r="B763" s="75" t="s">
        <v>39</v>
      </c>
      <c r="C763" s="76" t="s">
        <v>2190</v>
      </c>
      <c r="D763" s="75" t="s">
        <v>3143</v>
      </c>
      <c r="E763" s="75"/>
      <c r="F763" s="69" t="str">
        <f>VLOOKUP(C763,[2]Municipalities!$C$9:$F$1522,4,FALSE)</f>
        <v>Masaka Municipality</v>
      </c>
      <c r="G763" s="68" t="str">
        <f t="shared" si="47"/>
        <v>Masaka</v>
      </c>
      <c r="H763" s="75" t="s">
        <v>3143</v>
      </c>
    </row>
    <row r="764" spans="1:8">
      <c r="A764" s="74">
        <v>1237</v>
      </c>
      <c r="B764" s="75" t="s">
        <v>2200</v>
      </c>
      <c r="C764" s="75" t="s">
        <v>2204</v>
      </c>
      <c r="D764" s="75" t="s">
        <v>2203</v>
      </c>
      <c r="E764" s="75"/>
      <c r="F764" s="68" t="str">
        <f t="shared" si="46"/>
        <v>Kimengo</v>
      </c>
      <c r="G764" s="68" t="str">
        <f t="shared" si="47"/>
        <v>Masindi</v>
      </c>
      <c r="H764" s="75" t="s">
        <v>2203</v>
      </c>
    </row>
    <row r="765" spans="1:8">
      <c r="A765" s="74">
        <v>488</v>
      </c>
      <c r="B765" s="75" t="s">
        <v>2369</v>
      </c>
      <c r="C765" s="75" t="s">
        <v>2370</v>
      </c>
      <c r="D765" s="75" t="s">
        <v>2371</v>
      </c>
      <c r="E765" s="75"/>
      <c r="F765" s="68" t="str">
        <f t="shared" si="46"/>
        <v>Kimenyedde</v>
      </c>
      <c r="G765" s="68" t="str">
        <f t="shared" si="47"/>
        <v>Mukono</v>
      </c>
      <c r="H765" s="75" t="s">
        <v>2371</v>
      </c>
    </row>
    <row r="766" spans="1:8">
      <c r="A766" s="74">
        <v>1322</v>
      </c>
      <c r="B766" s="75" t="s">
        <v>1779</v>
      </c>
      <c r="C766" s="75" t="s">
        <v>1780</v>
      </c>
      <c r="D766" s="75" t="s">
        <v>1789</v>
      </c>
      <c r="E766" s="75"/>
      <c r="F766" s="68" t="str">
        <f t="shared" si="46"/>
        <v>Kinaaba</v>
      </c>
      <c r="G766" s="68" t="str">
        <f t="shared" si="47"/>
        <v>Kanungu</v>
      </c>
      <c r="H766" s="75" t="s">
        <v>1789</v>
      </c>
    </row>
    <row r="767" spans="1:8">
      <c r="A767" s="74">
        <v>583</v>
      </c>
      <c r="B767" s="75" t="s">
        <v>2418</v>
      </c>
      <c r="C767" s="75" t="s">
        <v>2418</v>
      </c>
      <c r="D767" s="79" t="s">
        <v>3144</v>
      </c>
      <c r="E767" s="75"/>
      <c r="F767" s="68" t="str">
        <f t="shared" ref="F767:F768" si="48">D767&amp;"-"&amp;B767</f>
        <v>Kinoni-Nakaseke</v>
      </c>
      <c r="G767" s="68" t="str">
        <f t="shared" si="47"/>
        <v>Nakaseke</v>
      </c>
      <c r="H767" s="79" t="s">
        <v>3144</v>
      </c>
    </row>
    <row r="768" spans="1:8">
      <c r="A768" s="74">
        <v>1399</v>
      </c>
      <c r="B768" s="75" t="s">
        <v>1905</v>
      </c>
      <c r="C768" s="75" t="s">
        <v>1911</v>
      </c>
      <c r="D768" s="79" t="s">
        <v>3144</v>
      </c>
      <c r="E768" s="75"/>
      <c r="F768" s="68" t="str">
        <f t="shared" si="48"/>
        <v>Kinoni-Kiruhura</v>
      </c>
      <c r="G768" s="68" t="str">
        <f t="shared" si="47"/>
        <v>Kiruhura</v>
      </c>
      <c r="H768" s="79" t="s">
        <v>3144</v>
      </c>
    </row>
    <row r="769" spans="1:8">
      <c r="A769" s="74">
        <v>561</v>
      </c>
      <c r="B769" s="75" t="s">
        <v>2150</v>
      </c>
      <c r="C769" s="75" t="s">
        <v>2151</v>
      </c>
      <c r="D769" s="75" t="s">
        <v>2153</v>
      </c>
      <c r="E769" s="75"/>
      <c r="F769" s="68" t="str">
        <f t="shared" ref="F769:F770" si="49">D769</f>
        <v>Kinuuka</v>
      </c>
      <c r="G769" s="68" t="str">
        <f t="shared" si="47"/>
        <v>Lyantonde</v>
      </c>
      <c r="H769" s="75" t="s">
        <v>2153</v>
      </c>
    </row>
    <row r="770" spans="1:8">
      <c r="A770" s="74">
        <v>584</v>
      </c>
      <c r="B770" s="75" t="s">
        <v>2418</v>
      </c>
      <c r="C770" s="75" t="s">
        <v>2418</v>
      </c>
      <c r="D770" s="75" t="s">
        <v>2423</v>
      </c>
      <c r="E770" s="75"/>
      <c r="F770" s="68" t="str">
        <f t="shared" si="49"/>
        <v>Kinyogoga</v>
      </c>
      <c r="G770" s="68" t="str">
        <f t="shared" si="47"/>
        <v>Nakaseke</v>
      </c>
      <c r="H770" s="75" t="s">
        <v>2423</v>
      </c>
    </row>
    <row r="771" spans="1:8">
      <c r="A771" s="74">
        <v>549</v>
      </c>
      <c r="B771" s="75" t="s">
        <v>2774</v>
      </c>
      <c r="C771" s="76" t="s">
        <v>2782</v>
      </c>
      <c r="D771" s="75" t="s">
        <v>3145</v>
      </c>
      <c r="E771" s="75"/>
      <c r="F771" s="69" t="s">
        <v>2854</v>
      </c>
      <c r="G771" s="68" t="str">
        <f t="shared" si="47"/>
        <v>Wakiso</v>
      </c>
      <c r="H771" s="75" t="s">
        <v>3145</v>
      </c>
    </row>
    <row r="772" spans="1:8">
      <c r="A772" s="74">
        <v>828</v>
      </c>
      <c r="B772" s="75" t="s">
        <v>2751</v>
      </c>
      <c r="C772" s="75" t="s">
        <v>2752</v>
      </c>
      <c r="D772" s="75" t="s">
        <v>2753</v>
      </c>
      <c r="E772" s="75"/>
      <c r="F772" s="68" t="str">
        <f t="shared" ref="F772:F835" si="50">D772</f>
        <v>Kirewa</v>
      </c>
      <c r="G772" s="68" t="str">
        <f t="shared" si="47"/>
        <v>Tororo</v>
      </c>
      <c r="H772" s="75" t="s">
        <v>2753</v>
      </c>
    </row>
    <row r="773" spans="1:8">
      <c r="A773" s="74">
        <v>1032</v>
      </c>
      <c r="B773" s="75" t="s">
        <v>1895</v>
      </c>
      <c r="C773" s="75" t="s">
        <v>1895</v>
      </c>
      <c r="D773" s="75" t="s">
        <v>1902</v>
      </c>
      <c r="E773" s="75"/>
      <c r="F773" s="68" t="str">
        <f t="shared" si="50"/>
        <v>Kirika</v>
      </c>
      <c r="G773" s="68" t="str">
        <f t="shared" si="47"/>
        <v>Kibuku</v>
      </c>
      <c r="H773" s="75" t="s">
        <v>1902</v>
      </c>
    </row>
    <row r="774" spans="1:8">
      <c r="A774" s="74">
        <v>1040</v>
      </c>
      <c r="B774" s="75" t="s">
        <v>1999</v>
      </c>
      <c r="C774" s="75" t="s">
        <v>1999</v>
      </c>
      <c r="D774" s="75" t="s">
        <v>2005</v>
      </c>
      <c r="E774" s="75"/>
      <c r="F774" s="68" t="str">
        <f t="shared" si="50"/>
        <v>Kiriki</v>
      </c>
      <c r="G774" s="68" t="str">
        <f t="shared" si="47"/>
        <v>Kween</v>
      </c>
      <c r="H774" s="75" t="s">
        <v>2005</v>
      </c>
    </row>
    <row r="775" spans="1:8">
      <c r="A775" s="74">
        <v>1323</v>
      </c>
      <c r="B775" s="75" t="s">
        <v>1779</v>
      </c>
      <c r="C775" s="75" t="s">
        <v>1780</v>
      </c>
      <c r="D775" s="75" t="s">
        <v>1790</v>
      </c>
      <c r="E775" s="75"/>
      <c r="F775" s="68" t="str">
        <f t="shared" si="50"/>
        <v>Kirima</v>
      </c>
      <c r="G775" s="68" t="str">
        <f t="shared" si="47"/>
        <v>Kanungu</v>
      </c>
      <c r="H775" s="75" t="s">
        <v>1790</v>
      </c>
    </row>
    <row r="776" spans="1:8">
      <c r="A776" s="74">
        <v>453</v>
      </c>
      <c r="B776" s="75" t="s">
        <v>2328</v>
      </c>
      <c r="C776" s="75" t="s">
        <v>2329</v>
      </c>
      <c r="D776" s="75" t="s">
        <v>2331</v>
      </c>
      <c r="E776" s="75"/>
      <c r="F776" s="68" t="str">
        <f t="shared" si="50"/>
        <v>Kiringente</v>
      </c>
      <c r="G776" s="68" t="str">
        <f t="shared" si="47"/>
        <v>Mpigi</v>
      </c>
      <c r="H776" s="75" t="s">
        <v>2331</v>
      </c>
    </row>
    <row r="777" spans="1:8">
      <c r="A777" s="74">
        <v>1461</v>
      </c>
      <c r="B777" s="75" t="s">
        <v>2642</v>
      </c>
      <c r="C777" s="75" t="s">
        <v>2643</v>
      </c>
      <c r="D777" s="75" t="s">
        <v>2646</v>
      </c>
      <c r="E777" s="75"/>
      <c r="F777" s="68" t="str">
        <f t="shared" si="50"/>
        <v>Kirugu</v>
      </c>
      <c r="G777" s="68" t="str">
        <f t="shared" si="47"/>
        <v>Rubirizi</v>
      </c>
      <c r="H777" s="75" t="s">
        <v>2646</v>
      </c>
    </row>
    <row r="778" spans="1:8">
      <c r="A778" s="74">
        <v>1400</v>
      </c>
      <c r="B778" s="75" t="s">
        <v>1905</v>
      </c>
      <c r="C778" s="75" t="s">
        <v>1911</v>
      </c>
      <c r="D778" s="75" t="s">
        <v>1918</v>
      </c>
      <c r="E778" s="75"/>
      <c r="F778" s="68" t="str">
        <f t="shared" si="50"/>
        <v>Kiruhura Town Council</v>
      </c>
      <c r="G778" s="68" t="str">
        <f t="shared" ref="G778:G841" si="51">B778</f>
        <v>Kiruhura</v>
      </c>
      <c r="H778" s="75" t="s">
        <v>1918</v>
      </c>
    </row>
    <row r="779" spans="1:8">
      <c r="A779" s="74">
        <v>665</v>
      </c>
      <c r="B779" s="75" t="s">
        <v>2074</v>
      </c>
      <c r="C779" s="75" t="s">
        <v>2074</v>
      </c>
      <c r="D779" s="75" t="s">
        <v>2079</v>
      </c>
      <c r="E779" s="75"/>
      <c r="F779" s="68" t="str">
        <f t="shared" si="50"/>
        <v>Kirumba</v>
      </c>
      <c r="G779" s="68" t="str">
        <f t="shared" si="51"/>
        <v>Kyotera</v>
      </c>
      <c r="H779" s="75" t="s">
        <v>2079</v>
      </c>
    </row>
    <row r="780" spans="1:8">
      <c r="A780" s="74">
        <v>1117</v>
      </c>
      <c r="B780" s="75" t="s">
        <v>897</v>
      </c>
      <c r="C780" s="75" t="s">
        <v>898</v>
      </c>
      <c r="D780" s="75" t="s">
        <v>909</v>
      </c>
      <c r="E780" s="75"/>
      <c r="F780" s="68" t="str">
        <f t="shared" si="50"/>
        <v>Kirumya</v>
      </c>
      <c r="G780" s="68" t="str">
        <f t="shared" si="51"/>
        <v>Bundibugyo</v>
      </c>
      <c r="H780" s="75" t="s">
        <v>909</v>
      </c>
    </row>
    <row r="781" spans="1:8">
      <c r="A781" s="74">
        <v>1222</v>
      </c>
      <c r="B781" s="75" t="s">
        <v>1940</v>
      </c>
      <c r="C781" s="75" t="s">
        <v>1941</v>
      </c>
      <c r="D781" s="75" t="s">
        <v>1945</v>
      </c>
      <c r="E781" s="75"/>
      <c r="F781" s="68" t="str">
        <f t="shared" si="50"/>
        <v>Kirundo</v>
      </c>
      <c r="G781" s="68" t="str">
        <f t="shared" si="51"/>
        <v>Kisoro</v>
      </c>
      <c r="H781" s="75" t="s">
        <v>1945</v>
      </c>
    </row>
    <row r="782" spans="1:8">
      <c r="A782" s="74">
        <v>1416</v>
      </c>
      <c r="B782" s="75" t="s">
        <v>1928</v>
      </c>
      <c r="C782" s="75" t="s">
        <v>1929</v>
      </c>
      <c r="D782" s="75" t="s">
        <v>1928</v>
      </c>
      <c r="E782" s="75"/>
      <c r="F782" s="68" t="str">
        <f t="shared" si="50"/>
        <v>Kiryandongo</v>
      </c>
      <c r="G782" s="68" t="str">
        <f t="shared" si="51"/>
        <v>Kiryandongo</v>
      </c>
      <c r="H782" s="75" t="s">
        <v>1928</v>
      </c>
    </row>
    <row r="783" spans="1:8">
      <c r="A783" s="74">
        <v>1417</v>
      </c>
      <c r="B783" s="75" t="s">
        <v>1928</v>
      </c>
      <c r="C783" s="75" t="s">
        <v>1929</v>
      </c>
      <c r="D783" s="75" t="s">
        <v>1934</v>
      </c>
      <c r="E783" s="75"/>
      <c r="F783" s="68" t="str">
        <f t="shared" si="50"/>
        <v>Kiryandongo Refugee Camp</v>
      </c>
      <c r="G783" s="68" t="str">
        <f t="shared" si="51"/>
        <v>Kiryandongo</v>
      </c>
      <c r="H783" s="75" t="s">
        <v>1934</v>
      </c>
    </row>
    <row r="784" spans="1:8">
      <c r="A784" s="74">
        <v>1418</v>
      </c>
      <c r="B784" s="75" t="s">
        <v>1928</v>
      </c>
      <c r="C784" s="75" t="s">
        <v>1929</v>
      </c>
      <c r="D784" s="75" t="s">
        <v>1935</v>
      </c>
      <c r="E784" s="75"/>
      <c r="F784" s="68" t="str">
        <f t="shared" si="50"/>
        <v>Kiryandongo Town Council</v>
      </c>
      <c r="G784" s="68" t="str">
        <f t="shared" si="51"/>
        <v>Kiryandongo</v>
      </c>
      <c r="H784" s="75" t="s">
        <v>1935</v>
      </c>
    </row>
    <row r="785" spans="1:8">
      <c r="A785" s="74">
        <v>1482</v>
      </c>
      <c r="B785" s="75" t="s">
        <v>1193</v>
      </c>
      <c r="C785" s="75" t="s">
        <v>1194</v>
      </c>
      <c r="D785" s="75" t="s">
        <v>1198</v>
      </c>
      <c r="E785" s="75"/>
      <c r="F785" s="68" t="str">
        <f t="shared" si="50"/>
        <v>Kiryanga</v>
      </c>
      <c r="G785" s="68" t="str">
        <f t="shared" si="51"/>
        <v>Kagadi</v>
      </c>
      <c r="H785" s="75" t="s">
        <v>1198</v>
      </c>
    </row>
    <row r="786" spans="1:8">
      <c r="A786" s="74">
        <v>651</v>
      </c>
      <c r="B786" s="75" t="s">
        <v>2142</v>
      </c>
      <c r="C786" s="75" t="s">
        <v>23</v>
      </c>
      <c r="D786" s="75" t="s">
        <v>2141</v>
      </c>
      <c r="E786" s="75"/>
      <c r="F786" s="68" t="str">
        <f t="shared" si="50"/>
        <v>Kisekka</v>
      </c>
      <c r="G786" s="68" t="str">
        <f t="shared" si="51"/>
        <v>Lwengo</v>
      </c>
      <c r="H786" s="75" t="s">
        <v>2141</v>
      </c>
    </row>
    <row r="787" spans="1:8">
      <c r="A787" s="74">
        <v>1500</v>
      </c>
      <c r="B787" s="75" t="s">
        <v>1212</v>
      </c>
      <c r="C787" s="75" t="s">
        <v>1213</v>
      </c>
      <c r="D787" s="75" t="s">
        <v>1220</v>
      </c>
      <c r="E787" s="75"/>
      <c r="F787" s="68" t="str">
        <f t="shared" si="50"/>
        <v>Kisiita</v>
      </c>
      <c r="G787" s="68" t="str">
        <f t="shared" si="51"/>
        <v>Kakumiro</v>
      </c>
      <c r="H787" s="75" t="s">
        <v>1220</v>
      </c>
    </row>
    <row r="788" spans="1:8">
      <c r="A788" s="74">
        <v>968</v>
      </c>
      <c r="B788" s="75" t="s">
        <v>1234</v>
      </c>
      <c r="C788" s="75" t="s">
        <v>1073</v>
      </c>
      <c r="D788" s="75" t="s">
        <v>1242</v>
      </c>
      <c r="E788" s="75"/>
      <c r="F788" s="68" t="str">
        <f t="shared" si="50"/>
        <v>Kisinda</v>
      </c>
      <c r="G788" s="68" t="str">
        <f t="shared" si="51"/>
        <v>Kaliro</v>
      </c>
      <c r="H788" s="75" t="s">
        <v>1242</v>
      </c>
    </row>
    <row r="789" spans="1:8">
      <c r="A789" s="74">
        <v>1182</v>
      </c>
      <c r="B789" s="75" t="s">
        <v>36</v>
      </c>
      <c r="C789" s="75" t="s">
        <v>900</v>
      </c>
      <c r="D789" s="75" t="s">
        <v>1828</v>
      </c>
      <c r="E789" s="75"/>
      <c r="F789" s="68" t="str">
        <f t="shared" si="50"/>
        <v>Kisinga</v>
      </c>
      <c r="G789" s="68" t="str">
        <f t="shared" si="51"/>
        <v>Kasese</v>
      </c>
      <c r="H789" s="75" t="s">
        <v>1828</v>
      </c>
    </row>
    <row r="790" spans="1:8">
      <c r="A790" s="74">
        <v>1191</v>
      </c>
      <c r="B790" s="75" t="s">
        <v>36</v>
      </c>
      <c r="C790" s="75" t="s">
        <v>900</v>
      </c>
      <c r="D790" s="75" t="s">
        <v>1829</v>
      </c>
      <c r="E790" s="75"/>
      <c r="F790" s="68" t="str">
        <f t="shared" si="50"/>
        <v>Kisinga Town Council</v>
      </c>
      <c r="G790" s="68" t="str">
        <f t="shared" si="51"/>
        <v>Kasese</v>
      </c>
      <c r="H790" s="75" t="s">
        <v>1829</v>
      </c>
    </row>
    <row r="791" spans="1:8">
      <c r="A791" s="74">
        <v>1339</v>
      </c>
      <c r="B791" s="75" t="s">
        <v>2056</v>
      </c>
      <c r="C791" s="75" t="s">
        <v>2057</v>
      </c>
      <c r="D791" s="75" t="s">
        <v>2066</v>
      </c>
      <c r="E791" s="75"/>
      <c r="F791" s="68" t="str">
        <f t="shared" si="50"/>
        <v>Kisojo</v>
      </c>
      <c r="G791" s="68" t="str">
        <f t="shared" si="51"/>
        <v>Kyenjojo</v>
      </c>
      <c r="H791" s="75" t="s">
        <v>2066</v>
      </c>
    </row>
    <row r="792" spans="1:8">
      <c r="A792" s="74">
        <v>829</v>
      </c>
      <c r="B792" s="75" t="s">
        <v>2751</v>
      </c>
      <c r="C792" s="75" t="s">
        <v>2752</v>
      </c>
      <c r="D792" s="75" t="s">
        <v>2754</v>
      </c>
      <c r="E792" s="75"/>
      <c r="F792" s="68" t="str">
        <f t="shared" si="50"/>
        <v>Kisoko</v>
      </c>
      <c r="G792" s="68" t="str">
        <f t="shared" si="51"/>
        <v>Tororo</v>
      </c>
      <c r="H792" s="75" t="s">
        <v>2754</v>
      </c>
    </row>
    <row r="793" spans="1:8">
      <c r="A793" s="74">
        <v>1520</v>
      </c>
      <c r="B793" s="75" t="s">
        <v>920</v>
      </c>
      <c r="C793" s="75" t="s">
        <v>920</v>
      </c>
      <c r="D793" s="75" t="s">
        <v>926</v>
      </c>
      <c r="E793" s="75"/>
      <c r="F793" s="68" t="str">
        <f t="shared" si="50"/>
        <v>Kisomoro</v>
      </c>
      <c r="G793" s="68" t="str">
        <f t="shared" si="51"/>
        <v>Bunyangabu</v>
      </c>
      <c r="H793" s="75" t="s">
        <v>926</v>
      </c>
    </row>
    <row r="794" spans="1:8">
      <c r="A794" s="74">
        <v>733</v>
      </c>
      <c r="B794" s="75" t="s">
        <v>1744</v>
      </c>
      <c r="C794" s="75" t="s">
        <v>1747</v>
      </c>
      <c r="D794" s="75" t="s">
        <v>1751</v>
      </c>
      <c r="E794" s="75"/>
      <c r="F794" s="68" t="str">
        <f t="shared" si="50"/>
        <v>Kisozi</v>
      </c>
      <c r="G794" s="68" t="str">
        <f t="shared" si="51"/>
        <v>Kamuli</v>
      </c>
      <c r="H794" s="75" t="s">
        <v>1751</v>
      </c>
    </row>
    <row r="795" spans="1:8">
      <c r="A795" s="74">
        <v>1118</v>
      </c>
      <c r="B795" s="75" t="s">
        <v>897</v>
      </c>
      <c r="C795" s="75" t="s">
        <v>898</v>
      </c>
      <c r="D795" s="75" t="s">
        <v>910</v>
      </c>
      <c r="E795" s="75"/>
      <c r="F795" s="68" t="str">
        <f t="shared" si="50"/>
        <v>Kisubba</v>
      </c>
      <c r="G795" s="68" t="str">
        <f t="shared" si="51"/>
        <v>Bundibugyo</v>
      </c>
      <c r="H795" s="75" t="s">
        <v>910</v>
      </c>
    </row>
    <row r="796" spans="1:8">
      <c r="A796" s="74">
        <v>1466</v>
      </c>
      <c r="B796" s="75" t="s">
        <v>41</v>
      </c>
      <c r="C796" s="75" t="s">
        <v>41</v>
      </c>
      <c r="D796" s="75" t="s">
        <v>2696</v>
      </c>
      <c r="E796" s="75"/>
      <c r="F796" s="68" t="str">
        <f t="shared" si="50"/>
        <v>Kitagata</v>
      </c>
      <c r="G796" s="68" t="str">
        <f t="shared" si="51"/>
        <v>Sheema</v>
      </c>
      <c r="H796" s="75" t="s">
        <v>2696</v>
      </c>
    </row>
    <row r="797" spans="1:8">
      <c r="A797" s="74">
        <v>1504</v>
      </c>
      <c r="B797" s="75" t="s">
        <v>1212</v>
      </c>
      <c r="C797" s="75" t="s">
        <v>1213</v>
      </c>
      <c r="D797" s="75" t="s">
        <v>1221</v>
      </c>
      <c r="E797" s="75"/>
      <c r="F797" s="68" t="str">
        <f t="shared" si="50"/>
        <v>Kitaihuka</v>
      </c>
      <c r="G797" s="68" t="str">
        <f t="shared" si="51"/>
        <v>Kakumiro</v>
      </c>
      <c r="H797" s="75" t="s">
        <v>1221</v>
      </c>
    </row>
    <row r="798" spans="1:8">
      <c r="A798" s="74">
        <v>610</v>
      </c>
      <c r="B798" s="75" t="s">
        <v>851</v>
      </c>
      <c r="C798" s="75" t="s">
        <v>851</v>
      </c>
      <c r="D798" s="75" t="s">
        <v>855</v>
      </c>
      <c r="E798" s="75"/>
      <c r="F798" s="68" t="str">
        <f t="shared" si="50"/>
        <v>Kitanda</v>
      </c>
      <c r="G798" s="68" t="str">
        <f t="shared" si="51"/>
        <v>Bukomansimbi</v>
      </c>
      <c r="H798" s="75" t="s">
        <v>855</v>
      </c>
    </row>
    <row r="799" spans="1:8">
      <c r="A799" s="74">
        <v>1041</v>
      </c>
      <c r="B799" s="75" t="s">
        <v>1999</v>
      </c>
      <c r="C799" s="75" t="s">
        <v>1999</v>
      </c>
      <c r="D799" s="75" t="s">
        <v>2006</v>
      </c>
      <c r="E799" s="75"/>
      <c r="F799" s="68" t="str">
        <f t="shared" si="50"/>
        <v>Kitawoi</v>
      </c>
      <c r="G799" s="68" t="str">
        <f t="shared" si="51"/>
        <v>Kween</v>
      </c>
      <c r="H799" s="75" t="s">
        <v>2006</v>
      </c>
    </row>
    <row r="800" spans="1:8">
      <c r="A800" s="74">
        <v>728</v>
      </c>
      <c r="B800" s="75" t="s">
        <v>1744</v>
      </c>
      <c r="C800" s="75" t="s">
        <v>1745</v>
      </c>
      <c r="D800" s="75" t="s">
        <v>1752</v>
      </c>
      <c r="E800" s="75"/>
      <c r="F800" s="68" t="str">
        <f t="shared" si="50"/>
        <v>Kitayunjwa</v>
      </c>
      <c r="G800" s="68" t="str">
        <f t="shared" si="51"/>
        <v>Kamuli</v>
      </c>
      <c r="H800" s="75" t="s">
        <v>1752</v>
      </c>
    </row>
    <row r="801" spans="1:8">
      <c r="A801" s="74">
        <v>459</v>
      </c>
      <c r="B801" s="75" t="s">
        <v>2342</v>
      </c>
      <c r="C801" s="75" t="s">
        <v>2348</v>
      </c>
      <c r="D801" s="75" t="s">
        <v>2355</v>
      </c>
      <c r="E801" s="75"/>
      <c r="F801" s="68" t="str">
        <f t="shared" si="50"/>
        <v>Kitenga</v>
      </c>
      <c r="G801" s="68" t="str">
        <f t="shared" si="51"/>
        <v>Mubende</v>
      </c>
      <c r="H801" s="75" t="s">
        <v>2355</v>
      </c>
    </row>
    <row r="802" spans="1:8">
      <c r="A802" s="74">
        <v>58</v>
      </c>
      <c r="B802" s="75" t="s">
        <v>1957</v>
      </c>
      <c r="C802" s="75" t="s">
        <v>1958</v>
      </c>
      <c r="D802" s="75" t="s">
        <v>1956</v>
      </c>
      <c r="E802" s="75"/>
      <c r="F802" s="68" t="str">
        <f t="shared" si="50"/>
        <v>Kitgum Matidi</v>
      </c>
      <c r="G802" s="68" t="str">
        <f t="shared" si="51"/>
        <v>Kitgum</v>
      </c>
      <c r="H802" s="75" t="s">
        <v>1956</v>
      </c>
    </row>
    <row r="803" spans="1:8">
      <c r="A803" s="74">
        <v>1183</v>
      </c>
      <c r="B803" s="75" t="s">
        <v>36</v>
      </c>
      <c r="C803" s="75" t="s">
        <v>900</v>
      </c>
      <c r="D803" s="75" t="s">
        <v>1830</v>
      </c>
      <c r="E803" s="75"/>
      <c r="F803" s="68" t="str">
        <f t="shared" si="50"/>
        <v>Kitholhu</v>
      </c>
      <c r="G803" s="68" t="str">
        <f t="shared" si="51"/>
        <v>Kasese</v>
      </c>
      <c r="H803" s="75" t="s">
        <v>1830</v>
      </c>
    </row>
    <row r="804" spans="1:8">
      <c r="A804" s="74">
        <v>526</v>
      </c>
      <c r="B804" s="75" t="s">
        <v>1855</v>
      </c>
      <c r="C804" s="75" t="s">
        <v>1854</v>
      </c>
      <c r="D804" s="75" t="s">
        <v>1868</v>
      </c>
      <c r="E804" s="75"/>
      <c r="F804" s="68" t="str">
        <f t="shared" si="50"/>
        <v>Kitimbwa</v>
      </c>
      <c r="G804" s="68" t="str">
        <f t="shared" si="51"/>
        <v>Kayunga</v>
      </c>
      <c r="H804" s="75" t="s">
        <v>1868</v>
      </c>
    </row>
    <row r="805" spans="1:8">
      <c r="A805" s="74">
        <v>585</v>
      </c>
      <c r="B805" s="75" t="s">
        <v>2418</v>
      </c>
      <c r="C805" s="75" t="s">
        <v>2418</v>
      </c>
      <c r="D805" s="75" t="s">
        <v>2424</v>
      </c>
      <c r="E805" s="75"/>
      <c r="F805" s="68" t="str">
        <f t="shared" si="50"/>
        <v>Kito</v>
      </c>
      <c r="G805" s="68" t="str">
        <f t="shared" si="51"/>
        <v>Nakaseke</v>
      </c>
      <c r="H805" s="75" t="s">
        <v>2424</v>
      </c>
    </row>
    <row r="806" spans="1:8">
      <c r="A806" s="74">
        <v>1138</v>
      </c>
      <c r="B806" s="75" t="s">
        <v>1040</v>
      </c>
      <c r="C806" s="75" t="s">
        <v>1044</v>
      </c>
      <c r="D806" s="75" t="s">
        <v>1053</v>
      </c>
      <c r="E806" s="75"/>
      <c r="F806" s="68" t="str">
        <f t="shared" si="50"/>
        <v>Kitoba</v>
      </c>
      <c r="G806" s="68" t="str">
        <f t="shared" si="51"/>
        <v>Hoima</v>
      </c>
      <c r="H806" s="75" t="s">
        <v>1053</v>
      </c>
    </row>
    <row r="807" spans="1:8">
      <c r="A807" s="74">
        <v>1199</v>
      </c>
      <c r="B807" s="75" t="s">
        <v>36</v>
      </c>
      <c r="C807" s="75" t="s">
        <v>1812</v>
      </c>
      <c r="D807" s="75" t="s">
        <v>1831</v>
      </c>
      <c r="E807" s="75"/>
      <c r="F807" s="68" t="str">
        <f t="shared" si="50"/>
        <v>Kitswamba</v>
      </c>
      <c r="G807" s="68" t="str">
        <f t="shared" si="51"/>
        <v>Kasese</v>
      </c>
      <c r="H807" s="75" t="s">
        <v>1831</v>
      </c>
    </row>
    <row r="808" spans="1:8">
      <c r="A808" s="74">
        <v>1157</v>
      </c>
      <c r="B808" s="75" t="s">
        <v>1148</v>
      </c>
      <c r="C808" s="75" t="s">
        <v>1149</v>
      </c>
      <c r="D808" s="75" t="s">
        <v>1156</v>
      </c>
      <c r="E808" s="75"/>
      <c r="F808" s="68" t="str">
        <f t="shared" si="50"/>
        <v>Kitumba</v>
      </c>
      <c r="G808" s="68" t="str">
        <f t="shared" si="51"/>
        <v>Kabale</v>
      </c>
      <c r="H808" s="75" t="s">
        <v>1156</v>
      </c>
    </row>
    <row r="809" spans="1:8">
      <c r="A809" s="74">
        <v>471</v>
      </c>
      <c r="B809" s="75" t="s">
        <v>2342</v>
      </c>
      <c r="C809" s="75" t="s">
        <v>2345</v>
      </c>
      <c r="D809" s="75" t="s">
        <v>2356</v>
      </c>
      <c r="E809" s="75"/>
      <c r="F809" s="68" t="str">
        <f t="shared" si="50"/>
        <v>Kitumbi</v>
      </c>
      <c r="G809" s="68" t="str">
        <f t="shared" si="51"/>
        <v>Mubende</v>
      </c>
      <c r="H809" s="75" t="s">
        <v>2356</v>
      </c>
    </row>
    <row r="810" spans="1:8">
      <c r="A810" s="74">
        <v>454</v>
      </c>
      <c r="B810" s="75" t="s">
        <v>2328</v>
      </c>
      <c r="C810" s="75" t="s">
        <v>2329</v>
      </c>
      <c r="D810" s="75" t="s">
        <v>2332</v>
      </c>
      <c r="E810" s="75"/>
      <c r="F810" s="68" t="str">
        <f t="shared" si="50"/>
        <v>Kituntu</v>
      </c>
      <c r="G810" s="68" t="str">
        <f t="shared" si="51"/>
        <v>Mpigi</v>
      </c>
      <c r="H810" s="75" t="s">
        <v>2332</v>
      </c>
    </row>
    <row r="811" spans="1:8">
      <c r="A811" s="74">
        <v>1401</v>
      </c>
      <c r="B811" s="75" t="s">
        <v>1905</v>
      </c>
      <c r="C811" s="75" t="s">
        <v>1911</v>
      </c>
      <c r="D811" s="75" t="s">
        <v>1921</v>
      </c>
      <c r="E811" s="75"/>
      <c r="F811" s="68" t="str">
        <f t="shared" si="50"/>
        <v>Kitura</v>
      </c>
      <c r="G811" s="68" t="str">
        <f t="shared" si="51"/>
        <v>Kiruhura</v>
      </c>
      <c r="H811" s="75" t="s">
        <v>1921</v>
      </c>
    </row>
    <row r="812" spans="1:8">
      <c r="A812" s="74">
        <v>1271</v>
      </c>
      <c r="B812" s="75" t="s">
        <v>47</v>
      </c>
      <c r="C812" s="75" t="s">
        <v>2528</v>
      </c>
      <c r="D812" s="75" t="s">
        <v>2533</v>
      </c>
      <c r="E812" s="75"/>
      <c r="F812" s="68" t="str">
        <f t="shared" si="50"/>
        <v>Kitwe Town Council</v>
      </c>
      <c r="G812" s="68" t="str">
        <f t="shared" si="51"/>
        <v>Ntungamo</v>
      </c>
      <c r="H812" s="75" t="s">
        <v>2533</v>
      </c>
    </row>
    <row r="813" spans="1:8">
      <c r="A813" s="74">
        <v>859</v>
      </c>
      <c r="B813" s="75" t="s">
        <v>2209</v>
      </c>
      <c r="C813" s="75" t="s">
        <v>2210</v>
      </c>
      <c r="D813" s="75" t="s">
        <v>2218</v>
      </c>
      <c r="E813" s="75"/>
      <c r="F813" s="68" t="str">
        <f t="shared" si="50"/>
        <v>Kityerera</v>
      </c>
      <c r="G813" s="68" t="str">
        <f t="shared" si="51"/>
        <v>Mayuge</v>
      </c>
      <c r="H813" s="75" t="s">
        <v>2218</v>
      </c>
    </row>
    <row r="814" spans="1:8">
      <c r="A814" s="74">
        <v>586</v>
      </c>
      <c r="B814" s="75" t="s">
        <v>2418</v>
      </c>
      <c r="C814" s="75" t="s">
        <v>2418</v>
      </c>
      <c r="D814" s="75" t="s">
        <v>2425</v>
      </c>
      <c r="E814" s="75"/>
      <c r="F814" s="68" t="str">
        <f t="shared" si="50"/>
        <v>Kiwoko Town Council</v>
      </c>
      <c r="G814" s="68" t="str">
        <f t="shared" si="51"/>
        <v>Nakaseke</v>
      </c>
      <c r="H814" s="75" t="s">
        <v>2425</v>
      </c>
    </row>
    <row r="815" spans="1:8">
      <c r="A815" s="74">
        <v>1436</v>
      </c>
      <c r="B815" s="75" t="s">
        <v>46</v>
      </c>
      <c r="C815" s="75" t="s">
        <v>2272</v>
      </c>
      <c r="D815" s="75" t="s">
        <v>2277</v>
      </c>
      <c r="E815" s="75"/>
      <c r="F815" s="68" t="str">
        <f t="shared" si="50"/>
        <v>Kiyanga</v>
      </c>
      <c r="G815" s="68" t="str">
        <f t="shared" si="51"/>
        <v>Mitooma</v>
      </c>
      <c r="H815" s="75" t="s">
        <v>2277</v>
      </c>
    </row>
    <row r="816" spans="1:8">
      <c r="A816" s="74">
        <v>460</v>
      </c>
      <c r="B816" s="75" t="s">
        <v>2342</v>
      </c>
      <c r="C816" s="75" t="s">
        <v>2348</v>
      </c>
      <c r="D816" s="75" t="s">
        <v>2357</v>
      </c>
      <c r="E816" s="75"/>
      <c r="F816" s="68" t="str">
        <f t="shared" si="50"/>
        <v>Kiyuni</v>
      </c>
      <c r="G816" s="68" t="str">
        <f t="shared" si="51"/>
        <v>Mubende</v>
      </c>
      <c r="H816" s="75" t="s">
        <v>2357</v>
      </c>
    </row>
    <row r="817" spans="1:8">
      <c r="A817" s="74">
        <v>510</v>
      </c>
      <c r="B817" s="75" t="s">
        <v>2618</v>
      </c>
      <c r="C817" s="75" t="s">
        <v>2078</v>
      </c>
      <c r="D817" s="75" t="s">
        <v>2624</v>
      </c>
      <c r="E817" s="75"/>
      <c r="F817" s="68" t="str">
        <f t="shared" si="50"/>
        <v>Kiziba</v>
      </c>
      <c r="G817" s="68" t="str">
        <f t="shared" si="51"/>
        <v>Rakai</v>
      </c>
      <c r="H817" s="75" t="s">
        <v>2624</v>
      </c>
    </row>
    <row r="818" spans="1:8">
      <c r="A818" s="74">
        <v>1143</v>
      </c>
      <c r="B818" s="75" t="s">
        <v>1040</v>
      </c>
      <c r="C818" s="75" t="s">
        <v>1041</v>
      </c>
      <c r="D818" s="75" t="s">
        <v>1054</v>
      </c>
      <c r="E818" s="75"/>
      <c r="F818" s="68" t="str">
        <f t="shared" si="50"/>
        <v>Kiziranfumbi</v>
      </c>
      <c r="G818" s="68" t="str">
        <f t="shared" si="51"/>
        <v>Hoima</v>
      </c>
      <c r="H818" s="75" t="s">
        <v>1054</v>
      </c>
    </row>
    <row r="819" spans="1:8">
      <c r="A819" s="74">
        <v>652</v>
      </c>
      <c r="B819" s="75" t="s">
        <v>2142</v>
      </c>
      <c r="C819" s="75" t="s">
        <v>23</v>
      </c>
      <c r="D819" s="75" t="s">
        <v>2143</v>
      </c>
      <c r="E819" s="75"/>
      <c r="F819" s="68" t="str">
        <f t="shared" si="50"/>
        <v>Kkingo</v>
      </c>
      <c r="G819" s="68" t="str">
        <f t="shared" si="51"/>
        <v>Lwengo</v>
      </c>
      <c r="H819" s="75" t="s">
        <v>2143</v>
      </c>
    </row>
    <row r="820" spans="1:8">
      <c r="A820" s="74">
        <v>843</v>
      </c>
      <c r="B820" s="75" t="s">
        <v>1181</v>
      </c>
      <c r="C820" s="75" t="s">
        <v>1181</v>
      </c>
      <c r="D820" s="75" t="s">
        <v>1189</v>
      </c>
      <c r="E820" s="75"/>
      <c r="F820" s="68" t="str">
        <f t="shared" si="50"/>
        <v>Kobulubulu</v>
      </c>
      <c r="G820" s="68" t="str">
        <f t="shared" si="51"/>
        <v>Kaberamaido</v>
      </c>
      <c r="H820" s="75" t="s">
        <v>1189</v>
      </c>
    </row>
    <row r="821" spans="1:8">
      <c r="A821" s="74">
        <v>1064</v>
      </c>
      <c r="B821" s="75" t="s">
        <v>2509</v>
      </c>
      <c r="C821" s="75" t="s">
        <v>2509</v>
      </c>
      <c r="D821" s="75" t="s">
        <v>2510</v>
      </c>
      <c r="E821" s="75"/>
      <c r="F821" s="68" t="str">
        <f t="shared" si="50"/>
        <v>Kobwin</v>
      </c>
      <c r="G821" s="68" t="str">
        <f t="shared" si="51"/>
        <v>Ngora</v>
      </c>
      <c r="H821" s="75" t="s">
        <v>2510</v>
      </c>
    </row>
    <row r="822" spans="1:8">
      <c r="A822" s="74">
        <v>284</v>
      </c>
      <c r="B822" s="75" t="s">
        <v>2549</v>
      </c>
      <c r="C822" s="75" t="s">
        <v>2549</v>
      </c>
      <c r="D822" s="75" t="s">
        <v>2552</v>
      </c>
      <c r="E822" s="75"/>
      <c r="F822" s="68" t="str">
        <f t="shared" si="50"/>
        <v>Koch-Goma</v>
      </c>
      <c r="G822" s="68" t="str">
        <f t="shared" si="51"/>
        <v>Nwoya</v>
      </c>
      <c r="H822" s="75" t="s">
        <v>2552</v>
      </c>
    </row>
    <row r="823" spans="1:8">
      <c r="A823" s="74">
        <v>143</v>
      </c>
      <c r="B823" s="75" t="s">
        <v>3009</v>
      </c>
      <c r="C823" s="75" t="s">
        <v>3010</v>
      </c>
      <c r="D823" s="75" t="s">
        <v>3015</v>
      </c>
      <c r="E823" s="75"/>
      <c r="F823" s="68" t="str">
        <f t="shared" si="50"/>
        <v>Kochi</v>
      </c>
      <c r="G823" s="68" t="str">
        <f t="shared" si="51"/>
        <v>Yumbe</v>
      </c>
      <c r="H823" s="75" t="s">
        <v>3015</v>
      </c>
    </row>
    <row r="824" spans="1:8">
      <c r="A824" s="74">
        <v>261</v>
      </c>
      <c r="B824" s="75" t="s">
        <v>1977</v>
      </c>
      <c r="C824" s="75" t="s">
        <v>1977</v>
      </c>
      <c r="D824" s="75" t="s">
        <v>1982</v>
      </c>
      <c r="E824" s="75"/>
      <c r="F824" s="68" t="str">
        <f t="shared" si="50"/>
        <v>Kole Town Council</v>
      </c>
      <c r="G824" s="68" t="str">
        <f t="shared" si="51"/>
        <v>Kole</v>
      </c>
      <c r="H824" s="75" t="s">
        <v>1982</v>
      </c>
    </row>
    <row r="825" spans="1:8">
      <c r="A825" s="74">
        <v>935</v>
      </c>
      <c r="B825" s="75" t="s">
        <v>844</v>
      </c>
      <c r="C825" s="75" t="s">
        <v>844</v>
      </c>
      <c r="D825" s="75" t="s">
        <v>848</v>
      </c>
      <c r="E825" s="75"/>
      <c r="F825" s="68" t="str">
        <f t="shared" si="50"/>
        <v>Kolir</v>
      </c>
      <c r="G825" s="68" t="str">
        <f t="shared" si="51"/>
        <v>Bukedea</v>
      </c>
      <c r="H825" s="75" t="s">
        <v>848</v>
      </c>
    </row>
    <row r="826" spans="1:8">
      <c r="A826" s="74">
        <v>478</v>
      </c>
      <c r="B826" s="75" t="s">
        <v>2369</v>
      </c>
      <c r="C826" s="75" t="s">
        <v>2369</v>
      </c>
      <c r="D826" s="75" t="s">
        <v>2372</v>
      </c>
      <c r="E826" s="75"/>
      <c r="F826" s="68" t="str">
        <f t="shared" si="50"/>
        <v>Koome Island</v>
      </c>
      <c r="G826" s="68" t="str">
        <f t="shared" si="51"/>
        <v>Mukono</v>
      </c>
      <c r="H826" s="75" t="s">
        <v>2372</v>
      </c>
    </row>
    <row r="827" spans="1:8">
      <c r="A827" s="74">
        <v>306</v>
      </c>
      <c r="B827" s="75" t="s">
        <v>687</v>
      </c>
      <c r="C827" s="75" t="s">
        <v>687</v>
      </c>
      <c r="D827" s="75" t="s">
        <v>2555</v>
      </c>
      <c r="E827" s="75"/>
      <c r="F827" s="68" t="str">
        <f t="shared" si="50"/>
        <v>Koro</v>
      </c>
      <c r="G827" s="68" t="str">
        <f t="shared" si="51"/>
        <v>Omoro</v>
      </c>
      <c r="H827" s="75" t="s">
        <v>2555</v>
      </c>
    </row>
    <row r="828" spans="1:8">
      <c r="A828" s="74">
        <v>944</v>
      </c>
      <c r="B828" s="75" t="s">
        <v>856</v>
      </c>
      <c r="C828" s="75" t="s">
        <v>857</v>
      </c>
      <c r="D828" s="75" t="s">
        <v>864</v>
      </c>
      <c r="E828" s="75"/>
      <c r="F828" s="68" t="str">
        <f t="shared" si="50"/>
        <v>Kortek</v>
      </c>
      <c r="G828" s="68" t="str">
        <f t="shared" si="51"/>
        <v>Bukwo</v>
      </c>
      <c r="H828" s="75" t="s">
        <v>864</v>
      </c>
    </row>
    <row r="829" spans="1:8">
      <c r="A829" s="74">
        <v>71</v>
      </c>
      <c r="B829" s="75" t="s">
        <v>1985</v>
      </c>
      <c r="C829" s="75" t="s">
        <v>1986</v>
      </c>
      <c r="D829" s="75" t="s">
        <v>1985</v>
      </c>
      <c r="E829" s="75"/>
      <c r="F829" s="68" t="str">
        <f t="shared" si="50"/>
        <v>Kotido</v>
      </c>
      <c r="G829" s="68" t="str">
        <f t="shared" si="51"/>
        <v>Kotido</v>
      </c>
      <c r="H829" s="75" t="s">
        <v>1985</v>
      </c>
    </row>
    <row r="830" spans="1:8">
      <c r="A830" s="74">
        <v>231</v>
      </c>
      <c r="B830" s="75" t="s">
        <v>661</v>
      </c>
      <c r="C830" s="75" t="s">
        <v>661</v>
      </c>
      <c r="D830" s="75" t="s">
        <v>665</v>
      </c>
      <c r="E830" s="75"/>
      <c r="F830" s="68" t="str">
        <f t="shared" si="50"/>
        <v>Kotomol</v>
      </c>
      <c r="G830" s="68" t="str">
        <f t="shared" si="51"/>
        <v>Agago</v>
      </c>
      <c r="H830" s="75" t="s">
        <v>665</v>
      </c>
    </row>
    <row r="831" spans="1:8">
      <c r="A831" s="74">
        <v>113</v>
      </c>
      <c r="B831" s="75" t="s">
        <v>2499</v>
      </c>
      <c r="C831" s="75" t="s">
        <v>2500</v>
      </c>
      <c r="D831" s="75" t="s">
        <v>2503</v>
      </c>
      <c r="E831" s="75"/>
      <c r="F831" s="68" t="str">
        <f t="shared" si="50"/>
        <v>Kucwiny</v>
      </c>
      <c r="G831" s="68" t="str">
        <f t="shared" si="51"/>
        <v>Nebbi</v>
      </c>
      <c r="H831" s="75" t="s">
        <v>2503</v>
      </c>
    </row>
    <row r="832" spans="1:8">
      <c r="A832" s="74">
        <v>891</v>
      </c>
      <c r="B832" s="75" t="s">
        <v>707</v>
      </c>
      <c r="C832" s="75" t="s">
        <v>707</v>
      </c>
      <c r="D832" s="75" t="s">
        <v>715</v>
      </c>
      <c r="E832" s="75"/>
      <c r="F832" s="68" t="str">
        <f t="shared" si="50"/>
        <v>Kuju</v>
      </c>
      <c r="G832" s="68" t="str">
        <f t="shared" si="51"/>
        <v>Amuria</v>
      </c>
      <c r="H832" s="75" t="s">
        <v>715</v>
      </c>
    </row>
    <row r="833" spans="1:8">
      <c r="A833" s="74">
        <v>200</v>
      </c>
      <c r="B833" s="75" t="s">
        <v>1969</v>
      </c>
      <c r="C833" s="75" t="s">
        <v>1969</v>
      </c>
      <c r="D833" s="75" t="s">
        <v>1972</v>
      </c>
      <c r="E833" s="75"/>
      <c r="F833" s="68" t="str">
        <f t="shared" si="50"/>
        <v>Kuluba</v>
      </c>
      <c r="G833" s="68" t="str">
        <f t="shared" si="51"/>
        <v>Koboko</v>
      </c>
      <c r="H833" s="75" t="s">
        <v>1972</v>
      </c>
    </row>
    <row r="834" spans="1:8">
      <c r="A834" s="74">
        <v>144</v>
      </c>
      <c r="B834" s="75" t="s">
        <v>3009</v>
      </c>
      <c r="C834" s="75" t="s">
        <v>3010</v>
      </c>
      <c r="D834" s="75" t="s">
        <v>3016</v>
      </c>
      <c r="E834" s="75"/>
      <c r="F834" s="68" t="str">
        <f t="shared" si="50"/>
        <v>Kululu</v>
      </c>
      <c r="G834" s="68" t="str">
        <f t="shared" si="51"/>
        <v>Yumbe</v>
      </c>
      <c r="H834" s="75" t="s">
        <v>3016</v>
      </c>
    </row>
    <row r="835" spans="1:8">
      <c r="A835" s="74">
        <v>765</v>
      </c>
      <c r="B835" s="75" t="s">
        <v>1992</v>
      </c>
      <c r="C835" s="75" t="s">
        <v>1992</v>
      </c>
      <c r="D835" s="75" t="s">
        <v>1992</v>
      </c>
      <c r="E835" s="75"/>
      <c r="F835" s="68" t="str">
        <f t="shared" si="50"/>
        <v>Kumi</v>
      </c>
      <c r="G835" s="68" t="str">
        <f t="shared" si="51"/>
        <v>Kumi</v>
      </c>
      <c r="H835" s="75" t="s">
        <v>1992</v>
      </c>
    </row>
    <row r="836" spans="1:8">
      <c r="A836" s="74">
        <v>145</v>
      </c>
      <c r="B836" s="75" t="s">
        <v>3009</v>
      </c>
      <c r="C836" s="75" t="s">
        <v>3010</v>
      </c>
      <c r="D836" s="75" t="s">
        <v>3017</v>
      </c>
      <c r="E836" s="75"/>
      <c r="F836" s="68" t="str">
        <f t="shared" ref="F836:F899" si="52">D836</f>
        <v>Kuru</v>
      </c>
      <c r="G836" s="68" t="str">
        <f t="shared" si="51"/>
        <v>Yumbe</v>
      </c>
      <c r="H836" s="75" t="s">
        <v>3017</v>
      </c>
    </row>
    <row r="837" spans="1:8">
      <c r="A837" s="74">
        <v>1042</v>
      </c>
      <c r="B837" s="75" t="s">
        <v>1999</v>
      </c>
      <c r="C837" s="75" t="s">
        <v>1999</v>
      </c>
      <c r="D837" s="75" t="s">
        <v>2007</v>
      </c>
      <c r="E837" s="75"/>
      <c r="F837" s="68" t="str">
        <f t="shared" si="52"/>
        <v>Kwanyiy</v>
      </c>
      <c r="G837" s="68" t="str">
        <f t="shared" si="51"/>
        <v>Kween</v>
      </c>
      <c r="H837" s="75" t="s">
        <v>2007</v>
      </c>
    </row>
    <row r="838" spans="1:8">
      <c r="A838" s="74">
        <v>818</v>
      </c>
      <c r="B838" s="75" t="s">
        <v>2751</v>
      </c>
      <c r="C838" s="75" t="s">
        <v>2751</v>
      </c>
      <c r="D838" s="75" t="s">
        <v>2755</v>
      </c>
      <c r="E838" s="75"/>
      <c r="F838" s="68" t="str">
        <f t="shared" si="52"/>
        <v>Kwapa</v>
      </c>
      <c r="G838" s="68" t="str">
        <f t="shared" si="51"/>
        <v>Tororo</v>
      </c>
      <c r="H838" s="75" t="s">
        <v>2755</v>
      </c>
    </row>
    <row r="839" spans="1:8">
      <c r="A839" s="74">
        <v>181</v>
      </c>
      <c r="B839" s="75" t="s">
        <v>1014</v>
      </c>
      <c r="C839" s="75" t="s">
        <v>1014</v>
      </c>
      <c r="D839" s="75" t="s">
        <v>1021</v>
      </c>
      <c r="E839" s="75"/>
      <c r="F839" s="68" t="str">
        <f t="shared" si="52"/>
        <v>Kwera</v>
      </c>
      <c r="G839" s="68" t="str">
        <f t="shared" si="51"/>
        <v>Dokolo</v>
      </c>
      <c r="H839" s="75" t="s">
        <v>1021</v>
      </c>
    </row>
    <row r="840" spans="1:8">
      <c r="A840" s="74">
        <v>1043</v>
      </c>
      <c r="B840" s="75" t="s">
        <v>1999</v>
      </c>
      <c r="C840" s="75" t="s">
        <v>1999</v>
      </c>
      <c r="D840" s="75" t="s">
        <v>2008</v>
      </c>
      <c r="E840" s="75"/>
      <c r="F840" s="68" t="str">
        <f t="shared" si="52"/>
        <v>Kwosir</v>
      </c>
      <c r="G840" s="68" t="str">
        <f t="shared" si="51"/>
        <v>Kween</v>
      </c>
      <c r="H840" s="75" t="s">
        <v>2008</v>
      </c>
    </row>
    <row r="841" spans="1:8">
      <c r="A841" s="74">
        <v>1462</v>
      </c>
      <c r="B841" s="75" t="s">
        <v>2642</v>
      </c>
      <c r="C841" s="75" t="s">
        <v>2643</v>
      </c>
      <c r="D841" s="75" t="s">
        <v>2647</v>
      </c>
      <c r="E841" s="75"/>
      <c r="F841" s="68" t="str">
        <f t="shared" si="52"/>
        <v>Kyabakara</v>
      </c>
      <c r="G841" s="68" t="str">
        <f t="shared" si="51"/>
        <v>Rubirizi</v>
      </c>
      <c r="H841" s="75" t="s">
        <v>2647</v>
      </c>
    </row>
    <row r="842" spans="1:8">
      <c r="A842" s="74">
        <v>1200</v>
      </c>
      <c r="B842" s="75" t="s">
        <v>36</v>
      </c>
      <c r="C842" s="75" t="s">
        <v>1812</v>
      </c>
      <c r="D842" s="75" t="s">
        <v>1832</v>
      </c>
      <c r="E842" s="75"/>
      <c r="F842" s="68" t="str">
        <f t="shared" si="52"/>
        <v>Kyabarungira</v>
      </c>
      <c r="G842" s="68" t="str">
        <f t="shared" ref="G842:G905" si="53">B842</f>
        <v>Kasese</v>
      </c>
      <c r="H842" s="75" t="s">
        <v>1832</v>
      </c>
    </row>
    <row r="843" spans="1:8">
      <c r="A843" s="74">
        <v>1139</v>
      </c>
      <c r="B843" s="75" t="s">
        <v>1040</v>
      </c>
      <c r="C843" s="75" t="s">
        <v>1044</v>
      </c>
      <c r="D843" s="75" t="s">
        <v>1055</v>
      </c>
      <c r="E843" s="75"/>
      <c r="F843" s="68" t="str">
        <f t="shared" si="52"/>
        <v>Kyabigambire</v>
      </c>
      <c r="G843" s="68" t="str">
        <f t="shared" si="53"/>
        <v>Hoima</v>
      </c>
      <c r="H843" s="75" t="s">
        <v>1055</v>
      </c>
    </row>
    <row r="844" spans="1:8">
      <c r="A844" s="74">
        <v>1129</v>
      </c>
      <c r="B844" s="75" t="s">
        <v>38</v>
      </c>
      <c r="C844" s="75" t="s">
        <v>932</v>
      </c>
      <c r="D844" s="75" t="s">
        <v>941</v>
      </c>
      <c r="E844" s="75"/>
      <c r="F844" s="68" t="str">
        <f t="shared" si="52"/>
        <v>Kyabugimbi</v>
      </c>
      <c r="G844" s="68" t="str">
        <f t="shared" si="53"/>
        <v>Bushenyi</v>
      </c>
      <c r="H844" s="75" t="s">
        <v>941</v>
      </c>
    </row>
    <row r="845" spans="1:8">
      <c r="A845" s="74">
        <v>1429</v>
      </c>
      <c r="B845" s="75" t="s">
        <v>2045</v>
      </c>
      <c r="C845" s="75" t="s">
        <v>2046</v>
      </c>
      <c r="D845" s="75" t="s">
        <v>2050</v>
      </c>
      <c r="E845" s="75"/>
      <c r="F845" s="68" t="str">
        <f t="shared" si="52"/>
        <v>Kyaka Ii Refugee Camp</v>
      </c>
      <c r="G845" s="68" t="str">
        <f t="shared" si="53"/>
        <v>Kyegegwa</v>
      </c>
      <c r="H845" s="75" t="s">
        <v>2050</v>
      </c>
    </row>
    <row r="846" spans="1:8">
      <c r="A846" s="74">
        <v>1483</v>
      </c>
      <c r="B846" s="75" t="s">
        <v>1193</v>
      </c>
      <c r="C846" s="75" t="s">
        <v>1194</v>
      </c>
      <c r="D846" s="75" t="s">
        <v>1199</v>
      </c>
      <c r="E846" s="75"/>
      <c r="F846" s="68" t="str">
        <f t="shared" si="52"/>
        <v>Kyakabadiima</v>
      </c>
      <c r="G846" s="68" t="str">
        <f t="shared" si="53"/>
        <v>Kagadi</v>
      </c>
      <c r="H846" s="75" t="s">
        <v>1199</v>
      </c>
    </row>
    <row r="847" spans="1:8">
      <c r="A847" s="74">
        <v>511</v>
      </c>
      <c r="B847" s="75" t="s">
        <v>2618</v>
      </c>
      <c r="C847" s="75" t="s">
        <v>2078</v>
      </c>
      <c r="D847" s="75" t="s">
        <v>2625</v>
      </c>
      <c r="E847" s="75"/>
      <c r="F847" s="68" t="str">
        <f t="shared" si="52"/>
        <v>Kyalulangira</v>
      </c>
      <c r="G847" s="68" t="str">
        <f t="shared" si="53"/>
        <v>Rakai</v>
      </c>
      <c r="H847" s="75" t="s">
        <v>2625</v>
      </c>
    </row>
    <row r="848" spans="1:8">
      <c r="A848" s="74">
        <v>479</v>
      </c>
      <c r="B848" s="75" t="s">
        <v>2369</v>
      </c>
      <c r="C848" s="75" t="s">
        <v>2369</v>
      </c>
      <c r="D848" s="75" t="s">
        <v>2373</v>
      </c>
      <c r="E848" s="75"/>
      <c r="F848" s="68" t="str">
        <f t="shared" si="52"/>
        <v>Kyampisi</v>
      </c>
      <c r="G848" s="68" t="str">
        <f t="shared" si="53"/>
        <v>Mukono</v>
      </c>
      <c r="H848" s="75" t="s">
        <v>2373</v>
      </c>
    </row>
    <row r="849" spans="1:8">
      <c r="A849" s="74">
        <v>1130</v>
      </c>
      <c r="B849" s="75" t="s">
        <v>38</v>
      </c>
      <c r="C849" s="75" t="s">
        <v>932</v>
      </c>
      <c r="D849" s="75" t="s">
        <v>51</v>
      </c>
      <c r="E849" s="75"/>
      <c r="F849" s="68" t="str">
        <f t="shared" si="52"/>
        <v>Kyamuhunga</v>
      </c>
      <c r="G849" s="68" t="str">
        <f t="shared" si="53"/>
        <v>Bushenyi</v>
      </c>
      <c r="H849" s="75" t="s">
        <v>51</v>
      </c>
    </row>
    <row r="850" spans="1:8">
      <c r="A850" s="74">
        <v>1134</v>
      </c>
      <c r="B850" s="75" t="s">
        <v>38</v>
      </c>
      <c r="C850" s="75" t="s">
        <v>932</v>
      </c>
      <c r="D850" s="75" t="s">
        <v>942</v>
      </c>
      <c r="E850" s="75"/>
      <c r="F850" s="68" t="str">
        <f t="shared" si="52"/>
        <v>Kyamuhunga Town Council</v>
      </c>
      <c r="G850" s="68" t="str">
        <f t="shared" si="53"/>
        <v>Bushenyi</v>
      </c>
      <c r="H850" s="75" t="s">
        <v>942</v>
      </c>
    </row>
    <row r="851" spans="1:8">
      <c r="A851" s="74">
        <v>1525</v>
      </c>
      <c r="B851" s="75" t="s">
        <v>3146</v>
      </c>
      <c r="C851" s="75" t="s">
        <v>920</v>
      </c>
      <c r="D851" s="75" t="s">
        <v>927</v>
      </c>
      <c r="E851" s="75"/>
      <c r="F851" s="68" t="str">
        <f t="shared" si="52"/>
        <v>Kyamukube Town Council</v>
      </c>
      <c r="G851" s="68" t="str">
        <f t="shared" si="53"/>
        <v>Bunyangabu</v>
      </c>
      <c r="H851" s="75" t="s">
        <v>927</v>
      </c>
    </row>
    <row r="852" spans="1:8">
      <c r="A852" s="74">
        <v>634</v>
      </c>
      <c r="B852" s="75" t="s">
        <v>1248</v>
      </c>
      <c r="C852" s="75" t="s">
        <v>1248</v>
      </c>
      <c r="D852" s="75" t="s">
        <v>1250</v>
      </c>
      <c r="E852" s="75"/>
      <c r="F852" s="68" t="str">
        <f t="shared" si="52"/>
        <v>Kyamulibwa</v>
      </c>
      <c r="G852" s="68" t="str">
        <f t="shared" si="53"/>
        <v>Kalungu</v>
      </c>
      <c r="H852" s="75" t="s">
        <v>1250</v>
      </c>
    </row>
    <row r="853" spans="1:8">
      <c r="A853" s="74">
        <v>637</v>
      </c>
      <c r="B853" s="75" t="s">
        <v>1248</v>
      </c>
      <c r="C853" s="75" t="s">
        <v>1248</v>
      </c>
      <c r="D853" s="75" t="s">
        <v>1251</v>
      </c>
      <c r="E853" s="75"/>
      <c r="F853" s="68" t="str">
        <f t="shared" si="52"/>
        <v>Kyamulibwa Town Council</v>
      </c>
      <c r="G853" s="68" t="str">
        <f t="shared" si="53"/>
        <v>Kalungu</v>
      </c>
      <c r="H853" s="75" t="s">
        <v>1251</v>
      </c>
    </row>
    <row r="854" spans="1:8">
      <c r="A854" s="74">
        <v>323</v>
      </c>
      <c r="B854" s="75" t="s">
        <v>1226</v>
      </c>
      <c r="C854" s="75" t="s">
        <v>1227</v>
      </c>
      <c r="D854" s="75" t="s">
        <v>1227</v>
      </c>
      <c r="E854" s="75"/>
      <c r="F854" s="68" t="str">
        <f t="shared" si="52"/>
        <v>Kyamuswa</v>
      </c>
      <c r="G854" s="68" t="str">
        <f t="shared" si="53"/>
        <v>Kalangala</v>
      </c>
      <c r="H854" s="75" t="s">
        <v>1227</v>
      </c>
    </row>
    <row r="855" spans="1:8">
      <c r="A855" s="74">
        <v>1484</v>
      </c>
      <c r="B855" s="75" t="s">
        <v>1193</v>
      </c>
      <c r="C855" s="75" t="s">
        <v>1194</v>
      </c>
      <c r="D855" s="75" t="s">
        <v>1200</v>
      </c>
      <c r="E855" s="75"/>
      <c r="F855" s="68" t="str">
        <f t="shared" si="52"/>
        <v>Kyanaisoke</v>
      </c>
      <c r="G855" s="68" t="str">
        <f t="shared" si="53"/>
        <v>Kagadi</v>
      </c>
      <c r="H855" s="75" t="s">
        <v>1200</v>
      </c>
    </row>
    <row r="856" spans="1:8">
      <c r="A856" s="74">
        <v>1158</v>
      </c>
      <c r="B856" s="75" t="s">
        <v>1148</v>
      </c>
      <c r="C856" s="75" t="s">
        <v>1149</v>
      </c>
      <c r="D856" s="75" t="s">
        <v>1157</v>
      </c>
      <c r="E856" s="75"/>
      <c r="F856" s="68" t="str">
        <f t="shared" si="52"/>
        <v>Kyanamira</v>
      </c>
      <c r="G856" s="68" t="str">
        <f t="shared" si="53"/>
        <v>Kabale</v>
      </c>
      <c r="H856" s="75" t="s">
        <v>1157</v>
      </c>
    </row>
    <row r="857" spans="1:8">
      <c r="A857" s="74">
        <v>445</v>
      </c>
      <c r="B857" s="75" t="s">
        <v>39</v>
      </c>
      <c r="C857" s="75" t="s">
        <v>23</v>
      </c>
      <c r="D857" s="75" t="s">
        <v>2188</v>
      </c>
      <c r="E857" s="75"/>
      <c r="F857" s="68" t="str">
        <f t="shared" si="52"/>
        <v>Kyanamukaaka</v>
      </c>
      <c r="G857" s="68" t="str">
        <f t="shared" si="53"/>
        <v>Masaka</v>
      </c>
      <c r="H857" s="75" t="s">
        <v>2188</v>
      </c>
    </row>
    <row r="858" spans="1:8">
      <c r="A858" s="74">
        <v>1144</v>
      </c>
      <c r="B858" s="75" t="s">
        <v>1040</v>
      </c>
      <c r="C858" s="75" t="s">
        <v>1041</v>
      </c>
      <c r="D858" s="75" t="s">
        <v>1056</v>
      </c>
      <c r="E858" s="75"/>
      <c r="F858" s="68" t="str">
        <f t="shared" si="52"/>
        <v>Kyangwali</v>
      </c>
      <c r="G858" s="68" t="str">
        <f t="shared" si="53"/>
        <v>Hoima</v>
      </c>
      <c r="H858" s="75" t="s">
        <v>1056</v>
      </c>
    </row>
    <row r="859" spans="1:8">
      <c r="A859" s="74">
        <v>1467</v>
      </c>
      <c r="B859" s="75" t="s">
        <v>41</v>
      </c>
      <c r="C859" s="75" t="s">
        <v>41</v>
      </c>
      <c r="D859" s="75" t="s">
        <v>2698</v>
      </c>
      <c r="E859" s="75"/>
      <c r="F859" s="68" t="str">
        <f t="shared" si="52"/>
        <v>Kyangyenyi</v>
      </c>
      <c r="G859" s="68" t="str">
        <f t="shared" si="53"/>
        <v>Sheema</v>
      </c>
      <c r="H859" s="75" t="s">
        <v>2698</v>
      </c>
    </row>
    <row r="860" spans="1:8">
      <c r="A860" s="74">
        <v>642</v>
      </c>
      <c r="B860" s="75" t="s">
        <v>2012</v>
      </c>
      <c r="C860" s="75" t="s">
        <v>1882</v>
      </c>
      <c r="D860" s="75" t="s">
        <v>2012</v>
      </c>
      <c r="E860" s="75"/>
      <c r="F860" s="68" t="str">
        <f t="shared" si="52"/>
        <v>Kyankwanzi</v>
      </c>
      <c r="G860" s="68" t="str">
        <f t="shared" si="53"/>
        <v>Kyankwanzi</v>
      </c>
      <c r="H860" s="75" t="s">
        <v>2012</v>
      </c>
    </row>
    <row r="861" spans="1:8">
      <c r="A861" s="74">
        <v>650</v>
      </c>
      <c r="B861" s="75" t="s">
        <v>2012</v>
      </c>
      <c r="C861" s="75" t="s">
        <v>1882</v>
      </c>
      <c r="D861" s="75" t="s">
        <v>2036</v>
      </c>
      <c r="E861" s="75"/>
      <c r="F861" s="68" t="str">
        <f t="shared" si="52"/>
        <v>Kyankwanzi Town Council</v>
      </c>
      <c r="G861" s="68" t="str">
        <f t="shared" si="53"/>
        <v>Kyankwanzi</v>
      </c>
      <c r="H861" s="75" t="s">
        <v>2036</v>
      </c>
    </row>
    <row r="862" spans="1:8">
      <c r="A862" s="74">
        <v>1184</v>
      </c>
      <c r="B862" s="75" t="s">
        <v>36</v>
      </c>
      <c r="C862" s="75" t="s">
        <v>900</v>
      </c>
      <c r="D862" s="75" t="s">
        <v>1833</v>
      </c>
      <c r="E862" s="75"/>
      <c r="F862" s="68" t="str">
        <f t="shared" si="52"/>
        <v>Kyarumba</v>
      </c>
      <c r="G862" s="68" t="str">
        <f t="shared" si="53"/>
        <v>Kasese</v>
      </c>
      <c r="H862" s="75" t="s">
        <v>1833</v>
      </c>
    </row>
    <row r="863" spans="1:8">
      <c r="A863" s="74">
        <v>1340</v>
      </c>
      <c r="B863" s="75" t="s">
        <v>2056</v>
      </c>
      <c r="C863" s="75" t="s">
        <v>2057</v>
      </c>
      <c r="D863" s="75" t="s">
        <v>2067</v>
      </c>
      <c r="E863" s="75"/>
      <c r="F863" s="68" t="str">
        <f t="shared" si="52"/>
        <v>Kyarusozi</v>
      </c>
      <c r="G863" s="68" t="str">
        <f t="shared" si="53"/>
        <v>Kyenjojo</v>
      </c>
      <c r="H863" s="75" t="s">
        <v>2067</v>
      </c>
    </row>
    <row r="864" spans="1:8">
      <c r="A864" s="74">
        <v>1341</v>
      </c>
      <c r="B864" s="75" t="s">
        <v>2056</v>
      </c>
      <c r="C864" s="75" t="s">
        <v>2057</v>
      </c>
      <c r="D864" s="75" t="s">
        <v>2068</v>
      </c>
      <c r="E864" s="75"/>
      <c r="F864" s="68" t="str">
        <f t="shared" si="52"/>
        <v>Kyarusozi Town Council</v>
      </c>
      <c r="G864" s="68" t="str">
        <f t="shared" si="53"/>
        <v>Kyenjojo</v>
      </c>
      <c r="H864" s="75" t="s">
        <v>2068</v>
      </c>
    </row>
    <row r="865" spans="1:8">
      <c r="A865" s="74">
        <v>1485</v>
      </c>
      <c r="B865" s="75" t="s">
        <v>1193</v>
      </c>
      <c r="C865" s="75" t="s">
        <v>1194</v>
      </c>
      <c r="D865" s="75" t="s">
        <v>1201</v>
      </c>
      <c r="E865" s="75"/>
      <c r="F865" s="68" t="str">
        <f t="shared" si="52"/>
        <v>Kyaterekera</v>
      </c>
      <c r="G865" s="68" t="str">
        <f t="shared" si="53"/>
        <v>Kagadi</v>
      </c>
      <c r="H865" s="75" t="s">
        <v>1201</v>
      </c>
    </row>
    <row r="866" spans="1:8">
      <c r="A866" s="74">
        <v>653</v>
      </c>
      <c r="B866" s="75" t="s">
        <v>2142</v>
      </c>
      <c r="C866" s="75" t="s">
        <v>23</v>
      </c>
      <c r="D866" s="75" t="s">
        <v>2144</v>
      </c>
      <c r="E866" s="75"/>
      <c r="F866" s="68" t="str">
        <f t="shared" si="52"/>
        <v>Kyazanga</v>
      </c>
      <c r="G866" s="68" t="str">
        <f t="shared" si="53"/>
        <v>Lwengo</v>
      </c>
      <c r="H866" s="75" t="s">
        <v>2144</v>
      </c>
    </row>
    <row r="867" spans="1:8">
      <c r="A867" s="74">
        <v>654</v>
      </c>
      <c r="B867" s="75" t="s">
        <v>2142</v>
      </c>
      <c r="C867" s="75" t="s">
        <v>23</v>
      </c>
      <c r="D867" s="75" t="s">
        <v>2145</v>
      </c>
      <c r="E867" s="75"/>
      <c r="F867" s="68" t="str">
        <f t="shared" si="52"/>
        <v>Kyazanga Town Council</v>
      </c>
      <c r="G867" s="68" t="str">
        <f t="shared" si="53"/>
        <v>Lwengo</v>
      </c>
      <c r="H867" s="75" t="s">
        <v>2145</v>
      </c>
    </row>
    <row r="868" spans="1:8">
      <c r="A868" s="74">
        <v>1211</v>
      </c>
      <c r="B868" s="75" t="s">
        <v>1871</v>
      </c>
      <c r="C868" s="75" t="s">
        <v>1872</v>
      </c>
      <c r="D868" s="75" t="s">
        <v>1568</v>
      </c>
      <c r="E868" s="75"/>
      <c r="F868" s="68" t="str">
        <f t="shared" si="52"/>
        <v>Kyebando</v>
      </c>
      <c r="G868" s="68" t="str">
        <f t="shared" si="53"/>
        <v>Kibaale</v>
      </c>
      <c r="H868" s="75" t="s">
        <v>1568</v>
      </c>
    </row>
    <row r="869" spans="1:8">
      <c r="A869" s="74">
        <v>661</v>
      </c>
      <c r="B869" s="75" t="s">
        <v>2074</v>
      </c>
      <c r="C869" s="75" t="s">
        <v>2078</v>
      </c>
      <c r="D869" s="75" t="s">
        <v>2080</v>
      </c>
      <c r="E869" s="75"/>
      <c r="F869" s="68" t="str">
        <f t="shared" si="52"/>
        <v>Kyebe</v>
      </c>
      <c r="G869" s="68" t="str">
        <f t="shared" si="53"/>
        <v>Kyotera</v>
      </c>
      <c r="H869" s="75" t="s">
        <v>2080</v>
      </c>
    </row>
    <row r="870" spans="1:8">
      <c r="A870" s="74">
        <v>1425</v>
      </c>
      <c r="B870" s="75" t="s">
        <v>2045</v>
      </c>
      <c r="C870" s="75" t="s">
        <v>2046</v>
      </c>
      <c r="D870" s="75" t="s">
        <v>2051</v>
      </c>
      <c r="E870" s="75"/>
      <c r="F870" s="68" t="str">
        <f t="shared" si="52"/>
        <v>Kyegegwa Town Council</v>
      </c>
      <c r="G870" s="68" t="str">
        <f t="shared" si="53"/>
        <v>Kyegegwa</v>
      </c>
      <c r="H870" s="75" t="s">
        <v>2051</v>
      </c>
    </row>
    <row r="871" spans="1:8">
      <c r="A871" s="74">
        <v>628</v>
      </c>
      <c r="B871" s="75" t="s">
        <v>1025</v>
      </c>
      <c r="C871" s="75" t="s">
        <v>1025</v>
      </c>
      <c r="D871" s="75" t="s">
        <v>1027</v>
      </c>
      <c r="E871" s="75"/>
      <c r="F871" s="68" t="str">
        <f t="shared" si="52"/>
        <v>Kyegonza</v>
      </c>
      <c r="G871" s="68" t="str">
        <f t="shared" si="53"/>
        <v>Gomba</v>
      </c>
      <c r="H871" s="75" t="s">
        <v>1027</v>
      </c>
    </row>
    <row r="872" spans="1:8">
      <c r="A872" s="74">
        <v>1131</v>
      </c>
      <c r="B872" s="75" t="s">
        <v>38</v>
      </c>
      <c r="C872" s="75" t="s">
        <v>932</v>
      </c>
      <c r="D872" s="75" t="s">
        <v>943</v>
      </c>
      <c r="E872" s="75"/>
      <c r="F872" s="68" t="str">
        <f t="shared" si="52"/>
        <v>Kyeizooba</v>
      </c>
      <c r="G872" s="68" t="str">
        <f t="shared" si="53"/>
        <v>Bushenyi</v>
      </c>
      <c r="H872" s="75" t="s">
        <v>943</v>
      </c>
    </row>
    <row r="873" spans="1:8">
      <c r="A873" s="74">
        <v>542</v>
      </c>
      <c r="B873" s="75" t="s">
        <v>2774</v>
      </c>
      <c r="C873" s="75" t="s">
        <v>2778</v>
      </c>
      <c r="D873" s="75" t="s">
        <v>2871</v>
      </c>
      <c r="E873" s="75"/>
      <c r="F873" s="68" t="str">
        <f t="shared" si="52"/>
        <v>Kyengera Town Council</v>
      </c>
      <c r="G873" s="68" t="str">
        <f t="shared" si="53"/>
        <v>Wakiso</v>
      </c>
      <c r="H873" s="75" t="s">
        <v>2871</v>
      </c>
    </row>
    <row r="874" spans="1:8">
      <c r="A874" s="74">
        <v>1342</v>
      </c>
      <c r="B874" s="75" t="s">
        <v>2056</v>
      </c>
      <c r="C874" s="75" t="s">
        <v>2057</v>
      </c>
      <c r="D874" s="75" t="s">
        <v>2069</v>
      </c>
      <c r="E874" s="75"/>
      <c r="F874" s="68" t="str">
        <f t="shared" si="52"/>
        <v>Kyenjojo Town Council</v>
      </c>
      <c r="G874" s="68" t="str">
        <f t="shared" si="53"/>
        <v>Kyenjojo</v>
      </c>
      <c r="H874" s="75" t="s">
        <v>2069</v>
      </c>
    </row>
    <row r="875" spans="1:8">
      <c r="A875" s="74">
        <v>1486</v>
      </c>
      <c r="B875" s="75" t="s">
        <v>1193</v>
      </c>
      <c r="C875" s="75" t="s">
        <v>1194</v>
      </c>
      <c r="D875" s="75" t="s">
        <v>1202</v>
      </c>
      <c r="E875" s="75"/>
      <c r="F875" s="68" t="str">
        <f t="shared" si="52"/>
        <v>Kyenzige</v>
      </c>
      <c r="G875" s="68" t="str">
        <f t="shared" si="53"/>
        <v>Kagadi</v>
      </c>
      <c r="H875" s="75" t="s">
        <v>1202</v>
      </c>
    </row>
    <row r="876" spans="1:8">
      <c r="A876" s="74">
        <v>1075</v>
      </c>
      <c r="B876" s="75" t="s">
        <v>2675</v>
      </c>
      <c r="C876" s="75" t="s">
        <v>2675</v>
      </c>
      <c r="D876" s="75" t="s">
        <v>2681</v>
      </c>
      <c r="E876" s="75"/>
      <c r="F876" s="68" t="str">
        <f t="shared" si="52"/>
        <v>Kyere</v>
      </c>
      <c r="G876" s="68" t="str">
        <f t="shared" si="53"/>
        <v>Serere</v>
      </c>
      <c r="H876" s="75" t="s">
        <v>2681</v>
      </c>
    </row>
    <row r="877" spans="1:8">
      <c r="A877" s="74">
        <v>446</v>
      </c>
      <c r="B877" s="75" t="s">
        <v>39</v>
      </c>
      <c r="C877" s="75" t="s">
        <v>23</v>
      </c>
      <c r="D877" s="75" t="s">
        <v>2189</v>
      </c>
      <c r="E877" s="75"/>
      <c r="F877" s="68" t="str">
        <f t="shared" si="52"/>
        <v>Kyesiiga</v>
      </c>
      <c r="G877" s="68" t="str">
        <f t="shared" si="53"/>
        <v>Masaka</v>
      </c>
      <c r="H877" s="75" t="s">
        <v>2189</v>
      </c>
    </row>
    <row r="878" spans="1:8">
      <c r="A878" s="74">
        <v>1185</v>
      </c>
      <c r="B878" s="75" t="s">
        <v>36</v>
      </c>
      <c r="C878" s="75" t="s">
        <v>900</v>
      </c>
      <c r="D878" s="75" t="s">
        <v>1834</v>
      </c>
      <c r="E878" s="75"/>
      <c r="F878" s="68" t="str">
        <f t="shared" si="52"/>
        <v>Kyondo</v>
      </c>
      <c r="G878" s="68" t="str">
        <f t="shared" si="53"/>
        <v>Kasese</v>
      </c>
      <c r="H878" s="75" t="s">
        <v>1834</v>
      </c>
    </row>
    <row r="879" spans="1:8">
      <c r="A879" s="74">
        <v>666</v>
      </c>
      <c r="B879" s="75" t="s">
        <v>2074</v>
      </c>
      <c r="C879" s="75" t="s">
        <v>2074</v>
      </c>
      <c r="D879" s="75" t="s">
        <v>2081</v>
      </c>
      <c r="E879" s="75"/>
      <c r="F879" s="68" t="str">
        <f t="shared" si="52"/>
        <v>Kyotera Town Council</v>
      </c>
      <c r="G879" s="68" t="str">
        <f t="shared" si="53"/>
        <v>Kyotera</v>
      </c>
      <c r="H879" s="75" t="s">
        <v>2081</v>
      </c>
    </row>
    <row r="880" spans="1:8">
      <c r="A880" s="74">
        <v>59</v>
      </c>
      <c r="B880" s="75" t="s">
        <v>1957</v>
      </c>
      <c r="C880" s="75" t="s">
        <v>1958</v>
      </c>
      <c r="D880" s="75" t="s">
        <v>1960</v>
      </c>
      <c r="E880" s="75"/>
      <c r="F880" s="68" t="str">
        <f t="shared" si="52"/>
        <v>Labongo Akwang</v>
      </c>
      <c r="G880" s="68" t="str">
        <f t="shared" si="53"/>
        <v>Kitgum</v>
      </c>
      <c r="H880" s="75" t="s">
        <v>1960</v>
      </c>
    </row>
    <row r="881" spans="1:8">
      <c r="A881" s="74">
        <v>60</v>
      </c>
      <c r="B881" s="75" t="s">
        <v>1957</v>
      </c>
      <c r="C881" s="75" t="s">
        <v>1958</v>
      </c>
      <c r="D881" s="75" t="s">
        <v>1961</v>
      </c>
      <c r="E881" s="75"/>
      <c r="F881" s="68" t="str">
        <f t="shared" si="52"/>
        <v>Labongo Amida</v>
      </c>
      <c r="G881" s="68" t="str">
        <f t="shared" si="53"/>
        <v>Kitgum</v>
      </c>
      <c r="H881" s="75" t="s">
        <v>1961</v>
      </c>
    </row>
    <row r="882" spans="1:8">
      <c r="A882" s="74">
        <v>61</v>
      </c>
      <c r="B882" s="75" t="s">
        <v>1957</v>
      </c>
      <c r="C882" s="75" t="s">
        <v>1958</v>
      </c>
      <c r="D882" s="75" t="s">
        <v>1962</v>
      </c>
      <c r="E882" s="75"/>
      <c r="F882" s="68" t="str">
        <f t="shared" si="52"/>
        <v>Labongo Layamo</v>
      </c>
      <c r="G882" s="68" t="str">
        <f t="shared" si="53"/>
        <v>Kitgum</v>
      </c>
      <c r="H882" s="75" t="s">
        <v>1962</v>
      </c>
    </row>
    <row r="883" spans="1:8">
      <c r="A883" s="74">
        <v>1071</v>
      </c>
      <c r="B883" s="75" t="s">
        <v>2675</v>
      </c>
      <c r="C883" s="75" t="s">
        <v>2677</v>
      </c>
      <c r="D883" s="75" t="s">
        <v>2682</v>
      </c>
      <c r="E883" s="75"/>
      <c r="F883" s="68" t="str">
        <f t="shared" si="52"/>
        <v>Labori</v>
      </c>
      <c r="G883" s="68" t="str">
        <f t="shared" si="53"/>
        <v>Serere</v>
      </c>
      <c r="H883" s="75" t="s">
        <v>2682</v>
      </c>
    </row>
    <row r="884" spans="1:8">
      <c r="A884" s="74">
        <v>62</v>
      </c>
      <c r="B884" s="75" t="s">
        <v>1957</v>
      </c>
      <c r="C884" s="75" t="s">
        <v>1958</v>
      </c>
      <c r="D884" s="75" t="s">
        <v>1963</v>
      </c>
      <c r="E884" s="75"/>
      <c r="F884" s="68" t="str">
        <f t="shared" si="52"/>
        <v>Lagoro</v>
      </c>
      <c r="G884" s="68" t="str">
        <f t="shared" si="53"/>
        <v>Kitgum</v>
      </c>
      <c r="H884" s="75" t="s">
        <v>1963</v>
      </c>
    </row>
    <row r="885" spans="1:8">
      <c r="A885" s="74">
        <v>130</v>
      </c>
      <c r="B885" s="75" t="s">
        <v>2585</v>
      </c>
      <c r="C885" s="75" t="s">
        <v>2586</v>
      </c>
      <c r="D885" s="75" t="s">
        <v>2590</v>
      </c>
      <c r="E885" s="75"/>
      <c r="F885" s="68" t="str">
        <f t="shared" si="52"/>
        <v>Laguti</v>
      </c>
      <c r="G885" s="68" t="str">
        <f t="shared" si="53"/>
        <v>Pader</v>
      </c>
      <c r="H885" s="75" t="s">
        <v>2590</v>
      </c>
    </row>
    <row r="886" spans="1:8">
      <c r="A886" s="74">
        <v>1201</v>
      </c>
      <c r="B886" s="75" t="s">
        <v>36</v>
      </c>
      <c r="C886" s="75" t="s">
        <v>1812</v>
      </c>
      <c r="D886" s="75" t="s">
        <v>1835</v>
      </c>
      <c r="E886" s="75"/>
      <c r="F886" s="68" t="str">
        <f t="shared" si="52"/>
        <v>Lake Katwe</v>
      </c>
      <c r="G886" s="68" t="str">
        <f t="shared" si="53"/>
        <v>Kasese</v>
      </c>
      <c r="H886" s="75" t="s">
        <v>1835</v>
      </c>
    </row>
    <row r="887" spans="1:8">
      <c r="A887" s="74">
        <v>307</v>
      </c>
      <c r="B887" s="75" t="s">
        <v>687</v>
      </c>
      <c r="C887" s="75" t="s">
        <v>687</v>
      </c>
      <c r="D887" s="75" t="s">
        <v>2556</v>
      </c>
      <c r="E887" s="75"/>
      <c r="F887" s="68" t="str">
        <f t="shared" si="52"/>
        <v>Lakwana</v>
      </c>
      <c r="G887" s="68" t="str">
        <f t="shared" si="53"/>
        <v>Omoro</v>
      </c>
      <c r="H887" s="75" t="s">
        <v>2556</v>
      </c>
    </row>
    <row r="888" spans="1:8">
      <c r="A888" s="74">
        <v>308</v>
      </c>
      <c r="B888" s="75" t="s">
        <v>687</v>
      </c>
      <c r="C888" s="75" t="s">
        <v>687</v>
      </c>
      <c r="D888" s="75" t="s">
        <v>2557</v>
      </c>
      <c r="E888" s="75"/>
      <c r="F888" s="68" t="str">
        <f t="shared" si="52"/>
        <v>Lalogi</v>
      </c>
      <c r="G888" s="68" t="str">
        <f t="shared" si="53"/>
        <v>Omoro</v>
      </c>
      <c r="H888" s="75" t="s">
        <v>2557</v>
      </c>
    </row>
    <row r="889" spans="1:8">
      <c r="A889" s="74">
        <v>232</v>
      </c>
      <c r="B889" s="75" t="s">
        <v>661</v>
      </c>
      <c r="C889" s="75" t="s">
        <v>661</v>
      </c>
      <c r="D889" s="75" t="s">
        <v>666</v>
      </c>
      <c r="E889" s="75"/>
      <c r="F889" s="68" t="str">
        <f t="shared" si="52"/>
        <v>Lamiyo</v>
      </c>
      <c r="G889" s="68" t="str">
        <f t="shared" si="53"/>
        <v>Agago</v>
      </c>
      <c r="H889" s="75" t="s">
        <v>666</v>
      </c>
    </row>
    <row r="890" spans="1:8">
      <c r="A890" s="74">
        <v>171</v>
      </c>
      <c r="B890" s="75" t="s">
        <v>723</v>
      </c>
      <c r="C890" s="75" t="s">
        <v>724</v>
      </c>
      <c r="D890" s="75" t="s">
        <v>728</v>
      </c>
      <c r="E890" s="75"/>
      <c r="F890" s="68" t="str">
        <f t="shared" si="52"/>
        <v>Lamogi</v>
      </c>
      <c r="G890" s="68" t="str">
        <f t="shared" si="53"/>
        <v>Amuru</v>
      </c>
      <c r="H890" s="75" t="s">
        <v>728</v>
      </c>
    </row>
    <row r="891" spans="1:8">
      <c r="A891" s="74">
        <v>264</v>
      </c>
      <c r="B891" s="75" t="s">
        <v>2086</v>
      </c>
      <c r="C891" s="75" t="s">
        <v>2086</v>
      </c>
      <c r="D891" s="75" t="s">
        <v>2087</v>
      </c>
      <c r="E891" s="75"/>
      <c r="F891" s="68" t="str">
        <f t="shared" si="52"/>
        <v>Lamwo Town Council</v>
      </c>
      <c r="G891" s="68" t="str">
        <f t="shared" si="53"/>
        <v>Lamwo</v>
      </c>
      <c r="H891" s="75" t="s">
        <v>2087</v>
      </c>
    </row>
    <row r="892" spans="1:8">
      <c r="A892" s="74">
        <v>233</v>
      </c>
      <c r="B892" s="75" t="s">
        <v>661</v>
      </c>
      <c r="C892" s="75" t="s">
        <v>661</v>
      </c>
      <c r="D892" s="75" t="s">
        <v>667</v>
      </c>
      <c r="E892" s="75"/>
      <c r="F892" s="68" t="str">
        <f t="shared" si="52"/>
        <v>Lapono</v>
      </c>
      <c r="G892" s="68" t="str">
        <f t="shared" si="53"/>
        <v>Agago</v>
      </c>
      <c r="H892" s="75" t="s">
        <v>667</v>
      </c>
    </row>
    <row r="893" spans="1:8">
      <c r="A893" s="74">
        <v>131</v>
      </c>
      <c r="B893" s="75" t="s">
        <v>2585</v>
      </c>
      <c r="C893" s="75" t="s">
        <v>2586</v>
      </c>
      <c r="D893" s="75" t="s">
        <v>2591</v>
      </c>
      <c r="E893" s="75"/>
      <c r="F893" s="68" t="str">
        <f t="shared" si="52"/>
        <v>Lapul</v>
      </c>
      <c r="G893" s="68" t="str">
        <f t="shared" si="53"/>
        <v>Pader</v>
      </c>
      <c r="H893" s="75" t="s">
        <v>2591</v>
      </c>
    </row>
    <row r="894" spans="1:8">
      <c r="A894" s="74">
        <v>55</v>
      </c>
      <c r="B894" s="75" t="s">
        <v>1031</v>
      </c>
      <c r="C894" s="76" t="s">
        <v>1034</v>
      </c>
      <c r="D894" s="75" t="s">
        <v>3147</v>
      </c>
      <c r="E894" s="75"/>
      <c r="F894" s="69" t="str">
        <f>VLOOKUP(C894,[2]Municipalities!$C$9:$F$1522,4,FALSE)</f>
        <v>Gulu Municipality</v>
      </c>
      <c r="G894" s="68" t="str">
        <f t="shared" si="53"/>
        <v>Gulu</v>
      </c>
      <c r="H894" s="75" t="s">
        <v>3147</v>
      </c>
    </row>
    <row r="895" spans="1:8">
      <c r="A895" s="74">
        <v>102</v>
      </c>
      <c r="B895" s="75" t="s">
        <v>2317</v>
      </c>
      <c r="C895" s="75" t="s">
        <v>2320</v>
      </c>
      <c r="D895" s="75" t="s">
        <v>2323</v>
      </c>
      <c r="E895" s="75"/>
      <c r="F895" s="68" t="str">
        <f t="shared" si="52"/>
        <v>Laropi</v>
      </c>
      <c r="G895" s="68" t="str">
        <f t="shared" si="53"/>
        <v>Moyo</v>
      </c>
      <c r="H895" s="75" t="s">
        <v>2323</v>
      </c>
    </row>
    <row r="896" spans="1:8">
      <c r="A896" s="74">
        <v>132</v>
      </c>
      <c r="B896" s="75" t="s">
        <v>2585</v>
      </c>
      <c r="C896" s="75" t="s">
        <v>2586</v>
      </c>
      <c r="D896" s="75" t="s">
        <v>2592</v>
      </c>
      <c r="E896" s="75"/>
      <c r="F896" s="68" t="str">
        <f t="shared" si="52"/>
        <v>Latanya</v>
      </c>
      <c r="G896" s="68" t="str">
        <f t="shared" si="53"/>
        <v>Pader</v>
      </c>
      <c r="H896" s="75" t="s">
        <v>2592</v>
      </c>
    </row>
    <row r="897" spans="1:8">
      <c r="A897" s="74">
        <v>56</v>
      </c>
      <c r="B897" s="75" t="s">
        <v>1031</v>
      </c>
      <c r="C897" s="76" t="s">
        <v>1034</v>
      </c>
      <c r="D897" s="75" t="s">
        <v>3148</v>
      </c>
      <c r="E897" s="75"/>
      <c r="F897" s="69" t="str">
        <f>VLOOKUP(C897,[2]Municipalities!$C$9:$F$1522,4,FALSE)</f>
        <v>Gulu Municipality</v>
      </c>
      <c r="G897" s="68" t="str">
        <f t="shared" si="53"/>
        <v>Gulu</v>
      </c>
      <c r="H897" s="75" t="s">
        <v>3148</v>
      </c>
    </row>
    <row r="898" spans="1:8">
      <c r="A898" s="74">
        <v>103</v>
      </c>
      <c r="B898" s="75" t="s">
        <v>2317</v>
      </c>
      <c r="C898" s="75" t="s">
        <v>2320</v>
      </c>
      <c r="D898" s="75" t="s">
        <v>2324</v>
      </c>
      <c r="E898" s="75"/>
      <c r="F898" s="68" t="str">
        <f t="shared" si="52"/>
        <v>Lefori</v>
      </c>
      <c r="G898" s="68" t="str">
        <f t="shared" si="53"/>
        <v>Moyo</v>
      </c>
      <c r="H898" s="75" t="s">
        <v>2324</v>
      </c>
    </row>
    <row r="899" spans="1:8">
      <c r="A899" s="74">
        <v>85</v>
      </c>
      <c r="B899" s="75" t="s">
        <v>2094</v>
      </c>
      <c r="C899" s="75" t="s">
        <v>2095</v>
      </c>
      <c r="D899" s="75" t="s">
        <v>2094</v>
      </c>
      <c r="E899" s="75"/>
      <c r="F899" s="68" t="str">
        <f t="shared" si="52"/>
        <v>Lira</v>
      </c>
      <c r="G899" s="68" t="str">
        <f t="shared" si="53"/>
        <v>Lira</v>
      </c>
      <c r="H899" s="75" t="s">
        <v>2094</v>
      </c>
    </row>
    <row r="900" spans="1:8">
      <c r="A900" s="74">
        <v>234</v>
      </c>
      <c r="B900" s="75" t="s">
        <v>661</v>
      </c>
      <c r="C900" s="75" t="s">
        <v>661</v>
      </c>
      <c r="D900" s="75" t="s">
        <v>668</v>
      </c>
      <c r="E900" s="75"/>
      <c r="F900" s="68" t="str">
        <f t="shared" ref="F900:F917" si="54">D900</f>
        <v>Lira Palwo</v>
      </c>
      <c r="G900" s="68" t="str">
        <f t="shared" si="53"/>
        <v>Agago</v>
      </c>
      <c r="H900" s="75" t="s">
        <v>668</v>
      </c>
    </row>
    <row r="901" spans="1:8">
      <c r="A901" s="74">
        <v>192</v>
      </c>
      <c r="B901" s="75" t="s">
        <v>1132</v>
      </c>
      <c r="C901" s="75" t="s">
        <v>1133</v>
      </c>
      <c r="D901" s="75" t="s">
        <v>1141</v>
      </c>
      <c r="E901" s="75"/>
      <c r="F901" s="68" t="str">
        <f t="shared" si="54"/>
        <v>Lobalangit</v>
      </c>
      <c r="G901" s="68" t="str">
        <f t="shared" si="53"/>
        <v>Kaabong</v>
      </c>
      <c r="H901" s="75" t="s">
        <v>1141</v>
      </c>
    </row>
    <row r="902" spans="1:8">
      <c r="A902" s="74">
        <v>201</v>
      </c>
      <c r="B902" s="75" t="s">
        <v>1969</v>
      </c>
      <c r="C902" s="75" t="s">
        <v>1969</v>
      </c>
      <c r="D902" s="75" t="s">
        <v>1973</v>
      </c>
      <c r="E902" s="75"/>
      <c r="F902" s="68" t="str">
        <f t="shared" si="54"/>
        <v>Lobule</v>
      </c>
      <c r="G902" s="68" t="str">
        <f t="shared" si="53"/>
        <v>Koboko</v>
      </c>
      <c r="H902" s="75" t="s">
        <v>1973</v>
      </c>
    </row>
    <row r="903" spans="1:8">
      <c r="A903" s="74">
        <v>193</v>
      </c>
      <c r="B903" s="75" t="s">
        <v>1132</v>
      </c>
      <c r="C903" s="75" t="s">
        <v>1133</v>
      </c>
      <c r="D903" s="75" t="s">
        <v>1142</v>
      </c>
      <c r="E903" s="75"/>
      <c r="F903" s="68" t="str">
        <f t="shared" si="54"/>
        <v>Lodiko</v>
      </c>
      <c r="G903" s="68" t="str">
        <f t="shared" si="53"/>
        <v>Kaabong</v>
      </c>
      <c r="H903" s="75" t="s">
        <v>1142</v>
      </c>
    </row>
    <row r="904" spans="1:8">
      <c r="A904" s="74">
        <v>146</v>
      </c>
      <c r="B904" s="75" t="s">
        <v>3009</v>
      </c>
      <c r="C904" s="75" t="s">
        <v>3010</v>
      </c>
      <c r="D904" s="75" t="s">
        <v>3018</v>
      </c>
      <c r="E904" s="75"/>
      <c r="F904" s="68" t="str">
        <f t="shared" si="54"/>
        <v>Lodonga</v>
      </c>
      <c r="G904" s="68" t="str">
        <f t="shared" si="53"/>
        <v>Yumbe</v>
      </c>
      <c r="H904" s="75" t="s">
        <v>3018</v>
      </c>
    </row>
    <row r="905" spans="1:8">
      <c r="A905" s="74">
        <v>48</v>
      </c>
      <c r="B905" s="75" t="s">
        <v>745</v>
      </c>
      <c r="C905" s="75" t="s">
        <v>750</v>
      </c>
      <c r="D905" s="75" t="s">
        <v>761</v>
      </c>
      <c r="E905" s="75"/>
      <c r="F905" s="68" t="str">
        <f t="shared" si="54"/>
        <v>Logiri</v>
      </c>
      <c r="G905" s="68" t="str">
        <f t="shared" si="53"/>
        <v>Arua</v>
      </c>
      <c r="H905" s="75" t="s">
        <v>761</v>
      </c>
    </row>
    <row r="906" spans="1:8">
      <c r="A906" s="74">
        <v>235</v>
      </c>
      <c r="B906" s="75" t="s">
        <v>661</v>
      </c>
      <c r="C906" s="75" t="s">
        <v>661</v>
      </c>
      <c r="D906" s="75" t="s">
        <v>669</v>
      </c>
      <c r="E906" s="75"/>
      <c r="F906" s="68" t="str">
        <f t="shared" si="54"/>
        <v>Lokole</v>
      </c>
      <c r="G906" s="68" t="str">
        <f t="shared" ref="G906:G969" si="55">B906</f>
        <v>Agago</v>
      </c>
      <c r="H906" s="75" t="s">
        <v>669</v>
      </c>
    </row>
    <row r="907" spans="1:8">
      <c r="A907" s="74">
        <v>280</v>
      </c>
      <c r="B907" s="75" t="s">
        <v>2489</v>
      </c>
      <c r="C907" s="75" t="s">
        <v>2490</v>
      </c>
      <c r="D907" s="75" t="s">
        <v>2491</v>
      </c>
      <c r="E907" s="75"/>
      <c r="F907" s="68" t="str">
        <f t="shared" si="54"/>
        <v>Lokopo</v>
      </c>
      <c r="G907" s="68" t="str">
        <f t="shared" si="55"/>
        <v>Napak</v>
      </c>
      <c r="H907" s="75" t="s">
        <v>2491</v>
      </c>
    </row>
    <row r="908" spans="1:8">
      <c r="A908" s="74">
        <v>268</v>
      </c>
      <c r="B908" s="75" t="s">
        <v>2086</v>
      </c>
      <c r="C908" s="75" t="s">
        <v>2086</v>
      </c>
      <c r="D908" s="75" t="s">
        <v>2088</v>
      </c>
      <c r="E908" s="75"/>
      <c r="F908" s="68" t="str">
        <f t="shared" si="54"/>
        <v>Lokung</v>
      </c>
      <c r="G908" s="68" t="str">
        <f t="shared" si="55"/>
        <v>Lamwo</v>
      </c>
      <c r="H908" s="75" t="s">
        <v>2088</v>
      </c>
    </row>
    <row r="909" spans="1:8">
      <c r="A909" s="74">
        <v>123</v>
      </c>
      <c r="B909" s="75" t="s">
        <v>2407</v>
      </c>
      <c r="C909" s="75" t="s">
        <v>2410</v>
      </c>
      <c r="D909" s="75" t="s">
        <v>2409</v>
      </c>
      <c r="E909" s="75"/>
      <c r="F909" s="68" t="str">
        <f t="shared" si="54"/>
        <v>Lolachat</v>
      </c>
      <c r="G909" s="68" t="str">
        <f t="shared" si="55"/>
        <v>Nakapiripirit</v>
      </c>
      <c r="H909" s="75" t="s">
        <v>2409</v>
      </c>
    </row>
    <row r="910" spans="1:8">
      <c r="A910" s="74">
        <v>194</v>
      </c>
      <c r="B910" s="75" t="s">
        <v>1132</v>
      </c>
      <c r="C910" s="75" t="s">
        <v>1133</v>
      </c>
      <c r="D910" s="75" t="s">
        <v>1143</v>
      </c>
      <c r="E910" s="75"/>
      <c r="F910" s="68" t="str">
        <f t="shared" si="54"/>
        <v>Lolelia</v>
      </c>
      <c r="G910" s="68" t="str">
        <f t="shared" si="55"/>
        <v>Kaabong</v>
      </c>
      <c r="H910" s="75" t="s">
        <v>1143</v>
      </c>
    </row>
    <row r="911" spans="1:8">
      <c r="A911" s="74">
        <v>1059</v>
      </c>
      <c r="B911" s="75" t="s">
        <v>2450</v>
      </c>
      <c r="C911" s="75" t="s">
        <v>2451</v>
      </c>
      <c r="D911" s="75" t="s">
        <v>2457</v>
      </c>
      <c r="E911" s="75"/>
      <c r="F911" s="68" t="str">
        <f t="shared" si="54"/>
        <v>Lolwe</v>
      </c>
      <c r="G911" s="68" t="str">
        <f t="shared" si="55"/>
        <v>Namayingo</v>
      </c>
      <c r="H911" s="75" t="s">
        <v>2457</v>
      </c>
    </row>
    <row r="912" spans="1:8">
      <c r="A912" s="74">
        <v>281</v>
      </c>
      <c r="B912" s="75" t="s">
        <v>2489</v>
      </c>
      <c r="C912" s="75" t="s">
        <v>2490</v>
      </c>
      <c r="D912" s="75" t="s">
        <v>2492</v>
      </c>
      <c r="E912" s="75"/>
      <c r="F912" s="68" t="str">
        <f t="shared" si="54"/>
        <v>Lopeei</v>
      </c>
      <c r="G912" s="68" t="str">
        <f t="shared" si="55"/>
        <v>Napak</v>
      </c>
      <c r="H912" s="75" t="s">
        <v>2492</v>
      </c>
    </row>
    <row r="913" spans="1:8">
      <c r="A913" s="74">
        <v>118</v>
      </c>
      <c r="B913" s="75" t="s">
        <v>2407</v>
      </c>
      <c r="C913" s="75" t="s">
        <v>2408</v>
      </c>
      <c r="D913" s="75" t="s">
        <v>2411</v>
      </c>
      <c r="E913" s="75"/>
      <c r="F913" s="68" t="str">
        <f t="shared" si="54"/>
        <v>Loregae</v>
      </c>
      <c r="G913" s="68" t="str">
        <f t="shared" si="55"/>
        <v>Nakapiripirit</v>
      </c>
      <c r="H913" s="75" t="s">
        <v>2411</v>
      </c>
    </row>
    <row r="914" spans="1:8">
      <c r="A914" s="74">
        <v>275</v>
      </c>
      <c r="B914" s="75" t="s">
        <v>2489</v>
      </c>
      <c r="C914" s="75" t="s">
        <v>2490</v>
      </c>
      <c r="D914" s="75" t="s">
        <v>2493</v>
      </c>
      <c r="E914" s="75"/>
      <c r="F914" s="68" t="str">
        <f t="shared" si="54"/>
        <v>Lorengecora</v>
      </c>
      <c r="G914" s="68" t="str">
        <f t="shared" si="55"/>
        <v>Napak</v>
      </c>
      <c r="H914" s="75" t="s">
        <v>2493</v>
      </c>
    </row>
    <row r="915" spans="1:8">
      <c r="A915" s="74">
        <v>124</v>
      </c>
      <c r="B915" s="75" t="s">
        <v>2407</v>
      </c>
      <c r="C915" s="75" t="s">
        <v>2410</v>
      </c>
      <c r="D915" s="75" t="s">
        <v>2412</v>
      </c>
      <c r="E915" s="75"/>
      <c r="F915" s="68" t="str">
        <f t="shared" si="54"/>
        <v>Lorengedwat</v>
      </c>
      <c r="G915" s="68" t="str">
        <f t="shared" si="55"/>
        <v>Nakapiripirit</v>
      </c>
      <c r="H915" s="75" t="s">
        <v>2412</v>
      </c>
    </row>
    <row r="916" spans="1:8">
      <c r="A916" s="74">
        <v>221</v>
      </c>
      <c r="B916" s="75" t="s">
        <v>2571</v>
      </c>
      <c r="C916" s="75" t="s">
        <v>2571</v>
      </c>
      <c r="D916" s="75" t="s">
        <v>2578</v>
      </c>
      <c r="E916" s="75"/>
      <c r="F916" s="68" t="str">
        <f t="shared" si="54"/>
        <v>Loro</v>
      </c>
      <c r="G916" s="68" t="str">
        <f t="shared" si="55"/>
        <v>Oyam</v>
      </c>
      <c r="H916" s="75" t="s">
        <v>2578</v>
      </c>
    </row>
    <row r="917" spans="1:8">
      <c r="A917" s="74">
        <v>255</v>
      </c>
      <c r="B917" s="75" t="s">
        <v>701</v>
      </c>
      <c r="C917" s="75" t="s">
        <v>702</v>
      </c>
      <c r="D917" s="75" t="s">
        <v>705</v>
      </c>
      <c r="E917" s="75"/>
      <c r="F917" s="68" t="str">
        <f t="shared" si="54"/>
        <v>Loroo</v>
      </c>
      <c r="G917" s="68" t="str">
        <f t="shared" si="55"/>
        <v>Amudat</v>
      </c>
      <c r="H917" s="75" t="s">
        <v>705</v>
      </c>
    </row>
    <row r="918" spans="1:8" ht="25.5">
      <c r="A918" s="74">
        <v>78</v>
      </c>
      <c r="B918" s="75" t="s">
        <v>1985</v>
      </c>
      <c r="C918" s="76" t="s">
        <v>1987</v>
      </c>
      <c r="D918" s="75" t="s">
        <v>3149</v>
      </c>
      <c r="E918" s="75"/>
      <c r="F918" s="69" t="str">
        <f>VLOOKUP(C918,[2]Municipalities!$C$9:$F$1522,4,FALSE)</f>
        <v>Kotido Municipality</v>
      </c>
      <c r="G918" s="68" t="str">
        <f t="shared" si="55"/>
        <v>Kotido</v>
      </c>
      <c r="H918" s="75" t="s">
        <v>3149</v>
      </c>
    </row>
    <row r="919" spans="1:8">
      <c r="A919" s="74">
        <v>276</v>
      </c>
      <c r="B919" s="75" t="s">
        <v>2489</v>
      </c>
      <c r="C919" s="75" t="s">
        <v>2490</v>
      </c>
      <c r="D919" s="75" t="s">
        <v>2494</v>
      </c>
      <c r="E919" s="75"/>
      <c r="F919" s="68" t="str">
        <f t="shared" ref="F919:F966" si="56">D919</f>
        <v>Lotome</v>
      </c>
      <c r="G919" s="68" t="str">
        <f t="shared" si="55"/>
        <v>Napak</v>
      </c>
      <c r="H919" s="75" t="s">
        <v>2494</v>
      </c>
    </row>
    <row r="920" spans="1:8">
      <c r="A920" s="74">
        <v>154</v>
      </c>
      <c r="B920" s="75" t="s">
        <v>641</v>
      </c>
      <c r="C920" s="75" t="s">
        <v>642</v>
      </c>
      <c r="D920" s="75" t="s">
        <v>645</v>
      </c>
      <c r="E920" s="75"/>
      <c r="F920" s="68" t="str">
        <f t="shared" si="56"/>
        <v>Lotukei</v>
      </c>
      <c r="G920" s="68" t="str">
        <f t="shared" si="55"/>
        <v>Abim</v>
      </c>
      <c r="H920" s="75" t="s">
        <v>645</v>
      </c>
    </row>
    <row r="921" spans="1:8">
      <c r="A921" s="74">
        <v>195</v>
      </c>
      <c r="B921" s="75" t="s">
        <v>1132</v>
      </c>
      <c r="C921" s="75" t="s">
        <v>1133</v>
      </c>
      <c r="D921" s="75" t="s">
        <v>1144</v>
      </c>
      <c r="E921" s="75"/>
      <c r="F921" s="68" t="str">
        <f t="shared" si="56"/>
        <v>Loyoro</v>
      </c>
      <c r="G921" s="68" t="str">
        <f t="shared" si="55"/>
        <v>Kaabong</v>
      </c>
      <c r="H921" s="75" t="s">
        <v>1144</v>
      </c>
    </row>
    <row r="922" spans="1:8">
      <c r="A922" s="74">
        <v>622</v>
      </c>
      <c r="B922" s="75" t="s">
        <v>995</v>
      </c>
      <c r="C922" s="75" t="s">
        <v>996</v>
      </c>
      <c r="D922" s="75" t="s">
        <v>1001</v>
      </c>
      <c r="E922" s="75"/>
      <c r="F922" s="68" t="str">
        <f t="shared" si="56"/>
        <v>Lubya</v>
      </c>
      <c r="G922" s="68" t="str">
        <f t="shared" si="55"/>
        <v>Buvuma</v>
      </c>
      <c r="H922" s="75" t="s">
        <v>1001</v>
      </c>
    </row>
    <row r="923" spans="1:8">
      <c r="A923" s="74">
        <v>202</v>
      </c>
      <c r="B923" s="75" t="s">
        <v>1969</v>
      </c>
      <c r="C923" s="75" t="s">
        <v>1969</v>
      </c>
      <c r="D923" s="75" t="s">
        <v>1974</v>
      </c>
      <c r="E923" s="75"/>
      <c r="F923" s="68" t="str">
        <f t="shared" si="56"/>
        <v>Ludara</v>
      </c>
      <c r="G923" s="68" t="str">
        <f t="shared" si="55"/>
        <v>Koboko</v>
      </c>
      <c r="H923" s="75" t="s">
        <v>1974</v>
      </c>
    </row>
    <row r="924" spans="1:8">
      <c r="A924" s="74">
        <v>517</v>
      </c>
      <c r="B924" s="75" t="s">
        <v>2738</v>
      </c>
      <c r="C924" s="75" t="s">
        <v>2739</v>
      </c>
      <c r="D924" s="75" t="s">
        <v>2737</v>
      </c>
      <c r="E924" s="75"/>
      <c r="F924" s="68" t="str">
        <f t="shared" si="56"/>
        <v>Lugusulu</v>
      </c>
      <c r="G924" s="68" t="str">
        <f t="shared" si="55"/>
        <v>Ssembabule</v>
      </c>
      <c r="H924" s="75" t="s">
        <v>2737</v>
      </c>
    </row>
    <row r="925" spans="1:8">
      <c r="A925" s="74">
        <v>635</v>
      </c>
      <c r="B925" s="75" t="s">
        <v>1248</v>
      </c>
      <c r="C925" s="75" t="s">
        <v>1248</v>
      </c>
      <c r="D925" s="75" t="s">
        <v>1252</v>
      </c>
      <c r="E925" s="75"/>
      <c r="F925" s="68" t="str">
        <f t="shared" si="56"/>
        <v>Lukaya Town Council</v>
      </c>
      <c r="G925" s="68" t="str">
        <f t="shared" si="55"/>
        <v>Kalungu</v>
      </c>
      <c r="H925" s="75" t="s">
        <v>1252</v>
      </c>
    </row>
    <row r="926" spans="1:8">
      <c r="A926" s="74">
        <v>784</v>
      </c>
      <c r="B926" s="75" t="s">
        <v>2225</v>
      </c>
      <c r="C926" s="75" t="s">
        <v>2226</v>
      </c>
      <c r="D926" s="75" t="s">
        <v>2239</v>
      </c>
      <c r="E926" s="75"/>
      <c r="F926" s="68" t="str">
        <f t="shared" si="56"/>
        <v>Lukhonge</v>
      </c>
      <c r="G926" s="68" t="str">
        <f t="shared" si="55"/>
        <v>Mbale</v>
      </c>
      <c r="H926" s="75" t="s">
        <v>2239</v>
      </c>
    </row>
    <row r="927" spans="1:8">
      <c r="A927" s="74">
        <v>690</v>
      </c>
      <c r="B927" s="75" t="s">
        <v>947</v>
      </c>
      <c r="C927" s="75" t="s">
        <v>948</v>
      </c>
      <c r="D927" s="75" t="s">
        <v>957</v>
      </c>
      <c r="E927" s="75"/>
      <c r="F927" s="68" t="str">
        <f t="shared" si="56"/>
        <v>Lumino</v>
      </c>
      <c r="G927" s="68" t="str">
        <f t="shared" si="55"/>
        <v>Busia</v>
      </c>
      <c r="H927" s="75" t="s">
        <v>957</v>
      </c>
    </row>
    <row r="928" spans="1:8">
      <c r="A928" s="74">
        <v>691</v>
      </c>
      <c r="B928" s="75" t="s">
        <v>947</v>
      </c>
      <c r="C928" s="75" t="s">
        <v>948</v>
      </c>
      <c r="D928" s="75" t="s">
        <v>958</v>
      </c>
      <c r="E928" s="75"/>
      <c r="F928" s="68" t="str">
        <f t="shared" si="56"/>
        <v>Lunyo</v>
      </c>
      <c r="G928" s="68" t="str">
        <f t="shared" si="55"/>
        <v>Busia</v>
      </c>
      <c r="H928" s="75" t="s">
        <v>958</v>
      </c>
    </row>
    <row r="929" spans="1:8">
      <c r="A929" s="74">
        <v>1012</v>
      </c>
      <c r="B929" s="75" t="s">
        <v>870</v>
      </c>
      <c r="C929" s="75" t="s">
        <v>870</v>
      </c>
      <c r="D929" s="75" t="s">
        <v>882</v>
      </c>
      <c r="E929" s="75"/>
      <c r="F929" s="68" t="str">
        <f t="shared" si="56"/>
        <v>Lusha</v>
      </c>
      <c r="G929" s="68" t="str">
        <f t="shared" si="55"/>
        <v>Bulambuli</v>
      </c>
      <c r="H929" s="75" t="s">
        <v>882</v>
      </c>
    </row>
    <row r="930" spans="1:8">
      <c r="A930" s="74">
        <v>1051</v>
      </c>
      <c r="B930" s="75" t="s">
        <v>2104</v>
      </c>
      <c r="C930" s="75" t="s">
        <v>2104</v>
      </c>
      <c r="D930" s="75" t="s">
        <v>2109</v>
      </c>
      <c r="E930" s="75"/>
      <c r="F930" s="68" t="str">
        <f t="shared" si="56"/>
        <v>Luuka Town Council</v>
      </c>
      <c r="G930" s="68" t="str">
        <f t="shared" si="55"/>
        <v>Luuka</v>
      </c>
      <c r="H930" s="75" t="s">
        <v>2109</v>
      </c>
    </row>
    <row r="931" spans="1:8">
      <c r="A931" s="74">
        <v>438</v>
      </c>
      <c r="B931" s="75" t="s">
        <v>2113</v>
      </c>
      <c r="C931" s="75" t="s">
        <v>2115</v>
      </c>
      <c r="D931" s="75" t="s">
        <v>2113</v>
      </c>
      <c r="E931" s="75"/>
      <c r="F931" s="68" t="str">
        <f t="shared" si="56"/>
        <v>Luwero</v>
      </c>
      <c r="G931" s="68" t="str">
        <f t="shared" si="55"/>
        <v>Luwero</v>
      </c>
      <c r="H931" s="75" t="s">
        <v>2113</v>
      </c>
    </row>
    <row r="932" spans="1:8">
      <c r="A932" s="74">
        <v>437</v>
      </c>
      <c r="B932" s="75" t="s">
        <v>2113</v>
      </c>
      <c r="C932" s="75" t="s">
        <v>2115</v>
      </c>
      <c r="D932" s="75" t="s">
        <v>2129</v>
      </c>
      <c r="E932" s="75"/>
      <c r="F932" s="68" t="str">
        <f t="shared" si="56"/>
        <v>Luwero Town Council</v>
      </c>
      <c r="G932" s="68" t="str">
        <f t="shared" si="55"/>
        <v>Luwero</v>
      </c>
      <c r="H932" s="75" t="s">
        <v>2129</v>
      </c>
    </row>
    <row r="933" spans="1:8">
      <c r="A933" s="74">
        <v>636</v>
      </c>
      <c r="B933" s="75" t="s">
        <v>1248</v>
      </c>
      <c r="C933" s="75" t="s">
        <v>1248</v>
      </c>
      <c r="D933" s="75" t="s">
        <v>1253</v>
      </c>
      <c r="E933" s="75"/>
      <c r="F933" s="68" t="str">
        <f t="shared" si="56"/>
        <v>Lwabenge</v>
      </c>
      <c r="G933" s="68" t="str">
        <f t="shared" si="55"/>
        <v>Kalungu</v>
      </c>
      <c r="H933" s="75" t="s">
        <v>1253</v>
      </c>
    </row>
    <row r="934" spans="1:8">
      <c r="A934" s="74">
        <v>497</v>
      </c>
      <c r="B934" s="75" t="s">
        <v>2437</v>
      </c>
      <c r="C934" s="75" t="s">
        <v>2204</v>
      </c>
      <c r="D934" s="75" t="s">
        <v>2441</v>
      </c>
      <c r="E934" s="75"/>
      <c r="F934" s="68" t="str">
        <f t="shared" si="56"/>
        <v>Lwabiyata</v>
      </c>
      <c r="G934" s="68" t="str">
        <f t="shared" si="55"/>
        <v>Nakasongola</v>
      </c>
      <c r="H934" s="75" t="s">
        <v>2441</v>
      </c>
    </row>
    <row r="935" spans="1:8">
      <c r="A935" s="74">
        <v>623</v>
      </c>
      <c r="B935" s="75" t="s">
        <v>995</v>
      </c>
      <c r="C935" s="75" t="s">
        <v>996</v>
      </c>
      <c r="D935" s="75" t="s">
        <v>1003</v>
      </c>
      <c r="E935" s="75"/>
      <c r="F935" s="68" t="str">
        <f t="shared" si="56"/>
        <v>Lwajje</v>
      </c>
      <c r="G935" s="68" t="str">
        <f t="shared" si="55"/>
        <v>Buvuma</v>
      </c>
      <c r="H935" s="75" t="s">
        <v>1003</v>
      </c>
    </row>
    <row r="936" spans="1:8">
      <c r="A936" s="74">
        <v>1094</v>
      </c>
      <c r="B936" s="75" t="s">
        <v>2462</v>
      </c>
      <c r="C936" s="75" t="s">
        <v>2462</v>
      </c>
      <c r="D936" s="75" t="s">
        <v>2471</v>
      </c>
      <c r="E936" s="75"/>
      <c r="F936" s="68" t="str">
        <f t="shared" si="56"/>
        <v>Lwakhakha Town Council</v>
      </c>
      <c r="G936" s="68" t="str">
        <f t="shared" si="55"/>
        <v>Namisindwa</v>
      </c>
      <c r="H936" s="75" t="s">
        <v>2471</v>
      </c>
    </row>
    <row r="937" spans="1:8">
      <c r="A937" s="74">
        <v>512</v>
      </c>
      <c r="B937" s="75" t="s">
        <v>2618</v>
      </c>
      <c r="C937" s="75" t="s">
        <v>2078</v>
      </c>
      <c r="D937" s="75" t="s">
        <v>2626</v>
      </c>
      <c r="E937" s="75"/>
      <c r="F937" s="68" t="str">
        <f t="shared" si="56"/>
        <v>Lwamaggwa</v>
      </c>
      <c r="G937" s="68" t="str">
        <f t="shared" si="55"/>
        <v>Rakai</v>
      </c>
      <c r="H937" s="75" t="s">
        <v>2626</v>
      </c>
    </row>
    <row r="938" spans="1:8">
      <c r="A938" s="74">
        <v>427</v>
      </c>
      <c r="B938" s="75" t="s">
        <v>1882</v>
      </c>
      <c r="C938" s="75" t="s">
        <v>1882</v>
      </c>
      <c r="D938" s="75" t="s">
        <v>1892</v>
      </c>
      <c r="E938" s="75"/>
      <c r="F938" s="68" t="str">
        <f t="shared" si="56"/>
        <v>Lwamata</v>
      </c>
      <c r="G938" s="68" t="str">
        <f t="shared" si="55"/>
        <v>Kiboga</v>
      </c>
      <c r="H938" s="75" t="s">
        <v>1892</v>
      </c>
    </row>
    <row r="939" spans="1:8">
      <c r="A939" s="74">
        <v>498</v>
      </c>
      <c r="B939" s="75" t="s">
        <v>2437</v>
      </c>
      <c r="C939" s="75" t="s">
        <v>2204</v>
      </c>
      <c r="D939" s="75" t="s">
        <v>2442</v>
      </c>
      <c r="E939" s="75"/>
      <c r="F939" s="68" t="str">
        <f t="shared" si="56"/>
        <v>Lwampanga</v>
      </c>
      <c r="G939" s="68" t="str">
        <f t="shared" si="55"/>
        <v>Nakasongola</v>
      </c>
      <c r="H939" s="75" t="s">
        <v>2442</v>
      </c>
    </row>
    <row r="940" spans="1:8">
      <c r="A940" s="74">
        <v>513</v>
      </c>
      <c r="B940" s="75" t="s">
        <v>2618</v>
      </c>
      <c r="C940" s="75" t="s">
        <v>2078</v>
      </c>
      <c r="D940" s="75" t="s">
        <v>2627</v>
      </c>
      <c r="E940" s="75"/>
      <c r="F940" s="68" t="str">
        <f t="shared" si="56"/>
        <v>Lwanda</v>
      </c>
      <c r="G940" s="68" t="str">
        <f t="shared" si="55"/>
        <v>Rakai</v>
      </c>
      <c r="H940" s="75" t="s">
        <v>2627</v>
      </c>
    </row>
    <row r="941" spans="1:8">
      <c r="A941" s="74">
        <v>667</v>
      </c>
      <c r="B941" s="75" t="s">
        <v>2074</v>
      </c>
      <c r="C941" s="75" t="s">
        <v>2074</v>
      </c>
      <c r="D941" s="75" t="s">
        <v>2083</v>
      </c>
      <c r="E941" s="75"/>
      <c r="F941" s="68" t="str">
        <f t="shared" si="56"/>
        <v>Lwankoni</v>
      </c>
      <c r="G941" s="68" t="str">
        <f t="shared" si="55"/>
        <v>Kyotera</v>
      </c>
      <c r="H941" s="75" t="s">
        <v>2083</v>
      </c>
    </row>
    <row r="942" spans="1:8">
      <c r="A942" s="74">
        <v>785</v>
      </c>
      <c r="B942" s="75" t="s">
        <v>2225</v>
      </c>
      <c r="C942" s="75" t="s">
        <v>2226</v>
      </c>
      <c r="D942" s="75" t="s">
        <v>2240</v>
      </c>
      <c r="E942" s="75"/>
      <c r="F942" s="68" t="str">
        <f t="shared" si="56"/>
        <v>Lwasso</v>
      </c>
      <c r="G942" s="68" t="str">
        <f t="shared" si="55"/>
        <v>Mbale</v>
      </c>
      <c r="H942" s="75" t="s">
        <v>2240</v>
      </c>
    </row>
    <row r="943" spans="1:8">
      <c r="A943" s="74">
        <v>518</v>
      </c>
      <c r="B943" s="75" t="s">
        <v>2738</v>
      </c>
      <c r="C943" s="75" t="s">
        <v>2739</v>
      </c>
      <c r="D943" s="75" t="s">
        <v>2740</v>
      </c>
      <c r="E943" s="75"/>
      <c r="F943" s="68" t="str">
        <f t="shared" si="56"/>
        <v>Lwebitakuli</v>
      </c>
      <c r="G943" s="68" t="str">
        <f t="shared" si="55"/>
        <v>Ssembabule</v>
      </c>
      <c r="H943" s="75" t="s">
        <v>2740</v>
      </c>
    </row>
    <row r="944" spans="1:8">
      <c r="A944" s="74">
        <v>515</v>
      </c>
      <c r="B944" s="75" t="s">
        <v>2738</v>
      </c>
      <c r="C944" s="75" t="s">
        <v>2741</v>
      </c>
      <c r="D944" s="75" t="s">
        <v>2741</v>
      </c>
      <c r="E944" s="75"/>
      <c r="F944" s="68" t="str">
        <f t="shared" si="56"/>
        <v>Lwemiyaga</v>
      </c>
      <c r="G944" s="68" t="str">
        <f t="shared" si="55"/>
        <v>Ssembabule</v>
      </c>
      <c r="H944" s="75" t="s">
        <v>2741</v>
      </c>
    </row>
    <row r="945" spans="1:8">
      <c r="A945" s="74">
        <v>655</v>
      </c>
      <c r="B945" s="75" t="s">
        <v>2142</v>
      </c>
      <c r="C945" s="75" t="s">
        <v>23</v>
      </c>
      <c r="D945" s="75" t="s">
        <v>2142</v>
      </c>
      <c r="E945" s="75"/>
      <c r="F945" s="68" t="str">
        <f t="shared" si="56"/>
        <v>Lwengo</v>
      </c>
      <c r="G945" s="68" t="str">
        <f t="shared" si="55"/>
        <v>Lwengo</v>
      </c>
      <c r="H945" s="75" t="s">
        <v>2142</v>
      </c>
    </row>
    <row r="946" spans="1:8">
      <c r="A946" s="74">
        <v>656</v>
      </c>
      <c r="B946" s="75" t="s">
        <v>2142</v>
      </c>
      <c r="C946" s="75" t="s">
        <v>23</v>
      </c>
      <c r="D946" s="75" t="s">
        <v>2146</v>
      </c>
      <c r="E946" s="75"/>
      <c r="F946" s="68" t="str">
        <f t="shared" si="56"/>
        <v>Lwengo Town Council</v>
      </c>
      <c r="G946" s="68" t="str">
        <f t="shared" si="55"/>
        <v>Lwengo</v>
      </c>
      <c r="H946" s="75" t="s">
        <v>2146</v>
      </c>
    </row>
    <row r="947" spans="1:8">
      <c r="A947" s="74">
        <v>624</v>
      </c>
      <c r="B947" s="75" t="s">
        <v>995</v>
      </c>
      <c r="C947" s="75" t="s">
        <v>996</v>
      </c>
      <c r="D947" s="75" t="s">
        <v>1004</v>
      </c>
      <c r="E947" s="75"/>
      <c r="F947" s="68" t="str">
        <f t="shared" si="56"/>
        <v>Lyabaana</v>
      </c>
      <c r="G947" s="68" t="str">
        <f t="shared" si="55"/>
        <v>Buvuma</v>
      </c>
      <c r="H947" s="75" t="s">
        <v>1004</v>
      </c>
    </row>
    <row r="948" spans="1:8">
      <c r="A948" s="74">
        <v>907</v>
      </c>
      <c r="B948" s="75" t="s">
        <v>775</v>
      </c>
      <c r="C948" s="75" t="s">
        <v>775</v>
      </c>
      <c r="D948" s="75" t="s">
        <v>784</v>
      </c>
      <c r="E948" s="75"/>
      <c r="F948" s="68" t="str">
        <f t="shared" si="56"/>
        <v>Lyama</v>
      </c>
      <c r="G948" s="68" t="str">
        <f t="shared" si="55"/>
        <v>Budaka</v>
      </c>
      <c r="H948" s="75" t="s">
        <v>784</v>
      </c>
    </row>
    <row r="949" spans="1:8">
      <c r="A949" s="74">
        <v>562</v>
      </c>
      <c r="B949" s="75" t="s">
        <v>2150</v>
      </c>
      <c r="C949" s="75" t="s">
        <v>2151</v>
      </c>
      <c r="D949" s="75" t="s">
        <v>2150</v>
      </c>
      <c r="E949" s="75"/>
      <c r="F949" s="68" t="str">
        <f t="shared" si="56"/>
        <v>Lyantonde</v>
      </c>
      <c r="G949" s="68" t="str">
        <f t="shared" si="55"/>
        <v>Lyantonde</v>
      </c>
      <c r="H949" s="75" t="s">
        <v>2150</v>
      </c>
    </row>
    <row r="950" spans="1:8">
      <c r="A950" s="74">
        <v>563</v>
      </c>
      <c r="B950" s="75" t="s">
        <v>2150</v>
      </c>
      <c r="C950" s="75" t="s">
        <v>2151</v>
      </c>
      <c r="D950" s="75" t="s">
        <v>2154</v>
      </c>
      <c r="E950" s="75"/>
      <c r="F950" s="68" t="str">
        <f t="shared" si="56"/>
        <v>Lyantonde Town Council</v>
      </c>
      <c r="G950" s="68" t="str">
        <f t="shared" si="55"/>
        <v>Lyantonde</v>
      </c>
      <c r="H950" s="75" t="s">
        <v>2154</v>
      </c>
    </row>
    <row r="951" spans="1:8">
      <c r="A951" s="74">
        <v>568</v>
      </c>
      <c r="B951" s="75" t="s">
        <v>2284</v>
      </c>
      <c r="C951" s="75" t="s">
        <v>2285</v>
      </c>
      <c r="D951" s="75" t="s">
        <v>2298</v>
      </c>
      <c r="E951" s="75"/>
      <c r="F951" s="68" t="str">
        <f t="shared" si="56"/>
        <v>Maanyi</v>
      </c>
      <c r="G951" s="68" t="str">
        <f t="shared" si="55"/>
        <v>Mityana</v>
      </c>
      <c r="H951" s="75" t="s">
        <v>2298</v>
      </c>
    </row>
    <row r="952" spans="1:8">
      <c r="A952" s="74">
        <v>1487</v>
      </c>
      <c r="B952" s="75" t="s">
        <v>1193</v>
      </c>
      <c r="C952" s="75" t="s">
        <v>1194</v>
      </c>
      <c r="D952" s="75" t="s">
        <v>1203</v>
      </c>
      <c r="E952" s="75"/>
      <c r="F952" s="68" t="str">
        <f t="shared" si="56"/>
        <v>Mabaale</v>
      </c>
      <c r="G952" s="68" t="str">
        <f t="shared" si="55"/>
        <v>Kagadi</v>
      </c>
      <c r="H952" s="75" t="s">
        <v>1203</v>
      </c>
    </row>
    <row r="953" spans="1:8">
      <c r="A953" s="74">
        <v>629</v>
      </c>
      <c r="B953" s="75" t="s">
        <v>1025</v>
      </c>
      <c r="C953" s="75" t="s">
        <v>1025</v>
      </c>
      <c r="D953" s="75" t="s">
        <v>1028</v>
      </c>
      <c r="E953" s="75"/>
      <c r="F953" s="68" t="str">
        <f t="shared" si="56"/>
        <v>Maddu</v>
      </c>
      <c r="G953" s="68" t="str">
        <f t="shared" si="55"/>
        <v>Gomba</v>
      </c>
      <c r="H953" s="75" t="s">
        <v>1028</v>
      </c>
    </row>
    <row r="954" spans="1:8">
      <c r="A954" s="74">
        <v>266</v>
      </c>
      <c r="B954" s="75" t="s">
        <v>2086</v>
      </c>
      <c r="C954" s="75" t="s">
        <v>2086</v>
      </c>
      <c r="D954" s="75" t="s">
        <v>2089</v>
      </c>
      <c r="E954" s="75"/>
      <c r="F954" s="68" t="str">
        <f t="shared" si="56"/>
        <v>Madi Opei</v>
      </c>
      <c r="G954" s="68" t="str">
        <f t="shared" si="55"/>
        <v>Lamwo</v>
      </c>
      <c r="H954" s="75" t="s">
        <v>2089</v>
      </c>
    </row>
    <row r="955" spans="1:8">
      <c r="A955" s="74">
        <v>461</v>
      </c>
      <c r="B955" s="75" t="s">
        <v>2342</v>
      </c>
      <c r="C955" s="75" t="s">
        <v>2348</v>
      </c>
      <c r="D955" s="75" t="s">
        <v>2358</v>
      </c>
      <c r="E955" s="75"/>
      <c r="F955" s="68" t="str">
        <f t="shared" si="56"/>
        <v>Madudu</v>
      </c>
      <c r="G955" s="68" t="str">
        <f t="shared" si="55"/>
        <v>Mubende</v>
      </c>
      <c r="H955" s="75" t="s">
        <v>2358</v>
      </c>
    </row>
    <row r="956" spans="1:8">
      <c r="A956" s="74">
        <v>716</v>
      </c>
      <c r="B956" s="75" t="s">
        <v>1114</v>
      </c>
      <c r="C956" s="75" t="s">
        <v>1117</v>
      </c>
      <c r="D956" s="75" t="s">
        <v>1130</v>
      </c>
      <c r="E956" s="75"/>
      <c r="F956" s="68" t="str">
        <f t="shared" si="56"/>
        <v>Mafubira</v>
      </c>
      <c r="G956" s="68" t="str">
        <f t="shared" si="55"/>
        <v>Jinja</v>
      </c>
      <c r="H956" s="75" t="s">
        <v>1130</v>
      </c>
    </row>
    <row r="957" spans="1:8">
      <c r="A957" s="74">
        <v>993</v>
      </c>
      <c r="B957" s="75" t="s">
        <v>2480</v>
      </c>
      <c r="C957" s="75" t="s">
        <v>2481</v>
      </c>
      <c r="D957" s="75" t="s">
        <v>2483</v>
      </c>
      <c r="E957" s="75"/>
      <c r="F957" s="68" t="str">
        <f t="shared" si="56"/>
        <v>Magada</v>
      </c>
      <c r="G957" s="68" t="str">
        <f t="shared" si="55"/>
        <v>Namutumba</v>
      </c>
      <c r="H957" s="75" t="s">
        <v>2483</v>
      </c>
    </row>
    <row r="958" spans="1:8">
      <c r="A958" s="74">
        <v>1095</v>
      </c>
      <c r="B958" s="75" t="s">
        <v>2462</v>
      </c>
      <c r="C958" s="75" t="s">
        <v>2462</v>
      </c>
      <c r="D958" s="75" t="s">
        <v>2472</v>
      </c>
      <c r="E958" s="75"/>
      <c r="F958" s="68" t="str">
        <f t="shared" si="56"/>
        <v>Magale</v>
      </c>
      <c r="G958" s="68" t="str">
        <f t="shared" si="55"/>
        <v>Namisindwa</v>
      </c>
      <c r="H958" s="75" t="s">
        <v>2472</v>
      </c>
    </row>
    <row r="959" spans="1:8">
      <c r="A959" s="74">
        <v>1100</v>
      </c>
      <c r="B959" s="75" t="s">
        <v>2462</v>
      </c>
      <c r="C959" s="75" t="s">
        <v>2462</v>
      </c>
      <c r="D959" s="75" t="s">
        <v>2473</v>
      </c>
      <c r="E959" s="75"/>
      <c r="F959" s="68" t="str">
        <f t="shared" si="56"/>
        <v>Magale Town Council</v>
      </c>
      <c r="G959" s="68" t="str">
        <f t="shared" si="55"/>
        <v>Namisindwa</v>
      </c>
      <c r="H959" s="75" t="s">
        <v>2473</v>
      </c>
    </row>
    <row r="960" spans="1:8">
      <c r="A960" s="74">
        <v>864</v>
      </c>
      <c r="B960" s="75" t="s">
        <v>2209</v>
      </c>
      <c r="C960" s="75" t="s">
        <v>2210</v>
      </c>
      <c r="D960" s="75" t="s">
        <v>2219</v>
      </c>
      <c r="E960" s="75"/>
      <c r="F960" s="68" t="str">
        <f t="shared" si="56"/>
        <v>Magamaga Town Council</v>
      </c>
      <c r="G960" s="68" t="str">
        <f t="shared" si="55"/>
        <v>Mayuge</v>
      </c>
      <c r="H960" s="75" t="s">
        <v>2219</v>
      </c>
    </row>
    <row r="961" spans="1:9">
      <c r="A961" s="74">
        <v>1454</v>
      </c>
      <c r="B961" s="75" t="s">
        <v>2642</v>
      </c>
      <c r="C961" s="75" t="s">
        <v>49</v>
      </c>
      <c r="D961" s="75" t="s">
        <v>2648</v>
      </c>
      <c r="E961" s="75"/>
      <c r="F961" s="68" t="str">
        <f t="shared" si="56"/>
        <v>Magambo</v>
      </c>
      <c r="G961" s="68" t="str">
        <f t="shared" si="55"/>
        <v>Rubirizi</v>
      </c>
      <c r="H961" s="75" t="s">
        <v>2648</v>
      </c>
    </row>
    <row r="962" spans="1:9">
      <c r="A962" s="74">
        <v>830</v>
      </c>
      <c r="B962" s="75" t="s">
        <v>2751</v>
      </c>
      <c r="C962" s="75" t="s">
        <v>2752</v>
      </c>
      <c r="D962" s="75" t="s">
        <v>2756</v>
      </c>
      <c r="E962" s="75"/>
      <c r="F962" s="68" t="str">
        <f t="shared" si="56"/>
        <v>Magola</v>
      </c>
      <c r="G962" s="68" t="str">
        <f t="shared" si="55"/>
        <v>Tororo</v>
      </c>
      <c r="H962" s="75" t="s">
        <v>2756</v>
      </c>
    </row>
    <row r="963" spans="1:9">
      <c r="A963" s="74">
        <v>754</v>
      </c>
      <c r="B963" s="75" t="s">
        <v>1845</v>
      </c>
      <c r="C963" s="75" t="s">
        <v>1846</v>
      </c>
      <c r="D963" s="75" t="s">
        <v>1849</v>
      </c>
      <c r="E963" s="75"/>
      <c r="F963" s="68" t="str">
        <f t="shared" si="56"/>
        <v>Magoro</v>
      </c>
      <c r="G963" s="68" t="str">
        <f t="shared" si="55"/>
        <v>Katakwi</v>
      </c>
      <c r="H963" s="75" t="s">
        <v>1849</v>
      </c>
    </row>
    <row r="964" spans="1:9">
      <c r="A964" s="74">
        <v>1186</v>
      </c>
      <c r="B964" s="75" t="s">
        <v>36</v>
      </c>
      <c r="C964" s="75" t="s">
        <v>900</v>
      </c>
      <c r="D964" s="75" t="s">
        <v>1836</v>
      </c>
      <c r="E964" s="75"/>
      <c r="F964" s="68" t="str">
        <f t="shared" si="56"/>
        <v>Mahango</v>
      </c>
      <c r="G964" s="68" t="str">
        <f t="shared" si="55"/>
        <v>Kasese</v>
      </c>
      <c r="H964" s="75" t="s">
        <v>1836</v>
      </c>
    </row>
    <row r="965" spans="1:9">
      <c r="A965" s="74">
        <v>1310</v>
      </c>
      <c r="B965" s="75" t="s">
        <v>45</v>
      </c>
      <c r="C965" s="75" t="s">
        <v>1762</v>
      </c>
      <c r="D965" s="75" t="s">
        <v>1770</v>
      </c>
      <c r="E965" s="75"/>
      <c r="F965" s="68" t="str">
        <f t="shared" si="56"/>
        <v>Mahyoro</v>
      </c>
      <c r="G965" s="68" t="str">
        <f t="shared" si="55"/>
        <v>Kamwenge</v>
      </c>
      <c r="H965" s="75" t="s">
        <v>1770</v>
      </c>
    </row>
    <row r="966" spans="1:9">
      <c r="A966" s="74">
        <v>692</v>
      </c>
      <c r="B966" s="75" t="s">
        <v>947</v>
      </c>
      <c r="C966" s="75" t="s">
        <v>948</v>
      </c>
      <c r="D966" s="75" t="s">
        <v>959</v>
      </c>
      <c r="E966" s="75"/>
      <c r="F966" s="68" t="str">
        <f t="shared" si="56"/>
        <v>Majanji</v>
      </c>
      <c r="G966" s="68" t="str">
        <f t="shared" si="55"/>
        <v>Busia</v>
      </c>
      <c r="H966" s="75" t="s">
        <v>959</v>
      </c>
    </row>
    <row r="967" spans="1:9">
      <c r="A967" s="74">
        <v>377</v>
      </c>
      <c r="B967" s="75" t="s">
        <v>1255</v>
      </c>
      <c r="C967" s="75" t="s">
        <v>1256</v>
      </c>
      <c r="D967" s="75" t="s">
        <v>1267</v>
      </c>
      <c r="E967" s="75" t="s">
        <v>1266</v>
      </c>
      <c r="F967" s="75" t="s">
        <v>1266</v>
      </c>
      <c r="G967" s="68" t="str">
        <f t="shared" si="55"/>
        <v>Kampala</v>
      </c>
      <c r="H967" s="75" t="s">
        <v>1267</v>
      </c>
    </row>
    <row r="968" spans="1:9">
      <c r="A968" s="74">
        <v>378</v>
      </c>
      <c r="B968" s="75" t="s">
        <v>1255</v>
      </c>
      <c r="C968" s="75" t="s">
        <v>1256</v>
      </c>
      <c r="D968" s="75" t="s">
        <v>1267</v>
      </c>
      <c r="E968" s="75" t="s">
        <v>1287</v>
      </c>
      <c r="F968" s="75" t="s">
        <v>1287</v>
      </c>
      <c r="G968" s="68" t="str">
        <f t="shared" si="55"/>
        <v>Kampala</v>
      </c>
      <c r="H968" s="75" t="s">
        <v>1267</v>
      </c>
    </row>
    <row r="969" spans="1:9">
      <c r="A969" s="74">
        <v>379</v>
      </c>
      <c r="B969" s="75" t="s">
        <v>1255</v>
      </c>
      <c r="C969" s="75" t="s">
        <v>1256</v>
      </c>
      <c r="D969" s="75" t="s">
        <v>1267</v>
      </c>
      <c r="E969" s="75" t="s">
        <v>1467</v>
      </c>
      <c r="F969" s="75" t="s">
        <v>1467</v>
      </c>
      <c r="G969" s="68" t="str">
        <f t="shared" si="55"/>
        <v>Kampala</v>
      </c>
      <c r="H969" s="75" t="s">
        <v>1267</v>
      </c>
    </row>
    <row r="970" spans="1:9">
      <c r="A970" s="74">
        <v>380</v>
      </c>
      <c r="B970" s="75" t="s">
        <v>1255</v>
      </c>
      <c r="C970" s="75" t="s">
        <v>1256</v>
      </c>
      <c r="D970" s="75" t="s">
        <v>1267</v>
      </c>
      <c r="E970" s="75" t="s">
        <v>1472</v>
      </c>
      <c r="F970" s="75" t="s">
        <v>1472</v>
      </c>
      <c r="G970" s="68" t="str">
        <f t="shared" ref="G970:G1033" si="57">B970</f>
        <v>Kampala</v>
      </c>
      <c r="H970" s="75" t="s">
        <v>1267</v>
      </c>
    </row>
    <row r="971" spans="1:9">
      <c r="A971" s="74">
        <v>381</v>
      </c>
      <c r="B971" s="75" t="s">
        <v>1255</v>
      </c>
      <c r="C971" s="75" t="s">
        <v>1256</v>
      </c>
      <c r="D971" s="75" t="s">
        <v>1267</v>
      </c>
      <c r="E971" s="75" t="s">
        <v>1487</v>
      </c>
      <c r="F971" s="75" t="s">
        <v>1487</v>
      </c>
      <c r="G971" s="68" t="str">
        <f t="shared" si="57"/>
        <v>Kampala</v>
      </c>
      <c r="H971" s="75" t="s">
        <v>1267</v>
      </c>
    </row>
    <row r="972" spans="1:9">
      <c r="A972" s="74">
        <v>382</v>
      </c>
      <c r="B972" s="75" t="s">
        <v>1255</v>
      </c>
      <c r="C972" s="75" t="s">
        <v>1256</v>
      </c>
      <c r="D972" s="75" t="s">
        <v>1267</v>
      </c>
      <c r="E972" s="79" t="s">
        <v>3150</v>
      </c>
      <c r="F972" s="79" t="s">
        <v>1506</v>
      </c>
      <c r="G972" s="68" t="str">
        <f t="shared" si="57"/>
        <v>Kampala</v>
      </c>
      <c r="H972" s="75" t="s">
        <v>1267</v>
      </c>
    </row>
    <row r="973" spans="1:9">
      <c r="A973" s="74">
        <v>383</v>
      </c>
      <c r="B973" s="75" t="s">
        <v>1255</v>
      </c>
      <c r="C973" s="75" t="s">
        <v>1256</v>
      </c>
      <c r="D973" s="75" t="s">
        <v>1267</v>
      </c>
      <c r="E973" s="79" t="s">
        <v>3151</v>
      </c>
      <c r="F973" s="79" t="s">
        <v>1506</v>
      </c>
      <c r="G973" s="68" t="str">
        <f t="shared" si="57"/>
        <v>Kampala</v>
      </c>
      <c r="H973" s="75" t="s">
        <v>1267</v>
      </c>
      <c r="I973" s="80" t="s">
        <v>3089</v>
      </c>
    </row>
    <row r="974" spans="1:9">
      <c r="A974" s="74">
        <v>384</v>
      </c>
      <c r="B974" s="75" t="s">
        <v>1255</v>
      </c>
      <c r="C974" s="75" t="s">
        <v>1256</v>
      </c>
      <c r="D974" s="75" t="s">
        <v>1267</v>
      </c>
      <c r="E974" s="75" t="s">
        <v>1513</v>
      </c>
      <c r="F974" s="75" t="s">
        <v>1513</v>
      </c>
      <c r="G974" s="68" t="str">
        <f t="shared" si="57"/>
        <v>Kampala</v>
      </c>
      <c r="H974" s="75" t="s">
        <v>1267</v>
      </c>
    </row>
    <row r="975" spans="1:9">
      <c r="A975" s="74">
        <v>385</v>
      </c>
      <c r="B975" s="75" t="s">
        <v>1255</v>
      </c>
      <c r="C975" s="75" t="s">
        <v>1256</v>
      </c>
      <c r="D975" s="75" t="s">
        <v>1267</v>
      </c>
      <c r="E975" s="79" t="s">
        <v>3152</v>
      </c>
      <c r="F975" s="79" t="s">
        <v>1514</v>
      </c>
      <c r="G975" s="68" t="str">
        <f t="shared" si="57"/>
        <v>Kampala</v>
      </c>
      <c r="H975" s="75" t="s">
        <v>1267</v>
      </c>
    </row>
    <row r="976" spans="1:9">
      <c r="A976" s="74">
        <v>386</v>
      </c>
      <c r="B976" s="75" t="s">
        <v>1255</v>
      </c>
      <c r="C976" s="75" t="s">
        <v>1256</v>
      </c>
      <c r="D976" s="75" t="s">
        <v>1267</v>
      </c>
      <c r="E976" s="79" t="s">
        <v>3153</v>
      </c>
      <c r="F976" s="79" t="s">
        <v>1514</v>
      </c>
      <c r="G976" s="68" t="str">
        <f t="shared" si="57"/>
        <v>Kampala</v>
      </c>
      <c r="H976" s="75" t="s">
        <v>1267</v>
      </c>
      <c r="I976" s="80" t="s">
        <v>3089</v>
      </c>
    </row>
    <row r="977" spans="1:9">
      <c r="A977" s="74">
        <v>387</v>
      </c>
      <c r="B977" s="75" t="s">
        <v>1255</v>
      </c>
      <c r="C977" s="75" t="s">
        <v>1256</v>
      </c>
      <c r="D977" s="75" t="s">
        <v>1267</v>
      </c>
      <c r="E977" s="75" t="s">
        <v>1522</v>
      </c>
      <c r="F977" s="75" t="s">
        <v>1522</v>
      </c>
      <c r="G977" s="68" t="str">
        <f t="shared" si="57"/>
        <v>Kampala</v>
      </c>
      <c r="H977" s="75" t="s">
        <v>1267</v>
      </c>
    </row>
    <row r="978" spans="1:9">
      <c r="A978" s="74">
        <v>388</v>
      </c>
      <c r="B978" s="75" t="s">
        <v>1255</v>
      </c>
      <c r="C978" s="75" t="s">
        <v>1256</v>
      </c>
      <c r="D978" s="75" t="s">
        <v>1267</v>
      </c>
      <c r="E978" s="75" t="s">
        <v>1574</v>
      </c>
      <c r="F978" s="75" t="s">
        <v>1574</v>
      </c>
      <c r="G978" s="68" t="str">
        <f t="shared" si="57"/>
        <v>Kampala</v>
      </c>
      <c r="H978" s="75" t="s">
        <v>1267</v>
      </c>
    </row>
    <row r="979" spans="1:9">
      <c r="A979" s="74">
        <v>389</v>
      </c>
      <c r="B979" s="75" t="s">
        <v>1255</v>
      </c>
      <c r="C979" s="75" t="s">
        <v>1256</v>
      </c>
      <c r="D979" s="75" t="s">
        <v>1267</v>
      </c>
      <c r="E979" s="75" t="s">
        <v>1580</v>
      </c>
      <c r="F979" s="75" t="s">
        <v>1580</v>
      </c>
      <c r="G979" s="68" t="str">
        <f t="shared" si="57"/>
        <v>Kampala</v>
      </c>
      <c r="H979" s="75" t="s">
        <v>1267</v>
      </c>
    </row>
    <row r="980" spans="1:9">
      <c r="A980" s="74">
        <v>390</v>
      </c>
      <c r="B980" s="75" t="s">
        <v>1255</v>
      </c>
      <c r="C980" s="75" t="s">
        <v>1256</v>
      </c>
      <c r="D980" s="75" t="s">
        <v>1267</v>
      </c>
      <c r="E980" s="79" t="s">
        <v>3154</v>
      </c>
      <c r="F980" s="79" t="s">
        <v>1591</v>
      </c>
      <c r="G980" s="68" t="str">
        <f t="shared" si="57"/>
        <v>Kampala</v>
      </c>
      <c r="H980" s="75" t="s">
        <v>1267</v>
      </c>
    </row>
    <row r="981" spans="1:9">
      <c r="A981" s="74">
        <v>391</v>
      </c>
      <c r="B981" s="75" t="s">
        <v>1255</v>
      </c>
      <c r="C981" s="75" t="s">
        <v>1256</v>
      </c>
      <c r="D981" s="75" t="s">
        <v>1267</v>
      </c>
      <c r="E981" s="79" t="s">
        <v>3155</v>
      </c>
      <c r="F981" s="79" t="s">
        <v>1591</v>
      </c>
      <c r="G981" s="68" t="str">
        <f t="shared" si="57"/>
        <v>Kampala</v>
      </c>
      <c r="H981" s="75" t="s">
        <v>1267</v>
      </c>
      <c r="I981" s="80" t="s">
        <v>3089</v>
      </c>
    </row>
    <row r="982" spans="1:9">
      <c r="A982" s="74">
        <v>392</v>
      </c>
      <c r="B982" s="75" t="s">
        <v>1255</v>
      </c>
      <c r="C982" s="75" t="s">
        <v>1256</v>
      </c>
      <c r="D982" s="75" t="s">
        <v>1267</v>
      </c>
      <c r="E982" s="79" t="s">
        <v>3156</v>
      </c>
      <c r="F982" s="79" t="s">
        <v>1700</v>
      </c>
      <c r="G982" s="68" t="str">
        <f t="shared" si="57"/>
        <v>Kampala</v>
      </c>
      <c r="H982" s="75" t="s">
        <v>1267</v>
      </c>
    </row>
    <row r="983" spans="1:9">
      <c r="A983" s="74">
        <v>393</v>
      </c>
      <c r="B983" s="75" t="s">
        <v>1255</v>
      </c>
      <c r="C983" s="75" t="s">
        <v>1256</v>
      </c>
      <c r="D983" s="75" t="s">
        <v>1267</v>
      </c>
      <c r="E983" s="79" t="s">
        <v>3157</v>
      </c>
      <c r="F983" s="79" t="s">
        <v>1700</v>
      </c>
      <c r="G983" s="68" t="str">
        <f t="shared" si="57"/>
        <v>Kampala</v>
      </c>
      <c r="H983" s="75" t="s">
        <v>1267</v>
      </c>
      <c r="I983" s="80" t="s">
        <v>3089</v>
      </c>
    </row>
    <row r="984" spans="1:9" ht="25.5">
      <c r="A984" s="74">
        <v>394</v>
      </c>
      <c r="B984" s="75" t="s">
        <v>1255</v>
      </c>
      <c r="C984" s="75" t="s">
        <v>1256</v>
      </c>
      <c r="D984" s="75" t="s">
        <v>1267</v>
      </c>
      <c r="E984" s="75" t="s">
        <v>1705</v>
      </c>
      <c r="F984" s="75" t="s">
        <v>1705</v>
      </c>
      <c r="G984" s="68" t="str">
        <f t="shared" si="57"/>
        <v>Kampala</v>
      </c>
      <c r="H984" s="75" t="s">
        <v>1267</v>
      </c>
    </row>
    <row r="985" spans="1:9">
      <c r="A985" s="74">
        <v>395</v>
      </c>
      <c r="B985" s="75" t="s">
        <v>1255</v>
      </c>
      <c r="C985" s="75" t="s">
        <v>1256</v>
      </c>
      <c r="D985" s="75" t="s">
        <v>1267</v>
      </c>
      <c r="E985" s="75" t="s">
        <v>1723</v>
      </c>
      <c r="F985" s="75" t="s">
        <v>1723</v>
      </c>
      <c r="G985" s="68" t="str">
        <f t="shared" si="57"/>
        <v>Kampala</v>
      </c>
      <c r="H985" s="75" t="s">
        <v>1267</v>
      </c>
    </row>
    <row r="986" spans="1:9">
      <c r="A986" s="74">
        <v>396</v>
      </c>
      <c r="B986" s="75" t="s">
        <v>1255</v>
      </c>
      <c r="C986" s="75" t="s">
        <v>1256</v>
      </c>
      <c r="D986" s="75" t="s">
        <v>1267</v>
      </c>
      <c r="E986" s="75" t="s">
        <v>1735</v>
      </c>
      <c r="F986" s="75" t="s">
        <v>1735</v>
      </c>
      <c r="G986" s="68" t="str">
        <f t="shared" si="57"/>
        <v>Kampala</v>
      </c>
      <c r="H986" s="75" t="s">
        <v>1267</v>
      </c>
    </row>
    <row r="987" spans="1:9">
      <c r="A987" s="74">
        <v>397</v>
      </c>
      <c r="B987" s="75" t="s">
        <v>1255</v>
      </c>
      <c r="C987" s="75" t="s">
        <v>1256</v>
      </c>
      <c r="D987" s="75" t="s">
        <v>1267</v>
      </c>
      <c r="E987" s="75" t="s">
        <v>1706</v>
      </c>
      <c r="F987" s="75" t="s">
        <v>1706</v>
      </c>
      <c r="G987" s="68" t="str">
        <f t="shared" si="57"/>
        <v>Kampala</v>
      </c>
      <c r="H987" s="75" t="s">
        <v>1267</v>
      </c>
    </row>
    <row r="988" spans="1:9">
      <c r="A988" s="74">
        <v>472</v>
      </c>
      <c r="B988" s="75" t="s">
        <v>2342</v>
      </c>
      <c r="C988" s="75" t="s">
        <v>2345</v>
      </c>
      <c r="D988" s="75" t="s">
        <v>2359</v>
      </c>
      <c r="E988" s="75"/>
      <c r="F988" s="68" t="str">
        <f t="shared" ref="F988:F994" si="58">D988</f>
        <v>Makokoto</v>
      </c>
      <c r="G988" s="68" t="str">
        <f t="shared" si="57"/>
        <v>Mubende</v>
      </c>
      <c r="H988" s="75" t="s">
        <v>2359</v>
      </c>
    </row>
    <row r="989" spans="1:9">
      <c r="A989" s="74">
        <v>439</v>
      </c>
      <c r="B989" s="75" t="s">
        <v>2113</v>
      </c>
      <c r="C989" s="75" t="s">
        <v>2115</v>
      </c>
      <c r="D989" s="75" t="s">
        <v>2131</v>
      </c>
      <c r="E989" s="75"/>
      <c r="F989" s="68" t="str">
        <f t="shared" si="58"/>
        <v>Makulubita</v>
      </c>
      <c r="G989" s="68" t="str">
        <f t="shared" si="57"/>
        <v>Luwero</v>
      </c>
      <c r="H989" s="75" t="s">
        <v>2131</v>
      </c>
    </row>
    <row r="990" spans="1:9">
      <c r="A990" s="74">
        <v>701</v>
      </c>
      <c r="B990" s="75" t="s">
        <v>1074</v>
      </c>
      <c r="C990" s="75" t="s">
        <v>1077</v>
      </c>
      <c r="D990" s="75" t="s">
        <v>1082</v>
      </c>
      <c r="E990" s="75"/>
      <c r="F990" s="68" t="str">
        <f t="shared" si="58"/>
        <v>Makuutu</v>
      </c>
      <c r="G990" s="68" t="str">
        <f t="shared" si="57"/>
        <v>Iganga</v>
      </c>
      <c r="H990" s="75" t="s">
        <v>1082</v>
      </c>
    </row>
    <row r="991" spans="1:9">
      <c r="A991" s="74">
        <v>819</v>
      </c>
      <c r="B991" s="75" t="s">
        <v>2751</v>
      </c>
      <c r="C991" s="75" t="s">
        <v>2751</v>
      </c>
      <c r="D991" s="75" t="s">
        <v>2757</v>
      </c>
      <c r="E991" s="75"/>
      <c r="F991" s="68" t="str">
        <f t="shared" si="58"/>
        <v>Malaba Town Council</v>
      </c>
      <c r="G991" s="68" t="str">
        <f t="shared" si="57"/>
        <v>Tororo</v>
      </c>
      <c r="H991" s="75" t="s">
        <v>2757</v>
      </c>
    </row>
    <row r="992" spans="1:9">
      <c r="A992" s="74">
        <v>569</v>
      </c>
      <c r="B992" s="75" t="s">
        <v>2284</v>
      </c>
      <c r="C992" s="75" t="s">
        <v>2285</v>
      </c>
      <c r="D992" s="75" t="s">
        <v>2299</v>
      </c>
      <c r="E992" s="75"/>
      <c r="F992" s="68" t="str">
        <f t="shared" si="58"/>
        <v>Malangala</v>
      </c>
      <c r="G992" s="68" t="str">
        <f t="shared" si="57"/>
        <v>Mityana</v>
      </c>
      <c r="H992" s="75" t="s">
        <v>2299</v>
      </c>
    </row>
    <row r="993" spans="1:8">
      <c r="A993" s="74">
        <v>936</v>
      </c>
      <c r="B993" s="75" t="s">
        <v>844</v>
      </c>
      <c r="C993" s="75" t="s">
        <v>844</v>
      </c>
      <c r="D993" s="75" t="s">
        <v>849</v>
      </c>
      <c r="E993" s="75"/>
      <c r="F993" s="68" t="str">
        <f t="shared" si="58"/>
        <v>Malera</v>
      </c>
      <c r="G993" s="68" t="str">
        <f t="shared" si="57"/>
        <v>Bukedea</v>
      </c>
      <c r="H993" s="75" t="s">
        <v>849</v>
      </c>
    </row>
    <row r="994" spans="1:8">
      <c r="A994" s="74">
        <v>1202</v>
      </c>
      <c r="B994" s="75" t="s">
        <v>36</v>
      </c>
      <c r="C994" s="75" t="s">
        <v>1812</v>
      </c>
      <c r="D994" s="75" t="s">
        <v>1837</v>
      </c>
      <c r="E994" s="75"/>
      <c r="F994" s="68" t="str">
        <f t="shared" si="58"/>
        <v>Maliba</v>
      </c>
      <c r="G994" s="68" t="str">
        <f t="shared" si="57"/>
        <v>Kasese</v>
      </c>
      <c r="H994" s="75" t="s">
        <v>1837</v>
      </c>
    </row>
    <row r="995" spans="1:8">
      <c r="A995" s="74">
        <v>657</v>
      </c>
      <c r="B995" s="75" t="s">
        <v>2142</v>
      </c>
      <c r="C995" s="75" t="s">
        <v>23</v>
      </c>
      <c r="D995" s="79" t="s">
        <v>3158</v>
      </c>
      <c r="E995" s="75"/>
      <c r="F995" s="68" t="str">
        <f t="shared" ref="F995:F996" si="59">D995&amp;"-"&amp;B995</f>
        <v>Malongo-Lwengo</v>
      </c>
      <c r="G995" s="68" t="str">
        <f t="shared" si="57"/>
        <v>Lwengo</v>
      </c>
      <c r="H995" s="79" t="s">
        <v>3158</v>
      </c>
    </row>
    <row r="996" spans="1:8">
      <c r="A996" s="74">
        <v>860</v>
      </c>
      <c r="B996" s="75" t="s">
        <v>2209</v>
      </c>
      <c r="C996" s="75" t="s">
        <v>2210</v>
      </c>
      <c r="D996" s="79" t="s">
        <v>3158</v>
      </c>
      <c r="E996" s="75"/>
      <c r="F996" s="68" t="str">
        <f t="shared" si="59"/>
        <v>Malongo-Mayuge</v>
      </c>
      <c r="G996" s="68" t="str">
        <f t="shared" si="57"/>
        <v>Mayuge</v>
      </c>
      <c r="H996" s="79" t="s">
        <v>3158</v>
      </c>
    </row>
    <row r="997" spans="1:8">
      <c r="A997" s="74">
        <v>983</v>
      </c>
      <c r="B997" s="75" t="s">
        <v>2158</v>
      </c>
      <c r="C997" s="75" t="s">
        <v>2159</v>
      </c>
      <c r="D997" s="75" t="s">
        <v>2171</v>
      </c>
      <c r="E997" s="75"/>
      <c r="F997" s="68" t="str">
        <f t="shared" ref="F997:F1000" si="60">D997</f>
        <v>Manafwa Town Council</v>
      </c>
      <c r="G997" s="68" t="str">
        <f t="shared" si="57"/>
        <v>Manafwa</v>
      </c>
      <c r="H997" s="75" t="s">
        <v>2171</v>
      </c>
    </row>
    <row r="998" spans="1:8">
      <c r="A998" s="74">
        <v>28</v>
      </c>
      <c r="B998" s="75" t="s">
        <v>745</v>
      </c>
      <c r="C998" s="75" t="s">
        <v>746</v>
      </c>
      <c r="D998" s="75" t="s">
        <v>762</v>
      </c>
      <c r="E998" s="75"/>
      <c r="F998" s="68" t="str">
        <f t="shared" si="60"/>
        <v>Manibe</v>
      </c>
      <c r="G998" s="68" t="str">
        <f t="shared" si="57"/>
        <v>Arua</v>
      </c>
      <c r="H998" s="75" t="s">
        <v>762</v>
      </c>
    </row>
    <row r="999" spans="1:8">
      <c r="A999" s="74">
        <v>473</v>
      </c>
      <c r="B999" s="75" t="s">
        <v>2342</v>
      </c>
      <c r="C999" s="75" t="s">
        <v>2345</v>
      </c>
      <c r="D999" s="75" t="s">
        <v>2360</v>
      </c>
      <c r="E999" s="75"/>
      <c r="F999" s="68" t="str">
        <f t="shared" si="60"/>
        <v>Manyogaseka</v>
      </c>
      <c r="G999" s="68" t="str">
        <f t="shared" si="57"/>
        <v>Mubende</v>
      </c>
      <c r="H999" s="75" t="s">
        <v>2360</v>
      </c>
    </row>
    <row r="1000" spans="1:8">
      <c r="A1000" s="74">
        <v>208</v>
      </c>
      <c r="B1000" s="75" t="s">
        <v>2177</v>
      </c>
      <c r="C1000" s="75" t="s">
        <v>2177</v>
      </c>
      <c r="D1000" s="75" t="s">
        <v>2178</v>
      </c>
      <c r="E1000" s="75"/>
      <c r="F1000" s="68" t="str">
        <f t="shared" si="60"/>
        <v>Maracha Town Council</v>
      </c>
      <c r="G1000" s="68" t="str">
        <f t="shared" si="57"/>
        <v>Maracha</v>
      </c>
      <c r="H1000" s="75" t="s">
        <v>2178</v>
      </c>
    </row>
    <row r="1001" spans="1:8">
      <c r="A1001" s="74">
        <v>693</v>
      </c>
      <c r="B1001" s="75" t="s">
        <v>947</v>
      </c>
      <c r="C1001" s="75" t="s">
        <v>948</v>
      </c>
      <c r="D1001" s="79" t="s">
        <v>3159</v>
      </c>
      <c r="E1001" s="75"/>
      <c r="F1001" s="68" t="str">
        <f t="shared" ref="F1001:F1002" si="61">D1001&amp;"-"&amp;B1001</f>
        <v>Masaba-Busia</v>
      </c>
      <c r="G1001" s="68" t="str">
        <f t="shared" si="57"/>
        <v>Busia</v>
      </c>
      <c r="H1001" s="79" t="s">
        <v>3159</v>
      </c>
    </row>
    <row r="1002" spans="1:8">
      <c r="A1002" s="74">
        <v>882</v>
      </c>
      <c r="B1002" s="75" t="s">
        <v>2706</v>
      </c>
      <c r="C1002" s="75" t="s">
        <v>2707</v>
      </c>
      <c r="D1002" s="79" t="s">
        <v>3159</v>
      </c>
      <c r="E1002" s="75"/>
      <c r="F1002" s="68" t="str">
        <f t="shared" si="61"/>
        <v>Masaba-Sironko</v>
      </c>
      <c r="G1002" s="68" t="str">
        <f t="shared" si="57"/>
        <v>Sironko</v>
      </c>
      <c r="H1002" s="79" t="s">
        <v>3159</v>
      </c>
    </row>
    <row r="1003" spans="1:8">
      <c r="A1003" s="74">
        <v>694</v>
      </c>
      <c r="B1003" s="75" t="s">
        <v>947</v>
      </c>
      <c r="C1003" s="75" t="s">
        <v>948</v>
      </c>
      <c r="D1003" s="75" t="s">
        <v>961</v>
      </c>
      <c r="E1003" s="75"/>
      <c r="F1003" s="68" t="str">
        <f t="shared" ref="F1003" si="62">D1003</f>
        <v>Masafu</v>
      </c>
      <c r="G1003" s="68" t="str">
        <f t="shared" si="57"/>
        <v>Busia</v>
      </c>
      <c r="H1003" s="75" t="s">
        <v>961</v>
      </c>
    </row>
    <row r="1004" spans="1:8" ht="38.25">
      <c r="A1004" s="74">
        <v>553</v>
      </c>
      <c r="B1004" s="75" t="s">
        <v>2774</v>
      </c>
      <c r="C1004" s="76" t="s">
        <v>2775</v>
      </c>
      <c r="D1004" s="75" t="s">
        <v>3160</v>
      </c>
      <c r="E1004" s="75"/>
      <c r="F1004" s="69" t="s">
        <v>2881</v>
      </c>
      <c r="G1004" s="68" t="str">
        <f t="shared" si="57"/>
        <v>Wakiso</v>
      </c>
      <c r="H1004" s="75" t="s">
        <v>3160</v>
      </c>
    </row>
    <row r="1005" spans="1:8">
      <c r="A1005" s="74">
        <v>719</v>
      </c>
      <c r="B1005" s="75" t="s">
        <v>1114</v>
      </c>
      <c r="C1005" s="76" t="s">
        <v>1123</v>
      </c>
      <c r="D1005" s="75" t="s">
        <v>3161</v>
      </c>
      <c r="E1005" s="75"/>
      <c r="F1005" s="69" t="str">
        <f>VLOOKUP(C1005,[2]Municipalities!$C$9:$F$1522,4,FALSE)</f>
        <v>Jinja Municipality</v>
      </c>
      <c r="G1005" s="68" t="str">
        <f t="shared" si="57"/>
        <v>Jinja</v>
      </c>
      <c r="H1005" s="75" t="s">
        <v>3161</v>
      </c>
    </row>
    <row r="1006" spans="1:8">
      <c r="A1006" s="74">
        <v>1382</v>
      </c>
      <c r="B1006" s="75" t="s">
        <v>48</v>
      </c>
      <c r="C1006" s="75" t="s">
        <v>48</v>
      </c>
      <c r="D1006" s="75" t="s">
        <v>1103</v>
      </c>
      <c r="E1006" s="75"/>
      <c r="F1006" s="68" t="str">
        <f t="shared" ref="F1006:F1069" si="63">D1006</f>
        <v>Masha</v>
      </c>
      <c r="G1006" s="68" t="str">
        <f t="shared" si="57"/>
        <v>Isingiro</v>
      </c>
      <c r="H1006" s="75" t="s">
        <v>1103</v>
      </c>
    </row>
    <row r="1007" spans="1:8">
      <c r="A1007" s="74">
        <v>1468</v>
      </c>
      <c r="B1007" s="75" t="s">
        <v>41</v>
      </c>
      <c r="C1007" s="75" t="s">
        <v>41</v>
      </c>
      <c r="D1007" s="75" t="s">
        <v>2699</v>
      </c>
      <c r="E1007" s="75"/>
      <c r="F1007" s="68" t="str">
        <f t="shared" si="63"/>
        <v>Masheruka</v>
      </c>
      <c r="G1007" s="68" t="str">
        <f t="shared" si="57"/>
        <v>Sheema</v>
      </c>
      <c r="H1007" s="75" t="s">
        <v>2699</v>
      </c>
    </row>
    <row r="1008" spans="1:8">
      <c r="A1008" s="74">
        <v>1013</v>
      </c>
      <c r="B1008" s="75" t="s">
        <v>870</v>
      </c>
      <c r="C1008" s="75" t="s">
        <v>870</v>
      </c>
      <c r="D1008" s="75" t="s">
        <v>883</v>
      </c>
      <c r="E1008" s="75"/>
      <c r="F1008" s="68" t="str">
        <f t="shared" si="63"/>
        <v>Masiira</v>
      </c>
      <c r="G1008" s="68" t="str">
        <f t="shared" si="57"/>
        <v>Bulambuli</v>
      </c>
      <c r="H1008" s="75" t="s">
        <v>883</v>
      </c>
    </row>
    <row r="1009" spans="1:8">
      <c r="A1009" s="74">
        <v>1419</v>
      </c>
      <c r="B1009" s="75" t="s">
        <v>1928</v>
      </c>
      <c r="C1009" s="75" t="s">
        <v>1929</v>
      </c>
      <c r="D1009" s="75" t="s">
        <v>1937</v>
      </c>
      <c r="E1009" s="75"/>
      <c r="F1009" s="68" t="str">
        <f t="shared" si="63"/>
        <v>Masindi Port</v>
      </c>
      <c r="G1009" s="68" t="str">
        <f t="shared" si="57"/>
        <v>Kiryandongo</v>
      </c>
      <c r="H1009" s="75" t="s">
        <v>1937</v>
      </c>
    </row>
    <row r="1010" spans="1:8">
      <c r="A1010" s="74">
        <v>695</v>
      </c>
      <c r="B1010" s="75" t="s">
        <v>947</v>
      </c>
      <c r="C1010" s="75" t="s">
        <v>948</v>
      </c>
      <c r="D1010" s="75" t="s">
        <v>962</v>
      </c>
      <c r="E1010" s="75"/>
      <c r="F1010" s="68" t="str">
        <f t="shared" si="63"/>
        <v>Masinya</v>
      </c>
      <c r="G1010" s="68" t="str">
        <f t="shared" si="57"/>
        <v>Busia</v>
      </c>
      <c r="H1010" s="75" t="s">
        <v>962</v>
      </c>
    </row>
    <row r="1011" spans="1:8">
      <c r="A1011" s="74">
        <v>537</v>
      </c>
      <c r="B1011" s="75" t="s">
        <v>2774</v>
      </c>
      <c r="C1011" s="75" t="s">
        <v>2778</v>
      </c>
      <c r="D1011" s="75" t="s">
        <v>2885</v>
      </c>
      <c r="E1011" s="75"/>
      <c r="F1011" s="68" t="str">
        <f t="shared" si="63"/>
        <v>Masuliita</v>
      </c>
      <c r="G1011" s="68" t="str">
        <f t="shared" si="57"/>
        <v>Wakiso</v>
      </c>
      <c r="H1011" s="75" t="s">
        <v>2885</v>
      </c>
    </row>
    <row r="1012" spans="1:8">
      <c r="A1012" s="74">
        <v>538</v>
      </c>
      <c r="B1012" s="75" t="s">
        <v>2774</v>
      </c>
      <c r="C1012" s="75" t="s">
        <v>2778</v>
      </c>
      <c r="D1012" s="75" t="s">
        <v>2886</v>
      </c>
      <c r="E1012" s="75"/>
      <c r="F1012" s="68" t="str">
        <f t="shared" si="63"/>
        <v>Masulita Town Council</v>
      </c>
      <c r="G1012" s="68" t="str">
        <f t="shared" si="57"/>
        <v>Wakiso</v>
      </c>
      <c r="H1012" s="75" t="s">
        <v>2886</v>
      </c>
    </row>
    <row r="1013" spans="1:8">
      <c r="A1013" s="74">
        <v>1212</v>
      </c>
      <c r="B1013" s="75" t="s">
        <v>1871</v>
      </c>
      <c r="C1013" s="75" t="s">
        <v>1872</v>
      </c>
      <c r="D1013" s="75" t="s">
        <v>1877</v>
      </c>
      <c r="E1013" s="75"/>
      <c r="F1013" s="68" t="str">
        <f t="shared" si="63"/>
        <v>Matale</v>
      </c>
      <c r="G1013" s="68" t="str">
        <f t="shared" si="57"/>
        <v>Kibaale</v>
      </c>
      <c r="H1013" s="75" t="s">
        <v>1877</v>
      </c>
    </row>
    <row r="1014" spans="1:8">
      <c r="A1014" s="74">
        <v>277</v>
      </c>
      <c r="B1014" s="75" t="s">
        <v>2489</v>
      </c>
      <c r="C1014" s="75" t="s">
        <v>2490</v>
      </c>
      <c r="D1014" s="75" t="s">
        <v>2495</v>
      </c>
      <c r="E1014" s="75"/>
      <c r="F1014" s="68" t="str">
        <f t="shared" si="63"/>
        <v>Matany</v>
      </c>
      <c r="G1014" s="68" t="str">
        <f t="shared" si="57"/>
        <v>Napak</v>
      </c>
      <c r="H1014" s="75" t="s">
        <v>2495</v>
      </c>
    </row>
    <row r="1015" spans="1:8">
      <c r="A1015" s="74">
        <v>519</v>
      </c>
      <c r="B1015" s="75" t="s">
        <v>2738</v>
      </c>
      <c r="C1015" s="75" t="s">
        <v>2739</v>
      </c>
      <c r="D1015" s="75" t="s">
        <v>2742</v>
      </c>
      <c r="E1015" s="75"/>
      <c r="F1015" s="68" t="str">
        <f t="shared" si="63"/>
        <v>Mateete</v>
      </c>
      <c r="G1015" s="68" t="str">
        <f t="shared" si="57"/>
        <v>Ssembabule</v>
      </c>
      <c r="H1015" s="75" t="s">
        <v>2742</v>
      </c>
    </row>
    <row r="1016" spans="1:8">
      <c r="A1016" s="74">
        <v>520</v>
      </c>
      <c r="B1016" s="75" t="s">
        <v>2738</v>
      </c>
      <c r="C1016" s="75" t="s">
        <v>2739</v>
      </c>
      <c r="D1016" s="75" t="s">
        <v>2743</v>
      </c>
      <c r="E1016" s="75"/>
      <c r="F1016" s="68" t="str">
        <f t="shared" si="63"/>
        <v>Mateete Town Council</v>
      </c>
      <c r="G1016" s="68" t="str">
        <f t="shared" si="57"/>
        <v>Ssembabule</v>
      </c>
      <c r="H1016" s="75" t="s">
        <v>2743</v>
      </c>
    </row>
    <row r="1017" spans="1:8">
      <c r="A1017" s="74">
        <v>1437</v>
      </c>
      <c r="B1017" s="75" t="s">
        <v>46</v>
      </c>
      <c r="C1017" s="75" t="s">
        <v>2272</v>
      </c>
      <c r="D1017" s="75" t="s">
        <v>2278</v>
      </c>
      <c r="E1017" s="75"/>
      <c r="F1017" s="68" t="str">
        <f t="shared" si="63"/>
        <v>Mayanga</v>
      </c>
      <c r="G1017" s="68" t="str">
        <f t="shared" si="57"/>
        <v>Mitooma</v>
      </c>
      <c r="H1017" s="75" t="s">
        <v>2278</v>
      </c>
    </row>
    <row r="1018" spans="1:8">
      <c r="A1018" s="74">
        <v>861</v>
      </c>
      <c r="B1018" s="75" t="s">
        <v>2209</v>
      </c>
      <c r="C1018" s="75" t="s">
        <v>2210</v>
      </c>
      <c r="D1018" s="75" t="s">
        <v>2221</v>
      </c>
      <c r="E1018" s="75"/>
      <c r="F1018" s="68" t="str">
        <f t="shared" si="63"/>
        <v>Mayuge Town Council</v>
      </c>
      <c r="G1018" s="68" t="str">
        <f t="shared" si="57"/>
        <v>Mayuge</v>
      </c>
      <c r="H1018" s="75" t="s">
        <v>2221</v>
      </c>
    </row>
    <row r="1019" spans="1:8">
      <c r="A1019" s="74">
        <v>1159</v>
      </c>
      <c r="B1019" s="75" t="s">
        <v>1148</v>
      </c>
      <c r="C1019" s="75" t="s">
        <v>1149</v>
      </c>
      <c r="D1019" s="75" t="s">
        <v>1158</v>
      </c>
      <c r="E1019" s="75"/>
      <c r="F1019" s="68" t="str">
        <f t="shared" si="63"/>
        <v>Maziba</v>
      </c>
      <c r="G1019" s="68" t="str">
        <f t="shared" si="57"/>
        <v>Kabale</v>
      </c>
      <c r="H1019" s="75" t="s">
        <v>1158</v>
      </c>
    </row>
    <row r="1020" spans="1:8">
      <c r="A1020" s="74">
        <v>958</v>
      </c>
      <c r="B1020" s="75" t="s">
        <v>965</v>
      </c>
      <c r="C1020" s="75" t="s">
        <v>966</v>
      </c>
      <c r="D1020" s="75" t="s">
        <v>974</v>
      </c>
      <c r="E1020" s="75"/>
      <c r="F1020" s="68" t="str">
        <f t="shared" si="63"/>
        <v>Mazimasa</v>
      </c>
      <c r="G1020" s="68" t="str">
        <f t="shared" si="57"/>
        <v>Butaleja</v>
      </c>
      <c r="H1020" s="75" t="s">
        <v>974</v>
      </c>
    </row>
    <row r="1021" spans="1:8">
      <c r="A1021" s="74">
        <v>324</v>
      </c>
      <c r="B1021" s="75" t="s">
        <v>1226</v>
      </c>
      <c r="C1021" s="75" t="s">
        <v>1227</v>
      </c>
      <c r="D1021" s="75" t="s">
        <v>1231</v>
      </c>
      <c r="E1021" s="75"/>
      <c r="F1021" s="68" t="str">
        <f t="shared" si="63"/>
        <v>Mazinga</v>
      </c>
      <c r="G1021" s="68" t="str">
        <f t="shared" si="57"/>
        <v>Kalangala</v>
      </c>
      <c r="H1021" s="75" t="s">
        <v>1231</v>
      </c>
    </row>
    <row r="1022" spans="1:8">
      <c r="A1022" s="74">
        <v>1368</v>
      </c>
      <c r="B1022" s="75" t="s">
        <v>48</v>
      </c>
      <c r="C1022" s="75" t="s">
        <v>1093</v>
      </c>
      <c r="D1022" s="75" t="s">
        <v>1104</v>
      </c>
      <c r="E1022" s="75"/>
      <c r="F1022" s="68" t="str">
        <f t="shared" si="63"/>
        <v>Mbaare</v>
      </c>
      <c r="G1022" s="68" t="str">
        <f t="shared" si="57"/>
        <v>Isingiro</v>
      </c>
      <c r="H1022" s="75" t="s">
        <v>1104</v>
      </c>
    </row>
    <row r="1023" spans="1:8">
      <c r="A1023" s="74">
        <v>734</v>
      </c>
      <c r="B1023" s="75" t="s">
        <v>1744</v>
      </c>
      <c r="C1023" s="75" t="s">
        <v>1747</v>
      </c>
      <c r="D1023" s="75" t="s">
        <v>1753</v>
      </c>
      <c r="E1023" s="75"/>
      <c r="F1023" s="68" t="str">
        <f t="shared" si="63"/>
        <v>Mbulamuti</v>
      </c>
      <c r="G1023" s="68" t="str">
        <f t="shared" si="57"/>
        <v>Kamuli</v>
      </c>
      <c r="H1023" s="75" t="s">
        <v>1753</v>
      </c>
    </row>
    <row r="1024" spans="1:8">
      <c r="A1024" s="74">
        <v>820</v>
      </c>
      <c r="B1024" s="75" t="s">
        <v>2751</v>
      </c>
      <c r="C1024" s="75" t="s">
        <v>2751</v>
      </c>
      <c r="D1024" s="75" t="s">
        <v>2758</v>
      </c>
      <c r="E1024" s="75"/>
      <c r="F1024" s="68" t="str">
        <f t="shared" si="63"/>
        <v>Mella</v>
      </c>
      <c r="G1024" s="68" t="str">
        <f t="shared" si="57"/>
        <v>Tororo</v>
      </c>
      <c r="H1024" s="75" t="s">
        <v>2758</v>
      </c>
    </row>
    <row r="1025" spans="1:8">
      <c r="A1025" s="74">
        <v>539</v>
      </c>
      <c r="B1025" s="75" t="s">
        <v>2774</v>
      </c>
      <c r="C1025" s="75" t="s">
        <v>2778</v>
      </c>
      <c r="D1025" s="75" t="s">
        <v>2887</v>
      </c>
      <c r="E1025" s="75"/>
      <c r="F1025" s="68" t="str">
        <f t="shared" si="63"/>
        <v>Mende</v>
      </c>
      <c r="G1025" s="68" t="str">
        <f t="shared" si="57"/>
        <v>Wakiso</v>
      </c>
      <c r="H1025" s="75" t="s">
        <v>2887</v>
      </c>
    </row>
    <row r="1026" spans="1:8">
      <c r="A1026" s="74">
        <v>821</v>
      </c>
      <c r="B1026" s="75" t="s">
        <v>2751</v>
      </c>
      <c r="C1026" s="75" t="s">
        <v>2751</v>
      </c>
      <c r="D1026" s="75" t="s">
        <v>2759</v>
      </c>
      <c r="E1026" s="75"/>
      <c r="F1026" s="68" t="str">
        <f t="shared" si="63"/>
        <v>Merikit</v>
      </c>
      <c r="G1026" s="68" t="str">
        <f t="shared" si="57"/>
        <v>Tororo</v>
      </c>
      <c r="H1026" s="75" t="s">
        <v>2759</v>
      </c>
    </row>
    <row r="1027" spans="1:8">
      <c r="A1027" s="74">
        <v>104</v>
      </c>
      <c r="B1027" s="75" t="s">
        <v>2317</v>
      </c>
      <c r="C1027" s="75" t="s">
        <v>2320</v>
      </c>
      <c r="D1027" s="75" t="s">
        <v>2325</v>
      </c>
      <c r="E1027" s="75"/>
      <c r="F1027" s="68" t="str">
        <f t="shared" si="63"/>
        <v>Metu</v>
      </c>
      <c r="G1027" s="68" t="str">
        <f t="shared" si="57"/>
        <v>Moyo</v>
      </c>
      <c r="H1027" s="75" t="s">
        <v>2325</v>
      </c>
    </row>
    <row r="1028" spans="1:8">
      <c r="A1028" s="74">
        <v>203</v>
      </c>
      <c r="B1028" s="75" t="s">
        <v>1969</v>
      </c>
      <c r="C1028" s="75" t="s">
        <v>1969</v>
      </c>
      <c r="D1028" s="75" t="s">
        <v>1975</v>
      </c>
      <c r="E1028" s="75"/>
      <c r="F1028" s="68" t="str">
        <f t="shared" si="63"/>
        <v>Midia</v>
      </c>
      <c r="G1028" s="68" t="str">
        <f t="shared" si="57"/>
        <v>Koboko</v>
      </c>
      <c r="H1028" s="75" t="s">
        <v>1975</v>
      </c>
    </row>
    <row r="1029" spans="1:8">
      <c r="A1029" s="74">
        <v>147</v>
      </c>
      <c r="B1029" s="75" t="s">
        <v>3009</v>
      </c>
      <c r="C1029" s="75" t="s">
        <v>3010</v>
      </c>
      <c r="D1029" s="75" t="s">
        <v>3019</v>
      </c>
      <c r="E1029" s="75"/>
      <c r="F1029" s="68" t="str">
        <f t="shared" si="63"/>
        <v>Midigo</v>
      </c>
      <c r="G1029" s="68" t="str">
        <f t="shared" si="57"/>
        <v>Yumbe</v>
      </c>
      <c r="H1029" s="75" t="s">
        <v>3019</v>
      </c>
    </row>
    <row r="1030" spans="1:8">
      <c r="A1030" s="74">
        <v>499</v>
      </c>
      <c r="B1030" s="75" t="s">
        <v>2437</v>
      </c>
      <c r="C1030" s="75" t="s">
        <v>2204</v>
      </c>
      <c r="D1030" s="75" t="s">
        <v>2443</v>
      </c>
      <c r="E1030" s="75"/>
      <c r="F1030" s="68" t="str">
        <f t="shared" si="63"/>
        <v>Migeera Town Council</v>
      </c>
      <c r="G1030" s="68" t="str">
        <f t="shared" si="57"/>
        <v>Nakasongola</v>
      </c>
      <c r="H1030" s="75" t="s">
        <v>2443</v>
      </c>
    </row>
    <row r="1031" spans="1:8">
      <c r="A1031" s="74">
        <v>1238</v>
      </c>
      <c r="B1031" s="75" t="s">
        <v>2200</v>
      </c>
      <c r="C1031" s="75" t="s">
        <v>2204</v>
      </c>
      <c r="D1031" s="75" t="s">
        <v>2206</v>
      </c>
      <c r="E1031" s="75"/>
      <c r="F1031" s="68" t="str">
        <f t="shared" si="63"/>
        <v>Miirya</v>
      </c>
      <c r="G1031" s="68" t="str">
        <f t="shared" si="57"/>
        <v>Masindi</v>
      </c>
      <c r="H1031" s="75" t="s">
        <v>2206</v>
      </c>
    </row>
    <row r="1032" spans="1:8">
      <c r="A1032" s="74">
        <v>521</v>
      </c>
      <c r="B1032" s="75" t="s">
        <v>2738</v>
      </c>
      <c r="C1032" s="75" t="s">
        <v>2739</v>
      </c>
      <c r="D1032" s="75" t="s">
        <v>2744</v>
      </c>
      <c r="E1032" s="75"/>
      <c r="F1032" s="68" t="str">
        <f t="shared" si="63"/>
        <v>Mijwala</v>
      </c>
      <c r="G1032" s="68" t="str">
        <f t="shared" si="57"/>
        <v>Ssembabule</v>
      </c>
      <c r="H1032" s="75" t="s">
        <v>2744</v>
      </c>
    </row>
    <row r="1033" spans="1:8">
      <c r="A1033" s="74">
        <v>222</v>
      </c>
      <c r="B1033" s="75" t="s">
        <v>2571</v>
      </c>
      <c r="C1033" s="75" t="s">
        <v>2571</v>
      </c>
      <c r="D1033" s="75" t="s">
        <v>2579</v>
      </c>
      <c r="E1033" s="75"/>
      <c r="F1033" s="68" t="str">
        <f t="shared" si="63"/>
        <v>Minakulu</v>
      </c>
      <c r="G1033" s="68" t="str">
        <f t="shared" si="57"/>
        <v>Oyam</v>
      </c>
      <c r="H1033" s="75" t="s">
        <v>2579</v>
      </c>
    </row>
    <row r="1034" spans="1:8">
      <c r="A1034" s="74">
        <v>1119</v>
      </c>
      <c r="B1034" s="75" t="s">
        <v>897</v>
      </c>
      <c r="C1034" s="75" t="s">
        <v>898</v>
      </c>
      <c r="D1034" s="75" t="s">
        <v>911</v>
      </c>
      <c r="E1034" s="75"/>
      <c r="F1034" s="68" t="str">
        <f t="shared" si="63"/>
        <v>Mirambi</v>
      </c>
      <c r="G1034" s="68" t="str">
        <f t="shared" ref="G1034:G1097" si="64">B1034</f>
        <v>Bundibugyo</v>
      </c>
      <c r="H1034" s="75" t="s">
        <v>911</v>
      </c>
    </row>
    <row r="1035" spans="1:8">
      <c r="A1035" s="74">
        <v>1438</v>
      </c>
      <c r="B1035" s="75" t="s">
        <v>46</v>
      </c>
      <c r="C1035" s="75" t="s">
        <v>2272</v>
      </c>
      <c r="D1035" s="75" t="s">
        <v>46</v>
      </c>
      <c r="E1035" s="75"/>
      <c r="F1035" s="68" t="str">
        <f t="shared" si="63"/>
        <v>Mitooma</v>
      </c>
      <c r="G1035" s="68" t="str">
        <f t="shared" si="64"/>
        <v>Mitooma</v>
      </c>
      <c r="H1035" s="75" t="s">
        <v>46</v>
      </c>
    </row>
    <row r="1036" spans="1:8">
      <c r="A1036" s="74">
        <v>1439</v>
      </c>
      <c r="B1036" s="75" t="s">
        <v>46</v>
      </c>
      <c r="C1036" s="75" t="s">
        <v>2272</v>
      </c>
      <c r="D1036" s="75" t="s">
        <v>2280</v>
      </c>
      <c r="E1036" s="75"/>
      <c r="F1036" s="68" t="str">
        <f t="shared" si="63"/>
        <v>Mitooma Town Council</v>
      </c>
      <c r="G1036" s="68" t="str">
        <f t="shared" si="64"/>
        <v>Mitooma</v>
      </c>
      <c r="H1036" s="75" t="s">
        <v>2280</v>
      </c>
    </row>
    <row r="1037" spans="1:8">
      <c r="A1037" s="74">
        <v>822</v>
      </c>
      <c r="B1037" s="75" t="s">
        <v>2751</v>
      </c>
      <c r="C1037" s="75" t="s">
        <v>2751</v>
      </c>
      <c r="D1037" s="75" t="s">
        <v>2760</v>
      </c>
      <c r="E1037" s="75"/>
      <c r="F1037" s="68" t="str">
        <f t="shared" si="63"/>
        <v>Molo</v>
      </c>
      <c r="G1037" s="68" t="str">
        <f t="shared" si="64"/>
        <v>Tororo</v>
      </c>
      <c r="H1037" s="75" t="s">
        <v>2760</v>
      </c>
    </row>
    <row r="1038" spans="1:8">
      <c r="A1038" s="74">
        <v>119</v>
      </c>
      <c r="B1038" s="75" t="s">
        <v>2407</v>
      </c>
      <c r="C1038" s="75" t="s">
        <v>2408</v>
      </c>
      <c r="D1038" s="75" t="s">
        <v>2413</v>
      </c>
      <c r="E1038" s="75"/>
      <c r="F1038" s="68" t="str">
        <f t="shared" si="63"/>
        <v>Moruita</v>
      </c>
      <c r="G1038" s="68" t="str">
        <f t="shared" si="64"/>
        <v>Nakapiripirit</v>
      </c>
      <c r="H1038" s="75" t="s">
        <v>2413</v>
      </c>
    </row>
    <row r="1039" spans="1:8">
      <c r="A1039" s="74">
        <v>155</v>
      </c>
      <c r="B1039" s="75" t="s">
        <v>641</v>
      </c>
      <c r="C1039" s="75" t="s">
        <v>642</v>
      </c>
      <c r="D1039" s="75" t="s">
        <v>646</v>
      </c>
      <c r="E1039" s="75"/>
      <c r="F1039" s="68" t="str">
        <f t="shared" si="63"/>
        <v>Morulem</v>
      </c>
      <c r="G1039" s="68" t="str">
        <f t="shared" si="64"/>
        <v>Abim</v>
      </c>
      <c r="H1039" s="75" t="s">
        <v>646</v>
      </c>
    </row>
    <row r="1040" spans="1:8">
      <c r="A1040" s="74">
        <v>892</v>
      </c>
      <c r="B1040" s="75" t="s">
        <v>707</v>
      </c>
      <c r="C1040" s="75" t="s">
        <v>707</v>
      </c>
      <c r="D1040" s="75" t="s">
        <v>716</v>
      </c>
      <c r="E1040" s="75"/>
      <c r="F1040" s="68" t="str">
        <f t="shared" si="63"/>
        <v>Morungatuny</v>
      </c>
      <c r="G1040" s="68" t="str">
        <f t="shared" si="64"/>
        <v>Amuria</v>
      </c>
      <c r="H1040" s="75" t="s">
        <v>716</v>
      </c>
    </row>
    <row r="1041" spans="1:8">
      <c r="A1041" s="74">
        <v>105</v>
      </c>
      <c r="B1041" s="75" t="s">
        <v>2317</v>
      </c>
      <c r="C1041" s="75" t="s">
        <v>2320</v>
      </c>
      <c r="D1041" s="75" t="s">
        <v>2317</v>
      </c>
      <c r="E1041" s="75"/>
      <c r="F1041" s="68" t="str">
        <f t="shared" si="63"/>
        <v>Moyo</v>
      </c>
      <c r="G1041" s="68" t="str">
        <f t="shared" si="64"/>
        <v>Moyo</v>
      </c>
      <c r="H1041" s="75" t="s">
        <v>2317</v>
      </c>
    </row>
    <row r="1042" spans="1:8">
      <c r="A1042" s="74">
        <v>106</v>
      </c>
      <c r="B1042" s="75" t="s">
        <v>2317</v>
      </c>
      <c r="C1042" s="75" t="s">
        <v>2320</v>
      </c>
      <c r="D1042" s="75" t="s">
        <v>2326</v>
      </c>
      <c r="E1042" s="75"/>
      <c r="F1042" s="68" t="str">
        <f t="shared" si="63"/>
        <v>Moyo Town Council</v>
      </c>
      <c r="G1042" s="68" t="str">
        <f t="shared" si="64"/>
        <v>Moyo</v>
      </c>
      <c r="H1042" s="75" t="s">
        <v>2326</v>
      </c>
    </row>
    <row r="1043" spans="1:8">
      <c r="A1043" s="74">
        <v>1044</v>
      </c>
      <c r="B1043" s="75" t="s">
        <v>1999</v>
      </c>
      <c r="C1043" s="75" t="s">
        <v>1999</v>
      </c>
      <c r="D1043" s="75" t="s">
        <v>2009</v>
      </c>
      <c r="E1043" s="75"/>
      <c r="F1043" s="68" t="str">
        <f t="shared" si="63"/>
        <v>Moyok</v>
      </c>
      <c r="G1043" s="68" t="str">
        <f t="shared" si="64"/>
        <v>Kween</v>
      </c>
      <c r="H1043" s="75" t="s">
        <v>2009</v>
      </c>
    </row>
    <row r="1044" spans="1:8">
      <c r="A1044" s="74">
        <v>1426</v>
      </c>
      <c r="B1044" s="75" t="s">
        <v>2045</v>
      </c>
      <c r="C1044" s="75" t="s">
        <v>2046</v>
      </c>
      <c r="D1044" s="75" t="s">
        <v>2052</v>
      </c>
      <c r="E1044" s="75"/>
      <c r="F1044" s="68" t="str">
        <f t="shared" si="63"/>
        <v>Mpara</v>
      </c>
      <c r="G1044" s="68" t="str">
        <f t="shared" si="64"/>
        <v>Kyegegwa</v>
      </c>
      <c r="H1044" s="75" t="s">
        <v>2052</v>
      </c>
    </row>
    <row r="1045" spans="1:8" ht="25.5">
      <c r="A1045" s="74">
        <v>1148</v>
      </c>
      <c r="B1045" s="75" t="s">
        <v>1040</v>
      </c>
      <c r="C1045" s="76" t="s">
        <v>1046</v>
      </c>
      <c r="D1045" s="75" t="s">
        <v>3162</v>
      </c>
      <c r="E1045" s="75"/>
      <c r="F1045" s="69" t="str">
        <f>VLOOKUP(C1045,[2]Municipalities!$C$9:$F$1522,4,FALSE)</f>
        <v>Hoima Municipality</v>
      </c>
      <c r="G1045" s="68" t="str">
        <f t="shared" si="64"/>
        <v>Hoima</v>
      </c>
      <c r="H1045" s="75" t="s">
        <v>3162</v>
      </c>
    </row>
    <row r="1046" spans="1:8">
      <c r="A1046" s="74">
        <v>1531</v>
      </c>
      <c r="B1046" s="75" t="s">
        <v>3125</v>
      </c>
      <c r="C1046" s="75" t="s">
        <v>2656</v>
      </c>
      <c r="D1046" s="75" t="s">
        <v>3163</v>
      </c>
      <c r="E1046" s="75"/>
      <c r="F1046" s="68" t="str">
        <f t="shared" si="63"/>
        <v>Mparo Town Council</v>
      </c>
      <c r="G1046" s="68" t="str">
        <f t="shared" si="64"/>
        <v>Rukiga</v>
      </c>
      <c r="H1046" s="75" t="s">
        <v>3163</v>
      </c>
    </row>
    <row r="1047" spans="1:8">
      <c r="A1047" s="74">
        <v>1501</v>
      </c>
      <c r="B1047" s="75" t="s">
        <v>1212</v>
      </c>
      <c r="C1047" s="75" t="s">
        <v>1213</v>
      </c>
      <c r="D1047" s="75" t="s">
        <v>1222</v>
      </c>
      <c r="E1047" s="75"/>
      <c r="F1047" s="68" t="str">
        <f t="shared" si="63"/>
        <v>Mpasaana</v>
      </c>
      <c r="G1047" s="68" t="str">
        <f t="shared" si="64"/>
        <v>Kakumiro</v>
      </c>
      <c r="H1047" s="75" t="s">
        <v>1222</v>
      </c>
    </row>
    <row r="1048" spans="1:8">
      <c r="A1048" s="74">
        <v>480</v>
      </c>
      <c r="B1048" s="75" t="s">
        <v>2369</v>
      </c>
      <c r="C1048" s="75" t="s">
        <v>2369</v>
      </c>
      <c r="D1048" s="75" t="s">
        <v>2376</v>
      </c>
      <c r="E1048" s="75"/>
      <c r="F1048" s="68" t="str">
        <f t="shared" si="63"/>
        <v>Mpatta</v>
      </c>
      <c r="G1048" s="68" t="str">
        <f t="shared" si="64"/>
        <v>Mukono</v>
      </c>
      <c r="H1048" s="75" t="s">
        <v>2376</v>
      </c>
    </row>
    <row r="1049" spans="1:8">
      <c r="A1049" s="74">
        <v>1488</v>
      </c>
      <c r="B1049" s="75" t="s">
        <v>1193</v>
      </c>
      <c r="C1049" s="75" t="s">
        <v>1194</v>
      </c>
      <c r="D1049" s="75" t="s">
        <v>1204</v>
      </c>
      <c r="E1049" s="75"/>
      <c r="F1049" s="68" t="str">
        <f t="shared" si="63"/>
        <v>Mpeefu</v>
      </c>
      <c r="G1049" s="68" t="str">
        <f t="shared" si="64"/>
        <v>Kagadi</v>
      </c>
      <c r="H1049" s="75" t="s">
        <v>1204</v>
      </c>
    </row>
    <row r="1050" spans="1:8">
      <c r="A1050" s="74">
        <v>630</v>
      </c>
      <c r="B1050" s="75" t="s">
        <v>1025</v>
      </c>
      <c r="C1050" s="75" t="s">
        <v>1025</v>
      </c>
      <c r="D1050" s="75" t="s">
        <v>1029</v>
      </c>
      <c r="E1050" s="75"/>
      <c r="F1050" s="68" t="str">
        <f t="shared" si="63"/>
        <v>Mpenja</v>
      </c>
      <c r="G1050" s="68" t="str">
        <f t="shared" si="64"/>
        <v>Gomba</v>
      </c>
      <c r="H1050" s="75" t="s">
        <v>1029</v>
      </c>
    </row>
    <row r="1051" spans="1:8">
      <c r="A1051" s="74">
        <v>455</v>
      </c>
      <c r="B1051" s="75" t="s">
        <v>2328</v>
      </c>
      <c r="C1051" s="75" t="s">
        <v>2329</v>
      </c>
      <c r="D1051" s="75" t="s">
        <v>2333</v>
      </c>
      <c r="E1051" s="75"/>
      <c r="F1051" s="68" t="str">
        <f t="shared" si="63"/>
        <v>Mpigi Town Council</v>
      </c>
      <c r="G1051" s="68" t="str">
        <f t="shared" si="64"/>
        <v>Mpigi</v>
      </c>
      <c r="H1051" s="75" t="s">
        <v>2333</v>
      </c>
    </row>
    <row r="1052" spans="1:8">
      <c r="A1052" s="74">
        <v>1187</v>
      </c>
      <c r="B1052" s="75" t="s">
        <v>36</v>
      </c>
      <c r="C1052" s="75" t="s">
        <v>900</v>
      </c>
      <c r="D1052" s="75" t="s">
        <v>1838</v>
      </c>
      <c r="E1052" s="75"/>
      <c r="F1052" s="68" t="str">
        <f t="shared" si="63"/>
        <v>Mpondwe-Lhubiriha</v>
      </c>
      <c r="G1052" s="68" t="str">
        <f t="shared" si="64"/>
        <v>Kasese</v>
      </c>
      <c r="H1052" s="75" t="s">
        <v>1838</v>
      </c>
    </row>
    <row r="1053" spans="1:8">
      <c r="A1053" s="74">
        <v>564</v>
      </c>
      <c r="B1053" s="75" t="s">
        <v>2150</v>
      </c>
      <c r="C1053" s="75" t="s">
        <v>2151</v>
      </c>
      <c r="D1053" s="79" t="s">
        <v>3164</v>
      </c>
      <c r="E1053" s="75"/>
      <c r="F1053" s="68" t="str">
        <f t="shared" ref="F1053" si="65">D1053&amp;"-"&amp;B1053</f>
        <v>Mpumudde-Lyantonde</v>
      </c>
      <c r="G1053" s="68" t="str">
        <f t="shared" si="64"/>
        <v>Lyantonde</v>
      </c>
      <c r="H1053" s="79" t="s">
        <v>3164</v>
      </c>
    </row>
    <row r="1054" spans="1:8">
      <c r="A1054" s="74">
        <v>718</v>
      </c>
      <c r="B1054" s="75" t="s">
        <v>1114</v>
      </c>
      <c r="C1054" s="76" t="s">
        <v>1123</v>
      </c>
      <c r="D1054" s="79" t="s">
        <v>3165</v>
      </c>
      <c r="E1054" s="75"/>
      <c r="F1054" s="69" t="str">
        <f>VLOOKUP(C1054,[2]Municipalities!$C$9:$F$1522,4,FALSE)</f>
        <v>Jinja Municipality</v>
      </c>
      <c r="G1054" s="68" t="str">
        <f t="shared" si="64"/>
        <v>Jinja</v>
      </c>
      <c r="H1054" s="79" t="s">
        <v>3165</v>
      </c>
    </row>
    <row r="1055" spans="1:8">
      <c r="A1055" s="74">
        <v>481</v>
      </c>
      <c r="B1055" s="75" t="s">
        <v>2369</v>
      </c>
      <c r="C1055" s="75" t="s">
        <v>2369</v>
      </c>
      <c r="D1055" s="75" t="s">
        <v>2377</v>
      </c>
      <c r="E1055" s="75"/>
      <c r="F1055" s="68" t="str">
        <f t="shared" si="63"/>
        <v>Mpunge</v>
      </c>
      <c r="G1055" s="68" t="str">
        <f t="shared" si="64"/>
        <v>Mukono</v>
      </c>
      <c r="H1055" s="75" t="s">
        <v>2377</v>
      </c>
    </row>
    <row r="1056" spans="1:8">
      <c r="A1056" s="74">
        <v>1324</v>
      </c>
      <c r="B1056" s="75" t="s">
        <v>1779</v>
      </c>
      <c r="C1056" s="75" t="s">
        <v>1780</v>
      </c>
      <c r="D1056" s="75" t="s">
        <v>1791</v>
      </c>
      <c r="E1056" s="75"/>
      <c r="F1056" s="68" t="str">
        <f t="shared" si="63"/>
        <v>Mpungu</v>
      </c>
      <c r="G1056" s="68" t="str">
        <f t="shared" si="64"/>
        <v>Kanungu</v>
      </c>
      <c r="H1056" s="75" t="s">
        <v>1791</v>
      </c>
    </row>
    <row r="1057" spans="1:8">
      <c r="A1057" s="74">
        <v>862</v>
      </c>
      <c r="B1057" s="75" t="s">
        <v>2209</v>
      </c>
      <c r="C1057" s="75" t="s">
        <v>2210</v>
      </c>
      <c r="D1057" s="75" t="s">
        <v>2222</v>
      </c>
      <c r="E1057" s="75"/>
      <c r="F1057" s="68" t="str">
        <f t="shared" si="63"/>
        <v>Mpungwe</v>
      </c>
      <c r="G1057" s="68" t="str">
        <f t="shared" si="64"/>
        <v>Mayuge</v>
      </c>
      <c r="H1057" s="75" t="s">
        <v>2222</v>
      </c>
    </row>
    <row r="1058" spans="1:8">
      <c r="A1058" s="74">
        <v>63</v>
      </c>
      <c r="B1058" s="75" t="s">
        <v>1957</v>
      </c>
      <c r="C1058" s="75" t="s">
        <v>1958</v>
      </c>
      <c r="D1058" s="75" t="s">
        <v>1964</v>
      </c>
      <c r="E1058" s="75"/>
      <c r="F1058" s="68" t="str">
        <f t="shared" si="63"/>
        <v>Mucwini</v>
      </c>
      <c r="G1058" s="68" t="str">
        <f t="shared" si="64"/>
        <v>Kitgum</v>
      </c>
      <c r="H1058" s="75" t="s">
        <v>1964</v>
      </c>
    </row>
    <row r="1059" spans="1:8">
      <c r="A1059" s="74">
        <v>456</v>
      </c>
      <c r="B1059" s="75" t="s">
        <v>2328</v>
      </c>
      <c r="C1059" s="75" t="s">
        <v>2329</v>
      </c>
      <c r="D1059" s="75" t="s">
        <v>2339</v>
      </c>
      <c r="E1059" s="75"/>
      <c r="F1059" s="68" t="str">
        <f t="shared" si="63"/>
        <v>Muduuma</v>
      </c>
      <c r="G1059" s="68" t="str">
        <f t="shared" si="64"/>
        <v>Mpigi</v>
      </c>
      <c r="H1059" s="75" t="s">
        <v>2339</v>
      </c>
    </row>
    <row r="1060" spans="1:8">
      <c r="A1060" s="74">
        <v>1213</v>
      </c>
      <c r="B1060" s="75" t="s">
        <v>1871</v>
      </c>
      <c r="C1060" s="75" t="s">
        <v>1872</v>
      </c>
      <c r="D1060" s="75" t="s">
        <v>1878</v>
      </c>
      <c r="E1060" s="75"/>
      <c r="F1060" s="68" t="str">
        <f t="shared" si="63"/>
        <v>Mugarama</v>
      </c>
      <c r="G1060" s="68" t="str">
        <f t="shared" si="64"/>
        <v>Kibaale</v>
      </c>
      <c r="H1060" s="75" t="s">
        <v>1878</v>
      </c>
    </row>
    <row r="1061" spans="1:8">
      <c r="A1061" s="74">
        <v>914</v>
      </c>
      <c r="B1061" s="75" t="s">
        <v>775</v>
      </c>
      <c r="C1061" s="75" t="s">
        <v>777</v>
      </c>
      <c r="D1061" s="75" t="s">
        <v>785</v>
      </c>
      <c r="E1061" s="75"/>
      <c r="F1061" s="68" t="str">
        <f t="shared" si="63"/>
        <v>Mugiti</v>
      </c>
      <c r="G1061" s="68" t="str">
        <f t="shared" si="64"/>
        <v>Budaka</v>
      </c>
      <c r="H1061" s="75" t="s">
        <v>785</v>
      </c>
    </row>
    <row r="1062" spans="1:8">
      <c r="A1062" s="74">
        <v>320</v>
      </c>
      <c r="B1062" s="75" t="s">
        <v>1226</v>
      </c>
      <c r="C1062" s="75" t="s">
        <v>1229</v>
      </c>
      <c r="D1062" s="75" t="s">
        <v>1232</v>
      </c>
      <c r="E1062" s="75"/>
      <c r="F1062" s="68" t="str">
        <f t="shared" si="63"/>
        <v>Mugoye</v>
      </c>
      <c r="G1062" s="68" t="str">
        <f t="shared" si="64"/>
        <v>Kalangala</v>
      </c>
      <c r="H1062" s="75" t="s">
        <v>1232</v>
      </c>
    </row>
    <row r="1063" spans="1:8">
      <c r="A1063" s="74">
        <v>1172</v>
      </c>
      <c r="B1063" s="75" t="s">
        <v>1162</v>
      </c>
      <c r="C1063" s="75" t="s">
        <v>1163</v>
      </c>
      <c r="D1063" s="75" t="s">
        <v>1177</v>
      </c>
      <c r="E1063" s="75"/>
      <c r="F1063" s="68" t="str">
        <f t="shared" si="63"/>
        <v>Mugusu</v>
      </c>
      <c r="G1063" s="68" t="str">
        <f t="shared" si="64"/>
        <v>Kabarole</v>
      </c>
      <c r="H1063" s="75" t="s">
        <v>1177</v>
      </c>
    </row>
    <row r="1064" spans="1:8">
      <c r="A1064" s="74">
        <v>1174</v>
      </c>
      <c r="B1064" s="75" t="s">
        <v>1162</v>
      </c>
      <c r="C1064" s="75" t="s">
        <v>1163</v>
      </c>
      <c r="D1064" s="75" t="s">
        <v>1178</v>
      </c>
      <c r="E1064" s="75"/>
      <c r="F1064" s="68" t="str">
        <f t="shared" si="63"/>
        <v>Mugusu Town Council</v>
      </c>
      <c r="G1064" s="68" t="str">
        <f t="shared" si="64"/>
        <v>Kabarole</v>
      </c>
      <c r="H1064" s="75" t="s">
        <v>1178</v>
      </c>
    </row>
    <row r="1065" spans="1:8">
      <c r="A1065" s="74">
        <v>1529</v>
      </c>
      <c r="B1065" s="75" t="s">
        <v>2656</v>
      </c>
      <c r="C1065" s="75" t="s">
        <v>2656</v>
      </c>
      <c r="D1065" s="75" t="s">
        <v>2660</v>
      </c>
      <c r="E1065" s="75"/>
      <c r="F1065" s="68" t="str">
        <f t="shared" si="63"/>
        <v>Muhanga Town Council</v>
      </c>
      <c r="G1065" s="68" t="str">
        <f t="shared" si="64"/>
        <v>Rukiga</v>
      </c>
      <c r="H1065" s="75" t="s">
        <v>2660</v>
      </c>
    </row>
    <row r="1066" spans="1:8">
      <c r="A1066" s="74">
        <v>1203</v>
      </c>
      <c r="B1066" s="75" t="s">
        <v>36</v>
      </c>
      <c r="C1066" s="75" t="s">
        <v>1812</v>
      </c>
      <c r="D1066" s="75" t="s">
        <v>1839</v>
      </c>
      <c r="E1066" s="75"/>
      <c r="F1066" s="68" t="str">
        <f t="shared" si="63"/>
        <v>Muhokya</v>
      </c>
      <c r="G1066" s="68" t="str">
        <f t="shared" si="64"/>
        <v>Kasese</v>
      </c>
      <c r="H1066" s="75" t="s">
        <v>1839</v>
      </c>
    </row>
    <row r="1067" spans="1:8">
      <c r="A1067" s="74">
        <v>1489</v>
      </c>
      <c r="B1067" s="75" t="s">
        <v>1193</v>
      </c>
      <c r="C1067" s="75" t="s">
        <v>1194</v>
      </c>
      <c r="D1067" s="75" t="s">
        <v>1205</v>
      </c>
      <c r="E1067" s="75"/>
      <c r="F1067" s="68" t="str">
        <f t="shared" si="63"/>
        <v>Muhorro</v>
      </c>
      <c r="G1067" s="68" t="str">
        <f t="shared" si="64"/>
        <v>Kagadi</v>
      </c>
      <c r="H1067" s="75" t="s">
        <v>1205</v>
      </c>
    </row>
    <row r="1068" spans="1:8">
      <c r="A1068" s="74">
        <v>1490</v>
      </c>
      <c r="B1068" s="75" t="s">
        <v>1193</v>
      </c>
      <c r="C1068" s="75" t="s">
        <v>1194</v>
      </c>
      <c r="D1068" s="75" t="s">
        <v>1206</v>
      </c>
      <c r="E1068" s="75"/>
      <c r="F1068" s="68" t="str">
        <f t="shared" si="63"/>
        <v>Muhorro Town Council</v>
      </c>
      <c r="G1068" s="68" t="str">
        <f t="shared" si="64"/>
        <v>Kagadi</v>
      </c>
      <c r="H1068" s="75" t="s">
        <v>1206</v>
      </c>
    </row>
    <row r="1069" spans="1:8">
      <c r="A1069" s="74">
        <v>1511</v>
      </c>
      <c r="B1069" s="75" t="s">
        <v>2632</v>
      </c>
      <c r="C1069" s="75" t="s">
        <v>2632</v>
      </c>
      <c r="D1069" s="75" t="s">
        <v>2637</v>
      </c>
      <c r="E1069" s="75"/>
      <c r="F1069" s="68" t="str">
        <f t="shared" si="63"/>
        <v>Muko</v>
      </c>
      <c r="G1069" s="68" t="str">
        <f t="shared" si="64"/>
        <v>Rubanda</v>
      </c>
      <c r="H1069" s="75" t="s">
        <v>2637</v>
      </c>
    </row>
    <row r="1070" spans="1:8">
      <c r="A1070" s="74">
        <v>766</v>
      </c>
      <c r="B1070" s="75" t="s">
        <v>1992</v>
      </c>
      <c r="C1070" s="75" t="s">
        <v>1992</v>
      </c>
      <c r="D1070" s="75" t="s">
        <v>1995</v>
      </c>
      <c r="E1070" s="75"/>
      <c r="F1070" s="68" t="str">
        <f t="shared" ref="F1070:F1121" si="66">D1070</f>
        <v>Mukongoro</v>
      </c>
      <c r="G1070" s="68" t="str">
        <f t="shared" si="64"/>
        <v>Kumi</v>
      </c>
      <c r="H1070" s="75" t="s">
        <v>1995</v>
      </c>
    </row>
    <row r="1071" spans="1:8">
      <c r="A1071" s="74">
        <v>1096</v>
      </c>
      <c r="B1071" s="75" t="s">
        <v>2462</v>
      </c>
      <c r="C1071" s="75" t="s">
        <v>2462</v>
      </c>
      <c r="D1071" s="75" t="s">
        <v>2474</v>
      </c>
      <c r="E1071" s="75"/>
      <c r="F1071" s="68" t="str">
        <f t="shared" si="66"/>
        <v>Mukoto</v>
      </c>
      <c r="G1071" s="68" t="str">
        <f t="shared" si="64"/>
        <v>Namisindwa</v>
      </c>
      <c r="H1071" s="75" t="s">
        <v>2474</v>
      </c>
    </row>
    <row r="1072" spans="1:8">
      <c r="A1072" s="74">
        <v>823</v>
      </c>
      <c r="B1072" s="75" t="s">
        <v>2751</v>
      </c>
      <c r="C1072" s="75" t="s">
        <v>2751</v>
      </c>
      <c r="D1072" s="75" t="s">
        <v>2761</v>
      </c>
      <c r="E1072" s="75"/>
      <c r="F1072" s="68" t="str">
        <f t="shared" si="66"/>
        <v>Mukuju</v>
      </c>
      <c r="G1072" s="68" t="str">
        <f t="shared" si="64"/>
        <v>Tororo</v>
      </c>
      <c r="H1072" s="75" t="s">
        <v>2761</v>
      </c>
    </row>
    <row r="1073" spans="1:8">
      <c r="A1073" s="74">
        <v>447</v>
      </c>
      <c r="B1073" s="75" t="s">
        <v>39</v>
      </c>
      <c r="C1073" s="75" t="s">
        <v>23</v>
      </c>
      <c r="D1073" s="75" t="s">
        <v>2198</v>
      </c>
      <c r="E1073" s="75"/>
      <c r="F1073" s="68" t="str">
        <f t="shared" si="66"/>
        <v>Mukungwe</v>
      </c>
      <c r="G1073" s="68" t="str">
        <f t="shared" si="64"/>
        <v>Masaka</v>
      </c>
      <c r="H1073" s="75" t="s">
        <v>2198</v>
      </c>
    </row>
    <row r="1074" spans="1:8">
      <c r="A1074" s="74">
        <v>1065</v>
      </c>
      <c r="B1074" s="75" t="s">
        <v>2509</v>
      </c>
      <c r="C1074" s="75" t="s">
        <v>2509</v>
      </c>
      <c r="D1074" s="75" t="s">
        <v>2511</v>
      </c>
      <c r="E1074" s="75"/>
      <c r="F1074" s="68" t="str">
        <f t="shared" si="66"/>
        <v>Mukura</v>
      </c>
      <c r="G1074" s="68" t="str">
        <f t="shared" si="64"/>
        <v>Ngora</v>
      </c>
      <c r="H1074" s="75" t="s">
        <v>2511</v>
      </c>
    </row>
    <row r="1075" spans="1:8">
      <c r="A1075" s="74">
        <v>643</v>
      </c>
      <c r="B1075" s="75" t="s">
        <v>2012</v>
      </c>
      <c r="C1075" s="75" t="s">
        <v>1882</v>
      </c>
      <c r="D1075" s="75" t="s">
        <v>2039</v>
      </c>
      <c r="E1075" s="75"/>
      <c r="F1075" s="68" t="str">
        <f t="shared" si="66"/>
        <v>Mulagi</v>
      </c>
      <c r="G1075" s="68" t="str">
        <f t="shared" si="64"/>
        <v>Kyankwanzi</v>
      </c>
      <c r="H1075" s="75" t="s">
        <v>2039</v>
      </c>
    </row>
    <row r="1076" spans="1:8">
      <c r="A1076" s="74">
        <v>831</v>
      </c>
      <c r="B1076" s="75" t="s">
        <v>2751</v>
      </c>
      <c r="C1076" s="75" t="s">
        <v>2752</v>
      </c>
      <c r="D1076" s="75" t="s">
        <v>2762</v>
      </c>
      <c r="E1076" s="75"/>
      <c r="F1076" s="68" t="str">
        <f t="shared" si="66"/>
        <v>Mulanda</v>
      </c>
      <c r="G1076" s="68" t="str">
        <f t="shared" si="64"/>
        <v>Tororo</v>
      </c>
      <c r="H1076" s="75" t="s">
        <v>2762</v>
      </c>
    </row>
    <row r="1077" spans="1:8">
      <c r="A1077" s="74">
        <v>748</v>
      </c>
      <c r="B1077" s="75" t="s">
        <v>1798</v>
      </c>
      <c r="C1077" s="75" t="s">
        <v>1799</v>
      </c>
      <c r="D1077" s="75" t="s">
        <v>1809</v>
      </c>
      <c r="E1077" s="75"/>
      <c r="F1077" s="68" t="str">
        <f t="shared" si="66"/>
        <v>Munarya</v>
      </c>
      <c r="G1077" s="68" t="str">
        <f t="shared" si="64"/>
        <v>Kapchorwa</v>
      </c>
      <c r="H1077" s="75" t="s">
        <v>1809</v>
      </c>
    </row>
    <row r="1078" spans="1:8">
      <c r="A1078" s="74">
        <v>1188</v>
      </c>
      <c r="B1078" s="75" t="s">
        <v>36</v>
      </c>
      <c r="C1078" s="75" t="s">
        <v>900</v>
      </c>
      <c r="D1078" s="75" t="s">
        <v>1840</v>
      </c>
      <c r="E1078" s="75"/>
      <c r="F1078" s="68" t="str">
        <f t="shared" si="66"/>
        <v>Munkunyu</v>
      </c>
      <c r="G1078" s="68" t="str">
        <f t="shared" si="64"/>
        <v>Kasese</v>
      </c>
      <c r="H1078" s="75" t="s">
        <v>1840</v>
      </c>
    </row>
    <row r="1079" spans="1:8">
      <c r="A1079" s="74">
        <v>165</v>
      </c>
      <c r="B1079" s="75" t="s">
        <v>689</v>
      </c>
      <c r="C1079" s="75" t="s">
        <v>690</v>
      </c>
      <c r="D1079" s="75" t="s">
        <v>698</v>
      </c>
      <c r="E1079" s="75"/>
      <c r="F1079" s="68" t="str">
        <f t="shared" si="66"/>
        <v>Muntu</v>
      </c>
      <c r="G1079" s="68" t="str">
        <f t="shared" si="64"/>
        <v>Amolatar</v>
      </c>
      <c r="H1079" s="75" t="s">
        <v>698</v>
      </c>
    </row>
    <row r="1080" spans="1:8">
      <c r="A1080" s="74">
        <v>1223</v>
      </c>
      <c r="B1080" s="75" t="s">
        <v>1940</v>
      </c>
      <c r="C1080" s="75" t="s">
        <v>1941</v>
      </c>
      <c r="D1080" s="75" t="s">
        <v>1947</v>
      </c>
      <c r="E1080" s="75"/>
      <c r="F1080" s="68" t="str">
        <f t="shared" si="66"/>
        <v>Muramba</v>
      </c>
      <c r="G1080" s="68" t="str">
        <f t="shared" si="64"/>
        <v>Kisoro</v>
      </c>
      <c r="H1080" s="75" t="s">
        <v>1947</v>
      </c>
    </row>
    <row r="1081" spans="1:8">
      <c r="A1081" s="74">
        <v>1224</v>
      </c>
      <c r="B1081" s="75" t="s">
        <v>1940</v>
      </c>
      <c r="C1081" s="75" t="s">
        <v>1941</v>
      </c>
      <c r="D1081" s="75" t="s">
        <v>1948</v>
      </c>
      <c r="E1081" s="75"/>
      <c r="F1081" s="68" t="str">
        <f t="shared" si="66"/>
        <v>Murora</v>
      </c>
      <c r="G1081" s="68" t="str">
        <f t="shared" si="64"/>
        <v>Kisoro</v>
      </c>
      <c r="H1081" s="75" t="s">
        <v>1948</v>
      </c>
    </row>
    <row r="1082" spans="1:8">
      <c r="A1082" s="74">
        <v>1440</v>
      </c>
      <c r="B1082" s="75" t="s">
        <v>46</v>
      </c>
      <c r="C1082" s="75" t="s">
        <v>2272</v>
      </c>
      <c r="D1082" s="75" t="s">
        <v>2281</v>
      </c>
      <c r="E1082" s="75"/>
      <c r="F1082" s="68" t="str">
        <f t="shared" si="66"/>
        <v>Mutara</v>
      </c>
      <c r="G1082" s="68" t="str">
        <f t="shared" si="64"/>
        <v>Mitooma</v>
      </c>
      <c r="H1082" s="75" t="s">
        <v>2281</v>
      </c>
    </row>
    <row r="1083" spans="1:8">
      <c r="A1083" s="74">
        <v>678</v>
      </c>
      <c r="B1083" s="75" t="s">
        <v>806</v>
      </c>
      <c r="C1083" s="75" t="s">
        <v>807</v>
      </c>
      <c r="D1083" s="75" t="s">
        <v>815</v>
      </c>
      <c r="E1083" s="75"/>
      <c r="F1083" s="68" t="str">
        <f t="shared" si="66"/>
        <v>Muterere</v>
      </c>
      <c r="G1083" s="68" t="str">
        <f t="shared" si="64"/>
        <v>Bugiri</v>
      </c>
      <c r="H1083" s="75" t="s">
        <v>815</v>
      </c>
    </row>
    <row r="1084" spans="1:8">
      <c r="A1084" s="74">
        <v>1060</v>
      </c>
      <c r="B1084" s="75" t="s">
        <v>2450</v>
      </c>
      <c r="C1084" s="75" t="s">
        <v>2451</v>
      </c>
      <c r="D1084" s="75" t="s">
        <v>2458</v>
      </c>
      <c r="E1084" s="75"/>
      <c r="F1084" s="68" t="str">
        <f t="shared" si="66"/>
        <v>Mutumba</v>
      </c>
      <c r="G1084" s="68" t="str">
        <f t="shared" si="64"/>
        <v>Namayingo</v>
      </c>
      <c r="H1084" s="75" t="s">
        <v>2458</v>
      </c>
    </row>
    <row r="1085" spans="1:8">
      <c r="A1085" s="74">
        <v>1420</v>
      </c>
      <c r="B1085" s="75" t="s">
        <v>1928</v>
      </c>
      <c r="C1085" s="75" t="s">
        <v>1929</v>
      </c>
      <c r="D1085" s="75" t="s">
        <v>1938</v>
      </c>
      <c r="E1085" s="75"/>
      <c r="F1085" s="68" t="str">
        <f t="shared" si="66"/>
        <v>Mutunda</v>
      </c>
      <c r="G1085" s="68" t="str">
        <f t="shared" si="64"/>
        <v>Kiryandongo</v>
      </c>
      <c r="H1085" s="75" t="s">
        <v>1938</v>
      </c>
    </row>
    <row r="1086" spans="1:8">
      <c r="A1086" s="74">
        <v>428</v>
      </c>
      <c r="B1086" s="75" t="s">
        <v>1882</v>
      </c>
      <c r="C1086" s="75" t="s">
        <v>1882</v>
      </c>
      <c r="D1086" s="75" t="s">
        <v>1893</v>
      </c>
      <c r="E1086" s="75"/>
      <c r="F1086" s="68" t="str">
        <f t="shared" si="66"/>
        <v>Muwanga</v>
      </c>
      <c r="G1086" s="68" t="str">
        <f t="shared" si="64"/>
        <v>Kiboga</v>
      </c>
      <c r="H1086" s="75" t="s">
        <v>1893</v>
      </c>
    </row>
    <row r="1087" spans="1:8">
      <c r="A1087" s="74">
        <v>1011</v>
      </c>
      <c r="B1087" s="75" t="s">
        <v>870</v>
      </c>
      <c r="C1087" s="75" t="s">
        <v>870</v>
      </c>
      <c r="D1087" s="75" t="s">
        <v>884</v>
      </c>
      <c r="E1087" s="75"/>
      <c r="F1087" s="68" t="str">
        <f t="shared" si="66"/>
        <v>Muyembe</v>
      </c>
      <c r="G1087" s="68" t="str">
        <f t="shared" si="64"/>
        <v>Bulambuli</v>
      </c>
      <c r="H1087" s="75" t="s">
        <v>884</v>
      </c>
    </row>
    <row r="1088" spans="1:8">
      <c r="A1088" s="74">
        <v>1258</v>
      </c>
      <c r="B1088" s="75" t="s">
        <v>2251</v>
      </c>
      <c r="C1088" s="75" t="s">
        <v>2254</v>
      </c>
      <c r="D1088" s="75" t="s">
        <v>2264</v>
      </c>
      <c r="E1088" s="75"/>
      <c r="F1088" s="68" t="str">
        <f t="shared" si="66"/>
        <v>Mwizi</v>
      </c>
      <c r="G1088" s="68" t="str">
        <f t="shared" si="64"/>
        <v>Mbarara</v>
      </c>
      <c r="H1088" s="75" t="s">
        <v>2264</v>
      </c>
    </row>
    <row r="1089" spans="1:8">
      <c r="A1089" s="74">
        <v>474</v>
      </c>
      <c r="B1089" s="75" t="s">
        <v>2342</v>
      </c>
      <c r="C1089" s="75" t="s">
        <v>2345</v>
      </c>
      <c r="D1089" s="75" t="s">
        <v>2366</v>
      </c>
      <c r="E1089" s="75"/>
      <c r="F1089" s="68" t="str">
        <f t="shared" si="66"/>
        <v>Myanzi</v>
      </c>
      <c r="G1089" s="68" t="str">
        <f t="shared" si="64"/>
        <v>Mubende</v>
      </c>
      <c r="H1089" s="75" t="s">
        <v>2366</v>
      </c>
    </row>
    <row r="1090" spans="1:8">
      <c r="A1090" s="74">
        <v>223</v>
      </c>
      <c r="B1090" s="75" t="s">
        <v>2571</v>
      </c>
      <c r="C1090" s="75" t="s">
        <v>2571</v>
      </c>
      <c r="D1090" s="75" t="s">
        <v>2580</v>
      </c>
      <c r="E1090" s="75"/>
      <c r="F1090" s="68" t="str">
        <f t="shared" si="66"/>
        <v>Myene</v>
      </c>
      <c r="G1090" s="68" t="str">
        <f t="shared" si="64"/>
        <v>Oyam</v>
      </c>
      <c r="H1090" s="75" t="s">
        <v>2580</v>
      </c>
    </row>
    <row r="1091" spans="1:8">
      <c r="A1091" s="74">
        <v>489</v>
      </c>
      <c r="B1091" s="75" t="s">
        <v>2369</v>
      </c>
      <c r="C1091" s="75" t="s">
        <v>2370</v>
      </c>
      <c r="D1091" s="75" t="s">
        <v>2394</v>
      </c>
      <c r="E1091" s="75"/>
      <c r="F1091" s="68" t="str">
        <f t="shared" si="66"/>
        <v>Nabbaale</v>
      </c>
      <c r="G1091" s="68" t="str">
        <f t="shared" si="64"/>
        <v>Mukono</v>
      </c>
      <c r="H1091" s="75" t="s">
        <v>2394</v>
      </c>
    </row>
    <row r="1092" spans="1:8">
      <c r="A1092" s="74">
        <v>1010</v>
      </c>
      <c r="B1092" s="75" t="s">
        <v>870</v>
      </c>
      <c r="C1092" s="75" t="s">
        <v>870</v>
      </c>
      <c r="D1092" s="75" t="s">
        <v>885</v>
      </c>
      <c r="E1092" s="75"/>
      <c r="F1092" s="68" t="str">
        <f t="shared" si="66"/>
        <v>Nabbongo</v>
      </c>
      <c r="G1092" s="68" t="str">
        <f t="shared" si="64"/>
        <v>Bulambuli</v>
      </c>
      <c r="H1092" s="75" t="s">
        <v>885</v>
      </c>
    </row>
    <row r="1093" spans="1:8">
      <c r="A1093" s="74">
        <v>668</v>
      </c>
      <c r="B1093" s="75" t="s">
        <v>2074</v>
      </c>
      <c r="C1093" s="75" t="s">
        <v>2074</v>
      </c>
      <c r="D1093" s="75" t="s">
        <v>2084</v>
      </c>
      <c r="E1093" s="75"/>
      <c r="F1093" s="68" t="str">
        <f t="shared" si="66"/>
        <v>Nabigasa</v>
      </c>
      <c r="G1093" s="68" t="str">
        <f t="shared" si="64"/>
        <v>Kyotera</v>
      </c>
      <c r="H1093" s="75" t="s">
        <v>2084</v>
      </c>
    </row>
    <row r="1094" spans="1:8">
      <c r="A1094" s="74">
        <v>125</v>
      </c>
      <c r="B1094" s="75" t="s">
        <v>2407</v>
      </c>
      <c r="C1094" s="75" t="s">
        <v>2410</v>
      </c>
      <c r="D1094" s="75" t="s">
        <v>2414</v>
      </c>
      <c r="E1094" s="75"/>
      <c r="F1094" s="68" t="str">
        <f t="shared" si="66"/>
        <v>Nabilatuk</v>
      </c>
      <c r="G1094" s="68" t="str">
        <f t="shared" si="64"/>
        <v>Nakapiripirit</v>
      </c>
      <c r="H1094" s="75" t="s">
        <v>2414</v>
      </c>
    </row>
    <row r="1095" spans="1:8">
      <c r="A1095" s="74">
        <v>466</v>
      </c>
      <c r="B1095" s="75" t="s">
        <v>2342</v>
      </c>
      <c r="C1095" s="75" t="s">
        <v>2343</v>
      </c>
      <c r="D1095" s="75" t="s">
        <v>2367</v>
      </c>
      <c r="E1095" s="75"/>
      <c r="F1095" s="68" t="str">
        <f t="shared" si="66"/>
        <v>Nabingoola</v>
      </c>
      <c r="G1095" s="68" t="str">
        <f t="shared" si="64"/>
        <v>Mubende</v>
      </c>
      <c r="H1095" s="75" t="s">
        <v>2367</v>
      </c>
    </row>
    <row r="1096" spans="1:8">
      <c r="A1096" s="74">
        <v>500</v>
      </c>
      <c r="B1096" s="75" t="s">
        <v>2437</v>
      </c>
      <c r="C1096" s="75" t="s">
        <v>2204</v>
      </c>
      <c r="D1096" s="75" t="s">
        <v>2444</v>
      </c>
      <c r="E1096" s="75"/>
      <c r="F1096" s="68" t="str">
        <f t="shared" si="66"/>
        <v>Nabisweera</v>
      </c>
      <c r="G1096" s="68" t="str">
        <f t="shared" si="64"/>
        <v>Nakasongola</v>
      </c>
      <c r="H1096" s="75" t="s">
        <v>2444</v>
      </c>
    </row>
    <row r="1097" spans="1:8">
      <c r="A1097" s="74">
        <v>706</v>
      </c>
      <c r="B1097" s="75" t="s">
        <v>1074</v>
      </c>
      <c r="C1097" s="75" t="s">
        <v>1075</v>
      </c>
      <c r="D1097" s="75" t="s">
        <v>1083</v>
      </c>
      <c r="E1097" s="75"/>
      <c r="F1097" s="68" t="str">
        <f t="shared" si="66"/>
        <v>Nabitende</v>
      </c>
      <c r="G1097" s="68" t="str">
        <f t="shared" si="64"/>
        <v>Iganga</v>
      </c>
      <c r="H1097" s="75" t="s">
        <v>1083</v>
      </c>
    </row>
    <row r="1098" spans="1:8">
      <c r="A1098" s="74">
        <v>908</v>
      </c>
      <c r="B1098" s="75" t="s">
        <v>775</v>
      </c>
      <c r="C1098" s="75" t="s">
        <v>775</v>
      </c>
      <c r="D1098" s="75" t="s">
        <v>786</v>
      </c>
      <c r="E1098" s="75"/>
      <c r="F1098" s="68" t="str">
        <f t="shared" si="66"/>
        <v>Naboa</v>
      </c>
      <c r="G1098" s="68" t="str">
        <f t="shared" ref="G1098:G1161" si="67">B1098</f>
        <v>Budaka</v>
      </c>
      <c r="H1098" s="75" t="s">
        <v>786</v>
      </c>
    </row>
    <row r="1099" spans="1:8">
      <c r="A1099" s="74">
        <v>679</v>
      </c>
      <c r="B1099" s="75" t="s">
        <v>806</v>
      </c>
      <c r="C1099" s="75" t="s">
        <v>807</v>
      </c>
      <c r="D1099" s="75" t="s">
        <v>816</v>
      </c>
      <c r="E1099" s="75"/>
      <c r="F1099" s="68" t="str">
        <f t="shared" si="66"/>
        <v>Nabukalu</v>
      </c>
      <c r="G1099" s="68" t="str">
        <f t="shared" si="67"/>
        <v>Bugiri</v>
      </c>
      <c r="H1099" s="75" t="s">
        <v>816</v>
      </c>
    </row>
    <row r="1100" spans="1:8">
      <c r="A1100" s="74">
        <v>792</v>
      </c>
      <c r="B1100" s="75" t="s">
        <v>2225</v>
      </c>
      <c r="C1100" s="75" t="s">
        <v>2226</v>
      </c>
      <c r="D1100" s="75" t="s">
        <v>2244</v>
      </c>
      <c r="E1100" s="75"/>
      <c r="F1100" s="68" t="str">
        <f t="shared" si="66"/>
        <v>Nabumali Town Council</v>
      </c>
      <c r="G1100" s="68" t="str">
        <f t="shared" si="67"/>
        <v>Mbale</v>
      </c>
      <c r="H1100" s="75" t="s">
        <v>2244</v>
      </c>
    </row>
    <row r="1101" spans="1:8">
      <c r="A1101" s="74">
        <v>832</v>
      </c>
      <c r="B1101" s="75" t="s">
        <v>2751</v>
      </c>
      <c r="C1101" s="75" t="s">
        <v>2752</v>
      </c>
      <c r="D1101" s="75" t="s">
        <v>2763</v>
      </c>
      <c r="E1101" s="75"/>
      <c r="F1101" s="68" t="str">
        <f t="shared" si="66"/>
        <v>Nabuyoga</v>
      </c>
      <c r="G1101" s="68" t="str">
        <f t="shared" si="67"/>
        <v>Tororo</v>
      </c>
      <c r="H1101" s="75" t="s">
        <v>2763</v>
      </c>
    </row>
    <row r="1102" spans="1:8" ht="25.5">
      <c r="A1102" s="74">
        <v>557</v>
      </c>
      <c r="B1102" s="75" t="s">
        <v>2774</v>
      </c>
      <c r="C1102" s="76" t="s">
        <v>2780</v>
      </c>
      <c r="D1102" s="75" t="s">
        <v>3166</v>
      </c>
      <c r="E1102" s="75"/>
      <c r="F1102" s="69" t="s">
        <v>2888</v>
      </c>
      <c r="G1102" s="68" t="str">
        <f t="shared" si="67"/>
        <v>Wakiso</v>
      </c>
      <c r="H1102" s="75" t="s">
        <v>3166</v>
      </c>
    </row>
    <row r="1103" spans="1:8">
      <c r="A1103" s="74">
        <v>928</v>
      </c>
      <c r="B1103" s="75" t="s">
        <v>789</v>
      </c>
      <c r="C1103" s="75" t="s">
        <v>790</v>
      </c>
      <c r="D1103" s="75" t="s">
        <v>802</v>
      </c>
      <c r="E1103" s="75"/>
      <c r="F1103" s="68" t="str">
        <f t="shared" si="66"/>
        <v>Nabweya</v>
      </c>
      <c r="G1103" s="68" t="str">
        <f t="shared" si="67"/>
        <v>Bududa</v>
      </c>
      <c r="H1103" s="75" t="s">
        <v>802</v>
      </c>
    </row>
    <row r="1104" spans="1:8">
      <c r="A1104" s="74">
        <v>998</v>
      </c>
      <c r="B1104" s="75" t="s">
        <v>2480</v>
      </c>
      <c r="C1104" s="75" t="s">
        <v>2481</v>
      </c>
      <c r="D1104" s="75" t="s">
        <v>2484</v>
      </c>
      <c r="E1104" s="75"/>
      <c r="F1104" s="68" t="str">
        <f t="shared" si="66"/>
        <v>Nabweyo</v>
      </c>
      <c r="G1104" s="68" t="str">
        <f t="shared" si="67"/>
        <v>Namutumba</v>
      </c>
      <c r="H1104" s="75" t="s">
        <v>2484</v>
      </c>
    </row>
    <row r="1105" spans="1:8">
      <c r="A1105" s="74">
        <v>729</v>
      </c>
      <c r="B1105" s="75" t="s">
        <v>1744</v>
      </c>
      <c r="C1105" s="75" t="s">
        <v>1745</v>
      </c>
      <c r="D1105" s="75" t="s">
        <v>1754</v>
      </c>
      <c r="E1105" s="75"/>
      <c r="F1105" s="68" t="str">
        <f t="shared" si="66"/>
        <v>Nabwigulu</v>
      </c>
      <c r="G1105" s="68" t="str">
        <f t="shared" si="67"/>
        <v>Kamuli</v>
      </c>
      <c r="H1105" s="75" t="s">
        <v>1754</v>
      </c>
    </row>
    <row r="1106" spans="1:8">
      <c r="A1106" s="74">
        <v>93</v>
      </c>
      <c r="B1106" s="75" t="s">
        <v>679</v>
      </c>
      <c r="C1106" s="75" t="s">
        <v>2310</v>
      </c>
      <c r="D1106" s="75" t="s">
        <v>2313</v>
      </c>
      <c r="E1106" s="75"/>
      <c r="F1106" s="68" t="str">
        <f t="shared" si="66"/>
        <v>Nadunget</v>
      </c>
      <c r="G1106" s="68" t="str">
        <f t="shared" si="67"/>
        <v>Moroto</v>
      </c>
      <c r="H1106" s="75" t="s">
        <v>2313</v>
      </c>
    </row>
    <row r="1107" spans="1:8">
      <c r="A1107" s="74">
        <v>490</v>
      </c>
      <c r="B1107" s="75" t="s">
        <v>2369</v>
      </c>
      <c r="C1107" s="75" t="s">
        <v>2370</v>
      </c>
      <c r="D1107" s="75" t="s">
        <v>2395</v>
      </c>
      <c r="E1107" s="75"/>
      <c r="F1107" s="68" t="str">
        <f t="shared" si="66"/>
        <v>Nagojje</v>
      </c>
      <c r="G1107" s="68" t="str">
        <f t="shared" si="67"/>
        <v>Mukono</v>
      </c>
      <c r="H1107" s="75" t="s">
        <v>2395</v>
      </c>
    </row>
    <row r="1108" spans="1:8">
      <c r="A1108" s="74">
        <v>833</v>
      </c>
      <c r="B1108" s="75" t="s">
        <v>2751</v>
      </c>
      <c r="C1108" s="75" t="s">
        <v>2752</v>
      </c>
      <c r="D1108" s="75" t="s">
        <v>2764</v>
      </c>
      <c r="E1108" s="75"/>
      <c r="F1108" s="68" t="str">
        <f t="shared" si="66"/>
        <v>Nagongera</v>
      </c>
      <c r="G1108" s="68" t="str">
        <f t="shared" si="67"/>
        <v>Tororo</v>
      </c>
      <c r="H1108" s="75" t="s">
        <v>2764</v>
      </c>
    </row>
    <row r="1109" spans="1:8">
      <c r="A1109" s="74">
        <v>834</v>
      </c>
      <c r="B1109" s="75" t="s">
        <v>2751</v>
      </c>
      <c r="C1109" s="75" t="s">
        <v>2752</v>
      </c>
      <c r="D1109" s="75" t="s">
        <v>2765</v>
      </c>
      <c r="E1109" s="75"/>
      <c r="F1109" s="68" t="str">
        <f t="shared" si="66"/>
        <v>Nagongera Town Council</v>
      </c>
      <c r="G1109" s="68" t="str">
        <f t="shared" si="67"/>
        <v>Tororo</v>
      </c>
      <c r="H1109" s="75" t="s">
        <v>2765</v>
      </c>
    </row>
    <row r="1110" spans="1:8">
      <c r="A1110" s="74">
        <v>625</v>
      </c>
      <c r="B1110" s="75" t="s">
        <v>995</v>
      </c>
      <c r="C1110" s="75" t="s">
        <v>996</v>
      </c>
      <c r="D1110" s="75" t="s">
        <v>1005</v>
      </c>
      <c r="E1110" s="75"/>
      <c r="F1110" s="68" t="str">
        <f t="shared" si="66"/>
        <v>Nairambi</v>
      </c>
      <c r="G1110" s="68" t="str">
        <f t="shared" si="67"/>
        <v>Buvuma</v>
      </c>
      <c r="H1110" s="75" t="s">
        <v>1005</v>
      </c>
    </row>
    <row r="1111" spans="1:8">
      <c r="A1111" s="74">
        <v>596</v>
      </c>
      <c r="B1111" s="75" t="s">
        <v>828</v>
      </c>
      <c r="C1111" s="75" t="s">
        <v>828</v>
      </c>
      <c r="D1111" s="75" t="s">
        <v>839</v>
      </c>
      <c r="E1111" s="75"/>
      <c r="F1111" s="68" t="str">
        <f t="shared" si="66"/>
        <v>Najja</v>
      </c>
      <c r="G1111" s="68" t="str">
        <f t="shared" si="67"/>
        <v>Buikwe</v>
      </c>
      <c r="H1111" s="75" t="s">
        <v>839</v>
      </c>
    </row>
    <row r="1112" spans="1:8" ht="25.5">
      <c r="A1112" s="74">
        <v>602</v>
      </c>
      <c r="B1112" s="75" t="s">
        <v>828</v>
      </c>
      <c r="C1112" s="76" t="s">
        <v>836</v>
      </c>
      <c r="D1112" s="75" t="s">
        <v>3167</v>
      </c>
      <c r="E1112" s="75"/>
      <c r="F1112" s="69" t="str">
        <f>VLOOKUP(C1112,[2]Municipalities!$C$9:$F$1522,4,FALSE)</f>
        <v>Lugazi Municipality</v>
      </c>
      <c r="G1112" s="68" t="str">
        <f t="shared" si="67"/>
        <v>Buikwe</v>
      </c>
      <c r="H1112" s="75" t="s">
        <v>3167</v>
      </c>
    </row>
    <row r="1113" spans="1:8">
      <c r="A1113" s="74">
        <v>707</v>
      </c>
      <c r="B1113" s="75" t="s">
        <v>1074</v>
      </c>
      <c r="C1113" s="75" t="s">
        <v>1075</v>
      </c>
      <c r="D1113" s="75" t="s">
        <v>1084</v>
      </c>
      <c r="E1113" s="75"/>
      <c r="F1113" s="68" t="str">
        <f t="shared" si="66"/>
        <v>Nakalama</v>
      </c>
      <c r="G1113" s="68" t="str">
        <f t="shared" si="67"/>
        <v>Iganga</v>
      </c>
      <c r="H1113" s="75" t="s">
        <v>1084</v>
      </c>
    </row>
    <row r="1114" spans="1:8">
      <c r="A1114" s="74">
        <v>786</v>
      </c>
      <c r="B1114" s="75" t="s">
        <v>2225</v>
      </c>
      <c r="C1114" s="75" t="s">
        <v>2226</v>
      </c>
      <c r="D1114" s="75" t="s">
        <v>2245</v>
      </c>
      <c r="E1114" s="75"/>
      <c r="F1114" s="68" t="str">
        <f t="shared" si="66"/>
        <v>Nakaloke</v>
      </c>
      <c r="G1114" s="68" t="str">
        <f t="shared" si="67"/>
        <v>Mbale</v>
      </c>
      <c r="H1114" s="75" t="s">
        <v>2245</v>
      </c>
    </row>
    <row r="1115" spans="1:8">
      <c r="A1115" s="74">
        <v>787</v>
      </c>
      <c r="B1115" s="75" t="s">
        <v>2225</v>
      </c>
      <c r="C1115" s="75" t="s">
        <v>2226</v>
      </c>
      <c r="D1115" s="75" t="s">
        <v>2246</v>
      </c>
      <c r="E1115" s="75"/>
      <c r="F1115" s="68" t="str">
        <f t="shared" si="66"/>
        <v>Nakaloke Town Council</v>
      </c>
      <c r="G1115" s="68" t="str">
        <f t="shared" si="67"/>
        <v>Mbale</v>
      </c>
      <c r="H1115" s="75" t="s">
        <v>2246</v>
      </c>
    </row>
    <row r="1116" spans="1:8">
      <c r="A1116" s="74">
        <v>73</v>
      </c>
      <c r="B1116" s="75" t="s">
        <v>1985</v>
      </c>
      <c r="C1116" s="75" t="s">
        <v>1986</v>
      </c>
      <c r="D1116" s="75" t="s">
        <v>1988</v>
      </c>
      <c r="E1116" s="75"/>
      <c r="F1116" s="68" t="str">
        <f t="shared" si="66"/>
        <v>Nakapelimoru</v>
      </c>
      <c r="G1116" s="68" t="str">
        <f t="shared" si="67"/>
        <v>Kotido</v>
      </c>
      <c r="H1116" s="75" t="s">
        <v>1988</v>
      </c>
    </row>
    <row r="1117" spans="1:8">
      <c r="A1117" s="74">
        <v>120</v>
      </c>
      <c r="B1117" s="75" t="s">
        <v>2407</v>
      </c>
      <c r="C1117" s="75" t="s">
        <v>2408</v>
      </c>
      <c r="D1117" s="75" t="s">
        <v>2415</v>
      </c>
      <c r="E1117" s="75"/>
      <c r="F1117" s="68" t="str">
        <f t="shared" si="66"/>
        <v>Nakapiripirit Town Council</v>
      </c>
      <c r="G1117" s="68" t="str">
        <f t="shared" si="67"/>
        <v>Nakapiripirit</v>
      </c>
      <c r="H1117" s="75" t="s">
        <v>2415</v>
      </c>
    </row>
    <row r="1118" spans="1:8">
      <c r="A1118" s="74">
        <v>587</v>
      </c>
      <c r="B1118" s="75" t="s">
        <v>2418</v>
      </c>
      <c r="C1118" s="75" t="s">
        <v>2418</v>
      </c>
      <c r="D1118" s="75" t="s">
        <v>2418</v>
      </c>
      <c r="E1118" s="75"/>
      <c r="F1118" s="68" t="str">
        <f t="shared" si="66"/>
        <v>Nakaseke</v>
      </c>
      <c r="G1118" s="68" t="str">
        <f t="shared" si="67"/>
        <v>Nakaseke</v>
      </c>
      <c r="H1118" s="75" t="s">
        <v>2418</v>
      </c>
    </row>
    <row r="1119" spans="1:8">
      <c r="A1119" s="74">
        <v>588</v>
      </c>
      <c r="B1119" s="75" t="s">
        <v>2418</v>
      </c>
      <c r="C1119" s="75" t="s">
        <v>2418</v>
      </c>
      <c r="D1119" s="75" t="s">
        <v>2426</v>
      </c>
      <c r="E1119" s="75"/>
      <c r="F1119" s="68" t="str">
        <f t="shared" si="66"/>
        <v>Nakaseke Town Council</v>
      </c>
      <c r="G1119" s="68" t="str">
        <f t="shared" si="67"/>
        <v>Nakaseke</v>
      </c>
      <c r="H1119" s="75" t="s">
        <v>2426</v>
      </c>
    </row>
    <row r="1120" spans="1:8">
      <c r="A1120" s="74">
        <v>501</v>
      </c>
      <c r="B1120" s="75" t="s">
        <v>2437</v>
      </c>
      <c r="C1120" s="75" t="s">
        <v>2204</v>
      </c>
      <c r="D1120" s="75" t="s">
        <v>2445</v>
      </c>
      <c r="E1120" s="75"/>
      <c r="F1120" s="68" t="str">
        <f t="shared" si="66"/>
        <v>Nakasongola Town Council</v>
      </c>
      <c r="G1120" s="68" t="str">
        <f t="shared" si="67"/>
        <v>Nakasongola</v>
      </c>
      <c r="H1120" s="75" t="s">
        <v>2445</v>
      </c>
    </row>
    <row r="1121" spans="1:9">
      <c r="A1121" s="74">
        <v>929</v>
      </c>
      <c r="B1121" s="75" t="s">
        <v>789</v>
      </c>
      <c r="C1121" s="75" t="s">
        <v>790</v>
      </c>
      <c r="D1121" s="75" t="s">
        <v>803</v>
      </c>
      <c r="E1121" s="75"/>
      <c r="F1121" s="68" t="str">
        <f t="shared" si="66"/>
        <v>Nakatsi</v>
      </c>
      <c r="G1121" s="68" t="str">
        <f t="shared" si="67"/>
        <v>Bududa</v>
      </c>
      <c r="H1121" s="75" t="s">
        <v>803</v>
      </c>
    </row>
    <row r="1122" spans="1:9">
      <c r="A1122" s="74">
        <v>398</v>
      </c>
      <c r="B1122" s="75" t="s">
        <v>1255</v>
      </c>
      <c r="C1122" s="75" t="s">
        <v>1256</v>
      </c>
      <c r="D1122" s="75" t="s">
        <v>1257</v>
      </c>
      <c r="E1122" s="75" t="s">
        <v>1254</v>
      </c>
      <c r="F1122" s="75" t="s">
        <v>1254</v>
      </c>
      <c r="G1122" s="68" t="str">
        <f t="shared" si="67"/>
        <v>Kampala</v>
      </c>
      <c r="H1122" s="75" t="s">
        <v>1257</v>
      </c>
    </row>
    <row r="1123" spans="1:9">
      <c r="A1123" s="74">
        <v>399</v>
      </c>
      <c r="B1123" s="75" t="s">
        <v>1255</v>
      </c>
      <c r="C1123" s="75" t="s">
        <v>1256</v>
      </c>
      <c r="D1123" s="75" t="s">
        <v>1257</v>
      </c>
      <c r="E1123" s="75" t="s">
        <v>1258</v>
      </c>
      <c r="F1123" s="75" t="s">
        <v>1258</v>
      </c>
      <c r="G1123" s="68" t="str">
        <f t="shared" si="67"/>
        <v>Kampala</v>
      </c>
      <c r="H1123" s="75" t="s">
        <v>1257</v>
      </c>
    </row>
    <row r="1124" spans="1:9">
      <c r="A1124" s="74">
        <v>400</v>
      </c>
      <c r="B1124" s="75" t="s">
        <v>1255</v>
      </c>
      <c r="C1124" s="75" t="s">
        <v>1256</v>
      </c>
      <c r="D1124" s="75" t="s">
        <v>1257</v>
      </c>
      <c r="E1124" s="79" t="s">
        <v>3168</v>
      </c>
      <c r="F1124" s="79" t="s">
        <v>23</v>
      </c>
      <c r="G1124" s="68" t="str">
        <f t="shared" si="67"/>
        <v>Kampala</v>
      </c>
      <c r="H1124" s="75" t="s">
        <v>1257</v>
      </c>
    </row>
    <row r="1125" spans="1:9">
      <c r="A1125" s="74">
        <v>401</v>
      </c>
      <c r="B1125" s="75" t="s">
        <v>1255</v>
      </c>
      <c r="C1125" s="75" t="s">
        <v>1256</v>
      </c>
      <c r="D1125" s="75" t="s">
        <v>1257</v>
      </c>
      <c r="E1125" s="79" t="s">
        <v>3169</v>
      </c>
      <c r="F1125" s="79" t="s">
        <v>23</v>
      </c>
      <c r="G1125" s="68" t="str">
        <f t="shared" si="67"/>
        <v>Kampala</v>
      </c>
      <c r="H1125" s="75" t="s">
        <v>1257</v>
      </c>
      <c r="I1125" s="80" t="s">
        <v>3089</v>
      </c>
    </row>
    <row r="1126" spans="1:9">
      <c r="A1126" s="74">
        <v>402</v>
      </c>
      <c r="B1126" s="75" t="s">
        <v>1255</v>
      </c>
      <c r="C1126" s="75" t="s">
        <v>1256</v>
      </c>
      <c r="D1126" s="75" t="s">
        <v>1257</v>
      </c>
      <c r="E1126" s="75" t="s">
        <v>1285</v>
      </c>
      <c r="F1126" s="75" t="s">
        <v>1285</v>
      </c>
      <c r="G1126" s="68" t="str">
        <f t="shared" si="67"/>
        <v>Kampala</v>
      </c>
      <c r="H1126" s="75" t="s">
        <v>1257</v>
      </c>
    </row>
    <row r="1127" spans="1:9">
      <c r="A1127" s="74">
        <v>403</v>
      </c>
      <c r="B1127" s="75" t="s">
        <v>1255</v>
      </c>
      <c r="C1127" s="75" t="s">
        <v>1256</v>
      </c>
      <c r="D1127" s="75" t="s">
        <v>1257</v>
      </c>
      <c r="E1127" s="75" t="s">
        <v>1471</v>
      </c>
      <c r="F1127" s="75" t="s">
        <v>1471</v>
      </c>
      <c r="G1127" s="68" t="str">
        <f t="shared" si="67"/>
        <v>Kampala</v>
      </c>
      <c r="H1127" s="75" t="s">
        <v>1257</v>
      </c>
    </row>
    <row r="1128" spans="1:9">
      <c r="A1128" s="74">
        <v>404</v>
      </c>
      <c r="B1128" s="75" t="s">
        <v>1255</v>
      </c>
      <c r="C1128" s="75" t="s">
        <v>1256</v>
      </c>
      <c r="D1128" s="75" t="s">
        <v>1257</v>
      </c>
      <c r="E1128" s="75" t="s">
        <v>1523</v>
      </c>
      <c r="F1128" s="75" t="s">
        <v>1523</v>
      </c>
      <c r="G1128" s="68" t="str">
        <f t="shared" si="67"/>
        <v>Kampala</v>
      </c>
      <c r="H1128" s="75" t="s">
        <v>1257</v>
      </c>
    </row>
    <row r="1129" spans="1:9">
      <c r="A1129" s="74">
        <v>405</v>
      </c>
      <c r="B1129" s="75" t="s">
        <v>1255</v>
      </c>
      <c r="C1129" s="75" t="s">
        <v>1256</v>
      </c>
      <c r="D1129" s="75" t="s">
        <v>1257</v>
      </c>
      <c r="E1129" s="75" t="s">
        <v>1524</v>
      </c>
      <c r="F1129" s="75" t="s">
        <v>1524</v>
      </c>
      <c r="G1129" s="68" t="str">
        <f t="shared" si="67"/>
        <v>Kampala</v>
      </c>
      <c r="H1129" s="75" t="s">
        <v>1257</v>
      </c>
    </row>
    <row r="1130" spans="1:9">
      <c r="A1130" s="74">
        <v>406</v>
      </c>
      <c r="B1130" s="75" t="s">
        <v>1255</v>
      </c>
      <c r="C1130" s="75" t="s">
        <v>1256</v>
      </c>
      <c r="D1130" s="75" t="s">
        <v>1257</v>
      </c>
      <c r="E1130" s="75" t="s">
        <v>1559</v>
      </c>
      <c r="F1130" s="75" t="s">
        <v>1559</v>
      </c>
      <c r="G1130" s="68" t="str">
        <f t="shared" si="67"/>
        <v>Kampala</v>
      </c>
      <c r="H1130" s="75" t="s">
        <v>1257</v>
      </c>
    </row>
    <row r="1131" spans="1:9">
      <c r="A1131" s="74">
        <v>407</v>
      </c>
      <c r="B1131" s="75" t="s">
        <v>1255</v>
      </c>
      <c r="C1131" s="75" t="s">
        <v>1256</v>
      </c>
      <c r="D1131" s="75" t="s">
        <v>1257</v>
      </c>
      <c r="E1131" s="75" t="s">
        <v>1563</v>
      </c>
      <c r="F1131" s="75" t="s">
        <v>1563</v>
      </c>
      <c r="G1131" s="68" t="str">
        <f t="shared" si="67"/>
        <v>Kampala</v>
      </c>
      <c r="H1131" s="75" t="s">
        <v>1257</v>
      </c>
    </row>
    <row r="1132" spans="1:9">
      <c r="A1132" s="74">
        <v>408</v>
      </c>
      <c r="B1132" s="75" t="s">
        <v>1255</v>
      </c>
      <c r="C1132" s="75" t="s">
        <v>1256</v>
      </c>
      <c r="D1132" s="75" t="s">
        <v>1257</v>
      </c>
      <c r="E1132" s="75" t="s">
        <v>1582</v>
      </c>
      <c r="F1132" s="75" t="s">
        <v>1582</v>
      </c>
      <c r="G1132" s="68" t="str">
        <f t="shared" si="67"/>
        <v>Kampala</v>
      </c>
      <c r="H1132" s="75" t="s">
        <v>1257</v>
      </c>
    </row>
    <row r="1133" spans="1:9">
      <c r="A1133" s="74">
        <v>409</v>
      </c>
      <c r="B1133" s="75" t="s">
        <v>1255</v>
      </c>
      <c r="C1133" s="75" t="s">
        <v>1256</v>
      </c>
      <c r="D1133" s="75" t="s">
        <v>1257</v>
      </c>
      <c r="E1133" s="75" t="s">
        <v>1583</v>
      </c>
      <c r="F1133" s="75" t="s">
        <v>1583</v>
      </c>
      <c r="G1133" s="68" t="str">
        <f t="shared" si="67"/>
        <v>Kampala</v>
      </c>
      <c r="H1133" s="75" t="s">
        <v>1257</v>
      </c>
    </row>
    <row r="1134" spans="1:9">
      <c r="A1134" s="74">
        <v>410</v>
      </c>
      <c r="B1134" s="75" t="s">
        <v>1255</v>
      </c>
      <c r="C1134" s="75" t="s">
        <v>1256</v>
      </c>
      <c r="D1134" s="75" t="s">
        <v>1257</v>
      </c>
      <c r="E1134" s="79" t="s">
        <v>3170</v>
      </c>
      <c r="F1134" s="79" t="s">
        <v>1593</v>
      </c>
      <c r="G1134" s="68" t="str">
        <f t="shared" si="67"/>
        <v>Kampala</v>
      </c>
      <c r="H1134" s="75" t="s">
        <v>1257</v>
      </c>
    </row>
    <row r="1135" spans="1:9">
      <c r="A1135" s="74">
        <v>411</v>
      </c>
      <c r="B1135" s="75" t="s">
        <v>1255</v>
      </c>
      <c r="C1135" s="75" t="s">
        <v>1256</v>
      </c>
      <c r="D1135" s="75" t="s">
        <v>1257</v>
      </c>
      <c r="E1135" s="79" t="s">
        <v>3171</v>
      </c>
      <c r="F1135" s="79" t="s">
        <v>1593</v>
      </c>
      <c r="G1135" s="68" t="str">
        <f t="shared" si="67"/>
        <v>Kampala</v>
      </c>
      <c r="H1135" s="75" t="s">
        <v>1257</v>
      </c>
      <c r="I1135" s="80" t="s">
        <v>3089</v>
      </c>
    </row>
    <row r="1136" spans="1:9">
      <c r="A1136" s="74">
        <v>412</v>
      </c>
      <c r="B1136" s="75" t="s">
        <v>1255</v>
      </c>
      <c r="C1136" s="75" t="s">
        <v>1256</v>
      </c>
      <c r="D1136" s="75" t="s">
        <v>1257</v>
      </c>
      <c r="E1136" s="75" t="s">
        <v>1621</v>
      </c>
      <c r="F1136" s="75" t="s">
        <v>1621</v>
      </c>
      <c r="G1136" s="68" t="str">
        <f t="shared" si="67"/>
        <v>Kampala</v>
      </c>
      <c r="H1136" s="75" t="s">
        <v>1257</v>
      </c>
    </row>
    <row r="1137" spans="1:9">
      <c r="A1137" s="74">
        <v>413</v>
      </c>
      <c r="B1137" s="75" t="s">
        <v>1255</v>
      </c>
      <c r="C1137" s="75" t="s">
        <v>1256</v>
      </c>
      <c r="D1137" s="75" t="s">
        <v>1257</v>
      </c>
      <c r="E1137" s="75" t="s">
        <v>1632</v>
      </c>
      <c r="F1137" s="75" t="s">
        <v>1632</v>
      </c>
      <c r="G1137" s="68" t="str">
        <f t="shared" si="67"/>
        <v>Kampala</v>
      </c>
      <c r="H1137" s="75" t="s">
        <v>1257</v>
      </c>
    </row>
    <row r="1138" spans="1:9">
      <c r="A1138" s="74">
        <v>414</v>
      </c>
      <c r="B1138" s="75" t="s">
        <v>1255</v>
      </c>
      <c r="C1138" s="75" t="s">
        <v>1256</v>
      </c>
      <c r="D1138" s="75" t="s">
        <v>1257</v>
      </c>
      <c r="E1138" s="79" t="s">
        <v>3172</v>
      </c>
      <c r="F1138" s="79" t="s">
        <v>1633</v>
      </c>
      <c r="G1138" s="68" t="str">
        <f t="shared" si="67"/>
        <v>Kampala</v>
      </c>
      <c r="H1138" s="75" t="s">
        <v>1257</v>
      </c>
    </row>
    <row r="1139" spans="1:9">
      <c r="A1139" s="74">
        <v>415</v>
      </c>
      <c r="B1139" s="75" t="s">
        <v>1255</v>
      </c>
      <c r="C1139" s="75" t="s">
        <v>1256</v>
      </c>
      <c r="D1139" s="75" t="s">
        <v>1257</v>
      </c>
      <c r="E1139" s="79" t="s">
        <v>3173</v>
      </c>
      <c r="F1139" s="79" t="s">
        <v>1633</v>
      </c>
      <c r="G1139" s="68" t="str">
        <f t="shared" si="67"/>
        <v>Kampala</v>
      </c>
      <c r="H1139" s="75" t="s">
        <v>1257</v>
      </c>
      <c r="I1139" s="80" t="s">
        <v>3089</v>
      </c>
    </row>
    <row r="1140" spans="1:9">
      <c r="A1140" s="74">
        <v>416</v>
      </c>
      <c r="B1140" s="75" t="s">
        <v>1255</v>
      </c>
      <c r="C1140" s="75" t="s">
        <v>1256</v>
      </c>
      <c r="D1140" s="75" t="s">
        <v>1257</v>
      </c>
      <c r="E1140" s="75" t="s">
        <v>1675</v>
      </c>
      <c r="F1140" s="75" t="s">
        <v>1675</v>
      </c>
      <c r="G1140" s="68" t="str">
        <f t="shared" si="67"/>
        <v>Kampala</v>
      </c>
      <c r="H1140" s="75" t="s">
        <v>1257</v>
      </c>
    </row>
    <row r="1141" spans="1:9">
      <c r="A1141" s="74">
        <v>417</v>
      </c>
      <c r="B1141" s="75" t="s">
        <v>1255</v>
      </c>
      <c r="C1141" s="75" t="s">
        <v>1256</v>
      </c>
      <c r="D1141" s="75" t="s">
        <v>1257</v>
      </c>
      <c r="E1141" s="75" t="s">
        <v>1684</v>
      </c>
      <c r="F1141" s="75" t="s">
        <v>1684</v>
      </c>
      <c r="G1141" s="68" t="str">
        <f t="shared" si="67"/>
        <v>Kampala</v>
      </c>
      <c r="H1141" s="75" t="s">
        <v>1257</v>
      </c>
    </row>
    <row r="1142" spans="1:9">
      <c r="A1142" s="74">
        <v>418</v>
      </c>
      <c r="B1142" s="75" t="s">
        <v>1255</v>
      </c>
      <c r="C1142" s="75" t="s">
        <v>1256</v>
      </c>
      <c r="D1142" s="75" t="s">
        <v>1257</v>
      </c>
      <c r="E1142" s="75" t="s">
        <v>1707</v>
      </c>
      <c r="F1142" s="75" t="s">
        <v>1707</v>
      </c>
      <c r="G1142" s="68" t="str">
        <f t="shared" si="67"/>
        <v>Kampala</v>
      </c>
      <c r="H1142" s="75" t="s">
        <v>1257</v>
      </c>
    </row>
    <row r="1143" spans="1:9">
      <c r="A1143" s="74">
        <v>419</v>
      </c>
      <c r="B1143" s="75" t="s">
        <v>1255</v>
      </c>
      <c r="C1143" s="75" t="s">
        <v>1256</v>
      </c>
      <c r="D1143" s="75" t="s">
        <v>1257</v>
      </c>
      <c r="E1143" s="75" t="s">
        <v>1733</v>
      </c>
      <c r="F1143" s="75" t="s">
        <v>1733</v>
      </c>
      <c r="G1143" s="68" t="str">
        <f t="shared" si="67"/>
        <v>Kampala</v>
      </c>
      <c r="H1143" s="75" t="s">
        <v>1257</v>
      </c>
    </row>
    <row r="1144" spans="1:9">
      <c r="A1144" s="74">
        <v>420</v>
      </c>
      <c r="B1144" s="75" t="s">
        <v>1255</v>
      </c>
      <c r="C1144" s="75" t="s">
        <v>1256</v>
      </c>
      <c r="D1144" s="75" t="s">
        <v>1257</v>
      </c>
      <c r="E1144" s="75" t="s">
        <v>1734</v>
      </c>
      <c r="F1144" s="75" t="s">
        <v>1734</v>
      </c>
      <c r="G1144" s="68" t="str">
        <f t="shared" si="67"/>
        <v>Kampala</v>
      </c>
      <c r="H1144" s="75" t="s">
        <v>1257</v>
      </c>
    </row>
    <row r="1145" spans="1:9">
      <c r="A1145" s="74">
        <v>708</v>
      </c>
      <c r="B1145" s="75" t="s">
        <v>1074</v>
      </c>
      <c r="C1145" s="75" t="s">
        <v>1075</v>
      </c>
      <c r="D1145" s="75" t="s">
        <v>1085</v>
      </c>
      <c r="E1145" s="75"/>
      <c r="F1145" s="68" t="str">
        <f t="shared" ref="F1145:F1169" si="68">D1145</f>
        <v>Nakigo</v>
      </c>
      <c r="G1145" s="68" t="str">
        <f t="shared" si="67"/>
        <v>Iganga</v>
      </c>
      <c r="H1145" s="75" t="s">
        <v>1085</v>
      </c>
    </row>
    <row r="1146" spans="1:9">
      <c r="A1146" s="74">
        <v>482</v>
      </c>
      <c r="B1146" s="75" t="s">
        <v>2369</v>
      </c>
      <c r="C1146" s="75" t="s">
        <v>2369</v>
      </c>
      <c r="D1146" s="75" t="s">
        <v>2396</v>
      </c>
      <c r="E1146" s="75"/>
      <c r="F1146" s="68" t="str">
        <f t="shared" si="68"/>
        <v>Nakisunga</v>
      </c>
      <c r="G1146" s="68" t="str">
        <f t="shared" si="67"/>
        <v>Mukono</v>
      </c>
      <c r="H1146" s="75" t="s">
        <v>2396</v>
      </c>
    </row>
    <row r="1147" spans="1:9">
      <c r="A1147" s="74">
        <v>502</v>
      </c>
      <c r="B1147" s="75" t="s">
        <v>2437</v>
      </c>
      <c r="C1147" s="75" t="s">
        <v>2204</v>
      </c>
      <c r="D1147" s="75" t="s">
        <v>2448</v>
      </c>
      <c r="E1147" s="75"/>
      <c r="F1147" s="68" t="str">
        <f t="shared" si="68"/>
        <v>Nakitoma</v>
      </c>
      <c r="G1147" s="68" t="str">
        <f t="shared" si="67"/>
        <v>Nakasongola</v>
      </c>
      <c r="H1147" s="75" t="s">
        <v>2448</v>
      </c>
    </row>
    <row r="1148" spans="1:9">
      <c r="A1148" s="74">
        <v>1372</v>
      </c>
      <c r="B1148" s="75" t="s">
        <v>48</v>
      </c>
      <c r="C1148" s="75" t="s">
        <v>1093</v>
      </c>
      <c r="D1148" s="75" t="s">
        <v>1105</v>
      </c>
      <c r="E1148" s="75"/>
      <c r="F1148" s="68" t="str">
        <f t="shared" si="68"/>
        <v>Nakivale Refugee Camp</v>
      </c>
      <c r="G1148" s="68" t="str">
        <f t="shared" si="67"/>
        <v>Isingiro</v>
      </c>
      <c r="H1148" s="75" t="s">
        <v>1105</v>
      </c>
    </row>
    <row r="1149" spans="1:9">
      <c r="A1149" s="74">
        <v>984</v>
      </c>
      <c r="B1149" s="75" t="s">
        <v>2158</v>
      </c>
      <c r="C1149" s="75" t="s">
        <v>2159</v>
      </c>
      <c r="D1149" s="75" t="s">
        <v>2172</v>
      </c>
      <c r="E1149" s="75"/>
      <c r="F1149" s="68" t="str">
        <f t="shared" si="68"/>
        <v>Nalondo</v>
      </c>
      <c r="G1149" s="68" t="str">
        <f t="shared" si="67"/>
        <v>Manafwa</v>
      </c>
      <c r="H1149" s="75" t="s">
        <v>2172</v>
      </c>
    </row>
    <row r="1150" spans="1:9">
      <c r="A1150" s="74">
        <v>883</v>
      </c>
      <c r="B1150" s="75" t="s">
        <v>2706</v>
      </c>
      <c r="C1150" s="75" t="s">
        <v>2707</v>
      </c>
      <c r="D1150" s="75" t="s">
        <v>2725</v>
      </c>
      <c r="E1150" s="75"/>
      <c r="F1150" s="68" t="str">
        <f t="shared" si="68"/>
        <v>Nalusala</v>
      </c>
      <c r="G1150" s="68" t="str">
        <f t="shared" si="67"/>
        <v>Sironko</v>
      </c>
      <c r="H1150" s="75" t="s">
        <v>2725</v>
      </c>
    </row>
    <row r="1151" spans="1:9">
      <c r="A1151" s="74">
        <v>930</v>
      </c>
      <c r="B1151" s="75" t="s">
        <v>789</v>
      </c>
      <c r="C1151" s="75" t="s">
        <v>790</v>
      </c>
      <c r="D1151" s="75" t="s">
        <v>804</v>
      </c>
      <c r="E1151" s="75"/>
      <c r="F1151" s="68" t="str">
        <f t="shared" si="68"/>
        <v>Nalwanza</v>
      </c>
      <c r="G1151" s="68" t="str">
        <f t="shared" si="67"/>
        <v>Bududa</v>
      </c>
      <c r="H1151" s="75" t="s">
        <v>804</v>
      </c>
    </row>
    <row r="1152" spans="1:9">
      <c r="A1152" s="74">
        <v>1502</v>
      </c>
      <c r="B1152" s="75" t="s">
        <v>1212</v>
      </c>
      <c r="C1152" s="75" t="s">
        <v>1213</v>
      </c>
      <c r="D1152" s="75" t="s">
        <v>1223</v>
      </c>
      <c r="E1152" s="75"/>
      <c r="F1152" s="68" t="str">
        <f t="shared" si="68"/>
        <v>Nalweyo</v>
      </c>
      <c r="G1152" s="68" t="str">
        <f t="shared" si="67"/>
        <v>Kakumiro</v>
      </c>
      <c r="H1152" s="75" t="s">
        <v>1223</v>
      </c>
    </row>
    <row r="1153" spans="1:8">
      <c r="A1153" s="74">
        <v>483</v>
      </c>
      <c r="B1153" s="75" t="s">
        <v>2369</v>
      </c>
      <c r="C1153" s="75" t="s">
        <v>2369</v>
      </c>
      <c r="D1153" s="75" t="s">
        <v>2397</v>
      </c>
      <c r="E1153" s="75"/>
      <c r="F1153" s="68" t="str">
        <f t="shared" si="68"/>
        <v>Nama</v>
      </c>
      <c r="G1153" s="68" t="str">
        <f t="shared" si="67"/>
        <v>Mukono</v>
      </c>
      <c r="H1153" s="75" t="s">
        <v>2397</v>
      </c>
    </row>
    <row r="1154" spans="1:8">
      <c r="A1154" s="74">
        <v>1097</v>
      </c>
      <c r="B1154" s="75" t="s">
        <v>2462</v>
      </c>
      <c r="C1154" s="75" t="s">
        <v>2462</v>
      </c>
      <c r="D1154" s="75" t="s">
        <v>2475</v>
      </c>
      <c r="E1154" s="75"/>
      <c r="F1154" s="68" t="str">
        <f t="shared" si="68"/>
        <v>Namabya</v>
      </c>
      <c r="G1154" s="68" t="str">
        <f t="shared" si="67"/>
        <v>Namisindwa</v>
      </c>
      <c r="H1154" s="75" t="s">
        <v>2475</v>
      </c>
    </row>
    <row r="1155" spans="1:8">
      <c r="A1155" s="74">
        <v>702</v>
      </c>
      <c r="B1155" s="75" t="s">
        <v>1074</v>
      </c>
      <c r="C1155" s="75" t="s">
        <v>1077</v>
      </c>
      <c r="D1155" s="75" t="s">
        <v>1086</v>
      </c>
      <c r="E1155" s="75"/>
      <c r="F1155" s="68" t="str">
        <f t="shared" si="68"/>
        <v>Namalemba</v>
      </c>
      <c r="G1155" s="68" t="str">
        <f t="shared" si="67"/>
        <v>Iganga</v>
      </c>
      <c r="H1155" s="75" t="s">
        <v>1086</v>
      </c>
    </row>
    <row r="1156" spans="1:8">
      <c r="A1156" s="74">
        <v>121</v>
      </c>
      <c r="B1156" s="75" t="s">
        <v>2407</v>
      </c>
      <c r="C1156" s="75" t="s">
        <v>2408</v>
      </c>
      <c r="D1156" s="75" t="s">
        <v>2416</v>
      </c>
      <c r="E1156" s="75"/>
      <c r="F1156" s="68" t="str">
        <f t="shared" si="68"/>
        <v>Namalu</v>
      </c>
      <c r="G1156" s="68" t="str">
        <f t="shared" si="67"/>
        <v>Nakapiripirit</v>
      </c>
      <c r="H1156" s="75" t="s">
        <v>2416</v>
      </c>
    </row>
    <row r="1157" spans="1:8">
      <c r="A1157" s="74">
        <v>788</v>
      </c>
      <c r="B1157" s="75" t="s">
        <v>2225</v>
      </c>
      <c r="C1157" s="75" t="s">
        <v>2226</v>
      </c>
      <c r="D1157" s="75" t="s">
        <v>2247</v>
      </c>
      <c r="E1157" s="75"/>
      <c r="F1157" s="68" t="str">
        <f t="shared" si="68"/>
        <v>Namanyonyi</v>
      </c>
      <c r="G1157" s="68" t="str">
        <f t="shared" si="67"/>
        <v>Mbale</v>
      </c>
      <c r="H1157" s="75" t="s">
        <v>2247</v>
      </c>
    </row>
    <row r="1158" spans="1:8">
      <c r="A1158" s="74">
        <v>730</v>
      </c>
      <c r="B1158" s="75" t="s">
        <v>1744</v>
      </c>
      <c r="C1158" s="75" t="s">
        <v>1745</v>
      </c>
      <c r="D1158" s="75" t="s">
        <v>1755</v>
      </c>
      <c r="E1158" s="75"/>
      <c r="F1158" s="68" t="str">
        <f t="shared" si="68"/>
        <v>Namasagali</v>
      </c>
      <c r="G1158" s="68" t="str">
        <f t="shared" si="67"/>
        <v>Kamuli</v>
      </c>
      <c r="H1158" s="75" t="s">
        <v>1755</v>
      </c>
    </row>
    <row r="1159" spans="1:8">
      <c r="A1159" s="74">
        <v>166</v>
      </c>
      <c r="B1159" s="75" t="s">
        <v>689</v>
      </c>
      <c r="C1159" s="75" t="s">
        <v>690</v>
      </c>
      <c r="D1159" s="75" t="s">
        <v>699</v>
      </c>
      <c r="E1159" s="75"/>
      <c r="F1159" s="68" t="str">
        <f t="shared" si="68"/>
        <v>Namasale</v>
      </c>
      <c r="G1159" s="68" t="str">
        <f t="shared" si="67"/>
        <v>Amolatar</v>
      </c>
      <c r="H1159" s="75" t="s">
        <v>699</v>
      </c>
    </row>
    <row r="1160" spans="1:8">
      <c r="A1160" s="74">
        <v>167</v>
      </c>
      <c r="B1160" s="75" t="s">
        <v>689</v>
      </c>
      <c r="C1160" s="75" t="s">
        <v>690</v>
      </c>
      <c r="D1160" s="75" t="s">
        <v>700</v>
      </c>
      <c r="E1160" s="75"/>
      <c r="F1160" s="68" t="str">
        <f t="shared" si="68"/>
        <v>Namasale Town Council</v>
      </c>
      <c r="G1160" s="68" t="str">
        <f t="shared" si="67"/>
        <v>Amolatar</v>
      </c>
      <c r="H1160" s="75" t="s">
        <v>700</v>
      </c>
    </row>
    <row r="1161" spans="1:8">
      <c r="A1161" s="74">
        <v>1061</v>
      </c>
      <c r="B1161" s="75" t="s">
        <v>2450</v>
      </c>
      <c r="C1161" s="75" t="s">
        <v>2451</v>
      </c>
      <c r="D1161" s="75" t="s">
        <v>2459</v>
      </c>
      <c r="E1161" s="75"/>
      <c r="F1161" s="68" t="str">
        <f t="shared" si="68"/>
        <v>Namayingo Town Council</v>
      </c>
      <c r="G1161" s="68" t="str">
        <f t="shared" si="67"/>
        <v>Namayingo</v>
      </c>
      <c r="H1161" s="75" t="s">
        <v>2459</v>
      </c>
    </row>
    <row r="1162" spans="1:8">
      <c r="A1162" s="74">
        <v>540</v>
      </c>
      <c r="B1162" s="75" t="s">
        <v>2774</v>
      </c>
      <c r="C1162" s="75" t="s">
        <v>2778</v>
      </c>
      <c r="D1162" s="75" t="s">
        <v>2923</v>
      </c>
      <c r="E1162" s="75"/>
      <c r="F1162" s="68" t="str">
        <f t="shared" si="68"/>
        <v>Namayumba</v>
      </c>
      <c r="G1162" s="68" t="str">
        <f t="shared" ref="G1162:G1225" si="69">B1162</f>
        <v>Wakiso</v>
      </c>
      <c r="H1162" s="75" t="s">
        <v>2923</v>
      </c>
    </row>
    <row r="1163" spans="1:8">
      <c r="A1163" s="74">
        <v>541</v>
      </c>
      <c r="B1163" s="75" t="s">
        <v>2774</v>
      </c>
      <c r="C1163" s="75" t="s">
        <v>2778</v>
      </c>
      <c r="D1163" s="75" t="s">
        <v>2924</v>
      </c>
      <c r="E1163" s="75"/>
      <c r="F1163" s="68" t="str">
        <f t="shared" si="68"/>
        <v>Namayumba Town Council</v>
      </c>
      <c r="G1163" s="68" t="str">
        <f t="shared" si="69"/>
        <v>Wakiso</v>
      </c>
      <c r="H1163" s="75" t="s">
        <v>2924</v>
      </c>
    </row>
    <row r="1164" spans="1:8">
      <c r="A1164" s="74">
        <v>709</v>
      </c>
      <c r="B1164" s="75" t="s">
        <v>1074</v>
      </c>
      <c r="C1164" s="75" t="s">
        <v>1075</v>
      </c>
      <c r="D1164" s="75" t="s">
        <v>1087</v>
      </c>
      <c r="E1164" s="75"/>
      <c r="F1164" s="68" t="str">
        <f t="shared" si="68"/>
        <v>Nambale</v>
      </c>
      <c r="G1164" s="68" t="str">
        <f t="shared" si="69"/>
        <v>Iganga</v>
      </c>
      <c r="H1164" s="75" t="s">
        <v>1087</v>
      </c>
    </row>
    <row r="1165" spans="1:8">
      <c r="A1165" s="74">
        <v>16</v>
      </c>
      <c r="B1165" s="75" t="s">
        <v>731</v>
      </c>
      <c r="C1165" s="75" t="s">
        <v>732</v>
      </c>
      <c r="D1165" s="75" t="s">
        <v>743</v>
      </c>
      <c r="E1165" s="75"/>
      <c r="F1165" s="68" t="str">
        <f t="shared" si="68"/>
        <v>Nambieso</v>
      </c>
      <c r="G1165" s="68" t="str">
        <f t="shared" si="69"/>
        <v>Apac</v>
      </c>
      <c r="H1165" s="75" t="s">
        <v>743</v>
      </c>
    </row>
    <row r="1166" spans="1:8">
      <c r="A1166" s="74">
        <v>1098</v>
      </c>
      <c r="B1166" s="75" t="s">
        <v>2462</v>
      </c>
      <c r="C1166" s="75" t="s">
        <v>2462</v>
      </c>
      <c r="D1166" s="75" t="s">
        <v>2476</v>
      </c>
      <c r="E1166" s="75"/>
      <c r="F1166" s="68" t="str">
        <f t="shared" si="68"/>
        <v>Namboko</v>
      </c>
      <c r="G1166" s="68" t="str">
        <f t="shared" si="69"/>
        <v>Namisindwa</v>
      </c>
      <c r="H1166" s="75" t="s">
        <v>2476</v>
      </c>
    </row>
    <row r="1167" spans="1:8">
      <c r="A1167" s="74">
        <v>1101</v>
      </c>
      <c r="B1167" s="75" t="s">
        <v>2462</v>
      </c>
      <c r="C1167" s="75" t="s">
        <v>2462</v>
      </c>
      <c r="D1167" s="75" t="s">
        <v>2477</v>
      </c>
      <c r="E1167" s="75"/>
      <c r="F1167" s="68" t="str">
        <f t="shared" si="68"/>
        <v>Namisindwa Town Council</v>
      </c>
      <c r="G1167" s="68" t="str">
        <f t="shared" si="69"/>
        <v>Namisindwa</v>
      </c>
      <c r="H1167" s="75" t="s">
        <v>2477</v>
      </c>
    </row>
    <row r="1168" spans="1:8">
      <c r="A1168" s="74">
        <v>1015</v>
      </c>
      <c r="B1168" s="75" t="s">
        <v>870</v>
      </c>
      <c r="C1168" s="75" t="s">
        <v>870</v>
      </c>
      <c r="D1168" s="75" t="s">
        <v>886</v>
      </c>
      <c r="E1168" s="75"/>
      <c r="F1168" s="68" t="str">
        <f t="shared" si="68"/>
        <v>Namisuni</v>
      </c>
      <c r="G1168" s="68" t="str">
        <f t="shared" si="69"/>
        <v>Bulambuli</v>
      </c>
      <c r="H1168" s="75" t="s">
        <v>886</v>
      </c>
    </row>
    <row r="1169" spans="1:8">
      <c r="A1169" s="74">
        <v>64</v>
      </c>
      <c r="B1169" s="75" t="s">
        <v>1957</v>
      </c>
      <c r="C1169" s="75" t="s">
        <v>1958</v>
      </c>
      <c r="D1169" s="75" t="s">
        <v>1965</v>
      </c>
      <c r="E1169" s="75"/>
      <c r="F1169" s="68" t="str">
        <f t="shared" si="68"/>
        <v>Namokora</v>
      </c>
      <c r="G1169" s="68" t="str">
        <f t="shared" si="69"/>
        <v>Kitgum</v>
      </c>
      <c r="H1169" s="75" t="s">
        <v>1965</v>
      </c>
    </row>
    <row r="1170" spans="1:8">
      <c r="A1170" s="74">
        <v>969</v>
      </c>
      <c r="B1170" s="75" t="s">
        <v>1234</v>
      </c>
      <c r="C1170" s="75" t="s">
        <v>1073</v>
      </c>
      <c r="D1170" s="79" t="s">
        <v>2925</v>
      </c>
      <c r="E1170" s="75"/>
      <c r="F1170" s="68" t="str">
        <f t="shared" ref="F1170" si="70">D1170&amp;"-"&amp;B1170</f>
        <v>Namugongo-Kaliro</v>
      </c>
      <c r="G1170" s="68" t="str">
        <f t="shared" si="69"/>
        <v>Kaliro</v>
      </c>
      <c r="H1170" s="79" t="s">
        <v>2925</v>
      </c>
    </row>
    <row r="1171" spans="1:8">
      <c r="A1171" s="74">
        <v>550</v>
      </c>
      <c r="B1171" s="75" t="s">
        <v>2774</v>
      </c>
      <c r="C1171" s="76" t="s">
        <v>2782</v>
      </c>
      <c r="D1171" s="79" t="s">
        <v>3174</v>
      </c>
      <c r="E1171" s="75"/>
      <c r="F1171" s="69" t="s">
        <v>2925</v>
      </c>
      <c r="G1171" s="68" t="str">
        <f t="shared" si="69"/>
        <v>Wakiso</v>
      </c>
      <c r="H1171" s="79" t="s">
        <v>3174</v>
      </c>
    </row>
    <row r="1172" spans="1:8">
      <c r="A1172" s="74">
        <v>710</v>
      </c>
      <c r="B1172" s="75" t="s">
        <v>1074</v>
      </c>
      <c r="C1172" s="75" t="s">
        <v>1075</v>
      </c>
      <c r="D1172" s="75" t="s">
        <v>1088</v>
      </c>
      <c r="E1172" s="75"/>
      <c r="F1172" s="68" t="str">
        <f t="shared" ref="F1172:F1208" si="71">D1172</f>
        <v>Namungalwe</v>
      </c>
      <c r="G1172" s="68" t="str">
        <f t="shared" si="69"/>
        <v>Iganga</v>
      </c>
      <c r="H1172" s="75" t="s">
        <v>1088</v>
      </c>
    </row>
    <row r="1173" spans="1:8">
      <c r="A1173" s="74">
        <v>573</v>
      </c>
      <c r="B1173" s="75" t="s">
        <v>2284</v>
      </c>
      <c r="C1173" s="75" t="s">
        <v>2284</v>
      </c>
      <c r="D1173" s="75" t="s">
        <v>2307</v>
      </c>
      <c r="E1173" s="75"/>
      <c r="F1173" s="68" t="str">
        <f t="shared" si="71"/>
        <v>Namungo</v>
      </c>
      <c r="G1173" s="68" t="str">
        <f t="shared" si="69"/>
        <v>Mityana</v>
      </c>
      <c r="H1173" s="75" t="s">
        <v>2307</v>
      </c>
    </row>
    <row r="1174" spans="1:8">
      <c r="A1174" s="74">
        <v>994</v>
      </c>
      <c r="B1174" s="75" t="s">
        <v>2480</v>
      </c>
      <c r="C1174" s="75" t="s">
        <v>2481</v>
      </c>
      <c r="D1174" s="75" t="s">
        <v>2480</v>
      </c>
      <c r="E1174" s="75"/>
      <c r="F1174" s="68" t="str">
        <f t="shared" si="71"/>
        <v>Namutumba</v>
      </c>
      <c r="G1174" s="68" t="str">
        <f t="shared" si="69"/>
        <v>Namutumba</v>
      </c>
      <c r="H1174" s="75" t="s">
        <v>2480</v>
      </c>
    </row>
    <row r="1175" spans="1:8">
      <c r="A1175" s="74">
        <v>995</v>
      </c>
      <c r="B1175" s="75" t="s">
        <v>2480</v>
      </c>
      <c r="C1175" s="75" t="s">
        <v>2481</v>
      </c>
      <c r="D1175" s="75" t="s">
        <v>2485</v>
      </c>
      <c r="E1175" s="75"/>
      <c r="F1175" s="68" t="str">
        <f t="shared" si="71"/>
        <v>Namutumba Town Council</v>
      </c>
      <c r="G1175" s="68" t="str">
        <f t="shared" si="69"/>
        <v>Namutumba</v>
      </c>
      <c r="H1175" s="75" t="s">
        <v>2485</v>
      </c>
    </row>
    <row r="1176" spans="1:8">
      <c r="A1176" s="74">
        <v>731</v>
      </c>
      <c r="B1176" s="75" t="s">
        <v>1744</v>
      </c>
      <c r="C1176" s="75" t="s">
        <v>1745</v>
      </c>
      <c r="D1176" s="75" t="s">
        <v>1756</v>
      </c>
      <c r="E1176" s="75"/>
      <c r="F1176" s="68" t="str">
        <f t="shared" si="71"/>
        <v>Namwendwa</v>
      </c>
      <c r="G1176" s="68" t="str">
        <f t="shared" si="69"/>
        <v>Kamuli</v>
      </c>
      <c r="H1176" s="75" t="s">
        <v>1756</v>
      </c>
    </row>
    <row r="1177" spans="1:8">
      <c r="A1177" s="74">
        <v>970</v>
      </c>
      <c r="B1177" s="75" t="s">
        <v>1234</v>
      </c>
      <c r="C1177" s="75" t="s">
        <v>1073</v>
      </c>
      <c r="D1177" s="75" t="s">
        <v>1244</v>
      </c>
      <c r="E1177" s="75"/>
      <c r="F1177" s="68" t="str">
        <f t="shared" si="71"/>
        <v>Namwiwa</v>
      </c>
      <c r="G1177" s="68" t="str">
        <f t="shared" si="69"/>
        <v>Kaliro</v>
      </c>
      <c r="H1177" s="75" t="s">
        <v>1244</v>
      </c>
    </row>
    <row r="1178" spans="1:8">
      <c r="A1178" s="74">
        <v>997</v>
      </c>
      <c r="B1178" s="75" t="s">
        <v>2480</v>
      </c>
      <c r="C1178" s="75" t="s">
        <v>2481</v>
      </c>
      <c r="D1178" s="75" t="s">
        <v>2486</v>
      </c>
      <c r="E1178" s="75"/>
      <c r="F1178" s="68" t="str">
        <f t="shared" si="71"/>
        <v>Nangonde</v>
      </c>
      <c r="G1178" s="68" t="str">
        <f t="shared" si="69"/>
        <v>Namutumba</v>
      </c>
      <c r="H1178" s="75" t="s">
        <v>2486</v>
      </c>
    </row>
    <row r="1179" spans="1:8">
      <c r="A1179" s="74">
        <v>680</v>
      </c>
      <c r="B1179" s="75" t="s">
        <v>806</v>
      </c>
      <c r="C1179" s="75" t="s">
        <v>807</v>
      </c>
      <c r="D1179" s="75" t="s">
        <v>817</v>
      </c>
      <c r="E1179" s="75"/>
      <c r="F1179" s="68" t="str">
        <f t="shared" si="71"/>
        <v>Nankoma</v>
      </c>
      <c r="G1179" s="68" t="str">
        <f t="shared" si="69"/>
        <v>Bugiri</v>
      </c>
      <c r="H1179" s="75" t="s">
        <v>817</v>
      </c>
    </row>
    <row r="1180" spans="1:8" ht="25.5">
      <c r="A1180" s="74">
        <v>558</v>
      </c>
      <c r="B1180" s="75" t="s">
        <v>2774</v>
      </c>
      <c r="C1180" s="76" t="s">
        <v>2780</v>
      </c>
      <c r="D1180" s="75" t="s">
        <v>3175</v>
      </c>
      <c r="E1180" s="75"/>
      <c r="F1180" s="83" t="s">
        <v>2955</v>
      </c>
      <c r="G1180" s="68" t="str">
        <f t="shared" si="69"/>
        <v>Wakiso</v>
      </c>
      <c r="H1180" s="75" t="s">
        <v>3175</v>
      </c>
    </row>
    <row r="1181" spans="1:8">
      <c r="A1181" s="74">
        <v>909</v>
      </c>
      <c r="B1181" s="75" t="s">
        <v>775</v>
      </c>
      <c r="C1181" s="75" t="s">
        <v>775</v>
      </c>
      <c r="D1181" s="75" t="s">
        <v>787</v>
      </c>
      <c r="E1181" s="75"/>
      <c r="F1181" s="68" t="str">
        <f t="shared" si="71"/>
        <v>Nansanga</v>
      </c>
      <c r="G1181" s="68" t="str">
        <f t="shared" si="69"/>
        <v>Budaka</v>
      </c>
      <c r="H1181" s="75" t="s">
        <v>787</v>
      </c>
    </row>
    <row r="1182" spans="1:8">
      <c r="A1182" s="74">
        <v>971</v>
      </c>
      <c r="B1182" s="75" t="s">
        <v>1234</v>
      </c>
      <c r="C1182" s="75" t="s">
        <v>1073</v>
      </c>
      <c r="D1182" s="75" t="s">
        <v>1245</v>
      </c>
      <c r="E1182" s="75"/>
      <c r="F1182" s="68" t="str">
        <f t="shared" si="71"/>
        <v>Nansololo</v>
      </c>
      <c r="G1182" s="68" t="str">
        <f t="shared" si="69"/>
        <v>Kaliro</v>
      </c>
      <c r="H1182" s="75" t="s">
        <v>1245</v>
      </c>
    </row>
    <row r="1183" spans="1:8">
      <c r="A1183" s="74">
        <v>278</v>
      </c>
      <c r="B1183" s="75" t="s">
        <v>2489</v>
      </c>
      <c r="C1183" s="75" t="s">
        <v>2490</v>
      </c>
      <c r="D1183" s="75" t="s">
        <v>2496</v>
      </c>
      <c r="E1183" s="75"/>
      <c r="F1183" s="68" t="str">
        <f t="shared" si="71"/>
        <v>Napak Town Council</v>
      </c>
      <c r="G1183" s="68" t="str">
        <f t="shared" si="69"/>
        <v>Napak</v>
      </c>
      <c r="H1183" s="75" t="s">
        <v>2496</v>
      </c>
    </row>
    <row r="1184" spans="1:8">
      <c r="A1184" s="74">
        <v>196</v>
      </c>
      <c r="B1184" s="75" t="s">
        <v>1132</v>
      </c>
      <c r="C1184" s="75" t="s">
        <v>1133</v>
      </c>
      <c r="D1184" s="75" t="s">
        <v>1145</v>
      </c>
      <c r="E1184" s="75"/>
      <c r="F1184" s="68" t="str">
        <f t="shared" si="71"/>
        <v>Napore Karenga</v>
      </c>
      <c r="G1184" s="68" t="str">
        <f t="shared" si="69"/>
        <v>Kaabong</v>
      </c>
      <c r="H1184" s="75" t="s">
        <v>1145</v>
      </c>
    </row>
    <row r="1185" spans="1:8">
      <c r="A1185" s="74">
        <v>972</v>
      </c>
      <c r="B1185" s="75" t="s">
        <v>1234</v>
      </c>
      <c r="C1185" s="75" t="s">
        <v>1073</v>
      </c>
      <c r="D1185" s="75" t="s">
        <v>1246</v>
      </c>
      <c r="E1185" s="75"/>
      <c r="F1185" s="68" t="str">
        <f t="shared" si="71"/>
        <v>Nawaikoke</v>
      </c>
      <c r="G1185" s="68" t="str">
        <f t="shared" si="69"/>
        <v>Kaliro</v>
      </c>
      <c r="H1185" s="75" t="s">
        <v>1246</v>
      </c>
    </row>
    <row r="1186" spans="1:8">
      <c r="A1186" s="74">
        <v>1052</v>
      </c>
      <c r="B1186" s="75" t="s">
        <v>2104</v>
      </c>
      <c r="C1186" s="75" t="s">
        <v>2104</v>
      </c>
      <c r="D1186" s="75" t="s">
        <v>2110</v>
      </c>
      <c r="E1186" s="75"/>
      <c r="F1186" s="68" t="str">
        <f t="shared" si="71"/>
        <v>Nawampiti</v>
      </c>
      <c r="G1186" s="68" t="str">
        <f t="shared" si="69"/>
        <v>Luuka</v>
      </c>
      <c r="H1186" s="75" t="s">
        <v>2110</v>
      </c>
    </row>
    <row r="1187" spans="1:8">
      <c r="A1187" s="74">
        <v>711</v>
      </c>
      <c r="B1187" s="75" t="s">
        <v>1074</v>
      </c>
      <c r="C1187" s="75" t="s">
        <v>1075</v>
      </c>
      <c r="D1187" s="75" t="s">
        <v>1089</v>
      </c>
      <c r="E1187" s="75"/>
      <c r="F1187" s="68" t="str">
        <f t="shared" si="71"/>
        <v>Nawandala</v>
      </c>
      <c r="G1187" s="68" t="str">
        <f t="shared" si="69"/>
        <v>Iganga</v>
      </c>
      <c r="H1187" s="75" t="s">
        <v>1089</v>
      </c>
    </row>
    <row r="1188" spans="1:8">
      <c r="A1188" s="74">
        <v>959</v>
      </c>
      <c r="B1188" s="75" t="s">
        <v>965</v>
      </c>
      <c r="C1188" s="75" t="s">
        <v>966</v>
      </c>
      <c r="D1188" s="75" t="s">
        <v>975</v>
      </c>
      <c r="E1188" s="75"/>
      <c r="F1188" s="68" t="str">
        <f t="shared" si="71"/>
        <v>Nawanjofu</v>
      </c>
      <c r="G1188" s="68" t="str">
        <f t="shared" si="69"/>
        <v>Butaleja</v>
      </c>
      <c r="H1188" s="75" t="s">
        <v>975</v>
      </c>
    </row>
    <row r="1189" spans="1:8">
      <c r="A1189" s="74">
        <v>735</v>
      </c>
      <c r="B1189" s="75" t="s">
        <v>1744</v>
      </c>
      <c r="C1189" s="75" t="s">
        <v>1747</v>
      </c>
      <c r="D1189" s="75" t="s">
        <v>1757</v>
      </c>
      <c r="E1189" s="75"/>
      <c r="F1189" s="68" t="str">
        <f t="shared" si="71"/>
        <v>Nawanyago</v>
      </c>
      <c r="G1189" s="68" t="str">
        <f t="shared" si="69"/>
        <v>Kamuli</v>
      </c>
      <c r="H1189" s="75" t="s">
        <v>1757</v>
      </c>
    </row>
    <row r="1190" spans="1:8">
      <c r="A1190" s="74">
        <v>712</v>
      </c>
      <c r="B1190" s="75" t="s">
        <v>1074</v>
      </c>
      <c r="C1190" s="75" t="s">
        <v>1075</v>
      </c>
      <c r="D1190" s="75" t="s">
        <v>1090</v>
      </c>
      <c r="E1190" s="75"/>
      <c r="F1190" s="68" t="str">
        <f t="shared" si="71"/>
        <v>Nawanyingi</v>
      </c>
      <c r="G1190" s="68" t="str">
        <f t="shared" si="69"/>
        <v>Iganga</v>
      </c>
      <c r="H1190" s="75" t="s">
        <v>1090</v>
      </c>
    </row>
    <row r="1191" spans="1:8">
      <c r="A1191" s="74">
        <v>960</v>
      </c>
      <c r="B1191" s="75" t="s">
        <v>965</v>
      </c>
      <c r="C1191" s="75" t="s">
        <v>966</v>
      </c>
      <c r="D1191" s="75" t="s">
        <v>976</v>
      </c>
      <c r="E1191" s="75"/>
      <c r="F1191" s="68" t="str">
        <f t="shared" si="71"/>
        <v>Naweyo</v>
      </c>
      <c r="G1191" s="68" t="str">
        <f t="shared" si="69"/>
        <v>Butaleja</v>
      </c>
      <c r="H1191" s="75" t="s">
        <v>976</v>
      </c>
    </row>
    <row r="1192" spans="1:8">
      <c r="A1192" s="74">
        <v>531</v>
      </c>
      <c r="B1192" s="75" t="s">
        <v>1855</v>
      </c>
      <c r="C1192" s="75" t="s">
        <v>1857</v>
      </c>
      <c r="D1192" s="75" t="s">
        <v>1869</v>
      </c>
      <c r="E1192" s="75"/>
      <c r="F1192" s="68" t="str">
        <f t="shared" si="71"/>
        <v>Nazigo</v>
      </c>
      <c r="G1192" s="68" t="str">
        <f t="shared" si="69"/>
        <v>Kayunga</v>
      </c>
      <c r="H1192" s="75" t="s">
        <v>1869</v>
      </c>
    </row>
    <row r="1193" spans="1:8">
      <c r="A1193" s="74">
        <v>658</v>
      </c>
      <c r="B1193" s="75" t="s">
        <v>2142</v>
      </c>
      <c r="C1193" s="75" t="s">
        <v>23</v>
      </c>
      <c r="D1193" s="75" t="s">
        <v>2148</v>
      </c>
      <c r="E1193" s="75"/>
      <c r="F1193" s="68" t="str">
        <f t="shared" si="71"/>
        <v>Ndagwe</v>
      </c>
      <c r="G1193" s="68" t="str">
        <f t="shared" si="69"/>
        <v>Lwengo</v>
      </c>
      <c r="H1193" s="75" t="s">
        <v>2148</v>
      </c>
    </row>
    <row r="1194" spans="1:8">
      <c r="A1194" s="74">
        <v>1491</v>
      </c>
      <c r="B1194" s="75" t="s">
        <v>1193</v>
      </c>
      <c r="C1194" s="75" t="s">
        <v>1194</v>
      </c>
      <c r="D1194" s="75" t="s">
        <v>1207</v>
      </c>
      <c r="E1194" s="75"/>
      <c r="F1194" s="68" t="str">
        <f t="shared" si="71"/>
        <v>Ndaiga</v>
      </c>
      <c r="G1194" s="68" t="str">
        <f t="shared" si="69"/>
        <v>Kagadi</v>
      </c>
      <c r="H1194" s="75" t="s">
        <v>1207</v>
      </c>
    </row>
    <row r="1195" spans="1:8">
      <c r="A1195" s="74">
        <v>1259</v>
      </c>
      <c r="B1195" s="75" t="s">
        <v>2251</v>
      </c>
      <c r="C1195" s="75" t="s">
        <v>2254</v>
      </c>
      <c r="D1195" s="75" t="s">
        <v>2265</v>
      </c>
      <c r="E1195" s="75"/>
      <c r="F1195" s="68" t="str">
        <f t="shared" si="71"/>
        <v>Ndeija</v>
      </c>
      <c r="G1195" s="68" t="str">
        <f t="shared" si="69"/>
        <v>Mbarara</v>
      </c>
      <c r="H1195" s="75" t="s">
        <v>2265</v>
      </c>
    </row>
    <row r="1196" spans="1:8" ht="38.25">
      <c r="A1196" s="74">
        <v>554</v>
      </c>
      <c r="B1196" s="77" t="s">
        <v>2774</v>
      </c>
      <c r="C1196" s="78" t="s">
        <v>2775</v>
      </c>
      <c r="D1196" s="77" t="s">
        <v>3176</v>
      </c>
      <c r="E1196" s="77"/>
      <c r="F1196" s="69" t="s">
        <v>2971</v>
      </c>
      <c r="G1196" s="68" t="str">
        <f t="shared" si="69"/>
        <v>Wakiso</v>
      </c>
      <c r="H1196" s="77" t="s">
        <v>3176</v>
      </c>
    </row>
    <row r="1197" spans="1:8">
      <c r="A1197" s="74">
        <v>114</v>
      </c>
      <c r="B1197" s="75" t="s">
        <v>2499</v>
      </c>
      <c r="C1197" s="75" t="s">
        <v>2500</v>
      </c>
      <c r="D1197" s="75" t="s">
        <v>2504</v>
      </c>
      <c r="E1197" s="75"/>
      <c r="F1197" s="68" t="str">
        <f t="shared" si="71"/>
        <v>Ndhew</v>
      </c>
      <c r="G1197" s="68" t="str">
        <f t="shared" si="69"/>
        <v>Nebbi</v>
      </c>
      <c r="H1197" s="75" t="s">
        <v>2504</v>
      </c>
    </row>
    <row r="1198" spans="1:8">
      <c r="A1198" s="74">
        <v>1104</v>
      </c>
      <c r="B1198" s="75" t="s">
        <v>897</v>
      </c>
      <c r="C1198" s="75" t="s">
        <v>901</v>
      </c>
      <c r="D1198" s="75" t="s">
        <v>912</v>
      </c>
      <c r="E1198" s="75"/>
      <c r="F1198" s="68" t="str">
        <f t="shared" si="71"/>
        <v>Nduguto</v>
      </c>
      <c r="G1198" s="68" t="str">
        <f t="shared" si="69"/>
        <v>Bundibugyo</v>
      </c>
      <c r="H1198" s="75" t="s">
        <v>912</v>
      </c>
    </row>
    <row r="1199" spans="1:8">
      <c r="A1199" s="74">
        <v>115</v>
      </c>
      <c r="B1199" s="75" t="s">
        <v>2499</v>
      </c>
      <c r="C1199" s="75" t="s">
        <v>2500</v>
      </c>
      <c r="D1199" s="75" t="s">
        <v>2499</v>
      </c>
      <c r="E1199" s="75"/>
      <c r="F1199" s="68" t="str">
        <f t="shared" si="71"/>
        <v>Nebbi</v>
      </c>
      <c r="G1199" s="68" t="str">
        <f t="shared" si="69"/>
        <v>Nebbi</v>
      </c>
      <c r="H1199" s="75" t="s">
        <v>2499</v>
      </c>
    </row>
    <row r="1200" spans="1:8">
      <c r="A1200" s="74">
        <v>224</v>
      </c>
      <c r="B1200" s="75" t="s">
        <v>2571</v>
      </c>
      <c r="C1200" s="75" t="s">
        <v>2571</v>
      </c>
      <c r="D1200" s="75" t="s">
        <v>2581</v>
      </c>
      <c r="E1200" s="75"/>
      <c r="F1200" s="68" t="str">
        <f t="shared" si="71"/>
        <v>Ngai</v>
      </c>
      <c r="G1200" s="68" t="str">
        <f t="shared" si="69"/>
        <v>Oyam</v>
      </c>
      <c r="H1200" s="75" t="s">
        <v>2581</v>
      </c>
    </row>
    <row r="1201" spans="1:8">
      <c r="A1201" s="74">
        <v>1105</v>
      </c>
      <c r="B1201" s="75" t="s">
        <v>897</v>
      </c>
      <c r="C1201" s="75" t="s">
        <v>901</v>
      </c>
      <c r="D1201" s="75" t="s">
        <v>913</v>
      </c>
      <c r="E1201" s="75"/>
      <c r="F1201" s="68" t="str">
        <f t="shared" si="71"/>
        <v>Ngamba</v>
      </c>
      <c r="G1201" s="68" t="str">
        <f t="shared" si="69"/>
        <v>Bundibugyo</v>
      </c>
      <c r="H1201" s="75" t="s">
        <v>913</v>
      </c>
    </row>
    <row r="1202" spans="1:8">
      <c r="A1202" s="74">
        <v>616</v>
      </c>
      <c r="B1202" s="75" t="s">
        <v>978</v>
      </c>
      <c r="C1202" s="75" t="s">
        <v>978</v>
      </c>
      <c r="D1202" s="75" t="s">
        <v>983</v>
      </c>
      <c r="E1202" s="75"/>
      <c r="F1202" s="68" t="str">
        <f t="shared" si="71"/>
        <v>Ngando</v>
      </c>
      <c r="G1202" s="68" t="str">
        <f t="shared" si="69"/>
        <v>Butambala</v>
      </c>
      <c r="H1202" s="75" t="s">
        <v>983</v>
      </c>
    </row>
    <row r="1203" spans="1:8">
      <c r="A1203" s="74">
        <v>1369</v>
      </c>
      <c r="B1203" s="75" t="s">
        <v>48</v>
      </c>
      <c r="C1203" s="75" t="s">
        <v>1093</v>
      </c>
      <c r="D1203" s="75" t="s">
        <v>1106</v>
      </c>
      <c r="E1203" s="75"/>
      <c r="F1203" s="68" t="str">
        <f t="shared" si="71"/>
        <v>Ngarama</v>
      </c>
      <c r="G1203" s="68" t="str">
        <f t="shared" si="69"/>
        <v>Isingiro</v>
      </c>
      <c r="H1203" s="75" t="s">
        <v>1106</v>
      </c>
    </row>
    <row r="1204" spans="1:8">
      <c r="A1204" s="74">
        <v>759</v>
      </c>
      <c r="B1204" s="75" t="s">
        <v>1845</v>
      </c>
      <c r="C1204" s="75" t="s">
        <v>1847</v>
      </c>
      <c r="D1204" s="75" t="s">
        <v>1850</v>
      </c>
      <c r="E1204" s="75"/>
      <c r="F1204" s="68" t="str">
        <f t="shared" si="71"/>
        <v>Ngariam</v>
      </c>
      <c r="G1204" s="68" t="str">
        <f t="shared" si="69"/>
        <v>Katakwi</v>
      </c>
      <c r="H1204" s="75" t="s">
        <v>1850</v>
      </c>
    </row>
    <row r="1205" spans="1:8">
      <c r="A1205" s="74">
        <v>1045</v>
      </c>
      <c r="B1205" s="75" t="s">
        <v>1999</v>
      </c>
      <c r="C1205" s="75" t="s">
        <v>1999</v>
      </c>
      <c r="D1205" s="75" t="s">
        <v>2010</v>
      </c>
      <c r="E1205" s="75"/>
      <c r="F1205" s="68" t="str">
        <f t="shared" si="71"/>
        <v>Ngenge</v>
      </c>
      <c r="G1205" s="68" t="str">
        <f t="shared" si="69"/>
        <v>Kween</v>
      </c>
      <c r="H1205" s="75" t="s">
        <v>2010</v>
      </c>
    </row>
    <row r="1206" spans="1:8">
      <c r="A1206" s="74">
        <v>86</v>
      </c>
      <c r="B1206" s="75" t="s">
        <v>2094</v>
      </c>
      <c r="C1206" s="75" t="s">
        <v>2095</v>
      </c>
      <c r="D1206" s="75" t="s">
        <v>2102</v>
      </c>
      <c r="E1206" s="75"/>
      <c r="F1206" s="68" t="str">
        <f t="shared" si="71"/>
        <v>Ngetta</v>
      </c>
      <c r="G1206" s="68" t="str">
        <f t="shared" si="69"/>
        <v>Lira</v>
      </c>
      <c r="H1206" s="75" t="s">
        <v>2102</v>
      </c>
    </row>
    <row r="1207" spans="1:8">
      <c r="A1207" s="74">
        <v>597</v>
      </c>
      <c r="B1207" s="75" t="s">
        <v>828</v>
      </c>
      <c r="C1207" s="75" t="s">
        <v>828</v>
      </c>
      <c r="D1207" s="75" t="s">
        <v>840</v>
      </c>
      <c r="E1207" s="75"/>
      <c r="F1207" s="68" t="str">
        <f t="shared" si="71"/>
        <v>Ngogwe</v>
      </c>
      <c r="G1207" s="68" t="str">
        <f t="shared" si="69"/>
        <v>Buikwe</v>
      </c>
      <c r="H1207" s="75" t="s">
        <v>840</v>
      </c>
    </row>
    <row r="1208" spans="1:8">
      <c r="A1208" s="74">
        <v>279</v>
      </c>
      <c r="B1208" s="75" t="s">
        <v>2489</v>
      </c>
      <c r="C1208" s="75" t="s">
        <v>2490</v>
      </c>
      <c r="D1208" s="75" t="s">
        <v>2497</v>
      </c>
      <c r="E1208" s="75"/>
      <c r="F1208" s="68" t="str">
        <f t="shared" si="71"/>
        <v>Ngoleriet</v>
      </c>
      <c r="G1208" s="68" t="str">
        <f t="shared" si="69"/>
        <v>Napak</v>
      </c>
      <c r="H1208" s="75" t="s">
        <v>2497</v>
      </c>
    </row>
    <row r="1209" spans="1:8">
      <c r="A1209" s="74">
        <v>589</v>
      </c>
      <c r="B1209" s="75" t="s">
        <v>2418</v>
      </c>
      <c r="C1209" s="75" t="s">
        <v>2418</v>
      </c>
      <c r="D1209" s="79" t="s">
        <v>2429</v>
      </c>
      <c r="E1209" s="75"/>
      <c r="F1209" s="68" t="str">
        <f t="shared" ref="F1209:F1210" si="72">D1209&amp;"-"&amp;B1209</f>
        <v>Ngoma-Nakaseke</v>
      </c>
      <c r="G1209" s="68" t="str">
        <f t="shared" si="69"/>
        <v>Nakaseke</v>
      </c>
      <c r="H1209" s="79" t="s">
        <v>2429</v>
      </c>
    </row>
    <row r="1210" spans="1:8">
      <c r="A1210" s="74">
        <v>1279</v>
      </c>
      <c r="B1210" s="75" t="s">
        <v>47</v>
      </c>
      <c r="C1210" s="75" t="s">
        <v>2531</v>
      </c>
      <c r="D1210" s="79" t="s">
        <v>2429</v>
      </c>
      <c r="E1210" s="75"/>
      <c r="F1210" s="68" t="str">
        <f t="shared" si="72"/>
        <v>Ngoma-Ntungamo</v>
      </c>
      <c r="G1210" s="68" t="str">
        <f t="shared" si="69"/>
        <v>Ntungamo</v>
      </c>
      <c r="H1210" s="79" t="s">
        <v>2429</v>
      </c>
    </row>
    <row r="1211" spans="1:8">
      <c r="A1211" s="74">
        <v>590</v>
      </c>
      <c r="B1211" s="75" t="s">
        <v>2418</v>
      </c>
      <c r="C1211" s="75" t="s">
        <v>2418</v>
      </c>
      <c r="D1211" s="75" t="s">
        <v>2428</v>
      </c>
      <c r="E1211" s="75"/>
      <c r="F1211" s="68" t="str">
        <f t="shared" ref="F1211:F1223" si="73">D1211</f>
        <v>Ngoma Town Council</v>
      </c>
      <c r="G1211" s="68" t="str">
        <f t="shared" si="69"/>
        <v>Nakaseke</v>
      </c>
      <c r="H1211" s="75" t="s">
        <v>2428</v>
      </c>
    </row>
    <row r="1212" spans="1:8">
      <c r="A1212" s="74">
        <v>1066</v>
      </c>
      <c r="B1212" s="75" t="s">
        <v>2509</v>
      </c>
      <c r="C1212" s="75" t="s">
        <v>2509</v>
      </c>
      <c r="D1212" s="75" t="s">
        <v>2509</v>
      </c>
      <c r="E1212" s="75"/>
      <c r="F1212" s="68" t="str">
        <f t="shared" si="73"/>
        <v>Ngora</v>
      </c>
      <c r="G1212" s="68" t="str">
        <f t="shared" si="69"/>
        <v>Ngora</v>
      </c>
      <c r="H1212" s="75" t="s">
        <v>2509</v>
      </c>
    </row>
    <row r="1213" spans="1:8">
      <c r="A1213" s="74">
        <v>1067</v>
      </c>
      <c r="B1213" s="75" t="s">
        <v>2509</v>
      </c>
      <c r="C1213" s="75" t="s">
        <v>2509</v>
      </c>
      <c r="D1213" s="75" t="s">
        <v>2512</v>
      </c>
      <c r="E1213" s="75"/>
      <c r="F1213" s="68" t="str">
        <f t="shared" si="73"/>
        <v>Ngora Town Council</v>
      </c>
      <c r="G1213" s="68" t="str">
        <f t="shared" si="69"/>
        <v>Ngora</v>
      </c>
      <c r="H1213" s="75" t="s">
        <v>2512</v>
      </c>
    </row>
    <row r="1214" spans="1:8">
      <c r="A1214" s="74">
        <v>1352</v>
      </c>
      <c r="B1214" s="75" t="s">
        <v>890</v>
      </c>
      <c r="C1214" s="75" t="s">
        <v>890</v>
      </c>
      <c r="D1214" s="75" t="s">
        <v>895</v>
      </c>
      <c r="E1214" s="75"/>
      <c r="F1214" s="68" t="str">
        <f t="shared" si="73"/>
        <v>Ngwedo</v>
      </c>
      <c r="G1214" s="68" t="str">
        <f t="shared" si="69"/>
        <v>Buliisa</v>
      </c>
      <c r="H1214" s="75" t="s">
        <v>895</v>
      </c>
    </row>
    <row r="1215" spans="1:8">
      <c r="A1215" s="74">
        <v>603</v>
      </c>
      <c r="B1215" s="75" t="s">
        <v>828</v>
      </c>
      <c r="C1215" s="76" t="s">
        <v>841</v>
      </c>
      <c r="D1215" s="75" t="s">
        <v>3177</v>
      </c>
      <c r="E1215" s="75"/>
      <c r="F1215" s="69" t="str">
        <f>VLOOKUP(C1215,[2]Municipalities!$C$9:$F$1522,4,FALSE)</f>
        <v>Njeru Municipality</v>
      </c>
      <c r="G1215" s="68" t="str">
        <f t="shared" si="69"/>
        <v>Buikwe</v>
      </c>
      <c r="H1215" s="75" t="s">
        <v>3177</v>
      </c>
    </row>
    <row r="1216" spans="1:8">
      <c r="A1216" s="74">
        <v>644</v>
      </c>
      <c r="B1216" s="75" t="s">
        <v>2012</v>
      </c>
      <c r="C1216" s="75" t="s">
        <v>1882</v>
      </c>
      <c r="D1216" s="75" t="s">
        <v>2040</v>
      </c>
      <c r="E1216" s="75"/>
      <c r="F1216" s="68" t="str">
        <f t="shared" si="73"/>
        <v>Nkandwa</v>
      </c>
      <c r="G1216" s="68" t="str">
        <f t="shared" si="69"/>
        <v>Kyankwanzi</v>
      </c>
      <c r="H1216" s="75" t="s">
        <v>2040</v>
      </c>
    </row>
    <row r="1217" spans="1:8">
      <c r="A1217" s="74">
        <v>598</v>
      </c>
      <c r="B1217" s="75" t="s">
        <v>828</v>
      </c>
      <c r="C1217" s="75" t="s">
        <v>828</v>
      </c>
      <c r="D1217" s="75" t="s">
        <v>842</v>
      </c>
      <c r="E1217" s="75"/>
      <c r="F1217" s="68" t="str">
        <f t="shared" si="73"/>
        <v>Nkokonjeru Town Council</v>
      </c>
      <c r="G1217" s="68" t="str">
        <f t="shared" si="69"/>
        <v>Buikwe</v>
      </c>
      <c r="H1217" s="75" t="s">
        <v>842</v>
      </c>
    </row>
    <row r="1218" spans="1:8">
      <c r="A1218" s="74">
        <v>1305</v>
      </c>
      <c r="B1218" s="75" t="s">
        <v>45</v>
      </c>
      <c r="C1218" s="75" t="s">
        <v>989</v>
      </c>
      <c r="D1218" s="75" t="s">
        <v>1771</v>
      </c>
      <c r="E1218" s="75"/>
      <c r="F1218" s="68" t="str">
        <f t="shared" si="73"/>
        <v>Nkoma</v>
      </c>
      <c r="G1218" s="68" t="str">
        <f t="shared" si="69"/>
        <v>Kamwenge</v>
      </c>
      <c r="H1218" s="75" t="s">
        <v>1771</v>
      </c>
    </row>
    <row r="1219" spans="1:8">
      <c r="A1219" s="74">
        <v>1023</v>
      </c>
      <c r="B1219" s="75" t="s">
        <v>1007</v>
      </c>
      <c r="C1219" s="75" t="s">
        <v>1008</v>
      </c>
      <c r="D1219" s="75" t="s">
        <v>1012</v>
      </c>
      <c r="E1219" s="75"/>
      <c r="F1219" s="68" t="str">
        <f t="shared" si="73"/>
        <v>Nkondo</v>
      </c>
      <c r="G1219" s="68" t="str">
        <f t="shared" si="69"/>
        <v>Buyende</v>
      </c>
      <c r="H1219" s="75" t="s">
        <v>1012</v>
      </c>
    </row>
    <row r="1220" spans="1:8">
      <c r="A1220" s="74">
        <v>1503</v>
      </c>
      <c r="B1220" s="75" t="s">
        <v>1212</v>
      </c>
      <c r="C1220" s="75" t="s">
        <v>1213</v>
      </c>
      <c r="D1220" s="75" t="s">
        <v>1224</v>
      </c>
      <c r="E1220" s="75"/>
      <c r="F1220" s="68" t="str">
        <f t="shared" si="73"/>
        <v>Nkooko</v>
      </c>
      <c r="G1220" s="68" t="str">
        <f t="shared" si="69"/>
        <v>Kakumiro</v>
      </c>
      <c r="H1220" s="75" t="s">
        <v>1224</v>
      </c>
    </row>
    <row r="1221" spans="1:8">
      <c r="A1221" s="74">
        <v>457</v>
      </c>
      <c r="B1221" s="75" t="s">
        <v>2328</v>
      </c>
      <c r="C1221" s="75" t="s">
        <v>2329</v>
      </c>
      <c r="D1221" s="75" t="s">
        <v>2340</v>
      </c>
      <c r="E1221" s="75"/>
      <c r="F1221" s="68" t="str">
        <f t="shared" si="73"/>
        <v>Nkozi</v>
      </c>
      <c r="G1221" s="68" t="str">
        <f t="shared" si="69"/>
        <v>Mpigi</v>
      </c>
      <c r="H1221" s="75" t="s">
        <v>2340</v>
      </c>
    </row>
    <row r="1222" spans="1:8">
      <c r="A1222" s="74">
        <v>1393</v>
      </c>
      <c r="B1222" s="75" t="s">
        <v>1905</v>
      </c>
      <c r="C1222" s="75" t="s">
        <v>1906</v>
      </c>
      <c r="D1222" s="75" t="s">
        <v>1922</v>
      </c>
      <c r="E1222" s="75"/>
      <c r="F1222" s="68" t="str">
        <f t="shared" si="73"/>
        <v>Nkungu</v>
      </c>
      <c r="G1222" s="68" t="str">
        <f t="shared" si="69"/>
        <v>Kiruhura</v>
      </c>
      <c r="H1222" s="75" t="s">
        <v>1922</v>
      </c>
    </row>
    <row r="1223" spans="1:8">
      <c r="A1223" s="74">
        <v>1449</v>
      </c>
      <c r="B1223" s="75" t="s">
        <v>2514</v>
      </c>
      <c r="C1223" s="75" t="s">
        <v>2514</v>
      </c>
      <c r="D1223" s="75" t="s">
        <v>2521</v>
      </c>
      <c r="E1223" s="75"/>
      <c r="F1223" s="68" t="str">
        <f t="shared" si="73"/>
        <v>Nombe</v>
      </c>
      <c r="G1223" s="68" t="str">
        <f t="shared" si="69"/>
        <v>Ntoroko</v>
      </c>
      <c r="H1223" s="75" t="s">
        <v>2521</v>
      </c>
    </row>
    <row r="1224" spans="1:8" ht="25.5">
      <c r="A1224" s="74">
        <v>1233</v>
      </c>
      <c r="B1224" s="75" t="s">
        <v>1940</v>
      </c>
      <c r="C1224" s="76" t="s">
        <v>1946</v>
      </c>
      <c r="D1224" s="75" t="s">
        <v>3178</v>
      </c>
      <c r="E1224" s="75"/>
      <c r="F1224" s="69" t="str">
        <f>VLOOKUP(C1224,[2]Municipalities!$C$9:$F$1522,4,FALSE)</f>
        <v>Kisoro Municipality</v>
      </c>
      <c r="G1224" s="68" t="str">
        <f t="shared" si="69"/>
        <v>Kisoro</v>
      </c>
      <c r="H1224" s="75" t="s">
        <v>3178</v>
      </c>
    </row>
    <row r="1225" spans="1:8" ht="25.5">
      <c r="A1225" s="74">
        <v>96</v>
      </c>
      <c r="B1225" s="75" t="s">
        <v>679</v>
      </c>
      <c r="C1225" s="76" t="s">
        <v>2311</v>
      </c>
      <c r="D1225" s="79" t="s">
        <v>3179</v>
      </c>
      <c r="E1225" s="75"/>
      <c r="F1225" s="69" t="str">
        <f>VLOOKUP(C1225,[2]Municipalities!$C$9:$F$1522,4,FALSE)</f>
        <v>Moroto Municipality</v>
      </c>
      <c r="G1225" s="68" t="str">
        <f t="shared" si="69"/>
        <v>Moroto</v>
      </c>
      <c r="H1225" s="79" t="s">
        <v>3179</v>
      </c>
    </row>
    <row r="1226" spans="1:8" ht="25.5">
      <c r="A1226" s="74">
        <v>704</v>
      </c>
      <c r="B1226" s="75" t="s">
        <v>1074</v>
      </c>
      <c r="C1226" s="76" t="s">
        <v>1080</v>
      </c>
      <c r="D1226" s="79" t="s">
        <v>3179</v>
      </c>
      <c r="E1226" s="75"/>
      <c r="F1226" s="69" t="str">
        <f>VLOOKUP(C1226,[2]Municipalities!$C$9:$F$1522,4,FALSE)</f>
        <v>Iganga Municipality</v>
      </c>
      <c r="G1226" s="68" t="str">
        <f t="shared" ref="G1226:G1289" si="74">B1226</f>
        <v>Iganga</v>
      </c>
      <c r="H1226" s="79" t="s">
        <v>3179</v>
      </c>
    </row>
    <row r="1227" spans="1:8" ht="25.5">
      <c r="A1227" s="74">
        <v>737</v>
      </c>
      <c r="B1227" s="75" t="s">
        <v>1744</v>
      </c>
      <c r="C1227" s="76" t="s">
        <v>1750</v>
      </c>
      <c r="D1227" s="79" t="s">
        <v>3179</v>
      </c>
      <c r="E1227" s="75"/>
      <c r="F1227" s="69" t="str">
        <f>VLOOKUP(C1227,[2]Municipalities!$C$9:$F$1522,4,FALSE)</f>
        <v>Kamuli Municipality</v>
      </c>
      <c r="G1227" s="68" t="str">
        <f t="shared" si="74"/>
        <v>Kamuli</v>
      </c>
      <c r="H1227" s="79" t="s">
        <v>3179</v>
      </c>
    </row>
    <row r="1228" spans="1:8" ht="25.5">
      <c r="A1228" s="74">
        <v>794</v>
      </c>
      <c r="B1228" s="75" t="s">
        <v>2225</v>
      </c>
      <c r="C1228" s="76" t="s">
        <v>2241</v>
      </c>
      <c r="D1228" s="79" t="s">
        <v>3179</v>
      </c>
      <c r="E1228" s="75"/>
      <c r="F1228" s="69" t="str">
        <f>VLOOKUP(C1228,[2]Municipalities!$C$9:$F$1522,4,FALSE)</f>
        <v>Mbale Municipality</v>
      </c>
      <c r="G1228" s="68" t="str">
        <f t="shared" si="74"/>
        <v>Mbale</v>
      </c>
      <c r="H1228" s="79" t="s">
        <v>3179</v>
      </c>
    </row>
    <row r="1229" spans="1:8" ht="25.5">
      <c r="A1229" s="74">
        <v>815</v>
      </c>
      <c r="B1229" s="75" t="s">
        <v>2729</v>
      </c>
      <c r="C1229" s="76" t="s">
        <v>2734</v>
      </c>
      <c r="D1229" s="79" t="s">
        <v>3179</v>
      </c>
      <c r="E1229" s="75"/>
      <c r="F1229" s="69" t="str">
        <f>VLOOKUP(C1229,[2]Municipalities!$C$9:$F$1522,4,FALSE)</f>
        <v>Soroti Municipality</v>
      </c>
      <c r="G1229" s="68" t="str">
        <f t="shared" si="74"/>
        <v>Soroti</v>
      </c>
      <c r="H1229" s="79" t="s">
        <v>3179</v>
      </c>
    </row>
    <row r="1230" spans="1:8" ht="25.5">
      <c r="A1230" s="74">
        <v>1150</v>
      </c>
      <c r="B1230" s="75" t="s">
        <v>1148</v>
      </c>
      <c r="C1230" s="76" t="s">
        <v>1151</v>
      </c>
      <c r="D1230" s="79" t="s">
        <v>3179</v>
      </c>
      <c r="E1230" s="75"/>
      <c r="F1230" s="69" t="str">
        <f>VLOOKUP(C1230,[2]Municipalities!$C$9:$F$1522,4,FALSE)</f>
        <v>Kabale Municipality</v>
      </c>
      <c r="G1230" s="68" t="str">
        <f t="shared" si="74"/>
        <v>Kabale</v>
      </c>
      <c r="H1230" s="79" t="s">
        <v>3179</v>
      </c>
    </row>
    <row r="1231" spans="1:8" ht="25.5">
      <c r="A1231" s="74">
        <v>204</v>
      </c>
      <c r="B1231" s="75" t="s">
        <v>1969</v>
      </c>
      <c r="C1231" s="76" t="s">
        <v>1971</v>
      </c>
      <c r="D1231" s="79" t="s">
        <v>3180</v>
      </c>
      <c r="E1231" s="75"/>
      <c r="F1231" s="69" t="str">
        <f>VLOOKUP(C1231,[2]Municipalities!$C$9:$F$1522,4,FALSE)</f>
        <v>Koboko Municipality</v>
      </c>
      <c r="G1231" s="68" t="str">
        <f t="shared" si="74"/>
        <v>Koboko</v>
      </c>
      <c r="H1231" s="79" t="s">
        <v>3180</v>
      </c>
    </row>
    <row r="1232" spans="1:8">
      <c r="A1232" s="74">
        <v>769</v>
      </c>
      <c r="B1232" s="75" t="s">
        <v>1992</v>
      </c>
      <c r="C1232" s="76" t="s">
        <v>1994</v>
      </c>
      <c r="D1232" s="79" t="s">
        <v>3180</v>
      </c>
      <c r="E1232" s="75"/>
      <c r="F1232" s="69" t="str">
        <f>VLOOKUP(C1232,[2]Municipalities!$C$9:$F$1522,4,FALSE)</f>
        <v>Kumi Municipality</v>
      </c>
      <c r="G1232" s="68" t="str">
        <f t="shared" si="74"/>
        <v>Kumi</v>
      </c>
      <c r="H1232" s="79" t="s">
        <v>3180</v>
      </c>
    </row>
    <row r="1233" spans="1:8">
      <c r="A1233" s="74">
        <v>645</v>
      </c>
      <c r="B1233" s="75" t="s">
        <v>2012</v>
      </c>
      <c r="C1233" s="75" t="s">
        <v>1882</v>
      </c>
      <c r="D1233" s="75" t="s">
        <v>1700</v>
      </c>
      <c r="E1233" s="75"/>
      <c r="F1233" s="68" t="str">
        <f t="shared" ref="F1233:F1282" si="75">D1233</f>
        <v>Nsambya</v>
      </c>
      <c r="G1233" s="68" t="str">
        <f t="shared" si="74"/>
        <v>Kyankwanzi</v>
      </c>
      <c r="H1233" s="75" t="s">
        <v>1700</v>
      </c>
    </row>
    <row r="1234" spans="1:8">
      <c r="A1234" s="74">
        <v>1410</v>
      </c>
      <c r="B1234" s="75" t="s">
        <v>819</v>
      </c>
      <c r="C1234" s="75" t="s">
        <v>819</v>
      </c>
      <c r="D1234" s="75" t="s">
        <v>825</v>
      </c>
      <c r="E1234" s="75"/>
      <c r="F1234" s="68" t="str">
        <f t="shared" si="75"/>
        <v>Nsiika Town Council</v>
      </c>
      <c r="G1234" s="68" t="str">
        <f t="shared" si="74"/>
        <v>Buhweju</v>
      </c>
      <c r="H1234" s="75" t="s">
        <v>825</v>
      </c>
    </row>
    <row r="1235" spans="1:8">
      <c r="A1235" s="74">
        <v>996</v>
      </c>
      <c r="B1235" s="75" t="s">
        <v>2480</v>
      </c>
      <c r="C1235" s="75" t="s">
        <v>2481</v>
      </c>
      <c r="D1235" s="75" t="s">
        <v>2487</v>
      </c>
      <c r="E1235" s="75"/>
      <c r="F1235" s="68" t="str">
        <f t="shared" si="75"/>
        <v>Nsinze</v>
      </c>
      <c r="G1235" s="68" t="str">
        <f t="shared" si="74"/>
        <v>Namutumba</v>
      </c>
      <c r="H1235" s="75" t="s">
        <v>2487</v>
      </c>
    </row>
    <row r="1236" spans="1:8">
      <c r="A1236" s="74">
        <v>1111</v>
      </c>
      <c r="B1236" s="75" t="s">
        <v>897</v>
      </c>
      <c r="C1236" s="75" t="s">
        <v>901</v>
      </c>
      <c r="D1236" s="75" t="s">
        <v>914</v>
      </c>
      <c r="E1236" s="75"/>
      <c r="F1236" s="68" t="str">
        <f t="shared" si="75"/>
        <v>Ntandi Town Council</v>
      </c>
      <c r="G1236" s="68" t="str">
        <f t="shared" si="74"/>
        <v>Bundibugyo</v>
      </c>
      <c r="H1236" s="75" t="s">
        <v>914</v>
      </c>
    </row>
    <row r="1237" spans="1:8">
      <c r="A1237" s="74">
        <v>1311</v>
      </c>
      <c r="B1237" s="75" t="s">
        <v>45</v>
      </c>
      <c r="C1237" s="75" t="s">
        <v>1762</v>
      </c>
      <c r="D1237" s="75" t="s">
        <v>1775</v>
      </c>
      <c r="E1237" s="75"/>
      <c r="F1237" s="68" t="str">
        <f t="shared" si="75"/>
        <v>Ntara</v>
      </c>
      <c r="G1237" s="68" t="str">
        <f t="shared" si="74"/>
        <v>Kamwenge</v>
      </c>
      <c r="H1237" s="75" t="s">
        <v>1775</v>
      </c>
    </row>
    <row r="1238" spans="1:8">
      <c r="A1238" s="74">
        <v>484</v>
      </c>
      <c r="B1238" s="75" t="s">
        <v>2369</v>
      </c>
      <c r="C1238" s="75" t="s">
        <v>2369</v>
      </c>
      <c r="D1238" s="75" t="s">
        <v>1857</v>
      </c>
      <c r="E1238" s="75"/>
      <c r="F1238" s="68" t="str">
        <f t="shared" si="75"/>
        <v>Ntenjeru</v>
      </c>
      <c r="G1238" s="68" t="str">
        <f t="shared" si="74"/>
        <v>Mukono</v>
      </c>
      <c r="H1238" s="75" t="s">
        <v>1857</v>
      </c>
    </row>
    <row r="1239" spans="1:8">
      <c r="A1239" s="74">
        <v>1106</v>
      </c>
      <c r="B1239" s="75" t="s">
        <v>897</v>
      </c>
      <c r="C1239" s="75" t="s">
        <v>901</v>
      </c>
      <c r="D1239" s="75" t="s">
        <v>915</v>
      </c>
      <c r="E1239" s="75"/>
      <c r="F1239" s="68" t="str">
        <f t="shared" si="75"/>
        <v>Ntotoro</v>
      </c>
      <c r="G1239" s="68" t="str">
        <f t="shared" si="74"/>
        <v>Bundibugyo</v>
      </c>
      <c r="H1239" s="75" t="s">
        <v>915</v>
      </c>
    </row>
    <row r="1240" spans="1:8">
      <c r="A1240" s="74">
        <v>491</v>
      </c>
      <c r="B1240" s="75" t="s">
        <v>2369</v>
      </c>
      <c r="C1240" s="75" t="s">
        <v>2370</v>
      </c>
      <c r="D1240" s="75" t="s">
        <v>2401</v>
      </c>
      <c r="E1240" s="75"/>
      <c r="F1240" s="68" t="str">
        <f t="shared" si="75"/>
        <v>Ntunda</v>
      </c>
      <c r="G1240" s="68" t="str">
        <f t="shared" si="74"/>
        <v>Mukono</v>
      </c>
      <c r="H1240" s="75" t="s">
        <v>2401</v>
      </c>
    </row>
    <row r="1241" spans="1:8">
      <c r="A1241" s="74">
        <v>1272</v>
      </c>
      <c r="B1241" s="75" t="s">
        <v>47</v>
      </c>
      <c r="C1241" s="75" t="s">
        <v>2528</v>
      </c>
      <c r="D1241" s="75" t="s">
        <v>47</v>
      </c>
      <c r="E1241" s="75"/>
      <c r="F1241" s="68" t="str">
        <f t="shared" si="75"/>
        <v>Ntungamo</v>
      </c>
      <c r="G1241" s="68" t="str">
        <f t="shared" si="74"/>
        <v>Ntungamo</v>
      </c>
      <c r="H1241" s="75" t="s">
        <v>47</v>
      </c>
    </row>
    <row r="1242" spans="1:8">
      <c r="A1242" s="74">
        <v>516</v>
      </c>
      <c r="B1242" s="75" t="s">
        <v>2738</v>
      </c>
      <c r="C1242" s="75" t="s">
        <v>2741</v>
      </c>
      <c r="D1242" s="75" t="s">
        <v>2745</v>
      </c>
      <c r="E1242" s="75"/>
      <c r="F1242" s="68" t="str">
        <f t="shared" si="75"/>
        <v>Ntuusi</v>
      </c>
      <c r="G1242" s="68" t="str">
        <f t="shared" si="74"/>
        <v>Ssembabule</v>
      </c>
      <c r="H1242" s="75" t="s">
        <v>2745</v>
      </c>
    </row>
    <row r="1243" spans="1:8">
      <c r="A1243" s="74">
        <v>646</v>
      </c>
      <c r="B1243" s="75" t="s">
        <v>2012</v>
      </c>
      <c r="C1243" s="75" t="s">
        <v>1882</v>
      </c>
      <c r="D1243" s="75" t="s">
        <v>2041</v>
      </c>
      <c r="E1243" s="75"/>
      <c r="F1243" s="68" t="str">
        <f t="shared" si="75"/>
        <v>Ntwetwe</v>
      </c>
      <c r="G1243" s="68" t="str">
        <f t="shared" si="74"/>
        <v>Kyankwanzi</v>
      </c>
      <c r="H1243" s="75" t="s">
        <v>2041</v>
      </c>
    </row>
    <row r="1244" spans="1:8">
      <c r="A1244" s="74">
        <v>647</v>
      </c>
      <c r="B1244" s="75" t="s">
        <v>2012</v>
      </c>
      <c r="C1244" s="75" t="s">
        <v>1882</v>
      </c>
      <c r="D1244" s="75" t="s">
        <v>2042</v>
      </c>
      <c r="E1244" s="75"/>
      <c r="F1244" s="68" t="str">
        <f t="shared" si="75"/>
        <v>Ntwetwe Town Council</v>
      </c>
      <c r="G1244" s="68" t="str">
        <f t="shared" si="74"/>
        <v>Kyankwanzi</v>
      </c>
      <c r="H1244" s="75" t="s">
        <v>2042</v>
      </c>
    </row>
    <row r="1245" spans="1:8">
      <c r="A1245" s="74">
        <v>1312</v>
      </c>
      <c r="B1245" s="75" t="s">
        <v>45</v>
      </c>
      <c r="C1245" s="75" t="s">
        <v>1762</v>
      </c>
      <c r="D1245" s="75" t="s">
        <v>1776</v>
      </c>
      <c r="E1245" s="75"/>
      <c r="F1245" s="68" t="str">
        <f t="shared" si="75"/>
        <v>Nyabbani</v>
      </c>
      <c r="G1245" s="68" t="str">
        <f t="shared" si="74"/>
        <v>Kamwenge</v>
      </c>
      <c r="H1245" s="75" t="s">
        <v>1776</v>
      </c>
    </row>
    <row r="1246" spans="1:8">
      <c r="A1246" s="74">
        <v>1264</v>
      </c>
      <c r="B1246" s="75" t="s">
        <v>47</v>
      </c>
      <c r="C1246" s="75" t="s">
        <v>2525</v>
      </c>
      <c r="D1246" s="75" t="s">
        <v>2540</v>
      </c>
      <c r="E1246" s="75"/>
      <c r="F1246" s="68" t="str">
        <f t="shared" si="75"/>
        <v>Nyabihoko</v>
      </c>
      <c r="G1246" s="68" t="str">
        <f t="shared" si="74"/>
        <v>Ntungamo</v>
      </c>
      <c r="H1246" s="75" t="s">
        <v>2540</v>
      </c>
    </row>
    <row r="1247" spans="1:8">
      <c r="A1247" s="74">
        <v>1132</v>
      </c>
      <c r="B1247" s="75" t="s">
        <v>38</v>
      </c>
      <c r="C1247" s="75" t="s">
        <v>932</v>
      </c>
      <c r="D1247" s="75" t="s">
        <v>944</v>
      </c>
      <c r="E1247" s="75"/>
      <c r="F1247" s="68" t="str">
        <f t="shared" si="75"/>
        <v>Nyabubare</v>
      </c>
      <c r="G1247" s="68" t="str">
        <f t="shared" si="74"/>
        <v>Bushenyi</v>
      </c>
      <c r="H1247" s="75" t="s">
        <v>944</v>
      </c>
    </row>
    <row r="1248" spans="1:8">
      <c r="A1248" s="74">
        <v>1343</v>
      </c>
      <c r="B1248" s="75" t="s">
        <v>2056</v>
      </c>
      <c r="C1248" s="75" t="s">
        <v>2057</v>
      </c>
      <c r="D1248" s="75" t="s">
        <v>2070</v>
      </c>
      <c r="E1248" s="75"/>
      <c r="F1248" s="68" t="str">
        <f t="shared" si="75"/>
        <v>Nyabuharwa</v>
      </c>
      <c r="G1248" s="68" t="str">
        <f t="shared" si="74"/>
        <v>Kyenjojo</v>
      </c>
      <c r="H1248" s="75" t="s">
        <v>2070</v>
      </c>
    </row>
    <row r="1249" spans="1:8">
      <c r="A1249" s="74">
        <v>1225</v>
      </c>
      <c r="B1249" s="75" t="s">
        <v>1940</v>
      </c>
      <c r="C1249" s="75" t="s">
        <v>1941</v>
      </c>
      <c r="D1249" s="75" t="s">
        <v>1949</v>
      </c>
      <c r="E1249" s="75"/>
      <c r="F1249" s="68" t="str">
        <f t="shared" si="75"/>
        <v>Nyabwishenya</v>
      </c>
      <c r="G1249" s="68" t="str">
        <f t="shared" si="74"/>
        <v>Kisoro</v>
      </c>
      <c r="H1249" s="75" t="s">
        <v>1949</v>
      </c>
    </row>
    <row r="1250" spans="1:8">
      <c r="A1250" s="74">
        <v>209</v>
      </c>
      <c r="B1250" s="75" t="s">
        <v>2177</v>
      </c>
      <c r="C1250" s="75" t="s">
        <v>2177</v>
      </c>
      <c r="D1250" s="75" t="s">
        <v>2179</v>
      </c>
      <c r="E1250" s="75"/>
      <c r="F1250" s="68" t="str">
        <f t="shared" si="75"/>
        <v>Nyadri</v>
      </c>
      <c r="G1250" s="68" t="str">
        <f t="shared" si="74"/>
        <v>Maracha</v>
      </c>
      <c r="H1250" s="75" t="s">
        <v>2179</v>
      </c>
    </row>
    <row r="1251" spans="1:8">
      <c r="A1251" s="74">
        <v>1120</v>
      </c>
      <c r="B1251" s="75" t="s">
        <v>897</v>
      </c>
      <c r="C1251" s="75" t="s">
        <v>898</v>
      </c>
      <c r="D1251" s="75" t="s">
        <v>916</v>
      </c>
      <c r="E1251" s="75"/>
      <c r="F1251" s="68" t="str">
        <f t="shared" si="75"/>
        <v>Nyahuka Town Council</v>
      </c>
      <c r="G1251" s="68" t="str">
        <f t="shared" si="74"/>
        <v>Bundibugyo</v>
      </c>
      <c r="H1251" s="75" t="s">
        <v>916</v>
      </c>
    </row>
    <row r="1252" spans="1:8">
      <c r="A1252" s="74">
        <v>1226</v>
      </c>
      <c r="B1252" s="75" t="s">
        <v>1940</v>
      </c>
      <c r="C1252" s="75" t="s">
        <v>1941</v>
      </c>
      <c r="D1252" s="75" t="s">
        <v>1950</v>
      </c>
      <c r="E1252" s="75"/>
      <c r="F1252" s="68" t="str">
        <f t="shared" si="75"/>
        <v>Nyakabande</v>
      </c>
      <c r="G1252" s="68" t="str">
        <f t="shared" si="74"/>
        <v>Kisoro</v>
      </c>
      <c r="H1252" s="75" t="s">
        <v>1950</v>
      </c>
    </row>
    <row r="1253" spans="1:8" ht="25.5">
      <c r="A1253" s="74">
        <v>1124</v>
      </c>
      <c r="B1253" s="75" t="s">
        <v>38</v>
      </c>
      <c r="C1253" s="76" t="s">
        <v>934</v>
      </c>
      <c r="D1253" s="75" t="s">
        <v>3181</v>
      </c>
      <c r="E1253" s="75"/>
      <c r="F1253" s="69" t="str">
        <f>VLOOKUP(C1253,[2]Municipalities!$C$9:$F$1522,4,FALSE)</f>
        <v>Bushenyi-Ishaka Municipality</v>
      </c>
      <c r="G1253" s="68" t="str">
        <f t="shared" si="74"/>
        <v>Bushenyi</v>
      </c>
      <c r="H1253" s="75" t="s">
        <v>3181</v>
      </c>
    </row>
    <row r="1254" spans="1:8">
      <c r="A1254" s="74">
        <v>1292</v>
      </c>
      <c r="B1254" s="75" t="s">
        <v>40</v>
      </c>
      <c r="C1254" s="75" t="s">
        <v>2663</v>
      </c>
      <c r="D1254" s="75" t="s">
        <v>2670</v>
      </c>
      <c r="E1254" s="75"/>
      <c r="F1254" s="68" t="str">
        <f t="shared" si="75"/>
        <v>Nyakagyeme</v>
      </c>
      <c r="G1254" s="68" t="str">
        <f t="shared" si="74"/>
        <v>Rukungiri</v>
      </c>
      <c r="H1254" s="75" t="s">
        <v>2670</v>
      </c>
    </row>
    <row r="1255" spans="1:8">
      <c r="A1255" s="74">
        <v>1402</v>
      </c>
      <c r="B1255" s="75" t="s">
        <v>1905</v>
      </c>
      <c r="C1255" s="75" t="s">
        <v>1911</v>
      </c>
      <c r="D1255" s="75" t="s">
        <v>1923</v>
      </c>
      <c r="E1255" s="75"/>
      <c r="F1255" s="68" t="str">
        <f t="shared" si="75"/>
        <v>Nyakashashara</v>
      </c>
      <c r="G1255" s="68" t="str">
        <f t="shared" si="74"/>
        <v>Kiruhura</v>
      </c>
      <c r="H1255" s="75" t="s">
        <v>1923</v>
      </c>
    </row>
    <row r="1256" spans="1:8">
      <c r="A1256" s="74">
        <v>1189</v>
      </c>
      <c r="B1256" s="75" t="s">
        <v>36</v>
      </c>
      <c r="C1256" s="75" t="s">
        <v>900</v>
      </c>
      <c r="D1256" s="75" t="s">
        <v>1841</v>
      </c>
      <c r="E1256" s="75"/>
      <c r="F1256" s="68" t="str">
        <f t="shared" si="75"/>
        <v>Nyakatonzi</v>
      </c>
      <c r="G1256" s="68" t="str">
        <f t="shared" si="74"/>
        <v>Kasese</v>
      </c>
      <c r="H1256" s="75" t="s">
        <v>1841</v>
      </c>
    </row>
    <row r="1257" spans="1:8" ht="25.5">
      <c r="A1257" s="74">
        <v>1256</v>
      </c>
      <c r="B1257" s="75" t="s">
        <v>2251</v>
      </c>
      <c r="C1257" s="76" t="s">
        <v>2258</v>
      </c>
      <c r="D1257" s="75" t="s">
        <v>3182</v>
      </c>
      <c r="E1257" s="75"/>
      <c r="F1257" s="69" t="str">
        <f>VLOOKUP(C1257,[2]Municipalities!$C$9:$F$1522,4,FALSE)</f>
        <v>Mbarara Municipality</v>
      </c>
      <c r="G1257" s="68" t="str">
        <f t="shared" si="74"/>
        <v>Mbarara</v>
      </c>
      <c r="H1257" s="75" t="s">
        <v>3182</v>
      </c>
    </row>
    <row r="1258" spans="1:8">
      <c r="A1258" s="74">
        <v>1227</v>
      </c>
      <c r="B1258" s="75" t="s">
        <v>1940</v>
      </c>
      <c r="C1258" s="75" t="s">
        <v>1941</v>
      </c>
      <c r="D1258" s="75" t="s">
        <v>1951</v>
      </c>
      <c r="E1258" s="75"/>
      <c r="F1258" s="68" t="str">
        <f t="shared" si="75"/>
        <v>Nyakinama</v>
      </c>
      <c r="G1258" s="68" t="str">
        <f t="shared" si="74"/>
        <v>Kisoro</v>
      </c>
      <c r="H1258" s="75" t="s">
        <v>1951</v>
      </c>
    </row>
    <row r="1259" spans="1:8">
      <c r="A1259" s="74">
        <v>1325</v>
      </c>
      <c r="B1259" s="75" t="s">
        <v>1779</v>
      </c>
      <c r="C1259" s="75" t="s">
        <v>1780</v>
      </c>
      <c r="D1259" s="75" t="s">
        <v>1792</v>
      </c>
      <c r="E1259" s="75"/>
      <c r="F1259" s="68" t="str">
        <f t="shared" si="75"/>
        <v>Nyakinoni</v>
      </c>
      <c r="G1259" s="68" t="str">
        <f t="shared" si="74"/>
        <v>Kanungu</v>
      </c>
      <c r="H1259" s="75" t="s">
        <v>1792</v>
      </c>
    </row>
    <row r="1260" spans="1:8">
      <c r="A1260" s="74">
        <v>1411</v>
      </c>
      <c r="B1260" s="75" t="s">
        <v>819</v>
      </c>
      <c r="C1260" s="75" t="s">
        <v>819</v>
      </c>
      <c r="D1260" s="75" t="s">
        <v>826</v>
      </c>
      <c r="E1260" s="75"/>
      <c r="F1260" s="68" t="str">
        <f t="shared" si="75"/>
        <v>Nyakishana</v>
      </c>
      <c r="G1260" s="68" t="str">
        <f t="shared" si="74"/>
        <v>Buhweju</v>
      </c>
      <c r="H1260" s="75" t="s">
        <v>826</v>
      </c>
    </row>
    <row r="1261" spans="1:8">
      <c r="A1261" s="74">
        <v>1285</v>
      </c>
      <c r="B1261" s="75" t="s">
        <v>40</v>
      </c>
      <c r="C1261" s="75" t="s">
        <v>2665</v>
      </c>
      <c r="D1261" s="75" t="s">
        <v>2671</v>
      </c>
      <c r="E1261" s="75"/>
      <c r="F1261" s="68" t="str">
        <f t="shared" si="75"/>
        <v>Nyakishenyi</v>
      </c>
      <c r="G1261" s="68" t="str">
        <f t="shared" si="74"/>
        <v>Rukungiri</v>
      </c>
      <c r="H1261" s="75" t="s">
        <v>2671</v>
      </c>
    </row>
    <row r="1262" spans="1:8">
      <c r="A1262" s="74">
        <v>1383</v>
      </c>
      <c r="B1262" s="75" t="s">
        <v>48</v>
      </c>
      <c r="C1262" s="75" t="s">
        <v>48</v>
      </c>
      <c r="D1262" s="75" t="s">
        <v>1107</v>
      </c>
      <c r="E1262" s="75"/>
      <c r="F1262" s="68" t="str">
        <f t="shared" si="75"/>
        <v>Nyakitunda</v>
      </c>
      <c r="G1262" s="68" t="str">
        <f t="shared" si="74"/>
        <v>Isingiro</v>
      </c>
      <c r="H1262" s="75" t="s">
        <v>1107</v>
      </c>
    </row>
    <row r="1263" spans="1:8">
      <c r="A1263" s="74">
        <v>1190</v>
      </c>
      <c r="B1263" s="75" t="s">
        <v>36</v>
      </c>
      <c r="C1263" s="75" t="s">
        <v>900</v>
      </c>
      <c r="D1263" s="75" t="s">
        <v>1842</v>
      </c>
      <c r="E1263" s="75"/>
      <c r="F1263" s="68" t="str">
        <f t="shared" si="75"/>
        <v>Nyakiyumbu</v>
      </c>
      <c r="G1263" s="68" t="str">
        <f t="shared" si="74"/>
        <v>Kasese</v>
      </c>
      <c r="H1263" s="75" t="s">
        <v>1842</v>
      </c>
    </row>
    <row r="1264" spans="1:8">
      <c r="A1264" s="74">
        <v>156</v>
      </c>
      <c r="B1264" s="75" t="s">
        <v>641</v>
      </c>
      <c r="C1264" s="75" t="s">
        <v>642</v>
      </c>
      <c r="D1264" s="75" t="s">
        <v>647</v>
      </c>
      <c r="E1264" s="75"/>
      <c r="F1264" s="68" t="str">
        <f t="shared" si="75"/>
        <v>Nyakwae</v>
      </c>
      <c r="G1264" s="68" t="str">
        <f t="shared" si="74"/>
        <v>Abim</v>
      </c>
      <c r="H1264" s="75" t="s">
        <v>647</v>
      </c>
    </row>
    <row r="1265" spans="1:8">
      <c r="A1265" s="74">
        <v>1273</v>
      </c>
      <c r="B1265" s="75" t="s">
        <v>47</v>
      </c>
      <c r="C1265" s="75" t="s">
        <v>2528</v>
      </c>
      <c r="D1265" s="75" t="s">
        <v>2541</v>
      </c>
      <c r="E1265" s="75"/>
      <c r="F1265" s="68" t="str">
        <f t="shared" si="75"/>
        <v>Nyakyera</v>
      </c>
      <c r="G1265" s="68" t="str">
        <f t="shared" si="74"/>
        <v>Ntungamo</v>
      </c>
      <c r="H1265" s="75" t="s">
        <v>2541</v>
      </c>
    </row>
    <row r="1266" spans="1:8">
      <c r="A1266" s="74">
        <v>1360</v>
      </c>
      <c r="B1266" s="75" t="s">
        <v>43</v>
      </c>
      <c r="C1266" s="75" t="s">
        <v>43</v>
      </c>
      <c r="D1266" s="75" t="s">
        <v>1070</v>
      </c>
      <c r="E1266" s="75"/>
      <c r="F1266" s="68" t="str">
        <f t="shared" si="75"/>
        <v>Nyamarebe</v>
      </c>
      <c r="G1266" s="68" t="str">
        <f t="shared" si="74"/>
        <v>Ibanda</v>
      </c>
      <c r="H1266" s="75" t="s">
        <v>1070</v>
      </c>
    </row>
    <row r="1267" spans="1:8">
      <c r="A1267" s="74">
        <v>1214</v>
      </c>
      <c r="B1267" s="75" t="s">
        <v>1871</v>
      </c>
      <c r="C1267" s="75" t="s">
        <v>1872</v>
      </c>
      <c r="D1267" s="75" t="s">
        <v>1879</v>
      </c>
      <c r="E1267" s="75"/>
      <c r="F1267" s="68" t="str">
        <f t="shared" si="75"/>
        <v>Nyamarunda</v>
      </c>
      <c r="G1267" s="68" t="str">
        <f t="shared" si="74"/>
        <v>Kibaale</v>
      </c>
      <c r="H1267" s="75" t="s">
        <v>1879</v>
      </c>
    </row>
    <row r="1268" spans="1:8">
      <c r="A1268" s="74">
        <v>1215</v>
      </c>
      <c r="B1268" s="75" t="s">
        <v>1871</v>
      </c>
      <c r="C1268" s="75" t="s">
        <v>1872</v>
      </c>
      <c r="D1268" s="75" t="s">
        <v>1880</v>
      </c>
      <c r="E1268" s="75"/>
      <c r="F1268" s="68" t="str">
        <f t="shared" si="75"/>
        <v>Nyamarwa</v>
      </c>
      <c r="G1268" s="68" t="str">
        <f t="shared" si="74"/>
        <v>Kibaale</v>
      </c>
      <c r="H1268" s="75" t="s">
        <v>1880</v>
      </c>
    </row>
    <row r="1269" spans="1:8">
      <c r="A1269" s="74">
        <v>1326</v>
      </c>
      <c r="B1269" s="75" t="s">
        <v>1779</v>
      </c>
      <c r="C1269" s="75" t="s">
        <v>1780</v>
      </c>
      <c r="D1269" s="75" t="s">
        <v>1793</v>
      </c>
      <c r="E1269" s="75"/>
      <c r="F1269" s="68" t="str">
        <f t="shared" si="75"/>
        <v>Nyamirama</v>
      </c>
      <c r="G1269" s="68" t="str">
        <f t="shared" si="74"/>
        <v>Kanungu</v>
      </c>
      <c r="H1269" s="75" t="s">
        <v>1793</v>
      </c>
    </row>
    <row r="1270" spans="1:8" ht="25.5">
      <c r="A1270" s="74">
        <v>1253</v>
      </c>
      <c r="B1270" s="77" t="s">
        <v>2251</v>
      </c>
      <c r="C1270" s="78" t="s">
        <v>2258</v>
      </c>
      <c r="D1270" s="77" t="s">
        <v>3183</v>
      </c>
      <c r="E1270" s="77"/>
      <c r="F1270" s="69" t="str">
        <f>VLOOKUP(C1270,[2]Municipalities!$C$9:$F$1522,4,FALSE)</f>
        <v>Mbarara Municipality</v>
      </c>
      <c r="G1270" s="68" t="str">
        <f t="shared" si="74"/>
        <v>Mbarara</v>
      </c>
      <c r="H1270" s="77" t="s">
        <v>3183</v>
      </c>
    </row>
    <row r="1271" spans="1:8">
      <c r="A1271" s="74">
        <v>1384</v>
      </c>
      <c r="B1271" s="75" t="s">
        <v>48</v>
      </c>
      <c r="C1271" s="75" t="s">
        <v>48</v>
      </c>
      <c r="D1271" s="75" t="s">
        <v>1108</v>
      </c>
      <c r="E1271" s="75"/>
      <c r="F1271" s="68" t="str">
        <f t="shared" si="75"/>
        <v>Nyamuyanja</v>
      </c>
      <c r="G1271" s="68" t="str">
        <f t="shared" si="74"/>
        <v>Isingiro</v>
      </c>
      <c r="H1271" s="75" t="s">
        <v>1108</v>
      </c>
    </row>
    <row r="1272" spans="1:8" ht="25.5">
      <c r="A1272" s="74">
        <v>1207</v>
      </c>
      <c r="B1272" s="77" t="s">
        <v>36</v>
      </c>
      <c r="C1272" s="78" t="s">
        <v>1820</v>
      </c>
      <c r="D1272" s="77" t="s">
        <v>3184</v>
      </c>
      <c r="E1272" s="77"/>
      <c r="F1272" s="69" t="str">
        <f>VLOOKUP(C1272,[2]Municipalities!$C$9:$F$1522,4,FALSE)</f>
        <v>Kasese Municipality</v>
      </c>
      <c r="G1272" s="68" t="str">
        <f t="shared" si="74"/>
        <v>Kasese</v>
      </c>
      <c r="H1272" s="77" t="s">
        <v>3184</v>
      </c>
    </row>
    <row r="1273" spans="1:8">
      <c r="A1273" s="74">
        <v>1512</v>
      </c>
      <c r="B1273" s="75" t="s">
        <v>2632</v>
      </c>
      <c r="C1273" s="75" t="s">
        <v>2632</v>
      </c>
      <c r="D1273" s="75" t="s">
        <v>2638</v>
      </c>
      <c r="E1273" s="75"/>
      <c r="F1273" s="68" t="str">
        <f t="shared" si="75"/>
        <v>Nyamweru</v>
      </c>
      <c r="G1273" s="68" t="str">
        <f t="shared" si="74"/>
        <v>Rubanda</v>
      </c>
      <c r="H1273" s="75" t="s">
        <v>2638</v>
      </c>
    </row>
    <row r="1274" spans="1:8">
      <c r="A1274" s="74">
        <v>1327</v>
      </c>
      <c r="B1274" s="75" t="s">
        <v>1779</v>
      </c>
      <c r="C1274" s="75" t="s">
        <v>1780</v>
      </c>
      <c r="D1274" s="75" t="s">
        <v>1794</v>
      </c>
      <c r="E1274" s="75"/>
      <c r="F1274" s="68" t="str">
        <f t="shared" si="75"/>
        <v>Nyanga</v>
      </c>
      <c r="G1274" s="68" t="str">
        <f t="shared" si="74"/>
        <v>Kanungu</v>
      </c>
      <c r="H1274" s="75" t="s">
        <v>1794</v>
      </c>
    </row>
    <row r="1275" spans="1:8" ht="25.5">
      <c r="A1275" s="74">
        <v>1242</v>
      </c>
      <c r="B1275" s="75" t="s">
        <v>2200</v>
      </c>
      <c r="C1275" s="76" t="s">
        <v>2205</v>
      </c>
      <c r="D1275" s="75" t="s">
        <v>3185</v>
      </c>
      <c r="E1275" s="75"/>
      <c r="F1275" s="69" t="str">
        <f>VLOOKUP(C1275,[2]Municipalities!$C$9:$F$1522,4,FALSE)</f>
        <v>Masindi Municipality</v>
      </c>
      <c r="G1275" s="68" t="str">
        <f t="shared" si="74"/>
        <v>Masindi</v>
      </c>
      <c r="H1275" s="75" t="s">
        <v>3185</v>
      </c>
    </row>
    <row r="1276" spans="1:8">
      <c r="A1276" s="74">
        <v>1344</v>
      </c>
      <c r="B1276" s="75" t="s">
        <v>2056</v>
      </c>
      <c r="C1276" s="75" t="s">
        <v>2057</v>
      </c>
      <c r="D1276" s="75" t="s">
        <v>2071</v>
      </c>
      <c r="E1276" s="75"/>
      <c r="F1276" s="68" t="str">
        <f t="shared" si="75"/>
        <v>Nyankwanzi</v>
      </c>
      <c r="G1276" s="68" t="str">
        <f t="shared" si="74"/>
        <v>Kyenjojo</v>
      </c>
      <c r="H1276" s="75" t="s">
        <v>2071</v>
      </c>
    </row>
    <row r="1277" spans="1:8">
      <c r="A1277" s="74">
        <v>1345</v>
      </c>
      <c r="B1277" s="75" t="s">
        <v>2056</v>
      </c>
      <c r="C1277" s="75" t="s">
        <v>2057</v>
      </c>
      <c r="D1277" s="75" t="s">
        <v>2072</v>
      </c>
      <c r="E1277" s="75"/>
      <c r="F1277" s="68" t="str">
        <f t="shared" si="75"/>
        <v>Nyantungo</v>
      </c>
      <c r="G1277" s="68" t="str">
        <f t="shared" si="74"/>
        <v>Kyenjojo</v>
      </c>
      <c r="H1277" s="75" t="s">
        <v>2072</v>
      </c>
    </row>
    <row r="1278" spans="1:8">
      <c r="A1278" s="74">
        <v>299</v>
      </c>
      <c r="B1278" s="75" t="s">
        <v>3024</v>
      </c>
      <c r="C1278" s="75" t="s">
        <v>3025</v>
      </c>
      <c r="D1278" s="75" t="s">
        <v>3029</v>
      </c>
      <c r="E1278" s="75"/>
      <c r="F1278" s="68" t="str">
        <f t="shared" si="75"/>
        <v>Nyapea</v>
      </c>
      <c r="G1278" s="68" t="str">
        <f t="shared" si="74"/>
        <v>Zombo</v>
      </c>
      <c r="H1278" s="75" t="s">
        <v>3029</v>
      </c>
    </row>
    <row r="1279" spans="1:8">
      <c r="A1279" s="74">
        <v>116</v>
      </c>
      <c r="B1279" s="75" t="s">
        <v>2499</v>
      </c>
      <c r="C1279" s="75" t="s">
        <v>2500</v>
      </c>
      <c r="D1279" s="75" t="s">
        <v>2506</v>
      </c>
      <c r="E1279" s="75"/>
      <c r="F1279" s="68" t="str">
        <f t="shared" si="75"/>
        <v>Nyaravur</v>
      </c>
      <c r="G1279" s="68" t="str">
        <f t="shared" si="74"/>
        <v>Nebbi</v>
      </c>
      <c r="H1279" s="75" t="s">
        <v>2506</v>
      </c>
    </row>
    <row r="1280" spans="1:8">
      <c r="A1280" s="74">
        <v>1228</v>
      </c>
      <c r="B1280" s="75" t="s">
        <v>1940</v>
      </c>
      <c r="C1280" s="75" t="s">
        <v>1941</v>
      </c>
      <c r="D1280" s="75" t="s">
        <v>1952</v>
      </c>
      <c r="E1280" s="75"/>
      <c r="F1280" s="68" t="str">
        <f t="shared" si="75"/>
        <v>Nyarubuye</v>
      </c>
      <c r="G1280" s="68" t="str">
        <f t="shared" si="74"/>
        <v>Kisoro</v>
      </c>
      <c r="H1280" s="75" t="s">
        <v>1952</v>
      </c>
    </row>
    <row r="1281" spans="1:8">
      <c r="A1281" s="74">
        <v>1286</v>
      </c>
      <c r="B1281" s="75" t="s">
        <v>40</v>
      </c>
      <c r="C1281" s="75" t="s">
        <v>2665</v>
      </c>
      <c r="D1281" s="75" t="s">
        <v>2672</v>
      </c>
      <c r="E1281" s="75"/>
      <c r="F1281" s="68" t="str">
        <f t="shared" si="75"/>
        <v>Nyarushanje</v>
      </c>
      <c r="G1281" s="68" t="str">
        <f t="shared" si="74"/>
        <v>Rukungiri</v>
      </c>
      <c r="H1281" s="75" t="s">
        <v>2672</v>
      </c>
    </row>
    <row r="1282" spans="1:8">
      <c r="A1282" s="74">
        <v>1229</v>
      </c>
      <c r="B1282" s="75" t="s">
        <v>1940</v>
      </c>
      <c r="C1282" s="75" t="s">
        <v>1941</v>
      </c>
      <c r="D1282" s="75" t="s">
        <v>1953</v>
      </c>
      <c r="E1282" s="75"/>
      <c r="F1282" s="68" t="str">
        <f t="shared" si="75"/>
        <v>Nyarusiza</v>
      </c>
      <c r="G1282" s="68" t="str">
        <f t="shared" si="74"/>
        <v>Kisoro</v>
      </c>
      <c r="H1282" s="75" t="s">
        <v>1953</v>
      </c>
    </row>
    <row r="1283" spans="1:8" ht="25.5">
      <c r="A1283" s="74">
        <v>450</v>
      </c>
      <c r="B1283" s="75" t="s">
        <v>39</v>
      </c>
      <c r="C1283" s="76" t="s">
        <v>2190</v>
      </c>
      <c r="D1283" s="79" t="s">
        <v>3186</v>
      </c>
      <c r="E1283" s="75"/>
      <c r="F1283" s="69" t="str">
        <f>VLOOKUP(C1283,[2]Municipalities!$C$9:$F$1522,4,FALSE)</f>
        <v>Masaka Municipality</v>
      </c>
      <c r="G1283" s="68" t="str">
        <f t="shared" si="74"/>
        <v>Masaka</v>
      </c>
      <c r="H1283" s="79" t="s">
        <v>3186</v>
      </c>
    </row>
    <row r="1284" spans="1:8">
      <c r="A1284" s="74">
        <v>604</v>
      </c>
      <c r="B1284" s="75" t="s">
        <v>828</v>
      </c>
      <c r="C1284" s="76" t="s">
        <v>841</v>
      </c>
      <c r="D1284" s="75" t="s">
        <v>3187</v>
      </c>
      <c r="E1284" s="75"/>
      <c r="F1284" s="69" t="str">
        <f>VLOOKUP(C1284,[2]Municipalities!$C$9:$F$1522,4,FALSE)</f>
        <v>Njeru Municipality</v>
      </c>
      <c r="G1284" s="68" t="str">
        <f t="shared" si="74"/>
        <v>Buikwe</v>
      </c>
      <c r="H1284" s="75" t="s">
        <v>3187</v>
      </c>
    </row>
    <row r="1285" spans="1:8">
      <c r="A1285" s="74">
        <v>767</v>
      </c>
      <c r="B1285" s="75" t="s">
        <v>1992</v>
      </c>
      <c r="C1285" s="75" t="s">
        <v>1992</v>
      </c>
      <c r="D1285" s="75" t="s">
        <v>1996</v>
      </c>
      <c r="E1285" s="75"/>
      <c r="F1285" s="68" t="str">
        <f t="shared" ref="F1285:F1340" si="76">D1285</f>
        <v>Nyero</v>
      </c>
      <c r="G1285" s="68" t="str">
        <f t="shared" si="74"/>
        <v>Kumi</v>
      </c>
      <c r="H1285" s="75" t="s">
        <v>1996</v>
      </c>
    </row>
    <row r="1286" spans="1:8">
      <c r="A1286" s="74">
        <v>440</v>
      </c>
      <c r="B1286" s="75" t="s">
        <v>2113</v>
      </c>
      <c r="C1286" s="75" t="s">
        <v>2115</v>
      </c>
      <c r="D1286" s="75" t="s">
        <v>2132</v>
      </c>
      <c r="E1286" s="75"/>
      <c r="F1286" s="68" t="str">
        <f t="shared" si="76"/>
        <v>Nyimbwa</v>
      </c>
      <c r="G1286" s="68" t="str">
        <f t="shared" si="74"/>
        <v>Luwero</v>
      </c>
      <c r="H1286" s="75" t="s">
        <v>2132</v>
      </c>
    </row>
    <row r="1287" spans="1:8">
      <c r="A1287" s="74">
        <v>789</v>
      </c>
      <c r="B1287" s="75" t="s">
        <v>2225</v>
      </c>
      <c r="C1287" s="75" t="s">
        <v>2226</v>
      </c>
      <c r="D1287" s="75" t="s">
        <v>2248</v>
      </c>
      <c r="E1287" s="75"/>
      <c r="F1287" s="68" t="str">
        <f t="shared" si="76"/>
        <v>Nyondo</v>
      </c>
      <c r="G1287" s="68" t="str">
        <f t="shared" si="74"/>
        <v>Mbale</v>
      </c>
      <c r="H1287" s="75" t="s">
        <v>2248</v>
      </c>
    </row>
    <row r="1288" spans="1:8">
      <c r="A1288" s="74">
        <v>1230</v>
      </c>
      <c r="B1288" s="75" t="s">
        <v>1940</v>
      </c>
      <c r="C1288" s="75" t="s">
        <v>1941</v>
      </c>
      <c r="D1288" s="75" t="s">
        <v>1954</v>
      </c>
      <c r="E1288" s="75"/>
      <c r="F1288" s="68" t="str">
        <f t="shared" si="76"/>
        <v>Nyundo</v>
      </c>
      <c r="G1288" s="68" t="str">
        <f t="shared" si="74"/>
        <v>Kisoro</v>
      </c>
      <c r="H1288" s="75" t="s">
        <v>1954</v>
      </c>
    </row>
    <row r="1289" spans="1:8">
      <c r="A1289" s="74">
        <v>900</v>
      </c>
      <c r="B1289" s="75" t="s">
        <v>707</v>
      </c>
      <c r="C1289" s="75" t="s">
        <v>709</v>
      </c>
      <c r="D1289" s="75" t="s">
        <v>717</v>
      </c>
      <c r="E1289" s="75"/>
      <c r="F1289" s="68" t="str">
        <f t="shared" si="76"/>
        <v>Obalanga</v>
      </c>
      <c r="G1289" s="68" t="str">
        <f t="shared" si="74"/>
        <v>Amuria</v>
      </c>
      <c r="H1289" s="75" t="s">
        <v>717</v>
      </c>
    </row>
    <row r="1290" spans="1:8">
      <c r="A1290" s="74">
        <v>844</v>
      </c>
      <c r="B1290" s="75" t="s">
        <v>1181</v>
      </c>
      <c r="C1290" s="75" t="s">
        <v>1181</v>
      </c>
      <c r="D1290" s="75" t="s">
        <v>1190</v>
      </c>
      <c r="E1290" s="75"/>
      <c r="F1290" s="68" t="str">
        <f t="shared" si="76"/>
        <v>Ochero</v>
      </c>
      <c r="G1290" s="68" t="str">
        <f t="shared" ref="G1290:G1353" si="77">B1290</f>
        <v>Kaberamaido</v>
      </c>
      <c r="H1290" s="75" t="s">
        <v>1190</v>
      </c>
    </row>
    <row r="1291" spans="1:8">
      <c r="A1291" s="74">
        <v>309</v>
      </c>
      <c r="B1291" s="75" t="s">
        <v>687</v>
      </c>
      <c r="C1291" s="75" t="s">
        <v>687</v>
      </c>
      <c r="D1291" s="75" t="s">
        <v>2558</v>
      </c>
      <c r="E1291" s="75"/>
      <c r="F1291" s="68" t="str">
        <f t="shared" si="76"/>
        <v>Odek</v>
      </c>
      <c r="G1291" s="68" t="str">
        <f t="shared" si="77"/>
        <v>Omoro</v>
      </c>
      <c r="H1291" s="75" t="s">
        <v>2558</v>
      </c>
    </row>
    <row r="1292" spans="1:8">
      <c r="A1292" s="74">
        <v>148</v>
      </c>
      <c r="B1292" s="75" t="s">
        <v>3009</v>
      </c>
      <c r="C1292" s="75" t="s">
        <v>3010</v>
      </c>
      <c r="D1292" s="75" t="s">
        <v>3020</v>
      </c>
      <c r="E1292" s="75"/>
      <c r="F1292" s="68" t="str">
        <f t="shared" si="76"/>
        <v>Odravu</v>
      </c>
      <c r="G1292" s="68" t="str">
        <f t="shared" si="77"/>
        <v>Yumbe</v>
      </c>
      <c r="H1292" s="75" t="s">
        <v>3020</v>
      </c>
    </row>
    <row r="1293" spans="1:8">
      <c r="A1293" s="74">
        <v>44</v>
      </c>
      <c r="B1293" s="75" t="s">
        <v>745</v>
      </c>
      <c r="C1293" s="75" t="s">
        <v>748</v>
      </c>
      <c r="D1293" s="75" t="s">
        <v>763</v>
      </c>
      <c r="E1293" s="75"/>
      <c r="F1293" s="68" t="str">
        <f t="shared" si="76"/>
        <v>Odupi</v>
      </c>
      <c r="G1293" s="68" t="str">
        <f t="shared" si="77"/>
        <v>Arua</v>
      </c>
      <c r="H1293" s="75" t="s">
        <v>763</v>
      </c>
    </row>
    <row r="1294" spans="1:8">
      <c r="A1294" s="74">
        <v>33</v>
      </c>
      <c r="B1294" s="75" t="s">
        <v>745</v>
      </c>
      <c r="C1294" s="75" t="s">
        <v>752</v>
      </c>
      <c r="D1294" s="75" t="s">
        <v>764</v>
      </c>
      <c r="E1294" s="75"/>
      <c r="F1294" s="68" t="str">
        <f t="shared" si="76"/>
        <v>Offaka</v>
      </c>
      <c r="G1294" s="68" t="str">
        <f t="shared" si="77"/>
        <v>Arua</v>
      </c>
      <c r="H1294" s="75" t="s">
        <v>764</v>
      </c>
    </row>
    <row r="1295" spans="1:8">
      <c r="A1295" s="74">
        <v>7</v>
      </c>
      <c r="B1295" s="75" t="s">
        <v>649</v>
      </c>
      <c r="C1295" s="75" t="s">
        <v>650</v>
      </c>
      <c r="D1295" s="75" t="s">
        <v>656</v>
      </c>
      <c r="E1295" s="75"/>
      <c r="F1295" s="68" t="str">
        <f t="shared" si="76"/>
        <v>Ofua</v>
      </c>
      <c r="G1295" s="68" t="str">
        <f t="shared" si="77"/>
        <v>Adjumani</v>
      </c>
      <c r="H1295" s="75" t="s">
        <v>656</v>
      </c>
    </row>
    <row r="1296" spans="1:8">
      <c r="A1296" s="74">
        <v>34</v>
      </c>
      <c r="B1296" s="75" t="s">
        <v>745</v>
      </c>
      <c r="C1296" s="75" t="s">
        <v>752</v>
      </c>
      <c r="D1296" s="75" t="s">
        <v>765</v>
      </c>
      <c r="E1296" s="75"/>
      <c r="F1296" s="68" t="str">
        <f t="shared" si="76"/>
        <v>Ogoko</v>
      </c>
      <c r="G1296" s="68" t="str">
        <f t="shared" si="77"/>
        <v>Arua</v>
      </c>
      <c r="H1296" s="75" t="s">
        <v>765</v>
      </c>
    </row>
    <row r="1297" spans="1:8">
      <c r="A1297" s="74">
        <v>893</v>
      </c>
      <c r="B1297" s="75" t="s">
        <v>707</v>
      </c>
      <c r="C1297" s="75" t="s">
        <v>707</v>
      </c>
      <c r="D1297" s="75" t="s">
        <v>718</v>
      </c>
      <c r="E1297" s="75"/>
      <c r="F1297" s="68" t="str">
        <f t="shared" si="76"/>
        <v>Ogolai</v>
      </c>
      <c r="G1297" s="68" t="str">
        <f t="shared" si="77"/>
        <v>Amuria</v>
      </c>
      <c r="H1297" s="75" t="s">
        <v>718</v>
      </c>
    </row>
    <row r="1298" spans="1:8">
      <c r="A1298" s="74">
        <v>133</v>
      </c>
      <c r="B1298" s="75" t="s">
        <v>2585</v>
      </c>
      <c r="C1298" s="75" t="s">
        <v>2586</v>
      </c>
      <c r="D1298" s="75" t="s">
        <v>2593</v>
      </c>
      <c r="E1298" s="75"/>
      <c r="F1298" s="68" t="str">
        <f t="shared" si="76"/>
        <v>Ogom</v>
      </c>
      <c r="G1298" s="68" t="str">
        <f t="shared" si="77"/>
        <v>Pader</v>
      </c>
      <c r="H1298" s="75" t="s">
        <v>2593</v>
      </c>
    </row>
    <row r="1299" spans="1:8">
      <c r="A1299" s="74">
        <v>289</v>
      </c>
      <c r="B1299" s="75" t="s">
        <v>2562</v>
      </c>
      <c r="C1299" s="75" t="s">
        <v>2562</v>
      </c>
      <c r="D1299" s="75" t="s">
        <v>2564</v>
      </c>
      <c r="E1299" s="75"/>
      <c r="F1299" s="68" t="str">
        <f t="shared" si="76"/>
        <v>Ogor</v>
      </c>
      <c r="G1299" s="68" t="str">
        <f t="shared" si="77"/>
        <v>Otuke</v>
      </c>
      <c r="H1299" s="75" t="s">
        <v>2564</v>
      </c>
    </row>
    <row r="1300" spans="1:8">
      <c r="A1300" s="74">
        <v>87</v>
      </c>
      <c r="B1300" s="75" t="s">
        <v>2094</v>
      </c>
      <c r="C1300" s="75" t="s">
        <v>2095</v>
      </c>
      <c r="D1300" s="75" t="s">
        <v>2103</v>
      </c>
      <c r="E1300" s="75"/>
      <c r="F1300" s="68" t="str">
        <f t="shared" si="76"/>
        <v>Ogur</v>
      </c>
      <c r="G1300" s="68" t="str">
        <f t="shared" si="77"/>
        <v>Lira</v>
      </c>
      <c r="H1300" s="75" t="s">
        <v>2103</v>
      </c>
    </row>
    <row r="1301" spans="1:8">
      <c r="A1301" s="74">
        <v>290</v>
      </c>
      <c r="B1301" s="75" t="s">
        <v>2562</v>
      </c>
      <c r="C1301" s="75" t="s">
        <v>2562</v>
      </c>
      <c r="D1301" s="75" t="s">
        <v>2565</v>
      </c>
      <c r="E1301" s="75"/>
      <c r="F1301" s="68" t="str">
        <f t="shared" si="76"/>
        <v>Ogwette</v>
      </c>
      <c r="G1301" s="68" t="str">
        <f t="shared" si="77"/>
        <v>Otuke</v>
      </c>
      <c r="H1301" s="75" t="s">
        <v>2565</v>
      </c>
    </row>
    <row r="1302" spans="1:8">
      <c r="A1302" s="74">
        <v>90</v>
      </c>
      <c r="B1302" s="75" t="s">
        <v>2094</v>
      </c>
      <c r="C1302" s="76" t="s">
        <v>2101</v>
      </c>
      <c r="D1302" s="75" t="s">
        <v>3188</v>
      </c>
      <c r="E1302" s="75"/>
      <c r="F1302" s="69" t="str">
        <f>VLOOKUP(C1302,[2]Municipalities!$C$9:$F$1522,4,FALSE)</f>
        <v>Lira Municipality</v>
      </c>
      <c r="G1302" s="68" t="str">
        <f t="shared" si="77"/>
        <v>Lira</v>
      </c>
      <c r="H1302" s="75" t="s">
        <v>3188</v>
      </c>
    </row>
    <row r="1303" spans="1:8">
      <c r="A1303" s="74">
        <v>35</v>
      </c>
      <c r="B1303" s="75" t="s">
        <v>745</v>
      </c>
      <c r="C1303" s="75" t="s">
        <v>752</v>
      </c>
      <c r="D1303" s="75" t="s">
        <v>766</v>
      </c>
      <c r="E1303" s="75"/>
      <c r="F1303" s="68" t="str">
        <f t="shared" si="76"/>
        <v>Okollo</v>
      </c>
      <c r="G1303" s="68" t="str">
        <f t="shared" si="77"/>
        <v>Arua</v>
      </c>
      <c r="H1303" s="75" t="s">
        <v>766</v>
      </c>
    </row>
    <row r="1304" spans="1:8">
      <c r="A1304" s="74">
        <v>901</v>
      </c>
      <c r="B1304" s="75" t="s">
        <v>707</v>
      </c>
      <c r="C1304" s="75" t="s">
        <v>709</v>
      </c>
      <c r="D1304" s="75" t="s">
        <v>719</v>
      </c>
      <c r="E1304" s="75"/>
      <c r="F1304" s="68" t="str">
        <f t="shared" si="76"/>
        <v>Okungur</v>
      </c>
      <c r="G1304" s="68" t="str">
        <f t="shared" si="77"/>
        <v>Amuria</v>
      </c>
      <c r="H1304" s="75" t="s">
        <v>719</v>
      </c>
    </row>
    <row r="1305" spans="1:8">
      <c r="A1305" s="74">
        <v>182</v>
      </c>
      <c r="B1305" s="75" t="s">
        <v>1014</v>
      </c>
      <c r="C1305" s="75" t="s">
        <v>1014</v>
      </c>
      <c r="D1305" s="75" t="s">
        <v>1022</v>
      </c>
      <c r="E1305" s="75"/>
      <c r="F1305" s="68" t="str">
        <f t="shared" si="76"/>
        <v>Okwalongwen</v>
      </c>
      <c r="G1305" s="68" t="str">
        <f t="shared" si="77"/>
        <v>Dokolo</v>
      </c>
      <c r="H1305" s="75" t="s">
        <v>1022</v>
      </c>
    </row>
    <row r="1306" spans="1:8">
      <c r="A1306" s="74">
        <v>291</v>
      </c>
      <c r="B1306" s="75" t="s">
        <v>2562</v>
      </c>
      <c r="C1306" s="75" t="s">
        <v>2562</v>
      </c>
      <c r="D1306" s="75" t="s">
        <v>2566</v>
      </c>
      <c r="E1306" s="75"/>
      <c r="F1306" s="68" t="str">
        <f t="shared" si="76"/>
        <v>Okwang</v>
      </c>
      <c r="G1306" s="68" t="str">
        <f t="shared" si="77"/>
        <v>Otuke</v>
      </c>
      <c r="H1306" s="75" t="s">
        <v>2566</v>
      </c>
    </row>
    <row r="1307" spans="1:8">
      <c r="A1307" s="74">
        <v>262</v>
      </c>
      <c r="B1307" s="75" t="s">
        <v>1977</v>
      </c>
      <c r="C1307" s="75" t="s">
        <v>1977</v>
      </c>
      <c r="D1307" s="75" t="s">
        <v>1983</v>
      </c>
      <c r="E1307" s="75"/>
      <c r="F1307" s="68" t="str">
        <f t="shared" si="76"/>
        <v>Okwerodot</v>
      </c>
      <c r="G1307" s="68" t="str">
        <f t="shared" si="77"/>
        <v>Kole</v>
      </c>
      <c r="H1307" s="75" t="s">
        <v>1983</v>
      </c>
    </row>
    <row r="1308" spans="1:8">
      <c r="A1308" s="74">
        <v>183</v>
      </c>
      <c r="B1308" s="75" t="s">
        <v>1014</v>
      </c>
      <c r="C1308" s="75" t="s">
        <v>1014</v>
      </c>
      <c r="D1308" s="75" t="s">
        <v>1023</v>
      </c>
      <c r="E1308" s="75"/>
      <c r="F1308" s="68" t="str">
        <f t="shared" si="76"/>
        <v>Okwongodul</v>
      </c>
      <c r="G1308" s="68" t="str">
        <f t="shared" si="77"/>
        <v>Dokolo</v>
      </c>
      <c r="H1308" s="75" t="s">
        <v>1023</v>
      </c>
    </row>
    <row r="1309" spans="1:8">
      <c r="A1309" s="74">
        <v>210</v>
      </c>
      <c r="B1309" s="75" t="s">
        <v>2177</v>
      </c>
      <c r="C1309" s="75" t="s">
        <v>2177</v>
      </c>
      <c r="D1309" s="75" t="s">
        <v>2180</v>
      </c>
      <c r="E1309" s="75"/>
      <c r="F1309" s="68" t="str">
        <f t="shared" si="76"/>
        <v>Oleba</v>
      </c>
      <c r="G1309" s="68" t="str">
        <f t="shared" si="77"/>
        <v>Maracha</v>
      </c>
      <c r="H1309" s="75" t="s">
        <v>2180</v>
      </c>
    </row>
    <row r="1310" spans="1:8">
      <c r="A1310" s="74">
        <v>292</v>
      </c>
      <c r="B1310" s="75" t="s">
        <v>2562</v>
      </c>
      <c r="C1310" s="75" t="s">
        <v>2562</v>
      </c>
      <c r="D1310" s="75" t="s">
        <v>2567</v>
      </c>
      <c r="E1310" s="75"/>
      <c r="F1310" s="68" t="str">
        <f t="shared" si="76"/>
        <v>Olilim</v>
      </c>
      <c r="G1310" s="68" t="str">
        <f t="shared" si="77"/>
        <v>Otuke</v>
      </c>
      <c r="H1310" s="75" t="s">
        <v>2567</v>
      </c>
    </row>
    <row r="1311" spans="1:8">
      <c r="A1311" s="74">
        <v>1076</v>
      </c>
      <c r="B1311" s="75" t="s">
        <v>2675</v>
      </c>
      <c r="C1311" s="75" t="s">
        <v>2675</v>
      </c>
      <c r="D1311" s="75" t="s">
        <v>2683</v>
      </c>
      <c r="E1311" s="75"/>
      <c r="F1311" s="68" t="str">
        <f t="shared" si="76"/>
        <v>Olio</v>
      </c>
      <c r="G1311" s="68" t="str">
        <f t="shared" si="77"/>
        <v>Serere</v>
      </c>
      <c r="H1311" s="75" t="s">
        <v>2683</v>
      </c>
    </row>
    <row r="1312" spans="1:8">
      <c r="A1312" s="74">
        <v>798</v>
      </c>
      <c r="B1312" s="75" t="s">
        <v>2606</v>
      </c>
      <c r="C1312" s="75" t="s">
        <v>2606</v>
      </c>
      <c r="D1312" s="75" t="s">
        <v>2614</v>
      </c>
      <c r="E1312" s="75"/>
      <c r="F1312" s="68" t="str">
        <f t="shared" si="76"/>
        <v>Olok</v>
      </c>
      <c r="G1312" s="68" t="str">
        <f t="shared" si="77"/>
        <v>Pallisa</v>
      </c>
      <c r="H1312" s="75" t="s">
        <v>2614</v>
      </c>
    </row>
    <row r="1313" spans="1:8">
      <c r="A1313" s="74">
        <v>211</v>
      </c>
      <c r="B1313" s="75" t="s">
        <v>2177</v>
      </c>
      <c r="C1313" s="75" t="s">
        <v>2177</v>
      </c>
      <c r="D1313" s="75" t="s">
        <v>2181</v>
      </c>
      <c r="E1313" s="75"/>
      <c r="F1313" s="68" t="str">
        <f t="shared" si="76"/>
        <v>Oluffe</v>
      </c>
      <c r="G1313" s="68" t="str">
        <f t="shared" si="77"/>
        <v>Maracha</v>
      </c>
      <c r="H1313" s="75" t="s">
        <v>2181</v>
      </c>
    </row>
    <row r="1314" spans="1:8">
      <c r="A1314" s="74">
        <v>29</v>
      </c>
      <c r="B1314" s="75" t="s">
        <v>745</v>
      </c>
      <c r="C1314" s="75" t="s">
        <v>746</v>
      </c>
      <c r="D1314" s="75" t="s">
        <v>767</v>
      </c>
      <c r="E1314" s="75"/>
      <c r="F1314" s="68" t="str">
        <f t="shared" si="76"/>
        <v>Oluko</v>
      </c>
      <c r="G1314" s="68" t="str">
        <f t="shared" si="77"/>
        <v>Arua</v>
      </c>
      <c r="H1314" s="75" t="s">
        <v>767</v>
      </c>
    </row>
    <row r="1315" spans="1:8">
      <c r="A1315" s="74">
        <v>212</v>
      </c>
      <c r="B1315" s="75" t="s">
        <v>2177</v>
      </c>
      <c r="C1315" s="75" t="s">
        <v>2177</v>
      </c>
      <c r="D1315" s="75" t="s">
        <v>2182</v>
      </c>
      <c r="E1315" s="75"/>
      <c r="F1315" s="68" t="str">
        <f t="shared" si="76"/>
        <v>Oluvu</v>
      </c>
      <c r="G1315" s="68" t="str">
        <f t="shared" si="77"/>
        <v>Maracha</v>
      </c>
      <c r="H1315" s="75" t="s">
        <v>2182</v>
      </c>
    </row>
    <row r="1316" spans="1:8">
      <c r="A1316" s="74">
        <v>65</v>
      </c>
      <c r="B1316" s="75" t="s">
        <v>1957</v>
      </c>
      <c r="C1316" s="75" t="s">
        <v>1958</v>
      </c>
      <c r="D1316" s="75" t="s">
        <v>1966</v>
      </c>
      <c r="E1316" s="75"/>
      <c r="F1316" s="68" t="str">
        <f t="shared" si="76"/>
        <v>Omiya Anyima</v>
      </c>
      <c r="G1316" s="68" t="str">
        <f t="shared" si="77"/>
        <v>Kitgum</v>
      </c>
      <c r="H1316" s="75" t="s">
        <v>1966</v>
      </c>
    </row>
    <row r="1317" spans="1:8">
      <c r="A1317" s="74">
        <v>236</v>
      </c>
      <c r="B1317" s="75" t="s">
        <v>661</v>
      </c>
      <c r="C1317" s="75" t="s">
        <v>661</v>
      </c>
      <c r="D1317" s="75" t="s">
        <v>670</v>
      </c>
      <c r="E1317" s="75"/>
      <c r="F1317" s="68" t="str">
        <f t="shared" si="76"/>
        <v>Omiya Pacwa</v>
      </c>
      <c r="G1317" s="68" t="str">
        <f t="shared" si="77"/>
        <v>Agago</v>
      </c>
      <c r="H1317" s="75" t="s">
        <v>670</v>
      </c>
    </row>
    <row r="1318" spans="1:8">
      <c r="A1318" s="74">
        <v>755</v>
      </c>
      <c r="B1318" s="75" t="s">
        <v>1845</v>
      </c>
      <c r="C1318" s="75" t="s">
        <v>1846</v>
      </c>
      <c r="D1318" s="75" t="s">
        <v>1851</v>
      </c>
      <c r="E1318" s="75"/>
      <c r="F1318" s="68" t="str">
        <f t="shared" si="76"/>
        <v>Omodoi</v>
      </c>
      <c r="G1318" s="68" t="str">
        <f t="shared" si="77"/>
        <v>Katakwi</v>
      </c>
      <c r="H1318" s="75" t="s">
        <v>1851</v>
      </c>
    </row>
    <row r="1319" spans="1:8">
      <c r="A1319" s="74">
        <v>251</v>
      </c>
      <c r="B1319" s="75" t="s">
        <v>678</v>
      </c>
      <c r="C1319" s="75" t="s">
        <v>679</v>
      </c>
      <c r="D1319" s="75" t="s">
        <v>687</v>
      </c>
      <c r="E1319" s="75"/>
      <c r="F1319" s="68" t="str">
        <f t="shared" si="76"/>
        <v>Omoro</v>
      </c>
      <c r="G1319" s="68" t="str">
        <f t="shared" si="77"/>
        <v>Alebtong</v>
      </c>
      <c r="H1319" s="75" t="s">
        <v>687</v>
      </c>
    </row>
    <row r="1320" spans="1:8">
      <c r="A1320" s="74">
        <v>311</v>
      </c>
      <c r="B1320" s="75" t="s">
        <v>687</v>
      </c>
      <c r="C1320" s="75" t="s">
        <v>687</v>
      </c>
      <c r="D1320" s="75" t="s">
        <v>2559</v>
      </c>
      <c r="E1320" s="75"/>
      <c r="F1320" s="68" t="str">
        <f t="shared" si="76"/>
        <v>Omoro Town Council</v>
      </c>
      <c r="G1320" s="68" t="str">
        <f t="shared" si="77"/>
        <v>Omoro</v>
      </c>
      <c r="H1320" s="75" t="s">
        <v>2559</v>
      </c>
    </row>
    <row r="1321" spans="1:8">
      <c r="A1321" s="74">
        <v>237</v>
      </c>
      <c r="B1321" s="75" t="s">
        <v>661</v>
      </c>
      <c r="C1321" s="75" t="s">
        <v>661</v>
      </c>
      <c r="D1321" s="75" t="s">
        <v>671</v>
      </c>
      <c r="E1321" s="75"/>
      <c r="F1321" s="68" t="str">
        <f t="shared" si="76"/>
        <v>Omot</v>
      </c>
      <c r="G1321" s="68" t="str">
        <f t="shared" si="77"/>
        <v>Agago</v>
      </c>
      <c r="H1321" s="75" t="s">
        <v>671</v>
      </c>
    </row>
    <row r="1322" spans="1:8">
      <c r="A1322" s="74">
        <v>43</v>
      </c>
      <c r="B1322" s="75" t="s">
        <v>745</v>
      </c>
      <c r="C1322" s="75" t="s">
        <v>748</v>
      </c>
      <c r="D1322" s="75" t="s">
        <v>768</v>
      </c>
      <c r="E1322" s="75"/>
      <c r="F1322" s="68" t="str">
        <f t="shared" si="76"/>
        <v>Omugo</v>
      </c>
      <c r="G1322" s="68" t="str">
        <f t="shared" si="77"/>
        <v>Arua</v>
      </c>
      <c r="H1322" s="75" t="s">
        <v>768</v>
      </c>
    </row>
    <row r="1323" spans="1:8">
      <c r="A1323" s="74">
        <v>310</v>
      </c>
      <c r="B1323" s="75" t="s">
        <v>687</v>
      </c>
      <c r="C1323" s="75" t="s">
        <v>687</v>
      </c>
      <c r="D1323" s="75" t="s">
        <v>2560</v>
      </c>
      <c r="E1323" s="75"/>
      <c r="F1323" s="68" t="str">
        <f t="shared" si="76"/>
        <v>Ongako</v>
      </c>
      <c r="G1323" s="68" t="str">
        <f t="shared" si="77"/>
        <v>Omoro</v>
      </c>
      <c r="H1323" s="75" t="s">
        <v>2560</v>
      </c>
    </row>
    <row r="1324" spans="1:8">
      <c r="A1324" s="74">
        <v>768</v>
      </c>
      <c r="B1324" s="75" t="s">
        <v>1992</v>
      </c>
      <c r="C1324" s="75" t="s">
        <v>1992</v>
      </c>
      <c r="D1324" s="75" t="s">
        <v>1997</v>
      </c>
      <c r="E1324" s="75"/>
      <c r="F1324" s="68" t="str">
        <f t="shared" si="76"/>
        <v>Ongino</v>
      </c>
      <c r="G1324" s="68" t="str">
        <f t="shared" si="77"/>
        <v>Kumi</v>
      </c>
      <c r="H1324" s="75" t="s">
        <v>1997</v>
      </c>
    </row>
    <row r="1325" spans="1:8">
      <c r="A1325" s="74">
        <v>760</v>
      </c>
      <c r="B1325" s="75" t="s">
        <v>1845</v>
      </c>
      <c r="C1325" s="75" t="s">
        <v>1847</v>
      </c>
      <c r="D1325" s="75" t="s">
        <v>1852</v>
      </c>
      <c r="E1325" s="75"/>
      <c r="F1325" s="68" t="str">
        <f t="shared" si="76"/>
        <v>Ongongoja</v>
      </c>
      <c r="G1325" s="68" t="str">
        <f t="shared" si="77"/>
        <v>Katakwi</v>
      </c>
      <c r="H1325" s="75" t="s">
        <v>1852</v>
      </c>
    </row>
    <row r="1326" spans="1:8" ht="25.5">
      <c r="A1326" s="74">
        <v>1083</v>
      </c>
      <c r="B1326" s="75" t="s">
        <v>984</v>
      </c>
      <c r="C1326" s="75" t="s">
        <v>985</v>
      </c>
      <c r="D1326" s="75" t="s">
        <v>992</v>
      </c>
      <c r="E1326" s="75"/>
      <c r="F1326" s="68" t="str">
        <f t="shared" si="76"/>
        <v>Opwateta</v>
      </c>
      <c r="G1326" s="68" t="str">
        <f t="shared" si="77"/>
        <v>Butebo</v>
      </c>
      <c r="H1326" s="75" t="s">
        <v>992</v>
      </c>
    </row>
    <row r="1327" spans="1:8">
      <c r="A1327" s="74">
        <v>66</v>
      </c>
      <c r="B1327" s="75" t="s">
        <v>1957</v>
      </c>
      <c r="C1327" s="75" t="s">
        <v>1958</v>
      </c>
      <c r="D1327" s="75" t="s">
        <v>1967</v>
      </c>
      <c r="E1327" s="75"/>
      <c r="F1327" s="68" t="str">
        <f t="shared" si="76"/>
        <v>Orom</v>
      </c>
      <c r="G1327" s="68" t="str">
        <f t="shared" si="77"/>
        <v>Kitgum</v>
      </c>
      <c r="H1327" s="75" t="s">
        <v>1967</v>
      </c>
    </row>
    <row r="1328" spans="1:8">
      <c r="A1328" s="74">
        <v>1386</v>
      </c>
      <c r="B1328" s="75" t="s">
        <v>48</v>
      </c>
      <c r="C1328" s="75" t="s">
        <v>48</v>
      </c>
      <c r="D1328" s="75" t="s">
        <v>1109</v>
      </c>
      <c r="E1328" s="75"/>
      <c r="F1328" s="68" t="str">
        <f t="shared" si="76"/>
        <v>Oruchinga Refugee Camp</v>
      </c>
      <c r="G1328" s="68" t="str">
        <f t="shared" si="77"/>
        <v>Isingiro</v>
      </c>
      <c r="H1328" s="75" t="s">
        <v>1109</v>
      </c>
    </row>
    <row r="1329" spans="1:9">
      <c r="A1329" s="74">
        <v>293</v>
      </c>
      <c r="B1329" s="75" t="s">
        <v>2562</v>
      </c>
      <c r="C1329" s="75" t="s">
        <v>2562</v>
      </c>
      <c r="D1329" s="75" t="s">
        <v>2568</v>
      </c>
      <c r="E1329" s="75"/>
      <c r="F1329" s="68" t="str">
        <f t="shared" si="76"/>
        <v>Orum</v>
      </c>
      <c r="G1329" s="68" t="str">
        <f t="shared" si="77"/>
        <v>Otuke</v>
      </c>
      <c r="H1329" s="75" t="s">
        <v>2568</v>
      </c>
    </row>
    <row r="1330" spans="1:9">
      <c r="A1330" s="74">
        <v>894</v>
      </c>
      <c r="B1330" s="75" t="s">
        <v>707</v>
      </c>
      <c r="C1330" s="75" t="s">
        <v>707</v>
      </c>
      <c r="D1330" s="75" t="s">
        <v>720</v>
      </c>
      <c r="E1330" s="75"/>
      <c r="F1330" s="68" t="str">
        <f t="shared" si="76"/>
        <v>Orungo</v>
      </c>
      <c r="G1330" s="68" t="str">
        <f t="shared" si="77"/>
        <v>Amuria</v>
      </c>
      <c r="H1330" s="75" t="s">
        <v>720</v>
      </c>
    </row>
    <row r="1331" spans="1:9">
      <c r="A1331" s="74">
        <v>824</v>
      </c>
      <c r="B1331" s="75" t="s">
        <v>2751</v>
      </c>
      <c r="C1331" s="75" t="s">
        <v>2751</v>
      </c>
      <c r="D1331" s="75" t="s">
        <v>2766</v>
      </c>
      <c r="E1331" s="75"/>
      <c r="F1331" s="68" t="str">
        <f t="shared" si="76"/>
        <v>Osukuru</v>
      </c>
      <c r="G1331" s="68" t="str">
        <f t="shared" si="77"/>
        <v>Tororo</v>
      </c>
      <c r="H1331" s="75" t="s">
        <v>2766</v>
      </c>
    </row>
    <row r="1332" spans="1:9">
      <c r="A1332" s="74">
        <v>850</v>
      </c>
      <c r="B1332" s="75" t="s">
        <v>1181</v>
      </c>
      <c r="C1332" s="75" t="s">
        <v>1183</v>
      </c>
      <c r="D1332" s="75" t="s">
        <v>1191</v>
      </c>
      <c r="E1332" s="75"/>
      <c r="F1332" s="68" t="str">
        <f t="shared" si="76"/>
        <v>Otuboi</v>
      </c>
      <c r="G1332" s="68" t="str">
        <f t="shared" si="77"/>
        <v>Kaberamaido</v>
      </c>
      <c r="H1332" s="75" t="s">
        <v>1191</v>
      </c>
    </row>
    <row r="1333" spans="1:9">
      <c r="A1333" s="74">
        <v>294</v>
      </c>
      <c r="B1333" s="75" t="s">
        <v>2562</v>
      </c>
      <c r="C1333" s="75" t="s">
        <v>2562</v>
      </c>
      <c r="D1333" s="75" t="s">
        <v>2569</v>
      </c>
      <c r="E1333" s="75"/>
      <c r="F1333" s="68" t="str">
        <f t="shared" si="76"/>
        <v>Otuke Town Council</v>
      </c>
      <c r="G1333" s="68" t="str">
        <f t="shared" si="77"/>
        <v>Otuke</v>
      </c>
      <c r="H1333" s="75" t="s">
        <v>2569</v>
      </c>
    </row>
    <row r="1334" spans="1:9">
      <c r="A1334" s="74">
        <v>225</v>
      </c>
      <c r="B1334" s="75" t="s">
        <v>2571</v>
      </c>
      <c r="C1334" s="75" t="s">
        <v>2571</v>
      </c>
      <c r="D1334" s="75" t="s">
        <v>2582</v>
      </c>
      <c r="E1334" s="75"/>
      <c r="F1334" s="68" t="str">
        <f t="shared" si="76"/>
        <v>Otwal</v>
      </c>
      <c r="G1334" s="68" t="str">
        <f t="shared" si="77"/>
        <v>Oyam</v>
      </c>
      <c r="H1334" s="75" t="s">
        <v>2582</v>
      </c>
    </row>
    <row r="1335" spans="1:9">
      <c r="A1335" s="74">
        <v>226</v>
      </c>
      <c r="B1335" s="75" t="s">
        <v>2571</v>
      </c>
      <c r="C1335" s="75" t="s">
        <v>2571</v>
      </c>
      <c r="D1335" s="75" t="s">
        <v>2583</v>
      </c>
      <c r="E1335" s="75"/>
      <c r="F1335" s="68" t="str">
        <f t="shared" si="76"/>
        <v>Oyam Town Council</v>
      </c>
      <c r="G1335" s="68" t="str">
        <f t="shared" si="77"/>
        <v>Oyam</v>
      </c>
      <c r="H1335" s="75" t="s">
        <v>2583</v>
      </c>
    </row>
    <row r="1336" spans="1:9">
      <c r="A1336" s="74">
        <v>1492</v>
      </c>
      <c r="B1336" s="75" t="s">
        <v>1193</v>
      </c>
      <c r="C1336" s="75" t="s">
        <v>1194</v>
      </c>
      <c r="D1336" s="75" t="s">
        <v>1208</v>
      </c>
      <c r="E1336" s="75"/>
      <c r="F1336" s="68" t="str">
        <f t="shared" si="76"/>
        <v>Paacwa</v>
      </c>
      <c r="G1336" s="68" t="str">
        <f t="shared" si="77"/>
        <v>Kagadi</v>
      </c>
      <c r="H1336" s="75" t="s">
        <v>1208</v>
      </c>
    </row>
    <row r="1337" spans="1:9">
      <c r="A1337" s="74">
        <v>172</v>
      </c>
      <c r="B1337" s="75" t="s">
        <v>723</v>
      </c>
      <c r="C1337" s="75" t="s">
        <v>724</v>
      </c>
      <c r="D1337" s="75" t="s">
        <v>729</v>
      </c>
      <c r="E1337" s="75"/>
      <c r="F1337" s="68" t="str">
        <f t="shared" si="76"/>
        <v>Pabo</v>
      </c>
      <c r="G1337" s="68" t="str">
        <f t="shared" si="77"/>
        <v>Amuru</v>
      </c>
      <c r="H1337" s="75" t="s">
        <v>729</v>
      </c>
    </row>
    <row r="1338" spans="1:9">
      <c r="A1338" s="74">
        <v>9</v>
      </c>
      <c r="B1338" s="75" t="s">
        <v>649</v>
      </c>
      <c r="C1338" s="75" t="s">
        <v>650</v>
      </c>
      <c r="D1338" s="75" t="s">
        <v>657</v>
      </c>
      <c r="E1338" s="75"/>
      <c r="F1338" s="68" t="str">
        <f t="shared" si="76"/>
        <v>Pacara</v>
      </c>
      <c r="G1338" s="68" t="str">
        <f t="shared" si="77"/>
        <v>Adjumani</v>
      </c>
      <c r="H1338" s="75" t="s">
        <v>657</v>
      </c>
    </row>
    <row r="1339" spans="1:9">
      <c r="A1339" s="74">
        <v>134</v>
      </c>
      <c r="B1339" s="75" t="s">
        <v>2585</v>
      </c>
      <c r="C1339" s="75" t="s">
        <v>2586</v>
      </c>
      <c r="D1339" s="75" t="s">
        <v>2585</v>
      </c>
      <c r="E1339" s="75"/>
      <c r="F1339" s="68" t="str">
        <f t="shared" si="76"/>
        <v>Pader</v>
      </c>
      <c r="G1339" s="68" t="str">
        <f t="shared" si="77"/>
        <v>Pader</v>
      </c>
      <c r="H1339" s="75" t="s">
        <v>2585</v>
      </c>
    </row>
    <row r="1340" spans="1:9">
      <c r="A1340" s="74">
        <v>135</v>
      </c>
      <c r="B1340" s="75" t="s">
        <v>2585</v>
      </c>
      <c r="C1340" s="75" t="s">
        <v>2586</v>
      </c>
      <c r="D1340" s="75" t="s">
        <v>2594</v>
      </c>
      <c r="E1340" s="75"/>
      <c r="F1340" s="68" t="str">
        <f t="shared" si="76"/>
        <v>Pader Town Council</v>
      </c>
      <c r="G1340" s="68" t="str">
        <f t="shared" si="77"/>
        <v>Pader</v>
      </c>
      <c r="H1340" s="75" t="s">
        <v>2594</v>
      </c>
    </row>
    <row r="1341" spans="1:9">
      <c r="A1341" s="74">
        <v>269</v>
      </c>
      <c r="B1341" s="75" t="s">
        <v>2086</v>
      </c>
      <c r="C1341" s="75" t="s">
        <v>2086</v>
      </c>
      <c r="D1341" s="79" t="s">
        <v>3189</v>
      </c>
      <c r="E1341" s="75"/>
      <c r="F1341" s="79" t="s">
        <v>2090</v>
      </c>
      <c r="G1341" s="68" t="str">
        <f t="shared" si="77"/>
        <v>Lamwo</v>
      </c>
      <c r="H1341" s="79" t="s">
        <v>3189</v>
      </c>
    </row>
    <row r="1342" spans="1:9">
      <c r="A1342" s="74">
        <v>273</v>
      </c>
      <c r="B1342" s="75" t="s">
        <v>2086</v>
      </c>
      <c r="C1342" s="75" t="s">
        <v>2086</v>
      </c>
      <c r="D1342" s="75" t="s">
        <v>3190</v>
      </c>
      <c r="E1342" s="75"/>
      <c r="F1342" s="79" t="s">
        <v>2090</v>
      </c>
      <c r="G1342" s="68" t="str">
        <f t="shared" si="77"/>
        <v>Lamwo</v>
      </c>
      <c r="H1342" s="75" t="s">
        <v>3190</v>
      </c>
      <c r="I1342" s="80" t="s">
        <v>3089</v>
      </c>
    </row>
    <row r="1343" spans="1:9">
      <c r="A1343" s="74">
        <v>267</v>
      </c>
      <c r="B1343" s="75" t="s">
        <v>2086</v>
      </c>
      <c r="C1343" s="75" t="s">
        <v>2086</v>
      </c>
      <c r="D1343" s="79" t="s">
        <v>3191</v>
      </c>
      <c r="E1343" s="75"/>
      <c r="F1343" s="79" t="s">
        <v>2090</v>
      </c>
      <c r="G1343" s="68" t="str">
        <f t="shared" si="77"/>
        <v>Lamwo</v>
      </c>
      <c r="H1343" s="79" t="s">
        <v>3191</v>
      </c>
      <c r="I1343" s="80" t="s">
        <v>3089</v>
      </c>
    </row>
    <row r="1344" spans="1:9" ht="25.5">
      <c r="A1344" s="74">
        <v>68</v>
      </c>
      <c r="B1344" s="75" t="s">
        <v>1957</v>
      </c>
      <c r="C1344" s="76" t="s">
        <v>1959</v>
      </c>
      <c r="D1344" s="75" t="s">
        <v>3192</v>
      </c>
      <c r="E1344" s="75"/>
      <c r="F1344" s="69" t="str">
        <f>VLOOKUP(C1344,[2]Municipalities!$C$9:$F$1522,4,FALSE)</f>
        <v>Kitgum Municipality</v>
      </c>
      <c r="G1344" s="68" t="str">
        <f t="shared" si="77"/>
        <v>Kitgum</v>
      </c>
      <c r="H1344" s="75" t="s">
        <v>3192</v>
      </c>
    </row>
    <row r="1345" spans="1:9">
      <c r="A1345" s="74">
        <v>52</v>
      </c>
      <c r="B1345" s="75" t="s">
        <v>1031</v>
      </c>
      <c r="C1345" s="75" t="s">
        <v>1032</v>
      </c>
      <c r="D1345" s="75" t="s">
        <v>1037</v>
      </c>
      <c r="E1345" s="75"/>
      <c r="F1345" s="68" t="str">
        <f t="shared" ref="F1345:F1354" si="78">D1345</f>
        <v>Paicho</v>
      </c>
      <c r="G1345" s="68" t="str">
        <f t="shared" si="77"/>
        <v>Gulu</v>
      </c>
      <c r="H1345" s="75" t="s">
        <v>1037</v>
      </c>
    </row>
    <row r="1346" spans="1:9">
      <c r="A1346" s="74">
        <v>300</v>
      </c>
      <c r="B1346" s="75" t="s">
        <v>3024</v>
      </c>
      <c r="C1346" s="75" t="s">
        <v>3025</v>
      </c>
      <c r="D1346" s="75" t="s">
        <v>3030</v>
      </c>
      <c r="E1346" s="75"/>
      <c r="F1346" s="68" t="str">
        <f t="shared" si="78"/>
        <v>Paidha</v>
      </c>
      <c r="G1346" s="68" t="str">
        <f t="shared" si="77"/>
        <v>Zombo</v>
      </c>
      <c r="H1346" s="75" t="s">
        <v>3030</v>
      </c>
    </row>
    <row r="1347" spans="1:9">
      <c r="A1347" s="74">
        <v>301</v>
      </c>
      <c r="B1347" s="75" t="s">
        <v>3024</v>
      </c>
      <c r="C1347" s="75" t="s">
        <v>3025</v>
      </c>
      <c r="D1347" s="75" t="s">
        <v>3031</v>
      </c>
      <c r="E1347" s="75"/>
      <c r="F1347" s="68" t="str">
        <f t="shared" si="78"/>
        <v>Paidha Town Council</v>
      </c>
      <c r="G1347" s="68" t="str">
        <f t="shared" si="77"/>
        <v>Zombo</v>
      </c>
      <c r="H1347" s="75" t="s">
        <v>3031</v>
      </c>
    </row>
    <row r="1348" spans="1:9">
      <c r="A1348" s="74">
        <v>238</v>
      </c>
      <c r="B1348" s="75" t="s">
        <v>661</v>
      </c>
      <c r="C1348" s="75" t="s">
        <v>661</v>
      </c>
      <c r="D1348" s="75" t="s">
        <v>672</v>
      </c>
      <c r="E1348" s="75"/>
      <c r="F1348" s="68" t="str">
        <f t="shared" si="78"/>
        <v>Paimol</v>
      </c>
      <c r="G1348" s="68" t="str">
        <f t="shared" si="77"/>
        <v>Agago</v>
      </c>
      <c r="H1348" s="75" t="s">
        <v>672</v>
      </c>
    </row>
    <row r="1349" spans="1:9">
      <c r="A1349" s="74">
        <v>136</v>
      </c>
      <c r="B1349" s="75" t="s">
        <v>2585</v>
      </c>
      <c r="C1349" s="75" t="s">
        <v>2586</v>
      </c>
      <c r="D1349" s="75" t="s">
        <v>2595</v>
      </c>
      <c r="E1349" s="75"/>
      <c r="F1349" s="68" t="str">
        <f t="shared" si="78"/>
        <v>Pajule</v>
      </c>
      <c r="G1349" s="68" t="str">
        <f t="shared" si="77"/>
        <v>Pader</v>
      </c>
      <c r="H1349" s="75" t="s">
        <v>2595</v>
      </c>
    </row>
    <row r="1350" spans="1:9">
      <c r="A1350" s="74">
        <v>30</v>
      </c>
      <c r="B1350" s="75" t="s">
        <v>745</v>
      </c>
      <c r="C1350" s="75" t="s">
        <v>746</v>
      </c>
      <c r="D1350" s="75" t="s">
        <v>769</v>
      </c>
      <c r="E1350" s="75"/>
      <c r="F1350" s="68" t="str">
        <f t="shared" si="78"/>
        <v>Pajulu</v>
      </c>
      <c r="G1350" s="68" t="str">
        <f t="shared" si="77"/>
        <v>Arua</v>
      </c>
      <c r="H1350" s="75" t="s">
        <v>769</v>
      </c>
    </row>
    <row r="1351" spans="1:9">
      <c r="A1351" s="74">
        <v>1239</v>
      </c>
      <c r="B1351" s="75" t="s">
        <v>2200</v>
      </c>
      <c r="C1351" s="75" t="s">
        <v>2204</v>
      </c>
      <c r="D1351" s="75" t="s">
        <v>2207</v>
      </c>
      <c r="E1351" s="75"/>
      <c r="F1351" s="68" t="str">
        <f t="shared" si="78"/>
        <v>Pakanyi</v>
      </c>
      <c r="G1351" s="68" t="str">
        <f t="shared" si="77"/>
        <v>Masindi</v>
      </c>
      <c r="H1351" s="75" t="s">
        <v>2207</v>
      </c>
    </row>
    <row r="1352" spans="1:9">
      <c r="A1352" s="74">
        <v>10</v>
      </c>
      <c r="B1352" s="75" t="s">
        <v>649</v>
      </c>
      <c r="C1352" s="75" t="s">
        <v>650</v>
      </c>
      <c r="D1352" s="75" t="s">
        <v>658</v>
      </c>
      <c r="E1352" s="75"/>
      <c r="F1352" s="68" t="str">
        <f t="shared" si="78"/>
        <v>Pakele</v>
      </c>
      <c r="G1352" s="68" t="str">
        <f t="shared" si="77"/>
        <v>Adjumani</v>
      </c>
      <c r="H1352" s="75" t="s">
        <v>658</v>
      </c>
    </row>
    <row r="1353" spans="1:9">
      <c r="A1353" s="74">
        <v>313</v>
      </c>
      <c r="B1353" s="75" t="s">
        <v>2598</v>
      </c>
      <c r="C1353" s="75" t="s">
        <v>2599</v>
      </c>
      <c r="D1353" s="75" t="s">
        <v>2598</v>
      </c>
      <c r="E1353" s="75"/>
      <c r="F1353" s="68" t="str">
        <f t="shared" si="78"/>
        <v>Pakwach</v>
      </c>
      <c r="G1353" s="68" t="str">
        <f t="shared" si="77"/>
        <v>Pakwach</v>
      </c>
      <c r="H1353" s="75" t="s">
        <v>2598</v>
      </c>
    </row>
    <row r="1354" spans="1:9">
      <c r="A1354" s="74">
        <v>314</v>
      </c>
      <c r="B1354" s="75" t="s">
        <v>2598</v>
      </c>
      <c r="C1354" s="75" t="s">
        <v>2599</v>
      </c>
      <c r="D1354" s="75" t="s">
        <v>2601</v>
      </c>
      <c r="E1354" s="75"/>
      <c r="F1354" s="68" t="str">
        <f t="shared" si="78"/>
        <v>Pakwach Town Council</v>
      </c>
      <c r="G1354" s="68" t="str">
        <f t="shared" ref="G1354:G1417" si="79">B1354</f>
        <v>Pakwach</v>
      </c>
      <c r="H1354" s="75" t="s">
        <v>2601</v>
      </c>
    </row>
    <row r="1355" spans="1:9">
      <c r="A1355" s="74">
        <v>265</v>
      </c>
      <c r="B1355" s="75" t="s">
        <v>2086</v>
      </c>
      <c r="C1355" s="75" t="s">
        <v>2086</v>
      </c>
      <c r="D1355" s="79" t="s">
        <v>3193</v>
      </c>
      <c r="E1355" s="75"/>
      <c r="F1355" s="79" t="s">
        <v>2091</v>
      </c>
      <c r="G1355" s="68" t="str">
        <f t="shared" si="79"/>
        <v>Lamwo</v>
      </c>
      <c r="H1355" s="79" t="s">
        <v>3193</v>
      </c>
    </row>
    <row r="1356" spans="1:9">
      <c r="A1356" s="74">
        <v>270</v>
      </c>
      <c r="B1356" s="75" t="s">
        <v>2086</v>
      </c>
      <c r="C1356" s="75" t="s">
        <v>2086</v>
      </c>
      <c r="D1356" s="79" t="s">
        <v>3194</v>
      </c>
      <c r="E1356" s="75"/>
      <c r="F1356" s="79" t="s">
        <v>2091</v>
      </c>
      <c r="G1356" s="68" t="str">
        <f t="shared" si="79"/>
        <v>Lamwo</v>
      </c>
      <c r="H1356" s="79" t="s">
        <v>3194</v>
      </c>
      <c r="I1356" s="80" t="s">
        <v>3089</v>
      </c>
    </row>
    <row r="1357" spans="1:9">
      <c r="A1357" s="74">
        <v>271</v>
      </c>
      <c r="B1357" s="75" t="s">
        <v>2086</v>
      </c>
      <c r="C1357" s="75" t="s">
        <v>2086</v>
      </c>
      <c r="D1357" s="79" t="s">
        <v>3195</v>
      </c>
      <c r="E1357" s="75"/>
      <c r="F1357" s="79" t="s">
        <v>2091</v>
      </c>
      <c r="G1357" s="68" t="str">
        <f t="shared" si="79"/>
        <v>Lamwo</v>
      </c>
      <c r="H1357" s="79" t="s">
        <v>3195</v>
      </c>
      <c r="I1357" s="80" t="s">
        <v>3089</v>
      </c>
    </row>
    <row r="1358" spans="1:9">
      <c r="A1358" s="74">
        <v>761</v>
      </c>
      <c r="B1358" s="75" t="s">
        <v>1845</v>
      </c>
      <c r="C1358" s="75" t="s">
        <v>1847</v>
      </c>
      <c r="D1358" s="75" t="s">
        <v>1853</v>
      </c>
      <c r="E1358" s="75"/>
      <c r="F1358" s="68" t="str">
        <f t="shared" ref="F1358:F1388" si="80">D1358</f>
        <v>Palam</v>
      </c>
      <c r="G1358" s="68" t="str">
        <f t="shared" si="79"/>
        <v>Katakwi</v>
      </c>
      <c r="H1358" s="75" t="s">
        <v>1853</v>
      </c>
    </row>
    <row r="1359" spans="1:9">
      <c r="A1359" s="74">
        <v>799</v>
      </c>
      <c r="B1359" s="75" t="s">
        <v>2606</v>
      </c>
      <c r="C1359" s="75" t="s">
        <v>2606</v>
      </c>
      <c r="D1359" s="75" t="s">
        <v>2606</v>
      </c>
      <c r="E1359" s="75"/>
      <c r="F1359" s="68" t="str">
        <f t="shared" si="80"/>
        <v>Pallisa</v>
      </c>
      <c r="G1359" s="68" t="str">
        <f t="shared" si="79"/>
        <v>Pallisa</v>
      </c>
      <c r="H1359" s="75" t="s">
        <v>2606</v>
      </c>
    </row>
    <row r="1360" spans="1:9">
      <c r="A1360" s="74">
        <v>800</v>
      </c>
      <c r="B1360" s="75" t="s">
        <v>2606</v>
      </c>
      <c r="C1360" s="75" t="s">
        <v>2606</v>
      </c>
      <c r="D1360" s="75" t="s">
        <v>2615</v>
      </c>
      <c r="E1360" s="75"/>
      <c r="F1360" s="68" t="str">
        <f t="shared" si="80"/>
        <v>Pallisa Town Council</v>
      </c>
      <c r="G1360" s="68" t="str">
        <f t="shared" si="79"/>
        <v>Pallisa</v>
      </c>
      <c r="H1360" s="75" t="s">
        <v>2615</v>
      </c>
    </row>
    <row r="1361" spans="1:8">
      <c r="A1361" s="74">
        <v>272</v>
      </c>
      <c r="B1361" s="75" t="s">
        <v>2086</v>
      </c>
      <c r="C1361" s="75" t="s">
        <v>2086</v>
      </c>
      <c r="D1361" s="75" t="s">
        <v>2092</v>
      </c>
      <c r="E1361" s="75"/>
      <c r="F1361" s="68" t="str">
        <f t="shared" si="80"/>
        <v>Paloga</v>
      </c>
      <c r="G1361" s="68" t="str">
        <f t="shared" si="79"/>
        <v>Lamwo</v>
      </c>
      <c r="H1361" s="75" t="s">
        <v>2092</v>
      </c>
    </row>
    <row r="1362" spans="1:8" ht="25.5">
      <c r="A1362" s="74">
        <v>69</v>
      </c>
      <c r="B1362" s="77" t="s">
        <v>1957</v>
      </c>
      <c r="C1362" s="78" t="s">
        <v>1959</v>
      </c>
      <c r="D1362" s="77" t="s">
        <v>3196</v>
      </c>
      <c r="E1362" s="77"/>
      <c r="F1362" s="69" t="str">
        <f>VLOOKUP(C1362,[2]Municipalities!$C$9:$F$1522,4,FALSE)</f>
        <v>Kitgum Municipality</v>
      </c>
      <c r="G1362" s="68" t="str">
        <f t="shared" si="79"/>
        <v>Kitgum</v>
      </c>
      <c r="H1362" s="77" t="s">
        <v>3196</v>
      </c>
    </row>
    <row r="1363" spans="1:8">
      <c r="A1363" s="74">
        <v>74</v>
      </c>
      <c r="B1363" s="75" t="s">
        <v>1985</v>
      </c>
      <c r="C1363" s="75" t="s">
        <v>1986</v>
      </c>
      <c r="D1363" s="75" t="s">
        <v>1989</v>
      </c>
      <c r="E1363" s="75"/>
      <c r="F1363" s="68" t="str">
        <f t="shared" si="80"/>
        <v>Panyangara</v>
      </c>
      <c r="G1363" s="68" t="str">
        <f t="shared" si="79"/>
        <v>Kotido</v>
      </c>
      <c r="H1363" s="75" t="s">
        <v>1989</v>
      </c>
    </row>
    <row r="1364" spans="1:8">
      <c r="A1364" s="74">
        <v>315</v>
      </c>
      <c r="B1364" s="75" t="s">
        <v>2598</v>
      </c>
      <c r="C1364" s="75" t="s">
        <v>2599</v>
      </c>
      <c r="D1364" s="75" t="s">
        <v>2602</v>
      </c>
      <c r="E1364" s="75"/>
      <c r="F1364" s="68" t="str">
        <f t="shared" si="80"/>
        <v>Panyango</v>
      </c>
      <c r="G1364" s="68" t="str">
        <f t="shared" si="79"/>
        <v>Pakwach</v>
      </c>
      <c r="H1364" s="75" t="s">
        <v>2602</v>
      </c>
    </row>
    <row r="1365" spans="1:8">
      <c r="A1365" s="74">
        <v>316</v>
      </c>
      <c r="B1365" s="75" t="s">
        <v>2598</v>
      </c>
      <c r="C1365" s="75" t="s">
        <v>2599</v>
      </c>
      <c r="D1365" s="75" t="s">
        <v>2603</v>
      </c>
      <c r="E1365" s="75"/>
      <c r="F1365" s="68" t="str">
        <f t="shared" si="80"/>
        <v>Panyimur</v>
      </c>
      <c r="G1365" s="68" t="str">
        <f t="shared" si="79"/>
        <v>Pakwach</v>
      </c>
      <c r="H1365" s="75" t="s">
        <v>2603</v>
      </c>
    </row>
    <row r="1366" spans="1:8">
      <c r="A1366" s="74">
        <v>239</v>
      </c>
      <c r="B1366" s="75" t="s">
        <v>661</v>
      </c>
      <c r="C1366" s="75" t="s">
        <v>661</v>
      </c>
      <c r="D1366" s="75" t="s">
        <v>673</v>
      </c>
      <c r="E1366" s="75"/>
      <c r="F1366" s="68" t="str">
        <f t="shared" si="80"/>
        <v>Parabongo</v>
      </c>
      <c r="G1366" s="68" t="str">
        <f t="shared" si="79"/>
        <v>Agago</v>
      </c>
      <c r="H1366" s="75" t="s">
        <v>673</v>
      </c>
    </row>
    <row r="1367" spans="1:8">
      <c r="A1367" s="74">
        <v>117</v>
      </c>
      <c r="B1367" s="75" t="s">
        <v>2499</v>
      </c>
      <c r="C1367" s="75" t="s">
        <v>2500</v>
      </c>
      <c r="D1367" s="75" t="s">
        <v>2507</v>
      </c>
      <c r="E1367" s="75"/>
      <c r="F1367" s="68" t="str">
        <f t="shared" si="80"/>
        <v>Parombo</v>
      </c>
      <c r="G1367" s="68" t="str">
        <f t="shared" si="79"/>
        <v>Nebbi</v>
      </c>
      <c r="H1367" s="75" t="s">
        <v>2507</v>
      </c>
    </row>
    <row r="1368" spans="1:8">
      <c r="A1368" s="74">
        <v>240</v>
      </c>
      <c r="B1368" s="75" t="s">
        <v>661</v>
      </c>
      <c r="C1368" s="75" t="s">
        <v>661</v>
      </c>
      <c r="D1368" s="75" t="s">
        <v>674</v>
      </c>
      <c r="E1368" s="75"/>
      <c r="F1368" s="68" t="str">
        <f t="shared" si="80"/>
        <v>Patongo</v>
      </c>
      <c r="G1368" s="68" t="str">
        <f t="shared" si="79"/>
        <v>Agago</v>
      </c>
      <c r="H1368" s="75" t="s">
        <v>674</v>
      </c>
    </row>
    <row r="1369" spans="1:8">
      <c r="A1369" s="74">
        <v>241</v>
      </c>
      <c r="B1369" s="75" t="s">
        <v>661</v>
      </c>
      <c r="C1369" s="75" t="s">
        <v>661</v>
      </c>
      <c r="D1369" s="75" t="s">
        <v>675</v>
      </c>
      <c r="E1369" s="75"/>
      <c r="F1369" s="68" t="str">
        <f t="shared" si="80"/>
        <v>Patongo Town Council</v>
      </c>
      <c r="G1369" s="68" t="str">
        <f t="shared" si="79"/>
        <v>Agago</v>
      </c>
      <c r="H1369" s="75" t="s">
        <v>675</v>
      </c>
    </row>
    <row r="1370" spans="1:8">
      <c r="A1370" s="74">
        <v>36</v>
      </c>
      <c r="B1370" s="75" t="s">
        <v>745</v>
      </c>
      <c r="C1370" s="75" t="s">
        <v>752</v>
      </c>
      <c r="D1370" s="75" t="s">
        <v>770</v>
      </c>
      <c r="E1370" s="75"/>
      <c r="F1370" s="68" t="str">
        <f t="shared" si="80"/>
        <v>Pawor</v>
      </c>
      <c r="G1370" s="68" t="str">
        <f t="shared" si="79"/>
        <v>Arua</v>
      </c>
      <c r="H1370" s="75" t="s">
        <v>770</v>
      </c>
    </row>
    <row r="1371" spans="1:8">
      <c r="A1371" s="74">
        <v>835</v>
      </c>
      <c r="B1371" s="75" t="s">
        <v>2751</v>
      </c>
      <c r="C1371" s="75" t="s">
        <v>2752</v>
      </c>
      <c r="D1371" s="75" t="s">
        <v>2767</v>
      </c>
      <c r="E1371" s="75"/>
      <c r="F1371" s="68" t="str">
        <f t="shared" si="80"/>
        <v>Paya</v>
      </c>
      <c r="G1371" s="68" t="str">
        <f t="shared" si="79"/>
        <v>Tororo</v>
      </c>
      <c r="H1371" s="75" t="s">
        <v>2767</v>
      </c>
    </row>
    <row r="1372" spans="1:8">
      <c r="A1372" s="74">
        <v>57</v>
      </c>
      <c r="B1372" s="75" t="s">
        <v>1031</v>
      </c>
      <c r="C1372" s="76" t="s">
        <v>1034</v>
      </c>
      <c r="D1372" s="75" t="s">
        <v>3197</v>
      </c>
      <c r="E1372" s="75"/>
      <c r="F1372" s="69" t="str">
        <f>VLOOKUP(C1372,[2]Municipalities!$C$9:$F$1522,4,FALSE)</f>
        <v>Gulu Municipality</v>
      </c>
      <c r="G1372" s="68" t="str">
        <f t="shared" si="79"/>
        <v>Gulu</v>
      </c>
      <c r="H1372" s="75" t="s">
        <v>3197</v>
      </c>
    </row>
    <row r="1373" spans="1:8" ht="25.5">
      <c r="A1373" s="74">
        <v>1084</v>
      </c>
      <c r="B1373" s="75" t="s">
        <v>984</v>
      </c>
      <c r="C1373" s="75" t="s">
        <v>985</v>
      </c>
      <c r="D1373" s="75" t="s">
        <v>993</v>
      </c>
      <c r="E1373" s="75"/>
      <c r="F1373" s="68" t="str">
        <f t="shared" si="80"/>
        <v>Petete</v>
      </c>
      <c r="G1373" s="68" t="str">
        <f t="shared" si="79"/>
        <v>Butebo</v>
      </c>
      <c r="H1373" s="75" t="s">
        <v>993</v>
      </c>
    </row>
    <row r="1374" spans="1:8">
      <c r="A1374" s="74">
        <v>836</v>
      </c>
      <c r="B1374" s="75" t="s">
        <v>2751</v>
      </c>
      <c r="C1374" s="75" t="s">
        <v>2752</v>
      </c>
      <c r="D1374" s="75" t="s">
        <v>2768</v>
      </c>
      <c r="E1374" s="75"/>
      <c r="F1374" s="68" t="str">
        <f t="shared" si="80"/>
        <v>Petta</v>
      </c>
      <c r="G1374" s="68" t="str">
        <f t="shared" si="79"/>
        <v>Tororo</v>
      </c>
      <c r="H1374" s="75" t="s">
        <v>2768</v>
      </c>
    </row>
    <row r="1375" spans="1:8">
      <c r="A1375" s="74">
        <v>1072</v>
      </c>
      <c r="B1375" s="75" t="s">
        <v>2675</v>
      </c>
      <c r="C1375" s="75" t="s">
        <v>2677</v>
      </c>
      <c r="D1375" s="75" t="s">
        <v>2684</v>
      </c>
      <c r="E1375" s="75"/>
      <c r="F1375" s="68" t="str">
        <f t="shared" si="80"/>
        <v>Pingire</v>
      </c>
      <c r="G1375" s="68" t="str">
        <f t="shared" si="79"/>
        <v>Serere</v>
      </c>
      <c r="H1375" s="75" t="s">
        <v>2684</v>
      </c>
    </row>
    <row r="1376" spans="1:8">
      <c r="A1376" s="74">
        <v>137</v>
      </c>
      <c r="B1376" s="75" t="s">
        <v>2585</v>
      </c>
      <c r="C1376" s="75" t="s">
        <v>2586</v>
      </c>
      <c r="D1376" s="75" t="s">
        <v>2596</v>
      </c>
      <c r="E1376" s="75"/>
      <c r="F1376" s="68" t="str">
        <f t="shared" si="80"/>
        <v>Puranga</v>
      </c>
      <c r="G1376" s="68" t="str">
        <f t="shared" si="79"/>
        <v>Pader</v>
      </c>
      <c r="H1376" s="75" t="s">
        <v>2596</v>
      </c>
    </row>
    <row r="1377" spans="1:8">
      <c r="A1377" s="74">
        <v>286</v>
      </c>
      <c r="B1377" s="75" t="s">
        <v>2549</v>
      </c>
      <c r="C1377" s="75" t="s">
        <v>2549</v>
      </c>
      <c r="D1377" s="75" t="s">
        <v>2553</v>
      </c>
      <c r="E1377" s="75"/>
      <c r="F1377" s="68" t="str">
        <f t="shared" si="80"/>
        <v>Purongo</v>
      </c>
      <c r="G1377" s="68" t="str">
        <f t="shared" si="79"/>
        <v>Nwoya</v>
      </c>
      <c r="H1377" s="75" t="s">
        <v>2553</v>
      </c>
    </row>
    <row r="1378" spans="1:8">
      <c r="A1378" s="74">
        <v>801</v>
      </c>
      <c r="B1378" s="75" t="s">
        <v>2606</v>
      </c>
      <c r="C1378" s="75" t="s">
        <v>2606</v>
      </c>
      <c r="D1378" s="75" t="s">
        <v>2616</v>
      </c>
      <c r="E1378" s="75"/>
      <c r="F1378" s="68" t="str">
        <f t="shared" si="80"/>
        <v>Puti-Puti</v>
      </c>
      <c r="G1378" s="68" t="str">
        <f t="shared" si="79"/>
        <v>Pallisa</v>
      </c>
      <c r="H1378" s="75" t="s">
        <v>2616</v>
      </c>
    </row>
    <row r="1379" spans="1:8">
      <c r="A1379" s="74">
        <v>91</v>
      </c>
      <c r="B1379" s="75" t="s">
        <v>2094</v>
      </c>
      <c r="C1379" s="76" t="s">
        <v>2101</v>
      </c>
      <c r="D1379" s="75" t="s">
        <v>3198</v>
      </c>
      <c r="E1379" s="75"/>
      <c r="F1379" s="69" t="str">
        <f>VLOOKUP(C1379,[2]Municipalities!$C$9:$F$1522,4,FALSE)</f>
        <v>Lira Municipality</v>
      </c>
      <c r="G1379" s="68" t="str">
        <f t="shared" si="79"/>
        <v>Lira</v>
      </c>
      <c r="H1379" s="75" t="s">
        <v>3198</v>
      </c>
    </row>
    <row r="1380" spans="1:8">
      <c r="A1380" s="74">
        <v>514</v>
      </c>
      <c r="B1380" s="75" t="s">
        <v>2618</v>
      </c>
      <c r="C1380" s="75" t="s">
        <v>2078</v>
      </c>
      <c r="D1380" s="75" t="s">
        <v>2628</v>
      </c>
      <c r="E1380" s="75"/>
      <c r="F1380" s="68" t="str">
        <f t="shared" si="80"/>
        <v>Rakai Town Council</v>
      </c>
      <c r="G1380" s="68" t="str">
        <f t="shared" si="79"/>
        <v>Rakai</v>
      </c>
      <c r="H1380" s="75" t="s">
        <v>2628</v>
      </c>
    </row>
    <row r="1381" spans="1:8">
      <c r="A1381" s="74">
        <v>72</v>
      </c>
      <c r="B1381" s="75" t="s">
        <v>1985</v>
      </c>
      <c r="C1381" s="75" t="s">
        <v>1986</v>
      </c>
      <c r="D1381" s="75" t="s">
        <v>1990</v>
      </c>
      <c r="E1381" s="75"/>
      <c r="F1381" s="68" t="str">
        <f t="shared" si="80"/>
        <v>Rengen</v>
      </c>
      <c r="G1381" s="68" t="str">
        <f t="shared" si="79"/>
        <v>Kotido</v>
      </c>
      <c r="H1381" s="75" t="s">
        <v>1990</v>
      </c>
    </row>
    <row r="1382" spans="1:8">
      <c r="A1382" s="74">
        <v>37</v>
      </c>
      <c r="B1382" s="75" t="s">
        <v>745</v>
      </c>
      <c r="C1382" s="75" t="s">
        <v>752</v>
      </c>
      <c r="D1382" s="75" t="s">
        <v>771</v>
      </c>
      <c r="E1382" s="75"/>
      <c r="F1382" s="68" t="str">
        <f t="shared" si="80"/>
        <v>Rhino Camp</v>
      </c>
      <c r="G1382" s="68" t="str">
        <f t="shared" si="79"/>
        <v>Arua</v>
      </c>
      <c r="H1382" s="75" t="s">
        <v>771</v>
      </c>
    </row>
    <row r="1383" spans="1:8">
      <c r="A1383" s="74">
        <v>38</v>
      </c>
      <c r="B1383" s="75" t="s">
        <v>745</v>
      </c>
      <c r="C1383" s="75" t="s">
        <v>752</v>
      </c>
      <c r="D1383" s="75" t="s">
        <v>772</v>
      </c>
      <c r="E1383" s="75"/>
      <c r="F1383" s="68" t="str">
        <f t="shared" si="80"/>
        <v>Rigbo</v>
      </c>
      <c r="G1383" s="68" t="str">
        <f t="shared" si="79"/>
        <v>Arua</v>
      </c>
      <c r="H1383" s="75" t="s">
        <v>772</v>
      </c>
    </row>
    <row r="1384" spans="1:8">
      <c r="A1384" s="74">
        <v>23</v>
      </c>
      <c r="B1384" s="77" t="s">
        <v>745</v>
      </c>
      <c r="C1384" s="78" t="s">
        <v>755</v>
      </c>
      <c r="D1384" s="77" t="s">
        <v>3199</v>
      </c>
      <c r="E1384" s="77"/>
      <c r="F1384" s="69" t="str">
        <f>VLOOKUP(C1384,[2]Municipalities!$C$9:$F$1522,4,FALSE)</f>
        <v>Arua Municipality</v>
      </c>
      <c r="G1384" s="68" t="str">
        <f t="shared" si="79"/>
        <v>Arua</v>
      </c>
      <c r="H1384" s="77" t="s">
        <v>3199</v>
      </c>
    </row>
    <row r="1385" spans="1:8">
      <c r="A1385" s="74">
        <v>945</v>
      </c>
      <c r="B1385" s="75" t="s">
        <v>856</v>
      </c>
      <c r="C1385" s="75" t="s">
        <v>857</v>
      </c>
      <c r="D1385" s="75" t="s">
        <v>865</v>
      </c>
      <c r="E1385" s="75"/>
      <c r="F1385" s="68" t="str">
        <f t="shared" si="80"/>
        <v>Riwo</v>
      </c>
      <c r="G1385" s="68" t="str">
        <f t="shared" si="79"/>
        <v>Bukwo</v>
      </c>
      <c r="H1385" s="75" t="s">
        <v>865</v>
      </c>
    </row>
    <row r="1386" spans="1:8">
      <c r="A1386" s="74">
        <v>149</v>
      </c>
      <c r="B1386" s="75" t="s">
        <v>3009</v>
      </c>
      <c r="C1386" s="75" t="s">
        <v>3010</v>
      </c>
      <c r="D1386" s="75" t="s">
        <v>3021</v>
      </c>
      <c r="E1386" s="75"/>
      <c r="F1386" s="68" t="str">
        <f t="shared" si="80"/>
        <v>Romogi</v>
      </c>
      <c r="G1386" s="68" t="str">
        <f t="shared" si="79"/>
        <v>Yumbe</v>
      </c>
      <c r="H1386" s="75" t="s">
        <v>3021</v>
      </c>
    </row>
    <row r="1387" spans="1:8">
      <c r="A1387" s="74">
        <v>1280</v>
      </c>
      <c r="B1387" s="75" t="s">
        <v>47</v>
      </c>
      <c r="C1387" s="75" t="s">
        <v>2531</v>
      </c>
      <c r="D1387" s="75" t="s">
        <v>55</v>
      </c>
      <c r="E1387" s="75"/>
      <c r="F1387" s="68" t="str">
        <f t="shared" si="80"/>
        <v>Rubaare</v>
      </c>
      <c r="G1387" s="68" t="str">
        <f t="shared" si="79"/>
        <v>Ntungamo</v>
      </c>
      <c r="H1387" s="75" t="s">
        <v>55</v>
      </c>
    </row>
    <row r="1388" spans="1:8">
      <c r="A1388" s="74">
        <v>1281</v>
      </c>
      <c r="B1388" s="75" t="s">
        <v>47</v>
      </c>
      <c r="C1388" s="75" t="s">
        <v>2531</v>
      </c>
      <c r="D1388" s="75" t="s">
        <v>2542</v>
      </c>
      <c r="E1388" s="75"/>
      <c r="F1388" s="68" t="str">
        <f t="shared" si="80"/>
        <v>Rubaare Town Council</v>
      </c>
      <c r="G1388" s="68" t="str">
        <f t="shared" si="79"/>
        <v>Ntungamo</v>
      </c>
      <c r="H1388" s="75" t="s">
        <v>2542</v>
      </c>
    </row>
    <row r="1389" spans="1:8">
      <c r="A1389" s="74">
        <v>364</v>
      </c>
      <c r="B1389" s="75" t="s">
        <v>1255</v>
      </c>
      <c r="C1389" s="75" t="s">
        <v>1256</v>
      </c>
      <c r="D1389" s="75" t="s">
        <v>1279</v>
      </c>
      <c r="E1389" s="75" t="s">
        <v>1278</v>
      </c>
      <c r="F1389" s="75" t="s">
        <v>1278</v>
      </c>
      <c r="G1389" s="68" t="str">
        <f t="shared" si="79"/>
        <v>Kampala</v>
      </c>
      <c r="H1389" s="75" t="s">
        <v>1279</v>
      </c>
    </row>
    <row r="1390" spans="1:8">
      <c r="A1390" s="74">
        <v>365</v>
      </c>
      <c r="B1390" s="75" t="s">
        <v>1255</v>
      </c>
      <c r="C1390" s="75" t="s">
        <v>1256</v>
      </c>
      <c r="D1390" s="75" t="s">
        <v>1279</v>
      </c>
      <c r="E1390" s="75" t="s">
        <v>1474</v>
      </c>
      <c r="F1390" s="75" t="s">
        <v>1474</v>
      </c>
      <c r="G1390" s="68" t="str">
        <f t="shared" si="79"/>
        <v>Kampala</v>
      </c>
      <c r="H1390" s="75" t="s">
        <v>1279</v>
      </c>
    </row>
    <row r="1391" spans="1:8">
      <c r="A1391" s="74">
        <v>366</v>
      </c>
      <c r="B1391" s="75" t="s">
        <v>1255</v>
      </c>
      <c r="C1391" s="75" t="s">
        <v>1256</v>
      </c>
      <c r="D1391" s="75" t="s">
        <v>1279</v>
      </c>
      <c r="E1391" s="75" t="s">
        <v>1495</v>
      </c>
      <c r="F1391" s="75" t="s">
        <v>1495</v>
      </c>
      <c r="G1391" s="68" t="str">
        <f t="shared" si="79"/>
        <v>Kampala</v>
      </c>
      <c r="H1391" s="75" t="s">
        <v>1279</v>
      </c>
    </row>
    <row r="1392" spans="1:8">
      <c r="A1392" s="74">
        <v>367</v>
      </c>
      <c r="B1392" s="75" t="s">
        <v>1255</v>
      </c>
      <c r="C1392" s="75" t="s">
        <v>1256</v>
      </c>
      <c r="D1392" s="75" t="s">
        <v>1279</v>
      </c>
      <c r="E1392" s="75" t="s">
        <v>1573</v>
      </c>
      <c r="F1392" s="75" t="s">
        <v>1573</v>
      </c>
      <c r="G1392" s="68" t="str">
        <f t="shared" si="79"/>
        <v>Kampala</v>
      </c>
      <c r="H1392" s="75" t="s">
        <v>1279</v>
      </c>
    </row>
    <row r="1393" spans="1:9">
      <c r="A1393" s="74">
        <v>368</v>
      </c>
      <c r="B1393" s="75" t="s">
        <v>1255</v>
      </c>
      <c r="C1393" s="75" t="s">
        <v>1256</v>
      </c>
      <c r="D1393" s="75" t="s">
        <v>1279</v>
      </c>
      <c r="E1393" s="75" t="s">
        <v>1001</v>
      </c>
      <c r="F1393" s="75" t="s">
        <v>1001</v>
      </c>
      <c r="G1393" s="68" t="str">
        <f t="shared" si="79"/>
        <v>Kampala</v>
      </c>
      <c r="H1393" s="75" t="s">
        <v>1279</v>
      </c>
    </row>
    <row r="1394" spans="1:9">
      <c r="A1394" s="74">
        <v>369</v>
      </c>
      <c r="B1394" s="75" t="s">
        <v>1255</v>
      </c>
      <c r="C1394" s="75" t="s">
        <v>1256</v>
      </c>
      <c r="D1394" s="75" t="s">
        <v>1279</v>
      </c>
      <c r="E1394" s="75" t="s">
        <v>1575</v>
      </c>
      <c r="F1394" s="75" t="s">
        <v>1575</v>
      </c>
      <c r="G1394" s="68" t="str">
        <f t="shared" si="79"/>
        <v>Kampala</v>
      </c>
      <c r="H1394" s="75" t="s">
        <v>1279</v>
      </c>
    </row>
    <row r="1395" spans="1:9">
      <c r="A1395" s="74">
        <v>370</v>
      </c>
      <c r="B1395" s="75" t="s">
        <v>1255</v>
      </c>
      <c r="C1395" s="75" t="s">
        <v>1256</v>
      </c>
      <c r="D1395" s="75" t="s">
        <v>1279</v>
      </c>
      <c r="E1395" s="75" t="s">
        <v>1618</v>
      </c>
      <c r="F1395" s="75" t="s">
        <v>1618</v>
      </c>
      <c r="G1395" s="68" t="str">
        <f t="shared" si="79"/>
        <v>Kampala</v>
      </c>
      <c r="H1395" s="75" t="s">
        <v>1279</v>
      </c>
    </row>
    <row r="1396" spans="1:9">
      <c r="A1396" s="74">
        <v>371</v>
      </c>
      <c r="B1396" s="75" t="s">
        <v>1255</v>
      </c>
      <c r="C1396" s="75" t="s">
        <v>1256</v>
      </c>
      <c r="D1396" s="75" t="s">
        <v>1279</v>
      </c>
      <c r="E1396" s="79" t="s">
        <v>3200</v>
      </c>
      <c r="F1396" s="79" t="s">
        <v>1643</v>
      </c>
      <c r="G1396" s="68" t="str">
        <f t="shared" si="79"/>
        <v>Kampala</v>
      </c>
      <c r="H1396" s="75" t="s">
        <v>1279</v>
      </c>
    </row>
    <row r="1397" spans="1:9">
      <c r="A1397" s="74">
        <v>372</v>
      </c>
      <c r="B1397" s="75" t="s">
        <v>1255</v>
      </c>
      <c r="C1397" s="75" t="s">
        <v>1256</v>
      </c>
      <c r="D1397" s="75" t="s">
        <v>1279</v>
      </c>
      <c r="E1397" s="79" t="s">
        <v>3201</v>
      </c>
      <c r="F1397" s="79" t="s">
        <v>1643</v>
      </c>
      <c r="G1397" s="68" t="str">
        <f t="shared" si="79"/>
        <v>Kampala</v>
      </c>
      <c r="H1397" s="75" t="s">
        <v>1279</v>
      </c>
      <c r="I1397" s="80" t="s">
        <v>3089</v>
      </c>
    </row>
    <row r="1398" spans="1:9">
      <c r="A1398" s="74">
        <v>373</v>
      </c>
      <c r="B1398" s="75" t="s">
        <v>1255</v>
      </c>
      <c r="C1398" s="75" t="s">
        <v>1256</v>
      </c>
      <c r="D1398" s="75" t="s">
        <v>1279</v>
      </c>
      <c r="E1398" s="75" t="s">
        <v>1687</v>
      </c>
      <c r="F1398" s="75" t="s">
        <v>1687</v>
      </c>
      <c r="G1398" s="68" t="str">
        <f t="shared" si="79"/>
        <v>Kampala</v>
      </c>
      <c r="H1398" s="75" t="s">
        <v>1279</v>
      </c>
    </row>
    <row r="1399" spans="1:9">
      <c r="A1399" s="74">
        <v>374</v>
      </c>
      <c r="B1399" s="75" t="s">
        <v>1255</v>
      </c>
      <c r="C1399" s="75" t="s">
        <v>1256</v>
      </c>
      <c r="D1399" s="75" t="s">
        <v>1279</v>
      </c>
      <c r="E1399" s="79" t="s">
        <v>3202</v>
      </c>
      <c r="F1399" s="75" t="s">
        <v>1691</v>
      </c>
      <c r="G1399" s="68" t="str">
        <f t="shared" si="79"/>
        <v>Kampala</v>
      </c>
      <c r="H1399" s="75" t="s">
        <v>1279</v>
      </c>
    </row>
    <row r="1400" spans="1:9">
      <c r="A1400" s="74">
        <v>375</v>
      </c>
      <c r="B1400" s="75" t="s">
        <v>1255</v>
      </c>
      <c r="C1400" s="75" t="s">
        <v>1256</v>
      </c>
      <c r="D1400" s="75" t="s">
        <v>1279</v>
      </c>
      <c r="E1400" s="75" t="s">
        <v>1694</v>
      </c>
      <c r="F1400" s="75" t="s">
        <v>1694</v>
      </c>
      <c r="G1400" s="68" t="str">
        <f t="shared" si="79"/>
        <v>Kampala</v>
      </c>
      <c r="H1400" s="75" t="s">
        <v>1279</v>
      </c>
    </row>
    <row r="1401" spans="1:9">
      <c r="A1401" s="74">
        <v>376</v>
      </c>
      <c r="B1401" s="75" t="s">
        <v>1255</v>
      </c>
      <c r="C1401" s="75" t="s">
        <v>1256</v>
      </c>
      <c r="D1401" s="75" t="s">
        <v>1279</v>
      </c>
      <c r="E1401" s="75" t="s">
        <v>1696</v>
      </c>
      <c r="F1401" s="75" t="s">
        <v>1696</v>
      </c>
      <c r="G1401" s="68" t="str">
        <f t="shared" si="79"/>
        <v>Kampala</v>
      </c>
      <c r="H1401" s="75" t="s">
        <v>1279</v>
      </c>
    </row>
    <row r="1402" spans="1:9">
      <c r="A1402" s="74">
        <v>1514</v>
      </c>
      <c r="B1402" s="75" t="s">
        <v>2632</v>
      </c>
      <c r="C1402" s="75" t="s">
        <v>2632</v>
      </c>
      <c r="D1402" s="75" t="s">
        <v>2639</v>
      </c>
      <c r="E1402" s="75"/>
      <c r="F1402" s="68" t="str">
        <f t="shared" ref="F1402" si="81">D1402</f>
        <v>Rubanda Town Council</v>
      </c>
      <c r="G1402" s="68" t="str">
        <f t="shared" si="79"/>
        <v>Rubanda</v>
      </c>
      <c r="H1402" s="75" t="s">
        <v>2639</v>
      </c>
    </row>
    <row r="1403" spans="1:9">
      <c r="A1403" s="74">
        <v>1160</v>
      </c>
      <c r="B1403" s="75" t="s">
        <v>1148</v>
      </c>
      <c r="C1403" s="75" t="s">
        <v>1149</v>
      </c>
      <c r="D1403" s="79" t="s">
        <v>3203</v>
      </c>
      <c r="E1403" s="75"/>
      <c r="F1403" s="68" t="str">
        <f t="shared" ref="F1403:F1404" si="82">D1403&amp;"-"&amp;B1403</f>
        <v>Rubaya-Kabale</v>
      </c>
      <c r="G1403" s="68" t="str">
        <f t="shared" si="79"/>
        <v>Kabale</v>
      </c>
      <c r="H1403" s="79" t="s">
        <v>3203</v>
      </c>
    </row>
    <row r="1404" spans="1:9">
      <c r="A1404" s="74">
        <v>1248</v>
      </c>
      <c r="B1404" s="75" t="s">
        <v>2251</v>
      </c>
      <c r="C1404" s="75" t="s">
        <v>2252</v>
      </c>
      <c r="D1404" s="79" t="s">
        <v>3203</v>
      </c>
      <c r="E1404" s="75"/>
      <c r="F1404" s="68" t="str">
        <f t="shared" si="82"/>
        <v>Rubaya-Mbarara</v>
      </c>
      <c r="G1404" s="68" t="str">
        <f t="shared" si="79"/>
        <v>Mbarara</v>
      </c>
      <c r="H1404" s="79" t="s">
        <v>3203</v>
      </c>
    </row>
    <row r="1405" spans="1:9">
      <c r="A1405" s="74">
        <v>1249</v>
      </c>
      <c r="B1405" s="75" t="s">
        <v>2251</v>
      </c>
      <c r="C1405" s="75" t="s">
        <v>2252</v>
      </c>
      <c r="D1405" s="75" t="s">
        <v>2268</v>
      </c>
      <c r="E1405" s="75"/>
      <c r="F1405" s="68" t="str">
        <f t="shared" ref="F1405:F1412" si="83">D1405</f>
        <v>Rubindi</v>
      </c>
      <c r="G1405" s="68" t="str">
        <f t="shared" si="79"/>
        <v>Mbarara</v>
      </c>
      <c r="H1405" s="75" t="s">
        <v>2268</v>
      </c>
    </row>
    <row r="1406" spans="1:9">
      <c r="A1406" s="74">
        <v>1455</v>
      </c>
      <c r="B1406" s="75" t="s">
        <v>2642</v>
      </c>
      <c r="C1406" s="75" t="s">
        <v>49</v>
      </c>
      <c r="D1406" s="75" t="s">
        <v>2649</v>
      </c>
      <c r="E1406" s="75"/>
      <c r="F1406" s="68" t="str">
        <f t="shared" si="83"/>
        <v>Rubiriziri Town Council</v>
      </c>
      <c r="G1406" s="68" t="str">
        <f t="shared" si="79"/>
        <v>Rubirizi</v>
      </c>
      <c r="H1406" s="75" t="s">
        <v>2649</v>
      </c>
    </row>
    <row r="1407" spans="1:9">
      <c r="A1407" s="74">
        <v>1521</v>
      </c>
      <c r="B1407" s="75" t="s">
        <v>920</v>
      </c>
      <c r="C1407" s="75" t="s">
        <v>920</v>
      </c>
      <c r="D1407" s="75" t="s">
        <v>928</v>
      </c>
      <c r="E1407" s="75"/>
      <c r="F1407" s="68" t="str">
        <f t="shared" si="83"/>
        <v>Rubona Town Council</v>
      </c>
      <c r="G1407" s="68" t="str">
        <f t="shared" si="79"/>
        <v>Bunyangabu</v>
      </c>
      <c r="H1407" s="75" t="s">
        <v>928</v>
      </c>
    </row>
    <row r="1408" spans="1:9">
      <c r="A1408" s="74">
        <v>837</v>
      </c>
      <c r="B1408" s="75" t="s">
        <v>2751</v>
      </c>
      <c r="C1408" s="75" t="s">
        <v>2752</v>
      </c>
      <c r="D1408" s="75" t="s">
        <v>2769</v>
      </c>
      <c r="E1408" s="75"/>
      <c r="F1408" s="68" t="str">
        <f t="shared" si="83"/>
        <v>Rubongi</v>
      </c>
      <c r="G1408" s="68" t="str">
        <f t="shared" si="79"/>
        <v>Tororo</v>
      </c>
      <c r="H1408" s="75" t="s">
        <v>2769</v>
      </c>
    </row>
    <row r="1409" spans="1:8">
      <c r="A1409" s="74">
        <v>1385</v>
      </c>
      <c r="B1409" s="75" t="s">
        <v>48</v>
      </c>
      <c r="C1409" s="75" t="s">
        <v>48</v>
      </c>
      <c r="D1409" s="75" t="s">
        <v>1110</v>
      </c>
      <c r="E1409" s="75"/>
      <c r="F1409" s="68" t="str">
        <f t="shared" si="83"/>
        <v>Ruborogota</v>
      </c>
      <c r="G1409" s="68" t="str">
        <f t="shared" si="79"/>
        <v>Isingiro</v>
      </c>
      <c r="H1409" s="75" t="s">
        <v>1110</v>
      </c>
    </row>
    <row r="1410" spans="1:8">
      <c r="A1410" s="74">
        <v>1231</v>
      </c>
      <c r="B1410" s="75" t="s">
        <v>1940</v>
      </c>
      <c r="C1410" s="75" t="s">
        <v>1941</v>
      </c>
      <c r="D1410" s="75" t="s">
        <v>1955</v>
      </c>
      <c r="E1410" s="75"/>
      <c r="F1410" s="68" t="str">
        <f t="shared" si="83"/>
        <v>Rubuguri Town Council</v>
      </c>
      <c r="G1410" s="68" t="str">
        <f t="shared" si="79"/>
        <v>Kisoro</v>
      </c>
      <c r="H1410" s="75" t="s">
        <v>1955</v>
      </c>
    </row>
    <row r="1411" spans="1:8">
      <c r="A1411" s="74">
        <v>1370</v>
      </c>
      <c r="B1411" s="75" t="s">
        <v>48</v>
      </c>
      <c r="C1411" s="75" t="s">
        <v>1093</v>
      </c>
      <c r="D1411" s="75" t="s">
        <v>1111</v>
      </c>
      <c r="E1411" s="75"/>
      <c r="F1411" s="68" t="str">
        <f t="shared" si="83"/>
        <v>Rugaaga</v>
      </c>
      <c r="G1411" s="68" t="str">
        <f t="shared" si="79"/>
        <v>Isingiro</v>
      </c>
      <c r="H1411" s="75" t="s">
        <v>1111</v>
      </c>
    </row>
    <row r="1412" spans="1:8">
      <c r="A1412" s="74">
        <v>1260</v>
      </c>
      <c r="B1412" s="75" t="s">
        <v>2251</v>
      </c>
      <c r="C1412" s="75" t="s">
        <v>2254</v>
      </c>
      <c r="D1412" s="75" t="s">
        <v>2269</v>
      </c>
      <c r="E1412" s="75"/>
      <c r="F1412" s="68" t="str">
        <f t="shared" si="83"/>
        <v>Rugando</v>
      </c>
      <c r="G1412" s="68" t="str">
        <f t="shared" si="79"/>
        <v>Mbarara</v>
      </c>
      <c r="H1412" s="75" t="s">
        <v>2269</v>
      </c>
    </row>
    <row r="1413" spans="1:8">
      <c r="A1413" s="74">
        <v>1282</v>
      </c>
      <c r="B1413" s="75" t="s">
        <v>47</v>
      </c>
      <c r="C1413" s="75" t="s">
        <v>2531</v>
      </c>
      <c r="D1413" s="79" t="s">
        <v>3204</v>
      </c>
      <c r="E1413" s="75"/>
      <c r="F1413" s="68" t="str">
        <f t="shared" ref="F1413:F1414" si="84">D1413&amp;"-"&amp;B1413</f>
        <v>Rugarama-Ntungamo</v>
      </c>
      <c r="G1413" s="68" t="str">
        <f t="shared" si="79"/>
        <v>Ntungamo</v>
      </c>
      <c r="H1413" s="79" t="s">
        <v>3204</v>
      </c>
    </row>
    <row r="1414" spans="1:8">
      <c r="A1414" s="74">
        <v>1469</v>
      </c>
      <c r="B1414" s="75" t="s">
        <v>41</v>
      </c>
      <c r="C1414" s="75" t="s">
        <v>41</v>
      </c>
      <c r="D1414" s="79" t="s">
        <v>3204</v>
      </c>
      <c r="E1414" s="75"/>
      <c r="F1414" s="68" t="str">
        <f t="shared" si="84"/>
        <v>Rugarama-Sheema</v>
      </c>
      <c r="G1414" s="68" t="str">
        <f t="shared" si="79"/>
        <v>Sheema</v>
      </c>
      <c r="H1414" s="79" t="s">
        <v>3204</v>
      </c>
    </row>
    <row r="1415" spans="1:8">
      <c r="A1415" s="74">
        <v>1493</v>
      </c>
      <c r="B1415" s="75" t="s">
        <v>1193</v>
      </c>
      <c r="C1415" s="75" t="s">
        <v>1194</v>
      </c>
      <c r="D1415" s="75" t="s">
        <v>1209</v>
      </c>
      <c r="E1415" s="75"/>
      <c r="F1415" s="68" t="str">
        <f t="shared" ref="F1415:F1428" si="85">D1415</f>
        <v>Rugashari</v>
      </c>
      <c r="G1415" s="68" t="str">
        <f t="shared" si="79"/>
        <v>Kagadi</v>
      </c>
      <c r="H1415" s="75" t="s">
        <v>1209</v>
      </c>
    </row>
    <row r="1416" spans="1:8">
      <c r="A1416" s="74">
        <v>1328</v>
      </c>
      <c r="B1416" s="75" t="s">
        <v>1779</v>
      </c>
      <c r="C1416" s="75" t="s">
        <v>1780</v>
      </c>
      <c r="D1416" s="75" t="s">
        <v>1795</v>
      </c>
      <c r="E1416" s="75"/>
      <c r="F1416" s="68" t="str">
        <f t="shared" si="85"/>
        <v>Rugyeyo</v>
      </c>
      <c r="G1416" s="68" t="str">
        <f t="shared" si="79"/>
        <v>Kanungu</v>
      </c>
      <c r="H1416" s="75" t="s">
        <v>1795</v>
      </c>
    </row>
    <row r="1417" spans="1:8">
      <c r="A1417" s="74">
        <v>1274</v>
      </c>
      <c r="B1417" s="75" t="s">
        <v>47</v>
      </c>
      <c r="C1417" s="75" t="s">
        <v>2528</v>
      </c>
      <c r="D1417" s="75" t="s">
        <v>2528</v>
      </c>
      <c r="E1417" s="75"/>
      <c r="F1417" s="68" t="str">
        <f t="shared" si="85"/>
        <v>Ruhaama</v>
      </c>
      <c r="G1417" s="68" t="str">
        <f t="shared" si="79"/>
        <v>Ntungamo</v>
      </c>
      <c r="H1417" s="75" t="s">
        <v>2528</v>
      </c>
    </row>
    <row r="1418" spans="1:8">
      <c r="A1418" s="74">
        <v>1513</v>
      </c>
      <c r="B1418" s="75" t="s">
        <v>2632</v>
      </c>
      <c r="C1418" s="75" t="s">
        <v>2632</v>
      </c>
      <c r="D1418" s="75" t="s">
        <v>2640</v>
      </c>
      <c r="E1418" s="75"/>
      <c r="F1418" s="68" t="str">
        <f t="shared" si="85"/>
        <v>Ruhija</v>
      </c>
      <c r="G1418" s="68" t="str">
        <f t="shared" ref="G1418:G1481" si="86">B1418</f>
        <v>Rubanda</v>
      </c>
      <c r="H1418" s="75" t="s">
        <v>2640</v>
      </c>
    </row>
    <row r="1419" spans="1:8">
      <c r="A1419" s="74">
        <v>1293</v>
      </c>
      <c r="B1419" s="75" t="s">
        <v>40</v>
      </c>
      <c r="C1419" s="75" t="s">
        <v>2663</v>
      </c>
      <c r="D1419" s="75" t="s">
        <v>2272</v>
      </c>
      <c r="E1419" s="75"/>
      <c r="F1419" s="68" t="str">
        <f t="shared" si="85"/>
        <v>Ruhinda</v>
      </c>
      <c r="G1419" s="68" t="str">
        <f t="shared" si="86"/>
        <v>Rukungiri</v>
      </c>
      <c r="H1419" s="75" t="s">
        <v>2272</v>
      </c>
    </row>
    <row r="1420" spans="1:8">
      <c r="A1420" s="74">
        <v>1133</v>
      </c>
      <c r="B1420" s="75" t="s">
        <v>38</v>
      </c>
      <c r="C1420" s="75" t="s">
        <v>932</v>
      </c>
      <c r="D1420" s="75" t="s">
        <v>945</v>
      </c>
      <c r="E1420" s="75"/>
      <c r="F1420" s="68" t="str">
        <f t="shared" si="85"/>
        <v>Ruhumuro</v>
      </c>
      <c r="G1420" s="68" t="str">
        <f t="shared" si="86"/>
        <v>Bushenyi</v>
      </c>
      <c r="H1420" s="75" t="s">
        <v>945</v>
      </c>
    </row>
    <row r="1421" spans="1:8">
      <c r="A1421" s="74">
        <v>1361</v>
      </c>
      <c r="B1421" s="75" t="s">
        <v>43</v>
      </c>
      <c r="C1421" s="75" t="s">
        <v>43</v>
      </c>
      <c r="D1421" s="75" t="s">
        <v>1071</v>
      </c>
      <c r="E1421" s="75"/>
      <c r="F1421" s="68" t="str">
        <f t="shared" si="85"/>
        <v>Rukiri</v>
      </c>
      <c r="G1421" s="68" t="str">
        <f t="shared" si="86"/>
        <v>Ibanda</v>
      </c>
      <c r="H1421" s="75" t="s">
        <v>1071</v>
      </c>
    </row>
    <row r="1422" spans="1:8">
      <c r="A1422" s="74">
        <v>1204</v>
      </c>
      <c r="B1422" s="75" t="s">
        <v>36</v>
      </c>
      <c r="C1422" s="75" t="s">
        <v>1812</v>
      </c>
      <c r="D1422" s="75" t="s">
        <v>1843</v>
      </c>
      <c r="E1422" s="75"/>
      <c r="F1422" s="68" t="str">
        <f t="shared" si="85"/>
        <v>Rukoki</v>
      </c>
      <c r="G1422" s="68" t="str">
        <f t="shared" si="86"/>
        <v>Kasese</v>
      </c>
      <c r="H1422" s="75" t="s">
        <v>1843</v>
      </c>
    </row>
    <row r="1423" spans="1:8">
      <c r="A1423" s="74">
        <v>1275</v>
      </c>
      <c r="B1423" s="75" t="s">
        <v>47</v>
      </c>
      <c r="C1423" s="75" t="s">
        <v>2528</v>
      </c>
      <c r="D1423" s="75" t="s">
        <v>2544</v>
      </c>
      <c r="E1423" s="75"/>
      <c r="F1423" s="68" t="str">
        <f t="shared" si="85"/>
        <v>Rukoni East</v>
      </c>
      <c r="G1423" s="68" t="str">
        <f t="shared" si="86"/>
        <v>Ntungamo</v>
      </c>
      <c r="H1423" s="75" t="s">
        <v>2544</v>
      </c>
    </row>
    <row r="1424" spans="1:8">
      <c r="A1424" s="74">
        <v>1276</v>
      </c>
      <c r="B1424" s="75" t="s">
        <v>47</v>
      </c>
      <c r="C1424" s="75" t="s">
        <v>2528</v>
      </c>
      <c r="D1424" s="75" t="s">
        <v>2545</v>
      </c>
      <c r="E1424" s="75"/>
      <c r="F1424" s="68" t="str">
        <f t="shared" si="85"/>
        <v>Rukoni West</v>
      </c>
      <c r="G1424" s="68" t="str">
        <f t="shared" si="86"/>
        <v>Ntungamo</v>
      </c>
      <c r="H1424" s="75" t="s">
        <v>2545</v>
      </c>
    </row>
    <row r="1425" spans="1:8">
      <c r="A1425" s="74">
        <v>94</v>
      </c>
      <c r="B1425" s="75" t="s">
        <v>679</v>
      </c>
      <c r="C1425" s="75" t="s">
        <v>2310</v>
      </c>
      <c r="D1425" s="75" t="s">
        <v>2314</v>
      </c>
      <c r="E1425" s="75"/>
      <c r="F1425" s="68" t="str">
        <f t="shared" si="85"/>
        <v>Rupa</v>
      </c>
      <c r="G1425" s="68" t="str">
        <f t="shared" si="86"/>
        <v>Moroto</v>
      </c>
      <c r="H1425" s="75" t="s">
        <v>2314</v>
      </c>
    </row>
    <row r="1426" spans="1:8">
      <c r="A1426" s="74">
        <v>1441</v>
      </c>
      <c r="B1426" s="75" t="s">
        <v>46</v>
      </c>
      <c r="C1426" s="75" t="s">
        <v>2272</v>
      </c>
      <c r="D1426" s="75" t="s">
        <v>2282</v>
      </c>
      <c r="E1426" s="75"/>
      <c r="F1426" s="68" t="str">
        <f t="shared" si="85"/>
        <v>Rurehe</v>
      </c>
      <c r="G1426" s="68" t="str">
        <f t="shared" si="86"/>
        <v>Mitooma</v>
      </c>
      <c r="H1426" s="75" t="s">
        <v>2282</v>
      </c>
    </row>
    <row r="1427" spans="1:8">
      <c r="A1427" s="74">
        <v>1362</v>
      </c>
      <c r="B1427" s="75" t="s">
        <v>43</v>
      </c>
      <c r="C1427" s="75" t="s">
        <v>43</v>
      </c>
      <c r="D1427" s="75" t="s">
        <v>1072</v>
      </c>
      <c r="E1427" s="75"/>
      <c r="F1427" s="68" t="str">
        <f t="shared" si="85"/>
        <v>Rushango Town Council</v>
      </c>
      <c r="G1427" s="68" t="str">
        <f t="shared" si="86"/>
        <v>Ibanda</v>
      </c>
      <c r="H1427" s="75" t="s">
        <v>1072</v>
      </c>
    </row>
    <row r="1428" spans="1:8">
      <c r="A1428" s="74">
        <v>1371</v>
      </c>
      <c r="B1428" s="75" t="s">
        <v>48</v>
      </c>
      <c r="C1428" s="75" t="s">
        <v>1093</v>
      </c>
      <c r="D1428" s="75" t="s">
        <v>1112</v>
      </c>
      <c r="E1428" s="75"/>
      <c r="F1428" s="68" t="str">
        <f t="shared" si="85"/>
        <v>Rushasha</v>
      </c>
      <c r="G1428" s="68" t="str">
        <f t="shared" si="86"/>
        <v>Isingiro</v>
      </c>
      <c r="H1428" s="75" t="s">
        <v>1112</v>
      </c>
    </row>
    <row r="1429" spans="1:8">
      <c r="A1429" s="74">
        <v>1173</v>
      </c>
      <c r="B1429" s="75" t="s">
        <v>1162</v>
      </c>
      <c r="C1429" s="75" t="s">
        <v>1163</v>
      </c>
      <c r="D1429" s="79" t="s">
        <v>3205</v>
      </c>
      <c r="E1429" s="75"/>
      <c r="F1429" s="68" t="str">
        <f t="shared" ref="F1429:F1430" si="87">D1429&amp;"-"&amp;B1429</f>
        <v>Ruteete-Kabarole</v>
      </c>
      <c r="G1429" s="68" t="str">
        <f t="shared" si="86"/>
        <v>Kabarole</v>
      </c>
      <c r="H1429" s="79" t="s">
        <v>3205</v>
      </c>
    </row>
    <row r="1430" spans="1:8">
      <c r="A1430" s="74">
        <v>1494</v>
      </c>
      <c r="B1430" s="75" t="s">
        <v>1193</v>
      </c>
      <c r="C1430" s="75" t="s">
        <v>1194</v>
      </c>
      <c r="D1430" s="79" t="s">
        <v>3205</v>
      </c>
      <c r="E1430" s="75"/>
      <c r="F1430" s="68" t="str">
        <f t="shared" si="87"/>
        <v>Ruteete-Kagadi</v>
      </c>
      <c r="G1430" s="68" t="str">
        <f t="shared" si="86"/>
        <v>Kagadi</v>
      </c>
      <c r="H1430" s="79" t="s">
        <v>3205</v>
      </c>
    </row>
    <row r="1431" spans="1:8">
      <c r="A1431" s="74">
        <v>1329</v>
      </c>
      <c r="B1431" s="75" t="s">
        <v>1779</v>
      </c>
      <c r="C1431" s="75" t="s">
        <v>1780</v>
      </c>
      <c r="D1431" s="75" t="s">
        <v>1796</v>
      </c>
      <c r="E1431" s="75"/>
      <c r="F1431" s="68" t="str">
        <f t="shared" ref="F1431:F1470" si="88">D1431</f>
        <v>Rutenga</v>
      </c>
      <c r="G1431" s="68" t="str">
        <f t="shared" si="86"/>
        <v>Kanungu</v>
      </c>
      <c r="H1431" s="75" t="s">
        <v>1796</v>
      </c>
    </row>
    <row r="1432" spans="1:8">
      <c r="A1432" s="74">
        <v>1456</v>
      </c>
      <c r="B1432" s="75" t="s">
        <v>2642</v>
      </c>
      <c r="C1432" s="75" t="s">
        <v>49</v>
      </c>
      <c r="D1432" s="75" t="s">
        <v>2653</v>
      </c>
      <c r="E1432" s="75"/>
      <c r="F1432" s="68" t="str">
        <f t="shared" si="88"/>
        <v>Rutoto</v>
      </c>
      <c r="G1432" s="68" t="str">
        <f t="shared" si="86"/>
        <v>Rubirizi</v>
      </c>
      <c r="H1432" s="75" t="s">
        <v>2653</v>
      </c>
    </row>
    <row r="1433" spans="1:8">
      <c r="A1433" s="74">
        <v>1427</v>
      </c>
      <c r="B1433" s="75" t="s">
        <v>2045</v>
      </c>
      <c r="C1433" s="75" t="s">
        <v>2046</v>
      </c>
      <c r="D1433" s="75" t="s">
        <v>2053</v>
      </c>
      <c r="E1433" s="75"/>
      <c r="F1433" s="68" t="str">
        <f t="shared" si="88"/>
        <v>Ruyonza</v>
      </c>
      <c r="G1433" s="68" t="str">
        <f t="shared" si="86"/>
        <v>Kyegegwa</v>
      </c>
      <c r="H1433" s="75" t="s">
        <v>2053</v>
      </c>
    </row>
    <row r="1434" spans="1:8">
      <c r="A1434" s="74">
        <v>1530</v>
      </c>
      <c r="B1434" s="75" t="s">
        <v>2656</v>
      </c>
      <c r="C1434" s="75" t="s">
        <v>2656</v>
      </c>
      <c r="D1434" s="75" t="s">
        <v>3206</v>
      </c>
      <c r="E1434" s="75"/>
      <c r="F1434" s="68" t="str">
        <f t="shared" si="88"/>
        <v>Rwamucucu</v>
      </c>
      <c r="G1434" s="68" t="str">
        <f t="shared" si="86"/>
        <v>Rukiga</v>
      </c>
      <c r="H1434" s="75" t="s">
        <v>3206</v>
      </c>
    </row>
    <row r="1435" spans="1:8">
      <c r="A1435" s="74">
        <v>1306</v>
      </c>
      <c r="B1435" s="75" t="s">
        <v>45</v>
      </c>
      <c r="C1435" s="75" t="s">
        <v>989</v>
      </c>
      <c r="D1435" s="75" t="s">
        <v>1777</v>
      </c>
      <c r="E1435" s="75"/>
      <c r="F1435" s="68" t="str">
        <f t="shared" si="88"/>
        <v>Rwamwanja Refugee Camp</v>
      </c>
      <c r="G1435" s="68" t="str">
        <f t="shared" si="86"/>
        <v>Kamwenge</v>
      </c>
      <c r="H1435" s="75" t="s">
        <v>1777</v>
      </c>
    </row>
    <row r="1436" spans="1:8">
      <c r="A1436" s="74">
        <v>1250</v>
      </c>
      <c r="B1436" s="75" t="s">
        <v>2251</v>
      </c>
      <c r="C1436" s="75" t="s">
        <v>2252</v>
      </c>
      <c r="D1436" s="75" t="s">
        <v>2270</v>
      </c>
      <c r="E1436" s="75"/>
      <c r="F1436" s="68" t="str">
        <f t="shared" si="88"/>
        <v>Rwanyamahembe</v>
      </c>
      <c r="G1436" s="68" t="str">
        <f t="shared" si="86"/>
        <v>Mbarara</v>
      </c>
      <c r="H1436" s="75" t="s">
        <v>2270</v>
      </c>
    </row>
    <row r="1437" spans="1:8">
      <c r="A1437" s="74">
        <v>1265</v>
      </c>
      <c r="B1437" s="75" t="s">
        <v>47</v>
      </c>
      <c r="C1437" s="75" t="s">
        <v>2525</v>
      </c>
      <c r="D1437" s="75" t="s">
        <v>2546</v>
      </c>
      <c r="E1437" s="75"/>
      <c r="F1437" s="68" t="str">
        <f t="shared" si="88"/>
        <v>Rwashamaire Town Council</v>
      </c>
      <c r="G1437" s="68" t="str">
        <f t="shared" si="86"/>
        <v>Ntungamo</v>
      </c>
      <c r="H1437" s="75" t="s">
        <v>2546</v>
      </c>
    </row>
    <row r="1438" spans="1:8">
      <c r="A1438" s="74">
        <v>1450</v>
      </c>
      <c r="B1438" s="75" t="s">
        <v>2514</v>
      </c>
      <c r="C1438" s="75" t="s">
        <v>2514</v>
      </c>
      <c r="D1438" s="75" t="s">
        <v>2522</v>
      </c>
      <c r="E1438" s="75"/>
      <c r="F1438" s="68" t="str">
        <f t="shared" si="88"/>
        <v>Rwebisengo</v>
      </c>
      <c r="G1438" s="68" t="str">
        <f t="shared" si="86"/>
        <v>Ntoroko</v>
      </c>
      <c r="H1438" s="75" t="s">
        <v>2522</v>
      </c>
    </row>
    <row r="1439" spans="1:8">
      <c r="A1439" s="74">
        <v>1451</v>
      </c>
      <c r="B1439" s="75" t="s">
        <v>2514</v>
      </c>
      <c r="C1439" s="75" t="s">
        <v>2514</v>
      </c>
      <c r="D1439" s="75" t="s">
        <v>2523</v>
      </c>
      <c r="E1439" s="75"/>
      <c r="F1439" s="68" t="str">
        <f t="shared" si="88"/>
        <v>Rwebisengo Town Council</v>
      </c>
      <c r="G1439" s="68" t="str">
        <f t="shared" si="86"/>
        <v>Ntoroko</v>
      </c>
      <c r="H1439" s="75" t="s">
        <v>2523</v>
      </c>
    </row>
    <row r="1440" spans="1:8">
      <c r="A1440" s="74">
        <v>1277</v>
      </c>
      <c r="B1440" s="75" t="s">
        <v>47</v>
      </c>
      <c r="C1440" s="75" t="s">
        <v>2528</v>
      </c>
      <c r="D1440" s="75" t="s">
        <v>2547</v>
      </c>
      <c r="E1440" s="75"/>
      <c r="F1440" s="68" t="str">
        <f t="shared" si="88"/>
        <v>Rweikiniro</v>
      </c>
      <c r="G1440" s="68" t="str">
        <f t="shared" si="86"/>
        <v>Ntungamo</v>
      </c>
      <c r="H1440" s="75" t="s">
        <v>2547</v>
      </c>
    </row>
    <row r="1441" spans="1:8">
      <c r="A1441" s="74">
        <v>1394</v>
      </c>
      <c r="B1441" s="75" t="s">
        <v>1905</v>
      </c>
      <c r="C1441" s="75" t="s">
        <v>1906</v>
      </c>
      <c r="D1441" s="75" t="s">
        <v>1924</v>
      </c>
      <c r="E1441" s="75"/>
      <c r="F1441" s="68" t="str">
        <f t="shared" si="88"/>
        <v>Rwemikoma</v>
      </c>
      <c r="G1441" s="68" t="str">
        <f t="shared" si="86"/>
        <v>Kiruhura</v>
      </c>
      <c r="H1441" s="75" t="s">
        <v>1924</v>
      </c>
    </row>
    <row r="1442" spans="1:8">
      <c r="A1442" s="74">
        <v>1412</v>
      </c>
      <c r="B1442" s="75" t="s">
        <v>819</v>
      </c>
      <c r="C1442" s="75" t="s">
        <v>819</v>
      </c>
      <c r="D1442" s="75" t="s">
        <v>827</v>
      </c>
      <c r="E1442" s="75"/>
      <c r="F1442" s="68" t="str">
        <f t="shared" si="88"/>
        <v>Rwengwe</v>
      </c>
      <c r="G1442" s="68" t="str">
        <f t="shared" si="86"/>
        <v>Buhweju</v>
      </c>
      <c r="H1442" s="75" t="s">
        <v>827</v>
      </c>
    </row>
    <row r="1443" spans="1:8">
      <c r="A1443" s="74">
        <v>1428</v>
      </c>
      <c r="B1443" s="75" t="s">
        <v>2045</v>
      </c>
      <c r="C1443" s="75" t="s">
        <v>2046</v>
      </c>
      <c r="D1443" s="75" t="s">
        <v>2054</v>
      </c>
      <c r="E1443" s="75"/>
      <c r="F1443" s="68" t="str">
        <f t="shared" si="88"/>
        <v>Rwentuha</v>
      </c>
      <c r="G1443" s="68" t="str">
        <f t="shared" si="86"/>
        <v>Kyegegwa</v>
      </c>
      <c r="H1443" s="75" t="s">
        <v>2054</v>
      </c>
    </row>
    <row r="1444" spans="1:8">
      <c r="A1444" s="74">
        <v>1522</v>
      </c>
      <c r="B1444" s="75" t="s">
        <v>920</v>
      </c>
      <c r="C1444" s="75" t="s">
        <v>920</v>
      </c>
      <c r="D1444" s="75" t="s">
        <v>929</v>
      </c>
      <c r="E1444" s="75"/>
      <c r="F1444" s="68" t="str">
        <f t="shared" si="88"/>
        <v>Rwimi</v>
      </c>
      <c r="G1444" s="68" t="str">
        <f t="shared" si="86"/>
        <v>Bunyangabu</v>
      </c>
      <c r="H1444" s="75" t="s">
        <v>929</v>
      </c>
    </row>
    <row r="1445" spans="1:8">
      <c r="A1445" s="74">
        <v>1523</v>
      </c>
      <c r="B1445" s="75" t="s">
        <v>920</v>
      </c>
      <c r="C1445" s="75" t="s">
        <v>920</v>
      </c>
      <c r="D1445" s="75" t="s">
        <v>930</v>
      </c>
      <c r="E1445" s="75"/>
      <c r="F1445" s="68" t="str">
        <f t="shared" si="88"/>
        <v>Rwimi Town Council</v>
      </c>
      <c r="G1445" s="68" t="str">
        <f t="shared" si="86"/>
        <v>Bunyangabu</v>
      </c>
      <c r="H1445" s="75" t="s">
        <v>930</v>
      </c>
    </row>
    <row r="1446" spans="1:8">
      <c r="A1446" s="74">
        <v>1161</v>
      </c>
      <c r="B1446" s="75" t="s">
        <v>1148</v>
      </c>
      <c r="C1446" s="75" t="s">
        <v>1149</v>
      </c>
      <c r="D1446" s="75" t="s">
        <v>1160</v>
      </c>
      <c r="E1446" s="75"/>
      <c r="F1446" s="68" t="str">
        <f t="shared" si="88"/>
        <v>Ryakirimira Town Council</v>
      </c>
      <c r="G1446" s="68" t="str">
        <f t="shared" si="86"/>
        <v>Kabale</v>
      </c>
      <c r="H1446" s="75" t="s">
        <v>1160</v>
      </c>
    </row>
    <row r="1447" spans="1:8">
      <c r="A1447" s="74">
        <v>1457</v>
      </c>
      <c r="B1447" s="75" t="s">
        <v>2642</v>
      </c>
      <c r="C1447" s="75" t="s">
        <v>49</v>
      </c>
      <c r="D1447" s="75" t="s">
        <v>2654</v>
      </c>
      <c r="E1447" s="75"/>
      <c r="F1447" s="68" t="str">
        <f t="shared" si="88"/>
        <v>Ryeru</v>
      </c>
      <c r="G1447" s="68" t="str">
        <f t="shared" si="86"/>
        <v>Rubirizi</v>
      </c>
      <c r="H1447" s="75" t="s">
        <v>2654</v>
      </c>
    </row>
    <row r="1448" spans="1:8">
      <c r="A1448" s="74">
        <v>1403</v>
      </c>
      <c r="B1448" s="75" t="s">
        <v>1905</v>
      </c>
      <c r="C1448" s="75" t="s">
        <v>1911</v>
      </c>
      <c r="D1448" s="75" t="s">
        <v>1925</v>
      </c>
      <c r="E1448" s="75"/>
      <c r="F1448" s="68" t="str">
        <f t="shared" si="88"/>
        <v>Sanga</v>
      </c>
      <c r="G1448" s="68" t="str">
        <f t="shared" si="86"/>
        <v>Kiruhura</v>
      </c>
      <c r="H1448" s="75" t="s">
        <v>1925</v>
      </c>
    </row>
    <row r="1449" spans="1:8">
      <c r="A1449" s="74">
        <v>1404</v>
      </c>
      <c r="B1449" s="75" t="s">
        <v>1905</v>
      </c>
      <c r="C1449" s="75" t="s">
        <v>1911</v>
      </c>
      <c r="D1449" s="75" t="s">
        <v>1926</v>
      </c>
      <c r="E1449" s="75"/>
      <c r="F1449" s="68" t="str">
        <f t="shared" si="88"/>
        <v>Sanga Town Council</v>
      </c>
      <c r="G1449" s="68" t="str">
        <f t="shared" si="86"/>
        <v>Kiruhura</v>
      </c>
      <c r="H1449" s="75" t="s">
        <v>1926</v>
      </c>
    </row>
    <row r="1450" spans="1:8">
      <c r="A1450" s="74">
        <v>492</v>
      </c>
      <c r="B1450" s="75" t="s">
        <v>2369</v>
      </c>
      <c r="C1450" s="75" t="s">
        <v>2370</v>
      </c>
      <c r="D1450" s="75" t="s">
        <v>2405</v>
      </c>
      <c r="E1450" s="75"/>
      <c r="F1450" s="68" t="str">
        <f t="shared" si="88"/>
        <v>Seeta Namuganga</v>
      </c>
      <c r="G1450" s="68" t="str">
        <f t="shared" si="86"/>
        <v>Mukono</v>
      </c>
      <c r="H1450" s="75" t="s">
        <v>2405</v>
      </c>
    </row>
    <row r="1451" spans="1:8">
      <c r="A1451" s="74">
        <v>522</v>
      </c>
      <c r="B1451" s="75" t="s">
        <v>2738</v>
      </c>
      <c r="C1451" s="75" t="s">
        <v>2739</v>
      </c>
      <c r="D1451" s="75" t="s">
        <v>2746</v>
      </c>
      <c r="E1451" s="75"/>
      <c r="F1451" s="68" t="str">
        <f t="shared" si="88"/>
        <v>Sembabule Town Council</v>
      </c>
      <c r="G1451" s="68" t="str">
        <f t="shared" si="86"/>
        <v>Ssembabule</v>
      </c>
      <c r="H1451" s="75" t="s">
        <v>2746</v>
      </c>
    </row>
    <row r="1452" spans="1:8">
      <c r="A1452" s="74">
        <v>591</v>
      </c>
      <c r="B1452" s="75" t="s">
        <v>2418</v>
      </c>
      <c r="C1452" s="75" t="s">
        <v>2418</v>
      </c>
      <c r="D1452" s="75" t="s">
        <v>2431</v>
      </c>
      <c r="E1452" s="75"/>
      <c r="F1452" s="68" t="str">
        <f t="shared" si="88"/>
        <v>Semuto</v>
      </c>
      <c r="G1452" s="68" t="str">
        <f t="shared" si="86"/>
        <v>Nakaseke</v>
      </c>
      <c r="H1452" s="75" t="s">
        <v>2431</v>
      </c>
    </row>
    <row r="1453" spans="1:8">
      <c r="A1453" s="74">
        <v>592</v>
      </c>
      <c r="B1453" s="75" t="s">
        <v>2418</v>
      </c>
      <c r="C1453" s="75" t="s">
        <v>2418</v>
      </c>
      <c r="D1453" s="75" t="s">
        <v>2434</v>
      </c>
      <c r="E1453" s="75"/>
      <c r="F1453" s="68" t="str">
        <f t="shared" si="88"/>
        <v>Semuto Town Council</v>
      </c>
      <c r="G1453" s="68" t="str">
        <f t="shared" si="86"/>
        <v>Nakaseke</v>
      </c>
      <c r="H1453" s="75" t="s">
        <v>2434</v>
      </c>
    </row>
    <row r="1454" spans="1:8">
      <c r="A1454" s="74">
        <v>946</v>
      </c>
      <c r="B1454" s="75" t="s">
        <v>856</v>
      </c>
      <c r="C1454" s="75" t="s">
        <v>857</v>
      </c>
      <c r="D1454" s="75" t="s">
        <v>866</v>
      </c>
      <c r="E1454" s="75"/>
      <c r="F1454" s="68" t="str">
        <f t="shared" si="88"/>
        <v>Senendet</v>
      </c>
      <c r="G1454" s="68" t="str">
        <f t="shared" si="86"/>
        <v>Bukwo</v>
      </c>
      <c r="H1454" s="75" t="s">
        <v>866</v>
      </c>
    </row>
    <row r="1455" spans="1:8">
      <c r="A1455" s="74">
        <v>1077</v>
      </c>
      <c r="B1455" s="75" t="s">
        <v>2675</v>
      </c>
      <c r="C1455" s="75" t="s">
        <v>2675</v>
      </c>
      <c r="D1455" s="75" t="s">
        <v>2685</v>
      </c>
      <c r="E1455" s="75"/>
      <c r="F1455" s="68" t="str">
        <f t="shared" si="88"/>
        <v>Serere Town Council</v>
      </c>
      <c r="G1455" s="68" t="str">
        <f t="shared" si="86"/>
        <v>Serere</v>
      </c>
      <c r="H1455" s="75" t="s">
        <v>2685</v>
      </c>
    </row>
    <row r="1456" spans="1:8" ht="25.5">
      <c r="A1456" s="74">
        <v>1476</v>
      </c>
      <c r="B1456" s="77" t="s">
        <v>41</v>
      </c>
      <c r="C1456" s="78" t="s">
        <v>2688</v>
      </c>
      <c r="D1456" s="77" t="s">
        <v>3207</v>
      </c>
      <c r="E1456" s="77"/>
      <c r="F1456" s="69" t="str">
        <f>VLOOKUP(C1456,[2]Municipalities!$C$9:$F$1522,4,FALSE)</f>
        <v>Sheema Municipality</v>
      </c>
      <c r="G1456" s="68" t="str">
        <f t="shared" si="86"/>
        <v>Sheema</v>
      </c>
      <c r="H1456" s="77" t="s">
        <v>3207</v>
      </c>
    </row>
    <row r="1457" spans="1:8">
      <c r="A1457" s="74">
        <v>1470</v>
      </c>
      <c r="B1457" s="75" t="s">
        <v>41</v>
      </c>
      <c r="C1457" s="75" t="s">
        <v>41</v>
      </c>
      <c r="D1457" s="75" t="s">
        <v>2703</v>
      </c>
      <c r="E1457" s="75"/>
      <c r="F1457" s="68" t="str">
        <f t="shared" si="88"/>
        <v>Shuuku</v>
      </c>
      <c r="G1457" s="68" t="str">
        <f t="shared" si="86"/>
        <v>Sheema</v>
      </c>
      <c r="H1457" s="75" t="s">
        <v>2703</v>
      </c>
    </row>
    <row r="1458" spans="1:8">
      <c r="A1458" s="74">
        <v>1471</v>
      </c>
      <c r="B1458" s="75" t="s">
        <v>41</v>
      </c>
      <c r="C1458" s="75" t="s">
        <v>41</v>
      </c>
      <c r="D1458" s="75" t="s">
        <v>2704</v>
      </c>
      <c r="E1458" s="75"/>
      <c r="F1458" s="68" t="str">
        <f t="shared" si="88"/>
        <v>Shuuku Town Council</v>
      </c>
      <c r="G1458" s="68" t="str">
        <f t="shared" si="86"/>
        <v>Sheema</v>
      </c>
      <c r="H1458" s="75" t="s">
        <v>2704</v>
      </c>
    </row>
    <row r="1459" spans="1:8">
      <c r="A1459" s="74">
        <v>985</v>
      </c>
      <c r="B1459" s="75" t="s">
        <v>2158</v>
      </c>
      <c r="C1459" s="75" t="s">
        <v>2159</v>
      </c>
      <c r="D1459" s="75" t="s">
        <v>2173</v>
      </c>
      <c r="E1459" s="75"/>
      <c r="F1459" s="68" t="str">
        <f t="shared" si="88"/>
        <v>Sibanga</v>
      </c>
      <c r="G1459" s="68" t="str">
        <f t="shared" si="86"/>
        <v>Manafwa</v>
      </c>
      <c r="H1459" s="75" t="s">
        <v>2173</v>
      </c>
    </row>
    <row r="1460" spans="1:8">
      <c r="A1460" s="74">
        <v>197</v>
      </c>
      <c r="B1460" s="75" t="s">
        <v>1132</v>
      </c>
      <c r="C1460" s="75" t="s">
        <v>1133</v>
      </c>
      <c r="D1460" s="75" t="s">
        <v>1146</v>
      </c>
      <c r="E1460" s="75"/>
      <c r="F1460" s="68" t="str">
        <f t="shared" si="88"/>
        <v>Sidok</v>
      </c>
      <c r="G1460" s="68" t="str">
        <f t="shared" si="86"/>
        <v>Kaabong</v>
      </c>
      <c r="H1460" s="75" t="s">
        <v>1146</v>
      </c>
    </row>
    <row r="1461" spans="1:8">
      <c r="A1461" s="74">
        <v>1062</v>
      </c>
      <c r="B1461" s="75" t="s">
        <v>2450</v>
      </c>
      <c r="C1461" s="75" t="s">
        <v>2451</v>
      </c>
      <c r="D1461" s="75" t="s">
        <v>2460</v>
      </c>
      <c r="E1461" s="75"/>
      <c r="F1461" s="68" t="str">
        <f t="shared" si="88"/>
        <v>Sigulu Island</v>
      </c>
      <c r="G1461" s="68" t="str">
        <f t="shared" si="86"/>
        <v>Namayingo</v>
      </c>
      <c r="H1461" s="75" t="s">
        <v>2460</v>
      </c>
    </row>
    <row r="1462" spans="1:8">
      <c r="A1462" s="74">
        <v>696</v>
      </c>
      <c r="B1462" s="75" t="s">
        <v>947</v>
      </c>
      <c r="C1462" s="75" t="s">
        <v>948</v>
      </c>
      <c r="D1462" s="75" t="s">
        <v>963</v>
      </c>
      <c r="E1462" s="75"/>
      <c r="F1462" s="68" t="str">
        <f t="shared" si="88"/>
        <v>Sikuda</v>
      </c>
      <c r="G1462" s="68" t="str">
        <f t="shared" si="86"/>
        <v>Busia</v>
      </c>
      <c r="H1462" s="75" t="s">
        <v>963</v>
      </c>
    </row>
    <row r="1463" spans="1:8">
      <c r="A1463" s="74">
        <v>1004</v>
      </c>
      <c r="B1463" s="75" t="s">
        <v>870</v>
      </c>
      <c r="C1463" s="75" t="s">
        <v>870</v>
      </c>
      <c r="D1463" s="75" t="s">
        <v>887</v>
      </c>
      <c r="E1463" s="75"/>
      <c r="F1463" s="68" t="str">
        <f t="shared" si="88"/>
        <v>Simu</v>
      </c>
      <c r="G1463" s="68" t="str">
        <f t="shared" si="86"/>
        <v>Bulambuli</v>
      </c>
      <c r="H1463" s="75" t="s">
        <v>887</v>
      </c>
    </row>
    <row r="1464" spans="1:8">
      <c r="A1464" s="74">
        <v>1107</v>
      </c>
      <c r="B1464" s="75" t="s">
        <v>897</v>
      </c>
      <c r="C1464" s="75" t="s">
        <v>901</v>
      </c>
      <c r="D1464" s="75" t="s">
        <v>917</v>
      </c>
      <c r="E1464" s="75"/>
      <c r="F1464" s="68" t="str">
        <f t="shared" si="88"/>
        <v>Sindila</v>
      </c>
      <c r="G1464" s="68" t="str">
        <f t="shared" si="86"/>
        <v>Bundibugyo</v>
      </c>
      <c r="H1464" s="75" t="s">
        <v>917</v>
      </c>
    </row>
    <row r="1465" spans="1:8">
      <c r="A1465" s="74">
        <v>749</v>
      </c>
      <c r="B1465" s="75" t="s">
        <v>1798</v>
      </c>
      <c r="C1465" s="75" t="s">
        <v>1799</v>
      </c>
      <c r="D1465" s="75" t="s">
        <v>1810</v>
      </c>
      <c r="E1465" s="75"/>
      <c r="F1465" s="68" t="str">
        <f t="shared" si="88"/>
        <v>Sipi</v>
      </c>
      <c r="G1465" s="68" t="str">
        <f t="shared" si="86"/>
        <v>Kapchorwa</v>
      </c>
      <c r="H1465" s="75" t="s">
        <v>1810</v>
      </c>
    </row>
    <row r="1466" spans="1:8">
      <c r="A1466" s="74">
        <v>884</v>
      </c>
      <c r="B1466" s="75" t="s">
        <v>2706</v>
      </c>
      <c r="C1466" s="75" t="s">
        <v>2707</v>
      </c>
      <c r="D1466" s="75" t="s">
        <v>2726</v>
      </c>
      <c r="E1466" s="75"/>
      <c r="F1466" s="68" t="str">
        <f t="shared" si="88"/>
        <v>Sironko Town Council</v>
      </c>
      <c r="G1466" s="68" t="str">
        <f t="shared" si="86"/>
        <v>Sironko</v>
      </c>
      <c r="H1466" s="75" t="s">
        <v>2726</v>
      </c>
    </row>
    <row r="1467" spans="1:8">
      <c r="A1467" s="74">
        <v>1016</v>
      </c>
      <c r="B1467" s="75" t="s">
        <v>870</v>
      </c>
      <c r="C1467" s="75" t="s">
        <v>870</v>
      </c>
      <c r="D1467" s="75" t="s">
        <v>888</v>
      </c>
      <c r="E1467" s="75"/>
      <c r="F1467" s="68" t="str">
        <f t="shared" si="88"/>
        <v>Sisiyi</v>
      </c>
      <c r="G1467" s="68" t="str">
        <f t="shared" si="86"/>
        <v>Bulambuli</v>
      </c>
      <c r="H1467" s="75" t="s">
        <v>888</v>
      </c>
    </row>
    <row r="1468" spans="1:8">
      <c r="A1468" s="74">
        <v>986</v>
      </c>
      <c r="B1468" s="75" t="s">
        <v>2158</v>
      </c>
      <c r="C1468" s="75" t="s">
        <v>2159</v>
      </c>
      <c r="D1468" s="75" t="s">
        <v>2174</v>
      </c>
      <c r="E1468" s="75"/>
      <c r="F1468" s="68" t="str">
        <f t="shared" si="88"/>
        <v>Sisuni</v>
      </c>
      <c r="G1468" s="68" t="str">
        <f t="shared" si="86"/>
        <v>Manafwa</v>
      </c>
      <c r="H1468" s="75" t="s">
        <v>2174</v>
      </c>
    </row>
    <row r="1469" spans="1:8">
      <c r="A1469" s="74">
        <v>838</v>
      </c>
      <c r="B1469" s="75" t="s">
        <v>2751</v>
      </c>
      <c r="C1469" s="75" t="s">
        <v>2752</v>
      </c>
      <c r="D1469" s="75" t="s">
        <v>2770</v>
      </c>
      <c r="E1469" s="75"/>
      <c r="F1469" s="68" t="str">
        <f t="shared" si="88"/>
        <v>Sop-Sop</v>
      </c>
      <c r="G1469" s="68" t="str">
        <f t="shared" si="86"/>
        <v>Tororo</v>
      </c>
      <c r="H1469" s="75" t="s">
        <v>2770</v>
      </c>
    </row>
    <row r="1470" spans="1:8">
      <c r="A1470" s="74">
        <v>812</v>
      </c>
      <c r="B1470" s="75" t="s">
        <v>2729</v>
      </c>
      <c r="C1470" s="75" t="s">
        <v>2729</v>
      </c>
      <c r="D1470" s="75" t="s">
        <v>2729</v>
      </c>
      <c r="E1470" s="75"/>
      <c r="F1470" s="68" t="str">
        <f t="shared" si="88"/>
        <v>Soroti</v>
      </c>
      <c r="G1470" s="68" t="str">
        <f t="shared" si="86"/>
        <v>Soroti</v>
      </c>
      <c r="H1470" s="75" t="s">
        <v>2729</v>
      </c>
    </row>
    <row r="1471" spans="1:8" ht="25.5">
      <c r="A1471" s="74">
        <v>1234</v>
      </c>
      <c r="B1471" s="75" t="s">
        <v>1940</v>
      </c>
      <c r="C1471" s="76" t="s">
        <v>1946</v>
      </c>
      <c r="D1471" s="75" t="s">
        <v>3208</v>
      </c>
      <c r="E1471" s="75"/>
      <c r="F1471" s="69" t="str">
        <f>VLOOKUP(C1471,[2]Municipalities!$C$9:$F$1522,4,FALSE)</f>
        <v>Kisoro Municipality</v>
      </c>
      <c r="G1471" s="68" t="str">
        <f t="shared" si="86"/>
        <v>Kisoro</v>
      </c>
      <c r="H1471" s="75" t="s">
        <v>3208</v>
      </c>
    </row>
    <row r="1472" spans="1:8" ht="25.5">
      <c r="A1472" s="74">
        <v>205</v>
      </c>
      <c r="B1472" s="75" t="s">
        <v>1969</v>
      </c>
      <c r="C1472" s="76" t="s">
        <v>1971</v>
      </c>
      <c r="D1472" s="79" t="s">
        <v>3209</v>
      </c>
      <c r="E1472" s="75"/>
      <c r="F1472" s="69" t="str">
        <f>VLOOKUP(C1472,[2]Municipalities!$C$9:$F$1522,4,FALSE)</f>
        <v>Koboko Municipality</v>
      </c>
      <c r="G1472" s="68" t="str">
        <f t="shared" si="86"/>
        <v>Koboko</v>
      </c>
      <c r="H1472" s="79" t="s">
        <v>3209</v>
      </c>
    </row>
    <row r="1473" spans="1:8" ht="25.5">
      <c r="A1473" s="74">
        <v>477</v>
      </c>
      <c r="B1473" s="75" t="s">
        <v>2342</v>
      </c>
      <c r="C1473" s="76" t="s">
        <v>2361</v>
      </c>
      <c r="D1473" s="79" t="s">
        <v>3209</v>
      </c>
      <c r="E1473" s="75"/>
      <c r="F1473" s="69" t="str">
        <f>VLOOKUP(C1473,[2]Municipalities!$C$9:$F$1522,4,FALSE)</f>
        <v>Mubende Municipality</v>
      </c>
      <c r="G1473" s="68" t="str">
        <f t="shared" si="86"/>
        <v>Mubende</v>
      </c>
      <c r="H1473" s="79" t="s">
        <v>3209</v>
      </c>
    </row>
    <row r="1474" spans="1:8" ht="25.5">
      <c r="A1474" s="74">
        <v>738</v>
      </c>
      <c r="B1474" s="75" t="s">
        <v>1744</v>
      </c>
      <c r="C1474" s="76" t="s">
        <v>1750</v>
      </c>
      <c r="D1474" s="79" t="s">
        <v>3209</v>
      </c>
      <c r="E1474" s="75"/>
      <c r="F1474" s="69" t="str">
        <f>VLOOKUP(C1474,[2]Municipalities!$C$9:$F$1522,4,FALSE)</f>
        <v>Kamuli Municipality</v>
      </c>
      <c r="G1474" s="68" t="str">
        <f t="shared" si="86"/>
        <v>Kamuli</v>
      </c>
      <c r="H1474" s="79" t="s">
        <v>3209</v>
      </c>
    </row>
    <row r="1475" spans="1:8">
      <c r="A1475" s="74">
        <v>770</v>
      </c>
      <c r="B1475" s="75" t="s">
        <v>1992</v>
      </c>
      <c r="C1475" s="76" t="s">
        <v>1994</v>
      </c>
      <c r="D1475" s="79" t="s">
        <v>3209</v>
      </c>
      <c r="E1475" s="75"/>
      <c r="F1475" s="69" t="str">
        <f>VLOOKUP(C1475,[2]Municipalities!$C$9:$F$1522,4,FALSE)</f>
        <v>Kumi Municipality</v>
      </c>
      <c r="G1475" s="68" t="str">
        <f t="shared" si="86"/>
        <v>Kumi</v>
      </c>
      <c r="H1475" s="79" t="s">
        <v>3209</v>
      </c>
    </row>
    <row r="1476" spans="1:8" ht="25.5">
      <c r="A1476" s="74">
        <v>1151</v>
      </c>
      <c r="B1476" s="75" t="s">
        <v>1148</v>
      </c>
      <c r="C1476" s="76" t="s">
        <v>1151</v>
      </c>
      <c r="D1476" s="79" t="s">
        <v>3209</v>
      </c>
      <c r="E1476" s="75"/>
      <c r="F1476" s="69" t="str">
        <f>VLOOKUP(C1476,[2]Municipalities!$C$9:$F$1522,4,FALSE)</f>
        <v>Kabale Municipality</v>
      </c>
      <c r="G1476" s="68" t="str">
        <f t="shared" si="86"/>
        <v>Kabale</v>
      </c>
      <c r="H1476" s="79" t="s">
        <v>3209</v>
      </c>
    </row>
    <row r="1477" spans="1:8" ht="25.5">
      <c r="A1477" s="74">
        <v>1176</v>
      </c>
      <c r="B1477" s="75" t="s">
        <v>1162</v>
      </c>
      <c r="C1477" s="76" t="s">
        <v>1165</v>
      </c>
      <c r="D1477" s="79" t="s">
        <v>3209</v>
      </c>
      <c r="E1477" s="75"/>
      <c r="F1477" s="69" t="str">
        <f>VLOOKUP(C1477,[2]Municipalities!$C$9:$F$1522,4,FALSE)</f>
        <v>Fort Portal Municipality</v>
      </c>
      <c r="G1477" s="68" t="str">
        <f t="shared" si="86"/>
        <v>Kabarole</v>
      </c>
      <c r="H1477" s="79" t="s">
        <v>3209</v>
      </c>
    </row>
    <row r="1478" spans="1:8" ht="25.5">
      <c r="A1478" s="74">
        <v>1295</v>
      </c>
      <c r="B1478" s="75" t="s">
        <v>40</v>
      </c>
      <c r="C1478" s="76" t="s">
        <v>2673</v>
      </c>
      <c r="D1478" s="79" t="s">
        <v>3209</v>
      </c>
      <c r="E1478" s="75"/>
      <c r="F1478" s="69" t="str">
        <f>VLOOKUP(C1478,[2]Municipalities!$C$9:$F$1522,4,FALSE)</f>
        <v>Rukungiri Municipality</v>
      </c>
      <c r="G1478" s="68" t="str">
        <f t="shared" si="86"/>
        <v>Rukungiri</v>
      </c>
      <c r="H1478" s="79" t="s">
        <v>3209</v>
      </c>
    </row>
    <row r="1479" spans="1:8" ht="25.5">
      <c r="A1479" s="74">
        <v>97</v>
      </c>
      <c r="B1479" s="75" t="s">
        <v>679</v>
      </c>
      <c r="C1479" s="76" t="s">
        <v>2311</v>
      </c>
      <c r="D1479" s="79" t="s">
        <v>3210</v>
      </c>
      <c r="E1479" s="75"/>
      <c r="F1479" s="69" t="str">
        <f>VLOOKUP(C1479,[2]Municipalities!$C$9:$F$1522,4,FALSE)</f>
        <v>Moroto Municipality</v>
      </c>
      <c r="G1479" s="68" t="str">
        <f t="shared" si="86"/>
        <v>Moroto</v>
      </c>
      <c r="H1479" s="79" t="s">
        <v>3210</v>
      </c>
    </row>
    <row r="1480" spans="1:8">
      <c r="A1480" s="74">
        <v>574</v>
      </c>
      <c r="B1480" s="75" t="s">
        <v>2284</v>
      </c>
      <c r="C1480" s="75" t="s">
        <v>2284</v>
      </c>
      <c r="D1480" s="75" t="s">
        <v>2308</v>
      </c>
      <c r="E1480" s="75"/>
      <c r="F1480" s="68" t="str">
        <f t="shared" ref="F1480:F1484" si="89">D1480</f>
        <v>Ssekanyonyi</v>
      </c>
      <c r="G1480" s="68" t="str">
        <f t="shared" si="86"/>
        <v>Mityana</v>
      </c>
      <c r="H1480" s="75" t="s">
        <v>2308</v>
      </c>
    </row>
    <row r="1481" spans="1:8">
      <c r="A1481" s="74">
        <v>599</v>
      </c>
      <c r="B1481" s="75" t="s">
        <v>828</v>
      </c>
      <c r="C1481" s="75" t="s">
        <v>828</v>
      </c>
      <c r="D1481" s="75" t="s">
        <v>843</v>
      </c>
      <c r="E1481" s="75"/>
      <c r="F1481" s="68" t="str">
        <f t="shared" si="89"/>
        <v>Ssi-Bukunja</v>
      </c>
      <c r="G1481" s="68" t="str">
        <f t="shared" si="86"/>
        <v>Buikwe</v>
      </c>
      <c r="H1481" s="75" t="s">
        <v>843</v>
      </c>
    </row>
    <row r="1482" spans="1:8">
      <c r="A1482" s="74">
        <v>947</v>
      </c>
      <c r="B1482" s="75" t="s">
        <v>856</v>
      </c>
      <c r="C1482" s="75" t="s">
        <v>857</v>
      </c>
      <c r="D1482" s="75" t="s">
        <v>867</v>
      </c>
      <c r="E1482" s="75"/>
      <c r="F1482" s="68" t="str">
        <f t="shared" si="89"/>
        <v>Suam</v>
      </c>
      <c r="G1482" s="68" t="str">
        <f t="shared" ref="G1482:G1532" si="90">B1482</f>
        <v>Bukwo</v>
      </c>
      <c r="H1482" s="75" t="s">
        <v>867</v>
      </c>
    </row>
    <row r="1483" spans="1:8">
      <c r="A1483" s="74">
        <v>95</v>
      </c>
      <c r="B1483" s="75" t="s">
        <v>679</v>
      </c>
      <c r="C1483" s="75" t="s">
        <v>2310</v>
      </c>
      <c r="D1483" s="75" t="s">
        <v>2315</v>
      </c>
      <c r="E1483" s="75"/>
      <c r="F1483" s="68" t="str">
        <f t="shared" si="89"/>
        <v>Tapac</v>
      </c>
      <c r="G1483" s="68" t="str">
        <f t="shared" si="90"/>
        <v>Moroto</v>
      </c>
      <c r="H1483" s="75" t="s">
        <v>2315</v>
      </c>
    </row>
    <row r="1484" spans="1:8">
      <c r="A1484" s="74">
        <v>213</v>
      </c>
      <c r="B1484" s="75" t="s">
        <v>2177</v>
      </c>
      <c r="C1484" s="75" t="s">
        <v>2177</v>
      </c>
      <c r="D1484" s="75" t="s">
        <v>2183</v>
      </c>
      <c r="E1484" s="75"/>
      <c r="F1484" s="68" t="str">
        <f t="shared" si="89"/>
        <v>Tara</v>
      </c>
      <c r="G1484" s="68" t="str">
        <f t="shared" si="90"/>
        <v>Maracha</v>
      </c>
      <c r="H1484" s="75" t="s">
        <v>2183</v>
      </c>
    </row>
    <row r="1485" spans="1:8" ht="25.5">
      <c r="A1485" s="74">
        <v>109</v>
      </c>
      <c r="B1485" s="75" t="s">
        <v>2499</v>
      </c>
      <c r="C1485" s="76" t="s">
        <v>2505</v>
      </c>
      <c r="D1485" s="75" t="s">
        <v>3211</v>
      </c>
      <c r="E1485" s="75"/>
      <c r="F1485" s="69" t="str">
        <f>VLOOKUP(C1485,[2]Municipalities!$C$9:$F$1522,4,FALSE)</f>
        <v>Nebbi Municipality</v>
      </c>
      <c r="G1485" s="68" t="str">
        <f t="shared" si="90"/>
        <v>Nebbi</v>
      </c>
      <c r="H1485" s="75" t="s">
        <v>3211</v>
      </c>
    </row>
    <row r="1486" spans="1:8">
      <c r="A1486" s="74">
        <v>1033</v>
      </c>
      <c r="B1486" s="75" t="s">
        <v>1895</v>
      </c>
      <c r="C1486" s="75" t="s">
        <v>1895</v>
      </c>
      <c r="D1486" s="75" t="s">
        <v>1903</v>
      </c>
      <c r="E1486" s="75"/>
      <c r="F1486" s="68" t="str">
        <f t="shared" ref="F1486:F1489" si="91">D1486</f>
        <v>Tirinyi</v>
      </c>
      <c r="G1486" s="68" t="str">
        <f t="shared" si="90"/>
        <v>Kibuku</v>
      </c>
      <c r="H1486" s="75" t="s">
        <v>1903</v>
      </c>
    </row>
    <row r="1487" spans="1:8">
      <c r="A1487" s="74">
        <v>1121</v>
      </c>
      <c r="B1487" s="75" t="s">
        <v>897</v>
      </c>
      <c r="C1487" s="75" t="s">
        <v>898</v>
      </c>
      <c r="D1487" s="75" t="s">
        <v>918</v>
      </c>
      <c r="E1487" s="75"/>
      <c r="F1487" s="68" t="str">
        <f t="shared" si="91"/>
        <v>Tokwe</v>
      </c>
      <c r="G1487" s="68" t="str">
        <f t="shared" si="90"/>
        <v>Bundibugyo</v>
      </c>
      <c r="H1487" s="75" t="s">
        <v>918</v>
      </c>
    </row>
    <row r="1488" spans="1:8">
      <c r="A1488" s="74">
        <v>756</v>
      </c>
      <c r="B1488" s="75" t="s">
        <v>1845</v>
      </c>
      <c r="C1488" s="75" t="s">
        <v>1846</v>
      </c>
      <c r="D1488" s="75" t="s">
        <v>1846</v>
      </c>
      <c r="E1488" s="75"/>
      <c r="F1488" s="68" t="str">
        <f t="shared" si="91"/>
        <v>Toroma</v>
      </c>
      <c r="G1488" s="68" t="str">
        <f t="shared" si="90"/>
        <v>Katakwi</v>
      </c>
      <c r="H1488" s="75" t="s">
        <v>1846</v>
      </c>
    </row>
    <row r="1489" spans="1:8">
      <c r="A1489" s="74">
        <v>1099</v>
      </c>
      <c r="B1489" s="75" t="s">
        <v>2462</v>
      </c>
      <c r="C1489" s="75" t="s">
        <v>2462</v>
      </c>
      <c r="D1489" s="75" t="s">
        <v>2478</v>
      </c>
      <c r="E1489" s="75"/>
      <c r="F1489" s="68" t="str">
        <f t="shared" si="91"/>
        <v>Tsekululu</v>
      </c>
      <c r="G1489" s="68" t="str">
        <f t="shared" si="90"/>
        <v>Namisindwa</v>
      </c>
      <c r="H1489" s="75" t="s">
        <v>2478</v>
      </c>
    </row>
    <row r="1490" spans="1:8" ht="25.5">
      <c r="A1490" s="74">
        <v>578</v>
      </c>
      <c r="B1490" s="75" t="s">
        <v>2284</v>
      </c>
      <c r="C1490" s="76" t="s">
        <v>2288</v>
      </c>
      <c r="D1490" s="75" t="s">
        <v>3212</v>
      </c>
      <c r="E1490" s="75"/>
      <c r="F1490" s="69" t="str">
        <f>VLOOKUP(C1490,[2]Municipalities!$C$9:$F$1522,4,FALSE)</f>
        <v>Mityana Municipality</v>
      </c>
      <c r="G1490" s="68" t="str">
        <f t="shared" si="90"/>
        <v>Mityana</v>
      </c>
      <c r="H1490" s="75" t="s">
        <v>3212</v>
      </c>
    </row>
    <row r="1491" spans="1:8">
      <c r="A1491" s="74">
        <v>808</v>
      </c>
      <c r="B1491" s="75" t="s">
        <v>2729</v>
      </c>
      <c r="C1491" s="75" t="s">
        <v>2729</v>
      </c>
      <c r="D1491" s="75" t="s">
        <v>2736</v>
      </c>
      <c r="E1491" s="75"/>
      <c r="F1491" s="68" t="str">
        <f t="shared" ref="F1491:F1502" si="92">D1491</f>
        <v>Tubur</v>
      </c>
      <c r="G1491" s="68" t="str">
        <f t="shared" si="90"/>
        <v>Soroti</v>
      </c>
      <c r="H1491" s="75" t="s">
        <v>2736</v>
      </c>
    </row>
    <row r="1492" spans="1:8">
      <c r="A1492" s="74">
        <v>948</v>
      </c>
      <c r="B1492" s="75" t="s">
        <v>856</v>
      </c>
      <c r="C1492" s="75" t="s">
        <v>857</v>
      </c>
      <c r="D1492" s="75" t="s">
        <v>868</v>
      </c>
      <c r="E1492" s="75"/>
      <c r="F1492" s="68" t="str">
        <f t="shared" si="92"/>
        <v>Tulel</v>
      </c>
      <c r="G1492" s="68" t="str">
        <f t="shared" si="90"/>
        <v>Bukwo</v>
      </c>
      <c r="H1492" s="75" t="s">
        <v>868</v>
      </c>
    </row>
    <row r="1493" spans="1:8">
      <c r="A1493" s="74">
        <v>8</v>
      </c>
      <c r="B1493" s="75" t="s">
        <v>649</v>
      </c>
      <c r="C1493" s="75" t="s">
        <v>650</v>
      </c>
      <c r="D1493" s="75" t="s">
        <v>659</v>
      </c>
      <c r="E1493" s="75"/>
      <c r="F1493" s="68" t="str">
        <f t="shared" si="92"/>
        <v>Ukusijoni</v>
      </c>
      <c r="G1493" s="68" t="str">
        <f t="shared" si="90"/>
        <v>Adjumani</v>
      </c>
      <c r="H1493" s="75" t="s">
        <v>659</v>
      </c>
    </row>
    <row r="1494" spans="1:8">
      <c r="A1494" s="74">
        <v>39</v>
      </c>
      <c r="B1494" s="75" t="s">
        <v>745</v>
      </c>
      <c r="C1494" s="75" t="s">
        <v>752</v>
      </c>
      <c r="D1494" s="75" t="s">
        <v>773</v>
      </c>
      <c r="E1494" s="75"/>
      <c r="F1494" s="68" t="str">
        <f t="shared" si="92"/>
        <v>Uleppi</v>
      </c>
      <c r="G1494" s="68" t="str">
        <f t="shared" si="90"/>
        <v>Arua</v>
      </c>
      <c r="H1494" s="75" t="s">
        <v>773</v>
      </c>
    </row>
    <row r="1495" spans="1:8">
      <c r="A1495" s="74">
        <v>53</v>
      </c>
      <c r="B1495" s="75" t="s">
        <v>1031</v>
      </c>
      <c r="C1495" s="75" t="s">
        <v>1032</v>
      </c>
      <c r="D1495" s="75" t="s">
        <v>1038</v>
      </c>
      <c r="E1495" s="75"/>
      <c r="F1495" s="68" t="str">
        <f t="shared" si="92"/>
        <v>Unyama</v>
      </c>
      <c r="G1495" s="68" t="str">
        <f t="shared" si="90"/>
        <v>Gulu</v>
      </c>
      <c r="H1495" s="75" t="s">
        <v>1038</v>
      </c>
    </row>
    <row r="1496" spans="1:8">
      <c r="A1496" s="74">
        <v>45</v>
      </c>
      <c r="B1496" s="75" t="s">
        <v>745</v>
      </c>
      <c r="C1496" s="75" t="s">
        <v>748</v>
      </c>
      <c r="D1496" s="75" t="s">
        <v>774</v>
      </c>
      <c r="E1496" s="75"/>
      <c r="F1496" s="68" t="str">
        <f t="shared" si="92"/>
        <v>Uriama</v>
      </c>
      <c r="G1496" s="68" t="str">
        <f t="shared" si="90"/>
        <v>Arua</v>
      </c>
      <c r="H1496" s="75" t="s">
        <v>774</v>
      </c>
    </row>
    <row r="1497" spans="1:8">
      <c r="A1497" s="74">
        <v>762</v>
      </c>
      <c r="B1497" s="75" t="s">
        <v>1845</v>
      </c>
      <c r="C1497" s="75" t="s">
        <v>1847</v>
      </c>
      <c r="D1497" s="75" t="s">
        <v>1847</v>
      </c>
      <c r="E1497" s="75"/>
      <c r="F1497" s="68" t="str">
        <f t="shared" si="92"/>
        <v>Usuk</v>
      </c>
      <c r="G1497" s="68" t="str">
        <f t="shared" si="90"/>
        <v>Katakwi</v>
      </c>
      <c r="H1497" s="75" t="s">
        <v>1847</v>
      </c>
    </row>
    <row r="1498" spans="1:8">
      <c r="A1498" s="74">
        <v>49</v>
      </c>
      <c r="B1498" s="75" t="s">
        <v>745</v>
      </c>
      <c r="C1498" s="75" t="s">
        <v>750</v>
      </c>
      <c r="D1498" s="75" t="s">
        <v>750</v>
      </c>
      <c r="E1498" s="75"/>
      <c r="F1498" s="68" t="str">
        <f t="shared" si="92"/>
        <v>Vurra</v>
      </c>
      <c r="G1498" s="68" t="str">
        <f t="shared" si="90"/>
        <v>Arua</v>
      </c>
      <c r="H1498" s="75" t="s">
        <v>750</v>
      </c>
    </row>
    <row r="1499" spans="1:8">
      <c r="A1499" s="74">
        <v>503</v>
      </c>
      <c r="B1499" s="75" t="s">
        <v>2437</v>
      </c>
      <c r="C1499" s="75" t="s">
        <v>2204</v>
      </c>
      <c r="D1499" s="75" t="s">
        <v>2449</v>
      </c>
      <c r="E1499" s="75"/>
      <c r="F1499" s="68" t="str">
        <f t="shared" si="92"/>
        <v>Wabinyonyi</v>
      </c>
      <c r="G1499" s="68" t="str">
        <f t="shared" si="90"/>
        <v>Nakasongola</v>
      </c>
      <c r="H1499" s="75" t="s">
        <v>2449</v>
      </c>
    </row>
    <row r="1500" spans="1:8">
      <c r="A1500" s="74">
        <v>317</v>
      </c>
      <c r="B1500" s="75" t="s">
        <v>2598</v>
      </c>
      <c r="C1500" s="75" t="s">
        <v>2599</v>
      </c>
      <c r="D1500" s="75" t="s">
        <v>2604</v>
      </c>
      <c r="E1500" s="75"/>
      <c r="F1500" s="68" t="str">
        <f t="shared" si="92"/>
        <v>Wadelai</v>
      </c>
      <c r="G1500" s="68" t="str">
        <f t="shared" si="90"/>
        <v>Pakwach</v>
      </c>
      <c r="H1500" s="75" t="s">
        <v>2604</v>
      </c>
    </row>
    <row r="1501" spans="1:8">
      <c r="A1501" s="74">
        <v>1053</v>
      </c>
      <c r="B1501" s="75" t="s">
        <v>2104</v>
      </c>
      <c r="C1501" s="75" t="s">
        <v>2104</v>
      </c>
      <c r="D1501" s="75" t="s">
        <v>2111</v>
      </c>
      <c r="E1501" s="75"/>
      <c r="F1501" s="68" t="str">
        <f t="shared" si="92"/>
        <v>Waibuga</v>
      </c>
      <c r="G1501" s="68" t="str">
        <f t="shared" si="90"/>
        <v>Luuka</v>
      </c>
      <c r="H1501" s="75" t="s">
        <v>2111</v>
      </c>
    </row>
    <row r="1502" spans="1:8">
      <c r="A1502" s="74">
        <v>863</v>
      </c>
      <c r="B1502" s="75" t="s">
        <v>2209</v>
      </c>
      <c r="C1502" s="75" t="s">
        <v>2210</v>
      </c>
      <c r="D1502" s="75" t="s">
        <v>2223</v>
      </c>
      <c r="E1502" s="75"/>
      <c r="F1502" s="68" t="str">
        <f t="shared" si="92"/>
        <v>Wairasa</v>
      </c>
      <c r="G1502" s="68" t="str">
        <f t="shared" si="90"/>
        <v>Mayuge</v>
      </c>
      <c r="H1502" s="75" t="s">
        <v>2223</v>
      </c>
    </row>
    <row r="1503" spans="1:8">
      <c r="A1503" s="74">
        <v>605</v>
      </c>
      <c r="B1503" s="75" t="s">
        <v>828</v>
      </c>
      <c r="C1503" s="76" t="s">
        <v>841</v>
      </c>
      <c r="D1503" s="75" t="s">
        <v>3213</v>
      </c>
      <c r="E1503" s="75"/>
      <c r="F1503" s="69" t="str">
        <f>VLOOKUP(C1503,[2]Municipalities!$C$9:$F$1522,4,FALSE)</f>
        <v>Njeru Municipality</v>
      </c>
      <c r="G1503" s="68" t="str">
        <f t="shared" si="90"/>
        <v>Buikwe</v>
      </c>
      <c r="H1503" s="75" t="s">
        <v>3213</v>
      </c>
    </row>
    <row r="1504" spans="1:8">
      <c r="A1504" s="74">
        <v>544</v>
      </c>
      <c r="B1504" s="75" t="s">
        <v>2774</v>
      </c>
      <c r="C1504" s="75" t="s">
        <v>2778</v>
      </c>
      <c r="D1504" s="75" t="s">
        <v>2774</v>
      </c>
      <c r="E1504" s="75"/>
      <c r="F1504" s="68" t="str">
        <f t="shared" ref="F1504:F1507" si="93">D1504</f>
        <v>Wakiso</v>
      </c>
      <c r="G1504" s="68" t="str">
        <f t="shared" si="90"/>
        <v>Wakiso</v>
      </c>
      <c r="H1504" s="75" t="s">
        <v>2774</v>
      </c>
    </row>
    <row r="1505" spans="1:8">
      <c r="A1505" s="74">
        <v>545</v>
      </c>
      <c r="B1505" s="75" t="s">
        <v>2774</v>
      </c>
      <c r="C1505" s="75" t="s">
        <v>2778</v>
      </c>
      <c r="D1505" s="75" t="s">
        <v>3006</v>
      </c>
      <c r="E1505" s="75"/>
      <c r="F1505" s="68" t="str">
        <f t="shared" si="93"/>
        <v>Wakiso Town Council</v>
      </c>
      <c r="G1505" s="68" t="str">
        <f t="shared" si="90"/>
        <v>Wakiso</v>
      </c>
      <c r="H1505" s="75" t="s">
        <v>3006</v>
      </c>
    </row>
    <row r="1506" spans="1:8">
      <c r="A1506" s="74">
        <v>593</v>
      </c>
      <c r="B1506" s="75" t="s">
        <v>2418</v>
      </c>
      <c r="C1506" s="75" t="s">
        <v>2418</v>
      </c>
      <c r="D1506" s="75" t="s">
        <v>2435</v>
      </c>
      <c r="E1506" s="75"/>
      <c r="F1506" s="68" t="str">
        <f t="shared" si="93"/>
        <v>Wakyato</v>
      </c>
      <c r="G1506" s="68" t="str">
        <f t="shared" si="90"/>
        <v>Nakaseke</v>
      </c>
      <c r="H1506" s="75" t="s">
        <v>2435</v>
      </c>
    </row>
    <row r="1507" spans="1:8">
      <c r="A1507" s="74">
        <v>790</v>
      </c>
      <c r="B1507" s="75" t="s">
        <v>2225</v>
      </c>
      <c r="C1507" s="75" t="s">
        <v>2226</v>
      </c>
      <c r="D1507" s="75" t="s">
        <v>2249</v>
      </c>
      <c r="E1507" s="75"/>
      <c r="F1507" s="68" t="str">
        <f t="shared" si="93"/>
        <v>Wanale</v>
      </c>
      <c r="G1507" s="68" t="str">
        <f t="shared" si="90"/>
        <v>Mbale</v>
      </c>
      <c r="H1507" s="75" t="s">
        <v>2249</v>
      </c>
    </row>
    <row r="1508" spans="1:8" ht="25.5">
      <c r="A1508" s="74">
        <v>795</v>
      </c>
      <c r="B1508" s="75" t="s">
        <v>2225</v>
      </c>
      <c r="C1508" s="76" t="s">
        <v>2241</v>
      </c>
      <c r="D1508" s="75" t="s">
        <v>3214</v>
      </c>
      <c r="E1508" s="75"/>
      <c r="F1508" s="69" t="str">
        <f>VLOOKUP(C1508,[2]Municipalities!$C$9:$F$1522,4,FALSE)</f>
        <v>Mbale Municipality</v>
      </c>
      <c r="G1508" s="68" t="str">
        <f t="shared" si="90"/>
        <v>Mbale</v>
      </c>
      <c r="H1508" s="75" t="s">
        <v>3214</v>
      </c>
    </row>
    <row r="1509" spans="1:8">
      <c r="A1509" s="74">
        <v>736</v>
      </c>
      <c r="B1509" s="75" t="s">
        <v>1744</v>
      </c>
      <c r="C1509" s="75" t="s">
        <v>1747</v>
      </c>
      <c r="D1509" s="75" t="s">
        <v>1758</v>
      </c>
      <c r="E1509" s="75"/>
      <c r="F1509" s="68" t="str">
        <f t="shared" ref="F1509:F1512" si="94">D1509</f>
        <v>Wankole</v>
      </c>
      <c r="G1509" s="68" t="str">
        <f t="shared" si="90"/>
        <v>Kamuli</v>
      </c>
      <c r="H1509" s="75" t="s">
        <v>1758</v>
      </c>
    </row>
    <row r="1510" spans="1:8">
      <c r="A1510" s="74">
        <v>302</v>
      </c>
      <c r="B1510" s="75" t="s">
        <v>3024</v>
      </c>
      <c r="C1510" s="75" t="s">
        <v>3025</v>
      </c>
      <c r="D1510" s="75" t="s">
        <v>3032</v>
      </c>
      <c r="E1510" s="75"/>
      <c r="F1510" s="68" t="str">
        <f t="shared" si="94"/>
        <v>Warr</v>
      </c>
      <c r="G1510" s="68" t="str">
        <f t="shared" si="90"/>
        <v>Zombo</v>
      </c>
      <c r="H1510" s="75" t="s">
        <v>3032</v>
      </c>
    </row>
    <row r="1511" spans="1:8">
      <c r="A1511" s="74">
        <v>648</v>
      </c>
      <c r="B1511" s="75" t="s">
        <v>2012</v>
      </c>
      <c r="C1511" s="75" t="s">
        <v>1882</v>
      </c>
      <c r="D1511" s="75" t="s">
        <v>2043</v>
      </c>
      <c r="E1511" s="75"/>
      <c r="F1511" s="68" t="str">
        <f t="shared" si="94"/>
        <v>Wattuba</v>
      </c>
      <c r="G1511" s="68" t="str">
        <f t="shared" si="90"/>
        <v>Kyankwanzi</v>
      </c>
      <c r="H1511" s="75" t="s">
        <v>2043</v>
      </c>
    </row>
    <row r="1512" spans="1:8">
      <c r="A1512" s="74">
        <v>895</v>
      </c>
      <c r="B1512" s="75" t="s">
        <v>707</v>
      </c>
      <c r="C1512" s="75" t="s">
        <v>707</v>
      </c>
      <c r="D1512" s="75" t="s">
        <v>721</v>
      </c>
      <c r="E1512" s="75"/>
      <c r="F1512" s="68" t="str">
        <f t="shared" si="94"/>
        <v>Wera</v>
      </c>
      <c r="G1512" s="68" t="str">
        <f t="shared" si="90"/>
        <v>Amuria</v>
      </c>
      <c r="H1512" s="75" t="s">
        <v>721</v>
      </c>
    </row>
    <row r="1513" spans="1:8" ht="25.5">
      <c r="A1513" s="74">
        <v>206</v>
      </c>
      <c r="B1513" s="75" t="s">
        <v>1969</v>
      </c>
      <c r="C1513" s="76" t="s">
        <v>1971</v>
      </c>
      <c r="D1513" s="79" t="s">
        <v>3215</v>
      </c>
      <c r="E1513" s="75"/>
      <c r="F1513" s="69" t="str">
        <f>VLOOKUP(C1513,[2]Municipalities!$C$9:$F$1522,4,FALSE)</f>
        <v>Koboko Municipality</v>
      </c>
      <c r="G1513" s="68" t="str">
        <f t="shared" si="90"/>
        <v>Koboko</v>
      </c>
      <c r="H1513" s="79" t="s">
        <v>3215</v>
      </c>
    </row>
    <row r="1514" spans="1:8" ht="25.5">
      <c r="A1514" s="74">
        <v>476</v>
      </c>
      <c r="B1514" s="75" t="s">
        <v>2342</v>
      </c>
      <c r="C1514" s="76" t="s">
        <v>2361</v>
      </c>
      <c r="D1514" s="79" t="s">
        <v>3215</v>
      </c>
      <c r="E1514" s="75"/>
      <c r="F1514" s="69" t="str">
        <f>VLOOKUP(C1514,[2]Municipalities!$C$9:$F$1522,4,FALSE)</f>
        <v>Mubende Municipality</v>
      </c>
      <c r="G1514" s="68" t="str">
        <f t="shared" si="90"/>
        <v>Mubende</v>
      </c>
      <c r="H1514" s="79" t="s">
        <v>3215</v>
      </c>
    </row>
    <row r="1515" spans="1:8" ht="25.5">
      <c r="A1515" s="74">
        <v>670</v>
      </c>
      <c r="B1515" s="75" t="s">
        <v>806</v>
      </c>
      <c r="C1515" s="76" t="s">
        <v>808</v>
      </c>
      <c r="D1515" s="79" t="s">
        <v>3215</v>
      </c>
      <c r="E1515" s="75"/>
      <c r="F1515" s="69" t="str">
        <f>VLOOKUP(C1515,[2]Municipalities!$C$9:$F$1522,4,FALSE)</f>
        <v>Bugiri Municipality</v>
      </c>
      <c r="G1515" s="68" t="str">
        <f t="shared" si="90"/>
        <v>Bugiri</v>
      </c>
      <c r="H1515" s="79" t="s">
        <v>3215</v>
      </c>
    </row>
    <row r="1516" spans="1:8" ht="25.5">
      <c r="A1516" s="74">
        <v>682</v>
      </c>
      <c r="B1516" s="75" t="s">
        <v>947</v>
      </c>
      <c r="C1516" s="76" t="s">
        <v>950</v>
      </c>
      <c r="D1516" s="79" t="s">
        <v>3215</v>
      </c>
      <c r="E1516" s="75"/>
      <c r="F1516" s="69" t="str">
        <f>VLOOKUP(C1516,[2]Municipalities!$C$9:$F$1522,4,FALSE)</f>
        <v>Busia Municipality</v>
      </c>
      <c r="G1516" s="68" t="str">
        <f t="shared" si="90"/>
        <v>Busia</v>
      </c>
      <c r="H1516" s="79" t="s">
        <v>3215</v>
      </c>
    </row>
    <row r="1517" spans="1:8" ht="25.5">
      <c r="A1517" s="74">
        <v>752</v>
      </c>
      <c r="B1517" s="75" t="s">
        <v>1798</v>
      </c>
      <c r="C1517" s="76" t="s">
        <v>1804</v>
      </c>
      <c r="D1517" s="79" t="s">
        <v>3215</v>
      </c>
      <c r="E1517" s="75"/>
      <c r="F1517" s="69" t="str">
        <f>VLOOKUP(C1517,[2]Municipalities!$C$9:$F$1522,4,FALSE)</f>
        <v>Kapchorwa Municipality</v>
      </c>
      <c r="G1517" s="68" t="str">
        <f t="shared" si="90"/>
        <v>Kapchorwa</v>
      </c>
      <c r="H1517" s="79" t="s">
        <v>3215</v>
      </c>
    </row>
    <row r="1518" spans="1:8" ht="25.5">
      <c r="A1518" s="74">
        <v>817</v>
      </c>
      <c r="B1518" s="75" t="s">
        <v>2729</v>
      </c>
      <c r="C1518" s="76" t="s">
        <v>2734</v>
      </c>
      <c r="D1518" s="79" t="s">
        <v>3215</v>
      </c>
      <c r="E1518" s="75"/>
      <c r="F1518" s="69" t="str">
        <f>VLOOKUP(C1518,[2]Municipalities!$C$9:$F$1522,4,FALSE)</f>
        <v>Soroti Municipality</v>
      </c>
      <c r="G1518" s="68" t="str">
        <f t="shared" si="90"/>
        <v>Soroti</v>
      </c>
      <c r="H1518" s="79" t="s">
        <v>3215</v>
      </c>
    </row>
    <row r="1519" spans="1:8" ht="25.5">
      <c r="A1519" s="74">
        <v>826</v>
      </c>
      <c r="B1519" s="75" t="s">
        <v>2751</v>
      </c>
      <c r="C1519" s="76" t="s">
        <v>2771</v>
      </c>
      <c r="D1519" s="79" t="s">
        <v>3215</v>
      </c>
      <c r="E1519" s="75"/>
      <c r="F1519" s="69" t="str">
        <f>VLOOKUP(C1519,[2]Municipalities!$C$9:$F$1522,4,FALSE)</f>
        <v>Tororo Municipality</v>
      </c>
      <c r="G1519" s="68" t="str">
        <f t="shared" si="90"/>
        <v>Tororo</v>
      </c>
      <c r="H1519" s="79" t="s">
        <v>3215</v>
      </c>
    </row>
    <row r="1520" spans="1:8" ht="25.5">
      <c r="A1520" s="74">
        <v>1177</v>
      </c>
      <c r="B1520" s="75" t="s">
        <v>1162</v>
      </c>
      <c r="C1520" s="76" t="s">
        <v>1165</v>
      </c>
      <c r="D1520" s="79" t="s">
        <v>3215</v>
      </c>
      <c r="E1520" s="75"/>
      <c r="F1520" s="69" t="str">
        <f>VLOOKUP(C1520,[2]Municipalities!$C$9:$F$1522,4,FALSE)</f>
        <v>Fort Portal Municipality</v>
      </c>
      <c r="G1520" s="68" t="str">
        <f t="shared" si="90"/>
        <v>Kabarole</v>
      </c>
      <c r="H1520" s="79" t="s">
        <v>3215</v>
      </c>
    </row>
    <row r="1521" spans="1:8" ht="25.5">
      <c r="A1521" s="74">
        <v>1269</v>
      </c>
      <c r="B1521" s="75" t="s">
        <v>47</v>
      </c>
      <c r="C1521" s="76" t="s">
        <v>2535</v>
      </c>
      <c r="D1521" s="79" t="s">
        <v>3215</v>
      </c>
      <c r="E1521" s="75"/>
      <c r="F1521" s="69" t="str">
        <f>VLOOKUP(C1521,[2]Municipalities!$C$9:$F$1522,4,FALSE)</f>
        <v>Ntungamo Municipality</v>
      </c>
      <c r="G1521" s="68" t="str">
        <f t="shared" si="90"/>
        <v>Ntungamo</v>
      </c>
      <c r="H1521" s="79" t="s">
        <v>3215</v>
      </c>
    </row>
    <row r="1522" spans="1:8" ht="25.5">
      <c r="A1522" s="74">
        <v>1296</v>
      </c>
      <c r="B1522" s="75" t="s">
        <v>40</v>
      </c>
      <c r="C1522" s="76" t="s">
        <v>2673</v>
      </c>
      <c r="D1522" s="79" t="s">
        <v>3215</v>
      </c>
      <c r="E1522" s="75"/>
      <c r="F1522" s="69" t="str">
        <f>VLOOKUP(C1522,[2]Municipalities!$C$9:$F$1522,4,FALSE)</f>
        <v>Rukungiri Municipality</v>
      </c>
      <c r="G1522" s="68" t="str">
        <f t="shared" si="90"/>
        <v>Rukungiri</v>
      </c>
      <c r="H1522" s="79" t="s">
        <v>3215</v>
      </c>
    </row>
    <row r="1523" spans="1:8">
      <c r="A1523" s="74">
        <v>987</v>
      </c>
      <c r="B1523" s="75" t="s">
        <v>2158</v>
      </c>
      <c r="C1523" s="75" t="s">
        <v>2159</v>
      </c>
      <c r="D1523" s="75" t="s">
        <v>2175</v>
      </c>
      <c r="E1523" s="75"/>
      <c r="F1523" s="68" t="str">
        <f t="shared" ref="F1523:F1532" si="95">D1523</f>
        <v>Weswa</v>
      </c>
      <c r="G1523" s="68" t="str">
        <f t="shared" si="90"/>
        <v>Manafwa</v>
      </c>
      <c r="H1523" s="75" t="s">
        <v>2175</v>
      </c>
    </row>
    <row r="1524" spans="1:8">
      <c r="A1524" s="74">
        <v>896</v>
      </c>
      <c r="B1524" s="75" t="s">
        <v>707</v>
      </c>
      <c r="C1524" s="75" t="s">
        <v>707</v>
      </c>
      <c r="D1524" s="75" t="s">
        <v>722</v>
      </c>
      <c r="E1524" s="75"/>
      <c r="F1524" s="68" t="str">
        <f t="shared" si="95"/>
        <v>Willa</v>
      </c>
      <c r="G1524" s="68" t="str">
        <f t="shared" si="90"/>
        <v>Amuria</v>
      </c>
      <c r="H1524" s="75" t="s">
        <v>722</v>
      </c>
    </row>
    <row r="1525" spans="1:8">
      <c r="A1525" s="74">
        <v>441</v>
      </c>
      <c r="B1525" s="75" t="s">
        <v>2113</v>
      </c>
      <c r="C1525" s="75" t="s">
        <v>2115</v>
      </c>
      <c r="D1525" s="75" t="s">
        <v>2133</v>
      </c>
      <c r="E1525" s="75"/>
      <c r="F1525" s="68" t="str">
        <f t="shared" si="95"/>
        <v>Wobulenzi Town Council</v>
      </c>
      <c r="G1525" s="68" t="str">
        <f t="shared" si="90"/>
        <v>Luwero</v>
      </c>
      <c r="H1525" s="75" t="s">
        <v>2133</v>
      </c>
    </row>
    <row r="1526" spans="1:8">
      <c r="A1526" s="74">
        <v>242</v>
      </c>
      <c r="B1526" s="75" t="s">
        <v>661</v>
      </c>
      <c r="C1526" s="75" t="s">
        <v>661</v>
      </c>
      <c r="D1526" s="75" t="s">
        <v>676</v>
      </c>
      <c r="E1526" s="75"/>
      <c r="F1526" s="68" t="str">
        <f t="shared" si="95"/>
        <v>Wol</v>
      </c>
      <c r="G1526" s="68" t="str">
        <f t="shared" si="90"/>
        <v>Agago</v>
      </c>
      <c r="H1526" s="75" t="s">
        <v>676</v>
      </c>
    </row>
    <row r="1527" spans="1:8">
      <c r="A1527" s="74">
        <v>214</v>
      </c>
      <c r="B1527" s="75" t="s">
        <v>2177</v>
      </c>
      <c r="C1527" s="75" t="s">
        <v>2177</v>
      </c>
      <c r="D1527" s="75" t="s">
        <v>2184</v>
      </c>
      <c r="E1527" s="75"/>
      <c r="F1527" s="68" t="str">
        <f t="shared" si="95"/>
        <v>Yivu</v>
      </c>
      <c r="G1527" s="68" t="str">
        <f t="shared" si="90"/>
        <v>Maracha</v>
      </c>
      <c r="H1527" s="75" t="s">
        <v>2184</v>
      </c>
    </row>
    <row r="1528" spans="1:8">
      <c r="A1528" s="74">
        <v>150</v>
      </c>
      <c r="B1528" s="75" t="s">
        <v>3009</v>
      </c>
      <c r="C1528" s="75" t="s">
        <v>3010</v>
      </c>
      <c r="D1528" s="75" t="s">
        <v>3022</v>
      </c>
      <c r="E1528" s="75"/>
      <c r="F1528" s="68" t="str">
        <f t="shared" si="95"/>
        <v>Yumbe Town Council</v>
      </c>
      <c r="G1528" s="68" t="str">
        <f t="shared" si="90"/>
        <v>Yumbe</v>
      </c>
      <c r="H1528" s="75" t="s">
        <v>3022</v>
      </c>
    </row>
    <row r="1529" spans="1:8">
      <c r="A1529" s="74">
        <v>885</v>
      </c>
      <c r="B1529" s="75" t="s">
        <v>2706</v>
      </c>
      <c r="C1529" s="75" t="s">
        <v>2707</v>
      </c>
      <c r="D1529" s="75" t="s">
        <v>2727</v>
      </c>
      <c r="E1529" s="75"/>
      <c r="F1529" s="68" t="str">
        <f t="shared" si="95"/>
        <v>Zesui</v>
      </c>
      <c r="G1529" s="68" t="str">
        <f t="shared" si="90"/>
        <v>Sironko</v>
      </c>
      <c r="H1529" s="75" t="s">
        <v>2727</v>
      </c>
    </row>
    <row r="1530" spans="1:8">
      <c r="A1530" s="74">
        <v>303</v>
      </c>
      <c r="B1530" s="75" t="s">
        <v>3024</v>
      </c>
      <c r="C1530" s="75" t="s">
        <v>3025</v>
      </c>
      <c r="D1530" s="75" t="s">
        <v>3033</v>
      </c>
      <c r="E1530" s="75"/>
      <c r="F1530" s="68" t="str">
        <f t="shared" si="95"/>
        <v>Zeu</v>
      </c>
      <c r="G1530" s="68" t="str">
        <f t="shared" si="90"/>
        <v>Zombo</v>
      </c>
      <c r="H1530" s="75" t="s">
        <v>3033</v>
      </c>
    </row>
    <row r="1531" spans="1:8">
      <c r="A1531" s="74">
        <v>433</v>
      </c>
      <c r="B1531" s="75" t="s">
        <v>2113</v>
      </c>
      <c r="C1531" s="75" t="s">
        <v>2112</v>
      </c>
      <c r="D1531" s="75" t="s">
        <v>2137</v>
      </c>
      <c r="E1531" s="75"/>
      <c r="F1531" s="68" t="str">
        <f t="shared" si="95"/>
        <v>Zirobwe</v>
      </c>
      <c r="G1531" s="68" t="str">
        <f t="shared" si="90"/>
        <v>Luwero</v>
      </c>
      <c r="H1531" s="75" t="s">
        <v>2137</v>
      </c>
    </row>
    <row r="1532" spans="1:8">
      <c r="A1532" s="74">
        <v>304</v>
      </c>
      <c r="B1532" s="75" t="s">
        <v>3024</v>
      </c>
      <c r="C1532" s="75" t="s">
        <v>3025</v>
      </c>
      <c r="D1532" s="75" t="s">
        <v>3034</v>
      </c>
      <c r="E1532" s="75"/>
      <c r="F1532" s="68" t="str">
        <f t="shared" si="95"/>
        <v>Zombo Town Council</v>
      </c>
      <c r="G1532" s="68" t="str">
        <f t="shared" si="90"/>
        <v>Zombo</v>
      </c>
      <c r="H1532" s="75" t="s">
        <v>3034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45"/>
  <sheetViews>
    <sheetView zoomScale="89" zoomScaleNormal="89" zoomScaleSheetLayoutView="80" workbookViewId="0">
      <selection activeCell="E79" sqref="E7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629</v>
      </c>
      <c r="E4" s="1" t="s">
        <v>65</v>
      </c>
      <c r="F4" s="126" t="str">
        <f>'26.10 MBARARA-ISINGIRO'!F4:G4</f>
        <v>MBARARA-NTUNGAMO ROAD</v>
      </c>
      <c r="G4" s="127"/>
      <c r="I4" s="27" t="s">
        <v>66</v>
      </c>
      <c r="J4" s="5"/>
      <c r="K4" s="5"/>
      <c r="L4" s="50" t="s">
        <v>150</v>
      </c>
      <c r="M4" s="2"/>
      <c r="N4" s="1" t="s">
        <v>68</v>
      </c>
      <c r="O4" s="128" t="s">
        <v>630</v>
      </c>
      <c r="P4" s="129"/>
      <c r="Q4" s="129"/>
      <c r="R4" s="129"/>
      <c r="S4" s="129"/>
      <c r="T4" s="129"/>
      <c r="V4" s="1" t="s">
        <v>69</v>
      </c>
      <c r="W4" s="61" t="str">
        <f>'26.10 MBARARA-ISINGIRO'!W4</f>
        <v>MIREMBE RUTH</v>
      </c>
      <c r="Y4" s="27" t="s">
        <v>6</v>
      </c>
      <c r="Z4" s="62" t="str">
        <f>'26.10 MBARARA-ISINGIRO'!Z4</f>
        <v>AJOK EMILY</v>
      </c>
      <c r="AA4" s="32" t="s">
        <v>7</v>
      </c>
      <c r="AB4" s="38">
        <f>'26.10 MBARARA-ISINGIRO'!AB4</f>
        <v>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1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129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130</v>
      </c>
      <c r="R7" s="123" t="s">
        <v>131</v>
      </c>
      <c r="S7" s="123" t="s">
        <v>133</v>
      </c>
      <c r="T7" s="123" t="s">
        <v>132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136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70</v>
      </c>
      <c r="G8" s="23" t="s">
        <v>57</v>
      </c>
      <c r="H8" s="24" t="s">
        <v>58</v>
      </c>
      <c r="I8" s="133"/>
      <c r="J8" s="124"/>
      <c r="K8" s="124"/>
      <c r="L8" s="23" t="s">
        <v>70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134</v>
      </c>
      <c r="X8" s="30" t="s">
        <v>135</v>
      </c>
      <c r="Y8" s="124"/>
      <c r="Z8" s="124"/>
      <c r="AA8" s="133"/>
      <c r="AB8" s="139"/>
    </row>
    <row r="9" spans="2:35" s="19" customFormat="1">
      <c r="B9" s="39">
        <v>0.76250000000000007</v>
      </c>
      <c r="C9" s="39" t="s">
        <v>549</v>
      </c>
      <c r="D9" s="40">
        <v>4</v>
      </c>
      <c r="E9" s="41">
        <v>2</v>
      </c>
      <c r="F9" s="41" t="s">
        <v>169</v>
      </c>
      <c r="G9" s="42" t="s">
        <v>150</v>
      </c>
      <c r="H9" s="41" t="s">
        <v>147</v>
      </c>
      <c r="I9" s="42">
        <v>6</v>
      </c>
      <c r="J9" s="42">
        <v>2</v>
      </c>
      <c r="K9" s="25" t="str">
        <f>VLOOKUP(J9,Key!$E$2:$F$9,2,FALSE)</f>
        <v>Work</v>
      </c>
      <c r="L9" s="41" t="s">
        <v>155</v>
      </c>
      <c r="M9" s="42" t="s">
        <v>148</v>
      </c>
      <c r="N9" s="41" t="s">
        <v>147</v>
      </c>
      <c r="O9" s="42">
        <v>6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7">
        <v>15</v>
      </c>
      <c r="T9" s="47">
        <v>0.5</v>
      </c>
      <c r="U9" s="42">
        <v>4</v>
      </c>
      <c r="V9" s="42"/>
      <c r="W9" s="47"/>
      <c r="X9" s="47"/>
      <c r="Y9" s="48" t="s">
        <v>146</v>
      </c>
      <c r="Z9" s="56"/>
      <c r="AA9" s="25"/>
      <c r="AB9" s="25"/>
    </row>
    <row r="10" spans="2:35">
      <c r="B10" s="39">
        <v>0.75902777777777775</v>
      </c>
      <c r="C10" s="39" t="s">
        <v>550</v>
      </c>
      <c r="D10" s="40">
        <v>2</v>
      </c>
      <c r="E10" s="41">
        <v>2</v>
      </c>
      <c r="F10" s="41" t="s">
        <v>191</v>
      </c>
      <c r="G10" s="42" t="s">
        <v>150</v>
      </c>
      <c r="H10" s="41" t="s">
        <v>147</v>
      </c>
      <c r="I10" s="42">
        <v>1</v>
      </c>
      <c r="J10" s="42">
        <v>1</v>
      </c>
      <c r="K10" s="25" t="str">
        <f>VLOOKUP(J10,Key!$E$2:$F$9,2,FALSE)</f>
        <v>Home</v>
      </c>
      <c r="L10" s="41" t="s">
        <v>155</v>
      </c>
      <c r="M10" s="42" t="s">
        <v>148</v>
      </c>
      <c r="N10" s="41" t="s">
        <v>147</v>
      </c>
      <c r="O10" s="42">
        <v>2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7">
        <v>5</v>
      </c>
      <c r="T10" s="47">
        <v>0.2</v>
      </c>
      <c r="U10" s="42">
        <v>5</v>
      </c>
      <c r="V10" s="42"/>
      <c r="W10" s="47"/>
      <c r="X10" s="47"/>
      <c r="Y10" s="48" t="s">
        <v>146</v>
      </c>
      <c r="Z10" s="56"/>
      <c r="AA10" s="25"/>
      <c r="AB10" s="25"/>
    </row>
    <row r="11" spans="2:35">
      <c r="B11" s="39">
        <v>0.75416666666666676</v>
      </c>
      <c r="C11" s="39" t="s">
        <v>551</v>
      </c>
      <c r="D11" s="40">
        <v>1</v>
      </c>
      <c r="E11" s="41">
        <v>2</v>
      </c>
      <c r="F11" s="41" t="s">
        <v>345</v>
      </c>
      <c r="G11" s="42" t="s">
        <v>150</v>
      </c>
      <c r="H11" s="41" t="s">
        <v>147</v>
      </c>
      <c r="I11" s="42">
        <v>4</v>
      </c>
      <c r="J11" s="42">
        <v>3</v>
      </c>
      <c r="K11" s="25" t="str">
        <f>VLOOKUP(J11,Key!$E$2:$F$9,2,FALSE)</f>
        <v>Study</v>
      </c>
      <c r="L11" s="41" t="s">
        <v>155</v>
      </c>
      <c r="M11" s="42" t="s">
        <v>148</v>
      </c>
      <c r="N11" s="41" t="s">
        <v>147</v>
      </c>
      <c r="O11" s="42">
        <v>1</v>
      </c>
      <c r="P11" s="42">
        <v>1</v>
      </c>
      <c r="Q11" s="25" t="str">
        <f>VLOOKUP(P11,Key!$E$2:$F$9,2,FALSE)</f>
        <v>Home</v>
      </c>
      <c r="R11" s="25" t="str">
        <f t="shared" si="0"/>
        <v>Study-Home</v>
      </c>
      <c r="S11" s="47"/>
      <c r="T11" s="47">
        <v>0.3</v>
      </c>
      <c r="U11" s="42">
        <v>3</v>
      </c>
      <c r="V11" s="42"/>
      <c r="W11" s="47"/>
      <c r="X11" s="47"/>
      <c r="Y11" s="48" t="s">
        <v>146</v>
      </c>
      <c r="Z11" s="56"/>
      <c r="AA11" s="25"/>
      <c r="AB11" s="25"/>
    </row>
    <row r="12" spans="2:35">
      <c r="B12" s="39">
        <v>0.75208333333333333</v>
      </c>
      <c r="C12" s="39" t="s">
        <v>552</v>
      </c>
      <c r="D12" s="40">
        <v>2</v>
      </c>
      <c r="E12" s="41">
        <v>1</v>
      </c>
      <c r="F12" s="41" t="s">
        <v>191</v>
      </c>
      <c r="G12" s="42" t="s">
        <v>150</v>
      </c>
      <c r="H12" s="41" t="s">
        <v>147</v>
      </c>
      <c r="I12" s="42">
        <v>1</v>
      </c>
      <c r="J12" s="42">
        <v>1</v>
      </c>
      <c r="K12" s="25" t="str">
        <f>VLOOKUP(J12,Key!$E$2:$F$9,2,FALSE)</f>
        <v>Home</v>
      </c>
      <c r="L12" s="41" t="s">
        <v>155</v>
      </c>
      <c r="M12" s="42" t="s">
        <v>148</v>
      </c>
      <c r="N12" s="41" t="s">
        <v>147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47">
        <v>4</v>
      </c>
      <c r="T12" s="47">
        <v>0.2</v>
      </c>
      <c r="U12" s="42">
        <v>3</v>
      </c>
      <c r="V12" s="42"/>
      <c r="W12" s="47"/>
      <c r="X12" s="47"/>
      <c r="Y12" s="48" t="s">
        <v>146</v>
      </c>
      <c r="Z12" s="56"/>
      <c r="AA12" s="25"/>
      <c r="AB12" s="25"/>
    </row>
    <row r="13" spans="2:35">
      <c r="B13" s="39">
        <v>0.74861111111111101</v>
      </c>
      <c r="C13" s="39" t="s">
        <v>553</v>
      </c>
      <c r="D13" s="40">
        <v>1</v>
      </c>
      <c r="E13" s="41">
        <v>1</v>
      </c>
      <c r="F13" s="41" t="s">
        <v>191</v>
      </c>
      <c r="G13" s="42" t="s">
        <v>150</v>
      </c>
      <c r="H13" s="41" t="s">
        <v>147</v>
      </c>
      <c r="I13" s="42">
        <v>16</v>
      </c>
      <c r="J13" s="42">
        <v>8</v>
      </c>
      <c r="K13" s="25" t="str">
        <f>VLOOKUP(J13,Key!$E$2:$F$9,2,FALSE)</f>
        <v>Others</v>
      </c>
      <c r="L13" s="41" t="s">
        <v>155</v>
      </c>
      <c r="M13" s="42" t="s">
        <v>148</v>
      </c>
      <c r="N13" s="41" t="s">
        <v>147</v>
      </c>
      <c r="O13" s="42">
        <v>16</v>
      </c>
      <c r="P13" s="42">
        <v>8</v>
      </c>
      <c r="Q13" s="25" t="str">
        <f>VLOOKUP(P13,Key!$E$2:$F$9,2,FALSE)</f>
        <v>Others</v>
      </c>
      <c r="R13" s="25" t="str">
        <f t="shared" si="0"/>
        <v>Others-Others</v>
      </c>
      <c r="S13" s="47">
        <v>10</v>
      </c>
      <c r="T13" s="47">
        <v>0.2</v>
      </c>
      <c r="U13" s="42">
        <v>6</v>
      </c>
      <c r="V13" s="42"/>
      <c r="W13" s="47"/>
      <c r="X13" s="47"/>
      <c r="Y13" s="48" t="s">
        <v>146</v>
      </c>
      <c r="Z13" s="56"/>
      <c r="AA13" s="25"/>
      <c r="AB13" s="25"/>
    </row>
    <row r="14" spans="2:35">
      <c r="B14" s="39">
        <v>0.74513888888888891</v>
      </c>
      <c r="C14" s="39" t="s">
        <v>554</v>
      </c>
      <c r="D14" s="40">
        <v>1</v>
      </c>
      <c r="E14" s="41">
        <v>1</v>
      </c>
      <c r="F14" s="41" t="s">
        <v>169</v>
      </c>
      <c r="G14" s="42" t="s">
        <v>150</v>
      </c>
      <c r="H14" s="41" t="s">
        <v>147</v>
      </c>
      <c r="I14" s="42">
        <v>2</v>
      </c>
      <c r="J14" s="42">
        <v>2</v>
      </c>
      <c r="K14" s="25" t="s">
        <v>102</v>
      </c>
      <c r="L14" s="41" t="s">
        <v>173</v>
      </c>
      <c r="M14" s="42" t="s">
        <v>148</v>
      </c>
      <c r="N14" s="41" t="s">
        <v>147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7">
        <v>13</v>
      </c>
      <c r="T14" s="47">
        <v>0.3</v>
      </c>
      <c r="U14" s="42">
        <v>3</v>
      </c>
      <c r="V14" s="42"/>
      <c r="W14" s="47"/>
      <c r="X14" s="47"/>
      <c r="Y14" s="48" t="s">
        <v>146</v>
      </c>
      <c r="Z14" s="56"/>
      <c r="AA14" s="25"/>
      <c r="AB14" s="25"/>
    </row>
    <row r="15" spans="2:35">
      <c r="B15" s="39">
        <v>0.7416666666666667</v>
      </c>
      <c r="C15" s="39" t="s">
        <v>555</v>
      </c>
      <c r="D15" s="40">
        <v>2</v>
      </c>
      <c r="E15" s="41">
        <v>2</v>
      </c>
      <c r="F15" s="41" t="s">
        <v>171</v>
      </c>
      <c r="G15" s="42" t="s">
        <v>150</v>
      </c>
      <c r="H15" s="41" t="s">
        <v>147</v>
      </c>
      <c r="I15" s="42">
        <v>2</v>
      </c>
      <c r="J15" s="42">
        <v>2</v>
      </c>
      <c r="K15" s="25" t="str">
        <f>VLOOKUP(J15,Key!$E$2:$F$9,2,FALSE)</f>
        <v>Work</v>
      </c>
      <c r="L15" s="41" t="s">
        <v>155</v>
      </c>
      <c r="M15" s="42" t="s">
        <v>148</v>
      </c>
      <c r="N15" s="41" t="s">
        <v>147</v>
      </c>
      <c r="O15" s="42">
        <v>16</v>
      </c>
      <c r="P15" s="42">
        <v>8</v>
      </c>
      <c r="Q15" s="25" t="str">
        <f>VLOOKUP(P15,Key!$E$2:$F$9,2,FALSE)</f>
        <v>Others</v>
      </c>
      <c r="R15" s="25" t="str">
        <f t="shared" si="0"/>
        <v>Work-Others</v>
      </c>
      <c r="S15" s="47">
        <v>31</v>
      </c>
      <c r="T15" s="47">
        <v>0.8</v>
      </c>
      <c r="U15" s="42">
        <v>2</v>
      </c>
      <c r="V15" s="42"/>
      <c r="W15" s="47"/>
      <c r="X15" s="47"/>
      <c r="Y15" s="48" t="s">
        <v>146</v>
      </c>
      <c r="Z15" s="56"/>
      <c r="AA15" s="25"/>
      <c r="AB15" s="25"/>
    </row>
    <row r="16" spans="2:35">
      <c r="B16" s="39">
        <v>0.73749999999999993</v>
      </c>
      <c r="C16" s="39" t="s">
        <v>556</v>
      </c>
      <c r="D16" s="40">
        <v>8</v>
      </c>
      <c r="E16" s="41">
        <v>1</v>
      </c>
      <c r="F16" s="41" t="s">
        <v>213</v>
      </c>
      <c r="G16" s="42" t="s">
        <v>150</v>
      </c>
      <c r="H16" s="41" t="s">
        <v>147</v>
      </c>
      <c r="I16" s="42">
        <v>15</v>
      </c>
      <c r="J16" s="42">
        <v>4</v>
      </c>
      <c r="K16" s="25" t="str">
        <f>VLOOKUP(J16,Key!$E$2:$F$9,2,FALSE)</f>
        <v>Commercial</v>
      </c>
      <c r="L16" s="41" t="s">
        <v>155</v>
      </c>
      <c r="M16" s="42" t="s">
        <v>148</v>
      </c>
      <c r="N16" s="41" t="s">
        <v>147</v>
      </c>
      <c r="O16" s="42">
        <v>10</v>
      </c>
      <c r="P16" s="42">
        <v>2</v>
      </c>
      <c r="Q16" s="25" t="str">
        <f>VLOOKUP(P16,Key!$E$2:$F$9,2,FALSE)</f>
        <v>Work</v>
      </c>
      <c r="R16" s="25" t="str">
        <f t="shared" si="0"/>
        <v>Commercial-Work</v>
      </c>
      <c r="S16" s="47">
        <v>12</v>
      </c>
      <c r="T16" s="47">
        <v>0.5</v>
      </c>
      <c r="U16" s="42">
        <v>3</v>
      </c>
      <c r="V16" s="42">
        <v>4</v>
      </c>
      <c r="W16" s="47">
        <v>6</v>
      </c>
      <c r="X16" s="47">
        <v>220000</v>
      </c>
      <c r="Y16" s="48" t="s">
        <v>146</v>
      </c>
      <c r="Z16" s="56"/>
      <c r="AA16" s="25"/>
      <c r="AB16" s="25"/>
    </row>
    <row r="17" spans="2:28">
      <c r="B17" s="39">
        <v>0.73333333333333339</v>
      </c>
      <c r="C17" s="39" t="s">
        <v>557</v>
      </c>
      <c r="D17" s="40">
        <v>1</v>
      </c>
      <c r="E17" s="41">
        <v>3</v>
      </c>
      <c r="F17" s="41" t="s">
        <v>191</v>
      </c>
      <c r="G17" s="42" t="s">
        <v>150</v>
      </c>
      <c r="H17" s="41" t="s">
        <v>147</v>
      </c>
      <c r="I17" s="42">
        <v>4</v>
      </c>
      <c r="J17" s="42">
        <v>3</v>
      </c>
      <c r="K17" s="25" t="str">
        <f>VLOOKUP(J17,Key!$E$2:$F$9,2,FALSE)</f>
        <v>Study</v>
      </c>
      <c r="L17" s="41" t="s">
        <v>155</v>
      </c>
      <c r="M17" s="42" t="s">
        <v>148</v>
      </c>
      <c r="N17" s="41" t="s">
        <v>147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Study-Home</v>
      </c>
      <c r="S17" s="47">
        <v>5</v>
      </c>
      <c r="T17" s="47">
        <v>0.5</v>
      </c>
      <c r="U17" s="42">
        <v>5</v>
      </c>
      <c r="V17" s="42"/>
      <c r="W17" s="47"/>
      <c r="X17" s="47"/>
      <c r="Y17" s="48" t="s">
        <v>146</v>
      </c>
      <c r="Z17" s="56"/>
      <c r="AA17" s="25"/>
      <c r="AB17" s="25"/>
    </row>
    <row r="18" spans="2:28">
      <c r="B18" s="39">
        <v>0.72916666666666663</v>
      </c>
      <c r="C18" s="39" t="s">
        <v>558</v>
      </c>
      <c r="D18" s="40">
        <v>1</v>
      </c>
      <c r="E18" s="41">
        <v>1</v>
      </c>
      <c r="F18" s="41" t="s">
        <v>169</v>
      </c>
      <c r="G18" s="42" t="s">
        <v>150</v>
      </c>
      <c r="H18" s="41" t="s">
        <v>147</v>
      </c>
      <c r="I18" s="42">
        <v>2</v>
      </c>
      <c r="J18" s="42">
        <v>2</v>
      </c>
      <c r="K18" s="25" t="str">
        <f>VLOOKUP(J18,Key!$E$2:$F$9,2,FALSE)</f>
        <v>Work</v>
      </c>
      <c r="L18" s="41" t="s">
        <v>155</v>
      </c>
      <c r="M18" s="42" t="s">
        <v>148</v>
      </c>
      <c r="N18" s="41" t="s">
        <v>147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35</v>
      </c>
      <c r="T18" s="47">
        <v>0.4</v>
      </c>
      <c r="U18" s="42">
        <v>4</v>
      </c>
      <c r="V18" s="42"/>
      <c r="W18" s="47"/>
      <c r="X18" s="47"/>
      <c r="Y18" s="48" t="s">
        <v>146</v>
      </c>
      <c r="Z18" s="56"/>
      <c r="AA18" s="25"/>
      <c r="AB18" s="25"/>
    </row>
    <row r="19" spans="2:28">
      <c r="B19" s="39">
        <v>0.72499999999999998</v>
      </c>
      <c r="C19" s="39" t="s">
        <v>559</v>
      </c>
      <c r="D19" s="40">
        <v>8</v>
      </c>
      <c r="E19" s="41">
        <v>3</v>
      </c>
      <c r="F19" s="41" t="s">
        <v>169</v>
      </c>
      <c r="G19" s="42" t="s">
        <v>150</v>
      </c>
      <c r="H19" s="41" t="s">
        <v>147</v>
      </c>
      <c r="I19" s="42">
        <v>3</v>
      </c>
      <c r="J19" s="42">
        <v>4</v>
      </c>
      <c r="K19" s="25" t="str">
        <f>VLOOKUP(J19,Key!$E$2:$F$9,2,FALSE)</f>
        <v>Commercial</v>
      </c>
      <c r="L19" s="41" t="s">
        <v>155</v>
      </c>
      <c r="M19" s="42" t="s">
        <v>148</v>
      </c>
      <c r="N19" s="41" t="s">
        <v>147</v>
      </c>
      <c r="O19" s="42">
        <v>4</v>
      </c>
      <c r="P19" s="42">
        <v>3</v>
      </c>
      <c r="Q19" s="25" t="str">
        <f>VLOOKUP(P19,Key!$E$2:$F$9,2,FALSE)</f>
        <v>Study</v>
      </c>
      <c r="R19" s="25" t="str">
        <f t="shared" si="0"/>
        <v>Commercial-Study</v>
      </c>
      <c r="S19" s="47">
        <v>10</v>
      </c>
      <c r="T19" s="47">
        <v>0.2</v>
      </c>
      <c r="U19" s="42">
        <v>2</v>
      </c>
      <c r="V19" s="42">
        <v>10</v>
      </c>
      <c r="W19" s="47">
        <v>4</v>
      </c>
      <c r="X19" s="47">
        <v>4500000</v>
      </c>
      <c r="Y19" s="48" t="s">
        <v>146</v>
      </c>
      <c r="Z19" s="56"/>
      <c r="AA19" s="25"/>
      <c r="AB19" s="25"/>
    </row>
    <row r="20" spans="2:28">
      <c r="B20" s="39">
        <v>0.72083333333333333</v>
      </c>
      <c r="C20" s="39" t="s">
        <v>560</v>
      </c>
      <c r="D20" s="40">
        <v>1</v>
      </c>
      <c r="E20" s="41">
        <v>2</v>
      </c>
      <c r="F20" s="41" t="s">
        <v>169</v>
      </c>
      <c r="G20" s="42" t="s">
        <v>150</v>
      </c>
      <c r="H20" s="41" t="s">
        <v>147</v>
      </c>
      <c r="I20" s="42">
        <v>3</v>
      </c>
      <c r="J20" s="42">
        <v>4</v>
      </c>
      <c r="K20" s="25" t="str">
        <f>VLOOKUP(J20,Key!$E$2:$F$9,2,FALSE)</f>
        <v>Commercial</v>
      </c>
      <c r="L20" s="41" t="s">
        <v>155</v>
      </c>
      <c r="M20" s="42" t="s">
        <v>148</v>
      </c>
      <c r="N20" s="41" t="s">
        <v>147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Commercial-Home</v>
      </c>
      <c r="S20" s="47">
        <v>25</v>
      </c>
      <c r="T20" s="47">
        <v>0.3</v>
      </c>
      <c r="U20" s="42">
        <v>3</v>
      </c>
      <c r="V20" s="42"/>
      <c r="W20" s="47"/>
      <c r="X20" s="47"/>
      <c r="Y20" s="48" t="s">
        <v>146</v>
      </c>
      <c r="Z20" s="56"/>
      <c r="AA20" s="25"/>
      <c r="AB20" s="25"/>
    </row>
    <row r="21" spans="2:28">
      <c r="B21" s="39">
        <v>0.71666666666666667</v>
      </c>
      <c r="C21" s="39" t="s">
        <v>561</v>
      </c>
      <c r="D21" s="40">
        <v>1</v>
      </c>
      <c r="E21" s="41">
        <v>3</v>
      </c>
      <c r="F21" s="41" t="s">
        <v>169</v>
      </c>
      <c r="G21" s="42" t="s">
        <v>150</v>
      </c>
      <c r="H21" s="41" t="s">
        <v>147</v>
      </c>
      <c r="I21" s="42">
        <v>1</v>
      </c>
      <c r="J21" s="42">
        <v>1</v>
      </c>
      <c r="K21" s="25" t="str">
        <f>VLOOKUP(J21,Key!$E$2:$F$9,2,FALSE)</f>
        <v>Home</v>
      </c>
      <c r="L21" s="41" t="s">
        <v>155</v>
      </c>
      <c r="M21" s="42" t="s">
        <v>148</v>
      </c>
      <c r="N21" s="41" t="s">
        <v>147</v>
      </c>
      <c r="O21" s="42">
        <v>16</v>
      </c>
      <c r="P21" s="42">
        <v>8</v>
      </c>
      <c r="Q21" s="25" t="str">
        <f>VLOOKUP(P21,Key!$E$2:$F$9,2,FALSE)</f>
        <v>Others</v>
      </c>
      <c r="R21" s="25" t="str">
        <f t="shared" si="0"/>
        <v>Home-Others</v>
      </c>
      <c r="S21" s="47">
        <v>35</v>
      </c>
      <c r="T21" s="47">
        <v>1</v>
      </c>
      <c r="U21" s="42">
        <v>4</v>
      </c>
      <c r="V21" s="42">
        <v>11</v>
      </c>
      <c r="W21" s="47"/>
      <c r="X21" s="47"/>
      <c r="Y21" s="48" t="s">
        <v>146</v>
      </c>
      <c r="Z21" s="56"/>
      <c r="AA21" s="25"/>
      <c r="AB21" s="25"/>
    </row>
    <row r="22" spans="2:28">
      <c r="B22" s="39">
        <v>0.71458333333333324</v>
      </c>
      <c r="C22" s="39" t="s">
        <v>562</v>
      </c>
      <c r="D22" s="40">
        <v>1</v>
      </c>
      <c r="E22" s="41">
        <v>12</v>
      </c>
      <c r="F22" s="41" t="s">
        <v>191</v>
      </c>
      <c r="G22" s="42" t="s">
        <v>150</v>
      </c>
      <c r="H22" s="41" t="s">
        <v>147</v>
      </c>
      <c r="I22" s="42">
        <v>1</v>
      </c>
      <c r="J22" s="42">
        <v>1</v>
      </c>
      <c r="K22" s="25" t="str">
        <f>VLOOKUP(J22,Key!$E$2:$F$9,2,FALSE)</f>
        <v>Home</v>
      </c>
      <c r="L22" s="41" t="s">
        <v>155</v>
      </c>
      <c r="M22" s="42" t="s">
        <v>148</v>
      </c>
      <c r="N22" s="41" t="s">
        <v>147</v>
      </c>
      <c r="O22" s="42">
        <v>16</v>
      </c>
      <c r="P22" s="42">
        <v>8</v>
      </c>
      <c r="Q22" s="25" t="str">
        <f>VLOOKUP(P22,Key!$E$2:$F$9,2,FALSE)</f>
        <v>Others</v>
      </c>
      <c r="R22" s="25" t="str">
        <f t="shared" si="0"/>
        <v>Home-Others</v>
      </c>
      <c r="S22" s="47">
        <v>5</v>
      </c>
      <c r="T22" s="47">
        <v>0.2</v>
      </c>
      <c r="U22" s="42">
        <v>2</v>
      </c>
      <c r="V22" s="42"/>
      <c r="W22" s="47"/>
      <c r="X22" s="47"/>
      <c r="Y22" s="48" t="s">
        <v>146</v>
      </c>
      <c r="Z22" s="56"/>
      <c r="AA22" s="25"/>
      <c r="AB22" s="25"/>
    </row>
    <row r="23" spans="2:28">
      <c r="B23" s="39">
        <v>0.71111111111111114</v>
      </c>
      <c r="C23" s="39" t="s">
        <v>563</v>
      </c>
      <c r="D23" s="40">
        <v>1</v>
      </c>
      <c r="E23" s="41">
        <v>1</v>
      </c>
      <c r="F23" s="41" t="s">
        <v>164</v>
      </c>
      <c r="G23" s="42" t="s">
        <v>150</v>
      </c>
      <c r="H23" s="41" t="s">
        <v>147</v>
      </c>
      <c r="I23" s="42">
        <v>16</v>
      </c>
      <c r="J23" s="42">
        <v>8</v>
      </c>
      <c r="K23" s="25" t="str">
        <f>VLOOKUP(J23,Key!$E$2:$F$9,2,FALSE)</f>
        <v>Others</v>
      </c>
      <c r="L23" s="41" t="s">
        <v>155</v>
      </c>
      <c r="M23" s="42" t="s">
        <v>148</v>
      </c>
      <c r="N23" s="41" t="s">
        <v>147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Others-Home</v>
      </c>
      <c r="S23" s="47">
        <v>6</v>
      </c>
      <c r="T23" s="47">
        <v>0</v>
      </c>
      <c r="U23" s="42">
        <v>3</v>
      </c>
      <c r="V23" s="42"/>
      <c r="W23" s="47"/>
      <c r="X23" s="47"/>
      <c r="Y23" s="48" t="s">
        <v>146</v>
      </c>
      <c r="Z23" s="56"/>
      <c r="AA23" s="25"/>
      <c r="AB23" s="25"/>
    </row>
    <row r="24" spans="2:28">
      <c r="B24" s="39">
        <v>0.70833333333333337</v>
      </c>
      <c r="C24" s="39" t="s">
        <v>564</v>
      </c>
      <c r="D24" s="40">
        <v>1</v>
      </c>
      <c r="E24" s="41">
        <v>2</v>
      </c>
      <c r="F24" s="41" t="s">
        <v>164</v>
      </c>
      <c r="G24" s="42" t="s">
        <v>150</v>
      </c>
      <c r="H24" s="41" t="s">
        <v>147</v>
      </c>
      <c r="I24" s="42">
        <v>16</v>
      </c>
      <c r="J24" s="42">
        <v>8</v>
      </c>
      <c r="K24" s="25" t="str">
        <f>VLOOKUP(J24,Key!$E$2:$F$9,2,FALSE)</f>
        <v>Others</v>
      </c>
      <c r="L24" s="41" t="s">
        <v>155</v>
      </c>
      <c r="M24" s="42" t="s">
        <v>148</v>
      </c>
      <c r="N24" s="41" t="s">
        <v>147</v>
      </c>
      <c r="O24" s="42">
        <v>1</v>
      </c>
      <c r="P24" s="42">
        <v>1</v>
      </c>
      <c r="Q24" s="25" t="str">
        <f>VLOOKUP(P24,Key!$E$2:$F$9,2,FALSE)</f>
        <v>Home</v>
      </c>
      <c r="R24" s="25" t="str">
        <f t="shared" si="0"/>
        <v>Others-Home</v>
      </c>
      <c r="S24" s="47">
        <v>5</v>
      </c>
      <c r="T24" s="47">
        <v>0.3</v>
      </c>
      <c r="U24" s="42">
        <v>4</v>
      </c>
      <c r="V24" s="42"/>
      <c r="W24" s="47"/>
      <c r="X24" s="47"/>
      <c r="Y24" s="48" t="s">
        <v>146</v>
      </c>
      <c r="Z24" s="56"/>
      <c r="AA24" s="25"/>
      <c r="AB24" s="25"/>
    </row>
    <row r="25" spans="2:28">
      <c r="B25" s="39">
        <v>0.70416666666666661</v>
      </c>
      <c r="C25" s="39" t="s">
        <v>565</v>
      </c>
      <c r="D25" s="40">
        <v>10</v>
      </c>
      <c r="E25" s="41">
        <v>3</v>
      </c>
      <c r="F25" s="41" t="s">
        <v>213</v>
      </c>
      <c r="G25" s="42" t="s">
        <v>150</v>
      </c>
      <c r="H25" s="41" t="s">
        <v>147</v>
      </c>
      <c r="I25" s="42">
        <v>13</v>
      </c>
      <c r="J25" s="42">
        <v>4</v>
      </c>
      <c r="K25" s="25" t="str">
        <f>VLOOKUP(J25,Key!$E$2:$F$9,2,FALSE)</f>
        <v>Commercial</v>
      </c>
      <c r="L25" s="41" t="s">
        <v>155</v>
      </c>
      <c r="M25" s="42" t="s">
        <v>148</v>
      </c>
      <c r="N25" s="41" t="s">
        <v>147</v>
      </c>
      <c r="O25" s="42">
        <v>16</v>
      </c>
      <c r="P25" s="42">
        <v>8</v>
      </c>
      <c r="Q25" s="25" t="str">
        <f>VLOOKUP(P25,Key!$E$2:$F$9,2,FALSE)</f>
        <v>Others</v>
      </c>
      <c r="R25" s="25" t="s">
        <v>567</v>
      </c>
      <c r="S25" s="47">
        <v>32</v>
      </c>
      <c r="T25" s="47">
        <v>0.7</v>
      </c>
      <c r="U25" s="42">
        <v>4</v>
      </c>
      <c r="V25" s="42">
        <v>11</v>
      </c>
      <c r="W25" s="47"/>
      <c r="X25" s="47"/>
      <c r="Y25" s="48" t="s">
        <v>146</v>
      </c>
      <c r="Z25" s="56"/>
      <c r="AA25" s="25"/>
      <c r="AB25" s="25"/>
    </row>
    <row r="26" spans="2:28">
      <c r="B26" s="39">
        <v>0.70138888888888884</v>
      </c>
      <c r="C26" s="39" t="s">
        <v>566</v>
      </c>
      <c r="D26" s="40">
        <v>3</v>
      </c>
      <c r="E26" s="41">
        <v>4</v>
      </c>
      <c r="F26" s="41" t="s">
        <v>209</v>
      </c>
      <c r="G26" s="42" t="s">
        <v>150</v>
      </c>
      <c r="H26" s="41" t="s">
        <v>147</v>
      </c>
      <c r="I26" s="42">
        <v>2</v>
      </c>
      <c r="J26" s="42">
        <v>2</v>
      </c>
      <c r="K26" s="25" t="str">
        <f>VLOOKUP(J26,Key!$E$2:$F$9,2,FALSE)</f>
        <v>Work</v>
      </c>
      <c r="L26" s="41" t="s">
        <v>155</v>
      </c>
      <c r="M26" s="42" t="s">
        <v>148</v>
      </c>
      <c r="N26" s="41" t="s">
        <v>147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7">
        <v>40</v>
      </c>
      <c r="T26" s="47">
        <v>1.5</v>
      </c>
      <c r="U26" s="42">
        <v>6</v>
      </c>
      <c r="V26" s="42"/>
      <c r="W26" s="47"/>
      <c r="X26" s="47"/>
      <c r="Y26" s="48" t="s">
        <v>146</v>
      </c>
      <c r="Z26" s="56"/>
      <c r="AA26" s="25"/>
      <c r="AB26" s="25"/>
    </row>
    <row r="27" spans="2:28">
      <c r="B27" s="39">
        <v>0.69791666666666663</v>
      </c>
      <c r="C27" s="39" t="s">
        <v>568</v>
      </c>
      <c r="D27" s="40">
        <v>1</v>
      </c>
      <c r="E27" s="41">
        <v>8</v>
      </c>
      <c r="F27" s="41" t="s">
        <v>213</v>
      </c>
      <c r="G27" s="42" t="s">
        <v>150</v>
      </c>
      <c r="H27" s="41" t="s">
        <v>147</v>
      </c>
      <c r="I27" s="42">
        <v>1</v>
      </c>
      <c r="J27" s="42">
        <v>1</v>
      </c>
      <c r="K27" s="25" t="str">
        <f>VLOOKUP(J27,Key!$E$2:$F$9,2,FALSE)</f>
        <v>Home</v>
      </c>
      <c r="L27" s="41" t="s">
        <v>155</v>
      </c>
      <c r="M27" s="42" t="s">
        <v>148</v>
      </c>
      <c r="N27" s="41" t="s">
        <v>147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Home-Home</v>
      </c>
      <c r="S27" s="47"/>
      <c r="T27" s="47">
        <v>0.7</v>
      </c>
      <c r="U27" s="42">
        <v>3</v>
      </c>
      <c r="V27" s="42"/>
      <c r="W27" s="47"/>
      <c r="X27" s="47"/>
      <c r="Y27" s="48" t="s">
        <v>146</v>
      </c>
      <c r="Z27" s="56"/>
      <c r="AA27" s="25"/>
      <c r="AB27" s="25"/>
    </row>
    <row r="28" spans="2:28">
      <c r="B28" s="39">
        <v>0.69444444444444453</v>
      </c>
      <c r="C28" s="39" t="s">
        <v>569</v>
      </c>
      <c r="D28" s="40">
        <v>1</v>
      </c>
      <c r="E28" s="41">
        <v>2</v>
      </c>
      <c r="F28" s="41" t="s">
        <v>570</v>
      </c>
      <c r="G28" s="42" t="s">
        <v>150</v>
      </c>
      <c r="H28" s="41" t="s">
        <v>147</v>
      </c>
      <c r="I28" s="42">
        <v>4</v>
      </c>
      <c r="J28" s="42">
        <v>3</v>
      </c>
      <c r="K28" s="25" t="str">
        <f>VLOOKUP(J28,Key!$E$2:$F$9,2,FALSE)</f>
        <v>Study</v>
      </c>
      <c r="L28" s="41" t="s">
        <v>155</v>
      </c>
      <c r="M28" s="42" t="s">
        <v>148</v>
      </c>
      <c r="N28" s="41" t="s">
        <v>147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Study-Home</v>
      </c>
      <c r="S28" s="47">
        <v>4</v>
      </c>
      <c r="T28" s="47">
        <v>0.5</v>
      </c>
      <c r="U28" s="42">
        <v>3</v>
      </c>
      <c r="V28" s="42"/>
      <c r="W28" s="47"/>
      <c r="X28" s="47"/>
      <c r="Y28" s="48" t="s">
        <v>146</v>
      </c>
      <c r="Z28" s="56"/>
      <c r="AA28" s="25"/>
      <c r="AB28" s="25"/>
    </row>
    <row r="29" spans="2:28">
      <c r="B29" s="39">
        <v>0.69027777777777777</v>
      </c>
      <c r="C29" s="39" t="s">
        <v>571</v>
      </c>
      <c r="D29" s="40">
        <v>1</v>
      </c>
      <c r="E29" s="41">
        <v>1</v>
      </c>
      <c r="F29" s="41" t="s">
        <v>164</v>
      </c>
      <c r="G29" s="42" t="s">
        <v>150</v>
      </c>
      <c r="H29" s="41" t="s">
        <v>147</v>
      </c>
      <c r="I29" s="42">
        <v>4</v>
      </c>
      <c r="J29" s="42">
        <v>3</v>
      </c>
      <c r="K29" s="25" t="str">
        <f>VLOOKUP(J29,Key!$E$2:$F$9,2,FALSE)</f>
        <v>Study</v>
      </c>
      <c r="L29" s="41" t="s">
        <v>155</v>
      </c>
      <c r="M29" s="42" t="s">
        <v>148</v>
      </c>
      <c r="N29" s="41" t="s">
        <v>147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Study-Home</v>
      </c>
      <c r="S29" s="47">
        <v>10</v>
      </c>
      <c r="T29" s="47">
        <v>0.3</v>
      </c>
      <c r="U29" s="42">
        <v>3</v>
      </c>
      <c r="V29" s="42"/>
      <c r="W29" s="47"/>
      <c r="X29" s="47"/>
      <c r="Y29" s="48" t="s">
        <v>146</v>
      </c>
      <c r="Z29" s="56"/>
      <c r="AA29" s="25"/>
      <c r="AB29" s="25"/>
    </row>
    <row r="30" spans="2:28">
      <c r="B30" s="39">
        <v>0.68541666666666667</v>
      </c>
      <c r="C30" s="39" t="s">
        <v>572</v>
      </c>
      <c r="D30" s="40">
        <v>1</v>
      </c>
      <c r="E30" s="41">
        <v>2</v>
      </c>
      <c r="F30" s="41" t="s">
        <v>573</v>
      </c>
      <c r="G30" s="42" t="s">
        <v>150</v>
      </c>
      <c r="H30" s="41" t="s">
        <v>147</v>
      </c>
      <c r="I30" s="42">
        <v>7</v>
      </c>
      <c r="J30" s="42">
        <v>2</v>
      </c>
      <c r="K30" s="25" t="str">
        <f>VLOOKUP(J30,Key!$E$2:$F$9,2,FALSE)</f>
        <v>Work</v>
      </c>
      <c r="L30" s="41" t="s">
        <v>155</v>
      </c>
      <c r="M30" s="42" t="s">
        <v>148</v>
      </c>
      <c r="N30" s="41" t="s">
        <v>147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Work-Home</v>
      </c>
      <c r="S30" s="47">
        <v>30</v>
      </c>
      <c r="T30" s="47">
        <v>2</v>
      </c>
      <c r="U30" s="42">
        <v>4</v>
      </c>
      <c r="V30" s="42">
        <v>10</v>
      </c>
      <c r="W30" s="47"/>
      <c r="X30" s="47"/>
      <c r="Y30" s="48" t="s">
        <v>146</v>
      </c>
      <c r="Z30" s="56"/>
      <c r="AA30" s="25"/>
      <c r="AB30" s="25"/>
    </row>
    <row r="31" spans="2:28">
      <c r="B31" s="39">
        <v>0.53472222222222221</v>
      </c>
      <c r="C31" s="39" t="s">
        <v>574</v>
      </c>
      <c r="D31" s="40">
        <v>2</v>
      </c>
      <c r="E31" s="41">
        <v>7</v>
      </c>
      <c r="F31" s="41" t="s">
        <v>209</v>
      </c>
      <c r="G31" s="42" t="s">
        <v>150</v>
      </c>
      <c r="H31" s="41" t="s">
        <v>147</v>
      </c>
      <c r="I31" s="42">
        <v>1</v>
      </c>
      <c r="J31" s="42">
        <v>1</v>
      </c>
      <c r="K31" s="25" t="str">
        <f>VLOOKUP(J31,Key!$E$2:$F$9,2,FALSE)</f>
        <v>Home</v>
      </c>
      <c r="L31" s="41" t="s">
        <v>155</v>
      </c>
      <c r="M31" s="42" t="s">
        <v>148</v>
      </c>
      <c r="N31" s="41" t="s">
        <v>147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Home-Home</v>
      </c>
      <c r="S31" s="47">
        <v>69</v>
      </c>
      <c r="T31" s="47">
        <v>1</v>
      </c>
      <c r="U31" s="42">
        <v>4</v>
      </c>
      <c r="V31" s="42"/>
      <c r="W31" s="47"/>
      <c r="X31" s="47"/>
      <c r="Y31" s="48" t="s">
        <v>146</v>
      </c>
      <c r="Z31" s="56"/>
      <c r="AA31" s="25"/>
      <c r="AB31" s="25"/>
    </row>
    <row r="32" spans="2:28">
      <c r="B32" s="39">
        <v>0.53055555555555556</v>
      </c>
      <c r="C32" s="39" t="s">
        <v>575</v>
      </c>
      <c r="D32" s="40">
        <v>1</v>
      </c>
      <c r="E32" s="41">
        <v>1</v>
      </c>
      <c r="F32" s="41" t="s">
        <v>169</v>
      </c>
      <c r="G32" s="42" t="s">
        <v>150</v>
      </c>
      <c r="H32" s="41" t="s">
        <v>147</v>
      </c>
      <c r="I32" s="42">
        <v>1</v>
      </c>
      <c r="J32" s="42">
        <v>1</v>
      </c>
      <c r="K32" s="25" t="str">
        <f>VLOOKUP(J32,Key!$E$2:$F$9,2,FALSE)</f>
        <v>Home</v>
      </c>
      <c r="L32" s="41" t="s">
        <v>155</v>
      </c>
      <c r="M32" s="42" t="s">
        <v>148</v>
      </c>
      <c r="N32" s="41" t="s">
        <v>147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7">
        <v>9</v>
      </c>
      <c r="T32" s="47">
        <v>0.5</v>
      </c>
      <c r="U32" s="42">
        <v>2</v>
      </c>
      <c r="V32" s="42"/>
      <c r="W32" s="47"/>
      <c r="X32" s="47"/>
      <c r="Y32" s="48" t="s">
        <v>146</v>
      </c>
      <c r="Z32" s="56"/>
      <c r="AA32" s="25"/>
      <c r="AB32" s="25"/>
    </row>
    <row r="33" spans="2:28">
      <c r="B33" s="39">
        <v>0.52777777777777779</v>
      </c>
      <c r="C33" s="39" t="s">
        <v>576</v>
      </c>
      <c r="D33" s="40">
        <v>1</v>
      </c>
      <c r="E33" s="41">
        <v>4</v>
      </c>
      <c r="F33" s="41" t="s">
        <v>169</v>
      </c>
      <c r="G33" s="42" t="s">
        <v>150</v>
      </c>
      <c r="H33" s="41" t="s">
        <v>147</v>
      </c>
      <c r="I33" s="42">
        <v>4</v>
      </c>
      <c r="J33" s="42">
        <v>3</v>
      </c>
      <c r="K33" s="25" t="str">
        <f>VLOOKUP(J33,Key!$E$2:$F$9,2,FALSE)</f>
        <v>Study</v>
      </c>
      <c r="L33" s="41" t="s">
        <v>155</v>
      </c>
      <c r="M33" s="42" t="s">
        <v>148</v>
      </c>
      <c r="N33" s="41" t="s">
        <v>147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Study-Home</v>
      </c>
      <c r="S33" s="47">
        <v>52</v>
      </c>
      <c r="T33" s="47">
        <v>1</v>
      </c>
      <c r="U33" s="42">
        <v>3</v>
      </c>
      <c r="V33" s="42"/>
      <c r="W33" s="47"/>
      <c r="X33" s="47"/>
      <c r="Y33" s="48" t="s">
        <v>146</v>
      </c>
      <c r="Z33" s="56"/>
      <c r="AA33" s="25"/>
      <c r="AB33" s="25"/>
    </row>
    <row r="34" spans="2:28">
      <c r="B34" s="39">
        <v>0.52500000000000002</v>
      </c>
      <c r="C34" s="39" t="s">
        <v>577</v>
      </c>
      <c r="D34" s="40">
        <v>2</v>
      </c>
      <c r="E34" s="41">
        <v>1</v>
      </c>
      <c r="F34" s="41" t="s">
        <v>262</v>
      </c>
      <c r="G34" s="42" t="s">
        <v>150</v>
      </c>
      <c r="H34" s="41" t="s">
        <v>147</v>
      </c>
      <c r="I34" s="42">
        <v>16</v>
      </c>
      <c r="J34" s="42">
        <v>8</v>
      </c>
      <c r="K34" s="25" t="str">
        <f>VLOOKUP(J34,Key!$E$2:$F$9,2,FALSE)</f>
        <v>Others</v>
      </c>
      <c r="L34" s="41" t="s">
        <v>234</v>
      </c>
      <c r="M34" s="42" t="s">
        <v>235</v>
      </c>
      <c r="N34" s="41" t="s">
        <v>147</v>
      </c>
      <c r="O34" s="42">
        <v>1</v>
      </c>
      <c r="P34" s="42">
        <v>1</v>
      </c>
      <c r="Q34" s="25" t="str">
        <f>VLOOKUP(P34,Key!$E$2:$F$9,2,FALSE)</f>
        <v>Home</v>
      </c>
      <c r="R34" s="25" t="str">
        <f t="shared" si="0"/>
        <v>Others-Home</v>
      </c>
      <c r="S34" s="47"/>
      <c r="T34" s="47">
        <v>3</v>
      </c>
      <c r="U34" s="42">
        <v>6</v>
      </c>
      <c r="V34" s="42"/>
      <c r="W34" s="47"/>
      <c r="X34" s="47"/>
      <c r="Y34" s="48" t="s">
        <v>146</v>
      </c>
      <c r="Z34" s="56"/>
      <c r="AA34" s="25"/>
      <c r="AB34" s="25"/>
    </row>
    <row r="35" spans="2:28">
      <c r="B35" s="39">
        <v>0.52083333333333337</v>
      </c>
      <c r="C35" s="39" t="s">
        <v>578</v>
      </c>
      <c r="D35" s="40">
        <v>1</v>
      </c>
      <c r="E35" s="41">
        <v>3</v>
      </c>
      <c r="F35" s="41" t="s">
        <v>164</v>
      </c>
      <c r="G35" s="42" t="s">
        <v>150</v>
      </c>
      <c r="H35" s="41" t="s">
        <v>147</v>
      </c>
      <c r="I35" s="42">
        <v>1</v>
      </c>
      <c r="J35" s="42">
        <v>1</v>
      </c>
      <c r="K35" s="25" t="str">
        <f>VLOOKUP(J35,Key!$E$2:$F$9,2,FALSE)</f>
        <v>Home</v>
      </c>
      <c r="L35" s="41" t="s">
        <v>155</v>
      </c>
      <c r="M35" s="42" t="s">
        <v>148</v>
      </c>
      <c r="N35" s="41" t="s">
        <v>147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47">
        <v>4</v>
      </c>
      <c r="T35" s="47">
        <v>0.3</v>
      </c>
      <c r="U35" s="42">
        <v>1</v>
      </c>
      <c r="V35" s="42"/>
      <c r="W35" s="47"/>
      <c r="X35" s="47"/>
      <c r="Y35" s="48" t="s">
        <v>146</v>
      </c>
      <c r="Z35" s="56"/>
      <c r="AA35" s="25"/>
      <c r="AB35" s="25"/>
    </row>
    <row r="36" spans="2:28">
      <c r="B36" s="39">
        <v>0.51736111111111105</v>
      </c>
      <c r="C36" s="39" t="s">
        <v>348</v>
      </c>
      <c r="D36" s="40">
        <v>3</v>
      </c>
      <c r="E36" s="41">
        <v>2</v>
      </c>
      <c r="F36" s="41" t="s">
        <v>169</v>
      </c>
      <c r="G36" s="42" t="s">
        <v>150</v>
      </c>
      <c r="H36" s="41" t="s">
        <v>147</v>
      </c>
      <c r="I36" s="42">
        <v>1</v>
      </c>
      <c r="J36" s="42">
        <v>1</v>
      </c>
      <c r="K36" s="25" t="str">
        <f>VLOOKUP(J36,Key!$E$2:$F$9,2,FALSE)</f>
        <v>Home</v>
      </c>
      <c r="L36" s="41" t="s">
        <v>155</v>
      </c>
      <c r="M36" s="42" t="s">
        <v>148</v>
      </c>
      <c r="N36" s="41" t="s">
        <v>147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Home-Home</v>
      </c>
      <c r="S36" s="47">
        <v>13</v>
      </c>
      <c r="T36" s="47">
        <v>0.5</v>
      </c>
      <c r="U36" s="42">
        <v>4</v>
      </c>
      <c r="V36" s="42">
        <v>10</v>
      </c>
      <c r="W36" s="47"/>
      <c r="X36" s="47"/>
      <c r="Y36" s="48" t="s">
        <v>146</v>
      </c>
      <c r="Z36" s="56"/>
      <c r="AA36" s="25"/>
      <c r="AB36" s="25"/>
    </row>
    <row r="37" spans="2:28">
      <c r="B37" s="39">
        <v>0.51527777777777783</v>
      </c>
      <c r="C37" s="39" t="s">
        <v>579</v>
      </c>
      <c r="D37" s="40">
        <v>1</v>
      </c>
      <c r="E37" s="41">
        <v>4</v>
      </c>
      <c r="F37" s="41" t="s">
        <v>169</v>
      </c>
      <c r="G37" s="42" t="s">
        <v>150</v>
      </c>
      <c r="H37" s="41" t="s">
        <v>147</v>
      </c>
      <c r="I37" s="42">
        <v>1</v>
      </c>
      <c r="J37" s="42">
        <v>1</v>
      </c>
      <c r="K37" s="25" t="str">
        <f>VLOOKUP(J37,Key!$E$2:$F$9,2,FALSE)</f>
        <v>Home</v>
      </c>
      <c r="L37" s="41" t="s">
        <v>155</v>
      </c>
      <c r="M37" s="42" t="s">
        <v>148</v>
      </c>
      <c r="N37" s="41" t="s">
        <v>147</v>
      </c>
      <c r="O37" s="42">
        <v>16</v>
      </c>
      <c r="P37" s="42">
        <v>8</v>
      </c>
      <c r="Q37" s="25" t="str">
        <f>VLOOKUP(P37,Key!$E$2:$F$9,2,FALSE)</f>
        <v>Others</v>
      </c>
      <c r="R37" s="25" t="str">
        <f t="shared" si="0"/>
        <v>Home-Others</v>
      </c>
      <c r="S37" s="47">
        <v>35</v>
      </c>
      <c r="T37" s="47">
        <v>2</v>
      </c>
      <c r="U37" s="42">
        <v>6</v>
      </c>
      <c r="V37" s="42"/>
      <c r="W37" s="47"/>
      <c r="X37" s="47"/>
      <c r="Y37" s="48" t="s">
        <v>146</v>
      </c>
      <c r="Z37" s="56"/>
      <c r="AA37" s="25"/>
      <c r="AB37" s="25"/>
    </row>
    <row r="38" spans="2:28">
      <c r="B38" s="39">
        <v>0.5131944444444444</v>
      </c>
      <c r="C38" s="39" t="s">
        <v>580</v>
      </c>
      <c r="D38" s="40">
        <v>2</v>
      </c>
      <c r="E38" s="41">
        <v>3</v>
      </c>
      <c r="F38" s="41" t="s">
        <v>213</v>
      </c>
      <c r="G38" s="42" t="s">
        <v>150</v>
      </c>
      <c r="H38" s="41" t="s">
        <v>147</v>
      </c>
      <c r="I38" s="42">
        <v>1</v>
      </c>
      <c r="J38" s="42">
        <v>1</v>
      </c>
      <c r="K38" s="25" t="str">
        <f>VLOOKUP(J38,Key!$E$2:$F$9,2,FALSE)</f>
        <v>Home</v>
      </c>
      <c r="L38" s="41" t="s">
        <v>155</v>
      </c>
      <c r="M38" s="42" t="s">
        <v>148</v>
      </c>
      <c r="N38" s="41" t="s">
        <v>147</v>
      </c>
      <c r="O38" s="42">
        <v>5</v>
      </c>
      <c r="P38" s="42">
        <v>7</v>
      </c>
      <c r="Q38" s="25" t="str">
        <f>VLOOKUP(P38,Key!$E$2:$F$9,2,FALSE)</f>
        <v>Hospital</v>
      </c>
      <c r="R38" s="25" t="str">
        <f t="shared" ref="R38:R82" si="1">K38&amp;"-"&amp;Q38</f>
        <v>Home-Hospital</v>
      </c>
      <c r="S38" s="47">
        <v>36</v>
      </c>
      <c r="T38" s="47">
        <v>0.5</v>
      </c>
      <c r="U38" s="42">
        <v>3</v>
      </c>
      <c r="V38" s="42"/>
      <c r="W38" s="47"/>
      <c r="X38" s="47"/>
      <c r="Y38" s="48" t="s">
        <v>146</v>
      </c>
      <c r="Z38" s="56"/>
      <c r="AA38" s="25"/>
      <c r="AB38" s="25"/>
    </row>
    <row r="39" spans="2:28">
      <c r="B39" s="39">
        <v>0.51041666666666663</v>
      </c>
      <c r="C39" s="39" t="s">
        <v>346</v>
      </c>
      <c r="D39" s="40">
        <v>8</v>
      </c>
      <c r="E39" s="41">
        <v>2</v>
      </c>
      <c r="F39" s="41" t="s">
        <v>169</v>
      </c>
      <c r="G39" s="42" t="s">
        <v>150</v>
      </c>
      <c r="H39" s="41" t="s">
        <v>147</v>
      </c>
      <c r="I39" s="42">
        <v>13</v>
      </c>
      <c r="J39" s="42">
        <v>4</v>
      </c>
      <c r="K39" s="25" t="str">
        <f>VLOOKUP(J39,Key!$E$2:$F$9,2,FALSE)</f>
        <v>Commercial</v>
      </c>
      <c r="L39" s="41" t="s">
        <v>155</v>
      </c>
      <c r="M39" s="42" t="s">
        <v>148</v>
      </c>
      <c r="N39" s="41" t="s">
        <v>147</v>
      </c>
      <c r="O39" s="42">
        <v>10</v>
      </c>
      <c r="P39" s="42">
        <v>2</v>
      </c>
      <c r="Q39" s="25" t="str">
        <f>VLOOKUP(P39,Key!$E$2:$F$9,2,FALSE)</f>
        <v>Work</v>
      </c>
      <c r="R39" s="25" t="str">
        <f t="shared" si="1"/>
        <v>Commercial-Work</v>
      </c>
      <c r="S39" s="47">
        <v>37</v>
      </c>
      <c r="T39" s="47">
        <v>1.5</v>
      </c>
      <c r="U39" s="42">
        <v>2</v>
      </c>
      <c r="V39" s="42">
        <v>4</v>
      </c>
      <c r="W39" s="47">
        <v>6</v>
      </c>
      <c r="X39" s="47">
        <v>40000</v>
      </c>
      <c r="Y39" s="48" t="s">
        <v>146</v>
      </c>
      <c r="Z39" s="56"/>
      <c r="AA39" s="25"/>
      <c r="AB39" s="25"/>
    </row>
    <row r="40" spans="2:28">
      <c r="B40" s="39">
        <v>0.50763888888888886</v>
      </c>
      <c r="C40" s="39" t="s">
        <v>581</v>
      </c>
      <c r="D40" s="40">
        <v>1</v>
      </c>
      <c r="E40" s="41">
        <v>1</v>
      </c>
      <c r="F40" s="41" t="s">
        <v>164</v>
      </c>
      <c r="G40" s="42" t="s">
        <v>150</v>
      </c>
      <c r="H40" s="41" t="s">
        <v>147</v>
      </c>
      <c r="I40" s="42">
        <v>4</v>
      </c>
      <c r="J40" s="42">
        <v>3</v>
      </c>
      <c r="K40" s="25" t="str">
        <f>VLOOKUP(J40,Key!$E$2:$F$9,2,FALSE)</f>
        <v>Study</v>
      </c>
      <c r="L40" s="41" t="s">
        <v>155</v>
      </c>
      <c r="M40" s="42" t="s">
        <v>148</v>
      </c>
      <c r="N40" s="41" t="s">
        <v>147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1"/>
        <v>Study-Home</v>
      </c>
      <c r="S40" s="47">
        <v>2</v>
      </c>
      <c r="T40" s="47">
        <v>0.2</v>
      </c>
      <c r="U40" s="42">
        <v>2</v>
      </c>
      <c r="V40" s="42"/>
      <c r="W40" s="47"/>
      <c r="X40" s="47"/>
      <c r="Y40" s="48" t="s">
        <v>146</v>
      </c>
      <c r="Z40" s="56"/>
      <c r="AA40" s="25"/>
      <c r="AB40" s="25"/>
    </row>
    <row r="41" spans="2:28">
      <c r="B41" s="39">
        <v>0.44097222222222227</v>
      </c>
      <c r="C41" s="39" t="s">
        <v>582</v>
      </c>
      <c r="D41" s="40">
        <v>2</v>
      </c>
      <c r="E41" s="41">
        <v>2</v>
      </c>
      <c r="F41" s="41" t="s">
        <v>171</v>
      </c>
      <c r="G41" s="42" t="s">
        <v>150</v>
      </c>
      <c r="H41" s="41" t="s">
        <v>147</v>
      </c>
      <c r="I41" s="42">
        <v>1</v>
      </c>
      <c r="J41" s="42">
        <v>1</v>
      </c>
      <c r="K41" s="25" t="str">
        <f>VLOOKUP(J41,Key!$E$2:$F$9,2,FALSE)</f>
        <v>Home</v>
      </c>
      <c r="L41" s="41" t="s">
        <v>155</v>
      </c>
      <c r="M41" s="42" t="s">
        <v>148</v>
      </c>
      <c r="N41" s="41" t="s">
        <v>147</v>
      </c>
      <c r="O41" s="42">
        <v>4</v>
      </c>
      <c r="P41" s="42">
        <v>3</v>
      </c>
      <c r="Q41" s="25" t="str">
        <f>VLOOKUP(P41,Key!$E$2:$F$9,2,FALSE)</f>
        <v>Study</v>
      </c>
      <c r="R41" s="25" t="str">
        <f t="shared" si="1"/>
        <v>Home-Study</v>
      </c>
      <c r="S41" s="47">
        <v>44</v>
      </c>
      <c r="T41" s="47">
        <v>1</v>
      </c>
      <c r="U41" s="42">
        <v>4</v>
      </c>
      <c r="V41" s="42"/>
      <c r="W41" s="47"/>
      <c r="X41" s="47"/>
      <c r="Y41" s="48" t="s">
        <v>146</v>
      </c>
      <c r="Z41" s="56"/>
      <c r="AA41" s="25"/>
      <c r="AB41" s="25"/>
    </row>
    <row r="42" spans="2:28">
      <c r="B42" s="39">
        <v>0.4375</v>
      </c>
      <c r="C42" s="39" t="s">
        <v>583</v>
      </c>
      <c r="D42" s="40">
        <v>2</v>
      </c>
      <c r="E42" s="41">
        <v>1</v>
      </c>
      <c r="F42" s="41" t="s">
        <v>584</v>
      </c>
      <c r="G42" s="42" t="s">
        <v>150</v>
      </c>
      <c r="H42" s="41" t="s">
        <v>147</v>
      </c>
      <c r="I42" s="42">
        <v>1</v>
      </c>
      <c r="J42" s="42">
        <v>1</v>
      </c>
      <c r="K42" s="25" t="str">
        <f>VLOOKUP(J42,Key!$E$2:$F$9,2,FALSE)</f>
        <v>Home</v>
      </c>
      <c r="L42" s="41" t="s">
        <v>155</v>
      </c>
      <c r="M42" s="42" t="s">
        <v>148</v>
      </c>
      <c r="N42" s="41" t="s">
        <v>147</v>
      </c>
      <c r="O42" s="42">
        <v>16</v>
      </c>
      <c r="P42" s="42">
        <v>8</v>
      </c>
      <c r="Q42" s="25" t="str">
        <f>VLOOKUP(P42,Key!$E$2:$F$9,2,FALSE)</f>
        <v>Others</v>
      </c>
      <c r="R42" s="25" t="str">
        <f t="shared" si="1"/>
        <v>Home-Others</v>
      </c>
      <c r="S42" s="47">
        <v>33</v>
      </c>
      <c r="T42" s="47">
        <v>1</v>
      </c>
      <c r="U42" s="42">
        <v>4</v>
      </c>
      <c r="V42" s="42"/>
      <c r="W42" s="47"/>
      <c r="X42" s="47"/>
      <c r="Y42" s="48" t="s">
        <v>146</v>
      </c>
      <c r="Z42" s="56"/>
      <c r="AA42" s="25"/>
      <c r="AB42" s="25"/>
    </row>
    <row r="43" spans="2:28">
      <c r="B43" s="39">
        <v>0.43472222222222223</v>
      </c>
      <c r="C43" s="39" t="s">
        <v>585</v>
      </c>
      <c r="D43" s="40">
        <v>2</v>
      </c>
      <c r="E43" s="41">
        <v>6</v>
      </c>
      <c r="F43" s="41" t="s">
        <v>586</v>
      </c>
      <c r="G43" s="42" t="s">
        <v>150</v>
      </c>
      <c r="H43" s="41" t="s">
        <v>147</v>
      </c>
      <c r="I43" s="42">
        <v>1</v>
      </c>
      <c r="J43" s="42">
        <v>1</v>
      </c>
      <c r="K43" s="25" t="str">
        <f>VLOOKUP(J43,Key!$E$2:$F$9,2,FALSE)</f>
        <v>Home</v>
      </c>
      <c r="L43" s="41" t="s">
        <v>155</v>
      </c>
      <c r="M43" s="42" t="s">
        <v>148</v>
      </c>
      <c r="N43" s="41" t="s">
        <v>147</v>
      </c>
      <c r="O43" s="42">
        <v>4</v>
      </c>
      <c r="P43" s="42">
        <v>3</v>
      </c>
      <c r="Q43" s="25" t="str">
        <f>VLOOKUP(P43,Key!$E$2:$F$9,2,FALSE)</f>
        <v>Study</v>
      </c>
      <c r="R43" s="25" t="str">
        <f t="shared" si="1"/>
        <v>Home-Study</v>
      </c>
      <c r="S43" s="47"/>
      <c r="T43" s="47">
        <v>2</v>
      </c>
      <c r="U43" s="42">
        <v>4</v>
      </c>
      <c r="V43" s="42"/>
      <c r="W43" s="47"/>
      <c r="X43" s="47"/>
      <c r="Y43" s="48" t="s">
        <v>146</v>
      </c>
      <c r="Z43" s="56"/>
      <c r="AA43" s="25"/>
      <c r="AB43" s="25"/>
    </row>
    <row r="44" spans="2:28">
      <c r="B44" s="39">
        <v>0.43194444444444446</v>
      </c>
      <c r="C44" s="39" t="s">
        <v>587</v>
      </c>
      <c r="D44" s="40">
        <v>11</v>
      </c>
      <c r="E44" s="41">
        <v>2</v>
      </c>
      <c r="F44" s="41" t="s">
        <v>195</v>
      </c>
      <c r="G44" s="42" t="s">
        <v>150</v>
      </c>
      <c r="H44" s="41" t="s">
        <v>147</v>
      </c>
      <c r="I44" s="42">
        <v>8</v>
      </c>
      <c r="J44" s="42">
        <v>2</v>
      </c>
      <c r="K44" s="25" t="str">
        <f>VLOOKUP(J44,Key!$E$2:$F$9,2,FALSE)</f>
        <v>Work</v>
      </c>
      <c r="L44" s="41" t="s">
        <v>155</v>
      </c>
      <c r="M44" s="42" t="s">
        <v>148</v>
      </c>
      <c r="N44" s="41" t="s">
        <v>147</v>
      </c>
      <c r="O44" s="42">
        <v>8</v>
      </c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47">
        <v>6</v>
      </c>
      <c r="T44" s="47">
        <v>0.2</v>
      </c>
      <c r="U44" s="42">
        <v>2</v>
      </c>
      <c r="V44" s="42"/>
      <c r="W44" s="47"/>
      <c r="X44" s="47"/>
      <c r="Y44" s="48" t="s">
        <v>146</v>
      </c>
      <c r="Z44" s="56"/>
      <c r="AA44" s="25"/>
      <c r="AB44" s="25"/>
    </row>
    <row r="45" spans="2:28">
      <c r="B45" s="39">
        <v>0.43055555555555558</v>
      </c>
      <c r="C45" s="39" t="s">
        <v>588</v>
      </c>
      <c r="D45" s="40">
        <v>2</v>
      </c>
      <c r="E45" s="41">
        <v>1</v>
      </c>
      <c r="F45" s="41" t="s">
        <v>589</v>
      </c>
      <c r="G45" s="42" t="s">
        <v>150</v>
      </c>
      <c r="H45" s="41" t="s">
        <v>147</v>
      </c>
      <c r="I45" s="42">
        <v>1</v>
      </c>
      <c r="J45" s="42">
        <v>1</v>
      </c>
      <c r="K45" s="25" t="str">
        <f>VLOOKUP(J45,Key!$E$2:$F$9,2,FALSE)</f>
        <v>Home</v>
      </c>
      <c r="L45" s="41" t="s">
        <v>155</v>
      </c>
      <c r="M45" s="42" t="s">
        <v>148</v>
      </c>
      <c r="N45" s="41" t="s">
        <v>147</v>
      </c>
      <c r="O45" s="42">
        <v>2</v>
      </c>
      <c r="P45" s="42">
        <v>2</v>
      </c>
      <c r="Q45" s="25" t="str">
        <f>VLOOKUP(P45,Key!$E$2:$F$9,2,FALSE)</f>
        <v>Work</v>
      </c>
      <c r="R45" s="25" t="str">
        <f t="shared" si="1"/>
        <v>Home-Work</v>
      </c>
      <c r="S45" s="47">
        <v>8</v>
      </c>
      <c r="T45" s="47">
        <v>0.3</v>
      </c>
      <c r="U45" s="42">
        <v>2</v>
      </c>
      <c r="V45" s="42"/>
      <c r="W45" s="47"/>
      <c r="X45" s="47"/>
      <c r="Y45" s="48" t="s">
        <v>146</v>
      </c>
      <c r="Z45" s="56"/>
      <c r="AA45" s="25"/>
      <c r="AB45" s="25"/>
    </row>
    <row r="46" spans="2:28">
      <c r="B46" s="39">
        <v>0.40972222222222227</v>
      </c>
      <c r="C46" s="39" t="s">
        <v>590</v>
      </c>
      <c r="D46" s="40">
        <v>1</v>
      </c>
      <c r="E46" s="41">
        <v>2</v>
      </c>
      <c r="F46" s="41" t="s">
        <v>164</v>
      </c>
      <c r="G46" s="42" t="s">
        <v>150</v>
      </c>
      <c r="H46" s="41" t="s">
        <v>147</v>
      </c>
      <c r="I46" s="42">
        <v>1</v>
      </c>
      <c r="J46" s="42">
        <v>1</v>
      </c>
      <c r="K46" s="25" t="str">
        <f>VLOOKUP(J46,Key!$E$2:$F$9,2,FALSE)</f>
        <v>Home</v>
      </c>
      <c r="L46" s="41" t="s">
        <v>155</v>
      </c>
      <c r="M46" s="42" t="s">
        <v>148</v>
      </c>
      <c r="N46" s="41" t="s">
        <v>147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47">
        <v>7</v>
      </c>
      <c r="T46" s="47">
        <v>0.1</v>
      </c>
      <c r="U46" s="42">
        <v>2</v>
      </c>
      <c r="V46" s="42"/>
      <c r="W46" s="47"/>
      <c r="X46" s="47"/>
      <c r="Y46" s="48" t="s">
        <v>146</v>
      </c>
      <c r="Z46" s="56"/>
      <c r="AA46" s="25"/>
      <c r="AB46" s="25"/>
    </row>
    <row r="47" spans="2:28">
      <c r="B47" s="39">
        <v>0.40277777777777773</v>
      </c>
      <c r="C47" s="39" t="s">
        <v>591</v>
      </c>
      <c r="D47" s="40">
        <v>3</v>
      </c>
      <c r="E47" s="41">
        <v>3</v>
      </c>
      <c r="F47" s="41" t="s">
        <v>164</v>
      </c>
      <c r="G47" s="42" t="s">
        <v>150</v>
      </c>
      <c r="H47" s="41" t="s">
        <v>147</v>
      </c>
      <c r="I47" s="42">
        <v>9</v>
      </c>
      <c r="J47" s="42">
        <v>4</v>
      </c>
      <c r="K47" s="25" t="str">
        <f>VLOOKUP(J47,Key!$E$2:$F$9,2,FALSE)</f>
        <v>Commercial</v>
      </c>
      <c r="L47" s="41" t="s">
        <v>155</v>
      </c>
      <c r="M47" s="42" t="s">
        <v>148</v>
      </c>
      <c r="N47" s="41" t="s">
        <v>147</v>
      </c>
      <c r="O47" s="42">
        <v>9</v>
      </c>
      <c r="P47" s="42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47">
        <v>10</v>
      </c>
      <c r="T47" s="47">
        <v>0.3</v>
      </c>
      <c r="U47" s="42">
        <v>5</v>
      </c>
      <c r="V47" s="42">
        <v>9</v>
      </c>
      <c r="W47" s="47"/>
      <c r="X47" s="47"/>
      <c r="Y47" s="48" t="s">
        <v>146</v>
      </c>
      <c r="Z47" s="56"/>
      <c r="AA47" s="25"/>
      <c r="AB47" s="25"/>
    </row>
    <row r="48" spans="2:28">
      <c r="B48" s="39">
        <v>0.40138888888888885</v>
      </c>
      <c r="C48" s="39" t="s">
        <v>592</v>
      </c>
      <c r="D48" s="40">
        <v>1</v>
      </c>
      <c r="E48" s="41">
        <v>2</v>
      </c>
      <c r="F48" s="41" t="s">
        <v>164</v>
      </c>
      <c r="G48" s="42" t="s">
        <v>150</v>
      </c>
      <c r="H48" s="41" t="s">
        <v>147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155</v>
      </c>
      <c r="M48" s="42" t="s">
        <v>148</v>
      </c>
      <c r="N48" s="41" t="s">
        <v>147</v>
      </c>
      <c r="O48" s="42">
        <v>16</v>
      </c>
      <c r="P48" s="42">
        <v>8</v>
      </c>
      <c r="Q48" s="25" t="str">
        <f>VLOOKUP(P48,Key!$E$2:$F$9,2,FALSE)</f>
        <v>Others</v>
      </c>
      <c r="R48" s="25" t="str">
        <f t="shared" si="1"/>
        <v>Home-Others</v>
      </c>
      <c r="S48" s="47">
        <v>4</v>
      </c>
      <c r="T48" s="47">
        <v>0.1</v>
      </c>
      <c r="U48" s="42">
        <v>4</v>
      </c>
      <c r="V48" s="42"/>
      <c r="W48" s="47"/>
      <c r="X48" s="47"/>
      <c r="Y48" s="48" t="s">
        <v>146</v>
      </c>
      <c r="Z48" s="56"/>
      <c r="AA48" s="25"/>
      <c r="AB48" s="25"/>
    </row>
    <row r="49" spans="2:28">
      <c r="B49" s="39">
        <v>0.39861111111111108</v>
      </c>
      <c r="C49" s="39" t="s">
        <v>593</v>
      </c>
      <c r="D49" s="40">
        <v>1</v>
      </c>
      <c r="E49" s="41">
        <v>3</v>
      </c>
      <c r="F49" s="41" t="s">
        <v>169</v>
      </c>
      <c r="G49" s="42" t="s">
        <v>150</v>
      </c>
      <c r="H49" s="41" t="s">
        <v>147</v>
      </c>
      <c r="I49" s="42">
        <v>1</v>
      </c>
      <c r="J49" s="42">
        <v>1</v>
      </c>
      <c r="K49" s="25" t="s">
        <v>407</v>
      </c>
      <c r="L49" s="41" t="s">
        <v>155</v>
      </c>
      <c r="M49" s="42" t="s">
        <v>148</v>
      </c>
      <c r="N49" s="41" t="s">
        <v>147</v>
      </c>
      <c r="O49" s="42">
        <v>16</v>
      </c>
      <c r="P49" s="42">
        <v>8</v>
      </c>
      <c r="Q49" s="25" t="str">
        <f>VLOOKUP(P49,Key!$E$2:$F$9,2,FALSE)</f>
        <v>Others</v>
      </c>
      <c r="R49" s="25" t="s">
        <v>594</v>
      </c>
      <c r="S49" s="47">
        <v>15</v>
      </c>
      <c r="T49" s="47">
        <v>0.3</v>
      </c>
      <c r="U49" s="42">
        <v>2</v>
      </c>
      <c r="V49" s="42"/>
      <c r="W49" s="47"/>
      <c r="X49" s="47"/>
      <c r="Y49" s="48" t="s">
        <v>146</v>
      </c>
      <c r="Z49" s="56"/>
      <c r="AA49" s="25"/>
      <c r="AB49" s="25"/>
    </row>
    <row r="50" spans="2:28">
      <c r="B50" s="39">
        <v>0.39583333333333331</v>
      </c>
      <c r="C50" s="39" t="s">
        <v>595</v>
      </c>
      <c r="D50" s="40">
        <v>1</v>
      </c>
      <c r="E50" s="41">
        <v>5</v>
      </c>
      <c r="F50" s="41" t="s">
        <v>209</v>
      </c>
      <c r="G50" s="42" t="s">
        <v>150</v>
      </c>
      <c r="H50" s="41" t="s">
        <v>147</v>
      </c>
      <c r="I50" s="42">
        <v>1</v>
      </c>
      <c r="J50" s="42">
        <v>1</v>
      </c>
      <c r="K50" s="25" t="str">
        <f>VLOOKUP(J50,Key!$E$2:$F$9,2,FALSE)</f>
        <v>Home</v>
      </c>
      <c r="L50" s="41" t="s">
        <v>155</v>
      </c>
      <c r="M50" s="42" t="s">
        <v>148</v>
      </c>
      <c r="N50" s="41" t="s">
        <v>147</v>
      </c>
      <c r="O50" s="42">
        <v>2</v>
      </c>
      <c r="P50" s="42">
        <v>2</v>
      </c>
      <c r="Q50" s="25" t="str">
        <f>VLOOKUP(P50,Key!$E$2:$F$9,2,FALSE)</f>
        <v>Work</v>
      </c>
      <c r="R50" s="25" t="str">
        <f t="shared" si="1"/>
        <v>Home-Work</v>
      </c>
      <c r="S50" s="47">
        <v>35</v>
      </c>
      <c r="T50" s="47">
        <v>3</v>
      </c>
      <c r="U50" s="42">
        <v>2</v>
      </c>
      <c r="V50" s="42"/>
      <c r="W50" s="47"/>
      <c r="X50" s="47"/>
      <c r="Y50" s="48" t="s">
        <v>146</v>
      </c>
      <c r="Z50" s="56"/>
      <c r="AA50" s="25"/>
      <c r="AB50" s="25"/>
    </row>
    <row r="51" spans="2:28">
      <c r="B51" s="39">
        <v>0.39444444444444443</v>
      </c>
      <c r="C51" s="39" t="s">
        <v>596</v>
      </c>
      <c r="D51" s="40">
        <v>1</v>
      </c>
      <c r="E51" s="41">
        <v>5</v>
      </c>
      <c r="F51" s="41" t="s">
        <v>164</v>
      </c>
      <c r="G51" s="42" t="s">
        <v>150</v>
      </c>
      <c r="H51" s="41" t="s">
        <v>147</v>
      </c>
      <c r="I51" s="42">
        <v>1</v>
      </c>
      <c r="J51" s="42">
        <v>1</v>
      </c>
      <c r="K51" s="25" t="str">
        <f>VLOOKUP(J51,Key!$E$2:$F$9,2,FALSE)</f>
        <v>Home</v>
      </c>
      <c r="L51" s="41" t="s">
        <v>155</v>
      </c>
      <c r="M51" s="42" t="s">
        <v>148</v>
      </c>
      <c r="N51" s="41" t="s">
        <v>147</v>
      </c>
      <c r="O51" s="42">
        <v>4</v>
      </c>
      <c r="P51" s="42">
        <v>3</v>
      </c>
      <c r="Q51" s="25" t="str">
        <f>VLOOKUP(P51,Key!$E$2:$F$9,2,FALSE)</f>
        <v>Study</v>
      </c>
      <c r="R51" s="25" t="str">
        <f t="shared" si="1"/>
        <v>Home-Study</v>
      </c>
      <c r="S51" s="47">
        <v>6</v>
      </c>
      <c r="T51" s="47">
        <v>0</v>
      </c>
      <c r="U51" s="42">
        <v>2</v>
      </c>
      <c r="V51" s="42"/>
      <c r="W51" s="47"/>
      <c r="X51" s="47"/>
      <c r="Y51" s="48" t="s">
        <v>146</v>
      </c>
      <c r="Z51" s="56"/>
      <c r="AA51" s="25"/>
      <c r="AB51" s="25"/>
    </row>
    <row r="52" spans="2:28">
      <c r="B52" s="39">
        <v>0.3923611111111111</v>
      </c>
      <c r="C52" s="39" t="s">
        <v>597</v>
      </c>
      <c r="D52" s="40">
        <v>1</v>
      </c>
      <c r="E52" s="41">
        <v>5</v>
      </c>
      <c r="F52" s="41" t="s">
        <v>573</v>
      </c>
      <c r="G52" s="42" t="s">
        <v>150</v>
      </c>
      <c r="H52" s="41" t="s">
        <v>147</v>
      </c>
      <c r="I52" s="42">
        <v>1</v>
      </c>
      <c r="J52" s="42">
        <v>1</v>
      </c>
      <c r="K52" s="25" t="str">
        <f>VLOOKUP(J52,Key!$E$2:$F$9,2,FALSE)</f>
        <v>Home</v>
      </c>
      <c r="L52" s="41" t="s">
        <v>155</v>
      </c>
      <c r="M52" s="42" t="s">
        <v>148</v>
      </c>
      <c r="N52" s="41" t="s">
        <v>147</v>
      </c>
      <c r="O52" s="42">
        <v>1</v>
      </c>
      <c r="P52" s="42">
        <v>1</v>
      </c>
      <c r="Q52" s="25" t="str">
        <f>VLOOKUP(P52,Key!$E$2:$F$9,2,FALSE)</f>
        <v>Home</v>
      </c>
      <c r="R52" s="25" t="str">
        <f t="shared" si="1"/>
        <v>Home-Home</v>
      </c>
      <c r="S52" s="47">
        <v>4</v>
      </c>
      <c r="T52" s="47">
        <v>0.2</v>
      </c>
      <c r="U52" s="42">
        <v>4</v>
      </c>
      <c r="V52" s="42"/>
      <c r="W52" s="47"/>
      <c r="X52" s="47"/>
      <c r="Y52" s="48" t="s">
        <v>146</v>
      </c>
      <c r="Z52" s="56"/>
      <c r="AA52" s="25"/>
      <c r="AB52" s="25"/>
    </row>
    <row r="53" spans="2:28">
      <c r="B53" s="39">
        <v>0.39027777777777778</v>
      </c>
      <c r="C53" s="39" t="s">
        <v>453</v>
      </c>
      <c r="D53" s="40">
        <v>1</v>
      </c>
      <c r="E53" s="41">
        <v>1</v>
      </c>
      <c r="F53" s="41" t="s">
        <v>164</v>
      </c>
      <c r="G53" s="42" t="s">
        <v>150</v>
      </c>
      <c r="H53" s="41" t="s">
        <v>147</v>
      </c>
      <c r="I53" s="42">
        <v>1</v>
      </c>
      <c r="J53" s="42">
        <v>1</v>
      </c>
      <c r="K53" s="25" t="str">
        <f>VLOOKUP(J53,Key!$E$2:$F$9,2,FALSE)</f>
        <v>Home</v>
      </c>
      <c r="L53" s="41" t="s">
        <v>598</v>
      </c>
      <c r="M53" s="42" t="s">
        <v>148</v>
      </c>
      <c r="N53" s="41" t="s">
        <v>147</v>
      </c>
      <c r="O53" s="42">
        <v>9</v>
      </c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47"/>
      <c r="T53" s="47">
        <v>0.3</v>
      </c>
      <c r="U53" s="42">
        <v>2</v>
      </c>
      <c r="V53" s="42"/>
      <c r="W53" s="47"/>
      <c r="X53" s="47"/>
      <c r="Y53" s="48" t="s">
        <v>146</v>
      </c>
      <c r="Z53" s="56"/>
      <c r="AA53" s="25"/>
      <c r="AB53" s="25"/>
    </row>
    <row r="54" spans="2:28">
      <c r="B54" s="39">
        <v>0.3888888888888889</v>
      </c>
      <c r="C54" s="39" t="s">
        <v>599</v>
      </c>
      <c r="D54" s="40">
        <v>1</v>
      </c>
      <c r="E54" s="41">
        <v>4</v>
      </c>
      <c r="F54" s="41" t="s">
        <v>171</v>
      </c>
      <c r="G54" s="42" t="s">
        <v>150</v>
      </c>
      <c r="H54" s="41" t="s">
        <v>147</v>
      </c>
      <c r="I54" s="42">
        <v>1</v>
      </c>
      <c r="J54" s="42">
        <v>1</v>
      </c>
      <c r="K54" s="25" t="str">
        <f>VLOOKUP(J54,Key!$E$2:$F$9,2,FALSE)</f>
        <v>Home</v>
      </c>
      <c r="L54" s="41" t="s">
        <v>155</v>
      </c>
      <c r="M54" s="42" t="s">
        <v>148</v>
      </c>
      <c r="N54" s="41" t="s">
        <v>147</v>
      </c>
      <c r="O54" s="42">
        <v>4</v>
      </c>
      <c r="P54" s="42">
        <v>3</v>
      </c>
      <c r="Q54" s="25" t="str">
        <f>VLOOKUP(P54,Key!$E$2:$F$9,2,FALSE)</f>
        <v>Study</v>
      </c>
      <c r="R54" s="25" t="str">
        <f t="shared" si="1"/>
        <v>Home-Study</v>
      </c>
      <c r="S54" s="47">
        <v>35</v>
      </c>
      <c r="T54" s="47">
        <v>1.5</v>
      </c>
      <c r="U54" s="42">
        <v>5</v>
      </c>
      <c r="V54" s="42"/>
      <c r="W54" s="47"/>
      <c r="X54" s="47"/>
      <c r="Y54" s="48" t="s">
        <v>146</v>
      </c>
      <c r="Z54" s="56"/>
      <c r="AA54" s="25"/>
      <c r="AB54" s="25"/>
    </row>
    <row r="55" spans="2:28">
      <c r="B55" s="39">
        <v>0.38541666666666669</v>
      </c>
      <c r="C55" s="39" t="s">
        <v>600</v>
      </c>
      <c r="D55" s="40">
        <v>3</v>
      </c>
      <c r="E55" s="41">
        <v>2</v>
      </c>
      <c r="F55" s="41" t="s">
        <v>171</v>
      </c>
      <c r="G55" s="42" t="s">
        <v>150</v>
      </c>
      <c r="H55" s="41" t="s">
        <v>147</v>
      </c>
      <c r="I55" s="42">
        <v>16</v>
      </c>
      <c r="J55" s="42">
        <v>8</v>
      </c>
      <c r="K55" s="25" t="str">
        <f>VLOOKUP(J55,Key!$E$2:$F$9,2,FALSE)</f>
        <v>Others</v>
      </c>
      <c r="L55" s="41" t="s">
        <v>155</v>
      </c>
      <c r="M55" s="42" t="s">
        <v>148</v>
      </c>
      <c r="N55" s="41" t="s">
        <v>147</v>
      </c>
      <c r="O55" s="42">
        <v>16</v>
      </c>
      <c r="P55" s="42">
        <v>8</v>
      </c>
      <c r="Q55" s="25" t="str">
        <f>VLOOKUP(P55,Key!$E$2:$F$9,2,FALSE)</f>
        <v>Others</v>
      </c>
      <c r="R55" s="25" t="str">
        <f t="shared" si="1"/>
        <v>Others-Others</v>
      </c>
      <c r="S55" s="47">
        <v>32</v>
      </c>
      <c r="T55" s="47">
        <v>0.7</v>
      </c>
      <c r="U55" s="42">
        <v>3</v>
      </c>
      <c r="V55" s="42"/>
      <c r="W55" s="47"/>
      <c r="X55" s="47"/>
      <c r="Y55" s="48" t="s">
        <v>146</v>
      </c>
      <c r="Z55" s="56"/>
      <c r="AA55" s="25"/>
      <c r="AB55" s="25"/>
    </row>
    <row r="56" spans="2:28">
      <c r="B56" s="39">
        <v>0.38194444444444442</v>
      </c>
      <c r="C56" s="39" t="s">
        <v>601</v>
      </c>
      <c r="D56" s="40">
        <v>3</v>
      </c>
      <c r="E56" s="41">
        <v>5</v>
      </c>
      <c r="F56" s="41" t="s">
        <v>191</v>
      </c>
      <c r="G56" s="42" t="s">
        <v>150</v>
      </c>
      <c r="H56" s="41" t="s">
        <v>147</v>
      </c>
      <c r="I56" s="42">
        <v>1</v>
      </c>
      <c r="J56" s="42">
        <v>1</v>
      </c>
      <c r="K56" s="25" t="str">
        <f>VLOOKUP(J56,Key!$E$2:$F$9,2,FALSE)</f>
        <v>Home</v>
      </c>
      <c r="L56" s="41" t="s">
        <v>155</v>
      </c>
      <c r="M56" s="42" t="s">
        <v>148</v>
      </c>
      <c r="N56" s="41" t="s">
        <v>147</v>
      </c>
      <c r="O56" s="42">
        <v>2</v>
      </c>
      <c r="P56" s="42">
        <v>2</v>
      </c>
      <c r="Q56" s="25" t="str">
        <f>VLOOKUP(P56,Key!$E$2:$F$9,2,FALSE)</f>
        <v>Work</v>
      </c>
      <c r="R56" s="25" t="str">
        <f t="shared" si="1"/>
        <v>Home-Work</v>
      </c>
      <c r="S56" s="47">
        <v>4</v>
      </c>
      <c r="T56" s="47">
        <v>0.2</v>
      </c>
      <c r="U56" s="42">
        <v>2</v>
      </c>
      <c r="V56" s="42"/>
      <c r="W56" s="47"/>
      <c r="X56" s="47"/>
      <c r="Y56" s="48" t="s">
        <v>146</v>
      </c>
      <c r="Z56" s="56"/>
      <c r="AA56" s="25"/>
      <c r="AB56" s="25"/>
    </row>
    <row r="57" spans="2:28">
      <c r="B57" s="39">
        <v>0.37152777777777773</v>
      </c>
      <c r="C57" s="39" t="s">
        <v>602</v>
      </c>
      <c r="D57" s="40">
        <v>11</v>
      </c>
      <c r="E57" s="41">
        <v>1</v>
      </c>
      <c r="F57" s="41" t="s">
        <v>603</v>
      </c>
      <c r="G57" s="42" t="s">
        <v>150</v>
      </c>
      <c r="H57" s="41" t="s">
        <v>147</v>
      </c>
      <c r="I57" s="42">
        <v>8</v>
      </c>
      <c r="J57" s="42">
        <v>2</v>
      </c>
      <c r="K57" s="25" t="str">
        <f>VLOOKUP(J57,Key!$E$2:$F$9,2,FALSE)</f>
        <v>Work</v>
      </c>
      <c r="L57" s="41" t="s">
        <v>155</v>
      </c>
      <c r="M57" s="42" t="s">
        <v>148</v>
      </c>
      <c r="N57" s="41" t="s">
        <v>147</v>
      </c>
      <c r="O57" s="42">
        <v>8</v>
      </c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47">
        <v>4</v>
      </c>
      <c r="T57" s="47">
        <v>0.2</v>
      </c>
      <c r="U57" s="42">
        <v>2</v>
      </c>
      <c r="V57" s="42"/>
      <c r="W57" s="47"/>
      <c r="X57" s="47"/>
      <c r="Y57" s="48" t="s">
        <v>146</v>
      </c>
      <c r="Z57" s="56"/>
      <c r="AA57" s="25"/>
      <c r="AB57" s="25"/>
    </row>
    <row r="58" spans="2:28">
      <c r="B58" s="39">
        <v>0.36805555555555558</v>
      </c>
      <c r="C58" s="39" t="s">
        <v>604</v>
      </c>
      <c r="D58" s="40">
        <v>1</v>
      </c>
      <c r="E58" s="41">
        <v>2</v>
      </c>
      <c r="F58" s="41" t="s">
        <v>169</v>
      </c>
      <c r="G58" s="42" t="s">
        <v>150</v>
      </c>
      <c r="H58" s="41" t="s">
        <v>147</v>
      </c>
      <c r="I58" s="42">
        <v>1</v>
      </c>
      <c r="J58" s="42">
        <v>1</v>
      </c>
      <c r="K58" s="25" t="str">
        <f>VLOOKUP(J58,Key!$E$2:$F$9,2,FALSE)</f>
        <v>Home</v>
      </c>
      <c r="L58" s="41" t="s">
        <v>155</v>
      </c>
      <c r="M58" s="42" t="s">
        <v>148</v>
      </c>
      <c r="N58" s="41" t="s">
        <v>147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47">
        <v>13</v>
      </c>
      <c r="T58" s="47">
        <v>0.5</v>
      </c>
      <c r="U58" s="42">
        <v>2</v>
      </c>
      <c r="V58" s="42"/>
      <c r="W58" s="47"/>
      <c r="X58" s="47"/>
      <c r="Y58" s="48" t="s">
        <v>146</v>
      </c>
      <c r="Z58" s="56"/>
      <c r="AA58" s="25"/>
      <c r="AB58" s="25"/>
    </row>
    <row r="59" spans="2:28">
      <c r="B59" s="39">
        <v>0.3666666666666667</v>
      </c>
      <c r="C59" s="39" t="s">
        <v>452</v>
      </c>
      <c r="D59" s="40">
        <v>1</v>
      </c>
      <c r="E59" s="41">
        <v>2</v>
      </c>
      <c r="F59" s="41" t="s">
        <v>201</v>
      </c>
      <c r="G59" s="42" t="s">
        <v>150</v>
      </c>
      <c r="H59" s="41" t="s">
        <v>147</v>
      </c>
      <c r="I59" s="42">
        <v>1</v>
      </c>
      <c r="J59" s="42">
        <v>1</v>
      </c>
      <c r="K59" s="25" t="str">
        <f>VLOOKUP(J59,Key!$E$2:$F$9,2,FALSE)</f>
        <v>Home</v>
      </c>
      <c r="L59" s="41" t="s">
        <v>155</v>
      </c>
      <c r="M59" s="42" t="s">
        <v>148</v>
      </c>
      <c r="N59" s="41" t="s">
        <v>147</v>
      </c>
      <c r="O59" s="42">
        <v>2</v>
      </c>
      <c r="P59" s="42">
        <v>2</v>
      </c>
      <c r="Q59" s="25" t="str">
        <f>VLOOKUP(P59,Key!$E$2:$F$9,2,FALSE)</f>
        <v>Work</v>
      </c>
      <c r="R59" s="25" t="str">
        <f t="shared" si="1"/>
        <v>Home-Work</v>
      </c>
      <c r="S59" s="47">
        <v>12</v>
      </c>
      <c r="T59" s="47">
        <v>0.8</v>
      </c>
      <c r="U59" s="42">
        <v>2</v>
      </c>
      <c r="V59" s="42"/>
      <c r="W59" s="47"/>
      <c r="X59" s="47"/>
      <c r="Y59" s="48" t="s">
        <v>146</v>
      </c>
      <c r="Z59" s="56"/>
      <c r="AA59" s="25"/>
      <c r="AB59" s="25"/>
    </row>
    <row r="60" spans="2:28">
      <c r="B60" s="39">
        <v>0.36249999999999999</v>
      </c>
      <c r="C60" s="39" t="s">
        <v>605</v>
      </c>
      <c r="D60" s="40">
        <v>11</v>
      </c>
      <c r="E60" s="41">
        <v>1</v>
      </c>
      <c r="F60" s="41" t="s">
        <v>603</v>
      </c>
      <c r="G60" s="42" t="s">
        <v>150</v>
      </c>
      <c r="H60" s="41" t="s">
        <v>147</v>
      </c>
      <c r="I60" s="42">
        <v>8</v>
      </c>
      <c r="J60" s="42">
        <v>2</v>
      </c>
      <c r="K60" s="25" t="str">
        <f>VLOOKUP(J60,Key!$E$2:$F$9,2,FALSE)</f>
        <v>Work</v>
      </c>
      <c r="L60" s="41" t="s">
        <v>155</v>
      </c>
      <c r="M60" s="42" t="s">
        <v>148</v>
      </c>
      <c r="N60" s="41" t="s">
        <v>147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7">
        <v>4</v>
      </c>
      <c r="T60" s="47">
        <v>0.3</v>
      </c>
      <c r="U60" s="42">
        <v>2</v>
      </c>
      <c r="V60" s="42"/>
      <c r="W60" s="47"/>
      <c r="X60" s="47"/>
      <c r="Y60" s="48" t="s">
        <v>146</v>
      </c>
      <c r="Z60" s="56"/>
      <c r="AA60" s="25"/>
      <c r="AB60" s="25"/>
    </row>
    <row r="61" spans="2:28">
      <c r="B61" s="39">
        <v>0.3611111111111111</v>
      </c>
      <c r="C61" s="39" t="s">
        <v>606</v>
      </c>
      <c r="D61" s="40">
        <v>11</v>
      </c>
      <c r="E61" s="41">
        <v>1</v>
      </c>
      <c r="F61" s="41" t="s">
        <v>607</v>
      </c>
      <c r="G61" s="42" t="s">
        <v>150</v>
      </c>
      <c r="H61" s="41" t="s">
        <v>147</v>
      </c>
      <c r="I61" s="42">
        <v>8</v>
      </c>
      <c r="J61" s="42">
        <v>2</v>
      </c>
      <c r="K61" s="25" t="str">
        <f>VLOOKUP(J61,Key!$E$2:$F$9,2,FALSE)</f>
        <v>Work</v>
      </c>
      <c r="L61" s="41" t="s">
        <v>155</v>
      </c>
      <c r="M61" s="42" t="s">
        <v>148</v>
      </c>
      <c r="N61" s="41" t="s">
        <v>147</v>
      </c>
      <c r="O61" s="42">
        <v>8</v>
      </c>
      <c r="P61" s="42">
        <v>2</v>
      </c>
      <c r="Q61" s="25" t="str">
        <f>VLOOKUP(P61,Key!$E$2:$F$9,2,FALSE)</f>
        <v>Work</v>
      </c>
      <c r="R61" s="25" t="str">
        <f t="shared" si="1"/>
        <v>Work-Work</v>
      </c>
      <c r="S61" s="47"/>
      <c r="T61" s="47">
        <v>0.5</v>
      </c>
      <c r="U61" s="42">
        <v>2</v>
      </c>
      <c r="V61" s="42"/>
      <c r="W61" s="47"/>
      <c r="X61" s="47"/>
      <c r="Y61" s="48" t="s">
        <v>146</v>
      </c>
      <c r="Z61" s="56"/>
      <c r="AA61" s="25"/>
      <c r="AB61" s="25"/>
    </row>
    <row r="62" spans="2:28">
      <c r="B62" s="39">
        <v>0.35972222222222222</v>
      </c>
      <c r="C62" s="39" t="s">
        <v>608</v>
      </c>
      <c r="D62" s="40">
        <v>1</v>
      </c>
      <c r="E62" s="41">
        <v>5</v>
      </c>
      <c r="F62" s="41" t="s">
        <v>609</v>
      </c>
      <c r="G62" s="42" t="s">
        <v>150</v>
      </c>
      <c r="H62" s="41" t="s">
        <v>147</v>
      </c>
      <c r="I62" s="42">
        <v>1</v>
      </c>
      <c r="J62" s="42">
        <v>1</v>
      </c>
      <c r="K62" s="25" t="str">
        <f>VLOOKUP(J62,Key!$E$2:$F$9,2,FALSE)</f>
        <v>Home</v>
      </c>
      <c r="L62" s="41" t="s">
        <v>155</v>
      </c>
      <c r="M62" s="42" t="s">
        <v>148</v>
      </c>
      <c r="N62" s="41" t="s">
        <v>147</v>
      </c>
      <c r="O62" s="42">
        <v>16</v>
      </c>
      <c r="P62" s="42">
        <v>8</v>
      </c>
      <c r="Q62" s="25" t="str">
        <f>VLOOKUP(P62,Key!$E$2:$F$9,2,FALSE)</f>
        <v>Others</v>
      </c>
      <c r="R62" s="25" t="str">
        <f t="shared" si="1"/>
        <v>Home-Others</v>
      </c>
      <c r="S62" s="47">
        <v>95</v>
      </c>
      <c r="T62" s="47">
        <v>2</v>
      </c>
      <c r="U62" s="42">
        <v>3</v>
      </c>
      <c r="V62" s="42"/>
      <c r="W62" s="47"/>
      <c r="X62" s="47"/>
      <c r="Y62" s="48" t="s">
        <v>146</v>
      </c>
      <c r="Z62" s="56"/>
      <c r="AA62" s="25"/>
      <c r="AB62" s="25"/>
    </row>
    <row r="63" spans="2:28">
      <c r="B63" s="39">
        <v>0.3576388888888889</v>
      </c>
      <c r="C63" s="39" t="s">
        <v>610</v>
      </c>
      <c r="D63" s="40">
        <v>7</v>
      </c>
      <c r="E63" s="41">
        <v>1</v>
      </c>
      <c r="F63" s="41" t="s">
        <v>169</v>
      </c>
      <c r="G63" s="42" t="s">
        <v>150</v>
      </c>
      <c r="H63" s="41" t="s">
        <v>147</v>
      </c>
      <c r="I63" s="42">
        <v>11</v>
      </c>
      <c r="J63" s="42">
        <v>2</v>
      </c>
      <c r="K63" s="25" t="str">
        <f>VLOOKUP(J63,Key!$E$2:$F$9,2,FALSE)</f>
        <v>Work</v>
      </c>
      <c r="L63" s="41" t="s">
        <v>155</v>
      </c>
      <c r="M63" s="42" t="s">
        <v>148</v>
      </c>
      <c r="N63" s="41" t="s">
        <v>147</v>
      </c>
      <c r="O63" s="42">
        <v>3</v>
      </c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47">
        <v>16</v>
      </c>
      <c r="T63" s="47">
        <v>0.3</v>
      </c>
      <c r="U63" s="42">
        <v>3</v>
      </c>
      <c r="V63" s="42">
        <v>11</v>
      </c>
      <c r="W63" s="47"/>
      <c r="X63" s="47"/>
      <c r="Y63" s="48" t="s">
        <v>146</v>
      </c>
      <c r="Z63" s="56"/>
      <c r="AA63" s="25"/>
      <c r="AB63" s="25"/>
    </row>
    <row r="64" spans="2:28">
      <c r="B64" s="39">
        <v>0.35416666666666669</v>
      </c>
      <c r="C64" s="39" t="s">
        <v>611</v>
      </c>
      <c r="D64" s="40">
        <v>1</v>
      </c>
      <c r="E64" s="41">
        <v>1</v>
      </c>
      <c r="F64" s="41" t="s">
        <v>191</v>
      </c>
      <c r="G64" s="42" t="s">
        <v>150</v>
      </c>
      <c r="H64" s="41" t="s">
        <v>147</v>
      </c>
      <c r="I64" s="42">
        <v>1</v>
      </c>
      <c r="J64" s="42">
        <v>1</v>
      </c>
      <c r="K64" s="25" t="str">
        <f>VLOOKUP(J64,Key!$E$2:$F$9,2,FALSE)</f>
        <v>Home</v>
      </c>
      <c r="L64" s="41" t="s">
        <v>155</v>
      </c>
      <c r="M64" s="42" t="s">
        <v>148</v>
      </c>
      <c r="N64" s="41" t="s">
        <v>147</v>
      </c>
      <c r="O64" s="42">
        <v>2</v>
      </c>
      <c r="P64" s="42">
        <v>2</v>
      </c>
      <c r="Q64" s="25" t="str">
        <f>VLOOKUP(P64,Key!$E$2:$F$9,2,FALSE)</f>
        <v>Work</v>
      </c>
      <c r="R64" s="25" t="str">
        <f t="shared" si="1"/>
        <v>Home-Work</v>
      </c>
      <c r="S64" s="47">
        <v>12</v>
      </c>
      <c r="T64" s="47">
        <v>1</v>
      </c>
      <c r="U64" s="42">
        <v>2</v>
      </c>
      <c r="V64" s="42"/>
      <c r="W64" s="47"/>
      <c r="X64" s="47"/>
      <c r="Y64" s="48" t="s">
        <v>146</v>
      </c>
      <c r="Z64" s="56"/>
      <c r="AA64" s="25"/>
      <c r="AB64" s="25"/>
    </row>
    <row r="65" spans="2:28">
      <c r="B65" s="39">
        <v>0.35069444444444442</v>
      </c>
      <c r="C65" s="39" t="s">
        <v>612</v>
      </c>
      <c r="D65" s="40">
        <v>11</v>
      </c>
      <c r="E65" s="41">
        <v>1</v>
      </c>
      <c r="F65" s="41" t="s">
        <v>164</v>
      </c>
      <c r="G65" s="42" t="s">
        <v>150</v>
      </c>
      <c r="H65" s="41" t="s">
        <v>147</v>
      </c>
      <c r="I65" s="42">
        <v>8</v>
      </c>
      <c r="J65" s="42">
        <v>2</v>
      </c>
      <c r="K65" s="25" t="str">
        <f>VLOOKUP(J65,Key!$E$2:$F$9,2,FALSE)</f>
        <v>Work</v>
      </c>
      <c r="L65" s="41" t="s">
        <v>164</v>
      </c>
      <c r="M65" s="42" t="s">
        <v>150</v>
      </c>
      <c r="N65" s="41" t="s">
        <v>147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47">
        <v>1</v>
      </c>
      <c r="T65" s="47">
        <v>0</v>
      </c>
      <c r="U65" s="42">
        <v>2</v>
      </c>
      <c r="V65" s="42"/>
      <c r="W65" s="47"/>
      <c r="X65" s="47"/>
      <c r="Y65" s="48" t="s">
        <v>146</v>
      </c>
      <c r="Z65" s="56"/>
      <c r="AA65" s="25"/>
      <c r="AB65" s="25"/>
    </row>
    <row r="66" spans="2:28">
      <c r="B66" s="39">
        <v>0.34722222222222227</v>
      </c>
      <c r="C66" s="39" t="s">
        <v>613</v>
      </c>
      <c r="D66" s="40">
        <v>1</v>
      </c>
      <c r="E66" s="41">
        <v>2</v>
      </c>
      <c r="F66" s="41" t="s">
        <v>205</v>
      </c>
      <c r="G66" s="42" t="s">
        <v>150</v>
      </c>
      <c r="H66" s="41" t="s">
        <v>147</v>
      </c>
      <c r="I66" s="42">
        <v>1</v>
      </c>
      <c r="J66" s="42">
        <v>1</v>
      </c>
      <c r="K66" s="25" t="str">
        <f>VLOOKUP(J66,Key!$E$2:$F$9,2,FALSE)</f>
        <v>Home</v>
      </c>
      <c r="L66" s="41" t="s">
        <v>155</v>
      </c>
      <c r="M66" s="42" t="s">
        <v>148</v>
      </c>
      <c r="N66" s="41" t="s">
        <v>147</v>
      </c>
      <c r="O66" s="42">
        <v>16</v>
      </c>
      <c r="P66" s="42">
        <v>8</v>
      </c>
      <c r="Q66" s="25" t="str">
        <f>VLOOKUP(P66,Key!$E$2:$F$9,2,FALSE)</f>
        <v>Others</v>
      </c>
      <c r="R66" s="25" t="str">
        <f t="shared" si="1"/>
        <v>Home-Others</v>
      </c>
      <c r="S66" s="47">
        <v>12</v>
      </c>
      <c r="T66" s="47">
        <v>0.2</v>
      </c>
      <c r="U66" s="42">
        <v>3</v>
      </c>
      <c r="V66" s="42"/>
      <c r="W66" s="47"/>
      <c r="X66" s="47"/>
      <c r="Y66" s="48" t="s">
        <v>146</v>
      </c>
      <c r="Z66" s="56"/>
      <c r="AA66" s="25"/>
      <c r="AB66" s="25"/>
    </row>
    <row r="67" spans="2:28">
      <c r="B67" s="39">
        <v>0.7583333333333333</v>
      </c>
      <c r="C67" s="39" t="s">
        <v>614</v>
      </c>
      <c r="D67" s="40">
        <v>11</v>
      </c>
      <c r="E67" s="41">
        <v>1</v>
      </c>
      <c r="F67" s="41" t="s">
        <v>191</v>
      </c>
      <c r="G67" s="42" t="s">
        <v>150</v>
      </c>
      <c r="H67" s="41" t="s">
        <v>147</v>
      </c>
      <c r="I67" s="42">
        <v>8</v>
      </c>
      <c r="J67" s="42">
        <v>2</v>
      </c>
      <c r="K67" s="25" t="str">
        <f>VLOOKUP(J67,Key!$E$2:$F$9,2,FALSE)</f>
        <v>Work</v>
      </c>
      <c r="L67" s="41" t="s">
        <v>164</v>
      </c>
      <c r="M67" s="42" t="s">
        <v>150</v>
      </c>
      <c r="N67" s="41" t="s">
        <v>147</v>
      </c>
      <c r="O67" s="42">
        <v>8</v>
      </c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47">
        <v>1</v>
      </c>
      <c r="T67" s="47">
        <v>0.1</v>
      </c>
      <c r="U67" s="42">
        <v>2</v>
      </c>
      <c r="V67" s="42"/>
      <c r="W67" s="47"/>
      <c r="X67" s="47"/>
      <c r="Y67" s="48" t="s">
        <v>146</v>
      </c>
      <c r="Z67" s="56"/>
      <c r="AA67" s="25"/>
      <c r="AB67" s="25"/>
    </row>
    <row r="68" spans="2:28">
      <c r="B68" s="39">
        <v>0.74652777777777779</v>
      </c>
      <c r="C68" s="39" t="s">
        <v>615</v>
      </c>
      <c r="D68" s="40">
        <v>8</v>
      </c>
      <c r="E68" s="41">
        <v>1</v>
      </c>
      <c r="F68" s="41" t="s">
        <v>164</v>
      </c>
      <c r="G68" s="42" t="s">
        <v>150</v>
      </c>
      <c r="H68" s="41" t="s">
        <v>147</v>
      </c>
      <c r="I68" s="42">
        <v>10</v>
      </c>
      <c r="J68" s="42">
        <v>2</v>
      </c>
      <c r="K68" s="25" t="str">
        <f>VLOOKUP(J68,Key!$E$2:$F$9,2,FALSE)</f>
        <v>Work</v>
      </c>
      <c r="L68" s="41" t="s">
        <v>155</v>
      </c>
      <c r="M68" s="42" t="s">
        <v>148</v>
      </c>
      <c r="N68" s="41" t="s">
        <v>147</v>
      </c>
      <c r="O68" s="42">
        <v>15</v>
      </c>
      <c r="P68" s="42">
        <v>4</v>
      </c>
      <c r="Q68" s="25" t="str">
        <f>VLOOKUP(P68,Key!$E$2:$F$9,2,FALSE)</f>
        <v>Commercial</v>
      </c>
      <c r="R68" s="25" t="str">
        <f t="shared" si="1"/>
        <v>Work-Commercial</v>
      </c>
      <c r="S68" s="47">
        <v>3</v>
      </c>
      <c r="T68" s="47">
        <v>0.1</v>
      </c>
      <c r="U68" s="42">
        <v>2</v>
      </c>
      <c r="V68" s="42">
        <v>11</v>
      </c>
      <c r="W68" s="47"/>
      <c r="X68" s="47"/>
      <c r="Y68" s="48" t="s">
        <v>146</v>
      </c>
      <c r="Z68" s="56"/>
      <c r="AA68" s="25"/>
      <c r="AB68" s="25"/>
    </row>
    <row r="69" spans="2:28">
      <c r="B69" s="39">
        <v>0.74236111111111114</v>
      </c>
      <c r="C69" s="39" t="s">
        <v>616</v>
      </c>
      <c r="D69" s="40">
        <v>3</v>
      </c>
      <c r="E69" s="41">
        <v>1</v>
      </c>
      <c r="F69" s="41" t="s">
        <v>171</v>
      </c>
      <c r="G69" s="42" t="s">
        <v>150</v>
      </c>
      <c r="H69" s="41" t="s">
        <v>147</v>
      </c>
      <c r="I69" s="42">
        <v>12</v>
      </c>
      <c r="J69" s="42">
        <v>4</v>
      </c>
      <c r="K69" s="25" t="str">
        <f>VLOOKUP(J69,Key!$E$2:$F$9,2,FALSE)</f>
        <v>Commercial</v>
      </c>
      <c r="L69" s="41" t="s">
        <v>155</v>
      </c>
      <c r="M69" s="42" t="s">
        <v>148</v>
      </c>
      <c r="N69" s="41" t="s">
        <v>147</v>
      </c>
      <c r="O69" s="42">
        <v>11</v>
      </c>
      <c r="P69" s="42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47">
        <v>31</v>
      </c>
      <c r="T69" s="47">
        <v>2</v>
      </c>
      <c r="U69" s="42">
        <v>1</v>
      </c>
      <c r="V69" s="42">
        <v>10</v>
      </c>
      <c r="W69" s="47"/>
      <c r="X69" s="47"/>
      <c r="Y69" s="48" t="s">
        <v>146</v>
      </c>
      <c r="Z69" s="56"/>
      <c r="AA69" s="25"/>
      <c r="AB69" s="25"/>
    </row>
    <row r="70" spans="2:28">
      <c r="B70" s="39">
        <v>0.73402777777777783</v>
      </c>
      <c r="C70" s="39" t="s">
        <v>617</v>
      </c>
      <c r="D70" s="40">
        <v>8</v>
      </c>
      <c r="E70" s="41">
        <v>2</v>
      </c>
      <c r="F70" s="41" t="s">
        <v>349</v>
      </c>
      <c r="G70" s="42" t="s">
        <v>150</v>
      </c>
      <c r="H70" s="41" t="s">
        <v>147</v>
      </c>
      <c r="I70" s="42">
        <v>15</v>
      </c>
      <c r="J70" s="42">
        <v>4</v>
      </c>
      <c r="K70" s="25" t="str">
        <f>VLOOKUP(J70,Key!$E$2:$F$9,2,FALSE)</f>
        <v>Commercial</v>
      </c>
      <c r="L70" s="41" t="s">
        <v>155</v>
      </c>
      <c r="M70" s="42" t="s">
        <v>148</v>
      </c>
      <c r="N70" s="41" t="s">
        <v>147</v>
      </c>
      <c r="O70" s="42">
        <v>10</v>
      </c>
      <c r="P70" s="42">
        <v>2</v>
      </c>
      <c r="Q70" s="25" t="str">
        <f>VLOOKUP(P70,Key!$E$2:$F$9,2,FALSE)</f>
        <v>Work</v>
      </c>
      <c r="R70" s="25" t="str">
        <f t="shared" si="1"/>
        <v>Commercial-Work</v>
      </c>
      <c r="S70" s="47">
        <v>7</v>
      </c>
      <c r="T70" s="47">
        <v>0.2</v>
      </c>
      <c r="U70" s="42">
        <v>3</v>
      </c>
      <c r="V70" s="42">
        <v>4</v>
      </c>
      <c r="W70" s="47">
        <v>9</v>
      </c>
      <c r="X70" s="47"/>
      <c r="Y70" s="48" t="s">
        <v>146</v>
      </c>
      <c r="Z70" s="56"/>
      <c r="AA70" s="25"/>
      <c r="AB70" s="25"/>
    </row>
    <row r="71" spans="2:28">
      <c r="B71" s="39">
        <v>0.72777777777777775</v>
      </c>
      <c r="C71" s="39" t="s">
        <v>618</v>
      </c>
      <c r="D71" s="40">
        <v>1</v>
      </c>
      <c r="E71" s="41">
        <v>1</v>
      </c>
      <c r="F71" s="41" t="s">
        <v>573</v>
      </c>
      <c r="G71" s="42" t="s">
        <v>150</v>
      </c>
      <c r="H71" s="41" t="s">
        <v>147</v>
      </c>
      <c r="I71" s="42">
        <v>1</v>
      </c>
      <c r="J71" s="42">
        <v>1</v>
      </c>
      <c r="K71" s="25" t="str">
        <f>VLOOKUP(J71,Key!$E$2:$F$9,2,FALSE)</f>
        <v>Home</v>
      </c>
      <c r="L71" s="41" t="s">
        <v>155</v>
      </c>
      <c r="M71" s="42" t="s">
        <v>148</v>
      </c>
      <c r="N71" s="41" t="s">
        <v>147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1"/>
        <v>Home-Work</v>
      </c>
      <c r="S71" s="47">
        <v>5</v>
      </c>
      <c r="T71" s="47">
        <v>0.2</v>
      </c>
      <c r="U71" s="42">
        <v>2</v>
      </c>
      <c r="V71" s="42"/>
      <c r="W71" s="47"/>
      <c r="X71" s="47"/>
      <c r="Y71" s="48" t="s">
        <v>146</v>
      </c>
      <c r="Z71" s="56"/>
      <c r="AA71" s="25"/>
      <c r="AB71" s="25"/>
    </row>
    <row r="72" spans="2:28">
      <c r="B72" s="39">
        <v>0.72361111111111109</v>
      </c>
      <c r="C72" s="39" t="s">
        <v>619</v>
      </c>
      <c r="D72" s="40">
        <v>2</v>
      </c>
      <c r="E72" s="41">
        <v>1</v>
      </c>
      <c r="F72" s="41" t="s">
        <v>209</v>
      </c>
      <c r="G72" s="42" t="s">
        <v>150</v>
      </c>
      <c r="H72" s="41" t="s">
        <v>147</v>
      </c>
      <c r="I72" s="42">
        <v>11</v>
      </c>
      <c r="J72" s="42">
        <v>2</v>
      </c>
      <c r="K72" s="25" t="str">
        <f>VLOOKUP(J72,Key!$E$2:$F$9,2,FALSE)</f>
        <v>Work</v>
      </c>
      <c r="L72" s="41" t="s">
        <v>155</v>
      </c>
      <c r="M72" s="42" t="s">
        <v>148</v>
      </c>
      <c r="N72" s="41" t="s">
        <v>147</v>
      </c>
      <c r="O72" s="42">
        <v>7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7">
        <v>13</v>
      </c>
      <c r="T72" s="47">
        <v>0.3</v>
      </c>
      <c r="U72" s="42">
        <v>4</v>
      </c>
      <c r="V72" s="42"/>
      <c r="W72" s="47"/>
      <c r="X72" s="47"/>
      <c r="Y72" s="48" t="s">
        <v>146</v>
      </c>
      <c r="Z72" s="56"/>
      <c r="AA72" s="25"/>
      <c r="AB72" s="25"/>
    </row>
    <row r="73" spans="2:28">
      <c r="B73" s="39">
        <v>0.71527777777777779</v>
      </c>
      <c r="C73" s="39" t="s">
        <v>327</v>
      </c>
      <c r="D73" s="40">
        <v>1</v>
      </c>
      <c r="E73" s="41">
        <v>2</v>
      </c>
      <c r="F73" s="41" t="s">
        <v>171</v>
      </c>
      <c r="G73" s="42" t="s">
        <v>150</v>
      </c>
      <c r="H73" s="41" t="s">
        <v>147</v>
      </c>
      <c r="I73" s="42">
        <v>1</v>
      </c>
      <c r="J73" s="42">
        <v>1</v>
      </c>
      <c r="K73" s="25" t="str">
        <f>VLOOKUP(J73,Key!$E$2:$F$9,2,FALSE)</f>
        <v>Home</v>
      </c>
      <c r="L73" s="41" t="s">
        <v>155</v>
      </c>
      <c r="M73" s="42" t="s">
        <v>148</v>
      </c>
      <c r="N73" s="41" t="s">
        <v>147</v>
      </c>
      <c r="O73" s="42">
        <v>2</v>
      </c>
      <c r="P73" s="42">
        <v>2</v>
      </c>
      <c r="Q73" s="25" t="str">
        <f>VLOOKUP(P73,Key!$E$2:$F$9,2,FALSE)</f>
        <v>Work</v>
      </c>
      <c r="R73" s="25" t="str">
        <f t="shared" si="1"/>
        <v>Home-Work</v>
      </c>
      <c r="S73" s="47">
        <v>31</v>
      </c>
      <c r="T73" s="47">
        <v>2</v>
      </c>
      <c r="U73" s="42">
        <v>2</v>
      </c>
      <c r="V73" s="42"/>
      <c r="W73" s="47"/>
      <c r="X73" s="47"/>
      <c r="Y73" s="48" t="s">
        <v>146</v>
      </c>
      <c r="Z73" s="56"/>
      <c r="AA73" s="25"/>
      <c r="AB73" s="25"/>
    </row>
    <row r="74" spans="2:28">
      <c r="B74" s="39">
        <v>0.70694444444444438</v>
      </c>
      <c r="C74" s="39" t="s">
        <v>620</v>
      </c>
      <c r="D74" s="40">
        <v>2</v>
      </c>
      <c r="E74" s="41">
        <v>1</v>
      </c>
      <c r="F74" s="41" t="s">
        <v>169</v>
      </c>
      <c r="G74" s="42" t="s">
        <v>150</v>
      </c>
      <c r="H74" s="41" t="s">
        <v>147</v>
      </c>
      <c r="I74" s="42">
        <v>9</v>
      </c>
      <c r="J74" s="42">
        <v>4</v>
      </c>
      <c r="K74" s="25" t="str">
        <f>VLOOKUP(J74,Key!$E$2:$F$9,2,FALSE)</f>
        <v>Commercial</v>
      </c>
      <c r="L74" s="41" t="s">
        <v>155</v>
      </c>
      <c r="M74" s="42" t="s">
        <v>148</v>
      </c>
      <c r="N74" s="41" t="s">
        <v>147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si="1"/>
        <v>Commercial-Home</v>
      </c>
      <c r="S74" s="47">
        <v>10</v>
      </c>
      <c r="T74" s="47">
        <v>0.3</v>
      </c>
      <c r="U74" s="42">
        <v>3</v>
      </c>
      <c r="V74" s="42"/>
      <c r="W74" s="47"/>
      <c r="X74" s="47"/>
      <c r="Y74" s="48" t="s">
        <v>146</v>
      </c>
      <c r="Z74" s="56"/>
      <c r="AA74" s="25"/>
      <c r="AB74" s="25"/>
    </row>
    <row r="75" spans="2:28">
      <c r="B75" s="39">
        <v>0.69513888888888886</v>
      </c>
      <c r="C75" s="39" t="s">
        <v>621</v>
      </c>
      <c r="D75" s="40">
        <v>1</v>
      </c>
      <c r="E75" s="41">
        <v>1</v>
      </c>
      <c r="F75" s="41" t="s">
        <v>164</v>
      </c>
      <c r="G75" s="42" t="s">
        <v>150</v>
      </c>
      <c r="H75" s="41" t="s">
        <v>147</v>
      </c>
      <c r="I75" s="42">
        <v>4</v>
      </c>
      <c r="J75" s="42">
        <v>3</v>
      </c>
      <c r="K75" s="25" t="str">
        <f>VLOOKUP(J75,Key!$E$2:$F$9,2,FALSE)</f>
        <v>Study</v>
      </c>
      <c r="L75" s="41" t="s">
        <v>155</v>
      </c>
      <c r="M75" s="42" t="s">
        <v>148</v>
      </c>
      <c r="N75" s="41" t="s">
        <v>147</v>
      </c>
      <c r="O75" s="42">
        <v>16</v>
      </c>
      <c r="P75" s="42">
        <v>8</v>
      </c>
      <c r="Q75" s="25" t="str">
        <f>VLOOKUP(P75,Key!$E$2:$F$9,2,FALSE)</f>
        <v>Others</v>
      </c>
      <c r="R75" s="25" t="str">
        <f t="shared" si="1"/>
        <v>Study-Others</v>
      </c>
      <c r="S75" s="47">
        <v>5</v>
      </c>
      <c r="T75" s="47">
        <v>0.2</v>
      </c>
      <c r="U75" s="42">
        <v>2</v>
      </c>
      <c r="V75" s="42"/>
      <c r="W75" s="47"/>
      <c r="X75" s="47"/>
      <c r="Y75" s="48" t="s">
        <v>146</v>
      </c>
      <c r="Z75" s="56"/>
      <c r="AA75" s="25"/>
      <c r="AB75" s="25"/>
    </row>
    <row r="76" spans="2:28">
      <c r="B76" s="39">
        <v>0.6875</v>
      </c>
      <c r="C76" s="39" t="s">
        <v>622</v>
      </c>
      <c r="D76" s="40">
        <v>8</v>
      </c>
      <c r="E76" s="41">
        <v>2</v>
      </c>
      <c r="F76" s="41" t="s">
        <v>171</v>
      </c>
      <c r="G76" s="42" t="s">
        <v>150</v>
      </c>
      <c r="H76" s="41" t="s">
        <v>147</v>
      </c>
      <c r="I76" s="42">
        <v>14</v>
      </c>
      <c r="J76" s="42">
        <v>4</v>
      </c>
      <c r="K76" s="25" t="str">
        <f>VLOOKUP(J76,Key!$E$2:$F$9,2,FALSE)</f>
        <v>Commercial</v>
      </c>
      <c r="L76" s="41" t="s">
        <v>173</v>
      </c>
      <c r="M76" s="42" t="s">
        <v>148</v>
      </c>
      <c r="N76" s="41" t="s">
        <v>147</v>
      </c>
      <c r="O76" s="42">
        <v>12</v>
      </c>
      <c r="P76" s="42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47">
        <v>31</v>
      </c>
      <c r="T76" s="47">
        <v>1</v>
      </c>
      <c r="U76" s="42">
        <v>4</v>
      </c>
      <c r="V76" s="42">
        <v>6</v>
      </c>
      <c r="W76" s="47"/>
      <c r="X76" s="47"/>
      <c r="Y76" s="48" t="s">
        <v>146</v>
      </c>
      <c r="Z76" s="56"/>
      <c r="AA76" s="25"/>
      <c r="AB76" s="25"/>
    </row>
    <row r="77" spans="2:28">
      <c r="B77" s="39">
        <v>0.53194444444444444</v>
      </c>
      <c r="C77" s="39" t="s">
        <v>623</v>
      </c>
      <c r="D77" s="40">
        <v>1</v>
      </c>
      <c r="E77" s="41">
        <v>3</v>
      </c>
      <c r="F77" s="41" t="s">
        <v>164</v>
      </c>
      <c r="G77" s="42" t="s">
        <v>150</v>
      </c>
      <c r="H77" s="41" t="s">
        <v>147</v>
      </c>
      <c r="I77" s="42">
        <v>1</v>
      </c>
      <c r="J77" s="42">
        <v>1</v>
      </c>
      <c r="K77" s="25" t="str">
        <f>VLOOKUP(J77,Key!$E$2:$F$9,2,FALSE)</f>
        <v>Home</v>
      </c>
      <c r="L77" s="41" t="s">
        <v>155</v>
      </c>
      <c r="M77" s="42" t="s">
        <v>148</v>
      </c>
      <c r="N77" s="41" t="s">
        <v>147</v>
      </c>
      <c r="O77" s="42">
        <v>5</v>
      </c>
      <c r="P77" s="42">
        <v>7</v>
      </c>
      <c r="Q77" s="25" t="str">
        <f>VLOOKUP(P77,Key!$E$2:$F$9,2,FALSE)</f>
        <v>Hospital</v>
      </c>
      <c r="R77" s="25" t="str">
        <f t="shared" si="1"/>
        <v>Home-Hospital</v>
      </c>
      <c r="S77" s="47">
        <v>4</v>
      </c>
      <c r="T77" s="47">
        <v>0.1</v>
      </c>
      <c r="U77" s="42">
        <v>4</v>
      </c>
      <c r="V77" s="42"/>
      <c r="W77" s="47"/>
      <c r="X77" s="47"/>
      <c r="Y77" s="48" t="s">
        <v>146</v>
      </c>
      <c r="Z77" s="56"/>
      <c r="AA77" s="25"/>
      <c r="AB77" s="25"/>
    </row>
    <row r="78" spans="2:28">
      <c r="B78" s="39">
        <v>0.52708333333333335</v>
      </c>
      <c r="C78" s="39" t="s">
        <v>624</v>
      </c>
      <c r="D78" s="40">
        <v>1</v>
      </c>
      <c r="E78" s="41">
        <v>1</v>
      </c>
      <c r="F78" s="41" t="s">
        <v>262</v>
      </c>
      <c r="G78" s="42" t="s">
        <v>150</v>
      </c>
      <c r="H78" s="41" t="s">
        <v>147</v>
      </c>
      <c r="I78" s="42">
        <v>4</v>
      </c>
      <c r="J78" s="42">
        <v>3</v>
      </c>
      <c r="K78" s="25" t="str">
        <f>VLOOKUP(J78,Key!$E$2:$F$9,2,FALSE)</f>
        <v>Study</v>
      </c>
      <c r="L78" s="41" t="s">
        <v>155</v>
      </c>
      <c r="M78" s="42" t="s">
        <v>148</v>
      </c>
      <c r="N78" s="41" t="s">
        <v>147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1"/>
        <v>Study-Home</v>
      </c>
      <c r="S78" s="47">
        <v>5</v>
      </c>
      <c r="T78" s="47">
        <v>0.2</v>
      </c>
      <c r="U78" s="42">
        <v>2</v>
      </c>
      <c r="V78" s="42"/>
      <c r="W78" s="47"/>
      <c r="X78" s="47"/>
      <c r="Y78" s="48" t="s">
        <v>146</v>
      </c>
      <c r="Z78" s="56"/>
      <c r="AA78" s="25"/>
      <c r="AB78" s="25"/>
    </row>
    <row r="79" spans="2:28">
      <c r="B79" s="39">
        <v>0.52083333333333337</v>
      </c>
      <c r="C79" s="39" t="s">
        <v>625</v>
      </c>
      <c r="D79" s="40">
        <v>3</v>
      </c>
      <c r="E79" s="41">
        <v>2</v>
      </c>
      <c r="F79" s="41" t="s">
        <v>171</v>
      </c>
      <c r="G79" s="42" t="s">
        <v>150</v>
      </c>
      <c r="H79" s="41" t="s">
        <v>147</v>
      </c>
      <c r="I79" s="42">
        <v>2</v>
      </c>
      <c r="J79" s="42">
        <v>2</v>
      </c>
      <c r="K79" s="25" t="str">
        <f>VLOOKUP(J79,Key!$E$2:$F$9,2,FALSE)</f>
        <v>Work</v>
      </c>
      <c r="L79" s="41" t="s">
        <v>155</v>
      </c>
      <c r="M79" s="42" t="s">
        <v>148</v>
      </c>
      <c r="N79" s="41" t="s">
        <v>147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1"/>
        <v>Work-Home</v>
      </c>
      <c r="S79" s="47">
        <v>31</v>
      </c>
      <c r="T79" s="47">
        <v>1.5</v>
      </c>
      <c r="U79" s="42">
        <v>2</v>
      </c>
      <c r="V79" s="42"/>
      <c r="W79" s="47"/>
      <c r="X79" s="47"/>
      <c r="Y79" s="48" t="s">
        <v>146</v>
      </c>
      <c r="Z79" s="56"/>
      <c r="AA79" s="25"/>
      <c r="AB79" s="25"/>
    </row>
    <row r="80" spans="2:28">
      <c r="B80" s="39">
        <v>0.51041666666666663</v>
      </c>
      <c r="C80" s="39" t="s">
        <v>626</v>
      </c>
      <c r="D80" s="40">
        <v>1</v>
      </c>
      <c r="E80" s="41">
        <v>1</v>
      </c>
      <c r="F80" s="41" t="s">
        <v>171</v>
      </c>
      <c r="G80" s="42" t="s">
        <v>150</v>
      </c>
      <c r="H80" s="41" t="s">
        <v>147</v>
      </c>
      <c r="I80" s="42">
        <v>1</v>
      </c>
      <c r="J80" s="42">
        <v>1</v>
      </c>
      <c r="K80" s="25" t="str">
        <f>VLOOKUP(J80,Key!$E$2:$F$9,2,FALSE)</f>
        <v>Home</v>
      </c>
      <c r="L80" s="41" t="s">
        <v>155</v>
      </c>
      <c r="M80" s="42" t="s">
        <v>148</v>
      </c>
      <c r="N80" s="41" t="s">
        <v>147</v>
      </c>
      <c r="O80" s="42">
        <v>16</v>
      </c>
      <c r="P80" s="42">
        <v>8</v>
      </c>
      <c r="Q80" s="25" t="str">
        <f>VLOOKUP(P80,Key!$E$2:$F$9,2,FALSE)</f>
        <v>Others</v>
      </c>
      <c r="R80" s="25" t="str">
        <f t="shared" si="1"/>
        <v>Home-Others</v>
      </c>
      <c r="S80" s="47">
        <v>32</v>
      </c>
      <c r="T80" s="47">
        <v>1</v>
      </c>
      <c r="U80" s="42">
        <v>3</v>
      </c>
      <c r="V80" s="42"/>
      <c r="W80" s="47"/>
      <c r="X80" s="47"/>
      <c r="Y80" s="48" t="s">
        <v>146</v>
      </c>
      <c r="Z80" s="56"/>
      <c r="AA80" s="25"/>
      <c r="AB80" s="25"/>
    </row>
    <row r="81" spans="2:28">
      <c r="B81" s="39">
        <v>0.49722222222222223</v>
      </c>
      <c r="C81" s="39" t="s">
        <v>627</v>
      </c>
      <c r="D81" s="40">
        <v>1</v>
      </c>
      <c r="E81" s="41">
        <v>1</v>
      </c>
      <c r="F81" s="41" t="s">
        <v>349</v>
      </c>
      <c r="G81" s="42" t="s">
        <v>150</v>
      </c>
      <c r="H81" s="41" t="s">
        <v>147</v>
      </c>
      <c r="I81" s="42">
        <v>1</v>
      </c>
      <c r="J81" s="42">
        <v>1</v>
      </c>
      <c r="K81" s="25" t="str">
        <f>VLOOKUP(J81,Key!$E$2:$F$9,2,FALSE)</f>
        <v>Home</v>
      </c>
      <c r="L81" s="41" t="s">
        <v>155</v>
      </c>
      <c r="M81" s="42" t="s">
        <v>148</v>
      </c>
      <c r="N81" s="41" t="s">
        <v>147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7">
        <v>4</v>
      </c>
      <c r="T81" s="47">
        <v>0.1</v>
      </c>
      <c r="U81" s="42">
        <v>2</v>
      </c>
      <c r="V81" s="42"/>
      <c r="W81" s="47"/>
      <c r="X81" s="47"/>
      <c r="Y81" s="48" t="s">
        <v>146</v>
      </c>
      <c r="Z81" s="56"/>
      <c r="AA81" s="25"/>
      <c r="AB81" s="25"/>
    </row>
    <row r="82" spans="2:28">
      <c r="B82" s="39">
        <v>0.4916666666666667</v>
      </c>
      <c r="C82" s="39" t="s">
        <v>628</v>
      </c>
      <c r="D82" s="40">
        <v>1</v>
      </c>
      <c r="E82" s="41">
        <v>3</v>
      </c>
      <c r="F82" s="41" t="s">
        <v>169</v>
      </c>
      <c r="G82" s="42" t="s">
        <v>150</v>
      </c>
      <c r="H82" s="41" t="s">
        <v>147</v>
      </c>
      <c r="I82" s="42">
        <v>16</v>
      </c>
      <c r="J82" s="42">
        <v>8</v>
      </c>
      <c r="K82" s="25" t="str">
        <f>VLOOKUP(J82,Key!$E$2:$F$9,2,FALSE)</f>
        <v>Others</v>
      </c>
      <c r="L82" s="41" t="s">
        <v>155</v>
      </c>
      <c r="M82" s="42" t="s">
        <v>148</v>
      </c>
      <c r="N82" s="41" t="s">
        <v>147</v>
      </c>
      <c r="O82" s="42">
        <v>16</v>
      </c>
      <c r="P82" s="42">
        <v>8</v>
      </c>
      <c r="Q82" s="25" t="str">
        <f>VLOOKUP(P82,Key!$E$2:$F$9,2,FALSE)</f>
        <v>Others</v>
      </c>
      <c r="R82" s="25" t="str">
        <f t="shared" si="1"/>
        <v>Others-Others</v>
      </c>
      <c r="S82" s="47"/>
      <c r="T82" s="47">
        <v>1</v>
      </c>
      <c r="U82" s="42">
        <v>2</v>
      </c>
      <c r="V82" s="42"/>
      <c r="W82" s="47"/>
      <c r="X82" s="47"/>
      <c r="Y82" s="48" t="s">
        <v>146</v>
      </c>
      <c r="Z82" s="56"/>
      <c r="AA82" s="25"/>
      <c r="AB82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topLeftCell="L50" zoomScaleNormal="100" zoomScaleSheetLayoutView="80" workbookViewId="0">
      <selection activeCell="B9" sqref="B9:AB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629</v>
      </c>
      <c r="E4" s="1" t="s">
        <v>65</v>
      </c>
      <c r="F4" s="126" t="str">
        <f>'28.10 MBARARA-ISINGIRO'!F4:G4</f>
        <v>MBARARA-NTUNGAMO ROAD</v>
      </c>
      <c r="G4" s="127"/>
      <c r="I4" s="27" t="s">
        <v>66</v>
      </c>
      <c r="J4" s="5"/>
      <c r="K4" s="5"/>
      <c r="L4" s="50" t="s">
        <v>148</v>
      </c>
      <c r="M4" s="2"/>
      <c r="N4" s="1" t="s">
        <v>68</v>
      </c>
      <c r="O4" s="128" t="s">
        <v>631</v>
      </c>
      <c r="P4" s="129"/>
      <c r="Q4" s="129"/>
      <c r="R4" s="129"/>
      <c r="S4" s="129"/>
      <c r="T4" s="129"/>
      <c r="V4" s="1" t="s">
        <v>69</v>
      </c>
      <c r="W4" s="61" t="str">
        <f>'28.10 MBARARA-ISINGIRO'!W4</f>
        <v>MIREMBE RUTH</v>
      </c>
      <c r="Y4" s="27" t="s">
        <v>6</v>
      </c>
      <c r="Z4" s="62" t="str">
        <f>'28.10 MBARARA-ISINGIRO'!Z4</f>
        <v>AJOK EMILY</v>
      </c>
      <c r="AA4" s="32" t="s">
        <v>7</v>
      </c>
      <c r="AB4" s="38">
        <f>'28.10 MBARARA-ISINGIRO'!AB4</f>
        <v>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1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129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130</v>
      </c>
      <c r="R7" s="123" t="s">
        <v>131</v>
      </c>
      <c r="S7" s="123" t="s">
        <v>133</v>
      </c>
      <c r="T7" s="123" t="s">
        <v>132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136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70</v>
      </c>
      <c r="G8" s="23" t="s">
        <v>57</v>
      </c>
      <c r="H8" s="24" t="s">
        <v>58</v>
      </c>
      <c r="I8" s="133"/>
      <c r="J8" s="124"/>
      <c r="K8" s="124"/>
      <c r="L8" s="23" t="s">
        <v>70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134</v>
      </c>
      <c r="X8" s="30" t="s">
        <v>135</v>
      </c>
      <c r="Y8" s="124"/>
      <c r="Z8" s="124"/>
      <c r="AA8" s="133"/>
      <c r="AB8" s="139"/>
    </row>
    <row r="9" spans="2:35" s="19" customFormat="1">
      <c r="B9" s="39">
        <v>0.4861111111111111</v>
      </c>
      <c r="C9" s="39" t="s">
        <v>456</v>
      </c>
      <c r="D9" s="40">
        <v>8</v>
      </c>
      <c r="E9" s="41">
        <v>2</v>
      </c>
      <c r="F9" s="41" t="s">
        <v>155</v>
      </c>
      <c r="G9" s="42" t="s">
        <v>148</v>
      </c>
      <c r="H9" s="41" t="s">
        <v>147</v>
      </c>
      <c r="I9" s="42">
        <v>7</v>
      </c>
      <c r="J9" s="42">
        <v>4</v>
      </c>
      <c r="K9" s="25" t="str">
        <f>VLOOKUP(J9,Key!$E$2:$F$9,2,FALSE)</f>
        <v>Commercial</v>
      </c>
      <c r="L9" s="41" t="s">
        <v>457</v>
      </c>
      <c r="M9" s="42" t="s">
        <v>150</v>
      </c>
      <c r="N9" s="41" t="s">
        <v>147</v>
      </c>
      <c r="O9" s="42">
        <v>10</v>
      </c>
      <c r="P9" s="42">
        <v>2</v>
      </c>
      <c r="Q9" s="25" t="str">
        <f>VLOOKUP(P9,Key!$E$2:$F$9,2,FALSE)</f>
        <v>Work</v>
      </c>
      <c r="R9" s="25" t="str">
        <f>K9&amp;"-"&amp;Q9</f>
        <v>Commercial-Work</v>
      </c>
      <c r="S9" s="47"/>
      <c r="T9" s="47"/>
      <c r="U9" s="42">
        <v>1</v>
      </c>
      <c r="V9" s="42"/>
      <c r="W9" s="47"/>
      <c r="X9" s="47"/>
      <c r="Y9" s="48" t="s">
        <v>146</v>
      </c>
      <c r="Z9" s="56"/>
      <c r="AA9" s="25"/>
      <c r="AB9" s="25"/>
    </row>
    <row r="10" spans="2:35">
      <c r="B10" s="39">
        <v>0.5</v>
      </c>
      <c r="C10" s="39" t="s">
        <v>458</v>
      </c>
      <c r="D10" s="40">
        <v>11</v>
      </c>
      <c r="E10" s="41">
        <v>2</v>
      </c>
      <c r="F10" s="41" t="s">
        <v>164</v>
      </c>
      <c r="G10" s="42" t="s">
        <v>150</v>
      </c>
      <c r="H10" s="41" t="s">
        <v>147</v>
      </c>
      <c r="I10" s="42">
        <v>8</v>
      </c>
      <c r="J10" s="42">
        <v>2</v>
      </c>
      <c r="K10" s="25" t="str">
        <f>VLOOKUP(J10,Key!$E$2:$F$9,2,FALSE)</f>
        <v>Work</v>
      </c>
      <c r="L10" s="41" t="s">
        <v>459</v>
      </c>
      <c r="M10" s="42" t="s">
        <v>150</v>
      </c>
      <c r="N10" s="41" t="s">
        <v>147</v>
      </c>
      <c r="O10" s="42">
        <v>8</v>
      </c>
      <c r="P10" s="42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47">
        <v>2</v>
      </c>
      <c r="T10" s="47">
        <v>0.2</v>
      </c>
      <c r="U10" s="42">
        <v>1</v>
      </c>
      <c r="V10" s="42"/>
      <c r="W10" s="47"/>
      <c r="X10" s="47"/>
      <c r="Y10" s="48" t="s">
        <v>146</v>
      </c>
      <c r="Z10" s="56"/>
      <c r="AA10" s="25"/>
      <c r="AB10" s="25"/>
    </row>
    <row r="11" spans="2:35">
      <c r="B11" s="39">
        <v>0.50347222222222221</v>
      </c>
      <c r="C11" s="39" t="s">
        <v>460</v>
      </c>
      <c r="D11" s="40">
        <v>8</v>
      </c>
      <c r="E11" s="41">
        <v>1</v>
      </c>
      <c r="F11" s="41" t="s">
        <v>164</v>
      </c>
      <c r="G11" s="42" t="s">
        <v>150</v>
      </c>
      <c r="H11" s="41" t="s">
        <v>147</v>
      </c>
      <c r="I11" s="42">
        <v>10</v>
      </c>
      <c r="J11" s="42">
        <v>2</v>
      </c>
      <c r="K11" s="25" t="str">
        <f>VLOOKUP(J11,Key!$E$2:$F$9,2,FALSE)</f>
        <v>Work</v>
      </c>
      <c r="L11" s="41" t="s">
        <v>191</v>
      </c>
      <c r="M11" s="42" t="s">
        <v>150</v>
      </c>
      <c r="N11" s="41" t="s">
        <v>147</v>
      </c>
      <c r="O11" s="42">
        <v>15</v>
      </c>
      <c r="P11" s="42">
        <v>4</v>
      </c>
      <c r="Q11" s="25" t="str">
        <f>VLOOKUP(P11,Key!$E$2:$F$9,2,FALSE)</f>
        <v>Commercial</v>
      </c>
      <c r="R11" s="25" t="str">
        <f t="shared" si="0"/>
        <v>Work-Commercial</v>
      </c>
      <c r="S11" s="47">
        <v>1</v>
      </c>
      <c r="T11" s="47">
        <v>0</v>
      </c>
      <c r="U11" s="42">
        <v>1</v>
      </c>
      <c r="V11" s="42">
        <v>11</v>
      </c>
      <c r="W11" s="47"/>
      <c r="X11" s="47"/>
      <c r="Y11" s="48" t="s">
        <v>146</v>
      </c>
      <c r="Z11" s="56"/>
      <c r="AA11" s="25"/>
      <c r="AB11" s="25"/>
    </row>
    <row r="12" spans="2:35">
      <c r="B12" s="39">
        <v>0.50694444444444442</v>
      </c>
      <c r="C12" s="39" t="s">
        <v>461</v>
      </c>
      <c r="D12" s="40">
        <v>1</v>
      </c>
      <c r="E12" s="41">
        <v>1</v>
      </c>
      <c r="F12" s="41" t="s">
        <v>155</v>
      </c>
      <c r="G12" s="42" t="s">
        <v>148</v>
      </c>
      <c r="H12" s="41" t="s">
        <v>147</v>
      </c>
      <c r="I12" s="42">
        <v>1</v>
      </c>
      <c r="J12" s="42">
        <v>1</v>
      </c>
      <c r="K12" s="25" t="str">
        <f>VLOOKUP(J12,Key!$E$2:$F$9,2,FALSE)</f>
        <v>Home</v>
      </c>
      <c r="L12" s="41" t="s">
        <v>171</v>
      </c>
      <c r="M12" s="42" t="s">
        <v>150</v>
      </c>
      <c r="N12" s="41" t="s">
        <v>147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Home-Home</v>
      </c>
      <c r="S12" s="47">
        <v>31</v>
      </c>
      <c r="T12" s="47">
        <v>2</v>
      </c>
      <c r="U12" s="42">
        <v>2</v>
      </c>
      <c r="V12" s="42"/>
      <c r="W12" s="47"/>
      <c r="X12" s="47"/>
      <c r="Y12" s="48" t="s">
        <v>146</v>
      </c>
      <c r="Z12" s="56"/>
      <c r="AA12" s="25"/>
      <c r="AB12" s="25"/>
    </row>
    <row r="13" spans="2:35">
      <c r="B13" s="39">
        <v>0.51041666666666663</v>
      </c>
      <c r="C13" s="39" t="s">
        <v>462</v>
      </c>
      <c r="D13" s="40">
        <v>2</v>
      </c>
      <c r="E13" s="41">
        <v>2</v>
      </c>
      <c r="F13" s="41" t="s">
        <v>155</v>
      </c>
      <c r="G13" s="42" t="s">
        <v>148</v>
      </c>
      <c r="H13" s="41" t="s">
        <v>147</v>
      </c>
      <c r="I13" s="42">
        <v>4</v>
      </c>
      <c r="J13" s="42">
        <v>3</v>
      </c>
      <c r="K13" s="25" t="str">
        <f>VLOOKUP(J13,Key!$E$2:$F$9,2,FALSE)</f>
        <v>Study</v>
      </c>
      <c r="L13" s="41" t="s">
        <v>262</v>
      </c>
      <c r="M13" s="42" t="s">
        <v>150</v>
      </c>
      <c r="N13" s="41" t="s">
        <v>147</v>
      </c>
      <c r="O13" s="42">
        <v>1</v>
      </c>
      <c r="P13" s="42">
        <v>1</v>
      </c>
      <c r="Q13" s="25" t="str">
        <f>VLOOKUP(P13,Key!$E$2:$F$9,2,FALSE)</f>
        <v>Home</v>
      </c>
      <c r="R13" s="25" t="str">
        <f t="shared" si="0"/>
        <v>Study-Home</v>
      </c>
      <c r="S13" s="47">
        <v>15</v>
      </c>
      <c r="T13" s="47">
        <v>0.3</v>
      </c>
      <c r="U13" s="42">
        <v>1</v>
      </c>
      <c r="V13" s="42"/>
      <c r="W13" s="47"/>
      <c r="X13" s="47"/>
      <c r="Y13" s="48" t="s">
        <v>146</v>
      </c>
      <c r="Z13" s="56"/>
      <c r="AA13" s="25"/>
      <c r="AB13" s="25"/>
    </row>
    <row r="14" spans="2:35">
      <c r="B14" s="39">
        <v>0.51388888888888895</v>
      </c>
      <c r="C14" s="39" t="s">
        <v>463</v>
      </c>
      <c r="D14" s="40">
        <v>1</v>
      </c>
      <c r="E14" s="41">
        <v>2</v>
      </c>
      <c r="F14" s="41" t="s">
        <v>155</v>
      </c>
      <c r="G14" s="42" t="s">
        <v>148</v>
      </c>
      <c r="H14" s="41" t="s">
        <v>147</v>
      </c>
      <c r="I14" s="42">
        <v>1</v>
      </c>
      <c r="J14" s="42">
        <v>1</v>
      </c>
      <c r="K14" s="25" t="str">
        <f>VLOOKUP(J14,Key!$E$2:$F$9,2,FALSE)</f>
        <v>Home</v>
      </c>
      <c r="L14" s="41" t="s">
        <v>209</v>
      </c>
      <c r="M14" s="42" t="s">
        <v>150</v>
      </c>
      <c r="N14" s="41" t="s">
        <v>147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47"/>
      <c r="T14" s="47"/>
      <c r="U14" s="42">
        <v>1</v>
      </c>
      <c r="V14" s="42"/>
      <c r="W14" s="47"/>
      <c r="X14" s="47"/>
      <c r="Y14" s="48" t="s">
        <v>146</v>
      </c>
      <c r="Z14" s="56"/>
      <c r="AA14" s="25"/>
      <c r="AB14" s="25"/>
    </row>
    <row r="15" spans="2:35">
      <c r="B15" s="39">
        <v>0.51944444444444449</v>
      </c>
      <c r="C15" s="39" t="s">
        <v>464</v>
      </c>
      <c r="D15" s="40">
        <v>2</v>
      </c>
      <c r="E15" s="41">
        <v>1</v>
      </c>
      <c r="F15" s="41" t="s">
        <v>155</v>
      </c>
      <c r="G15" s="42" t="s">
        <v>148</v>
      </c>
      <c r="H15" s="41" t="s">
        <v>147</v>
      </c>
      <c r="I15" s="42">
        <v>1</v>
      </c>
      <c r="J15" s="42">
        <v>1</v>
      </c>
      <c r="K15" s="25" t="str">
        <f>VLOOKUP(J15,Key!$E$2:$F$9,2,FALSE)</f>
        <v>Home</v>
      </c>
      <c r="L15" s="41" t="s">
        <v>171</v>
      </c>
      <c r="M15" s="42" t="s">
        <v>150</v>
      </c>
      <c r="N15" s="41" t="s">
        <v>147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Home-Home</v>
      </c>
      <c r="S15" s="47">
        <v>40</v>
      </c>
      <c r="T15" s="47">
        <v>0.5</v>
      </c>
      <c r="U15" s="42">
        <v>1</v>
      </c>
      <c r="V15" s="42"/>
      <c r="W15" s="47"/>
      <c r="X15" s="47"/>
      <c r="Y15" s="48" t="s">
        <v>146</v>
      </c>
      <c r="Z15" s="56"/>
      <c r="AA15" s="25"/>
      <c r="AB15" s="25"/>
    </row>
    <row r="16" spans="2:35">
      <c r="B16" s="39">
        <v>0.52430555555555558</v>
      </c>
      <c r="C16" s="39" t="s">
        <v>465</v>
      </c>
      <c r="D16" s="40">
        <v>11</v>
      </c>
      <c r="E16" s="41">
        <v>1</v>
      </c>
      <c r="F16" s="41" t="s">
        <v>164</v>
      </c>
      <c r="G16" s="42" t="s">
        <v>150</v>
      </c>
      <c r="H16" s="41" t="s">
        <v>147</v>
      </c>
      <c r="I16" s="42">
        <v>8</v>
      </c>
      <c r="J16" s="42">
        <v>2</v>
      </c>
      <c r="K16" s="25" t="str">
        <f>VLOOKUP(J16,Key!$E$2:$F$9,2,FALSE)</f>
        <v>Work</v>
      </c>
      <c r="L16" s="41" t="s">
        <v>169</v>
      </c>
      <c r="M16" s="42" t="s">
        <v>150</v>
      </c>
      <c r="N16" s="41" t="s">
        <v>147</v>
      </c>
      <c r="O16" s="42">
        <v>8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7">
        <v>10</v>
      </c>
      <c r="T16" s="47">
        <v>0.5</v>
      </c>
      <c r="U16" s="42">
        <v>1</v>
      </c>
      <c r="V16" s="42"/>
      <c r="W16" s="47"/>
      <c r="X16" s="47"/>
      <c r="Y16" s="48" t="s">
        <v>146</v>
      </c>
      <c r="Z16" s="56"/>
      <c r="AA16" s="25"/>
      <c r="AB16" s="25"/>
    </row>
    <row r="17" spans="2:28">
      <c r="B17" s="39">
        <v>0.68055555555555547</v>
      </c>
      <c r="C17" s="39" t="s">
        <v>466</v>
      </c>
      <c r="D17" s="40">
        <v>11</v>
      </c>
      <c r="E17" s="41">
        <v>1</v>
      </c>
      <c r="F17" s="41" t="s">
        <v>155</v>
      </c>
      <c r="G17" s="42" t="s">
        <v>148</v>
      </c>
      <c r="H17" s="41" t="s">
        <v>147</v>
      </c>
      <c r="I17" s="42">
        <v>8</v>
      </c>
      <c r="J17" s="42">
        <v>2</v>
      </c>
      <c r="K17" s="25" t="str">
        <f>VLOOKUP(J17,Key!$E$2:$F$9,2,FALSE)</f>
        <v>Work</v>
      </c>
      <c r="L17" s="41" t="s">
        <v>171</v>
      </c>
      <c r="M17" s="42" t="s">
        <v>150</v>
      </c>
      <c r="N17" s="41" t="s">
        <v>147</v>
      </c>
      <c r="O17" s="42">
        <v>8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40</v>
      </c>
      <c r="T17" s="47">
        <v>1</v>
      </c>
      <c r="U17" s="42">
        <v>1</v>
      </c>
      <c r="V17" s="42"/>
      <c r="W17" s="47"/>
      <c r="X17" s="47"/>
      <c r="Y17" s="48" t="s">
        <v>146</v>
      </c>
      <c r="Z17" s="56"/>
      <c r="AA17" s="25"/>
      <c r="AB17" s="25"/>
    </row>
    <row r="18" spans="2:28">
      <c r="B18" s="39">
        <v>0.54513888888888895</v>
      </c>
      <c r="C18" s="39" t="s">
        <v>467</v>
      </c>
      <c r="D18" s="40">
        <v>8</v>
      </c>
      <c r="E18" s="41">
        <v>2</v>
      </c>
      <c r="F18" s="41" t="s">
        <v>468</v>
      </c>
      <c r="G18" s="42" t="s">
        <v>469</v>
      </c>
      <c r="H18" s="41" t="s">
        <v>147</v>
      </c>
      <c r="I18" s="42">
        <v>2</v>
      </c>
      <c r="J18" s="42">
        <v>2</v>
      </c>
      <c r="K18" s="25" t="str">
        <f>VLOOKUP(J18,Key!$E$2:$F$9,2,FALSE)</f>
        <v>Work</v>
      </c>
      <c r="L18" s="41" t="s">
        <v>171</v>
      </c>
      <c r="M18" s="42" t="s">
        <v>150</v>
      </c>
      <c r="N18" s="41" t="s">
        <v>147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260</v>
      </c>
      <c r="T18" s="47">
        <v>0.4</v>
      </c>
      <c r="U18" s="42">
        <v>1</v>
      </c>
      <c r="V18" s="42">
        <v>11</v>
      </c>
      <c r="W18" s="47"/>
      <c r="X18" s="47"/>
      <c r="Y18" s="48" t="s">
        <v>146</v>
      </c>
      <c r="Z18" s="56"/>
      <c r="AA18" s="25"/>
      <c r="AB18" s="25"/>
    </row>
    <row r="19" spans="2:28">
      <c r="B19" s="39">
        <v>0.51388888888888895</v>
      </c>
      <c r="C19" s="39" t="s">
        <v>470</v>
      </c>
      <c r="D19" s="40">
        <v>1</v>
      </c>
      <c r="E19" s="41">
        <v>1</v>
      </c>
      <c r="F19" s="41" t="s">
        <v>155</v>
      </c>
      <c r="G19" s="42" t="s">
        <v>148</v>
      </c>
      <c r="H19" s="41" t="s">
        <v>147</v>
      </c>
      <c r="I19" s="42">
        <v>4</v>
      </c>
      <c r="J19" s="42">
        <v>3</v>
      </c>
      <c r="K19" s="25" t="str">
        <f>VLOOKUP(J19,Key!$E$2:$F$9,2,FALSE)</f>
        <v>Study</v>
      </c>
      <c r="L19" s="41" t="s">
        <v>171</v>
      </c>
      <c r="M19" s="42" t="s">
        <v>150</v>
      </c>
      <c r="N19" s="41" t="s">
        <v>147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Study-Home</v>
      </c>
      <c r="S19" s="47">
        <v>20</v>
      </c>
      <c r="T19" s="47">
        <v>2</v>
      </c>
      <c r="U19" s="42">
        <v>4</v>
      </c>
      <c r="V19" s="42"/>
      <c r="W19" s="47"/>
      <c r="X19" s="47"/>
      <c r="Y19" s="48" t="s">
        <v>146</v>
      </c>
      <c r="Z19" s="56"/>
      <c r="AA19" s="25"/>
      <c r="AB19" s="25"/>
    </row>
    <row r="20" spans="2:28">
      <c r="B20" s="39">
        <v>0.50763888888888886</v>
      </c>
      <c r="C20" s="39" t="s">
        <v>471</v>
      </c>
      <c r="D20" s="40">
        <v>1</v>
      </c>
      <c r="E20" s="41">
        <v>2</v>
      </c>
      <c r="F20" s="41" t="s">
        <v>155</v>
      </c>
      <c r="G20" s="42" t="s">
        <v>148</v>
      </c>
      <c r="H20" s="41" t="s">
        <v>147</v>
      </c>
      <c r="I20" s="42">
        <v>2</v>
      </c>
      <c r="J20" s="42">
        <v>2</v>
      </c>
      <c r="K20" s="25" t="str">
        <f>VLOOKUP(J20,Key!$E$2:$F$9,2,FALSE)</f>
        <v>Work</v>
      </c>
      <c r="L20" s="41" t="s">
        <v>173</v>
      </c>
      <c r="M20" s="42" t="s">
        <v>150</v>
      </c>
      <c r="N20" s="41" t="s">
        <v>147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7"/>
      <c r="T20" s="47">
        <v>2</v>
      </c>
      <c r="U20" s="42">
        <v>1</v>
      </c>
      <c r="V20" s="42"/>
      <c r="W20" s="47"/>
      <c r="X20" s="47"/>
      <c r="Y20" s="48" t="s">
        <v>146</v>
      </c>
      <c r="Z20" s="56"/>
      <c r="AA20" s="25"/>
      <c r="AB20" s="25"/>
    </row>
    <row r="21" spans="2:28">
      <c r="B21" s="39">
        <v>0.52916666666666667</v>
      </c>
      <c r="C21" s="39" t="s">
        <v>472</v>
      </c>
      <c r="D21" s="40">
        <v>11</v>
      </c>
      <c r="E21" s="41">
        <v>2</v>
      </c>
      <c r="F21" s="41" t="s">
        <v>155</v>
      </c>
      <c r="G21" s="42" t="s">
        <v>148</v>
      </c>
      <c r="H21" s="41" t="s">
        <v>147</v>
      </c>
      <c r="I21" s="42">
        <v>1</v>
      </c>
      <c r="J21" s="42">
        <v>1</v>
      </c>
      <c r="K21" s="25" t="str">
        <f>VLOOKUP(J21,Key!$E$2:$F$9,2,FALSE)</f>
        <v>Home</v>
      </c>
      <c r="L21" s="41" t="s">
        <v>169</v>
      </c>
      <c r="M21" s="42" t="s">
        <v>150</v>
      </c>
      <c r="N21" s="41" t="s">
        <v>147</v>
      </c>
      <c r="O21" s="42">
        <v>8</v>
      </c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47">
        <v>40</v>
      </c>
      <c r="T21" s="47">
        <v>2</v>
      </c>
      <c r="U21" s="42">
        <v>1</v>
      </c>
      <c r="V21" s="42"/>
      <c r="W21" s="47"/>
      <c r="X21" s="47"/>
      <c r="Y21" s="48" t="s">
        <v>146</v>
      </c>
      <c r="Z21" s="56"/>
      <c r="AA21" s="25"/>
      <c r="AB21" s="25"/>
    </row>
    <row r="22" spans="2:28">
      <c r="B22" s="39">
        <v>0.52638888888888891</v>
      </c>
      <c r="C22" s="39" t="s">
        <v>473</v>
      </c>
      <c r="D22" s="40">
        <v>1</v>
      </c>
      <c r="E22" s="41">
        <v>2</v>
      </c>
      <c r="F22" s="41" t="s">
        <v>155</v>
      </c>
      <c r="G22" s="42" t="s">
        <v>148</v>
      </c>
      <c r="H22" s="41" t="s">
        <v>147</v>
      </c>
      <c r="I22" s="42">
        <v>2</v>
      </c>
      <c r="J22" s="42">
        <v>2</v>
      </c>
      <c r="K22" s="25" t="s">
        <v>102</v>
      </c>
      <c r="L22" s="41" t="s">
        <v>171</v>
      </c>
      <c r="M22" s="42" t="s">
        <v>150</v>
      </c>
      <c r="N22" s="41" t="s">
        <v>147</v>
      </c>
      <c r="O22" s="42">
        <v>1</v>
      </c>
      <c r="P22" s="42">
        <v>1</v>
      </c>
      <c r="Q22" s="25" t="s">
        <v>101</v>
      </c>
      <c r="R22" s="25" t="str">
        <f t="shared" si="0"/>
        <v>Work-Home</v>
      </c>
      <c r="S22" s="47">
        <v>12</v>
      </c>
      <c r="T22" s="47">
        <v>2</v>
      </c>
      <c r="U22" s="42">
        <v>1</v>
      </c>
      <c r="V22" s="42"/>
      <c r="W22" s="47"/>
      <c r="X22" s="47"/>
      <c r="Y22" s="48" t="s">
        <v>146</v>
      </c>
      <c r="Z22" s="56"/>
      <c r="AA22" s="25"/>
      <c r="AB22" s="25"/>
    </row>
    <row r="23" spans="2:28">
      <c r="B23" s="39">
        <v>0.6875</v>
      </c>
      <c r="C23" s="39" t="s">
        <v>474</v>
      </c>
      <c r="D23" s="40">
        <v>1</v>
      </c>
      <c r="E23" s="41">
        <v>1</v>
      </c>
      <c r="F23" s="41" t="s">
        <v>195</v>
      </c>
      <c r="G23" s="42" t="s">
        <v>148</v>
      </c>
      <c r="H23" s="41" t="s">
        <v>147</v>
      </c>
      <c r="I23" s="42">
        <v>3</v>
      </c>
      <c r="J23" s="42">
        <v>4</v>
      </c>
      <c r="K23" s="25" t="str">
        <f>VLOOKUP(J23,Key!$E$2:$F$9,2,FALSE)</f>
        <v>Commercial</v>
      </c>
      <c r="L23" s="41" t="s">
        <v>169</v>
      </c>
      <c r="M23" s="42" t="s">
        <v>150</v>
      </c>
      <c r="N23" s="41" t="s">
        <v>147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Commercial-Home</v>
      </c>
      <c r="S23" s="47">
        <v>3</v>
      </c>
      <c r="T23" s="47">
        <v>0.5</v>
      </c>
      <c r="U23" s="42">
        <v>2</v>
      </c>
      <c r="V23" s="42"/>
      <c r="W23" s="47"/>
      <c r="X23" s="47"/>
      <c r="Y23" s="48" t="s">
        <v>146</v>
      </c>
      <c r="Z23" s="56"/>
      <c r="AA23" s="25"/>
      <c r="AB23" s="25"/>
    </row>
    <row r="24" spans="2:28">
      <c r="B24" s="39">
        <v>0.69791666666666663</v>
      </c>
      <c r="C24" s="39" t="s">
        <v>475</v>
      </c>
      <c r="D24" s="40">
        <v>7</v>
      </c>
      <c r="E24" s="41">
        <v>3</v>
      </c>
      <c r="F24" s="41" t="s">
        <v>155</v>
      </c>
      <c r="G24" s="42" t="s">
        <v>148</v>
      </c>
      <c r="H24" s="41" t="s">
        <v>147</v>
      </c>
      <c r="I24" s="42">
        <v>10</v>
      </c>
      <c r="J24" s="42">
        <v>4</v>
      </c>
      <c r="K24" s="25" t="str">
        <f>VLOOKUP(J24,Key!$E$2:$F$9,2,FALSE)</f>
        <v>Commercial</v>
      </c>
      <c r="L24" s="41" t="s">
        <v>169</v>
      </c>
      <c r="M24" s="42" t="s">
        <v>150</v>
      </c>
      <c r="N24" s="41" t="s">
        <v>147</v>
      </c>
      <c r="O24" s="42">
        <v>10</v>
      </c>
      <c r="P24" s="42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7">
        <v>8</v>
      </c>
      <c r="T24" s="47">
        <v>0.3</v>
      </c>
      <c r="U24" s="42">
        <v>2</v>
      </c>
      <c r="V24" s="42">
        <v>4</v>
      </c>
      <c r="W24" s="47">
        <v>6</v>
      </c>
      <c r="X24" s="47"/>
      <c r="Y24" s="48" t="s">
        <v>146</v>
      </c>
      <c r="Z24" s="56"/>
      <c r="AA24" s="25"/>
      <c r="AB24" s="25"/>
    </row>
    <row r="25" spans="2:28">
      <c r="B25" s="39">
        <v>0.69930555555555562</v>
      </c>
      <c r="C25" s="39" t="s">
        <v>476</v>
      </c>
      <c r="D25" s="40">
        <v>3</v>
      </c>
      <c r="E25" s="41">
        <v>2</v>
      </c>
      <c r="F25" s="41" t="s">
        <v>155</v>
      </c>
      <c r="G25" s="42" t="s">
        <v>148</v>
      </c>
      <c r="H25" s="41" t="s">
        <v>147</v>
      </c>
      <c r="I25" s="42">
        <v>1</v>
      </c>
      <c r="J25" s="42">
        <v>1</v>
      </c>
      <c r="K25" s="25" t="str">
        <f>VLOOKUP(J25,Key!$E$2:$F$9,2,FALSE)</f>
        <v>Home</v>
      </c>
      <c r="L25" s="41" t="s">
        <v>169</v>
      </c>
      <c r="M25" s="42" t="s">
        <v>150</v>
      </c>
      <c r="N25" s="41" t="s">
        <v>147</v>
      </c>
      <c r="O25" s="42">
        <v>2</v>
      </c>
      <c r="P25" s="42">
        <v>2</v>
      </c>
      <c r="Q25" s="25" t="str">
        <f>VLOOKUP(P25,Key!$E$2:$F$9,2,FALSE)</f>
        <v>Work</v>
      </c>
      <c r="R25" s="25" t="str">
        <f t="shared" si="0"/>
        <v>Home-Work</v>
      </c>
      <c r="S25" s="47">
        <v>4</v>
      </c>
      <c r="T25" s="47">
        <v>0.2</v>
      </c>
      <c r="U25" s="42">
        <v>1</v>
      </c>
      <c r="V25" s="42"/>
      <c r="W25" s="47"/>
      <c r="X25" s="47"/>
      <c r="Y25" s="48" t="s">
        <v>146</v>
      </c>
      <c r="Z25" s="56"/>
      <c r="AA25" s="25"/>
      <c r="AB25" s="25"/>
    </row>
    <row r="26" spans="2:28">
      <c r="B26" s="39">
        <v>0.70486111111111116</v>
      </c>
      <c r="C26" s="39" t="s">
        <v>477</v>
      </c>
      <c r="D26" s="40">
        <v>1</v>
      </c>
      <c r="E26" s="41">
        <v>2</v>
      </c>
      <c r="F26" s="41" t="s">
        <v>478</v>
      </c>
      <c r="G26" s="42" t="s">
        <v>479</v>
      </c>
      <c r="H26" s="41" t="s">
        <v>147</v>
      </c>
      <c r="I26" s="42">
        <v>4</v>
      </c>
      <c r="J26" s="42">
        <v>3</v>
      </c>
      <c r="K26" s="25" t="str">
        <f>VLOOKUP(J26,Key!$E$2:$F$9,2,FALSE)</f>
        <v>Study</v>
      </c>
      <c r="L26" s="41" t="s">
        <v>171</v>
      </c>
      <c r="M26" s="42" t="s">
        <v>150</v>
      </c>
      <c r="N26" s="41" t="s">
        <v>147</v>
      </c>
      <c r="O26" s="42">
        <v>4</v>
      </c>
      <c r="P26" s="42">
        <v>2</v>
      </c>
      <c r="Q26" s="25" t="str">
        <f>VLOOKUP(P26,Key!$E$2:$F$9,2,FALSE)</f>
        <v>Work</v>
      </c>
      <c r="R26" s="25" t="str">
        <f t="shared" si="0"/>
        <v>Study-Work</v>
      </c>
      <c r="S26" s="47">
        <v>80</v>
      </c>
      <c r="T26" s="47">
        <v>1</v>
      </c>
      <c r="U26" s="42">
        <v>1</v>
      </c>
      <c r="V26" s="42"/>
      <c r="W26" s="47"/>
      <c r="X26" s="47"/>
      <c r="Y26" s="48" t="s">
        <v>146</v>
      </c>
      <c r="Z26" s="56"/>
      <c r="AA26" s="25"/>
      <c r="AB26" s="25"/>
    </row>
    <row r="27" spans="2:28">
      <c r="B27" s="39">
        <v>0.71111111111111114</v>
      </c>
      <c r="C27" s="39" t="s">
        <v>480</v>
      </c>
      <c r="D27" s="40">
        <v>3</v>
      </c>
      <c r="E27" s="41">
        <v>1</v>
      </c>
      <c r="F27" s="41" t="s">
        <v>481</v>
      </c>
      <c r="G27" s="42" t="s">
        <v>482</v>
      </c>
      <c r="H27" s="41" t="s">
        <v>147</v>
      </c>
      <c r="I27" s="42">
        <v>2</v>
      </c>
      <c r="J27" s="42">
        <v>2</v>
      </c>
      <c r="K27" s="25" t="str">
        <f>VLOOKUP(J27,Key!$E$2:$F$9,2,FALSE)</f>
        <v>Work</v>
      </c>
      <c r="L27" s="41" t="s">
        <v>169</v>
      </c>
      <c r="M27" s="42" t="s">
        <v>150</v>
      </c>
      <c r="N27" s="41" t="s">
        <v>147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Work-Home</v>
      </c>
      <c r="S27" s="47">
        <v>350</v>
      </c>
      <c r="T27" s="47">
        <v>0.2</v>
      </c>
      <c r="U27" s="42">
        <v>1</v>
      </c>
      <c r="V27" s="42"/>
      <c r="W27" s="47"/>
      <c r="X27" s="47"/>
      <c r="Y27" s="48" t="s">
        <v>146</v>
      </c>
      <c r="Z27" s="56"/>
      <c r="AA27" s="25"/>
      <c r="AB27" s="25"/>
    </row>
    <row r="28" spans="2:28">
      <c r="B28" s="39">
        <v>0.67361111111111116</v>
      </c>
      <c r="C28" s="39" t="s">
        <v>483</v>
      </c>
      <c r="D28" s="40">
        <v>3</v>
      </c>
      <c r="E28" s="41">
        <v>1</v>
      </c>
      <c r="F28" s="41" t="s">
        <v>155</v>
      </c>
      <c r="G28" s="42" t="s">
        <v>148</v>
      </c>
      <c r="H28" s="41" t="s">
        <v>147</v>
      </c>
      <c r="I28" s="42">
        <v>2</v>
      </c>
      <c r="J28" s="42">
        <v>2</v>
      </c>
      <c r="K28" s="25" t="str">
        <f>VLOOKUP(J28,Key!$E$2:$F$9,2,FALSE)</f>
        <v>Work</v>
      </c>
      <c r="L28" s="41" t="s">
        <v>209</v>
      </c>
      <c r="M28" s="42" t="s">
        <v>150</v>
      </c>
      <c r="N28" s="41" t="s">
        <v>147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7"/>
      <c r="T28" s="47"/>
      <c r="U28" s="42">
        <v>1</v>
      </c>
      <c r="V28" s="42"/>
      <c r="W28" s="47"/>
      <c r="X28" s="47"/>
      <c r="Y28" s="48" t="s">
        <v>146</v>
      </c>
      <c r="Z28" s="56"/>
      <c r="AA28" s="25"/>
      <c r="AB28" s="25"/>
    </row>
    <row r="29" spans="2:28">
      <c r="B29" s="39">
        <v>0.71875</v>
      </c>
      <c r="C29" s="39" t="s">
        <v>484</v>
      </c>
      <c r="D29" s="40">
        <v>1</v>
      </c>
      <c r="E29" s="41">
        <v>4</v>
      </c>
      <c r="F29" s="41" t="s">
        <v>155</v>
      </c>
      <c r="G29" s="42" t="s">
        <v>148</v>
      </c>
      <c r="H29" s="41" t="s">
        <v>147</v>
      </c>
      <c r="I29" s="42">
        <v>2</v>
      </c>
      <c r="J29" s="42">
        <v>2</v>
      </c>
      <c r="K29" s="25" t="str">
        <f>VLOOKUP(J29,Key!$E$2:$F$9,2,FALSE)</f>
        <v>Work</v>
      </c>
      <c r="L29" s="41" t="s">
        <v>485</v>
      </c>
      <c r="M29" s="42" t="s">
        <v>150</v>
      </c>
      <c r="N29" s="41" t="s">
        <v>147</v>
      </c>
      <c r="O29" s="42">
        <v>1</v>
      </c>
      <c r="P29" s="42">
        <v>1</v>
      </c>
      <c r="Q29" s="25" t="str">
        <f>VLOOKUP(P29,Key!$E$2:$F$9,2,FALSE)</f>
        <v>Home</v>
      </c>
      <c r="R29" s="25" t="str">
        <f t="shared" si="0"/>
        <v>Work-Home</v>
      </c>
      <c r="S29" s="47">
        <v>58</v>
      </c>
      <c r="T29" s="47">
        <v>1</v>
      </c>
      <c r="U29" s="42">
        <v>1</v>
      </c>
      <c r="V29" s="42"/>
      <c r="W29" s="47"/>
      <c r="X29" s="47"/>
      <c r="Y29" s="48" t="s">
        <v>146</v>
      </c>
      <c r="Z29" s="56"/>
      <c r="AA29" s="25"/>
      <c r="AB29" s="25"/>
    </row>
    <row r="30" spans="2:28">
      <c r="B30" s="39">
        <v>0.73125000000000007</v>
      </c>
      <c r="C30" s="39" t="s">
        <v>486</v>
      </c>
      <c r="D30" s="40">
        <v>7</v>
      </c>
      <c r="E30" s="41">
        <v>2</v>
      </c>
      <c r="F30" s="41" t="s">
        <v>155</v>
      </c>
      <c r="G30" s="42" t="s">
        <v>148</v>
      </c>
      <c r="H30" s="41" t="s">
        <v>147</v>
      </c>
      <c r="I30" s="42">
        <v>10</v>
      </c>
      <c r="J30" s="42">
        <v>2</v>
      </c>
      <c r="K30" s="25" t="str">
        <f>VLOOKUP(J30,Key!$E$2:$F$9,2,FALSE)</f>
        <v>Work</v>
      </c>
      <c r="L30" s="41" t="s">
        <v>171</v>
      </c>
      <c r="M30" s="42" t="s">
        <v>150</v>
      </c>
      <c r="N30" s="41" t="s">
        <v>147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Work-Home</v>
      </c>
      <c r="S30" s="47">
        <v>17</v>
      </c>
      <c r="T30" s="47">
        <v>0.2</v>
      </c>
      <c r="U30" s="42">
        <v>1</v>
      </c>
      <c r="V30" s="42">
        <v>11</v>
      </c>
      <c r="W30" s="47"/>
      <c r="X30" s="47"/>
      <c r="Y30" s="48" t="s">
        <v>146</v>
      </c>
      <c r="Z30" s="56"/>
      <c r="AA30" s="25"/>
      <c r="AB30" s="25"/>
    </row>
    <row r="31" spans="2:28">
      <c r="B31" s="39">
        <v>0.74583333333333324</v>
      </c>
      <c r="C31" s="39" t="s">
        <v>487</v>
      </c>
      <c r="D31" s="40">
        <v>1</v>
      </c>
      <c r="E31" s="41">
        <v>1</v>
      </c>
      <c r="F31" s="41" t="s">
        <v>155</v>
      </c>
      <c r="G31" s="42" t="s">
        <v>148</v>
      </c>
      <c r="H31" s="41" t="s">
        <v>147</v>
      </c>
      <c r="I31" s="42">
        <v>2</v>
      </c>
      <c r="J31" s="42">
        <v>2</v>
      </c>
      <c r="K31" s="25" t="str">
        <f>VLOOKUP(J31,Key!$E$2:$F$9,2,FALSE)</f>
        <v>Work</v>
      </c>
      <c r="L31" s="41" t="s">
        <v>169</v>
      </c>
      <c r="M31" s="42" t="s">
        <v>150</v>
      </c>
      <c r="N31" s="41" t="s">
        <v>147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Work-Home</v>
      </c>
      <c r="S31" s="47">
        <v>7</v>
      </c>
      <c r="T31" s="47">
        <v>0.2</v>
      </c>
      <c r="U31" s="42">
        <v>1</v>
      </c>
      <c r="V31" s="42"/>
      <c r="W31" s="47"/>
      <c r="X31" s="47"/>
      <c r="Y31" s="48" t="s">
        <v>146</v>
      </c>
      <c r="Z31" s="56"/>
      <c r="AA31" s="25"/>
      <c r="AB31" s="25"/>
    </row>
    <row r="32" spans="2:28">
      <c r="B32" s="39">
        <v>0.75</v>
      </c>
      <c r="C32" s="39" t="s">
        <v>488</v>
      </c>
      <c r="D32" s="40">
        <v>1</v>
      </c>
      <c r="E32" s="41">
        <v>3</v>
      </c>
      <c r="F32" s="41" t="s">
        <v>164</v>
      </c>
      <c r="G32" s="42" t="s">
        <v>150</v>
      </c>
      <c r="H32" s="41" t="s">
        <v>147</v>
      </c>
      <c r="I32" s="42">
        <v>1</v>
      </c>
      <c r="J32" s="42">
        <v>1</v>
      </c>
      <c r="K32" s="25" t="str">
        <f>VLOOKUP(J32,Key!$E$2:$F$9,2,FALSE)</f>
        <v>Home</v>
      </c>
      <c r="L32" s="41" t="s">
        <v>201</v>
      </c>
      <c r="M32" s="42" t="s">
        <v>150</v>
      </c>
      <c r="N32" s="41" t="s">
        <v>147</v>
      </c>
      <c r="O32" s="42">
        <v>9</v>
      </c>
      <c r="P32" s="42">
        <v>4</v>
      </c>
      <c r="Q32" s="25" t="str">
        <f>VLOOKUP(P32,Key!$E$2:$F$9,2,FALSE)</f>
        <v>Commercial</v>
      </c>
      <c r="R32" s="25" t="str">
        <f t="shared" si="0"/>
        <v>Home-Commercial</v>
      </c>
      <c r="S32" s="47">
        <v>2</v>
      </c>
      <c r="T32" s="47">
        <v>0</v>
      </c>
      <c r="U32" s="42">
        <v>1</v>
      </c>
      <c r="V32" s="42"/>
      <c r="W32" s="47"/>
      <c r="X32" s="47"/>
      <c r="Y32" s="48" t="s">
        <v>146</v>
      </c>
      <c r="Z32" s="56"/>
      <c r="AA32" s="25"/>
      <c r="AB32" s="25"/>
    </row>
    <row r="33" spans="2:28">
      <c r="B33" s="39">
        <v>0.76527777777777783</v>
      </c>
      <c r="C33" s="39" t="s">
        <v>489</v>
      </c>
      <c r="D33" s="40">
        <v>2</v>
      </c>
      <c r="E33" s="41">
        <v>1</v>
      </c>
      <c r="F33" s="41" t="s">
        <v>155</v>
      </c>
      <c r="G33" s="42" t="s">
        <v>148</v>
      </c>
      <c r="H33" s="41" t="s">
        <v>147</v>
      </c>
      <c r="I33" s="42">
        <v>2</v>
      </c>
      <c r="J33" s="42">
        <v>2</v>
      </c>
      <c r="K33" s="25" t="str">
        <f>VLOOKUP(J33,Key!$E$2:$F$9,2,FALSE)</f>
        <v>Work</v>
      </c>
      <c r="L33" s="41" t="s">
        <v>490</v>
      </c>
      <c r="M33" s="42" t="s">
        <v>150</v>
      </c>
      <c r="N33" s="41" t="s">
        <v>147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Work-Home</v>
      </c>
      <c r="S33" s="47">
        <v>25</v>
      </c>
      <c r="T33" s="47">
        <v>0</v>
      </c>
      <c r="U33" s="42">
        <v>1</v>
      </c>
      <c r="V33" s="42"/>
      <c r="W33" s="47"/>
      <c r="X33" s="47"/>
      <c r="Y33" s="48" t="s">
        <v>146</v>
      </c>
      <c r="Z33" s="56"/>
      <c r="AA33" s="25"/>
      <c r="AB33" s="25"/>
    </row>
    <row r="34" spans="2:28">
      <c r="B34" s="39">
        <v>0.76736111111111116</v>
      </c>
      <c r="C34" s="39" t="s">
        <v>491</v>
      </c>
      <c r="D34" s="40">
        <v>1</v>
      </c>
      <c r="E34" s="41">
        <v>1</v>
      </c>
      <c r="F34" s="41" t="s">
        <v>155</v>
      </c>
      <c r="G34" s="42" t="s">
        <v>148</v>
      </c>
      <c r="H34" s="41" t="s">
        <v>147</v>
      </c>
      <c r="I34" s="42">
        <v>2</v>
      </c>
      <c r="J34" s="42">
        <v>2</v>
      </c>
      <c r="K34" s="25" t="str">
        <f>VLOOKUP(J34,Key!$E$2:$F$9,2,FALSE)</f>
        <v>Work</v>
      </c>
      <c r="L34" s="41" t="s">
        <v>191</v>
      </c>
      <c r="M34" s="42" t="s">
        <v>150</v>
      </c>
      <c r="N34" s="41" t="s">
        <v>147</v>
      </c>
      <c r="O34" s="42">
        <v>1</v>
      </c>
      <c r="P34" s="42">
        <v>1</v>
      </c>
      <c r="Q34" s="25" t="str">
        <f>VLOOKUP(P34,Key!$E$2:$F$9,2,FALSE)</f>
        <v>Home</v>
      </c>
      <c r="R34" s="25" t="str">
        <f t="shared" si="0"/>
        <v>Work-Home</v>
      </c>
      <c r="S34" s="47">
        <v>6</v>
      </c>
      <c r="T34" s="47">
        <v>0.2</v>
      </c>
      <c r="U34" s="42">
        <v>2</v>
      </c>
      <c r="V34" s="42"/>
      <c r="W34" s="47"/>
      <c r="X34" s="47"/>
      <c r="Y34" s="48" t="s">
        <v>146</v>
      </c>
      <c r="Z34" s="56"/>
      <c r="AA34" s="25"/>
      <c r="AB34" s="25"/>
    </row>
    <row r="35" spans="2:28">
      <c r="B35" s="39">
        <v>0.78125</v>
      </c>
      <c r="C35" s="39" t="s">
        <v>492</v>
      </c>
      <c r="D35" s="40">
        <v>1</v>
      </c>
      <c r="E35" s="41">
        <v>3</v>
      </c>
      <c r="F35" s="41" t="s">
        <v>173</v>
      </c>
      <c r="G35" s="42" t="s">
        <v>148</v>
      </c>
      <c r="H35" s="41" t="s">
        <v>147</v>
      </c>
      <c r="I35" s="42">
        <v>11</v>
      </c>
      <c r="J35" s="42">
        <v>6</v>
      </c>
      <c r="K35" s="25" t="str">
        <f>VLOOKUP(J35,Key!$E$2:$F$9,2,FALSE)</f>
        <v>Leisure/Social</v>
      </c>
      <c r="L35" s="41" t="s">
        <v>171</v>
      </c>
      <c r="M35" s="42" t="s">
        <v>150</v>
      </c>
      <c r="N35" s="41" t="s">
        <v>147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Leisure/Social-Home</v>
      </c>
      <c r="S35" s="47">
        <v>31</v>
      </c>
      <c r="T35" s="47">
        <v>1.5</v>
      </c>
      <c r="U35" s="42">
        <v>3</v>
      </c>
      <c r="V35" s="42"/>
      <c r="W35" s="47"/>
      <c r="X35" s="47"/>
      <c r="Y35" s="48" t="s">
        <v>146</v>
      </c>
      <c r="Z35" s="56"/>
      <c r="AA35" s="25"/>
      <c r="AB35" s="25"/>
    </row>
    <row r="36" spans="2:28">
      <c r="B36" s="39">
        <v>0.7715277777777777</v>
      </c>
      <c r="C36" s="39" t="s">
        <v>493</v>
      </c>
      <c r="D36" s="40">
        <v>2</v>
      </c>
      <c r="E36" s="41">
        <v>1</v>
      </c>
      <c r="F36" s="41" t="s">
        <v>155</v>
      </c>
      <c r="G36" s="42" t="s">
        <v>148</v>
      </c>
      <c r="H36" s="41" t="s">
        <v>147</v>
      </c>
      <c r="I36" s="42">
        <v>2</v>
      </c>
      <c r="J36" s="42">
        <v>2</v>
      </c>
      <c r="K36" s="25" t="str">
        <f>VLOOKUP(J36,Key!$E$2:$F$9,2,FALSE)</f>
        <v>Work</v>
      </c>
      <c r="L36" s="41" t="s">
        <v>262</v>
      </c>
      <c r="M36" s="42" t="s">
        <v>150</v>
      </c>
      <c r="N36" s="41" t="s">
        <v>147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Work-Home</v>
      </c>
      <c r="S36" s="47">
        <v>15</v>
      </c>
      <c r="T36" s="47">
        <v>0.5</v>
      </c>
      <c r="U36" s="42">
        <v>1</v>
      </c>
      <c r="V36" s="42"/>
      <c r="W36" s="47"/>
      <c r="X36" s="47"/>
      <c r="Y36" s="48" t="s">
        <v>146</v>
      </c>
      <c r="Z36" s="56"/>
      <c r="AA36" s="25"/>
      <c r="AB36" s="25"/>
    </row>
    <row r="37" spans="2:28">
      <c r="B37" s="39">
        <v>0.76736111111111116</v>
      </c>
      <c r="C37" s="39" t="s">
        <v>494</v>
      </c>
      <c r="D37" s="40">
        <v>2</v>
      </c>
      <c r="E37" s="41">
        <v>4</v>
      </c>
      <c r="F37" s="41" t="s">
        <v>155</v>
      </c>
      <c r="G37" s="42" t="s">
        <v>148</v>
      </c>
      <c r="H37" s="41" t="s">
        <v>147</v>
      </c>
      <c r="I37" s="42">
        <v>16</v>
      </c>
      <c r="J37" s="42">
        <v>6</v>
      </c>
      <c r="K37" s="25" t="str">
        <f>VLOOKUP(J37,Key!$E$2:$F$9,2,FALSE)</f>
        <v>Leisure/Social</v>
      </c>
      <c r="L37" s="41" t="s">
        <v>162</v>
      </c>
      <c r="M37" s="42" t="s">
        <v>150</v>
      </c>
      <c r="N37" s="41" t="s">
        <v>147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Leisure/Social-Home</v>
      </c>
      <c r="S37" s="47">
        <v>6</v>
      </c>
      <c r="T37" s="47">
        <v>0.1</v>
      </c>
      <c r="U37" s="42">
        <v>3</v>
      </c>
      <c r="V37" s="42"/>
      <c r="W37" s="47"/>
      <c r="X37" s="47"/>
      <c r="Y37" s="48" t="s">
        <v>146</v>
      </c>
      <c r="Z37" s="56"/>
      <c r="AA37" s="25"/>
      <c r="AB37" s="25"/>
    </row>
    <row r="38" spans="2:28">
      <c r="B38" s="39">
        <v>0.76388888888888884</v>
      </c>
      <c r="C38" s="39" t="s">
        <v>495</v>
      </c>
      <c r="D38" s="40">
        <v>3</v>
      </c>
      <c r="E38" s="41">
        <v>3</v>
      </c>
      <c r="F38" s="41" t="s">
        <v>164</v>
      </c>
      <c r="G38" s="42" t="s">
        <v>150</v>
      </c>
      <c r="H38" s="41" t="s">
        <v>147</v>
      </c>
      <c r="I38" s="42">
        <v>9</v>
      </c>
      <c r="J38" s="42">
        <v>2</v>
      </c>
      <c r="K38" s="25" t="str">
        <f>VLOOKUP(J38,Key!$E$2:$F$9,2,FALSE)</f>
        <v>Work</v>
      </c>
      <c r="L38" s="41" t="s">
        <v>169</v>
      </c>
      <c r="M38" s="42" t="s">
        <v>150</v>
      </c>
      <c r="N38" s="41" t="s">
        <v>147</v>
      </c>
      <c r="O38" s="42">
        <v>1</v>
      </c>
      <c r="P38" s="42">
        <v>1</v>
      </c>
      <c r="Q38" s="25" t="str">
        <f>VLOOKUP(P38,Key!$E$2:$F$9,2,FALSE)</f>
        <v>Home</v>
      </c>
      <c r="R38" s="25" t="str">
        <f t="shared" ref="R38:R76" si="1">K38&amp;"-"&amp;Q38</f>
        <v>Work-Home</v>
      </c>
      <c r="S38" s="47"/>
      <c r="T38" s="47"/>
      <c r="U38" s="42">
        <v>3</v>
      </c>
      <c r="V38" s="42"/>
      <c r="W38" s="47"/>
      <c r="X38" s="47"/>
      <c r="Y38" s="48" t="s">
        <v>146</v>
      </c>
      <c r="Z38" s="56"/>
      <c r="AA38" s="25"/>
      <c r="AB38" s="25"/>
    </row>
    <row r="39" spans="2:28">
      <c r="B39" s="39">
        <v>0.75763888888888886</v>
      </c>
      <c r="C39" s="39" t="s">
        <v>496</v>
      </c>
      <c r="D39" s="40">
        <v>7</v>
      </c>
      <c r="E39" s="41">
        <v>3</v>
      </c>
      <c r="F39" s="41" t="s">
        <v>155</v>
      </c>
      <c r="G39" s="42" t="s">
        <v>148</v>
      </c>
      <c r="H39" s="41" t="s">
        <v>147</v>
      </c>
      <c r="I39" s="42">
        <v>11</v>
      </c>
      <c r="J39" s="42">
        <v>4</v>
      </c>
      <c r="K39" s="25" t="str">
        <f>VLOOKUP(J39,Key!$E$2:$F$9,2,FALSE)</f>
        <v>Commercial</v>
      </c>
      <c r="L39" s="41" t="s">
        <v>209</v>
      </c>
      <c r="M39" s="42" t="s">
        <v>150</v>
      </c>
      <c r="N39" s="41" t="s">
        <v>147</v>
      </c>
      <c r="O39" s="42">
        <v>11</v>
      </c>
      <c r="P39" s="42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47"/>
      <c r="T39" s="47">
        <v>1.5</v>
      </c>
      <c r="U39" s="42">
        <v>3</v>
      </c>
      <c r="V39" s="42">
        <v>4</v>
      </c>
      <c r="W39" s="47">
        <v>5</v>
      </c>
      <c r="X39" s="47"/>
      <c r="Y39" s="48" t="s">
        <v>146</v>
      </c>
      <c r="Z39" s="56"/>
      <c r="AA39" s="25"/>
      <c r="AB39" s="25"/>
    </row>
    <row r="40" spans="2:28">
      <c r="B40" s="39">
        <v>0.75</v>
      </c>
      <c r="C40" s="39" t="s">
        <v>497</v>
      </c>
      <c r="D40" s="40">
        <v>8</v>
      </c>
      <c r="E40" s="41">
        <v>1</v>
      </c>
      <c r="F40" s="41" t="s">
        <v>317</v>
      </c>
      <c r="G40" s="42" t="s">
        <v>498</v>
      </c>
      <c r="H40" s="41" t="s">
        <v>147</v>
      </c>
      <c r="I40" s="42">
        <v>3</v>
      </c>
      <c r="J40" s="42">
        <v>2</v>
      </c>
      <c r="K40" s="25" t="str">
        <f>VLOOKUP(J40,Key!$E$2:$F$9,2,FALSE)</f>
        <v>Work</v>
      </c>
      <c r="L40" s="41" t="s">
        <v>499</v>
      </c>
      <c r="M40" s="42" t="s">
        <v>150</v>
      </c>
      <c r="N40" s="41" t="s">
        <v>147</v>
      </c>
      <c r="O40" s="42">
        <v>11</v>
      </c>
      <c r="P40" s="42">
        <v>4</v>
      </c>
      <c r="Q40" s="25" t="str">
        <f>VLOOKUP(P40,Key!$E$2:$F$9,2,FALSE)</f>
        <v>Commercial</v>
      </c>
      <c r="R40" s="25" t="str">
        <f t="shared" si="1"/>
        <v>Work-Commercial</v>
      </c>
      <c r="S40" s="47">
        <v>100</v>
      </c>
      <c r="T40" s="47"/>
      <c r="U40" s="42">
        <v>3</v>
      </c>
      <c r="V40" s="42">
        <v>11</v>
      </c>
      <c r="W40" s="47"/>
      <c r="X40" s="47"/>
      <c r="Y40" s="48" t="s">
        <v>146</v>
      </c>
      <c r="Z40" s="56"/>
      <c r="AA40" s="25"/>
      <c r="AB40" s="25"/>
    </row>
    <row r="41" spans="2:28">
      <c r="B41" s="39">
        <v>0.75138888888888899</v>
      </c>
      <c r="C41" s="39" t="s">
        <v>500</v>
      </c>
      <c r="D41" s="40">
        <v>3</v>
      </c>
      <c r="E41" s="41">
        <v>1</v>
      </c>
      <c r="F41" s="41" t="s">
        <v>213</v>
      </c>
      <c r="G41" s="42" t="s">
        <v>148</v>
      </c>
      <c r="H41" s="41" t="s">
        <v>147</v>
      </c>
      <c r="I41" s="42">
        <v>2</v>
      </c>
      <c r="J41" s="42">
        <v>2</v>
      </c>
      <c r="K41" s="25" t="str">
        <f>VLOOKUP(J41,Key!$E$2:$F$9,2,FALSE)</f>
        <v>Work</v>
      </c>
      <c r="L41" s="41" t="s">
        <v>501</v>
      </c>
      <c r="M41" s="42" t="s">
        <v>150</v>
      </c>
      <c r="N41" s="41" t="s">
        <v>147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1"/>
        <v>Work-Home</v>
      </c>
      <c r="S41" s="47"/>
      <c r="T41" s="47">
        <v>0.3</v>
      </c>
      <c r="U41" s="42">
        <v>1</v>
      </c>
      <c r="V41" s="42"/>
      <c r="W41" s="47"/>
      <c r="X41" s="47"/>
      <c r="Y41" s="48" t="s">
        <v>146</v>
      </c>
      <c r="Z41" s="56"/>
      <c r="AA41" s="25"/>
      <c r="AB41" s="25"/>
    </row>
    <row r="42" spans="2:28">
      <c r="B42" s="39">
        <v>0.71875</v>
      </c>
      <c r="C42" s="39" t="s">
        <v>502</v>
      </c>
      <c r="D42" s="40">
        <v>1</v>
      </c>
      <c r="E42" s="41">
        <v>4</v>
      </c>
      <c r="F42" s="41" t="s">
        <v>155</v>
      </c>
      <c r="G42" s="42" t="s">
        <v>148</v>
      </c>
      <c r="H42" s="41" t="s">
        <v>147</v>
      </c>
      <c r="I42" s="42">
        <v>11</v>
      </c>
      <c r="J42" s="42">
        <v>6</v>
      </c>
      <c r="K42" s="25" t="str">
        <f>VLOOKUP(J42,Key!$E$2:$F$9,2,FALSE)</f>
        <v>Leisure/Social</v>
      </c>
      <c r="L42" s="41" t="s">
        <v>503</v>
      </c>
      <c r="M42" s="42" t="s">
        <v>150</v>
      </c>
      <c r="N42" s="41" t="s">
        <v>147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1"/>
        <v>Leisure/Social-Home</v>
      </c>
      <c r="S42" s="47"/>
      <c r="T42" s="47">
        <v>1.5</v>
      </c>
      <c r="U42" s="42">
        <v>3</v>
      </c>
      <c r="V42" s="42"/>
      <c r="W42" s="47"/>
      <c r="X42" s="47"/>
      <c r="Y42" s="48" t="s">
        <v>146</v>
      </c>
      <c r="Z42" s="56"/>
      <c r="AA42" s="25"/>
      <c r="AB42" s="25"/>
    </row>
    <row r="43" spans="2:28">
      <c r="B43" s="39">
        <v>0.71458333333333324</v>
      </c>
      <c r="C43" s="39" t="s">
        <v>504</v>
      </c>
      <c r="D43" s="40">
        <v>1</v>
      </c>
      <c r="E43" s="41">
        <v>1</v>
      </c>
      <c r="F43" s="41" t="s">
        <v>155</v>
      </c>
      <c r="G43" s="42" t="s">
        <v>148</v>
      </c>
      <c r="H43" s="41" t="s">
        <v>147</v>
      </c>
      <c r="I43" s="42">
        <v>2</v>
      </c>
      <c r="J43" s="42">
        <v>2</v>
      </c>
      <c r="K43" s="25" t="str">
        <f>VLOOKUP(J43,Key!$E$2:$F$9,2,FALSE)</f>
        <v>Work</v>
      </c>
      <c r="L43" s="41" t="s">
        <v>169</v>
      </c>
      <c r="M43" s="42" t="s">
        <v>150</v>
      </c>
      <c r="N43" s="41" t="s">
        <v>147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1"/>
        <v>Work-Home</v>
      </c>
      <c r="S43" s="47">
        <v>8</v>
      </c>
      <c r="T43" s="47">
        <v>0.2</v>
      </c>
      <c r="U43" s="42">
        <v>3</v>
      </c>
      <c r="V43" s="42"/>
      <c r="W43" s="47"/>
      <c r="X43" s="47"/>
      <c r="Y43" s="48" t="s">
        <v>146</v>
      </c>
      <c r="Z43" s="56"/>
      <c r="AA43" s="25"/>
      <c r="AB43" s="25"/>
    </row>
    <row r="44" spans="2:28">
      <c r="B44" s="39">
        <v>0.70833333333333337</v>
      </c>
      <c r="C44" s="39" t="s">
        <v>505</v>
      </c>
      <c r="D44" s="40">
        <v>7</v>
      </c>
      <c r="E44" s="41">
        <v>1</v>
      </c>
      <c r="F44" s="41" t="s">
        <v>164</v>
      </c>
      <c r="G44" s="42" t="s">
        <v>150</v>
      </c>
      <c r="H44" s="41" t="s">
        <v>147</v>
      </c>
      <c r="I44" s="42">
        <v>11</v>
      </c>
      <c r="J44" s="42">
        <v>2</v>
      </c>
      <c r="K44" s="25" t="str">
        <f>VLOOKUP(J44,Key!$E$2:$F$9,2,FALSE)</f>
        <v>Work</v>
      </c>
      <c r="L44" s="41" t="s">
        <v>169</v>
      </c>
      <c r="M44" s="42" t="s">
        <v>150</v>
      </c>
      <c r="N44" s="41" t="s">
        <v>147</v>
      </c>
      <c r="O44" s="42">
        <v>11</v>
      </c>
      <c r="P44" s="42">
        <v>4</v>
      </c>
      <c r="Q44" s="25" t="str">
        <f>VLOOKUP(P44,Key!$E$2:$F$9,2,FALSE)</f>
        <v>Commercial</v>
      </c>
      <c r="R44" s="25" t="str">
        <f t="shared" si="1"/>
        <v>Work-Commercial</v>
      </c>
      <c r="S44" s="47"/>
      <c r="T44" s="47">
        <v>0.5</v>
      </c>
      <c r="U44" s="42">
        <v>1</v>
      </c>
      <c r="V44" s="42"/>
      <c r="W44" s="47">
        <v>3</v>
      </c>
      <c r="X44" s="47"/>
      <c r="Y44" s="48" t="s">
        <v>146</v>
      </c>
      <c r="Z44" s="56"/>
      <c r="AA44" s="25"/>
      <c r="AB44" s="25"/>
    </row>
    <row r="45" spans="2:28">
      <c r="B45" s="39">
        <v>0.70694444444444438</v>
      </c>
      <c r="C45" s="39" t="s">
        <v>506</v>
      </c>
      <c r="D45" s="40">
        <v>1</v>
      </c>
      <c r="E45" s="41">
        <v>2</v>
      </c>
      <c r="F45" s="41" t="s">
        <v>155</v>
      </c>
      <c r="G45" s="42" t="s">
        <v>148</v>
      </c>
      <c r="H45" s="41" t="s">
        <v>147</v>
      </c>
      <c r="I45" s="42">
        <v>2</v>
      </c>
      <c r="J45" s="42">
        <v>2</v>
      </c>
      <c r="K45" s="25" t="str">
        <f>VLOOKUP(J45,Key!$E$2:$F$9,2,FALSE)</f>
        <v>Work</v>
      </c>
      <c r="L45" s="41" t="s">
        <v>507</v>
      </c>
      <c r="M45" s="42" t="s">
        <v>150</v>
      </c>
      <c r="N45" s="41" t="s">
        <v>147</v>
      </c>
      <c r="O45" s="42">
        <v>1</v>
      </c>
      <c r="P45" s="42">
        <v>1</v>
      </c>
      <c r="Q45" s="25" t="str">
        <f>VLOOKUP(P45,Key!$E$2:$F$9,2,FALSE)</f>
        <v>Home</v>
      </c>
      <c r="R45" s="25" t="str">
        <f t="shared" si="1"/>
        <v>Work-Home</v>
      </c>
      <c r="S45" s="47">
        <v>8</v>
      </c>
      <c r="T45" s="47">
        <v>0</v>
      </c>
      <c r="U45" s="42">
        <v>1</v>
      </c>
      <c r="V45" s="42"/>
      <c r="W45" s="47"/>
      <c r="X45" s="47"/>
      <c r="Y45" s="48" t="s">
        <v>146</v>
      </c>
      <c r="Z45" s="56"/>
      <c r="AA45" s="25"/>
      <c r="AB45" s="25"/>
    </row>
    <row r="46" spans="2:28">
      <c r="B46" s="39">
        <v>0.70138888888888884</v>
      </c>
      <c r="C46" s="39" t="s">
        <v>508</v>
      </c>
      <c r="D46" s="40">
        <v>7</v>
      </c>
      <c r="E46" s="41">
        <v>2</v>
      </c>
      <c r="F46" s="41" t="s">
        <v>155</v>
      </c>
      <c r="G46" s="42" t="s">
        <v>148</v>
      </c>
      <c r="H46" s="41" t="s">
        <v>147</v>
      </c>
      <c r="I46" s="42">
        <v>10</v>
      </c>
      <c r="J46" s="42">
        <v>4</v>
      </c>
      <c r="K46" s="25" t="str">
        <f>VLOOKUP(J46,Key!$E$2:$F$9,2,FALSE)</f>
        <v>Commercial</v>
      </c>
      <c r="L46" s="41" t="s">
        <v>169</v>
      </c>
      <c r="M46" s="42" t="s">
        <v>150</v>
      </c>
      <c r="N46" s="41" t="s">
        <v>147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1"/>
        <v>Commercial-Home</v>
      </c>
      <c r="S46" s="47">
        <v>14</v>
      </c>
      <c r="T46" s="47">
        <v>0.5</v>
      </c>
      <c r="U46" s="42">
        <v>1</v>
      </c>
      <c r="V46" s="42">
        <v>11</v>
      </c>
      <c r="W46" s="47"/>
      <c r="X46" s="47"/>
      <c r="Y46" s="48" t="s">
        <v>146</v>
      </c>
      <c r="Z46" s="56"/>
      <c r="AA46" s="25"/>
      <c r="AB46" s="25"/>
    </row>
    <row r="47" spans="2:28">
      <c r="B47" s="39">
        <v>0.69444444444444453</v>
      </c>
      <c r="C47" s="39" t="s">
        <v>509</v>
      </c>
      <c r="D47" s="40">
        <v>1</v>
      </c>
      <c r="E47" s="41">
        <v>4</v>
      </c>
      <c r="F47" s="41" t="s">
        <v>155</v>
      </c>
      <c r="G47" s="42" t="s">
        <v>148</v>
      </c>
      <c r="H47" s="41" t="s">
        <v>147</v>
      </c>
      <c r="I47" s="42">
        <v>2</v>
      </c>
      <c r="J47" s="42">
        <v>2</v>
      </c>
      <c r="K47" s="25" t="str">
        <f>VLOOKUP(J47,Key!$E$2:$F$9,2,FALSE)</f>
        <v>Work</v>
      </c>
      <c r="L47" s="41" t="s">
        <v>510</v>
      </c>
      <c r="M47" s="42" t="s">
        <v>150</v>
      </c>
      <c r="N47" s="41" t="s">
        <v>147</v>
      </c>
      <c r="O47" s="42">
        <v>1</v>
      </c>
      <c r="P47" s="42">
        <v>1</v>
      </c>
      <c r="Q47" s="25" t="str">
        <f>VLOOKUP(P47,Key!$E$2:$F$9,2,FALSE)</f>
        <v>Home</v>
      </c>
      <c r="R47" s="25" t="str">
        <f t="shared" si="1"/>
        <v>Work-Home</v>
      </c>
      <c r="S47" s="47">
        <v>20</v>
      </c>
      <c r="T47" s="47">
        <v>0.5</v>
      </c>
      <c r="U47" s="42">
        <v>3</v>
      </c>
      <c r="V47" s="42"/>
      <c r="W47" s="47"/>
      <c r="X47" s="47"/>
      <c r="Y47" s="48" t="s">
        <v>146</v>
      </c>
      <c r="Z47" s="56"/>
      <c r="AA47" s="25"/>
      <c r="AB47" s="25"/>
    </row>
    <row r="48" spans="2:28">
      <c r="B48" s="39">
        <v>0.69097222222222221</v>
      </c>
      <c r="C48" s="39" t="s">
        <v>511</v>
      </c>
      <c r="D48" s="40">
        <v>1</v>
      </c>
      <c r="E48" s="41">
        <v>2</v>
      </c>
      <c r="F48" s="41" t="s">
        <v>317</v>
      </c>
      <c r="G48" s="42" t="s">
        <v>316</v>
      </c>
      <c r="H48" s="41" t="s">
        <v>147</v>
      </c>
      <c r="I48" s="42">
        <v>2</v>
      </c>
      <c r="J48" s="42">
        <v>2</v>
      </c>
      <c r="K48" s="25" t="str">
        <f>VLOOKUP(J48,Key!$E$2:$F$9,2,FALSE)</f>
        <v>Work</v>
      </c>
      <c r="L48" s="41" t="s">
        <v>209</v>
      </c>
      <c r="M48" s="42" t="s">
        <v>150</v>
      </c>
      <c r="N48" s="41" t="s">
        <v>147</v>
      </c>
      <c r="O48" s="42">
        <v>1</v>
      </c>
      <c r="P48" s="42">
        <v>1</v>
      </c>
      <c r="Q48" s="25" t="str">
        <f>VLOOKUP(P48,Key!$E$2:$F$9,2,FALSE)</f>
        <v>Home</v>
      </c>
      <c r="R48" s="25" t="str">
        <f t="shared" si="1"/>
        <v>Work-Home</v>
      </c>
      <c r="S48" s="47"/>
      <c r="T48" s="47"/>
      <c r="U48" s="42">
        <v>6</v>
      </c>
      <c r="V48" s="42"/>
      <c r="W48" s="47"/>
      <c r="X48" s="47"/>
      <c r="Y48" s="48" t="s">
        <v>146</v>
      </c>
      <c r="Z48" s="56"/>
      <c r="AA48" s="25"/>
      <c r="AB48" s="25"/>
    </row>
    <row r="49" spans="2:28">
      <c r="B49" s="39">
        <v>0.69027777777777777</v>
      </c>
      <c r="C49" s="39" t="s">
        <v>512</v>
      </c>
      <c r="D49" s="40">
        <v>8</v>
      </c>
      <c r="E49" s="41">
        <v>2</v>
      </c>
      <c r="F49" s="41" t="s">
        <v>155</v>
      </c>
      <c r="G49" s="42" t="s">
        <v>148</v>
      </c>
      <c r="H49" s="41" t="s">
        <v>147</v>
      </c>
      <c r="I49" s="42">
        <v>9</v>
      </c>
      <c r="J49" s="42">
        <v>2</v>
      </c>
      <c r="K49" s="25" t="str">
        <f>VLOOKUP(J49,Key!$E$2:$F$9,2,FALSE)</f>
        <v>Work</v>
      </c>
      <c r="L49" s="41" t="s">
        <v>513</v>
      </c>
      <c r="M49" s="42" t="s">
        <v>150</v>
      </c>
      <c r="N49" s="41" t="s">
        <v>147</v>
      </c>
      <c r="O49" s="42">
        <v>9</v>
      </c>
      <c r="P49" s="42">
        <v>4</v>
      </c>
      <c r="Q49" s="25" t="str">
        <f>VLOOKUP(P49,Key!$E$2:$F$9,2,FALSE)</f>
        <v>Commercial</v>
      </c>
      <c r="R49" s="25" t="str">
        <f t="shared" si="1"/>
        <v>Work-Commercial</v>
      </c>
      <c r="S49" s="47">
        <v>20</v>
      </c>
      <c r="T49" s="47">
        <v>0.8</v>
      </c>
      <c r="U49" s="42">
        <v>1</v>
      </c>
      <c r="V49" s="42">
        <v>11</v>
      </c>
      <c r="W49" s="47"/>
      <c r="X49" s="47"/>
      <c r="Y49" s="48" t="s">
        <v>146</v>
      </c>
      <c r="Z49" s="56"/>
      <c r="AA49" s="25"/>
      <c r="AB49" s="25"/>
    </row>
    <row r="50" spans="2:28">
      <c r="B50" s="39">
        <v>0.68611111111111101</v>
      </c>
      <c r="C50" s="39" t="s">
        <v>514</v>
      </c>
      <c r="D50" s="40">
        <v>1</v>
      </c>
      <c r="E50" s="41">
        <v>2</v>
      </c>
      <c r="F50" s="41" t="s">
        <v>155</v>
      </c>
      <c r="G50" s="42" t="s">
        <v>148</v>
      </c>
      <c r="H50" s="41" t="s">
        <v>147</v>
      </c>
      <c r="I50" s="42">
        <v>1</v>
      </c>
      <c r="J50" s="42">
        <v>1</v>
      </c>
      <c r="K50" s="25" t="str">
        <f>VLOOKUP(J50,Key!$E$2:$F$9,2,FALSE)</f>
        <v>Home</v>
      </c>
      <c r="L50" s="41" t="s">
        <v>209</v>
      </c>
      <c r="M50" s="42" t="s">
        <v>150</v>
      </c>
      <c r="N50" s="41" t="s">
        <v>147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Home-Home</v>
      </c>
      <c r="S50" s="47">
        <v>78</v>
      </c>
      <c r="T50" s="47"/>
      <c r="U50" s="42">
        <v>1</v>
      </c>
      <c r="V50" s="42"/>
      <c r="W50" s="47"/>
      <c r="X50" s="47"/>
      <c r="Y50" s="48" t="s">
        <v>146</v>
      </c>
      <c r="Z50" s="56"/>
      <c r="AA50" s="25"/>
      <c r="AB50" s="25"/>
    </row>
    <row r="51" spans="2:28">
      <c r="B51" s="39">
        <v>0.5229166666666667</v>
      </c>
      <c r="C51" s="39" t="s">
        <v>515</v>
      </c>
      <c r="D51" s="40">
        <v>11</v>
      </c>
      <c r="E51" s="41">
        <v>1</v>
      </c>
      <c r="F51" s="41" t="s">
        <v>155</v>
      </c>
      <c r="G51" s="42" t="s">
        <v>148</v>
      </c>
      <c r="H51" s="41" t="s">
        <v>147</v>
      </c>
      <c r="I51" s="42">
        <v>8</v>
      </c>
      <c r="J51" s="42">
        <v>4</v>
      </c>
      <c r="K51" s="25" t="str">
        <f>VLOOKUP(J51,Key!$E$2:$F$9,2,FALSE)</f>
        <v>Commercial</v>
      </c>
      <c r="L51" s="41" t="s">
        <v>459</v>
      </c>
      <c r="M51" s="42" t="s">
        <v>150</v>
      </c>
      <c r="N51" s="41" t="s">
        <v>147</v>
      </c>
      <c r="O51" s="42">
        <v>1</v>
      </c>
      <c r="P51" s="42">
        <v>1</v>
      </c>
      <c r="Q51" s="25" t="str">
        <f>VLOOKUP(P51,Key!$E$2:$F$9,2,FALSE)</f>
        <v>Home</v>
      </c>
      <c r="R51" s="25" t="str">
        <f t="shared" si="1"/>
        <v>Commercial-Home</v>
      </c>
      <c r="S51" s="47">
        <v>5</v>
      </c>
      <c r="T51" s="47"/>
      <c r="U51" s="42">
        <v>3</v>
      </c>
      <c r="V51" s="42"/>
      <c r="W51" s="47"/>
      <c r="X51" s="47"/>
      <c r="Y51" s="48" t="s">
        <v>146</v>
      </c>
      <c r="Z51" s="56"/>
      <c r="AA51" s="25"/>
      <c r="AB51" s="25"/>
    </row>
    <row r="52" spans="2:28">
      <c r="B52" s="39">
        <v>0.51944444444444449</v>
      </c>
      <c r="C52" s="39" t="s">
        <v>516</v>
      </c>
      <c r="D52" s="40">
        <v>1</v>
      </c>
      <c r="E52" s="41">
        <v>1</v>
      </c>
      <c r="F52" s="41" t="s">
        <v>155</v>
      </c>
      <c r="G52" s="42" t="s">
        <v>148</v>
      </c>
      <c r="H52" s="41" t="s">
        <v>147</v>
      </c>
      <c r="I52" s="42">
        <v>1</v>
      </c>
      <c r="J52" s="42">
        <v>1</v>
      </c>
      <c r="K52" s="25" t="str">
        <f>VLOOKUP(J52,Key!$E$2:$F$9,2,FALSE)</f>
        <v>Home</v>
      </c>
      <c r="L52" s="41" t="s">
        <v>171</v>
      </c>
      <c r="M52" s="42" t="s">
        <v>150</v>
      </c>
      <c r="N52" s="41" t="s">
        <v>147</v>
      </c>
      <c r="O52" s="42">
        <v>1</v>
      </c>
      <c r="P52" s="42">
        <v>1</v>
      </c>
      <c r="Q52" s="25" t="str">
        <f>VLOOKUP(P52,Key!$E$2:$F$9,2,FALSE)</f>
        <v>Home</v>
      </c>
      <c r="R52" s="25" t="str">
        <f t="shared" si="1"/>
        <v>Home-Home</v>
      </c>
      <c r="S52" s="47">
        <v>16</v>
      </c>
      <c r="T52" s="47">
        <v>1</v>
      </c>
      <c r="U52" s="42">
        <v>3</v>
      </c>
      <c r="V52" s="42"/>
      <c r="W52" s="47"/>
      <c r="X52" s="47"/>
      <c r="Y52" s="48" t="s">
        <v>146</v>
      </c>
      <c r="Z52" s="56"/>
      <c r="AA52" s="25"/>
      <c r="AB52" s="25"/>
    </row>
    <row r="53" spans="2:28">
      <c r="B53" s="39">
        <v>0.51736111111111105</v>
      </c>
      <c r="C53" s="39" t="s">
        <v>517</v>
      </c>
      <c r="D53" s="40">
        <v>1</v>
      </c>
      <c r="E53" s="41">
        <v>1</v>
      </c>
      <c r="F53" s="41" t="s">
        <v>155</v>
      </c>
      <c r="G53" s="42" t="s">
        <v>148</v>
      </c>
      <c r="H53" s="41" t="s">
        <v>147</v>
      </c>
      <c r="I53" s="42">
        <v>16</v>
      </c>
      <c r="J53" s="42">
        <v>2</v>
      </c>
      <c r="K53" s="25" t="str">
        <f>VLOOKUP(J53,Key!$E$2:$F$9,2,FALSE)</f>
        <v>Work</v>
      </c>
      <c r="L53" s="41" t="s">
        <v>262</v>
      </c>
      <c r="M53" s="42" t="s">
        <v>150</v>
      </c>
      <c r="N53" s="41" t="s">
        <v>147</v>
      </c>
      <c r="O53" s="42">
        <v>16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7">
        <v>15</v>
      </c>
      <c r="T53" s="47">
        <v>0.3</v>
      </c>
      <c r="U53" s="42">
        <v>3</v>
      </c>
      <c r="V53" s="42"/>
      <c r="W53" s="47"/>
      <c r="X53" s="47"/>
      <c r="Y53" s="48" t="s">
        <v>146</v>
      </c>
      <c r="Z53" s="56"/>
      <c r="AA53" s="25"/>
      <c r="AB53" s="25"/>
    </row>
    <row r="54" spans="2:28">
      <c r="B54" s="39">
        <v>0.51388888888888895</v>
      </c>
      <c r="C54" s="39" t="s">
        <v>518</v>
      </c>
      <c r="D54" s="40">
        <v>11</v>
      </c>
      <c r="E54" s="41">
        <v>1</v>
      </c>
      <c r="F54" s="41" t="s">
        <v>155</v>
      </c>
      <c r="G54" s="42" t="s">
        <v>148</v>
      </c>
      <c r="H54" s="41" t="s">
        <v>147</v>
      </c>
      <c r="I54" s="42">
        <v>8</v>
      </c>
      <c r="J54" s="42">
        <v>2</v>
      </c>
      <c r="K54" s="25" t="str">
        <f>VLOOKUP(J54,Key!$E$2:$F$9,2,FALSE)</f>
        <v>Work</v>
      </c>
      <c r="L54" s="41" t="s">
        <v>519</v>
      </c>
      <c r="M54" s="42" t="s">
        <v>150</v>
      </c>
      <c r="N54" s="41" t="s">
        <v>147</v>
      </c>
      <c r="O54" s="42">
        <v>1</v>
      </c>
      <c r="P54" s="42">
        <v>1</v>
      </c>
      <c r="Q54" s="25" t="str">
        <f>VLOOKUP(P54,Key!$E$2:$F$9,2,FALSE)</f>
        <v>Home</v>
      </c>
      <c r="R54" s="25" t="str">
        <f t="shared" si="1"/>
        <v>Work-Home</v>
      </c>
      <c r="S54" s="47"/>
      <c r="T54" s="47">
        <v>0.5</v>
      </c>
      <c r="U54" s="42">
        <v>1</v>
      </c>
      <c r="V54" s="42"/>
      <c r="W54" s="47"/>
      <c r="X54" s="47"/>
      <c r="Y54" s="48" t="s">
        <v>146</v>
      </c>
      <c r="Z54" s="56"/>
      <c r="AA54" s="25"/>
      <c r="AB54" s="25"/>
    </row>
    <row r="55" spans="2:28">
      <c r="B55" s="39">
        <v>0.51111111111111118</v>
      </c>
      <c r="C55" s="39" t="s">
        <v>520</v>
      </c>
      <c r="D55" s="40">
        <v>1</v>
      </c>
      <c r="E55" s="41">
        <v>1</v>
      </c>
      <c r="F55" s="41" t="s">
        <v>173</v>
      </c>
      <c r="G55" s="42" t="s">
        <v>148</v>
      </c>
      <c r="H55" s="41" t="s">
        <v>147</v>
      </c>
      <c r="I55" s="42">
        <v>1</v>
      </c>
      <c r="J55" s="42">
        <v>1</v>
      </c>
      <c r="K55" s="25" t="str">
        <f>VLOOKUP(J55,Key!$E$2:$F$9,2,FALSE)</f>
        <v>Home</v>
      </c>
      <c r="L55" s="41" t="s">
        <v>457</v>
      </c>
      <c r="M55" s="42" t="s">
        <v>150</v>
      </c>
      <c r="N55" s="41" t="s">
        <v>147</v>
      </c>
      <c r="O55" s="42">
        <v>4</v>
      </c>
      <c r="P55" s="42">
        <v>3</v>
      </c>
      <c r="Q55" s="25" t="str">
        <f>VLOOKUP(P55,Key!$E$2:$F$9,2,FALSE)</f>
        <v>Study</v>
      </c>
      <c r="R55" s="25" t="str">
        <f t="shared" si="1"/>
        <v>Home-Study</v>
      </c>
      <c r="S55" s="47">
        <v>2</v>
      </c>
      <c r="T55" s="47">
        <v>0.2</v>
      </c>
      <c r="U55" s="42">
        <v>1</v>
      </c>
      <c r="V55" s="42"/>
      <c r="W55" s="47"/>
      <c r="X55" s="47"/>
      <c r="Y55" s="48" t="s">
        <v>146</v>
      </c>
      <c r="Z55" s="56"/>
      <c r="AA55" s="25"/>
      <c r="AB55" s="25"/>
    </row>
    <row r="56" spans="2:28">
      <c r="B56" s="39">
        <v>0.5083333333333333</v>
      </c>
      <c r="C56" s="39" t="s">
        <v>521</v>
      </c>
      <c r="D56" s="40">
        <v>3</v>
      </c>
      <c r="E56" s="41">
        <v>2</v>
      </c>
      <c r="F56" s="41" t="s">
        <v>164</v>
      </c>
      <c r="G56" s="42" t="s">
        <v>150</v>
      </c>
      <c r="H56" s="41" t="s">
        <v>147</v>
      </c>
      <c r="I56" s="42">
        <v>1</v>
      </c>
      <c r="J56" s="42">
        <v>1</v>
      </c>
      <c r="K56" s="25" t="str">
        <f>VLOOKUP(J56,Key!$E$2:$F$9,2,FALSE)</f>
        <v>Home</v>
      </c>
      <c r="L56" s="41" t="s">
        <v>213</v>
      </c>
      <c r="M56" s="42" t="s">
        <v>150</v>
      </c>
      <c r="N56" s="41" t="s">
        <v>147</v>
      </c>
      <c r="O56" s="42">
        <v>11</v>
      </c>
      <c r="P56" s="42">
        <v>4</v>
      </c>
      <c r="Q56" s="25" t="str">
        <f>VLOOKUP(P56,Key!$E$2:$F$9,2,FALSE)</f>
        <v>Commercial</v>
      </c>
      <c r="R56" s="25" t="str">
        <f t="shared" si="1"/>
        <v>Home-Commercial</v>
      </c>
      <c r="S56" s="47">
        <v>40</v>
      </c>
      <c r="T56" s="47">
        <v>0.8</v>
      </c>
      <c r="U56" s="42">
        <v>4</v>
      </c>
      <c r="V56" s="42">
        <v>10</v>
      </c>
      <c r="W56" s="47">
        <v>0.5</v>
      </c>
      <c r="X56" s="47"/>
      <c r="Y56" s="48" t="s">
        <v>146</v>
      </c>
      <c r="Z56" s="56"/>
      <c r="AA56" s="25"/>
      <c r="AB56" s="25"/>
    </row>
    <row r="57" spans="2:28">
      <c r="B57" s="39">
        <v>1.6979166666666667</v>
      </c>
      <c r="C57" s="39" t="s">
        <v>522</v>
      </c>
      <c r="D57" s="40">
        <v>7</v>
      </c>
      <c r="E57" s="41">
        <v>2</v>
      </c>
      <c r="F57" s="41" t="s">
        <v>523</v>
      </c>
      <c r="G57" s="42" t="s">
        <v>524</v>
      </c>
      <c r="H57" s="41" t="s">
        <v>147</v>
      </c>
      <c r="I57" s="42">
        <v>1</v>
      </c>
      <c r="J57" s="42">
        <v>1</v>
      </c>
      <c r="K57" s="25" t="str">
        <f>VLOOKUP(J57,Key!$E$2:$F$9,2,FALSE)</f>
        <v>Home</v>
      </c>
      <c r="L57" s="41" t="s">
        <v>209</v>
      </c>
      <c r="M57" s="42" t="s">
        <v>150</v>
      </c>
      <c r="N57" s="41" t="s">
        <v>147</v>
      </c>
      <c r="O57" s="42">
        <v>11</v>
      </c>
      <c r="P57" s="42">
        <v>4</v>
      </c>
      <c r="Q57" s="25" t="str">
        <f>VLOOKUP(P57,Key!$E$2:$F$9,2,FALSE)</f>
        <v>Commercial</v>
      </c>
      <c r="R57" s="25" t="str">
        <f t="shared" si="1"/>
        <v>Home-Commercial</v>
      </c>
      <c r="S57" s="47">
        <v>100</v>
      </c>
      <c r="T57" s="47">
        <v>5</v>
      </c>
      <c r="U57" s="42">
        <v>3</v>
      </c>
      <c r="V57" s="42">
        <v>10</v>
      </c>
      <c r="W57" s="47">
        <v>0.5</v>
      </c>
      <c r="X57" s="47"/>
      <c r="Y57" s="48" t="s">
        <v>146</v>
      </c>
      <c r="Z57" s="56"/>
      <c r="AA57" s="25"/>
      <c r="AB57" s="25"/>
    </row>
    <row r="58" spans="2:28">
      <c r="B58" s="39">
        <v>0.44166666666666665</v>
      </c>
      <c r="C58" s="39" t="s">
        <v>525</v>
      </c>
      <c r="D58" s="40">
        <v>1</v>
      </c>
      <c r="E58" s="41">
        <v>1</v>
      </c>
      <c r="F58" s="41" t="s">
        <v>526</v>
      </c>
      <c r="G58" s="42" t="s">
        <v>148</v>
      </c>
      <c r="H58" s="41" t="s">
        <v>147</v>
      </c>
      <c r="I58" s="42">
        <v>4</v>
      </c>
      <c r="J58" s="42">
        <v>3</v>
      </c>
      <c r="K58" s="25" t="str">
        <f>VLOOKUP(J58,Key!$E$2:$F$9,2,FALSE)</f>
        <v>Study</v>
      </c>
      <c r="L58" s="41" t="s">
        <v>157</v>
      </c>
      <c r="M58" s="42" t="s">
        <v>527</v>
      </c>
      <c r="N58" s="41" t="s">
        <v>147</v>
      </c>
      <c r="O58" s="42">
        <v>1</v>
      </c>
      <c r="P58" s="42">
        <v>1</v>
      </c>
      <c r="Q58" s="25" t="str">
        <f>VLOOKUP(P58,Key!$E$2:$F$9,2,FALSE)</f>
        <v>Home</v>
      </c>
      <c r="R58" s="25" t="str">
        <f t="shared" si="1"/>
        <v>Study-Home</v>
      </c>
      <c r="S58" s="47">
        <v>90</v>
      </c>
      <c r="T58" s="47">
        <v>3</v>
      </c>
      <c r="U58" s="42">
        <v>3</v>
      </c>
      <c r="V58" s="42"/>
      <c r="W58" s="47"/>
      <c r="X58" s="47"/>
      <c r="Y58" s="48" t="s">
        <v>146</v>
      </c>
      <c r="Z58" s="56"/>
      <c r="AA58" s="25"/>
      <c r="AB58" s="25"/>
    </row>
    <row r="59" spans="2:28">
      <c r="B59" s="39">
        <v>0.4375</v>
      </c>
      <c r="C59" s="39" t="s">
        <v>528</v>
      </c>
      <c r="D59" s="40">
        <v>1</v>
      </c>
      <c r="E59" s="41">
        <v>3</v>
      </c>
      <c r="F59" s="41" t="s">
        <v>155</v>
      </c>
      <c r="G59" s="42" t="s">
        <v>148</v>
      </c>
      <c r="H59" s="41" t="s">
        <v>147</v>
      </c>
      <c r="I59" s="42">
        <v>16</v>
      </c>
      <c r="J59" s="42">
        <v>8</v>
      </c>
      <c r="K59" s="25" t="str">
        <f>VLOOKUP(J59,Key!$E$2:$F$9,2,FALSE)</f>
        <v>Others</v>
      </c>
      <c r="L59" s="41" t="s">
        <v>519</v>
      </c>
      <c r="M59" s="42" t="s">
        <v>150</v>
      </c>
      <c r="N59" s="41" t="s">
        <v>147</v>
      </c>
      <c r="O59" s="42">
        <v>1</v>
      </c>
      <c r="P59" s="42">
        <v>1</v>
      </c>
      <c r="Q59" s="25" t="str">
        <f>VLOOKUP(P59,Key!$E$2:$F$9,2,FALSE)</f>
        <v>Home</v>
      </c>
      <c r="R59" s="25" t="str">
        <f t="shared" si="1"/>
        <v>Others-Home</v>
      </c>
      <c r="S59" s="47">
        <v>15</v>
      </c>
      <c r="T59" s="47">
        <v>0.3</v>
      </c>
      <c r="U59" s="42">
        <v>1</v>
      </c>
      <c r="V59" s="42"/>
      <c r="W59" s="47"/>
      <c r="X59" s="47"/>
      <c r="Y59" s="48" t="s">
        <v>146</v>
      </c>
      <c r="Z59" s="56"/>
      <c r="AA59" s="25"/>
      <c r="AB59" s="25"/>
    </row>
    <row r="60" spans="2:28">
      <c r="B60" s="39" t="s">
        <v>529</v>
      </c>
      <c r="C60" s="39" t="s">
        <v>430</v>
      </c>
      <c r="D60" s="40">
        <v>11</v>
      </c>
      <c r="E60" s="41">
        <v>1</v>
      </c>
      <c r="F60" s="41" t="s">
        <v>155</v>
      </c>
      <c r="G60" s="42" t="s">
        <v>148</v>
      </c>
      <c r="H60" s="41" t="s">
        <v>147</v>
      </c>
      <c r="I60" s="42">
        <v>8</v>
      </c>
      <c r="J60" s="42">
        <v>2</v>
      </c>
      <c r="K60" s="25" t="str">
        <f>VLOOKUP(J60,Key!$E$2:$F$9,2,FALSE)</f>
        <v>Work</v>
      </c>
      <c r="L60" s="41" t="s">
        <v>459</v>
      </c>
      <c r="M60" s="42" t="s">
        <v>150</v>
      </c>
      <c r="N60" s="41" t="s">
        <v>147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7"/>
      <c r="T60" s="47">
        <v>0.3</v>
      </c>
      <c r="U60" s="42">
        <v>2</v>
      </c>
      <c r="V60" s="42"/>
      <c r="W60" s="47"/>
      <c r="X60" s="47"/>
      <c r="Y60" s="48" t="s">
        <v>146</v>
      </c>
      <c r="Z60" s="56"/>
      <c r="AA60" s="25"/>
      <c r="AB60" s="25"/>
    </row>
    <row r="61" spans="2:28">
      <c r="B61" s="39">
        <v>0.43055555555555558</v>
      </c>
      <c r="C61" s="39" t="s">
        <v>530</v>
      </c>
      <c r="D61" s="40">
        <v>1</v>
      </c>
      <c r="E61" s="41">
        <v>1</v>
      </c>
      <c r="F61" s="41" t="s">
        <v>173</v>
      </c>
      <c r="G61" s="42" t="s">
        <v>148</v>
      </c>
      <c r="H61" s="41" t="s">
        <v>147</v>
      </c>
      <c r="I61" s="42">
        <v>1</v>
      </c>
      <c r="J61" s="42">
        <v>1</v>
      </c>
      <c r="K61" s="25" t="str">
        <f>VLOOKUP(J61,Key!$E$2:$F$9,2,FALSE)</f>
        <v>Home</v>
      </c>
      <c r="L61" s="41" t="s">
        <v>213</v>
      </c>
      <c r="M61" s="42" t="s">
        <v>150</v>
      </c>
      <c r="N61" s="41" t="s">
        <v>147</v>
      </c>
      <c r="O61" s="42">
        <v>16</v>
      </c>
      <c r="P61" s="42">
        <v>6</v>
      </c>
      <c r="Q61" s="25" t="str">
        <f>VLOOKUP(P61,Key!$E$2:$F$9,2,FALSE)</f>
        <v>Leisure/Social</v>
      </c>
      <c r="R61" s="25" t="str">
        <f t="shared" si="1"/>
        <v>Home-Leisure/Social</v>
      </c>
      <c r="S61" s="47">
        <v>21</v>
      </c>
      <c r="T61" s="47"/>
      <c r="U61" s="42">
        <v>6</v>
      </c>
      <c r="V61" s="42"/>
      <c r="W61" s="47"/>
      <c r="X61" s="47"/>
      <c r="Y61" s="48" t="s">
        <v>146</v>
      </c>
      <c r="Z61" s="56"/>
      <c r="AA61" s="25"/>
      <c r="AB61" s="25"/>
    </row>
    <row r="62" spans="2:28">
      <c r="B62" s="39">
        <v>0.42499999999999999</v>
      </c>
      <c r="C62" s="39" t="s">
        <v>531</v>
      </c>
      <c r="D62" s="40">
        <v>1</v>
      </c>
      <c r="E62" s="41">
        <v>3</v>
      </c>
      <c r="F62" s="41" t="s">
        <v>173</v>
      </c>
      <c r="G62" s="42" t="s">
        <v>148</v>
      </c>
      <c r="H62" s="41" t="s">
        <v>147</v>
      </c>
      <c r="I62" s="42">
        <v>1</v>
      </c>
      <c r="J62" s="42">
        <v>1</v>
      </c>
      <c r="K62" s="25" t="str">
        <f>VLOOKUP(J62,Key!$E$2:$F$9,2,FALSE)</f>
        <v>Home</v>
      </c>
      <c r="L62" s="41" t="s">
        <v>165</v>
      </c>
      <c r="M62" s="42" t="s">
        <v>150</v>
      </c>
      <c r="N62" s="41" t="s">
        <v>147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1"/>
        <v>Home-Home</v>
      </c>
      <c r="S62" s="47"/>
      <c r="T62" s="47">
        <v>0.5</v>
      </c>
      <c r="U62" s="42">
        <v>3</v>
      </c>
      <c r="V62" s="42"/>
      <c r="W62" s="47"/>
      <c r="X62" s="47"/>
      <c r="Y62" s="48" t="s">
        <v>146</v>
      </c>
      <c r="Z62" s="56"/>
      <c r="AA62" s="25"/>
      <c r="AB62" s="25"/>
    </row>
    <row r="63" spans="2:28">
      <c r="B63" s="39">
        <v>0.41666666666666669</v>
      </c>
      <c r="C63" s="39" t="s">
        <v>532</v>
      </c>
      <c r="D63" s="40">
        <v>7</v>
      </c>
      <c r="E63" s="41">
        <v>2</v>
      </c>
      <c r="F63" s="41" t="s">
        <v>155</v>
      </c>
      <c r="G63" s="42" t="s">
        <v>148</v>
      </c>
      <c r="H63" s="41" t="s">
        <v>147</v>
      </c>
      <c r="I63" s="42">
        <v>15</v>
      </c>
      <c r="J63" s="42">
        <v>4</v>
      </c>
      <c r="K63" s="25" t="str">
        <f>VLOOKUP(J63,Key!$E$2:$F$9,2,FALSE)</f>
        <v>Commercial</v>
      </c>
      <c r="L63" s="41" t="s">
        <v>191</v>
      </c>
      <c r="M63" s="42" t="s">
        <v>150</v>
      </c>
      <c r="N63" s="41" t="s">
        <v>147</v>
      </c>
      <c r="O63" s="42">
        <v>10</v>
      </c>
      <c r="P63" s="42">
        <v>2</v>
      </c>
      <c r="Q63" s="25" t="str">
        <f>VLOOKUP(P63,Key!$E$2:$F$9,2,FALSE)</f>
        <v>Work</v>
      </c>
      <c r="R63" s="25" t="str">
        <f t="shared" si="1"/>
        <v>Commercial-Work</v>
      </c>
      <c r="S63" s="47">
        <v>5</v>
      </c>
      <c r="T63" s="47">
        <v>0.2</v>
      </c>
      <c r="U63" s="42">
        <v>1</v>
      </c>
      <c r="V63" s="42">
        <v>4</v>
      </c>
      <c r="W63" s="47">
        <v>1</v>
      </c>
      <c r="X63" s="47">
        <v>150000</v>
      </c>
      <c r="Y63" s="48" t="s">
        <v>146</v>
      </c>
      <c r="Z63" s="56"/>
      <c r="AA63" s="25"/>
      <c r="AB63" s="25"/>
    </row>
    <row r="64" spans="2:28">
      <c r="B64" s="39">
        <v>0.39374999999999999</v>
      </c>
      <c r="C64" s="39" t="s">
        <v>533</v>
      </c>
      <c r="D64" s="40">
        <v>1</v>
      </c>
      <c r="E64" s="41">
        <v>1</v>
      </c>
      <c r="F64" s="41" t="s">
        <v>155</v>
      </c>
      <c r="G64" s="42" t="s">
        <v>148</v>
      </c>
      <c r="H64" s="41" t="s">
        <v>147</v>
      </c>
      <c r="I64" s="42">
        <v>1</v>
      </c>
      <c r="J64" s="42">
        <v>1</v>
      </c>
      <c r="K64" s="25" t="str">
        <f>VLOOKUP(J64,Key!$E$2:$F$9,2,FALSE)</f>
        <v>Home</v>
      </c>
      <c r="L64" s="41" t="s">
        <v>209</v>
      </c>
      <c r="M64" s="42" t="s">
        <v>150</v>
      </c>
      <c r="N64" s="41" t="s">
        <v>147</v>
      </c>
      <c r="O64" s="42">
        <v>11</v>
      </c>
      <c r="P64" s="42">
        <v>4</v>
      </c>
      <c r="Q64" s="25" t="str">
        <f>VLOOKUP(P64,Key!$E$2:$F$9,2,FALSE)</f>
        <v>Commercial</v>
      </c>
      <c r="R64" s="25" t="str">
        <f t="shared" si="1"/>
        <v>Home-Commercial</v>
      </c>
      <c r="S64" s="47">
        <v>70</v>
      </c>
      <c r="T64" s="47">
        <v>1</v>
      </c>
      <c r="U64" s="42">
        <v>4</v>
      </c>
      <c r="V64" s="42"/>
      <c r="W64" s="47"/>
      <c r="X64" s="47"/>
      <c r="Y64" s="48" t="s">
        <v>146</v>
      </c>
      <c r="Z64" s="56"/>
      <c r="AA64" s="25"/>
      <c r="AB64" s="25"/>
    </row>
    <row r="65" spans="2:28">
      <c r="B65" s="39">
        <v>0.38819444444444445</v>
      </c>
      <c r="C65" s="39" t="s">
        <v>534</v>
      </c>
      <c r="D65" s="40">
        <v>1</v>
      </c>
      <c r="E65" s="41">
        <v>1</v>
      </c>
      <c r="F65" s="41" t="s">
        <v>195</v>
      </c>
      <c r="G65" s="42" t="s">
        <v>148</v>
      </c>
      <c r="H65" s="41" t="s">
        <v>147</v>
      </c>
      <c r="I65" s="42">
        <v>1</v>
      </c>
      <c r="J65" s="42">
        <v>1</v>
      </c>
      <c r="K65" s="25" t="str">
        <f>VLOOKUP(J65,Key!$E$2:$F$9,2,FALSE)</f>
        <v>Home</v>
      </c>
      <c r="L65" s="41" t="s">
        <v>169</v>
      </c>
      <c r="M65" s="42" t="s">
        <v>150</v>
      </c>
      <c r="N65" s="41" t="s">
        <v>147</v>
      </c>
      <c r="O65" s="42">
        <v>1</v>
      </c>
      <c r="P65" s="42">
        <v>1</v>
      </c>
      <c r="Q65" s="25" t="str">
        <f>VLOOKUP(P65,Key!$E$2:$F$9,2,FALSE)</f>
        <v>Home</v>
      </c>
      <c r="R65" s="25" t="str">
        <f t="shared" si="1"/>
        <v>Home-Home</v>
      </c>
      <c r="S65" s="47">
        <v>10</v>
      </c>
      <c r="T65" s="47">
        <v>0.1</v>
      </c>
      <c r="U65" s="42">
        <v>1</v>
      </c>
      <c r="V65" s="42"/>
      <c r="W65" s="47"/>
      <c r="X65" s="47"/>
      <c r="Y65" s="48" t="s">
        <v>146</v>
      </c>
      <c r="Z65" s="56"/>
      <c r="AA65" s="25"/>
      <c r="AB65" s="25"/>
    </row>
    <row r="66" spans="2:28">
      <c r="B66" s="39">
        <v>0.38194444444444442</v>
      </c>
      <c r="C66" s="39" t="s">
        <v>535</v>
      </c>
      <c r="D66" s="40">
        <v>7</v>
      </c>
      <c r="E66" s="41">
        <v>2</v>
      </c>
      <c r="F66" s="41" t="s">
        <v>536</v>
      </c>
      <c r="G66" s="42" t="s">
        <v>148</v>
      </c>
      <c r="H66" s="41" t="s">
        <v>147</v>
      </c>
      <c r="I66" s="42">
        <v>11</v>
      </c>
      <c r="J66" s="42">
        <v>3</v>
      </c>
      <c r="K66" s="25" t="str">
        <f>VLOOKUP(J66,Key!$E$2:$F$9,2,FALSE)</f>
        <v>Study</v>
      </c>
      <c r="L66" s="41" t="s">
        <v>537</v>
      </c>
      <c r="M66" s="42" t="s">
        <v>150</v>
      </c>
      <c r="N66" s="41" t="s">
        <v>147</v>
      </c>
      <c r="O66" s="42">
        <v>9</v>
      </c>
      <c r="P66" s="42">
        <v>4</v>
      </c>
      <c r="Q66" s="25" t="str">
        <f>VLOOKUP(P66,Key!$E$2:$F$9,2,FALSE)</f>
        <v>Commercial</v>
      </c>
      <c r="R66" s="25" t="str">
        <f t="shared" si="1"/>
        <v>Study-Commercial</v>
      </c>
      <c r="S66" s="47">
        <v>25</v>
      </c>
      <c r="T66" s="47">
        <v>1</v>
      </c>
      <c r="U66" s="42">
        <v>2</v>
      </c>
      <c r="V66" s="42">
        <v>11</v>
      </c>
      <c r="W66" s="47"/>
      <c r="X66" s="47"/>
      <c r="Y66" s="48" t="s">
        <v>146</v>
      </c>
      <c r="Z66" s="56"/>
      <c r="AA66" s="25"/>
      <c r="AB66" s="25"/>
    </row>
    <row r="67" spans="2:28">
      <c r="B67" s="39">
        <v>0.3840277777777778</v>
      </c>
      <c r="C67" s="39" t="s">
        <v>538</v>
      </c>
      <c r="D67" s="40">
        <v>2</v>
      </c>
      <c r="E67" s="41">
        <v>1</v>
      </c>
      <c r="F67" s="41" t="s">
        <v>155</v>
      </c>
      <c r="G67" s="42" t="s">
        <v>148</v>
      </c>
      <c r="H67" s="41" t="s">
        <v>147</v>
      </c>
      <c r="I67" s="42">
        <v>1</v>
      </c>
      <c r="J67" s="42">
        <v>1</v>
      </c>
      <c r="K67" s="25" t="str">
        <f>VLOOKUP(J67,Key!$E$2:$F$9,2,FALSE)</f>
        <v>Home</v>
      </c>
      <c r="L67" s="41" t="s">
        <v>169</v>
      </c>
      <c r="M67" s="42" t="s">
        <v>150</v>
      </c>
      <c r="N67" s="41" t="s">
        <v>147</v>
      </c>
      <c r="O67" s="42">
        <v>16</v>
      </c>
      <c r="P67" s="42">
        <v>8</v>
      </c>
      <c r="Q67" s="25" t="str">
        <f>VLOOKUP(P67,Key!$E$2:$F$9,2,FALSE)</f>
        <v>Others</v>
      </c>
      <c r="R67" s="25" t="str">
        <f t="shared" si="1"/>
        <v>Home-Others</v>
      </c>
      <c r="S67" s="47">
        <v>12</v>
      </c>
      <c r="T67" s="47">
        <v>0.3</v>
      </c>
      <c r="U67" s="42">
        <v>6</v>
      </c>
      <c r="V67" s="42"/>
      <c r="W67" s="47"/>
      <c r="X67" s="47"/>
      <c r="Y67" s="48" t="s">
        <v>146</v>
      </c>
      <c r="Z67" s="56"/>
      <c r="AA67" s="25"/>
      <c r="AB67" s="25"/>
    </row>
    <row r="68" spans="2:28">
      <c r="B68" s="39">
        <v>0.37847222222222227</v>
      </c>
      <c r="C68" s="39" t="s">
        <v>539</v>
      </c>
      <c r="D68" s="40">
        <v>1</v>
      </c>
      <c r="E68" s="41">
        <v>2</v>
      </c>
      <c r="F68" s="41" t="s">
        <v>540</v>
      </c>
      <c r="G68" s="42" t="s">
        <v>148</v>
      </c>
      <c r="H68" s="41" t="s">
        <v>147</v>
      </c>
      <c r="I68" s="42">
        <v>1</v>
      </c>
      <c r="J68" s="42">
        <v>1</v>
      </c>
      <c r="K68" s="25" t="str">
        <f>VLOOKUP(J68,Key!$E$2:$F$9,2,FALSE)</f>
        <v>Home</v>
      </c>
      <c r="L68" s="41" t="s">
        <v>294</v>
      </c>
      <c r="M68" s="42" t="s">
        <v>148</v>
      </c>
      <c r="N68" s="41" t="s">
        <v>147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1"/>
        <v>Home-Home</v>
      </c>
      <c r="S68" s="47">
        <v>10</v>
      </c>
      <c r="T68" s="47">
        <v>0.3</v>
      </c>
      <c r="U68" s="42">
        <v>1</v>
      </c>
      <c r="V68" s="42"/>
      <c r="W68" s="47"/>
      <c r="X68" s="47"/>
      <c r="Y68" s="48" t="s">
        <v>146</v>
      </c>
      <c r="Z68" s="56"/>
      <c r="AA68" s="25"/>
      <c r="AB68" s="25"/>
    </row>
    <row r="69" spans="2:28">
      <c r="B69" s="39">
        <v>0.375</v>
      </c>
      <c r="C69" s="39" t="s">
        <v>541</v>
      </c>
      <c r="D69" s="40">
        <v>1</v>
      </c>
      <c r="E69" s="41">
        <v>5</v>
      </c>
      <c r="F69" s="41" t="s">
        <v>155</v>
      </c>
      <c r="G69" s="42" t="s">
        <v>148</v>
      </c>
      <c r="H69" s="41" t="s">
        <v>147</v>
      </c>
      <c r="I69" s="42">
        <v>1</v>
      </c>
      <c r="J69" s="42">
        <v>1</v>
      </c>
      <c r="K69" s="25" t="str">
        <f>VLOOKUP(J69,Key!$E$2:$F$9,2,FALSE)</f>
        <v>Home</v>
      </c>
      <c r="L69" s="41" t="s">
        <v>182</v>
      </c>
      <c r="M69" s="42" t="s">
        <v>148</v>
      </c>
      <c r="N69" s="41" t="s">
        <v>147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47">
        <v>35</v>
      </c>
      <c r="T69" s="47">
        <v>0.8</v>
      </c>
      <c r="U69" s="42">
        <v>1</v>
      </c>
      <c r="V69" s="42"/>
      <c r="W69" s="47"/>
      <c r="X69" s="47"/>
      <c r="Y69" s="48" t="s">
        <v>146</v>
      </c>
      <c r="Z69" s="56"/>
      <c r="AA69" s="25"/>
      <c r="AB69" s="25"/>
    </row>
    <row r="70" spans="2:28">
      <c r="B70" s="39">
        <v>0.37152777777777773</v>
      </c>
      <c r="C70" s="39" t="s">
        <v>542</v>
      </c>
      <c r="D70" s="40">
        <v>1</v>
      </c>
      <c r="E70" s="41">
        <v>3</v>
      </c>
      <c r="F70" s="41" t="s">
        <v>155</v>
      </c>
      <c r="G70" s="42" t="s">
        <v>148</v>
      </c>
      <c r="H70" s="41" t="s">
        <v>147</v>
      </c>
      <c r="I70" s="42">
        <v>1</v>
      </c>
      <c r="J70" s="42">
        <v>1</v>
      </c>
      <c r="K70" s="25" t="str">
        <f>VLOOKUP(J70,Key!$E$2:$F$9,2,FALSE)</f>
        <v>Home</v>
      </c>
      <c r="L70" s="41" t="s">
        <v>169</v>
      </c>
      <c r="M70" s="42" t="s">
        <v>150</v>
      </c>
      <c r="N70" s="41" t="s">
        <v>147</v>
      </c>
      <c r="O70" s="42">
        <v>16</v>
      </c>
      <c r="P70" s="42">
        <v>6</v>
      </c>
      <c r="Q70" s="25" t="str">
        <f>VLOOKUP(P70,Key!$E$2:$F$9,2,FALSE)</f>
        <v>Leisure/Social</v>
      </c>
      <c r="R70" s="25" t="str">
        <f t="shared" si="1"/>
        <v>Home-Leisure/Social</v>
      </c>
      <c r="S70" s="47">
        <v>10</v>
      </c>
      <c r="T70" s="47">
        <v>0.2</v>
      </c>
      <c r="U70" s="42">
        <v>1</v>
      </c>
      <c r="V70" s="42"/>
      <c r="W70" s="47"/>
      <c r="X70" s="47"/>
      <c r="Y70" s="48" t="s">
        <v>146</v>
      </c>
      <c r="Z70" s="56"/>
      <c r="AA70" s="25"/>
      <c r="AB70" s="25"/>
    </row>
    <row r="71" spans="2:28">
      <c r="B71" s="39">
        <v>0.36944444444444446</v>
      </c>
      <c r="C71" s="39" t="s">
        <v>543</v>
      </c>
      <c r="D71" s="40">
        <v>11</v>
      </c>
      <c r="E71" s="41">
        <v>1</v>
      </c>
      <c r="F71" s="41" t="s">
        <v>195</v>
      </c>
      <c r="G71" s="42" t="s">
        <v>148</v>
      </c>
      <c r="H71" s="41" t="s">
        <v>147</v>
      </c>
      <c r="I71" s="42">
        <v>1</v>
      </c>
      <c r="J71" s="42">
        <v>1</v>
      </c>
      <c r="K71" s="25" t="str">
        <f>VLOOKUP(J71,Key!$E$2:$F$9,2,FALSE)</f>
        <v>Home</v>
      </c>
      <c r="L71" s="41" t="s">
        <v>459</v>
      </c>
      <c r="M71" s="42" t="s">
        <v>148</v>
      </c>
      <c r="N71" s="41" t="s">
        <v>147</v>
      </c>
      <c r="O71" s="42">
        <v>11</v>
      </c>
      <c r="P71" s="42">
        <v>4</v>
      </c>
      <c r="Q71" s="25" t="str">
        <f>VLOOKUP(P71,Key!$E$2:$F$9,2,FALSE)</f>
        <v>Commercial</v>
      </c>
      <c r="R71" s="25" t="str">
        <f t="shared" si="1"/>
        <v>Home-Commercial</v>
      </c>
      <c r="S71" s="47">
        <v>3</v>
      </c>
      <c r="T71" s="47">
        <v>0.2</v>
      </c>
      <c r="U71" s="42">
        <v>1</v>
      </c>
      <c r="V71" s="42"/>
      <c r="W71" s="47"/>
      <c r="X71" s="47"/>
      <c r="Y71" s="48" t="s">
        <v>146</v>
      </c>
      <c r="Z71" s="56"/>
      <c r="AA71" s="25"/>
      <c r="AB71" s="25"/>
    </row>
    <row r="72" spans="2:28">
      <c r="B72" s="39">
        <v>0.36388888888888887</v>
      </c>
      <c r="C72" s="39" t="s">
        <v>544</v>
      </c>
      <c r="D72" s="40">
        <v>2</v>
      </c>
      <c r="E72" s="41">
        <v>1</v>
      </c>
      <c r="F72" s="41" t="s">
        <v>155</v>
      </c>
      <c r="G72" s="42" t="s">
        <v>148</v>
      </c>
      <c r="H72" s="41" t="s">
        <v>147</v>
      </c>
      <c r="I72" s="42">
        <v>1</v>
      </c>
      <c r="J72" s="42">
        <v>1</v>
      </c>
      <c r="K72" s="25" t="str">
        <f>VLOOKUP(J72,Key!$E$2:$F$9,2,FALSE)</f>
        <v>Home</v>
      </c>
      <c r="L72" s="41" t="s">
        <v>169</v>
      </c>
      <c r="M72" s="42" t="s">
        <v>150</v>
      </c>
      <c r="N72" s="41" t="s">
        <v>147</v>
      </c>
      <c r="O72" s="42">
        <v>4</v>
      </c>
      <c r="P72" s="42">
        <v>3</v>
      </c>
      <c r="Q72" s="25" t="str">
        <f>VLOOKUP(P72,Key!$E$2:$F$9,2,FALSE)</f>
        <v>Study</v>
      </c>
      <c r="R72" s="25" t="str">
        <f t="shared" si="1"/>
        <v>Home-Study</v>
      </c>
      <c r="S72" s="47">
        <v>11.26</v>
      </c>
      <c r="T72" s="47">
        <v>0.8</v>
      </c>
      <c r="U72" s="42">
        <v>5</v>
      </c>
      <c r="V72" s="42"/>
      <c r="W72" s="47"/>
      <c r="X72" s="47"/>
      <c r="Y72" s="48" t="s">
        <v>146</v>
      </c>
      <c r="Z72" s="56"/>
      <c r="AA72" s="25"/>
      <c r="AB72" s="25"/>
    </row>
    <row r="73" spans="2:28">
      <c r="B73" s="39">
        <v>0.36041666666666666</v>
      </c>
      <c r="C73" s="39" t="s">
        <v>545</v>
      </c>
      <c r="D73" s="40">
        <v>2</v>
      </c>
      <c r="E73" s="41">
        <v>4</v>
      </c>
      <c r="F73" s="41" t="s">
        <v>155</v>
      </c>
      <c r="G73" s="42" t="s">
        <v>148</v>
      </c>
      <c r="H73" s="41" t="s">
        <v>147</v>
      </c>
      <c r="I73" s="42">
        <v>1</v>
      </c>
      <c r="J73" s="42">
        <v>1</v>
      </c>
      <c r="K73" s="25" t="str">
        <f>VLOOKUP(J73,Key!$E$2:$F$9,2,FALSE)</f>
        <v>Home</v>
      </c>
      <c r="L73" s="41" t="s">
        <v>169</v>
      </c>
      <c r="M73" s="42" t="s">
        <v>150</v>
      </c>
      <c r="N73" s="41" t="s">
        <v>147</v>
      </c>
      <c r="O73" s="42">
        <v>2</v>
      </c>
      <c r="P73" s="42">
        <v>2</v>
      </c>
      <c r="Q73" s="25" t="str">
        <f>VLOOKUP(P73,Key!$E$2:$F$9,2,FALSE)</f>
        <v>Work</v>
      </c>
      <c r="R73" s="25" t="str">
        <f t="shared" si="1"/>
        <v>Home-Work</v>
      </c>
      <c r="S73" s="47">
        <v>10</v>
      </c>
      <c r="T73" s="47">
        <v>0.3</v>
      </c>
      <c r="U73" s="42">
        <v>6</v>
      </c>
      <c r="V73" s="42"/>
      <c r="W73" s="47"/>
      <c r="X73" s="47"/>
      <c r="Y73" s="48" t="s">
        <v>146</v>
      </c>
      <c r="Z73" s="56"/>
      <c r="AA73" s="25"/>
      <c r="AB73" s="25"/>
    </row>
    <row r="74" spans="2:28">
      <c r="B74" s="39">
        <v>0.35625000000000001</v>
      </c>
      <c r="C74" s="39" t="s">
        <v>546</v>
      </c>
      <c r="D74" s="40">
        <v>1</v>
      </c>
      <c r="E74" s="41">
        <v>1</v>
      </c>
      <c r="F74" s="41" t="s">
        <v>155</v>
      </c>
      <c r="G74" s="42" t="s">
        <v>148</v>
      </c>
      <c r="H74" s="41" t="s">
        <v>147</v>
      </c>
      <c r="I74" s="42">
        <v>1</v>
      </c>
      <c r="J74" s="42">
        <v>1</v>
      </c>
      <c r="K74" s="25" t="str">
        <f>VLOOKUP(J74,Key!$E$2:$F$9,2,FALSE)</f>
        <v>Home</v>
      </c>
      <c r="L74" s="41" t="s">
        <v>547</v>
      </c>
      <c r="M74" s="42" t="s">
        <v>150</v>
      </c>
      <c r="N74" s="41" t="s">
        <v>147</v>
      </c>
      <c r="O74" s="42">
        <v>9</v>
      </c>
      <c r="P74" s="42">
        <v>4</v>
      </c>
      <c r="Q74" s="25" t="str">
        <f>VLOOKUP(P74,Key!$E$2:$F$9,2,FALSE)</f>
        <v>Commercial</v>
      </c>
      <c r="R74" s="25" t="str">
        <f t="shared" si="1"/>
        <v>Home-Commercial</v>
      </c>
      <c r="S74" s="47">
        <v>40</v>
      </c>
      <c r="T74" s="47">
        <v>1.5</v>
      </c>
      <c r="U74" s="42">
        <v>1</v>
      </c>
      <c r="V74" s="42"/>
      <c r="W74" s="47"/>
      <c r="X74" s="47"/>
      <c r="Y74" s="48" t="s">
        <v>146</v>
      </c>
      <c r="Z74" s="56"/>
      <c r="AA74" s="25"/>
      <c r="AB74" s="25"/>
    </row>
    <row r="75" spans="2:28">
      <c r="B75" s="39">
        <v>0.35138888888888892</v>
      </c>
      <c r="C75" s="39" t="s">
        <v>374</v>
      </c>
      <c r="D75" s="40">
        <v>1</v>
      </c>
      <c r="E75" s="41">
        <v>2</v>
      </c>
      <c r="F75" s="41" t="s">
        <v>164</v>
      </c>
      <c r="G75" s="42" t="s">
        <v>150</v>
      </c>
      <c r="H75" s="41" t="s">
        <v>147</v>
      </c>
      <c r="I75" s="42">
        <v>1</v>
      </c>
      <c r="J75" s="42">
        <v>1</v>
      </c>
      <c r="K75" s="25" t="str">
        <f>VLOOKUP(J75,Key!$E$2:$F$9,2,FALSE)</f>
        <v>Home</v>
      </c>
      <c r="L75" s="41" t="s">
        <v>164</v>
      </c>
      <c r="M75" s="42" t="s">
        <v>150</v>
      </c>
      <c r="N75" s="41" t="s">
        <v>147</v>
      </c>
      <c r="O75" s="42">
        <v>4</v>
      </c>
      <c r="P75" s="42">
        <v>3</v>
      </c>
      <c r="Q75" s="25" t="str">
        <f>VLOOKUP(P75,Key!$E$2:$F$9,2,FALSE)</f>
        <v>Study</v>
      </c>
      <c r="R75" s="25" t="str">
        <f t="shared" si="1"/>
        <v>Home-Study</v>
      </c>
      <c r="S75" s="47">
        <v>1.5</v>
      </c>
      <c r="T75" s="47">
        <v>0.1</v>
      </c>
      <c r="U75" s="42">
        <v>1</v>
      </c>
      <c r="V75" s="42"/>
      <c r="W75" s="47"/>
      <c r="X75" s="47"/>
      <c r="Y75" s="48" t="s">
        <v>146</v>
      </c>
      <c r="Z75" s="56"/>
      <c r="AA75" s="25"/>
      <c r="AB75" s="25"/>
    </row>
    <row r="76" spans="2:28">
      <c r="B76" s="39">
        <v>0.34722222222222227</v>
      </c>
      <c r="C76" s="39" t="s">
        <v>548</v>
      </c>
      <c r="D76" s="40">
        <v>11</v>
      </c>
      <c r="E76" s="41">
        <v>1</v>
      </c>
      <c r="F76" s="41" t="s">
        <v>164</v>
      </c>
      <c r="G76" s="42" t="s">
        <v>150</v>
      </c>
      <c r="H76" s="41" t="s">
        <v>147</v>
      </c>
      <c r="I76" s="42">
        <v>8</v>
      </c>
      <c r="J76" s="42">
        <v>1</v>
      </c>
      <c r="K76" s="25" t="str">
        <f>VLOOKUP(J76,Key!$E$2:$F$9,2,FALSE)</f>
        <v>Home</v>
      </c>
      <c r="L76" s="41" t="s">
        <v>169</v>
      </c>
      <c r="M76" s="42" t="s">
        <v>150</v>
      </c>
      <c r="N76" s="41" t="s">
        <v>147</v>
      </c>
      <c r="O76" s="42">
        <v>8</v>
      </c>
      <c r="P76" s="42">
        <v>3</v>
      </c>
      <c r="Q76" s="25" t="str">
        <f>VLOOKUP(P76,Key!$E$2:$F$9,2,FALSE)</f>
        <v>Study</v>
      </c>
      <c r="R76" s="25" t="str">
        <f t="shared" si="1"/>
        <v>Home-Study</v>
      </c>
      <c r="S76" s="47">
        <v>4</v>
      </c>
      <c r="T76" s="47">
        <v>0.2</v>
      </c>
      <c r="U76" s="42">
        <v>2</v>
      </c>
      <c r="V76" s="42"/>
      <c r="W76" s="47"/>
      <c r="X76" s="47"/>
      <c r="Y76" s="48" t="s">
        <v>146</v>
      </c>
      <c r="Z76" s="56"/>
      <c r="AA76" s="25"/>
      <c r="AB76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5"/>
  <sheetViews>
    <sheetView topLeftCell="H94" zoomScale="78" zoomScaleNormal="78" zoomScaleSheetLayoutView="80" workbookViewId="0">
      <selection activeCell="B9" sqref="B9:AB12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0.42578125" customWidth="1"/>
    <col min="6" max="6" width="17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9" t="s">
        <v>153</v>
      </c>
      <c r="E4" s="1" t="s">
        <v>65</v>
      </c>
      <c r="F4" s="146" t="s">
        <v>149</v>
      </c>
      <c r="G4" s="147"/>
      <c r="I4" s="27" t="s">
        <v>66</v>
      </c>
      <c r="J4" s="5"/>
      <c r="K4" s="5"/>
      <c r="L4" s="50" t="s">
        <v>148</v>
      </c>
      <c r="M4" s="2"/>
      <c r="N4" s="1" t="s">
        <v>68</v>
      </c>
      <c r="O4" s="128" t="s">
        <v>631</v>
      </c>
      <c r="P4" s="129"/>
      <c r="Q4" s="129"/>
      <c r="R4" s="129"/>
      <c r="S4" s="129"/>
      <c r="T4" s="129"/>
      <c r="V4" s="1" t="s">
        <v>69</v>
      </c>
      <c r="W4" s="42" t="s">
        <v>151</v>
      </c>
      <c r="Y4" s="27" t="s">
        <v>6</v>
      </c>
      <c r="Z4" s="52" t="s">
        <v>152</v>
      </c>
      <c r="AA4" s="32" t="s">
        <v>7</v>
      </c>
      <c r="AB4" s="52"/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1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129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130</v>
      </c>
      <c r="R7" s="123" t="s">
        <v>131</v>
      </c>
      <c r="S7" s="123" t="s">
        <v>133</v>
      </c>
      <c r="T7" s="123" t="s">
        <v>132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136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70</v>
      </c>
      <c r="G8" s="23" t="s">
        <v>57</v>
      </c>
      <c r="H8" s="24" t="s">
        <v>58</v>
      </c>
      <c r="I8" s="133"/>
      <c r="J8" s="124"/>
      <c r="K8" s="124"/>
      <c r="L8" s="23" t="s">
        <v>70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134</v>
      </c>
      <c r="X8" s="30" t="s">
        <v>135</v>
      </c>
      <c r="Y8" s="124"/>
      <c r="Z8" s="124"/>
      <c r="AA8" s="133"/>
      <c r="AB8" s="139"/>
    </row>
    <row r="9" spans="2:35" s="19" customFormat="1">
      <c r="B9" s="39">
        <v>0.34722222222222227</v>
      </c>
      <c r="C9" s="39" t="s">
        <v>154</v>
      </c>
      <c r="D9" s="40">
        <v>3</v>
      </c>
      <c r="E9" s="40">
        <v>3</v>
      </c>
      <c r="F9" s="41" t="s">
        <v>155</v>
      </c>
      <c r="G9" s="41" t="s">
        <v>148</v>
      </c>
      <c r="H9" s="41" t="s">
        <v>633</v>
      </c>
      <c r="I9" s="41">
        <v>1</v>
      </c>
      <c r="J9" s="41">
        <v>1</v>
      </c>
      <c r="K9" s="25" t="str">
        <f>VLOOKUP(J9,Key!$E$2:$F$9,2,FALSE)</f>
        <v>Home</v>
      </c>
      <c r="L9" s="41" t="s">
        <v>156</v>
      </c>
      <c r="M9" s="42" t="s">
        <v>157</v>
      </c>
      <c r="N9" s="42" t="s">
        <v>633</v>
      </c>
      <c r="O9" s="42">
        <v>11</v>
      </c>
      <c r="P9" s="42">
        <v>4</v>
      </c>
      <c r="Q9" s="25" t="str">
        <f>VLOOKUP(P9,Key!$E$2:$F$9,2,FALSE)</f>
        <v>Commercial</v>
      </c>
      <c r="R9" s="25" t="str">
        <f>K9&amp;"-"&amp;Q9</f>
        <v>Home-Commercial</v>
      </c>
      <c r="S9" s="47">
        <v>120</v>
      </c>
      <c r="T9" s="47">
        <v>4</v>
      </c>
      <c r="U9" s="55">
        <v>4</v>
      </c>
      <c r="V9" s="55">
        <v>1</v>
      </c>
      <c r="W9" s="47"/>
      <c r="X9" s="47"/>
      <c r="Y9" s="48" t="s">
        <v>146</v>
      </c>
      <c r="Z9" s="56"/>
      <c r="AA9" s="25"/>
      <c r="AB9" s="25"/>
    </row>
    <row r="10" spans="2:35">
      <c r="B10" s="39">
        <v>0.35416666666666669</v>
      </c>
      <c r="C10" s="39" t="s">
        <v>158</v>
      </c>
      <c r="D10" s="40">
        <v>8</v>
      </c>
      <c r="E10" s="40">
        <v>1</v>
      </c>
      <c r="F10" s="41" t="s">
        <v>159</v>
      </c>
      <c r="G10" s="41" t="s">
        <v>148</v>
      </c>
      <c r="H10" s="41" t="s">
        <v>633</v>
      </c>
      <c r="I10" s="41">
        <v>1</v>
      </c>
      <c r="J10" s="41">
        <v>1</v>
      </c>
      <c r="K10" s="25" t="str">
        <f>VLOOKUP(J10,Key!$E$2:$F$9,2,FALSE)</f>
        <v>Home</v>
      </c>
      <c r="L10" s="41" t="s">
        <v>160</v>
      </c>
      <c r="M10" s="42" t="s">
        <v>150</v>
      </c>
      <c r="N10" s="42" t="s">
        <v>633</v>
      </c>
      <c r="O10" s="42">
        <v>4</v>
      </c>
      <c r="P10" s="42">
        <v>3</v>
      </c>
      <c r="Q10" s="25" t="str">
        <f>VLOOKUP(P10,Key!$E$2:$F$9,2,FALSE)</f>
        <v>Study</v>
      </c>
      <c r="R10" s="25" t="str">
        <f t="shared" ref="R10:R37" si="0">K10&amp;"-"&amp;Q10</f>
        <v>Home-Study</v>
      </c>
      <c r="S10" s="47">
        <v>6</v>
      </c>
      <c r="T10" s="47">
        <v>0</v>
      </c>
      <c r="U10" s="55">
        <v>1</v>
      </c>
      <c r="V10" s="55">
        <v>11</v>
      </c>
      <c r="W10" s="47"/>
      <c r="X10" s="47"/>
      <c r="Y10" s="48" t="s">
        <v>146</v>
      </c>
      <c r="Z10" s="56"/>
      <c r="AA10" s="25"/>
      <c r="AB10" s="25"/>
    </row>
    <row r="11" spans="2:35">
      <c r="B11" s="39">
        <v>0.35972222222222222</v>
      </c>
      <c r="C11" s="39" t="s">
        <v>161</v>
      </c>
      <c r="D11" s="40">
        <v>4</v>
      </c>
      <c r="E11" s="40">
        <v>7</v>
      </c>
      <c r="F11" s="41" t="s">
        <v>155</v>
      </c>
      <c r="G11" s="41" t="s">
        <v>148</v>
      </c>
      <c r="H11" s="41" t="s">
        <v>633</v>
      </c>
      <c r="I11" s="41">
        <v>6</v>
      </c>
      <c r="J11" s="41">
        <v>2</v>
      </c>
      <c r="K11" s="25" t="str">
        <f>VLOOKUP(J11,Key!$E$2:$F$9,2,FALSE)</f>
        <v>Work</v>
      </c>
      <c r="L11" s="41" t="s">
        <v>162</v>
      </c>
      <c r="M11" s="42" t="s">
        <v>150</v>
      </c>
      <c r="N11" s="42" t="s">
        <v>633</v>
      </c>
      <c r="O11" s="42">
        <v>6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7">
        <v>62</v>
      </c>
      <c r="T11" s="47">
        <v>1.5</v>
      </c>
      <c r="U11" s="55">
        <v>1</v>
      </c>
      <c r="V11" s="55"/>
      <c r="W11" s="47"/>
      <c r="X11" s="47"/>
      <c r="Y11" s="48" t="s">
        <v>146</v>
      </c>
      <c r="Z11" s="56"/>
      <c r="AA11" s="25"/>
      <c r="AB11" s="25"/>
    </row>
    <row r="12" spans="2:35">
      <c r="B12" s="39">
        <v>0.36388888888888887</v>
      </c>
      <c r="C12" s="39" t="s">
        <v>163</v>
      </c>
      <c r="D12" s="40">
        <v>1</v>
      </c>
      <c r="E12" s="40">
        <v>2</v>
      </c>
      <c r="F12" s="41" t="s">
        <v>164</v>
      </c>
      <c r="G12" s="41" t="s">
        <v>150</v>
      </c>
      <c r="H12" s="41" t="s">
        <v>633</v>
      </c>
      <c r="I12" s="41">
        <v>1</v>
      </c>
      <c r="J12" s="41">
        <v>1</v>
      </c>
      <c r="K12" s="25" t="str">
        <f>VLOOKUP(J12,Key!$E$2:$F$9,2,FALSE)</f>
        <v>Home</v>
      </c>
      <c r="L12" s="41" t="s">
        <v>165</v>
      </c>
      <c r="M12" s="42" t="s">
        <v>150</v>
      </c>
      <c r="N12" s="42" t="s">
        <v>633</v>
      </c>
      <c r="O12" s="42">
        <v>4</v>
      </c>
      <c r="P12" s="42">
        <v>3</v>
      </c>
      <c r="Q12" s="25" t="str">
        <f>VLOOKUP(P12,Key!$E$2:$F$9,2,FALSE)</f>
        <v>Study</v>
      </c>
      <c r="R12" s="25" t="str">
        <f t="shared" si="0"/>
        <v>Home-Study</v>
      </c>
      <c r="S12" s="47">
        <v>4</v>
      </c>
      <c r="T12" s="47">
        <v>0</v>
      </c>
      <c r="U12" s="55">
        <v>1</v>
      </c>
      <c r="V12" s="55"/>
      <c r="W12" s="47"/>
      <c r="X12" s="47"/>
      <c r="Y12" s="48" t="s">
        <v>146</v>
      </c>
      <c r="Z12" s="56"/>
      <c r="AA12" s="25"/>
      <c r="AB12" s="25"/>
    </row>
    <row r="13" spans="2:35">
      <c r="B13" s="39">
        <v>0.37013888888888885</v>
      </c>
      <c r="C13" s="39" t="s">
        <v>166</v>
      </c>
      <c r="D13" s="40">
        <v>1</v>
      </c>
      <c r="E13" s="40">
        <v>3</v>
      </c>
      <c r="F13" s="41" t="s">
        <v>164</v>
      </c>
      <c r="G13" s="41" t="s">
        <v>150</v>
      </c>
      <c r="H13" s="41" t="s">
        <v>633</v>
      </c>
      <c r="I13" s="41">
        <v>1</v>
      </c>
      <c r="J13" s="41">
        <v>1</v>
      </c>
      <c r="K13" s="25" t="str">
        <f>VLOOKUP(J13,Key!$E$2:$F$9,2,FALSE)</f>
        <v>Home</v>
      </c>
      <c r="L13" s="41" t="s">
        <v>167</v>
      </c>
      <c r="M13" s="42" t="s">
        <v>150</v>
      </c>
      <c r="N13" s="42" t="s">
        <v>633</v>
      </c>
      <c r="O13" s="42">
        <v>9</v>
      </c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47">
        <v>11</v>
      </c>
      <c r="T13" s="47"/>
      <c r="U13" s="55">
        <v>1</v>
      </c>
      <c r="V13" s="55"/>
      <c r="W13" s="47"/>
      <c r="X13" s="47"/>
      <c r="Y13" s="48" t="s">
        <v>146</v>
      </c>
      <c r="Z13" s="56"/>
      <c r="AA13" s="25"/>
      <c r="AB13" s="25"/>
    </row>
    <row r="14" spans="2:35">
      <c r="B14" s="39">
        <v>0.37291666666666662</v>
      </c>
      <c r="C14" s="39" t="s">
        <v>168</v>
      </c>
      <c r="D14" s="40">
        <v>1</v>
      </c>
      <c r="E14" s="40">
        <v>1</v>
      </c>
      <c r="F14" s="41" t="s">
        <v>155</v>
      </c>
      <c r="G14" s="41" t="s">
        <v>148</v>
      </c>
      <c r="H14" s="41" t="s">
        <v>633</v>
      </c>
      <c r="I14" s="41">
        <v>1</v>
      </c>
      <c r="J14" s="41">
        <v>1</v>
      </c>
      <c r="K14" s="25" t="str">
        <f>VLOOKUP(J14,Key!$E$2:$F$9,2,FALSE)</f>
        <v>Home</v>
      </c>
      <c r="L14" s="41" t="s">
        <v>169</v>
      </c>
      <c r="M14" s="42" t="s">
        <v>150</v>
      </c>
      <c r="N14" s="42" t="s">
        <v>633</v>
      </c>
      <c r="O14" s="42">
        <v>2</v>
      </c>
      <c r="P14" s="42">
        <v>3</v>
      </c>
      <c r="Q14" s="25" t="str">
        <f>VLOOKUP(P14,Key!$E$2:$F$9,2,FALSE)</f>
        <v>Study</v>
      </c>
      <c r="R14" s="25" t="str">
        <f t="shared" si="0"/>
        <v>Home-Study</v>
      </c>
      <c r="S14" s="47">
        <v>12</v>
      </c>
      <c r="T14" s="47">
        <v>0.3</v>
      </c>
      <c r="U14" s="55">
        <v>1</v>
      </c>
      <c r="V14" s="55"/>
      <c r="W14" s="47"/>
      <c r="X14" s="47"/>
      <c r="Y14" s="48" t="s">
        <v>146</v>
      </c>
      <c r="Z14" s="56"/>
      <c r="AA14" s="25"/>
      <c r="AB14" s="25"/>
    </row>
    <row r="15" spans="2:35">
      <c r="B15" s="39">
        <v>0.37638888888888888</v>
      </c>
      <c r="C15" s="39" t="s">
        <v>170</v>
      </c>
      <c r="D15" s="40">
        <v>1</v>
      </c>
      <c r="E15" s="40">
        <v>2</v>
      </c>
      <c r="F15" s="41" t="s">
        <v>155</v>
      </c>
      <c r="G15" s="41" t="s">
        <v>148</v>
      </c>
      <c r="H15" s="41" t="s">
        <v>633</v>
      </c>
      <c r="I15" s="41">
        <v>1</v>
      </c>
      <c r="J15" s="41">
        <v>1</v>
      </c>
      <c r="K15" s="25" t="str">
        <f>VLOOKUP(J15,Key!$E$2:$F$9,2,FALSE)</f>
        <v>Home</v>
      </c>
      <c r="L15" s="41" t="s">
        <v>171</v>
      </c>
      <c r="M15" s="42" t="s">
        <v>150</v>
      </c>
      <c r="N15" s="42" t="s">
        <v>633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47">
        <v>32</v>
      </c>
      <c r="T15" s="47">
        <v>1</v>
      </c>
      <c r="U15" s="55">
        <v>2</v>
      </c>
      <c r="V15" s="55"/>
      <c r="W15" s="47"/>
      <c r="X15" s="47"/>
      <c r="Y15" s="48" t="s">
        <v>146</v>
      </c>
      <c r="Z15" s="56"/>
      <c r="AA15" s="25"/>
      <c r="AB15" s="25"/>
    </row>
    <row r="16" spans="2:35">
      <c r="B16" s="39">
        <v>0.38125000000000003</v>
      </c>
      <c r="C16" s="39" t="s">
        <v>172</v>
      </c>
      <c r="D16" s="40">
        <v>1</v>
      </c>
      <c r="E16" s="40">
        <v>4</v>
      </c>
      <c r="F16" s="41" t="s">
        <v>173</v>
      </c>
      <c r="G16" s="41" t="s">
        <v>148</v>
      </c>
      <c r="H16" s="41" t="s">
        <v>633</v>
      </c>
      <c r="I16" s="41">
        <v>1</v>
      </c>
      <c r="J16" s="41">
        <v>1</v>
      </c>
      <c r="K16" s="25" t="str">
        <f>VLOOKUP(J16,Key!$E$2:$F$9,2,FALSE)</f>
        <v>Home</v>
      </c>
      <c r="L16" s="41" t="s">
        <v>169</v>
      </c>
      <c r="M16" s="42" t="s">
        <v>150</v>
      </c>
      <c r="N16" s="42" t="s">
        <v>633</v>
      </c>
      <c r="O16" s="42">
        <v>2</v>
      </c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47">
        <v>4</v>
      </c>
      <c r="T16" s="47">
        <v>0.1</v>
      </c>
      <c r="U16" s="55">
        <v>3</v>
      </c>
      <c r="V16" s="55"/>
      <c r="W16" s="47"/>
      <c r="X16" s="47"/>
      <c r="Y16" s="48" t="s">
        <v>146</v>
      </c>
      <c r="Z16" s="56"/>
      <c r="AA16" s="25"/>
      <c r="AB16" s="25"/>
    </row>
    <row r="17" spans="2:28">
      <c r="B17" s="39">
        <v>0.3833333333333333</v>
      </c>
      <c r="C17" s="39" t="s">
        <v>174</v>
      </c>
      <c r="D17" s="40">
        <v>8</v>
      </c>
      <c r="E17" s="40">
        <v>3</v>
      </c>
      <c r="F17" s="41" t="s">
        <v>175</v>
      </c>
      <c r="G17" s="41" t="s">
        <v>148</v>
      </c>
      <c r="H17" s="41" t="s">
        <v>633</v>
      </c>
      <c r="I17" s="41">
        <v>11</v>
      </c>
      <c r="J17" s="41">
        <v>4</v>
      </c>
      <c r="K17" s="25" t="str">
        <f>VLOOKUP(J17,Key!$E$2:$F$9,2,FALSE)</f>
        <v>Commercial</v>
      </c>
      <c r="L17" s="41" t="s">
        <v>176</v>
      </c>
      <c r="M17" s="42" t="s">
        <v>150</v>
      </c>
      <c r="N17" s="42" t="s">
        <v>633</v>
      </c>
      <c r="O17" s="42">
        <v>9</v>
      </c>
      <c r="P17" s="42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7">
        <v>15</v>
      </c>
      <c r="T17" s="47">
        <v>1</v>
      </c>
      <c r="U17" s="55">
        <v>3</v>
      </c>
      <c r="V17" s="55">
        <v>11</v>
      </c>
      <c r="W17" s="47"/>
      <c r="X17" s="47"/>
      <c r="Y17" s="48" t="s">
        <v>146</v>
      </c>
      <c r="Z17" s="56"/>
      <c r="AA17" s="25"/>
      <c r="AB17" s="25"/>
    </row>
    <row r="18" spans="2:28">
      <c r="B18" s="39">
        <v>0.3888888888888889</v>
      </c>
      <c r="C18" s="39" t="s">
        <v>177</v>
      </c>
      <c r="D18" s="40">
        <v>7</v>
      </c>
      <c r="E18" s="40">
        <v>4</v>
      </c>
      <c r="F18" s="41" t="s">
        <v>155</v>
      </c>
      <c r="G18" s="41" t="s">
        <v>148</v>
      </c>
      <c r="H18" s="41" t="s">
        <v>633</v>
      </c>
      <c r="I18" s="41">
        <v>3</v>
      </c>
      <c r="J18" s="41">
        <v>2</v>
      </c>
      <c r="K18" s="25" t="str">
        <f>VLOOKUP(J18,Key!$E$2:$F$9,2,FALSE)</f>
        <v>Work</v>
      </c>
      <c r="L18" s="41" t="s">
        <v>178</v>
      </c>
      <c r="M18" s="42" t="s">
        <v>179</v>
      </c>
      <c r="N18" s="42" t="s">
        <v>633</v>
      </c>
      <c r="O18" s="42">
        <v>3</v>
      </c>
      <c r="P18" s="42">
        <v>4</v>
      </c>
      <c r="Q18" s="25" t="str">
        <f>VLOOKUP(P18,Key!$E$2:$F$9,2,FALSE)</f>
        <v>Commercial</v>
      </c>
      <c r="R18" s="25" t="str">
        <f t="shared" si="0"/>
        <v>Work-Commercial</v>
      </c>
      <c r="S18" s="47">
        <v>336</v>
      </c>
      <c r="T18" s="47">
        <v>4</v>
      </c>
      <c r="U18" s="55">
        <v>2</v>
      </c>
      <c r="V18" s="55">
        <v>11</v>
      </c>
      <c r="W18" s="47"/>
      <c r="X18" s="47"/>
      <c r="Y18" s="48" t="s">
        <v>146</v>
      </c>
      <c r="Z18" s="56"/>
      <c r="AA18" s="25"/>
      <c r="AB18" s="25"/>
    </row>
    <row r="19" spans="2:28">
      <c r="B19" s="39">
        <v>0.39861111111111108</v>
      </c>
      <c r="C19" s="39" t="s">
        <v>180</v>
      </c>
      <c r="D19" s="40">
        <v>1</v>
      </c>
      <c r="E19" s="40">
        <v>2</v>
      </c>
      <c r="F19" s="41" t="s">
        <v>155</v>
      </c>
      <c r="G19" s="41" t="s">
        <v>148</v>
      </c>
      <c r="H19" s="41" t="s">
        <v>633</v>
      </c>
      <c r="I19" s="41">
        <v>1</v>
      </c>
      <c r="J19" s="41">
        <v>1</v>
      </c>
      <c r="K19" s="25" t="str">
        <f>VLOOKUP(J19,Key!$E$2:$F$9,2,FALSE)</f>
        <v>Home</v>
      </c>
      <c r="L19" s="41" t="s">
        <v>171</v>
      </c>
      <c r="M19" s="42" t="s">
        <v>150</v>
      </c>
      <c r="N19" s="42" t="s">
        <v>633</v>
      </c>
      <c r="O19" s="42">
        <v>9</v>
      </c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47"/>
      <c r="T19" s="47">
        <v>2</v>
      </c>
      <c r="U19" s="55">
        <v>2</v>
      </c>
      <c r="V19" s="55"/>
      <c r="W19" s="47"/>
      <c r="X19" s="47"/>
      <c r="Y19" s="48" t="s">
        <v>146</v>
      </c>
      <c r="Z19" s="56"/>
      <c r="AA19" s="25"/>
      <c r="AB19" s="25"/>
    </row>
    <row r="20" spans="2:28">
      <c r="B20" s="39">
        <v>0.40486111111111112</v>
      </c>
      <c r="C20" s="39" t="s">
        <v>181</v>
      </c>
      <c r="D20" s="40">
        <v>7</v>
      </c>
      <c r="E20" s="40">
        <v>3</v>
      </c>
      <c r="F20" s="41" t="s">
        <v>155</v>
      </c>
      <c r="G20" s="41" t="s">
        <v>148</v>
      </c>
      <c r="H20" s="41" t="s">
        <v>633</v>
      </c>
      <c r="I20" s="41">
        <v>11</v>
      </c>
      <c r="J20" s="41">
        <v>2</v>
      </c>
      <c r="K20" s="25" t="str">
        <f>VLOOKUP(J20,Key!$E$2:$F$9,2,FALSE)</f>
        <v>Work</v>
      </c>
      <c r="L20" s="41" t="s">
        <v>182</v>
      </c>
      <c r="M20" s="42" t="s">
        <v>150</v>
      </c>
      <c r="N20" s="42" t="s">
        <v>633</v>
      </c>
      <c r="O20" s="42">
        <v>11</v>
      </c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47">
        <v>20</v>
      </c>
      <c r="T20" s="47">
        <v>1</v>
      </c>
      <c r="U20" s="55">
        <v>3</v>
      </c>
      <c r="V20" s="55">
        <v>10</v>
      </c>
      <c r="W20" s="47">
        <v>5</v>
      </c>
      <c r="X20" s="47"/>
      <c r="Y20" s="48" t="s">
        <v>146</v>
      </c>
      <c r="Z20" s="56"/>
      <c r="AA20" s="25"/>
      <c r="AB20" s="25"/>
    </row>
    <row r="21" spans="2:28">
      <c r="B21" s="39">
        <v>0.44444444444444442</v>
      </c>
      <c r="C21" s="39" t="s">
        <v>183</v>
      </c>
      <c r="D21" s="40">
        <v>4</v>
      </c>
      <c r="E21" s="40">
        <v>9</v>
      </c>
      <c r="F21" s="41" t="s">
        <v>184</v>
      </c>
      <c r="G21" s="41" t="s">
        <v>148</v>
      </c>
      <c r="H21" s="41" t="s">
        <v>633</v>
      </c>
      <c r="I21" s="41">
        <v>6</v>
      </c>
      <c r="J21" s="41">
        <v>2</v>
      </c>
      <c r="K21" s="25" t="str">
        <f>VLOOKUP(J21,Key!$E$2:$F$9,2,FALSE)</f>
        <v>Work</v>
      </c>
      <c r="L21" s="41" t="s">
        <v>185</v>
      </c>
      <c r="M21" s="42" t="s">
        <v>150</v>
      </c>
      <c r="N21" s="42" t="s">
        <v>633</v>
      </c>
      <c r="O21" s="42">
        <v>6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40</v>
      </c>
      <c r="T21" s="47">
        <v>2</v>
      </c>
      <c r="U21" s="55">
        <v>3</v>
      </c>
      <c r="V21" s="55"/>
      <c r="W21" s="47"/>
      <c r="X21" s="47"/>
      <c r="Y21" s="48" t="s">
        <v>146</v>
      </c>
      <c r="Z21" s="56"/>
      <c r="AA21" s="25"/>
      <c r="AB21" s="25"/>
    </row>
    <row r="22" spans="2:28">
      <c r="B22" s="39">
        <v>0.4513888888888889</v>
      </c>
      <c r="C22" s="39" t="s">
        <v>186</v>
      </c>
      <c r="D22" s="40">
        <v>11</v>
      </c>
      <c r="E22" s="40">
        <v>1</v>
      </c>
      <c r="F22" s="41" t="s">
        <v>155</v>
      </c>
      <c r="G22" s="41" t="s">
        <v>148</v>
      </c>
      <c r="H22" s="41" t="s">
        <v>633</v>
      </c>
      <c r="I22" s="41">
        <v>8</v>
      </c>
      <c r="J22" s="41">
        <v>2</v>
      </c>
      <c r="K22" s="25" t="str">
        <f>VLOOKUP(J22,Key!$E$2:$F$9,2,FALSE)</f>
        <v>Work</v>
      </c>
      <c r="L22" s="41" t="s">
        <v>169</v>
      </c>
      <c r="M22" s="42" t="s">
        <v>150</v>
      </c>
      <c r="N22" s="42" t="s">
        <v>633</v>
      </c>
      <c r="O22" s="42">
        <v>9</v>
      </c>
      <c r="P22" s="42">
        <v>4</v>
      </c>
      <c r="Q22" s="25" t="str">
        <f>VLOOKUP(P22,Key!$E$2:$F$9,2,FALSE)</f>
        <v>Commercial</v>
      </c>
      <c r="R22" s="25" t="str">
        <f t="shared" si="0"/>
        <v>Work-Commercial</v>
      </c>
      <c r="S22" s="47">
        <v>8</v>
      </c>
      <c r="T22" s="47">
        <v>0.3</v>
      </c>
      <c r="U22" s="55">
        <v>2</v>
      </c>
      <c r="V22" s="55"/>
      <c r="W22" s="47"/>
      <c r="X22" s="47"/>
      <c r="Y22" s="48" t="s">
        <v>146</v>
      </c>
      <c r="Z22" s="56"/>
      <c r="AA22" s="25"/>
      <c r="AB22" s="25"/>
    </row>
    <row r="23" spans="2:28">
      <c r="B23" s="39">
        <v>0.4597222222222222</v>
      </c>
      <c r="C23" s="39" t="s">
        <v>187</v>
      </c>
      <c r="D23" s="40">
        <v>4</v>
      </c>
      <c r="E23" s="40">
        <v>9</v>
      </c>
      <c r="F23" s="41" t="s">
        <v>155</v>
      </c>
      <c r="G23" s="41" t="s">
        <v>148</v>
      </c>
      <c r="H23" s="41" t="s">
        <v>633</v>
      </c>
      <c r="I23" s="41">
        <v>6</v>
      </c>
      <c r="J23" s="41">
        <v>2</v>
      </c>
      <c r="K23" s="25" t="str">
        <f>VLOOKUP(J23,Key!$E$2:$F$9,2,FALSE)</f>
        <v>Work</v>
      </c>
      <c r="L23" s="41" t="s">
        <v>171</v>
      </c>
      <c r="M23" s="42" t="s">
        <v>150</v>
      </c>
      <c r="N23" s="42" t="s">
        <v>633</v>
      </c>
      <c r="O23" s="42">
        <v>6</v>
      </c>
      <c r="P23" s="42">
        <v>4</v>
      </c>
      <c r="Q23" s="25" t="str">
        <f>VLOOKUP(P23,Key!$E$2:$F$9,2,FALSE)</f>
        <v>Commercial</v>
      </c>
      <c r="R23" s="25" t="str">
        <f t="shared" si="0"/>
        <v>Work-Commercial</v>
      </c>
      <c r="S23" s="47">
        <v>36</v>
      </c>
      <c r="T23" s="47"/>
      <c r="U23" s="55">
        <v>4</v>
      </c>
      <c r="V23" s="55"/>
      <c r="W23" s="47"/>
      <c r="X23" s="47"/>
      <c r="Y23" s="48" t="s">
        <v>146</v>
      </c>
      <c r="Z23" s="56"/>
      <c r="AA23" s="25"/>
      <c r="AB23" s="25"/>
    </row>
    <row r="24" spans="2:28">
      <c r="B24" s="39">
        <v>0.46875</v>
      </c>
      <c r="C24" s="39" t="s">
        <v>188</v>
      </c>
      <c r="D24" s="40">
        <v>11</v>
      </c>
      <c r="E24" s="40">
        <v>1</v>
      </c>
      <c r="F24" s="41" t="s">
        <v>189</v>
      </c>
      <c r="G24" s="41" t="s">
        <v>150</v>
      </c>
      <c r="H24" s="41" t="s">
        <v>633</v>
      </c>
      <c r="I24" s="41">
        <v>6</v>
      </c>
      <c r="J24" s="41">
        <v>2</v>
      </c>
      <c r="K24" s="25" t="str">
        <f>VLOOKUP(J24,Key!$E$2:$F$9,2,FALSE)</f>
        <v>Work</v>
      </c>
      <c r="L24" s="41" t="s">
        <v>169</v>
      </c>
      <c r="M24" s="42" t="s">
        <v>150</v>
      </c>
      <c r="N24" s="42" t="s">
        <v>633</v>
      </c>
      <c r="O24" s="42">
        <v>6</v>
      </c>
      <c r="P24" s="42">
        <v>2</v>
      </c>
      <c r="Q24" s="25" t="s">
        <v>102</v>
      </c>
      <c r="R24" s="25" t="str">
        <f t="shared" si="0"/>
        <v>Work-Work</v>
      </c>
      <c r="S24" s="47"/>
      <c r="T24" s="47">
        <v>0</v>
      </c>
      <c r="U24" s="55">
        <v>3</v>
      </c>
      <c r="V24" s="55"/>
      <c r="W24" s="47"/>
      <c r="X24" s="47"/>
      <c r="Y24" s="48" t="s">
        <v>146</v>
      </c>
      <c r="Z24" s="56"/>
      <c r="AA24" s="25"/>
      <c r="AB24" s="25"/>
    </row>
    <row r="25" spans="2:28">
      <c r="B25" s="39">
        <v>0.47500000000000003</v>
      </c>
      <c r="C25" s="39" t="s">
        <v>190</v>
      </c>
      <c r="D25" s="40">
        <v>1</v>
      </c>
      <c r="E25" s="40">
        <v>1</v>
      </c>
      <c r="F25" s="41" t="s">
        <v>155</v>
      </c>
      <c r="G25" s="41" t="s">
        <v>148</v>
      </c>
      <c r="H25" s="41" t="s">
        <v>633</v>
      </c>
      <c r="I25" s="41">
        <v>2</v>
      </c>
      <c r="J25" s="41">
        <v>2</v>
      </c>
      <c r="K25" s="25" t="str">
        <f>VLOOKUP(J25,Key!$E$2:$F$9,2,FALSE)</f>
        <v>Work</v>
      </c>
      <c r="L25" s="41" t="s">
        <v>191</v>
      </c>
      <c r="M25" s="42" t="s">
        <v>150</v>
      </c>
      <c r="N25" s="42" t="s">
        <v>633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7">
        <v>8</v>
      </c>
      <c r="T25" s="47">
        <v>0.2</v>
      </c>
      <c r="U25" s="55">
        <v>2</v>
      </c>
      <c r="V25" s="55"/>
      <c r="W25" s="47"/>
      <c r="X25" s="47"/>
      <c r="Y25" s="48" t="s">
        <v>146</v>
      </c>
      <c r="Z25" s="56"/>
      <c r="AA25" s="25"/>
      <c r="AB25" s="25"/>
    </row>
    <row r="26" spans="2:28">
      <c r="B26" s="39">
        <v>0.48055555555555557</v>
      </c>
      <c r="C26" s="39" t="s">
        <v>192</v>
      </c>
      <c r="D26" s="40">
        <v>3</v>
      </c>
      <c r="E26" s="40">
        <v>4</v>
      </c>
      <c r="F26" s="41" t="s">
        <v>155</v>
      </c>
      <c r="G26" s="41" t="s">
        <v>148</v>
      </c>
      <c r="H26" s="41" t="s">
        <v>633</v>
      </c>
      <c r="I26" s="41">
        <v>7</v>
      </c>
      <c r="J26" s="41">
        <v>2</v>
      </c>
      <c r="K26" s="25" t="str">
        <f>VLOOKUP(J26,Key!$E$2:$F$9,2,FALSE)</f>
        <v>Work</v>
      </c>
      <c r="L26" s="41" t="s">
        <v>191</v>
      </c>
      <c r="M26" s="42" t="s">
        <v>150</v>
      </c>
      <c r="N26" s="42" t="s">
        <v>633</v>
      </c>
      <c r="O26" s="42">
        <v>10</v>
      </c>
      <c r="P26" s="42">
        <v>4</v>
      </c>
      <c r="Q26" s="25" t="str">
        <f>VLOOKUP(P26,Key!$E$2:$F$9,2,FALSE)</f>
        <v>Commercial</v>
      </c>
      <c r="R26" s="25" t="str">
        <f t="shared" si="0"/>
        <v>Work-Commercial</v>
      </c>
      <c r="S26" s="47">
        <v>6</v>
      </c>
      <c r="T26" s="47">
        <v>0.5</v>
      </c>
      <c r="U26" s="55">
        <v>4</v>
      </c>
      <c r="V26" s="55"/>
      <c r="W26" s="47">
        <v>0.5</v>
      </c>
      <c r="X26" s="47">
        <v>600000</v>
      </c>
      <c r="Y26" s="48" t="s">
        <v>146</v>
      </c>
      <c r="Z26" s="56"/>
      <c r="AA26" s="25"/>
      <c r="AB26" s="25"/>
    </row>
    <row r="27" spans="2:28">
      <c r="B27" s="39">
        <v>0.48472222222222222</v>
      </c>
      <c r="C27" s="39" t="s">
        <v>193</v>
      </c>
      <c r="D27" s="40">
        <v>1</v>
      </c>
      <c r="E27" s="40">
        <v>2</v>
      </c>
      <c r="F27" s="41" t="s">
        <v>155</v>
      </c>
      <c r="G27" s="41" t="s">
        <v>148</v>
      </c>
      <c r="H27" s="41" t="s">
        <v>633</v>
      </c>
      <c r="I27" s="41">
        <v>1</v>
      </c>
      <c r="J27" s="41">
        <v>1</v>
      </c>
      <c r="K27" s="25" t="str">
        <f>VLOOKUP(J27,Key!$E$2:$F$9,2,FALSE)</f>
        <v>Home</v>
      </c>
      <c r="L27" s="41" t="s">
        <v>169</v>
      </c>
      <c r="M27" s="42" t="s">
        <v>150</v>
      </c>
      <c r="N27" s="42" t="s">
        <v>633</v>
      </c>
      <c r="O27" s="42">
        <v>16</v>
      </c>
      <c r="P27" s="42">
        <v>6</v>
      </c>
      <c r="Q27" s="25" t="str">
        <f>VLOOKUP(P27,Key!$E$2:$F$9,2,FALSE)</f>
        <v>Leisure/Social</v>
      </c>
      <c r="R27" s="25" t="str">
        <f t="shared" si="0"/>
        <v>Home-Leisure/Social</v>
      </c>
      <c r="S27" s="47">
        <v>8</v>
      </c>
      <c r="T27" s="47">
        <v>0.4</v>
      </c>
      <c r="U27" s="55">
        <v>4</v>
      </c>
      <c r="V27" s="55"/>
      <c r="W27" s="47"/>
      <c r="X27" s="47"/>
      <c r="Y27" s="48" t="s">
        <v>146</v>
      </c>
      <c r="Z27" s="56"/>
      <c r="AA27" s="25"/>
      <c r="AB27" s="25"/>
    </row>
    <row r="28" spans="2:28">
      <c r="B28" s="39">
        <v>0.48958333333333331</v>
      </c>
      <c r="C28" s="39" t="s">
        <v>194</v>
      </c>
      <c r="D28" s="40">
        <v>11</v>
      </c>
      <c r="E28" s="40">
        <v>1</v>
      </c>
      <c r="F28" s="41" t="s">
        <v>195</v>
      </c>
      <c r="G28" s="41" t="s">
        <v>148</v>
      </c>
      <c r="H28" s="41" t="s">
        <v>633</v>
      </c>
      <c r="I28" s="41">
        <v>8</v>
      </c>
      <c r="J28" s="41">
        <v>2</v>
      </c>
      <c r="K28" s="25" t="str">
        <f>VLOOKUP(J28,Key!$E$2:$F$9,2,FALSE)</f>
        <v>Work</v>
      </c>
      <c r="L28" s="41" t="s">
        <v>191</v>
      </c>
      <c r="M28" s="42" t="s">
        <v>150</v>
      </c>
      <c r="N28" s="42" t="s">
        <v>633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7">
        <v>1.5</v>
      </c>
      <c r="T28" s="47">
        <v>0.1</v>
      </c>
      <c r="U28" s="55">
        <v>3</v>
      </c>
      <c r="V28" s="55"/>
      <c r="W28" s="47"/>
      <c r="X28" s="47"/>
      <c r="Y28" s="48" t="s">
        <v>146</v>
      </c>
      <c r="Z28" s="56"/>
      <c r="AA28" s="25"/>
      <c r="AB28" s="25"/>
    </row>
    <row r="29" spans="2:28">
      <c r="B29" s="39">
        <v>0.49305555555555558</v>
      </c>
      <c r="C29" s="39" t="s">
        <v>196</v>
      </c>
      <c r="D29" s="40">
        <v>1</v>
      </c>
      <c r="E29" s="40">
        <v>3</v>
      </c>
      <c r="F29" s="41" t="s">
        <v>155</v>
      </c>
      <c r="G29" s="41" t="s">
        <v>148</v>
      </c>
      <c r="H29" s="41" t="s">
        <v>633</v>
      </c>
      <c r="I29" s="41">
        <v>2</v>
      </c>
      <c r="J29" s="41">
        <v>2</v>
      </c>
      <c r="K29" s="25" t="str">
        <f>VLOOKUP(J29,Key!$E$2:$F$9,2,FALSE)</f>
        <v>Work</v>
      </c>
      <c r="L29" s="41" t="s">
        <v>169</v>
      </c>
      <c r="M29" s="42" t="s">
        <v>150</v>
      </c>
      <c r="N29" s="42" t="s">
        <v>633</v>
      </c>
      <c r="O29" s="42">
        <v>9</v>
      </c>
      <c r="P29" s="42">
        <v>4</v>
      </c>
      <c r="Q29" s="25" t="str">
        <f>VLOOKUP(P29,Key!$E$2:$F$9,2,FALSE)</f>
        <v>Commercial</v>
      </c>
      <c r="R29" s="25" t="str">
        <f t="shared" si="0"/>
        <v>Work-Commercial</v>
      </c>
      <c r="S29" s="47">
        <v>16</v>
      </c>
      <c r="T29" s="47"/>
      <c r="U29" s="55">
        <v>3</v>
      </c>
      <c r="V29" s="55"/>
      <c r="W29" s="47"/>
      <c r="X29" s="47"/>
      <c r="Y29" s="48" t="s">
        <v>146</v>
      </c>
      <c r="Z29" s="56"/>
      <c r="AA29" s="25"/>
      <c r="AB29" s="25"/>
    </row>
    <row r="30" spans="2:28">
      <c r="B30" s="39" t="s">
        <v>197</v>
      </c>
      <c r="C30" s="39" t="s">
        <v>198</v>
      </c>
      <c r="D30" s="40">
        <v>2</v>
      </c>
      <c r="E30" s="40">
        <v>4</v>
      </c>
      <c r="F30" s="41" t="s">
        <v>199</v>
      </c>
      <c r="G30" s="41" t="s">
        <v>200</v>
      </c>
      <c r="H30" s="41" t="s">
        <v>633</v>
      </c>
      <c r="I30" s="41">
        <v>1</v>
      </c>
      <c r="J30" s="41">
        <v>1</v>
      </c>
      <c r="K30" s="25" t="str">
        <f>VLOOKUP(J30,Key!$E$2:$F$9,2,FALSE)</f>
        <v>Home</v>
      </c>
      <c r="L30" s="41" t="s">
        <v>201</v>
      </c>
      <c r="M30" s="42" t="s">
        <v>150</v>
      </c>
      <c r="N30" s="42" t="s">
        <v>633</v>
      </c>
      <c r="O30" s="42">
        <v>9</v>
      </c>
      <c r="P30" s="42">
        <v>4</v>
      </c>
      <c r="Q30" s="25" t="str">
        <f>VLOOKUP(P30,Key!$E$2:$F$9,2,FALSE)</f>
        <v>Commercial</v>
      </c>
      <c r="R30" s="25" t="str">
        <f t="shared" si="0"/>
        <v>Home-Commercial</v>
      </c>
      <c r="S30" s="47">
        <v>50</v>
      </c>
      <c r="T30" s="47">
        <v>0.8</v>
      </c>
      <c r="U30" s="55">
        <v>3</v>
      </c>
      <c r="V30" s="55"/>
      <c r="W30" s="47"/>
      <c r="X30" s="47"/>
      <c r="Y30" s="48" t="s">
        <v>146</v>
      </c>
      <c r="Z30" s="56"/>
      <c r="AA30" s="25"/>
      <c r="AB30" s="25"/>
    </row>
    <row r="31" spans="2:28">
      <c r="B31" s="39">
        <v>0.5083333333333333</v>
      </c>
      <c r="C31" s="39" t="s">
        <v>202</v>
      </c>
      <c r="D31" s="40">
        <v>2</v>
      </c>
      <c r="E31" s="40">
        <v>2</v>
      </c>
      <c r="F31" s="41" t="s">
        <v>155</v>
      </c>
      <c r="G31" s="41" t="s">
        <v>148</v>
      </c>
      <c r="H31" s="41" t="s">
        <v>633</v>
      </c>
      <c r="I31" s="41">
        <v>2</v>
      </c>
      <c r="J31" s="41">
        <v>2</v>
      </c>
      <c r="K31" s="25" t="s">
        <v>102</v>
      </c>
      <c r="L31" s="41" t="s">
        <v>164</v>
      </c>
      <c r="M31" s="42" t="s">
        <v>150</v>
      </c>
      <c r="N31" s="42" t="s">
        <v>633</v>
      </c>
      <c r="O31" s="42">
        <v>4</v>
      </c>
      <c r="P31" s="42">
        <v>3</v>
      </c>
      <c r="Q31" s="25" t="str">
        <f>VLOOKUP(P31,Key!$E$2:$F$9,2,FALSE)</f>
        <v>Study</v>
      </c>
      <c r="R31" s="25" t="str">
        <f t="shared" si="0"/>
        <v>Work-Study</v>
      </c>
      <c r="S31" s="47">
        <v>4</v>
      </c>
      <c r="T31" s="47">
        <v>0.4</v>
      </c>
      <c r="U31" s="55">
        <v>2</v>
      </c>
      <c r="V31" s="55"/>
      <c r="W31" s="47"/>
      <c r="X31" s="47"/>
      <c r="Y31" s="48" t="s">
        <v>146</v>
      </c>
      <c r="Z31" s="56"/>
      <c r="AA31" s="25"/>
      <c r="AB31" s="25"/>
    </row>
    <row r="32" spans="2:28">
      <c r="B32" s="39">
        <v>0.51388888888888895</v>
      </c>
      <c r="C32" s="39" t="s">
        <v>203</v>
      </c>
      <c r="D32" s="40">
        <v>7</v>
      </c>
      <c r="E32" s="40">
        <v>2</v>
      </c>
      <c r="F32" s="41" t="s">
        <v>155</v>
      </c>
      <c r="G32" s="41" t="s">
        <v>148</v>
      </c>
      <c r="H32" s="41" t="s">
        <v>633</v>
      </c>
      <c r="I32" s="41">
        <v>1</v>
      </c>
      <c r="J32" s="41">
        <v>1</v>
      </c>
      <c r="K32" s="25" t="str">
        <f>VLOOKUP(J32,Key!$E$2:$F$9,2,FALSE)</f>
        <v>Home</v>
      </c>
      <c r="L32" s="41" t="s">
        <v>169</v>
      </c>
      <c r="M32" s="42" t="s">
        <v>150</v>
      </c>
      <c r="N32" s="42" t="s">
        <v>633</v>
      </c>
      <c r="O32" s="42">
        <v>3</v>
      </c>
      <c r="P32" s="42">
        <v>4</v>
      </c>
      <c r="Q32" s="25" t="str">
        <f>VLOOKUP(P32,Key!$E$2:$F$9,2,FALSE)</f>
        <v>Commercial</v>
      </c>
      <c r="R32" s="25" t="str">
        <f t="shared" si="0"/>
        <v>Home-Commercial</v>
      </c>
      <c r="S32" s="47"/>
      <c r="T32" s="47">
        <v>2</v>
      </c>
      <c r="U32" s="55">
        <v>3</v>
      </c>
      <c r="V32" s="55">
        <v>11</v>
      </c>
      <c r="W32" s="47"/>
      <c r="X32" s="47"/>
      <c r="Y32" s="48" t="s">
        <v>146</v>
      </c>
      <c r="Z32" s="56"/>
      <c r="AA32" s="25"/>
      <c r="AB32" s="25"/>
    </row>
    <row r="33" spans="2:28">
      <c r="B33" s="39">
        <v>0.51666666666666672</v>
      </c>
      <c r="C33" s="39" t="s">
        <v>204</v>
      </c>
      <c r="D33" s="40">
        <v>1</v>
      </c>
      <c r="E33" s="40">
        <v>1</v>
      </c>
      <c r="F33" s="41" t="s">
        <v>155</v>
      </c>
      <c r="G33" s="41" t="s">
        <v>148</v>
      </c>
      <c r="H33" s="41" t="s">
        <v>633</v>
      </c>
      <c r="I33" s="41">
        <v>11</v>
      </c>
      <c r="J33" s="41">
        <v>6</v>
      </c>
      <c r="K33" s="25" t="str">
        <f>VLOOKUP(J33,Key!$E$2:$F$9,2,FALSE)</f>
        <v>Leisure/Social</v>
      </c>
      <c r="L33" s="41" t="s">
        <v>205</v>
      </c>
      <c r="M33" s="42" t="s">
        <v>150</v>
      </c>
      <c r="N33" s="42" t="s">
        <v>633</v>
      </c>
      <c r="O33" s="42">
        <v>1</v>
      </c>
      <c r="P33" s="42">
        <v>1</v>
      </c>
      <c r="Q33" s="25" t="str">
        <f>VLOOKUP(P33,Key!$E$2:$F$9,2,FALSE)</f>
        <v>Home</v>
      </c>
      <c r="R33" s="25" t="str">
        <f t="shared" si="0"/>
        <v>Leisure/Social-Home</v>
      </c>
      <c r="S33" s="47">
        <v>12</v>
      </c>
      <c r="T33" s="47">
        <v>0.3</v>
      </c>
      <c r="U33" s="55">
        <v>3</v>
      </c>
      <c r="V33" s="55"/>
      <c r="W33" s="47"/>
      <c r="X33" s="47"/>
      <c r="Y33" s="48" t="s">
        <v>146</v>
      </c>
      <c r="Z33" s="56"/>
      <c r="AA33" s="25"/>
      <c r="AB33" s="25"/>
    </row>
    <row r="34" spans="2:28">
      <c r="B34" s="39">
        <v>0.52777777777777779</v>
      </c>
      <c r="C34" s="39" t="s">
        <v>206</v>
      </c>
      <c r="D34" s="40">
        <v>7</v>
      </c>
      <c r="E34" s="40">
        <v>1</v>
      </c>
      <c r="F34" s="41" t="s">
        <v>155</v>
      </c>
      <c r="G34" s="41" t="s">
        <v>148</v>
      </c>
      <c r="H34" s="41" t="s">
        <v>633</v>
      </c>
      <c r="I34" s="41">
        <v>14</v>
      </c>
      <c r="J34" s="41">
        <v>2</v>
      </c>
      <c r="K34" s="25" t="str">
        <f>VLOOKUP(J34,Key!$E$2:$F$9,2,FALSE)</f>
        <v>Work</v>
      </c>
      <c r="L34" s="41" t="s">
        <v>169</v>
      </c>
      <c r="M34" s="42" t="s">
        <v>150</v>
      </c>
      <c r="N34" s="42" t="s">
        <v>633</v>
      </c>
      <c r="O34" s="42">
        <v>10</v>
      </c>
      <c r="P34" s="42">
        <v>4</v>
      </c>
      <c r="Q34" s="25" t="str">
        <f>VLOOKUP(P34,Key!$E$2:$F$9,2,FALSE)</f>
        <v>Commercial</v>
      </c>
      <c r="R34" s="25" t="str">
        <f t="shared" si="0"/>
        <v>Work-Commercial</v>
      </c>
      <c r="S34" s="47">
        <v>4</v>
      </c>
      <c r="T34" s="47">
        <v>0.2</v>
      </c>
      <c r="U34" s="55">
        <v>2</v>
      </c>
      <c r="V34" s="55">
        <v>6</v>
      </c>
      <c r="W34" s="47"/>
      <c r="X34" s="47"/>
      <c r="Y34" s="48" t="s">
        <v>146</v>
      </c>
      <c r="Z34" s="56"/>
      <c r="AA34" s="25"/>
      <c r="AB34" s="25"/>
    </row>
    <row r="35" spans="2:28">
      <c r="B35" s="39">
        <v>0.58333333333333337</v>
      </c>
      <c r="C35" s="39" t="s">
        <v>207</v>
      </c>
      <c r="D35" s="40">
        <v>11</v>
      </c>
      <c r="E35" s="40">
        <v>1</v>
      </c>
      <c r="F35" s="41" t="s">
        <v>173</v>
      </c>
      <c r="G35" s="41" t="s">
        <v>148</v>
      </c>
      <c r="H35" s="41" t="s">
        <v>633</v>
      </c>
      <c r="I35" s="41">
        <v>8</v>
      </c>
      <c r="J35" s="41">
        <v>2</v>
      </c>
      <c r="K35" s="25" t="str">
        <f>VLOOKUP(J35,Key!$E$2:$F$9,2,FALSE)</f>
        <v>Work</v>
      </c>
      <c r="L35" s="41" t="s">
        <v>169</v>
      </c>
      <c r="M35" s="42" t="s">
        <v>150</v>
      </c>
      <c r="N35" s="42" t="s">
        <v>633</v>
      </c>
      <c r="O35" s="42">
        <v>8</v>
      </c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47"/>
      <c r="T35" s="47">
        <v>0.2</v>
      </c>
      <c r="U35" s="55">
        <v>2</v>
      </c>
      <c r="V35" s="55"/>
      <c r="W35" s="47"/>
      <c r="X35" s="47"/>
      <c r="Y35" s="48" t="s">
        <v>146</v>
      </c>
      <c r="Z35" s="56"/>
      <c r="AA35" s="25"/>
      <c r="AB35" s="25"/>
    </row>
    <row r="36" spans="2:28">
      <c r="B36" s="39">
        <v>0.59375</v>
      </c>
      <c r="C36" s="39" t="s">
        <v>208</v>
      </c>
      <c r="D36" s="40">
        <v>1</v>
      </c>
      <c r="E36" s="40">
        <v>3</v>
      </c>
      <c r="F36" s="41" t="s">
        <v>155</v>
      </c>
      <c r="G36" s="41" t="s">
        <v>148</v>
      </c>
      <c r="H36" s="41" t="s">
        <v>633</v>
      </c>
      <c r="I36" s="41">
        <v>4</v>
      </c>
      <c r="J36" s="41">
        <v>3</v>
      </c>
      <c r="K36" s="25" t="str">
        <f>VLOOKUP(J36,Key!$E$2:$F$9,2,FALSE)</f>
        <v>Study</v>
      </c>
      <c r="L36" s="41" t="s">
        <v>209</v>
      </c>
      <c r="M36" s="42" t="s">
        <v>150</v>
      </c>
      <c r="N36" s="42" t="s">
        <v>633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Study-Home</v>
      </c>
      <c r="S36" s="47">
        <v>16</v>
      </c>
      <c r="T36" s="47"/>
      <c r="U36" s="55">
        <v>2</v>
      </c>
      <c r="V36" s="55"/>
      <c r="W36" s="47"/>
      <c r="X36" s="47"/>
      <c r="Y36" s="48" t="s">
        <v>146</v>
      </c>
      <c r="Z36" s="56"/>
      <c r="AA36" s="25"/>
      <c r="AB36" s="25"/>
    </row>
    <row r="37" spans="2:28">
      <c r="B37" s="39">
        <v>0.67361111111111116</v>
      </c>
      <c r="C37" s="39" t="s">
        <v>210</v>
      </c>
      <c r="D37" s="40">
        <v>11</v>
      </c>
      <c r="E37" s="40">
        <v>1</v>
      </c>
      <c r="F37" s="41" t="s">
        <v>155</v>
      </c>
      <c r="G37" s="41" t="s">
        <v>148</v>
      </c>
      <c r="H37" s="41" t="s">
        <v>633</v>
      </c>
      <c r="I37" s="41">
        <v>8</v>
      </c>
      <c r="J37" s="41">
        <v>2</v>
      </c>
      <c r="K37" s="25" t="str">
        <f>VLOOKUP(J37,Key!$E$2:$F$9,2,FALSE)</f>
        <v>Work</v>
      </c>
      <c r="L37" s="41" t="s">
        <v>211</v>
      </c>
      <c r="M37" s="42" t="s">
        <v>150</v>
      </c>
      <c r="N37" s="42" t="s">
        <v>633</v>
      </c>
      <c r="O37" s="42">
        <v>1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47">
        <v>17</v>
      </c>
      <c r="T37" s="47">
        <v>0.5</v>
      </c>
      <c r="U37" s="55">
        <v>3</v>
      </c>
      <c r="V37" s="55"/>
      <c r="W37" s="47"/>
      <c r="X37" s="47"/>
      <c r="Y37" s="48" t="s">
        <v>146</v>
      </c>
      <c r="Z37" s="56"/>
      <c r="AA37" s="25"/>
      <c r="AB37" s="25"/>
    </row>
    <row r="38" spans="2:28">
      <c r="B38" s="39">
        <v>0.68055555555555547</v>
      </c>
      <c r="C38" s="39" t="s">
        <v>212</v>
      </c>
      <c r="D38" s="40">
        <v>8</v>
      </c>
      <c r="E38" s="40">
        <v>3</v>
      </c>
      <c r="F38" s="41" t="s">
        <v>155</v>
      </c>
      <c r="G38" s="41" t="s">
        <v>148</v>
      </c>
      <c r="H38" s="41" t="s">
        <v>633</v>
      </c>
      <c r="I38" s="41">
        <v>10</v>
      </c>
      <c r="J38" s="41">
        <v>2</v>
      </c>
      <c r="K38" s="25" t="str">
        <f>VLOOKUP(J38,Key!$E$2:$F$9,2,FALSE)</f>
        <v>Work</v>
      </c>
      <c r="L38" s="41" t="s">
        <v>213</v>
      </c>
      <c r="M38" s="42" t="s">
        <v>150</v>
      </c>
      <c r="N38" s="42" t="s">
        <v>633</v>
      </c>
      <c r="O38" s="42">
        <v>15</v>
      </c>
      <c r="P38" s="42">
        <v>4</v>
      </c>
      <c r="Q38" s="25" t="str">
        <f>VLOOKUP(P38,Key!$E$2:$F$9,2,FALSE)</f>
        <v>Commercial</v>
      </c>
      <c r="R38" s="25" t="str">
        <f t="shared" ref="R38:R101" si="1">K38&amp;"-"&amp;Q38</f>
        <v>Work-Commercial</v>
      </c>
      <c r="S38" s="47"/>
      <c r="T38" s="47">
        <v>1</v>
      </c>
      <c r="U38" s="55">
        <v>2</v>
      </c>
      <c r="V38" s="55">
        <v>11</v>
      </c>
      <c r="W38" s="47"/>
      <c r="X38" s="47"/>
      <c r="Y38" s="48" t="s">
        <v>146</v>
      </c>
      <c r="Z38" s="56"/>
      <c r="AA38" s="25"/>
      <c r="AB38" s="25"/>
    </row>
    <row r="39" spans="2:28">
      <c r="B39" s="39">
        <v>0.68472222222222223</v>
      </c>
      <c r="C39" s="39" t="s">
        <v>214</v>
      </c>
      <c r="D39" s="40">
        <v>4</v>
      </c>
      <c r="E39" s="40">
        <v>6</v>
      </c>
      <c r="F39" s="41" t="s">
        <v>155</v>
      </c>
      <c r="G39" s="41" t="s">
        <v>148</v>
      </c>
      <c r="H39" s="41" t="s">
        <v>633</v>
      </c>
      <c r="I39" s="41">
        <v>6</v>
      </c>
      <c r="J39" s="41">
        <v>2</v>
      </c>
      <c r="K39" s="25" t="str">
        <f>VLOOKUP(J39,Key!$E$2:$F$9,2,FALSE)</f>
        <v>Work</v>
      </c>
      <c r="L39" s="41" t="s">
        <v>209</v>
      </c>
      <c r="M39" s="42" t="s">
        <v>150</v>
      </c>
      <c r="N39" s="42" t="s">
        <v>633</v>
      </c>
      <c r="O39" s="42">
        <v>6</v>
      </c>
      <c r="P39" s="42">
        <v>2</v>
      </c>
      <c r="Q39" s="25" t="str">
        <f>VLOOKUP(P39,Key!$E$2:$F$9,2,FALSE)</f>
        <v>Work</v>
      </c>
      <c r="R39" s="25" t="str">
        <f t="shared" si="1"/>
        <v>Work-Work</v>
      </c>
      <c r="S39" s="47">
        <v>76</v>
      </c>
      <c r="T39" s="47">
        <v>1.5</v>
      </c>
      <c r="U39" s="55">
        <v>3</v>
      </c>
      <c r="V39" s="55"/>
      <c r="W39" s="47"/>
      <c r="X39" s="47"/>
      <c r="Y39" s="48" t="s">
        <v>146</v>
      </c>
      <c r="Z39" s="56"/>
      <c r="AA39" s="25"/>
      <c r="AB39" s="25"/>
    </row>
    <row r="40" spans="2:28">
      <c r="B40" s="39">
        <v>0.6875</v>
      </c>
      <c r="C40" s="39" t="s">
        <v>215</v>
      </c>
      <c r="D40" s="40">
        <v>8</v>
      </c>
      <c r="E40" s="40">
        <v>3</v>
      </c>
      <c r="F40" s="41" t="s">
        <v>155</v>
      </c>
      <c r="G40" s="41" t="s">
        <v>148</v>
      </c>
      <c r="H40" s="41" t="s">
        <v>633</v>
      </c>
      <c r="I40" s="41">
        <v>11</v>
      </c>
      <c r="J40" s="41">
        <v>6</v>
      </c>
      <c r="K40" s="25" t="str">
        <f>VLOOKUP(J40,Key!$E$2:$F$9,2,FALSE)</f>
        <v>Leisure/Social</v>
      </c>
      <c r="L40" s="41" t="s">
        <v>216</v>
      </c>
      <c r="M40" s="42" t="s">
        <v>150</v>
      </c>
      <c r="N40" s="42" t="s">
        <v>633</v>
      </c>
      <c r="O40" s="42">
        <v>16</v>
      </c>
      <c r="P40" s="42">
        <v>8</v>
      </c>
      <c r="Q40" s="25" t="str">
        <f>VLOOKUP(P40,Key!$E$2:$F$9,2,FALSE)</f>
        <v>Others</v>
      </c>
      <c r="R40" s="25" t="str">
        <f t="shared" si="1"/>
        <v>Leisure/Social-Others</v>
      </c>
      <c r="S40" s="47">
        <v>12</v>
      </c>
      <c r="T40" s="47">
        <v>0.5</v>
      </c>
      <c r="U40" s="55">
        <v>4</v>
      </c>
      <c r="V40" s="55">
        <v>11</v>
      </c>
      <c r="W40" s="47"/>
      <c r="X40" s="47"/>
      <c r="Y40" s="48" t="s">
        <v>146</v>
      </c>
      <c r="Z40" s="56"/>
      <c r="AA40" s="25"/>
      <c r="AB40" s="25"/>
    </row>
    <row r="41" spans="2:28">
      <c r="B41" s="39">
        <v>0.69097222222222221</v>
      </c>
      <c r="C41" s="39" t="s">
        <v>217</v>
      </c>
      <c r="D41" s="40">
        <v>1</v>
      </c>
      <c r="E41" s="40">
        <v>2</v>
      </c>
      <c r="F41" s="41" t="s">
        <v>155</v>
      </c>
      <c r="G41" s="41" t="s">
        <v>148</v>
      </c>
      <c r="H41" s="41" t="s">
        <v>633</v>
      </c>
      <c r="I41" s="41">
        <v>4</v>
      </c>
      <c r="J41" s="41">
        <v>3</v>
      </c>
      <c r="K41" s="25" t="str">
        <f>VLOOKUP(J41,Key!$E$2:$F$9,2,FALSE)</f>
        <v>Study</v>
      </c>
      <c r="L41" s="41" t="s">
        <v>165</v>
      </c>
      <c r="M41" s="42" t="s">
        <v>150</v>
      </c>
      <c r="N41" s="42" t="s">
        <v>633</v>
      </c>
      <c r="O41" s="42">
        <v>1</v>
      </c>
      <c r="P41" s="42">
        <v>1</v>
      </c>
      <c r="Q41" s="25" t="str">
        <f>VLOOKUP(P41,Key!$E$2:$F$9,2,FALSE)</f>
        <v>Home</v>
      </c>
      <c r="R41" s="25" t="str">
        <f t="shared" si="1"/>
        <v>Study-Home</v>
      </c>
      <c r="S41" s="47">
        <v>4</v>
      </c>
      <c r="T41" s="47">
        <v>0.2</v>
      </c>
      <c r="U41" s="55">
        <v>2</v>
      </c>
      <c r="V41" s="55"/>
      <c r="W41" s="47"/>
      <c r="X41" s="47"/>
      <c r="Y41" s="48" t="s">
        <v>146</v>
      </c>
      <c r="Z41" s="56"/>
      <c r="AA41" s="25"/>
      <c r="AB41" s="25"/>
    </row>
    <row r="42" spans="2:28">
      <c r="B42" s="39">
        <v>0.69652777777777775</v>
      </c>
      <c r="C42" s="39" t="s">
        <v>218</v>
      </c>
      <c r="D42" s="40">
        <v>1</v>
      </c>
      <c r="E42" s="40">
        <v>4</v>
      </c>
      <c r="F42" s="41" t="s">
        <v>155</v>
      </c>
      <c r="G42" s="41" t="s">
        <v>148</v>
      </c>
      <c r="H42" s="41" t="s">
        <v>633</v>
      </c>
      <c r="I42" s="41">
        <v>2</v>
      </c>
      <c r="J42" s="41">
        <v>2</v>
      </c>
      <c r="K42" s="25" t="str">
        <f>VLOOKUP(J42,Key!$E$2:$F$9,2,FALSE)</f>
        <v>Work</v>
      </c>
      <c r="L42" s="41" t="s">
        <v>169</v>
      </c>
      <c r="M42" s="42" t="s">
        <v>150</v>
      </c>
      <c r="N42" s="42" t="s">
        <v>633</v>
      </c>
      <c r="O42" s="42">
        <v>1</v>
      </c>
      <c r="P42" s="42">
        <v>1</v>
      </c>
      <c r="Q42" s="25" t="str">
        <f>VLOOKUP(P42,Key!$E$2:$F$9,2,FALSE)</f>
        <v>Home</v>
      </c>
      <c r="R42" s="25" t="str">
        <f t="shared" si="1"/>
        <v>Work-Home</v>
      </c>
      <c r="S42" s="47">
        <v>8</v>
      </c>
      <c r="T42" s="47">
        <v>0.3</v>
      </c>
      <c r="U42" s="55">
        <v>2</v>
      </c>
      <c r="V42" s="55"/>
      <c r="W42" s="47"/>
      <c r="X42" s="47"/>
      <c r="Y42" s="48" t="s">
        <v>146</v>
      </c>
      <c r="Z42" s="56"/>
      <c r="AA42" s="25"/>
      <c r="AB42" s="25"/>
    </row>
    <row r="43" spans="2:28">
      <c r="B43" s="39">
        <v>0.70972222222222225</v>
      </c>
      <c r="C43" s="39" t="s">
        <v>219</v>
      </c>
      <c r="D43" s="40">
        <v>3</v>
      </c>
      <c r="E43" s="40">
        <v>1</v>
      </c>
      <c r="F43" s="41" t="s">
        <v>155</v>
      </c>
      <c r="G43" s="41" t="s">
        <v>148</v>
      </c>
      <c r="H43" s="41" t="s">
        <v>633</v>
      </c>
      <c r="I43" s="41">
        <v>9</v>
      </c>
      <c r="J43" s="41">
        <v>2</v>
      </c>
      <c r="K43" s="25" t="str">
        <f>VLOOKUP(J43,Key!$E$2:$F$9,2,FALSE)</f>
        <v>Work</v>
      </c>
      <c r="L43" s="41" t="s">
        <v>220</v>
      </c>
      <c r="M43" s="42" t="s">
        <v>150</v>
      </c>
      <c r="N43" s="42" t="s">
        <v>633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1"/>
        <v>Work-Home</v>
      </c>
      <c r="S43" s="47"/>
      <c r="T43" s="47">
        <v>1</v>
      </c>
      <c r="U43" s="55">
        <v>2</v>
      </c>
      <c r="V43" s="55"/>
      <c r="W43" s="47"/>
      <c r="X43" s="47"/>
      <c r="Y43" s="48" t="s">
        <v>146</v>
      </c>
      <c r="Z43" s="56"/>
      <c r="AA43" s="25"/>
      <c r="AB43" s="25"/>
    </row>
    <row r="44" spans="2:28">
      <c r="B44" s="39">
        <v>0.71111111111111114</v>
      </c>
      <c r="C44" s="39" t="s">
        <v>221</v>
      </c>
      <c r="D44" s="40">
        <v>11</v>
      </c>
      <c r="E44" s="40">
        <v>1</v>
      </c>
      <c r="F44" s="41" t="s">
        <v>155</v>
      </c>
      <c r="G44" s="41" t="s">
        <v>148</v>
      </c>
      <c r="H44" s="41" t="s">
        <v>633</v>
      </c>
      <c r="I44" s="41">
        <v>8</v>
      </c>
      <c r="J44" s="41">
        <v>2</v>
      </c>
      <c r="K44" s="25" t="str">
        <f>VLOOKUP(J44,Key!$E$2:$F$9,2,FALSE)</f>
        <v>Work</v>
      </c>
      <c r="L44" s="41" t="s">
        <v>169</v>
      </c>
      <c r="M44" s="42" t="s">
        <v>150</v>
      </c>
      <c r="N44" s="42" t="s">
        <v>633</v>
      </c>
      <c r="O44" s="42">
        <v>8</v>
      </c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47"/>
      <c r="T44" s="47">
        <v>0.5</v>
      </c>
      <c r="U44" s="55">
        <v>3</v>
      </c>
      <c r="V44" s="55"/>
      <c r="W44" s="47"/>
      <c r="X44" s="47"/>
      <c r="Y44" s="48" t="s">
        <v>146</v>
      </c>
      <c r="Z44" s="56"/>
      <c r="AA44" s="25"/>
      <c r="AB44" s="25"/>
    </row>
    <row r="45" spans="2:28">
      <c r="B45" s="39">
        <v>0.71527777777777779</v>
      </c>
      <c r="C45" s="39" t="s">
        <v>222</v>
      </c>
      <c r="D45" s="40">
        <v>11</v>
      </c>
      <c r="E45" s="40">
        <v>1</v>
      </c>
      <c r="F45" s="41" t="s">
        <v>223</v>
      </c>
      <c r="G45" s="41" t="s">
        <v>148</v>
      </c>
      <c r="H45" s="41" t="s">
        <v>633</v>
      </c>
      <c r="I45" s="41">
        <v>4</v>
      </c>
      <c r="J45" s="41">
        <v>3</v>
      </c>
      <c r="K45" s="25" t="str">
        <f>VLOOKUP(J45,Key!$E$2:$F$9,2,FALSE)</f>
        <v>Study</v>
      </c>
      <c r="L45" s="41" t="s">
        <v>169</v>
      </c>
      <c r="M45" s="42" t="s">
        <v>150</v>
      </c>
      <c r="N45" s="42" t="s">
        <v>633</v>
      </c>
      <c r="O45" s="42">
        <v>1</v>
      </c>
      <c r="P45" s="42">
        <v>1</v>
      </c>
      <c r="Q45" s="25" t="str">
        <f>VLOOKUP(P45,Key!$E$2:$F$9,2,FALSE)</f>
        <v>Home</v>
      </c>
      <c r="R45" s="25" t="str">
        <f t="shared" si="1"/>
        <v>Study-Home</v>
      </c>
      <c r="S45" s="47">
        <v>12</v>
      </c>
      <c r="T45" s="47">
        <v>0.5</v>
      </c>
      <c r="U45" s="55">
        <v>2</v>
      </c>
      <c r="V45" s="55"/>
      <c r="W45" s="47"/>
      <c r="X45" s="47"/>
      <c r="Y45" s="48" t="s">
        <v>146</v>
      </c>
      <c r="Z45" s="56"/>
      <c r="AA45" s="25"/>
      <c r="AB45" s="25"/>
    </row>
    <row r="46" spans="2:28">
      <c r="B46" s="39">
        <v>0.71875</v>
      </c>
      <c r="C46" s="39" t="s">
        <v>224</v>
      </c>
      <c r="D46" s="40">
        <v>11</v>
      </c>
      <c r="E46" s="40">
        <v>1</v>
      </c>
      <c r="F46" s="41" t="s">
        <v>155</v>
      </c>
      <c r="G46" s="41" t="s">
        <v>148</v>
      </c>
      <c r="H46" s="41" t="s">
        <v>633</v>
      </c>
      <c r="I46" s="41">
        <v>8</v>
      </c>
      <c r="J46" s="41">
        <v>2</v>
      </c>
      <c r="K46" s="25" t="str">
        <f>VLOOKUP(J46,Key!$E$2:$F$9,2,FALSE)</f>
        <v>Work</v>
      </c>
      <c r="L46" s="41" t="s">
        <v>225</v>
      </c>
      <c r="M46" s="42" t="s">
        <v>150</v>
      </c>
      <c r="N46" s="42" t="s">
        <v>633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1"/>
        <v>Work-Home</v>
      </c>
      <c r="S46" s="47"/>
      <c r="T46" s="47">
        <v>1</v>
      </c>
      <c r="U46" s="55">
        <v>4</v>
      </c>
      <c r="V46" s="55"/>
      <c r="W46" s="47"/>
      <c r="X46" s="47"/>
      <c r="Y46" s="48" t="s">
        <v>146</v>
      </c>
      <c r="Z46" s="56"/>
      <c r="AA46" s="25"/>
      <c r="AB46" s="25"/>
    </row>
    <row r="47" spans="2:28">
      <c r="B47" s="39">
        <v>0.72430555555555554</v>
      </c>
      <c r="C47" s="39" t="s">
        <v>226</v>
      </c>
      <c r="D47" s="40">
        <v>7</v>
      </c>
      <c r="E47" s="40">
        <v>2</v>
      </c>
      <c r="F47" s="41" t="s">
        <v>155</v>
      </c>
      <c r="G47" s="41" t="s">
        <v>148</v>
      </c>
      <c r="H47" s="41" t="s">
        <v>633</v>
      </c>
      <c r="I47" s="41">
        <v>14</v>
      </c>
      <c r="J47" s="41">
        <v>2</v>
      </c>
      <c r="K47" s="25" t="str">
        <f>VLOOKUP(J47,Key!$E$2:$F$9,2,FALSE)</f>
        <v>Work</v>
      </c>
      <c r="L47" s="41" t="s">
        <v>169</v>
      </c>
      <c r="M47" s="42" t="s">
        <v>150</v>
      </c>
      <c r="N47" s="42" t="s">
        <v>633</v>
      </c>
      <c r="O47" s="42">
        <v>10</v>
      </c>
      <c r="P47" s="42">
        <v>4</v>
      </c>
      <c r="Q47" s="25" t="str">
        <f>VLOOKUP(P47,Key!$E$2:$F$9,2,FALSE)</f>
        <v>Commercial</v>
      </c>
      <c r="R47" s="25" t="str">
        <f t="shared" si="1"/>
        <v>Work-Commercial</v>
      </c>
      <c r="S47" s="47"/>
      <c r="T47" s="47">
        <v>0.3</v>
      </c>
      <c r="U47" s="55">
        <v>2</v>
      </c>
      <c r="V47" s="55">
        <v>6</v>
      </c>
      <c r="W47" s="47">
        <v>1.5</v>
      </c>
      <c r="X47" s="47"/>
      <c r="Y47" s="48" t="s">
        <v>146</v>
      </c>
      <c r="Z47" s="56"/>
      <c r="AA47" s="25"/>
      <c r="AB47" s="25"/>
    </row>
    <row r="48" spans="2:28">
      <c r="B48" s="39">
        <v>0.73888888888888893</v>
      </c>
      <c r="C48" s="39" t="s">
        <v>227</v>
      </c>
      <c r="D48" s="40">
        <v>3</v>
      </c>
      <c r="E48" s="40">
        <v>2</v>
      </c>
      <c r="F48" s="41" t="s">
        <v>155</v>
      </c>
      <c r="G48" s="41" t="s">
        <v>148</v>
      </c>
      <c r="H48" s="41" t="s">
        <v>633</v>
      </c>
      <c r="I48" s="41">
        <v>14</v>
      </c>
      <c r="J48" s="41">
        <v>4</v>
      </c>
      <c r="K48" s="25" t="str">
        <f>VLOOKUP(J48,Key!$E$2:$F$9,2,FALSE)</f>
        <v>Commercial</v>
      </c>
      <c r="L48" s="41" t="s">
        <v>169</v>
      </c>
      <c r="M48" s="42" t="s">
        <v>150</v>
      </c>
      <c r="N48" s="42" t="s">
        <v>633</v>
      </c>
      <c r="O48" s="42">
        <v>1</v>
      </c>
      <c r="P48" s="42">
        <v>1</v>
      </c>
      <c r="Q48" s="25" t="str">
        <f>VLOOKUP(P48,Key!$E$2:$F$9,2,FALSE)</f>
        <v>Home</v>
      </c>
      <c r="R48" s="25" t="str">
        <f t="shared" si="1"/>
        <v>Commercial-Home</v>
      </c>
      <c r="S48" s="47">
        <v>8</v>
      </c>
      <c r="T48" s="47">
        <v>0.5</v>
      </c>
      <c r="U48" s="55">
        <v>2</v>
      </c>
      <c r="V48" s="55"/>
      <c r="W48" s="47"/>
      <c r="X48" s="47"/>
      <c r="Y48" s="48" t="s">
        <v>146</v>
      </c>
      <c r="Z48" s="56"/>
      <c r="AA48" s="25"/>
      <c r="AB48" s="25"/>
    </row>
    <row r="49" spans="2:28">
      <c r="B49" s="39">
        <v>0.29305555555555557</v>
      </c>
      <c r="C49" s="39" t="s">
        <v>228</v>
      </c>
      <c r="D49" s="40">
        <v>2</v>
      </c>
      <c r="E49" s="40">
        <v>1</v>
      </c>
      <c r="F49" s="41" t="s">
        <v>155</v>
      </c>
      <c r="G49" s="41" t="s">
        <v>148</v>
      </c>
      <c r="H49" s="41" t="s">
        <v>633</v>
      </c>
      <c r="I49" s="41">
        <v>4</v>
      </c>
      <c r="J49" s="41">
        <v>3</v>
      </c>
      <c r="K49" s="25" t="str">
        <f>VLOOKUP(J49,Key!$E$2:$F$9,2,FALSE)</f>
        <v>Study</v>
      </c>
      <c r="L49" s="41" t="s">
        <v>169</v>
      </c>
      <c r="M49" s="42" t="s">
        <v>150</v>
      </c>
      <c r="N49" s="42" t="s">
        <v>633</v>
      </c>
      <c r="O49" s="42">
        <v>4</v>
      </c>
      <c r="P49" s="42">
        <v>1</v>
      </c>
      <c r="Q49" s="25" t="str">
        <f>VLOOKUP(P49,Key!$E$2:$F$9,2,FALSE)</f>
        <v>Home</v>
      </c>
      <c r="R49" s="25" t="str">
        <f t="shared" si="1"/>
        <v>Study-Home</v>
      </c>
      <c r="S49" s="47">
        <v>9</v>
      </c>
      <c r="T49" s="47">
        <v>0.5</v>
      </c>
      <c r="U49" s="55">
        <v>1</v>
      </c>
      <c r="V49" s="55"/>
      <c r="W49" s="47"/>
      <c r="X49" s="47"/>
      <c r="Y49" s="48" t="s">
        <v>146</v>
      </c>
      <c r="Z49" s="56"/>
      <c r="AA49" s="25"/>
      <c r="AB49" s="25"/>
    </row>
    <row r="50" spans="2:28">
      <c r="B50" s="39">
        <v>0.2986111111111111</v>
      </c>
      <c r="C50" s="39" t="s">
        <v>229</v>
      </c>
      <c r="D50" s="40">
        <v>1</v>
      </c>
      <c r="E50" s="40">
        <v>2</v>
      </c>
      <c r="F50" s="41" t="s">
        <v>230</v>
      </c>
      <c r="G50" s="41" t="s">
        <v>150</v>
      </c>
      <c r="H50" s="41" t="s">
        <v>633</v>
      </c>
      <c r="I50" s="41">
        <v>4</v>
      </c>
      <c r="J50" s="41">
        <v>3</v>
      </c>
      <c r="K50" s="25" t="str">
        <f>VLOOKUP(J50,Key!$E$2:$F$9,2,FALSE)</f>
        <v>Study</v>
      </c>
      <c r="L50" s="41" t="s">
        <v>191</v>
      </c>
      <c r="M50" s="42" t="s">
        <v>150</v>
      </c>
      <c r="N50" s="42" t="s">
        <v>633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Study-Home</v>
      </c>
      <c r="S50" s="47">
        <v>4</v>
      </c>
      <c r="T50" s="47">
        <v>0.5</v>
      </c>
      <c r="U50" s="55">
        <v>1</v>
      </c>
      <c r="V50" s="55"/>
      <c r="W50" s="47"/>
      <c r="X50" s="47"/>
      <c r="Y50" s="48" t="s">
        <v>146</v>
      </c>
      <c r="Z50" s="56"/>
      <c r="AA50" s="25"/>
      <c r="AB50" s="25"/>
    </row>
    <row r="51" spans="2:28">
      <c r="B51" s="39">
        <v>0.35347222222222219</v>
      </c>
      <c r="C51" s="39" t="s">
        <v>231</v>
      </c>
      <c r="D51" s="40">
        <v>1</v>
      </c>
      <c r="E51" s="40">
        <v>2</v>
      </c>
      <c r="F51" s="41" t="s">
        <v>173</v>
      </c>
      <c r="G51" s="41" t="s">
        <v>148</v>
      </c>
      <c r="H51" s="41" t="s">
        <v>633</v>
      </c>
      <c r="I51" s="41">
        <v>1</v>
      </c>
      <c r="J51" s="41">
        <v>1</v>
      </c>
      <c r="K51" s="25" t="str">
        <f>VLOOKUP(J51,Key!$E$2:$F$9,2,FALSE)</f>
        <v>Home</v>
      </c>
      <c r="L51" s="41" t="s">
        <v>232</v>
      </c>
      <c r="M51" s="42" t="s">
        <v>150</v>
      </c>
      <c r="N51" s="42" t="s">
        <v>633</v>
      </c>
      <c r="O51" s="42">
        <v>9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47">
        <v>4</v>
      </c>
      <c r="T51" s="47">
        <v>0.8</v>
      </c>
      <c r="U51" s="55">
        <v>1</v>
      </c>
      <c r="V51" s="55"/>
      <c r="W51" s="47"/>
      <c r="X51" s="47"/>
      <c r="Y51" s="48" t="s">
        <v>146</v>
      </c>
      <c r="Z51" s="56"/>
      <c r="AA51" s="25"/>
      <c r="AB51" s="25"/>
    </row>
    <row r="52" spans="2:28">
      <c r="B52" s="39">
        <v>0.36319444444444443</v>
      </c>
      <c r="C52" s="39" t="s">
        <v>233</v>
      </c>
      <c r="D52" s="40">
        <v>1</v>
      </c>
      <c r="E52" s="40">
        <v>1</v>
      </c>
      <c r="F52" s="41" t="s">
        <v>234</v>
      </c>
      <c r="G52" s="41" t="s">
        <v>235</v>
      </c>
      <c r="H52" s="41" t="s">
        <v>633</v>
      </c>
      <c r="I52" s="41">
        <v>1</v>
      </c>
      <c r="J52" s="41">
        <v>1</v>
      </c>
      <c r="K52" s="25" t="str">
        <f>VLOOKUP(J52,Key!$E$2:$F$9,2,FALSE)</f>
        <v>Home</v>
      </c>
      <c r="L52" s="41" t="s">
        <v>171</v>
      </c>
      <c r="M52" s="42" t="s">
        <v>150</v>
      </c>
      <c r="N52" s="42" t="s">
        <v>633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47">
        <v>300</v>
      </c>
      <c r="T52" s="47">
        <v>3</v>
      </c>
      <c r="U52" s="55">
        <v>1</v>
      </c>
      <c r="V52" s="55"/>
      <c r="W52" s="47"/>
      <c r="X52" s="47"/>
      <c r="Y52" s="48" t="s">
        <v>146</v>
      </c>
      <c r="Z52" s="56"/>
      <c r="AA52" s="25"/>
      <c r="AB52" s="25"/>
    </row>
    <row r="53" spans="2:28">
      <c r="B53" s="39">
        <v>0.36458333333333331</v>
      </c>
      <c r="C53" s="39" t="s">
        <v>236</v>
      </c>
      <c r="D53" s="40">
        <v>7</v>
      </c>
      <c r="E53" s="40">
        <v>1</v>
      </c>
      <c r="F53" s="41" t="s">
        <v>155</v>
      </c>
      <c r="G53" s="41" t="s">
        <v>148</v>
      </c>
      <c r="H53" s="41" t="s">
        <v>633</v>
      </c>
      <c r="I53" s="41">
        <v>1</v>
      </c>
      <c r="J53" s="41">
        <v>1</v>
      </c>
      <c r="K53" s="25" t="str">
        <f>VLOOKUP(J53,Key!$E$2:$F$9,2,FALSE)</f>
        <v>Home</v>
      </c>
      <c r="L53" s="41" t="s">
        <v>169</v>
      </c>
      <c r="M53" s="42" t="s">
        <v>150</v>
      </c>
      <c r="N53" s="42" t="s">
        <v>633</v>
      </c>
      <c r="O53" s="42">
        <v>16</v>
      </c>
      <c r="P53" s="42">
        <v>8</v>
      </c>
      <c r="Q53" s="25" t="str">
        <f>VLOOKUP(P53,Key!$E$2:$F$9,2,FALSE)</f>
        <v>Others</v>
      </c>
      <c r="R53" s="25" t="str">
        <f t="shared" si="1"/>
        <v>Home-Others</v>
      </c>
      <c r="S53" s="47">
        <v>6</v>
      </c>
      <c r="T53" s="47">
        <v>0.3</v>
      </c>
      <c r="U53" s="55">
        <v>2</v>
      </c>
      <c r="V53" s="55"/>
      <c r="W53" s="47"/>
      <c r="X53" s="47"/>
      <c r="Y53" s="48" t="s">
        <v>146</v>
      </c>
      <c r="Z53" s="56"/>
      <c r="AA53" s="25"/>
      <c r="AB53" s="25"/>
    </row>
    <row r="54" spans="2:28">
      <c r="B54" s="39">
        <v>0.37083333333333335</v>
      </c>
      <c r="C54" s="39" t="s">
        <v>237</v>
      </c>
      <c r="D54" s="40">
        <v>7</v>
      </c>
      <c r="E54" s="40">
        <v>2</v>
      </c>
      <c r="F54" s="41" t="s">
        <v>155</v>
      </c>
      <c r="G54" s="41" t="s">
        <v>148</v>
      </c>
      <c r="H54" s="41" t="s">
        <v>633</v>
      </c>
      <c r="I54" s="41">
        <v>3</v>
      </c>
      <c r="J54" s="41">
        <v>2</v>
      </c>
      <c r="K54" s="25" t="str">
        <f>VLOOKUP(J54,Key!$E$2:$F$9,2,FALSE)</f>
        <v>Work</v>
      </c>
      <c r="L54" s="41" t="s">
        <v>169</v>
      </c>
      <c r="M54" s="42" t="s">
        <v>150</v>
      </c>
      <c r="N54" s="42" t="s">
        <v>633</v>
      </c>
      <c r="O54" s="42">
        <v>9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47">
        <v>15</v>
      </c>
      <c r="T54" s="47">
        <v>0.3</v>
      </c>
      <c r="U54" s="55">
        <v>1</v>
      </c>
      <c r="V54" s="55"/>
      <c r="W54" s="47"/>
      <c r="X54" s="47"/>
      <c r="Y54" s="48" t="s">
        <v>146</v>
      </c>
      <c r="Z54" s="56"/>
      <c r="AA54" s="25"/>
      <c r="AB54" s="25"/>
    </row>
    <row r="55" spans="2:28">
      <c r="B55" s="39">
        <v>0.37986111111111115</v>
      </c>
      <c r="C55" s="39" t="s">
        <v>238</v>
      </c>
      <c r="D55" s="40">
        <v>11</v>
      </c>
      <c r="E55" s="40">
        <v>1</v>
      </c>
      <c r="F55" s="41" t="s">
        <v>195</v>
      </c>
      <c r="G55" s="41" t="s">
        <v>148</v>
      </c>
      <c r="H55" s="41" t="s">
        <v>633</v>
      </c>
      <c r="I55" s="41">
        <v>5</v>
      </c>
      <c r="J55" s="41">
        <v>7</v>
      </c>
      <c r="K55" s="25" t="str">
        <f>VLOOKUP(J55,Key!$E$2:$F$9,2,FALSE)</f>
        <v>Hospital</v>
      </c>
      <c r="L55" s="41" t="s">
        <v>169</v>
      </c>
      <c r="M55" s="42" t="s">
        <v>150</v>
      </c>
      <c r="N55" s="42" t="s">
        <v>633</v>
      </c>
      <c r="O55" s="42">
        <v>1</v>
      </c>
      <c r="P55" s="42">
        <v>1</v>
      </c>
      <c r="Q55" s="25" t="str">
        <f>VLOOKUP(P55,Key!$E$2:$F$9,2,FALSE)</f>
        <v>Home</v>
      </c>
      <c r="R55" s="25" t="str">
        <f t="shared" si="1"/>
        <v>Hospital-Home</v>
      </c>
      <c r="S55" s="47">
        <v>3</v>
      </c>
      <c r="T55" s="47">
        <v>1</v>
      </c>
      <c r="U55" s="55">
        <v>1</v>
      </c>
      <c r="V55" s="55"/>
      <c r="W55" s="47"/>
      <c r="X55" s="47"/>
      <c r="Y55" s="48" t="s">
        <v>146</v>
      </c>
      <c r="Z55" s="56"/>
      <c r="AA55" s="25"/>
      <c r="AB55" s="25"/>
    </row>
    <row r="56" spans="2:28">
      <c r="B56" s="39">
        <v>0.38125000000000003</v>
      </c>
      <c r="C56" s="39" t="s">
        <v>239</v>
      </c>
      <c r="D56" s="40">
        <v>1</v>
      </c>
      <c r="E56" s="40">
        <v>1</v>
      </c>
      <c r="F56" s="41" t="s">
        <v>155</v>
      </c>
      <c r="G56" s="41" t="s">
        <v>148</v>
      </c>
      <c r="H56" s="41" t="s">
        <v>633</v>
      </c>
      <c r="I56" s="41">
        <v>2</v>
      </c>
      <c r="J56" s="41">
        <v>2</v>
      </c>
      <c r="K56" s="25" t="str">
        <f>VLOOKUP(J56,Key!$E$2:$F$9,2,FALSE)</f>
        <v>Work</v>
      </c>
      <c r="L56" s="41" t="s">
        <v>213</v>
      </c>
      <c r="M56" s="42" t="s">
        <v>150</v>
      </c>
      <c r="N56" s="42" t="s">
        <v>633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1"/>
        <v>Work-Home</v>
      </c>
      <c r="S56" s="47">
        <v>3</v>
      </c>
      <c r="T56" s="47">
        <v>0.3</v>
      </c>
      <c r="U56" s="55">
        <v>1</v>
      </c>
      <c r="V56" s="55"/>
      <c r="W56" s="47"/>
      <c r="X56" s="47"/>
      <c r="Y56" s="48" t="s">
        <v>146</v>
      </c>
      <c r="Z56" s="56"/>
      <c r="AA56" s="25"/>
      <c r="AB56" s="25"/>
    </row>
    <row r="57" spans="2:28">
      <c r="B57" s="39">
        <v>0.38194444444444442</v>
      </c>
      <c r="C57" s="39" t="s">
        <v>240</v>
      </c>
      <c r="D57" s="40">
        <v>1</v>
      </c>
      <c r="E57" s="40">
        <v>1</v>
      </c>
      <c r="F57" s="41" t="s">
        <v>155</v>
      </c>
      <c r="G57" s="41" t="s">
        <v>148</v>
      </c>
      <c r="H57" s="41" t="s">
        <v>633</v>
      </c>
      <c r="I57" s="41">
        <v>1</v>
      </c>
      <c r="J57" s="41">
        <v>1</v>
      </c>
      <c r="K57" s="25" t="str">
        <f>VLOOKUP(J57,Key!$E$2:$F$9,2,FALSE)</f>
        <v>Home</v>
      </c>
      <c r="L57" s="41" t="s">
        <v>241</v>
      </c>
      <c r="M57" s="42" t="s">
        <v>150</v>
      </c>
      <c r="N57" s="42" t="s">
        <v>633</v>
      </c>
      <c r="O57" s="42">
        <v>4</v>
      </c>
      <c r="P57" s="42">
        <v>3</v>
      </c>
      <c r="Q57" s="25" t="str">
        <f>VLOOKUP(P57,Key!$E$2:$F$9,2,FALSE)</f>
        <v>Study</v>
      </c>
      <c r="R57" s="25" t="str">
        <f t="shared" si="1"/>
        <v>Home-Study</v>
      </c>
      <c r="S57" s="47">
        <v>20</v>
      </c>
      <c r="T57" s="47">
        <v>0.5</v>
      </c>
      <c r="U57" s="55">
        <v>2</v>
      </c>
      <c r="V57" s="55"/>
      <c r="W57" s="47"/>
      <c r="X57" s="47"/>
      <c r="Y57" s="48" t="s">
        <v>146</v>
      </c>
      <c r="Z57" s="56"/>
      <c r="AA57" s="25"/>
      <c r="AB57" s="25"/>
    </row>
    <row r="58" spans="2:28">
      <c r="B58" s="39">
        <v>0.39097222222222222</v>
      </c>
      <c r="C58" s="39" t="s">
        <v>242</v>
      </c>
      <c r="D58" s="40">
        <v>1</v>
      </c>
      <c r="E58" s="40">
        <v>3</v>
      </c>
      <c r="F58" s="41" t="s">
        <v>155</v>
      </c>
      <c r="G58" s="41" t="s">
        <v>148</v>
      </c>
      <c r="H58" s="41" t="s">
        <v>633</v>
      </c>
      <c r="I58" s="41">
        <v>1</v>
      </c>
      <c r="J58" s="41">
        <v>1</v>
      </c>
      <c r="K58" s="25" t="str">
        <f>VLOOKUP(J58,Key!$E$2:$F$9,2,FALSE)</f>
        <v>Home</v>
      </c>
      <c r="L58" s="41" t="s">
        <v>169</v>
      </c>
      <c r="M58" s="42" t="s">
        <v>150</v>
      </c>
      <c r="N58" s="42" t="s">
        <v>633</v>
      </c>
      <c r="O58" s="42">
        <v>9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47">
        <v>7</v>
      </c>
      <c r="T58" s="47">
        <v>0.2</v>
      </c>
      <c r="U58" s="55">
        <v>2</v>
      </c>
      <c r="V58" s="55"/>
      <c r="W58" s="47"/>
      <c r="X58" s="47"/>
      <c r="Y58" s="48" t="s">
        <v>146</v>
      </c>
      <c r="Z58" s="56"/>
      <c r="AA58" s="25"/>
      <c r="AB58" s="25"/>
    </row>
    <row r="59" spans="2:28">
      <c r="B59" s="39">
        <v>0.39513888888888887</v>
      </c>
      <c r="C59" s="39" t="s">
        <v>243</v>
      </c>
      <c r="D59" s="40">
        <v>8</v>
      </c>
      <c r="E59" s="40">
        <v>2</v>
      </c>
      <c r="F59" s="41" t="s">
        <v>155</v>
      </c>
      <c r="G59" s="41" t="s">
        <v>148</v>
      </c>
      <c r="H59" s="41" t="s">
        <v>633</v>
      </c>
      <c r="I59" s="41">
        <v>3</v>
      </c>
      <c r="J59" s="41">
        <v>2</v>
      </c>
      <c r="K59" s="25" t="str">
        <f>VLOOKUP(J59,Key!$E$2:$F$9,2,FALSE)</f>
        <v>Work</v>
      </c>
      <c r="L59" s="41" t="s">
        <v>244</v>
      </c>
      <c r="M59" s="42" t="s">
        <v>150</v>
      </c>
      <c r="N59" s="42" t="s">
        <v>633</v>
      </c>
      <c r="O59" s="42">
        <v>11</v>
      </c>
      <c r="P59" s="42">
        <v>4</v>
      </c>
      <c r="Q59" s="25" t="str">
        <f>VLOOKUP(P59,Key!$E$2:$F$9,2,FALSE)</f>
        <v>Commercial</v>
      </c>
      <c r="R59" s="25" t="str">
        <f t="shared" si="1"/>
        <v>Work-Commercial</v>
      </c>
      <c r="S59" s="47">
        <v>4</v>
      </c>
      <c r="T59" s="47">
        <v>17</v>
      </c>
      <c r="U59" s="55">
        <v>3</v>
      </c>
      <c r="V59" s="55">
        <v>10</v>
      </c>
      <c r="W59" s="47">
        <v>6</v>
      </c>
      <c r="X59" s="47">
        <v>80000</v>
      </c>
      <c r="Y59" s="48" t="s">
        <v>146</v>
      </c>
      <c r="Z59" s="56"/>
      <c r="AA59" s="25"/>
      <c r="AB59" s="25"/>
    </row>
    <row r="60" spans="2:28">
      <c r="B60" s="39">
        <v>0.39930555555555558</v>
      </c>
      <c r="C60" s="39" t="s">
        <v>245</v>
      </c>
      <c r="D60" s="40">
        <v>7</v>
      </c>
      <c r="E60" s="40">
        <v>1</v>
      </c>
      <c r="F60" s="41" t="s">
        <v>155</v>
      </c>
      <c r="G60" s="41" t="s">
        <v>148</v>
      </c>
      <c r="H60" s="41" t="s">
        <v>633</v>
      </c>
      <c r="I60" s="41">
        <v>3</v>
      </c>
      <c r="J60" s="41">
        <v>2</v>
      </c>
      <c r="K60" s="25" t="str">
        <f>VLOOKUP(J60,Key!$E$2:$F$9,2,FALSE)</f>
        <v>Work</v>
      </c>
      <c r="L60" s="41" t="s">
        <v>246</v>
      </c>
      <c r="M60" s="42" t="s">
        <v>150</v>
      </c>
      <c r="N60" s="42" t="s">
        <v>633</v>
      </c>
      <c r="O60" s="42">
        <v>3</v>
      </c>
      <c r="P60" s="42">
        <v>4</v>
      </c>
      <c r="Q60" s="25" t="str">
        <f>VLOOKUP(P60,Key!$E$2:$F$9,2,FALSE)</f>
        <v>Commercial</v>
      </c>
      <c r="R60" s="25" t="str">
        <f t="shared" si="1"/>
        <v>Work-Commercial</v>
      </c>
      <c r="S60" s="47">
        <v>4</v>
      </c>
      <c r="T60" s="47">
        <v>0.2</v>
      </c>
      <c r="U60" s="55">
        <v>1</v>
      </c>
      <c r="V60" s="55">
        <v>4</v>
      </c>
      <c r="W60" s="47">
        <v>0.5</v>
      </c>
      <c r="X60" s="47">
        <v>100000</v>
      </c>
      <c r="Y60" s="48" t="s">
        <v>146</v>
      </c>
      <c r="Z60" s="56"/>
      <c r="AA60" s="25"/>
      <c r="AB60" s="25"/>
    </row>
    <row r="61" spans="2:28">
      <c r="B61" s="39">
        <v>0.40208333333333335</v>
      </c>
      <c r="C61" s="39" t="s">
        <v>247</v>
      </c>
      <c r="D61" s="40">
        <v>2</v>
      </c>
      <c r="E61" s="40">
        <v>2</v>
      </c>
      <c r="F61" s="41" t="s">
        <v>248</v>
      </c>
      <c r="G61" s="41" t="s">
        <v>150</v>
      </c>
      <c r="H61" s="41" t="s">
        <v>633</v>
      </c>
      <c r="I61" s="41">
        <v>4</v>
      </c>
      <c r="J61" s="41">
        <v>3</v>
      </c>
      <c r="K61" s="25" t="str">
        <f>VLOOKUP(J61,Key!$E$2:$F$9,2,FALSE)</f>
        <v>Study</v>
      </c>
      <c r="L61" s="41" t="s">
        <v>248</v>
      </c>
      <c r="M61" s="42" t="s">
        <v>150</v>
      </c>
      <c r="N61" s="42" t="s">
        <v>633</v>
      </c>
      <c r="O61" s="42">
        <v>4</v>
      </c>
      <c r="P61" s="42">
        <v>3</v>
      </c>
      <c r="Q61" s="25" t="str">
        <f>VLOOKUP(P61,Key!$E$2:$F$9,2,FALSE)</f>
        <v>Study</v>
      </c>
      <c r="R61" s="25" t="str">
        <f t="shared" si="1"/>
        <v>Study-Study</v>
      </c>
      <c r="S61" s="47">
        <v>4</v>
      </c>
      <c r="T61" s="47">
        <v>1</v>
      </c>
      <c r="U61" s="55">
        <v>4</v>
      </c>
      <c r="V61" s="55"/>
      <c r="W61" s="47"/>
      <c r="X61" s="47"/>
      <c r="Y61" s="48" t="s">
        <v>146</v>
      </c>
      <c r="Z61" s="56"/>
      <c r="AA61" s="25"/>
      <c r="AB61" s="25"/>
    </row>
    <row r="62" spans="2:28">
      <c r="B62" s="39">
        <v>0.41666666666666669</v>
      </c>
      <c r="C62" s="39" t="s">
        <v>249</v>
      </c>
      <c r="D62" s="40">
        <v>11</v>
      </c>
      <c r="E62" s="40">
        <v>1</v>
      </c>
      <c r="F62" s="41" t="s">
        <v>155</v>
      </c>
      <c r="G62" s="41" t="s">
        <v>148</v>
      </c>
      <c r="H62" s="41" t="s">
        <v>633</v>
      </c>
      <c r="I62" s="41">
        <v>8</v>
      </c>
      <c r="J62" s="41">
        <v>2</v>
      </c>
      <c r="K62" s="25" t="str">
        <f>VLOOKUP(J62,Key!$E$2:$F$9,2,FALSE)</f>
        <v>Work</v>
      </c>
      <c r="L62" s="41" t="s">
        <v>250</v>
      </c>
      <c r="M62" s="42" t="s">
        <v>150</v>
      </c>
      <c r="N62" s="42" t="s">
        <v>633</v>
      </c>
      <c r="O62" s="42">
        <v>8</v>
      </c>
      <c r="P62" s="42">
        <v>2</v>
      </c>
      <c r="Q62" s="25" t="str">
        <f>VLOOKUP(P62,Key!$E$2:$F$9,2,FALSE)</f>
        <v>Work</v>
      </c>
      <c r="R62" s="25" t="str">
        <f t="shared" si="1"/>
        <v>Work-Work</v>
      </c>
      <c r="S62" s="47">
        <v>2</v>
      </c>
      <c r="T62" s="47">
        <v>0.3</v>
      </c>
      <c r="U62" s="55">
        <v>2</v>
      </c>
      <c r="V62" s="55"/>
      <c r="W62" s="47"/>
      <c r="X62" s="47"/>
      <c r="Y62" s="48" t="s">
        <v>146</v>
      </c>
      <c r="Z62" s="56"/>
      <c r="AA62" s="25"/>
      <c r="AB62" s="25"/>
    </row>
    <row r="63" spans="2:28">
      <c r="B63" s="39">
        <v>0.44097222222222227</v>
      </c>
      <c r="C63" s="39" t="s">
        <v>251</v>
      </c>
      <c r="D63" s="40">
        <v>7</v>
      </c>
      <c r="E63" s="40">
        <v>3</v>
      </c>
      <c r="F63" s="41" t="s">
        <v>155</v>
      </c>
      <c r="G63" s="41" t="s">
        <v>148</v>
      </c>
      <c r="H63" s="41" t="s">
        <v>633</v>
      </c>
      <c r="I63" s="41">
        <v>7</v>
      </c>
      <c r="J63" s="41">
        <v>2</v>
      </c>
      <c r="K63" s="25" t="str">
        <f>VLOOKUP(J63,Key!$E$2:$F$9,2,FALSE)</f>
        <v>Work</v>
      </c>
      <c r="L63" s="41" t="s">
        <v>213</v>
      </c>
      <c r="M63" s="42" t="s">
        <v>150</v>
      </c>
      <c r="N63" s="42" t="s">
        <v>633</v>
      </c>
      <c r="O63" s="42">
        <v>3</v>
      </c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47">
        <v>20</v>
      </c>
      <c r="T63" s="47">
        <v>1</v>
      </c>
      <c r="U63" s="55">
        <v>4</v>
      </c>
      <c r="V63" s="55"/>
      <c r="W63" s="47"/>
      <c r="X63" s="47"/>
      <c r="Y63" s="48" t="s">
        <v>146</v>
      </c>
      <c r="Z63" s="56"/>
      <c r="AA63" s="25"/>
      <c r="AB63" s="25"/>
    </row>
    <row r="64" spans="2:28">
      <c r="B64" s="39">
        <v>0.45069444444444445</v>
      </c>
      <c r="C64" s="39" t="s">
        <v>252</v>
      </c>
      <c r="D64" s="40">
        <v>1</v>
      </c>
      <c r="E64" s="40">
        <v>1</v>
      </c>
      <c r="F64" s="41" t="s">
        <v>195</v>
      </c>
      <c r="G64" s="41" t="s">
        <v>148</v>
      </c>
      <c r="H64" s="41" t="s">
        <v>633</v>
      </c>
      <c r="I64" s="41">
        <v>1</v>
      </c>
      <c r="J64" s="41">
        <v>1</v>
      </c>
      <c r="K64" s="25" t="str">
        <f>VLOOKUP(J64,Key!$E$2:$F$9,2,FALSE)</f>
        <v>Home</v>
      </c>
      <c r="L64" s="41" t="s">
        <v>201</v>
      </c>
      <c r="M64" s="42" t="s">
        <v>150</v>
      </c>
      <c r="N64" s="42" t="s">
        <v>633</v>
      </c>
      <c r="O64" s="42">
        <v>9</v>
      </c>
      <c r="P64" s="42">
        <v>4</v>
      </c>
      <c r="Q64" s="25" t="str">
        <f>VLOOKUP(P64,Key!$E$2:$F$9,2,FALSE)</f>
        <v>Commercial</v>
      </c>
      <c r="R64" s="25" t="str">
        <f t="shared" si="1"/>
        <v>Home-Commercial</v>
      </c>
      <c r="S64" s="47">
        <v>16</v>
      </c>
      <c r="T64" s="47">
        <v>0.3</v>
      </c>
      <c r="U64" s="55">
        <v>3</v>
      </c>
      <c r="V64" s="55"/>
      <c r="W64" s="47"/>
      <c r="X64" s="47"/>
      <c r="Y64" s="48" t="s">
        <v>146</v>
      </c>
      <c r="Z64" s="56"/>
      <c r="AA64" s="25"/>
      <c r="AB64" s="25"/>
    </row>
    <row r="65" spans="2:28">
      <c r="B65" s="39">
        <v>0.45833333333333331</v>
      </c>
      <c r="C65" s="39" t="s">
        <v>253</v>
      </c>
      <c r="D65" s="40">
        <v>1</v>
      </c>
      <c r="E65" s="40">
        <v>3</v>
      </c>
      <c r="F65" s="41" t="s">
        <v>155</v>
      </c>
      <c r="G65" s="41" t="s">
        <v>148</v>
      </c>
      <c r="H65" s="41" t="s">
        <v>633</v>
      </c>
      <c r="I65" s="41">
        <v>2</v>
      </c>
      <c r="J65" s="41">
        <v>2</v>
      </c>
      <c r="K65" s="25" t="str">
        <f>VLOOKUP(J65,Key!$E$2:$F$9,2,FALSE)</f>
        <v>Work</v>
      </c>
      <c r="L65" s="41" t="s">
        <v>162</v>
      </c>
      <c r="M65" s="42" t="s">
        <v>150</v>
      </c>
      <c r="N65" s="42" t="s">
        <v>633</v>
      </c>
      <c r="O65" s="42">
        <v>1</v>
      </c>
      <c r="P65" s="42">
        <v>1</v>
      </c>
      <c r="Q65" s="25" t="str">
        <f>VLOOKUP(P65,Key!$E$2:$F$9,2,FALSE)</f>
        <v>Home</v>
      </c>
      <c r="R65" s="25" t="str">
        <f t="shared" si="1"/>
        <v>Work-Home</v>
      </c>
      <c r="S65" s="47">
        <v>40</v>
      </c>
      <c r="T65" s="47">
        <v>2</v>
      </c>
      <c r="U65" s="55">
        <v>1</v>
      </c>
      <c r="V65" s="55"/>
      <c r="W65" s="47"/>
      <c r="X65" s="47"/>
      <c r="Y65" s="48" t="s">
        <v>146</v>
      </c>
      <c r="Z65" s="56"/>
      <c r="AA65" s="25"/>
      <c r="AB65" s="25"/>
    </row>
    <row r="66" spans="2:28">
      <c r="B66" s="39">
        <v>0.46388888888888885</v>
      </c>
      <c r="C66" s="39" t="s">
        <v>254</v>
      </c>
      <c r="D66" s="40">
        <v>7</v>
      </c>
      <c r="E66" s="40">
        <v>4</v>
      </c>
      <c r="F66" s="41" t="s">
        <v>155</v>
      </c>
      <c r="G66" s="41" t="s">
        <v>148</v>
      </c>
      <c r="H66" s="41" t="s">
        <v>633</v>
      </c>
      <c r="I66" s="41">
        <v>10</v>
      </c>
      <c r="J66" s="41">
        <v>2</v>
      </c>
      <c r="K66" s="25" t="str">
        <f>VLOOKUP(J66,Key!$E$2:$F$9,2,FALSE)</f>
        <v>Work</v>
      </c>
      <c r="L66" s="41" t="s">
        <v>169</v>
      </c>
      <c r="M66" s="42" t="s">
        <v>150</v>
      </c>
      <c r="N66" s="42" t="s">
        <v>633</v>
      </c>
      <c r="O66" s="42">
        <v>3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7">
        <v>9</v>
      </c>
      <c r="T66" s="47">
        <v>1</v>
      </c>
      <c r="U66" s="55">
        <v>1</v>
      </c>
      <c r="V66" s="55">
        <v>11</v>
      </c>
      <c r="W66" s="47"/>
      <c r="X66" s="47"/>
      <c r="Y66" s="48" t="s">
        <v>146</v>
      </c>
      <c r="Z66" s="56"/>
      <c r="AA66" s="25"/>
      <c r="AB66" s="25"/>
    </row>
    <row r="67" spans="2:28">
      <c r="B67" s="39">
        <v>0.4694444444444445</v>
      </c>
      <c r="C67" s="39" t="s">
        <v>255</v>
      </c>
      <c r="D67" s="40">
        <v>8</v>
      </c>
      <c r="E67" s="40">
        <v>2</v>
      </c>
      <c r="F67" s="41" t="s">
        <v>155</v>
      </c>
      <c r="G67" s="41" t="s">
        <v>148</v>
      </c>
      <c r="H67" s="41" t="s">
        <v>633</v>
      </c>
      <c r="I67" s="41">
        <v>3</v>
      </c>
      <c r="J67" s="41">
        <v>2</v>
      </c>
      <c r="K67" s="25" t="str">
        <f>VLOOKUP(J67,Key!$E$2:$F$9,2,FALSE)</f>
        <v>Work</v>
      </c>
      <c r="L67" s="41" t="s">
        <v>256</v>
      </c>
      <c r="M67" s="42" t="s">
        <v>150</v>
      </c>
      <c r="N67" s="42" t="s">
        <v>633</v>
      </c>
      <c r="O67" s="42">
        <v>11</v>
      </c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47">
        <v>40</v>
      </c>
      <c r="T67" s="47">
        <v>0.3</v>
      </c>
      <c r="U67" s="55">
        <v>1</v>
      </c>
      <c r="V67" s="55">
        <v>10</v>
      </c>
      <c r="W67" s="47">
        <v>3</v>
      </c>
      <c r="X67" s="47">
        <v>4500000</v>
      </c>
      <c r="Y67" s="48" t="s">
        <v>146</v>
      </c>
      <c r="Z67" s="56"/>
      <c r="AA67" s="25"/>
      <c r="AB67" s="25"/>
    </row>
    <row r="68" spans="2:28">
      <c r="B68" s="39">
        <v>0.47500000000000003</v>
      </c>
      <c r="C68" s="39" t="s">
        <v>257</v>
      </c>
      <c r="D68" s="40">
        <v>8</v>
      </c>
      <c r="E68" s="40">
        <v>2</v>
      </c>
      <c r="F68" s="41" t="s">
        <v>155</v>
      </c>
      <c r="G68" s="41" t="s">
        <v>148</v>
      </c>
      <c r="H68" s="41" t="s">
        <v>633</v>
      </c>
      <c r="I68" s="41">
        <v>3</v>
      </c>
      <c r="J68" s="41">
        <v>2</v>
      </c>
      <c r="K68" s="25" t="str">
        <f>VLOOKUP(J68,Key!$E$2:$F$9,2,FALSE)</f>
        <v>Work</v>
      </c>
      <c r="L68" s="41" t="s">
        <v>258</v>
      </c>
      <c r="M68" s="42" t="s">
        <v>150</v>
      </c>
      <c r="N68" s="42" t="s">
        <v>633</v>
      </c>
      <c r="O68" s="42">
        <v>11</v>
      </c>
      <c r="P68" s="42">
        <v>4</v>
      </c>
      <c r="Q68" s="25" t="str">
        <f>VLOOKUP(P68,Key!$E$2:$F$9,2,FALSE)</f>
        <v>Commercial</v>
      </c>
      <c r="R68" s="25" t="str">
        <f t="shared" si="1"/>
        <v>Work-Commercial</v>
      </c>
      <c r="S68" s="47">
        <v>120</v>
      </c>
      <c r="T68" s="47">
        <v>6</v>
      </c>
      <c r="U68" s="55">
        <v>4</v>
      </c>
      <c r="V68" s="55">
        <v>10</v>
      </c>
      <c r="W68" s="47">
        <v>3.5</v>
      </c>
      <c r="X68" s="47">
        <v>2500000</v>
      </c>
      <c r="Y68" s="48" t="s">
        <v>146</v>
      </c>
      <c r="Z68" s="56"/>
      <c r="AA68" s="25"/>
      <c r="AB68" s="25"/>
    </row>
    <row r="69" spans="2:28">
      <c r="B69" s="39">
        <v>0.47916666666666669</v>
      </c>
      <c r="C69" s="39" t="s">
        <v>259</v>
      </c>
      <c r="D69" s="40">
        <v>7</v>
      </c>
      <c r="E69" s="40">
        <v>2</v>
      </c>
      <c r="F69" s="41" t="s">
        <v>260</v>
      </c>
      <c r="G69" s="41" t="s">
        <v>150</v>
      </c>
      <c r="H69" s="41" t="s">
        <v>633</v>
      </c>
      <c r="I69" s="41">
        <v>3</v>
      </c>
      <c r="J69" s="41">
        <v>2</v>
      </c>
      <c r="K69" s="25" t="str">
        <f>VLOOKUP(J69,Key!$E$2:$F$9,2,FALSE)</f>
        <v>Work</v>
      </c>
      <c r="L69" s="41" t="s">
        <v>169</v>
      </c>
      <c r="M69" s="42" t="s">
        <v>150</v>
      </c>
      <c r="N69" s="42" t="s">
        <v>633</v>
      </c>
      <c r="O69" s="42">
        <v>3</v>
      </c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47">
        <v>3</v>
      </c>
      <c r="T69" s="47">
        <v>0.2</v>
      </c>
      <c r="U69" s="55">
        <v>2</v>
      </c>
      <c r="V69" s="55"/>
      <c r="W69" s="47"/>
      <c r="X69" s="47"/>
      <c r="Y69" s="48" t="s">
        <v>146</v>
      </c>
      <c r="Z69" s="56"/>
      <c r="AA69" s="25"/>
      <c r="AB69" s="25"/>
    </row>
    <row r="70" spans="2:28">
      <c r="B70" s="39">
        <v>0.48194444444444445</v>
      </c>
      <c r="C70" s="39" t="s">
        <v>261</v>
      </c>
      <c r="D70" s="40">
        <v>1</v>
      </c>
      <c r="E70" s="40">
        <v>2</v>
      </c>
      <c r="F70" s="41" t="s">
        <v>155</v>
      </c>
      <c r="G70" s="41" t="s">
        <v>148</v>
      </c>
      <c r="H70" s="41" t="s">
        <v>633</v>
      </c>
      <c r="I70" s="41">
        <v>2</v>
      </c>
      <c r="J70" s="41">
        <v>2</v>
      </c>
      <c r="K70" s="25" t="str">
        <f>VLOOKUP(J70,Key!$E$2:$F$9,2,FALSE)</f>
        <v>Work</v>
      </c>
      <c r="L70" s="41" t="s">
        <v>262</v>
      </c>
      <c r="M70" s="42" t="s">
        <v>150</v>
      </c>
      <c r="N70" s="42" t="s">
        <v>633</v>
      </c>
      <c r="O70" s="42">
        <v>9</v>
      </c>
      <c r="P70" s="42">
        <v>4</v>
      </c>
      <c r="Q70" s="25" t="str">
        <f>VLOOKUP(P70,Key!$E$2:$F$9,2,FALSE)</f>
        <v>Commercial</v>
      </c>
      <c r="R70" s="25" t="str">
        <f t="shared" si="1"/>
        <v>Work-Commercial</v>
      </c>
      <c r="S70" s="47">
        <v>20</v>
      </c>
      <c r="T70" s="47">
        <v>0.5</v>
      </c>
      <c r="U70" s="55">
        <v>3</v>
      </c>
      <c r="V70" s="55"/>
      <c r="W70" s="47"/>
      <c r="X70" s="47"/>
      <c r="Y70" s="48" t="s">
        <v>146</v>
      </c>
      <c r="Z70" s="56"/>
      <c r="AA70" s="25"/>
      <c r="AB70" s="25"/>
    </row>
    <row r="71" spans="2:28">
      <c r="B71" s="39">
        <v>0.48472222222222222</v>
      </c>
      <c r="C71" s="39" t="s">
        <v>263</v>
      </c>
      <c r="D71" s="40">
        <v>11</v>
      </c>
      <c r="E71" s="40">
        <v>1</v>
      </c>
      <c r="F71" s="41" t="s">
        <v>264</v>
      </c>
      <c r="G71" s="41" t="s">
        <v>148</v>
      </c>
      <c r="H71" s="41" t="s">
        <v>633</v>
      </c>
      <c r="I71" s="41">
        <v>2</v>
      </c>
      <c r="J71" s="41">
        <v>2</v>
      </c>
      <c r="K71" s="25" t="str">
        <f>VLOOKUP(J71,Key!$E$2:$F$9,2,FALSE)</f>
        <v>Work</v>
      </c>
      <c r="L71" s="41" t="s">
        <v>169</v>
      </c>
      <c r="M71" s="42" t="s">
        <v>150</v>
      </c>
      <c r="N71" s="42" t="s">
        <v>633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47">
        <v>10</v>
      </c>
      <c r="T71" s="47">
        <v>0.4</v>
      </c>
      <c r="U71" s="55">
        <v>3</v>
      </c>
      <c r="V71" s="55"/>
      <c r="W71" s="47"/>
      <c r="X71" s="47"/>
      <c r="Y71" s="48" t="s">
        <v>146</v>
      </c>
      <c r="Z71" s="56"/>
      <c r="AA71" s="25"/>
      <c r="AB71" s="25"/>
    </row>
    <row r="72" spans="2:28">
      <c r="B72" s="39">
        <v>0.48819444444444443</v>
      </c>
      <c r="C72" s="39" t="s">
        <v>265</v>
      </c>
      <c r="D72" s="40">
        <v>5</v>
      </c>
      <c r="E72" s="40">
        <v>6</v>
      </c>
      <c r="F72" s="41" t="s">
        <v>155</v>
      </c>
      <c r="G72" s="41" t="s">
        <v>148</v>
      </c>
      <c r="H72" s="41" t="s">
        <v>633</v>
      </c>
      <c r="I72" s="41">
        <v>6</v>
      </c>
      <c r="J72" s="41">
        <v>2</v>
      </c>
      <c r="K72" s="25" t="str">
        <f>VLOOKUP(J72,Key!$E$2:$F$9,2,FALSE)</f>
        <v>Work</v>
      </c>
      <c r="L72" s="41" t="s">
        <v>171</v>
      </c>
      <c r="M72" s="42" t="s">
        <v>150</v>
      </c>
      <c r="N72" s="42" t="s">
        <v>633</v>
      </c>
      <c r="O72" s="42">
        <v>4</v>
      </c>
      <c r="P72" s="42">
        <v>3</v>
      </c>
      <c r="Q72" s="25" t="str">
        <f>VLOOKUP(P72,Key!$E$2:$F$9,2,FALSE)</f>
        <v>Study</v>
      </c>
      <c r="R72" s="25" t="str">
        <f t="shared" si="1"/>
        <v>Work-Study</v>
      </c>
      <c r="S72" s="47">
        <v>20</v>
      </c>
      <c r="T72" s="47">
        <v>0.7</v>
      </c>
      <c r="U72" s="55">
        <v>3</v>
      </c>
      <c r="V72" s="55"/>
      <c r="W72" s="47"/>
      <c r="X72" s="47"/>
      <c r="Y72" s="48" t="s">
        <v>146</v>
      </c>
      <c r="Z72" s="56"/>
      <c r="AA72" s="25"/>
      <c r="AB72" s="25"/>
    </row>
    <row r="73" spans="2:28">
      <c r="B73" s="39">
        <v>0.49236111111111108</v>
      </c>
      <c r="C73" s="39" t="s">
        <v>266</v>
      </c>
      <c r="D73" s="40">
        <v>11</v>
      </c>
      <c r="E73" s="40">
        <v>1</v>
      </c>
      <c r="F73" s="41" t="s">
        <v>195</v>
      </c>
      <c r="G73" s="41" t="s">
        <v>148</v>
      </c>
      <c r="H73" s="41" t="s">
        <v>633</v>
      </c>
      <c r="I73" s="41">
        <v>8</v>
      </c>
      <c r="J73" s="41">
        <v>2</v>
      </c>
      <c r="K73" s="25" t="str">
        <f>VLOOKUP(J73,Key!$E$2:$F$9,2,FALSE)</f>
        <v>Work</v>
      </c>
      <c r="L73" s="41" t="s">
        <v>267</v>
      </c>
      <c r="M73" s="42" t="s">
        <v>150</v>
      </c>
      <c r="N73" s="42" t="s">
        <v>633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Work-Home</v>
      </c>
      <c r="S73" s="47">
        <v>5</v>
      </c>
      <c r="T73" s="47">
        <v>0.1</v>
      </c>
      <c r="U73" s="55">
        <v>3</v>
      </c>
      <c r="V73" s="55"/>
      <c r="W73" s="47"/>
      <c r="X73" s="47"/>
      <c r="Y73" s="48" t="s">
        <v>146</v>
      </c>
      <c r="Z73" s="56"/>
      <c r="AA73" s="25"/>
      <c r="AB73" s="25"/>
    </row>
    <row r="74" spans="2:28">
      <c r="B74" s="39">
        <v>0.49513888888888885</v>
      </c>
      <c r="C74" s="39" t="s">
        <v>268</v>
      </c>
      <c r="D74" s="40">
        <v>7</v>
      </c>
      <c r="E74" s="40">
        <v>3</v>
      </c>
      <c r="F74" s="41" t="s">
        <v>155</v>
      </c>
      <c r="G74" s="41" t="s">
        <v>148</v>
      </c>
      <c r="H74" s="41" t="s">
        <v>633</v>
      </c>
      <c r="I74" s="41">
        <v>3</v>
      </c>
      <c r="J74" s="41">
        <v>2</v>
      </c>
      <c r="K74" s="25" t="str">
        <f>VLOOKUP(J74,Key!$E$2:$F$9,2,FALSE)</f>
        <v>Work</v>
      </c>
      <c r="L74" s="41" t="s">
        <v>258</v>
      </c>
      <c r="M74" s="42" t="s">
        <v>150</v>
      </c>
      <c r="N74" s="42" t="s">
        <v>633</v>
      </c>
      <c r="O74" s="42">
        <v>11</v>
      </c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47">
        <v>120</v>
      </c>
      <c r="T74" s="47">
        <v>4</v>
      </c>
      <c r="U74" s="55">
        <v>1</v>
      </c>
      <c r="V74" s="55">
        <v>10</v>
      </c>
      <c r="W74" s="47">
        <v>1.5</v>
      </c>
      <c r="X74" s="47">
        <v>3000000</v>
      </c>
      <c r="Y74" s="48" t="s">
        <v>146</v>
      </c>
      <c r="Z74" s="56"/>
      <c r="AA74" s="25"/>
      <c r="AB74" s="25"/>
    </row>
    <row r="75" spans="2:28">
      <c r="B75" s="39">
        <v>0.50694444444444442</v>
      </c>
      <c r="C75" s="39" t="s">
        <v>269</v>
      </c>
      <c r="D75" s="40">
        <v>11</v>
      </c>
      <c r="E75" s="40">
        <v>1</v>
      </c>
      <c r="F75" s="41" t="s">
        <v>230</v>
      </c>
      <c r="G75" s="41" t="s">
        <v>150</v>
      </c>
      <c r="H75" s="41" t="s">
        <v>633</v>
      </c>
      <c r="I75" s="41">
        <v>8</v>
      </c>
      <c r="J75" s="41">
        <v>2</v>
      </c>
      <c r="K75" s="25" t="str">
        <f>VLOOKUP(J75,Key!$E$2:$F$9,2,FALSE)</f>
        <v>Work</v>
      </c>
      <c r="L75" s="41" t="s">
        <v>230</v>
      </c>
      <c r="M75" s="42" t="s">
        <v>150</v>
      </c>
      <c r="N75" s="42" t="s">
        <v>633</v>
      </c>
      <c r="O75" s="42">
        <v>8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7">
        <v>1</v>
      </c>
      <c r="T75" s="47">
        <v>0</v>
      </c>
      <c r="U75" s="55">
        <v>2</v>
      </c>
      <c r="V75" s="55"/>
      <c r="W75" s="47"/>
      <c r="X75" s="47"/>
      <c r="Y75" s="48" t="s">
        <v>146</v>
      </c>
      <c r="Z75" s="56"/>
      <c r="AA75" s="25"/>
      <c r="AB75" s="25"/>
    </row>
    <row r="76" spans="2:28">
      <c r="B76" s="39" t="s">
        <v>634</v>
      </c>
      <c r="C76" s="39" t="s">
        <v>270</v>
      </c>
      <c r="D76" s="40">
        <v>11</v>
      </c>
      <c r="E76" s="40">
        <v>1</v>
      </c>
      <c r="F76" s="41" t="s">
        <v>155</v>
      </c>
      <c r="G76" s="41" t="s">
        <v>148</v>
      </c>
      <c r="H76" s="41" t="s">
        <v>633</v>
      </c>
      <c r="I76" s="41">
        <v>1</v>
      </c>
      <c r="J76" s="41">
        <v>1</v>
      </c>
      <c r="K76" s="25" t="str">
        <f>VLOOKUP(J76,Key!$E$2:$F$9,2,FALSE)</f>
        <v>Home</v>
      </c>
      <c r="L76" s="41" t="s">
        <v>213</v>
      </c>
      <c r="M76" s="42" t="s">
        <v>150</v>
      </c>
      <c r="N76" s="42" t="s">
        <v>633</v>
      </c>
      <c r="O76" s="42">
        <v>16</v>
      </c>
      <c r="P76" s="42">
        <v>8</v>
      </c>
      <c r="Q76" s="25" t="str">
        <f>VLOOKUP(P76,Key!$E$2:$F$9,2,FALSE)</f>
        <v>Others</v>
      </c>
      <c r="R76" s="25" t="str">
        <f t="shared" si="1"/>
        <v>Home-Others</v>
      </c>
      <c r="S76" s="47">
        <v>24</v>
      </c>
      <c r="T76" s="47">
        <v>0.7</v>
      </c>
      <c r="U76" s="55">
        <v>2</v>
      </c>
      <c r="V76" s="55"/>
      <c r="W76" s="47"/>
      <c r="X76" s="47"/>
      <c r="Y76" s="48" t="s">
        <v>146</v>
      </c>
      <c r="Z76" s="56"/>
      <c r="AA76" s="25"/>
      <c r="AB76" s="25"/>
    </row>
    <row r="77" spans="2:28">
      <c r="B77" s="39">
        <v>0.52777777777777779</v>
      </c>
      <c r="C77" s="39" t="s">
        <v>271</v>
      </c>
      <c r="D77" s="40">
        <v>8</v>
      </c>
      <c r="E77" s="40">
        <v>2</v>
      </c>
      <c r="F77" s="41" t="s">
        <v>155</v>
      </c>
      <c r="G77" s="41" t="s">
        <v>148</v>
      </c>
      <c r="H77" s="41" t="s">
        <v>633</v>
      </c>
      <c r="I77" s="41">
        <v>3</v>
      </c>
      <c r="J77" s="41">
        <v>2</v>
      </c>
      <c r="K77" s="25" t="str">
        <f>VLOOKUP(J77,Key!$E$2:$F$9,2,FALSE)</f>
        <v>Work</v>
      </c>
      <c r="L77" s="41" t="s">
        <v>178</v>
      </c>
      <c r="M77" s="42" t="s">
        <v>179</v>
      </c>
      <c r="N77" s="42" t="s">
        <v>633</v>
      </c>
      <c r="O77" s="42">
        <v>3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7">
        <v>300</v>
      </c>
      <c r="T77" s="47">
        <v>6</v>
      </c>
      <c r="U77" s="55">
        <v>3</v>
      </c>
      <c r="V77" s="55">
        <v>3</v>
      </c>
      <c r="W77" s="47">
        <v>3.5</v>
      </c>
      <c r="X77" s="47">
        <v>1000000</v>
      </c>
      <c r="Y77" s="48" t="s">
        <v>146</v>
      </c>
      <c r="Z77" s="56"/>
      <c r="AA77" s="25"/>
      <c r="AB77" s="25"/>
    </row>
    <row r="78" spans="2:28">
      <c r="B78" s="39">
        <v>0.53472222222222221</v>
      </c>
      <c r="C78" s="39" t="s">
        <v>272</v>
      </c>
      <c r="D78" s="40">
        <v>4</v>
      </c>
      <c r="E78" s="40">
        <v>8</v>
      </c>
      <c r="F78" s="41" t="s">
        <v>155</v>
      </c>
      <c r="G78" s="41" t="s">
        <v>148</v>
      </c>
      <c r="H78" s="41" t="s">
        <v>633</v>
      </c>
      <c r="I78" s="41">
        <v>5</v>
      </c>
      <c r="J78" s="41">
        <v>7</v>
      </c>
      <c r="K78" s="25" t="str">
        <f>VLOOKUP(J78,Key!$E$2:$F$9,2,FALSE)</f>
        <v>Hospital</v>
      </c>
      <c r="L78" s="41" t="s">
        <v>209</v>
      </c>
      <c r="M78" s="42" t="s">
        <v>150</v>
      </c>
      <c r="N78" s="42" t="s">
        <v>633</v>
      </c>
      <c r="O78" s="42">
        <v>5</v>
      </c>
      <c r="P78" s="42">
        <v>7</v>
      </c>
      <c r="Q78" s="25" t="str">
        <f>VLOOKUP(P78,Key!$E$2:$F$9,2,FALSE)</f>
        <v>Hospital</v>
      </c>
      <c r="R78" s="25" t="str">
        <f t="shared" si="1"/>
        <v>Hospital-Hospital</v>
      </c>
      <c r="S78" s="47">
        <v>40</v>
      </c>
      <c r="T78" s="47">
        <v>2</v>
      </c>
      <c r="U78" s="55">
        <v>3</v>
      </c>
      <c r="V78" s="55"/>
      <c r="W78" s="47"/>
      <c r="X78" s="47"/>
      <c r="Y78" s="48" t="s">
        <v>146</v>
      </c>
      <c r="Z78" s="56"/>
      <c r="AA78" s="25"/>
      <c r="AB78" s="25"/>
    </row>
    <row r="79" spans="2:28">
      <c r="B79" s="39">
        <v>0.67013888888888884</v>
      </c>
      <c r="C79" s="39" t="s">
        <v>273</v>
      </c>
      <c r="D79" s="40">
        <v>4</v>
      </c>
      <c r="E79" s="40">
        <v>6</v>
      </c>
      <c r="F79" s="41" t="s">
        <v>155</v>
      </c>
      <c r="G79" s="41" t="s">
        <v>148</v>
      </c>
      <c r="H79" s="41" t="s">
        <v>633</v>
      </c>
      <c r="I79" s="41">
        <v>6</v>
      </c>
      <c r="J79" s="41">
        <v>2</v>
      </c>
      <c r="K79" s="25" t="str">
        <f>VLOOKUP(J79,Key!$E$2:$F$9,2,FALSE)</f>
        <v>Work</v>
      </c>
      <c r="L79" s="41" t="s">
        <v>213</v>
      </c>
      <c r="M79" s="42" t="s">
        <v>150</v>
      </c>
      <c r="N79" s="42" t="s">
        <v>633</v>
      </c>
      <c r="O79" s="42">
        <v>6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7">
        <v>24</v>
      </c>
      <c r="T79" s="47">
        <v>1</v>
      </c>
      <c r="U79" s="55"/>
      <c r="V79" s="55"/>
      <c r="W79" s="47"/>
      <c r="X79" s="47"/>
      <c r="Y79" s="48" t="s">
        <v>146</v>
      </c>
      <c r="Z79" s="56"/>
      <c r="AA79" s="25"/>
      <c r="AB79" s="25"/>
    </row>
    <row r="80" spans="2:28">
      <c r="B80" s="39">
        <v>0.67361111111111116</v>
      </c>
      <c r="C80" s="39" t="s">
        <v>274</v>
      </c>
      <c r="D80" s="40">
        <v>1</v>
      </c>
      <c r="E80" s="40">
        <v>4</v>
      </c>
      <c r="F80" s="41" t="s">
        <v>155</v>
      </c>
      <c r="G80" s="41" t="s">
        <v>148</v>
      </c>
      <c r="H80" s="41" t="s">
        <v>633</v>
      </c>
      <c r="I80" s="41">
        <v>1</v>
      </c>
      <c r="J80" s="41">
        <v>1</v>
      </c>
      <c r="K80" s="25" t="str">
        <f>VLOOKUP(J80,Key!$E$2:$F$9,2,FALSE)</f>
        <v>Home</v>
      </c>
      <c r="L80" s="41" t="s">
        <v>275</v>
      </c>
      <c r="M80" s="42" t="s">
        <v>150</v>
      </c>
      <c r="N80" s="42" t="s">
        <v>633</v>
      </c>
      <c r="O80" s="42">
        <v>1</v>
      </c>
      <c r="P80" s="42">
        <v>1</v>
      </c>
      <c r="Q80" s="25" t="str">
        <f>VLOOKUP(P80,Key!$E$2:$F$9,2,FALSE)</f>
        <v>Home</v>
      </c>
      <c r="R80" s="25" t="str">
        <f t="shared" si="1"/>
        <v>Home-Home</v>
      </c>
      <c r="S80" s="47">
        <v>20</v>
      </c>
      <c r="T80" s="47">
        <v>1</v>
      </c>
      <c r="U80" s="55">
        <v>3</v>
      </c>
      <c r="V80" s="55"/>
      <c r="W80" s="47"/>
      <c r="X80" s="47"/>
      <c r="Y80" s="48" t="s">
        <v>146</v>
      </c>
      <c r="Z80" s="56"/>
      <c r="AA80" s="25"/>
      <c r="AB80" s="25"/>
    </row>
    <row r="81" spans="2:28">
      <c r="B81" s="39">
        <v>0.6791666666666667</v>
      </c>
      <c r="C81" s="39" t="s">
        <v>276</v>
      </c>
      <c r="D81" s="40">
        <v>2</v>
      </c>
      <c r="E81" s="40">
        <v>4</v>
      </c>
      <c r="F81" s="41" t="s">
        <v>173</v>
      </c>
      <c r="G81" s="41" t="s">
        <v>148</v>
      </c>
      <c r="H81" s="41" t="s">
        <v>633</v>
      </c>
      <c r="I81" s="41">
        <v>5</v>
      </c>
      <c r="J81" s="41">
        <v>7</v>
      </c>
      <c r="K81" s="25" t="str">
        <f>VLOOKUP(J81,Key!$E$2:$F$9,2,FALSE)</f>
        <v>Hospital</v>
      </c>
      <c r="L81" s="41" t="s">
        <v>230</v>
      </c>
      <c r="M81" s="42" t="s">
        <v>150</v>
      </c>
      <c r="N81" s="42" t="s">
        <v>633</v>
      </c>
      <c r="O81" s="42">
        <v>5</v>
      </c>
      <c r="P81" s="42">
        <v>7</v>
      </c>
      <c r="Q81" s="25" t="str">
        <f>VLOOKUP(P81,Key!$E$2:$F$9,2,FALSE)</f>
        <v>Hospital</v>
      </c>
      <c r="R81" s="25" t="str">
        <f t="shared" si="1"/>
        <v>Hospital-Hospital</v>
      </c>
      <c r="S81" s="47">
        <v>9</v>
      </c>
      <c r="T81" s="47">
        <v>0.1</v>
      </c>
      <c r="U81" s="55">
        <v>4</v>
      </c>
      <c r="V81" s="55"/>
      <c r="W81" s="47"/>
      <c r="X81" s="47"/>
      <c r="Y81" s="48" t="s">
        <v>146</v>
      </c>
      <c r="Z81" s="56"/>
      <c r="AA81" s="25"/>
      <c r="AB81" s="25"/>
    </row>
    <row r="82" spans="2:28">
      <c r="B82" s="39">
        <v>0.68402777777777779</v>
      </c>
      <c r="C82" s="39" t="s">
        <v>277</v>
      </c>
      <c r="D82" s="40">
        <v>11</v>
      </c>
      <c r="E82" s="40">
        <v>2</v>
      </c>
      <c r="F82" s="41" t="s">
        <v>155</v>
      </c>
      <c r="G82" s="41" t="s">
        <v>148</v>
      </c>
      <c r="H82" s="41" t="s">
        <v>633</v>
      </c>
      <c r="I82" s="41">
        <v>8</v>
      </c>
      <c r="J82" s="41">
        <v>2</v>
      </c>
      <c r="K82" s="25" t="str">
        <f>VLOOKUP(J82,Key!$E$2:$F$9,2,FALSE)</f>
        <v>Work</v>
      </c>
      <c r="L82" s="41" t="s">
        <v>278</v>
      </c>
      <c r="M82" s="42" t="s">
        <v>150</v>
      </c>
      <c r="N82" s="42" t="s">
        <v>633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Work-Home</v>
      </c>
      <c r="S82" s="47">
        <v>10</v>
      </c>
      <c r="T82" s="47">
        <v>0.7</v>
      </c>
      <c r="U82" s="55">
        <v>3</v>
      </c>
      <c r="V82" s="55"/>
      <c r="W82" s="47"/>
      <c r="X82" s="47"/>
      <c r="Y82" s="48" t="s">
        <v>146</v>
      </c>
      <c r="Z82" s="56"/>
      <c r="AA82" s="25"/>
      <c r="AB82" s="25"/>
    </row>
    <row r="83" spans="2:28">
      <c r="B83" s="39">
        <v>0.6875</v>
      </c>
      <c r="C83" s="39" t="s">
        <v>279</v>
      </c>
      <c r="D83" s="40">
        <v>7</v>
      </c>
      <c r="E83" s="40">
        <v>3</v>
      </c>
      <c r="F83" s="41" t="s">
        <v>155</v>
      </c>
      <c r="G83" s="41" t="s">
        <v>148</v>
      </c>
      <c r="H83" s="41" t="s">
        <v>633</v>
      </c>
      <c r="I83" s="41">
        <v>3</v>
      </c>
      <c r="J83" s="41">
        <v>2</v>
      </c>
      <c r="K83" s="25" t="str">
        <f>VLOOKUP(J83,Key!$E$2:$F$9,2,FALSE)</f>
        <v>Work</v>
      </c>
      <c r="L83" s="41" t="s">
        <v>169</v>
      </c>
      <c r="M83" s="42" t="s">
        <v>150</v>
      </c>
      <c r="N83" s="42" t="s">
        <v>633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1"/>
        <v>Work-Home</v>
      </c>
      <c r="S83" s="47">
        <v>10</v>
      </c>
      <c r="T83" s="47">
        <v>0.5</v>
      </c>
      <c r="U83" s="55">
        <v>4</v>
      </c>
      <c r="V83" s="55">
        <v>4</v>
      </c>
      <c r="W83" s="47">
        <v>0.5</v>
      </c>
      <c r="X83" s="47">
        <v>300000</v>
      </c>
      <c r="Y83" s="48" t="s">
        <v>146</v>
      </c>
      <c r="Z83" s="56"/>
      <c r="AA83" s="25"/>
      <c r="AB83" s="25"/>
    </row>
    <row r="84" spans="2:28">
      <c r="B84" s="39">
        <v>0.70763888888888893</v>
      </c>
      <c r="C84" s="39" t="s">
        <v>280</v>
      </c>
      <c r="D84" s="40">
        <v>1</v>
      </c>
      <c r="E84" s="40">
        <v>6</v>
      </c>
      <c r="F84" s="41" t="s">
        <v>281</v>
      </c>
      <c r="G84" s="41" t="s">
        <v>148</v>
      </c>
      <c r="H84" s="41" t="s">
        <v>633</v>
      </c>
      <c r="I84" s="41">
        <v>5</v>
      </c>
      <c r="J84" s="41">
        <v>7</v>
      </c>
      <c r="K84" s="25" t="str">
        <f>VLOOKUP(J84,Key!$E$2:$F$9,2,FALSE)</f>
        <v>Hospital</v>
      </c>
      <c r="L84" s="41" t="s">
        <v>213</v>
      </c>
      <c r="M84" s="42" t="s">
        <v>150</v>
      </c>
      <c r="N84" s="42" t="s">
        <v>633</v>
      </c>
      <c r="O84" s="42">
        <v>5</v>
      </c>
      <c r="P84" s="42">
        <v>7</v>
      </c>
      <c r="Q84" s="25" t="str">
        <f>VLOOKUP(P84,Key!$E$2:$F$9,2,FALSE)</f>
        <v>Hospital</v>
      </c>
      <c r="R84" s="25" t="str">
        <f t="shared" si="1"/>
        <v>Hospital-Hospital</v>
      </c>
      <c r="S84" s="47">
        <v>24</v>
      </c>
      <c r="T84" s="47">
        <v>0.5</v>
      </c>
      <c r="U84" s="55">
        <v>1</v>
      </c>
      <c r="V84" s="55"/>
      <c r="W84" s="47"/>
      <c r="X84" s="47"/>
      <c r="Y84" s="48" t="s">
        <v>146</v>
      </c>
      <c r="Z84" s="56"/>
      <c r="AA84" s="25"/>
      <c r="AB84" s="25"/>
    </row>
    <row r="85" spans="2:28">
      <c r="B85" s="39">
        <v>0.71180555555555547</v>
      </c>
      <c r="C85" s="39" t="s">
        <v>282</v>
      </c>
      <c r="D85" s="40">
        <v>11</v>
      </c>
      <c r="E85" s="40">
        <v>1</v>
      </c>
      <c r="F85" s="41" t="s">
        <v>155</v>
      </c>
      <c r="G85" s="41" t="s">
        <v>148</v>
      </c>
      <c r="H85" s="41" t="s">
        <v>633</v>
      </c>
      <c r="I85" s="41">
        <v>8</v>
      </c>
      <c r="J85" s="41">
        <v>2</v>
      </c>
      <c r="K85" s="25" t="str">
        <f>VLOOKUP(J85,Key!$E$2:$F$9,2,FALSE)</f>
        <v>Work</v>
      </c>
      <c r="L85" s="41" t="s">
        <v>169</v>
      </c>
      <c r="M85" s="42" t="s">
        <v>150</v>
      </c>
      <c r="N85" s="42" t="s">
        <v>633</v>
      </c>
      <c r="O85" s="42">
        <v>1</v>
      </c>
      <c r="P85" s="42">
        <v>1</v>
      </c>
      <c r="Q85" s="25" t="str">
        <f>VLOOKUP(P85,Key!$E$2:$F$9,2,FALSE)</f>
        <v>Home</v>
      </c>
      <c r="R85" s="25" t="str">
        <f t="shared" si="1"/>
        <v>Work-Home</v>
      </c>
      <c r="S85" s="47">
        <v>14</v>
      </c>
      <c r="T85" s="47">
        <v>0.5</v>
      </c>
      <c r="U85" s="55">
        <v>1</v>
      </c>
      <c r="V85" s="55"/>
      <c r="W85" s="47"/>
      <c r="X85" s="47"/>
      <c r="Y85" s="48" t="s">
        <v>146</v>
      </c>
      <c r="Z85" s="56"/>
      <c r="AA85" s="25"/>
      <c r="AB85" s="25"/>
    </row>
    <row r="86" spans="2:28">
      <c r="B86" s="39">
        <v>0.71527777777777779</v>
      </c>
      <c r="C86" s="39" t="s">
        <v>283</v>
      </c>
      <c r="D86" s="40">
        <v>11</v>
      </c>
      <c r="E86" s="40">
        <v>1</v>
      </c>
      <c r="F86" s="41" t="s">
        <v>155</v>
      </c>
      <c r="G86" s="41" t="s">
        <v>148</v>
      </c>
      <c r="H86" s="41" t="s">
        <v>633</v>
      </c>
      <c r="I86" s="41">
        <v>8</v>
      </c>
      <c r="J86" s="41">
        <v>2</v>
      </c>
      <c r="K86" s="25" t="str">
        <f>VLOOKUP(J86,Key!$E$2:$F$9,2,FALSE)</f>
        <v>Work</v>
      </c>
      <c r="L86" s="41" t="s">
        <v>284</v>
      </c>
      <c r="M86" s="42" t="s">
        <v>150</v>
      </c>
      <c r="N86" s="42" t="s">
        <v>633</v>
      </c>
      <c r="O86" s="42">
        <v>1</v>
      </c>
      <c r="P86" s="42">
        <v>1</v>
      </c>
      <c r="Q86" s="25" t="str">
        <f>VLOOKUP(P86,Key!$E$2:$F$9,2,FALSE)</f>
        <v>Home</v>
      </c>
      <c r="R86" s="25" t="str">
        <f t="shared" si="1"/>
        <v>Work-Home</v>
      </c>
      <c r="S86" s="47">
        <v>24</v>
      </c>
      <c r="T86" s="47">
        <v>0.5</v>
      </c>
      <c r="U86" s="55">
        <v>3</v>
      </c>
      <c r="V86" s="55"/>
      <c r="W86" s="47"/>
      <c r="X86" s="47"/>
      <c r="Y86" s="48" t="s">
        <v>146</v>
      </c>
      <c r="Z86" s="56"/>
      <c r="AA86" s="25"/>
      <c r="AB86" s="25"/>
    </row>
    <row r="87" spans="2:28">
      <c r="B87" s="39">
        <v>0.71875</v>
      </c>
      <c r="C87" s="39" t="s">
        <v>285</v>
      </c>
      <c r="D87" s="40">
        <v>11</v>
      </c>
      <c r="E87" s="40">
        <v>1</v>
      </c>
      <c r="F87" s="41" t="s">
        <v>260</v>
      </c>
      <c r="G87" s="41" t="s">
        <v>150</v>
      </c>
      <c r="H87" s="41" t="s">
        <v>633</v>
      </c>
      <c r="I87" s="41">
        <v>8</v>
      </c>
      <c r="J87" s="41">
        <v>2</v>
      </c>
      <c r="K87" s="25" t="str">
        <f>VLOOKUP(J87,Key!$E$2:$F$9,2,FALSE)</f>
        <v>Work</v>
      </c>
      <c r="L87" s="41" t="s">
        <v>260</v>
      </c>
      <c r="M87" s="42" t="s">
        <v>150</v>
      </c>
      <c r="N87" s="42" t="s">
        <v>633</v>
      </c>
      <c r="O87" s="42">
        <v>8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7">
        <v>1</v>
      </c>
      <c r="T87" s="47">
        <v>0.2</v>
      </c>
      <c r="U87" s="55">
        <v>3</v>
      </c>
      <c r="V87" s="55"/>
      <c r="W87" s="47"/>
      <c r="X87" s="47"/>
      <c r="Y87" s="48" t="s">
        <v>146</v>
      </c>
      <c r="Z87" s="56"/>
      <c r="AA87" s="25"/>
      <c r="AB87" s="25"/>
    </row>
    <row r="88" spans="2:28">
      <c r="B88" s="39">
        <v>0.72152777777777777</v>
      </c>
      <c r="C88" s="39" t="s">
        <v>286</v>
      </c>
      <c r="D88" s="40">
        <v>7</v>
      </c>
      <c r="E88" s="40">
        <v>3</v>
      </c>
      <c r="F88" s="41" t="s">
        <v>155</v>
      </c>
      <c r="G88" s="41" t="s">
        <v>148</v>
      </c>
      <c r="H88" s="41" t="s">
        <v>633</v>
      </c>
      <c r="I88" s="41">
        <v>3</v>
      </c>
      <c r="J88" s="41">
        <v>2</v>
      </c>
      <c r="K88" s="25" t="str">
        <f>VLOOKUP(J88,Key!$E$2:$F$9,2,FALSE)</f>
        <v>Work</v>
      </c>
      <c r="L88" s="41" t="s">
        <v>169</v>
      </c>
      <c r="M88" s="42" t="s">
        <v>150</v>
      </c>
      <c r="N88" s="42" t="s">
        <v>633</v>
      </c>
      <c r="O88" s="42">
        <v>10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7">
        <v>30</v>
      </c>
      <c r="T88" s="47">
        <v>0.5</v>
      </c>
      <c r="U88" s="55">
        <v>1</v>
      </c>
      <c r="V88" s="55">
        <v>4</v>
      </c>
      <c r="W88" s="47"/>
      <c r="X88" s="47"/>
      <c r="Y88" s="48" t="s">
        <v>146</v>
      </c>
      <c r="Z88" s="56"/>
      <c r="AA88" s="25"/>
      <c r="AB88" s="25"/>
    </row>
    <row r="89" spans="2:28">
      <c r="B89" s="39">
        <v>0.72569444444444453</v>
      </c>
      <c r="C89" s="39" t="s">
        <v>287</v>
      </c>
      <c r="D89" s="40">
        <v>11</v>
      </c>
      <c r="E89" s="40">
        <v>1</v>
      </c>
      <c r="F89" s="41" t="s">
        <v>155</v>
      </c>
      <c r="G89" s="41" t="s">
        <v>148</v>
      </c>
      <c r="H89" s="41" t="s">
        <v>633</v>
      </c>
      <c r="I89" s="41">
        <v>4</v>
      </c>
      <c r="J89" s="41">
        <v>3</v>
      </c>
      <c r="K89" s="25" t="str">
        <f>VLOOKUP(J89,Key!$E$2:$F$9,2,FALSE)</f>
        <v>Study</v>
      </c>
      <c r="L89" s="41" t="s">
        <v>169</v>
      </c>
      <c r="M89" s="42" t="s">
        <v>150</v>
      </c>
      <c r="N89" s="42" t="s">
        <v>633</v>
      </c>
      <c r="O89" s="42">
        <v>4</v>
      </c>
      <c r="P89" s="42">
        <v>3</v>
      </c>
      <c r="Q89" s="25" t="str">
        <f>VLOOKUP(P89,Key!$E$2:$F$9,2,FALSE)</f>
        <v>Study</v>
      </c>
      <c r="R89" s="25" t="str">
        <f t="shared" si="1"/>
        <v>Study-Study</v>
      </c>
      <c r="S89" s="47">
        <v>20</v>
      </c>
      <c r="T89" s="47"/>
      <c r="U89" s="55">
        <v>1</v>
      </c>
      <c r="V89" s="55"/>
      <c r="W89" s="47"/>
      <c r="X89" s="47"/>
      <c r="Y89" s="48" t="s">
        <v>146</v>
      </c>
      <c r="Z89" s="56"/>
      <c r="AA89" s="25"/>
      <c r="AB89" s="25"/>
    </row>
    <row r="90" spans="2:28">
      <c r="B90" s="39">
        <v>0.73611111111111116</v>
      </c>
      <c r="C90" s="39" t="s">
        <v>288</v>
      </c>
      <c r="D90" s="40">
        <v>7</v>
      </c>
      <c r="E90" s="40">
        <v>1</v>
      </c>
      <c r="F90" s="41" t="s">
        <v>155</v>
      </c>
      <c r="G90" s="41" t="s">
        <v>148</v>
      </c>
      <c r="H90" s="41" t="s">
        <v>633</v>
      </c>
      <c r="I90" s="41">
        <v>3</v>
      </c>
      <c r="J90" s="41">
        <v>2</v>
      </c>
      <c r="K90" s="25" t="str">
        <f>VLOOKUP(J90,Key!$E$2:$F$9,2,FALSE)</f>
        <v>Work</v>
      </c>
      <c r="L90" s="41" t="s">
        <v>201</v>
      </c>
      <c r="M90" s="42" t="s">
        <v>150</v>
      </c>
      <c r="N90" s="42" t="s">
        <v>633</v>
      </c>
      <c r="O90" s="42">
        <v>1</v>
      </c>
      <c r="P90" s="42">
        <v>1</v>
      </c>
      <c r="Q90" s="25" t="str">
        <f>VLOOKUP(P90,Key!$E$2:$F$9,2,FALSE)</f>
        <v>Home</v>
      </c>
      <c r="R90" s="25" t="str">
        <f t="shared" si="1"/>
        <v>Work-Home</v>
      </c>
      <c r="S90" s="47">
        <v>3</v>
      </c>
      <c r="T90" s="47">
        <v>0.5</v>
      </c>
      <c r="U90" s="55">
        <v>3</v>
      </c>
      <c r="V90" s="55"/>
      <c r="W90" s="47"/>
      <c r="X90" s="47"/>
      <c r="Y90" s="48" t="s">
        <v>146</v>
      </c>
      <c r="Z90" s="56"/>
      <c r="AA90" s="25"/>
      <c r="AB90" s="25"/>
    </row>
    <row r="91" spans="2:28">
      <c r="B91" s="39">
        <v>0.73958333333333337</v>
      </c>
      <c r="C91" s="39" t="s">
        <v>289</v>
      </c>
      <c r="D91" s="40">
        <v>11</v>
      </c>
      <c r="E91" s="40">
        <v>1</v>
      </c>
      <c r="F91" s="41" t="s">
        <v>260</v>
      </c>
      <c r="G91" s="41" t="s">
        <v>150</v>
      </c>
      <c r="H91" s="41" t="s">
        <v>633</v>
      </c>
      <c r="I91" s="41">
        <v>1</v>
      </c>
      <c r="J91" s="41">
        <v>1</v>
      </c>
      <c r="K91" s="25" t="str">
        <f>VLOOKUP(J91,Key!$E$2:$F$9,2,FALSE)</f>
        <v>Home</v>
      </c>
      <c r="L91" s="41" t="s">
        <v>260</v>
      </c>
      <c r="M91" s="42" t="s">
        <v>150</v>
      </c>
      <c r="N91" s="42" t="s">
        <v>633</v>
      </c>
      <c r="O91" s="42">
        <v>1</v>
      </c>
      <c r="P91" s="42">
        <v>1</v>
      </c>
      <c r="Q91" s="25" t="str">
        <f>VLOOKUP(P91,Key!$E$2:$F$9,2,FALSE)</f>
        <v>Home</v>
      </c>
      <c r="R91" s="25" t="str">
        <f t="shared" si="1"/>
        <v>Home-Home</v>
      </c>
      <c r="S91" s="47">
        <v>1</v>
      </c>
      <c r="T91" s="47">
        <v>0.2</v>
      </c>
      <c r="U91" s="55">
        <v>3</v>
      </c>
      <c r="V91" s="55"/>
      <c r="W91" s="47"/>
      <c r="X91" s="47"/>
      <c r="Y91" s="48" t="s">
        <v>146</v>
      </c>
      <c r="Z91" s="56"/>
      <c r="AA91" s="25"/>
      <c r="AB91" s="25"/>
    </row>
    <row r="92" spans="2:28">
      <c r="B92" s="39">
        <v>0.74583333333333324</v>
      </c>
      <c r="C92" s="39" t="s">
        <v>290</v>
      </c>
      <c r="D92" s="40">
        <v>7</v>
      </c>
      <c r="E92" s="40">
        <v>2</v>
      </c>
      <c r="F92" s="41" t="s">
        <v>155</v>
      </c>
      <c r="G92" s="41" t="s">
        <v>148</v>
      </c>
      <c r="H92" s="41" t="s">
        <v>633</v>
      </c>
      <c r="I92" s="41">
        <v>9</v>
      </c>
      <c r="J92" s="41">
        <v>2</v>
      </c>
      <c r="K92" s="25" t="str">
        <f>VLOOKUP(J92,Key!$E$2:$F$9,2,FALSE)</f>
        <v>Work</v>
      </c>
      <c r="L92" s="41" t="s">
        <v>213</v>
      </c>
      <c r="M92" s="42" t="s">
        <v>150</v>
      </c>
      <c r="N92" s="42" t="s">
        <v>633</v>
      </c>
      <c r="O92" s="42">
        <v>3</v>
      </c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47">
        <v>20</v>
      </c>
      <c r="T92" s="47">
        <v>1</v>
      </c>
      <c r="U92" s="55">
        <v>3</v>
      </c>
      <c r="V92" s="55">
        <v>2</v>
      </c>
      <c r="W92" s="47"/>
      <c r="X92" s="47"/>
      <c r="Y92" s="48" t="s">
        <v>146</v>
      </c>
      <c r="Z92" s="56"/>
      <c r="AA92" s="25"/>
      <c r="AB92" s="25"/>
    </row>
    <row r="93" spans="2:28">
      <c r="B93" s="39">
        <v>0.75555555555555554</v>
      </c>
      <c r="C93" s="39" t="s">
        <v>291</v>
      </c>
      <c r="D93" s="40">
        <v>1</v>
      </c>
      <c r="E93" s="40">
        <v>2</v>
      </c>
      <c r="F93" s="41" t="s">
        <v>155</v>
      </c>
      <c r="G93" s="41" t="s">
        <v>148</v>
      </c>
      <c r="H93" s="41" t="s">
        <v>633</v>
      </c>
      <c r="I93" s="41">
        <v>2</v>
      </c>
      <c r="J93" s="41">
        <v>2</v>
      </c>
      <c r="K93" s="25" t="str">
        <f>VLOOKUP(J93,Key!$E$2:$F$9,2,FALSE)</f>
        <v>Work</v>
      </c>
      <c r="L93" s="41" t="s">
        <v>169</v>
      </c>
      <c r="M93" s="42" t="s">
        <v>150</v>
      </c>
      <c r="N93" s="42" t="s">
        <v>633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47">
        <v>8</v>
      </c>
      <c r="T93" s="47">
        <v>0.3</v>
      </c>
      <c r="U93" s="55">
        <v>3</v>
      </c>
      <c r="V93" s="55"/>
      <c r="W93" s="47"/>
      <c r="X93" s="47"/>
      <c r="Y93" s="48" t="s">
        <v>146</v>
      </c>
      <c r="Z93" s="56"/>
      <c r="AA93" s="25"/>
      <c r="AB93" s="25"/>
    </row>
    <row r="94" spans="2:28">
      <c r="B94" s="39">
        <v>0.76041666666666663</v>
      </c>
      <c r="C94" s="39" t="s">
        <v>292</v>
      </c>
      <c r="D94" s="40">
        <v>1</v>
      </c>
      <c r="E94" s="40">
        <v>1</v>
      </c>
      <c r="F94" s="41" t="s">
        <v>155</v>
      </c>
      <c r="G94" s="41" t="s">
        <v>148</v>
      </c>
      <c r="H94" s="41" t="s">
        <v>633</v>
      </c>
      <c r="I94" s="41">
        <v>2</v>
      </c>
      <c r="J94" s="41">
        <v>2</v>
      </c>
      <c r="K94" s="25" t="str">
        <f>VLOOKUP(J94,Key!$E$2:$F$9,2,FALSE)</f>
        <v>Work</v>
      </c>
      <c r="L94" s="41" t="s">
        <v>201</v>
      </c>
      <c r="M94" s="42" t="s">
        <v>150</v>
      </c>
      <c r="N94" s="42" t="s">
        <v>633</v>
      </c>
      <c r="O94" s="42">
        <v>9</v>
      </c>
      <c r="P94" s="42">
        <v>4</v>
      </c>
      <c r="Q94" s="25" t="str">
        <f>VLOOKUP(P94,Key!$E$2:$F$9,2,FALSE)</f>
        <v>Commercial</v>
      </c>
      <c r="R94" s="25" t="str">
        <f t="shared" si="1"/>
        <v>Work-Commercial</v>
      </c>
      <c r="S94" s="47">
        <v>10</v>
      </c>
      <c r="T94" s="47">
        <v>0.7</v>
      </c>
      <c r="U94" s="55">
        <v>3</v>
      </c>
      <c r="V94" s="55"/>
      <c r="W94" s="47"/>
      <c r="X94" s="47"/>
      <c r="Y94" s="48" t="s">
        <v>146</v>
      </c>
      <c r="Z94" s="56"/>
      <c r="AA94" s="25"/>
      <c r="AB94" s="25"/>
    </row>
    <row r="95" spans="2:28">
      <c r="B95" s="39">
        <v>0.76597222222222217</v>
      </c>
      <c r="C95" s="39" t="s">
        <v>293</v>
      </c>
      <c r="D95" s="40">
        <v>1</v>
      </c>
      <c r="E95" s="40">
        <v>3</v>
      </c>
      <c r="F95" s="41" t="s">
        <v>155</v>
      </c>
      <c r="G95" s="41" t="s">
        <v>148</v>
      </c>
      <c r="H95" s="41" t="s">
        <v>633</v>
      </c>
      <c r="I95" s="41">
        <v>4</v>
      </c>
      <c r="J95" s="41">
        <v>3</v>
      </c>
      <c r="K95" s="25" t="str">
        <f>VLOOKUP(J95,Key!$E$2:$F$9,2,FALSE)</f>
        <v>Study</v>
      </c>
      <c r="L95" s="41" t="s">
        <v>294</v>
      </c>
      <c r="M95" s="42" t="s">
        <v>150</v>
      </c>
      <c r="N95" s="42" t="s">
        <v>633</v>
      </c>
      <c r="O95" s="42">
        <v>1</v>
      </c>
      <c r="P95" s="42">
        <v>1</v>
      </c>
      <c r="Q95" s="25" t="str">
        <f>VLOOKUP(P95,Key!$E$2:$F$9,2,FALSE)</f>
        <v>Home</v>
      </c>
      <c r="R95" s="25" t="str">
        <f t="shared" si="1"/>
        <v>Study-Home</v>
      </c>
      <c r="S95" s="47">
        <v>5</v>
      </c>
      <c r="T95" s="47">
        <v>0.5</v>
      </c>
      <c r="U95" s="55">
        <v>1</v>
      </c>
      <c r="V95" s="55"/>
      <c r="W95" s="47"/>
      <c r="X95" s="47"/>
      <c r="Y95" s="48" t="s">
        <v>146</v>
      </c>
      <c r="Z95" s="56"/>
      <c r="AA95" s="25"/>
      <c r="AB95" s="25"/>
    </row>
    <row r="96" spans="2:28">
      <c r="B96" s="39">
        <v>0.76944444444444438</v>
      </c>
      <c r="C96" s="39" t="s">
        <v>295</v>
      </c>
      <c r="D96" s="40">
        <v>11</v>
      </c>
      <c r="E96" s="40">
        <v>1</v>
      </c>
      <c r="F96" s="41" t="s">
        <v>155</v>
      </c>
      <c r="G96" s="41" t="s">
        <v>148</v>
      </c>
      <c r="H96" s="41" t="s">
        <v>633</v>
      </c>
      <c r="I96" s="41">
        <v>8</v>
      </c>
      <c r="J96" s="41">
        <v>2</v>
      </c>
      <c r="K96" s="25" t="str">
        <f>VLOOKUP(J96,Key!$E$2:$F$9,2,FALSE)</f>
        <v>Work</v>
      </c>
      <c r="L96" s="41" t="s">
        <v>169</v>
      </c>
      <c r="M96" s="42" t="s">
        <v>150</v>
      </c>
      <c r="N96" s="42" t="s">
        <v>633</v>
      </c>
      <c r="O96" s="42">
        <v>8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7">
        <v>8</v>
      </c>
      <c r="T96" s="47">
        <v>0.3</v>
      </c>
      <c r="U96" s="55">
        <v>4</v>
      </c>
      <c r="V96" s="55"/>
      <c r="W96" s="47"/>
      <c r="X96" s="47"/>
      <c r="Y96" s="48" t="s">
        <v>146</v>
      </c>
      <c r="Z96" s="56"/>
      <c r="AA96" s="25"/>
      <c r="AB96" s="25"/>
    </row>
    <row r="97" spans="2:28">
      <c r="B97" s="39">
        <v>0.77013888888888893</v>
      </c>
      <c r="C97" s="39" t="s">
        <v>296</v>
      </c>
      <c r="D97" s="40">
        <v>1</v>
      </c>
      <c r="E97" s="40">
        <v>3</v>
      </c>
      <c r="F97" s="41" t="s">
        <v>155</v>
      </c>
      <c r="G97" s="41" t="s">
        <v>148</v>
      </c>
      <c r="H97" s="41" t="s">
        <v>633</v>
      </c>
      <c r="I97" s="41">
        <v>1</v>
      </c>
      <c r="J97" s="41">
        <v>1</v>
      </c>
      <c r="K97" s="25" t="str">
        <f>VLOOKUP(J97,Key!$E$2:$F$9,2,FALSE)</f>
        <v>Home</v>
      </c>
      <c r="L97" s="41" t="s">
        <v>205</v>
      </c>
      <c r="M97" s="42" t="s">
        <v>150</v>
      </c>
      <c r="N97" s="42" t="s">
        <v>633</v>
      </c>
      <c r="O97" s="42">
        <v>1</v>
      </c>
      <c r="P97" s="42">
        <v>1</v>
      </c>
      <c r="Q97" s="25" t="str">
        <f>VLOOKUP(P97,Key!$E$2:$F$9,2,FALSE)</f>
        <v>Home</v>
      </c>
      <c r="R97" s="25" t="str">
        <f t="shared" si="1"/>
        <v>Home-Home</v>
      </c>
      <c r="S97" s="47">
        <v>50</v>
      </c>
      <c r="T97" s="47">
        <v>1</v>
      </c>
      <c r="U97" s="55">
        <v>2</v>
      </c>
      <c r="V97" s="55"/>
      <c r="W97" s="47"/>
      <c r="X97" s="47"/>
      <c r="Y97" s="48" t="s">
        <v>146</v>
      </c>
      <c r="Z97" s="56"/>
      <c r="AA97" s="25"/>
      <c r="AB97" s="25"/>
    </row>
    <row r="98" spans="2:28">
      <c r="B98" s="39">
        <v>0.77430555555555547</v>
      </c>
      <c r="C98" s="39" t="s">
        <v>297</v>
      </c>
      <c r="D98" s="40">
        <v>4</v>
      </c>
      <c r="E98" s="40">
        <v>6</v>
      </c>
      <c r="F98" s="41" t="s">
        <v>155</v>
      </c>
      <c r="G98" s="41" t="s">
        <v>148</v>
      </c>
      <c r="H98" s="41" t="s">
        <v>633</v>
      </c>
      <c r="I98" s="41">
        <v>6</v>
      </c>
      <c r="J98" s="41">
        <v>2</v>
      </c>
      <c r="K98" s="25" t="str">
        <f>VLOOKUP(J98,Key!$E$2:$F$9,2,FALSE)</f>
        <v>Work</v>
      </c>
      <c r="L98" s="41" t="s">
        <v>213</v>
      </c>
      <c r="M98" s="42" t="s">
        <v>150</v>
      </c>
      <c r="N98" s="42" t="s">
        <v>633</v>
      </c>
      <c r="O98" s="42">
        <v>6</v>
      </c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47">
        <v>20</v>
      </c>
      <c r="T98" s="47">
        <v>1</v>
      </c>
      <c r="U98" s="55">
        <v>3</v>
      </c>
      <c r="V98" s="55"/>
      <c r="W98" s="47"/>
      <c r="X98" s="47"/>
      <c r="Y98" s="48" t="s">
        <v>146</v>
      </c>
      <c r="Z98" s="56"/>
      <c r="AA98" s="25"/>
      <c r="AB98" s="25"/>
    </row>
    <row r="99" spans="2:28">
      <c r="B99" s="39">
        <v>0.77986111111111101</v>
      </c>
      <c r="C99" s="39" t="s">
        <v>298</v>
      </c>
      <c r="D99" s="40">
        <v>8</v>
      </c>
      <c r="E99" s="40">
        <v>2</v>
      </c>
      <c r="F99" s="41" t="s">
        <v>155</v>
      </c>
      <c r="G99" s="41" t="s">
        <v>148</v>
      </c>
      <c r="H99" s="41" t="s">
        <v>633</v>
      </c>
      <c r="I99" s="41">
        <v>11</v>
      </c>
      <c r="J99" s="41">
        <v>2</v>
      </c>
      <c r="K99" s="25" t="str">
        <f>VLOOKUP(J99,Key!$E$2:$F$9,2,FALSE)</f>
        <v>Work</v>
      </c>
      <c r="L99" s="41" t="s">
        <v>299</v>
      </c>
      <c r="M99" s="42" t="s">
        <v>150</v>
      </c>
      <c r="N99" s="42" t="s">
        <v>633</v>
      </c>
      <c r="O99" s="42">
        <v>2</v>
      </c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47">
        <v>40</v>
      </c>
      <c r="T99" s="47">
        <v>2</v>
      </c>
      <c r="U99" s="55">
        <v>2</v>
      </c>
      <c r="V99" s="55"/>
      <c r="W99" s="47">
        <v>4</v>
      </c>
      <c r="X99" s="47">
        <v>7000000</v>
      </c>
      <c r="Y99" s="48" t="s">
        <v>146</v>
      </c>
      <c r="Z99" s="56"/>
      <c r="AA99" s="25"/>
      <c r="AB99" s="25"/>
    </row>
    <row r="100" spans="2:28">
      <c r="B100" s="39">
        <v>0.78472222222222221</v>
      </c>
      <c r="C100" s="39" t="s">
        <v>300</v>
      </c>
      <c r="D100" s="40">
        <v>7</v>
      </c>
      <c r="E100" s="40">
        <v>1</v>
      </c>
      <c r="F100" s="41" t="s">
        <v>155</v>
      </c>
      <c r="G100" s="41" t="s">
        <v>148</v>
      </c>
      <c r="H100" s="41" t="s">
        <v>633</v>
      </c>
      <c r="I100" s="41">
        <v>3</v>
      </c>
      <c r="J100" s="41">
        <v>4</v>
      </c>
      <c r="K100" s="25" t="str">
        <f>VLOOKUP(J100,Key!$E$2:$F$9,2,FALSE)</f>
        <v>Commercial</v>
      </c>
      <c r="L100" s="41" t="s">
        <v>213</v>
      </c>
      <c r="M100" s="42" t="s">
        <v>150</v>
      </c>
      <c r="N100" s="42" t="s">
        <v>633</v>
      </c>
      <c r="O100" s="42">
        <v>1</v>
      </c>
      <c r="P100" s="42">
        <v>1</v>
      </c>
      <c r="Q100" s="25" t="str">
        <f>VLOOKUP(P100,Key!$E$2:$F$9,2,FALSE)</f>
        <v>Home</v>
      </c>
      <c r="R100" s="25" t="str">
        <f t="shared" si="1"/>
        <v>Commercial-Home</v>
      </c>
      <c r="S100" s="47">
        <v>35</v>
      </c>
      <c r="T100" s="47">
        <v>1</v>
      </c>
      <c r="U100" s="55">
        <v>2</v>
      </c>
      <c r="V100" s="55">
        <v>4</v>
      </c>
      <c r="W100" s="47"/>
      <c r="X100" s="47"/>
      <c r="Y100" s="48" t="s">
        <v>146</v>
      </c>
      <c r="Z100" s="56"/>
      <c r="AA100" s="25"/>
      <c r="AB100" s="25"/>
    </row>
    <row r="101" spans="2:28">
      <c r="B101" s="39">
        <v>0.78749999999999998</v>
      </c>
      <c r="C101" s="39" t="s">
        <v>301</v>
      </c>
      <c r="D101" s="40">
        <v>7</v>
      </c>
      <c r="E101" s="40">
        <v>2</v>
      </c>
      <c r="F101" s="41" t="s">
        <v>155</v>
      </c>
      <c r="G101" s="41" t="s">
        <v>148</v>
      </c>
      <c r="H101" s="41" t="s">
        <v>633</v>
      </c>
      <c r="I101" s="41">
        <v>3</v>
      </c>
      <c r="J101" s="41">
        <v>2</v>
      </c>
      <c r="K101" s="25" t="str">
        <f>VLOOKUP(J101,Key!$E$2:$F$9,2,FALSE)</f>
        <v>Work</v>
      </c>
      <c r="L101" s="41" t="s">
        <v>302</v>
      </c>
      <c r="M101" s="42" t="s">
        <v>150</v>
      </c>
      <c r="N101" s="42" t="s">
        <v>633</v>
      </c>
      <c r="O101" s="42">
        <v>1</v>
      </c>
      <c r="P101" s="42">
        <v>1</v>
      </c>
      <c r="Q101" s="25" t="str">
        <f>VLOOKUP(P101,Key!$E$2:$F$9,2,FALSE)</f>
        <v>Home</v>
      </c>
      <c r="R101" s="25" t="str">
        <f t="shared" si="1"/>
        <v>Work-Home</v>
      </c>
      <c r="S101" s="47">
        <v>30</v>
      </c>
      <c r="T101" s="47">
        <v>1</v>
      </c>
      <c r="U101" s="55">
        <v>3</v>
      </c>
      <c r="V101" s="55">
        <v>4</v>
      </c>
      <c r="W101" s="47"/>
      <c r="X101" s="47"/>
      <c r="Y101" s="48" t="s">
        <v>146</v>
      </c>
      <c r="Z101" s="56"/>
      <c r="AA101" s="25"/>
      <c r="AB101" s="25"/>
    </row>
    <row r="102" spans="2:28">
      <c r="B102" s="39">
        <v>0.79166666666666663</v>
      </c>
      <c r="C102" s="39" t="s">
        <v>303</v>
      </c>
      <c r="D102" s="40">
        <v>11</v>
      </c>
      <c r="E102" s="40">
        <v>1</v>
      </c>
      <c r="F102" s="41" t="s">
        <v>155</v>
      </c>
      <c r="G102" s="41" t="s">
        <v>148</v>
      </c>
      <c r="H102" s="41" t="s">
        <v>633</v>
      </c>
      <c r="I102" s="41">
        <v>1</v>
      </c>
      <c r="J102" s="41">
        <v>1</v>
      </c>
      <c r="K102" s="25" t="str">
        <f>VLOOKUP(J102,Key!$E$2:$F$9,2,FALSE)</f>
        <v>Home</v>
      </c>
      <c r="L102" s="41" t="s">
        <v>304</v>
      </c>
      <c r="M102" s="42" t="s">
        <v>150</v>
      </c>
      <c r="N102" s="42" t="s">
        <v>633</v>
      </c>
      <c r="O102" s="42">
        <v>1</v>
      </c>
      <c r="P102" s="42">
        <v>1</v>
      </c>
      <c r="Q102" s="25" t="str">
        <f>VLOOKUP(P102,Key!$E$2:$F$9,2,FALSE)</f>
        <v>Home</v>
      </c>
      <c r="R102" s="25" t="str">
        <f t="shared" ref="R102:R128" si="2">K102&amp;"-"&amp;Q102</f>
        <v>Home-Home</v>
      </c>
      <c r="S102" s="47">
        <v>25</v>
      </c>
      <c r="T102" s="47"/>
      <c r="U102" s="55">
        <v>0.8</v>
      </c>
      <c r="V102" s="55">
        <v>3</v>
      </c>
      <c r="W102" s="47"/>
      <c r="X102" s="47"/>
      <c r="Y102" s="48" t="s">
        <v>146</v>
      </c>
      <c r="Z102" s="56"/>
      <c r="AA102" s="25"/>
      <c r="AB102" s="25"/>
    </row>
    <row r="103" spans="2:28">
      <c r="B103" s="39">
        <v>0.86111111111111116</v>
      </c>
      <c r="C103" s="39" t="s">
        <v>305</v>
      </c>
      <c r="D103" s="40">
        <v>11</v>
      </c>
      <c r="E103" s="40">
        <v>1</v>
      </c>
      <c r="F103" s="41" t="s">
        <v>155</v>
      </c>
      <c r="G103" s="41" t="s">
        <v>148</v>
      </c>
      <c r="H103" s="41" t="s">
        <v>633</v>
      </c>
      <c r="I103" s="41">
        <v>8</v>
      </c>
      <c r="J103" s="41">
        <v>2</v>
      </c>
      <c r="K103" s="25" t="str">
        <f>VLOOKUP(J103,Key!$E$2:$F$9,2,FALSE)</f>
        <v>Work</v>
      </c>
      <c r="L103" s="41" t="s">
        <v>169</v>
      </c>
      <c r="M103" s="42" t="s">
        <v>150</v>
      </c>
      <c r="N103" s="42" t="s">
        <v>633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47">
        <v>8</v>
      </c>
      <c r="T103" s="47">
        <v>0.5</v>
      </c>
      <c r="U103" s="55">
        <v>1</v>
      </c>
      <c r="V103" s="55"/>
      <c r="W103" s="47"/>
      <c r="X103" s="47"/>
      <c r="Y103" s="48" t="s">
        <v>146</v>
      </c>
      <c r="Z103" s="56"/>
      <c r="AA103" s="25"/>
      <c r="AB103" s="25"/>
    </row>
    <row r="104" spans="2:28">
      <c r="B104" s="39">
        <v>0.87361111111111101</v>
      </c>
      <c r="C104" s="39" t="s">
        <v>306</v>
      </c>
      <c r="D104" s="40">
        <v>3</v>
      </c>
      <c r="E104" s="40">
        <v>1</v>
      </c>
      <c r="F104" s="41" t="s">
        <v>155</v>
      </c>
      <c r="G104" s="41" t="s">
        <v>148</v>
      </c>
      <c r="H104" s="41" t="s">
        <v>633</v>
      </c>
      <c r="I104" s="41">
        <v>11</v>
      </c>
      <c r="J104" s="41">
        <v>2</v>
      </c>
      <c r="K104" s="25" t="str">
        <f>VLOOKUP(J104,Key!$E$2:$F$9,2,FALSE)</f>
        <v>Work</v>
      </c>
      <c r="L104" s="41" t="s">
        <v>164</v>
      </c>
      <c r="M104" s="42" t="s">
        <v>150</v>
      </c>
      <c r="N104" s="42" t="s">
        <v>633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2"/>
        <v>Work-Home</v>
      </c>
      <c r="S104" s="47">
        <v>2</v>
      </c>
      <c r="T104" s="47">
        <v>0.2</v>
      </c>
      <c r="U104" s="55">
        <v>2</v>
      </c>
      <c r="V104" s="55"/>
      <c r="W104" s="47"/>
      <c r="X104" s="47"/>
      <c r="Y104" s="48" t="s">
        <v>146</v>
      </c>
      <c r="Z104" s="56"/>
      <c r="AA104" s="25"/>
      <c r="AB104" s="25"/>
    </row>
    <row r="105" spans="2:28" ht="12" customHeight="1">
      <c r="B105" s="39">
        <v>0.87777777777777777</v>
      </c>
      <c r="C105" s="39" t="s">
        <v>307</v>
      </c>
      <c r="D105" s="40">
        <v>11</v>
      </c>
      <c r="E105" s="40">
        <v>1</v>
      </c>
      <c r="F105" s="41" t="s">
        <v>155</v>
      </c>
      <c r="G105" s="41" t="s">
        <v>148</v>
      </c>
      <c r="H105" s="41" t="s">
        <v>633</v>
      </c>
      <c r="I105" s="41">
        <v>8</v>
      </c>
      <c r="J105" s="41">
        <v>2</v>
      </c>
      <c r="K105" s="25" t="str">
        <f>VLOOKUP(J105,Key!$E$2:$F$9,2,FALSE)</f>
        <v>Work</v>
      </c>
      <c r="L105" s="41" t="s">
        <v>169</v>
      </c>
      <c r="M105" s="42" t="s">
        <v>150</v>
      </c>
      <c r="N105" s="42" t="s">
        <v>633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2"/>
        <v>Work-Home</v>
      </c>
      <c r="S105" s="47">
        <v>9</v>
      </c>
      <c r="T105" s="47">
        <v>0.5</v>
      </c>
      <c r="U105" s="55">
        <v>2</v>
      </c>
      <c r="V105" s="55"/>
      <c r="W105" s="47"/>
      <c r="X105" s="47"/>
      <c r="Y105" s="48" t="s">
        <v>146</v>
      </c>
      <c r="Z105" s="56"/>
      <c r="AA105" s="25"/>
      <c r="AB105" s="25"/>
    </row>
    <row r="106" spans="2:28">
      <c r="B106" s="39">
        <v>0.88541666666666663</v>
      </c>
      <c r="C106" s="39" t="s">
        <v>308</v>
      </c>
      <c r="D106" s="40">
        <v>11</v>
      </c>
      <c r="E106" s="40">
        <v>1</v>
      </c>
      <c r="F106" s="41" t="s">
        <v>155</v>
      </c>
      <c r="G106" s="41" t="s">
        <v>148</v>
      </c>
      <c r="H106" s="41" t="s">
        <v>633</v>
      </c>
      <c r="I106" s="41">
        <v>8</v>
      </c>
      <c r="J106" s="41">
        <v>2</v>
      </c>
      <c r="K106" s="25" t="str">
        <f>VLOOKUP(J106,Key!$E$2:$F$9,2,FALSE)</f>
        <v>Work</v>
      </c>
      <c r="L106" s="41" t="s">
        <v>309</v>
      </c>
      <c r="M106" s="42" t="s">
        <v>150</v>
      </c>
      <c r="N106" s="42" t="s">
        <v>633</v>
      </c>
      <c r="O106" s="42">
        <v>1</v>
      </c>
      <c r="P106" s="42">
        <v>1</v>
      </c>
      <c r="Q106" s="25" t="str">
        <f>VLOOKUP(P106,Key!$E$2:$F$9,2,FALSE)</f>
        <v>Home</v>
      </c>
      <c r="R106" s="25" t="str">
        <f t="shared" si="2"/>
        <v>Work-Home</v>
      </c>
      <c r="S106" s="47"/>
      <c r="T106" s="47"/>
      <c r="U106" s="55">
        <v>3</v>
      </c>
      <c r="V106" s="55"/>
      <c r="W106" s="47"/>
      <c r="X106" s="47"/>
      <c r="Y106" s="48" t="s">
        <v>146</v>
      </c>
      <c r="Z106" s="56"/>
      <c r="AA106" s="25"/>
      <c r="AB106" s="25"/>
    </row>
    <row r="107" spans="2:28">
      <c r="B107" s="39">
        <v>0.88888888888888884</v>
      </c>
      <c r="C107" s="39" t="s">
        <v>310</v>
      </c>
      <c r="D107" s="40">
        <v>11</v>
      </c>
      <c r="E107" s="40">
        <v>1</v>
      </c>
      <c r="F107" s="41" t="s">
        <v>155</v>
      </c>
      <c r="G107" s="41" t="s">
        <v>148</v>
      </c>
      <c r="H107" s="41" t="s">
        <v>633</v>
      </c>
      <c r="I107" s="41">
        <v>8</v>
      </c>
      <c r="J107" s="41">
        <v>2</v>
      </c>
      <c r="K107" s="25" t="str">
        <f>VLOOKUP(J107,Key!$E$2:$F$9,2,FALSE)</f>
        <v>Work</v>
      </c>
      <c r="L107" s="41" t="s">
        <v>309</v>
      </c>
      <c r="M107" s="42" t="s">
        <v>150</v>
      </c>
      <c r="N107" s="42" t="s">
        <v>633</v>
      </c>
      <c r="O107" s="42">
        <v>1</v>
      </c>
      <c r="P107" s="42">
        <v>1</v>
      </c>
      <c r="Q107" s="25" t="s">
        <v>101</v>
      </c>
      <c r="R107" s="25" t="str">
        <f t="shared" si="2"/>
        <v>Work-Home</v>
      </c>
      <c r="S107" s="47"/>
      <c r="T107" s="47">
        <v>0.5</v>
      </c>
      <c r="U107" s="55">
        <v>2</v>
      </c>
      <c r="V107" s="55"/>
      <c r="W107" s="47"/>
      <c r="X107" s="47"/>
      <c r="Y107" s="48" t="s">
        <v>146</v>
      </c>
      <c r="Z107" s="56"/>
      <c r="AA107" s="25"/>
      <c r="AB107" s="25"/>
    </row>
    <row r="108" spans="2:28">
      <c r="B108" s="39">
        <v>0.89097222222222217</v>
      </c>
      <c r="C108" s="39" t="s">
        <v>311</v>
      </c>
      <c r="D108" s="40">
        <v>11</v>
      </c>
      <c r="E108" s="40">
        <v>1</v>
      </c>
      <c r="F108" s="41" t="s">
        <v>155</v>
      </c>
      <c r="G108" s="41" t="s">
        <v>148</v>
      </c>
      <c r="H108" s="41" t="s">
        <v>633</v>
      </c>
      <c r="I108" s="41">
        <v>8</v>
      </c>
      <c r="J108" s="41">
        <v>2</v>
      </c>
      <c r="K108" s="25" t="str">
        <f>VLOOKUP(J108,Key!$E$2:$F$9,2,FALSE)</f>
        <v>Work</v>
      </c>
      <c r="L108" s="41" t="s">
        <v>164</v>
      </c>
      <c r="M108" s="42" t="s">
        <v>150</v>
      </c>
      <c r="N108" s="42" t="s">
        <v>633</v>
      </c>
      <c r="O108" s="42">
        <v>1</v>
      </c>
      <c r="P108" s="42">
        <v>1</v>
      </c>
      <c r="Q108" s="25" t="str">
        <f>VLOOKUP(P108,Key!$E$2:$F$9,2,FALSE)</f>
        <v>Home</v>
      </c>
      <c r="R108" s="25" t="str">
        <f t="shared" si="2"/>
        <v>Work-Home</v>
      </c>
      <c r="S108" s="47"/>
      <c r="T108" s="47">
        <v>0.2</v>
      </c>
      <c r="U108" s="55">
        <v>2</v>
      </c>
      <c r="V108" s="55"/>
      <c r="W108" s="47"/>
      <c r="X108" s="47"/>
      <c r="Y108" s="48" t="s">
        <v>146</v>
      </c>
      <c r="Z108" s="56"/>
      <c r="AA108" s="25"/>
      <c r="AB108" s="25"/>
    </row>
    <row r="109" spans="2:28">
      <c r="B109" s="39">
        <v>0.8965277777777777</v>
      </c>
      <c r="C109" s="39" t="s">
        <v>312</v>
      </c>
      <c r="D109" s="40">
        <v>7</v>
      </c>
      <c r="E109" s="40">
        <v>2</v>
      </c>
      <c r="F109" s="41" t="s">
        <v>313</v>
      </c>
      <c r="G109" s="41" t="s">
        <v>148</v>
      </c>
      <c r="H109" s="41" t="s">
        <v>633</v>
      </c>
      <c r="I109" s="41">
        <v>11</v>
      </c>
      <c r="J109" s="41">
        <v>2</v>
      </c>
      <c r="K109" s="25" t="str">
        <f>VLOOKUP(J109,Key!$E$2:$F$9,2,FALSE)</f>
        <v>Work</v>
      </c>
      <c r="L109" s="41" t="s">
        <v>167</v>
      </c>
      <c r="M109" s="42" t="s">
        <v>150</v>
      </c>
      <c r="N109" s="42" t="s">
        <v>633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2"/>
        <v>Work-Home</v>
      </c>
      <c r="S109" s="47">
        <v>12</v>
      </c>
      <c r="T109" s="47">
        <v>1</v>
      </c>
      <c r="U109" s="55">
        <v>2</v>
      </c>
      <c r="V109" s="55">
        <v>10</v>
      </c>
      <c r="W109" s="47">
        <v>1.5</v>
      </c>
      <c r="X109" s="47">
        <v>3000000</v>
      </c>
      <c r="Y109" s="48" t="s">
        <v>146</v>
      </c>
      <c r="Z109" s="56"/>
      <c r="AA109" s="25"/>
      <c r="AB109" s="25"/>
    </row>
    <row r="110" spans="2:28">
      <c r="B110" s="39">
        <v>0.90625</v>
      </c>
      <c r="C110" s="39" t="s">
        <v>314</v>
      </c>
      <c r="D110" s="40">
        <v>1</v>
      </c>
      <c r="E110" s="40">
        <v>2</v>
      </c>
      <c r="F110" s="41" t="s">
        <v>155</v>
      </c>
      <c r="G110" s="41" t="s">
        <v>148</v>
      </c>
      <c r="H110" s="41" t="s">
        <v>633</v>
      </c>
      <c r="I110" s="41">
        <v>1</v>
      </c>
      <c r="J110" s="41">
        <v>1</v>
      </c>
      <c r="K110" s="25" t="str">
        <f>VLOOKUP(J110,Key!$E$2:$F$9,2,FALSE)</f>
        <v>Home</v>
      </c>
      <c r="L110" s="41" t="s">
        <v>169</v>
      </c>
      <c r="M110" s="42" t="s">
        <v>150</v>
      </c>
      <c r="N110" s="42" t="s">
        <v>633</v>
      </c>
      <c r="O110" s="42">
        <v>16</v>
      </c>
      <c r="P110" s="42">
        <v>8</v>
      </c>
      <c r="Q110" s="25" t="str">
        <f>VLOOKUP(P110,Key!$E$2:$F$9,2,FALSE)</f>
        <v>Others</v>
      </c>
      <c r="R110" s="25" t="str">
        <f t="shared" si="2"/>
        <v>Home-Others</v>
      </c>
      <c r="S110" s="47">
        <v>12</v>
      </c>
      <c r="T110" s="47">
        <v>0.3</v>
      </c>
      <c r="U110" s="55">
        <v>3</v>
      </c>
      <c r="V110" s="55"/>
      <c r="W110" s="47"/>
      <c r="X110" s="47"/>
      <c r="Y110" s="48" t="s">
        <v>146</v>
      </c>
      <c r="Z110" s="56"/>
      <c r="AA110" s="25"/>
      <c r="AB110" s="25"/>
    </row>
    <row r="111" spans="2:28">
      <c r="B111" s="39">
        <v>0.93680555555555556</v>
      </c>
      <c r="C111" s="39" t="s">
        <v>315</v>
      </c>
      <c r="D111" s="40">
        <v>4</v>
      </c>
      <c r="E111" s="40">
        <v>2</v>
      </c>
      <c r="F111" s="41" t="s">
        <v>317</v>
      </c>
      <c r="G111" s="41" t="s">
        <v>316</v>
      </c>
      <c r="H111" s="41" t="s">
        <v>633</v>
      </c>
      <c r="I111" s="41">
        <v>6</v>
      </c>
      <c r="J111" s="41">
        <v>2</v>
      </c>
      <c r="K111" s="25" t="str">
        <f>VLOOKUP(J111,Key!$E$2:$F$9,2,FALSE)</f>
        <v>Work</v>
      </c>
      <c r="L111" s="41" t="s">
        <v>167</v>
      </c>
      <c r="M111" s="42" t="s">
        <v>150</v>
      </c>
      <c r="N111" s="42" t="s">
        <v>633</v>
      </c>
      <c r="O111" s="42">
        <v>1</v>
      </c>
      <c r="P111" s="42">
        <v>1</v>
      </c>
      <c r="Q111" s="25" t="str">
        <f>VLOOKUP(P111,Key!$E$2:$F$9,2,FALSE)</f>
        <v>Home</v>
      </c>
      <c r="R111" s="25" t="str">
        <f t="shared" si="2"/>
        <v>Work-Home</v>
      </c>
      <c r="S111" s="47">
        <v>125</v>
      </c>
      <c r="T111" s="47">
        <v>4</v>
      </c>
      <c r="U111" s="55">
        <v>2</v>
      </c>
      <c r="V111" s="55"/>
      <c r="W111" s="47"/>
      <c r="X111" s="47"/>
      <c r="Y111" s="48" t="s">
        <v>146</v>
      </c>
      <c r="Z111" s="56"/>
      <c r="AA111" s="25"/>
      <c r="AB111" s="25"/>
    </row>
    <row r="112" spans="2:28">
      <c r="B112" s="39">
        <v>0.94444444444444453</v>
      </c>
      <c r="C112" s="39" t="s">
        <v>318</v>
      </c>
      <c r="D112" s="40">
        <v>11</v>
      </c>
      <c r="E112" s="40">
        <v>1</v>
      </c>
      <c r="F112" s="41" t="s">
        <v>155</v>
      </c>
      <c r="G112" s="41" t="s">
        <v>148</v>
      </c>
      <c r="H112" s="41" t="s">
        <v>633</v>
      </c>
      <c r="I112" s="41">
        <v>8</v>
      </c>
      <c r="J112" s="41">
        <v>2</v>
      </c>
      <c r="K112" s="25" t="str">
        <f>VLOOKUP(J112,Key!$E$2:$F$9,2,FALSE)</f>
        <v>Work</v>
      </c>
      <c r="L112" s="41" t="s">
        <v>191</v>
      </c>
      <c r="M112" s="42" t="s">
        <v>150</v>
      </c>
      <c r="N112" s="42" t="s">
        <v>633</v>
      </c>
      <c r="O112" s="42">
        <v>1</v>
      </c>
      <c r="P112" s="42">
        <v>1</v>
      </c>
      <c r="Q112" s="25" t="str">
        <f>VLOOKUP(P112,Key!$E$2:$F$9,2,FALSE)</f>
        <v>Home</v>
      </c>
      <c r="R112" s="25" t="str">
        <f t="shared" si="2"/>
        <v>Work-Home</v>
      </c>
      <c r="S112" s="47">
        <v>4</v>
      </c>
      <c r="T112" s="47">
        <v>0.5</v>
      </c>
      <c r="U112" s="55">
        <v>2</v>
      </c>
      <c r="V112" s="55"/>
      <c r="W112" s="47"/>
      <c r="X112" s="47"/>
      <c r="Y112" s="48" t="s">
        <v>146</v>
      </c>
      <c r="Z112" s="56"/>
      <c r="AA112" s="25"/>
      <c r="AB112" s="25"/>
    </row>
    <row r="113" spans="2:28">
      <c r="B113" s="39">
        <v>0.95486111111111116</v>
      </c>
      <c r="C113" s="39" t="s">
        <v>319</v>
      </c>
      <c r="D113" s="40">
        <v>11</v>
      </c>
      <c r="E113" s="40">
        <v>1</v>
      </c>
      <c r="F113" s="41" t="s">
        <v>155</v>
      </c>
      <c r="G113" s="41" t="s">
        <v>148</v>
      </c>
      <c r="H113" s="41" t="s">
        <v>633</v>
      </c>
      <c r="I113" s="41">
        <v>8</v>
      </c>
      <c r="J113" s="41">
        <v>2</v>
      </c>
      <c r="K113" s="25" t="str">
        <f>VLOOKUP(J113,Key!$E$2:$F$9,2,FALSE)</f>
        <v>Work</v>
      </c>
      <c r="L113" s="41" t="s">
        <v>201</v>
      </c>
      <c r="M113" s="42" t="s">
        <v>150</v>
      </c>
      <c r="N113" s="42" t="s">
        <v>633</v>
      </c>
      <c r="O113" s="42">
        <v>1</v>
      </c>
      <c r="P113" s="42">
        <v>1</v>
      </c>
      <c r="Q113" s="25" t="str">
        <f>VLOOKUP(P113,Key!$E$2:$F$9,2,FALSE)</f>
        <v>Home</v>
      </c>
      <c r="R113" s="25" t="str">
        <f t="shared" si="2"/>
        <v>Work-Home</v>
      </c>
      <c r="S113" s="47"/>
      <c r="T113" s="47">
        <v>0.3</v>
      </c>
      <c r="U113" s="55">
        <v>2</v>
      </c>
      <c r="V113" s="55"/>
      <c r="W113" s="47"/>
      <c r="X113" s="47"/>
      <c r="Y113" s="48" t="s">
        <v>146</v>
      </c>
      <c r="Z113" s="56"/>
      <c r="AA113" s="25"/>
      <c r="AB113" s="25"/>
    </row>
    <row r="114" spans="2:28">
      <c r="B114" s="39">
        <v>0.95972222222222225</v>
      </c>
      <c r="C114" s="39" t="s">
        <v>320</v>
      </c>
      <c r="D114" s="40">
        <v>11</v>
      </c>
      <c r="E114" s="40">
        <v>1</v>
      </c>
      <c r="F114" s="41" t="s">
        <v>155</v>
      </c>
      <c r="G114" s="41" t="s">
        <v>148</v>
      </c>
      <c r="H114" s="41" t="s">
        <v>633</v>
      </c>
      <c r="I114" s="41">
        <v>8</v>
      </c>
      <c r="J114" s="41">
        <v>2</v>
      </c>
      <c r="K114" s="25" t="str">
        <f>VLOOKUP(J114,Key!$E$2:$F$9,2,FALSE)</f>
        <v>Work</v>
      </c>
      <c r="L114" s="41" t="s">
        <v>164</v>
      </c>
      <c r="M114" s="42" t="s">
        <v>150</v>
      </c>
      <c r="N114" s="42" t="s">
        <v>633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2"/>
        <v>Work-Home</v>
      </c>
      <c r="S114" s="47">
        <v>3</v>
      </c>
      <c r="T114" s="47">
        <v>0.3</v>
      </c>
      <c r="U114" s="55">
        <v>2</v>
      </c>
      <c r="V114" s="55"/>
      <c r="W114" s="47"/>
      <c r="X114" s="47"/>
      <c r="Y114" s="48" t="s">
        <v>146</v>
      </c>
      <c r="Z114" s="56"/>
      <c r="AA114" s="25"/>
      <c r="AB114" s="25"/>
    </row>
    <row r="115" spans="2:28">
      <c r="B115" s="39">
        <v>0.96319444444444446</v>
      </c>
      <c r="C115" s="39" t="s">
        <v>321</v>
      </c>
      <c r="D115" s="40">
        <v>7</v>
      </c>
      <c r="E115" s="40">
        <v>1</v>
      </c>
      <c r="F115" s="41" t="s">
        <v>155</v>
      </c>
      <c r="G115" s="41" t="s">
        <v>148</v>
      </c>
      <c r="H115" s="41" t="s">
        <v>633</v>
      </c>
      <c r="I115" s="41">
        <v>10</v>
      </c>
      <c r="J115" s="41">
        <v>4</v>
      </c>
      <c r="K115" s="25" t="str">
        <f>VLOOKUP(J115,Key!$E$2:$F$9,2,FALSE)</f>
        <v>Commercial</v>
      </c>
      <c r="L115" s="41" t="s">
        <v>201</v>
      </c>
      <c r="M115" s="42" t="s">
        <v>150</v>
      </c>
      <c r="N115" s="42" t="s">
        <v>633</v>
      </c>
      <c r="O115" s="42">
        <v>1</v>
      </c>
      <c r="P115" s="42">
        <v>1</v>
      </c>
      <c r="Q115" s="25" t="str">
        <f>VLOOKUP(P115,Key!$E$2:$F$9,2,FALSE)</f>
        <v>Home</v>
      </c>
      <c r="R115" s="25" t="str">
        <f t="shared" si="2"/>
        <v>Commercial-Home</v>
      </c>
      <c r="S115" s="47">
        <v>8</v>
      </c>
      <c r="T115" s="47">
        <v>0.4</v>
      </c>
      <c r="U115" s="55">
        <v>2</v>
      </c>
      <c r="V115" s="55">
        <v>11</v>
      </c>
      <c r="W115" s="47"/>
      <c r="X115" s="47"/>
      <c r="Y115" s="48" t="s">
        <v>146</v>
      </c>
      <c r="Z115" s="56"/>
      <c r="AA115" s="25"/>
      <c r="AB115" s="25"/>
    </row>
    <row r="116" spans="2:28">
      <c r="B116" s="39">
        <v>0.96875</v>
      </c>
      <c r="C116" s="39" t="s">
        <v>322</v>
      </c>
      <c r="D116" s="40">
        <v>11</v>
      </c>
      <c r="E116" s="40">
        <v>1</v>
      </c>
      <c r="F116" s="41" t="s">
        <v>155</v>
      </c>
      <c r="G116" s="41" t="s">
        <v>148</v>
      </c>
      <c r="H116" s="41" t="s">
        <v>633</v>
      </c>
      <c r="I116" s="41">
        <v>8</v>
      </c>
      <c r="J116" s="41">
        <v>2</v>
      </c>
      <c r="K116" s="25" t="str">
        <f>VLOOKUP(J116,Key!$E$2:$F$9,2,FALSE)</f>
        <v>Work</v>
      </c>
      <c r="L116" s="41" t="s">
        <v>164</v>
      </c>
      <c r="M116" s="42" t="s">
        <v>150</v>
      </c>
      <c r="N116" s="42" t="s">
        <v>633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2"/>
        <v>Work-Home</v>
      </c>
      <c r="S116" s="47">
        <v>0.5</v>
      </c>
      <c r="T116" s="47">
        <v>0.5</v>
      </c>
      <c r="U116" s="55">
        <v>2</v>
      </c>
      <c r="V116" s="55"/>
      <c r="W116" s="47"/>
      <c r="X116" s="47"/>
      <c r="Y116" s="48" t="s">
        <v>146</v>
      </c>
      <c r="Z116" s="56"/>
      <c r="AA116" s="25"/>
      <c r="AB116" s="25"/>
    </row>
    <row r="117" spans="2:28">
      <c r="B117" s="39">
        <v>0.97916666666666663</v>
      </c>
      <c r="C117" s="39" t="s">
        <v>323</v>
      </c>
      <c r="D117" s="40">
        <v>1</v>
      </c>
      <c r="E117" s="40">
        <v>2</v>
      </c>
      <c r="F117" s="41" t="s">
        <v>155</v>
      </c>
      <c r="G117" s="41" t="s">
        <v>148</v>
      </c>
      <c r="H117" s="41" t="s">
        <v>633</v>
      </c>
      <c r="I117" s="41">
        <v>9</v>
      </c>
      <c r="J117" s="41">
        <v>4</v>
      </c>
      <c r="K117" s="25" t="str">
        <f>VLOOKUP(J117,Key!$E$2:$F$9,2,FALSE)</f>
        <v>Commercial</v>
      </c>
      <c r="L117" s="41" t="s">
        <v>162</v>
      </c>
      <c r="M117" s="42" t="s">
        <v>150</v>
      </c>
      <c r="N117" s="42" t="s">
        <v>633</v>
      </c>
      <c r="O117" s="42">
        <v>1</v>
      </c>
      <c r="P117" s="42">
        <v>1</v>
      </c>
      <c r="Q117" s="25" t="str">
        <f>VLOOKUP(P117,Key!$E$2:$F$9,2,FALSE)</f>
        <v>Home</v>
      </c>
      <c r="R117" s="25" t="str">
        <f t="shared" si="2"/>
        <v>Commercial-Home</v>
      </c>
      <c r="S117" s="47">
        <v>59</v>
      </c>
      <c r="T117" s="47">
        <v>1</v>
      </c>
      <c r="U117" s="55">
        <v>3</v>
      </c>
      <c r="V117" s="55"/>
      <c r="W117" s="47"/>
      <c r="X117" s="47"/>
      <c r="Y117" s="48" t="s">
        <v>146</v>
      </c>
      <c r="Z117" s="56"/>
      <c r="AA117" s="25"/>
      <c r="AB117" s="25"/>
    </row>
    <row r="118" spans="2:28">
      <c r="B118" s="39">
        <v>0.9902777777777777</v>
      </c>
      <c r="C118" s="39" t="s">
        <v>324</v>
      </c>
      <c r="D118" s="40">
        <v>1</v>
      </c>
      <c r="E118" s="40">
        <v>1</v>
      </c>
      <c r="F118" s="41" t="s">
        <v>173</v>
      </c>
      <c r="G118" s="41" t="s">
        <v>148</v>
      </c>
      <c r="H118" s="41" t="s">
        <v>633</v>
      </c>
      <c r="I118" s="41">
        <v>5</v>
      </c>
      <c r="J118" s="41">
        <v>7</v>
      </c>
      <c r="K118" s="25" t="str">
        <f>VLOOKUP(J118,Key!$E$2:$F$9,2,FALSE)</f>
        <v>Hospital</v>
      </c>
      <c r="L118" s="41" t="s">
        <v>169</v>
      </c>
      <c r="M118" s="42" t="s">
        <v>150</v>
      </c>
      <c r="N118" s="42" t="s">
        <v>633</v>
      </c>
      <c r="O118" s="42">
        <v>1</v>
      </c>
      <c r="P118" s="42">
        <v>1</v>
      </c>
      <c r="Q118" s="25" t="str">
        <f>VLOOKUP(P118,Key!$E$2:$F$9,2,FALSE)</f>
        <v>Home</v>
      </c>
      <c r="R118" s="25" t="str">
        <f t="shared" si="2"/>
        <v>Hospital-Home</v>
      </c>
      <c r="S118" s="47">
        <v>5</v>
      </c>
      <c r="T118" s="47">
        <v>0.3</v>
      </c>
      <c r="U118" s="55">
        <v>2</v>
      </c>
      <c r="V118" s="55"/>
      <c r="W118" s="47"/>
      <c r="X118" s="47"/>
      <c r="Y118" s="48" t="s">
        <v>146</v>
      </c>
      <c r="Z118" s="56"/>
      <c r="AA118" s="25"/>
      <c r="AB118" s="25"/>
    </row>
    <row r="119" spans="2:28">
      <c r="B119" s="39">
        <v>0.99791666666666667</v>
      </c>
      <c r="C119" s="39" t="s">
        <v>325</v>
      </c>
      <c r="D119" s="40">
        <v>9</v>
      </c>
      <c r="E119" s="40">
        <v>3</v>
      </c>
      <c r="F119" s="41" t="s">
        <v>155</v>
      </c>
      <c r="G119" s="41" t="s">
        <v>148</v>
      </c>
      <c r="H119" s="41" t="s">
        <v>633</v>
      </c>
      <c r="I119" s="41">
        <v>10</v>
      </c>
      <c r="J119" s="41">
        <v>2</v>
      </c>
      <c r="K119" s="25" t="str">
        <f>VLOOKUP(J119,Key!$E$2:$F$9,2,FALSE)</f>
        <v>Work</v>
      </c>
      <c r="L119" s="41" t="s">
        <v>169</v>
      </c>
      <c r="M119" s="42" t="s">
        <v>150</v>
      </c>
      <c r="N119" s="42" t="s">
        <v>633</v>
      </c>
      <c r="O119" s="42">
        <v>15</v>
      </c>
      <c r="P119" s="42">
        <v>4</v>
      </c>
      <c r="Q119" s="25" t="str">
        <f>VLOOKUP(P119,Key!$E$2:$F$9,2,FALSE)</f>
        <v>Commercial</v>
      </c>
      <c r="R119" s="25" t="str">
        <f t="shared" si="2"/>
        <v>Work-Commercial</v>
      </c>
      <c r="S119" s="47">
        <v>12</v>
      </c>
      <c r="T119" s="47">
        <v>0.5</v>
      </c>
      <c r="U119" s="55">
        <v>2</v>
      </c>
      <c r="V119" s="55">
        <v>4</v>
      </c>
      <c r="W119" s="47">
        <v>17</v>
      </c>
      <c r="X119" s="47"/>
      <c r="Y119" s="48" t="s">
        <v>146</v>
      </c>
      <c r="Z119" s="56"/>
      <c r="AA119" s="25"/>
      <c r="AB119" s="25"/>
    </row>
    <row r="120" spans="2:28">
      <c r="B120" s="39">
        <v>0.50694444444444442</v>
      </c>
      <c r="C120" s="39" t="s">
        <v>326</v>
      </c>
      <c r="D120" s="40">
        <v>11</v>
      </c>
      <c r="E120" s="40">
        <v>1</v>
      </c>
      <c r="F120" s="41" t="s">
        <v>195</v>
      </c>
      <c r="G120" s="41" t="s">
        <v>148</v>
      </c>
      <c r="H120" s="41" t="s">
        <v>633</v>
      </c>
      <c r="I120" s="41">
        <v>8</v>
      </c>
      <c r="J120" s="41">
        <v>2</v>
      </c>
      <c r="K120" s="25" t="str">
        <f>VLOOKUP(J120,Key!$E$2:$F$9,2,FALSE)</f>
        <v>Work</v>
      </c>
      <c r="L120" s="41" t="s">
        <v>167</v>
      </c>
      <c r="M120" s="42" t="s">
        <v>150</v>
      </c>
      <c r="N120" s="42" t="s">
        <v>633</v>
      </c>
      <c r="O120" s="42">
        <v>1</v>
      </c>
      <c r="P120" s="42">
        <v>1</v>
      </c>
      <c r="Q120" s="25" t="str">
        <f>VLOOKUP(P120,Key!$E$2:$F$9,2,FALSE)</f>
        <v>Home</v>
      </c>
      <c r="R120" s="25" t="str">
        <f t="shared" si="2"/>
        <v>Work-Home</v>
      </c>
      <c r="S120" s="47"/>
      <c r="T120" s="47"/>
      <c r="U120" s="55">
        <v>2</v>
      </c>
      <c r="V120" s="55"/>
      <c r="W120" s="47"/>
      <c r="X120" s="47"/>
      <c r="Y120" s="48" t="s">
        <v>146</v>
      </c>
      <c r="Z120" s="56"/>
      <c r="AA120" s="25"/>
      <c r="AB120" s="25"/>
    </row>
    <row r="121" spans="2:28">
      <c r="B121" s="39">
        <v>0.52083333333333337</v>
      </c>
      <c r="C121" s="39" t="s">
        <v>327</v>
      </c>
      <c r="D121" s="40">
        <v>4</v>
      </c>
      <c r="E121" s="40">
        <v>5</v>
      </c>
      <c r="F121" s="41" t="s">
        <v>184</v>
      </c>
      <c r="G121" s="41" t="s">
        <v>148</v>
      </c>
      <c r="H121" s="41" t="s">
        <v>633</v>
      </c>
      <c r="I121" s="41">
        <v>6</v>
      </c>
      <c r="J121" s="41">
        <v>2</v>
      </c>
      <c r="K121" s="25" t="str">
        <f>VLOOKUP(J121,Key!$E$2:$F$9,2,FALSE)</f>
        <v>Work</v>
      </c>
      <c r="L121" s="41" t="s">
        <v>185</v>
      </c>
      <c r="M121" s="42" t="s">
        <v>150</v>
      </c>
      <c r="N121" s="42" t="s">
        <v>633</v>
      </c>
      <c r="O121" s="42">
        <v>1</v>
      </c>
      <c r="P121" s="42">
        <v>1</v>
      </c>
      <c r="Q121" s="25" t="str">
        <f>VLOOKUP(P121,Key!$E$2:$F$9,2,FALSE)</f>
        <v>Home</v>
      </c>
      <c r="R121" s="25" t="str">
        <f t="shared" si="2"/>
        <v>Work-Home</v>
      </c>
      <c r="S121" s="47">
        <v>0.7</v>
      </c>
      <c r="T121" s="47">
        <v>1.2</v>
      </c>
      <c r="U121" s="55">
        <v>2</v>
      </c>
      <c r="V121" s="55"/>
      <c r="W121" s="47"/>
      <c r="X121" s="47"/>
      <c r="Y121" s="48" t="s">
        <v>146</v>
      </c>
      <c r="Z121" s="56"/>
      <c r="AA121" s="25"/>
      <c r="AB121" s="25"/>
    </row>
    <row r="122" spans="2:28">
      <c r="B122" s="39">
        <v>0.53125</v>
      </c>
      <c r="C122" s="39" t="s">
        <v>328</v>
      </c>
      <c r="D122" s="40">
        <v>11</v>
      </c>
      <c r="E122" s="40">
        <v>1</v>
      </c>
      <c r="F122" s="41" t="s">
        <v>195</v>
      </c>
      <c r="G122" s="41" t="s">
        <v>148</v>
      </c>
      <c r="H122" s="41" t="s">
        <v>633</v>
      </c>
      <c r="I122" s="41">
        <v>8</v>
      </c>
      <c r="J122" s="41">
        <v>2</v>
      </c>
      <c r="K122" s="25" t="str">
        <f>VLOOKUP(J122,Key!$E$2:$F$9,2,FALSE)</f>
        <v>Work</v>
      </c>
      <c r="L122" s="41" t="s">
        <v>164</v>
      </c>
      <c r="M122" s="42" t="s">
        <v>150</v>
      </c>
      <c r="N122" s="42" t="s">
        <v>633</v>
      </c>
      <c r="O122" s="42">
        <v>1</v>
      </c>
      <c r="P122" s="42">
        <v>1</v>
      </c>
      <c r="Q122" s="25" t="str">
        <f>VLOOKUP(P122,Key!$E$2:$F$9,2,FALSE)</f>
        <v>Home</v>
      </c>
      <c r="R122" s="25" t="str">
        <f t="shared" si="2"/>
        <v>Work-Home</v>
      </c>
      <c r="S122" s="47">
        <v>5</v>
      </c>
      <c r="T122" s="47">
        <v>0.3</v>
      </c>
      <c r="U122" s="55">
        <v>2</v>
      </c>
      <c r="V122" s="55"/>
      <c r="W122" s="47"/>
      <c r="X122" s="47"/>
      <c r="Y122" s="48" t="s">
        <v>146</v>
      </c>
      <c r="Z122" s="56"/>
      <c r="AA122" s="25"/>
      <c r="AB122" s="25"/>
    </row>
    <row r="123" spans="2:28">
      <c r="B123" s="39">
        <v>4.1666666666666664E-2</v>
      </c>
      <c r="C123" s="39" t="s">
        <v>329</v>
      </c>
      <c r="D123" s="40">
        <v>1</v>
      </c>
      <c r="E123" s="40">
        <v>3</v>
      </c>
      <c r="F123" s="41" t="s">
        <v>155</v>
      </c>
      <c r="G123" s="41" t="s">
        <v>148</v>
      </c>
      <c r="H123" s="41" t="s">
        <v>633</v>
      </c>
      <c r="I123" s="41">
        <v>16</v>
      </c>
      <c r="J123" s="41">
        <v>6</v>
      </c>
      <c r="K123" s="25" t="str">
        <f>VLOOKUP(J123,Key!$E$2:$F$9,2,FALSE)</f>
        <v>Leisure/Social</v>
      </c>
      <c r="L123" s="41" t="s">
        <v>167</v>
      </c>
      <c r="M123" s="42" t="s">
        <v>150</v>
      </c>
      <c r="N123" s="42" t="s">
        <v>633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Leisure/Social-Home</v>
      </c>
      <c r="S123" s="47"/>
      <c r="T123" s="47"/>
      <c r="U123" s="55">
        <v>3</v>
      </c>
      <c r="V123" s="55"/>
      <c r="W123" s="47"/>
      <c r="X123" s="47"/>
      <c r="Y123" s="48" t="s">
        <v>146</v>
      </c>
      <c r="Z123" s="56"/>
      <c r="AA123" s="25"/>
      <c r="AB123" s="25"/>
    </row>
    <row r="124" spans="2:28">
      <c r="B124" s="39">
        <v>0.21875</v>
      </c>
      <c r="C124" s="39" t="s">
        <v>330</v>
      </c>
      <c r="D124" s="40">
        <v>8</v>
      </c>
      <c r="E124" s="40">
        <v>2</v>
      </c>
      <c r="F124" s="41" t="s">
        <v>155</v>
      </c>
      <c r="G124" s="41" t="s">
        <v>148</v>
      </c>
      <c r="H124" s="41" t="s">
        <v>633</v>
      </c>
      <c r="I124" s="41">
        <v>10</v>
      </c>
      <c r="J124" s="41">
        <v>2</v>
      </c>
      <c r="K124" s="25" t="str">
        <f>VLOOKUP(J124,Key!$E$2:$F$9,2,FALSE)</f>
        <v>Work</v>
      </c>
      <c r="L124" s="41" t="s">
        <v>169</v>
      </c>
      <c r="M124" s="42" t="s">
        <v>150</v>
      </c>
      <c r="N124" s="42" t="s">
        <v>633</v>
      </c>
      <c r="O124" s="42">
        <v>15</v>
      </c>
      <c r="P124" s="42">
        <v>4</v>
      </c>
      <c r="Q124" s="25" t="str">
        <f>VLOOKUP(P124,Key!$E$2:$F$9,2,FALSE)</f>
        <v>Commercial</v>
      </c>
      <c r="R124" s="25" t="str">
        <f t="shared" si="2"/>
        <v>Work-Commercial</v>
      </c>
      <c r="S124" s="47">
        <v>12</v>
      </c>
      <c r="T124" s="47">
        <v>0.3</v>
      </c>
      <c r="U124" s="55">
        <v>2</v>
      </c>
      <c r="V124" s="55"/>
      <c r="W124" s="47"/>
      <c r="X124" s="47"/>
      <c r="Y124" s="48" t="s">
        <v>146</v>
      </c>
      <c r="Z124" s="56"/>
      <c r="AA124" s="25"/>
      <c r="AB124" s="25"/>
    </row>
    <row r="125" spans="2:28">
      <c r="B125" s="39">
        <v>0.23263888888888887</v>
      </c>
      <c r="C125" s="39" t="s">
        <v>331</v>
      </c>
      <c r="D125" s="40">
        <v>11</v>
      </c>
      <c r="E125" s="40">
        <v>2</v>
      </c>
      <c r="F125" s="41" t="s">
        <v>173</v>
      </c>
      <c r="G125" s="41" t="s">
        <v>148</v>
      </c>
      <c r="H125" s="41" t="s">
        <v>633</v>
      </c>
      <c r="I125" s="41">
        <v>8</v>
      </c>
      <c r="J125" s="41">
        <v>2</v>
      </c>
      <c r="K125" s="25" t="str">
        <f>VLOOKUP(J125,Key!$E$2:$F$9,2,FALSE)</f>
        <v>Work</v>
      </c>
      <c r="L125" s="41" t="s">
        <v>165</v>
      </c>
      <c r="M125" s="42" t="s">
        <v>150</v>
      </c>
      <c r="N125" s="42" t="s">
        <v>633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47"/>
      <c r="T125" s="47"/>
      <c r="U125" s="55">
        <v>2</v>
      </c>
      <c r="V125" s="55"/>
      <c r="W125" s="47"/>
      <c r="X125" s="47"/>
      <c r="Y125" s="48" t="s">
        <v>146</v>
      </c>
      <c r="Z125" s="56"/>
      <c r="AA125" s="25"/>
      <c r="AB125" s="25"/>
    </row>
    <row r="126" spans="2:28">
      <c r="B126" s="39">
        <v>0.25</v>
      </c>
      <c r="C126" s="39" t="s">
        <v>332</v>
      </c>
      <c r="D126" s="40">
        <v>11</v>
      </c>
      <c r="E126" s="40">
        <v>1</v>
      </c>
      <c r="F126" s="41" t="s">
        <v>195</v>
      </c>
      <c r="G126" s="41" t="s">
        <v>148</v>
      </c>
      <c r="H126" s="41" t="s">
        <v>633</v>
      </c>
      <c r="I126" s="41">
        <v>8</v>
      </c>
      <c r="J126" s="41">
        <v>2</v>
      </c>
      <c r="K126" s="25" t="str">
        <f>VLOOKUP(J126,Key!$E$2:$F$9,2,FALSE)</f>
        <v>Work</v>
      </c>
      <c r="L126" s="41" t="s">
        <v>164</v>
      </c>
      <c r="M126" s="42" t="s">
        <v>150</v>
      </c>
      <c r="N126" s="42" t="s">
        <v>633</v>
      </c>
      <c r="O126" s="42">
        <v>1</v>
      </c>
      <c r="P126" s="42">
        <v>1</v>
      </c>
      <c r="Q126" s="25" t="str">
        <f>VLOOKUP(P126,Key!$E$2:$F$9,2,FALSE)</f>
        <v>Home</v>
      </c>
      <c r="R126" s="25" t="str">
        <f t="shared" si="2"/>
        <v>Work-Home</v>
      </c>
      <c r="S126" s="47">
        <v>1</v>
      </c>
      <c r="T126" s="47">
        <v>0.1</v>
      </c>
      <c r="U126" s="55">
        <v>2</v>
      </c>
      <c r="V126" s="55"/>
      <c r="W126" s="47"/>
      <c r="X126" s="47"/>
      <c r="Y126" s="48" t="s">
        <v>146</v>
      </c>
      <c r="Z126" s="56"/>
      <c r="AA126" s="25"/>
      <c r="AB126" s="25"/>
    </row>
    <row r="127" spans="2:28">
      <c r="B127" s="39">
        <v>0.27083333333333331</v>
      </c>
      <c r="C127" s="39" t="s">
        <v>333</v>
      </c>
      <c r="D127" s="40">
        <v>4</v>
      </c>
      <c r="E127" s="40">
        <v>9</v>
      </c>
      <c r="F127" s="41" t="s">
        <v>155</v>
      </c>
      <c r="G127" s="41" t="s">
        <v>148</v>
      </c>
      <c r="H127" s="41" t="s">
        <v>633</v>
      </c>
      <c r="I127" s="41">
        <v>6</v>
      </c>
      <c r="J127" s="41">
        <v>2</v>
      </c>
      <c r="K127" s="25" t="str">
        <f>VLOOKUP(J127,Key!$E$2:$F$9,2,FALSE)</f>
        <v>Work</v>
      </c>
      <c r="L127" s="41" t="s">
        <v>334</v>
      </c>
      <c r="M127" s="42" t="s">
        <v>150</v>
      </c>
      <c r="N127" s="42" t="s">
        <v>633</v>
      </c>
      <c r="O127" s="42">
        <v>6</v>
      </c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47">
        <v>62</v>
      </c>
      <c r="T127" s="47">
        <v>2</v>
      </c>
      <c r="U127" s="55">
        <v>3</v>
      </c>
      <c r="V127" s="55"/>
      <c r="W127" s="47"/>
      <c r="X127" s="47"/>
      <c r="Y127" s="48" t="s">
        <v>146</v>
      </c>
      <c r="Z127" s="56"/>
      <c r="AA127" s="25"/>
      <c r="AB127" s="25"/>
    </row>
    <row r="128" spans="2:28">
      <c r="B128" s="39">
        <v>0.28125</v>
      </c>
      <c r="C128" s="39" t="s">
        <v>335</v>
      </c>
      <c r="D128" s="40">
        <v>1</v>
      </c>
      <c r="E128" s="40">
        <v>1</v>
      </c>
      <c r="F128" s="41" t="s">
        <v>155</v>
      </c>
      <c r="G128" s="41" t="s">
        <v>148</v>
      </c>
      <c r="H128" s="41" t="s">
        <v>633</v>
      </c>
      <c r="I128" s="41">
        <v>11</v>
      </c>
      <c r="J128" s="41">
        <v>2</v>
      </c>
      <c r="K128" s="25" t="str">
        <f>VLOOKUP(J128,Key!$E$2:$F$9,2,FALSE)</f>
        <v>Work</v>
      </c>
      <c r="L128" s="41" t="s">
        <v>191</v>
      </c>
      <c r="M128" s="42" t="s">
        <v>150</v>
      </c>
      <c r="N128" s="42" t="s">
        <v>633</v>
      </c>
      <c r="O128" s="42">
        <v>1</v>
      </c>
      <c r="P128" s="42">
        <v>1</v>
      </c>
      <c r="Q128" s="25" t="str">
        <f>VLOOKUP(P128,Key!$E$2:$F$9,2,FALSE)</f>
        <v>Home</v>
      </c>
      <c r="R128" s="25" t="str">
        <f t="shared" si="2"/>
        <v>Work-Home</v>
      </c>
      <c r="S128" s="47">
        <v>7</v>
      </c>
      <c r="T128" s="47">
        <v>0.2</v>
      </c>
      <c r="U128" s="55">
        <v>2</v>
      </c>
      <c r="V128" s="55"/>
      <c r="W128" s="47"/>
      <c r="X128" s="47"/>
      <c r="Y128" s="48" t="s">
        <v>146</v>
      </c>
      <c r="Z128" s="56"/>
      <c r="AA128" s="25"/>
      <c r="AB128" s="25"/>
    </row>
    <row r="143" spans="1:1">
      <c r="A143" s="14"/>
    </row>
    <row r="144" spans="1:1">
      <c r="A144" s="14"/>
    </row>
    <row r="145" spans="1:1">
      <c r="A145" s="14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0" t="s">
        <v>8</v>
      </c>
      <c r="C7" s="132" t="s">
        <v>9</v>
      </c>
      <c r="D7" s="132" t="s">
        <v>10</v>
      </c>
      <c r="E7" s="132" t="s">
        <v>11</v>
      </c>
      <c r="F7" s="132" t="s">
        <v>12</v>
      </c>
      <c r="G7" s="132"/>
      <c r="H7" s="132" t="s">
        <v>15</v>
      </c>
      <c r="I7" s="132" t="s">
        <v>16</v>
      </c>
      <c r="J7" s="132" t="s">
        <v>17</v>
      </c>
      <c r="K7" s="132"/>
      <c r="L7" s="132" t="s">
        <v>18</v>
      </c>
      <c r="M7" s="132" t="s">
        <v>19</v>
      </c>
      <c r="N7" s="132" t="s">
        <v>20</v>
      </c>
      <c r="O7" s="138" t="s">
        <v>21</v>
      </c>
      <c r="P7" s="148" t="s">
        <v>27</v>
      </c>
      <c r="Q7" s="149"/>
    </row>
    <row r="8" spans="2:25" ht="24.75" customHeight="1" thickBot="1">
      <c r="B8" s="152"/>
      <c r="C8" s="153"/>
      <c r="D8" s="153"/>
      <c r="E8" s="153"/>
      <c r="F8" s="18" t="s">
        <v>13</v>
      </c>
      <c r="G8" s="18" t="s">
        <v>14</v>
      </c>
      <c r="H8" s="153"/>
      <c r="I8" s="153"/>
      <c r="J8" s="18" t="s">
        <v>13</v>
      </c>
      <c r="K8" s="18" t="s">
        <v>14</v>
      </c>
      <c r="L8" s="153"/>
      <c r="M8" s="153"/>
      <c r="N8" s="153"/>
      <c r="O8" s="154"/>
      <c r="P8" s="150"/>
      <c r="Q8" s="15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45"/>
  <sheetViews>
    <sheetView topLeftCell="J78" zoomScale="90" zoomScaleNormal="90" zoomScaleSheetLayoutView="80" workbookViewId="0">
      <selection activeCell="B9" sqref="B9:AB10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tr">
        <f>'28.10 MBARARA-ISINGIRO'!C4</f>
        <v>28.10.2019</v>
      </c>
      <c r="E4" s="1" t="s">
        <v>65</v>
      </c>
      <c r="F4" s="126" t="str">
        <f>'28.10 MBARARA-ISINGIRO'!F4:G4</f>
        <v>MBARARA-NTUNGAMO ROAD</v>
      </c>
      <c r="G4" s="127"/>
      <c r="I4" s="27" t="s">
        <v>66</v>
      </c>
      <c r="J4" s="5"/>
      <c r="K4" s="5"/>
      <c r="L4" s="50" t="s">
        <v>150</v>
      </c>
      <c r="M4" s="2"/>
      <c r="N4" s="1" t="s">
        <v>68</v>
      </c>
      <c r="O4" s="128" t="s">
        <v>632</v>
      </c>
      <c r="P4" s="129"/>
      <c r="Q4" s="129"/>
      <c r="R4" s="129"/>
      <c r="S4" s="129"/>
      <c r="T4" s="129"/>
      <c r="V4" s="1" t="s">
        <v>69</v>
      </c>
      <c r="W4" s="61" t="str">
        <f>'28.10 MBARARA-ISINGIRO'!W4</f>
        <v>MIREMBE RUTH</v>
      </c>
      <c r="Y4" s="27" t="s">
        <v>6</v>
      </c>
      <c r="Z4" s="62" t="str">
        <f>'28.10 MBARARA-ISINGIRO'!Z4</f>
        <v>AJOK EMILY</v>
      </c>
      <c r="AA4" s="32" t="s">
        <v>7</v>
      </c>
      <c r="AB4" s="38">
        <f>'28.10 MBARARA-ISINGIRO'!AB4</f>
        <v>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1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129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130</v>
      </c>
      <c r="R7" s="123" t="s">
        <v>131</v>
      </c>
      <c r="S7" s="123" t="s">
        <v>133</v>
      </c>
      <c r="T7" s="123" t="s">
        <v>132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136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70</v>
      </c>
      <c r="G8" s="23" t="s">
        <v>57</v>
      </c>
      <c r="H8" s="24" t="s">
        <v>58</v>
      </c>
      <c r="I8" s="133"/>
      <c r="J8" s="124"/>
      <c r="K8" s="124"/>
      <c r="L8" s="23" t="s">
        <v>70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134</v>
      </c>
      <c r="X8" s="30" t="s">
        <v>135</v>
      </c>
      <c r="Y8" s="124"/>
      <c r="Z8" s="124"/>
      <c r="AA8" s="133"/>
      <c r="AB8" s="139"/>
    </row>
    <row r="9" spans="2:35" s="19" customFormat="1">
      <c r="B9" s="39">
        <v>0.87222222222222223</v>
      </c>
      <c r="C9" s="39" t="s">
        <v>336</v>
      </c>
      <c r="D9" s="40">
        <v>11</v>
      </c>
      <c r="E9" s="41">
        <v>1</v>
      </c>
      <c r="F9" s="41" t="s">
        <v>169</v>
      </c>
      <c r="G9" s="42" t="s">
        <v>150</v>
      </c>
      <c r="H9" s="41" t="s">
        <v>147</v>
      </c>
      <c r="I9" s="42">
        <v>8</v>
      </c>
      <c r="J9" s="42">
        <v>2</v>
      </c>
      <c r="K9" s="25" t="str">
        <f>VLOOKUP(J9,Key!$E$2:$F$9,2,FALSE)</f>
        <v>Work</v>
      </c>
      <c r="L9" s="41" t="s">
        <v>175</v>
      </c>
      <c r="M9" s="42" t="s">
        <v>148</v>
      </c>
      <c r="N9" s="41" t="s">
        <v>147</v>
      </c>
      <c r="O9" s="42">
        <v>8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7">
        <v>7</v>
      </c>
      <c r="T9" s="47">
        <v>0.1</v>
      </c>
      <c r="U9" s="42">
        <v>2</v>
      </c>
      <c r="V9" s="42"/>
      <c r="W9" s="47"/>
      <c r="X9" s="47"/>
      <c r="Y9" s="48" t="s">
        <v>146</v>
      </c>
      <c r="Z9" s="59"/>
      <c r="AA9" s="25"/>
      <c r="AB9" s="25"/>
    </row>
    <row r="10" spans="2:35">
      <c r="B10" s="39">
        <v>0.87847222222222221</v>
      </c>
      <c r="C10" s="39" t="s">
        <v>337</v>
      </c>
      <c r="D10" s="40">
        <v>1</v>
      </c>
      <c r="E10" s="41">
        <v>3</v>
      </c>
      <c r="F10" s="41" t="s">
        <v>209</v>
      </c>
      <c r="G10" s="42" t="s">
        <v>150</v>
      </c>
      <c r="H10" s="41" t="s">
        <v>147</v>
      </c>
      <c r="I10" s="42">
        <v>2</v>
      </c>
      <c r="J10" s="42">
        <v>2</v>
      </c>
      <c r="K10" s="25" t="str">
        <f>VLOOKUP(J10,Key!$E$2:$F$9,2,FALSE)</f>
        <v>Work</v>
      </c>
      <c r="L10" s="41" t="s">
        <v>155</v>
      </c>
      <c r="M10" s="42" t="s">
        <v>148</v>
      </c>
      <c r="N10" s="41" t="s">
        <v>147</v>
      </c>
      <c r="O10" s="42">
        <v>1</v>
      </c>
      <c r="P10" s="42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7">
        <v>37</v>
      </c>
      <c r="T10" s="47">
        <v>0.7</v>
      </c>
      <c r="U10" s="42">
        <v>2</v>
      </c>
      <c r="V10" s="42"/>
      <c r="W10" s="47"/>
      <c r="X10" s="47"/>
      <c r="Y10" s="48" t="s">
        <v>146</v>
      </c>
      <c r="Z10" s="59"/>
      <c r="AA10" s="25"/>
      <c r="AB10" s="25"/>
    </row>
    <row r="11" spans="2:35">
      <c r="B11" s="39">
        <v>0.88194444444444453</v>
      </c>
      <c r="C11" s="39" t="s">
        <v>338</v>
      </c>
      <c r="D11" s="40">
        <v>1</v>
      </c>
      <c r="E11" s="41">
        <v>2</v>
      </c>
      <c r="F11" s="41" t="s">
        <v>164</v>
      </c>
      <c r="G11" s="42" t="s">
        <v>150</v>
      </c>
      <c r="H11" s="41" t="s">
        <v>147</v>
      </c>
      <c r="I11" s="42">
        <v>1</v>
      </c>
      <c r="J11" s="42">
        <v>1</v>
      </c>
      <c r="K11" s="25" t="str">
        <f>VLOOKUP(J11,Key!$E$2:$F$9,2,FALSE)</f>
        <v>Home</v>
      </c>
      <c r="L11" s="41" t="s">
        <v>155</v>
      </c>
      <c r="M11" s="42" t="s">
        <v>148</v>
      </c>
      <c r="N11" s="41" t="s">
        <v>147</v>
      </c>
      <c r="O11" s="42">
        <v>11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47">
        <v>3</v>
      </c>
      <c r="T11" s="47">
        <v>0.2</v>
      </c>
      <c r="U11" s="42">
        <v>2</v>
      </c>
      <c r="V11" s="42"/>
      <c r="W11" s="47"/>
      <c r="X11" s="47"/>
      <c r="Y11" s="48" t="s">
        <v>146</v>
      </c>
      <c r="Z11" s="59"/>
      <c r="AA11" s="25"/>
      <c r="AB11" s="25"/>
    </row>
    <row r="12" spans="2:35">
      <c r="B12" s="39">
        <v>0.88750000000000007</v>
      </c>
      <c r="C12" s="39" t="s">
        <v>339</v>
      </c>
      <c r="D12" s="40">
        <v>8</v>
      </c>
      <c r="E12" s="41">
        <v>1</v>
      </c>
      <c r="F12" s="41" t="s">
        <v>213</v>
      </c>
      <c r="G12" s="42" t="s">
        <v>150</v>
      </c>
      <c r="H12" s="41" t="s">
        <v>147</v>
      </c>
      <c r="I12" s="42">
        <v>3</v>
      </c>
      <c r="J12" s="42">
        <v>2</v>
      </c>
      <c r="K12" s="25" t="str">
        <f>VLOOKUP(J12,Key!$E$2:$F$9,2,FALSE)</f>
        <v>Work</v>
      </c>
      <c r="L12" s="41" t="s">
        <v>155</v>
      </c>
      <c r="M12" s="42" t="s">
        <v>148</v>
      </c>
      <c r="N12" s="41" t="s">
        <v>147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Work-Home</v>
      </c>
      <c r="S12" s="47">
        <v>68</v>
      </c>
      <c r="T12" s="47">
        <v>1</v>
      </c>
      <c r="U12" s="42">
        <v>2</v>
      </c>
      <c r="V12" s="42">
        <v>11</v>
      </c>
      <c r="W12" s="47"/>
      <c r="X12" s="47"/>
      <c r="Y12" s="48" t="s">
        <v>146</v>
      </c>
      <c r="Z12" s="59"/>
      <c r="AA12" s="25"/>
      <c r="AB12" s="25"/>
    </row>
    <row r="13" spans="2:35">
      <c r="B13" s="39">
        <v>0.89236111111111116</v>
      </c>
      <c r="C13" s="39" t="s">
        <v>340</v>
      </c>
      <c r="D13" s="40">
        <v>1</v>
      </c>
      <c r="E13" s="41">
        <v>2</v>
      </c>
      <c r="F13" s="41" t="s">
        <v>164</v>
      </c>
      <c r="G13" s="42" t="s">
        <v>150</v>
      </c>
      <c r="H13" s="41" t="s">
        <v>147</v>
      </c>
      <c r="I13" s="42">
        <v>1</v>
      </c>
      <c r="J13" s="42">
        <v>1</v>
      </c>
      <c r="K13" s="25" t="str">
        <f>VLOOKUP(J13,Key!$E$2:$F$9,2,FALSE)</f>
        <v>Home</v>
      </c>
      <c r="L13" s="41" t="s">
        <v>155</v>
      </c>
      <c r="M13" s="42" t="s">
        <v>148</v>
      </c>
      <c r="N13" s="41" t="s">
        <v>147</v>
      </c>
      <c r="O13" s="42">
        <v>5</v>
      </c>
      <c r="P13" s="42">
        <v>7</v>
      </c>
      <c r="Q13" s="25" t="str">
        <f>VLOOKUP(P13,Key!$E$2:$F$9,2,FALSE)</f>
        <v>Hospital</v>
      </c>
      <c r="R13" s="25" t="str">
        <f t="shared" si="0"/>
        <v>Home-Hospital</v>
      </c>
      <c r="S13" s="47">
        <v>3</v>
      </c>
      <c r="T13" s="47">
        <v>0.1</v>
      </c>
      <c r="U13" s="42">
        <v>3</v>
      </c>
      <c r="V13" s="42"/>
      <c r="W13" s="47"/>
      <c r="X13" s="47"/>
      <c r="Y13" s="48" t="s">
        <v>146</v>
      </c>
      <c r="Z13" s="59"/>
      <c r="AA13" s="25"/>
      <c r="AB13" s="25"/>
    </row>
    <row r="14" spans="2:35">
      <c r="B14" s="39">
        <v>0.89722222222222225</v>
      </c>
      <c r="C14" s="39" t="s">
        <v>341</v>
      </c>
      <c r="D14" s="40">
        <v>11</v>
      </c>
      <c r="E14" s="41">
        <v>2</v>
      </c>
      <c r="F14" s="41" t="s">
        <v>342</v>
      </c>
      <c r="G14" s="42" t="s">
        <v>150</v>
      </c>
      <c r="H14" s="41" t="s">
        <v>147</v>
      </c>
      <c r="I14" s="42">
        <v>8</v>
      </c>
      <c r="J14" s="42">
        <v>2</v>
      </c>
      <c r="K14" s="25" t="str">
        <f>VLOOKUP(J14,Key!$E$2:$F$9,2,FALSE)</f>
        <v>Work</v>
      </c>
      <c r="L14" s="41" t="s">
        <v>155</v>
      </c>
      <c r="M14" s="42" t="s">
        <v>148</v>
      </c>
      <c r="N14" s="41" t="s">
        <v>147</v>
      </c>
      <c r="O14" s="42">
        <v>8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5</v>
      </c>
      <c r="T14" s="47">
        <v>0.2</v>
      </c>
      <c r="U14" s="42">
        <v>2</v>
      </c>
      <c r="V14" s="42"/>
      <c r="W14" s="47"/>
      <c r="X14" s="47"/>
      <c r="Y14" s="48" t="s">
        <v>146</v>
      </c>
      <c r="Z14" s="59"/>
      <c r="AA14" s="25"/>
      <c r="AB14" s="25"/>
    </row>
    <row r="15" spans="2:35">
      <c r="B15" s="39">
        <v>0.90138888888888891</v>
      </c>
      <c r="C15" s="39" t="s">
        <v>343</v>
      </c>
      <c r="D15" s="40">
        <v>1</v>
      </c>
      <c r="E15" s="41">
        <v>1</v>
      </c>
      <c r="F15" s="41" t="s">
        <v>169</v>
      </c>
      <c r="G15" s="42" t="s">
        <v>150</v>
      </c>
      <c r="H15" s="41" t="s">
        <v>147</v>
      </c>
      <c r="I15" s="42">
        <v>2</v>
      </c>
      <c r="J15" s="42">
        <v>2</v>
      </c>
      <c r="K15" s="25" t="str">
        <f>VLOOKUP(J15,Key!$E$2:$F$9,2,FALSE)</f>
        <v>Work</v>
      </c>
      <c r="L15" s="41" t="s">
        <v>155</v>
      </c>
      <c r="M15" s="42" t="s">
        <v>148</v>
      </c>
      <c r="N15" s="41" t="s">
        <v>147</v>
      </c>
      <c r="O15" s="42">
        <v>1</v>
      </c>
      <c r="P15" s="42">
        <v>1</v>
      </c>
      <c r="Q15" s="25" t="str">
        <f>VLOOKUP(P15,Key!$E$2:$F$9,2,FALSE)</f>
        <v>Home</v>
      </c>
      <c r="R15" s="25" t="str">
        <f t="shared" si="0"/>
        <v>Work-Home</v>
      </c>
      <c r="S15" s="47">
        <v>11</v>
      </c>
      <c r="T15" s="47">
        <v>0.2</v>
      </c>
      <c r="U15" s="42">
        <v>2</v>
      </c>
      <c r="V15" s="42"/>
      <c r="W15" s="47"/>
      <c r="X15" s="47"/>
      <c r="Y15" s="48" t="s">
        <v>146</v>
      </c>
      <c r="Z15" s="59"/>
      <c r="AA15" s="25"/>
      <c r="AB15" s="25"/>
    </row>
    <row r="16" spans="2:35">
      <c r="B16" s="39">
        <v>0.90972222222222221</v>
      </c>
      <c r="C16" s="39" t="s">
        <v>344</v>
      </c>
      <c r="D16" s="40">
        <v>2</v>
      </c>
      <c r="E16" s="41">
        <v>1</v>
      </c>
      <c r="F16" s="41" t="s">
        <v>345</v>
      </c>
      <c r="G16" s="42" t="s">
        <v>150</v>
      </c>
      <c r="H16" s="41" t="s">
        <v>147</v>
      </c>
      <c r="I16" s="42">
        <v>4</v>
      </c>
      <c r="J16" s="42">
        <v>3</v>
      </c>
      <c r="K16" s="25" t="str">
        <f>VLOOKUP(J16,Key!$E$2:$F$9,2,FALSE)</f>
        <v>Study</v>
      </c>
      <c r="L16" s="41" t="s">
        <v>155</v>
      </c>
      <c r="M16" s="42" t="s">
        <v>148</v>
      </c>
      <c r="N16" s="41" t="s">
        <v>147</v>
      </c>
      <c r="O16" s="42">
        <v>1</v>
      </c>
      <c r="P16" s="42">
        <v>1</v>
      </c>
      <c r="Q16" s="25" t="str">
        <f>VLOOKUP(P16,Key!$E$2:$F$9,2,FALSE)</f>
        <v>Home</v>
      </c>
      <c r="R16" s="25" t="str">
        <f t="shared" si="0"/>
        <v>Study-Home</v>
      </c>
      <c r="S16" s="47">
        <v>4</v>
      </c>
      <c r="T16" s="47">
        <v>0.3</v>
      </c>
      <c r="U16" s="42">
        <v>3</v>
      </c>
      <c r="V16" s="42"/>
      <c r="W16" s="47"/>
      <c r="X16" s="47"/>
      <c r="Y16" s="48" t="s">
        <v>146</v>
      </c>
      <c r="Z16" s="59"/>
      <c r="AA16" s="25"/>
      <c r="AB16" s="25"/>
    </row>
    <row r="17" spans="2:28">
      <c r="B17" s="39">
        <v>0.91875000000000007</v>
      </c>
      <c r="C17" s="39" t="s">
        <v>346</v>
      </c>
      <c r="D17" s="40">
        <v>8</v>
      </c>
      <c r="E17" s="41">
        <v>3</v>
      </c>
      <c r="F17" s="41" t="s">
        <v>169</v>
      </c>
      <c r="G17" s="42" t="s">
        <v>150</v>
      </c>
      <c r="H17" s="41" t="s">
        <v>147</v>
      </c>
      <c r="I17" s="42">
        <v>16</v>
      </c>
      <c r="J17" s="42">
        <v>8</v>
      </c>
      <c r="K17" s="25" t="str">
        <f>VLOOKUP(J17,Key!$E$2:$F$9,2,FALSE)</f>
        <v>Others</v>
      </c>
      <c r="L17" s="41" t="s">
        <v>234</v>
      </c>
      <c r="M17" s="42" t="s">
        <v>235</v>
      </c>
      <c r="N17" s="41" t="s">
        <v>147</v>
      </c>
      <c r="O17" s="42">
        <v>11</v>
      </c>
      <c r="P17" s="42">
        <v>4</v>
      </c>
      <c r="Q17" s="25" t="str">
        <f>VLOOKUP(P17,Key!$E$2:$F$9,2,FALSE)</f>
        <v>Commercial</v>
      </c>
      <c r="R17" s="25" t="str">
        <f t="shared" si="0"/>
        <v>Others-Commercial</v>
      </c>
      <c r="S17" s="47">
        <v>423</v>
      </c>
      <c r="T17" s="47">
        <v>4</v>
      </c>
      <c r="U17" s="42">
        <v>3</v>
      </c>
      <c r="V17" s="42">
        <v>1</v>
      </c>
      <c r="W17" s="47"/>
      <c r="X17" s="47">
        <v>5</v>
      </c>
      <c r="Y17" s="48" t="s">
        <v>146</v>
      </c>
      <c r="Z17" s="59"/>
      <c r="AA17" s="25"/>
      <c r="AB17" s="25"/>
    </row>
    <row r="18" spans="2:28">
      <c r="B18" s="39">
        <v>0.92847222222222225</v>
      </c>
      <c r="C18" s="39" t="s">
        <v>347</v>
      </c>
      <c r="D18" s="40">
        <v>2</v>
      </c>
      <c r="E18" s="41">
        <v>3</v>
      </c>
      <c r="F18" s="41" t="s">
        <v>171</v>
      </c>
      <c r="G18" s="42" t="s">
        <v>150</v>
      </c>
      <c r="H18" s="41" t="s">
        <v>147</v>
      </c>
      <c r="I18" s="42">
        <v>1</v>
      </c>
      <c r="J18" s="42">
        <v>1</v>
      </c>
      <c r="K18" s="25" t="str">
        <f>VLOOKUP(J18,Key!$E$2:$F$9,2,FALSE)</f>
        <v>Home</v>
      </c>
      <c r="L18" s="41" t="s">
        <v>155</v>
      </c>
      <c r="M18" s="42" t="s">
        <v>148</v>
      </c>
      <c r="N18" s="41" t="s">
        <v>147</v>
      </c>
      <c r="O18" s="42">
        <v>5</v>
      </c>
      <c r="P18" s="42">
        <v>7</v>
      </c>
      <c r="Q18" s="25" t="str">
        <f>VLOOKUP(P18,Key!$E$2:$F$9,2,FALSE)</f>
        <v>Hospital</v>
      </c>
      <c r="R18" s="25" t="str">
        <f t="shared" si="0"/>
        <v>Home-Hospital</v>
      </c>
      <c r="S18" s="47">
        <v>31</v>
      </c>
      <c r="T18" s="47">
        <v>1.5</v>
      </c>
      <c r="U18" s="42">
        <v>4</v>
      </c>
      <c r="V18" s="42"/>
      <c r="W18" s="47"/>
      <c r="X18" s="47"/>
      <c r="Y18" s="48" t="s">
        <v>146</v>
      </c>
      <c r="Z18" s="59"/>
      <c r="AA18" s="25"/>
      <c r="AB18" s="25"/>
    </row>
    <row r="19" spans="2:28">
      <c r="B19" s="39">
        <v>0.93333333333333324</v>
      </c>
      <c r="C19" s="39" t="s">
        <v>348</v>
      </c>
      <c r="D19" s="40">
        <v>3</v>
      </c>
      <c r="E19" s="41">
        <v>1</v>
      </c>
      <c r="F19" s="41" t="s">
        <v>349</v>
      </c>
      <c r="G19" s="42" t="s">
        <v>150</v>
      </c>
      <c r="H19" s="41" t="s">
        <v>147</v>
      </c>
      <c r="I19" s="42">
        <v>1</v>
      </c>
      <c r="J19" s="42">
        <v>1</v>
      </c>
      <c r="K19" s="25" t="str">
        <f>VLOOKUP(J19,Key!$E$2:$F$9,2,FALSE)</f>
        <v>Home</v>
      </c>
      <c r="L19" s="41" t="s">
        <v>173</v>
      </c>
      <c r="M19" s="42" t="s">
        <v>148</v>
      </c>
      <c r="N19" s="41" t="s">
        <v>147</v>
      </c>
      <c r="O19" s="42">
        <v>7</v>
      </c>
      <c r="P19" s="42">
        <v>4</v>
      </c>
      <c r="Q19" s="25" t="str">
        <f>VLOOKUP(P19,Key!$E$2:$F$9,2,FALSE)</f>
        <v>Commercial</v>
      </c>
      <c r="R19" s="25" t="str">
        <f t="shared" si="0"/>
        <v>Home-Commercial</v>
      </c>
      <c r="S19" s="47">
        <v>7</v>
      </c>
      <c r="T19" s="47">
        <v>0.3</v>
      </c>
      <c r="U19" s="42">
        <v>3</v>
      </c>
      <c r="V19" s="42">
        <v>11</v>
      </c>
      <c r="W19" s="47"/>
      <c r="X19" s="47"/>
      <c r="Y19" s="48" t="s">
        <v>146</v>
      </c>
      <c r="Z19" s="59"/>
      <c r="AA19" s="25"/>
      <c r="AB19" s="25"/>
    </row>
    <row r="20" spans="2:28">
      <c r="B20" s="39">
        <v>0.94444444444444453</v>
      </c>
      <c r="C20" s="39" t="s">
        <v>350</v>
      </c>
      <c r="D20" s="40">
        <v>8</v>
      </c>
      <c r="E20" s="41">
        <v>2</v>
      </c>
      <c r="F20" s="41" t="s">
        <v>171</v>
      </c>
      <c r="G20" s="42" t="s">
        <v>150</v>
      </c>
      <c r="H20" s="41" t="s">
        <v>147</v>
      </c>
      <c r="I20" s="42">
        <v>9</v>
      </c>
      <c r="J20" s="42">
        <v>4</v>
      </c>
      <c r="K20" s="25" t="str">
        <f>VLOOKUP(J20,Key!$E$2:$F$9,2,FALSE)</f>
        <v>Commercial</v>
      </c>
      <c r="L20" s="41" t="s">
        <v>234</v>
      </c>
      <c r="M20" s="42" t="s">
        <v>235</v>
      </c>
      <c r="N20" s="41" t="s">
        <v>147</v>
      </c>
      <c r="O20" s="42">
        <v>11</v>
      </c>
      <c r="P20" s="42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47">
        <v>31</v>
      </c>
      <c r="T20" s="47">
        <v>2</v>
      </c>
      <c r="U20" s="42">
        <v>4</v>
      </c>
      <c r="V20" s="42">
        <v>1</v>
      </c>
      <c r="W20" s="47"/>
      <c r="X20" s="47"/>
      <c r="Y20" s="48" t="s">
        <v>146</v>
      </c>
      <c r="Z20" s="59"/>
      <c r="AA20" s="25"/>
      <c r="AB20" s="25"/>
    </row>
    <row r="21" spans="2:28">
      <c r="B21" s="39">
        <v>0.97152777777777777</v>
      </c>
      <c r="C21" s="39" t="s">
        <v>351</v>
      </c>
      <c r="D21" s="40">
        <v>11</v>
      </c>
      <c r="E21" s="41">
        <v>23</v>
      </c>
      <c r="F21" s="41" t="s">
        <v>342</v>
      </c>
      <c r="G21" s="42" t="s">
        <v>150</v>
      </c>
      <c r="H21" s="41" t="s">
        <v>147</v>
      </c>
      <c r="I21" s="42">
        <v>8</v>
      </c>
      <c r="J21" s="42">
        <v>2</v>
      </c>
      <c r="K21" s="25" t="str">
        <f>VLOOKUP(J21,Key!$E$2:$F$9,2,FALSE)</f>
        <v>Work</v>
      </c>
      <c r="L21" s="41" t="s">
        <v>164</v>
      </c>
      <c r="M21" s="42" t="s">
        <v>150</v>
      </c>
      <c r="N21" s="41" t="s">
        <v>147</v>
      </c>
      <c r="O21" s="42">
        <v>8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1</v>
      </c>
      <c r="T21" s="47">
        <v>0.1</v>
      </c>
      <c r="U21" s="42">
        <v>2</v>
      </c>
      <c r="V21" s="42"/>
      <c r="W21" s="47"/>
      <c r="X21" s="47"/>
      <c r="Y21" s="48" t="s">
        <v>146</v>
      </c>
      <c r="Z21" s="59"/>
      <c r="AA21" s="25"/>
      <c r="AB21" s="25"/>
    </row>
    <row r="22" spans="2:28">
      <c r="B22" s="39">
        <v>0.98611111111111116</v>
      </c>
      <c r="C22" s="39" t="s">
        <v>352</v>
      </c>
      <c r="D22" s="40">
        <v>1</v>
      </c>
      <c r="E22" s="41">
        <v>1</v>
      </c>
      <c r="F22" s="41" t="s">
        <v>162</v>
      </c>
      <c r="G22" s="42" t="s">
        <v>150</v>
      </c>
      <c r="H22" s="41" t="s">
        <v>147</v>
      </c>
      <c r="I22" s="42">
        <v>2</v>
      </c>
      <c r="J22" s="42">
        <v>2</v>
      </c>
      <c r="K22" s="25" t="str">
        <f>VLOOKUP(J22,Key!$E$2:$F$9,2,FALSE)</f>
        <v>Work</v>
      </c>
      <c r="L22" s="41" t="s">
        <v>155</v>
      </c>
      <c r="M22" s="42" t="s">
        <v>148</v>
      </c>
      <c r="N22" s="41" t="s">
        <v>147</v>
      </c>
      <c r="O22" s="42">
        <v>1</v>
      </c>
      <c r="P22" s="42">
        <v>1</v>
      </c>
      <c r="Q22" s="25" t="str">
        <f>VLOOKUP(P22,Key!$E$2:$F$9,2,FALSE)</f>
        <v>Home</v>
      </c>
      <c r="R22" s="25" t="str">
        <f t="shared" si="0"/>
        <v>Work-Home</v>
      </c>
      <c r="S22" s="47"/>
      <c r="T22" s="47">
        <v>1</v>
      </c>
      <c r="U22" s="42">
        <v>2</v>
      </c>
      <c r="V22" s="42"/>
      <c r="W22" s="47"/>
      <c r="X22" s="47"/>
      <c r="Y22" s="48" t="s">
        <v>146</v>
      </c>
      <c r="Z22" s="59"/>
      <c r="AA22" s="25"/>
      <c r="AB22" s="25"/>
    </row>
    <row r="23" spans="2:28">
      <c r="B23" s="39">
        <v>0.99791666666666667</v>
      </c>
      <c r="C23" s="39" t="s">
        <v>353</v>
      </c>
      <c r="D23" s="40">
        <v>8</v>
      </c>
      <c r="E23" s="41">
        <v>1</v>
      </c>
      <c r="F23" s="41" t="s">
        <v>171</v>
      </c>
      <c r="G23" s="42" t="s">
        <v>150</v>
      </c>
      <c r="H23" s="41" t="s">
        <v>147</v>
      </c>
      <c r="I23" s="42">
        <v>16</v>
      </c>
      <c r="J23" s="42">
        <v>2</v>
      </c>
      <c r="K23" s="25" t="str">
        <f>VLOOKUP(J23,Key!$E$2:$F$9,2,FALSE)</f>
        <v>Work</v>
      </c>
      <c r="L23" s="41" t="s">
        <v>155</v>
      </c>
      <c r="M23" s="42" t="s">
        <v>148</v>
      </c>
      <c r="N23" s="41" t="s">
        <v>147</v>
      </c>
      <c r="O23" s="42">
        <v>11</v>
      </c>
      <c r="P23" s="42">
        <v>4</v>
      </c>
      <c r="Q23" s="25" t="str">
        <f>VLOOKUP(P23,Key!$E$2:$F$9,2,FALSE)</f>
        <v>Commercial</v>
      </c>
      <c r="R23" s="25" t="str">
        <f t="shared" si="0"/>
        <v>Work-Commercial</v>
      </c>
      <c r="S23" s="47">
        <v>32</v>
      </c>
      <c r="T23" s="47">
        <v>1</v>
      </c>
      <c r="U23" s="42">
        <v>3</v>
      </c>
      <c r="V23" s="42">
        <v>1</v>
      </c>
      <c r="W23" s="47"/>
      <c r="X23" s="47"/>
      <c r="Y23" s="48" t="s">
        <v>146</v>
      </c>
      <c r="Z23" s="59"/>
      <c r="AA23" s="25"/>
      <c r="AB23" s="25"/>
    </row>
    <row r="24" spans="2:28">
      <c r="B24" s="39">
        <v>0.50694444444444442</v>
      </c>
      <c r="C24" s="39" t="s">
        <v>354</v>
      </c>
      <c r="D24" s="40">
        <v>2</v>
      </c>
      <c r="E24" s="41">
        <v>1</v>
      </c>
      <c r="F24" s="41" t="s">
        <v>355</v>
      </c>
      <c r="G24" s="42" t="s">
        <v>150</v>
      </c>
      <c r="H24" s="41" t="s">
        <v>147</v>
      </c>
      <c r="I24" s="42">
        <v>3</v>
      </c>
      <c r="J24" s="42">
        <v>2</v>
      </c>
      <c r="K24" s="25" t="str">
        <f>VLOOKUP(J24,Key!$E$2:$F$9,2,FALSE)</f>
        <v>Work</v>
      </c>
      <c r="L24" s="41" t="s">
        <v>155</v>
      </c>
      <c r="M24" s="42" t="s">
        <v>148</v>
      </c>
      <c r="N24" s="41" t="s">
        <v>147</v>
      </c>
      <c r="O24" s="42">
        <v>1</v>
      </c>
      <c r="P24" s="42">
        <v>1</v>
      </c>
      <c r="Q24" s="25" t="str">
        <f>VLOOKUP(P24,Key!$E$2:$F$9,2,FALSE)</f>
        <v>Home</v>
      </c>
      <c r="R24" s="25" t="str">
        <f t="shared" si="0"/>
        <v>Work-Home</v>
      </c>
      <c r="S24" s="47"/>
      <c r="T24" s="47">
        <v>0.5</v>
      </c>
      <c r="U24" s="42">
        <v>2</v>
      </c>
      <c r="V24" s="42"/>
      <c r="W24" s="47"/>
      <c r="X24" s="47"/>
      <c r="Y24" s="48" t="s">
        <v>146</v>
      </c>
      <c r="Z24" s="59"/>
      <c r="AA24" s="25"/>
      <c r="AB24" s="25"/>
    </row>
    <row r="25" spans="2:28">
      <c r="B25" s="39">
        <v>0.52152777777777781</v>
      </c>
      <c r="C25" s="39" t="s">
        <v>356</v>
      </c>
      <c r="D25" s="40">
        <v>11</v>
      </c>
      <c r="E25" s="41">
        <v>1</v>
      </c>
      <c r="F25" s="41" t="s">
        <v>164</v>
      </c>
      <c r="G25" s="42" t="s">
        <v>150</v>
      </c>
      <c r="H25" s="41" t="s">
        <v>147</v>
      </c>
      <c r="I25" s="42">
        <v>8</v>
      </c>
      <c r="J25" s="42">
        <v>2</v>
      </c>
      <c r="K25" s="25" t="str">
        <f>VLOOKUP(J25,Key!$E$2:$F$9,2,FALSE)</f>
        <v>Work</v>
      </c>
      <c r="L25" s="41" t="s">
        <v>173</v>
      </c>
      <c r="M25" s="42" t="s">
        <v>148</v>
      </c>
      <c r="N25" s="41" t="s">
        <v>147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7">
        <v>4</v>
      </c>
      <c r="T25" s="47">
        <v>0.2</v>
      </c>
      <c r="U25" s="42">
        <v>1</v>
      </c>
      <c r="V25" s="42"/>
      <c r="W25" s="47"/>
      <c r="X25" s="47"/>
      <c r="Y25" s="48" t="s">
        <v>146</v>
      </c>
      <c r="Z25" s="59"/>
      <c r="AA25" s="25"/>
      <c r="AB25" s="25"/>
    </row>
    <row r="26" spans="2:28">
      <c r="B26" s="39">
        <v>0.53472222222222221</v>
      </c>
      <c r="C26" s="39" t="s">
        <v>357</v>
      </c>
      <c r="D26" s="40">
        <v>2</v>
      </c>
      <c r="E26" s="41">
        <v>1</v>
      </c>
      <c r="F26" s="41" t="s">
        <v>345</v>
      </c>
      <c r="G26" s="42" t="s">
        <v>150</v>
      </c>
      <c r="H26" s="41" t="s">
        <v>147</v>
      </c>
      <c r="I26" s="42">
        <v>9</v>
      </c>
      <c r="J26" s="42">
        <v>4</v>
      </c>
      <c r="K26" s="25" t="str">
        <f>VLOOKUP(J26,Key!$E$2:$F$9,2,FALSE)</f>
        <v>Commercial</v>
      </c>
      <c r="L26" s="41" t="s">
        <v>195</v>
      </c>
      <c r="M26" s="42" t="s">
        <v>148</v>
      </c>
      <c r="N26" s="41" t="s">
        <v>147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Commercial-Home</v>
      </c>
      <c r="S26" s="47">
        <v>10</v>
      </c>
      <c r="T26" s="47">
        <v>0.6</v>
      </c>
      <c r="U26" s="42">
        <v>3</v>
      </c>
      <c r="V26" s="42"/>
      <c r="W26" s="47"/>
      <c r="X26" s="47"/>
      <c r="Y26" s="48" t="s">
        <v>146</v>
      </c>
      <c r="Z26" s="59"/>
      <c r="AA26" s="25"/>
      <c r="AB26" s="25"/>
    </row>
    <row r="27" spans="2:28">
      <c r="B27" s="39">
        <v>5.347222222222222E-2</v>
      </c>
      <c r="C27" s="39" t="s">
        <v>358</v>
      </c>
      <c r="D27" s="40">
        <v>8</v>
      </c>
      <c r="E27" s="41">
        <v>4</v>
      </c>
      <c r="F27" s="41" t="s">
        <v>169</v>
      </c>
      <c r="G27" s="42" t="s">
        <v>150</v>
      </c>
      <c r="H27" s="41" t="s">
        <v>147</v>
      </c>
      <c r="I27" s="42">
        <v>9</v>
      </c>
      <c r="J27" s="42">
        <v>2</v>
      </c>
      <c r="K27" s="25" t="str">
        <f>VLOOKUP(J27,Key!$E$2:$F$9,2,FALSE)</f>
        <v>Work</v>
      </c>
      <c r="L27" s="41" t="s">
        <v>234</v>
      </c>
      <c r="M27" s="42" t="s">
        <v>235</v>
      </c>
      <c r="N27" s="41" t="s">
        <v>147</v>
      </c>
      <c r="O27" s="42">
        <v>11</v>
      </c>
      <c r="P27" s="42">
        <v>4</v>
      </c>
      <c r="Q27" s="25" t="str">
        <f>VLOOKUP(P27,Key!$E$2:$F$9,2,FALSE)</f>
        <v>Commercial</v>
      </c>
      <c r="R27" s="25" t="str">
        <f t="shared" si="0"/>
        <v>Work-Commercial</v>
      </c>
      <c r="S27" s="47">
        <v>340</v>
      </c>
      <c r="T27" s="47">
        <v>3.5</v>
      </c>
      <c r="U27" s="42">
        <v>4</v>
      </c>
      <c r="V27" s="42">
        <v>11</v>
      </c>
      <c r="W27" s="47">
        <v>12</v>
      </c>
      <c r="X27" s="47">
        <v>7</v>
      </c>
      <c r="Y27" s="48" t="s">
        <v>146</v>
      </c>
      <c r="Z27" s="59"/>
      <c r="AA27" s="25"/>
      <c r="AB27" s="25"/>
    </row>
    <row r="28" spans="2:28">
      <c r="B28" s="39">
        <v>5.9027777777777783E-2</v>
      </c>
      <c r="C28" s="39" t="s">
        <v>359</v>
      </c>
      <c r="D28" s="40">
        <v>1</v>
      </c>
      <c r="E28" s="41">
        <v>3</v>
      </c>
      <c r="F28" s="41" t="s">
        <v>201</v>
      </c>
      <c r="G28" s="42" t="s">
        <v>150</v>
      </c>
      <c r="H28" s="41" t="s">
        <v>147</v>
      </c>
      <c r="I28" s="42">
        <v>1</v>
      </c>
      <c r="J28" s="42">
        <v>1</v>
      </c>
      <c r="K28" s="25" t="str">
        <f>VLOOKUP(J28,Key!$E$2:$F$9,2,FALSE)</f>
        <v>Home</v>
      </c>
      <c r="L28" s="41" t="s">
        <v>155</v>
      </c>
      <c r="M28" s="42" t="s">
        <v>148</v>
      </c>
      <c r="N28" s="41" t="s">
        <v>147</v>
      </c>
      <c r="O28" s="42">
        <v>5</v>
      </c>
      <c r="P28" s="42">
        <v>7</v>
      </c>
      <c r="Q28" s="25" t="str">
        <f>VLOOKUP(P28,Key!$E$2:$F$9,2,FALSE)</f>
        <v>Hospital</v>
      </c>
      <c r="R28" s="25" t="str">
        <f t="shared" si="0"/>
        <v>Home-Hospital</v>
      </c>
      <c r="S28" s="47">
        <v>15</v>
      </c>
      <c r="T28" s="47">
        <v>0.5</v>
      </c>
      <c r="U28" s="42">
        <v>4</v>
      </c>
      <c r="V28" s="42"/>
      <c r="W28" s="47"/>
      <c r="X28" s="47"/>
      <c r="Y28" s="48" t="s">
        <v>146</v>
      </c>
      <c r="Z28" s="59"/>
      <c r="AA28" s="25"/>
      <c r="AB28" s="25"/>
    </row>
    <row r="29" spans="2:28">
      <c r="B29" s="39">
        <v>6.805555555555555E-2</v>
      </c>
      <c r="C29" s="39" t="s">
        <v>360</v>
      </c>
      <c r="D29" s="40">
        <v>8</v>
      </c>
      <c r="E29" s="41">
        <v>5</v>
      </c>
      <c r="F29" s="41" t="s">
        <v>262</v>
      </c>
      <c r="G29" s="42" t="s">
        <v>150</v>
      </c>
      <c r="H29" s="41" t="s">
        <v>147</v>
      </c>
      <c r="I29" s="42">
        <v>15</v>
      </c>
      <c r="J29" s="42">
        <v>4</v>
      </c>
      <c r="K29" s="25" t="str">
        <f>VLOOKUP(J29,Key!$E$2:$F$9,2,FALSE)</f>
        <v>Commercial</v>
      </c>
      <c r="L29" s="41" t="s">
        <v>155</v>
      </c>
      <c r="M29" s="42" t="s">
        <v>148</v>
      </c>
      <c r="N29" s="41" t="s">
        <v>147</v>
      </c>
      <c r="O29" s="42">
        <v>10</v>
      </c>
      <c r="P29" s="42">
        <v>2</v>
      </c>
      <c r="Q29" s="25" t="str">
        <f>VLOOKUP(P29,Key!$E$2:$F$9,2,FALSE)</f>
        <v>Work</v>
      </c>
      <c r="R29" s="25" t="str">
        <f t="shared" si="0"/>
        <v>Commercial-Work</v>
      </c>
      <c r="S29" s="47">
        <v>18</v>
      </c>
      <c r="T29" s="47">
        <v>0.5</v>
      </c>
      <c r="U29" s="42">
        <v>1</v>
      </c>
      <c r="V29" s="42">
        <v>4</v>
      </c>
      <c r="W29" s="47"/>
      <c r="X29" s="47"/>
      <c r="Y29" s="48" t="s">
        <v>146</v>
      </c>
      <c r="Z29" s="59"/>
      <c r="AA29" s="25"/>
      <c r="AB29" s="25"/>
    </row>
    <row r="30" spans="2:28">
      <c r="B30" s="39">
        <v>7.3611111111111113E-2</v>
      </c>
      <c r="C30" s="39" t="s">
        <v>361</v>
      </c>
      <c r="D30" s="40">
        <v>11</v>
      </c>
      <c r="E30" s="41">
        <v>1</v>
      </c>
      <c r="F30" s="41" t="s">
        <v>169</v>
      </c>
      <c r="G30" s="42" t="s">
        <v>150</v>
      </c>
      <c r="H30" s="41" t="s">
        <v>147</v>
      </c>
      <c r="I30" s="42">
        <v>8</v>
      </c>
      <c r="J30" s="42">
        <v>2</v>
      </c>
      <c r="K30" s="25" t="str">
        <f>VLOOKUP(J30,Key!$E$2:$F$9,2,FALSE)</f>
        <v>Work</v>
      </c>
      <c r="L30" s="41" t="s">
        <v>155</v>
      </c>
      <c r="M30" s="42" t="s">
        <v>148</v>
      </c>
      <c r="N30" s="41" t="s">
        <v>147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Work-Home</v>
      </c>
      <c r="S30" s="47">
        <v>13</v>
      </c>
      <c r="T30" s="47">
        <v>0.8</v>
      </c>
      <c r="U30" s="42">
        <v>1</v>
      </c>
      <c r="V30" s="42"/>
      <c r="W30" s="47"/>
      <c r="X30" s="47"/>
      <c r="Y30" s="48" t="s">
        <v>146</v>
      </c>
      <c r="Z30" s="59"/>
      <c r="AA30" s="25"/>
      <c r="AB30" s="25"/>
    </row>
    <row r="31" spans="2:28">
      <c r="B31" s="39">
        <v>8.7500000000000008E-2</v>
      </c>
      <c r="C31" s="39" t="s">
        <v>362</v>
      </c>
      <c r="D31" s="40">
        <v>8</v>
      </c>
      <c r="E31" s="41">
        <v>1</v>
      </c>
      <c r="F31" s="41" t="s">
        <v>213</v>
      </c>
      <c r="G31" s="42" t="s">
        <v>150</v>
      </c>
      <c r="H31" s="41" t="s">
        <v>147</v>
      </c>
      <c r="I31" s="42">
        <v>3</v>
      </c>
      <c r="J31" s="42">
        <v>4</v>
      </c>
      <c r="K31" s="25" t="str">
        <f>VLOOKUP(J31,Key!$E$2:$F$9,2,FALSE)</f>
        <v>Commercial</v>
      </c>
      <c r="L31" s="41" t="s">
        <v>195</v>
      </c>
      <c r="M31" s="42" t="s">
        <v>148</v>
      </c>
      <c r="N31" s="41" t="s">
        <v>147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Commercial-Home</v>
      </c>
      <c r="S31" s="47">
        <v>20</v>
      </c>
      <c r="T31" s="47">
        <v>1</v>
      </c>
      <c r="U31" s="42">
        <v>2</v>
      </c>
      <c r="V31" s="42"/>
      <c r="W31" s="47"/>
      <c r="X31" s="47"/>
      <c r="Y31" s="48" t="s">
        <v>146</v>
      </c>
      <c r="Z31" s="59"/>
      <c r="AA31" s="25"/>
      <c r="AB31" s="25"/>
    </row>
    <row r="32" spans="2:28">
      <c r="B32" s="39">
        <v>0.10486111111111111</v>
      </c>
      <c r="C32" s="39" t="s">
        <v>363</v>
      </c>
      <c r="D32" s="40">
        <v>8</v>
      </c>
      <c r="E32" s="41">
        <v>2</v>
      </c>
      <c r="F32" s="41" t="s">
        <v>171</v>
      </c>
      <c r="G32" s="42" t="s">
        <v>150</v>
      </c>
      <c r="H32" s="41" t="s">
        <v>147</v>
      </c>
      <c r="I32" s="42">
        <v>9</v>
      </c>
      <c r="J32" s="42">
        <v>4</v>
      </c>
      <c r="K32" s="25" t="str">
        <f>VLOOKUP(J32,Key!$E$2:$F$9,2,FALSE)</f>
        <v>Commercial</v>
      </c>
      <c r="L32" s="41" t="s">
        <v>364</v>
      </c>
      <c r="M32" s="42" t="s">
        <v>235</v>
      </c>
      <c r="N32" s="41" t="s">
        <v>147</v>
      </c>
      <c r="O32" s="42">
        <v>11</v>
      </c>
      <c r="P32" s="42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47">
        <v>398</v>
      </c>
      <c r="T32" s="47">
        <v>3</v>
      </c>
      <c r="U32" s="42">
        <v>3</v>
      </c>
      <c r="V32" s="42">
        <v>1</v>
      </c>
      <c r="W32" s="47"/>
      <c r="X32" s="47"/>
      <c r="Y32" s="48" t="s">
        <v>146</v>
      </c>
      <c r="Z32" s="59"/>
      <c r="AA32" s="25"/>
      <c r="AB32" s="25"/>
    </row>
    <row r="33" spans="2:28">
      <c r="B33" s="39">
        <v>0.17291666666666669</v>
      </c>
      <c r="C33" s="39" t="s">
        <v>365</v>
      </c>
      <c r="D33" s="40">
        <v>1</v>
      </c>
      <c r="E33" s="41">
        <v>1</v>
      </c>
      <c r="F33" s="41" t="s">
        <v>342</v>
      </c>
      <c r="G33" s="42" t="s">
        <v>150</v>
      </c>
      <c r="H33" s="41" t="s">
        <v>147</v>
      </c>
      <c r="I33" s="42">
        <v>1</v>
      </c>
      <c r="J33" s="42">
        <v>1</v>
      </c>
      <c r="K33" s="25" t="str">
        <f>VLOOKUP(J33,Key!$E$2:$F$9,2,FALSE)</f>
        <v>Home</v>
      </c>
      <c r="L33" s="41" t="s">
        <v>155</v>
      </c>
      <c r="M33" s="42" t="s">
        <v>148</v>
      </c>
      <c r="N33" s="41" t="s">
        <v>147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47">
        <v>5</v>
      </c>
      <c r="T33" s="47">
        <v>0.2</v>
      </c>
      <c r="U33" s="42">
        <v>2</v>
      </c>
      <c r="V33" s="42"/>
      <c r="W33" s="47"/>
      <c r="X33" s="47"/>
      <c r="Y33" s="48" t="s">
        <v>146</v>
      </c>
      <c r="Z33" s="59"/>
      <c r="AA33" s="25"/>
      <c r="AB33" s="25"/>
    </row>
    <row r="34" spans="2:28">
      <c r="B34" s="39">
        <v>0.19305555555555554</v>
      </c>
      <c r="C34" s="39" t="s">
        <v>366</v>
      </c>
      <c r="D34" s="40">
        <v>1</v>
      </c>
      <c r="E34" s="41">
        <v>2</v>
      </c>
      <c r="F34" s="41" t="s">
        <v>162</v>
      </c>
      <c r="G34" s="42" t="s">
        <v>150</v>
      </c>
      <c r="H34" s="41" t="s">
        <v>147</v>
      </c>
      <c r="I34" s="42">
        <v>1</v>
      </c>
      <c r="J34" s="42">
        <v>1</v>
      </c>
      <c r="K34" s="25" t="str">
        <f>VLOOKUP(J34,Key!$E$2:$F$9,2,FALSE)</f>
        <v>Home</v>
      </c>
      <c r="L34" s="41" t="s">
        <v>155</v>
      </c>
      <c r="M34" s="42" t="s">
        <v>148</v>
      </c>
      <c r="N34" s="41" t="s">
        <v>147</v>
      </c>
      <c r="O34" s="42">
        <v>2</v>
      </c>
      <c r="P34" s="42">
        <v>2</v>
      </c>
      <c r="Q34" s="25" t="str">
        <f>VLOOKUP(P34,Key!$E$2:$F$9,2,FALSE)</f>
        <v>Work</v>
      </c>
      <c r="R34" s="25" t="s">
        <v>139</v>
      </c>
      <c r="S34" s="47">
        <v>7</v>
      </c>
      <c r="T34" s="47">
        <v>0.3</v>
      </c>
      <c r="U34" s="42">
        <v>2</v>
      </c>
      <c r="V34" s="42"/>
      <c r="W34" s="47"/>
      <c r="X34" s="47"/>
      <c r="Y34" s="48" t="s">
        <v>146</v>
      </c>
      <c r="Z34" s="59"/>
      <c r="AA34" s="25"/>
      <c r="AB34" s="25"/>
    </row>
    <row r="35" spans="2:28">
      <c r="B35" s="39">
        <v>0.19791666666666666</v>
      </c>
      <c r="C35" s="39" t="s">
        <v>367</v>
      </c>
      <c r="D35" s="40">
        <v>1</v>
      </c>
      <c r="E35" s="41">
        <v>1</v>
      </c>
      <c r="F35" s="41" t="s">
        <v>164</v>
      </c>
      <c r="G35" s="42" t="s">
        <v>150</v>
      </c>
      <c r="H35" s="41" t="s">
        <v>147</v>
      </c>
      <c r="I35" s="42">
        <v>2</v>
      </c>
      <c r="J35" s="42">
        <v>2</v>
      </c>
      <c r="K35" s="25" t="str">
        <f>VLOOKUP(J35,Key!$E$2:$F$9,2,FALSE)</f>
        <v>Work</v>
      </c>
      <c r="L35" s="41" t="s">
        <v>155</v>
      </c>
      <c r="M35" s="42" t="s">
        <v>148</v>
      </c>
      <c r="N35" s="41" t="s">
        <v>147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7">
        <v>4</v>
      </c>
      <c r="T35" s="47">
        <v>0.2</v>
      </c>
      <c r="U35" s="42">
        <v>3</v>
      </c>
      <c r="V35" s="42"/>
      <c r="W35" s="47"/>
      <c r="X35" s="47"/>
      <c r="Y35" s="48" t="s">
        <v>146</v>
      </c>
      <c r="Z35" s="59"/>
      <c r="AA35" s="25"/>
      <c r="AB35" s="25"/>
    </row>
    <row r="36" spans="2:28">
      <c r="B36" s="39">
        <v>0.20277777777777781</v>
      </c>
      <c r="C36" s="39" t="s">
        <v>368</v>
      </c>
      <c r="D36" s="40">
        <v>7</v>
      </c>
      <c r="E36" s="41">
        <v>2</v>
      </c>
      <c r="F36" s="41" t="s">
        <v>349</v>
      </c>
      <c r="G36" s="42" t="s">
        <v>150</v>
      </c>
      <c r="H36" s="41" t="s">
        <v>147</v>
      </c>
      <c r="I36" s="42">
        <v>1</v>
      </c>
      <c r="J36" s="42">
        <v>1</v>
      </c>
      <c r="K36" s="25" t="str">
        <f>VLOOKUP(J36,Key!$E$2:$F$9,2,FALSE)</f>
        <v>Home</v>
      </c>
      <c r="L36" s="41" t="s">
        <v>173</v>
      </c>
      <c r="M36" s="42" t="s">
        <v>148</v>
      </c>
      <c r="N36" s="41" t="s">
        <v>147</v>
      </c>
      <c r="O36" s="42">
        <v>15</v>
      </c>
      <c r="P36" s="42">
        <v>4</v>
      </c>
      <c r="Q36" s="25" t="str">
        <f>VLOOKUP(P36,Key!$E$2:$F$9,2,FALSE)</f>
        <v>Commercial</v>
      </c>
      <c r="R36" s="25" t="str">
        <f t="shared" si="0"/>
        <v>Home-Commercial</v>
      </c>
      <c r="S36" s="47"/>
      <c r="T36" s="47">
        <v>0.3</v>
      </c>
      <c r="U36" s="42">
        <v>2</v>
      </c>
      <c r="V36" s="42">
        <v>11</v>
      </c>
      <c r="W36" s="47"/>
      <c r="X36" s="47"/>
      <c r="Y36" s="48" t="s">
        <v>146</v>
      </c>
      <c r="Z36" s="59"/>
      <c r="AA36" s="25"/>
      <c r="AB36" s="25"/>
    </row>
    <row r="37" spans="2:28">
      <c r="B37" s="39">
        <v>0.2076388888888889</v>
      </c>
      <c r="C37" s="39" t="s">
        <v>369</v>
      </c>
      <c r="D37" s="40">
        <v>11</v>
      </c>
      <c r="E37" s="41">
        <v>1</v>
      </c>
      <c r="F37" s="41" t="s">
        <v>164</v>
      </c>
      <c r="G37" s="42" t="s">
        <v>150</v>
      </c>
      <c r="H37" s="41" t="s">
        <v>147</v>
      </c>
      <c r="I37" s="42">
        <v>1</v>
      </c>
      <c r="J37" s="42">
        <v>1</v>
      </c>
      <c r="K37" s="25" t="str">
        <f>VLOOKUP(J37,Key!$E$2:$F$9,2,FALSE)</f>
        <v>Home</v>
      </c>
      <c r="L37" s="41" t="s">
        <v>155</v>
      </c>
      <c r="M37" s="42" t="s">
        <v>148</v>
      </c>
      <c r="N37" s="41" t="s">
        <v>147</v>
      </c>
      <c r="O37" s="42">
        <v>8</v>
      </c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47">
        <v>3</v>
      </c>
      <c r="T37" s="47">
        <v>0.1</v>
      </c>
      <c r="U37" s="42">
        <v>2</v>
      </c>
      <c r="V37" s="42"/>
      <c r="W37" s="47"/>
      <c r="X37" s="47"/>
      <c r="Y37" s="48" t="s">
        <v>146</v>
      </c>
      <c r="Z37" s="59"/>
      <c r="AA37" s="25"/>
      <c r="AB37" s="25"/>
    </row>
    <row r="38" spans="2:28">
      <c r="B38" s="39">
        <v>0.25555555555555559</v>
      </c>
      <c r="C38" s="39" t="s">
        <v>370</v>
      </c>
      <c r="D38" s="43">
        <v>1</v>
      </c>
      <c r="E38" s="41">
        <v>1</v>
      </c>
      <c r="F38" s="41" t="s">
        <v>169</v>
      </c>
      <c r="G38" s="41" t="s">
        <v>150</v>
      </c>
      <c r="H38" s="41" t="s">
        <v>147</v>
      </c>
      <c r="I38" s="57">
        <v>1</v>
      </c>
      <c r="J38" s="57">
        <v>1</v>
      </c>
      <c r="K38" s="25" t="s">
        <v>101</v>
      </c>
      <c r="L38" s="41" t="s">
        <v>155</v>
      </c>
      <c r="M38" s="46" t="s">
        <v>148</v>
      </c>
      <c r="N38" s="41" t="s">
        <v>147</v>
      </c>
      <c r="O38" s="45">
        <v>2</v>
      </c>
      <c r="P38" s="45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8">
        <v>13</v>
      </c>
      <c r="T38" s="58">
        <v>0.5</v>
      </c>
      <c r="U38" s="45">
        <v>2</v>
      </c>
      <c r="V38" s="45"/>
      <c r="W38" s="58"/>
      <c r="X38" s="58"/>
      <c r="Y38" s="48" t="s">
        <v>146</v>
      </c>
      <c r="Z38" s="60"/>
      <c r="AA38" s="25"/>
      <c r="AB38" s="25"/>
    </row>
    <row r="39" spans="2:28">
      <c r="B39" s="39">
        <v>0.27499999999999997</v>
      </c>
      <c r="C39" s="39" t="s">
        <v>371</v>
      </c>
      <c r="D39" s="44">
        <v>1</v>
      </c>
      <c r="E39" s="41">
        <v>2</v>
      </c>
      <c r="F39" s="41" t="s">
        <v>171</v>
      </c>
      <c r="G39" s="41" t="s">
        <v>150</v>
      </c>
      <c r="H39" s="41" t="s">
        <v>147</v>
      </c>
      <c r="I39" s="57">
        <v>1</v>
      </c>
      <c r="J39" s="57">
        <v>1</v>
      </c>
      <c r="K39" s="25" t="str">
        <f>VLOOKUP(J39,Key!$E$2:$F$9,2,FALSE)</f>
        <v>Home</v>
      </c>
      <c r="L39" s="41" t="s">
        <v>155</v>
      </c>
      <c r="M39" s="46" t="s">
        <v>148</v>
      </c>
      <c r="N39" s="41" t="s">
        <v>147</v>
      </c>
      <c r="O39" s="45">
        <v>2</v>
      </c>
      <c r="P39" s="45">
        <v>2</v>
      </c>
      <c r="Q39" s="25" t="str">
        <f>VLOOKUP(P39,Key!$E$2:$F$9,2,FALSE)</f>
        <v>Work</v>
      </c>
      <c r="R39" s="25" t="str">
        <f t="shared" si="1"/>
        <v>Home-Work</v>
      </c>
      <c r="S39" s="58">
        <v>31</v>
      </c>
      <c r="T39" s="58">
        <v>2</v>
      </c>
      <c r="U39" s="45">
        <v>3</v>
      </c>
      <c r="V39" s="45"/>
      <c r="W39" s="58"/>
      <c r="X39" s="58"/>
      <c r="Y39" s="48" t="s">
        <v>146</v>
      </c>
      <c r="Z39" s="60"/>
      <c r="AA39" s="25"/>
      <c r="AB39" s="25"/>
    </row>
    <row r="40" spans="2:28">
      <c r="B40" s="39">
        <v>0.27986111111111112</v>
      </c>
      <c r="C40" s="39" t="s">
        <v>372</v>
      </c>
      <c r="D40" s="44">
        <v>4</v>
      </c>
      <c r="E40" s="41">
        <v>18</v>
      </c>
      <c r="F40" s="41" t="s">
        <v>171</v>
      </c>
      <c r="G40" s="41" t="s">
        <v>150</v>
      </c>
      <c r="H40" s="41" t="s">
        <v>147</v>
      </c>
      <c r="I40" s="57">
        <v>1</v>
      </c>
      <c r="J40" s="57">
        <v>1</v>
      </c>
      <c r="K40" s="25" t="str">
        <f>VLOOKUP(J40,Key!$E$2:$F$9,2,FALSE)</f>
        <v>Home</v>
      </c>
      <c r="L40" s="41" t="s">
        <v>155</v>
      </c>
      <c r="M40" s="46" t="s">
        <v>148</v>
      </c>
      <c r="N40" s="41" t="s">
        <v>147</v>
      </c>
      <c r="O40" s="45">
        <v>4</v>
      </c>
      <c r="P40" s="45">
        <v>3</v>
      </c>
      <c r="Q40" s="25" t="str">
        <f>VLOOKUP(P40,Key!$E$2:$F$9,2,FALSE)</f>
        <v>Study</v>
      </c>
      <c r="R40" s="25" t="str">
        <f t="shared" si="1"/>
        <v>Home-Study</v>
      </c>
      <c r="S40" s="58">
        <v>31</v>
      </c>
      <c r="T40" s="58">
        <v>1.5</v>
      </c>
      <c r="U40" s="45">
        <v>2</v>
      </c>
      <c r="V40" s="45"/>
      <c r="W40" s="58"/>
      <c r="X40" s="58"/>
      <c r="Y40" s="48" t="s">
        <v>146</v>
      </c>
      <c r="Z40" s="60"/>
      <c r="AA40" s="25"/>
      <c r="AB40" s="25"/>
    </row>
    <row r="41" spans="2:28">
      <c r="B41" s="39">
        <v>0.28611111111111115</v>
      </c>
      <c r="C41" s="39" t="s">
        <v>373</v>
      </c>
      <c r="D41" s="43">
        <v>1</v>
      </c>
      <c r="E41" s="44">
        <v>3</v>
      </c>
      <c r="F41" s="41" t="s">
        <v>162</v>
      </c>
      <c r="G41" s="41" t="s">
        <v>150</v>
      </c>
      <c r="H41" s="41" t="s">
        <v>147</v>
      </c>
      <c r="I41" s="57">
        <v>1</v>
      </c>
      <c r="J41" s="57">
        <v>1</v>
      </c>
      <c r="K41" s="25" t="str">
        <f>VLOOKUP(J41,Key!$E$2:$F$9,2,FALSE)</f>
        <v>Home</v>
      </c>
      <c r="L41" s="41" t="s">
        <v>155</v>
      </c>
      <c r="M41" s="46" t="s">
        <v>148</v>
      </c>
      <c r="N41" s="41" t="s">
        <v>147</v>
      </c>
      <c r="O41" s="45">
        <v>4</v>
      </c>
      <c r="P41" s="45">
        <v>3</v>
      </c>
      <c r="Q41" s="25" t="str">
        <f>VLOOKUP(P41,Key!$E$2:$F$9,2,FALSE)</f>
        <v>Study</v>
      </c>
      <c r="R41" s="25" t="str">
        <f t="shared" si="1"/>
        <v>Home-Study</v>
      </c>
      <c r="S41" s="58">
        <v>7</v>
      </c>
      <c r="T41" s="58">
        <v>0.2</v>
      </c>
      <c r="U41" s="45">
        <v>2</v>
      </c>
      <c r="V41" s="45"/>
      <c r="W41" s="58"/>
      <c r="X41" s="58"/>
      <c r="Y41" s="48" t="s">
        <v>146</v>
      </c>
      <c r="Z41" s="60"/>
      <c r="AA41" s="25"/>
      <c r="AB41" s="25"/>
    </row>
    <row r="42" spans="2:28">
      <c r="B42" s="39">
        <v>0.31805555555555554</v>
      </c>
      <c r="C42" s="39" t="s">
        <v>374</v>
      </c>
      <c r="D42" s="43">
        <v>1</v>
      </c>
      <c r="E42" s="44">
        <v>1</v>
      </c>
      <c r="F42" s="41" t="s">
        <v>345</v>
      </c>
      <c r="G42" s="41" t="s">
        <v>150</v>
      </c>
      <c r="H42" s="41" t="s">
        <v>147</v>
      </c>
      <c r="I42" s="57">
        <v>4</v>
      </c>
      <c r="J42" s="57">
        <v>2</v>
      </c>
      <c r="K42" s="25" t="str">
        <f>VLOOKUP(J42,Key!$E$2:$F$9,2,FALSE)</f>
        <v>Work</v>
      </c>
      <c r="L42" s="41" t="s">
        <v>164</v>
      </c>
      <c r="M42" s="46" t="s">
        <v>148</v>
      </c>
      <c r="N42" s="41" t="s">
        <v>147</v>
      </c>
      <c r="O42" s="45">
        <v>1</v>
      </c>
      <c r="P42" s="45">
        <v>1</v>
      </c>
      <c r="Q42" s="25" t="str">
        <f>VLOOKUP(P42,Key!$E$2:$F$9,2,FALSE)</f>
        <v>Home</v>
      </c>
      <c r="R42" s="25" t="str">
        <f t="shared" si="1"/>
        <v>Work-Home</v>
      </c>
      <c r="S42" s="58">
        <v>3</v>
      </c>
      <c r="T42" s="58">
        <v>0.1</v>
      </c>
      <c r="U42" s="45">
        <v>2</v>
      </c>
      <c r="V42" s="45"/>
      <c r="W42" s="58"/>
      <c r="X42" s="58"/>
      <c r="Y42" s="48" t="s">
        <v>146</v>
      </c>
      <c r="Z42" s="60"/>
      <c r="AA42" s="25"/>
      <c r="AB42" s="25"/>
    </row>
    <row r="43" spans="2:28">
      <c r="B43" s="39">
        <v>0.32083333333333336</v>
      </c>
      <c r="C43" s="39" t="s">
        <v>375</v>
      </c>
      <c r="D43" s="44">
        <v>1</v>
      </c>
      <c r="E43" s="44">
        <v>2</v>
      </c>
      <c r="F43" s="41" t="s">
        <v>171</v>
      </c>
      <c r="G43" s="41" t="s">
        <v>150</v>
      </c>
      <c r="H43" s="41" t="s">
        <v>147</v>
      </c>
      <c r="I43" s="57">
        <v>4</v>
      </c>
      <c r="J43" s="57">
        <v>3</v>
      </c>
      <c r="K43" s="25" t="str">
        <f>VLOOKUP(J43,Key!$E$2:$F$9,2,FALSE)</f>
        <v>Study</v>
      </c>
      <c r="L43" s="41" t="s">
        <v>155</v>
      </c>
      <c r="M43" s="46" t="s">
        <v>148</v>
      </c>
      <c r="N43" s="41" t="s">
        <v>147</v>
      </c>
      <c r="O43" s="45">
        <v>1</v>
      </c>
      <c r="P43" s="45">
        <v>1</v>
      </c>
      <c r="Q43" s="25" t="str">
        <f>VLOOKUP(P43,Key!$E$2:$F$9,2,FALSE)</f>
        <v>Home</v>
      </c>
      <c r="R43" s="25" t="str">
        <f t="shared" si="1"/>
        <v>Study-Home</v>
      </c>
      <c r="S43" s="58">
        <v>31</v>
      </c>
      <c r="T43" s="58">
        <v>1</v>
      </c>
      <c r="U43" s="45">
        <v>3</v>
      </c>
      <c r="V43" s="45"/>
      <c r="W43" s="58"/>
      <c r="X43" s="58"/>
      <c r="Y43" s="48" t="s">
        <v>146</v>
      </c>
      <c r="Z43" s="60"/>
      <c r="AA43" s="25"/>
      <c r="AB43" s="25"/>
    </row>
    <row r="44" spans="2:28" ht="12.75" customHeight="1">
      <c r="B44" s="39">
        <v>0.32361111111111113</v>
      </c>
      <c r="C44" s="39" t="s">
        <v>376</v>
      </c>
      <c r="D44" s="43">
        <v>2</v>
      </c>
      <c r="E44" s="44">
        <v>4</v>
      </c>
      <c r="F44" s="41" t="s">
        <v>171</v>
      </c>
      <c r="G44" s="41" t="s">
        <v>150</v>
      </c>
      <c r="H44" s="41" t="s">
        <v>147</v>
      </c>
      <c r="I44" s="57">
        <v>16</v>
      </c>
      <c r="J44" s="57">
        <v>8</v>
      </c>
      <c r="K44" s="25" t="str">
        <f>VLOOKUP(J44,Key!$E$2:$F$9,2,FALSE)</f>
        <v>Others</v>
      </c>
      <c r="L44" s="41" t="s">
        <v>155</v>
      </c>
      <c r="M44" s="46" t="s">
        <v>148</v>
      </c>
      <c r="N44" s="41" t="s">
        <v>147</v>
      </c>
      <c r="O44" s="45">
        <v>16</v>
      </c>
      <c r="P44" s="45">
        <v>8</v>
      </c>
      <c r="Q44" s="25" t="str">
        <f>VLOOKUP(P44,Key!$E$2:$F$9,2,FALSE)</f>
        <v>Others</v>
      </c>
      <c r="R44" s="25" t="str">
        <f t="shared" si="1"/>
        <v>Others-Others</v>
      </c>
      <c r="S44" s="58">
        <v>34</v>
      </c>
      <c r="T44" s="58">
        <v>0.5</v>
      </c>
      <c r="U44" s="45">
        <v>4</v>
      </c>
      <c r="V44" s="45"/>
      <c r="W44" s="58"/>
      <c r="X44" s="58"/>
      <c r="Y44" s="48" t="s">
        <v>146</v>
      </c>
      <c r="Z44" s="60"/>
      <c r="AA44" s="25"/>
      <c r="AB44" s="25"/>
    </row>
    <row r="45" spans="2:28" ht="14.25" customHeight="1">
      <c r="B45" s="39">
        <v>0.3263888888888889</v>
      </c>
      <c r="C45" s="39" t="s">
        <v>377</v>
      </c>
      <c r="D45" s="44">
        <v>2</v>
      </c>
      <c r="E45" s="41">
        <v>1</v>
      </c>
      <c r="F45" s="41" t="s">
        <v>342</v>
      </c>
      <c r="G45" s="41" t="s">
        <v>150</v>
      </c>
      <c r="H45" s="41" t="s">
        <v>147</v>
      </c>
      <c r="I45" s="57">
        <v>1</v>
      </c>
      <c r="J45" s="57">
        <v>1</v>
      </c>
      <c r="K45" s="25" t="str">
        <f>VLOOKUP(J45,Key!$E$2:$F$9,2,FALSE)</f>
        <v>Home</v>
      </c>
      <c r="L45" s="40" t="s">
        <v>155</v>
      </c>
      <c r="M45" s="46" t="s">
        <v>148</v>
      </c>
      <c r="N45" s="41" t="s">
        <v>147</v>
      </c>
      <c r="O45" s="45">
        <v>4</v>
      </c>
      <c r="P45" s="45">
        <v>3</v>
      </c>
      <c r="Q45" s="25" t="str">
        <f>VLOOKUP(P45,Key!$E$2:$F$9,2,FALSE)</f>
        <v>Study</v>
      </c>
      <c r="R45" s="25" t="str">
        <f t="shared" si="1"/>
        <v>Home-Study</v>
      </c>
      <c r="S45" s="58">
        <v>5</v>
      </c>
      <c r="T45" s="58">
        <v>0.3</v>
      </c>
      <c r="U45" s="45">
        <v>2</v>
      </c>
      <c r="V45" s="45"/>
      <c r="W45" s="58"/>
      <c r="X45" s="58"/>
      <c r="Y45" s="48" t="s">
        <v>146</v>
      </c>
      <c r="Z45" s="60"/>
      <c r="AA45" s="25"/>
      <c r="AB45" s="25"/>
    </row>
    <row r="46" spans="2:28">
      <c r="B46" s="39">
        <v>0.33958333333333335</v>
      </c>
      <c r="C46" s="39" t="s">
        <v>378</v>
      </c>
      <c r="D46" s="43">
        <v>1</v>
      </c>
      <c r="E46" s="44">
        <v>1</v>
      </c>
      <c r="F46" s="41" t="s">
        <v>171</v>
      </c>
      <c r="G46" s="41" t="s">
        <v>150</v>
      </c>
      <c r="H46" s="41" t="s">
        <v>147</v>
      </c>
      <c r="I46" s="57">
        <v>16</v>
      </c>
      <c r="J46" s="57">
        <v>8</v>
      </c>
      <c r="K46" s="25" t="str">
        <f>VLOOKUP(J46,Key!$E$2:$F$9,2,FALSE)</f>
        <v>Others</v>
      </c>
      <c r="L46" s="41" t="s">
        <v>155</v>
      </c>
      <c r="M46" s="46" t="s">
        <v>148</v>
      </c>
      <c r="N46" s="41" t="s">
        <v>147</v>
      </c>
      <c r="O46" s="45">
        <v>1</v>
      </c>
      <c r="P46" s="45">
        <v>1</v>
      </c>
      <c r="Q46" s="25" t="str">
        <f>VLOOKUP(P46,Key!$E$2:$F$9,2,FALSE)</f>
        <v>Home</v>
      </c>
      <c r="R46" s="25" t="str">
        <f t="shared" si="1"/>
        <v>Others-Home</v>
      </c>
      <c r="S46" s="58">
        <v>31</v>
      </c>
      <c r="T46" s="58">
        <v>0.6</v>
      </c>
      <c r="U46" s="45">
        <v>4</v>
      </c>
      <c r="V46" s="45"/>
      <c r="W46" s="58"/>
      <c r="X46" s="58"/>
      <c r="Y46" s="48" t="s">
        <v>146</v>
      </c>
      <c r="Z46" s="60"/>
      <c r="AA46" s="25"/>
      <c r="AB46" s="25"/>
    </row>
    <row r="47" spans="2:28">
      <c r="B47" s="39">
        <v>0.34236111111111112</v>
      </c>
      <c r="C47" s="39" t="s">
        <v>379</v>
      </c>
      <c r="D47" s="44">
        <v>3</v>
      </c>
      <c r="E47" s="44">
        <v>4</v>
      </c>
      <c r="F47" s="41" t="s">
        <v>171</v>
      </c>
      <c r="G47" s="41" t="s">
        <v>150</v>
      </c>
      <c r="H47" s="41" t="s">
        <v>147</v>
      </c>
      <c r="I47" s="57">
        <v>1</v>
      </c>
      <c r="J47" s="57">
        <v>1</v>
      </c>
      <c r="K47" s="25" t="str">
        <f>VLOOKUP(J47,Key!$E$2:$F$9,2,FALSE)</f>
        <v>Home</v>
      </c>
      <c r="L47" s="41" t="s">
        <v>234</v>
      </c>
      <c r="M47" s="46" t="s">
        <v>235</v>
      </c>
      <c r="N47" s="41" t="s">
        <v>147</v>
      </c>
      <c r="O47" s="45">
        <v>16</v>
      </c>
      <c r="P47" s="45">
        <v>8</v>
      </c>
      <c r="Q47" s="25" t="str">
        <f>VLOOKUP(P47,Key!$E$2:$F$9,2,FALSE)</f>
        <v>Others</v>
      </c>
      <c r="R47" s="25" t="str">
        <f t="shared" si="1"/>
        <v>Home-Others</v>
      </c>
      <c r="S47" s="58">
        <v>352</v>
      </c>
      <c r="T47" s="58">
        <v>6</v>
      </c>
      <c r="U47" s="45">
        <v>5</v>
      </c>
      <c r="V47" s="45"/>
      <c r="W47" s="58"/>
      <c r="X47" s="58"/>
      <c r="Y47" s="48" t="s">
        <v>146</v>
      </c>
      <c r="Z47" s="60"/>
      <c r="AA47" s="25"/>
      <c r="AB47" s="25"/>
    </row>
    <row r="48" spans="2:28">
      <c r="B48" s="39">
        <v>0.34861111111111115</v>
      </c>
      <c r="C48" s="39" t="s">
        <v>380</v>
      </c>
      <c r="D48" s="43">
        <v>1</v>
      </c>
      <c r="E48" s="41">
        <v>1</v>
      </c>
      <c r="F48" s="41" t="s">
        <v>169</v>
      </c>
      <c r="G48" s="41" t="s">
        <v>150</v>
      </c>
      <c r="H48" s="41" t="s">
        <v>147</v>
      </c>
      <c r="I48" s="57">
        <v>1</v>
      </c>
      <c r="J48" s="57">
        <v>1</v>
      </c>
      <c r="K48" s="25" t="str">
        <f>VLOOKUP(J48,Key!$E$2:$F$9,2,FALSE)</f>
        <v>Home</v>
      </c>
      <c r="L48" s="41" t="s">
        <v>155</v>
      </c>
      <c r="M48" s="46" t="s">
        <v>148</v>
      </c>
      <c r="N48" s="41" t="s">
        <v>147</v>
      </c>
      <c r="O48" s="45">
        <v>2</v>
      </c>
      <c r="P48" s="45">
        <v>2</v>
      </c>
      <c r="Q48" s="25" t="str">
        <f>VLOOKUP(P48,Key!$E$2:$F$9,2,FALSE)</f>
        <v>Work</v>
      </c>
      <c r="R48" s="25" t="str">
        <f t="shared" si="1"/>
        <v>Home-Work</v>
      </c>
      <c r="S48" s="58">
        <v>13</v>
      </c>
      <c r="T48" s="58">
        <v>0.5</v>
      </c>
      <c r="U48" s="45">
        <v>2</v>
      </c>
      <c r="V48" s="45"/>
      <c r="W48" s="58"/>
      <c r="X48" s="58"/>
      <c r="Y48" s="48" t="s">
        <v>146</v>
      </c>
      <c r="Z48" s="60"/>
      <c r="AA48" s="25"/>
      <c r="AB48" s="25"/>
    </row>
    <row r="49" spans="2:28">
      <c r="B49" s="39">
        <v>0.35416666666666669</v>
      </c>
      <c r="C49" s="39" t="s">
        <v>381</v>
      </c>
      <c r="D49" s="44">
        <v>8</v>
      </c>
      <c r="E49" s="44">
        <v>2</v>
      </c>
      <c r="F49" s="41" t="s">
        <v>171</v>
      </c>
      <c r="G49" s="41" t="s">
        <v>150</v>
      </c>
      <c r="H49" s="41" t="s">
        <v>147</v>
      </c>
      <c r="I49" s="57">
        <v>1</v>
      </c>
      <c r="J49" s="57">
        <v>1</v>
      </c>
      <c r="K49" s="25" t="str">
        <f>VLOOKUP(J49,Key!$E$2:$F$9,2,FALSE)</f>
        <v>Home</v>
      </c>
      <c r="L49" s="41" t="s">
        <v>155</v>
      </c>
      <c r="M49" s="46" t="s">
        <v>148</v>
      </c>
      <c r="N49" s="41" t="s">
        <v>147</v>
      </c>
      <c r="O49" s="45">
        <v>12</v>
      </c>
      <c r="P49" s="45">
        <v>2</v>
      </c>
      <c r="Q49" s="25" t="str">
        <f>VLOOKUP(P49,Key!$E$2:$F$9,2,FALSE)</f>
        <v>Work</v>
      </c>
      <c r="R49" s="25" t="str">
        <f t="shared" si="1"/>
        <v>Home-Work</v>
      </c>
      <c r="S49" s="58">
        <v>35</v>
      </c>
      <c r="T49" s="58">
        <v>2</v>
      </c>
      <c r="U49" s="45">
        <v>2</v>
      </c>
      <c r="V49" s="45">
        <v>11</v>
      </c>
      <c r="W49" s="58"/>
      <c r="X49" s="58"/>
      <c r="Y49" s="48" t="s">
        <v>146</v>
      </c>
      <c r="Z49" s="60"/>
      <c r="AA49" s="25"/>
      <c r="AB49" s="25"/>
    </row>
    <row r="50" spans="2:28">
      <c r="B50" s="39">
        <v>0.36527777777777781</v>
      </c>
      <c r="C50" s="39" t="s">
        <v>382</v>
      </c>
      <c r="D50" s="43">
        <v>7</v>
      </c>
      <c r="E50" s="44">
        <v>2</v>
      </c>
      <c r="F50" s="41" t="s">
        <v>169</v>
      </c>
      <c r="G50" s="41" t="s">
        <v>150</v>
      </c>
      <c r="H50" s="41" t="s">
        <v>147</v>
      </c>
      <c r="I50" s="57">
        <v>1</v>
      </c>
      <c r="J50" s="57">
        <v>1</v>
      </c>
      <c r="K50" s="25" t="str">
        <f>VLOOKUP(J50,Key!$E$2:$F$9,2,FALSE)</f>
        <v>Home</v>
      </c>
      <c r="L50" s="41" t="s">
        <v>155</v>
      </c>
      <c r="M50" s="46" t="s">
        <v>148</v>
      </c>
      <c r="N50" s="41" t="s">
        <v>147</v>
      </c>
      <c r="O50" s="45">
        <v>2</v>
      </c>
      <c r="P50" s="45">
        <v>2</v>
      </c>
      <c r="Q50" s="25" t="str">
        <f>VLOOKUP(P50,Key!$E$2:$F$9,2,FALSE)</f>
        <v>Work</v>
      </c>
      <c r="R50" s="25" t="str">
        <f t="shared" si="1"/>
        <v>Home-Work</v>
      </c>
      <c r="S50" s="58">
        <v>12</v>
      </c>
      <c r="T50" s="58">
        <v>0.3</v>
      </c>
      <c r="U50" s="45">
        <v>2</v>
      </c>
      <c r="V50" s="45">
        <v>11</v>
      </c>
      <c r="W50" s="58"/>
      <c r="X50" s="58"/>
      <c r="Y50" s="48" t="s">
        <v>146</v>
      </c>
      <c r="Z50" s="60"/>
      <c r="AA50" s="25"/>
      <c r="AB50" s="25"/>
    </row>
    <row r="51" spans="2:28">
      <c r="B51" s="39">
        <v>0.37083333333333335</v>
      </c>
      <c r="C51" s="39" t="s">
        <v>383</v>
      </c>
      <c r="D51" s="44">
        <v>1</v>
      </c>
      <c r="E51" s="44">
        <v>2</v>
      </c>
      <c r="F51" s="41" t="s">
        <v>385</v>
      </c>
      <c r="G51" s="41" t="s">
        <v>384</v>
      </c>
      <c r="H51" s="41" t="s">
        <v>147</v>
      </c>
      <c r="I51" s="57">
        <v>1</v>
      </c>
      <c r="J51" s="57">
        <v>1</v>
      </c>
      <c r="K51" s="25" t="str">
        <f>VLOOKUP(J51,Key!$E$2:$F$9,2,FALSE)</f>
        <v>Home</v>
      </c>
      <c r="L51" s="41" t="s">
        <v>155</v>
      </c>
      <c r="M51" s="46" t="s">
        <v>148</v>
      </c>
      <c r="N51" s="41" t="s">
        <v>147</v>
      </c>
      <c r="O51" s="45">
        <v>16</v>
      </c>
      <c r="P51" s="45">
        <v>8</v>
      </c>
      <c r="Q51" s="25" t="str">
        <f>VLOOKUP(P51,Key!$E$2:$F$9,2,FALSE)</f>
        <v>Others</v>
      </c>
      <c r="R51" s="25" t="str">
        <f t="shared" si="1"/>
        <v>Home-Others</v>
      </c>
      <c r="S51" s="58">
        <v>98</v>
      </c>
      <c r="T51" s="58">
        <v>1.5</v>
      </c>
      <c r="U51" s="45">
        <v>5</v>
      </c>
      <c r="V51" s="45"/>
      <c r="W51" s="58"/>
      <c r="X51" s="58"/>
      <c r="Y51" s="48" t="s">
        <v>146</v>
      </c>
      <c r="Z51" s="60"/>
      <c r="AA51" s="25"/>
      <c r="AB51" s="25"/>
    </row>
    <row r="52" spans="2:28">
      <c r="B52" s="39">
        <v>0.37916666666666665</v>
      </c>
      <c r="C52" s="39" t="s">
        <v>386</v>
      </c>
      <c r="D52" s="44">
        <v>4</v>
      </c>
      <c r="E52" s="44">
        <v>1</v>
      </c>
      <c r="F52" s="41" t="s">
        <v>345</v>
      </c>
      <c r="G52" s="41" t="s">
        <v>150</v>
      </c>
      <c r="H52" s="41" t="s">
        <v>147</v>
      </c>
      <c r="I52" s="57">
        <v>4</v>
      </c>
      <c r="J52" s="57">
        <v>3</v>
      </c>
      <c r="K52" s="25" t="str">
        <f>VLOOKUP(J52,Key!$E$2:$F$9,2,FALSE)</f>
        <v>Study</v>
      </c>
      <c r="L52" s="41" t="s">
        <v>309</v>
      </c>
      <c r="M52" s="46" t="s">
        <v>148</v>
      </c>
      <c r="N52" s="41" t="s">
        <v>147</v>
      </c>
      <c r="O52" s="45">
        <v>16</v>
      </c>
      <c r="P52" s="45">
        <v>8</v>
      </c>
      <c r="Q52" s="25" t="str">
        <f>VLOOKUP(P52,Key!$E$2:$F$9,2,FALSE)</f>
        <v>Others</v>
      </c>
      <c r="R52" s="25" t="str">
        <f t="shared" si="1"/>
        <v>Study-Others</v>
      </c>
      <c r="S52" s="58">
        <v>11</v>
      </c>
      <c r="T52" s="58">
        <v>0.5</v>
      </c>
      <c r="U52" s="45">
        <v>4</v>
      </c>
      <c r="V52" s="45"/>
      <c r="W52" s="58"/>
      <c r="X52" s="58"/>
      <c r="Y52" s="48" t="s">
        <v>146</v>
      </c>
      <c r="Z52" s="60"/>
      <c r="AA52" s="25"/>
      <c r="AB52" s="25"/>
    </row>
    <row r="53" spans="2:28">
      <c r="B53" s="39">
        <v>0.3888888888888889</v>
      </c>
      <c r="C53" s="39" t="s">
        <v>387</v>
      </c>
      <c r="D53" s="44">
        <v>8</v>
      </c>
      <c r="E53" s="44">
        <v>2</v>
      </c>
      <c r="F53" s="41" t="s">
        <v>169</v>
      </c>
      <c r="G53" s="41" t="s">
        <v>150</v>
      </c>
      <c r="H53" s="41" t="s">
        <v>147</v>
      </c>
      <c r="I53" s="57">
        <v>1</v>
      </c>
      <c r="J53" s="57">
        <v>1</v>
      </c>
      <c r="K53" s="25" t="str">
        <f>VLOOKUP(J53,Key!$E$2:$F$9,2,FALSE)</f>
        <v>Home</v>
      </c>
      <c r="L53" s="41" t="s">
        <v>155</v>
      </c>
      <c r="M53" s="46" t="s">
        <v>148</v>
      </c>
      <c r="N53" s="41" t="s">
        <v>147</v>
      </c>
      <c r="O53" s="45">
        <v>11</v>
      </c>
      <c r="P53" s="45">
        <v>2</v>
      </c>
      <c r="Q53" s="25" t="str">
        <f>VLOOKUP(P53,Key!$E$2:$F$9,2,FALSE)</f>
        <v>Work</v>
      </c>
      <c r="R53" s="25" t="str">
        <f t="shared" si="1"/>
        <v>Home-Work</v>
      </c>
      <c r="S53" s="58">
        <v>18</v>
      </c>
      <c r="T53" s="58">
        <v>0.4</v>
      </c>
      <c r="U53" s="45">
        <v>4</v>
      </c>
      <c r="V53" s="45">
        <v>1</v>
      </c>
      <c r="W53" s="58"/>
      <c r="X53" s="58">
        <v>0.5</v>
      </c>
      <c r="Y53" s="48" t="s">
        <v>146</v>
      </c>
      <c r="Z53" s="60"/>
      <c r="AA53" s="25"/>
      <c r="AB53" s="25"/>
    </row>
    <row r="54" spans="2:28">
      <c r="B54" s="39">
        <v>0.39583333333333331</v>
      </c>
      <c r="C54" s="39" t="s">
        <v>388</v>
      </c>
      <c r="D54" s="43">
        <v>7</v>
      </c>
      <c r="E54" s="44">
        <v>1</v>
      </c>
      <c r="F54" s="41" t="s">
        <v>164</v>
      </c>
      <c r="G54" s="41" t="s">
        <v>150</v>
      </c>
      <c r="H54" s="41" t="s">
        <v>147</v>
      </c>
      <c r="I54" s="57">
        <v>1</v>
      </c>
      <c r="J54" s="57">
        <v>1</v>
      </c>
      <c r="K54" s="25" t="str">
        <f>VLOOKUP(J54,Key!$E$2:$F$9,2,FALSE)</f>
        <v>Home</v>
      </c>
      <c r="L54" s="41" t="s">
        <v>164</v>
      </c>
      <c r="M54" s="46" t="s">
        <v>150</v>
      </c>
      <c r="N54" s="41" t="s">
        <v>147</v>
      </c>
      <c r="O54" s="45">
        <v>15</v>
      </c>
      <c r="P54" s="45">
        <v>4</v>
      </c>
      <c r="Q54" s="25" t="str">
        <f>VLOOKUP(P54,Key!$E$2:$F$9,2,FALSE)</f>
        <v>Commercial</v>
      </c>
      <c r="R54" s="25" t="str">
        <f t="shared" si="1"/>
        <v>Home-Commercial</v>
      </c>
      <c r="S54" s="58">
        <v>1</v>
      </c>
      <c r="T54" s="58">
        <v>0</v>
      </c>
      <c r="U54" s="45">
        <v>2</v>
      </c>
      <c r="V54" s="45">
        <v>11</v>
      </c>
      <c r="W54" s="58"/>
      <c r="X54" s="58"/>
      <c r="Y54" s="48" t="s">
        <v>146</v>
      </c>
      <c r="Z54" s="60"/>
      <c r="AA54" s="25"/>
      <c r="AB54" s="25"/>
    </row>
    <row r="55" spans="2:28">
      <c r="B55" s="39">
        <v>0.40416666666666662</v>
      </c>
      <c r="C55" s="39" t="s">
        <v>389</v>
      </c>
      <c r="D55" s="44">
        <v>7</v>
      </c>
      <c r="E55" s="44">
        <v>1</v>
      </c>
      <c r="F55" s="41" t="s">
        <v>205</v>
      </c>
      <c r="G55" s="41" t="s">
        <v>150</v>
      </c>
      <c r="H55" s="41" t="s">
        <v>147</v>
      </c>
      <c r="I55" s="57">
        <v>1</v>
      </c>
      <c r="J55" s="57">
        <v>1</v>
      </c>
      <c r="K55" s="25" t="str">
        <f>VLOOKUP(J55,Key!$E$2:$F$9,2,FALSE)</f>
        <v>Home</v>
      </c>
      <c r="L55" s="41" t="s">
        <v>155</v>
      </c>
      <c r="M55" s="46" t="s">
        <v>148</v>
      </c>
      <c r="N55" s="41" t="s">
        <v>147</v>
      </c>
      <c r="O55" s="45">
        <v>11</v>
      </c>
      <c r="P55" s="45">
        <v>2</v>
      </c>
      <c r="Q55" s="25" t="str">
        <f>VLOOKUP(P55,Key!$E$2:$F$9,2,FALSE)</f>
        <v>Work</v>
      </c>
      <c r="R55" s="25" t="str">
        <f t="shared" si="1"/>
        <v>Home-Work</v>
      </c>
      <c r="S55" s="58">
        <v>12</v>
      </c>
      <c r="T55" s="58">
        <v>0.8</v>
      </c>
      <c r="U55" s="45">
        <v>4</v>
      </c>
      <c r="V55" s="45">
        <v>9</v>
      </c>
      <c r="W55" s="58"/>
      <c r="X55" s="58">
        <v>2</v>
      </c>
      <c r="Y55" s="48" t="s">
        <v>146</v>
      </c>
      <c r="Z55" s="60"/>
      <c r="AA55" s="25"/>
      <c r="AB55" s="25"/>
    </row>
    <row r="56" spans="2:28">
      <c r="B56" s="39">
        <v>0.43402777777777773</v>
      </c>
      <c r="C56" s="39" t="s">
        <v>390</v>
      </c>
      <c r="D56" s="44">
        <v>8</v>
      </c>
      <c r="E56" s="44">
        <v>3</v>
      </c>
      <c r="F56" s="41" t="s">
        <v>342</v>
      </c>
      <c r="G56" s="41" t="s">
        <v>150</v>
      </c>
      <c r="H56" s="41" t="s">
        <v>147</v>
      </c>
      <c r="I56" s="57">
        <v>3</v>
      </c>
      <c r="J56" s="57">
        <v>4</v>
      </c>
      <c r="K56" s="25" t="str">
        <f>VLOOKUP(J56,Key!$E$2:$F$9,2,FALSE)</f>
        <v>Commercial</v>
      </c>
      <c r="L56" s="41" t="s">
        <v>155</v>
      </c>
      <c r="M56" s="46" t="s">
        <v>148</v>
      </c>
      <c r="N56" s="41" t="s">
        <v>147</v>
      </c>
      <c r="O56" s="45">
        <v>3</v>
      </c>
      <c r="P56" s="45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8">
        <v>5</v>
      </c>
      <c r="T56" s="58">
        <v>0.2</v>
      </c>
      <c r="U56" s="45">
        <v>3</v>
      </c>
      <c r="V56" s="45">
        <v>11</v>
      </c>
      <c r="W56" s="58"/>
      <c r="X56" s="58"/>
      <c r="Y56" s="48" t="s">
        <v>146</v>
      </c>
      <c r="Z56" s="60"/>
      <c r="AA56" s="25"/>
      <c r="AB56" s="25"/>
    </row>
    <row r="57" spans="2:28">
      <c r="B57" s="39">
        <v>0.44097222222222227</v>
      </c>
      <c r="C57" s="39" t="s">
        <v>391</v>
      </c>
      <c r="D57" s="44">
        <v>1</v>
      </c>
      <c r="E57" s="44">
        <v>2</v>
      </c>
      <c r="F57" s="41" t="s">
        <v>169</v>
      </c>
      <c r="G57" s="41" t="s">
        <v>150</v>
      </c>
      <c r="H57" s="41" t="s">
        <v>147</v>
      </c>
      <c r="I57" s="57">
        <v>16</v>
      </c>
      <c r="J57" s="57">
        <v>8</v>
      </c>
      <c r="K57" s="25" t="str">
        <f>VLOOKUP(J57,Key!$E$2:$F$9,2,FALSE)</f>
        <v>Others</v>
      </c>
      <c r="L57" s="41" t="s">
        <v>155</v>
      </c>
      <c r="M57" s="46" t="s">
        <v>148</v>
      </c>
      <c r="N57" s="41" t="s">
        <v>147</v>
      </c>
      <c r="O57" s="45">
        <v>1</v>
      </c>
      <c r="P57" s="45">
        <v>1</v>
      </c>
      <c r="Q57" s="25" t="str">
        <f>VLOOKUP(P57,Key!$E$2:$F$9,2,FALSE)</f>
        <v>Home</v>
      </c>
      <c r="R57" s="25" t="str">
        <f t="shared" si="1"/>
        <v>Others-Home</v>
      </c>
      <c r="S57" s="58">
        <v>8</v>
      </c>
      <c r="T57" s="58">
        <v>0.3</v>
      </c>
      <c r="U57" s="45">
        <v>4</v>
      </c>
      <c r="V57" s="45"/>
      <c r="W57" s="58"/>
      <c r="X57" s="58"/>
      <c r="Y57" s="48" t="s">
        <v>146</v>
      </c>
      <c r="Z57" s="60"/>
      <c r="AA57" s="25"/>
      <c r="AB57" s="25"/>
    </row>
    <row r="58" spans="2:28">
      <c r="B58" s="39">
        <v>0.44444444444444442</v>
      </c>
      <c r="C58" s="39" t="s">
        <v>392</v>
      </c>
      <c r="D58" s="44">
        <v>1</v>
      </c>
      <c r="E58" s="44">
        <v>2</v>
      </c>
      <c r="F58" s="41" t="s">
        <v>171</v>
      </c>
      <c r="G58" s="41" t="s">
        <v>150</v>
      </c>
      <c r="H58" s="41" t="s">
        <v>147</v>
      </c>
      <c r="I58" s="57">
        <v>1</v>
      </c>
      <c r="J58" s="57">
        <v>1</v>
      </c>
      <c r="K58" s="25" t="str">
        <f>VLOOKUP(J58,Key!$E$2:$F$9,2,FALSE)</f>
        <v>Home</v>
      </c>
      <c r="L58" s="41" t="s">
        <v>155</v>
      </c>
      <c r="M58" s="46" t="s">
        <v>148</v>
      </c>
      <c r="N58" s="41" t="s">
        <v>147</v>
      </c>
      <c r="O58" s="45">
        <v>16</v>
      </c>
      <c r="P58" s="45">
        <v>8</v>
      </c>
      <c r="Q58" s="25" t="str">
        <f>VLOOKUP(P58,Key!$E$2:$F$9,2,FALSE)</f>
        <v>Others</v>
      </c>
      <c r="R58" s="25" t="str">
        <f t="shared" si="1"/>
        <v>Home-Others</v>
      </c>
      <c r="S58" s="58">
        <v>31</v>
      </c>
      <c r="T58" s="58">
        <v>2</v>
      </c>
      <c r="U58" s="45">
        <v>4</v>
      </c>
      <c r="V58" s="45"/>
      <c r="W58" s="58"/>
      <c r="X58" s="58"/>
      <c r="Y58" s="48" t="s">
        <v>146</v>
      </c>
      <c r="Z58" s="60"/>
      <c r="AA58" s="25"/>
      <c r="AB58" s="25"/>
    </row>
    <row r="59" spans="2:28">
      <c r="B59" s="39">
        <v>0.4597222222222222</v>
      </c>
      <c r="C59" s="39" t="s">
        <v>393</v>
      </c>
      <c r="D59" s="43">
        <v>7</v>
      </c>
      <c r="E59" s="44">
        <v>1</v>
      </c>
      <c r="F59" s="41" t="s">
        <v>345</v>
      </c>
      <c r="G59" s="41" t="s">
        <v>150</v>
      </c>
      <c r="H59" s="41" t="s">
        <v>147</v>
      </c>
      <c r="I59" s="57">
        <v>3</v>
      </c>
      <c r="J59" s="57">
        <v>4</v>
      </c>
      <c r="K59" s="25" t="str">
        <f>VLOOKUP(J59,Key!$E$2:$F$9,2,FALSE)</f>
        <v>Commercial</v>
      </c>
      <c r="L59" s="41" t="s">
        <v>155</v>
      </c>
      <c r="M59" s="46" t="s">
        <v>148</v>
      </c>
      <c r="N59" s="41" t="s">
        <v>147</v>
      </c>
      <c r="O59" s="45">
        <v>3</v>
      </c>
      <c r="P59" s="45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58">
        <v>7</v>
      </c>
      <c r="T59" s="58">
        <v>0.3</v>
      </c>
      <c r="U59" s="45">
        <v>5</v>
      </c>
      <c r="V59" s="45">
        <v>11</v>
      </c>
      <c r="W59" s="58"/>
      <c r="X59" s="58"/>
      <c r="Y59" s="48" t="s">
        <v>146</v>
      </c>
      <c r="Z59" s="60"/>
      <c r="AA59" s="25"/>
      <c r="AB59" s="25"/>
    </row>
    <row r="60" spans="2:28">
      <c r="B60" s="39">
        <v>0.46875</v>
      </c>
      <c r="C60" s="39" t="s">
        <v>394</v>
      </c>
      <c r="D60" s="43">
        <v>1</v>
      </c>
      <c r="E60" s="44">
        <v>4</v>
      </c>
      <c r="F60" s="41" t="s">
        <v>209</v>
      </c>
      <c r="G60" s="41" t="s">
        <v>150</v>
      </c>
      <c r="H60" s="41" t="s">
        <v>147</v>
      </c>
      <c r="I60" s="57">
        <v>2</v>
      </c>
      <c r="J60" s="57">
        <v>2</v>
      </c>
      <c r="K60" s="25" t="str">
        <f>VLOOKUP(J60,Key!$E$2:$F$9,2,FALSE)</f>
        <v>Work</v>
      </c>
      <c r="L60" s="41" t="s">
        <v>155</v>
      </c>
      <c r="M60" s="46" t="s">
        <v>148</v>
      </c>
      <c r="N60" s="41" t="s">
        <v>147</v>
      </c>
      <c r="O60" s="45">
        <v>2</v>
      </c>
      <c r="P60" s="45">
        <v>2</v>
      </c>
      <c r="Q60" s="25" t="str">
        <f>VLOOKUP(P60,Key!$E$2:$F$9,2,FALSE)</f>
        <v>Work</v>
      </c>
      <c r="R60" s="25" t="str">
        <f t="shared" si="1"/>
        <v>Work-Work</v>
      </c>
      <c r="S60" s="58">
        <v>35</v>
      </c>
      <c r="T60" s="58">
        <v>2</v>
      </c>
      <c r="U60" s="45">
        <v>3</v>
      </c>
      <c r="V60" s="45"/>
      <c r="W60" s="58"/>
      <c r="X60" s="58"/>
      <c r="Y60" s="48" t="s">
        <v>146</v>
      </c>
      <c r="Z60" s="60"/>
      <c r="AA60" s="25"/>
      <c r="AB60" s="25"/>
    </row>
    <row r="61" spans="2:28">
      <c r="B61" s="39">
        <v>0.47916666666666669</v>
      </c>
      <c r="C61" s="39" t="s">
        <v>395</v>
      </c>
      <c r="D61" s="43">
        <v>2</v>
      </c>
      <c r="E61" s="44">
        <v>2</v>
      </c>
      <c r="F61" s="41" t="s">
        <v>342</v>
      </c>
      <c r="G61" s="41" t="s">
        <v>150</v>
      </c>
      <c r="H61" s="41" t="s">
        <v>147</v>
      </c>
      <c r="I61" s="57">
        <v>1</v>
      </c>
      <c r="J61" s="57">
        <v>1</v>
      </c>
      <c r="K61" s="25" t="str">
        <f>VLOOKUP(J61,Key!$E$2:$F$9,2,FALSE)</f>
        <v>Home</v>
      </c>
      <c r="L61" s="41" t="s">
        <v>155</v>
      </c>
      <c r="M61" s="46" t="s">
        <v>148</v>
      </c>
      <c r="N61" s="41" t="s">
        <v>147</v>
      </c>
      <c r="O61" s="45">
        <v>2</v>
      </c>
      <c r="P61" s="45">
        <v>2</v>
      </c>
      <c r="Q61" s="25" t="str">
        <f>VLOOKUP(P61,Key!$E$2:$F$9,2,FALSE)</f>
        <v>Work</v>
      </c>
      <c r="R61" s="25" t="str">
        <f t="shared" si="1"/>
        <v>Home-Work</v>
      </c>
      <c r="S61" s="58">
        <v>7</v>
      </c>
      <c r="T61" s="58">
        <v>0.2</v>
      </c>
      <c r="U61" s="45">
        <v>2</v>
      </c>
      <c r="V61" s="45"/>
      <c r="W61" s="58"/>
      <c r="X61" s="58"/>
      <c r="Y61" s="48" t="s">
        <v>146</v>
      </c>
      <c r="Z61" s="60"/>
      <c r="AA61" s="25"/>
      <c r="AB61" s="25"/>
    </row>
    <row r="62" spans="2:28">
      <c r="B62" s="39">
        <v>0.50624999999999998</v>
      </c>
      <c r="C62" s="39" t="s">
        <v>396</v>
      </c>
      <c r="D62" s="43">
        <v>1</v>
      </c>
      <c r="E62" s="44">
        <v>1</v>
      </c>
      <c r="F62" s="41" t="s">
        <v>345</v>
      </c>
      <c r="G62" s="41" t="s">
        <v>150</v>
      </c>
      <c r="H62" s="41" t="s">
        <v>147</v>
      </c>
      <c r="I62" s="57">
        <v>4</v>
      </c>
      <c r="J62" s="57">
        <v>3</v>
      </c>
      <c r="K62" s="25" t="str">
        <f>VLOOKUP(J62,Key!$E$2:$F$9,2,FALSE)</f>
        <v>Study</v>
      </c>
      <c r="L62" s="41" t="s">
        <v>155</v>
      </c>
      <c r="M62" s="46" t="s">
        <v>148</v>
      </c>
      <c r="N62" s="41">
        <v>2</v>
      </c>
      <c r="O62" s="45">
        <v>2</v>
      </c>
      <c r="P62" s="45">
        <v>5</v>
      </c>
      <c r="Q62" s="25" t="str">
        <f>VLOOKUP(P62,Key!$E$2:$F$9,2,FALSE)</f>
        <v>Tourism</v>
      </c>
      <c r="R62" s="25" t="str">
        <f t="shared" si="1"/>
        <v>Study-Tourism</v>
      </c>
      <c r="S62" s="58">
        <v>0.2</v>
      </c>
      <c r="T62" s="58">
        <v>6</v>
      </c>
      <c r="U62" s="45"/>
      <c r="V62" s="45"/>
      <c r="W62" s="58"/>
      <c r="X62" s="58"/>
      <c r="Y62" s="48" t="s">
        <v>146</v>
      </c>
      <c r="Z62" s="60"/>
      <c r="AA62" s="25"/>
      <c r="AB62" s="25"/>
    </row>
    <row r="63" spans="2:28">
      <c r="B63" s="39">
        <v>0.51388888888888895</v>
      </c>
      <c r="C63" s="39" t="s">
        <v>397</v>
      </c>
      <c r="D63" s="43">
        <v>11</v>
      </c>
      <c r="E63" s="41">
        <v>1</v>
      </c>
      <c r="F63" s="41" t="s">
        <v>205</v>
      </c>
      <c r="G63" s="41" t="s">
        <v>150</v>
      </c>
      <c r="H63" s="41" t="s">
        <v>147</v>
      </c>
      <c r="I63" s="57">
        <v>1</v>
      </c>
      <c r="J63" s="57">
        <v>1</v>
      </c>
      <c r="K63" s="25" t="str">
        <f>VLOOKUP(J63,Key!$E$2:$F$9,2,FALSE)</f>
        <v>Home</v>
      </c>
      <c r="L63" s="41" t="s">
        <v>155</v>
      </c>
      <c r="M63" s="46" t="s">
        <v>148</v>
      </c>
      <c r="N63" s="41" t="s">
        <v>147</v>
      </c>
      <c r="O63" s="45">
        <v>16</v>
      </c>
      <c r="P63" s="45">
        <v>8</v>
      </c>
      <c r="Q63" s="25" t="str">
        <f>VLOOKUP(P63,Key!$E$2:$F$9,2,FALSE)</f>
        <v>Others</v>
      </c>
      <c r="R63" s="25" t="str">
        <f t="shared" si="1"/>
        <v>Home-Others</v>
      </c>
      <c r="S63" s="58">
        <v>12</v>
      </c>
      <c r="T63" s="58">
        <v>0.5</v>
      </c>
      <c r="U63" s="45">
        <v>2</v>
      </c>
      <c r="V63" s="45"/>
      <c r="W63" s="58"/>
      <c r="X63" s="58"/>
      <c r="Y63" s="48" t="s">
        <v>146</v>
      </c>
      <c r="Z63" s="60"/>
      <c r="AA63" s="25"/>
      <c r="AB63" s="25"/>
    </row>
    <row r="64" spans="2:28">
      <c r="B64" s="39">
        <v>0.52430555555555558</v>
      </c>
      <c r="C64" s="39" t="s">
        <v>398</v>
      </c>
      <c r="D64" s="43">
        <v>11</v>
      </c>
      <c r="E64" s="41">
        <v>1</v>
      </c>
      <c r="F64" s="41" t="s">
        <v>169</v>
      </c>
      <c r="G64" s="41" t="s">
        <v>150</v>
      </c>
      <c r="H64" s="41" t="s">
        <v>147</v>
      </c>
      <c r="I64" s="57">
        <v>8</v>
      </c>
      <c r="J64" s="57">
        <v>2</v>
      </c>
      <c r="K64" s="25" t="str">
        <f>VLOOKUP(J64,Key!$E$2:$F$9,2,FALSE)</f>
        <v>Work</v>
      </c>
      <c r="L64" s="41" t="s">
        <v>155</v>
      </c>
      <c r="M64" s="46" t="s">
        <v>148</v>
      </c>
      <c r="N64" s="41" t="s">
        <v>147</v>
      </c>
      <c r="O64" s="45">
        <v>8</v>
      </c>
      <c r="P64" s="45">
        <v>2</v>
      </c>
      <c r="Q64" s="25" t="str">
        <f>VLOOKUP(P64,Key!$E$2:$F$9,2,FALSE)</f>
        <v>Work</v>
      </c>
      <c r="R64" s="25" t="str">
        <f t="shared" si="1"/>
        <v>Work-Work</v>
      </c>
      <c r="S64" s="58">
        <v>8</v>
      </c>
      <c r="T64" s="58">
        <v>0.3</v>
      </c>
      <c r="U64" s="45">
        <v>2</v>
      </c>
      <c r="V64" s="45"/>
      <c r="W64" s="58"/>
      <c r="X64" s="58"/>
      <c r="Y64" s="48" t="s">
        <v>146</v>
      </c>
      <c r="Z64" s="60"/>
      <c r="AA64" s="25"/>
      <c r="AB64" s="25"/>
    </row>
    <row r="65" spans="2:28">
      <c r="B65" s="39">
        <v>0.52916666666666667</v>
      </c>
      <c r="C65" s="39" t="s">
        <v>399</v>
      </c>
      <c r="D65" s="44">
        <v>7</v>
      </c>
      <c r="E65" s="44">
        <v>3</v>
      </c>
      <c r="F65" s="41" t="s">
        <v>400</v>
      </c>
      <c r="G65" s="41" t="s">
        <v>150</v>
      </c>
      <c r="H65" s="41" t="s">
        <v>147</v>
      </c>
      <c r="I65" s="57">
        <v>7</v>
      </c>
      <c r="J65" s="57">
        <v>4</v>
      </c>
      <c r="K65" s="25" t="str">
        <f>VLOOKUP(J65,Key!$E$2:$F$9,2,FALSE)</f>
        <v>Commercial</v>
      </c>
      <c r="L65" s="41" t="s">
        <v>155</v>
      </c>
      <c r="M65" s="46" t="s">
        <v>148</v>
      </c>
      <c r="N65" s="41" t="s">
        <v>147</v>
      </c>
      <c r="O65" s="45">
        <v>11</v>
      </c>
      <c r="P65" s="45">
        <v>2</v>
      </c>
      <c r="Q65" s="25" t="str">
        <f>VLOOKUP(P65,Key!$E$2:$F$9,2,FALSE)</f>
        <v>Work</v>
      </c>
      <c r="R65" s="25" t="str">
        <f t="shared" si="1"/>
        <v>Commercial-Work</v>
      </c>
      <c r="S65" s="58">
        <v>10</v>
      </c>
      <c r="T65" s="58">
        <v>0.2</v>
      </c>
      <c r="U65" s="45">
        <v>10</v>
      </c>
      <c r="V65" s="45"/>
      <c r="W65" s="58"/>
      <c r="X65" s="58"/>
      <c r="Y65" s="48" t="s">
        <v>146</v>
      </c>
      <c r="Z65" s="60"/>
      <c r="AA65" s="25"/>
      <c r="AB65" s="25"/>
    </row>
    <row r="66" spans="2:28">
      <c r="B66" s="39">
        <v>0.53472222222222221</v>
      </c>
      <c r="C66" s="39" t="s">
        <v>401</v>
      </c>
      <c r="D66" s="44">
        <v>1</v>
      </c>
      <c r="E66" s="44">
        <v>1</v>
      </c>
      <c r="F66" s="41" t="s">
        <v>205</v>
      </c>
      <c r="G66" s="41" t="s">
        <v>150</v>
      </c>
      <c r="H66" s="41" t="s">
        <v>147</v>
      </c>
      <c r="I66" s="57">
        <v>1</v>
      </c>
      <c r="J66" s="57">
        <v>1</v>
      </c>
      <c r="K66" s="25" t="str">
        <f>VLOOKUP(J66,Key!$E$2:$F$9,2,FALSE)</f>
        <v>Home</v>
      </c>
      <c r="L66" s="41" t="s">
        <v>155</v>
      </c>
      <c r="M66" s="46" t="s">
        <v>148</v>
      </c>
      <c r="N66" s="41" t="s">
        <v>147</v>
      </c>
      <c r="O66" s="45">
        <v>16</v>
      </c>
      <c r="P66" s="45">
        <v>8</v>
      </c>
      <c r="Q66" s="25" t="str">
        <f>VLOOKUP(P66,Key!$E$2:$F$9,2,FALSE)</f>
        <v>Others</v>
      </c>
      <c r="R66" s="25" t="str">
        <f t="shared" si="1"/>
        <v>Home-Others</v>
      </c>
      <c r="S66" s="58">
        <v>80</v>
      </c>
      <c r="T66" s="58">
        <v>2</v>
      </c>
      <c r="U66" s="45">
        <v>2</v>
      </c>
      <c r="V66" s="45"/>
      <c r="W66" s="58"/>
      <c r="X66" s="58"/>
      <c r="Y66" s="48" t="s">
        <v>146</v>
      </c>
      <c r="Z66" s="60"/>
      <c r="AA66" s="25"/>
      <c r="AB66" s="25"/>
    </row>
    <row r="67" spans="2:28">
      <c r="B67" s="39">
        <v>0.53819444444444442</v>
      </c>
      <c r="C67" s="39" t="s">
        <v>402</v>
      </c>
      <c r="D67" s="44">
        <v>8</v>
      </c>
      <c r="E67" s="44">
        <v>3</v>
      </c>
      <c r="F67" s="41" t="s">
        <v>294</v>
      </c>
      <c r="G67" s="41" t="s">
        <v>150</v>
      </c>
      <c r="H67" s="41" t="s">
        <v>147</v>
      </c>
      <c r="I67" s="57">
        <v>16</v>
      </c>
      <c r="J67" s="57">
        <v>8</v>
      </c>
      <c r="K67" s="25" t="str">
        <f>VLOOKUP(J67,Key!$E$2:$F$9,2,FALSE)</f>
        <v>Others</v>
      </c>
      <c r="L67" s="41" t="s">
        <v>155</v>
      </c>
      <c r="M67" s="46" t="s">
        <v>148</v>
      </c>
      <c r="N67" s="41" t="s">
        <v>147</v>
      </c>
      <c r="O67" s="45">
        <v>10</v>
      </c>
      <c r="P67" s="45">
        <v>2</v>
      </c>
      <c r="Q67" s="25" t="str">
        <f>VLOOKUP(P67,Key!$E$2:$F$9,2,FALSE)</f>
        <v>Work</v>
      </c>
      <c r="R67" s="25" t="s">
        <v>403</v>
      </c>
      <c r="S67" s="58">
        <v>4</v>
      </c>
      <c r="T67" s="58">
        <v>0.3</v>
      </c>
      <c r="U67" s="45">
        <v>2</v>
      </c>
      <c r="V67" s="45">
        <v>12</v>
      </c>
      <c r="W67" s="58">
        <v>1</v>
      </c>
      <c r="X67" s="58"/>
      <c r="Y67" s="48" t="s">
        <v>146</v>
      </c>
      <c r="Z67" s="60"/>
      <c r="AA67" s="25"/>
      <c r="AB67" s="25"/>
    </row>
    <row r="68" spans="2:28">
      <c r="B68" s="39">
        <v>0.54166666666666663</v>
      </c>
      <c r="C68" s="39" t="s">
        <v>404</v>
      </c>
      <c r="D68" s="43">
        <v>3</v>
      </c>
      <c r="E68" s="44">
        <v>2</v>
      </c>
      <c r="F68" s="41" t="s">
        <v>213</v>
      </c>
      <c r="G68" s="41" t="s">
        <v>150</v>
      </c>
      <c r="H68" s="41" t="s">
        <v>147</v>
      </c>
      <c r="I68" s="57">
        <v>11</v>
      </c>
      <c r="J68" s="57">
        <v>4</v>
      </c>
      <c r="K68" s="25" t="str">
        <f>VLOOKUP(J68,Key!$E$2:$F$9,2,FALSE)</f>
        <v>Commercial</v>
      </c>
      <c r="L68" s="41" t="s">
        <v>155</v>
      </c>
      <c r="M68" s="46" t="s">
        <v>148</v>
      </c>
      <c r="N68" s="41" t="s">
        <v>147</v>
      </c>
      <c r="O68" s="45">
        <v>11</v>
      </c>
      <c r="P68" s="45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58"/>
      <c r="T68" s="58">
        <v>0.3</v>
      </c>
      <c r="U68" s="45">
        <v>2</v>
      </c>
      <c r="V68" s="45">
        <v>10</v>
      </c>
      <c r="W68" s="58">
        <v>5.0000000000000001E-3</v>
      </c>
      <c r="X68" s="58">
        <v>2</v>
      </c>
      <c r="Y68" s="48" t="s">
        <v>146</v>
      </c>
      <c r="Z68" s="60"/>
      <c r="AA68" s="25"/>
      <c r="AB68" s="25"/>
    </row>
    <row r="69" spans="2:28">
      <c r="B69" s="39">
        <v>0.54652777777777783</v>
      </c>
      <c r="C69" s="39" t="s">
        <v>405</v>
      </c>
      <c r="D69" s="43">
        <v>1</v>
      </c>
      <c r="E69" s="44">
        <v>1</v>
      </c>
      <c r="F69" s="41" t="s">
        <v>213</v>
      </c>
      <c r="G69" s="41" t="s">
        <v>150</v>
      </c>
      <c r="H69" s="41" t="s">
        <v>147</v>
      </c>
      <c r="I69" s="57">
        <v>1</v>
      </c>
      <c r="J69" s="57">
        <v>1</v>
      </c>
      <c r="K69" s="25" t="str">
        <f>VLOOKUP(J69,Key!$E$2:$F$9,2,FALSE)</f>
        <v>Home</v>
      </c>
      <c r="L69" s="41" t="s">
        <v>155</v>
      </c>
      <c r="M69" s="46" t="s">
        <v>148</v>
      </c>
      <c r="N69" s="41" t="s">
        <v>147</v>
      </c>
      <c r="O69" s="45">
        <v>16</v>
      </c>
      <c r="P69" s="45">
        <v>8</v>
      </c>
      <c r="Q69" s="25" t="str">
        <f>VLOOKUP(P69,Key!$E$2:$F$9,2,FALSE)</f>
        <v>Others</v>
      </c>
      <c r="R69" s="25" t="str">
        <f t="shared" si="1"/>
        <v>Home-Others</v>
      </c>
      <c r="S69" s="58">
        <v>20</v>
      </c>
      <c r="T69" s="58">
        <v>0.7</v>
      </c>
      <c r="U69" s="45">
        <v>2</v>
      </c>
      <c r="V69" s="45"/>
      <c r="W69" s="58"/>
      <c r="X69" s="58"/>
      <c r="Y69" s="48" t="s">
        <v>146</v>
      </c>
      <c r="Z69" s="60"/>
      <c r="AA69" s="25"/>
      <c r="AB69" s="25"/>
    </row>
    <row r="70" spans="2:28">
      <c r="B70" s="39">
        <v>0.57986111111111105</v>
      </c>
      <c r="C70" s="39" t="s">
        <v>406</v>
      </c>
      <c r="D70" s="44">
        <v>8</v>
      </c>
      <c r="E70" s="41">
        <v>2</v>
      </c>
      <c r="F70" s="41" t="s">
        <v>213</v>
      </c>
      <c r="G70" s="41" t="s">
        <v>150</v>
      </c>
      <c r="H70" s="41" t="s">
        <v>147</v>
      </c>
      <c r="I70" s="57">
        <v>13</v>
      </c>
      <c r="J70" s="57">
        <v>4</v>
      </c>
      <c r="K70" s="25" t="str">
        <f>VLOOKUP(J70,Key!$E$2:$F$9,2,FALSE)</f>
        <v>Commercial</v>
      </c>
      <c r="L70" s="41" t="s">
        <v>155</v>
      </c>
      <c r="M70" s="46" t="s">
        <v>148</v>
      </c>
      <c r="N70" s="41" t="s">
        <v>147</v>
      </c>
      <c r="O70" s="45">
        <v>13</v>
      </c>
      <c r="P70" s="45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8">
        <v>8</v>
      </c>
      <c r="T70" s="58">
        <v>0.3</v>
      </c>
      <c r="U70" s="45">
        <v>4</v>
      </c>
      <c r="V70" s="45">
        <v>7</v>
      </c>
      <c r="W70" s="58">
        <v>0.06</v>
      </c>
      <c r="X70" s="58"/>
      <c r="Y70" s="48" t="s">
        <v>146</v>
      </c>
      <c r="Z70" s="60"/>
      <c r="AA70" s="25"/>
      <c r="AB70" s="25"/>
    </row>
    <row r="71" spans="2:28">
      <c r="B71" s="39">
        <v>0.59027777777777779</v>
      </c>
      <c r="C71" s="39" t="s">
        <v>408</v>
      </c>
      <c r="D71" s="40">
        <v>1</v>
      </c>
      <c r="E71" s="41">
        <v>2</v>
      </c>
      <c r="F71" s="41" t="s">
        <v>171</v>
      </c>
      <c r="G71" s="41" t="s">
        <v>150</v>
      </c>
      <c r="H71" s="41" t="s">
        <v>147</v>
      </c>
      <c r="I71" s="42">
        <v>1</v>
      </c>
      <c r="J71" s="42">
        <v>1</v>
      </c>
      <c r="K71" s="25" t="str">
        <f>VLOOKUP(J71,Key!$E$2:$F$9,2,FALSE)</f>
        <v>Home</v>
      </c>
      <c r="L71" s="41" t="s">
        <v>234</v>
      </c>
      <c r="M71" s="42" t="s">
        <v>235</v>
      </c>
      <c r="N71" s="41" t="s">
        <v>147</v>
      </c>
      <c r="O71" s="45">
        <v>4</v>
      </c>
      <c r="P71" s="45">
        <v>3</v>
      </c>
      <c r="Q71" s="25" t="str">
        <f>VLOOKUP(P71,Key!$E$2:$F$9,2,FALSE)</f>
        <v>Study</v>
      </c>
      <c r="R71" s="25" t="str">
        <f t="shared" si="1"/>
        <v>Home-Study</v>
      </c>
      <c r="S71" s="47">
        <v>300</v>
      </c>
      <c r="T71" s="47">
        <v>4</v>
      </c>
      <c r="U71" s="42">
        <v>4</v>
      </c>
      <c r="V71" s="42"/>
      <c r="W71" s="47"/>
      <c r="X71" s="47"/>
      <c r="Y71" s="48" t="s">
        <v>146</v>
      </c>
      <c r="Z71" s="59"/>
      <c r="AA71" s="25"/>
      <c r="AB71" s="25"/>
    </row>
    <row r="72" spans="2:28">
      <c r="B72" s="39">
        <v>0.59583333333333333</v>
      </c>
      <c r="C72" s="39" t="s">
        <v>409</v>
      </c>
      <c r="D72" s="40">
        <v>3</v>
      </c>
      <c r="E72" s="41">
        <v>2</v>
      </c>
      <c r="F72" s="41" t="s">
        <v>171</v>
      </c>
      <c r="G72" s="41" t="s">
        <v>150</v>
      </c>
      <c r="H72" s="41" t="s">
        <v>147</v>
      </c>
      <c r="I72" s="42">
        <v>1</v>
      </c>
      <c r="J72" s="42">
        <v>1</v>
      </c>
      <c r="K72" s="25" t="str">
        <f>VLOOKUP(J72,Key!$E$2:$F$9,2,FALSE)</f>
        <v>Home</v>
      </c>
      <c r="L72" s="41" t="s">
        <v>155</v>
      </c>
      <c r="M72" s="42" t="s">
        <v>148</v>
      </c>
      <c r="N72" s="41" t="s">
        <v>147</v>
      </c>
      <c r="O72" s="45">
        <v>2</v>
      </c>
      <c r="P72" s="45">
        <v>2</v>
      </c>
      <c r="Q72" s="25" t="str">
        <f>VLOOKUP(P72,Key!$E$2:$F$9,2,FALSE)</f>
        <v>Work</v>
      </c>
      <c r="R72" s="25" t="str">
        <f t="shared" si="1"/>
        <v>Home-Work</v>
      </c>
      <c r="S72" s="47">
        <v>32</v>
      </c>
      <c r="T72" s="47">
        <v>2</v>
      </c>
      <c r="U72" s="42">
        <v>2</v>
      </c>
      <c r="V72" s="42"/>
      <c r="W72" s="47"/>
      <c r="X72" s="47"/>
      <c r="Y72" s="48" t="s">
        <v>146</v>
      </c>
      <c r="Z72" s="59"/>
      <c r="AA72" s="25"/>
      <c r="AB72" s="25"/>
    </row>
    <row r="73" spans="2:28">
      <c r="B73" s="39">
        <v>0.66666666666666663</v>
      </c>
      <c r="C73" s="39" t="s">
        <v>410</v>
      </c>
      <c r="D73" s="40">
        <v>3</v>
      </c>
      <c r="E73" s="41">
        <v>2</v>
      </c>
      <c r="F73" s="41" t="s">
        <v>169</v>
      </c>
      <c r="G73" s="41" t="s">
        <v>150</v>
      </c>
      <c r="H73" s="41" t="s">
        <v>147</v>
      </c>
      <c r="I73" s="42">
        <v>1</v>
      </c>
      <c r="J73" s="42">
        <v>1</v>
      </c>
      <c r="K73" s="25" t="str">
        <f>VLOOKUP(J73,Key!$E$2:$F$9,2,FALSE)</f>
        <v>Home</v>
      </c>
      <c r="L73" s="41" t="s">
        <v>155</v>
      </c>
      <c r="M73" s="42" t="s">
        <v>148</v>
      </c>
      <c r="N73" s="41" t="s">
        <v>147</v>
      </c>
      <c r="O73" s="45">
        <v>5</v>
      </c>
      <c r="P73" s="45">
        <v>7</v>
      </c>
      <c r="Q73" s="25" t="str">
        <f>VLOOKUP(P73,Key!$E$2:$F$9,2,FALSE)</f>
        <v>Hospital</v>
      </c>
      <c r="R73" s="25" t="str">
        <f t="shared" si="1"/>
        <v>Home-Hospital</v>
      </c>
      <c r="S73" s="47">
        <v>13</v>
      </c>
      <c r="T73" s="47">
        <v>0.2</v>
      </c>
      <c r="U73" s="42">
        <v>3</v>
      </c>
      <c r="V73" s="42"/>
      <c r="W73" s="47"/>
      <c r="X73" s="47"/>
      <c r="Y73" s="48" t="s">
        <v>146</v>
      </c>
      <c r="Z73" s="59"/>
      <c r="AA73" s="25"/>
      <c r="AB73" s="25"/>
    </row>
    <row r="74" spans="2:28">
      <c r="B74" s="39">
        <v>0.67361111111111116</v>
      </c>
      <c r="C74" s="39" t="s">
        <v>411</v>
      </c>
      <c r="D74" s="40">
        <v>1</v>
      </c>
      <c r="E74" s="41">
        <v>2</v>
      </c>
      <c r="F74" s="41" t="s">
        <v>342</v>
      </c>
      <c r="G74" s="41" t="s">
        <v>150</v>
      </c>
      <c r="H74" s="41" t="s">
        <v>147</v>
      </c>
      <c r="I74" s="42">
        <v>4</v>
      </c>
      <c r="J74" s="42">
        <v>3</v>
      </c>
      <c r="K74" s="25" t="str">
        <f>VLOOKUP(J74,Key!$E$2:$F$9,2,FALSE)</f>
        <v>Study</v>
      </c>
      <c r="L74" s="41" t="s">
        <v>155</v>
      </c>
      <c r="M74" s="42" t="s">
        <v>148</v>
      </c>
      <c r="N74" s="41" t="s">
        <v>147</v>
      </c>
      <c r="O74" s="45">
        <v>1</v>
      </c>
      <c r="P74" s="45">
        <v>1</v>
      </c>
      <c r="Q74" s="25" t="str">
        <f>VLOOKUP(P74,Key!$E$2:$F$9,2,FALSE)</f>
        <v>Home</v>
      </c>
      <c r="R74" s="25" t="str">
        <f t="shared" si="1"/>
        <v>Study-Home</v>
      </c>
      <c r="S74" s="47">
        <v>3</v>
      </c>
      <c r="T74" s="47">
        <v>0.1</v>
      </c>
      <c r="U74" s="42">
        <v>3</v>
      </c>
      <c r="V74" s="42"/>
      <c r="W74" s="47"/>
      <c r="X74" s="47"/>
      <c r="Y74" s="48" t="s">
        <v>146</v>
      </c>
      <c r="Z74" s="59"/>
      <c r="AA74" s="25"/>
      <c r="AB74" s="25"/>
    </row>
    <row r="75" spans="2:28">
      <c r="B75" s="39">
        <v>0.67847222222222225</v>
      </c>
      <c r="C75" s="39" t="s">
        <v>412</v>
      </c>
      <c r="D75" s="40">
        <v>1</v>
      </c>
      <c r="E75" s="41">
        <v>1</v>
      </c>
      <c r="F75" s="41" t="s">
        <v>345</v>
      </c>
      <c r="G75" s="41" t="s">
        <v>150</v>
      </c>
      <c r="H75" s="41" t="s">
        <v>147</v>
      </c>
      <c r="I75" s="42">
        <v>3</v>
      </c>
      <c r="J75" s="42">
        <v>4</v>
      </c>
      <c r="K75" s="25" t="str">
        <f>VLOOKUP(J75,Key!$E$2:$F$9,2,FALSE)</f>
        <v>Commercial</v>
      </c>
      <c r="L75" s="41" t="s">
        <v>155</v>
      </c>
      <c r="M75" s="42" t="s">
        <v>148</v>
      </c>
      <c r="N75" s="41" t="s">
        <v>147</v>
      </c>
      <c r="O75" s="45">
        <v>1</v>
      </c>
      <c r="P75" s="45">
        <v>1</v>
      </c>
      <c r="Q75" s="25" t="str">
        <f>VLOOKUP(P75,Key!$E$2:$F$9,2,FALSE)</f>
        <v>Home</v>
      </c>
      <c r="R75" s="25" t="str">
        <f t="shared" si="1"/>
        <v>Commercial-Home</v>
      </c>
      <c r="S75" s="47">
        <v>10</v>
      </c>
      <c r="T75" s="47">
        <v>0.1</v>
      </c>
      <c r="U75" s="42">
        <v>2</v>
      </c>
      <c r="V75" s="42"/>
      <c r="W75" s="47"/>
      <c r="X75" s="47"/>
      <c r="Y75" s="48" t="s">
        <v>146</v>
      </c>
      <c r="Z75" s="59"/>
      <c r="AA75" s="25"/>
      <c r="AB75" s="25"/>
    </row>
    <row r="76" spans="2:28">
      <c r="B76" s="39">
        <v>0.68263888888888891</v>
      </c>
      <c r="C76" s="39" t="s">
        <v>413</v>
      </c>
      <c r="D76" s="40">
        <v>7</v>
      </c>
      <c r="E76" s="41">
        <v>2</v>
      </c>
      <c r="F76" s="41" t="s">
        <v>345</v>
      </c>
      <c r="G76" s="41" t="s">
        <v>150</v>
      </c>
      <c r="H76" s="41" t="s">
        <v>147</v>
      </c>
      <c r="I76" s="42">
        <v>3</v>
      </c>
      <c r="J76" s="42">
        <v>4</v>
      </c>
      <c r="K76" s="25" t="str">
        <f>VLOOKUP(J76,Key!$E$2:$F$9,2,FALSE)</f>
        <v>Commercial</v>
      </c>
      <c r="L76" s="41" t="s">
        <v>155</v>
      </c>
      <c r="M76" s="42" t="s">
        <v>148</v>
      </c>
      <c r="N76" s="41" t="s">
        <v>147</v>
      </c>
      <c r="O76" s="45">
        <v>11</v>
      </c>
      <c r="P76" s="45">
        <v>2</v>
      </c>
      <c r="Q76" s="25" t="str">
        <f>VLOOKUP(P76,Key!$E$2:$F$9,2,FALSE)</f>
        <v>Work</v>
      </c>
      <c r="R76" s="25" t="str">
        <f t="shared" si="1"/>
        <v>Commercial-Work</v>
      </c>
      <c r="S76" s="47">
        <v>7</v>
      </c>
      <c r="T76" s="47">
        <v>0.3</v>
      </c>
      <c r="U76" s="42">
        <v>2</v>
      </c>
      <c r="V76" s="42">
        <v>10</v>
      </c>
      <c r="W76" s="47">
        <v>0.05</v>
      </c>
      <c r="X76" s="47">
        <v>1</v>
      </c>
      <c r="Y76" s="48" t="s">
        <v>146</v>
      </c>
      <c r="Z76" s="59"/>
      <c r="AA76" s="25"/>
      <c r="AB76" s="25"/>
    </row>
    <row r="77" spans="2:28">
      <c r="B77" s="39">
        <v>0.6875</v>
      </c>
      <c r="C77" s="39" t="s">
        <v>414</v>
      </c>
      <c r="D77" s="40">
        <v>11</v>
      </c>
      <c r="E77" s="41">
        <v>1</v>
      </c>
      <c r="F77" s="41" t="s">
        <v>169</v>
      </c>
      <c r="G77" s="41" t="s">
        <v>150</v>
      </c>
      <c r="H77" s="41" t="s">
        <v>147</v>
      </c>
      <c r="I77" s="42">
        <v>8</v>
      </c>
      <c r="J77" s="42">
        <v>2</v>
      </c>
      <c r="K77" s="25" t="str">
        <f>VLOOKUP(J77,Key!$E$2:$F$9,2,FALSE)</f>
        <v>Work</v>
      </c>
      <c r="L77" s="41" t="s">
        <v>155</v>
      </c>
      <c r="M77" s="42" t="s">
        <v>148</v>
      </c>
      <c r="N77" s="41" t="s">
        <v>147</v>
      </c>
      <c r="O77" s="45">
        <v>8</v>
      </c>
      <c r="P77" s="45">
        <v>2</v>
      </c>
      <c r="Q77" s="25" t="str">
        <f>VLOOKUP(P77,Key!$E$2:$F$9,2,FALSE)</f>
        <v>Work</v>
      </c>
      <c r="R77" s="25" t="str">
        <f t="shared" si="1"/>
        <v>Work-Work</v>
      </c>
      <c r="S77" s="47">
        <v>11</v>
      </c>
      <c r="T77" s="47">
        <v>0.5</v>
      </c>
      <c r="U77" s="42">
        <v>2</v>
      </c>
      <c r="V77" s="42"/>
      <c r="W77" s="47"/>
      <c r="X77" s="47"/>
      <c r="Y77" s="48" t="s">
        <v>146</v>
      </c>
      <c r="Z77" s="59"/>
      <c r="AA77" s="25"/>
      <c r="AB77" s="25"/>
    </row>
    <row r="78" spans="2:28">
      <c r="B78" s="39">
        <v>0.69097222222222221</v>
      </c>
      <c r="C78" s="39" t="s">
        <v>415</v>
      </c>
      <c r="D78" s="40">
        <v>11</v>
      </c>
      <c r="E78" s="41">
        <v>1</v>
      </c>
      <c r="F78" s="41" t="s">
        <v>169</v>
      </c>
      <c r="G78" s="41" t="s">
        <v>150</v>
      </c>
      <c r="H78" s="41" t="s">
        <v>147</v>
      </c>
      <c r="I78" s="42">
        <v>8</v>
      </c>
      <c r="J78" s="42">
        <v>2</v>
      </c>
      <c r="K78" s="25" t="str">
        <f>VLOOKUP(J78,Key!$E$2:$F$9,2,FALSE)</f>
        <v>Work</v>
      </c>
      <c r="L78" s="41" t="s">
        <v>173</v>
      </c>
      <c r="M78" s="42" t="s">
        <v>148</v>
      </c>
      <c r="N78" s="41" t="s">
        <v>147</v>
      </c>
      <c r="O78" s="45">
        <v>8</v>
      </c>
      <c r="P78" s="45">
        <v>2</v>
      </c>
      <c r="Q78" s="25" t="str">
        <f>VLOOKUP(P78,Key!$E$2:$F$9,2,FALSE)</f>
        <v>Work</v>
      </c>
      <c r="R78" s="25" t="str">
        <f t="shared" si="1"/>
        <v>Work-Work</v>
      </c>
      <c r="S78" s="47">
        <v>11</v>
      </c>
      <c r="T78" s="47">
        <v>0.5</v>
      </c>
      <c r="U78" s="42">
        <v>2</v>
      </c>
      <c r="V78" s="42"/>
      <c r="W78" s="47"/>
      <c r="X78" s="47"/>
      <c r="Y78" s="48" t="s">
        <v>146</v>
      </c>
      <c r="Z78" s="59"/>
      <c r="AA78" s="25"/>
      <c r="AB78" s="25"/>
    </row>
    <row r="79" spans="2:28">
      <c r="B79" s="39">
        <v>0.69374999999999998</v>
      </c>
      <c r="C79" s="39" t="s">
        <v>416</v>
      </c>
      <c r="D79" s="40">
        <v>11</v>
      </c>
      <c r="E79" s="41">
        <v>1</v>
      </c>
      <c r="F79" s="41" t="s">
        <v>213</v>
      </c>
      <c r="G79" s="41" t="s">
        <v>150</v>
      </c>
      <c r="H79" s="41" t="s">
        <v>147</v>
      </c>
      <c r="I79" s="42">
        <v>8</v>
      </c>
      <c r="J79" s="42">
        <v>2</v>
      </c>
      <c r="K79" s="25" t="str">
        <f>VLOOKUP(J79,Key!$E$2:$F$9,2,FALSE)</f>
        <v>Work</v>
      </c>
      <c r="L79" s="41" t="s">
        <v>155</v>
      </c>
      <c r="M79" s="42" t="s">
        <v>148</v>
      </c>
      <c r="N79" s="41" t="s">
        <v>147</v>
      </c>
      <c r="O79" s="45">
        <v>8</v>
      </c>
      <c r="P79" s="45">
        <v>2</v>
      </c>
      <c r="Q79" s="25" t="str">
        <f>VLOOKUP(P79,Key!$E$2:$F$9,2,FALSE)</f>
        <v>Work</v>
      </c>
      <c r="R79" s="25" t="str">
        <f t="shared" si="1"/>
        <v>Work-Work</v>
      </c>
      <c r="S79" s="47">
        <v>7</v>
      </c>
      <c r="T79" s="47">
        <v>0.3</v>
      </c>
      <c r="U79" s="42">
        <v>2</v>
      </c>
      <c r="V79" s="42"/>
      <c r="W79" s="47"/>
      <c r="X79" s="47"/>
      <c r="Y79" s="48" t="s">
        <v>146</v>
      </c>
      <c r="Z79" s="59"/>
      <c r="AA79" s="25"/>
      <c r="AB79" s="25"/>
    </row>
    <row r="80" spans="2:28">
      <c r="B80" s="39">
        <v>0.6958333333333333</v>
      </c>
      <c r="C80" s="39" t="s">
        <v>417</v>
      </c>
      <c r="D80" s="40">
        <v>1</v>
      </c>
      <c r="E80" s="41">
        <v>2</v>
      </c>
      <c r="F80" s="41" t="s">
        <v>205</v>
      </c>
      <c r="G80" s="41" t="s">
        <v>150</v>
      </c>
      <c r="H80" s="41" t="s">
        <v>147</v>
      </c>
      <c r="I80" s="42">
        <v>2</v>
      </c>
      <c r="J80" s="42">
        <v>2</v>
      </c>
      <c r="K80" s="25" t="str">
        <f>VLOOKUP(J80,Key!$E$2:$F$9,2,FALSE)</f>
        <v>Work</v>
      </c>
      <c r="L80" s="41" t="s">
        <v>155</v>
      </c>
      <c r="M80" s="42" t="s">
        <v>148</v>
      </c>
      <c r="N80" s="41" t="s">
        <v>147</v>
      </c>
      <c r="O80" s="45">
        <v>1</v>
      </c>
      <c r="P80" s="45">
        <v>1</v>
      </c>
      <c r="Q80" s="25" t="str">
        <f>VLOOKUP(P80,Key!$E$2:$F$9,2,FALSE)</f>
        <v>Home</v>
      </c>
      <c r="R80" s="25" t="str">
        <f t="shared" si="1"/>
        <v>Work-Home</v>
      </c>
      <c r="S80" s="47">
        <v>14</v>
      </c>
      <c r="T80" s="47">
        <v>0.5</v>
      </c>
      <c r="U80" s="42">
        <v>2</v>
      </c>
      <c r="V80" s="42"/>
      <c r="W80" s="47"/>
      <c r="X80" s="47"/>
      <c r="Y80" s="48" t="s">
        <v>146</v>
      </c>
      <c r="Z80" s="59"/>
      <c r="AA80" s="25"/>
      <c r="AB80" s="25"/>
    </row>
    <row r="81" spans="2:28">
      <c r="B81" s="39">
        <v>0.70208333333333339</v>
      </c>
      <c r="C81" s="39" t="s">
        <v>418</v>
      </c>
      <c r="D81" s="40">
        <v>9</v>
      </c>
      <c r="E81" s="41">
        <v>3</v>
      </c>
      <c r="F81" s="41" t="s">
        <v>171</v>
      </c>
      <c r="G81" s="41" t="s">
        <v>150</v>
      </c>
      <c r="H81" s="41" t="s">
        <v>147</v>
      </c>
      <c r="I81" s="42">
        <v>3</v>
      </c>
      <c r="J81" s="42">
        <v>4</v>
      </c>
      <c r="K81" s="25" t="str">
        <f>VLOOKUP(J81,Key!$E$2:$F$9,2,FALSE)</f>
        <v>Commercial</v>
      </c>
      <c r="L81" s="41" t="s">
        <v>155</v>
      </c>
      <c r="M81" s="42" t="s">
        <v>148</v>
      </c>
      <c r="N81" s="41" t="s">
        <v>147</v>
      </c>
      <c r="O81" s="45">
        <v>11</v>
      </c>
      <c r="P81" s="45">
        <v>2</v>
      </c>
      <c r="Q81" s="25" t="str">
        <f>VLOOKUP(P81,Key!$E$2:$F$9,2,FALSE)</f>
        <v>Work</v>
      </c>
      <c r="R81" s="25" t="str">
        <f t="shared" si="1"/>
        <v>Commercial-Work</v>
      </c>
      <c r="S81" s="47">
        <v>31</v>
      </c>
      <c r="T81" s="47">
        <v>1.5</v>
      </c>
      <c r="U81" s="42">
        <v>2</v>
      </c>
      <c r="V81" s="42">
        <v>10</v>
      </c>
      <c r="W81" s="47"/>
      <c r="X81" s="47"/>
      <c r="Y81" s="48" t="s">
        <v>146</v>
      </c>
      <c r="Z81" s="59"/>
      <c r="AA81" s="25"/>
      <c r="AB81" s="25"/>
    </row>
    <row r="82" spans="2:28">
      <c r="B82" s="39">
        <v>0.70833333333333337</v>
      </c>
      <c r="C82" s="39" t="s">
        <v>419</v>
      </c>
      <c r="D82" s="40">
        <v>1</v>
      </c>
      <c r="E82" s="41">
        <v>1</v>
      </c>
      <c r="F82" s="41" t="s">
        <v>342</v>
      </c>
      <c r="G82" s="41" t="s">
        <v>150</v>
      </c>
      <c r="H82" s="41" t="s">
        <v>147</v>
      </c>
      <c r="I82" s="42">
        <v>2</v>
      </c>
      <c r="J82" s="42">
        <v>2</v>
      </c>
      <c r="K82" s="25" t="str">
        <f>VLOOKUP(J82,Key!$E$2:$F$9,2,FALSE)</f>
        <v>Work</v>
      </c>
      <c r="L82" s="41" t="s">
        <v>155</v>
      </c>
      <c r="M82" s="42" t="s">
        <v>148</v>
      </c>
      <c r="N82" s="41" t="s">
        <v>147</v>
      </c>
      <c r="O82" s="45">
        <v>1</v>
      </c>
      <c r="P82" s="45">
        <v>1</v>
      </c>
      <c r="Q82" s="25" t="str">
        <f>VLOOKUP(P82,Key!$E$2:$F$9,2,FALSE)</f>
        <v>Home</v>
      </c>
      <c r="R82" s="25" t="str">
        <f t="shared" si="1"/>
        <v>Work-Home</v>
      </c>
      <c r="S82" s="47">
        <v>4</v>
      </c>
      <c r="T82" s="47">
        <v>0.2</v>
      </c>
      <c r="U82" s="42">
        <v>2</v>
      </c>
      <c r="V82" s="42"/>
      <c r="W82" s="47"/>
      <c r="X82" s="47"/>
      <c r="Y82" s="48" t="s">
        <v>146</v>
      </c>
      <c r="Z82" s="59"/>
      <c r="AA82" s="25"/>
      <c r="AB82" s="25"/>
    </row>
    <row r="83" spans="2:28">
      <c r="B83" s="39">
        <v>0.71875</v>
      </c>
      <c r="C83" s="39" t="s">
        <v>218</v>
      </c>
      <c r="D83" s="40">
        <v>1</v>
      </c>
      <c r="E83" s="41">
        <v>1</v>
      </c>
      <c r="F83" s="41" t="s">
        <v>169</v>
      </c>
      <c r="G83" s="41" t="s">
        <v>150</v>
      </c>
      <c r="H83" s="41" t="s">
        <v>147</v>
      </c>
      <c r="I83" s="42">
        <v>16</v>
      </c>
      <c r="J83" s="42">
        <v>2</v>
      </c>
      <c r="K83" s="25" t="str">
        <f>VLOOKUP(J83,Key!$E$2:$F$9,2,FALSE)</f>
        <v>Work</v>
      </c>
      <c r="L83" s="41" t="s">
        <v>155</v>
      </c>
      <c r="M83" s="42" t="s">
        <v>148</v>
      </c>
      <c r="N83" s="41" t="s">
        <v>147</v>
      </c>
      <c r="O83" s="45"/>
      <c r="P83" s="45">
        <v>1</v>
      </c>
      <c r="Q83" s="25">
        <v>1</v>
      </c>
      <c r="R83" s="25" t="str">
        <f t="shared" si="1"/>
        <v>Work-1</v>
      </c>
      <c r="S83" s="47"/>
      <c r="T83" s="47">
        <v>15</v>
      </c>
      <c r="U83" s="42">
        <v>0.5</v>
      </c>
      <c r="V83" s="42">
        <v>6</v>
      </c>
      <c r="W83" s="47"/>
      <c r="X83" s="47"/>
      <c r="Y83" s="48" t="s">
        <v>146</v>
      </c>
      <c r="Z83" s="59"/>
      <c r="AA83" s="25"/>
      <c r="AB83" s="25"/>
    </row>
    <row r="84" spans="2:28">
      <c r="B84" s="39">
        <v>0.69791666666666663</v>
      </c>
      <c r="C84" s="39" t="s">
        <v>420</v>
      </c>
      <c r="D84" s="40">
        <v>1</v>
      </c>
      <c r="E84" s="41">
        <v>1</v>
      </c>
      <c r="F84" s="41" t="s">
        <v>213</v>
      </c>
      <c r="G84" s="41" t="s">
        <v>150</v>
      </c>
      <c r="H84" s="41" t="s">
        <v>147</v>
      </c>
      <c r="I84" s="42">
        <v>1</v>
      </c>
      <c r="J84" s="42">
        <v>1</v>
      </c>
      <c r="K84" s="25" t="str">
        <f>VLOOKUP(J84,Key!$E$2:$F$9,2,FALSE)</f>
        <v>Home</v>
      </c>
      <c r="L84" s="41" t="s">
        <v>421</v>
      </c>
      <c r="M84" s="42" t="s">
        <v>191</v>
      </c>
      <c r="N84" s="41" t="s">
        <v>147</v>
      </c>
      <c r="O84" s="45">
        <v>2</v>
      </c>
      <c r="P84" s="45">
        <v>2</v>
      </c>
      <c r="Q84" s="25" t="str">
        <f>VLOOKUP(P84,Key!$E$2:$F$9,2,FALSE)</f>
        <v>Work</v>
      </c>
      <c r="R84" s="25" t="str">
        <f t="shared" si="1"/>
        <v>Home-Work</v>
      </c>
      <c r="S84" s="47">
        <v>200</v>
      </c>
      <c r="T84" s="47">
        <v>3</v>
      </c>
      <c r="U84" s="42">
        <v>5</v>
      </c>
      <c r="V84" s="42"/>
      <c r="W84" s="47"/>
      <c r="X84" s="47"/>
      <c r="Y84" s="48" t="s">
        <v>146</v>
      </c>
      <c r="Z84" s="59"/>
      <c r="AA84" s="25"/>
      <c r="AB84" s="25"/>
    </row>
    <row r="85" spans="2:28">
      <c r="B85" s="39">
        <v>0.67152777777777783</v>
      </c>
      <c r="C85" s="39" t="s">
        <v>422</v>
      </c>
      <c r="D85" s="40">
        <v>1</v>
      </c>
      <c r="E85" s="41">
        <v>2</v>
      </c>
      <c r="F85" s="41" t="s">
        <v>169</v>
      </c>
      <c r="G85" s="41" t="s">
        <v>150</v>
      </c>
      <c r="H85" s="41" t="s">
        <v>147</v>
      </c>
      <c r="I85" s="42">
        <v>9</v>
      </c>
      <c r="J85" s="42">
        <v>2</v>
      </c>
      <c r="K85" s="25" t="str">
        <f>VLOOKUP(J85,Key!$E$2:$F$9,2,FALSE)</f>
        <v>Work</v>
      </c>
      <c r="L85" s="41" t="s">
        <v>155</v>
      </c>
      <c r="M85" s="42" t="s">
        <v>148</v>
      </c>
      <c r="N85" s="41" t="s">
        <v>147</v>
      </c>
      <c r="O85" s="45">
        <v>1</v>
      </c>
      <c r="P85" s="45">
        <v>1</v>
      </c>
      <c r="Q85" s="25" t="str">
        <f>VLOOKUP(P85,Key!$E$2:$F$9,2,FALSE)</f>
        <v>Home</v>
      </c>
      <c r="R85" s="25" t="str">
        <f t="shared" si="1"/>
        <v>Work-Home</v>
      </c>
      <c r="S85" s="47">
        <v>15</v>
      </c>
      <c r="T85" s="47">
        <v>0.8</v>
      </c>
      <c r="U85" s="42">
        <v>6</v>
      </c>
      <c r="V85" s="42"/>
      <c r="W85" s="47"/>
      <c r="X85" s="47"/>
      <c r="Y85" s="48" t="s">
        <v>146</v>
      </c>
      <c r="Z85" s="59"/>
      <c r="AA85" s="25"/>
      <c r="AB85" s="25"/>
    </row>
    <row r="86" spans="2:28">
      <c r="B86" s="39">
        <v>0.58333333333333337</v>
      </c>
      <c r="C86" s="39" t="s">
        <v>423</v>
      </c>
      <c r="D86" s="40">
        <v>11</v>
      </c>
      <c r="E86" s="41">
        <v>1</v>
      </c>
      <c r="F86" s="41" t="s">
        <v>424</v>
      </c>
      <c r="G86" s="41" t="s">
        <v>150</v>
      </c>
      <c r="H86" s="41" t="s">
        <v>147</v>
      </c>
      <c r="I86" s="42">
        <v>1</v>
      </c>
      <c r="J86" s="42">
        <v>1</v>
      </c>
      <c r="K86" s="25" t="str">
        <f>VLOOKUP(J86,Key!$E$2:$F$9,2,FALSE)</f>
        <v>Home</v>
      </c>
      <c r="L86" s="41" t="s">
        <v>195</v>
      </c>
      <c r="M86" s="42" t="s">
        <v>148</v>
      </c>
      <c r="N86" s="41" t="s">
        <v>147</v>
      </c>
      <c r="O86" s="45">
        <v>8</v>
      </c>
      <c r="P86" s="45">
        <v>2</v>
      </c>
      <c r="Q86" s="25" t="str">
        <f>VLOOKUP(P86,Key!$E$2:$F$9,2,FALSE)</f>
        <v>Work</v>
      </c>
      <c r="R86" s="25" t="str">
        <f t="shared" si="1"/>
        <v>Home-Work</v>
      </c>
      <c r="S86" s="47">
        <v>5</v>
      </c>
      <c r="T86" s="47">
        <v>0.2</v>
      </c>
      <c r="U86" s="42">
        <v>2</v>
      </c>
      <c r="V86" s="42"/>
      <c r="W86" s="47"/>
      <c r="X86" s="47"/>
      <c r="Y86" s="48" t="s">
        <v>146</v>
      </c>
      <c r="Z86" s="59"/>
      <c r="AA86" s="25"/>
      <c r="AB86" s="25"/>
    </row>
    <row r="87" spans="2:28">
      <c r="B87" s="39">
        <v>0.54166666666666663</v>
      </c>
      <c r="C87" s="39" t="s">
        <v>425</v>
      </c>
      <c r="D87" s="40">
        <v>1</v>
      </c>
      <c r="E87" s="41">
        <v>4</v>
      </c>
      <c r="F87" s="41" t="s">
        <v>260</v>
      </c>
      <c r="G87" s="41" t="s">
        <v>150</v>
      </c>
      <c r="H87" s="41" t="s">
        <v>147</v>
      </c>
      <c r="I87" s="42">
        <v>1</v>
      </c>
      <c r="J87" s="42">
        <v>1</v>
      </c>
      <c r="K87" s="25" t="s">
        <v>101</v>
      </c>
      <c r="L87" s="41" t="s">
        <v>155</v>
      </c>
      <c r="M87" s="42" t="s">
        <v>148</v>
      </c>
      <c r="N87" s="41" t="s">
        <v>147</v>
      </c>
      <c r="O87" s="45">
        <v>3</v>
      </c>
      <c r="P87" s="45">
        <v>2</v>
      </c>
      <c r="Q87" s="25" t="str">
        <f>VLOOKUP(P87,Key!$E$2:$F$9,2,FALSE)</f>
        <v>Work</v>
      </c>
      <c r="R87" s="25" t="s">
        <v>141</v>
      </c>
      <c r="S87" s="47">
        <v>15</v>
      </c>
      <c r="T87" s="47">
        <v>0.5</v>
      </c>
      <c r="U87" s="42">
        <v>6</v>
      </c>
      <c r="V87" s="42"/>
      <c r="W87" s="47"/>
      <c r="X87" s="47"/>
      <c r="Y87" s="48" t="s">
        <v>146</v>
      </c>
      <c r="Z87" s="59"/>
      <c r="AA87" s="25"/>
      <c r="AB87" s="25"/>
    </row>
    <row r="88" spans="2:28">
      <c r="B88" s="39">
        <v>0.5395833333333333</v>
      </c>
      <c r="C88" s="39" t="s">
        <v>426</v>
      </c>
      <c r="D88" s="40">
        <v>2</v>
      </c>
      <c r="E88" s="41">
        <v>2</v>
      </c>
      <c r="F88" s="41" t="s">
        <v>427</v>
      </c>
      <c r="G88" s="41" t="s">
        <v>150</v>
      </c>
      <c r="H88" s="41" t="s">
        <v>147</v>
      </c>
      <c r="I88" s="42">
        <v>1</v>
      </c>
      <c r="J88" s="42">
        <v>1</v>
      </c>
      <c r="K88" s="25" t="str">
        <f>VLOOKUP(J88,Key!$E$2:$F$9,2,FALSE)</f>
        <v>Home</v>
      </c>
      <c r="L88" s="41" t="s">
        <v>155</v>
      </c>
      <c r="M88" s="42" t="s">
        <v>148</v>
      </c>
      <c r="N88" s="41" t="s">
        <v>147</v>
      </c>
      <c r="O88" s="45">
        <v>4</v>
      </c>
      <c r="P88" s="45">
        <v>2</v>
      </c>
      <c r="Q88" s="25" t="str">
        <f>VLOOKUP(P88,Key!$E$2:$F$9,2,FALSE)</f>
        <v>Work</v>
      </c>
      <c r="R88" s="25" t="str">
        <f t="shared" si="1"/>
        <v>Home-Work</v>
      </c>
      <c r="S88" s="47">
        <v>25</v>
      </c>
      <c r="T88" s="47">
        <v>1</v>
      </c>
      <c r="U88" s="42">
        <v>1</v>
      </c>
      <c r="V88" s="42"/>
      <c r="W88" s="47"/>
      <c r="X88" s="47"/>
      <c r="Y88" s="48" t="s">
        <v>146</v>
      </c>
      <c r="Z88" s="59"/>
      <c r="AA88" s="25"/>
      <c r="AB88" s="25"/>
    </row>
    <row r="89" spans="2:28">
      <c r="B89" s="39">
        <v>0.53819444444444442</v>
      </c>
      <c r="C89" s="39" t="s">
        <v>428</v>
      </c>
      <c r="D89" s="40">
        <v>1</v>
      </c>
      <c r="E89" s="41">
        <v>4</v>
      </c>
      <c r="F89" s="41" t="s">
        <v>429</v>
      </c>
      <c r="G89" s="41" t="s">
        <v>150</v>
      </c>
      <c r="H89" s="41" t="s">
        <v>147</v>
      </c>
      <c r="I89" s="42">
        <v>1</v>
      </c>
      <c r="J89" s="42">
        <v>1</v>
      </c>
      <c r="K89" s="25" t="str">
        <f>VLOOKUP(J89,Key!$E$2:$F$9,2,FALSE)</f>
        <v>Home</v>
      </c>
      <c r="L89" s="41" t="s">
        <v>155</v>
      </c>
      <c r="M89" s="42" t="s">
        <v>148</v>
      </c>
      <c r="N89" s="41" t="s">
        <v>147</v>
      </c>
      <c r="O89" s="45">
        <v>2</v>
      </c>
      <c r="P89" s="45">
        <v>2</v>
      </c>
      <c r="Q89" s="25" t="str">
        <f>VLOOKUP(P89,Key!$E$2:$F$9,2,FALSE)</f>
        <v>Work</v>
      </c>
      <c r="R89" s="25" t="str">
        <f t="shared" si="1"/>
        <v>Home-Work</v>
      </c>
      <c r="S89" s="47">
        <v>32</v>
      </c>
      <c r="T89" s="47"/>
      <c r="U89" s="42">
        <v>1</v>
      </c>
      <c r="V89" s="42"/>
      <c r="W89" s="47"/>
      <c r="X89" s="47"/>
      <c r="Y89" s="48" t="s">
        <v>146</v>
      </c>
      <c r="Z89" s="59"/>
      <c r="AA89" s="25"/>
      <c r="AB89" s="25"/>
    </row>
    <row r="90" spans="2:28">
      <c r="B90" s="39">
        <v>0.52777777777777779</v>
      </c>
      <c r="C90" s="39" t="s">
        <v>430</v>
      </c>
      <c r="D90" s="40">
        <v>11</v>
      </c>
      <c r="E90" s="41">
        <v>1</v>
      </c>
      <c r="F90" s="41" t="s">
        <v>424</v>
      </c>
      <c r="G90" s="41" t="s">
        <v>150</v>
      </c>
      <c r="H90" s="41" t="s">
        <v>147</v>
      </c>
      <c r="I90" s="42">
        <v>1</v>
      </c>
      <c r="J90" s="42">
        <v>1</v>
      </c>
      <c r="K90" s="25" t="str">
        <f>VLOOKUP(J90,Key!$E$2:$F$9,2,FALSE)</f>
        <v>Home</v>
      </c>
      <c r="L90" s="41" t="s">
        <v>195</v>
      </c>
      <c r="M90" s="42" t="s">
        <v>148</v>
      </c>
      <c r="N90" s="41" t="s">
        <v>147</v>
      </c>
      <c r="O90" s="45">
        <v>8</v>
      </c>
      <c r="P90" s="45">
        <v>2</v>
      </c>
      <c r="Q90" s="25" t="str">
        <f>VLOOKUP(P90,Key!$E$2:$F$9,2,FALSE)</f>
        <v>Work</v>
      </c>
      <c r="R90" s="25" t="str">
        <f t="shared" si="1"/>
        <v>Home-Work</v>
      </c>
      <c r="S90" s="47">
        <v>5</v>
      </c>
      <c r="T90" s="47">
        <v>0.2</v>
      </c>
      <c r="U90" s="42">
        <v>2</v>
      </c>
      <c r="V90" s="42"/>
      <c r="W90" s="47"/>
      <c r="X90" s="47"/>
      <c r="Y90" s="48" t="s">
        <v>146</v>
      </c>
      <c r="Z90" s="59"/>
      <c r="AA90" s="25"/>
      <c r="AB90" s="25"/>
    </row>
    <row r="91" spans="2:28">
      <c r="B91" s="39">
        <v>0.52500000000000002</v>
      </c>
      <c r="C91" s="39" t="s">
        <v>431</v>
      </c>
      <c r="D91" s="40">
        <v>1</v>
      </c>
      <c r="E91" s="41">
        <v>7</v>
      </c>
      <c r="F91" s="41" t="s">
        <v>162</v>
      </c>
      <c r="G91" s="41" t="s">
        <v>150</v>
      </c>
      <c r="H91" s="41" t="s">
        <v>147</v>
      </c>
      <c r="I91" s="42">
        <v>1</v>
      </c>
      <c r="J91" s="42">
        <v>1</v>
      </c>
      <c r="K91" s="25" t="str">
        <f>VLOOKUP(J91,Key!$E$2:$F$9,2,FALSE)</f>
        <v>Home</v>
      </c>
      <c r="L91" s="41" t="s">
        <v>155</v>
      </c>
      <c r="M91" s="42" t="s">
        <v>148</v>
      </c>
      <c r="N91" s="41" t="s">
        <v>147</v>
      </c>
      <c r="O91" s="45">
        <v>6</v>
      </c>
      <c r="P91" s="45">
        <v>2</v>
      </c>
      <c r="Q91" s="25" t="str">
        <f>VLOOKUP(P91,Key!$E$2:$F$9,2,FALSE)</f>
        <v>Work</v>
      </c>
      <c r="R91" s="25" t="str">
        <f t="shared" si="1"/>
        <v>Home-Work</v>
      </c>
      <c r="S91" s="47">
        <v>37</v>
      </c>
      <c r="T91" s="47">
        <v>1.5</v>
      </c>
      <c r="U91" s="42">
        <v>1</v>
      </c>
      <c r="V91" s="42"/>
      <c r="W91" s="47"/>
      <c r="X91" s="47"/>
      <c r="Y91" s="48" t="s">
        <v>146</v>
      </c>
      <c r="Z91" s="59"/>
      <c r="AA91" s="25"/>
      <c r="AB91" s="25"/>
    </row>
    <row r="92" spans="2:28">
      <c r="B92" s="39">
        <v>0.48888888888888887</v>
      </c>
      <c r="C92" s="39" t="s">
        <v>432</v>
      </c>
      <c r="D92" s="40">
        <v>1</v>
      </c>
      <c r="E92" s="41">
        <v>1</v>
      </c>
      <c r="F92" s="41" t="s">
        <v>345</v>
      </c>
      <c r="G92" s="41" t="s">
        <v>150</v>
      </c>
      <c r="H92" s="41" t="s">
        <v>147</v>
      </c>
      <c r="I92" s="42">
        <v>1</v>
      </c>
      <c r="J92" s="42">
        <v>1</v>
      </c>
      <c r="K92" s="25" t="str">
        <f>VLOOKUP(J92,Key!$E$2:$F$9,2,FALSE)</f>
        <v>Home</v>
      </c>
      <c r="L92" s="41" t="s">
        <v>433</v>
      </c>
      <c r="M92" s="42" t="s">
        <v>434</v>
      </c>
      <c r="N92" s="41" t="s">
        <v>147</v>
      </c>
      <c r="O92" s="45">
        <v>5</v>
      </c>
      <c r="P92" s="45">
        <v>7</v>
      </c>
      <c r="Q92" s="25" t="str">
        <f>VLOOKUP(P92,Key!$E$2:$F$9,2,FALSE)</f>
        <v>Hospital</v>
      </c>
      <c r="R92" s="25" t="str">
        <f t="shared" si="1"/>
        <v>Home-Hospital</v>
      </c>
      <c r="S92" s="47">
        <v>126</v>
      </c>
      <c r="T92" s="47">
        <v>2</v>
      </c>
      <c r="U92" s="42">
        <v>6</v>
      </c>
      <c r="V92" s="42"/>
      <c r="W92" s="47"/>
      <c r="X92" s="47"/>
      <c r="Y92" s="48" t="s">
        <v>146</v>
      </c>
      <c r="Z92" s="59"/>
      <c r="AA92" s="25"/>
      <c r="AB92" s="25"/>
    </row>
    <row r="93" spans="2:28">
      <c r="B93" s="39">
        <v>0.47638888888888892</v>
      </c>
      <c r="C93" s="39" t="s">
        <v>435</v>
      </c>
      <c r="D93" s="40">
        <v>1</v>
      </c>
      <c r="E93" s="41">
        <v>2</v>
      </c>
      <c r="F93" s="41" t="s">
        <v>169</v>
      </c>
      <c r="G93" s="41" t="s">
        <v>150</v>
      </c>
      <c r="H93" s="41" t="s">
        <v>147</v>
      </c>
      <c r="I93" s="42">
        <v>1</v>
      </c>
      <c r="J93" s="42">
        <v>1</v>
      </c>
      <c r="K93" s="25" t="str">
        <f>VLOOKUP(J93,Key!$E$2:$F$9,2,FALSE)</f>
        <v>Home</v>
      </c>
      <c r="L93" s="41" t="s">
        <v>155</v>
      </c>
      <c r="M93" s="42" t="s">
        <v>148</v>
      </c>
      <c r="N93" s="41" t="s">
        <v>147</v>
      </c>
      <c r="O93" s="45">
        <v>12</v>
      </c>
      <c r="P93" s="45">
        <v>4</v>
      </c>
      <c r="Q93" s="25" t="str">
        <f>VLOOKUP(P93,Key!$E$2:$F$9,2,FALSE)</f>
        <v>Commercial</v>
      </c>
      <c r="R93" s="25" t="str">
        <f t="shared" si="1"/>
        <v>Home-Commercial</v>
      </c>
      <c r="S93" s="47">
        <v>10</v>
      </c>
      <c r="T93" s="47">
        <v>0.3</v>
      </c>
      <c r="U93" s="42">
        <v>6</v>
      </c>
      <c r="V93" s="42"/>
      <c r="W93" s="47"/>
      <c r="X93" s="47"/>
      <c r="Y93" s="48" t="s">
        <v>146</v>
      </c>
      <c r="Z93" s="59"/>
      <c r="AA93" s="25"/>
      <c r="AB93" s="25"/>
    </row>
    <row r="94" spans="2:28">
      <c r="B94" s="39">
        <v>0.46666666666666662</v>
      </c>
      <c r="C94" s="39" t="s">
        <v>436</v>
      </c>
      <c r="D94" s="40">
        <v>1</v>
      </c>
      <c r="E94" s="41">
        <v>3</v>
      </c>
      <c r="F94" s="41" t="s">
        <v>437</v>
      </c>
      <c r="G94" s="41" t="s">
        <v>150</v>
      </c>
      <c r="H94" s="41" t="s">
        <v>147</v>
      </c>
      <c r="I94" s="42">
        <v>1</v>
      </c>
      <c r="J94" s="42">
        <v>1</v>
      </c>
      <c r="K94" s="25" t="str">
        <f>VLOOKUP(J94,Key!$E$2:$F$9,2,FALSE)</f>
        <v>Home</v>
      </c>
      <c r="L94" s="41" t="s">
        <v>155</v>
      </c>
      <c r="M94" s="42" t="s">
        <v>148</v>
      </c>
      <c r="N94" s="41" t="s">
        <v>147</v>
      </c>
      <c r="O94" s="45">
        <v>16</v>
      </c>
      <c r="P94" s="45">
        <v>4</v>
      </c>
      <c r="Q94" s="25" t="str">
        <f>VLOOKUP(P94,Key!$E$2:$F$9,2,FALSE)</f>
        <v>Commercial</v>
      </c>
      <c r="R94" s="25" t="str">
        <f t="shared" si="1"/>
        <v>Home-Commercial</v>
      </c>
      <c r="S94" s="47">
        <v>37</v>
      </c>
      <c r="T94" s="47">
        <v>1.3</v>
      </c>
      <c r="U94" s="42">
        <v>6</v>
      </c>
      <c r="V94" s="42"/>
      <c r="W94" s="47"/>
      <c r="X94" s="47"/>
      <c r="Y94" s="48" t="s">
        <v>146</v>
      </c>
      <c r="Z94" s="59"/>
      <c r="AA94" s="25"/>
      <c r="AB94" s="25"/>
    </row>
    <row r="95" spans="2:28">
      <c r="B95" s="39">
        <v>0.45347222222222222</v>
      </c>
      <c r="C95" s="39" t="s">
        <v>438</v>
      </c>
      <c r="D95" s="40">
        <v>1</v>
      </c>
      <c r="E95" s="41">
        <v>4</v>
      </c>
      <c r="F95" s="41" t="s">
        <v>209</v>
      </c>
      <c r="G95" s="41" t="s">
        <v>150</v>
      </c>
      <c r="H95" s="41" t="s">
        <v>147</v>
      </c>
      <c r="I95" s="42">
        <v>1</v>
      </c>
      <c r="J95" s="42">
        <v>1</v>
      </c>
      <c r="K95" s="25" t="str">
        <f>VLOOKUP(J95,Key!$E$2:$F$9,2,FALSE)</f>
        <v>Home</v>
      </c>
      <c r="L95" s="41" t="s">
        <v>155</v>
      </c>
      <c r="M95" s="42" t="s">
        <v>148</v>
      </c>
      <c r="N95" s="41" t="s">
        <v>147</v>
      </c>
      <c r="O95" s="45">
        <v>6</v>
      </c>
      <c r="P95" s="45">
        <v>2</v>
      </c>
      <c r="Q95" s="25" t="str">
        <f>VLOOKUP(P95,Key!$E$2:$F$9,2,FALSE)</f>
        <v>Work</v>
      </c>
      <c r="R95" s="25" t="str">
        <f t="shared" si="1"/>
        <v>Home-Work</v>
      </c>
      <c r="S95" s="47">
        <v>150</v>
      </c>
      <c r="T95" s="47">
        <v>1.5</v>
      </c>
      <c r="U95" s="42">
        <v>2</v>
      </c>
      <c r="V95" s="42"/>
      <c r="W95" s="47"/>
      <c r="X95" s="47"/>
      <c r="Y95" s="48" t="s">
        <v>146</v>
      </c>
      <c r="Z95" s="59"/>
      <c r="AA95" s="25"/>
      <c r="AB95" s="25"/>
    </row>
    <row r="96" spans="2:28">
      <c r="B96" s="39">
        <v>0.4236111111111111</v>
      </c>
      <c r="C96" s="39" t="s">
        <v>439</v>
      </c>
      <c r="D96" s="40">
        <v>1</v>
      </c>
      <c r="E96" s="41">
        <v>6</v>
      </c>
      <c r="F96" s="41" t="s">
        <v>209</v>
      </c>
      <c r="G96" s="41" t="s">
        <v>150</v>
      </c>
      <c r="H96" s="41" t="s">
        <v>147</v>
      </c>
      <c r="I96" s="42">
        <v>1</v>
      </c>
      <c r="J96" s="42">
        <v>1</v>
      </c>
      <c r="K96" s="25" t="str">
        <f>VLOOKUP(J96,Key!$E$2:$F$9,2,FALSE)</f>
        <v>Home</v>
      </c>
      <c r="L96" s="41" t="s">
        <v>155</v>
      </c>
      <c r="M96" s="42" t="s">
        <v>148</v>
      </c>
      <c r="N96" s="41" t="s">
        <v>147</v>
      </c>
      <c r="O96" s="45">
        <v>6</v>
      </c>
      <c r="P96" s="45">
        <v>2</v>
      </c>
      <c r="Q96" s="25" t="str">
        <f>VLOOKUP(P96,Key!$E$2:$F$9,2,FALSE)</f>
        <v>Work</v>
      </c>
      <c r="R96" s="25" t="str">
        <f t="shared" si="1"/>
        <v>Home-Work</v>
      </c>
      <c r="S96" s="47">
        <v>75</v>
      </c>
      <c r="T96" s="47">
        <v>1.5</v>
      </c>
      <c r="U96" s="42">
        <v>1</v>
      </c>
      <c r="V96" s="42"/>
      <c r="W96" s="47"/>
      <c r="X96" s="47"/>
      <c r="Y96" s="48" t="s">
        <v>146</v>
      </c>
      <c r="Z96" s="59"/>
      <c r="AA96" s="25"/>
      <c r="AB96" s="25"/>
    </row>
    <row r="97" spans="2:28">
      <c r="B97" s="39">
        <v>0.40833333333333338</v>
      </c>
      <c r="C97" s="39" t="s">
        <v>440</v>
      </c>
      <c r="D97" s="40">
        <v>1</v>
      </c>
      <c r="E97" s="41">
        <v>5</v>
      </c>
      <c r="F97" s="41" t="s">
        <v>169</v>
      </c>
      <c r="G97" s="41" t="s">
        <v>150</v>
      </c>
      <c r="H97" s="41" t="s">
        <v>147</v>
      </c>
      <c r="I97" s="42">
        <v>1</v>
      </c>
      <c r="J97" s="42">
        <v>1</v>
      </c>
      <c r="K97" s="25" t="str">
        <f>VLOOKUP(J97,Key!$E$2:$F$9,2,FALSE)</f>
        <v>Home</v>
      </c>
      <c r="L97" s="41" t="s">
        <v>155</v>
      </c>
      <c r="M97" s="42" t="s">
        <v>148</v>
      </c>
      <c r="N97" s="41" t="s">
        <v>147</v>
      </c>
      <c r="O97" s="45">
        <v>11</v>
      </c>
      <c r="P97" s="45">
        <v>4</v>
      </c>
      <c r="Q97" s="25" t="str">
        <f>VLOOKUP(P97,Key!$E$2:$F$9,2,FALSE)</f>
        <v>Commercial</v>
      </c>
      <c r="R97" s="25" t="str">
        <f t="shared" si="1"/>
        <v>Home-Commercial</v>
      </c>
      <c r="S97" s="47">
        <v>15</v>
      </c>
      <c r="T97" s="47">
        <v>0.3</v>
      </c>
      <c r="U97" s="42">
        <v>1</v>
      </c>
      <c r="V97" s="42"/>
      <c r="W97" s="47"/>
      <c r="X97" s="47"/>
      <c r="Y97" s="48" t="s">
        <v>146</v>
      </c>
      <c r="Z97" s="59"/>
      <c r="AA97" s="25"/>
      <c r="AB97" s="25"/>
    </row>
    <row r="98" spans="2:28">
      <c r="B98" s="39">
        <v>0.3979166666666667</v>
      </c>
      <c r="C98" s="39" t="s">
        <v>441</v>
      </c>
      <c r="D98" s="40">
        <v>1</v>
      </c>
      <c r="E98" s="41">
        <v>1</v>
      </c>
      <c r="F98" s="41" t="s">
        <v>294</v>
      </c>
      <c r="G98" s="41" t="s">
        <v>150</v>
      </c>
      <c r="H98" s="41" t="s">
        <v>147</v>
      </c>
      <c r="I98" s="42">
        <v>1</v>
      </c>
      <c r="J98" s="42">
        <v>1</v>
      </c>
      <c r="K98" s="25" t="str">
        <f>VLOOKUP(J98,Key!$E$2:$F$9,2,FALSE)</f>
        <v>Home</v>
      </c>
      <c r="L98" s="41" t="s">
        <v>442</v>
      </c>
      <c r="M98" s="42" t="s">
        <v>443</v>
      </c>
      <c r="N98" s="41" t="s">
        <v>147</v>
      </c>
      <c r="O98" s="45">
        <v>1</v>
      </c>
      <c r="P98" s="45">
        <v>1</v>
      </c>
      <c r="Q98" s="25" t="str">
        <f>VLOOKUP(P98,Key!$E$2:$F$9,2,FALSE)</f>
        <v>Home</v>
      </c>
      <c r="R98" s="25" t="str">
        <f t="shared" si="1"/>
        <v>Home-Home</v>
      </c>
      <c r="S98" s="47">
        <v>300</v>
      </c>
      <c r="T98" s="47">
        <v>5</v>
      </c>
      <c r="U98" s="42">
        <v>6</v>
      </c>
      <c r="V98" s="42"/>
      <c r="W98" s="47"/>
      <c r="X98" s="47"/>
      <c r="Y98" s="48" t="s">
        <v>146</v>
      </c>
      <c r="Z98" s="59"/>
      <c r="AA98" s="25"/>
      <c r="AB98" s="25"/>
    </row>
    <row r="99" spans="2:28">
      <c r="B99" s="39">
        <v>0.38541666666666669</v>
      </c>
      <c r="C99" s="39" t="s">
        <v>444</v>
      </c>
      <c r="D99" s="40">
        <v>1</v>
      </c>
      <c r="E99" s="41">
        <v>2</v>
      </c>
      <c r="F99" s="41" t="s">
        <v>445</v>
      </c>
      <c r="G99" s="41" t="s">
        <v>150</v>
      </c>
      <c r="H99" s="41" t="s">
        <v>147</v>
      </c>
      <c r="I99" s="42">
        <v>1</v>
      </c>
      <c r="J99" s="42">
        <v>1</v>
      </c>
      <c r="K99" s="25" t="str">
        <f>VLOOKUP(J99,Key!$E$2:$F$9,2,FALSE)</f>
        <v>Home</v>
      </c>
      <c r="L99" s="41" t="s">
        <v>155</v>
      </c>
      <c r="M99" s="42" t="s">
        <v>148</v>
      </c>
      <c r="N99" s="41" t="s">
        <v>147</v>
      </c>
      <c r="O99" s="45">
        <v>4</v>
      </c>
      <c r="P99" s="45">
        <v>3</v>
      </c>
      <c r="Q99" s="25" t="str">
        <f>VLOOKUP(P99,Key!$E$2:$F$9,2,FALSE)</f>
        <v>Study</v>
      </c>
      <c r="R99" s="25" t="str">
        <f t="shared" si="1"/>
        <v>Home-Study</v>
      </c>
      <c r="S99" s="47">
        <v>5</v>
      </c>
      <c r="T99" s="47">
        <v>0.2</v>
      </c>
      <c r="U99" s="42">
        <v>1</v>
      </c>
      <c r="V99" s="42"/>
      <c r="W99" s="47"/>
      <c r="X99" s="47"/>
      <c r="Y99" s="48" t="s">
        <v>146</v>
      </c>
      <c r="Z99" s="59"/>
      <c r="AA99" s="25"/>
      <c r="AB99" s="25"/>
    </row>
    <row r="100" spans="2:28">
      <c r="B100" s="39">
        <v>0.3756944444444445</v>
      </c>
      <c r="C100" s="39" t="s">
        <v>446</v>
      </c>
      <c r="D100" s="40">
        <v>11</v>
      </c>
      <c r="E100" s="41">
        <v>1</v>
      </c>
      <c r="F100" s="41" t="s">
        <v>342</v>
      </c>
      <c r="G100" s="41" t="s">
        <v>150</v>
      </c>
      <c r="H100" s="41" t="s">
        <v>147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155</v>
      </c>
      <c r="M100" s="42" t="s">
        <v>148</v>
      </c>
      <c r="N100" s="41" t="s">
        <v>147</v>
      </c>
      <c r="O100" s="45"/>
      <c r="P100" s="45">
        <v>8</v>
      </c>
      <c r="Q100" s="25">
        <v>2</v>
      </c>
      <c r="R100" s="25" t="str">
        <f t="shared" si="1"/>
        <v>Home-2</v>
      </c>
      <c r="S100" s="47"/>
      <c r="T100" s="47">
        <v>5</v>
      </c>
      <c r="U100" s="42">
        <v>0.2</v>
      </c>
      <c r="V100" s="42">
        <v>5</v>
      </c>
      <c r="W100" s="47"/>
      <c r="X100" s="47"/>
      <c r="Y100" s="48" t="s">
        <v>146</v>
      </c>
      <c r="Z100" s="59"/>
      <c r="AA100" s="25"/>
      <c r="AB100" s="25"/>
    </row>
    <row r="101" spans="2:28">
      <c r="B101" s="39">
        <v>0.36180555555555555</v>
      </c>
      <c r="C101" s="39" t="s">
        <v>447</v>
      </c>
      <c r="D101" s="40">
        <v>1</v>
      </c>
      <c r="E101" s="41">
        <v>2</v>
      </c>
      <c r="F101" s="41" t="s">
        <v>429</v>
      </c>
      <c r="G101" s="41" t="s">
        <v>150</v>
      </c>
      <c r="H101" s="41" t="s">
        <v>147</v>
      </c>
      <c r="I101" s="42">
        <v>1</v>
      </c>
      <c r="J101" s="42">
        <v>1</v>
      </c>
      <c r="K101" s="25" t="str">
        <f>VLOOKUP(J101,Key!$E$2:$F$9,2,FALSE)</f>
        <v>Home</v>
      </c>
      <c r="L101" s="41" t="s">
        <v>448</v>
      </c>
      <c r="M101" s="42" t="s">
        <v>148</v>
      </c>
      <c r="N101" s="41" t="s">
        <v>147</v>
      </c>
      <c r="O101" s="45">
        <v>1</v>
      </c>
      <c r="P101" s="45">
        <v>1</v>
      </c>
      <c r="Q101" s="25" t="str">
        <f>VLOOKUP(P101,Key!$E$2:$F$9,2,FALSE)</f>
        <v>Home</v>
      </c>
      <c r="R101" s="25" t="str">
        <f t="shared" si="1"/>
        <v>Home-Home</v>
      </c>
      <c r="S101" s="47">
        <v>60</v>
      </c>
      <c r="T101" s="47">
        <v>1</v>
      </c>
      <c r="U101" s="42">
        <v>6</v>
      </c>
      <c r="V101" s="42"/>
      <c r="W101" s="47"/>
      <c r="X101" s="47"/>
      <c r="Y101" s="48" t="s">
        <v>146</v>
      </c>
      <c r="Z101" s="59"/>
      <c r="AA101" s="25"/>
      <c r="AB101" s="25"/>
    </row>
    <row r="102" spans="2:28">
      <c r="B102" s="39">
        <v>0.35694444444444445</v>
      </c>
      <c r="C102" s="39" t="s">
        <v>449</v>
      </c>
      <c r="D102" s="40">
        <v>8</v>
      </c>
      <c r="E102" s="41">
        <v>1</v>
      </c>
      <c r="F102" s="41" t="s">
        <v>400</v>
      </c>
      <c r="G102" s="41" t="s">
        <v>150</v>
      </c>
      <c r="H102" s="41" t="s">
        <v>147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450</v>
      </c>
      <c r="M102" s="42" t="s">
        <v>148</v>
      </c>
      <c r="N102" s="41" t="s">
        <v>147</v>
      </c>
      <c r="O102" s="45">
        <v>6</v>
      </c>
      <c r="P102" s="45">
        <v>2</v>
      </c>
      <c r="Q102" s="25" t="str">
        <f>VLOOKUP(P102,Key!$E$2:$F$9,2,FALSE)</f>
        <v>Work</v>
      </c>
      <c r="R102" s="25" t="str">
        <f t="shared" ref="R102:R106" si="2">K102&amp;"-"&amp;Q102</f>
        <v>Home-Work</v>
      </c>
      <c r="S102" s="47">
        <v>5</v>
      </c>
      <c r="T102" s="47">
        <v>0.3</v>
      </c>
      <c r="U102" s="42">
        <v>2</v>
      </c>
      <c r="V102" s="42"/>
      <c r="W102" s="47"/>
      <c r="X102" s="47"/>
      <c r="Y102" s="48" t="s">
        <v>146</v>
      </c>
      <c r="Z102" s="59"/>
      <c r="AA102" s="25"/>
      <c r="AB102" s="25"/>
    </row>
    <row r="103" spans="2:28">
      <c r="B103" s="39">
        <v>0.3347222222222222</v>
      </c>
      <c r="C103" s="39" t="s">
        <v>451</v>
      </c>
      <c r="D103" s="40">
        <v>1</v>
      </c>
      <c r="E103" s="41">
        <v>2</v>
      </c>
      <c r="F103" s="41" t="s">
        <v>345</v>
      </c>
      <c r="G103" s="41" t="s">
        <v>150</v>
      </c>
      <c r="H103" s="41" t="s">
        <v>147</v>
      </c>
      <c r="I103" s="42">
        <v>1</v>
      </c>
      <c r="J103" s="42">
        <v>1</v>
      </c>
      <c r="K103" s="25" t="str">
        <f>VLOOKUP(J103,Key!$E$2:$F$9,2,FALSE)</f>
        <v>Home</v>
      </c>
      <c r="L103" s="41" t="s">
        <v>223</v>
      </c>
      <c r="M103" s="42" t="s">
        <v>148</v>
      </c>
      <c r="N103" s="41" t="s">
        <v>147</v>
      </c>
      <c r="O103" s="45">
        <v>4</v>
      </c>
      <c r="P103" s="45">
        <v>3</v>
      </c>
      <c r="Q103" s="25" t="str">
        <f>VLOOKUP(P103,Key!$E$2:$F$9,2,FALSE)</f>
        <v>Study</v>
      </c>
      <c r="R103" s="25" t="str">
        <f t="shared" si="2"/>
        <v>Home-Study</v>
      </c>
      <c r="S103" s="47">
        <v>8</v>
      </c>
      <c r="T103" s="47">
        <v>0.2</v>
      </c>
      <c r="U103" s="42">
        <v>2</v>
      </c>
      <c r="V103" s="42"/>
      <c r="W103" s="47"/>
      <c r="X103" s="47"/>
      <c r="Y103" s="48" t="s">
        <v>146</v>
      </c>
      <c r="Z103" s="59"/>
      <c r="AA103" s="25"/>
      <c r="AB103" s="25"/>
    </row>
    <row r="104" spans="2:28">
      <c r="B104" s="39">
        <v>0.32083333333333336</v>
      </c>
      <c r="C104" s="39" t="s">
        <v>452</v>
      </c>
      <c r="D104" s="40">
        <v>1</v>
      </c>
      <c r="E104" s="41">
        <v>1</v>
      </c>
      <c r="F104" s="41" t="s">
        <v>201</v>
      </c>
      <c r="G104" s="41" t="s">
        <v>150</v>
      </c>
      <c r="H104" s="41" t="s">
        <v>147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155</v>
      </c>
      <c r="M104" s="42" t="s">
        <v>148</v>
      </c>
      <c r="N104" s="41" t="s">
        <v>147</v>
      </c>
      <c r="O104" s="45">
        <v>6</v>
      </c>
      <c r="P104" s="45">
        <v>2</v>
      </c>
      <c r="Q104" s="25" t="str">
        <f>VLOOKUP(P104,Key!$E$2:$F$9,2,FALSE)</f>
        <v>Work</v>
      </c>
      <c r="R104" s="25" t="str">
        <f t="shared" si="2"/>
        <v>Home-Work</v>
      </c>
      <c r="S104" s="47"/>
      <c r="T104" s="47">
        <v>0.5</v>
      </c>
      <c r="U104" s="42">
        <v>1</v>
      </c>
      <c r="V104" s="42"/>
      <c r="W104" s="47"/>
      <c r="X104" s="47"/>
      <c r="Y104" s="48" t="s">
        <v>146</v>
      </c>
      <c r="Z104" s="59"/>
      <c r="AA104" s="25"/>
      <c r="AB104" s="25"/>
    </row>
    <row r="105" spans="2:28" ht="12" customHeight="1">
      <c r="B105" s="39">
        <v>0.31875000000000003</v>
      </c>
      <c r="C105" s="39" t="s">
        <v>453</v>
      </c>
      <c r="D105" s="40">
        <v>2</v>
      </c>
      <c r="E105" s="41">
        <v>1</v>
      </c>
      <c r="F105" s="41" t="s">
        <v>260</v>
      </c>
      <c r="G105" s="41" t="s">
        <v>150</v>
      </c>
      <c r="H105" s="41" t="s">
        <v>147</v>
      </c>
      <c r="I105" s="42">
        <v>1</v>
      </c>
      <c r="J105" s="42">
        <v>1</v>
      </c>
      <c r="K105" s="25" t="str">
        <f>VLOOKUP(J105,Key!$E$2:$F$9,2,FALSE)</f>
        <v>Home</v>
      </c>
      <c r="L105" s="41" t="s">
        <v>173</v>
      </c>
      <c r="M105" s="42" t="s">
        <v>148</v>
      </c>
      <c r="N105" s="41" t="s">
        <v>147</v>
      </c>
      <c r="O105" s="45">
        <v>2</v>
      </c>
      <c r="P105" s="45">
        <v>2</v>
      </c>
      <c r="Q105" s="25" t="str">
        <f>VLOOKUP(P105,Key!$E$2:$F$9,2,FALSE)</f>
        <v>Work</v>
      </c>
      <c r="R105" s="25" t="str">
        <f t="shared" si="2"/>
        <v>Home-Work</v>
      </c>
      <c r="S105" s="47">
        <v>22</v>
      </c>
      <c r="T105" s="47">
        <v>0.7</v>
      </c>
      <c r="U105" s="42">
        <v>2</v>
      </c>
      <c r="V105" s="42"/>
      <c r="W105" s="47"/>
      <c r="X105" s="47"/>
      <c r="Y105" s="48" t="s">
        <v>146</v>
      </c>
      <c r="Z105" s="59"/>
      <c r="AA105" s="25"/>
      <c r="AB105" s="25"/>
    </row>
    <row r="106" spans="2:28">
      <c r="B106" s="39">
        <v>0.3125</v>
      </c>
      <c r="C106" s="39" t="s">
        <v>454</v>
      </c>
      <c r="D106" s="40">
        <v>1</v>
      </c>
      <c r="E106" s="41">
        <v>1</v>
      </c>
      <c r="F106" s="41" t="s">
        <v>201</v>
      </c>
      <c r="G106" s="41" t="s">
        <v>150</v>
      </c>
      <c r="H106" s="41" t="s">
        <v>147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195</v>
      </c>
      <c r="M106" s="42" t="s">
        <v>148</v>
      </c>
      <c r="N106" s="41" t="s">
        <v>147</v>
      </c>
      <c r="O106" s="45">
        <v>2</v>
      </c>
      <c r="P106" s="45">
        <v>2</v>
      </c>
      <c r="Q106" s="25" t="str">
        <f>VLOOKUP(P106,Key!$E$2:$F$9,2,FALSE)</f>
        <v>Work</v>
      </c>
      <c r="R106" s="25" t="str">
        <f t="shared" si="2"/>
        <v>Home-Work</v>
      </c>
      <c r="S106" s="47">
        <v>3</v>
      </c>
      <c r="T106" s="47">
        <v>0.2</v>
      </c>
      <c r="U106" s="42">
        <v>2</v>
      </c>
      <c r="V106" s="42"/>
      <c r="W106" s="47"/>
      <c r="X106" s="47"/>
      <c r="Y106" s="48" t="s">
        <v>146</v>
      </c>
      <c r="Z106" s="59"/>
      <c r="AA106" s="25"/>
      <c r="AB106" s="25"/>
    </row>
    <row r="107" spans="2:28">
      <c r="B107" s="39">
        <v>0.76527777777777783</v>
      </c>
      <c r="C107" s="39" t="s">
        <v>455</v>
      </c>
      <c r="D107" s="40">
        <v>1</v>
      </c>
      <c r="E107" s="41">
        <v>5</v>
      </c>
      <c r="F107" s="41" t="s">
        <v>171</v>
      </c>
      <c r="G107" s="41" t="s">
        <v>150</v>
      </c>
      <c r="H107" s="41" t="s">
        <v>147</v>
      </c>
      <c r="I107" s="42">
        <v>2</v>
      </c>
      <c r="J107" s="42">
        <v>2</v>
      </c>
      <c r="K107" s="25" t="str">
        <f>VLOOKUP(J107,Key!$E$2:$F$9,2,FALSE)</f>
        <v>Work</v>
      </c>
      <c r="L107" s="41" t="s">
        <v>155</v>
      </c>
      <c r="M107" s="42" t="s">
        <v>148</v>
      </c>
      <c r="N107" s="41" t="s">
        <v>147</v>
      </c>
      <c r="O107" s="45">
        <v>1</v>
      </c>
      <c r="P107" s="45">
        <v>1</v>
      </c>
      <c r="Q107" s="25" t="str">
        <f>VLOOKUP(P107,Key!$E$2:$F$9,2,FALSE)</f>
        <v>Home</v>
      </c>
      <c r="R107" s="25" t="s">
        <v>141</v>
      </c>
      <c r="S107" s="47">
        <v>37</v>
      </c>
      <c r="T107" s="47">
        <v>1.5</v>
      </c>
      <c r="U107" s="42">
        <v>3</v>
      </c>
      <c r="V107" s="42"/>
      <c r="W107" s="47"/>
      <c r="X107" s="47"/>
      <c r="Y107" s="48" t="s">
        <v>146</v>
      </c>
      <c r="Z107" s="59"/>
      <c r="AA107" s="25"/>
      <c r="AB107" s="25"/>
    </row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83</v>
      </c>
      <c r="E1" s="34"/>
      <c r="F1" s="35" t="s">
        <v>100</v>
      </c>
      <c r="G1" s="36"/>
      <c r="H1" s="36" t="s">
        <v>108</v>
      </c>
      <c r="I1" s="36"/>
      <c r="J1" s="36" t="s">
        <v>115</v>
      </c>
      <c r="K1" s="36"/>
      <c r="L1" s="36"/>
      <c r="M1" s="36"/>
      <c r="N1" s="36"/>
      <c r="O1" s="36"/>
    </row>
    <row r="2" spans="1:15">
      <c r="A2">
        <v>1</v>
      </c>
      <c r="B2" s="33" t="s">
        <v>71</v>
      </c>
      <c r="C2" s="10">
        <v>1</v>
      </c>
      <c r="D2" s="33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3" t="s">
        <v>72</v>
      </c>
      <c r="C3" s="10">
        <v>2</v>
      </c>
      <c r="D3" s="33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3" t="s">
        <v>73</v>
      </c>
      <c r="C4" s="10">
        <v>3</v>
      </c>
      <c r="D4" s="33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3" t="s">
        <v>74</v>
      </c>
      <c r="C5" s="10">
        <v>4</v>
      </c>
      <c r="D5" s="33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7" t="s">
        <v>119</v>
      </c>
    </row>
    <row r="6" spans="1:15">
      <c r="A6">
        <v>5</v>
      </c>
      <c r="B6" s="33" t="s">
        <v>75</v>
      </c>
      <c r="C6" s="10">
        <v>5</v>
      </c>
      <c r="D6" s="33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3" t="s">
        <v>76</v>
      </c>
      <c r="C7" s="10">
        <v>6</v>
      </c>
      <c r="D7" s="33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3" t="s">
        <v>77</v>
      </c>
      <c r="C8" s="10">
        <v>7</v>
      </c>
      <c r="D8" s="33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3" t="s">
        <v>78</v>
      </c>
      <c r="C9" s="10">
        <v>8</v>
      </c>
      <c r="D9" s="33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3" t="s">
        <v>79</v>
      </c>
      <c r="C10" s="10">
        <v>9</v>
      </c>
      <c r="D10" s="33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3" t="s">
        <v>80</v>
      </c>
      <c r="C11" s="10">
        <v>10</v>
      </c>
      <c r="D11" s="33" t="s">
        <v>93</v>
      </c>
      <c r="E11" s="10"/>
      <c r="I11">
        <v>10</v>
      </c>
      <c r="J11" s="37" t="s">
        <v>125</v>
      </c>
    </row>
    <row r="12" spans="1:15">
      <c r="A12">
        <v>11</v>
      </c>
      <c r="B12" s="33" t="s">
        <v>82</v>
      </c>
      <c r="C12" s="10">
        <v>11</v>
      </c>
      <c r="D12" s="33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3" t="s">
        <v>81</v>
      </c>
      <c r="C13" s="10">
        <v>12</v>
      </c>
      <c r="D13" s="33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</vt:lpstr>
      <vt:lpstr>ALL DATA</vt:lpstr>
      <vt:lpstr>Zones (3)</vt:lpstr>
      <vt:lpstr>Zone analysis</vt:lpstr>
      <vt:lpstr>26.10 ISINGIRO-MBARARA</vt:lpstr>
      <vt:lpstr>26.10 MBARARA-ISINGIRO</vt:lpstr>
      <vt:lpstr>28.10 MBARARA-ISINGIRO</vt:lpstr>
      <vt:lpstr>RSI FORM</vt:lpstr>
      <vt:lpstr>28.10 ISINGIRO-MBARARA</vt:lpstr>
      <vt:lpstr>Key</vt:lpstr>
      <vt:lpstr>Dist</vt:lpstr>
      <vt:lpstr>Jtime</vt:lpstr>
      <vt:lpstr>Pay</vt:lpstr>
      <vt:lpstr>Tripfreq</vt:lpstr>
      <vt:lpstr>Veh</vt:lpstr>
      <vt:lpstr>'26.10 ISINGIRO-MBARARA'!Veh_Type</vt:lpstr>
      <vt:lpstr>'28.10 ISINGIRO-MBARARA'!Veh_Type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2020-04-10T00:21:44Z</dcterms:modified>
</cp:coreProperties>
</file>