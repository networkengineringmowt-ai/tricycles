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4 Analysis Complete\STN133-MIRAMA HILLS BP\MCC\"/>
    </mc:Choice>
  </mc:AlternateContent>
  <xr:revisionPtr revIDLastSave="0" documentId="13_ncr:1_{A2792D07-82D1-4D39-998B-CCD980805A61}" xr6:coauthVersionLast="45" xr6:coauthVersionMax="45" xr10:uidLastSave="{00000000-0000-0000-0000-000000000000}"/>
  <bookViews>
    <workbookView xWindow="-120" yWindow="-120" windowWidth="20730" windowHeight="11160" tabRatio="940" firstSheet="3" activeTab="6" xr2:uid="{00000000-000D-0000-FFFF-FFFF00000000}"/>
  </bookViews>
  <sheets>
    <sheet name="25.10 NTUNGAMO- MIRAMA -24h" sheetId="101" r:id="rId1"/>
    <sheet name="25.10 MIRAMA-NTUNGAMO-24h" sheetId="109" r:id="rId2"/>
    <sheet name="26.10 NTUNGAMO-MIRAMA HILL" sheetId="93" r:id="rId3"/>
    <sheet name="26.10 MIRAMA HILL-NTUNGAMO" sheetId="94" r:id="rId4"/>
    <sheet name="Avg Week Ntungamo-Mirama" sheetId="107" r:id="rId5"/>
    <sheet name="Avg Week Mirama-Ntungamo" sheetId="108" r:id="rId6"/>
    <sheet name="Avg Week Marima-Ntungamo-2Dir" sheetId="111" r:id="rId7"/>
  </sheets>
  <definedNames>
    <definedName name="_xlnm.Print_Area" localSheetId="1">'25.10 MIRAMA-NTUNGAMO-24h'!$A$1:$AF$108</definedName>
    <definedName name="_xlnm.Print_Area" localSheetId="0">'25.10 NTUNGAMO- MIRAMA -24h'!$A$1:$AF$108</definedName>
    <definedName name="_xlnm.Print_Area" localSheetId="3">'26.10 MIRAMA HILL-NTUNGAMO'!$A$1:$AF$60</definedName>
    <definedName name="_xlnm.Print_Area" localSheetId="2">'26.10 NTUNGAMO-MIRAMA HILL'!$A$1:$AF$60</definedName>
    <definedName name="_xlnm.Print_Area" localSheetId="6">'Avg Week Marima-Ntungamo-2Dir'!$A$1:$AF$108</definedName>
    <definedName name="_xlnm.Print_Area" localSheetId="5">'Avg Week Mirama-Ntungamo'!$A$1:$AF$108</definedName>
    <definedName name="_xlnm.Print_Area" localSheetId="4">'Avg Week Ntungamo-Mirama'!$A$1:$AF$108</definedName>
    <definedName name="_xlnm.Print_Titles" localSheetId="1">'25.10 MIRAMA-NTUNGAMO-24h'!$1:$8</definedName>
    <definedName name="_xlnm.Print_Titles" localSheetId="0">'25.10 NTUNGAMO- MIRAMA -24h'!$1:$8</definedName>
    <definedName name="_xlnm.Print_Titles" localSheetId="3">'26.10 MIRAMA HILL-NTUNGAMO'!$1:$8</definedName>
    <definedName name="_xlnm.Print_Titles" localSheetId="2">'26.10 NTUNGAMO-MIRAMA HILL'!$1:$8</definedName>
    <definedName name="_xlnm.Print_Titles" localSheetId="6">'Avg Week Marima-Ntungamo-2Dir'!$1:$8</definedName>
    <definedName name="_xlnm.Print_Titles" localSheetId="5">'Avg Week Mirama-Ntungamo'!$1:$8</definedName>
    <definedName name="_xlnm.Print_Titles" localSheetId="4">'Avg Week Ntungamo-Mirama'!$1:$8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9" i="111" l="1"/>
  <c r="D59" i="111"/>
  <c r="E59" i="111"/>
  <c r="F59" i="111"/>
  <c r="G59" i="111"/>
  <c r="H59" i="111"/>
  <c r="I59" i="111"/>
  <c r="J59" i="111"/>
  <c r="K59" i="111"/>
  <c r="L59" i="111"/>
  <c r="M59" i="111"/>
  <c r="N59" i="11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F62" i="111"/>
  <c r="G62" i="111"/>
  <c r="H62" i="111"/>
  <c r="I62" i="111"/>
  <c r="J62" i="111"/>
  <c r="K62" i="111"/>
  <c r="L62" i="111"/>
  <c r="M62" i="111"/>
  <c r="N62" i="11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G66" i="111"/>
  <c r="H66" i="111"/>
  <c r="I66" i="111"/>
  <c r="J66" i="111"/>
  <c r="K66" i="111"/>
  <c r="L66" i="111"/>
  <c r="M66" i="111"/>
  <c r="N66" i="11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G70" i="111"/>
  <c r="H70" i="111"/>
  <c r="I70" i="111"/>
  <c r="J70" i="111"/>
  <c r="K70" i="111"/>
  <c r="L70" i="111"/>
  <c r="M70" i="111"/>
  <c r="N70" i="11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J74" i="111"/>
  <c r="K74" i="111"/>
  <c r="L74" i="111"/>
  <c r="M74" i="111"/>
  <c r="N74" i="11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G78" i="111"/>
  <c r="H78" i="111"/>
  <c r="I78" i="111"/>
  <c r="J78" i="111"/>
  <c r="K78" i="111"/>
  <c r="L78" i="111"/>
  <c r="M78" i="111"/>
  <c r="N78" i="11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G82" i="111"/>
  <c r="H82" i="111"/>
  <c r="I82" i="111"/>
  <c r="J82" i="111"/>
  <c r="K82" i="111"/>
  <c r="L82" i="111"/>
  <c r="M82" i="11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G86" i="111"/>
  <c r="H86" i="111"/>
  <c r="I86" i="111"/>
  <c r="J86" i="111"/>
  <c r="K86" i="111"/>
  <c r="L86" i="111"/>
  <c r="M86" i="111"/>
  <c r="N86" i="11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F90" i="111"/>
  <c r="G90" i="111"/>
  <c r="H90" i="111"/>
  <c r="I90" i="111"/>
  <c r="J90" i="111"/>
  <c r="K90" i="111"/>
  <c r="L90" i="111"/>
  <c r="M90" i="111"/>
  <c r="N90" i="11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G94" i="111"/>
  <c r="H94" i="111"/>
  <c r="I94" i="111"/>
  <c r="J94" i="111"/>
  <c r="K94" i="111"/>
  <c r="L94" i="111"/>
  <c r="M94" i="111"/>
  <c r="N94" i="11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F98" i="111"/>
  <c r="G98" i="111"/>
  <c r="H98" i="111"/>
  <c r="I98" i="111"/>
  <c r="J98" i="111"/>
  <c r="K98" i="111"/>
  <c r="L98" i="111"/>
  <c r="M98" i="111"/>
  <c r="N98" i="11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F58" i="111"/>
  <c r="G58" i="111"/>
  <c r="H58" i="111"/>
  <c r="I58" i="111"/>
  <c r="J58" i="111"/>
  <c r="K58" i="111"/>
  <c r="L58" i="111"/>
  <c r="M58" i="111"/>
  <c r="N58" i="111"/>
  <c r="C58" i="111"/>
  <c r="O65" i="107" l="1"/>
  <c r="O73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U22" i="107" s="1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Z22" i="107" s="1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T23" i="107" s="1"/>
  <c r="E63" i="107"/>
  <c r="F63" i="107"/>
  <c r="G63" i="107"/>
  <c r="H63" i="107"/>
  <c r="I63" i="107"/>
  <c r="J63" i="107"/>
  <c r="K63" i="107"/>
  <c r="L63" i="107"/>
  <c r="AB23" i="107" s="1"/>
  <c r="M63" i="107"/>
  <c r="N63" i="107"/>
  <c r="D64" i="107"/>
  <c r="E64" i="107"/>
  <c r="F64" i="107"/>
  <c r="G64" i="107"/>
  <c r="H64" i="107"/>
  <c r="I64" i="107"/>
  <c r="Y23" i="107" s="1"/>
  <c r="J64" i="107"/>
  <c r="K64" i="107"/>
  <c r="L64" i="107"/>
  <c r="M64" i="107"/>
  <c r="N64" i="107"/>
  <c r="D65" i="107"/>
  <c r="E65" i="107"/>
  <c r="F65" i="107"/>
  <c r="V23" i="107" s="1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AA24" i="107" s="1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U24" i="107" s="1"/>
  <c r="F68" i="107"/>
  <c r="G68" i="107"/>
  <c r="H68" i="107"/>
  <c r="I68" i="107"/>
  <c r="J68" i="107"/>
  <c r="K68" i="107"/>
  <c r="L68" i="107"/>
  <c r="M68" i="107"/>
  <c r="AC24" i="107" s="1"/>
  <c r="N68" i="107"/>
  <c r="D69" i="107"/>
  <c r="E69" i="107"/>
  <c r="F69" i="107"/>
  <c r="G69" i="107"/>
  <c r="H69" i="107"/>
  <c r="I69" i="107"/>
  <c r="J69" i="107"/>
  <c r="Z24" i="107" s="1"/>
  <c r="K69" i="107"/>
  <c r="L69" i="107"/>
  <c r="M69" i="107"/>
  <c r="N69" i="107"/>
  <c r="D70" i="107"/>
  <c r="E70" i="107"/>
  <c r="F70" i="107"/>
  <c r="G70" i="107"/>
  <c r="W25" i="107" s="1"/>
  <c r="H70" i="107"/>
  <c r="I70" i="107"/>
  <c r="J70" i="107"/>
  <c r="K70" i="107"/>
  <c r="L70" i="107"/>
  <c r="M70" i="107"/>
  <c r="N70" i="107"/>
  <c r="D71" i="107"/>
  <c r="T25" i="107" s="1"/>
  <c r="E71" i="107"/>
  <c r="F71" i="107"/>
  <c r="G71" i="107"/>
  <c r="H71" i="107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Y25" i="107" s="1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K73" i="107"/>
  <c r="L73" i="107"/>
  <c r="M73" i="107"/>
  <c r="N73" i="107"/>
  <c r="AD25" i="107" s="1"/>
  <c r="D74" i="107"/>
  <c r="E74" i="107"/>
  <c r="F74" i="107"/>
  <c r="G74" i="107"/>
  <c r="H74" i="107"/>
  <c r="I74" i="107"/>
  <c r="J74" i="107"/>
  <c r="K74" i="107"/>
  <c r="AA26" i="107" s="1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U26" i="107" s="1"/>
  <c r="F76" i="107"/>
  <c r="G76" i="107"/>
  <c r="H76" i="107"/>
  <c r="I76" i="107"/>
  <c r="J76" i="107"/>
  <c r="K76" i="107"/>
  <c r="L76" i="107"/>
  <c r="M76" i="107"/>
  <c r="AC26" i="107" s="1"/>
  <c r="N76" i="107"/>
  <c r="D77" i="107"/>
  <c r="E77" i="107"/>
  <c r="F77" i="107"/>
  <c r="G77" i="107"/>
  <c r="H77" i="107"/>
  <c r="I77" i="107"/>
  <c r="J77" i="107"/>
  <c r="Z26" i="107" s="1"/>
  <c r="K77" i="107"/>
  <c r="L77" i="107"/>
  <c r="M77" i="107"/>
  <c r="N77" i="107"/>
  <c r="D78" i="107"/>
  <c r="E78" i="107"/>
  <c r="F78" i="107"/>
  <c r="G78" i="107"/>
  <c r="W27" i="107" s="1"/>
  <c r="H78" i="107"/>
  <c r="I78" i="107"/>
  <c r="J78" i="107"/>
  <c r="K78" i="107"/>
  <c r="L78" i="107"/>
  <c r="M78" i="107"/>
  <c r="N78" i="107"/>
  <c r="D79" i="107"/>
  <c r="T27" i="107" s="1"/>
  <c r="E79" i="107"/>
  <c r="F79" i="107"/>
  <c r="G79" i="107"/>
  <c r="H79" i="107"/>
  <c r="I79" i="107"/>
  <c r="J79" i="107"/>
  <c r="K79" i="107"/>
  <c r="L79" i="107"/>
  <c r="AB27" i="107" s="1"/>
  <c r="M79" i="107"/>
  <c r="N79" i="107"/>
  <c r="D80" i="107"/>
  <c r="E80" i="107"/>
  <c r="F80" i="107"/>
  <c r="G80" i="107"/>
  <c r="H80" i="107"/>
  <c r="I80" i="107"/>
  <c r="Y27" i="107" s="1"/>
  <c r="J80" i="107"/>
  <c r="K80" i="107"/>
  <c r="L80" i="107"/>
  <c r="M80" i="107"/>
  <c r="N80" i="107"/>
  <c r="D81" i="107"/>
  <c r="E81" i="107"/>
  <c r="F81" i="107"/>
  <c r="V27" i="107" s="1"/>
  <c r="G81" i="107"/>
  <c r="H81" i="107"/>
  <c r="I81" i="107"/>
  <c r="J81" i="107"/>
  <c r="K81" i="107"/>
  <c r="L81" i="107"/>
  <c r="M81" i="107"/>
  <c r="N81" i="107"/>
  <c r="AD27" i="107" s="1"/>
  <c r="D82" i="107"/>
  <c r="E82" i="107"/>
  <c r="F82" i="107"/>
  <c r="G82" i="107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X28" i="107" s="1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AC28" i="107" s="1"/>
  <c r="N84" i="107"/>
  <c r="D85" i="107"/>
  <c r="E85" i="107"/>
  <c r="F85" i="107"/>
  <c r="G85" i="107"/>
  <c r="H85" i="107"/>
  <c r="I85" i="107"/>
  <c r="J85" i="107"/>
  <c r="Z28" i="107" s="1"/>
  <c r="K85" i="107"/>
  <c r="L85" i="107"/>
  <c r="M85" i="107"/>
  <c r="N85" i="107"/>
  <c r="D86" i="107"/>
  <c r="E86" i="107"/>
  <c r="F86" i="107"/>
  <c r="G86" i="107"/>
  <c r="W29" i="107" s="1"/>
  <c r="H86" i="107"/>
  <c r="I86" i="107"/>
  <c r="J86" i="107"/>
  <c r="K86" i="107"/>
  <c r="L86" i="107"/>
  <c r="M86" i="107"/>
  <c r="N86" i="107"/>
  <c r="D87" i="107"/>
  <c r="T29" i="107" s="1"/>
  <c r="E87" i="107"/>
  <c r="F87" i="107"/>
  <c r="G87" i="107"/>
  <c r="H87" i="107"/>
  <c r="I87" i="107"/>
  <c r="J87" i="107"/>
  <c r="K87" i="107"/>
  <c r="L87" i="107"/>
  <c r="AB29" i="107" s="1"/>
  <c r="M87" i="107"/>
  <c r="N87" i="107"/>
  <c r="D88" i="107"/>
  <c r="E88" i="107"/>
  <c r="F88" i="107"/>
  <c r="G88" i="107"/>
  <c r="H88" i="107"/>
  <c r="I88" i="107"/>
  <c r="Y29" i="107" s="1"/>
  <c r="J88" i="107"/>
  <c r="K88" i="107"/>
  <c r="L88" i="107"/>
  <c r="M88" i="107"/>
  <c r="N88" i="107"/>
  <c r="D89" i="107"/>
  <c r="E89" i="107"/>
  <c r="F89" i="107"/>
  <c r="V29" i="107" s="1"/>
  <c r="G89" i="107"/>
  <c r="H89" i="107"/>
  <c r="I89" i="107"/>
  <c r="J89" i="107"/>
  <c r="K89" i="107"/>
  <c r="L89" i="107"/>
  <c r="M89" i="107"/>
  <c r="N89" i="107"/>
  <c r="AD29" i="107" s="1"/>
  <c r="D90" i="107"/>
  <c r="E90" i="107"/>
  <c r="F90" i="107"/>
  <c r="G90" i="107"/>
  <c r="H90" i="107"/>
  <c r="I90" i="107"/>
  <c r="J90" i="107"/>
  <c r="K90" i="107"/>
  <c r="AA30" i="107" s="1"/>
  <c r="L90" i="107"/>
  <c r="M90" i="107"/>
  <c r="N90" i="107"/>
  <c r="D91" i="107"/>
  <c r="E91" i="107"/>
  <c r="F91" i="107"/>
  <c r="G91" i="107"/>
  <c r="H91" i="107"/>
  <c r="X30" i="107" s="1"/>
  <c r="I91" i="107"/>
  <c r="J91" i="107"/>
  <c r="K91" i="107"/>
  <c r="L91" i="107"/>
  <c r="M91" i="107"/>
  <c r="N91" i="107"/>
  <c r="D92" i="107"/>
  <c r="E92" i="107"/>
  <c r="U30" i="107" s="1"/>
  <c r="F92" i="107"/>
  <c r="G92" i="107"/>
  <c r="H92" i="107"/>
  <c r="I92" i="107"/>
  <c r="J92" i="107"/>
  <c r="K92" i="107"/>
  <c r="L92" i="107"/>
  <c r="M92" i="107"/>
  <c r="AC30" i="107" s="1"/>
  <c r="N92" i="107"/>
  <c r="D93" i="107"/>
  <c r="E93" i="107"/>
  <c r="F93" i="107"/>
  <c r="G93" i="107"/>
  <c r="H93" i="107"/>
  <c r="I93" i="107"/>
  <c r="J93" i="107"/>
  <c r="Z30" i="107" s="1"/>
  <c r="K93" i="107"/>
  <c r="L93" i="107"/>
  <c r="M93" i="107"/>
  <c r="N93" i="107"/>
  <c r="D94" i="107"/>
  <c r="E94" i="107"/>
  <c r="F94" i="107"/>
  <c r="G94" i="107"/>
  <c r="W31" i="107" s="1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Y31" i="107" s="1"/>
  <c r="J96" i="107"/>
  <c r="K96" i="107"/>
  <c r="L96" i="107"/>
  <c r="M96" i="107"/>
  <c r="N96" i="107"/>
  <c r="D97" i="107"/>
  <c r="E97" i="107"/>
  <c r="F97" i="107"/>
  <c r="V31" i="107" s="1"/>
  <c r="G97" i="107"/>
  <c r="H97" i="107"/>
  <c r="I97" i="107"/>
  <c r="J97" i="107"/>
  <c r="K97" i="107"/>
  <c r="L97" i="107"/>
  <c r="M97" i="107"/>
  <c r="N97" i="107"/>
  <c r="AD31" i="107" s="1"/>
  <c r="D98" i="107"/>
  <c r="E98" i="107"/>
  <c r="F98" i="107"/>
  <c r="G98" i="107"/>
  <c r="H98" i="107"/>
  <c r="I98" i="107"/>
  <c r="J98" i="107"/>
  <c r="K98" i="107"/>
  <c r="AA32" i="107" s="1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U32" i="107" s="1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Z32" i="107" s="1"/>
  <c r="K101" i="107"/>
  <c r="L101" i="107"/>
  <c r="M101" i="107"/>
  <c r="N101" i="107"/>
  <c r="D102" i="107"/>
  <c r="E102" i="107"/>
  <c r="U33" i="107" s="1"/>
  <c r="F102" i="107"/>
  <c r="G102" i="107"/>
  <c r="H102" i="107"/>
  <c r="I102" i="107"/>
  <c r="J102" i="107"/>
  <c r="K102" i="107"/>
  <c r="L102" i="107"/>
  <c r="M102" i="107"/>
  <c r="N102" i="107"/>
  <c r="D103" i="107"/>
  <c r="T33" i="107" s="1"/>
  <c r="E103" i="107"/>
  <c r="F103" i="107"/>
  <c r="G103" i="107"/>
  <c r="H103" i="107"/>
  <c r="I103" i="107"/>
  <c r="J103" i="107"/>
  <c r="Z33" i="107" s="1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AD33" i="107" s="1"/>
  <c r="C59" i="107"/>
  <c r="P59" i="107" s="1"/>
  <c r="C60" i="107"/>
  <c r="C61" i="107"/>
  <c r="P61" i="107" s="1"/>
  <c r="C62" i="107"/>
  <c r="P62" i="107" s="1"/>
  <c r="C63" i="107"/>
  <c r="C64" i="107"/>
  <c r="C65" i="107"/>
  <c r="C66" i="107"/>
  <c r="C67" i="107"/>
  <c r="C68" i="107"/>
  <c r="C69" i="107"/>
  <c r="P69" i="107" s="1"/>
  <c r="C70" i="107"/>
  <c r="P70" i="107" s="1"/>
  <c r="C71" i="107"/>
  <c r="C72" i="107"/>
  <c r="C73" i="107"/>
  <c r="C74" i="107"/>
  <c r="C75" i="107"/>
  <c r="C76" i="107"/>
  <c r="C77" i="107"/>
  <c r="P77" i="107" s="1"/>
  <c r="C78" i="107"/>
  <c r="P78" i="107" s="1"/>
  <c r="C79" i="107"/>
  <c r="C80" i="107"/>
  <c r="C81" i="107"/>
  <c r="C82" i="107"/>
  <c r="C83" i="107"/>
  <c r="C84" i="107"/>
  <c r="C85" i="107"/>
  <c r="P85" i="107" s="1"/>
  <c r="C86" i="107"/>
  <c r="P86" i="107" s="1"/>
  <c r="C87" i="107"/>
  <c r="C88" i="107"/>
  <c r="C89" i="107"/>
  <c r="C90" i="107"/>
  <c r="C91" i="107"/>
  <c r="C92" i="107"/>
  <c r="C93" i="107"/>
  <c r="P93" i="107" s="1"/>
  <c r="C94" i="107"/>
  <c r="P94" i="107" s="1"/>
  <c r="C95" i="107"/>
  <c r="C96" i="107"/>
  <c r="C97" i="107"/>
  <c r="C98" i="107"/>
  <c r="C99" i="107"/>
  <c r="C100" i="107"/>
  <c r="C101" i="107"/>
  <c r="C102" i="107"/>
  <c r="P102" i="107" s="1"/>
  <c r="C103" i="107"/>
  <c r="C104" i="107"/>
  <c r="C105" i="107"/>
  <c r="C58" i="107"/>
  <c r="D58" i="108"/>
  <c r="E58" i="108"/>
  <c r="F58" i="108"/>
  <c r="G58" i="108"/>
  <c r="H58" i="108"/>
  <c r="I58" i="108"/>
  <c r="J58" i="108"/>
  <c r="K58" i="108"/>
  <c r="AA22" i="108" s="1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L62" i="108"/>
  <c r="M62" i="108"/>
  <c r="N62" i="108"/>
  <c r="D63" i="108"/>
  <c r="T23" i="108" s="1"/>
  <c r="E63" i="108"/>
  <c r="F63" i="108"/>
  <c r="G63" i="108"/>
  <c r="H63" i="108"/>
  <c r="I63" i="108"/>
  <c r="J63" i="108"/>
  <c r="K63" i="108"/>
  <c r="L63" i="108"/>
  <c r="AB23" i="108" s="1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X24" i="108" s="1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AC24" i="108" s="1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T25" i="108" s="1"/>
  <c r="E71" i="108"/>
  <c r="F71" i="108"/>
  <c r="G71" i="108"/>
  <c r="H71" i="108"/>
  <c r="I71" i="108"/>
  <c r="J71" i="108"/>
  <c r="K71" i="108"/>
  <c r="L71" i="108"/>
  <c r="AB25" i="108" s="1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X25" i="108" s="1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X26" i="108" s="1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T26" i="108" s="1"/>
  <c r="E77" i="108"/>
  <c r="F77" i="108"/>
  <c r="G77" i="108"/>
  <c r="H77" i="108"/>
  <c r="I77" i="108"/>
  <c r="J77" i="108"/>
  <c r="K77" i="108"/>
  <c r="L77" i="108"/>
  <c r="AB26" i="108" s="1"/>
  <c r="M77" i="108"/>
  <c r="N77" i="108"/>
  <c r="D78" i="108"/>
  <c r="E78" i="108"/>
  <c r="F78" i="108"/>
  <c r="G78" i="108"/>
  <c r="W27" i="108" s="1"/>
  <c r="H78" i="108"/>
  <c r="I78" i="108"/>
  <c r="J78" i="108"/>
  <c r="K78" i="108"/>
  <c r="L78" i="108"/>
  <c r="M78" i="108"/>
  <c r="N78" i="108"/>
  <c r="D79" i="108"/>
  <c r="T27" i="108" s="1"/>
  <c r="E79" i="108"/>
  <c r="F79" i="108"/>
  <c r="G79" i="108"/>
  <c r="H79" i="108"/>
  <c r="I79" i="108"/>
  <c r="J79" i="108"/>
  <c r="K79" i="108"/>
  <c r="L79" i="108"/>
  <c r="AB27" i="108" s="1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X27" i="108" s="1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X28" i="108" s="1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W29" i="108" s="1"/>
  <c r="H86" i="108"/>
  <c r="I86" i="108"/>
  <c r="J86" i="108"/>
  <c r="K86" i="108"/>
  <c r="L86" i="108"/>
  <c r="M86" i="108"/>
  <c r="N86" i="108"/>
  <c r="D87" i="108"/>
  <c r="T29" i="108" s="1"/>
  <c r="E87" i="108"/>
  <c r="F87" i="108"/>
  <c r="G87" i="108"/>
  <c r="H87" i="108"/>
  <c r="I87" i="108"/>
  <c r="J87" i="108"/>
  <c r="K87" i="108"/>
  <c r="L87" i="108"/>
  <c r="AB29" i="108" s="1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P89" i="108" s="1"/>
  <c r="G89" i="108"/>
  <c r="H89" i="108"/>
  <c r="X29" i="108" s="1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X30" i="108" s="1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T30" i="108" s="1"/>
  <c r="E93" i="108"/>
  <c r="F93" i="108"/>
  <c r="G93" i="108"/>
  <c r="H93" i="108"/>
  <c r="I93" i="108"/>
  <c r="J93" i="108"/>
  <c r="K93" i="108"/>
  <c r="L93" i="108"/>
  <c r="AB30" i="108" s="1"/>
  <c r="M93" i="108"/>
  <c r="N93" i="108"/>
  <c r="D94" i="108"/>
  <c r="E94" i="108"/>
  <c r="F94" i="108"/>
  <c r="G94" i="108"/>
  <c r="W31" i="108" s="1"/>
  <c r="H94" i="108"/>
  <c r="I94" i="108"/>
  <c r="J94" i="108"/>
  <c r="K94" i="108"/>
  <c r="L94" i="108"/>
  <c r="M94" i="108"/>
  <c r="N94" i="108"/>
  <c r="D95" i="108"/>
  <c r="T31" i="108" s="1"/>
  <c r="E95" i="108"/>
  <c r="F95" i="108"/>
  <c r="G95" i="108"/>
  <c r="H95" i="108"/>
  <c r="I95" i="108"/>
  <c r="J95" i="108"/>
  <c r="K95" i="108"/>
  <c r="L95" i="108"/>
  <c r="AB31" i="108" s="1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P97" i="108" s="1"/>
  <c r="G97" i="108"/>
  <c r="H97" i="108"/>
  <c r="X31" i="108" s="1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AA32" i="108" s="1"/>
  <c r="L98" i="108"/>
  <c r="M98" i="108"/>
  <c r="N98" i="108"/>
  <c r="D99" i="108"/>
  <c r="E99" i="108"/>
  <c r="F99" i="108"/>
  <c r="G99" i="108"/>
  <c r="H99" i="108"/>
  <c r="X32" i="108" s="1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AC32" i="108" s="1"/>
  <c r="N100" i="108"/>
  <c r="D101" i="108"/>
  <c r="T32" i="108" s="1"/>
  <c r="E101" i="108"/>
  <c r="F101" i="108"/>
  <c r="G101" i="108"/>
  <c r="H101" i="108"/>
  <c r="I101" i="108"/>
  <c r="J101" i="108"/>
  <c r="K101" i="108"/>
  <c r="L101" i="108"/>
  <c r="AB32" i="108" s="1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L102" i="108"/>
  <c r="M102" i="108"/>
  <c r="N102" i="108"/>
  <c r="D103" i="108"/>
  <c r="T33" i="108" s="1"/>
  <c r="E103" i="108"/>
  <c r="F103" i="108"/>
  <c r="G103" i="108"/>
  <c r="H103" i="108"/>
  <c r="I103" i="108"/>
  <c r="J103" i="108"/>
  <c r="K103" i="108"/>
  <c r="L103" i="108"/>
  <c r="AB33" i="108" s="1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O105" i="108" s="1"/>
  <c r="G105" i="108"/>
  <c r="H105" i="108"/>
  <c r="X33" i="108" s="1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S30" i="108" s="1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Q106" i="107"/>
  <c r="Q106" i="108"/>
  <c r="Q106" i="111"/>
  <c r="S33" i="107"/>
  <c r="AB32" i="107"/>
  <c r="W32" i="107"/>
  <c r="T32" i="107"/>
  <c r="AB31" i="107"/>
  <c r="AA31" i="107"/>
  <c r="Z31" i="107"/>
  <c r="T31" i="107"/>
  <c r="S31" i="107"/>
  <c r="W30" i="107"/>
  <c r="AC29" i="107"/>
  <c r="AA29" i="107"/>
  <c r="X29" i="107"/>
  <c r="U29" i="107"/>
  <c r="S29" i="107"/>
  <c r="W28" i="107"/>
  <c r="U28" i="107"/>
  <c r="T28" i="107"/>
  <c r="AA27" i="107"/>
  <c r="Z27" i="107"/>
  <c r="X27" i="107"/>
  <c r="S27" i="107"/>
  <c r="AD26" i="107"/>
  <c r="AB26" i="107"/>
  <c r="X26" i="107"/>
  <c r="W26" i="107"/>
  <c r="V26" i="107"/>
  <c r="T26" i="107"/>
  <c r="AC25" i="107"/>
  <c r="AA25" i="107"/>
  <c r="X25" i="107"/>
  <c r="U25" i="107"/>
  <c r="S25" i="107"/>
  <c r="AB24" i="107"/>
  <c r="Y24" i="107"/>
  <c r="W24" i="107"/>
  <c r="T24" i="107"/>
  <c r="AD23" i="107"/>
  <c r="AC23" i="107"/>
  <c r="AA23" i="107"/>
  <c r="X23" i="107"/>
  <c r="U23" i="107"/>
  <c r="S23" i="107"/>
  <c r="AD22" i="107"/>
  <c r="AB22" i="107"/>
  <c r="AA22" i="107"/>
  <c r="W22" i="107"/>
  <c r="V22" i="107"/>
  <c r="T22" i="107"/>
  <c r="AC33" i="108"/>
  <c r="Z33" i="108"/>
  <c r="U33" i="108"/>
  <c r="S33" i="108"/>
  <c r="AD32" i="108"/>
  <c r="Y32" i="108"/>
  <c r="V32" i="108"/>
  <c r="AC31" i="108"/>
  <c r="Z31" i="108"/>
  <c r="U31" i="108"/>
  <c r="AD30" i="108"/>
  <c r="Y30" i="108"/>
  <c r="V30" i="108"/>
  <c r="AD29" i="108"/>
  <c r="AC29" i="108"/>
  <c r="Z29" i="108"/>
  <c r="U29" i="108"/>
  <c r="S29" i="108"/>
  <c r="AD28" i="108"/>
  <c r="AB28" i="108"/>
  <c r="Y28" i="108"/>
  <c r="V28" i="108"/>
  <c r="T28" i="108"/>
  <c r="AC27" i="108"/>
  <c r="AA27" i="108"/>
  <c r="Z27" i="108"/>
  <c r="U27" i="108"/>
  <c r="AD26" i="108"/>
  <c r="Y26" i="108"/>
  <c r="W26" i="108"/>
  <c r="V26" i="108"/>
  <c r="AC25" i="108"/>
  <c r="Z25" i="108"/>
  <c r="W25" i="108"/>
  <c r="U25" i="108"/>
  <c r="S25" i="108"/>
  <c r="AD24" i="108"/>
  <c r="Y24" i="108"/>
  <c r="V24" i="108"/>
  <c r="U24" i="108"/>
  <c r="AC23" i="108"/>
  <c r="Z23" i="108"/>
  <c r="X23" i="108"/>
  <c r="U23" i="108"/>
  <c r="AD22" i="108"/>
  <c r="Y22" i="108"/>
  <c r="V22" i="108"/>
  <c r="S28" i="108" l="1"/>
  <c r="P82" i="108"/>
  <c r="O82" i="108"/>
  <c r="O81" i="108"/>
  <c r="P73" i="108"/>
  <c r="O65" i="108"/>
  <c r="P65" i="108"/>
  <c r="X22" i="108"/>
  <c r="P58" i="108"/>
  <c r="O58" i="108"/>
  <c r="P74" i="108"/>
  <c r="O74" i="108"/>
  <c r="S26" i="108"/>
  <c r="O97" i="108"/>
  <c r="S32" i="108"/>
  <c r="P98" i="108"/>
  <c r="O98" i="108"/>
  <c r="S24" i="108"/>
  <c r="P66" i="108"/>
  <c r="O66" i="108"/>
  <c r="O73" i="108"/>
  <c r="P101" i="107"/>
  <c r="S22" i="108"/>
  <c r="P103" i="108"/>
  <c r="O103" i="108"/>
  <c r="P95" i="108"/>
  <c r="O95" i="108"/>
  <c r="S31" i="108"/>
  <c r="P87" i="108"/>
  <c r="O87" i="108"/>
  <c r="AE29" i="108" s="1"/>
  <c r="P79" i="108"/>
  <c r="O79" i="108"/>
  <c r="S27" i="108"/>
  <c r="P71" i="108"/>
  <c r="O71" i="108"/>
  <c r="P63" i="108"/>
  <c r="O63" i="108"/>
  <c r="S23" i="108"/>
  <c r="U32" i="108"/>
  <c r="V29" i="108"/>
  <c r="Y27" i="108"/>
  <c r="P102" i="108"/>
  <c r="P94" i="108"/>
  <c r="P86" i="108"/>
  <c r="P78" i="108"/>
  <c r="P70" i="108"/>
  <c r="P62" i="108"/>
  <c r="P81" i="108"/>
  <c r="P105" i="108"/>
  <c r="P58" i="107"/>
  <c r="O58" i="107"/>
  <c r="S22" i="107"/>
  <c r="S32" i="107"/>
  <c r="P98" i="107"/>
  <c r="O98" i="107"/>
  <c r="S32" i="111"/>
  <c r="P90" i="107"/>
  <c r="O90" i="107"/>
  <c r="P82" i="107"/>
  <c r="O82" i="107"/>
  <c r="S26" i="107"/>
  <c r="P74" i="107"/>
  <c r="O74" i="107"/>
  <c r="S24" i="107"/>
  <c r="P66" i="107"/>
  <c r="O66" i="107"/>
  <c r="V33" i="107"/>
  <c r="O105" i="107"/>
  <c r="P105" i="107"/>
  <c r="Y33" i="107"/>
  <c r="W33" i="107"/>
  <c r="P90" i="108"/>
  <c r="O90" i="108"/>
  <c r="O89" i="108"/>
  <c r="P104" i="108"/>
  <c r="P96" i="108"/>
  <c r="P88" i="108"/>
  <c r="P80" i="108"/>
  <c r="P72" i="108"/>
  <c r="P64" i="108"/>
  <c r="P100" i="107"/>
  <c r="P92" i="107"/>
  <c r="P84" i="107"/>
  <c r="P76" i="107"/>
  <c r="P68" i="107"/>
  <c r="P60" i="107"/>
  <c r="P99" i="107"/>
  <c r="P91" i="107"/>
  <c r="P83" i="107"/>
  <c r="P75" i="107"/>
  <c r="P67" i="107"/>
  <c r="P97" i="107"/>
  <c r="AC32" i="107"/>
  <c r="P89" i="107"/>
  <c r="P101" i="108"/>
  <c r="P93" i="108"/>
  <c r="P85" i="108"/>
  <c r="P77" i="108"/>
  <c r="P69" i="108"/>
  <c r="P61" i="108"/>
  <c r="O97" i="107"/>
  <c r="P81" i="107"/>
  <c r="P100" i="108"/>
  <c r="O100" i="108"/>
  <c r="P92" i="108"/>
  <c r="O92" i="108"/>
  <c r="P84" i="108"/>
  <c r="O84" i="108"/>
  <c r="P76" i="108"/>
  <c r="O76" i="108"/>
  <c r="P68" i="108"/>
  <c r="O68" i="108"/>
  <c r="P60" i="108"/>
  <c r="O60" i="108"/>
  <c r="P104" i="107"/>
  <c r="P96" i="107"/>
  <c r="P88" i="107"/>
  <c r="P80" i="107"/>
  <c r="P72" i="107"/>
  <c r="P64" i="107"/>
  <c r="O89" i="107"/>
  <c r="P73" i="107"/>
  <c r="P99" i="108"/>
  <c r="P91" i="108"/>
  <c r="P83" i="108"/>
  <c r="P75" i="108"/>
  <c r="P67" i="108"/>
  <c r="P59" i="108"/>
  <c r="P103" i="107"/>
  <c r="P95" i="107"/>
  <c r="AF31" i="107" s="1"/>
  <c r="P87" i="107"/>
  <c r="AF29" i="107" s="1"/>
  <c r="P79" i="107"/>
  <c r="AF27" i="107" s="1"/>
  <c r="P71" i="107"/>
  <c r="AF25" i="107" s="1"/>
  <c r="P63" i="107"/>
  <c r="AF23" i="107" s="1"/>
  <c r="O81" i="107"/>
  <c r="P65" i="107"/>
  <c r="O104" i="108"/>
  <c r="O96" i="108"/>
  <c r="O88" i="108"/>
  <c r="O80" i="108"/>
  <c r="O72" i="108"/>
  <c r="O64" i="108"/>
  <c r="O104" i="107"/>
  <c r="AE33" i="107" s="1"/>
  <c r="O96" i="107"/>
  <c r="O88" i="107"/>
  <c r="O80" i="107"/>
  <c r="O72" i="107"/>
  <c r="O64" i="107"/>
  <c r="AE23" i="107" s="1"/>
  <c r="AD32" i="107"/>
  <c r="V32" i="107"/>
  <c r="Y32" i="107"/>
  <c r="AC31" i="107"/>
  <c r="U31" i="107"/>
  <c r="AD30" i="107"/>
  <c r="V30" i="107"/>
  <c r="Y30" i="107"/>
  <c r="Z29" i="107"/>
  <c r="AD28" i="107"/>
  <c r="V28" i="107"/>
  <c r="Y28" i="107"/>
  <c r="AC27" i="107"/>
  <c r="U27" i="107"/>
  <c r="Y26" i="107"/>
  <c r="Z25" i="107"/>
  <c r="X24" i="107"/>
  <c r="AD24" i="107"/>
  <c r="V24" i="107"/>
  <c r="Z23" i="107"/>
  <c r="O103" i="107"/>
  <c r="O95" i="107"/>
  <c r="O87" i="107"/>
  <c r="O79" i="107"/>
  <c r="O71" i="107"/>
  <c r="O63" i="107"/>
  <c r="O102" i="108"/>
  <c r="O94" i="108"/>
  <c r="O86" i="108"/>
  <c r="O78" i="108"/>
  <c r="O70" i="108"/>
  <c r="O62" i="108"/>
  <c r="AE23" i="108" s="1"/>
  <c r="AA33" i="107"/>
  <c r="O102" i="107"/>
  <c r="O94" i="107"/>
  <c r="O86" i="107"/>
  <c r="O78" i="107"/>
  <c r="O70" i="107"/>
  <c r="O62" i="107"/>
  <c r="O101" i="108"/>
  <c r="O93" i="108"/>
  <c r="O85" i="108"/>
  <c r="O77" i="108"/>
  <c r="O69" i="108"/>
  <c r="O61" i="108"/>
  <c r="O101" i="107"/>
  <c r="O93" i="107"/>
  <c r="O85" i="107"/>
  <c r="O77" i="107"/>
  <c r="O69" i="107"/>
  <c r="O61" i="107"/>
  <c r="O100" i="107"/>
  <c r="O92" i="107"/>
  <c r="O84" i="107"/>
  <c r="O76" i="107"/>
  <c r="O68" i="107"/>
  <c r="O60" i="107"/>
  <c r="AA33" i="108"/>
  <c r="AD33" i="108"/>
  <c r="V33" i="108"/>
  <c r="Y33" i="108"/>
  <c r="W32" i="108"/>
  <c r="Z32" i="108"/>
  <c r="AA31" i="108"/>
  <c r="AD31" i="108"/>
  <c r="V31" i="108"/>
  <c r="Y31" i="108"/>
  <c r="W30" i="108"/>
  <c r="Z30" i="108"/>
  <c r="AC30" i="108"/>
  <c r="U30" i="108"/>
  <c r="AA29" i="108"/>
  <c r="W28" i="108"/>
  <c r="Z28" i="108"/>
  <c r="AC28" i="108"/>
  <c r="U28" i="108"/>
  <c r="AD27" i="108"/>
  <c r="V27" i="108"/>
  <c r="Z26" i="108"/>
  <c r="AC26" i="108"/>
  <c r="U26" i="108"/>
  <c r="AA25" i="108"/>
  <c r="AD25" i="108"/>
  <c r="V25" i="108"/>
  <c r="Y25" i="108"/>
  <c r="AB24" i="108"/>
  <c r="T24" i="108"/>
  <c r="W24" i="108"/>
  <c r="Z24" i="108"/>
  <c r="AA23" i="108"/>
  <c r="Y23" i="108"/>
  <c r="AB22" i="108"/>
  <c r="T22" i="108"/>
  <c r="W22" i="108"/>
  <c r="Z22" i="108"/>
  <c r="AC22" i="108"/>
  <c r="U22" i="108"/>
  <c r="O99" i="108"/>
  <c r="O91" i="108"/>
  <c r="O83" i="108"/>
  <c r="O75" i="108"/>
  <c r="O67" i="108"/>
  <c r="O59" i="108"/>
  <c r="O99" i="107"/>
  <c r="O91" i="107"/>
  <c r="O83" i="107"/>
  <c r="O75" i="107"/>
  <c r="O67" i="107"/>
  <c r="O59" i="107"/>
  <c r="X33" i="107"/>
  <c r="X31" i="107"/>
  <c r="AB30" i="107"/>
  <c r="T30" i="107"/>
  <c r="AB28" i="107"/>
  <c r="AC22" i="107"/>
  <c r="W23" i="107"/>
  <c r="X32" i="107"/>
  <c r="X22" i="107"/>
  <c r="Y22" i="107"/>
  <c r="AC33" i="107"/>
  <c r="S28" i="107"/>
  <c r="S30" i="107"/>
  <c r="Y29" i="108"/>
  <c r="K106" i="108"/>
  <c r="V23" i="108"/>
  <c r="AD23" i="108"/>
  <c r="S33" i="111"/>
  <c r="S30" i="111"/>
  <c r="X26" i="111"/>
  <c r="X33" i="111"/>
  <c r="Z22" i="111"/>
  <c r="AB22" i="111"/>
  <c r="AD23" i="111"/>
  <c r="AB24" i="111"/>
  <c r="U26" i="111"/>
  <c r="Z26" i="111"/>
  <c r="AD27" i="111"/>
  <c r="X27" i="111"/>
  <c r="T28" i="111"/>
  <c r="V29" i="111"/>
  <c r="AA29" i="111"/>
  <c r="Z30" i="111"/>
  <c r="P93" i="111"/>
  <c r="AC32" i="111"/>
  <c r="W32" i="111"/>
  <c r="C11" i="108"/>
  <c r="D11" i="108"/>
  <c r="E11" i="108"/>
  <c r="F11" i="108"/>
  <c r="G11" i="108"/>
  <c r="H11" i="108"/>
  <c r="I11" i="108"/>
  <c r="J11" i="108"/>
  <c r="K11" i="108"/>
  <c r="L11" i="108"/>
  <c r="M11" i="108"/>
  <c r="M106" i="108" s="1"/>
  <c r="N11" i="108"/>
  <c r="C12" i="108"/>
  <c r="D12" i="108"/>
  <c r="E12" i="108"/>
  <c r="F12" i="108"/>
  <c r="G12" i="108"/>
  <c r="H12" i="108"/>
  <c r="H106" i="108" s="1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V10" i="108" s="1"/>
  <c r="G10" i="108"/>
  <c r="H10" i="108"/>
  <c r="I10" i="108"/>
  <c r="I106" i="108" s="1"/>
  <c r="J10" i="108"/>
  <c r="Z10" i="108" s="1"/>
  <c r="K10" i="108"/>
  <c r="AA10" i="108" s="1"/>
  <c r="L10" i="108"/>
  <c r="M10" i="108"/>
  <c r="N10" i="108"/>
  <c r="AD10" i="108" s="1"/>
  <c r="C10" i="108"/>
  <c r="S10" i="108" s="1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K106" i="107" s="1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X13" i="107" s="1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X14" i="107" s="1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X18" i="107" s="1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X19" i="107" s="1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S10" i="107" s="1"/>
  <c r="Y19" i="107" l="1"/>
  <c r="Y15" i="107"/>
  <c r="Y11" i="107"/>
  <c r="Y17" i="108"/>
  <c r="X16" i="107"/>
  <c r="X12" i="107"/>
  <c r="X10" i="107"/>
  <c r="AB21" i="107"/>
  <c r="AB20" i="107"/>
  <c r="AB19" i="107"/>
  <c r="D106" i="107"/>
  <c r="T10" i="107"/>
  <c r="AA21" i="107"/>
  <c r="AA20" i="107"/>
  <c r="AA19" i="107"/>
  <c r="S18" i="107"/>
  <c r="AA17" i="107"/>
  <c r="S17" i="107"/>
  <c r="AA16" i="107"/>
  <c r="S16" i="107"/>
  <c r="J106" i="107"/>
  <c r="Z10" i="107"/>
  <c r="Y14" i="108"/>
  <c r="Y38" i="108" s="1"/>
  <c r="X20" i="107"/>
  <c r="X15" i="107"/>
  <c r="AD10" i="107"/>
  <c r="N106" i="107"/>
  <c r="U10" i="107"/>
  <c r="T21" i="107"/>
  <c r="T20" i="107"/>
  <c r="L106" i="107"/>
  <c r="AB10" i="107"/>
  <c r="S21" i="107"/>
  <c r="S20" i="107"/>
  <c r="S19" i="107"/>
  <c r="AA18" i="107"/>
  <c r="J106" i="108"/>
  <c r="Y16" i="107"/>
  <c r="X11" i="107"/>
  <c r="Y10" i="108"/>
  <c r="X21" i="108"/>
  <c r="X20" i="108"/>
  <c r="X19" i="108"/>
  <c r="X18" i="108"/>
  <c r="X17" i="108"/>
  <c r="X16" i="108"/>
  <c r="X15" i="108"/>
  <c r="X14" i="108"/>
  <c r="X13" i="108"/>
  <c r="X12" i="108"/>
  <c r="X11" i="108"/>
  <c r="Y20" i="107"/>
  <c r="Y17" i="107"/>
  <c r="Y21" i="108"/>
  <c r="Y18" i="108"/>
  <c r="Y13" i="108"/>
  <c r="Y10" i="107"/>
  <c r="I106" i="107"/>
  <c r="X39" i="107"/>
  <c r="X36" i="107"/>
  <c r="W19" i="107"/>
  <c r="W17" i="107"/>
  <c r="W16" i="107"/>
  <c r="W15" i="107"/>
  <c r="W14" i="107"/>
  <c r="W13" i="107"/>
  <c r="W12" i="107"/>
  <c r="W11" i="107"/>
  <c r="AE26" i="107"/>
  <c r="C106" i="107"/>
  <c r="Y18" i="107"/>
  <c r="Y14" i="107"/>
  <c r="W21" i="107"/>
  <c r="W20" i="107"/>
  <c r="W18" i="107"/>
  <c r="W10" i="107"/>
  <c r="G106" i="107"/>
  <c r="AD21" i="107"/>
  <c r="V21" i="107"/>
  <c r="AF26" i="107"/>
  <c r="AF29" i="108"/>
  <c r="AE32" i="108"/>
  <c r="Y21" i="107"/>
  <c r="Y12" i="107"/>
  <c r="Y19" i="108"/>
  <c r="Y15" i="108"/>
  <c r="Y11" i="108"/>
  <c r="Y41" i="108" s="1"/>
  <c r="X21" i="107"/>
  <c r="AC21" i="107"/>
  <c r="U21" i="107"/>
  <c r="AC20" i="107"/>
  <c r="AC36" i="107" s="1"/>
  <c r="U20" i="107"/>
  <c r="AC19" i="107"/>
  <c r="U19" i="107"/>
  <c r="U39" i="107" s="1"/>
  <c r="AD37" i="108"/>
  <c r="E106" i="107"/>
  <c r="Y13" i="107"/>
  <c r="Y20" i="108"/>
  <c r="Y16" i="108"/>
  <c r="Y12" i="108"/>
  <c r="X17" i="107"/>
  <c r="X38" i="107" s="1"/>
  <c r="V10" i="107"/>
  <c r="F106" i="107"/>
  <c r="AC10" i="107"/>
  <c r="M106" i="107"/>
  <c r="T19" i="107"/>
  <c r="E106" i="108"/>
  <c r="H106" i="107"/>
  <c r="X10" i="108"/>
  <c r="W21" i="108"/>
  <c r="W20" i="108"/>
  <c r="W19" i="108"/>
  <c r="W18" i="108"/>
  <c r="W17" i="108"/>
  <c r="W16" i="108"/>
  <c r="W15" i="108"/>
  <c r="W14" i="108"/>
  <c r="W13" i="108"/>
  <c r="W12" i="108"/>
  <c r="W11" i="108"/>
  <c r="Y23" i="111"/>
  <c r="P90" i="111"/>
  <c r="X30" i="111"/>
  <c r="AB27" i="111"/>
  <c r="O62" i="111"/>
  <c r="P102" i="111"/>
  <c r="P96" i="111"/>
  <c r="AE25" i="108"/>
  <c r="AE25" i="107"/>
  <c r="AE32" i="107"/>
  <c r="AF33" i="108"/>
  <c r="AF23" i="108"/>
  <c r="AF32" i="108"/>
  <c r="AD20" i="107"/>
  <c r="V20" i="107"/>
  <c r="AD19" i="107"/>
  <c r="V19" i="107"/>
  <c r="AD18" i="107"/>
  <c r="V18" i="107"/>
  <c r="AD17" i="107"/>
  <c r="V17" i="107"/>
  <c r="AD16" i="107"/>
  <c r="V16" i="107"/>
  <c r="AD15" i="107"/>
  <c r="V15" i="107"/>
  <c r="AD14" i="107"/>
  <c r="V14" i="107"/>
  <c r="AD13" i="107"/>
  <c r="V13" i="107"/>
  <c r="AD12" i="107"/>
  <c r="V12" i="107"/>
  <c r="AD11" i="107"/>
  <c r="V11" i="107"/>
  <c r="G106" i="108"/>
  <c r="W10" i="108"/>
  <c r="AD21" i="108"/>
  <c r="V21" i="108"/>
  <c r="AD20" i="108"/>
  <c r="V20" i="108"/>
  <c r="AD19" i="108"/>
  <c r="V19" i="108"/>
  <c r="AD18" i="108"/>
  <c r="V18" i="108"/>
  <c r="AD17" i="108"/>
  <c r="V17" i="108"/>
  <c r="AD16" i="108"/>
  <c r="V16" i="108"/>
  <c r="AD15" i="108"/>
  <c r="V15" i="108"/>
  <c r="AD14" i="108"/>
  <c r="V14" i="108"/>
  <c r="AD13" i="108"/>
  <c r="V13" i="108"/>
  <c r="AD12" i="108"/>
  <c r="AD41" i="108" s="1"/>
  <c r="V12" i="108"/>
  <c r="V40" i="108" s="1"/>
  <c r="AD11" i="108"/>
  <c r="V11" i="108"/>
  <c r="V37" i="108" s="1"/>
  <c r="Y33" i="111"/>
  <c r="AA31" i="111"/>
  <c r="AC30" i="111"/>
  <c r="V27" i="111"/>
  <c r="Z24" i="111"/>
  <c r="AD32" i="111"/>
  <c r="P66" i="111"/>
  <c r="AA30" i="111"/>
  <c r="X24" i="111"/>
  <c r="O84" i="111"/>
  <c r="S25" i="111"/>
  <c r="AE27" i="108"/>
  <c r="AE27" i="107"/>
  <c r="AE28" i="107"/>
  <c r="AF32" i="107"/>
  <c r="AC18" i="107"/>
  <c r="U18" i="107"/>
  <c r="AC17" i="107"/>
  <c r="U17" i="107"/>
  <c r="AC16" i="107"/>
  <c r="U16" i="107"/>
  <c r="AC15" i="107"/>
  <c r="U15" i="107"/>
  <c r="AC14" i="107"/>
  <c r="U14" i="107"/>
  <c r="AC13" i="107"/>
  <c r="U13" i="107"/>
  <c r="AC12" i="107"/>
  <c r="U12" i="107"/>
  <c r="AC11" i="107"/>
  <c r="U11" i="107"/>
  <c r="AC21" i="108"/>
  <c r="U21" i="108"/>
  <c r="AC20" i="108"/>
  <c r="AC36" i="108" s="1"/>
  <c r="U20" i="108"/>
  <c r="U36" i="108" s="1"/>
  <c r="AC19" i="108"/>
  <c r="U19" i="108"/>
  <c r="AC18" i="108"/>
  <c r="U18" i="108"/>
  <c r="AC17" i="108"/>
  <c r="U17" i="108"/>
  <c r="AC16" i="108"/>
  <c r="U16" i="108"/>
  <c r="AC15" i="108"/>
  <c r="U15" i="108"/>
  <c r="AC14" i="108"/>
  <c r="U14" i="108"/>
  <c r="AC13" i="108"/>
  <c r="U13" i="108"/>
  <c r="AC12" i="108"/>
  <c r="AC40" i="108" s="1"/>
  <c r="U12" i="108"/>
  <c r="AC11" i="108"/>
  <c r="U11" i="108"/>
  <c r="U30" i="111"/>
  <c r="W28" i="111"/>
  <c r="Y27" i="111"/>
  <c r="AA25" i="111"/>
  <c r="AC24" i="111"/>
  <c r="AB31" i="111"/>
  <c r="P60" i="111"/>
  <c r="Z31" i="111"/>
  <c r="AD28" i="111"/>
  <c r="F106" i="108"/>
  <c r="AE22" i="108"/>
  <c r="AE29" i="107"/>
  <c r="AF33" i="107"/>
  <c r="AE30" i="108"/>
  <c r="AF28" i="107"/>
  <c r="AF31" i="108"/>
  <c r="AE26" i="108"/>
  <c r="AB18" i="107"/>
  <c r="T18" i="107"/>
  <c r="AB17" i="107"/>
  <c r="T17" i="107"/>
  <c r="AB16" i="107"/>
  <c r="T16" i="107"/>
  <c r="AB15" i="107"/>
  <c r="T15" i="107"/>
  <c r="AB14" i="107"/>
  <c r="T14" i="107"/>
  <c r="AB13" i="107"/>
  <c r="T13" i="107"/>
  <c r="AB12" i="107"/>
  <c r="T12" i="107"/>
  <c r="AB11" i="107"/>
  <c r="T11" i="107"/>
  <c r="AC10" i="108"/>
  <c r="U10" i="108"/>
  <c r="AB21" i="108"/>
  <c r="T21" i="108"/>
  <c r="AB20" i="108"/>
  <c r="T20" i="108"/>
  <c r="AB19" i="108"/>
  <c r="T19" i="108"/>
  <c r="AB18" i="108"/>
  <c r="T18" i="108"/>
  <c r="AB17" i="108"/>
  <c r="T17" i="108"/>
  <c r="AB16" i="108"/>
  <c r="T16" i="108"/>
  <c r="AB15" i="108"/>
  <c r="T15" i="108"/>
  <c r="AB14" i="108"/>
  <c r="T14" i="108"/>
  <c r="AB13" i="108"/>
  <c r="T13" i="108"/>
  <c r="AB12" i="108"/>
  <c r="T12" i="108"/>
  <c r="AB11" i="108"/>
  <c r="T11" i="108"/>
  <c r="Z28" i="111"/>
  <c r="U24" i="111"/>
  <c r="W33" i="111"/>
  <c r="T31" i="111"/>
  <c r="AB25" i="111"/>
  <c r="N106" i="108"/>
  <c r="AE24" i="108"/>
  <c r="AE31" i="108"/>
  <c r="AE31" i="107"/>
  <c r="AF30" i="108"/>
  <c r="AE24" i="107"/>
  <c r="AE33" i="108"/>
  <c r="AF26" i="108"/>
  <c r="AF22" i="108"/>
  <c r="AE28" i="108"/>
  <c r="AA15" i="107"/>
  <c r="AA35" i="107" s="1"/>
  <c r="S15" i="107"/>
  <c r="S35" i="107" s="1"/>
  <c r="AA14" i="107"/>
  <c r="S14" i="107"/>
  <c r="AA13" i="107"/>
  <c r="S13" i="107"/>
  <c r="AA12" i="107"/>
  <c r="S12" i="107"/>
  <c r="AA11" i="107"/>
  <c r="S11" i="107"/>
  <c r="S34" i="107" s="1"/>
  <c r="AB10" i="108"/>
  <c r="T10" i="108"/>
  <c r="AA21" i="108"/>
  <c r="S21" i="108"/>
  <c r="AA20" i="108"/>
  <c r="S20" i="108"/>
  <c r="AA19" i="108"/>
  <c r="S19" i="108"/>
  <c r="AA18" i="108"/>
  <c r="S18" i="108"/>
  <c r="AA17" i="108"/>
  <c r="S17" i="108"/>
  <c r="AA16" i="108"/>
  <c r="S16" i="108"/>
  <c r="AA15" i="108"/>
  <c r="AA35" i="108" s="1"/>
  <c r="S15" i="108"/>
  <c r="S35" i="108" s="1"/>
  <c r="AA14" i="108"/>
  <c r="S14" i="108"/>
  <c r="AA13" i="108"/>
  <c r="S13" i="108"/>
  <c r="AA12" i="108"/>
  <c r="S12" i="108"/>
  <c r="AA11" i="108"/>
  <c r="AA34" i="108" s="1"/>
  <c r="S11" i="108"/>
  <c r="S40" i="108" s="1"/>
  <c r="T26" i="111"/>
  <c r="X23" i="111"/>
  <c r="Z33" i="111"/>
  <c r="O98" i="111"/>
  <c r="P81" i="111"/>
  <c r="O76" i="111"/>
  <c r="L106" i="108"/>
  <c r="AF24" i="107"/>
  <c r="AE30" i="107"/>
  <c r="AE22" i="107"/>
  <c r="AF25" i="108"/>
  <c r="AF28" i="108"/>
  <c r="AA10" i="107"/>
  <c r="Z21" i="107"/>
  <c r="Z20" i="107"/>
  <c r="Z19" i="107"/>
  <c r="Z18" i="107"/>
  <c r="Z17" i="107"/>
  <c r="Z16" i="107"/>
  <c r="Z15" i="107"/>
  <c r="Z14" i="107"/>
  <c r="Z13" i="107"/>
  <c r="Z12" i="107"/>
  <c r="Z11" i="107"/>
  <c r="Z21" i="108"/>
  <c r="Z20" i="108"/>
  <c r="Z19" i="108"/>
  <c r="Z18" i="108"/>
  <c r="Z17" i="108"/>
  <c r="Z16" i="108"/>
  <c r="Z15" i="108"/>
  <c r="Z14" i="108"/>
  <c r="Z13" i="108"/>
  <c r="Z12" i="108"/>
  <c r="Z11" i="108"/>
  <c r="Z34" i="108" s="1"/>
  <c r="W26" i="111"/>
  <c r="AC33" i="111"/>
  <c r="C106" i="108"/>
  <c r="X32" i="111"/>
  <c r="D106" i="108"/>
  <c r="AF30" i="107"/>
  <c r="AF22" i="107"/>
  <c r="AF27" i="108"/>
  <c r="AF24" i="108"/>
  <c r="P78" i="111"/>
  <c r="P72" i="111"/>
  <c r="P73" i="111"/>
  <c r="P103" i="111"/>
  <c r="T32" i="111"/>
  <c r="P82" i="111"/>
  <c r="O100" i="111"/>
  <c r="P89" i="111"/>
  <c r="O94" i="111"/>
  <c r="P88" i="111"/>
  <c r="P99" i="111"/>
  <c r="Y31" i="111"/>
  <c r="AC28" i="111"/>
  <c r="W31" i="111"/>
  <c r="AA28" i="111"/>
  <c r="T25" i="111"/>
  <c r="X22" i="111"/>
  <c r="O64" i="111"/>
  <c r="U31" i="111"/>
  <c r="Y28" i="111"/>
  <c r="AC25" i="111"/>
  <c r="P70" i="111"/>
  <c r="P80" i="111"/>
  <c r="P105" i="111"/>
  <c r="Z32" i="111"/>
  <c r="P98" i="111"/>
  <c r="P104" i="111"/>
  <c r="U33" i="111"/>
  <c r="P74" i="111"/>
  <c r="AA32" i="111"/>
  <c r="T29" i="111"/>
  <c r="O92" i="111"/>
  <c r="O81" i="111"/>
  <c r="Z23" i="111"/>
  <c r="P86" i="111"/>
  <c r="P101" i="111"/>
  <c r="T24" i="111"/>
  <c r="AB30" i="111"/>
  <c r="AD33" i="111"/>
  <c r="O68" i="111"/>
  <c r="AB33" i="111"/>
  <c r="P62" i="111"/>
  <c r="P91" i="111"/>
  <c r="P64" i="111"/>
  <c r="W24" i="111"/>
  <c r="P97" i="111"/>
  <c r="O96" i="111"/>
  <c r="V25" i="111"/>
  <c r="W22" i="111"/>
  <c r="AD29" i="111"/>
  <c r="U28" i="111"/>
  <c r="Y25" i="111"/>
  <c r="AC22" i="111"/>
  <c r="AB29" i="111"/>
  <c r="W25" i="111"/>
  <c r="AA22" i="111"/>
  <c r="V32" i="111"/>
  <c r="U25" i="111"/>
  <c r="Y22" i="111"/>
  <c r="O97" i="111"/>
  <c r="O91" i="111"/>
  <c r="P61" i="111"/>
  <c r="O61" i="111"/>
  <c r="P84" i="111"/>
  <c r="P92" i="111"/>
  <c r="O103" i="111"/>
  <c r="Z25" i="111"/>
  <c r="O104" i="111"/>
  <c r="U22" i="111"/>
  <c r="AB23" i="111"/>
  <c r="Y32" i="111"/>
  <c r="AC29" i="111"/>
  <c r="P95" i="111"/>
  <c r="O95" i="111"/>
  <c r="S31" i="111"/>
  <c r="AA23" i="111"/>
  <c r="O99" i="111"/>
  <c r="O72" i="111"/>
  <c r="O73" i="111"/>
  <c r="V22" i="111"/>
  <c r="O74" i="111"/>
  <c r="AA33" i="111"/>
  <c r="U32" i="111"/>
  <c r="W30" i="111"/>
  <c r="Y29" i="111"/>
  <c r="AC26" i="111"/>
  <c r="V23" i="111"/>
  <c r="P83" i="111"/>
  <c r="O83" i="111"/>
  <c r="W29" i="111"/>
  <c r="AA26" i="111"/>
  <c r="T23" i="111"/>
  <c r="AD30" i="111"/>
  <c r="U29" i="111"/>
  <c r="Y26" i="111"/>
  <c r="AC23" i="111"/>
  <c r="P87" i="111"/>
  <c r="O87" i="111"/>
  <c r="O78" i="111"/>
  <c r="O58" i="111"/>
  <c r="O69" i="111"/>
  <c r="O105" i="111"/>
  <c r="V28" i="111"/>
  <c r="O66" i="111"/>
  <c r="P76" i="111"/>
  <c r="P94" i="111"/>
  <c r="V33" i="111"/>
  <c r="X31" i="111"/>
  <c r="AB28" i="111"/>
  <c r="P75" i="111"/>
  <c r="O75" i="111"/>
  <c r="T30" i="111"/>
  <c r="W23" i="111"/>
  <c r="V30" i="111"/>
  <c r="Z27" i="111"/>
  <c r="AD24" i="111"/>
  <c r="U23" i="111"/>
  <c r="P79" i="111"/>
  <c r="O79" i="111"/>
  <c r="S27" i="111"/>
  <c r="T33" i="111"/>
  <c r="AA27" i="111"/>
  <c r="P58" i="111"/>
  <c r="P69" i="111"/>
  <c r="P68" i="111"/>
  <c r="O82" i="111"/>
  <c r="AD26" i="111"/>
  <c r="S26" i="111"/>
  <c r="O77" i="111"/>
  <c r="P65" i="111"/>
  <c r="O65" i="111"/>
  <c r="P67" i="111"/>
  <c r="O67" i="111"/>
  <c r="T27" i="111"/>
  <c r="Y30" i="111"/>
  <c r="AC27" i="111"/>
  <c r="V24" i="111"/>
  <c r="P71" i="111"/>
  <c r="O71" i="111"/>
  <c r="O89" i="111"/>
  <c r="O80" i="111"/>
  <c r="O70" i="111"/>
  <c r="O93" i="111"/>
  <c r="O85" i="111"/>
  <c r="P77" i="111"/>
  <c r="O86" i="111"/>
  <c r="O88" i="111"/>
  <c r="AB32" i="111"/>
  <c r="T22" i="111"/>
  <c r="P59" i="111"/>
  <c r="O59" i="111"/>
  <c r="W27" i="111"/>
  <c r="AA24" i="111"/>
  <c r="AD31" i="111"/>
  <c r="O60" i="111"/>
  <c r="U27" i="111"/>
  <c r="Y24" i="111"/>
  <c r="P63" i="111"/>
  <c r="O63" i="111"/>
  <c r="S23" i="111"/>
  <c r="S22" i="111"/>
  <c r="S28" i="111"/>
  <c r="Z29" i="111"/>
  <c r="P85" i="111"/>
  <c r="P100" i="111"/>
  <c r="AF32" i="111" s="1"/>
  <c r="X29" i="111"/>
  <c r="AB26" i="111"/>
  <c r="X25" i="111"/>
  <c r="V31" i="111"/>
  <c r="AD25" i="111"/>
  <c r="AC31" i="111"/>
  <c r="X28" i="111"/>
  <c r="S29" i="111"/>
  <c r="S24" i="111"/>
  <c r="O90" i="111"/>
  <c r="V26" i="111"/>
  <c r="O101" i="111"/>
  <c r="O102" i="111"/>
  <c r="AD22" i="111"/>
  <c r="G6" i="109"/>
  <c r="D6" i="109"/>
  <c r="G6" i="101"/>
  <c r="D6" i="101"/>
  <c r="AF33" i="111" l="1"/>
  <c r="T38" i="107"/>
  <c r="T35" i="107"/>
  <c r="T36" i="107"/>
  <c r="T39" i="107"/>
  <c r="S37" i="108"/>
  <c r="AA40" i="107"/>
  <c r="AA37" i="107"/>
  <c r="AA41" i="107"/>
  <c r="AA34" i="107"/>
  <c r="AD40" i="108"/>
  <c r="AD42" i="108" s="1"/>
  <c r="U34" i="108"/>
  <c r="U37" i="108"/>
  <c r="U41" i="108"/>
  <c r="U42" i="108" s="1"/>
  <c r="U38" i="108"/>
  <c r="U35" i="108"/>
  <c r="V38" i="108"/>
  <c r="V35" i="108"/>
  <c r="W39" i="108"/>
  <c r="W36" i="108"/>
  <c r="AC39" i="107"/>
  <c r="Y39" i="108"/>
  <c r="Y36" i="108"/>
  <c r="AA37" i="108"/>
  <c r="AB38" i="108"/>
  <c r="AB35" i="108"/>
  <c r="AC38" i="107"/>
  <c r="AC35" i="107"/>
  <c r="AF25" i="111"/>
  <c r="Z39" i="108"/>
  <c r="Z36" i="108"/>
  <c r="S41" i="108"/>
  <c r="S42" i="108" s="1"/>
  <c r="AC41" i="108"/>
  <c r="AC42" i="108" s="1"/>
  <c r="AC34" i="108"/>
  <c r="AC37" i="108"/>
  <c r="AC38" i="108"/>
  <c r="AC35" i="108"/>
  <c r="AD38" i="108"/>
  <c r="AD35" i="108"/>
  <c r="V38" i="107"/>
  <c r="V35" i="107"/>
  <c r="AC37" i="107"/>
  <c r="AC34" i="107"/>
  <c r="U36" i="107"/>
  <c r="Z37" i="108"/>
  <c r="X39" i="108"/>
  <c r="X36" i="108"/>
  <c r="U37" i="107"/>
  <c r="U41" i="107"/>
  <c r="U34" i="107"/>
  <c r="T40" i="107"/>
  <c r="T34" i="107"/>
  <c r="T37" i="107"/>
  <c r="T41" i="107"/>
  <c r="S36" i="108"/>
  <c r="S39" i="108"/>
  <c r="U38" i="107"/>
  <c r="U35" i="107"/>
  <c r="AA36" i="107"/>
  <c r="AA39" i="107"/>
  <c r="AA36" i="108"/>
  <c r="AA39" i="108"/>
  <c r="AB38" i="107"/>
  <c r="AB35" i="107"/>
  <c r="AD34" i="108"/>
  <c r="W39" i="107"/>
  <c r="W36" i="107"/>
  <c r="Z40" i="107"/>
  <c r="Z41" i="107"/>
  <c r="Z42" i="107" s="1"/>
  <c r="Z34" i="107"/>
  <c r="Z37" i="107"/>
  <c r="AF30" i="111"/>
  <c r="AF29" i="111"/>
  <c r="S38" i="108"/>
  <c r="S38" i="107"/>
  <c r="T36" i="108"/>
  <c r="T39" i="108"/>
  <c r="W34" i="108"/>
  <c r="W37" i="108"/>
  <c r="W40" i="108"/>
  <c r="W41" i="108"/>
  <c r="W42" i="108" s="1"/>
  <c r="AD38" i="107"/>
  <c r="AD35" i="107"/>
  <c r="W38" i="108"/>
  <c r="W35" i="108"/>
  <c r="Y35" i="107"/>
  <c r="W34" i="107"/>
  <c r="W37" i="107"/>
  <c r="W40" i="107"/>
  <c r="W41" i="107"/>
  <c r="W42" i="107" s="1"/>
  <c r="Z41" i="108"/>
  <c r="Z42" i="108" s="1"/>
  <c r="W38" i="107"/>
  <c r="W35" i="107"/>
  <c r="S36" i="107"/>
  <c r="S39" i="107"/>
  <c r="T38" i="108"/>
  <c r="T35" i="108"/>
  <c r="Z35" i="107"/>
  <c r="Z38" i="107"/>
  <c r="Z35" i="108"/>
  <c r="Z38" i="108"/>
  <c r="AA38" i="108"/>
  <c r="AA38" i="107"/>
  <c r="AB36" i="108"/>
  <c r="AB39" i="108"/>
  <c r="AA41" i="108"/>
  <c r="V34" i="108"/>
  <c r="X34" i="108"/>
  <c r="X41" i="108"/>
  <c r="X37" i="108"/>
  <c r="X40" i="108"/>
  <c r="V41" i="107"/>
  <c r="V40" i="107"/>
  <c r="V42" i="107" s="1"/>
  <c r="V37" i="107"/>
  <c r="V34" i="107"/>
  <c r="S41" i="107"/>
  <c r="Z40" i="108"/>
  <c r="Y40" i="107"/>
  <c r="Y34" i="107"/>
  <c r="Y37" i="107"/>
  <c r="Y41" i="107"/>
  <c r="X38" i="108"/>
  <c r="X35" i="108"/>
  <c r="AD34" i="107"/>
  <c r="AD40" i="107"/>
  <c r="AD37" i="107"/>
  <c r="AD41" i="107"/>
  <c r="AB36" i="107"/>
  <c r="AB39" i="107"/>
  <c r="U40" i="108"/>
  <c r="AD39" i="107"/>
  <c r="AD36" i="107"/>
  <c r="S34" i="108"/>
  <c r="X34" i="107"/>
  <c r="X40" i="107"/>
  <c r="X41" i="107"/>
  <c r="X37" i="107"/>
  <c r="V41" i="108"/>
  <c r="V42" i="108" s="1"/>
  <c r="AA40" i="108"/>
  <c r="T40" i="108"/>
  <c r="T37" i="108"/>
  <c r="T41" i="108"/>
  <c r="T42" i="108" s="1"/>
  <c r="T34" i="108"/>
  <c r="U39" i="108"/>
  <c r="U40" i="107"/>
  <c r="V39" i="108"/>
  <c r="V36" i="108"/>
  <c r="X35" i="107"/>
  <c r="AC41" i="107"/>
  <c r="S37" i="107"/>
  <c r="Y38" i="107"/>
  <c r="Y35" i="108"/>
  <c r="Y40" i="108"/>
  <c r="Y42" i="108" s="1"/>
  <c r="Y34" i="108"/>
  <c r="Y37" i="108"/>
  <c r="Y39" i="107"/>
  <c r="Y36" i="107"/>
  <c r="Z39" i="107"/>
  <c r="Z36" i="107"/>
  <c r="AB40" i="108"/>
  <c r="AB34" i="108"/>
  <c r="AB37" i="108"/>
  <c r="AB41" i="108"/>
  <c r="AB42" i="108" s="1"/>
  <c r="AC39" i="108"/>
  <c r="AC40" i="107"/>
  <c r="AD39" i="108"/>
  <c r="AD36" i="108"/>
  <c r="V39" i="107"/>
  <c r="V36" i="107"/>
  <c r="S40" i="107"/>
  <c r="AB40" i="107"/>
  <c r="AB34" i="107"/>
  <c r="AB37" i="107"/>
  <c r="AB41" i="107"/>
  <c r="AF31" i="111"/>
  <c r="AE30" i="111"/>
  <c r="AF27" i="111"/>
  <c r="AE27" i="111"/>
  <c r="AF23" i="111"/>
  <c r="AF28" i="111"/>
  <c r="AF26" i="111"/>
  <c r="AE29" i="111"/>
  <c r="AF24" i="111"/>
  <c r="AE32" i="111"/>
  <c r="AE26" i="111"/>
  <c r="AE24" i="111"/>
  <c r="AE28" i="111"/>
  <c r="AE31" i="111"/>
  <c r="AE33" i="111"/>
  <c r="AE25" i="111"/>
  <c r="AE23" i="111"/>
  <c r="AF22" i="111"/>
  <c r="AE22" i="111"/>
  <c r="C3" i="94"/>
  <c r="AB42" i="107" l="1"/>
  <c r="T42" i="107"/>
  <c r="AC42" i="107"/>
  <c r="AD42" i="107"/>
  <c r="X42" i="108"/>
  <c r="S42" i="107"/>
  <c r="AA42" i="108"/>
  <c r="Y42" i="107"/>
  <c r="U42" i="107"/>
  <c r="AA42" i="107"/>
  <c r="K6" i="109"/>
  <c r="K6" i="94"/>
  <c r="G5" i="94"/>
  <c r="G6" i="108"/>
  <c r="G6" i="107"/>
  <c r="D6" i="108"/>
  <c r="D6" i="107"/>
  <c r="K5" i="107" l="1"/>
  <c r="K5" i="108"/>
  <c r="K5" i="111" s="1"/>
  <c r="K6" i="108"/>
  <c r="K6" i="111" s="1"/>
  <c r="K6" i="107"/>
  <c r="G5" i="107"/>
  <c r="G5" i="108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D38" i="101" l="1"/>
  <c r="Y39" i="109"/>
  <c r="AC39" i="109"/>
  <c r="AA39" i="101"/>
  <c r="Z39" i="101"/>
  <c r="AB39" i="101"/>
  <c r="AD39" i="101"/>
  <c r="C3" i="108"/>
  <c r="C3" i="111"/>
  <c r="C3" i="107"/>
  <c r="X21" i="101"/>
  <c r="X39" i="101" s="1"/>
  <c r="U22" i="109"/>
  <c r="V14" i="101"/>
  <c r="V38" i="101" s="1"/>
  <c r="S17" i="101"/>
  <c r="AC32" i="109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AA14" i="94"/>
  <c r="AA15" i="94"/>
  <c r="AA16" i="94"/>
  <c r="AA18" i="94"/>
  <c r="Z13" i="109"/>
  <c r="V12" i="109"/>
  <c r="AD12" i="109"/>
  <c r="S11" i="109"/>
  <c r="AC17" i="109"/>
  <c r="V14" i="109"/>
  <c r="V13" i="109"/>
  <c r="AD13" i="109"/>
  <c r="V15" i="109"/>
  <c r="AD15" i="109"/>
  <c r="AA11" i="109"/>
  <c r="Z12" i="109"/>
  <c r="Z14" i="109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Y14" i="101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Z17" i="10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8" i="94"/>
  <c r="T39" i="101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S22" i="101"/>
  <c r="S23" i="101"/>
  <c r="U15" i="101"/>
  <c r="P105" i="101"/>
  <c r="Y17" i="94"/>
  <c r="P77" i="101"/>
  <c r="P69" i="101"/>
  <c r="P91" i="101"/>
  <c r="U15" i="94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AC14" i="94"/>
  <c r="Y14" i="94"/>
  <c r="Y15" i="101"/>
  <c r="AA17" i="94"/>
  <c r="W16" i="94"/>
  <c r="AC20" i="94"/>
  <c r="U14" i="94"/>
  <c r="AD12" i="101"/>
  <c r="U12" i="101"/>
  <c r="W12" i="101"/>
  <c r="Y12" i="101"/>
  <c r="AA12" i="101"/>
  <c r="AC12" i="101"/>
  <c r="V11" i="101"/>
  <c r="AC36" i="101"/>
  <c r="W18" i="94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12" i="94"/>
  <c r="Z11" i="94"/>
  <c r="AD12" i="94"/>
  <c r="T11" i="94"/>
  <c r="V11" i="94"/>
  <c r="X11" i="94"/>
  <c r="AB11" i="94"/>
  <c r="AD11" i="94"/>
  <c r="T12" i="94"/>
  <c r="X12" i="94"/>
  <c r="Z12" i="94"/>
  <c r="AB12" i="94"/>
  <c r="S10" i="94"/>
  <c r="W10" i="94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AF25" i="101" l="1"/>
  <c r="V39" i="109"/>
  <c r="U38" i="109"/>
  <c r="AF32" i="101"/>
  <c r="AF33" i="101"/>
  <c r="V35" i="101"/>
  <c r="U27" i="94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AC20" i="111" s="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17" i="111" s="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X21" i="111" s="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X20" i="111" s="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X19" i="111" s="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X18" i="111" s="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X17" i="111" s="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X16" i="111" s="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X15" i="111" s="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X14" i="111" s="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X13" i="111" s="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V11" i="111" s="1"/>
  <c r="N13" i="111"/>
  <c r="L13" i="111"/>
  <c r="F13" i="111"/>
  <c r="D13" i="111"/>
  <c r="H12" i="111"/>
  <c r="F12" i="111"/>
  <c r="N11" i="111"/>
  <c r="J11" i="111"/>
  <c r="F11" i="111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Y15" i="111" s="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AA14" i="111" s="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AA12" i="111" s="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AA19" i="111" s="1"/>
  <c r="I46" i="11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AA27" i="94"/>
  <c r="I37" i="111"/>
  <c r="E37" i="111"/>
  <c r="M36" i="111"/>
  <c r="I36" i="111"/>
  <c r="E36" i="111"/>
  <c r="M35" i="111"/>
  <c r="I35" i="111"/>
  <c r="E35" i="111"/>
  <c r="M34" i="111"/>
  <c r="AC16" i="111" s="1"/>
  <c r="G34" i="111"/>
  <c r="W16" i="111" s="1"/>
  <c r="C34" i="111"/>
  <c r="M33" i="111"/>
  <c r="I33" i="111"/>
  <c r="E33" i="111"/>
  <c r="M32" i="111"/>
  <c r="I32" i="111"/>
  <c r="E32" i="111"/>
  <c r="M31" i="111"/>
  <c r="I31" i="111"/>
  <c r="E31" i="111"/>
  <c r="M30" i="111"/>
  <c r="AC15" i="111" s="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Y13" i="111" s="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Y11" i="111" s="1"/>
  <c r="E14" i="111"/>
  <c r="M13" i="111"/>
  <c r="I13" i="111"/>
  <c r="E13" i="111"/>
  <c r="M12" i="111"/>
  <c r="I12" i="111"/>
  <c r="E12" i="111"/>
  <c r="M11" i="111"/>
  <c r="I11" i="111"/>
  <c r="E11" i="111"/>
  <c r="AC35" i="109"/>
  <c r="K10" i="111"/>
  <c r="G10" i="111"/>
  <c r="T38" i="109"/>
  <c r="AD38" i="109"/>
  <c r="Z38" i="109"/>
  <c r="AA35" i="109"/>
  <c r="V35" i="109"/>
  <c r="S35" i="109"/>
  <c r="AB38" i="109"/>
  <c r="AD36" i="109"/>
  <c r="Z39" i="109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W38" i="101"/>
  <c r="U35" i="101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AE21" i="108" s="1"/>
  <c r="O42" i="108"/>
  <c r="AE18" i="108" s="1"/>
  <c r="O34" i="108"/>
  <c r="P18" i="108"/>
  <c r="AF12" i="108" s="1"/>
  <c r="O57" i="107"/>
  <c r="O37" i="107"/>
  <c r="P36" i="107"/>
  <c r="P35" i="107"/>
  <c r="O32" i="107"/>
  <c r="P31" i="107"/>
  <c r="P28" i="107"/>
  <c r="O25" i="107"/>
  <c r="O19" i="107"/>
  <c r="P18" i="107"/>
  <c r="AF12" i="107" s="1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AE21" i="107" s="1"/>
  <c r="P53" i="107"/>
  <c r="O53" i="107"/>
  <c r="O52" i="107"/>
  <c r="P52" i="107"/>
  <c r="O51" i="107"/>
  <c r="P51" i="107"/>
  <c r="O50" i="107"/>
  <c r="AE20" i="107" s="1"/>
  <c r="P50" i="107"/>
  <c r="AF20" i="107" s="1"/>
  <c r="P49" i="107"/>
  <c r="O49" i="107"/>
  <c r="P48" i="107"/>
  <c r="O48" i="107"/>
  <c r="P47" i="107"/>
  <c r="O47" i="107"/>
  <c r="O46" i="107"/>
  <c r="P46" i="107"/>
  <c r="AF19" i="107" s="1"/>
  <c r="P45" i="107"/>
  <c r="O45" i="107"/>
  <c r="O44" i="107"/>
  <c r="P44" i="107"/>
  <c r="O43" i="107"/>
  <c r="P43" i="107"/>
  <c r="O42" i="107"/>
  <c r="AE18" i="107" s="1"/>
  <c r="P42" i="107"/>
  <c r="AF18" i="107" s="1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AE12" i="107" s="1"/>
  <c r="O16" i="107"/>
  <c r="O14" i="107"/>
  <c r="AE11" i="107" s="1"/>
  <c r="O12" i="107"/>
  <c r="P26" i="107"/>
  <c r="AF14" i="107" s="1"/>
  <c r="P38" i="107"/>
  <c r="P30" i="107"/>
  <c r="P34" i="107"/>
  <c r="AF16" i="107" s="1"/>
  <c r="O30" i="107"/>
  <c r="AE15" i="107" s="1"/>
  <c r="P10" i="107"/>
  <c r="O10" i="107"/>
  <c r="O106" i="101"/>
  <c r="C108" i="101" s="1"/>
  <c r="P106" i="101"/>
  <c r="U26" i="94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Y27" i="94"/>
  <c r="Y26" i="94"/>
  <c r="AC23" i="94"/>
  <c r="AC27" i="94"/>
  <c r="AA23" i="94"/>
  <c r="X38" i="101"/>
  <c r="Y23" i="94"/>
  <c r="Y38" i="101"/>
  <c r="W26" i="94"/>
  <c r="X35" i="101"/>
  <c r="AB38" i="101"/>
  <c r="T38" i="101"/>
  <c r="AB35" i="101"/>
  <c r="T35" i="101"/>
  <c r="U23" i="94"/>
  <c r="W23" i="94"/>
  <c r="AA38" i="101"/>
  <c r="AC38" i="101"/>
  <c r="Y35" i="101"/>
  <c r="U38" i="101"/>
  <c r="Z35" i="101"/>
  <c r="AF15" i="101"/>
  <c r="AF14" i="101"/>
  <c r="AF13" i="101"/>
  <c r="AF12" i="101"/>
  <c r="AF11" i="101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T25" i="94"/>
  <c r="X25" i="94"/>
  <c r="S25" i="94"/>
  <c r="AF13" i="94"/>
  <c r="S23" i="94"/>
  <c r="X22" i="94"/>
  <c r="AA25" i="94"/>
  <c r="AB22" i="94"/>
  <c r="T22" i="94"/>
  <c r="W25" i="94"/>
  <c r="AB25" i="94"/>
  <c r="W22" i="94"/>
  <c r="AF11" i="94"/>
  <c r="W28" i="94"/>
  <c r="S28" i="94"/>
  <c r="AA28" i="94"/>
  <c r="AF12" i="94"/>
  <c r="AF20" i="94"/>
  <c r="AF18" i="94"/>
  <c r="AF16" i="94"/>
  <c r="AF14" i="94"/>
  <c r="AA22" i="94"/>
  <c r="S22" i="94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39" i="107" l="1"/>
  <c r="AF36" i="107"/>
  <c r="AE14" i="108"/>
  <c r="V10" i="111"/>
  <c r="F106" i="111"/>
  <c r="T38" i="111"/>
  <c r="T35" i="111"/>
  <c r="AF11" i="107"/>
  <c r="AC12" i="111"/>
  <c r="Y20" i="111"/>
  <c r="X10" i="111"/>
  <c r="H106" i="111"/>
  <c r="Z11" i="111"/>
  <c r="V15" i="111"/>
  <c r="V19" i="111"/>
  <c r="V21" i="111"/>
  <c r="AA15" i="111"/>
  <c r="AA35" i="111" s="1"/>
  <c r="X11" i="111"/>
  <c r="AB15" i="111"/>
  <c r="AB17" i="111"/>
  <c r="AB19" i="111"/>
  <c r="AB21" i="111"/>
  <c r="U17" i="111"/>
  <c r="U19" i="111"/>
  <c r="W21" i="111"/>
  <c r="AF15" i="107"/>
  <c r="AE13" i="107"/>
  <c r="AF16" i="108"/>
  <c r="AE19" i="108"/>
  <c r="AE10" i="108"/>
  <c r="O106" i="108"/>
  <c r="S15" i="111"/>
  <c r="AC18" i="111"/>
  <c r="AD10" i="111"/>
  <c r="N106" i="111"/>
  <c r="AB11" i="111"/>
  <c r="Z13" i="111"/>
  <c r="Z15" i="111"/>
  <c r="Z17" i="111"/>
  <c r="Z19" i="111"/>
  <c r="Z21" i="111"/>
  <c r="S12" i="111"/>
  <c r="S14" i="111"/>
  <c r="AD11" i="111"/>
  <c r="AA17" i="111"/>
  <c r="W19" i="111"/>
  <c r="W39" i="111" s="1"/>
  <c r="Y21" i="111"/>
  <c r="P106" i="108"/>
  <c r="AF10" i="108"/>
  <c r="AA10" i="111"/>
  <c r="K106" i="111"/>
  <c r="X38" i="111"/>
  <c r="X35" i="111"/>
  <c r="X39" i="111"/>
  <c r="X36" i="111"/>
  <c r="AE19" i="107"/>
  <c r="AE15" i="108"/>
  <c r="W18" i="111"/>
  <c r="V13" i="111"/>
  <c r="V17" i="111"/>
  <c r="AD13" i="111"/>
  <c r="AF17" i="107"/>
  <c r="AE14" i="107"/>
  <c r="AE17" i="107"/>
  <c r="AF13" i="107"/>
  <c r="AF18" i="108"/>
  <c r="AF11" i="108"/>
  <c r="AF17" i="108"/>
  <c r="U11" i="111"/>
  <c r="U13" i="111"/>
  <c r="U15" i="111"/>
  <c r="AB13" i="111"/>
  <c r="AD15" i="111"/>
  <c r="AD17" i="111"/>
  <c r="AD19" i="111"/>
  <c r="AD21" i="111"/>
  <c r="W12" i="111"/>
  <c r="U14" i="111"/>
  <c r="U16" i="111"/>
  <c r="T14" i="111"/>
  <c r="T16" i="111"/>
  <c r="T18" i="111"/>
  <c r="T20" i="111"/>
  <c r="U10" i="111"/>
  <c r="E106" i="111"/>
  <c r="AA21" i="111"/>
  <c r="AE20" i="108"/>
  <c r="Y16" i="111"/>
  <c r="X12" i="111"/>
  <c r="Y10" i="111"/>
  <c r="I106" i="111"/>
  <c r="S18" i="111"/>
  <c r="AF21" i="108"/>
  <c r="AF14" i="108"/>
  <c r="AE11" i="108"/>
  <c r="AE17" i="108"/>
  <c r="AF13" i="108"/>
  <c r="AC11" i="111"/>
  <c r="AC13" i="111"/>
  <c r="W17" i="111"/>
  <c r="Y19" i="111"/>
  <c r="U21" i="111"/>
  <c r="V12" i="111"/>
  <c r="V14" i="111"/>
  <c r="V16" i="111"/>
  <c r="V18" i="111"/>
  <c r="V20" i="111"/>
  <c r="AC14" i="111"/>
  <c r="AA16" i="111"/>
  <c r="AA38" i="111" s="1"/>
  <c r="Z12" i="111"/>
  <c r="AB14" i="111"/>
  <c r="AB16" i="111"/>
  <c r="AB18" i="111"/>
  <c r="AB20" i="111"/>
  <c r="AC10" i="111"/>
  <c r="M106" i="111"/>
  <c r="U18" i="111"/>
  <c r="S20" i="111"/>
  <c r="T10" i="111"/>
  <c r="D106" i="111"/>
  <c r="AF20" i="108"/>
  <c r="S36" i="111"/>
  <c r="S39" i="111"/>
  <c r="AE10" i="107"/>
  <c r="O106" i="107"/>
  <c r="H108" i="107" s="1"/>
  <c r="AE12" i="108"/>
  <c r="AF19" i="108"/>
  <c r="S16" i="111"/>
  <c r="Y17" i="111"/>
  <c r="AC21" i="111"/>
  <c r="AB12" i="111"/>
  <c r="Z14" i="111"/>
  <c r="Z16" i="111"/>
  <c r="Z18" i="111"/>
  <c r="Z20" i="111"/>
  <c r="S11" i="111"/>
  <c r="S13" i="111"/>
  <c r="S10" i="111"/>
  <c r="C106" i="111"/>
  <c r="Y18" i="111"/>
  <c r="U20" i="111"/>
  <c r="Z10" i="111"/>
  <c r="J106" i="111"/>
  <c r="Y35" i="111"/>
  <c r="Y38" i="111"/>
  <c r="AF10" i="107"/>
  <c r="P106" i="107"/>
  <c r="AE16" i="107"/>
  <c r="AE16" i="108"/>
  <c r="AE13" i="108"/>
  <c r="W10" i="111"/>
  <c r="G106" i="111"/>
  <c r="U12" i="111"/>
  <c r="W14" i="111"/>
  <c r="AC17" i="111"/>
  <c r="AC19" i="111"/>
  <c r="AD12" i="111"/>
  <c r="AD14" i="111"/>
  <c r="AD16" i="111"/>
  <c r="AD18" i="111"/>
  <c r="AD20" i="111"/>
  <c r="W11" i="111"/>
  <c r="W13" i="111"/>
  <c r="W15" i="111"/>
  <c r="T15" i="111"/>
  <c r="T17" i="111"/>
  <c r="T19" i="111"/>
  <c r="T21" i="111"/>
  <c r="AA18" i="111"/>
  <c r="AA20" i="111"/>
  <c r="AA36" i="111" s="1"/>
  <c r="AB10" i="111"/>
  <c r="L106" i="111"/>
  <c r="X42" i="109"/>
  <c r="V22" i="93"/>
  <c r="O47" i="111"/>
  <c r="O52" i="111"/>
  <c r="O12" i="111"/>
  <c r="P26" i="111"/>
  <c r="AF14" i="111" s="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AF17" i="111" s="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H107" i="108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C107" i="101"/>
  <c r="AE40" i="101"/>
  <c r="AE37" i="101"/>
  <c r="AE34" i="101"/>
  <c r="AF40" i="101"/>
  <c r="AF37" i="101"/>
  <c r="AF34" i="101"/>
  <c r="AE38" i="101"/>
  <c r="AE35" i="101"/>
  <c r="AF23" i="94"/>
  <c r="AF27" i="94"/>
  <c r="AF24" i="94"/>
  <c r="AF26" i="94"/>
  <c r="L60" i="94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21" i="111" l="1"/>
  <c r="AE34" i="107"/>
  <c r="AE37" i="107"/>
  <c r="AE41" i="107"/>
  <c r="AE40" i="107"/>
  <c r="S35" i="111"/>
  <c r="AA39" i="111"/>
  <c r="AC37" i="111"/>
  <c r="AC34" i="111"/>
  <c r="AC40" i="111"/>
  <c r="AC41" i="111"/>
  <c r="AC38" i="111"/>
  <c r="U37" i="111"/>
  <c r="U34" i="111"/>
  <c r="U40" i="111"/>
  <c r="U41" i="111"/>
  <c r="U42" i="111" s="1"/>
  <c r="AF18" i="111"/>
  <c r="S40" i="111"/>
  <c r="S34" i="111"/>
  <c r="S37" i="111"/>
  <c r="S41" i="111"/>
  <c r="S42" i="111" s="1"/>
  <c r="AE39" i="108"/>
  <c r="AE36" i="108"/>
  <c r="AE17" i="111"/>
  <c r="AE21" i="111"/>
  <c r="AF20" i="111"/>
  <c r="AF15" i="111"/>
  <c r="AE11" i="111"/>
  <c r="AE16" i="111"/>
  <c r="T36" i="111"/>
  <c r="T39" i="111"/>
  <c r="W34" i="111"/>
  <c r="W37" i="111"/>
  <c r="W41" i="111"/>
  <c r="Y40" i="111"/>
  <c r="Y37" i="111"/>
  <c r="Y34" i="111"/>
  <c r="Y41" i="111"/>
  <c r="Y42" i="111" s="1"/>
  <c r="AD39" i="111"/>
  <c r="AD36" i="111"/>
  <c r="V38" i="111"/>
  <c r="V35" i="111"/>
  <c r="S38" i="111"/>
  <c r="AE38" i="107"/>
  <c r="AE35" i="107"/>
  <c r="X34" i="111"/>
  <c r="X40" i="111"/>
  <c r="X37" i="111"/>
  <c r="X41" i="111"/>
  <c r="V34" i="111"/>
  <c r="V37" i="111"/>
  <c r="V40" i="111"/>
  <c r="V41" i="111"/>
  <c r="V42" i="111" s="1"/>
  <c r="Y39" i="111"/>
  <c r="Y36" i="111"/>
  <c r="AE38" i="108"/>
  <c r="AE35" i="108"/>
  <c r="AF38" i="108"/>
  <c r="AF35" i="108"/>
  <c r="AA34" i="111"/>
  <c r="AA37" i="111"/>
  <c r="AA40" i="111"/>
  <c r="AA41" i="111"/>
  <c r="AD40" i="111"/>
  <c r="AD34" i="111"/>
  <c r="AD37" i="111"/>
  <c r="AD41" i="111"/>
  <c r="W36" i="111"/>
  <c r="Z35" i="111"/>
  <c r="Z38" i="111"/>
  <c r="AE12" i="111"/>
  <c r="AE20" i="111"/>
  <c r="AE14" i="111"/>
  <c r="AE13" i="111"/>
  <c r="Z40" i="111"/>
  <c r="Z34" i="111"/>
  <c r="Z37" i="111"/>
  <c r="Z41" i="111"/>
  <c r="Z42" i="111" s="1"/>
  <c r="AF38" i="107"/>
  <c r="AF35" i="107"/>
  <c r="AF34" i="108"/>
  <c r="AF41" i="108"/>
  <c r="AF37" i="108"/>
  <c r="AF40" i="108"/>
  <c r="AE10" i="111"/>
  <c r="O106" i="111"/>
  <c r="K108" i="111" s="1"/>
  <c r="AD38" i="111"/>
  <c r="AD35" i="111"/>
  <c r="AE18" i="111"/>
  <c r="AF10" i="111"/>
  <c r="P106" i="111"/>
  <c r="N107" i="111" s="1"/>
  <c r="AC39" i="111"/>
  <c r="AC36" i="111"/>
  <c r="AF39" i="108"/>
  <c r="AF36" i="108"/>
  <c r="T40" i="111"/>
  <c r="T34" i="111"/>
  <c r="T37" i="111"/>
  <c r="T41" i="111"/>
  <c r="T42" i="111" s="1"/>
  <c r="AC35" i="111"/>
  <c r="AB38" i="111"/>
  <c r="AB35" i="111"/>
  <c r="AE39" i="107"/>
  <c r="AE36" i="107"/>
  <c r="Z39" i="111"/>
  <c r="Z36" i="111"/>
  <c r="U39" i="111"/>
  <c r="U36" i="111"/>
  <c r="AF34" i="107"/>
  <c r="AF40" i="107"/>
  <c r="AF41" i="107"/>
  <c r="AF37" i="107"/>
  <c r="U38" i="111"/>
  <c r="AE34" i="108"/>
  <c r="AE37" i="108"/>
  <c r="AE40" i="108"/>
  <c r="AE41" i="108"/>
  <c r="AE42" i="108" s="1"/>
  <c r="AE15" i="111"/>
  <c r="W40" i="111"/>
  <c r="AB36" i="111"/>
  <c r="AB39" i="111"/>
  <c r="AF11" i="111"/>
  <c r="AE19" i="111"/>
  <c r="AE39" i="111" s="1"/>
  <c r="AF16" i="111"/>
  <c r="AF38" i="111" s="1"/>
  <c r="AF19" i="111"/>
  <c r="AB40" i="111"/>
  <c r="AB34" i="111"/>
  <c r="AB37" i="111"/>
  <c r="AB41" i="111"/>
  <c r="W38" i="111"/>
  <c r="W35" i="111"/>
  <c r="U35" i="111"/>
  <c r="V39" i="111"/>
  <c r="V36" i="111"/>
  <c r="M107" i="107"/>
  <c r="F108" i="107"/>
  <c r="J107" i="108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4" i="111" l="1"/>
  <c r="AE37" i="111"/>
  <c r="AE41" i="111"/>
  <c r="AF34" i="111"/>
  <c r="AF40" i="111"/>
  <c r="AF37" i="111"/>
  <c r="AF41" i="111"/>
  <c r="AF42" i="111" s="1"/>
  <c r="AF42" i="108"/>
  <c r="AE38" i="111"/>
  <c r="AE35" i="111"/>
  <c r="W42" i="111"/>
  <c r="AE42" i="107"/>
  <c r="AB42" i="111"/>
  <c r="X42" i="111"/>
  <c r="AC42" i="111"/>
  <c r="AE36" i="111"/>
  <c r="AF35" i="111"/>
  <c r="AF39" i="111"/>
  <c r="AF36" i="111"/>
  <c r="AF42" i="107"/>
  <c r="AE40" i="111"/>
  <c r="AA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<sst xmlns="http://schemas.openxmlformats.org/spreadsheetml/2006/main" count="1104" uniqueCount="175">
  <si>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</si>
  <si>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</si>
  <si>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</si>
  <si>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</si>
  <si>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</si>
  <si>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</si>
  <si>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</si>
  <si>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</si>
  <si>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</si>
  <si>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</si>
  <si>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</si>
  <si>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</si>
  <si>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</si>
  <si>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</si>
  <si>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</si>
  <si>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</si>
  <si>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</si>
  <si>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</si>
  <si>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</si>
  <si>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</si>
  <si>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</si>
  <si>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</si>
  <si>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</si>
  <si>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</si>
  <si>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</si>
  <si>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</si>
  <si>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</si>
  <si>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</si>
  <si>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</si>
  <si>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</si>
  <si>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</si>
  <si>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</si>
  <si>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</si>
  <si>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</si>
  <si>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</si>
  <si>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</si>
  <si>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</si>
  <si>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</si>
  <si>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</si>
  <si>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</si>
  <si>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</si>
  <si>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</si>
  <si>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</si>
  <si>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</si>
  <si>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</si>
  <si>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</si>
  <si>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</si>
  <si>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</si>
  <si>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</si>
  <si>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</si>
  <si>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</si>
  <si>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</si>
  <si>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</si>
  <si>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</si>
  <si>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</si>
  <si>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</si>
  <si>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</si>
  <si>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</si>
  <si>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</si>
  <si>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</si>
  <si>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</si>
  <si>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</si>
  <si>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</si>
  <si>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</si>
  <si>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</si>
  <si>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</si>
  <si>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</si>
  <si>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</si>
  <si>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</si>
  <si>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</si>
  <si>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</si>
  <si>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</si>
  <si>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</si>
  <si>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</si>
  <si>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</si>
  <si>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</si>
  <si>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</si>
  <si>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</si>
  <si>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</si>
  <si>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</si>
  <si>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</si>
  <si>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</si>
  <si>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</si>
  <si>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</si>
  <si>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</si>
  <si>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</si>
  <si>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</si>
  <si>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</si>
  <si>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</si>
  <si>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</si>
  <si>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</si>
  <si>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</si>
  <si>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</si>
  <si>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</si>
  <si>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</si>
  <si>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</si>
  <si>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</si>
  <si>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</si>
  <si>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</si>
  <si>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</si>
  <si>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</si>
  <si>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</si>
  <si>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</si>
  <si>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</si>
  <si>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</si>
  <si>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</si>
  <si>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</si>
  <si>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</si>
  <si>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</si>
  <si>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</si>
  <si>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</si>
  <si>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</si>
  <si>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</si>
  <si>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</si>
  <si>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</si>
  <si>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</si>
  <si>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</si>
  <si>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</si>
  <si>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</si>
  <si>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</si>
  <si>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</si>
  <si>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</si>
  <si>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</si>
  <si>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</si>
  <si>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</si>
  <si>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</si>
  <si>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</si>
  <si>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</si>
  <si>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</si>
  <si>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</si>
  <si>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</si>
  <si>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</si>
  <si>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</si>
  <si>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</si>
  <si>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</si>
  <si>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</si>
  <si>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</si>
  <si>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</si>
  <si>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</si>
  <si>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</si>
  <si>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</si>
  <si>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</si>
  <si>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</si>
  <si>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</si>
  <si>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</si>
  <si>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</si>
  <si>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</si>
  <si>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</si>
  <si>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</si>
  <si>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</si>
  <si>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</si>
  <si>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</si>
  <si>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</si>
  <si>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</si>
  <si>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</si>
  <si>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</si>
  <si>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</si>
  <si>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</si>
  <si>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</si>
  <si>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</si>
  <si>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</si>
  <si>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</si>
  <si>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</si>
  <si>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MIRAMA HILL B/P ROAD</t>
  </si>
  <si>
    <t>25.10.19</t>
  </si>
  <si>
    <t>NTUNGAMO</t>
  </si>
  <si>
    <t>BRENDA</t>
  </si>
  <si>
    <t>NORMAN</t>
  </si>
  <si>
    <t>MIRAMA</t>
  </si>
  <si>
    <t>MIRAMA HILL P.S</t>
  </si>
  <si>
    <t>ANTHONY</t>
  </si>
  <si>
    <t>26.10.19</t>
  </si>
  <si>
    <t>MIRAMA HILL P/S</t>
  </si>
  <si>
    <t>MCC-C4-STN133-MIRAMA HILL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</si>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</sst>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NTUNGAMO- MIRAMA 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NTUNGAMO- MIRAMA 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'25.10 NTUNGAMO- MIRAMA -24h'!$AE$10:$AE$33</c:f>
              <c:numCache>
                <c:formatCode>0</c:formatCode>
                <c:ptCount val="2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4</c:v>
                </c:pt>
                <c:pt idx="6">
                  <c:v>13</c:v>
                </c:pt>
                <c:pt idx="7">
                  <c:v>4</c:v>
                </c:pt>
                <c:pt idx="8">
                  <c:v>8</c:v>
                </c:pt>
                <c:pt idx="9">
                  <c:v>14</c:v>
                </c:pt>
                <c:pt idx="10">
                  <c:v>4</c:v>
                </c:pt>
                <c:pt idx="11">
                  <c:v>6</c:v>
                </c:pt>
                <c:pt idx="12">
                  <c:v>1</c:v>
                </c:pt>
                <c:pt idx="13">
                  <c:v>3</c:v>
                </c:pt>
                <c:pt idx="14">
                  <c:v>5</c:v>
                </c:pt>
                <c:pt idx="15">
                  <c:v>1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7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'25.10 NTUNGAMO- MIRAMA 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NTUNGAMO- MIRAMA 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'25.10 NTUNGAMO- MIRAMA -24h'!$AF$10:$AF$33</c:f>
              <c:numCache>
                <c:formatCode>0</c:formatCode>
                <c:ptCount val="24"/>
                <c:pt idx="0">
                  <c:v>17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18</c:v>
                </c:pt>
                <c:pt idx="5">
                  <c:v>12</c:v>
                </c:pt>
                <c:pt idx="6">
                  <c:v>22</c:v>
                </c:pt>
                <c:pt idx="7">
                  <c:v>18</c:v>
                </c:pt>
                <c:pt idx="8">
                  <c:v>34</c:v>
                </c:pt>
                <c:pt idx="9">
                  <c:v>30</c:v>
                </c:pt>
                <c:pt idx="10">
                  <c:v>17</c:v>
                </c:pt>
                <c:pt idx="11">
                  <c:v>15</c:v>
                </c:pt>
                <c:pt idx="12">
                  <c:v>3</c:v>
                </c:pt>
                <c:pt idx="13">
                  <c:v>10</c:v>
                </c:pt>
                <c:pt idx="14">
                  <c:v>5</c:v>
                </c:pt>
                <c:pt idx="15">
                  <c:v>1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7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6078056"/>
        <c:axId val="436072568"/>
      </c:lineChart>
      <c:catAx>
        <c:axId val="436078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6072568"/>
        <c:crosses val="autoZero"/>
        <c:auto val="1"/>
        <c:lblAlgn val="ctr"/>
        <c:lblOffset val="100"/>
        <c:noMultiLvlLbl val="0"/>
      </c:catAx>
      <c:valAx>
        <c:axId val="436072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6078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NTUNGAMO- MIRAMA 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NTUNGAMO- MIRAMA -24h'!$C$107:$N$107</c:f>
              <c:numCache>
                <c:formatCode>0.0%</c:formatCode>
                <c:ptCount val="12"/>
                <c:pt idx="0">
                  <c:v>0.13618677042801555</c:v>
                </c:pt>
                <c:pt idx="1">
                  <c:v>0</c:v>
                </c:pt>
                <c:pt idx="2">
                  <c:v>3.8910505836575876E-3</c:v>
                </c:pt>
                <c:pt idx="3">
                  <c:v>3.8910505836575876E-3</c:v>
                </c:pt>
                <c:pt idx="4">
                  <c:v>3.8910505836575876E-3</c:v>
                </c:pt>
                <c:pt idx="5">
                  <c:v>0</c:v>
                </c:pt>
                <c:pt idx="6">
                  <c:v>7.7821011673151752E-3</c:v>
                </c:pt>
                <c:pt idx="7">
                  <c:v>1.556420233463035E-2</c:v>
                </c:pt>
                <c:pt idx="8">
                  <c:v>3.1128404669260701E-2</c:v>
                </c:pt>
                <c:pt idx="9">
                  <c:v>0.21789883268482491</c:v>
                </c:pt>
                <c:pt idx="10">
                  <c:v>0.57976653696498059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NTUNGAMO- MIRAMA 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NTUNGAMO- MIRAMA -24h'!$C$108:$N$108</c:f>
              <c:numCache>
                <c:formatCode>0.00%</c:formatCode>
                <c:ptCount val="12"/>
                <c:pt idx="0">
                  <c:v>0.32407407407407407</c:v>
                </c:pt>
                <c:pt idx="1">
                  <c:v>0</c:v>
                </c:pt>
                <c:pt idx="2">
                  <c:v>9.2592592592592587E-3</c:v>
                </c:pt>
                <c:pt idx="3">
                  <c:v>9.2592592592592587E-3</c:v>
                </c:pt>
                <c:pt idx="4">
                  <c:v>9.2592592592592587E-3</c:v>
                </c:pt>
                <c:pt idx="5">
                  <c:v>0</c:v>
                </c:pt>
                <c:pt idx="6">
                  <c:v>1.8518518518518517E-2</c:v>
                </c:pt>
                <c:pt idx="7">
                  <c:v>3.7037037037037035E-2</c:v>
                </c:pt>
                <c:pt idx="8">
                  <c:v>7.407407407407407E-2</c:v>
                </c:pt>
                <c:pt idx="9">
                  <c:v>0.51851851851851849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MIRAMA-NTUNGAMO-24h'!$AE$9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MIRAMA-NTUNGAMO-24h'!$R$10:$R$33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'25.10 MIRAMA-NTUNGAMO-24h'!$AE$10:$AE$33</c:f>
              <c:numCache>
                <c:formatCode>0</c:formatCode>
                <c:ptCount val="24"/>
                <c:pt idx="0">
                  <c:v>4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  <c:pt idx="4">
                  <c:v>12</c:v>
                </c:pt>
                <c:pt idx="5">
                  <c:v>5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15</c:v>
                </c:pt>
                <c:pt idx="10">
                  <c:v>13</c:v>
                </c:pt>
                <c:pt idx="11">
                  <c:v>13</c:v>
                </c:pt>
                <c:pt idx="12">
                  <c:v>8</c:v>
                </c:pt>
                <c:pt idx="13">
                  <c:v>6</c:v>
                </c:pt>
                <c:pt idx="14">
                  <c:v>11</c:v>
                </c:pt>
                <c:pt idx="15">
                  <c:v>14</c:v>
                </c:pt>
                <c:pt idx="16">
                  <c:v>12</c:v>
                </c:pt>
                <c:pt idx="17">
                  <c:v>3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21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'25.10 MIRAMA-NTUNGAMO-24h'!$AF$9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MIRAMA-NTUNGAMO-24h'!$R$10:$R$33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'25.10 MIRAMA-NTUNGAMO-24h'!$AF$10:$AF$33</c:f>
              <c:numCache>
                <c:formatCode>0</c:formatCode>
                <c:ptCount val="24"/>
                <c:pt idx="0">
                  <c:v>13</c:v>
                </c:pt>
                <c:pt idx="1">
                  <c:v>15</c:v>
                </c:pt>
                <c:pt idx="2">
                  <c:v>31</c:v>
                </c:pt>
                <c:pt idx="3">
                  <c:v>24</c:v>
                </c:pt>
                <c:pt idx="4">
                  <c:v>22</c:v>
                </c:pt>
                <c:pt idx="5">
                  <c:v>30</c:v>
                </c:pt>
                <c:pt idx="6">
                  <c:v>21</c:v>
                </c:pt>
                <c:pt idx="7">
                  <c:v>20</c:v>
                </c:pt>
                <c:pt idx="8">
                  <c:v>30</c:v>
                </c:pt>
                <c:pt idx="9">
                  <c:v>27</c:v>
                </c:pt>
                <c:pt idx="10">
                  <c:v>33</c:v>
                </c:pt>
                <c:pt idx="11">
                  <c:v>35</c:v>
                </c:pt>
                <c:pt idx="12">
                  <c:v>26</c:v>
                </c:pt>
                <c:pt idx="13">
                  <c:v>12</c:v>
                </c:pt>
                <c:pt idx="14">
                  <c:v>18</c:v>
                </c:pt>
                <c:pt idx="15">
                  <c:v>14</c:v>
                </c:pt>
                <c:pt idx="16">
                  <c:v>12</c:v>
                </c:pt>
                <c:pt idx="17">
                  <c:v>3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32</c:v>
                </c:pt>
                <c:pt idx="23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767064"/>
        <c:axId val="219767456"/>
      </c:lineChart>
      <c:catAx>
        <c:axId val="219767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9767456"/>
        <c:crosses val="autoZero"/>
        <c:auto val="1"/>
        <c:lblAlgn val="ctr"/>
        <c:lblOffset val="100"/>
        <c:noMultiLvlLbl val="0"/>
      </c:catAx>
      <c:valAx>
        <c:axId val="2197674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9767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MIRAMA-NTUNGAMO-24h'!$C$9:$N$9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MIRAMA-NTUNGAMO-24h'!$C$107:$N$107</c:f>
              <c:numCache>
                <c:formatCode>0.0%</c:formatCode>
                <c:ptCount val="12"/>
                <c:pt idx="0">
                  <c:v>0.13426853707414829</c:v>
                </c:pt>
                <c:pt idx="1">
                  <c:v>1.8036072144288578E-2</c:v>
                </c:pt>
                <c:pt idx="2">
                  <c:v>4.0080160320641279E-3</c:v>
                </c:pt>
                <c:pt idx="3">
                  <c:v>1.002004008016032E-2</c:v>
                </c:pt>
                <c:pt idx="4">
                  <c:v>0</c:v>
                </c:pt>
                <c:pt idx="5">
                  <c:v>0</c:v>
                </c:pt>
                <c:pt idx="6">
                  <c:v>2.4048096192384769E-2</c:v>
                </c:pt>
                <c:pt idx="7">
                  <c:v>3.6072144288577156E-2</c:v>
                </c:pt>
                <c:pt idx="8">
                  <c:v>9.2184368737474945E-2</c:v>
                </c:pt>
                <c:pt idx="9">
                  <c:v>0.22244488977955912</c:v>
                </c:pt>
                <c:pt idx="10">
                  <c:v>0.4589178356713427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MIRAMA-NTUNGAMO-24h'!$C$9:$N$9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MIRAMA-NTUNGAMO-24h'!$C$108:$N$108</c:f>
              <c:numCache>
                <c:formatCode>0.00%</c:formatCode>
                <c:ptCount val="12"/>
                <c:pt idx="0">
                  <c:v>0.24814814814814815</c:v>
                </c:pt>
                <c:pt idx="1">
                  <c:v>3.3333333333333333E-2</c:v>
                </c:pt>
                <c:pt idx="2">
                  <c:v>7.4074074074074077E-3</c:v>
                </c:pt>
                <c:pt idx="3">
                  <c:v>1.8518518518518517E-2</c:v>
                </c:pt>
                <c:pt idx="4">
                  <c:v>0</c:v>
                </c:pt>
                <c:pt idx="5">
                  <c:v>0</c:v>
                </c:pt>
                <c:pt idx="6">
                  <c:v>4.4444444444444446E-2</c:v>
                </c:pt>
                <c:pt idx="7">
                  <c:v>6.6666666666666666E-2</c:v>
                </c:pt>
                <c:pt idx="8">
                  <c:v>0.17037037037037037</c:v>
                </c:pt>
                <c:pt idx="9">
                  <c:v>0.41111111111111109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NTUNGAMO-MIRAMA HILL'!$AE$9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NTUNGAMO-MIRAMA HILL'!$R$10:$R$21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'26.10 NTUNGAMO-MIRAMA HILL'!$AE$10:$AE$21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7</c:v>
                </c:pt>
                <c:pt idx="4">
                  <c:v>10</c:v>
                </c:pt>
                <c:pt idx="5">
                  <c:v>7</c:v>
                </c:pt>
                <c:pt idx="6">
                  <c:v>8</c:v>
                </c:pt>
                <c:pt idx="7">
                  <c:v>10</c:v>
                </c:pt>
                <c:pt idx="8">
                  <c:v>8</c:v>
                </c:pt>
                <c:pt idx="9">
                  <c:v>4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'26.10 NTUNGAMO-MIRAMA HILL'!$AF$9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NTUNGAMO-MIRAMA HILL'!$R$10:$R$21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'26.10 NTUNGAMO-MIRAMA HILL'!$AF$10:$AF$21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28</c:v>
                </c:pt>
                <c:pt idx="3">
                  <c:v>26</c:v>
                </c:pt>
                <c:pt idx="4">
                  <c:v>21</c:v>
                </c:pt>
                <c:pt idx="5">
                  <c:v>19</c:v>
                </c:pt>
                <c:pt idx="6">
                  <c:v>16</c:v>
                </c:pt>
                <c:pt idx="7">
                  <c:v>22</c:v>
                </c:pt>
                <c:pt idx="8">
                  <c:v>20</c:v>
                </c:pt>
                <c:pt idx="9">
                  <c:v>7</c:v>
                </c:pt>
                <c:pt idx="10">
                  <c:v>25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9797296"/>
        <c:axId val="229801216"/>
      </c:lineChart>
      <c:catAx>
        <c:axId val="229797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9801216"/>
        <c:crosses val="autoZero"/>
        <c:auto val="1"/>
        <c:lblAlgn val="ctr"/>
        <c:lblOffset val="100"/>
        <c:noMultiLvlLbl val="0"/>
      </c:catAx>
      <c:valAx>
        <c:axId val="229801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97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NTUNGAMO-MIRAMA HILL'!$C$9:$N$9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NTUNGAMO-MIRAMA HILL'!$C$59:$N$59</c:f>
              <c:numCache>
                <c:formatCode>0.0%</c:formatCode>
                <c:ptCount val="12"/>
                <c:pt idx="0">
                  <c:v>0.16019417475728157</c:v>
                </c:pt>
                <c:pt idx="1">
                  <c:v>9.7087378640776691E-3</c:v>
                </c:pt>
                <c:pt idx="2">
                  <c:v>9.7087378640776691E-3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4.8543689320388345E-3</c:v>
                </c:pt>
                <c:pt idx="7">
                  <c:v>4.8543689320388345E-3</c:v>
                </c:pt>
                <c:pt idx="8">
                  <c:v>1.4563106796116505E-2</c:v>
                </c:pt>
                <c:pt idx="9">
                  <c:v>0.1941747572815534</c:v>
                </c:pt>
                <c:pt idx="10">
                  <c:v>0.60194174757281549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NTUNGAMO-MIRAMA HILL'!$C$9:$N$9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NTUNGAMO-MIRAMA HILL'!$C$60:$N$60</c:f>
              <c:numCache>
                <c:formatCode>0.00%</c:formatCode>
                <c:ptCount val="12"/>
                <c:pt idx="0">
                  <c:v>0.40243902439024393</c:v>
                </c:pt>
                <c:pt idx="1">
                  <c:v>2.4390243902439025E-2</c:v>
                </c:pt>
                <c:pt idx="2">
                  <c:v>2.4390243902439025E-2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1.2195121951219513E-2</c:v>
                </c:pt>
                <c:pt idx="7">
                  <c:v>1.2195121951219513E-2</c:v>
                </c:pt>
                <c:pt idx="8">
                  <c:v>3.6585365853658534E-2</c:v>
                </c:pt>
                <c:pt idx="9">
                  <c:v>0.48780487804878048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MIRAMA HILL-NTUNGAMO'!$AE$9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MIRAMA HILL-NTUNGAMO'!$R$10:$R$21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'26.10 MIRAMA HILL-NTUNGAMO'!$AE$10:$AE$21</c:f>
              <c:numCache>
                <c:formatCode>0</c:formatCode>
                <c:ptCount val="12"/>
                <c:pt idx="0">
                  <c:v>12</c:v>
                </c:pt>
                <c:pt idx="1">
                  <c:v>17</c:v>
                </c:pt>
                <c:pt idx="2">
                  <c:v>32</c:v>
                </c:pt>
                <c:pt idx="3">
                  <c:v>10</c:v>
                </c:pt>
                <c:pt idx="4">
                  <c:v>16</c:v>
                </c:pt>
                <c:pt idx="5">
                  <c:v>25</c:v>
                </c:pt>
                <c:pt idx="6">
                  <c:v>34</c:v>
                </c:pt>
                <c:pt idx="7">
                  <c:v>28</c:v>
                </c:pt>
                <c:pt idx="8">
                  <c:v>27</c:v>
                </c:pt>
                <c:pt idx="9">
                  <c:v>19</c:v>
                </c:pt>
                <c:pt idx="10">
                  <c:v>11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'26.10 MIRAMA HILL-NTUNGAMO'!$AF$9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MIRAMA HILL-NTUNGAMO'!$R$10:$R$21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'26.10 MIRAMA HILL-NTUNGAMO'!$AF$10:$AF$21</c:f>
              <c:numCache>
                <c:formatCode>0</c:formatCode>
                <c:ptCount val="12"/>
                <c:pt idx="0">
                  <c:v>25</c:v>
                </c:pt>
                <c:pt idx="1">
                  <c:v>27</c:v>
                </c:pt>
                <c:pt idx="2">
                  <c:v>48</c:v>
                </c:pt>
                <c:pt idx="3">
                  <c:v>18</c:v>
                </c:pt>
                <c:pt idx="4">
                  <c:v>32</c:v>
                </c:pt>
                <c:pt idx="5">
                  <c:v>34</c:v>
                </c:pt>
                <c:pt idx="6">
                  <c:v>46</c:v>
                </c:pt>
                <c:pt idx="7">
                  <c:v>37</c:v>
                </c:pt>
                <c:pt idx="8">
                  <c:v>40</c:v>
                </c:pt>
                <c:pt idx="9">
                  <c:v>28</c:v>
                </c:pt>
                <c:pt idx="10">
                  <c:v>21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23448"/>
        <c:axId val="167019920"/>
      </c:lineChart>
      <c:catAx>
        <c:axId val="1670234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019920"/>
        <c:crosses val="autoZero"/>
        <c:auto val="1"/>
        <c:lblAlgn val="ctr"/>
        <c:lblOffset val="100"/>
        <c:noMultiLvlLbl val="0"/>
      </c:catAx>
      <c:valAx>
        <c:axId val="167019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023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MIRAMA HILL-NTUNGAMO'!$C$9:$N$9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MIRAMA HILL-NTUNGAMO'!$C$59:$N$59</c:f>
              <c:numCache>
                <c:formatCode>0.0%</c:formatCode>
                <c:ptCount val="12"/>
                <c:pt idx="0">
                  <c:v>0.20338983050847459</c:v>
                </c:pt>
                <c:pt idx="1">
                  <c:v>5.569007263922518E-2</c:v>
                </c:pt>
                <c:pt idx="2">
                  <c:v>3.6319612590799029E-2</c:v>
                </c:pt>
                <c:pt idx="3">
                  <c:v>2.4213075060532689E-3</c:v>
                </c:pt>
                <c:pt idx="4">
                  <c:v>2.4213075060532689E-3</c:v>
                </c:pt>
                <c:pt idx="5">
                  <c:v>2.4213075060532689E-3</c:v>
                </c:pt>
                <c:pt idx="6">
                  <c:v>3.6319612590799029E-2</c:v>
                </c:pt>
                <c:pt idx="7">
                  <c:v>2.4213075060532687E-2</c:v>
                </c:pt>
                <c:pt idx="8">
                  <c:v>6.2953995157384993E-2</c:v>
                </c:pt>
                <c:pt idx="9">
                  <c:v>0.21065375302663439</c:v>
                </c:pt>
                <c:pt idx="10">
                  <c:v>0.36319612590799033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MIRAMA HILL-NTUNGAMO'!$S$9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'26.10 MIRAMA HILL-NTUNGAMO'!$R$10:$R$21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'26.10 MIRAMA HILL-NTUNGAMO'!$S$10:$S$21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5</c:v>
                </c:pt>
                <c:pt idx="5">
                  <c:v>7</c:v>
                </c:pt>
                <c:pt idx="6">
                  <c:v>11</c:v>
                </c:pt>
                <c:pt idx="7">
                  <c:v>4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'26.10 MIRAMA HILL-NTUNGAMO'!$T$9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'26.10 MIRAMA HILL-NTUNGAMO'!$R$10:$R$21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'26.10 MIRAMA HILL-NTUNGAMO'!$T$10:$T$21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'26.10 MIRAMA HILL-NTUNGAMO'!$U$9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'26.10 MIRAMA HILL-NTUNGAMO'!$V$9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'26.10 MIRAMA HILL-NTUNGAMO'!$W$9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'26.10 MIRAMA HILL-NTUNGAMO'!$X$9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'26.10 MIRAMA HILL-NTUNGAMO'!$Y$9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'26.10 MIRAMA HILL-NTUNGAMO'!$Z$9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'26.10 MIRAMA HILL-NTUNGAMO'!$AA$9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'26.10 MIRAMA HILL-NTUNGAMO'!$AB$9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HILL-NTUNGAMO'!$AB$10:$AB$21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12</c:v>
                </c:pt>
                <c:pt idx="3">
                  <c:v>5</c:v>
                </c:pt>
                <c:pt idx="4">
                  <c:v>8</c:v>
                </c:pt>
                <c:pt idx="5">
                  <c:v>6</c:v>
                </c:pt>
                <c:pt idx="6">
                  <c:v>10</c:v>
                </c:pt>
                <c:pt idx="7">
                  <c:v>9</c:v>
                </c:pt>
                <c:pt idx="8">
                  <c:v>10</c:v>
                </c:pt>
                <c:pt idx="9">
                  <c:v>5</c:v>
                </c:pt>
                <c:pt idx="10">
                  <c:v>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'26.10 MIRAMA HILL-NTUNGAMO'!$AC$9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HILL-NTUNGAMO'!$AC$10:$AC$21</c:f>
              <c:numCache>
                <c:formatCode>0</c:formatCode>
                <c:ptCount val="12"/>
                <c:pt idx="0">
                  <c:v>13</c:v>
                </c:pt>
                <c:pt idx="1">
                  <c:v>10</c:v>
                </c:pt>
                <c:pt idx="2">
                  <c:v>16</c:v>
                </c:pt>
                <c:pt idx="3">
                  <c:v>8</c:v>
                </c:pt>
                <c:pt idx="4">
                  <c:v>16</c:v>
                </c:pt>
                <c:pt idx="5">
                  <c:v>9</c:v>
                </c:pt>
                <c:pt idx="6">
                  <c:v>12</c:v>
                </c:pt>
                <c:pt idx="7">
                  <c:v>9</c:v>
                </c:pt>
                <c:pt idx="8">
                  <c:v>13</c:v>
                </c:pt>
                <c:pt idx="9">
                  <c:v>9</c:v>
                </c:pt>
                <c:pt idx="10">
                  <c:v>10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'26.10 MIRAMA HILL-NTUNGAMO'!$AD$9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'26.10 MIRAMA HILL-NTUNGAMO'!$AD$10:$AD$21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19136"/>
        <c:axId val="167025016"/>
      </c:lineChart>
      <c:catAx>
        <c:axId val="16701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025016"/>
        <c:crosses val="autoZero"/>
        <c:auto val="1"/>
        <c:lblAlgn val="ctr"/>
        <c:lblOffset val="100"/>
        <c:noMultiLvlLbl val="0"/>
      </c:catAx>
      <c:valAx>
        <c:axId val="167025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01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MIRAMA HILL-NTUNGAMO'!$C$9:$N$9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MIRAMA HILL-NTUNGAMO'!$C$60:$N$60</c:f>
              <c:numCache>
                <c:formatCode>0.00%</c:formatCode>
                <c:ptCount val="12"/>
                <c:pt idx="0">
                  <c:v>0.3193916349809886</c:v>
                </c:pt>
                <c:pt idx="1">
                  <c:v>8.7452471482889732E-2</c:v>
                </c:pt>
                <c:pt idx="2">
                  <c:v>5.7034220532319393E-2</c:v>
                </c:pt>
                <c:pt idx="3">
                  <c:v>3.8022813688212928E-3</c:v>
                </c:pt>
                <c:pt idx="4">
                  <c:v>3.8022813688212928E-3</c:v>
                </c:pt>
                <c:pt idx="5">
                  <c:v>3.8022813688212928E-3</c:v>
                </c:pt>
                <c:pt idx="6">
                  <c:v>5.7034220532319393E-2</c:v>
                </c:pt>
                <c:pt idx="7">
                  <c:v>3.8022813688212927E-2</c:v>
                </c:pt>
                <c:pt idx="8">
                  <c:v>9.8859315589353611E-2</c:v>
                </c:pt>
                <c:pt idx="9">
                  <c:v>0.33079847908745247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Ntungamo-Mirama'!$AE$9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Ntungamo-Mirama'!$R$10:$R$33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Ntungamo-Mirama'!$AE$10:$AE$33</c:f>
              <c:numCache>
                <c:formatCode>0</c:formatCode>
                <c:ptCount val="24"/>
                <c:pt idx="0">
                  <c:v>2.5</c:v>
                </c:pt>
                <c:pt idx="1">
                  <c:v>2.5</c:v>
                </c:pt>
                <c:pt idx="2">
                  <c:v>7</c:v>
                </c:pt>
                <c:pt idx="3">
                  <c:v>5</c:v>
                </c:pt>
                <c:pt idx="4">
                  <c:v>8.5</c:v>
                </c:pt>
                <c:pt idx="5">
                  <c:v>5.5</c:v>
                </c:pt>
                <c:pt idx="6">
                  <c:v>10.5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7</c:v>
                </c:pt>
                <c:pt idx="11">
                  <c:v>6.5</c:v>
                </c:pt>
                <c:pt idx="12">
                  <c:v>1</c:v>
                </c:pt>
                <c:pt idx="13">
                  <c:v>3</c:v>
                </c:pt>
                <c:pt idx="14">
                  <c:v>5</c:v>
                </c:pt>
                <c:pt idx="15">
                  <c:v>1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7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Ntungamo-Mirama'!$AF$9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Ntungamo-Mirama'!$R$10:$R$33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Ntungamo-Mirama'!$AF$10:$AF$33</c:f>
              <c:numCache>
                <c:formatCode>0</c:formatCode>
                <c:ptCount val="24"/>
                <c:pt idx="0">
                  <c:v>10.5</c:v>
                </c:pt>
                <c:pt idx="1">
                  <c:v>8</c:v>
                </c:pt>
                <c:pt idx="2">
                  <c:v>19.5</c:v>
                </c:pt>
                <c:pt idx="3">
                  <c:v>19</c:v>
                </c:pt>
                <c:pt idx="4">
                  <c:v>19.5</c:v>
                </c:pt>
                <c:pt idx="5">
                  <c:v>15.5</c:v>
                </c:pt>
                <c:pt idx="6">
                  <c:v>19</c:v>
                </c:pt>
                <c:pt idx="7">
                  <c:v>20</c:v>
                </c:pt>
                <c:pt idx="8">
                  <c:v>27</c:v>
                </c:pt>
                <c:pt idx="9">
                  <c:v>18.5</c:v>
                </c:pt>
                <c:pt idx="10">
                  <c:v>21</c:v>
                </c:pt>
                <c:pt idx="11">
                  <c:v>13.5</c:v>
                </c:pt>
                <c:pt idx="12">
                  <c:v>3</c:v>
                </c:pt>
                <c:pt idx="13">
                  <c:v>10</c:v>
                </c:pt>
                <c:pt idx="14">
                  <c:v>5</c:v>
                </c:pt>
                <c:pt idx="15">
                  <c:v>1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7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89616"/>
        <c:axId val="205192752"/>
      </c:lineChart>
      <c:catAx>
        <c:axId val="205189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5192752"/>
        <c:crosses val="autoZero"/>
        <c:auto val="1"/>
        <c:lblAlgn val="ctr"/>
        <c:lblOffset val="100"/>
        <c:noMultiLvlLbl val="0"/>
      </c:catAx>
      <c:valAx>
        <c:axId val="205192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518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Ntungamo-Mirama'!$C$9:$N$9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Ntungamo-Mirama'!$C$107:$N$107</c:f>
              <c:numCache>
                <c:formatCode>0.0%</c:formatCode>
                <c:ptCount val="12"/>
                <c:pt idx="0">
                  <c:v>0.14087301587301587</c:v>
                </c:pt>
                <c:pt idx="1">
                  <c:v>3.968253968253968E-3</c:v>
                </c:pt>
                <c:pt idx="2">
                  <c:v>5.9523809523809521E-3</c:v>
                </c:pt>
                <c:pt idx="3">
                  <c:v>1.984126984126984E-3</c:v>
                </c:pt>
                <c:pt idx="4">
                  <c:v>1.984126984126984E-3</c:v>
                </c:pt>
                <c:pt idx="5">
                  <c:v>0</c:v>
                </c:pt>
                <c:pt idx="6">
                  <c:v>5.9523809523809521E-3</c:v>
                </c:pt>
                <c:pt idx="7">
                  <c:v>9.9206349206349201E-3</c:v>
                </c:pt>
                <c:pt idx="8">
                  <c:v>2.976190476190476E-2</c:v>
                </c:pt>
                <c:pt idx="9">
                  <c:v>0.24007936507936509</c:v>
                </c:pt>
                <c:pt idx="10">
                  <c:v>0.55952380952380953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Ntungamo-Mirama'!$C$9:$N$9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Ntungamo-Mirama'!$C$108:$N$108</c:f>
              <c:numCache>
                <c:formatCode>0.00%</c:formatCode>
                <c:ptCount val="12"/>
                <c:pt idx="0">
                  <c:v>0.31981981981981983</c:v>
                </c:pt>
                <c:pt idx="1">
                  <c:v>9.0090090090090089E-3</c:v>
                </c:pt>
                <c:pt idx="2">
                  <c:v>1.3513513513513514E-2</c:v>
                </c:pt>
                <c:pt idx="3">
                  <c:v>4.5045045045045045E-3</c:v>
                </c:pt>
                <c:pt idx="4">
                  <c:v>4.5045045045045045E-3</c:v>
                </c:pt>
                <c:pt idx="5">
                  <c:v>0</c:v>
                </c:pt>
                <c:pt idx="6">
                  <c:v>1.3513513513513514E-2</c:v>
                </c:pt>
                <c:pt idx="7">
                  <c:v>2.2522522522522521E-2</c:v>
                </c:pt>
                <c:pt idx="8">
                  <c:v>6.7567567567567571E-2</c:v>
                </c:pt>
                <c:pt idx="9">
                  <c:v>0.54504504504504503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Mirama-Ntungamo'!$AE$9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Mirama-Ntungamo'!$R$10:$R$33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Mirama-Ntungamo'!$AE$10:$AE$33</c:f>
              <c:numCache>
                <c:formatCode>0</c:formatCode>
                <c:ptCount val="24"/>
                <c:pt idx="0">
                  <c:v>8</c:v>
                </c:pt>
                <c:pt idx="1">
                  <c:v>13.5</c:v>
                </c:pt>
                <c:pt idx="2">
                  <c:v>27</c:v>
                </c:pt>
                <c:pt idx="3">
                  <c:v>12.5</c:v>
                </c:pt>
                <c:pt idx="4">
                  <c:v>14</c:v>
                </c:pt>
                <c:pt idx="5">
                  <c:v>15</c:v>
                </c:pt>
                <c:pt idx="6">
                  <c:v>22</c:v>
                </c:pt>
                <c:pt idx="7">
                  <c:v>17.5</c:v>
                </c:pt>
                <c:pt idx="8">
                  <c:v>17</c:v>
                </c:pt>
                <c:pt idx="9">
                  <c:v>17</c:v>
                </c:pt>
                <c:pt idx="10">
                  <c:v>12</c:v>
                </c:pt>
                <c:pt idx="11">
                  <c:v>22.5</c:v>
                </c:pt>
                <c:pt idx="12">
                  <c:v>8</c:v>
                </c:pt>
                <c:pt idx="13">
                  <c:v>6</c:v>
                </c:pt>
                <c:pt idx="14">
                  <c:v>11</c:v>
                </c:pt>
                <c:pt idx="15">
                  <c:v>14</c:v>
                </c:pt>
                <c:pt idx="16">
                  <c:v>12</c:v>
                </c:pt>
                <c:pt idx="17">
                  <c:v>3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21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Mirama-Ntungamo'!$AF$9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Mirama-Ntungamo'!$R$10:$R$33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Mirama-Ntungamo'!$AF$10:$AF$33</c:f>
              <c:numCache>
                <c:formatCode>0</c:formatCode>
                <c:ptCount val="24"/>
                <c:pt idx="0">
                  <c:v>19</c:v>
                </c:pt>
                <c:pt idx="1">
                  <c:v>21</c:v>
                </c:pt>
                <c:pt idx="2">
                  <c:v>39.5</c:v>
                </c:pt>
                <c:pt idx="3">
                  <c:v>21</c:v>
                </c:pt>
                <c:pt idx="4">
                  <c:v>27</c:v>
                </c:pt>
                <c:pt idx="5">
                  <c:v>32</c:v>
                </c:pt>
                <c:pt idx="6">
                  <c:v>33.5</c:v>
                </c:pt>
                <c:pt idx="7">
                  <c:v>28.5</c:v>
                </c:pt>
                <c:pt idx="8">
                  <c:v>35</c:v>
                </c:pt>
                <c:pt idx="9">
                  <c:v>27.5</c:v>
                </c:pt>
                <c:pt idx="10">
                  <c:v>27</c:v>
                </c:pt>
                <c:pt idx="11">
                  <c:v>46</c:v>
                </c:pt>
                <c:pt idx="12">
                  <c:v>26</c:v>
                </c:pt>
                <c:pt idx="13">
                  <c:v>12</c:v>
                </c:pt>
                <c:pt idx="14">
                  <c:v>18</c:v>
                </c:pt>
                <c:pt idx="15">
                  <c:v>14</c:v>
                </c:pt>
                <c:pt idx="16">
                  <c:v>12</c:v>
                </c:pt>
                <c:pt idx="17">
                  <c:v>3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32</c:v>
                </c:pt>
                <c:pt idx="23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504296"/>
        <c:axId val="209505080"/>
      </c:lineChart>
      <c:catAx>
        <c:axId val="209504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505080"/>
        <c:crosses val="autoZero"/>
        <c:auto val="1"/>
        <c:lblAlgn val="ctr"/>
        <c:lblOffset val="100"/>
        <c:noMultiLvlLbl val="0"/>
      </c:catAx>
      <c:valAx>
        <c:axId val="209505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504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Mirama-Ntungamo'!$C$9:$N$9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Mirama-Ntungamo'!$C$107:$N$107</c:f>
              <c:numCache>
                <c:formatCode>0.0%</c:formatCode>
                <c:ptCount val="12"/>
                <c:pt idx="0">
                  <c:v>0.14864864864864866</c:v>
                </c:pt>
                <c:pt idx="1">
                  <c:v>3.3333333333333333E-2</c:v>
                </c:pt>
                <c:pt idx="2">
                  <c:v>1.6216216216216217E-2</c:v>
                </c:pt>
                <c:pt idx="3">
                  <c:v>8.1081081081081086E-3</c:v>
                </c:pt>
                <c:pt idx="4">
                  <c:v>9.0090090090090091E-4</c:v>
                </c:pt>
                <c:pt idx="5">
                  <c:v>9.0090090090090091E-4</c:v>
                </c:pt>
                <c:pt idx="6">
                  <c:v>2.7927927927927927E-2</c:v>
                </c:pt>
                <c:pt idx="7">
                  <c:v>3.5135135135135137E-2</c:v>
                </c:pt>
                <c:pt idx="8">
                  <c:v>9.45945945945946E-2</c:v>
                </c:pt>
                <c:pt idx="9">
                  <c:v>0.23783783783783785</c:v>
                </c:pt>
                <c:pt idx="10">
                  <c:v>0.3963963963963964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Mirama-Ntungamo'!$C$9:$N$9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Mirama-Ntungamo'!$C$108:$N$108</c:f>
              <c:numCache>
                <c:formatCode>0.00%</c:formatCode>
                <c:ptCount val="12"/>
                <c:pt idx="0">
                  <c:v>0.2462686567164179</c:v>
                </c:pt>
                <c:pt idx="1">
                  <c:v>5.5223880597014927E-2</c:v>
                </c:pt>
                <c:pt idx="2">
                  <c:v>2.6865671641791045E-2</c:v>
                </c:pt>
                <c:pt idx="3">
                  <c:v>1.3432835820895522E-2</c:v>
                </c:pt>
                <c:pt idx="4">
                  <c:v>1.4925373134328358E-3</c:v>
                </c:pt>
                <c:pt idx="5">
                  <c:v>1.4925373134328358E-3</c:v>
                </c:pt>
                <c:pt idx="6">
                  <c:v>4.6268656716417909E-2</c:v>
                </c:pt>
                <c:pt idx="7">
                  <c:v>5.8208955223880594E-2</c:v>
                </c:pt>
                <c:pt idx="8">
                  <c:v>0.15671641791044777</c:v>
                </c:pt>
                <c:pt idx="9">
                  <c:v>0.39402985074626867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Marima-Ntungamo-2Dir'!$C$9:$N$9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Marima-Ntungamo-2Dir'!$C$107:$N$107</c:f>
              <c:numCache>
                <c:formatCode>0.0%</c:formatCode>
                <c:ptCount val="12"/>
                <c:pt idx="0">
                  <c:v>0.14622057001239158</c:v>
                </c:pt>
                <c:pt idx="1">
                  <c:v>2.4163568773234202E-2</c:v>
                </c:pt>
                <c:pt idx="2">
                  <c:v>1.3011152416356878E-2</c:v>
                </c:pt>
                <c:pt idx="3">
                  <c:v>6.1957868649318466E-3</c:v>
                </c:pt>
                <c:pt idx="4">
                  <c:v>1.2391573729863693E-3</c:v>
                </c:pt>
                <c:pt idx="5">
                  <c:v>6.1957868649318464E-4</c:v>
                </c:pt>
                <c:pt idx="6">
                  <c:v>2.1065675340768277E-2</c:v>
                </c:pt>
                <c:pt idx="7">
                  <c:v>2.7261462205700124E-2</c:v>
                </c:pt>
                <c:pt idx="8">
                  <c:v>7.434944237918216E-2</c:v>
                </c:pt>
                <c:pt idx="9">
                  <c:v>0.23853779429987609</c:v>
                </c:pt>
                <c:pt idx="10">
                  <c:v>0.44733581164807928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Marima-Ntungamo-2Dir'!$C$9:$N$9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Marima-Ntungamo-2Dir'!$C$108:$N$108</c:f>
              <c:numCache>
                <c:formatCode>0.00%</c:formatCode>
                <c:ptCount val="12"/>
                <c:pt idx="0">
                  <c:v>0.26457399103139012</c:v>
                </c:pt>
                <c:pt idx="1">
                  <c:v>4.3721973094170405E-2</c:v>
                </c:pt>
                <c:pt idx="2">
                  <c:v>2.3542600896860985E-2</c:v>
                </c:pt>
                <c:pt idx="3">
                  <c:v>1.1210762331838564E-2</c:v>
                </c:pt>
                <c:pt idx="4">
                  <c:v>2.242152466367713E-3</c:v>
                </c:pt>
                <c:pt idx="5">
                  <c:v>1.1210762331838565E-3</c:v>
                </c:pt>
                <c:pt idx="6">
                  <c:v>3.811659192825112E-2</c:v>
                </c:pt>
                <c:pt idx="7">
                  <c:v>4.9327354260089683E-2</c:v>
                </c:pt>
                <c:pt idx="8">
                  <c:v>0.13452914798206278</c:v>
                </c:pt>
                <c:pt idx="9">
                  <c:v>0.43161434977578478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Marima-Ntungamo-2Dir'!$S$9:$AF$9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Marima-Ntungamo-2Dir'!$S$41:$AF$41</c:f>
              <c:numCache>
                <c:formatCode>_(* #,##0_);_(* \(#,##0\);_(* "-"_);_(@_)</c:formatCode>
                <c:ptCount val="14"/>
                <c:pt idx="0">
                  <c:v>118</c:v>
                </c:pt>
                <c:pt idx="1">
                  <c:v>19.5</c:v>
                </c:pt>
                <c:pt idx="2">
                  <c:v>10.5</c:v>
                </c:pt>
                <c:pt idx="3">
                  <c:v>5</c:v>
                </c:pt>
                <c:pt idx="4">
                  <c:v>1</c:v>
                </c:pt>
                <c:pt idx="5">
                  <c:v>0.5</c:v>
                </c:pt>
                <c:pt idx="6">
                  <c:v>17</c:v>
                </c:pt>
                <c:pt idx="7">
                  <c:v>22</c:v>
                </c:pt>
                <c:pt idx="8">
                  <c:v>60</c:v>
                </c:pt>
                <c:pt idx="9">
                  <c:v>192.5</c:v>
                </c:pt>
                <c:pt idx="10">
                  <c:v>361</c:v>
                </c:pt>
                <c:pt idx="11">
                  <c:v>0</c:v>
                </c:pt>
                <c:pt idx="12">
                  <c:v>446</c:v>
                </c:pt>
                <c:pt idx="13">
                  <c:v>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4-4206-BFDF-A52807E2D1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Marima-Ntungamo-2Dir'!$S$9:$AF$9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Marima-Ntungamo-2Dir'!$S$42:$AF$42</c:f>
              <c:numCache>
                <c:formatCode>0.000</c:formatCode>
                <c:ptCount val="14"/>
                <c:pt idx="0">
                  <c:v>1.1683168316831682</c:v>
                </c:pt>
                <c:pt idx="1">
                  <c:v>1.3448275862068966</c:v>
                </c:pt>
                <c:pt idx="2">
                  <c:v>1.1052631578947369</c:v>
                </c:pt>
                <c:pt idx="3">
                  <c:v>2.5</c:v>
                </c:pt>
                <c:pt idx="4">
                  <c:v>1</c:v>
                </c:pt>
                <c:pt idx="5">
                  <c:v>1</c:v>
                </c:pt>
                <c:pt idx="6">
                  <c:v>1.3076923076923077</c:v>
                </c:pt>
                <c:pt idx="7">
                  <c:v>2</c:v>
                </c:pt>
                <c:pt idx="8">
                  <c:v>2.6086956521739131</c:v>
                </c:pt>
                <c:pt idx="9">
                  <c:v>1.896551724137931</c:v>
                </c:pt>
                <c:pt idx="10">
                  <c:v>1.2405498281786942</c:v>
                </c:pt>
                <c:pt idx="11">
                  <c:v>0</c:v>
                </c:pt>
                <c:pt idx="12">
                  <c:v>1.6101083032490975</c:v>
                </c:pt>
                <c:pt idx="13">
                  <c:v>1.420774647887324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4E-417E-B842-AF9BC64BBA7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Marima-Ntungamo-2Dir'!$AE$9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Marima-Ntungamo-2Dir'!$R$10:$R$33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Marima-Ntungamo-2Dir'!$AE$10:$AE$33</c:f>
              <c:numCache>
                <c:formatCode>0</c:formatCode>
                <c:ptCount val="24"/>
                <c:pt idx="0">
                  <c:v>10.5</c:v>
                </c:pt>
                <c:pt idx="1">
                  <c:v>16</c:v>
                </c:pt>
                <c:pt idx="2">
                  <c:v>34</c:v>
                </c:pt>
                <c:pt idx="3">
                  <c:v>17.5</c:v>
                </c:pt>
                <c:pt idx="4">
                  <c:v>22.5</c:v>
                </c:pt>
                <c:pt idx="5">
                  <c:v>20.5</c:v>
                </c:pt>
                <c:pt idx="6">
                  <c:v>32.5</c:v>
                </c:pt>
                <c:pt idx="7">
                  <c:v>24.5</c:v>
                </c:pt>
                <c:pt idx="8">
                  <c:v>25</c:v>
                </c:pt>
                <c:pt idx="9">
                  <c:v>26</c:v>
                </c:pt>
                <c:pt idx="10">
                  <c:v>19</c:v>
                </c:pt>
                <c:pt idx="11">
                  <c:v>29</c:v>
                </c:pt>
                <c:pt idx="12">
                  <c:v>9</c:v>
                </c:pt>
                <c:pt idx="13">
                  <c:v>9</c:v>
                </c:pt>
                <c:pt idx="14">
                  <c:v>16</c:v>
                </c:pt>
                <c:pt idx="15">
                  <c:v>15</c:v>
                </c:pt>
                <c:pt idx="16">
                  <c:v>15</c:v>
                </c:pt>
                <c:pt idx="17">
                  <c:v>3</c:v>
                </c:pt>
                <c:pt idx="18">
                  <c:v>2</c:v>
                </c:pt>
                <c:pt idx="19">
                  <c:v>3</c:v>
                </c:pt>
                <c:pt idx="20">
                  <c:v>0</c:v>
                </c:pt>
                <c:pt idx="21">
                  <c:v>2</c:v>
                </c:pt>
                <c:pt idx="22">
                  <c:v>28</c:v>
                </c:pt>
                <c:pt idx="23">
                  <c:v>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12-4219-B46F-C6C7D30F44E7}"/>
            </c:ext>
          </c:extLst>
        </c:ser>
        <c:ser>
          <c:idx val="1"/>
          <c:order val="1"/>
          <c:tx>
            <c:strRef>
              <c:f>'Avg Week Marima-Ntungamo-2Dir'!$AF$9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Marima-Ntungamo-2Dir'!$R$10:$R$33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Marima-Ntungamo-2Dir'!$AF$10:$AF$33</c:f>
              <c:numCache>
                <c:formatCode>0</c:formatCode>
                <c:ptCount val="24"/>
                <c:pt idx="0">
                  <c:v>29.5</c:v>
                </c:pt>
                <c:pt idx="1">
                  <c:v>29</c:v>
                </c:pt>
                <c:pt idx="2">
                  <c:v>59</c:v>
                </c:pt>
                <c:pt idx="3">
                  <c:v>40</c:v>
                </c:pt>
                <c:pt idx="4">
                  <c:v>46.5</c:v>
                </c:pt>
                <c:pt idx="5">
                  <c:v>47.5</c:v>
                </c:pt>
                <c:pt idx="6">
                  <c:v>52.5</c:v>
                </c:pt>
                <c:pt idx="7">
                  <c:v>48.5</c:v>
                </c:pt>
                <c:pt idx="8">
                  <c:v>62</c:v>
                </c:pt>
                <c:pt idx="9">
                  <c:v>46</c:v>
                </c:pt>
                <c:pt idx="10">
                  <c:v>48</c:v>
                </c:pt>
                <c:pt idx="11">
                  <c:v>59.5</c:v>
                </c:pt>
                <c:pt idx="12">
                  <c:v>29</c:v>
                </c:pt>
                <c:pt idx="13">
                  <c:v>22</c:v>
                </c:pt>
                <c:pt idx="14">
                  <c:v>23</c:v>
                </c:pt>
                <c:pt idx="15">
                  <c:v>15</c:v>
                </c:pt>
                <c:pt idx="16">
                  <c:v>15</c:v>
                </c:pt>
                <c:pt idx="17">
                  <c:v>3</c:v>
                </c:pt>
                <c:pt idx="18">
                  <c:v>2</c:v>
                </c:pt>
                <c:pt idx="19">
                  <c:v>3</c:v>
                </c:pt>
                <c:pt idx="20">
                  <c:v>0</c:v>
                </c:pt>
                <c:pt idx="21">
                  <c:v>3</c:v>
                </c:pt>
                <c:pt idx="22">
                  <c:v>39</c:v>
                </c:pt>
                <c:pt idx="23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12-4219-B46F-C6C7D30F44E7}"/>
            </c:ext>
          </c:extLst>
        </c:ser>
        <c:ser>
          <c:idx val="5"/>
          <c:order val="2"/>
          <c:tx>
            <c:strRef>
              <c:f>'Avg Week Marima-Ntungamo-2Dir'!$AC$9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Marima-Ntungamo-2Dir'!$R$10:$R$33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Marima-Ntungamo-2Dir'!$AC$10:$AC$33</c:f>
              <c:numCache>
                <c:formatCode>0</c:formatCode>
                <c:ptCount val="24"/>
                <c:pt idx="0">
                  <c:v>19</c:v>
                </c:pt>
                <c:pt idx="1">
                  <c:v>13</c:v>
                </c:pt>
                <c:pt idx="2">
                  <c:v>25</c:v>
                </c:pt>
                <c:pt idx="3">
                  <c:v>22.5</c:v>
                </c:pt>
                <c:pt idx="4">
                  <c:v>24</c:v>
                </c:pt>
                <c:pt idx="5">
                  <c:v>27</c:v>
                </c:pt>
                <c:pt idx="6">
                  <c:v>20</c:v>
                </c:pt>
                <c:pt idx="7">
                  <c:v>24</c:v>
                </c:pt>
                <c:pt idx="8">
                  <c:v>37</c:v>
                </c:pt>
                <c:pt idx="9">
                  <c:v>20</c:v>
                </c:pt>
                <c:pt idx="10">
                  <c:v>29</c:v>
                </c:pt>
                <c:pt idx="11">
                  <c:v>30.5</c:v>
                </c:pt>
                <c:pt idx="12">
                  <c:v>20</c:v>
                </c:pt>
                <c:pt idx="13">
                  <c:v>13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11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12-4219-B46F-C6C7D30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pn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" Type="http://schemas.openxmlformats.org/officeDocument/2006/relationships/chart" Target="../charts/chart7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13.xml"/><Relationship Id="rId1" Type="http://schemas.openxmlformats.org/officeDocument/2006/relationships/chart" Target="../charts/chart10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2.xml"/><Relationship Id="rId10" Type="http://schemas.openxmlformats.org/officeDocument/2006/relationships/image" Target="../media/image18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20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24.xml"/><Relationship Id="rId2" Type="http://schemas.openxmlformats.org/officeDocument/2006/relationships/image" Target="../media/image2.emf"/><Relationship Id="rId16" Type="http://schemas.openxmlformats.org/officeDocument/2006/relationships/chart" Target="../charts/chart23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png"/><Relationship Id="rId5" Type="http://schemas.openxmlformats.org/officeDocument/2006/relationships/image" Target="../media/image5.emf"/><Relationship Id="rId15" Type="http://schemas.openxmlformats.org/officeDocument/2006/relationships/chart" Target="../charts/chart22.xml"/><Relationship Id="rId10" Type="http://schemas.openxmlformats.org/officeDocument/2006/relationships/image" Target="../media/image19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31751</xdr:colOff>
      <xdr:row>59</xdr:row>
      <xdr:rowOff>9525</xdr:rowOff>
    </xdr:from>
    <xdr:to>
      <xdr:col>30</xdr:col>
      <xdr:colOff>63501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15874</xdr:colOff>
      <xdr:row>59</xdr:row>
      <xdr:rowOff>15875</xdr:rowOff>
    </xdr:from>
    <xdr:to>
      <xdr:col>24</xdr:col>
      <xdr:colOff>15874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22224</xdr:rowOff>
    </xdr:from>
    <xdr:to>
      <xdr:col>28</xdr:col>
      <xdr:colOff>0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15876</xdr:colOff>
      <xdr:row>58</xdr:row>
      <xdr:rowOff>279400</xdr:rowOff>
    </xdr:from>
    <xdr:to>
      <xdr:col>30</xdr:col>
      <xdr:colOff>47626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59</xdr:row>
      <xdr:rowOff>15875</xdr:rowOff>
    </xdr:from>
    <xdr:to>
      <xdr:col>24</xdr:col>
      <xdr:colOff>15876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24</xdr:col>
      <xdr:colOff>190500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31750</xdr:rowOff>
    </xdr:from>
    <xdr:to>
      <xdr:col>24</xdr:col>
      <xdr:colOff>206375</xdr:colOff>
      <xdr:row>91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206375</xdr:colOff>
      <xdr:row>59</xdr:row>
      <xdr:rowOff>1586</xdr:rowOff>
    </xdr:from>
    <xdr:to>
      <xdr:col>31</xdr:col>
      <xdr:colOff>15875</xdr:colOff>
      <xdr:row>74</xdr:row>
      <xdr:rowOff>31749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1D834B2-6CC2-4FE2-88AB-5DBA1061C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222251</xdr:colOff>
      <xdr:row>74</xdr:row>
      <xdr:rowOff>33336</xdr:rowOff>
    </xdr:from>
    <xdr:to>
      <xdr:col>31</xdr:col>
      <xdr:colOff>47626</xdr:colOff>
      <xdr:row>91</xdr:row>
      <xdr:rowOff>31749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30D4A8-6657-4C34-823A-B874C9C956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15875</xdr:colOff>
      <xdr:row>43</xdr:row>
      <xdr:rowOff>0</xdr:rowOff>
    </xdr:from>
    <xdr:to>
      <xdr:col>31</xdr:col>
      <xdr:colOff>0</xdr:colOff>
      <xdr:row>58</xdr:row>
      <xdr:rowOff>15875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DE33D0E-E6F6-41C3-83DA-F35381207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F174"/>
  <sheetViews>
    <sheetView view="pageBreakPreview" topLeftCell="A37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163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8" t="s">
        <v>169</v>
      </c>
      <c r="H5" s="59"/>
      <c r="I5" s="14"/>
      <c r="J5" s="2" t="s">
        <v>5</v>
      </c>
      <c r="K5" s="58" t="s">
        <v>166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'26.10 NTUNGAMO-MIRAMA HILL'!D6:E6</f>
        <v>NTUNGAMO</v>
      </c>
      <c r="E6" s="59"/>
      <c r="F6" s="2" t="s">
        <v>2</v>
      </c>
      <c r="G6" s="58" t="str">
        <f>'26.10 NTUNGAMO-MIRAMA HILL'!G6:H6</f>
        <v>MIRAMA</v>
      </c>
      <c r="H6" s="59"/>
      <c r="J6" s="2" t="s">
        <v>21</v>
      </c>
      <c r="K6" s="58" t="s">
        <v>167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1</v>
      </c>
      <c r="AB10" s="17">
        <f t="shared" si="2"/>
        <v>1</v>
      </c>
      <c r="AC10" s="17">
        <f t="shared" si="2"/>
        <v>12</v>
      </c>
      <c r="AD10" s="17">
        <f t="shared" si="2"/>
        <v>0</v>
      </c>
      <c r="AE10" s="31">
        <f t="shared" si="2"/>
        <v>5</v>
      </c>
      <c r="AF10" s="31">
        <f t="shared" si="2"/>
        <v>17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1</v>
      </c>
      <c r="P11" s="15">
        <f t="shared" si="1"/>
        <v>5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6</v>
      </c>
      <c r="AD11" s="17">
        <f t="shared" si="3"/>
        <v>0</v>
      </c>
      <c r="AE11" s="31">
        <f t="shared" si="3"/>
        <v>4</v>
      </c>
      <c r="AF11" s="31">
        <f t="shared" si="3"/>
        <v>10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7</v>
      </c>
      <c r="AD12" s="17">
        <f t="shared" si="4"/>
        <v>0</v>
      </c>
      <c r="AE12" s="31">
        <f t="shared" si="4"/>
        <v>4</v>
      </c>
      <c r="AF12" s="31">
        <f t="shared" si="4"/>
        <v>11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1</v>
      </c>
      <c r="L13" s="50">
        <v>1</v>
      </c>
      <c r="M13" s="50">
        <v>0</v>
      </c>
      <c r="N13" s="50">
        <v>0</v>
      </c>
      <c r="O13" s="15">
        <f t="shared" si="0"/>
        <v>4</v>
      </c>
      <c r="P13" s="15">
        <f t="shared" si="1"/>
        <v>4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9</v>
      </c>
      <c r="AD13" s="17">
        <f t="shared" si="5"/>
        <v>0</v>
      </c>
      <c r="AE13" s="31">
        <f t="shared" si="5"/>
        <v>3</v>
      </c>
      <c r="AF13" s="31">
        <f t="shared" si="5"/>
        <v>12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2</v>
      </c>
      <c r="N14" s="50">
        <v>0</v>
      </c>
      <c r="O14" s="15">
        <f t="shared" si="0"/>
        <v>2</v>
      </c>
      <c r="P14" s="15">
        <f t="shared" si="1"/>
        <v>4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11</v>
      </c>
      <c r="AD14" s="17">
        <f t="shared" si="6"/>
        <v>0</v>
      </c>
      <c r="AE14" s="31">
        <f t="shared" si="6"/>
        <v>7</v>
      </c>
      <c r="AF14" s="31">
        <f t="shared" si="6"/>
        <v>18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2</v>
      </c>
      <c r="M15" s="50">
        <v>3</v>
      </c>
      <c r="N15" s="50">
        <v>0</v>
      </c>
      <c r="O15" s="15">
        <f t="shared" si="0"/>
        <v>2</v>
      </c>
      <c r="P15" s="15">
        <f t="shared" si="1"/>
        <v>5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</v>
      </c>
      <c r="AD15" s="17">
        <f t="shared" si="7"/>
        <v>0</v>
      </c>
      <c r="AE15" s="31">
        <f t="shared" si="7"/>
        <v>4</v>
      </c>
      <c r="AF15" s="31">
        <f t="shared" si="7"/>
        <v>12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0</v>
      </c>
      <c r="P16" s="15">
        <f t="shared" si="1"/>
        <v>1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9</v>
      </c>
      <c r="AC16" s="17">
        <f t="shared" si="8"/>
        <v>9</v>
      </c>
      <c r="AD16" s="17">
        <f t="shared" si="8"/>
        <v>0</v>
      </c>
      <c r="AE16" s="31">
        <f t="shared" si="8"/>
        <v>13</v>
      </c>
      <c r="AF16" s="31">
        <f t="shared" si="8"/>
        <v>22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14</v>
      </c>
      <c r="AD17" s="17">
        <f t="shared" si="9"/>
        <v>0</v>
      </c>
      <c r="AE17" s="31">
        <f t="shared" si="9"/>
        <v>4</v>
      </c>
      <c r="AF17" s="31">
        <f t="shared" si="9"/>
        <v>18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1</v>
      </c>
      <c r="P18" s="15">
        <f t="shared" si="1"/>
        <v>4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1</v>
      </c>
      <c r="AB18" s="17">
        <f t="shared" si="10"/>
        <v>4</v>
      </c>
      <c r="AC18" s="17">
        <f t="shared" si="10"/>
        <v>26</v>
      </c>
      <c r="AD18" s="17">
        <f t="shared" si="10"/>
        <v>0</v>
      </c>
      <c r="AE18" s="31">
        <f t="shared" si="10"/>
        <v>8</v>
      </c>
      <c r="AF18" s="31">
        <f t="shared" si="10"/>
        <v>34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0</v>
      </c>
      <c r="N19" s="50">
        <v>0</v>
      </c>
      <c r="O19" s="15">
        <f t="shared" si="0"/>
        <v>1</v>
      </c>
      <c r="P19" s="15">
        <f t="shared" si="1"/>
        <v>1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0</v>
      </c>
      <c r="AB19" s="17">
        <f t="shared" si="11"/>
        <v>3</v>
      </c>
      <c r="AC19" s="17">
        <f t="shared" si="11"/>
        <v>16</v>
      </c>
      <c r="AD19" s="17">
        <f t="shared" si="11"/>
        <v>0</v>
      </c>
      <c r="AE19" s="31">
        <f t="shared" si="11"/>
        <v>14</v>
      </c>
      <c r="AF19" s="31">
        <f t="shared" si="11"/>
        <v>30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13</v>
      </c>
      <c r="AD20" s="17">
        <f t="shared" si="12"/>
        <v>0</v>
      </c>
      <c r="AE20" s="31">
        <f t="shared" si="12"/>
        <v>4</v>
      </c>
      <c r="AF20" s="31">
        <f t="shared" si="12"/>
        <v>17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2</v>
      </c>
      <c r="P21" s="15">
        <f t="shared" si="1"/>
        <v>6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3</v>
      </c>
      <c r="AC21" s="17">
        <f t="shared" si="13"/>
        <v>9</v>
      </c>
      <c r="AD21" s="17">
        <f t="shared" si="13"/>
        <v>0</v>
      </c>
      <c r="AE21" s="31">
        <f t="shared" si="13"/>
        <v>6</v>
      </c>
      <c r="AF21" s="31">
        <f t="shared" si="13"/>
        <v>15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</v>
      </c>
      <c r="P22" s="15">
        <f t="shared" si="1"/>
        <v>3</v>
      </c>
      <c r="R22" s="36" t="s">
        <v>146</v>
      </c>
      <c r="S22" s="34">
        <f>SUM(C58:C61)</f>
        <v>1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</v>
      </c>
      <c r="AD22" s="34">
        <f t="shared" si="14"/>
        <v>0</v>
      </c>
      <c r="AE22" s="31">
        <f t="shared" si="14"/>
        <v>1</v>
      </c>
      <c r="AF22" s="31">
        <f t="shared" si="14"/>
        <v>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0</v>
      </c>
      <c r="P23" s="15">
        <f t="shared" si="1"/>
        <v>4</v>
      </c>
      <c r="R23" s="36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1</v>
      </c>
      <c r="AC23" s="34">
        <f t="shared" si="15"/>
        <v>7</v>
      </c>
      <c r="AD23" s="34">
        <f t="shared" si="15"/>
        <v>0</v>
      </c>
      <c r="AE23" s="31">
        <f t="shared" si="15"/>
        <v>3</v>
      </c>
      <c r="AF23" s="31">
        <f t="shared" si="15"/>
        <v>10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5</v>
      </c>
      <c r="AC24" s="34">
        <f t="shared" si="16"/>
        <v>0</v>
      </c>
      <c r="AD24" s="34">
        <f t="shared" si="16"/>
        <v>0</v>
      </c>
      <c r="AE24" s="31">
        <f t="shared" si="16"/>
        <v>5</v>
      </c>
      <c r="AF24" s="31">
        <f t="shared" si="16"/>
        <v>5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0</v>
      </c>
      <c r="P25" s="15">
        <f t="shared" si="1"/>
        <v>0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0</v>
      </c>
      <c r="AD25" s="34">
        <f t="shared" si="17"/>
        <v>0</v>
      </c>
      <c r="AE25" s="31">
        <f t="shared" si="17"/>
        <v>1</v>
      </c>
      <c r="AF25" s="31">
        <f t="shared" si="17"/>
        <v>1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1</v>
      </c>
      <c r="N26" s="50">
        <v>0</v>
      </c>
      <c r="O26" s="15">
        <f t="shared" si="0"/>
        <v>3</v>
      </c>
      <c r="P26" s="15">
        <f t="shared" si="1"/>
        <v>4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1</v>
      </c>
      <c r="AB26" s="34">
        <f t="shared" si="18"/>
        <v>2</v>
      </c>
      <c r="AC26" s="34">
        <f t="shared" si="18"/>
        <v>0</v>
      </c>
      <c r="AD26" s="34">
        <f t="shared" si="18"/>
        <v>0</v>
      </c>
      <c r="AE26" s="31">
        <f t="shared" si="18"/>
        <v>3</v>
      </c>
      <c r="AF26" s="31">
        <f t="shared" si="18"/>
        <v>3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4</v>
      </c>
      <c r="N27" s="50">
        <v>0</v>
      </c>
      <c r="O27" s="15">
        <f t="shared" si="0"/>
        <v>1</v>
      </c>
      <c r="P27" s="15">
        <f t="shared" si="1"/>
        <v>5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2</v>
      </c>
      <c r="P28" s="15">
        <f t="shared" si="1"/>
        <v>5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3</v>
      </c>
      <c r="N29" s="50">
        <v>0</v>
      </c>
      <c r="O29" s="15">
        <f t="shared" si="0"/>
        <v>1</v>
      </c>
      <c r="P29" s="15">
        <f t="shared" si="1"/>
        <v>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0</v>
      </c>
      <c r="P30" s="15">
        <f t="shared" si="1"/>
        <v>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1</v>
      </c>
      <c r="P31" s="15">
        <f t="shared" si="1"/>
        <v>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2</v>
      </c>
      <c r="P32" s="15">
        <f t="shared" si="1"/>
        <v>5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7</v>
      </c>
      <c r="AC32" s="34">
        <f t="shared" si="24"/>
        <v>0</v>
      </c>
      <c r="AD32" s="34">
        <f t="shared" si="24"/>
        <v>0</v>
      </c>
      <c r="AE32" s="31">
        <f t="shared" si="24"/>
        <v>7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3</v>
      </c>
      <c r="AB33" s="34">
        <f t="shared" si="25"/>
        <v>6</v>
      </c>
      <c r="AC33" s="34">
        <f t="shared" si="25"/>
        <v>0</v>
      </c>
      <c r="AD33" s="34">
        <f t="shared" si="25"/>
        <v>0</v>
      </c>
      <c r="AE33" s="31">
        <f t="shared" si="25"/>
        <v>9</v>
      </c>
      <c r="AF33" s="31">
        <f t="shared" si="25"/>
        <v>9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3</v>
      </c>
      <c r="M34" s="50">
        <v>1</v>
      </c>
      <c r="N34" s="50">
        <v>0</v>
      </c>
      <c r="O34" s="15">
        <f t="shared" si="0"/>
        <v>4</v>
      </c>
      <c r="P34" s="15">
        <f t="shared" si="1"/>
        <v>5</v>
      </c>
      <c r="R34" s="38" t="s">
        <v>90</v>
      </c>
      <c r="S34" s="39">
        <f t="shared" ref="S34:AF34" si="26">MAX(S10:S12)</f>
        <v>2</v>
      </c>
      <c r="T34" s="39">
        <f t="shared" si="26"/>
        <v>0</v>
      </c>
      <c r="U34" s="39">
        <f t="shared" si="26"/>
        <v>0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0</v>
      </c>
      <c r="Z34" s="39">
        <f t="shared" si="26"/>
        <v>1</v>
      </c>
      <c r="AA34" s="39">
        <f t="shared" si="26"/>
        <v>1</v>
      </c>
      <c r="AB34" s="39">
        <f t="shared" si="26"/>
        <v>3</v>
      </c>
      <c r="AC34" s="39">
        <f t="shared" si="26"/>
        <v>12</v>
      </c>
      <c r="AD34" s="39">
        <f t="shared" si="26"/>
        <v>0</v>
      </c>
      <c r="AE34" s="40">
        <f t="shared" si="26"/>
        <v>5</v>
      </c>
      <c r="AF34" s="40">
        <f t="shared" si="26"/>
        <v>17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0</v>
      </c>
      <c r="P35" s="15">
        <f t="shared" si="1"/>
        <v>4</v>
      </c>
      <c r="R35" s="38" t="s">
        <v>91</v>
      </c>
      <c r="S35" s="39">
        <f t="shared" ref="S35:AF35" si="27">MAX(S13:S18)</f>
        <v>3</v>
      </c>
      <c r="T35" s="39">
        <f t="shared" si="27"/>
        <v>0</v>
      </c>
      <c r="U35" s="39">
        <f t="shared" si="27"/>
        <v>1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1</v>
      </c>
      <c r="Z35" s="39">
        <f t="shared" si="27"/>
        <v>0</v>
      </c>
      <c r="AA35" s="39">
        <f t="shared" si="27"/>
        <v>1</v>
      </c>
      <c r="AB35" s="39">
        <f t="shared" si="27"/>
        <v>9</v>
      </c>
      <c r="AC35" s="39">
        <f t="shared" si="27"/>
        <v>26</v>
      </c>
      <c r="AD35" s="39">
        <f t="shared" si="27"/>
        <v>0</v>
      </c>
      <c r="AE35" s="40">
        <f t="shared" si="27"/>
        <v>13</v>
      </c>
      <c r="AF35" s="40">
        <f t="shared" si="27"/>
        <v>34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3</v>
      </c>
      <c r="M36" s="50">
        <v>3</v>
      </c>
      <c r="N36" s="50">
        <v>0</v>
      </c>
      <c r="O36" s="15">
        <f t="shared" si="0"/>
        <v>4</v>
      </c>
      <c r="P36" s="15">
        <f t="shared" si="1"/>
        <v>7</v>
      </c>
      <c r="R36" s="38" t="s">
        <v>92</v>
      </c>
      <c r="S36" s="39">
        <f t="shared" ref="S36:AF36" si="28">MAX(S19:S21)</f>
        <v>8</v>
      </c>
      <c r="T36" s="39">
        <f t="shared" si="28"/>
        <v>0</v>
      </c>
      <c r="U36" s="39">
        <f t="shared" si="28"/>
        <v>0</v>
      </c>
      <c r="V36" s="39">
        <f t="shared" si="28"/>
        <v>1</v>
      </c>
      <c r="W36" s="39">
        <f t="shared" si="28"/>
        <v>1</v>
      </c>
      <c r="X36" s="39">
        <f t="shared" si="28"/>
        <v>0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3</v>
      </c>
      <c r="AC36" s="39">
        <f t="shared" si="28"/>
        <v>16</v>
      </c>
      <c r="AD36" s="39">
        <f t="shared" si="28"/>
        <v>0</v>
      </c>
      <c r="AE36" s="40">
        <f t="shared" si="28"/>
        <v>14</v>
      </c>
      <c r="AF36" s="40">
        <f t="shared" si="28"/>
        <v>30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3</v>
      </c>
      <c r="M37" s="50">
        <v>1</v>
      </c>
      <c r="N37" s="50">
        <v>0</v>
      </c>
      <c r="O37" s="15">
        <f t="shared" si="0"/>
        <v>5</v>
      </c>
      <c r="P37" s="15">
        <f t="shared" si="1"/>
        <v>6</v>
      </c>
      <c r="R37" s="37" t="s">
        <v>85</v>
      </c>
      <c r="S37" s="35">
        <f t="shared" ref="S37:AF37" si="29">SUM(S10:S12)</f>
        <v>5</v>
      </c>
      <c r="T37" s="16">
        <f t="shared" si="29"/>
        <v>0</v>
      </c>
      <c r="U37" s="16">
        <f t="shared" si="29"/>
        <v>0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0</v>
      </c>
      <c r="Z37" s="16">
        <f t="shared" si="29"/>
        <v>2</v>
      </c>
      <c r="AA37" s="16">
        <f t="shared" si="29"/>
        <v>1</v>
      </c>
      <c r="AB37" s="16">
        <f t="shared" si="29"/>
        <v>5</v>
      </c>
      <c r="AC37" s="16">
        <f t="shared" si="29"/>
        <v>25</v>
      </c>
      <c r="AD37" s="16">
        <f t="shared" si="29"/>
        <v>0</v>
      </c>
      <c r="AE37" s="32">
        <f t="shared" si="29"/>
        <v>13</v>
      </c>
      <c r="AF37" s="32">
        <f t="shared" si="29"/>
        <v>38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</v>
      </c>
      <c r="P38" s="15">
        <f t="shared" si="1"/>
        <v>9</v>
      </c>
      <c r="R38" s="28" t="s">
        <v>86</v>
      </c>
      <c r="S38" s="16">
        <f t="shared" ref="S38:AF38" si="30">SUM(S13:S18)</f>
        <v>16</v>
      </c>
      <c r="T38" s="16">
        <f t="shared" si="30"/>
        <v>0</v>
      </c>
      <c r="U38" s="16">
        <f t="shared" si="30"/>
        <v>1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1</v>
      </c>
      <c r="Z38" s="16">
        <f t="shared" si="30"/>
        <v>0</v>
      </c>
      <c r="AA38" s="16">
        <f t="shared" si="30"/>
        <v>3</v>
      </c>
      <c r="AB38" s="16">
        <f t="shared" si="30"/>
        <v>18</v>
      </c>
      <c r="AC38" s="16">
        <f t="shared" si="30"/>
        <v>77</v>
      </c>
      <c r="AD38" s="16">
        <f t="shared" si="30"/>
        <v>0</v>
      </c>
      <c r="AE38" s="32">
        <f t="shared" si="30"/>
        <v>39</v>
      </c>
      <c r="AF38" s="32">
        <f t="shared" si="30"/>
        <v>116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0</v>
      </c>
      <c r="P39" s="15">
        <f t="shared" si="1"/>
        <v>1</v>
      </c>
      <c r="R39" s="29" t="s">
        <v>87</v>
      </c>
      <c r="S39" s="16">
        <f t="shared" ref="S39:AF39" si="31">SUM(S19:S21)</f>
        <v>11</v>
      </c>
      <c r="T39" s="16">
        <f t="shared" si="31"/>
        <v>0</v>
      </c>
      <c r="U39" s="16">
        <f t="shared" si="31"/>
        <v>0</v>
      </c>
      <c r="V39" s="16">
        <f t="shared" si="31"/>
        <v>1</v>
      </c>
      <c r="W39" s="16">
        <f t="shared" si="31"/>
        <v>1</v>
      </c>
      <c r="X39" s="16">
        <f t="shared" si="31"/>
        <v>0</v>
      </c>
      <c r="Y39" s="16">
        <f t="shared" si="31"/>
        <v>1</v>
      </c>
      <c r="Z39" s="16">
        <f t="shared" si="31"/>
        <v>2</v>
      </c>
      <c r="AA39" s="16">
        <f t="shared" si="31"/>
        <v>0</v>
      </c>
      <c r="AB39" s="16">
        <f t="shared" si="31"/>
        <v>8</v>
      </c>
      <c r="AC39" s="16">
        <f t="shared" si="31"/>
        <v>38</v>
      </c>
      <c r="AD39" s="16">
        <f t="shared" si="31"/>
        <v>0</v>
      </c>
      <c r="AE39" s="32">
        <f t="shared" si="31"/>
        <v>24</v>
      </c>
      <c r="AF39" s="32">
        <f t="shared" si="31"/>
        <v>62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0</v>
      </c>
      <c r="P40" s="15">
        <f t="shared" si="1"/>
        <v>3</v>
      </c>
      <c r="R40" s="5" t="s">
        <v>17</v>
      </c>
      <c r="S40" s="16">
        <f t="shared" ref="S40:AF40" si="32">SUM(S10:S21)</f>
        <v>32</v>
      </c>
      <c r="T40" s="16">
        <f t="shared" si="32"/>
        <v>0</v>
      </c>
      <c r="U40" s="16">
        <f t="shared" si="32"/>
        <v>1</v>
      </c>
      <c r="V40" s="16">
        <f t="shared" si="32"/>
        <v>1</v>
      </c>
      <c r="W40" s="16">
        <f t="shared" si="32"/>
        <v>1</v>
      </c>
      <c r="X40" s="16">
        <f t="shared" si="32"/>
        <v>0</v>
      </c>
      <c r="Y40" s="16">
        <f t="shared" si="32"/>
        <v>2</v>
      </c>
      <c r="Z40" s="16">
        <f t="shared" si="32"/>
        <v>4</v>
      </c>
      <c r="AA40" s="16">
        <f t="shared" si="32"/>
        <v>4</v>
      </c>
      <c r="AB40" s="16">
        <f t="shared" si="32"/>
        <v>31</v>
      </c>
      <c r="AC40" s="16">
        <f t="shared" si="32"/>
        <v>140</v>
      </c>
      <c r="AD40" s="16">
        <f t="shared" si="32"/>
        <v>0</v>
      </c>
      <c r="AE40" s="32">
        <f t="shared" si="32"/>
        <v>76</v>
      </c>
      <c r="AF40" s="32">
        <f t="shared" si="32"/>
        <v>216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3</v>
      </c>
      <c r="N41" s="50">
        <v>0</v>
      </c>
      <c r="O41" s="15">
        <f t="shared" si="0"/>
        <v>2</v>
      </c>
      <c r="P41" s="15">
        <f t="shared" si="1"/>
        <v>5</v>
      </c>
      <c r="R41" s="5" t="s">
        <v>159</v>
      </c>
      <c r="S41" s="16">
        <f>SUM(S10:S33)</f>
        <v>35</v>
      </c>
      <c r="T41" s="16">
        <f t="shared" ref="T41:AF41" si="33">SUM(T10:T33)</f>
        <v>0</v>
      </c>
      <c r="U41" s="16">
        <f t="shared" si="33"/>
        <v>1</v>
      </c>
      <c r="V41" s="16">
        <f t="shared" si="33"/>
        <v>1</v>
      </c>
      <c r="W41" s="16">
        <f t="shared" si="33"/>
        <v>1</v>
      </c>
      <c r="X41" s="16">
        <f t="shared" si="33"/>
        <v>0</v>
      </c>
      <c r="Y41" s="16">
        <f t="shared" si="33"/>
        <v>2</v>
      </c>
      <c r="Z41" s="16">
        <f t="shared" si="33"/>
        <v>4</v>
      </c>
      <c r="AA41" s="16">
        <f t="shared" si="33"/>
        <v>8</v>
      </c>
      <c r="AB41" s="16">
        <f t="shared" si="33"/>
        <v>56</v>
      </c>
      <c r="AC41" s="16">
        <f t="shared" si="33"/>
        <v>149</v>
      </c>
      <c r="AD41" s="16">
        <f t="shared" si="33"/>
        <v>0</v>
      </c>
      <c r="AE41" s="32">
        <f t="shared" si="33"/>
        <v>108</v>
      </c>
      <c r="AF41" s="32">
        <f t="shared" si="33"/>
        <v>257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1</v>
      </c>
      <c r="M42" s="50">
        <v>10</v>
      </c>
      <c r="N42" s="50">
        <v>0</v>
      </c>
      <c r="O42" s="15">
        <f t="shared" si="0"/>
        <v>3</v>
      </c>
      <c r="P42" s="15">
        <f t="shared" si="1"/>
        <v>13</v>
      </c>
      <c r="R42" s="5" t="s">
        <v>160</v>
      </c>
      <c r="S42" s="48">
        <f>S41/S40</f>
        <v>1.09375</v>
      </c>
      <c r="T42" s="48" t="e">
        <f t="shared" ref="T42:AF42" si="34">T41/T40</f>
        <v>#DIV/0!</v>
      </c>
      <c r="U42" s="48">
        <f t="shared" si="34"/>
        <v>1</v>
      </c>
      <c r="V42" s="48">
        <f t="shared" si="34"/>
        <v>1</v>
      </c>
      <c r="W42" s="48">
        <f t="shared" si="34"/>
        <v>1</v>
      </c>
      <c r="X42" s="48" t="e">
        <f t="shared" si="34"/>
        <v>#DIV/0!</v>
      </c>
      <c r="Y42" s="48">
        <f t="shared" si="34"/>
        <v>1</v>
      </c>
      <c r="Z42" s="48">
        <f t="shared" si="34"/>
        <v>1</v>
      </c>
      <c r="AA42" s="48">
        <f t="shared" si="34"/>
        <v>2</v>
      </c>
      <c r="AB42" s="48">
        <f t="shared" si="34"/>
        <v>1.8064516129032258</v>
      </c>
      <c r="AC42" s="48">
        <f t="shared" si="34"/>
        <v>1.0642857142857143</v>
      </c>
      <c r="AD42" s="48" t="e">
        <f t="shared" si="34"/>
        <v>#DIV/0!</v>
      </c>
      <c r="AE42" s="48">
        <f t="shared" si="34"/>
        <v>1.4210526315789473</v>
      </c>
      <c r="AF42" s="48">
        <f t="shared" si="34"/>
        <v>1.1898148148148149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2</v>
      </c>
      <c r="M43" s="50">
        <v>8</v>
      </c>
      <c r="N43" s="50">
        <v>0</v>
      </c>
      <c r="O43" s="15">
        <f t="shared" si="0"/>
        <v>2</v>
      </c>
      <c r="P43" s="15">
        <f t="shared" si="1"/>
        <v>10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6</v>
      </c>
      <c r="N44" s="50">
        <v>0</v>
      </c>
      <c r="O44" s="15">
        <f t="shared" si="0"/>
        <v>3</v>
      </c>
      <c r="P44" s="15">
        <f t="shared" si="1"/>
        <v>9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0</v>
      </c>
      <c r="P45" s="15">
        <f t="shared" si="1"/>
        <v>2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2</v>
      </c>
      <c r="M46" s="50">
        <v>4</v>
      </c>
      <c r="N46" s="50">
        <v>0</v>
      </c>
      <c r="O46" s="15">
        <f t="shared" si="0"/>
        <v>7</v>
      </c>
      <c r="P46" s="15">
        <f t="shared" si="1"/>
        <v>11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1</v>
      </c>
      <c r="N47" s="50">
        <v>0</v>
      </c>
      <c r="O47" s="15">
        <f t="shared" si="0"/>
        <v>4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3</v>
      </c>
      <c r="P48" s="15">
        <f t="shared" si="1"/>
        <v>6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0</v>
      </c>
      <c r="P49" s="15">
        <f t="shared" si="1"/>
        <v>8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0</v>
      </c>
      <c r="P50" s="15">
        <f t="shared" si="1"/>
        <v>3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7</v>
      </c>
      <c r="N51" s="50">
        <v>0</v>
      </c>
      <c r="O51" s="15">
        <f t="shared" si="0"/>
        <v>2</v>
      </c>
      <c r="P51" s="15">
        <f t="shared" si="1"/>
        <v>9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1</v>
      </c>
      <c r="N52" s="50">
        <v>0</v>
      </c>
      <c r="O52" s="15">
        <f t="shared" si="0"/>
        <v>2</v>
      </c>
      <c r="P52" s="15">
        <f t="shared" si="1"/>
        <v>3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0</v>
      </c>
      <c r="P53" s="15">
        <f t="shared" si="1"/>
        <v>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2</v>
      </c>
      <c r="M54" s="50">
        <v>1</v>
      </c>
      <c r="N54" s="50">
        <v>0</v>
      </c>
      <c r="O54" s="15">
        <f t="shared" si="0"/>
        <v>4</v>
      </c>
      <c r="P54" s="15">
        <f t="shared" si="1"/>
        <v>5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0</v>
      </c>
      <c r="P55" s="15">
        <f t="shared" si="1"/>
        <v>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0</v>
      </c>
      <c r="P56" s="15">
        <f t="shared" si="1"/>
        <v>1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4</v>
      </c>
      <c r="N57" s="50">
        <v>0</v>
      </c>
      <c r="O57" s="15">
        <f t="shared" si="0"/>
        <v>2</v>
      </c>
      <c r="P57" s="15">
        <f t="shared" si="1"/>
        <v>6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</v>
      </c>
      <c r="N58" s="50">
        <v>0</v>
      </c>
      <c r="O58" s="15">
        <f t="shared" ref="O58:O105" si="35">SUM(C58:L58,N58)</f>
        <v>0</v>
      </c>
      <c r="P58" s="15">
        <f t="shared" ref="P58:P105" si="36">SUM(C58:N58)</f>
        <v>1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15">
        <f t="shared" si="35"/>
        <v>0</v>
      </c>
      <c r="P59" s="15">
        <f t="shared" si="36"/>
        <v>0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35"/>
        <v>0</v>
      </c>
      <c r="P60" s="15">
        <f t="shared" si="36"/>
        <v>0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</v>
      </c>
      <c r="N61" s="50">
        <v>0</v>
      </c>
      <c r="O61" s="15">
        <f t="shared" si="35"/>
        <v>1</v>
      </c>
      <c r="P61" s="15">
        <f t="shared" si="36"/>
        <v>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3</v>
      </c>
      <c r="N62" s="50">
        <v>0</v>
      </c>
      <c r="O62" s="15">
        <f t="shared" si="35"/>
        <v>1</v>
      </c>
      <c r="P62" s="15">
        <f t="shared" si="36"/>
        <v>4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1</v>
      </c>
      <c r="M63" s="50">
        <v>0</v>
      </c>
      <c r="N63" s="50">
        <v>0</v>
      </c>
      <c r="O63" s="15">
        <f t="shared" si="35"/>
        <v>2</v>
      </c>
      <c r="P63" s="15">
        <f t="shared" si="36"/>
        <v>2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35"/>
        <v>0</v>
      </c>
      <c r="P64" s="15">
        <f t="shared" si="36"/>
        <v>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4</v>
      </c>
      <c r="N65" s="50">
        <v>0</v>
      </c>
      <c r="O65" s="15">
        <f t="shared" si="35"/>
        <v>0</v>
      </c>
      <c r="P65" s="15">
        <f t="shared" si="36"/>
        <v>4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2</v>
      </c>
      <c r="M66" s="50">
        <v>0</v>
      </c>
      <c r="N66" s="50">
        <v>0</v>
      </c>
      <c r="O66" s="15">
        <f t="shared" si="35"/>
        <v>2</v>
      </c>
      <c r="P66" s="15">
        <f t="shared" si="36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35"/>
        <v>0</v>
      </c>
      <c r="P67" s="15">
        <f t="shared" si="36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35"/>
        <v>0</v>
      </c>
      <c r="P68" s="15">
        <f t="shared" si="36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3</v>
      </c>
      <c r="M69" s="50">
        <v>0</v>
      </c>
      <c r="N69" s="50">
        <v>0</v>
      </c>
      <c r="O69" s="15">
        <f t="shared" si="35"/>
        <v>3</v>
      </c>
      <c r="P69" s="15">
        <f t="shared" si="36"/>
        <v>3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35"/>
        <v>0</v>
      </c>
      <c r="P70" s="15">
        <f t="shared" si="36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0</v>
      </c>
      <c r="N71" s="50">
        <v>0</v>
      </c>
      <c r="O71" s="15">
        <f t="shared" si="35"/>
        <v>1</v>
      </c>
      <c r="P71" s="15">
        <f t="shared" si="36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0</v>
      </c>
      <c r="P72" s="15">
        <f t="shared" si="36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0</v>
      </c>
      <c r="P73" s="15">
        <f t="shared" si="36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0</v>
      </c>
      <c r="N74" s="50">
        <v>0</v>
      </c>
      <c r="O74" s="15">
        <f t="shared" si="35"/>
        <v>1</v>
      </c>
      <c r="P74" s="15">
        <f t="shared" si="36"/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2</v>
      </c>
      <c r="M75" s="50">
        <v>0</v>
      </c>
      <c r="N75" s="50"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2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2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4</v>
      </c>
      <c r="M100" s="50">
        <v>0</v>
      </c>
      <c r="N100" s="50">
        <v>0</v>
      </c>
      <c r="O100" s="15">
        <f t="shared" si="35"/>
        <v>4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3</v>
      </c>
      <c r="L102" s="50">
        <v>4</v>
      </c>
      <c r="M102" s="50">
        <v>0</v>
      </c>
      <c r="N102" s="50">
        <v>0</v>
      </c>
      <c r="O102" s="15">
        <f t="shared" si="35"/>
        <v>7</v>
      </c>
      <c r="P102" s="15">
        <f t="shared" si="36"/>
        <v>7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2</v>
      </c>
      <c r="M103" s="50">
        <v>0</v>
      </c>
      <c r="N103" s="50">
        <v>0</v>
      </c>
      <c r="O103" s="15">
        <f t="shared" si="35"/>
        <v>2</v>
      </c>
      <c r="P103" s="15">
        <f t="shared" si="36"/>
        <v>2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</v>
      </c>
      <c r="D106" s="16">
        <f t="shared" ref="D106:P106" si="37">SUM(D10:D105)</f>
        <v>0</v>
      </c>
      <c r="E106" s="16">
        <f t="shared" si="37"/>
        <v>1</v>
      </c>
      <c r="F106" s="16">
        <f t="shared" si="37"/>
        <v>1</v>
      </c>
      <c r="G106" s="16">
        <f t="shared" si="37"/>
        <v>1</v>
      </c>
      <c r="H106" s="16">
        <f t="shared" si="37"/>
        <v>0</v>
      </c>
      <c r="I106" s="16">
        <f t="shared" si="37"/>
        <v>2</v>
      </c>
      <c r="J106" s="16">
        <f t="shared" si="37"/>
        <v>4</v>
      </c>
      <c r="K106" s="16">
        <f t="shared" si="37"/>
        <v>8</v>
      </c>
      <c r="L106" s="16">
        <f t="shared" si="37"/>
        <v>56</v>
      </c>
      <c r="M106" s="16">
        <f t="shared" si="37"/>
        <v>149</v>
      </c>
      <c r="N106" s="16">
        <f t="shared" si="37"/>
        <v>0</v>
      </c>
      <c r="O106" s="16">
        <f t="shared" si="37"/>
        <v>108</v>
      </c>
      <c r="P106" s="16">
        <f t="shared" si="37"/>
        <v>257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0.13618677042801555</v>
      </c>
      <c r="D107" s="43">
        <f t="shared" si="38"/>
        <v>0</v>
      </c>
      <c r="E107" s="43">
        <f t="shared" si="38"/>
        <v>3.8910505836575876E-3</v>
      </c>
      <c r="F107" s="43">
        <f t="shared" si="38"/>
        <v>3.8910505836575876E-3</v>
      </c>
      <c r="G107" s="43">
        <f t="shared" si="38"/>
        <v>3.8910505836575876E-3</v>
      </c>
      <c r="H107" s="43">
        <f t="shared" si="38"/>
        <v>0</v>
      </c>
      <c r="I107" s="43">
        <f t="shared" si="38"/>
        <v>7.7821011673151752E-3</v>
      </c>
      <c r="J107" s="43">
        <f t="shared" si="38"/>
        <v>1.556420233463035E-2</v>
      </c>
      <c r="K107" s="43">
        <f t="shared" si="38"/>
        <v>3.1128404669260701E-2</v>
      </c>
      <c r="L107" s="43">
        <f t="shared" si="38"/>
        <v>0.21789883268482491</v>
      </c>
      <c r="M107" s="43">
        <f t="shared" si="38"/>
        <v>0.57976653696498059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0.32407407407407407</v>
      </c>
      <c r="D108" s="44">
        <f t="shared" ref="D108:N108" si="39">D106/$O$106</f>
        <v>0</v>
      </c>
      <c r="E108" s="44">
        <f t="shared" si="39"/>
        <v>9.2592592592592587E-3</v>
      </c>
      <c r="F108" s="44">
        <f t="shared" si="39"/>
        <v>9.2592592592592587E-3</v>
      </c>
      <c r="G108" s="44">
        <f t="shared" si="39"/>
        <v>9.2592592592592587E-3</v>
      </c>
      <c r="H108" s="44">
        <f t="shared" si="39"/>
        <v>0</v>
      </c>
      <c r="I108" s="44">
        <f t="shared" si="39"/>
        <v>1.8518518518518517E-2</v>
      </c>
      <c r="J108" s="44">
        <f t="shared" si="39"/>
        <v>3.7037037037037035E-2</v>
      </c>
      <c r="K108" s="44">
        <f t="shared" si="39"/>
        <v>7.407407407407407E-2</v>
      </c>
      <c r="L108" s="44">
        <f t="shared" si="39"/>
        <v>0.51851851851851849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F174"/>
  <sheetViews>
    <sheetView view="pageBreakPreview" topLeftCell="A53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'26.10 NTUNGAMO-MIRAMA HILL'!C3:G3</f>
        <v>MCC-C4-STN133-MIRAMA HILL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8" t="s">
        <v>169</v>
      </c>
      <c r="H5" s="59"/>
      <c r="I5" s="14"/>
      <c r="J5" s="2" t="s">
        <v>5</v>
      </c>
      <c r="K5" s="58" t="s">
        <v>170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'26.10 MIRAMA HILL-NTUNGAMO'!D6:E6</f>
        <v>MIRAMA</v>
      </c>
      <c r="E6" s="59"/>
      <c r="F6" s="2" t="s">
        <v>2</v>
      </c>
      <c r="G6" s="58" t="str">
        <f>'26.10 MIRAMA HILL-NTUNGAMO'!G6:H6</f>
        <v>NTUNGAMO</v>
      </c>
      <c r="H6" s="59"/>
      <c r="J6" s="2" t="s">
        <v>21</v>
      </c>
      <c r="K6" s="58" t="str">
        <f>'25.10 NTUNGAMO- MIRAMA -24h'!K6:L6</f>
        <v>NORMAN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9</v>
      </c>
      <c r="AD10" s="17">
        <f t="shared" si="2"/>
        <v>0</v>
      </c>
      <c r="AE10" s="31">
        <f t="shared" si="2"/>
        <v>4</v>
      </c>
      <c r="AF10" s="31">
        <f t="shared" si="2"/>
        <v>13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4</v>
      </c>
      <c r="N11" s="50">
        <v>0</v>
      </c>
      <c r="O11" s="15">
        <f t="shared" si="0"/>
        <v>2</v>
      </c>
      <c r="P11" s="15">
        <f t="shared" si="1"/>
        <v>6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1</v>
      </c>
      <c r="AB11" s="17">
        <f t="shared" si="3"/>
        <v>3</v>
      </c>
      <c r="AC11" s="17">
        <f t="shared" si="3"/>
        <v>5</v>
      </c>
      <c r="AD11" s="17">
        <f t="shared" si="3"/>
        <v>0</v>
      </c>
      <c r="AE11" s="31">
        <f t="shared" si="3"/>
        <v>10</v>
      </c>
      <c r="AF11" s="31">
        <f t="shared" si="3"/>
        <v>15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7</v>
      </c>
      <c r="AB12" s="17">
        <f t="shared" si="4"/>
        <v>7</v>
      </c>
      <c r="AC12" s="17">
        <f t="shared" si="4"/>
        <v>9</v>
      </c>
      <c r="AD12" s="17">
        <f t="shared" si="4"/>
        <v>0</v>
      </c>
      <c r="AE12" s="31">
        <f t="shared" si="4"/>
        <v>22</v>
      </c>
      <c r="AF12" s="31">
        <f t="shared" si="4"/>
        <v>31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10</v>
      </c>
      <c r="AC13" s="17">
        <f t="shared" si="5"/>
        <v>9</v>
      </c>
      <c r="AD13" s="17">
        <f t="shared" si="5"/>
        <v>0</v>
      </c>
      <c r="AE13" s="31">
        <f t="shared" si="5"/>
        <v>15</v>
      </c>
      <c r="AF13" s="31">
        <f t="shared" si="5"/>
        <v>24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4</v>
      </c>
      <c r="N14" s="50">
        <v>0</v>
      </c>
      <c r="O14" s="15">
        <f t="shared" si="0"/>
        <v>2</v>
      </c>
      <c r="P14" s="15">
        <f t="shared" si="1"/>
        <v>6</v>
      </c>
      <c r="R14" s="1" t="s">
        <v>10</v>
      </c>
      <c r="S14" s="17">
        <f t="shared" ref="S14:AF14" si="6">SUM(C26:C29)</f>
        <v>9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10</v>
      </c>
      <c r="AD14" s="17">
        <f t="shared" si="6"/>
        <v>0</v>
      </c>
      <c r="AE14" s="31">
        <f t="shared" si="6"/>
        <v>12</v>
      </c>
      <c r="AF14" s="31">
        <f t="shared" si="6"/>
        <v>22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2</v>
      </c>
      <c r="P15" s="15">
        <f t="shared" si="1"/>
        <v>3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25</v>
      </c>
      <c r="AD15" s="17">
        <f t="shared" si="7"/>
        <v>0</v>
      </c>
      <c r="AE15" s="31">
        <f t="shared" si="7"/>
        <v>5</v>
      </c>
      <c r="AF15" s="31">
        <f t="shared" si="7"/>
        <v>30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3</v>
      </c>
      <c r="M16" s="50">
        <v>0</v>
      </c>
      <c r="N16" s="50">
        <v>0</v>
      </c>
      <c r="O16" s="15">
        <f t="shared" si="0"/>
        <v>6</v>
      </c>
      <c r="P16" s="15">
        <f t="shared" si="1"/>
        <v>6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11</v>
      </c>
      <c r="AD16" s="17">
        <f t="shared" si="8"/>
        <v>0</v>
      </c>
      <c r="AE16" s="31">
        <f t="shared" si="8"/>
        <v>10</v>
      </c>
      <c r="AF16" s="31">
        <f t="shared" si="8"/>
        <v>21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13</v>
      </c>
      <c r="AD17" s="17">
        <f t="shared" si="9"/>
        <v>0</v>
      </c>
      <c r="AE17" s="31">
        <f t="shared" si="9"/>
        <v>7</v>
      </c>
      <c r="AF17" s="31">
        <f t="shared" si="9"/>
        <v>20</v>
      </c>
    </row>
    <row r="18" spans="2:32" ht="23.1" customHeight="1" x14ac:dyDescent="0.25">
      <c r="B18" s="45" t="s">
        <v>45</v>
      </c>
      <c r="C18" s="50">
        <v>5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6</v>
      </c>
      <c r="L18" s="50">
        <v>3</v>
      </c>
      <c r="M18" s="50">
        <v>1</v>
      </c>
      <c r="N18" s="50">
        <v>0</v>
      </c>
      <c r="O18" s="15">
        <f t="shared" si="0"/>
        <v>14</v>
      </c>
      <c r="P18" s="15">
        <f t="shared" si="1"/>
        <v>15</v>
      </c>
      <c r="R18" s="1" t="s">
        <v>14</v>
      </c>
      <c r="S18" s="17">
        <f t="shared" ref="S18:AF18" si="10">SUM(C42:C45)</f>
        <v>2</v>
      </c>
      <c r="T18" s="17">
        <f t="shared" si="10"/>
        <v>2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23</v>
      </c>
      <c r="AD18" s="17">
        <f t="shared" si="10"/>
        <v>0</v>
      </c>
      <c r="AE18" s="31">
        <f t="shared" si="10"/>
        <v>7</v>
      </c>
      <c r="AF18" s="31">
        <f t="shared" si="10"/>
        <v>30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0</v>
      </c>
      <c r="N19" s="50">
        <v>0</v>
      </c>
      <c r="O19" s="15">
        <f t="shared" si="0"/>
        <v>3</v>
      </c>
      <c r="P19" s="15">
        <f t="shared" si="1"/>
        <v>3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4</v>
      </c>
      <c r="AA19" s="17">
        <f t="shared" si="11"/>
        <v>0</v>
      </c>
      <c r="AB19" s="17">
        <f t="shared" si="11"/>
        <v>5</v>
      </c>
      <c r="AC19" s="17">
        <f t="shared" si="11"/>
        <v>12</v>
      </c>
      <c r="AD19" s="17">
        <f t="shared" si="11"/>
        <v>0</v>
      </c>
      <c r="AE19" s="31">
        <f t="shared" si="11"/>
        <v>15</v>
      </c>
      <c r="AF19" s="31">
        <f t="shared" si="11"/>
        <v>27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2</v>
      </c>
      <c r="M20" s="50">
        <v>0</v>
      </c>
      <c r="N20" s="50">
        <v>0</v>
      </c>
      <c r="O20" s="15">
        <f t="shared" si="0"/>
        <v>3</v>
      </c>
      <c r="P20" s="15">
        <f t="shared" si="1"/>
        <v>3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5</v>
      </c>
      <c r="AB20" s="17">
        <f t="shared" si="12"/>
        <v>2</v>
      </c>
      <c r="AC20" s="17">
        <f t="shared" si="12"/>
        <v>20</v>
      </c>
      <c r="AD20" s="17">
        <f t="shared" si="12"/>
        <v>0</v>
      </c>
      <c r="AE20" s="31">
        <f t="shared" si="12"/>
        <v>13</v>
      </c>
      <c r="AF20" s="31">
        <f t="shared" si="12"/>
        <v>33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8</v>
      </c>
      <c r="N21" s="50">
        <v>0</v>
      </c>
      <c r="O21" s="15">
        <f t="shared" si="0"/>
        <v>2</v>
      </c>
      <c r="P21" s="15">
        <f t="shared" si="1"/>
        <v>10</v>
      </c>
      <c r="R21" s="36" t="s">
        <v>20</v>
      </c>
      <c r="S21" s="34">
        <f t="shared" ref="S21:AF21" si="13">SUM(C54:C57)</f>
        <v>8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22</v>
      </c>
      <c r="AD21" s="17">
        <f t="shared" si="13"/>
        <v>0</v>
      </c>
      <c r="AE21" s="31">
        <f t="shared" si="13"/>
        <v>13</v>
      </c>
      <c r="AF21" s="31">
        <f t="shared" si="13"/>
        <v>35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4</v>
      </c>
      <c r="M22" s="50">
        <v>5</v>
      </c>
      <c r="N22" s="50">
        <v>0</v>
      </c>
      <c r="O22" s="15">
        <f t="shared" si="0"/>
        <v>8</v>
      </c>
      <c r="P22" s="15">
        <f t="shared" si="1"/>
        <v>13</v>
      </c>
      <c r="R22" s="36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5</v>
      </c>
      <c r="AC22" s="34">
        <f t="shared" si="14"/>
        <v>18</v>
      </c>
      <c r="AD22" s="34">
        <f t="shared" si="14"/>
        <v>0</v>
      </c>
      <c r="AE22" s="31">
        <f t="shared" si="14"/>
        <v>8</v>
      </c>
      <c r="AF22" s="31">
        <f t="shared" si="14"/>
        <v>26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1</v>
      </c>
      <c r="N23" s="50">
        <v>0</v>
      </c>
      <c r="O23" s="15">
        <f t="shared" si="0"/>
        <v>2</v>
      </c>
      <c r="P23" s="15">
        <f t="shared" si="1"/>
        <v>3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3</v>
      </c>
      <c r="AA23" s="34">
        <f t="shared" si="15"/>
        <v>0</v>
      </c>
      <c r="AB23" s="34">
        <f t="shared" si="15"/>
        <v>3</v>
      </c>
      <c r="AC23" s="34">
        <f t="shared" si="15"/>
        <v>6</v>
      </c>
      <c r="AD23" s="34">
        <f t="shared" si="15"/>
        <v>0</v>
      </c>
      <c r="AE23" s="31">
        <f t="shared" si="15"/>
        <v>6</v>
      </c>
      <c r="AF23" s="31">
        <f t="shared" si="15"/>
        <v>12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3</v>
      </c>
      <c r="M24" s="50">
        <v>2</v>
      </c>
      <c r="N24" s="50">
        <v>0</v>
      </c>
      <c r="O24" s="15">
        <f t="shared" si="0"/>
        <v>4</v>
      </c>
      <c r="P24" s="15">
        <f t="shared" si="1"/>
        <v>6</v>
      </c>
      <c r="R24" s="36" t="s">
        <v>148</v>
      </c>
      <c r="S24" s="34">
        <f>SUM(C66:C69)</f>
        <v>1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1</v>
      </c>
      <c r="AB24" s="34">
        <f t="shared" si="16"/>
        <v>6</v>
      </c>
      <c r="AC24" s="34">
        <f t="shared" si="16"/>
        <v>7</v>
      </c>
      <c r="AD24" s="34">
        <f t="shared" si="16"/>
        <v>0</v>
      </c>
      <c r="AE24" s="31">
        <f t="shared" si="16"/>
        <v>11</v>
      </c>
      <c r="AF24" s="31">
        <f t="shared" si="16"/>
        <v>18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</v>
      </c>
      <c r="N25" s="50">
        <v>0</v>
      </c>
      <c r="O25" s="15">
        <f t="shared" si="0"/>
        <v>1</v>
      </c>
      <c r="P25" s="15">
        <f t="shared" si="1"/>
        <v>2</v>
      </c>
      <c r="R25" s="36" t="s">
        <v>149</v>
      </c>
      <c r="S25" s="34">
        <f>SUM(C70:C73)</f>
        <v>1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6</v>
      </c>
      <c r="AB25" s="34">
        <f t="shared" si="17"/>
        <v>4</v>
      </c>
      <c r="AC25" s="34">
        <f t="shared" si="17"/>
        <v>0</v>
      </c>
      <c r="AD25" s="34">
        <f t="shared" si="17"/>
        <v>0</v>
      </c>
      <c r="AE25" s="31">
        <f t="shared" si="17"/>
        <v>14</v>
      </c>
      <c r="AF25" s="31">
        <f t="shared" si="17"/>
        <v>14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3</v>
      </c>
      <c r="N26" s="50">
        <v>0</v>
      </c>
      <c r="O26" s="15">
        <f t="shared" si="0"/>
        <v>4</v>
      </c>
      <c r="P26" s="15">
        <f t="shared" si="1"/>
        <v>7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3</v>
      </c>
      <c r="AB26" s="34">
        <f t="shared" si="18"/>
        <v>8</v>
      </c>
      <c r="AC26" s="34">
        <f t="shared" si="18"/>
        <v>0</v>
      </c>
      <c r="AD26" s="34">
        <f t="shared" si="18"/>
        <v>0</v>
      </c>
      <c r="AE26" s="31">
        <f t="shared" si="18"/>
        <v>12</v>
      </c>
      <c r="AF26" s="31">
        <f t="shared" si="18"/>
        <v>12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4</v>
      </c>
      <c r="N27" s="50">
        <v>0</v>
      </c>
      <c r="O27" s="15">
        <f t="shared" si="0"/>
        <v>2</v>
      </c>
      <c r="P27" s="15">
        <f t="shared" si="1"/>
        <v>6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2</v>
      </c>
      <c r="AC27" s="34">
        <f t="shared" si="19"/>
        <v>0</v>
      </c>
      <c r="AD27" s="34">
        <f t="shared" si="19"/>
        <v>0</v>
      </c>
      <c r="AE27" s="31">
        <f t="shared" si="19"/>
        <v>3</v>
      </c>
      <c r="AF27" s="31">
        <f t="shared" si="19"/>
        <v>3</v>
      </c>
    </row>
    <row r="28" spans="2:32" ht="23.1" customHeight="1" x14ac:dyDescent="0.25">
      <c r="B28" s="45" t="s">
        <v>55</v>
      </c>
      <c r="C28" s="50">
        <v>4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2</v>
      </c>
      <c r="N28" s="50">
        <v>0</v>
      </c>
      <c r="O28" s="15">
        <f t="shared" si="0"/>
        <v>5</v>
      </c>
      <c r="P28" s="15">
        <f t="shared" si="1"/>
        <v>7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1</v>
      </c>
      <c r="P29" s="15">
        <f t="shared" si="1"/>
        <v>2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0</v>
      </c>
      <c r="P30" s="15">
        <f t="shared" si="1"/>
        <v>7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2</v>
      </c>
      <c r="M31" s="50">
        <v>13</v>
      </c>
      <c r="N31" s="50">
        <v>0</v>
      </c>
      <c r="O31" s="15">
        <f t="shared" si="0"/>
        <v>5</v>
      </c>
      <c r="P31" s="15">
        <f t="shared" si="1"/>
        <v>18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2</v>
      </c>
      <c r="AC31" s="34">
        <f t="shared" si="23"/>
        <v>1</v>
      </c>
      <c r="AD31" s="34">
        <f t="shared" si="23"/>
        <v>0</v>
      </c>
      <c r="AE31" s="31">
        <f t="shared" si="23"/>
        <v>2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0</v>
      </c>
      <c r="P32" s="15">
        <f t="shared" si="1"/>
        <v>2</v>
      </c>
      <c r="R32" s="33" t="s">
        <v>156</v>
      </c>
      <c r="S32" s="34">
        <f>SUM(C98:C101)</f>
        <v>5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5</v>
      </c>
      <c r="AB32" s="34">
        <f t="shared" si="24"/>
        <v>9</v>
      </c>
      <c r="AC32" s="34">
        <f t="shared" si="24"/>
        <v>11</v>
      </c>
      <c r="AD32" s="34">
        <f t="shared" si="24"/>
        <v>0</v>
      </c>
      <c r="AE32" s="31">
        <f t="shared" si="24"/>
        <v>21</v>
      </c>
      <c r="AF32" s="31">
        <f t="shared" si="24"/>
        <v>32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0</v>
      </c>
      <c r="P33" s="15">
        <f t="shared" si="1"/>
        <v>3</v>
      </c>
      <c r="R33" s="33" t="s">
        <v>157</v>
      </c>
      <c r="S33" s="34">
        <f>SUM(C102:C105)</f>
        <v>4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4</v>
      </c>
      <c r="AA33" s="34">
        <f t="shared" si="25"/>
        <v>18</v>
      </c>
      <c r="AB33" s="34">
        <f t="shared" si="25"/>
        <v>25</v>
      </c>
      <c r="AC33" s="34">
        <f t="shared" si="25"/>
        <v>18</v>
      </c>
      <c r="AD33" s="34">
        <f t="shared" si="25"/>
        <v>0</v>
      </c>
      <c r="AE33" s="31">
        <f t="shared" si="25"/>
        <v>58</v>
      </c>
      <c r="AF33" s="31">
        <f t="shared" si="25"/>
        <v>76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2</v>
      </c>
      <c r="P34" s="15">
        <f t="shared" si="1"/>
        <v>5</v>
      </c>
      <c r="R34" s="38" t="s">
        <v>90</v>
      </c>
      <c r="S34" s="39">
        <f t="shared" ref="S34:AF34" si="26">MAX(S10:S12)</f>
        <v>7</v>
      </c>
      <c r="T34" s="39">
        <f t="shared" si="26"/>
        <v>0</v>
      </c>
      <c r="U34" s="39">
        <f t="shared" si="26"/>
        <v>0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3</v>
      </c>
      <c r="Z34" s="39">
        <f t="shared" si="26"/>
        <v>2</v>
      </c>
      <c r="AA34" s="39">
        <f t="shared" si="26"/>
        <v>7</v>
      </c>
      <c r="AB34" s="39">
        <f t="shared" si="26"/>
        <v>7</v>
      </c>
      <c r="AC34" s="39">
        <f t="shared" si="26"/>
        <v>9</v>
      </c>
      <c r="AD34" s="39">
        <f t="shared" si="26"/>
        <v>0</v>
      </c>
      <c r="AE34" s="40">
        <f t="shared" si="26"/>
        <v>22</v>
      </c>
      <c r="AF34" s="40">
        <f t="shared" si="26"/>
        <v>31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4</v>
      </c>
      <c r="M35" s="50">
        <v>0</v>
      </c>
      <c r="N35" s="50">
        <v>0</v>
      </c>
      <c r="O35" s="15">
        <f t="shared" si="0"/>
        <v>5</v>
      </c>
      <c r="P35" s="15">
        <f t="shared" si="1"/>
        <v>5</v>
      </c>
      <c r="R35" s="38" t="s">
        <v>91</v>
      </c>
      <c r="S35" s="39">
        <f t="shared" ref="S35:AF35" si="27">MAX(S13:S18)</f>
        <v>9</v>
      </c>
      <c r="T35" s="39">
        <f t="shared" si="27"/>
        <v>2</v>
      </c>
      <c r="U35" s="39">
        <f t="shared" si="27"/>
        <v>1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1</v>
      </c>
      <c r="Z35" s="39">
        <f t="shared" si="27"/>
        <v>1</v>
      </c>
      <c r="AA35" s="39">
        <f t="shared" si="27"/>
        <v>0</v>
      </c>
      <c r="AB35" s="39">
        <f t="shared" si="27"/>
        <v>10</v>
      </c>
      <c r="AC35" s="39">
        <f t="shared" si="27"/>
        <v>25</v>
      </c>
      <c r="AD35" s="39">
        <f t="shared" si="27"/>
        <v>0</v>
      </c>
      <c r="AE35" s="40">
        <f t="shared" si="27"/>
        <v>15</v>
      </c>
      <c r="AF35" s="40">
        <f t="shared" si="27"/>
        <v>30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1</v>
      </c>
      <c r="P36" s="15">
        <f t="shared" si="1"/>
        <v>7</v>
      </c>
      <c r="R36" s="38" t="s">
        <v>92</v>
      </c>
      <c r="S36" s="39">
        <f t="shared" ref="S36:AF36" si="28">MAX(S19:S21)</f>
        <v>8</v>
      </c>
      <c r="T36" s="39">
        <f t="shared" si="28"/>
        <v>1</v>
      </c>
      <c r="U36" s="39">
        <f t="shared" si="28"/>
        <v>0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4</v>
      </c>
      <c r="AA36" s="39">
        <f t="shared" si="28"/>
        <v>5</v>
      </c>
      <c r="AB36" s="39">
        <f t="shared" si="28"/>
        <v>5</v>
      </c>
      <c r="AC36" s="39">
        <f t="shared" si="28"/>
        <v>22</v>
      </c>
      <c r="AD36" s="39">
        <f t="shared" si="28"/>
        <v>0</v>
      </c>
      <c r="AE36" s="40">
        <f t="shared" si="28"/>
        <v>15</v>
      </c>
      <c r="AF36" s="40">
        <f t="shared" si="28"/>
        <v>35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2</v>
      </c>
      <c r="P37" s="15">
        <f t="shared" si="1"/>
        <v>4</v>
      </c>
      <c r="R37" s="37" t="s">
        <v>85</v>
      </c>
      <c r="S37" s="35">
        <f t="shared" ref="S37:AF37" si="29">SUM(S10:S12)</f>
        <v>10</v>
      </c>
      <c r="T37" s="16">
        <f t="shared" si="29"/>
        <v>0</v>
      </c>
      <c r="U37" s="16">
        <f t="shared" si="29"/>
        <v>0</v>
      </c>
      <c r="V37" s="16">
        <f t="shared" si="29"/>
        <v>1</v>
      </c>
      <c r="W37" s="16">
        <f t="shared" si="29"/>
        <v>0</v>
      </c>
      <c r="X37" s="16">
        <f t="shared" si="29"/>
        <v>0</v>
      </c>
      <c r="Y37" s="16">
        <f t="shared" si="29"/>
        <v>3</v>
      </c>
      <c r="Z37" s="16">
        <f t="shared" si="29"/>
        <v>2</v>
      </c>
      <c r="AA37" s="16">
        <f t="shared" si="29"/>
        <v>8</v>
      </c>
      <c r="AB37" s="16">
        <f t="shared" si="29"/>
        <v>12</v>
      </c>
      <c r="AC37" s="16">
        <f t="shared" si="29"/>
        <v>23</v>
      </c>
      <c r="AD37" s="16">
        <f t="shared" si="29"/>
        <v>0</v>
      </c>
      <c r="AE37" s="32">
        <f t="shared" si="29"/>
        <v>36</v>
      </c>
      <c r="AF37" s="32">
        <f t="shared" si="29"/>
        <v>59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0</v>
      </c>
      <c r="P38" s="15">
        <f t="shared" si="1"/>
        <v>3</v>
      </c>
      <c r="R38" s="28" t="s">
        <v>86</v>
      </c>
      <c r="S38" s="16">
        <f t="shared" ref="S38:AF38" si="30">SUM(S13:S18)</f>
        <v>27</v>
      </c>
      <c r="T38" s="16">
        <f t="shared" si="30"/>
        <v>3</v>
      </c>
      <c r="U38" s="16">
        <f t="shared" si="30"/>
        <v>1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2</v>
      </c>
      <c r="Z38" s="16">
        <f t="shared" si="30"/>
        <v>1</v>
      </c>
      <c r="AA38" s="16">
        <f t="shared" si="30"/>
        <v>0</v>
      </c>
      <c r="AB38" s="16">
        <f t="shared" si="30"/>
        <v>22</v>
      </c>
      <c r="AC38" s="16">
        <f t="shared" si="30"/>
        <v>91</v>
      </c>
      <c r="AD38" s="16">
        <f t="shared" si="30"/>
        <v>0</v>
      </c>
      <c r="AE38" s="32">
        <f t="shared" si="30"/>
        <v>56</v>
      </c>
      <c r="AF38" s="32">
        <f t="shared" si="30"/>
        <v>147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1</v>
      </c>
      <c r="P39" s="15">
        <f t="shared" si="1"/>
        <v>5</v>
      </c>
      <c r="R39" s="29" t="s">
        <v>87</v>
      </c>
      <c r="S39" s="16">
        <f t="shared" ref="S39:AF39" si="31">SUM(S19:S21)</f>
        <v>16</v>
      </c>
      <c r="T39" s="16">
        <f t="shared" si="31"/>
        <v>1</v>
      </c>
      <c r="U39" s="16">
        <f t="shared" si="31"/>
        <v>0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3</v>
      </c>
      <c r="Z39" s="16">
        <f t="shared" si="31"/>
        <v>4</v>
      </c>
      <c r="AA39" s="16">
        <f t="shared" si="31"/>
        <v>5</v>
      </c>
      <c r="AB39" s="16">
        <f t="shared" si="31"/>
        <v>11</v>
      </c>
      <c r="AC39" s="16">
        <f t="shared" si="31"/>
        <v>54</v>
      </c>
      <c r="AD39" s="16">
        <f t="shared" si="31"/>
        <v>0</v>
      </c>
      <c r="AE39" s="32">
        <f t="shared" si="31"/>
        <v>41</v>
      </c>
      <c r="AF39" s="32">
        <f t="shared" si="31"/>
        <v>95</v>
      </c>
    </row>
    <row r="40" spans="2:32" ht="23.1" customHeight="1" x14ac:dyDescent="0.25">
      <c r="B40" s="46" t="s">
        <v>67</v>
      </c>
      <c r="C40" s="50">
        <v>2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  <c r="R40" s="5" t="s">
        <v>17</v>
      </c>
      <c r="S40" s="16">
        <f t="shared" ref="S40:AF40" si="32">SUM(S10:S21)</f>
        <v>53</v>
      </c>
      <c r="T40" s="16">
        <f t="shared" si="32"/>
        <v>4</v>
      </c>
      <c r="U40" s="16">
        <f t="shared" si="32"/>
        <v>1</v>
      </c>
      <c r="V40" s="16">
        <f t="shared" si="32"/>
        <v>2</v>
      </c>
      <c r="W40" s="16">
        <f t="shared" si="32"/>
        <v>0</v>
      </c>
      <c r="X40" s="16">
        <f t="shared" si="32"/>
        <v>0</v>
      </c>
      <c r="Y40" s="16">
        <f t="shared" si="32"/>
        <v>8</v>
      </c>
      <c r="Z40" s="16">
        <f t="shared" si="32"/>
        <v>7</v>
      </c>
      <c r="AA40" s="16">
        <f t="shared" si="32"/>
        <v>13</v>
      </c>
      <c r="AB40" s="16">
        <f t="shared" si="32"/>
        <v>45</v>
      </c>
      <c r="AC40" s="16">
        <f t="shared" si="32"/>
        <v>168</v>
      </c>
      <c r="AD40" s="16">
        <f t="shared" si="32"/>
        <v>0</v>
      </c>
      <c r="AE40" s="32">
        <f t="shared" si="32"/>
        <v>133</v>
      </c>
      <c r="AF40" s="32">
        <f t="shared" si="32"/>
        <v>301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3</v>
      </c>
      <c r="N41" s="50">
        <v>0</v>
      </c>
      <c r="O41" s="15">
        <f t="shared" si="0"/>
        <v>3</v>
      </c>
      <c r="P41" s="15">
        <f t="shared" si="1"/>
        <v>6</v>
      </c>
      <c r="R41" s="5" t="s">
        <v>159</v>
      </c>
      <c r="S41" s="16">
        <f>SUM(S10:S33)</f>
        <v>67</v>
      </c>
      <c r="T41" s="16">
        <f t="shared" ref="T41:AF41" si="33">SUM(T10:T33)</f>
        <v>9</v>
      </c>
      <c r="U41" s="16">
        <f t="shared" si="33"/>
        <v>2</v>
      </c>
      <c r="V41" s="16">
        <f t="shared" si="33"/>
        <v>5</v>
      </c>
      <c r="W41" s="16">
        <f t="shared" si="33"/>
        <v>0</v>
      </c>
      <c r="X41" s="16">
        <f t="shared" si="33"/>
        <v>0</v>
      </c>
      <c r="Y41" s="16">
        <f t="shared" si="33"/>
        <v>12</v>
      </c>
      <c r="Z41" s="16">
        <f t="shared" si="33"/>
        <v>18</v>
      </c>
      <c r="AA41" s="16">
        <f t="shared" si="33"/>
        <v>46</v>
      </c>
      <c r="AB41" s="16">
        <f t="shared" si="33"/>
        <v>111</v>
      </c>
      <c r="AC41" s="16">
        <f t="shared" si="33"/>
        <v>229</v>
      </c>
      <c r="AD41" s="16">
        <f t="shared" si="33"/>
        <v>0</v>
      </c>
      <c r="AE41" s="32">
        <f t="shared" si="33"/>
        <v>270</v>
      </c>
      <c r="AF41" s="32">
        <f t="shared" si="33"/>
        <v>499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9</v>
      </c>
      <c r="N42" s="50">
        <v>0</v>
      </c>
      <c r="O42" s="15">
        <f t="shared" si="0"/>
        <v>2</v>
      </c>
      <c r="P42" s="15">
        <f t="shared" si="1"/>
        <v>11</v>
      </c>
      <c r="R42" s="5" t="s">
        <v>160</v>
      </c>
      <c r="S42" s="48">
        <f>S41/S40</f>
        <v>1.2641509433962264</v>
      </c>
      <c r="T42" s="48">
        <f t="shared" ref="T42:AF42" si="34">T41/T40</f>
        <v>2.25</v>
      </c>
      <c r="U42" s="48">
        <f t="shared" si="34"/>
        <v>2</v>
      </c>
      <c r="V42" s="48">
        <f t="shared" si="34"/>
        <v>2.5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1.5</v>
      </c>
      <c r="Z42" s="48">
        <f t="shared" si="34"/>
        <v>2.5714285714285716</v>
      </c>
      <c r="AA42" s="48">
        <f t="shared" si="34"/>
        <v>3.5384615384615383</v>
      </c>
      <c r="AB42" s="48">
        <f t="shared" si="34"/>
        <v>2.4666666666666668</v>
      </c>
      <c r="AC42" s="48">
        <f t="shared" si="34"/>
        <v>1.3630952380952381</v>
      </c>
      <c r="AD42" s="48" t="e">
        <f t="shared" si="34"/>
        <v>#DIV/0!</v>
      </c>
      <c r="AE42" s="48">
        <f t="shared" si="34"/>
        <v>2.030075187969925</v>
      </c>
      <c r="AF42" s="48">
        <f t="shared" si="34"/>
        <v>1.6578073089700998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1</v>
      </c>
      <c r="P43" s="15">
        <f t="shared" si="1"/>
        <v>10</v>
      </c>
    </row>
    <row r="44" spans="2:32" ht="23.1" customHeight="1" x14ac:dyDescent="0.25">
      <c r="B44" s="47" t="s">
        <v>71</v>
      </c>
      <c r="C44" s="50">
        <v>0</v>
      </c>
      <c r="D44" s="50">
        <v>2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4</v>
      </c>
      <c r="N45" s="50">
        <v>0</v>
      </c>
      <c r="O45" s="15">
        <f t="shared" si="0"/>
        <v>1</v>
      </c>
      <c r="P45" s="15">
        <f t="shared" si="1"/>
        <v>5</v>
      </c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3</v>
      </c>
      <c r="K46" s="50">
        <v>0</v>
      </c>
      <c r="L46" s="50">
        <v>3</v>
      </c>
      <c r="M46" s="50">
        <v>4</v>
      </c>
      <c r="N46" s="50">
        <v>0</v>
      </c>
      <c r="O46" s="15">
        <f t="shared" si="0"/>
        <v>10</v>
      </c>
      <c r="P46" s="15">
        <f t="shared" si="1"/>
        <v>14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2</v>
      </c>
      <c r="P47" s="15">
        <f t="shared" si="1"/>
        <v>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2</v>
      </c>
      <c r="M48" s="50">
        <v>3</v>
      </c>
      <c r="N48" s="50">
        <v>0</v>
      </c>
      <c r="O48" s="15">
        <f t="shared" si="0"/>
        <v>3</v>
      </c>
      <c r="P48" s="15">
        <f t="shared" si="1"/>
        <v>6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0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2</v>
      </c>
      <c r="M50" s="50">
        <v>6</v>
      </c>
      <c r="N50" s="50">
        <v>0</v>
      </c>
      <c r="O50" s="15">
        <f t="shared" si="0"/>
        <v>4</v>
      </c>
      <c r="P50" s="15">
        <f t="shared" si="1"/>
        <v>10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3</v>
      </c>
      <c r="J51" s="50">
        <v>0</v>
      </c>
      <c r="K51" s="50">
        <v>5</v>
      </c>
      <c r="L51" s="50">
        <v>0</v>
      </c>
      <c r="M51" s="50">
        <v>9</v>
      </c>
      <c r="N51" s="50">
        <v>0</v>
      </c>
      <c r="O51" s="15">
        <f t="shared" si="0"/>
        <v>9</v>
      </c>
      <c r="P51" s="15">
        <f t="shared" si="1"/>
        <v>18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0</v>
      </c>
      <c r="P52" s="15">
        <f t="shared" si="1"/>
        <v>3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0</v>
      </c>
      <c r="P53" s="15">
        <f t="shared" si="1"/>
        <v>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3</v>
      </c>
      <c r="M54" s="50">
        <v>2</v>
      </c>
      <c r="N54" s="50">
        <v>0</v>
      </c>
      <c r="O54" s="15">
        <f t="shared" si="0"/>
        <v>3</v>
      </c>
      <c r="P54" s="15">
        <f t="shared" si="1"/>
        <v>5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6</v>
      </c>
      <c r="N55" s="50">
        <v>0</v>
      </c>
      <c r="O55" s="15">
        <f t="shared" si="0"/>
        <v>1</v>
      </c>
      <c r="P55" s="15">
        <f t="shared" si="1"/>
        <v>7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8</v>
      </c>
      <c r="P56" s="15">
        <f t="shared" si="1"/>
        <v>8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1</v>
      </c>
      <c r="P57" s="15">
        <f t="shared" si="1"/>
        <v>15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2</v>
      </c>
      <c r="M58" s="50">
        <v>5</v>
      </c>
      <c r="N58" s="50">
        <v>0</v>
      </c>
      <c r="O58" s="15">
        <f t="shared" si="0"/>
        <v>4</v>
      </c>
      <c r="P58" s="15">
        <f t="shared" si="1"/>
        <v>9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3</v>
      </c>
      <c r="M59" s="50">
        <v>7</v>
      </c>
      <c r="N59" s="50">
        <v>0</v>
      </c>
      <c r="O59" s="15">
        <f t="shared" si="0"/>
        <v>4</v>
      </c>
      <c r="P59" s="15">
        <f t="shared" si="1"/>
        <v>11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</v>
      </c>
      <c r="N60" s="50">
        <v>0</v>
      </c>
      <c r="O60" s="15">
        <f t="shared" si="0"/>
        <v>0</v>
      </c>
      <c r="P60" s="15">
        <f t="shared" si="1"/>
        <v>2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</v>
      </c>
      <c r="N61" s="50">
        <v>0</v>
      </c>
      <c r="O61" s="15">
        <f t="shared" si="0"/>
        <v>0</v>
      </c>
      <c r="P61" s="15">
        <f t="shared" si="1"/>
        <v>4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</v>
      </c>
      <c r="N62" s="50">
        <v>0</v>
      </c>
      <c r="O62" s="15">
        <f t="shared" si="0"/>
        <v>0</v>
      </c>
      <c r="P62" s="15">
        <f t="shared" si="1"/>
        <v>1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0</v>
      </c>
      <c r="M63" s="50">
        <v>5</v>
      </c>
      <c r="N63" s="50">
        <v>0</v>
      </c>
      <c r="O63" s="15">
        <f t="shared" si="0"/>
        <v>1</v>
      </c>
      <c r="P63" s="15">
        <f t="shared" si="1"/>
        <v>6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2</v>
      </c>
      <c r="K64" s="50">
        <v>0</v>
      </c>
      <c r="L64" s="50">
        <v>3</v>
      </c>
      <c r="M64" s="50">
        <v>0</v>
      </c>
      <c r="N64" s="50">
        <v>0</v>
      </c>
      <c r="O64" s="15">
        <f t="shared" si="0"/>
        <v>5</v>
      </c>
      <c r="P64" s="15">
        <f t="shared" si="1"/>
        <v>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3</v>
      </c>
      <c r="M66" s="50">
        <v>2</v>
      </c>
      <c r="N66" s="50">
        <v>0</v>
      </c>
      <c r="O66" s="15">
        <f t="shared" si="0"/>
        <v>5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1</v>
      </c>
      <c r="L67" s="50">
        <v>1</v>
      </c>
      <c r="M67" s="50">
        <v>0</v>
      </c>
      <c r="N67" s="50"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2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2</v>
      </c>
      <c r="M69" s="50">
        <v>1</v>
      </c>
      <c r="N69" s="50">
        <v>0</v>
      </c>
      <c r="O69" s="15">
        <f t="shared" si="0"/>
        <v>2</v>
      </c>
      <c r="P69" s="15">
        <f t="shared" si="1"/>
        <v>3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5</v>
      </c>
      <c r="L70" s="50">
        <v>2</v>
      </c>
      <c r="M70" s="50">
        <v>0</v>
      </c>
      <c r="N70" s="50">
        <v>0</v>
      </c>
      <c r="O70" s="15">
        <f t="shared" si="0"/>
        <v>8</v>
      </c>
      <c r="P70" s="15">
        <f t="shared" si="1"/>
        <v>8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0</v>
      </c>
      <c r="N71" s="50"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2</v>
      </c>
      <c r="K72" s="50">
        <v>1</v>
      </c>
      <c r="L72" s="50">
        <v>1</v>
      </c>
      <c r="M72" s="50">
        <v>0</v>
      </c>
      <c r="N72" s="50">
        <v>0</v>
      </c>
      <c r="O72" s="15">
        <f t="shared" si="0"/>
        <v>5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3</v>
      </c>
      <c r="M74" s="50">
        <v>0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2</v>
      </c>
      <c r="L75" s="50">
        <v>5</v>
      </c>
      <c r="M75" s="50">
        <v>0</v>
      </c>
      <c r="N75" s="50">
        <v>0</v>
      </c>
      <c r="O75" s="15">
        <f t="shared" si="35"/>
        <v>8</v>
      </c>
      <c r="P75" s="15">
        <f t="shared" si="36"/>
        <v>8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0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2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2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2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1</v>
      </c>
      <c r="L98" s="50">
        <v>2</v>
      </c>
      <c r="M98" s="50">
        <v>3</v>
      </c>
      <c r="N98" s="50">
        <v>0</v>
      </c>
      <c r="O98" s="15">
        <f t="shared" si="35"/>
        <v>4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3</v>
      </c>
      <c r="L99" s="50">
        <v>1</v>
      </c>
      <c r="M99" s="50">
        <v>0</v>
      </c>
      <c r="N99" s="50">
        <v>0</v>
      </c>
      <c r="O99" s="15">
        <f t="shared" si="35"/>
        <v>7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1</v>
      </c>
      <c r="L100" s="50">
        <v>4</v>
      </c>
      <c r="M100" s="50">
        <v>5</v>
      </c>
      <c r="N100" s="50">
        <v>0</v>
      </c>
      <c r="O100" s="15">
        <f t="shared" si="35"/>
        <v>5</v>
      </c>
      <c r="P100" s="15">
        <f t="shared" si="36"/>
        <v>10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2</v>
      </c>
      <c r="M101" s="50">
        <v>3</v>
      </c>
      <c r="N101" s="50"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6</v>
      </c>
      <c r="L102" s="50">
        <v>4</v>
      </c>
      <c r="M102" s="50">
        <v>4</v>
      </c>
      <c r="N102" s="50">
        <v>0</v>
      </c>
      <c r="O102" s="15">
        <f t="shared" si="35"/>
        <v>12</v>
      </c>
      <c r="P102" s="15">
        <f t="shared" si="36"/>
        <v>16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3</v>
      </c>
      <c r="L103" s="50">
        <v>5</v>
      </c>
      <c r="M103" s="50">
        <v>6</v>
      </c>
      <c r="N103" s="50">
        <v>0</v>
      </c>
      <c r="O103" s="15">
        <f t="shared" si="35"/>
        <v>9</v>
      </c>
      <c r="P103" s="15">
        <f t="shared" si="36"/>
        <v>15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2</v>
      </c>
      <c r="K104" s="50">
        <v>5</v>
      </c>
      <c r="L104" s="50">
        <v>9</v>
      </c>
      <c r="M104" s="50">
        <v>3</v>
      </c>
      <c r="N104" s="50">
        <v>0</v>
      </c>
      <c r="O104" s="15">
        <f t="shared" si="35"/>
        <v>18</v>
      </c>
      <c r="P104" s="15">
        <f t="shared" si="36"/>
        <v>21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2</v>
      </c>
      <c r="E105" s="50">
        <v>1</v>
      </c>
      <c r="F105" s="50">
        <v>0</v>
      </c>
      <c r="G105" s="50">
        <v>0</v>
      </c>
      <c r="H105" s="50">
        <v>0</v>
      </c>
      <c r="I105" s="50">
        <v>3</v>
      </c>
      <c r="J105" s="50">
        <v>1</v>
      </c>
      <c r="K105" s="50">
        <v>4</v>
      </c>
      <c r="L105" s="50">
        <v>7</v>
      </c>
      <c r="M105" s="50">
        <v>5</v>
      </c>
      <c r="N105" s="50">
        <v>0</v>
      </c>
      <c r="O105" s="15">
        <f t="shared" si="35"/>
        <v>19</v>
      </c>
      <c r="P105" s="15">
        <f t="shared" si="36"/>
        <v>24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67</v>
      </c>
      <c r="D106" s="16">
        <f t="shared" ref="D106:P106" si="37">SUM(D10:D105)</f>
        <v>9</v>
      </c>
      <c r="E106" s="16">
        <f t="shared" si="37"/>
        <v>2</v>
      </c>
      <c r="F106" s="16">
        <f t="shared" si="37"/>
        <v>5</v>
      </c>
      <c r="G106" s="16">
        <f t="shared" si="37"/>
        <v>0</v>
      </c>
      <c r="H106" s="16">
        <f t="shared" si="37"/>
        <v>0</v>
      </c>
      <c r="I106" s="16">
        <f t="shared" si="37"/>
        <v>12</v>
      </c>
      <c r="J106" s="16">
        <f t="shared" si="37"/>
        <v>18</v>
      </c>
      <c r="K106" s="16">
        <f t="shared" si="37"/>
        <v>46</v>
      </c>
      <c r="L106" s="16">
        <f t="shared" si="37"/>
        <v>111</v>
      </c>
      <c r="M106" s="16">
        <f t="shared" si="37"/>
        <v>229</v>
      </c>
      <c r="N106" s="16">
        <f t="shared" si="37"/>
        <v>0</v>
      </c>
      <c r="O106" s="16">
        <f t="shared" si="37"/>
        <v>270</v>
      </c>
      <c r="P106" s="16">
        <f t="shared" si="37"/>
        <v>499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0.13426853707414829</v>
      </c>
      <c r="D107" s="43">
        <f t="shared" si="38"/>
        <v>1.8036072144288578E-2</v>
      </c>
      <c r="E107" s="43">
        <f t="shared" si="38"/>
        <v>4.0080160320641279E-3</v>
      </c>
      <c r="F107" s="43">
        <f t="shared" si="38"/>
        <v>1.002004008016032E-2</v>
      </c>
      <c r="G107" s="43">
        <f t="shared" si="38"/>
        <v>0</v>
      </c>
      <c r="H107" s="43">
        <f t="shared" si="38"/>
        <v>0</v>
      </c>
      <c r="I107" s="43">
        <f t="shared" si="38"/>
        <v>2.4048096192384769E-2</v>
      </c>
      <c r="J107" s="43">
        <f t="shared" si="38"/>
        <v>3.6072144288577156E-2</v>
      </c>
      <c r="K107" s="43">
        <f t="shared" si="38"/>
        <v>9.2184368737474945E-2</v>
      </c>
      <c r="L107" s="43">
        <f t="shared" si="38"/>
        <v>0.22244488977955912</v>
      </c>
      <c r="M107" s="43">
        <f t="shared" si="38"/>
        <v>0.4589178356713427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0.24814814814814815</v>
      </c>
      <c r="D108" s="44">
        <f t="shared" ref="D108:N108" si="39">D106/$O$106</f>
        <v>3.3333333333333333E-2</v>
      </c>
      <c r="E108" s="44">
        <f t="shared" si="39"/>
        <v>7.4074074074074077E-3</v>
      </c>
      <c r="F108" s="44">
        <f t="shared" si="39"/>
        <v>1.8518518518518517E-2</v>
      </c>
      <c r="G108" s="44">
        <f t="shared" si="39"/>
        <v>0</v>
      </c>
      <c r="H108" s="44">
        <f t="shared" si="39"/>
        <v>0</v>
      </c>
      <c r="I108" s="44">
        <f t="shared" si="39"/>
        <v>4.4444444444444446E-2</v>
      </c>
      <c r="J108" s="44">
        <f t="shared" si="39"/>
        <v>6.6666666666666666E-2</v>
      </c>
      <c r="K108" s="44">
        <f t="shared" si="39"/>
        <v>0.17037037037037037</v>
      </c>
      <c r="L108" s="44">
        <f t="shared" si="39"/>
        <v>0.41111111111111109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0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5" t="s">
        <v>173</v>
      </c>
      <c r="D3" s="65"/>
      <c r="E3" s="65"/>
      <c r="F3" s="65"/>
      <c r="G3" s="65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">
        <v>172</v>
      </c>
      <c r="H5" s="64"/>
      <c r="I5" s="14"/>
      <c r="J5" s="2" t="s">
        <v>5</v>
      </c>
      <c r="K5" s="63" t="s">
        <v>166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168</v>
      </c>
      <c r="H6" s="64"/>
      <c r="J6" s="2" t="s">
        <v>21</v>
      </c>
      <c r="K6" s="63" t="s">
        <v>167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</v>
      </c>
      <c r="AD10" s="17">
        <f t="shared" si="2"/>
        <v>0</v>
      </c>
      <c r="AE10" s="31">
        <f t="shared" si="2"/>
        <v>0</v>
      </c>
      <c r="AF10" s="31">
        <f t="shared" si="2"/>
        <v>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5</v>
      </c>
      <c r="AD11" s="17">
        <f t="shared" si="3"/>
        <v>0</v>
      </c>
      <c r="AE11" s="31">
        <f t="shared" si="3"/>
        <v>1</v>
      </c>
      <c r="AF11" s="31">
        <f t="shared" si="3"/>
        <v>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3</v>
      </c>
      <c r="AB12" s="17">
        <f t="shared" si="4"/>
        <v>5</v>
      </c>
      <c r="AC12" s="17">
        <f t="shared" si="4"/>
        <v>18</v>
      </c>
      <c r="AD12" s="17">
        <f t="shared" si="4"/>
        <v>0</v>
      </c>
      <c r="AE12" s="31">
        <f t="shared" si="4"/>
        <v>10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5</v>
      </c>
      <c r="AC13" s="17">
        <f t="shared" si="5"/>
        <v>19</v>
      </c>
      <c r="AD13" s="17">
        <f t="shared" si="5"/>
        <v>0</v>
      </c>
      <c r="AE13" s="31">
        <f t="shared" si="5"/>
        <v>7</v>
      </c>
      <c r="AF13" s="31">
        <f t="shared" si="5"/>
        <v>26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7</v>
      </c>
      <c r="AC14" s="17">
        <f t="shared" si="6"/>
        <v>11</v>
      </c>
      <c r="AD14" s="17">
        <f t="shared" si="6"/>
        <v>0</v>
      </c>
      <c r="AE14" s="31">
        <f t="shared" si="6"/>
        <v>10</v>
      </c>
      <c r="AF14" s="31">
        <f t="shared" si="6"/>
        <v>21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3</v>
      </c>
      <c r="AC15" s="17">
        <f t="shared" si="7"/>
        <v>12</v>
      </c>
      <c r="AD15" s="17">
        <f t="shared" si="7"/>
        <v>0</v>
      </c>
      <c r="AE15" s="31">
        <f t="shared" si="7"/>
        <v>7</v>
      </c>
      <c r="AF15" s="31">
        <f t="shared" si="7"/>
        <v>19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0</v>
      </c>
      <c r="P16" s="15">
        <f t="shared" si="1"/>
        <v>5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8</v>
      </c>
      <c r="AD16" s="17">
        <f t="shared" si="8"/>
        <v>0</v>
      </c>
      <c r="AE16" s="31">
        <f t="shared" si="8"/>
        <v>8</v>
      </c>
      <c r="AF16" s="31">
        <f t="shared" si="8"/>
        <v>16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12</v>
      </c>
      <c r="AD17" s="17">
        <f t="shared" si="9"/>
        <v>0</v>
      </c>
      <c r="AE17" s="31">
        <f t="shared" si="9"/>
        <v>10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2</v>
      </c>
      <c r="L18" s="50">
        <v>1</v>
      </c>
      <c r="M18" s="50">
        <v>4</v>
      </c>
      <c r="N18" s="50">
        <v>0</v>
      </c>
      <c r="O18" s="15">
        <f t="shared" si="0"/>
        <v>4</v>
      </c>
      <c r="P18" s="15">
        <f t="shared" si="1"/>
        <v>8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12</v>
      </c>
      <c r="AD18" s="17">
        <f t="shared" si="10"/>
        <v>0</v>
      </c>
      <c r="AE18" s="31">
        <f t="shared" si="10"/>
        <v>8</v>
      </c>
      <c r="AF18" s="31">
        <f t="shared" si="10"/>
        <v>20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1</v>
      </c>
      <c r="P19" s="15">
        <f t="shared" si="1"/>
        <v>3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3</v>
      </c>
      <c r="AC19" s="17">
        <f t="shared" si="11"/>
        <v>3</v>
      </c>
      <c r="AD19" s="17">
        <f t="shared" si="11"/>
        <v>0</v>
      </c>
      <c r="AE19" s="31">
        <f t="shared" si="11"/>
        <v>4</v>
      </c>
      <c r="AF19" s="31">
        <f t="shared" si="11"/>
        <v>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4</v>
      </c>
      <c r="M20" s="50">
        <v>10</v>
      </c>
      <c r="N20" s="50">
        <v>0</v>
      </c>
      <c r="O20" s="15">
        <f t="shared" si="0"/>
        <v>5</v>
      </c>
      <c r="P20" s="15">
        <f t="shared" si="1"/>
        <v>15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4</v>
      </c>
      <c r="AC20" s="17">
        <f t="shared" si="12"/>
        <v>15</v>
      </c>
      <c r="AD20" s="17">
        <f t="shared" si="12"/>
        <v>0</v>
      </c>
      <c r="AE20" s="31">
        <f t="shared" si="12"/>
        <v>10</v>
      </c>
      <c r="AF20" s="31">
        <f t="shared" si="12"/>
        <v>25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0</v>
      </c>
      <c r="P21" s="15">
        <f t="shared" si="1"/>
        <v>2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5</v>
      </c>
      <c r="AD21" s="17">
        <f t="shared" si="13"/>
        <v>0</v>
      </c>
      <c r="AE21" s="31">
        <f t="shared" si="13"/>
        <v>7</v>
      </c>
      <c r="AF21" s="31">
        <f t="shared" si="13"/>
        <v>12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3</v>
      </c>
      <c r="M22" s="50">
        <v>4</v>
      </c>
      <c r="N22" s="50">
        <v>0</v>
      </c>
      <c r="O22" s="15">
        <f t="shared" si="0"/>
        <v>4</v>
      </c>
      <c r="P22" s="15">
        <f t="shared" si="1"/>
        <v>8</v>
      </c>
      <c r="R22" s="38" t="s">
        <v>90</v>
      </c>
      <c r="S22" s="39">
        <f>MAX(S10:S12)</f>
        <v>1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1</v>
      </c>
      <c r="AA22" s="39">
        <f t="shared" si="14"/>
        <v>3</v>
      </c>
      <c r="AB22" s="39">
        <f t="shared" si="14"/>
        <v>5</v>
      </c>
      <c r="AC22" s="39">
        <f t="shared" si="14"/>
        <v>18</v>
      </c>
      <c r="AD22" s="39">
        <f t="shared" si="14"/>
        <v>0</v>
      </c>
      <c r="AE22" s="40">
        <f t="shared" si="14"/>
        <v>10</v>
      </c>
      <c r="AF22" s="40">
        <f t="shared" si="14"/>
        <v>28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8" t="s">
        <v>91</v>
      </c>
      <c r="S23" s="39">
        <f>MAX(S13:S18)</f>
        <v>5</v>
      </c>
      <c r="T23" s="39">
        <f t="shared" ref="T23:AF23" si="15">MAX(T13:T18)</f>
        <v>2</v>
      </c>
      <c r="U23" s="39">
        <f t="shared" si="15"/>
        <v>2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1</v>
      </c>
      <c r="Z23" s="39">
        <f t="shared" si="15"/>
        <v>0</v>
      </c>
      <c r="AA23" s="39">
        <f t="shared" si="15"/>
        <v>0</v>
      </c>
      <c r="AB23" s="39">
        <f t="shared" si="15"/>
        <v>7</v>
      </c>
      <c r="AC23" s="39">
        <f t="shared" si="15"/>
        <v>19</v>
      </c>
      <c r="AD23" s="39">
        <f t="shared" si="15"/>
        <v>0</v>
      </c>
      <c r="AE23" s="40">
        <f t="shared" si="15"/>
        <v>10</v>
      </c>
      <c r="AF23" s="40">
        <f t="shared" si="15"/>
        <v>26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4</v>
      </c>
      <c r="N24" s="50">
        <v>0</v>
      </c>
      <c r="O24" s="15">
        <f t="shared" si="0"/>
        <v>1</v>
      </c>
      <c r="P24" s="15">
        <f t="shared" si="1"/>
        <v>5</v>
      </c>
      <c r="R24" s="38" t="s">
        <v>92</v>
      </c>
      <c r="S24" s="39">
        <f>MAX(S19:S21)</f>
        <v>6</v>
      </c>
      <c r="T24" s="39">
        <f t="shared" ref="T24:AF24" si="16">MAX(T19:T21)</f>
        <v>0</v>
      </c>
      <c r="U24" s="39">
        <f t="shared" si="16"/>
        <v>0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4</v>
      </c>
      <c r="AC24" s="39">
        <f t="shared" si="16"/>
        <v>15</v>
      </c>
      <c r="AD24" s="39">
        <f t="shared" si="16"/>
        <v>0</v>
      </c>
      <c r="AE24" s="40">
        <f t="shared" si="16"/>
        <v>10</v>
      </c>
      <c r="AF24" s="40">
        <f t="shared" si="16"/>
        <v>25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0</v>
      </c>
      <c r="P25" s="15">
        <f t="shared" si="1"/>
        <v>8</v>
      </c>
      <c r="R25" s="37" t="s">
        <v>85</v>
      </c>
      <c r="S25" s="35">
        <f t="shared" ref="S25:AF25" si="17">SUM(S10:S12)</f>
        <v>1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1</v>
      </c>
      <c r="AA25" s="16">
        <f t="shared" si="17"/>
        <v>3</v>
      </c>
      <c r="AB25" s="16">
        <f t="shared" si="17"/>
        <v>6</v>
      </c>
      <c r="AC25" s="16">
        <f t="shared" si="17"/>
        <v>27</v>
      </c>
      <c r="AD25" s="16">
        <f t="shared" si="17"/>
        <v>0</v>
      </c>
      <c r="AE25" s="32">
        <f t="shared" si="17"/>
        <v>11</v>
      </c>
      <c r="AF25" s="32">
        <f t="shared" si="17"/>
        <v>38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4</v>
      </c>
      <c r="N26" s="50">
        <v>0</v>
      </c>
      <c r="O26" s="15">
        <f t="shared" si="0"/>
        <v>5</v>
      </c>
      <c r="P26" s="15">
        <f t="shared" si="1"/>
        <v>9</v>
      </c>
      <c r="R26" s="28" t="s">
        <v>86</v>
      </c>
      <c r="S26" s="16">
        <f t="shared" ref="S26:AF26" si="18">SUM(S13:S18)</f>
        <v>19</v>
      </c>
      <c r="T26" s="16">
        <f t="shared" si="18"/>
        <v>2</v>
      </c>
      <c r="U26" s="16">
        <f t="shared" si="18"/>
        <v>2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1</v>
      </c>
      <c r="Z26" s="16">
        <f t="shared" si="18"/>
        <v>0</v>
      </c>
      <c r="AA26" s="16">
        <f t="shared" si="18"/>
        <v>0</v>
      </c>
      <c r="AB26" s="16">
        <f t="shared" si="18"/>
        <v>26</v>
      </c>
      <c r="AC26" s="16">
        <f t="shared" si="18"/>
        <v>74</v>
      </c>
      <c r="AD26" s="16">
        <f t="shared" si="18"/>
        <v>0</v>
      </c>
      <c r="AE26" s="32">
        <f t="shared" si="18"/>
        <v>50</v>
      </c>
      <c r="AF26" s="32">
        <f t="shared" si="18"/>
        <v>124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2</v>
      </c>
      <c r="N27" s="50">
        <v>0</v>
      </c>
      <c r="O27" s="15">
        <f t="shared" si="0"/>
        <v>2</v>
      </c>
      <c r="P27" s="15">
        <f t="shared" si="1"/>
        <v>4</v>
      </c>
      <c r="R27" s="29" t="s">
        <v>87</v>
      </c>
      <c r="S27" s="16">
        <f t="shared" ref="S27:AF27" si="19">SUM(S19:S21)</f>
        <v>13</v>
      </c>
      <c r="T27" s="16">
        <f t="shared" si="19"/>
        <v>0</v>
      </c>
      <c r="U27" s="16">
        <f t="shared" si="19"/>
        <v>0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8</v>
      </c>
      <c r="AC27" s="16">
        <f t="shared" si="19"/>
        <v>23</v>
      </c>
      <c r="AD27" s="16">
        <f t="shared" si="19"/>
        <v>0</v>
      </c>
      <c r="AE27" s="32">
        <f t="shared" si="19"/>
        <v>21</v>
      </c>
      <c r="AF27" s="32">
        <f t="shared" si="19"/>
        <v>44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1</v>
      </c>
      <c r="N28" s="50">
        <v>0</v>
      </c>
      <c r="O28" s="15">
        <f t="shared" si="0"/>
        <v>3</v>
      </c>
      <c r="P28" s="15">
        <f t="shared" si="1"/>
        <v>4</v>
      </c>
      <c r="R28" s="5" t="s">
        <v>17</v>
      </c>
      <c r="S28" s="16">
        <f t="shared" ref="S28:AF28" si="20">SUM(S10:S21)</f>
        <v>33</v>
      </c>
      <c r="T28" s="16">
        <f t="shared" si="20"/>
        <v>2</v>
      </c>
      <c r="U28" s="16">
        <f t="shared" si="20"/>
        <v>2</v>
      </c>
      <c r="V28" s="16">
        <f t="shared" si="20"/>
        <v>0</v>
      </c>
      <c r="W28" s="16">
        <f t="shared" si="20"/>
        <v>0</v>
      </c>
      <c r="X28" s="16">
        <f t="shared" si="20"/>
        <v>0</v>
      </c>
      <c r="Y28" s="16">
        <f t="shared" si="20"/>
        <v>1</v>
      </c>
      <c r="Z28" s="16">
        <f t="shared" si="20"/>
        <v>1</v>
      </c>
      <c r="AA28" s="16">
        <f t="shared" si="20"/>
        <v>3</v>
      </c>
      <c r="AB28" s="16">
        <f t="shared" si="20"/>
        <v>40</v>
      </c>
      <c r="AC28" s="16">
        <f t="shared" si="20"/>
        <v>124</v>
      </c>
      <c r="AD28" s="16">
        <f t="shared" si="20"/>
        <v>0</v>
      </c>
      <c r="AE28" s="32">
        <f t="shared" si="20"/>
        <v>82</v>
      </c>
      <c r="AF28" s="32">
        <f t="shared" si="20"/>
        <v>206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0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4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3</v>
      </c>
      <c r="M31" s="50">
        <v>1</v>
      </c>
      <c r="N31" s="50">
        <v>0</v>
      </c>
      <c r="O31" s="15">
        <f t="shared" si="0"/>
        <v>3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0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0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4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0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4</v>
      </c>
      <c r="M37" s="50">
        <v>3</v>
      </c>
      <c r="N37" s="50">
        <v>0</v>
      </c>
      <c r="O37" s="15">
        <f t="shared" si="0"/>
        <v>4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7</v>
      </c>
      <c r="N38" s="50">
        <v>0</v>
      </c>
      <c r="O38" s="15">
        <f t="shared" si="0"/>
        <v>5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0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1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2</v>
      </c>
      <c r="M41" s="50">
        <v>0</v>
      </c>
      <c r="N41" s="50">
        <v>0</v>
      </c>
      <c r="O41" s="15">
        <f t="shared" si="0"/>
        <v>4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4</v>
      </c>
      <c r="N42" s="50">
        <v>0</v>
      </c>
      <c r="O42" s="15">
        <f t="shared" si="0"/>
        <v>3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2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1</v>
      </c>
      <c r="P44" s="15">
        <f t="shared" si="1"/>
        <v>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0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2</v>
      </c>
      <c r="M46" s="50">
        <v>1</v>
      </c>
      <c r="N46" s="50">
        <v>0</v>
      </c>
      <c r="O46" s="15">
        <f t="shared" si="0"/>
        <v>3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0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1</v>
      </c>
      <c r="N48" s="50">
        <v>0</v>
      </c>
      <c r="O48" s="15">
        <f t="shared" si="0"/>
        <v>1</v>
      </c>
      <c r="P48" s="15">
        <f t="shared" si="1"/>
        <v>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4</v>
      </c>
      <c r="N50" s="50">
        <v>0</v>
      </c>
      <c r="O50" s="15">
        <f t="shared" si="0"/>
        <v>2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0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3</v>
      </c>
      <c r="M52" s="50">
        <v>6</v>
      </c>
      <c r="N52" s="50">
        <v>0</v>
      </c>
      <c r="O52" s="15">
        <f t="shared" si="0"/>
        <v>6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2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1</v>
      </c>
      <c r="M54" s="50">
        <v>1</v>
      </c>
      <c r="N54" s="50">
        <v>0</v>
      </c>
      <c r="O54" s="15">
        <f t="shared" si="0"/>
        <v>3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1</v>
      </c>
      <c r="P56" s="15">
        <f t="shared" si="1"/>
        <v>1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3</v>
      </c>
      <c r="P57" s="15">
        <f t="shared" si="1"/>
        <v>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</v>
      </c>
      <c r="D58" s="16">
        <f t="shared" si="21"/>
        <v>2</v>
      </c>
      <c r="E58" s="16">
        <f t="shared" si="21"/>
        <v>2</v>
      </c>
      <c r="F58" s="16">
        <f t="shared" si="21"/>
        <v>0</v>
      </c>
      <c r="G58" s="16">
        <f t="shared" si="21"/>
        <v>0</v>
      </c>
      <c r="H58" s="16">
        <f t="shared" si="21"/>
        <v>0</v>
      </c>
      <c r="I58" s="16">
        <f t="shared" si="21"/>
        <v>1</v>
      </c>
      <c r="J58" s="16">
        <f t="shared" si="21"/>
        <v>1</v>
      </c>
      <c r="K58" s="16">
        <f t="shared" si="21"/>
        <v>3</v>
      </c>
      <c r="L58" s="16">
        <f t="shared" si="21"/>
        <v>40</v>
      </c>
      <c r="M58" s="16">
        <f t="shared" si="21"/>
        <v>124</v>
      </c>
      <c r="N58" s="16">
        <f t="shared" si="21"/>
        <v>0</v>
      </c>
      <c r="O58" s="16">
        <f t="shared" si="21"/>
        <v>82</v>
      </c>
      <c r="P58" s="16">
        <f t="shared" si="21"/>
        <v>206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0.16019417475728157</v>
      </c>
      <c r="D59" s="43">
        <f t="shared" si="22"/>
        <v>9.7087378640776691E-3</v>
      </c>
      <c r="E59" s="43">
        <f t="shared" si="22"/>
        <v>9.7087378640776691E-3</v>
      </c>
      <c r="F59" s="43">
        <f t="shared" si="22"/>
        <v>0</v>
      </c>
      <c r="G59" s="43">
        <f t="shared" si="22"/>
        <v>0</v>
      </c>
      <c r="H59" s="43">
        <f t="shared" si="22"/>
        <v>0</v>
      </c>
      <c r="I59" s="43">
        <f t="shared" si="22"/>
        <v>4.8543689320388345E-3</v>
      </c>
      <c r="J59" s="43">
        <f t="shared" si="22"/>
        <v>4.8543689320388345E-3</v>
      </c>
      <c r="K59" s="43">
        <f t="shared" si="22"/>
        <v>1.4563106796116505E-2</v>
      </c>
      <c r="L59" s="43">
        <f t="shared" si="22"/>
        <v>0.1941747572815534</v>
      </c>
      <c r="M59" s="43">
        <f t="shared" si="22"/>
        <v>0.60194174757281549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0.40243902439024393</v>
      </c>
      <c r="D60" s="44">
        <f t="shared" ref="D60:N60" si="23">D58/$O$58</f>
        <v>2.4390243902439025E-2</v>
      </c>
      <c r="E60" s="44">
        <f t="shared" si="23"/>
        <v>2.4390243902439025E-2</v>
      </c>
      <c r="F60" s="44">
        <f t="shared" si="23"/>
        <v>0</v>
      </c>
      <c r="G60" s="44">
        <f t="shared" si="23"/>
        <v>0</v>
      </c>
      <c r="H60" s="44">
        <f t="shared" si="23"/>
        <v>0</v>
      </c>
      <c r="I60" s="44">
        <f t="shared" si="23"/>
        <v>1.2195121951219513E-2</v>
      </c>
      <c r="J60" s="44">
        <f t="shared" si="23"/>
        <v>1.2195121951219513E-2</v>
      </c>
      <c r="K60" s="44">
        <f t="shared" si="23"/>
        <v>3.6585365853658534E-2</v>
      </c>
      <c r="L60" s="44">
        <f t="shared" si="23"/>
        <v>0.48780487804878048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3" zoomScale="60" workbookViewId="0">
      <selection activeCell="S59" sqref="S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'26.10 NTUNGAMO-MIRAMA HILL'!C3:G3</f>
        <v>MCC-C4-STN133-MIRAMA HILL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'26.10 NTUNGAMO-MIRAMA HILL'!G5:H5</f>
        <v>MIRAMA HILL P/S</v>
      </c>
      <c r="H5" s="67"/>
      <c r="I5" s="14"/>
      <c r="J5" s="2" t="s">
        <v>5</v>
      </c>
      <c r="K5" s="66" t="s">
        <v>167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165</v>
      </c>
      <c r="H6" s="64"/>
      <c r="J6" s="2" t="s">
        <v>21</v>
      </c>
      <c r="K6" s="66" t="str">
        <f>'26.10 NTUNGAMO-MIRAMA HILL'!K6:L6</f>
        <v>NORMAN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2</v>
      </c>
      <c r="M10" s="50">
        <v>3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4</v>
      </c>
      <c r="T10" s="17">
        <f t="shared" si="2"/>
        <v>1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1</v>
      </c>
      <c r="AB10" s="17">
        <f t="shared" si="2"/>
        <v>6</v>
      </c>
      <c r="AC10" s="17">
        <f t="shared" si="2"/>
        <v>13</v>
      </c>
      <c r="AD10" s="17">
        <f t="shared" si="2"/>
        <v>0</v>
      </c>
      <c r="AE10" s="31">
        <f t="shared" si="2"/>
        <v>12</v>
      </c>
      <c r="AF10" s="31">
        <f t="shared" si="2"/>
        <v>25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4</v>
      </c>
      <c r="M11" s="50">
        <v>6</v>
      </c>
      <c r="N11" s="50">
        <v>0</v>
      </c>
      <c r="O11" s="15">
        <f t="shared" si="0"/>
        <v>4</v>
      </c>
      <c r="P11" s="15">
        <f t="shared" si="1"/>
        <v>10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1</v>
      </c>
      <c r="AB11" s="17">
        <f t="shared" si="3"/>
        <v>5</v>
      </c>
      <c r="AC11" s="17">
        <f t="shared" si="3"/>
        <v>10</v>
      </c>
      <c r="AD11" s="17">
        <f t="shared" si="3"/>
        <v>0</v>
      </c>
      <c r="AE11" s="31">
        <f t="shared" si="3"/>
        <v>17</v>
      </c>
      <c r="AF11" s="31">
        <f t="shared" si="3"/>
        <v>27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10</v>
      </c>
      <c r="T12" s="17">
        <f t="shared" si="4"/>
        <v>10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12</v>
      </c>
      <c r="AC12" s="17">
        <f t="shared" si="4"/>
        <v>16</v>
      </c>
      <c r="AD12" s="17">
        <f t="shared" si="4"/>
        <v>0</v>
      </c>
      <c r="AE12" s="31">
        <f t="shared" si="4"/>
        <v>32</v>
      </c>
      <c r="AF12" s="31">
        <f t="shared" si="4"/>
        <v>48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4</v>
      </c>
      <c r="P13" s="15">
        <f t="shared" si="1"/>
        <v>5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5</v>
      </c>
      <c r="AC13" s="17">
        <f t="shared" si="5"/>
        <v>8</v>
      </c>
      <c r="AD13" s="17">
        <f t="shared" si="5"/>
        <v>0</v>
      </c>
      <c r="AE13" s="31">
        <f t="shared" si="5"/>
        <v>10</v>
      </c>
      <c r="AF13" s="31">
        <f t="shared" si="5"/>
        <v>18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1</v>
      </c>
      <c r="P14" s="15">
        <f t="shared" si="1"/>
        <v>7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8</v>
      </c>
      <c r="AC14" s="17">
        <f t="shared" si="6"/>
        <v>16</v>
      </c>
      <c r="AD14" s="17">
        <f t="shared" si="6"/>
        <v>0</v>
      </c>
      <c r="AE14" s="31">
        <f t="shared" si="6"/>
        <v>16</v>
      </c>
      <c r="AF14" s="31">
        <f t="shared" si="6"/>
        <v>32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6</v>
      </c>
      <c r="AB15" s="17">
        <f t="shared" si="7"/>
        <v>6</v>
      </c>
      <c r="AC15" s="17">
        <f t="shared" si="7"/>
        <v>9</v>
      </c>
      <c r="AD15" s="17">
        <f t="shared" si="7"/>
        <v>0</v>
      </c>
      <c r="AE15" s="31">
        <f t="shared" si="7"/>
        <v>25</v>
      </c>
      <c r="AF15" s="31">
        <f t="shared" si="7"/>
        <v>34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3</v>
      </c>
      <c r="M16" s="50">
        <v>2</v>
      </c>
      <c r="N16" s="50">
        <v>0</v>
      </c>
      <c r="O16" s="15">
        <f t="shared" si="0"/>
        <v>7</v>
      </c>
      <c r="P16" s="15">
        <f t="shared" si="1"/>
        <v>9</v>
      </c>
      <c r="R16" s="1" t="s">
        <v>12</v>
      </c>
      <c r="S16" s="17">
        <f t="shared" ref="S16:AF16" si="8">SUM(C34:C37)</f>
        <v>11</v>
      </c>
      <c r="T16" s="17">
        <f t="shared" si="8"/>
        <v>3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6</v>
      </c>
      <c r="AB16" s="17">
        <f t="shared" si="8"/>
        <v>10</v>
      </c>
      <c r="AC16" s="17">
        <f t="shared" si="8"/>
        <v>12</v>
      </c>
      <c r="AD16" s="17">
        <f t="shared" si="8"/>
        <v>0</v>
      </c>
      <c r="AE16" s="31">
        <f t="shared" si="8"/>
        <v>34</v>
      </c>
      <c r="AF16" s="31">
        <f t="shared" si="8"/>
        <v>46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2</v>
      </c>
      <c r="N17" s="50">
        <v>0</v>
      </c>
      <c r="O17" s="15">
        <f t="shared" si="0"/>
        <v>5</v>
      </c>
      <c r="P17" s="15">
        <f t="shared" si="1"/>
        <v>7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1</v>
      </c>
      <c r="X17" s="17">
        <f t="shared" si="9"/>
        <v>1</v>
      </c>
      <c r="Y17" s="17">
        <f t="shared" si="9"/>
        <v>3</v>
      </c>
      <c r="Z17" s="17">
        <f t="shared" si="9"/>
        <v>1</v>
      </c>
      <c r="AA17" s="17">
        <f t="shared" si="9"/>
        <v>6</v>
      </c>
      <c r="AB17" s="17">
        <f t="shared" si="9"/>
        <v>9</v>
      </c>
      <c r="AC17" s="17">
        <f t="shared" si="9"/>
        <v>9</v>
      </c>
      <c r="AD17" s="17">
        <f t="shared" si="9"/>
        <v>0</v>
      </c>
      <c r="AE17" s="31">
        <f t="shared" si="9"/>
        <v>28</v>
      </c>
      <c r="AF17" s="31">
        <f t="shared" si="9"/>
        <v>37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3</v>
      </c>
      <c r="M18" s="50">
        <v>2</v>
      </c>
      <c r="N18" s="50">
        <v>0</v>
      </c>
      <c r="O18" s="15">
        <f t="shared" si="0"/>
        <v>3</v>
      </c>
      <c r="P18" s="15">
        <f t="shared" si="1"/>
        <v>5</v>
      </c>
      <c r="R18" s="1" t="s">
        <v>14</v>
      </c>
      <c r="S18" s="17">
        <f t="shared" ref="S18:AF18" si="10">SUM(C42:C45)</f>
        <v>5</v>
      </c>
      <c r="T18" s="17">
        <f t="shared" si="10"/>
        <v>2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3</v>
      </c>
      <c r="AB18" s="17">
        <f t="shared" si="10"/>
        <v>10</v>
      </c>
      <c r="AC18" s="17">
        <f t="shared" si="10"/>
        <v>13</v>
      </c>
      <c r="AD18" s="17">
        <f t="shared" si="10"/>
        <v>0</v>
      </c>
      <c r="AE18" s="31">
        <f t="shared" si="10"/>
        <v>27</v>
      </c>
      <c r="AF18" s="31">
        <f t="shared" si="10"/>
        <v>40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5</v>
      </c>
      <c r="M19" s="50">
        <v>5</v>
      </c>
      <c r="N19" s="50">
        <v>0</v>
      </c>
      <c r="O19" s="15">
        <f t="shared" si="0"/>
        <v>7</v>
      </c>
      <c r="P19" s="15">
        <f t="shared" si="1"/>
        <v>12</v>
      </c>
      <c r="R19" s="1" t="s">
        <v>15</v>
      </c>
      <c r="S19" s="17">
        <f t="shared" ref="S19:AF19" si="11">SUM(C46:C49)</f>
        <v>7</v>
      </c>
      <c r="T19" s="17">
        <f t="shared" si="11"/>
        <v>2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4</v>
      </c>
      <c r="AA19" s="17">
        <f t="shared" si="11"/>
        <v>0</v>
      </c>
      <c r="AB19" s="17">
        <f t="shared" si="11"/>
        <v>5</v>
      </c>
      <c r="AC19" s="17">
        <f t="shared" si="11"/>
        <v>9</v>
      </c>
      <c r="AD19" s="17">
        <f t="shared" si="11"/>
        <v>0</v>
      </c>
      <c r="AE19" s="31">
        <f t="shared" si="11"/>
        <v>19</v>
      </c>
      <c r="AF19" s="31">
        <f t="shared" si="11"/>
        <v>28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7</v>
      </c>
      <c r="N20" s="50">
        <v>0</v>
      </c>
      <c r="O20" s="15">
        <f t="shared" si="0"/>
        <v>6</v>
      </c>
      <c r="P20" s="15">
        <f t="shared" si="1"/>
        <v>13</v>
      </c>
      <c r="R20" s="1" t="s">
        <v>16</v>
      </c>
      <c r="S20" s="17">
        <f t="shared" ref="S20:AF20" si="12">SUM(C50:C53)</f>
        <v>6</v>
      </c>
      <c r="T20" s="17">
        <f t="shared" si="12"/>
        <v>4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10</v>
      </c>
      <c r="AD20" s="17">
        <f t="shared" si="12"/>
        <v>0</v>
      </c>
      <c r="AE20" s="31">
        <f t="shared" si="12"/>
        <v>11</v>
      </c>
      <c r="AF20" s="31">
        <f t="shared" si="12"/>
        <v>21</v>
      </c>
    </row>
    <row r="21" spans="2:32" ht="23.1" customHeight="1" x14ac:dyDescent="0.25">
      <c r="B21" s="23" t="s">
        <v>48</v>
      </c>
      <c r="C21" s="50">
        <v>5</v>
      </c>
      <c r="D21" s="50">
        <v>10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</v>
      </c>
      <c r="N21" s="50">
        <v>0</v>
      </c>
      <c r="O21" s="15">
        <f t="shared" si="0"/>
        <v>16</v>
      </c>
      <c r="P21" s="15">
        <f t="shared" si="1"/>
        <v>18</v>
      </c>
      <c r="R21" s="36" t="s">
        <v>20</v>
      </c>
      <c r="S21" s="34">
        <f t="shared" ref="S21:AF21" si="13">SUM(C54:C57)</f>
        <v>15</v>
      </c>
      <c r="T21" s="17">
        <f t="shared" si="13"/>
        <v>1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2</v>
      </c>
      <c r="AB21" s="17">
        <f t="shared" si="13"/>
        <v>10</v>
      </c>
      <c r="AC21" s="17">
        <f t="shared" si="13"/>
        <v>25</v>
      </c>
      <c r="AD21" s="17">
        <f t="shared" si="13"/>
        <v>0</v>
      </c>
      <c r="AE21" s="31">
        <f t="shared" si="13"/>
        <v>32</v>
      </c>
      <c r="AF21" s="31">
        <f t="shared" si="13"/>
        <v>57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3</v>
      </c>
      <c r="M22" s="50">
        <v>2</v>
      </c>
      <c r="N22" s="50">
        <v>0</v>
      </c>
      <c r="O22" s="15">
        <f t="shared" si="0"/>
        <v>6</v>
      </c>
      <c r="P22" s="15">
        <f t="shared" si="1"/>
        <v>8</v>
      </c>
      <c r="R22" s="38" t="s">
        <v>90</v>
      </c>
      <c r="S22" s="39">
        <f>MAX(S10:S12)</f>
        <v>10</v>
      </c>
      <c r="T22" s="39">
        <f t="shared" ref="T22:AF22" si="14">MAX(T10:T12)</f>
        <v>10</v>
      </c>
      <c r="U22" s="39">
        <f t="shared" si="14"/>
        <v>0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1</v>
      </c>
      <c r="AB22" s="39">
        <f t="shared" si="14"/>
        <v>12</v>
      </c>
      <c r="AC22" s="39">
        <f t="shared" si="14"/>
        <v>16</v>
      </c>
      <c r="AD22" s="39">
        <f t="shared" si="14"/>
        <v>0</v>
      </c>
      <c r="AE22" s="40">
        <f t="shared" si="14"/>
        <v>32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1</v>
      </c>
      <c r="N23" s="50">
        <v>0</v>
      </c>
      <c r="O23" s="15">
        <f t="shared" si="0"/>
        <v>2</v>
      </c>
      <c r="P23" s="15">
        <f t="shared" si="1"/>
        <v>3</v>
      </c>
      <c r="R23" s="38" t="s">
        <v>91</v>
      </c>
      <c r="S23" s="39">
        <f>MAX(S13:S18)</f>
        <v>11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0</v>
      </c>
      <c r="W23" s="39">
        <f t="shared" si="15"/>
        <v>1</v>
      </c>
      <c r="X23" s="39">
        <f t="shared" si="15"/>
        <v>1</v>
      </c>
      <c r="Y23" s="39">
        <f t="shared" si="15"/>
        <v>4</v>
      </c>
      <c r="Z23" s="39">
        <f t="shared" si="15"/>
        <v>2</v>
      </c>
      <c r="AA23" s="39">
        <f t="shared" si="15"/>
        <v>6</v>
      </c>
      <c r="AB23" s="39">
        <f t="shared" si="15"/>
        <v>10</v>
      </c>
      <c r="AC23" s="39">
        <f t="shared" si="15"/>
        <v>16</v>
      </c>
      <c r="AD23" s="39">
        <f t="shared" si="15"/>
        <v>0</v>
      </c>
      <c r="AE23" s="40">
        <f t="shared" si="15"/>
        <v>34</v>
      </c>
      <c r="AF23" s="40">
        <f t="shared" si="15"/>
        <v>46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0</v>
      </c>
      <c r="P24" s="15">
        <f t="shared" si="1"/>
        <v>3</v>
      </c>
      <c r="R24" s="38" t="s">
        <v>92</v>
      </c>
      <c r="S24" s="39">
        <f>MAX(S19:S21)</f>
        <v>15</v>
      </c>
      <c r="T24" s="39">
        <f t="shared" ref="T24:AF24" si="16">MAX(T19:T21)</f>
        <v>4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4</v>
      </c>
      <c r="AA24" s="39">
        <f t="shared" si="16"/>
        <v>2</v>
      </c>
      <c r="AB24" s="39">
        <f t="shared" si="16"/>
        <v>10</v>
      </c>
      <c r="AC24" s="39">
        <f t="shared" si="16"/>
        <v>25</v>
      </c>
      <c r="AD24" s="39">
        <f t="shared" si="16"/>
        <v>0</v>
      </c>
      <c r="AE24" s="40">
        <f t="shared" si="16"/>
        <v>32</v>
      </c>
      <c r="AF24" s="40">
        <f t="shared" si="16"/>
        <v>57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2</v>
      </c>
      <c r="N25" s="50">
        <v>0</v>
      </c>
      <c r="O25" s="15">
        <f t="shared" si="0"/>
        <v>2</v>
      </c>
      <c r="P25" s="15">
        <f t="shared" si="1"/>
        <v>4</v>
      </c>
      <c r="R25" s="37" t="s">
        <v>85</v>
      </c>
      <c r="S25" s="35">
        <f t="shared" ref="S25:AF25" si="17">SUM(S10:S12)</f>
        <v>22</v>
      </c>
      <c r="T25" s="16">
        <f t="shared" si="17"/>
        <v>11</v>
      </c>
      <c r="U25" s="16">
        <f t="shared" si="17"/>
        <v>0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2</v>
      </c>
      <c r="Z25" s="16">
        <f t="shared" si="17"/>
        <v>0</v>
      </c>
      <c r="AA25" s="16">
        <f t="shared" si="17"/>
        <v>2</v>
      </c>
      <c r="AB25" s="16">
        <f t="shared" si="17"/>
        <v>23</v>
      </c>
      <c r="AC25" s="16">
        <f t="shared" si="17"/>
        <v>39</v>
      </c>
      <c r="AD25" s="16">
        <f t="shared" si="17"/>
        <v>0</v>
      </c>
      <c r="AE25" s="32">
        <f t="shared" si="17"/>
        <v>61</v>
      </c>
      <c r="AF25" s="32">
        <f t="shared" si="17"/>
        <v>100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1</v>
      </c>
      <c r="N26" s="50">
        <v>0</v>
      </c>
      <c r="O26" s="15">
        <f t="shared" si="0"/>
        <v>3</v>
      </c>
      <c r="P26" s="15">
        <f t="shared" si="1"/>
        <v>4</v>
      </c>
      <c r="R26" s="28" t="s">
        <v>86</v>
      </c>
      <c r="S26" s="16">
        <f t="shared" ref="S26:AF26" si="18">SUM(S13:S18)</f>
        <v>34</v>
      </c>
      <c r="T26" s="16">
        <f t="shared" si="18"/>
        <v>5</v>
      </c>
      <c r="U26" s="16">
        <f t="shared" si="18"/>
        <v>12</v>
      </c>
      <c r="V26" s="16">
        <f t="shared" si="18"/>
        <v>0</v>
      </c>
      <c r="W26" s="16">
        <f t="shared" si="18"/>
        <v>1</v>
      </c>
      <c r="X26" s="16">
        <f t="shared" si="18"/>
        <v>1</v>
      </c>
      <c r="Y26" s="16">
        <f t="shared" si="18"/>
        <v>11</v>
      </c>
      <c r="Z26" s="16">
        <f t="shared" si="18"/>
        <v>6</v>
      </c>
      <c r="AA26" s="16">
        <f t="shared" si="18"/>
        <v>22</v>
      </c>
      <c r="AB26" s="16">
        <f t="shared" si="18"/>
        <v>48</v>
      </c>
      <c r="AC26" s="16">
        <f t="shared" si="18"/>
        <v>67</v>
      </c>
      <c r="AD26" s="16">
        <f t="shared" si="18"/>
        <v>0</v>
      </c>
      <c r="AE26" s="32">
        <f t="shared" si="18"/>
        <v>140</v>
      </c>
      <c r="AF26" s="32">
        <f t="shared" si="18"/>
        <v>207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4</v>
      </c>
      <c r="M27" s="50">
        <v>6</v>
      </c>
      <c r="N27" s="50">
        <v>0</v>
      </c>
      <c r="O27" s="15">
        <f t="shared" si="0"/>
        <v>9</v>
      </c>
      <c r="P27" s="15">
        <f t="shared" si="1"/>
        <v>15</v>
      </c>
      <c r="R27" s="29" t="s">
        <v>87</v>
      </c>
      <c r="S27" s="16">
        <f t="shared" ref="S27:AF27" si="19">SUM(S19:S21)</f>
        <v>28</v>
      </c>
      <c r="T27" s="16">
        <f t="shared" si="19"/>
        <v>7</v>
      </c>
      <c r="U27" s="16">
        <f t="shared" si="19"/>
        <v>3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4</v>
      </c>
      <c r="AA27" s="16">
        <f t="shared" si="19"/>
        <v>2</v>
      </c>
      <c r="AB27" s="16">
        <f t="shared" si="19"/>
        <v>16</v>
      </c>
      <c r="AC27" s="16">
        <f t="shared" si="19"/>
        <v>44</v>
      </c>
      <c r="AD27" s="16">
        <f t="shared" si="19"/>
        <v>0</v>
      </c>
      <c r="AE27" s="32">
        <f t="shared" si="19"/>
        <v>62</v>
      </c>
      <c r="AF27" s="32">
        <f t="shared" si="19"/>
        <v>106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2</v>
      </c>
      <c r="M28" s="50">
        <v>4</v>
      </c>
      <c r="N28" s="50">
        <v>0</v>
      </c>
      <c r="O28" s="15">
        <f t="shared" si="0"/>
        <v>3</v>
      </c>
      <c r="P28" s="15">
        <f t="shared" si="1"/>
        <v>7</v>
      </c>
      <c r="R28" s="5" t="s">
        <v>17</v>
      </c>
      <c r="S28" s="16">
        <f t="shared" ref="S28:AF28" si="20">SUM(S10:S21)</f>
        <v>84</v>
      </c>
      <c r="T28" s="16">
        <f t="shared" si="20"/>
        <v>23</v>
      </c>
      <c r="U28" s="16">
        <f t="shared" si="20"/>
        <v>15</v>
      </c>
      <c r="V28" s="16">
        <f t="shared" si="20"/>
        <v>1</v>
      </c>
      <c r="W28" s="16">
        <f t="shared" si="20"/>
        <v>1</v>
      </c>
      <c r="X28" s="16">
        <f t="shared" si="20"/>
        <v>1</v>
      </c>
      <c r="Y28" s="16">
        <f t="shared" si="20"/>
        <v>15</v>
      </c>
      <c r="Z28" s="16">
        <f t="shared" si="20"/>
        <v>10</v>
      </c>
      <c r="AA28" s="16">
        <f t="shared" si="20"/>
        <v>26</v>
      </c>
      <c r="AB28" s="16">
        <f t="shared" si="20"/>
        <v>87</v>
      </c>
      <c r="AC28" s="16">
        <f t="shared" si="20"/>
        <v>150</v>
      </c>
      <c r="AD28" s="16">
        <f t="shared" si="20"/>
        <v>0</v>
      </c>
      <c r="AE28" s="32">
        <f t="shared" si="20"/>
        <v>263</v>
      </c>
      <c r="AF28" s="32">
        <f t="shared" si="20"/>
        <v>413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1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3</v>
      </c>
      <c r="J30" s="50">
        <v>1</v>
      </c>
      <c r="K30" s="50">
        <v>2</v>
      </c>
      <c r="L30" s="50">
        <v>1</v>
      </c>
      <c r="M30" s="50">
        <v>2</v>
      </c>
      <c r="N30" s="50">
        <v>0</v>
      </c>
      <c r="O30" s="15">
        <f t="shared" si="0"/>
        <v>11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4</v>
      </c>
      <c r="L31" s="50">
        <v>0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5</v>
      </c>
      <c r="M32" s="50">
        <v>7</v>
      </c>
      <c r="N32" s="50">
        <v>0</v>
      </c>
      <c r="O32" s="15">
        <f t="shared" si="0"/>
        <v>10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0</v>
      </c>
      <c r="P33" s="15">
        <f t="shared" si="1"/>
        <v>0</v>
      </c>
    </row>
    <row r="34" spans="2:20" ht="23.1" customHeight="1" x14ac:dyDescent="0.25">
      <c r="B34" s="24" t="s">
        <v>61</v>
      </c>
      <c r="C34" s="50">
        <v>4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2</v>
      </c>
      <c r="K34" s="50">
        <v>1</v>
      </c>
      <c r="L34" s="50">
        <v>5</v>
      </c>
      <c r="M34" s="50">
        <v>4</v>
      </c>
      <c r="N34" s="50">
        <v>0</v>
      </c>
      <c r="O34" s="15">
        <f t="shared" si="0"/>
        <v>14</v>
      </c>
      <c r="P34" s="15">
        <f t="shared" si="1"/>
        <v>18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3</v>
      </c>
      <c r="L35" s="50">
        <v>1</v>
      </c>
      <c r="M35" s="50">
        <v>3</v>
      </c>
      <c r="N35" s="50">
        <v>0</v>
      </c>
      <c r="O35" s="15">
        <f t="shared" si="0"/>
        <v>6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2</v>
      </c>
      <c r="L36" s="50">
        <v>3</v>
      </c>
      <c r="M36" s="50">
        <v>2</v>
      </c>
      <c r="N36" s="50">
        <v>0</v>
      </c>
      <c r="O36" s="15">
        <f t="shared" si="0"/>
        <v>6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7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3</v>
      </c>
      <c r="N37" s="50">
        <v>0</v>
      </c>
      <c r="O37" s="15">
        <f t="shared" si="0"/>
        <v>8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3</v>
      </c>
      <c r="M38" s="50">
        <v>6</v>
      </c>
      <c r="N38" s="50">
        <v>0</v>
      </c>
      <c r="O38" s="15">
        <f t="shared" si="0"/>
        <v>4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2</v>
      </c>
      <c r="J39" s="50">
        <v>1</v>
      </c>
      <c r="K39" s="50">
        <v>3</v>
      </c>
      <c r="L39" s="50">
        <v>0</v>
      </c>
      <c r="M39" s="50">
        <v>2</v>
      </c>
      <c r="N39" s="50">
        <v>0</v>
      </c>
      <c r="O39" s="15">
        <f t="shared" si="0"/>
        <v>9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2</v>
      </c>
      <c r="L40" s="50">
        <v>4</v>
      </c>
      <c r="M40" s="50">
        <v>1</v>
      </c>
      <c r="N40" s="50">
        <v>0</v>
      </c>
      <c r="O40" s="15">
        <f t="shared" si="0"/>
        <v>7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1</v>
      </c>
      <c r="H41" s="50">
        <v>0</v>
      </c>
      <c r="I41" s="50">
        <v>1</v>
      </c>
      <c r="J41" s="50">
        <v>0</v>
      </c>
      <c r="K41" s="50">
        <v>1</v>
      </c>
      <c r="L41" s="50">
        <v>2</v>
      </c>
      <c r="M41" s="50">
        <v>0</v>
      </c>
      <c r="N41" s="50">
        <v>0</v>
      </c>
      <c r="O41" s="15">
        <f t="shared" si="0"/>
        <v>8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3</v>
      </c>
      <c r="L42" s="50">
        <v>5</v>
      </c>
      <c r="M42" s="50">
        <v>4</v>
      </c>
      <c r="N42" s="50">
        <v>0</v>
      </c>
      <c r="O42" s="15">
        <f t="shared" si="0"/>
        <v>9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3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2</v>
      </c>
      <c r="M43" s="50">
        <v>0</v>
      </c>
      <c r="N43" s="50">
        <v>0</v>
      </c>
      <c r="O43" s="15">
        <f t="shared" si="0"/>
        <v>9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3</v>
      </c>
      <c r="M44" s="50">
        <v>2</v>
      </c>
      <c r="N44" s="50">
        <v>0</v>
      </c>
      <c r="O44" s="15">
        <f t="shared" si="0"/>
        <v>9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0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5</v>
      </c>
      <c r="D46" s="50">
        <v>2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2</v>
      </c>
      <c r="M46" s="50">
        <v>4</v>
      </c>
      <c r="N46" s="50">
        <v>0</v>
      </c>
      <c r="O46" s="15">
        <f t="shared" si="0"/>
        <v>13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2</v>
      </c>
      <c r="M47" s="50">
        <v>1</v>
      </c>
      <c r="N47" s="50">
        <v>0</v>
      </c>
      <c r="O47" s="15">
        <f t="shared" si="0"/>
        <v>2</v>
      </c>
      <c r="P47" s="15">
        <f t="shared" si="1"/>
        <v>3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1</v>
      </c>
      <c r="N48" s="50">
        <v>0</v>
      </c>
      <c r="O48" s="15">
        <f t="shared" si="0"/>
        <v>3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2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2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3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0</v>
      </c>
      <c r="N52" s="50">
        <v>0</v>
      </c>
      <c r="O52" s="15">
        <f t="shared" si="0"/>
        <v>7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2</v>
      </c>
      <c r="L54" s="50">
        <v>0</v>
      </c>
      <c r="M54" s="50">
        <v>4</v>
      </c>
      <c r="N54" s="50">
        <v>0</v>
      </c>
      <c r="O54" s="15">
        <f t="shared" si="0"/>
        <v>3</v>
      </c>
      <c r="P54" s="15">
        <f t="shared" si="1"/>
        <v>7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3</v>
      </c>
      <c r="M55" s="50">
        <v>3</v>
      </c>
      <c r="N55" s="50">
        <v>0</v>
      </c>
      <c r="O55" s="15">
        <f t="shared" si="0"/>
        <v>8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7</v>
      </c>
      <c r="N56" s="50">
        <v>0</v>
      </c>
      <c r="O56" s="15">
        <f t="shared" si="0"/>
        <v>5</v>
      </c>
      <c r="P56" s="15">
        <f t="shared" si="1"/>
        <v>12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6</v>
      </c>
      <c r="M57" s="50">
        <v>11</v>
      </c>
      <c r="N57" s="50">
        <v>0</v>
      </c>
      <c r="O57" s="15">
        <f t="shared" si="0"/>
        <v>16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84</v>
      </c>
      <c r="D58" s="16">
        <f t="shared" si="21"/>
        <v>23</v>
      </c>
      <c r="E58" s="16">
        <f t="shared" si="21"/>
        <v>15</v>
      </c>
      <c r="F58" s="16">
        <f t="shared" si="21"/>
        <v>1</v>
      </c>
      <c r="G58" s="16">
        <f t="shared" si="21"/>
        <v>1</v>
      </c>
      <c r="H58" s="16">
        <f t="shared" si="21"/>
        <v>1</v>
      </c>
      <c r="I58" s="16">
        <f t="shared" si="21"/>
        <v>15</v>
      </c>
      <c r="J58" s="16">
        <f t="shared" si="21"/>
        <v>10</v>
      </c>
      <c r="K58" s="16">
        <f t="shared" si="21"/>
        <v>26</v>
      </c>
      <c r="L58" s="16">
        <f t="shared" si="21"/>
        <v>87</v>
      </c>
      <c r="M58" s="16">
        <f t="shared" si="21"/>
        <v>150</v>
      </c>
      <c r="N58" s="16">
        <f t="shared" si="21"/>
        <v>0</v>
      </c>
      <c r="O58" s="16">
        <f t="shared" si="21"/>
        <v>263</v>
      </c>
      <c r="P58" s="16">
        <f t="shared" si="21"/>
        <v>413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0.20338983050847459</v>
      </c>
      <c r="D59" s="43">
        <f t="shared" si="22"/>
        <v>5.569007263922518E-2</v>
      </c>
      <c r="E59" s="43">
        <f t="shared" si="22"/>
        <v>3.6319612590799029E-2</v>
      </c>
      <c r="F59" s="43">
        <f t="shared" si="22"/>
        <v>2.4213075060532689E-3</v>
      </c>
      <c r="G59" s="43">
        <f t="shared" si="22"/>
        <v>2.4213075060532689E-3</v>
      </c>
      <c r="H59" s="43">
        <f t="shared" si="22"/>
        <v>2.4213075060532689E-3</v>
      </c>
      <c r="I59" s="43">
        <f t="shared" si="22"/>
        <v>3.6319612590799029E-2</v>
      </c>
      <c r="J59" s="43">
        <f t="shared" si="22"/>
        <v>2.4213075060532687E-2</v>
      </c>
      <c r="K59" s="43">
        <f t="shared" si="22"/>
        <v>6.2953995157384993E-2</v>
      </c>
      <c r="L59" s="43">
        <f t="shared" si="22"/>
        <v>0.21065375302663439</v>
      </c>
      <c r="M59" s="43">
        <f t="shared" si="22"/>
        <v>0.36319612590799033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0.3193916349809886</v>
      </c>
      <c r="D60" s="44">
        <f t="shared" ref="D60:N60" si="23">D58/$O$58</f>
        <v>8.7452471482889732E-2</v>
      </c>
      <c r="E60" s="44">
        <f t="shared" si="23"/>
        <v>5.7034220532319393E-2</v>
      </c>
      <c r="F60" s="44">
        <f t="shared" si="23"/>
        <v>3.8022813688212928E-3</v>
      </c>
      <c r="G60" s="44">
        <f t="shared" si="23"/>
        <v>3.8022813688212928E-3</v>
      </c>
      <c r="H60" s="44">
        <f t="shared" si="23"/>
        <v>3.8022813688212928E-3</v>
      </c>
      <c r="I60" s="44">
        <f t="shared" si="23"/>
        <v>5.7034220532319393E-2</v>
      </c>
      <c r="J60" s="44">
        <f t="shared" si="23"/>
        <v>3.8022813688212927E-2</v>
      </c>
      <c r="K60" s="44">
        <f t="shared" si="23"/>
        <v>9.8859315589353611E-2</v>
      </c>
      <c r="L60" s="44">
        <f t="shared" si="23"/>
        <v>0.33079847908745247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I55" zoomScale="60" workbookViewId="0">
      <selection activeCell="AD56" sqref="AD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e">
        <f>#REF!</f>
        <v>#REF!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58" t="e">
        <f>#REF!</f>
        <v>#REF!</v>
      </c>
      <c r="H5" s="59"/>
      <c r="I5" s="14"/>
      <c r="J5" s="2" t="s">
        <v>5</v>
      </c>
      <c r="K5" s="58" t="e">
        <f>#REF!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e">
        <f>#REF!</f>
        <v>#REF!</v>
      </c>
      <c r="E6" s="59"/>
      <c r="F6" s="2" t="s">
        <v>2</v>
      </c>
      <c r="G6" s="58" t="e">
        <f>#REF!</f>
        <v>#REF!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NTUNGAMO- MIRAMA -24h'!C10,'26.10 NTUNGAMO-MIRAMA HILL'!C10)</f>
        <v>0</v>
      </c>
      <c r="D10" s="49">
        <f>AVERAGE('25.10 NTUNGAMO- MIRAMA -24h'!D10,'26.10 NTUNGAMO-MIRAMA HILL'!D10)</f>
        <v>0</v>
      </c>
      <c r="E10" s="49">
        <f>AVERAGE('25.10 NTUNGAMO- MIRAMA -24h'!E10,'26.10 NTUNGAMO-MIRAMA HILL'!E10)</f>
        <v>0</v>
      </c>
      <c r="F10" s="49">
        <f>AVERAGE('25.10 NTUNGAMO- MIRAMA -24h'!F10,'26.10 NTUNGAMO-MIRAMA HILL'!F10)</f>
        <v>0</v>
      </c>
      <c r="G10" s="49">
        <f>AVERAGE('25.10 NTUNGAMO- MIRAMA -24h'!G10,'26.10 NTUNGAMO-MIRAMA HILL'!G10)</f>
        <v>0</v>
      </c>
      <c r="H10" s="49">
        <f>AVERAGE('25.10 NTUNGAMO- MIRAMA -24h'!H10,'26.10 NTUNGAMO-MIRAMA HILL'!H10)</f>
        <v>0</v>
      </c>
      <c r="I10" s="49">
        <f>AVERAGE('25.10 NTUNGAMO- MIRAMA -24h'!I10,'26.10 NTUNGAMO-MIRAMA HILL'!I10)</f>
        <v>0</v>
      </c>
      <c r="J10" s="49">
        <f>AVERAGE('25.10 NTUNGAMO- MIRAMA -24h'!J10,'26.10 NTUNGAMO-MIRAMA HILL'!J10)</f>
        <v>0</v>
      </c>
      <c r="K10" s="49">
        <f>AVERAGE('25.10 NTUNGAMO- MIRAMA -24h'!K10,'26.10 NTUNGAMO-MIRAMA HILL'!K10)</f>
        <v>0</v>
      </c>
      <c r="L10" s="49">
        <f>AVERAGE('25.10 NTUNGAMO- MIRAMA -24h'!L10,'26.10 NTUNGAMO-MIRAMA HILL'!L10)</f>
        <v>0</v>
      </c>
      <c r="M10" s="49">
        <f>AVERAGE('25.10 NTUNGAMO- MIRAMA -24h'!M10,'26.10 NTUNGAMO-MIRAMA HILL'!M10)</f>
        <v>4</v>
      </c>
      <c r="N10" s="49">
        <f>AVERAGE('25.10 NTUNGAMO- MIRAMA -24h'!N10,'26.10 NTUNGAMO-MIRAMA HILL'!N10)</f>
        <v>0</v>
      </c>
      <c r="O10" s="15">
        <f t="shared" ref="O10:O73" si="0">SUM(C10:L10,N10)</f>
        <v>0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0.5</v>
      </c>
      <c r="AA10" s="17">
        <f t="shared" si="2"/>
        <v>0.5</v>
      </c>
      <c r="AB10" s="17">
        <f t="shared" si="2"/>
        <v>0.5</v>
      </c>
      <c r="AC10" s="17">
        <f t="shared" si="2"/>
        <v>8</v>
      </c>
      <c r="AD10" s="17">
        <f t="shared" si="2"/>
        <v>0</v>
      </c>
      <c r="AE10" s="31">
        <f t="shared" si="2"/>
        <v>2.5</v>
      </c>
      <c r="AF10" s="31">
        <f t="shared" si="2"/>
        <v>10.5</v>
      </c>
    </row>
    <row r="11" spans="2:32" s="6" customFormat="1" ht="23.1" customHeight="1" x14ac:dyDescent="0.25">
      <c r="B11" s="23" t="s">
        <v>38</v>
      </c>
      <c r="C11" s="49">
        <f>AVERAGE('25.10 NTUNGAMO- MIRAMA -24h'!C11,'26.10 NTUNGAMO-MIRAMA HILL'!C11)</f>
        <v>0.5</v>
      </c>
      <c r="D11" s="49">
        <f>AVERAGE('25.10 NTUNGAMO- MIRAMA -24h'!D11,'26.10 NTUNGAMO-MIRAMA HILL'!D11)</f>
        <v>0</v>
      </c>
      <c r="E11" s="49">
        <f>AVERAGE('25.10 NTUNGAMO- MIRAMA -24h'!E11,'26.10 NTUNGAMO-MIRAMA HILL'!E11)</f>
        <v>0</v>
      </c>
      <c r="F11" s="49">
        <f>AVERAGE('25.10 NTUNGAMO- MIRAMA -24h'!F11,'26.10 NTUNGAMO-MIRAMA HILL'!F11)</f>
        <v>0</v>
      </c>
      <c r="G11" s="49">
        <f>AVERAGE('25.10 NTUNGAMO- MIRAMA -24h'!G11,'26.10 NTUNGAMO-MIRAMA HILL'!G11)</f>
        <v>0</v>
      </c>
      <c r="H11" s="49">
        <f>AVERAGE('25.10 NTUNGAMO- MIRAMA -24h'!H11,'26.10 NTUNGAMO-MIRAMA HILL'!H11)</f>
        <v>0</v>
      </c>
      <c r="I11" s="49">
        <f>AVERAGE('25.10 NTUNGAMO- MIRAMA -24h'!I11,'26.10 NTUNGAMO-MIRAMA HILL'!I11)</f>
        <v>0</v>
      </c>
      <c r="J11" s="49">
        <f>AVERAGE('25.10 NTUNGAMO- MIRAMA -24h'!J11,'26.10 NTUNGAMO-MIRAMA HILL'!J11)</f>
        <v>0</v>
      </c>
      <c r="K11" s="49">
        <f>AVERAGE('25.10 NTUNGAMO- MIRAMA -24h'!K11,'26.10 NTUNGAMO-MIRAMA HILL'!K11)</f>
        <v>0</v>
      </c>
      <c r="L11" s="49">
        <f>AVERAGE('25.10 NTUNGAMO- MIRAMA -24h'!L11,'26.10 NTUNGAMO-MIRAMA HILL'!L11)</f>
        <v>0</v>
      </c>
      <c r="M11" s="49">
        <f>AVERAGE('25.10 NTUNGAMO- MIRAMA -24h'!M11,'26.10 NTUNGAMO-MIRAMA HILL'!M11)</f>
        <v>2</v>
      </c>
      <c r="N11" s="49">
        <f>AVERAGE('25.10 NTUNGAMO- MIRAMA -24h'!N11,'26.10 NTUNGAMO-MIRAMA HILL'!N11)</f>
        <v>0</v>
      </c>
      <c r="O11" s="15">
        <f t="shared" si="0"/>
        <v>0.5</v>
      </c>
      <c r="P11" s="15">
        <f t="shared" si="1"/>
        <v>2.5</v>
      </c>
      <c r="R11" s="1" t="s">
        <v>7</v>
      </c>
      <c r="S11" s="17">
        <f t="shared" ref="S11:AF11" si="3">SUM(C14:C17)</f>
        <v>0.5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5.5</v>
      </c>
      <c r="AD11" s="17">
        <f t="shared" si="3"/>
        <v>0</v>
      </c>
      <c r="AE11" s="31">
        <f t="shared" si="3"/>
        <v>2.5</v>
      </c>
      <c r="AF11" s="31">
        <f t="shared" si="3"/>
        <v>8</v>
      </c>
    </row>
    <row r="12" spans="2:32" ht="23.1" customHeight="1" x14ac:dyDescent="0.25">
      <c r="B12" s="23" t="s">
        <v>39</v>
      </c>
      <c r="C12" s="49">
        <f>AVERAGE('25.10 NTUNGAMO- MIRAMA -24h'!C12,'26.10 NTUNGAMO-MIRAMA HILL'!C12)</f>
        <v>0</v>
      </c>
      <c r="D12" s="49">
        <f>AVERAGE('25.10 NTUNGAMO- MIRAMA -24h'!D12,'26.10 NTUNGAMO-MIRAMA HILL'!D12)</f>
        <v>0</v>
      </c>
      <c r="E12" s="49">
        <f>AVERAGE('25.10 NTUNGAMO- MIRAMA -24h'!E12,'26.10 NTUNGAMO-MIRAMA HILL'!E12)</f>
        <v>0</v>
      </c>
      <c r="F12" s="49">
        <f>AVERAGE('25.10 NTUNGAMO- MIRAMA -24h'!F12,'26.10 NTUNGAMO-MIRAMA HILL'!F12)</f>
        <v>0</v>
      </c>
      <c r="G12" s="49">
        <f>AVERAGE('25.10 NTUNGAMO- MIRAMA -24h'!G12,'26.10 NTUNGAMO-MIRAMA HILL'!G12)</f>
        <v>0</v>
      </c>
      <c r="H12" s="49">
        <f>AVERAGE('25.10 NTUNGAMO- MIRAMA -24h'!H12,'26.10 NTUNGAMO-MIRAMA HILL'!H12)</f>
        <v>0</v>
      </c>
      <c r="I12" s="49">
        <f>AVERAGE('25.10 NTUNGAMO- MIRAMA -24h'!I12,'26.10 NTUNGAMO-MIRAMA HILL'!I12)</f>
        <v>0</v>
      </c>
      <c r="J12" s="49">
        <f>AVERAGE('25.10 NTUNGAMO- MIRAMA -24h'!J12,'26.10 NTUNGAMO-MIRAMA HILL'!J12)</f>
        <v>0</v>
      </c>
      <c r="K12" s="49">
        <f>AVERAGE('25.10 NTUNGAMO- MIRAMA -24h'!K12,'26.10 NTUNGAMO-MIRAMA HILL'!K12)</f>
        <v>0</v>
      </c>
      <c r="L12" s="49">
        <f>AVERAGE('25.10 NTUNGAMO- MIRAMA -24h'!L12,'26.10 NTUNGAMO-MIRAMA HILL'!L12)</f>
        <v>0</v>
      </c>
      <c r="M12" s="49">
        <f>AVERAGE('25.10 NTUNGAMO- MIRAMA -24h'!M12,'26.10 NTUNGAMO-MIRAMA HILL'!M12)</f>
        <v>2</v>
      </c>
      <c r="N12" s="49">
        <f>AVERAGE('25.10 NTUNGAMO- MIRAMA -24h'!N12,'26.10 NTUNGAMO-MIRAMA HILL'!N12)</f>
        <v>0</v>
      </c>
      <c r="O12" s="15">
        <f t="shared" si="0"/>
        <v>0</v>
      </c>
      <c r="P12" s="15">
        <f t="shared" si="1"/>
        <v>2</v>
      </c>
      <c r="R12" s="1" t="s">
        <v>8</v>
      </c>
      <c r="S12" s="17">
        <f t="shared" ref="S12:AF12" si="4">SUM(C18:C21)</f>
        <v>1.5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1.5</v>
      </c>
      <c r="AB12" s="17">
        <f t="shared" si="4"/>
        <v>3</v>
      </c>
      <c r="AC12" s="17">
        <f t="shared" si="4"/>
        <v>12.5</v>
      </c>
      <c r="AD12" s="17">
        <f t="shared" si="4"/>
        <v>0</v>
      </c>
      <c r="AE12" s="31">
        <f t="shared" si="4"/>
        <v>7</v>
      </c>
      <c r="AF12" s="31">
        <f t="shared" si="4"/>
        <v>19.5</v>
      </c>
    </row>
    <row r="13" spans="2:32" ht="23.1" customHeight="1" x14ac:dyDescent="0.25">
      <c r="B13" s="23" t="s">
        <v>40</v>
      </c>
      <c r="C13" s="49">
        <f>AVERAGE('25.10 NTUNGAMO- MIRAMA -24h'!C13,'26.10 NTUNGAMO-MIRAMA HILL'!C13)</f>
        <v>0.5</v>
      </c>
      <c r="D13" s="49">
        <f>AVERAGE('25.10 NTUNGAMO- MIRAMA -24h'!D13,'26.10 NTUNGAMO-MIRAMA HILL'!D13)</f>
        <v>0</v>
      </c>
      <c r="E13" s="49">
        <f>AVERAGE('25.10 NTUNGAMO- MIRAMA -24h'!E13,'26.10 NTUNGAMO-MIRAMA HILL'!E13)</f>
        <v>0</v>
      </c>
      <c r="F13" s="49">
        <f>AVERAGE('25.10 NTUNGAMO- MIRAMA -24h'!F13,'26.10 NTUNGAMO-MIRAMA HILL'!F13)</f>
        <v>0</v>
      </c>
      <c r="G13" s="49">
        <f>AVERAGE('25.10 NTUNGAMO- MIRAMA -24h'!G13,'26.10 NTUNGAMO-MIRAMA HILL'!G13)</f>
        <v>0</v>
      </c>
      <c r="H13" s="49">
        <f>AVERAGE('25.10 NTUNGAMO- MIRAMA -24h'!H13,'26.10 NTUNGAMO-MIRAMA HILL'!H13)</f>
        <v>0</v>
      </c>
      <c r="I13" s="49">
        <f>AVERAGE('25.10 NTUNGAMO- MIRAMA -24h'!I13,'26.10 NTUNGAMO-MIRAMA HILL'!I13)</f>
        <v>0</v>
      </c>
      <c r="J13" s="49">
        <f>AVERAGE('25.10 NTUNGAMO- MIRAMA -24h'!J13,'26.10 NTUNGAMO-MIRAMA HILL'!J13)</f>
        <v>0.5</v>
      </c>
      <c r="K13" s="49">
        <f>AVERAGE('25.10 NTUNGAMO- MIRAMA -24h'!K13,'26.10 NTUNGAMO-MIRAMA HILL'!K13)</f>
        <v>0.5</v>
      </c>
      <c r="L13" s="49">
        <f>AVERAGE('25.10 NTUNGAMO- MIRAMA -24h'!L13,'26.10 NTUNGAMO-MIRAMA HILL'!L13)</f>
        <v>0.5</v>
      </c>
      <c r="M13" s="49">
        <f>AVERAGE('25.10 NTUNGAMO- MIRAMA -24h'!M13,'26.10 NTUNGAMO-MIRAMA HILL'!M13)</f>
        <v>0</v>
      </c>
      <c r="N13" s="49">
        <f>AVERAGE('25.10 NTUNGAMO- MIRAMA -24h'!N13,'26.10 NTUNGAMO-MIRAMA HILL'!N13)</f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1.5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0.5</v>
      </c>
      <c r="Z13" s="17">
        <f t="shared" si="5"/>
        <v>0</v>
      </c>
      <c r="AA13" s="17">
        <f t="shared" si="5"/>
        <v>0.5</v>
      </c>
      <c r="AB13" s="17">
        <f t="shared" si="5"/>
        <v>2.5</v>
      </c>
      <c r="AC13" s="17">
        <f t="shared" si="5"/>
        <v>14</v>
      </c>
      <c r="AD13" s="17">
        <f t="shared" si="5"/>
        <v>0</v>
      </c>
      <c r="AE13" s="31">
        <f t="shared" si="5"/>
        <v>5</v>
      </c>
      <c r="AF13" s="31">
        <f t="shared" si="5"/>
        <v>19</v>
      </c>
    </row>
    <row r="14" spans="2:32" ht="23.1" customHeight="1" x14ac:dyDescent="0.25">
      <c r="B14" s="23" t="s">
        <v>41</v>
      </c>
      <c r="C14" s="49">
        <f>AVERAGE('25.10 NTUNGAMO- MIRAMA -24h'!C14,'26.10 NTUNGAMO-MIRAMA HILL'!C14)</f>
        <v>0.5</v>
      </c>
      <c r="D14" s="49">
        <f>AVERAGE('25.10 NTUNGAMO- MIRAMA -24h'!D14,'26.10 NTUNGAMO-MIRAMA HILL'!D14)</f>
        <v>0</v>
      </c>
      <c r="E14" s="49">
        <f>AVERAGE('25.10 NTUNGAMO- MIRAMA -24h'!E14,'26.10 NTUNGAMO-MIRAMA HILL'!E14)</f>
        <v>0</v>
      </c>
      <c r="F14" s="49">
        <f>AVERAGE('25.10 NTUNGAMO- MIRAMA -24h'!F14,'26.10 NTUNGAMO-MIRAMA HILL'!F14)</f>
        <v>0</v>
      </c>
      <c r="G14" s="49">
        <f>AVERAGE('25.10 NTUNGAMO- MIRAMA -24h'!G14,'26.10 NTUNGAMO-MIRAMA HILL'!G14)</f>
        <v>0</v>
      </c>
      <c r="H14" s="49">
        <f>AVERAGE('25.10 NTUNGAMO- MIRAMA -24h'!H14,'26.10 NTUNGAMO-MIRAMA HILL'!H14)</f>
        <v>0</v>
      </c>
      <c r="I14" s="49">
        <f>AVERAGE('25.10 NTUNGAMO- MIRAMA -24h'!I14,'26.10 NTUNGAMO-MIRAMA HILL'!I14)</f>
        <v>0</v>
      </c>
      <c r="J14" s="49">
        <f>AVERAGE('25.10 NTUNGAMO- MIRAMA -24h'!J14,'26.10 NTUNGAMO-MIRAMA HILL'!J14)</f>
        <v>0</v>
      </c>
      <c r="K14" s="49">
        <f>AVERAGE('25.10 NTUNGAMO- MIRAMA -24h'!K14,'26.10 NTUNGAMO-MIRAMA HILL'!K14)</f>
        <v>0</v>
      </c>
      <c r="L14" s="49">
        <f>AVERAGE('25.10 NTUNGAMO- MIRAMA -24h'!L14,'26.10 NTUNGAMO-MIRAMA HILL'!L14)</f>
        <v>1</v>
      </c>
      <c r="M14" s="49">
        <f>AVERAGE('25.10 NTUNGAMO- MIRAMA -24h'!M14,'26.10 NTUNGAMO-MIRAMA HILL'!M14)</f>
        <v>1</v>
      </c>
      <c r="N14" s="49">
        <f>AVERAGE('25.10 NTUNGAMO- MIRAMA -24h'!N14,'26.10 NTUNGAMO-MIRAMA HILL'!N14)</f>
        <v>0</v>
      </c>
      <c r="O14" s="15">
        <f t="shared" si="0"/>
        <v>1.5</v>
      </c>
      <c r="P14" s="15">
        <f t="shared" si="1"/>
        <v>2.5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5.5</v>
      </c>
      <c r="AC14" s="17">
        <f t="shared" si="6"/>
        <v>11</v>
      </c>
      <c r="AD14" s="17">
        <f t="shared" si="6"/>
        <v>0</v>
      </c>
      <c r="AE14" s="31">
        <f t="shared" si="6"/>
        <v>8.5</v>
      </c>
      <c r="AF14" s="31">
        <f t="shared" si="6"/>
        <v>19.5</v>
      </c>
    </row>
    <row r="15" spans="2:32" ht="23.1" customHeight="1" x14ac:dyDescent="0.25">
      <c r="B15" s="23" t="s">
        <v>42</v>
      </c>
      <c r="C15" s="49">
        <f>AVERAGE('25.10 NTUNGAMO- MIRAMA -24h'!C15,'26.10 NTUNGAMO-MIRAMA HILL'!C15)</f>
        <v>0</v>
      </c>
      <c r="D15" s="49">
        <f>AVERAGE('25.10 NTUNGAMO- MIRAMA -24h'!D15,'26.10 NTUNGAMO-MIRAMA HILL'!D15)</f>
        <v>0</v>
      </c>
      <c r="E15" s="49">
        <f>AVERAGE('25.10 NTUNGAMO- MIRAMA -24h'!E15,'26.10 NTUNGAMO-MIRAMA HILL'!E15)</f>
        <v>0</v>
      </c>
      <c r="F15" s="49">
        <f>AVERAGE('25.10 NTUNGAMO- MIRAMA -24h'!F15,'26.10 NTUNGAMO-MIRAMA HILL'!F15)</f>
        <v>0</v>
      </c>
      <c r="G15" s="49">
        <f>AVERAGE('25.10 NTUNGAMO- MIRAMA -24h'!G15,'26.10 NTUNGAMO-MIRAMA HILL'!G15)</f>
        <v>0</v>
      </c>
      <c r="H15" s="49">
        <f>AVERAGE('25.10 NTUNGAMO- MIRAMA -24h'!H15,'26.10 NTUNGAMO-MIRAMA HILL'!H15)</f>
        <v>0</v>
      </c>
      <c r="I15" s="49">
        <f>AVERAGE('25.10 NTUNGAMO- MIRAMA -24h'!I15,'26.10 NTUNGAMO-MIRAMA HILL'!I15)</f>
        <v>0</v>
      </c>
      <c r="J15" s="49">
        <f>AVERAGE('25.10 NTUNGAMO- MIRAMA -24h'!J15,'26.10 NTUNGAMO-MIRAMA HILL'!J15)</f>
        <v>0</v>
      </c>
      <c r="K15" s="49">
        <f>AVERAGE('25.10 NTUNGAMO- MIRAMA -24h'!K15,'26.10 NTUNGAMO-MIRAMA HILL'!K15)</f>
        <v>0</v>
      </c>
      <c r="L15" s="49">
        <f>AVERAGE('25.10 NTUNGAMO- MIRAMA -24h'!L15,'26.10 NTUNGAMO-MIRAMA HILL'!L15)</f>
        <v>1</v>
      </c>
      <c r="M15" s="49">
        <f>AVERAGE('25.10 NTUNGAMO- MIRAMA -24h'!M15,'26.10 NTUNGAMO-MIRAMA HILL'!M15)</f>
        <v>1.5</v>
      </c>
      <c r="N15" s="49">
        <f>AVERAGE('25.10 NTUNGAMO- MIRAMA -24h'!N15,'26.10 NTUNGAMO-MIRAMA HILL'!N15)</f>
        <v>0</v>
      </c>
      <c r="O15" s="15">
        <f t="shared" si="0"/>
        <v>1</v>
      </c>
      <c r="P15" s="15">
        <f t="shared" si="1"/>
        <v>2.5</v>
      </c>
      <c r="R15" s="1" t="s">
        <v>11</v>
      </c>
      <c r="S15" s="17">
        <f t="shared" ref="S15:AF15" si="7">SUM(C30:C33)</f>
        <v>3.5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0.5</v>
      </c>
      <c r="Z15" s="17">
        <f t="shared" si="7"/>
        <v>0</v>
      </c>
      <c r="AA15" s="17">
        <f t="shared" si="7"/>
        <v>0</v>
      </c>
      <c r="AB15" s="17">
        <f t="shared" si="7"/>
        <v>1.5</v>
      </c>
      <c r="AC15" s="17">
        <f t="shared" si="7"/>
        <v>10</v>
      </c>
      <c r="AD15" s="17">
        <f t="shared" si="7"/>
        <v>0</v>
      </c>
      <c r="AE15" s="31">
        <f t="shared" si="7"/>
        <v>5.5</v>
      </c>
      <c r="AF15" s="31">
        <f t="shared" si="7"/>
        <v>15.5</v>
      </c>
    </row>
    <row r="16" spans="2:32" ht="23.1" customHeight="1" x14ac:dyDescent="0.25">
      <c r="B16" s="23" t="s">
        <v>43</v>
      </c>
      <c r="C16" s="49">
        <f>AVERAGE('25.10 NTUNGAMO- MIRAMA -24h'!C16,'26.10 NTUNGAMO-MIRAMA HILL'!C16)</f>
        <v>0</v>
      </c>
      <c r="D16" s="49">
        <f>AVERAGE('25.10 NTUNGAMO- MIRAMA -24h'!D16,'26.10 NTUNGAMO-MIRAMA HILL'!D16)</f>
        <v>0</v>
      </c>
      <c r="E16" s="49">
        <f>AVERAGE('25.10 NTUNGAMO- MIRAMA -24h'!E16,'26.10 NTUNGAMO-MIRAMA HILL'!E16)</f>
        <v>0</v>
      </c>
      <c r="F16" s="49">
        <f>AVERAGE('25.10 NTUNGAMO- MIRAMA -24h'!F16,'26.10 NTUNGAMO-MIRAMA HILL'!F16)</f>
        <v>0</v>
      </c>
      <c r="G16" s="49">
        <f>AVERAGE('25.10 NTUNGAMO- MIRAMA -24h'!G16,'26.10 NTUNGAMO-MIRAMA HILL'!G16)</f>
        <v>0</v>
      </c>
      <c r="H16" s="49">
        <f>AVERAGE('25.10 NTUNGAMO- MIRAMA -24h'!H16,'26.10 NTUNGAMO-MIRAMA HILL'!H16)</f>
        <v>0</v>
      </c>
      <c r="I16" s="49">
        <f>AVERAGE('25.10 NTUNGAMO- MIRAMA -24h'!I16,'26.10 NTUNGAMO-MIRAMA HILL'!I16)</f>
        <v>0</v>
      </c>
      <c r="J16" s="49">
        <f>AVERAGE('25.10 NTUNGAMO- MIRAMA -24h'!J16,'26.10 NTUNGAMO-MIRAMA HILL'!J16)</f>
        <v>0</v>
      </c>
      <c r="K16" s="49">
        <f>AVERAGE('25.10 NTUNGAMO- MIRAMA -24h'!K16,'26.10 NTUNGAMO-MIRAMA HILL'!K16)</f>
        <v>0</v>
      </c>
      <c r="L16" s="49">
        <f>AVERAGE('25.10 NTUNGAMO- MIRAMA -24h'!L16,'26.10 NTUNGAMO-MIRAMA HILL'!L16)</f>
        <v>0</v>
      </c>
      <c r="M16" s="49">
        <f>AVERAGE('25.10 NTUNGAMO- MIRAMA -24h'!M16,'26.10 NTUNGAMO-MIRAMA HILL'!M16)</f>
        <v>3</v>
      </c>
      <c r="N16" s="49">
        <f>AVERAGE('25.10 NTUNGAMO- MIRAMA -24h'!N16,'26.10 NTUNGAMO-MIRAMA HILL'!N16)</f>
        <v>0</v>
      </c>
      <c r="O16" s="15">
        <f t="shared" si="0"/>
        <v>0</v>
      </c>
      <c r="P16" s="15">
        <f t="shared" si="1"/>
        <v>3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1.5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0.5</v>
      </c>
      <c r="AB16" s="17">
        <f t="shared" si="8"/>
        <v>6.5</v>
      </c>
      <c r="AC16" s="17">
        <f t="shared" si="8"/>
        <v>8.5</v>
      </c>
      <c r="AD16" s="17">
        <f t="shared" si="8"/>
        <v>0</v>
      </c>
      <c r="AE16" s="31">
        <f t="shared" si="8"/>
        <v>10.5</v>
      </c>
      <c r="AF16" s="31">
        <f t="shared" si="8"/>
        <v>19</v>
      </c>
    </row>
    <row r="17" spans="2:32" ht="23.1" customHeight="1" x14ac:dyDescent="0.25">
      <c r="B17" s="23" t="s">
        <v>44</v>
      </c>
      <c r="C17" s="49">
        <f>AVERAGE('25.10 NTUNGAMO- MIRAMA -24h'!C17,'26.10 NTUNGAMO-MIRAMA HILL'!C17)</f>
        <v>0</v>
      </c>
      <c r="D17" s="49">
        <f>AVERAGE('25.10 NTUNGAMO- MIRAMA -24h'!D17,'26.10 NTUNGAMO-MIRAMA HILL'!D17)</f>
        <v>0</v>
      </c>
      <c r="E17" s="49">
        <f>AVERAGE('25.10 NTUNGAMO- MIRAMA -24h'!E17,'26.10 NTUNGAMO-MIRAMA HILL'!E17)</f>
        <v>0</v>
      </c>
      <c r="F17" s="49">
        <f>AVERAGE('25.10 NTUNGAMO- MIRAMA -24h'!F17,'26.10 NTUNGAMO-MIRAMA HILL'!F17)</f>
        <v>0</v>
      </c>
      <c r="G17" s="49">
        <f>AVERAGE('25.10 NTUNGAMO- MIRAMA -24h'!G17,'26.10 NTUNGAMO-MIRAMA HILL'!G17)</f>
        <v>0</v>
      </c>
      <c r="H17" s="49">
        <f>AVERAGE('25.10 NTUNGAMO- MIRAMA -24h'!H17,'26.10 NTUNGAMO-MIRAMA HILL'!H17)</f>
        <v>0</v>
      </c>
      <c r="I17" s="49">
        <f>AVERAGE('25.10 NTUNGAMO- MIRAMA -24h'!I17,'26.10 NTUNGAMO-MIRAMA HILL'!I17)</f>
        <v>0</v>
      </c>
      <c r="J17" s="49">
        <f>AVERAGE('25.10 NTUNGAMO- MIRAMA -24h'!J17,'26.10 NTUNGAMO-MIRAMA HILL'!J17)</f>
        <v>0</v>
      </c>
      <c r="K17" s="49">
        <f>AVERAGE('25.10 NTUNGAMO- MIRAMA -24h'!K17,'26.10 NTUNGAMO-MIRAMA HILL'!K17)</f>
        <v>0</v>
      </c>
      <c r="L17" s="49">
        <f>AVERAGE('25.10 NTUNGAMO- MIRAMA -24h'!L17,'26.10 NTUNGAMO-MIRAMA HILL'!L17)</f>
        <v>0</v>
      </c>
      <c r="M17" s="49">
        <f>AVERAGE('25.10 NTUNGAMO- MIRAMA -24h'!M17,'26.10 NTUNGAMO-MIRAMA HILL'!M17)</f>
        <v>0</v>
      </c>
      <c r="N17" s="49">
        <f>AVERAGE('25.10 NTUNGAMO- MIRAMA -24h'!N17,'26.10 NTUNGAMO-MIRAMA HILL'!N17)</f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3.5</v>
      </c>
      <c r="T17" s="17">
        <f t="shared" si="9"/>
        <v>1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2.5</v>
      </c>
      <c r="AC17" s="17">
        <f t="shared" si="9"/>
        <v>13</v>
      </c>
      <c r="AD17" s="17">
        <f t="shared" si="9"/>
        <v>0</v>
      </c>
      <c r="AE17" s="31">
        <f t="shared" si="9"/>
        <v>7</v>
      </c>
      <c r="AF17" s="31">
        <f t="shared" si="9"/>
        <v>20</v>
      </c>
    </row>
    <row r="18" spans="2:32" ht="23.1" customHeight="1" x14ac:dyDescent="0.25">
      <c r="B18" s="23" t="s">
        <v>45</v>
      </c>
      <c r="C18" s="49">
        <f>AVERAGE('25.10 NTUNGAMO- MIRAMA -24h'!C18,'26.10 NTUNGAMO-MIRAMA HILL'!C18)</f>
        <v>0.5</v>
      </c>
      <c r="D18" s="49">
        <f>AVERAGE('25.10 NTUNGAMO- MIRAMA -24h'!D18,'26.10 NTUNGAMO-MIRAMA HILL'!D18)</f>
        <v>0</v>
      </c>
      <c r="E18" s="49">
        <f>AVERAGE('25.10 NTUNGAMO- MIRAMA -24h'!E18,'26.10 NTUNGAMO-MIRAMA HILL'!E18)</f>
        <v>0</v>
      </c>
      <c r="F18" s="49">
        <f>AVERAGE('25.10 NTUNGAMO- MIRAMA -24h'!F18,'26.10 NTUNGAMO-MIRAMA HILL'!F18)</f>
        <v>0</v>
      </c>
      <c r="G18" s="49">
        <f>AVERAGE('25.10 NTUNGAMO- MIRAMA -24h'!G18,'26.10 NTUNGAMO-MIRAMA HILL'!G18)</f>
        <v>0</v>
      </c>
      <c r="H18" s="49">
        <f>AVERAGE('25.10 NTUNGAMO- MIRAMA -24h'!H18,'26.10 NTUNGAMO-MIRAMA HILL'!H18)</f>
        <v>0</v>
      </c>
      <c r="I18" s="49">
        <f>AVERAGE('25.10 NTUNGAMO- MIRAMA -24h'!I18,'26.10 NTUNGAMO-MIRAMA HILL'!I18)</f>
        <v>0</v>
      </c>
      <c r="J18" s="49">
        <f>AVERAGE('25.10 NTUNGAMO- MIRAMA -24h'!J18,'26.10 NTUNGAMO-MIRAMA HILL'!J18)</f>
        <v>0.5</v>
      </c>
      <c r="K18" s="49">
        <f>AVERAGE('25.10 NTUNGAMO- MIRAMA -24h'!K18,'26.10 NTUNGAMO-MIRAMA HILL'!K18)</f>
        <v>1</v>
      </c>
      <c r="L18" s="49">
        <f>AVERAGE('25.10 NTUNGAMO- MIRAMA -24h'!L18,'26.10 NTUNGAMO-MIRAMA HILL'!L18)</f>
        <v>0.5</v>
      </c>
      <c r="M18" s="49">
        <f>AVERAGE('25.10 NTUNGAMO- MIRAMA -24h'!M18,'26.10 NTUNGAMO-MIRAMA HILL'!M18)</f>
        <v>3.5</v>
      </c>
      <c r="N18" s="49">
        <f>AVERAGE('25.10 NTUNGAMO- MIRAMA -24h'!N18,'26.10 NTUNGAMO-MIRAMA HILL'!N18)</f>
        <v>0</v>
      </c>
      <c r="O18" s="15">
        <f t="shared" si="0"/>
        <v>2.5</v>
      </c>
      <c r="P18" s="15">
        <f t="shared" si="1"/>
        <v>6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0.5</v>
      </c>
      <c r="AB18" s="17">
        <f t="shared" si="10"/>
        <v>3.5</v>
      </c>
      <c r="AC18" s="17">
        <f t="shared" si="10"/>
        <v>19</v>
      </c>
      <c r="AD18" s="17">
        <f t="shared" si="10"/>
        <v>0</v>
      </c>
      <c r="AE18" s="31">
        <f t="shared" si="10"/>
        <v>8</v>
      </c>
      <c r="AF18" s="31">
        <f t="shared" si="10"/>
        <v>27</v>
      </c>
    </row>
    <row r="19" spans="2:32" ht="23.1" customHeight="1" x14ac:dyDescent="0.25">
      <c r="B19" s="23" t="s">
        <v>46</v>
      </c>
      <c r="C19" s="49">
        <f>AVERAGE('25.10 NTUNGAMO- MIRAMA -24h'!C19,'26.10 NTUNGAMO-MIRAMA HILL'!C19)</f>
        <v>0.5</v>
      </c>
      <c r="D19" s="49">
        <f>AVERAGE('25.10 NTUNGAMO- MIRAMA -24h'!D19,'26.10 NTUNGAMO-MIRAMA HILL'!D19)</f>
        <v>0</v>
      </c>
      <c r="E19" s="49">
        <f>AVERAGE('25.10 NTUNGAMO- MIRAMA -24h'!E19,'26.10 NTUNGAMO-MIRAMA HILL'!E19)</f>
        <v>0</v>
      </c>
      <c r="F19" s="49">
        <f>AVERAGE('25.10 NTUNGAMO- MIRAMA -24h'!F19,'26.10 NTUNGAMO-MIRAMA HILL'!F19)</f>
        <v>0</v>
      </c>
      <c r="G19" s="49">
        <f>AVERAGE('25.10 NTUNGAMO- MIRAMA -24h'!G19,'26.10 NTUNGAMO-MIRAMA HILL'!G19)</f>
        <v>0</v>
      </c>
      <c r="H19" s="49">
        <f>AVERAGE('25.10 NTUNGAMO- MIRAMA -24h'!H19,'26.10 NTUNGAMO-MIRAMA HILL'!H19)</f>
        <v>0</v>
      </c>
      <c r="I19" s="49">
        <f>AVERAGE('25.10 NTUNGAMO- MIRAMA -24h'!I19,'26.10 NTUNGAMO-MIRAMA HILL'!I19)</f>
        <v>0</v>
      </c>
      <c r="J19" s="49">
        <f>AVERAGE('25.10 NTUNGAMO- MIRAMA -24h'!J19,'26.10 NTUNGAMO-MIRAMA HILL'!J19)</f>
        <v>0</v>
      </c>
      <c r="K19" s="49">
        <f>AVERAGE('25.10 NTUNGAMO- MIRAMA -24h'!K19,'26.10 NTUNGAMO-MIRAMA HILL'!K19)</f>
        <v>0</v>
      </c>
      <c r="L19" s="49">
        <f>AVERAGE('25.10 NTUNGAMO- MIRAMA -24h'!L19,'26.10 NTUNGAMO-MIRAMA HILL'!L19)</f>
        <v>0.5</v>
      </c>
      <c r="M19" s="49">
        <f>AVERAGE('25.10 NTUNGAMO- MIRAMA -24h'!M19,'26.10 NTUNGAMO-MIRAMA HILL'!M19)</f>
        <v>1</v>
      </c>
      <c r="N19" s="49">
        <f>AVERAGE('25.10 NTUNGAMO- MIRAMA -24h'!N19,'26.10 NTUNGAMO-MIRAMA HILL'!N19)</f>
        <v>0</v>
      </c>
      <c r="O19" s="15">
        <f t="shared" si="0"/>
        <v>1</v>
      </c>
      <c r="P19" s="15">
        <f t="shared" si="1"/>
        <v>2</v>
      </c>
      <c r="R19" s="1" t="s">
        <v>15</v>
      </c>
      <c r="S19" s="17">
        <f t="shared" ref="S19:AF19" si="11">SUM(C46:C49)</f>
        <v>4.5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0.5</v>
      </c>
      <c r="Z19" s="17">
        <f t="shared" si="11"/>
        <v>1</v>
      </c>
      <c r="AA19" s="17">
        <f t="shared" si="11"/>
        <v>0</v>
      </c>
      <c r="AB19" s="17">
        <f t="shared" si="11"/>
        <v>3</v>
      </c>
      <c r="AC19" s="17">
        <f t="shared" si="11"/>
        <v>9.5</v>
      </c>
      <c r="AD19" s="17">
        <f t="shared" si="11"/>
        <v>0</v>
      </c>
      <c r="AE19" s="31">
        <f t="shared" si="11"/>
        <v>9</v>
      </c>
      <c r="AF19" s="31">
        <f t="shared" si="11"/>
        <v>18.5</v>
      </c>
    </row>
    <row r="20" spans="2:32" ht="23.1" customHeight="1" x14ac:dyDescent="0.25">
      <c r="B20" s="23" t="s">
        <v>47</v>
      </c>
      <c r="C20" s="49">
        <f>AVERAGE('25.10 NTUNGAMO- MIRAMA -24h'!C20,'26.10 NTUNGAMO-MIRAMA HILL'!C20)</f>
        <v>0</v>
      </c>
      <c r="D20" s="49">
        <f>AVERAGE('25.10 NTUNGAMO- MIRAMA -24h'!D20,'26.10 NTUNGAMO-MIRAMA HILL'!D20)</f>
        <v>0</v>
      </c>
      <c r="E20" s="49">
        <f>AVERAGE('25.10 NTUNGAMO- MIRAMA -24h'!E20,'26.10 NTUNGAMO-MIRAMA HILL'!E20)</f>
        <v>0</v>
      </c>
      <c r="F20" s="49">
        <f>AVERAGE('25.10 NTUNGAMO- MIRAMA -24h'!F20,'26.10 NTUNGAMO-MIRAMA HILL'!F20)</f>
        <v>0</v>
      </c>
      <c r="G20" s="49">
        <f>AVERAGE('25.10 NTUNGAMO- MIRAMA -24h'!G20,'26.10 NTUNGAMO-MIRAMA HILL'!G20)</f>
        <v>0</v>
      </c>
      <c r="H20" s="49">
        <f>AVERAGE('25.10 NTUNGAMO- MIRAMA -24h'!H20,'26.10 NTUNGAMO-MIRAMA HILL'!H20)</f>
        <v>0</v>
      </c>
      <c r="I20" s="49">
        <f>AVERAGE('25.10 NTUNGAMO- MIRAMA -24h'!I20,'26.10 NTUNGAMO-MIRAMA HILL'!I20)</f>
        <v>0</v>
      </c>
      <c r="J20" s="49">
        <f>AVERAGE('25.10 NTUNGAMO- MIRAMA -24h'!J20,'26.10 NTUNGAMO-MIRAMA HILL'!J20)</f>
        <v>0</v>
      </c>
      <c r="K20" s="49">
        <f>AVERAGE('25.10 NTUNGAMO- MIRAMA -24h'!K20,'26.10 NTUNGAMO-MIRAMA HILL'!K20)</f>
        <v>0.5</v>
      </c>
      <c r="L20" s="49">
        <f>AVERAGE('25.10 NTUNGAMO- MIRAMA -24h'!L20,'26.10 NTUNGAMO-MIRAMA HILL'!L20)</f>
        <v>2</v>
      </c>
      <c r="M20" s="49">
        <f>AVERAGE('25.10 NTUNGAMO- MIRAMA -24h'!M20,'26.10 NTUNGAMO-MIRAMA HILL'!M20)</f>
        <v>5</v>
      </c>
      <c r="N20" s="49">
        <f>AVERAGE('25.10 NTUNGAMO- MIRAMA -24h'!N20,'26.10 NTUNGAMO-MIRAMA HILL'!N20)</f>
        <v>0</v>
      </c>
      <c r="O20" s="15">
        <f t="shared" si="0"/>
        <v>2.5</v>
      </c>
      <c r="P20" s="15">
        <f t="shared" si="1"/>
        <v>7.5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14</v>
      </c>
      <c r="AD20" s="17">
        <f t="shared" si="12"/>
        <v>0</v>
      </c>
      <c r="AE20" s="31">
        <f t="shared" si="12"/>
        <v>7</v>
      </c>
      <c r="AF20" s="31">
        <f t="shared" si="12"/>
        <v>21</v>
      </c>
    </row>
    <row r="21" spans="2:32" ht="23.1" customHeight="1" x14ac:dyDescent="0.25">
      <c r="B21" s="23" t="s">
        <v>48</v>
      </c>
      <c r="C21" s="49">
        <f>AVERAGE('25.10 NTUNGAMO- MIRAMA -24h'!C21,'26.10 NTUNGAMO-MIRAMA HILL'!C21)</f>
        <v>0.5</v>
      </c>
      <c r="D21" s="49">
        <f>AVERAGE('25.10 NTUNGAMO- MIRAMA -24h'!D21,'26.10 NTUNGAMO-MIRAMA HILL'!D21)</f>
        <v>0</v>
      </c>
      <c r="E21" s="49">
        <f>AVERAGE('25.10 NTUNGAMO- MIRAMA -24h'!E21,'26.10 NTUNGAMO-MIRAMA HILL'!E21)</f>
        <v>0</v>
      </c>
      <c r="F21" s="49">
        <f>AVERAGE('25.10 NTUNGAMO- MIRAMA -24h'!F21,'26.10 NTUNGAMO-MIRAMA HILL'!F21)</f>
        <v>0</v>
      </c>
      <c r="G21" s="49">
        <f>AVERAGE('25.10 NTUNGAMO- MIRAMA -24h'!G21,'26.10 NTUNGAMO-MIRAMA HILL'!G21)</f>
        <v>0</v>
      </c>
      <c r="H21" s="49">
        <f>AVERAGE('25.10 NTUNGAMO- MIRAMA -24h'!H21,'26.10 NTUNGAMO-MIRAMA HILL'!H21)</f>
        <v>0</v>
      </c>
      <c r="I21" s="49">
        <f>AVERAGE('25.10 NTUNGAMO- MIRAMA -24h'!I21,'26.10 NTUNGAMO-MIRAMA HILL'!I21)</f>
        <v>0</v>
      </c>
      <c r="J21" s="49">
        <f>AVERAGE('25.10 NTUNGAMO- MIRAMA -24h'!J21,'26.10 NTUNGAMO-MIRAMA HILL'!J21)</f>
        <v>0.5</v>
      </c>
      <c r="K21" s="49">
        <f>AVERAGE('25.10 NTUNGAMO- MIRAMA -24h'!K21,'26.10 NTUNGAMO-MIRAMA HILL'!K21)</f>
        <v>0</v>
      </c>
      <c r="L21" s="49">
        <f>AVERAGE('25.10 NTUNGAMO- MIRAMA -24h'!L21,'26.10 NTUNGAMO-MIRAMA HILL'!L21)</f>
        <v>0</v>
      </c>
      <c r="M21" s="49">
        <f>AVERAGE('25.10 NTUNGAMO- MIRAMA -24h'!M21,'26.10 NTUNGAMO-MIRAMA HILL'!M21)</f>
        <v>3</v>
      </c>
      <c r="N21" s="49">
        <f>AVERAGE('25.10 NTUNGAMO- MIRAMA -24h'!N21,'26.10 NTUNGAMO-MIRAMA HILL'!N21)</f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3.5</v>
      </c>
      <c r="T21" s="17">
        <f t="shared" si="13"/>
        <v>0</v>
      </c>
      <c r="U21" s="17">
        <f t="shared" si="13"/>
        <v>0</v>
      </c>
      <c r="V21" s="17">
        <f t="shared" si="13"/>
        <v>0.5</v>
      </c>
      <c r="W21" s="17">
        <f t="shared" si="13"/>
        <v>0.5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7</v>
      </c>
      <c r="AD21" s="17">
        <f t="shared" si="13"/>
        <v>0</v>
      </c>
      <c r="AE21" s="31">
        <f t="shared" si="13"/>
        <v>6.5</v>
      </c>
      <c r="AF21" s="31">
        <f t="shared" si="13"/>
        <v>13.5</v>
      </c>
    </row>
    <row r="22" spans="2:32" ht="23.1" customHeight="1" x14ac:dyDescent="0.25">
      <c r="B22" s="23" t="s">
        <v>49</v>
      </c>
      <c r="C22" s="49">
        <f>AVERAGE('25.10 NTUNGAMO- MIRAMA -24h'!C22,'26.10 NTUNGAMO-MIRAMA HILL'!C22)</f>
        <v>0.5</v>
      </c>
      <c r="D22" s="49">
        <f>AVERAGE('25.10 NTUNGAMO- MIRAMA -24h'!D22,'26.10 NTUNGAMO-MIRAMA HILL'!D22)</f>
        <v>0</v>
      </c>
      <c r="E22" s="49">
        <f>AVERAGE('25.10 NTUNGAMO- MIRAMA -24h'!E22,'26.10 NTUNGAMO-MIRAMA HILL'!E22)</f>
        <v>0</v>
      </c>
      <c r="F22" s="49">
        <f>AVERAGE('25.10 NTUNGAMO- MIRAMA -24h'!F22,'26.10 NTUNGAMO-MIRAMA HILL'!F22)</f>
        <v>0</v>
      </c>
      <c r="G22" s="49">
        <f>AVERAGE('25.10 NTUNGAMO- MIRAMA -24h'!G22,'26.10 NTUNGAMO-MIRAMA HILL'!G22)</f>
        <v>0</v>
      </c>
      <c r="H22" s="49">
        <f>AVERAGE('25.10 NTUNGAMO- MIRAMA -24h'!H22,'26.10 NTUNGAMO-MIRAMA HILL'!H22)</f>
        <v>0</v>
      </c>
      <c r="I22" s="49">
        <f>AVERAGE('25.10 NTUNGAMO- MIRAMA -24h'!I22,'26.10 NTUNGAMO-MIRAMA HILL'!I22)</f>
        <v>0.5</v>
      </c>
      <c r="J22" s="49">
        <f>AVERAGE('25.10 NTUNGAMO- MIRAMA -24h'!J22,'26.10 NTUNGAMO-MIRAMA HILL'!J22)</f>
        <v>0</v>
      </c>
      <c r="K22" s="49">
        <f>AVERAGE('25.10 NTUNGAMO- MIRAMA -24h'!K22,'26.10 NTUNGAMO-MIRAMA HILL'!K22)</f>
        <v>0</v>
      </c>
      <c r="L22" s="49">
        <f>AVERAGE('25.10 NTUNGAMO- MIRAMA -24h'!L22,'26.10 NTUNGAMO-MIRAMA HILL'!L22)</f>
        <v>1.5</v>
      </c>
      <c r="M22" s="49">
        <f>AVERAGE('25.10 NTUNGAMO- MIRAMA -24h'!M22,'26.10 NTUNGAMO-MIRAMA HILL'!M22)</f>
        <v>3</v>
      </c>
      <c r="N22" s="49">
        <f>AVERAGE('25.10 NTUNGAMO- MIRAMA -24h'!N22,'26.10 NTUNGAMO-MIRAMA HILL'!N22)</f>
        <v>0</v>
      </c>
      <c r="O22" s="15">
        <f t="shared" si="0"/>
        <v>2.5</v>
      </c>
      <c r="P22" s="15">
        <f t="shared" si="1"/>
        <v>5.5</v>
      </c>
      <c r="R22" s="1" t="s">
        <v>146</v>
      </c>
      <c r="S22" s="34">
        <f>SUM(C58:C61)</f>
        <v>1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</v>
      </c>
      <c r="AD22" s="34">
        <f t="shared" si="14"/>
        <v>0</v>
      </c>
      <c r="AE22" s="31">
        <f t="shared" si="14"/>
        <v>1</v>
      </c>
      <c r="AF22" s="31">
        <f t="shared" si="14"/>
        <v>3</v>
      </c>
    </row>
    <row r="23" spans="2:32" ht="23.1" customHeight="1" x14ac:dyDescent="0.25">
      <c r="B23" s="23" t="s">
        <v>50</v>
      </c>
      <c r="C23" s="49">
        <f>AVERAGE('25.10 NTUNGAMO- MIRAMA -24h'!C23,'26.10 NTUNGAMO-MIRAMA HILL'!C23)</f>
        <v>0.5</v>
      </c>
      <c r="D23" s="49">
        <f>AVERAGE('25.10 NTUNGAMO- MIRAMA -24h'!D23,'26.10 NTUNGAMO-MIRAMA HILL'!D23)</f>
        <v>0</v>
      </c>
      <c r="E23" s="49">
        <f>AVERAGE('25.10 NTUNGAMO- MIRAMA -24h'!E23,'26.10 NTUNGAMO-MIRAMA HILL'!E23)</f>
        <v>0</v>
      </c>
      <c r="F23" s="49">
        <f>AVERAGE('25.10 NTUNGAMO- MIRAMA -24h'!F23,'26.10 NTUNGAMO-MIRAMA HILL'!F23)</f>
        <v>0</v>
      </c>
      <c r="G23" s="49">
        <f>AVERAGE('25.10 NTUNGAMO- MIRAMA -24h'!G23,'26.10 NTUNGAMO-MIRAMA HILL'!G23)</f>
        <v>0</v>
      </c>
      <c r="H23" s="49">
        <f>AVERAGE('25.10 NTUNGAMO- MIRAMA -24h'!H23,'26.10 NTUNGAMO-MIRAMA HILL'!H23)</f>
        <v>0</v>
      </c>
      <c r="I23" s="49">
        <f>AVERAGE('25.10 NTUNGAMO- MIRAMA -24h'!I23,'26.10 NTUNGAMO-MIRAMA HILL'!I23)</f>
        <v>0</v>
      </c>
      <c r="J23" s="49">
        <f>AVERAGE('25.10 NTUNGAMO- MIRAMA -24h'!J23,'26.10 NTUNGAMO-MIRAMA HILL'!J23)</f>
        <v>0</v>
      </c>
      <c r="K23" s="49">
        <f>AVERAGE('25.10 NTUNGAMO- MIRAMA -24h'!K23,'26.10 NTUNGAMO-MIRAMA HILL'!K23)</f>
        <v>0</v>
      </c>
      <c r="L23" s="49">
        <f>AVERAGE('25.10 NTUNGAMO- MIRAMA -24h'!L23,'26.10 NTUNGAMO-MIRAMA HILL'!L23)</f>
        <v>0.5</v>
      </c>
      <c r="M23" s="49">
        <f>AVERAGE('25.10 NTUNGAMO- MIRAMA -24h'!M23,'26.10 NTUNGAMO-MIRAMA HILL'!M23)</f>
        <v>3.5</v>
      </c>
      <c r="N23" s="49">
        <f>AVERAGE('25.10 NTUNGAMO- MIRAMA -24h'!N23,'26.10 NTUNGAMO-MIRAMA HILL'!N23)</f>
        <v>0</v>
      </c>
      <c r="O23" s="15">
        <f t="shared" si="0"/>
        <v>1</v>
      </c>
      <c r="P23" s="15">
        <f t="shared" si="1"/>
        <v>4.5</v>
      </c>
      <c r="R23" s="1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1</v>
      </c>
      <c r="AC23" s="34">
        <f t="shared" si="15"/>
        <v>7</v>
      </c>
      <c r="AD23" s="34">
        <f t="shared" si="15"/>
        <v>0</v>
      </c>
      <c r="AE23" s="31">
        <f t="shared" si="15"/>
        <v>3</v>
      </c>
      <c r="AF23" s="31">
        <f t="shared" si="15"/>
        <v>10</v>
      </c>
    </row>
    <row r="24" spans="2:32" ht="23.1" customHeight="1" x14ac:dyDescent="0.25">
      <c r="B24" s="23" t="s">
        <v>51</v>
      </c>
      <c r="C24" s="49">
        <f>AVERAGE('25.10 NTUNGAMO- MIRAMA -24h'!C24,'26.10 NTUNGAMO-MIRAMA HILL'!C24)</f>
        <v>0.5</v>
      </c>
      <c r="D24" s="49">
        <f>AVERAGE('25.10 NTUNGAMO- MIRAMA -24h'!D24,'26.10 NTUNGAMO-MIRAMA HILL'!D24)</f>
        <v>0</v>
      </c>
      <c r="E24" s="49">
        <f>AVERAGE('25.10 NTUNGAMO- MIRAMA -24h'!E24,'26.10 NTUNGAMO-MIRAMA HILL'!E24)</f>
        <v>0</v>
      </c>
      <c r="F24" s="49">
        <f>AVERAGE('25.10 NTUNGAMO- MIRAMA -24h'!F24,'26.10 NTUNGAMO-MIRAMA HILL'!F24)</f>
        <v>0</v>
      </c>
      <c r="G24" s="49">
        <f>AVERAGE('25.10 NTUNGAMO- MIRAMA -24h'!G24,'26.10 NTUNGAMO-MIRAMA HILL'!G24)</f>
        <v>0</v>
      </c>
      <c r="H24" s="49">
        <f>AVERAGE('25.10 NTUNGAMO- MIRAMA -24h'!H24,'26.10 NTUNGAMO-MIRAMA HILL'!H24)</f>
        <v>0</v>
      </c>
      <c r="I24" s="49">
        <f>AVERAGE('25.10 NTUNGAMO- MIRAMA -24h'!I24,'26.10 NTUNGAMO-MIRAMA HILL'!I24)</f>
        <v>0</v>
      </c>
      <c r="J24" s="49">
        <f>AVERAGE('25.10 NTUNGAMO- MIRAMA -24h'!J24,'26.10 NTUNGAMO-MIRAMA HILL'!J24)</f>
        <v>0</v>
      </c>
      <c r="K24" s="49">
        <f>AVERAGE('25.10 NTUNGAMO- MIRAMA -24h'!K24,'26.10 NTUNGAMO-MIRAMA HILL'!K24)</f>
        <v>0.5</v>
      </c>
      <c r="L24" s="49">
        <f>AVERAGE('25.10 NTUNGAMO- MIRAMA -24h'!L24,'26.10 NTUNGAMO-MIRAMA HILL'!L24)</f>
        <v>0.5</v>
      </c>
      <c r="M24" s="49">
        <f>AVERAGE('25.10 NTUNGAMO- MIRAMA -24h'!M24,'26.10 NTUNGAMO-MIRAMA HILL'!M24)</f>
        <v>3.5</v>
      </c>
      <c r="N24" s="49">
        <f>AVERAGE('25.10 NTUNGAMO- MIRAMA -24h'!N24,'26.10 NTUNGAMO-MIRAMA HILL'!N24)</f>
        <v>0</v>
      </c>
      <c r="O24" s="15">
        <f t="shared" si="0"/>
        <v>1.5</v>
      </c>
      <c r="P24" s="15">
        <f t="shared" si="1"/>
        <v>5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5</v>
      </c>
      <c r="AC24" s="34">
        <f t="shared" si="16"/>
        <v>0</v>
      </c>
      <c r="AD24" s="34">
        <f t="shared" si="16"/>
        <v>0</v>
      </c>
      <c r="AE24" s="31">
        <f t="shared" si="16"/>
        <v>5</v>
      </c>
      <c r="AF24" s="31">
        <f t="shared" si="16"/>
        <v>5</v>
      </c>
    </row>
    <row r="25" spans="2:32" ht="23.1" customHeight="1" x14ac:dyDescent="0.25">
      <c r="B25" s="23" t="s">
        <v>52</v>
      </c>
      <c r="C25" s="49">
        <f>AVERAGE('25.10 NTUNGAMO- MIRAMA -24h'!C25,'26.10 NTUNGAMO-MIRAMA HILL'!C25)</f>
        <v>0</v>
      </c>
      <c r="D25" s="49">
        <f>AVERAGE('25.10 NTUNGAMO- MIRAMA -24h'!D25,'26.10 NTUNGAMO-MIRAMA HILL'!D25)</f>
        <v>0</v>
      </c>
      <c r="E25" s="49">
        <f>AVERAGE('25.10 NTUNGAMO- MIRAMA -24h'!E25,'26.10 NTUNGAMO-MIRAMA HILL'!E25)</f>
        <v>0</v>
      </c>
      <c r="F25" s="49">
        <f>AVERAGE('25.10 NTUNGAMO- MIRAMA -24h'!F25,'26.10 NTUNGAMO-MIRAMA HILL'!F25)</f>
        <v>0</v>
      </c>
      <c r="G25" s="49">
        <f>AVERAGE('25.10 NTUNGAMO- MIRAMA -24h'!G25,'26.10 NTUNGAMO-MIRAMA HILL'!G25)</f>
        <v>0</v>
      </c>
      <c r="H25" s="49">
        <f>AVERAGE('25.10 NTUNGAMO- MIRAMA -24h'!H25,'26.10 NTUNGAMO-MIRAMA HILL'!H25)</f>
        <v>0</v>
      </c>
      <c r="I25" s="49">
        <f>AVERAGE('25.10 NTUNGAMO- MIRAMA -24h'!I25,'26.10 NTUNGAMO-MIRAMA HILL'!I25)</f>
        <v>0</v>
      </c>
      <c r="J25" s="49">
        <f>AVERAGE('25.10 NTUNGAMO- MIRAMA -24h'!J25,'26.10 NTUNGAMO-MIRAMA HILL'!J25)</f>
        <v>0</v>
      </c>
      <c r="K25" s="49">
        <f>AVERAGE('25.10 NTUNGAMO- MIRAMA -24h'!K25,'26.10 NTUNGAMO-MIRAMA HILL'!K25)</f>
        <v>0</v>
      </c>
      <c r="L25" s="49">
        <f>AVERAGE('25.10 NTUNGAMO- MIRAMA -24h'!L25,'26.10 NTUNGAMO-MIRAMA HILL'!L25)</f>
        <v>0</v>
      </c>
      <c r="M25" s="49">
        <f>AVERAGE('25.10 NTUNGAMO- MIRAMA -24h'!M25,'26.10 NTUNGAMO-MIRAMA HILL'!M25)</f>
        <v>4</v>
      </c>
      <c r="N25" s="49">
        <f>AVERAGE('25.10 NTUNGAMO- MIRAMA -24h'!N25,'26.10 NTUNGAMO-MIRAMA HILL'!N25)</f>
        <v>0</v>
      </c>
      <c r="O25" s="15">
        <f t="shared" si="0"/>
        <v>0</v>
      </c>
      <c r="P25" s="15">
        <f t="shared" si="1"/>
        <v>4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0</v>
      </c>
      <c r="AD25" s="34">
        <f t="shared" si="17"/>
        <v>0</v>
      </c>
      <c r="AE25" s="31">
        <f t="shared" si="17"/>
        <v>1</v>
      </c>
      <c r="AF25" s="31">
        <f t="shared" si="17"/>
        <v>1</v>
      </c>
    </row>
    <row r="26" spans="2:32" ht="23.1" customHeight="1" x14ac:dyDescent="0.25">
      <c r="B26" s="23" t="s">
        <v>53</v>
      </c>
      <c r="C26" s="49">
        <f>AVERAGE('25.10 NTUNGAMO- MIRAMA -24h'!C26,'26.10 NTUNGAMO-MIRAMA HILL'!C26)</f>
        <v>2</v>
      </c>
      <c r="D26" s="49">
        <f>AVERAGE('25.10 NTUNGAMO- MIRAMA -24h'!D26,'26.10 NTUNGAMO-MIRAMA HILL'!D26)</f>
        <v>0</v>
      </c>
      <c r="E26" s="49">
        <f>AVERAGE('25.10 NTUNGAMO- MIRAMA -24h'!E26,'26.10 NTUNGAMO-MIRAMA HILL'!E26)</f>
        <v>0</v>
      </c>
      <c r="F26" s="49">
        <f>AVERAGE('25.10 NTUNGAMO- MIRAMA -24h'!F26,'26.10 NTUNGAMO-MIRAMA HILL'!F26)</f>
        <v>0</v>
      </c>
      <c r="G26" s="49">
        <f>AVERAGE('25.10 NTUNGAMO- MIRAMA -24h'!G26,'26.10 NTUNGAMO-MIRAMA HILL'!G26)</f>
        <v>0</v>
      </c>
      <c r="H26" s="49">
        <f>AVERAGE('25.10 NTUNGAMO- MIRAMA -24h'!H26,'26.10 NTUNGAMO-MIRAMA HILL'!H26)</f>
        <v>0</v>
      </c>
      <c r="I26" s="49">
        <f>AVERAGE('25.10 NTUNGAMO- MIRAMA -24h'!I26,'26.10 NTUNGAMO-MIRAMA HILL'!I26)</f>
        <v>0</v>
      </c>
      <c r="J26" s="49">
        <f>AVERAGE('25.10 NTUNGAMO- MIRAMA -24h'!J26,'26.10 NTUNGAMO-MIRAMA HILL'!J26)</f>
        <v>0</v>
      </c>
      <c r="K26" s="49">
        <f>AVERAGE('25.10 NTUNGAMO- MIRAMA -24h'!K26,'26.10 NTUNGAMO-MIRAMA HILL'!K26)</f>
        <v>0</v>
      </c>
      <c r="L26" s="49">
        <f>AVERAGE('25.10 NTUNGAMO- MIRAMA -24h'!L26,'26.10 NTUNGAMO-MIRAMA HILL'!L26)</f>
        <v>2</v>
      </c>
      <c r="M26" s="49">
        <f>AVERAGE('25.10 NTUNGAMO- MIRAMA -24h'!M26,'26.10 NTUNGAMO-MIRAMA HILL'!M26)</f>
        <v>2.5</v>
      </c>
      <c r="N26" s="49">
        <f>AVERAGE('25.10 NTUNGAMO- MIRAMA -24h'!N26,'26.10 NTUNGAMO-MIRAMA HILL'!N26)</f>
        <v>0</v>
      </c>
      <c r="O26" s="15">
        <f t="shared" si="0"/>
        <v>4</v>
      </c>
      <c r="P26" s="15">
        <f t="shared" si="1"/>
        <v>6.5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1</v>
      </c>
      <c r="AB26" s="34">
        <f t="shared" si="18"/>
        <v>2</v>
      </c>
      <c r="AC26" s="34">
        <f t="shared" si="18"/>
        <v>0</v>
      </c>
      <c r="AD26" s="34">
        <f t="shared" si="18"/>
        <v>0</v>
      </c>
      <c r="AE26" s="31">
        <f t="shared" si="18"/>
        <v>3</v>
      </c>
      <c r="AF26" s="31">
        <f t="shared" si="18"/>
        <v>3</v>
      </c>
    </row>
    <row r="27" spans="2:32" ht="23.1" customHeight="1" x14ac:dyDescent="0.25">
      <c r="B27" s="23" t="s">
        <v>54</v>
      </c>
      <c r="C27" s="49">
        <f>AVERAGE('25.10 NTUNGAMO- MIRAMA -24h'!C27,'26.10 NTUNGAMO-MIRAMA HILL'!C27)</f>
        <v>0</v>
      </c>
      <c r="D27" s="49">
        <f>AVERAGE('25.10 NTUNGAMO- MIRAMA -24h'!D27,'26.10 NTUNGAMO-MIRAMA HILL'!D27)</f>
        <v>0</v>
      </c>
      <c r="E27" s="49">
        <f>AVERAGE('25.10 NTUNGAMO- MIRAMA -24h'!E27,'26.10 NTUNGAMO-MIRAMA HILL'!E27)</f>
        <v>0</v>
      </c>
      <c r="F27" s="49">
        <f>AVERAGE('25.10 NTUNGAMO- MIRAMA -24h'!F27,'26.10 NTUNGAMO-MIRAMA HILL'!F27)</f>
        <v>0</v>
      </c>
      <c r="G27" s="49">
        <f>AVERAGE('25.10 NTUNGAMO- MIRAMA -24h'!G27,'26.10 NTUNGAMO-MIRAMA HILL'!G27)</f>
        <v>0</v>
      </c>
      <c r="H27" s="49">
        <f>AVERAGE('25.10 NTUNGAMO- MIRAMA -24h'!H27,'26.10 NTUNGAMO-MIRAMA HILL'!H27)</f>
        <v>0</v>
      </c>
      <c r="I27" s="49">
        <f>AVERAGE('25.10 NTUNGAMO- MIRAMA -24h'!I27,'26.10 NTUNGAMO-MIRAMA HILL'!I27)</f>
        <v>0</v>
      </c>
      <c r="J27" s="49">
        <f>AVERAGE('25.10 NTUNGAMO- MIRAMA -24h'!J27,'26.10 NTUNGAMO-MIRAMA HILL'!J27)</f>
        <v>0</v>
      </c>
      <c r="K27" s="49">
        <f>AVERAGE('25.10 NTUNGAMO- MIRAMA -24h'!K27,'26.10 NTUNGAMO-MIRAMA HILL'!K27)</f>
        <v>0</v>
      </c>
      <c r="L27" s="49">
        <f>AVERAGE('25.10 NTUNGAMO- MIRAMA -24h'!L27,'26.10 NTUNGAMO-MIRAMA HILL'!L27)</f>
        <v>1.5</v>
      </c>
      <c r="M27" s="49">
        <f>AVERAGE('25.10 NTUNGAMO- MIRAMA -24h'!M27,'26.10 NTUNGAMO-MIRAMA HILL'!M27)</f>
        <v>3</v>
      </c>
      <c r="N27" s="49">
        <f>AVERAGE('25.10 NTUNGAMO- MIRAMA -24h'!N27,'26.10 NTUNGAMO-MIRAMA HILL'!N27)</f>
        <v>0</v>
      </c>
      <c r="O27" s="15">
        <f t="shared" si="0"/>
        <v>1.5</v>
      </c>
      <c r="P27" s="15">
        <f t="shared" si="1"/>
        <v>4.5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AVERAGE('25.10 NTUNGAMO- MIRAMA -24h'!C28,'26.10 NTUNGAMO-MIRAMA HILL'!C28)</f>
        <v>1</v>
      </c>
      <c r="D28" s="49">
        <f>AVERAGE('25.10 NTUNGAMO- MIRAMA -24h'!D28,'26.10 NTUNGAMO-MIRAMA HILL'!D28)</f>
        <v>0</v>
      </c>
      <c r="E28" s="49">
        <f>AVERAGE('25.10 NTUNGAMO- MIRAMA -24h'!E28,'26.10 NTUNGAMO-MIRAMA HILL'!E28)</f>
        <v>0</v>
      </c>
      <c r="F28" s="49">
        <f>AVERAGE('25.10 NTUNGAMO- MIRAMA -24h'!F28,'26.10 NTUNGAMO-MIRAMA HILL'!F28)</f>
        <v>0</v>
      </c>
      <c r="G28" s="49">
        <f>AVERAGE('25.10 NTUNGAMO- MIRAMA -24h'!G28,'26.10 NTUNGAMO-MIRAMA HILL'!G28)</f>
        <v>0</v>
      </c>
      <c r="H28" s="49">
        <f>AVERAGE('25.10 NTUNGAMO- MIRAMA -24h'!H28,'26.10 NTUNGAMO-MIRAMA HILL'!H28)</f>
        <v>0</v>
      </c>
      <c r="I28" s="49">
        <f>AVERAGE('25.10 NTUNGAMO- MIRAMA -24h'!I28,'26.10 NTUNGAMO-MIRAMA HILL'!I28)</f>
        <v>0</v>
      </c>
      <c r="J28" s="49">
        <f>AVERAGE('25.10 NTUNGAMO- MIRAMA -24h'!J28,'26.10 NTUNGAMO-MIRAMA HILL'!J28)</f>
        <v>0</v>
      </c>
      <c r="K28" s="49">
        <f>AVERAGE('25.10 NTUNGAMO- MIRAMA -24h'!K28,'26.10 NTUNGAMO-MIRAMA HILL'!K28)</f>
        <v>0</v>
      </c>
      <c r="L28" s="49">
        <f>AVERAGE('25.10 NTUNGAMO- MIRAMA -24h'!L28,'26.10 NTUNGAMO-MIRAMA HILL'!L28)</f>
        <v>1.5</v>
      </c>
      <c r="M28" s="49">
        <f>AVERAGE('25.10 NTUNGAMO- MIRAMA -24h'!M28,'26.10 NTUNGAMO-MIRAMA HILL'!M28)</f>
        <v>2</v>
      </c>
      <c r="N28" s="49">
        <f>AVERAGE('25.10 NTUNGAMO- MIRAMA -24h'!N28,'26.10 NTUNGAMO-MIRAMA HILL'!N28)</f>
        <v>0</v>
      </c>
      <c r="O28" s="15">
        <f t="shared" si="0"/>
        <v>2.5</v>
      </c>
      <c r="P28" s="15">
        <f t="shared" si="1"/>
        <v>4.5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AVERAGE('25.10 NTUNGAMO- MIRAMA -24h'!C29,'26.10 NTUNGAMO-MIRAMA HILL'!C29)</f>
        <v>0</v>
      </c>
      <c r="D29" s="49">
        <f>AVERAGE('25.10 NTUNGAMO- MIRAMA -24h'!D29,'26.10 NTUNGAMO-MIRAMA HILL'!D29)</f>
        <v>0</v>
      </c>
      <c r="E29" s="49">
        <f>AVERAGE('25.10 NTUNGAMO- MIRAMA -24h'!E29,'26.10 NTUNGAMO-MIRAMA HILL'!E29)</f>
        <v>0</v>
      </c>
      <c r="F29" s="49">
        <f>AVERAGE('25.10 NTUNGAMO- MIRAMA -24h'!F29,'26.10 NTUNGAMO-MIRAMA HILL'!F29)</f>
        <v>0</v>
      </c>
      <c r="G29" s="49">
        <f>AVERAGE('25.10 NTUNGAMO- MIRAMA -24h'!G29,'26.10 NTUNGAMO-MIRAMA HILL'!G29)</f>
        <v>0</v>
      </c>
      <c r="H29" s="49">
        <f>AVERAGE('25.10 NTUNGAMO- MIRAMA -24h'!H29,'26.10 NTUNGAMO-MIRAMA HILL'!H29)</f>
        <v>0</v>
      </c>
      <c r="I29" s="49">
        <f>AVERAGE('25.10 NTUNGAMO- MIRAMA -24h'!I29,'26.10 NTUNGAMO-MIRAMA HILL'!I29)</f>
        <v>0</v>
      </c>
      <c r="J29" s="49">
        <f>AVERAGE('25.10 NTUNGAMO- MIRAMA -24h'!J29,'26.10 NTUNGAMO-MIRAMA HILL'!J29)</f>
        <v>0</v>
      </c>
      <c r="K29" s="49">
        <f>AVERAGE('25.10 NTUNGAMO- MIRAMA -24h'!K29,'26.10 NTUNGAMO-MIRAMA HILL'!K29)</f>
        <v>0</v>
      </c>
      <c r="L29" s="49">
        <f>AVERAGE('25.10 NTUNGAMO- MIRAMA -24h'!L29,'26.10 NTUNGAMO-MIRAMA HILL'!L29)</f>
        <v>0.5</v>
      </c>
      <c r="M29" s="49">
        <f>AVERAGE('25.10 NTUNGAMO- MIRAMA -24h'!M29,'26.10 NTUNGAMO-MIRAMA HILL'!M29)</f>
        <v>3.5</v>
      </c>
      <c r="N29" s="49">
        <f>AVERAGE('25.10 NTUNGAMO- MIRAMA -24h'!N29,'26.10 NTUNGAMO-MIRAMA HILL'!N29)</f>
        <v>0</v>
      </c>
      <c r="O29" s="15">
        <f t="shared" si="0"/>
        <v>0.5</v>
      </c>
      <c r="P29" s="15">
        <f t="shared" si="1"/>
        <v>4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23" t="s">
        <v>57</v>
      </c>
      <c r="C30" s="49">
        <f>AVERAGE('25.10 NTUNGAMO- MIRAMA -24h'!C30,'26.10 NTUNGAMO-MIRAMA HILL'!C30)</f>
        <v>2</v>
      </c>
      <c r="D30" s="49">
        <f>AVERAGE('25.10 NTUNGAMO- MIRAMA -24h'!D30,'26.10 NTUNGAMO-MIRAMA HILL'!D30)</f>
        <v>0</v>
      </c>
      <c r="E30" s="49">
        <f>AVERAGE('25.10 NTUNGAMO- MIRAMA -24h'!E30,'26.10 NTUNGAMO-MIRAMA HILL'!E30)</f>
        <v>0</v>
      </c>
      <c r="F30" s="49">
        <f>AVERAGE('25.10 NTUNGAMO- MIRAMA -24h'!F30,'26.10 NTUNGAMO-MIRAMA HILL'!F30)</f>
        <v>0</v>
      </c>
      <c r="G30" s="49">
        <f>AVERAGE('25.10 NTUNGAMO- MIRAMA -24h'!G30,'26.10 NTUNGAMO-MIRAMA HILL'!G30)</f>
        <v>0</v>
      </c>
      <c r="H30" s="49">
        <f>AVERAGE('25.10 NTUNGAMO- MIRAMA -24h'!H30,'26.10 NTUNGAMO-MIRAMA HILL'!H30)</f>
        <v>0</v>
      </c>
      <c r="I30" s="49">
        <f>AVERAGE('25.10 NTUNGAMO- MIRAMA -24h'!I30,'26.10 NTUNGAMO-MIRAMA HILL'!I30)</f>
        <v>0</v>
      </c>
      <c r="J30" s="49">
        <f>AVERAGE('25.10 NTUNGAMO- MIRAMA -24h'!J30,'26.10 NTUNGAMO-MIRAMA HILL'!J30)</f>
        <v>0</v>
      </c>
      <c r="K30" s="49">
        <f>AVERAGE('25.10 NTUNGAMO- MIRAMA -24h'!K30,'26.10 NTUNGAMO-MIRAMA HILL'!K30)</f>
        <v>0</v>
      </c>
      <c r="L30" s="49">
        <f>AVERAGE('25.10 NTUNGAMO- MIRAMA -24h'!L30,'26.10 NTUNGAMO-MIRAMA HILL'!L30)</f>
        <v>0</v>
      </c>
      <c r="M30" s="49">
        <f>AVERAGE('25.10 NTUNGAMO- MIRAMA -24h'!M30,'26.10 NTUNGAMO-MIRAMA HILL'!M30)</f>
        <v>2.5</v>
      </c>
      <c r="N30" s="49">
        <f>AVERAGE('25.10 NTUNGAMO- MIRAMA -24h'!N30,'26.10 NTUNGAMO-MIRAMA HILL'!N30)</f>
        <v>0</v>
      </c>
      <c r="O30" s="15">
        <f t="shared" si="0"/>
        <v>2</v>
      </c>
      <c r="P30" s="15">
        <f t="shared" si="1"/>
        <v>4.5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AVERAGE('25.10 NTUNGAMO- MIRAMA -24h'!C31,'26.10 NTUNGAMO-MIRAMA HILL'!C31)</f>
        <v>0.5</v>
      </c>
      <c r="D31" s="49">
        <f>AVERAGE('25.10 NTUNGAMO- MIRAMA -24h'!D31,'26.10 NTUNGAMO-MIRAMA HILL'!D31)</f>
        <v>0</v>
      </c>
      <c r="E31" s="49">
        <f>AVERAGE('25.10 NTUNGAMO- MIRAMA -24h'!E31,'26.10 NTUNGAMO-MIRAMA HILL'!E31)</f>
        <v>0</v>
      </c>
      <c r="F31" s="49">
        <f>AVERAGE('25.10 NTUNGAMO- MIRAMA -24h'!F31,'26.10 NTUNGAMO-MIRAMA HILL'!F31)</f>
        <v>0</v>
      </c>
      <c r="G31" s="49">
        <f>AVERAGE('25.10 NTUNGAMO- MIRAMA -24h'!G31,'26.10 NTUNGAMO-MIRAMA HILL'!G31)</f>
        <v>0</v>
      </c>
      <c r="H31" s="49">
        <f>AVERAGE('25.10 NTUNGAMO- MIRAMA -24h'!H31,'26.10 NTUNGAMO-MIRAMA HILL'!H31)</f>
        <v>0</v>
      </c>
      <c r="I31" s="49">
        <f>AVERAGE('25.10 NTUNGAMO- MIRAMA -24h'!I31,'26.10 NTUNGAMO-MIRAMA HILL'!I31)</f>
        <v>0</v>
      </c>
      <c r="J31" s="49">
        <f>AVERAGE('25.10 NTUNGAMO- MIRAMA -24h'!J31,'26.10 NTUNGAMO-MIRAMA HILL'!J31)</f>
        <v>0</v>
      </c>
      <c r="K31" s="49">
        <f>AVERAGE('25.10 NTUNGAMO- MIRAMA -24h'!K31,'26.10 NTUNGAMO-MIRAMA HILL'!K31)</f>
        <v>0</v>
      </c>
      <c r="L31" s="49">
        <f>AVERAGE('25.10 NTUNGAMO- MIRAMA -24h'!L31,'26.10 NTUNGAMO-MIRAMA HILL'!L31)</f>
        <v>1.5</v>
      </c>
      <c r="M31" s="49">
        <f>AVERAGE('25.10 NTUNGAMO- MIRAMA -24h'!M31,'26.10 NTUNGAMO-MIRAMA HILL'!M31)</f>
        <v>2</v>
      </c>
      <c r="N31" s="49">
        <f>AVERAGE('25.10 NTUNGAMO- MIRAMA -24h'!N31,'26.10 NTUNGAMO-MIRAMA HILL'!N31)</f>
        <v>0</v>
      </c>
      <c r="O31" s="15">
        <f t="shared" si="0"/>
        <v>2</v>
      </c>
      <c r="P31" s="15">
        <f t="shared" si="1"/>
        <v>4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AVERAGE('25.10 NTUNGAMO- MIRAMA -24h'!C32,'26.10 NTUNGAMO-MIRAMA HILL'!C32)</f>
        <v>0.5</v>
      </c>
      <c r="D32" s="49">
        <f>AVERAGE('25.10 NTUNGAMO- MIRAMA -24h'!D32,'26.10 NTUNGAMO-MIRAMA HILL'!D32)</f>
        <v>0</v>
      </c>
      <c r="E32" s="49">
        <f>AVERAGE('25.10 NTUNGAMO- MIRAMA -24h'!E32,'26.10 NTUNGAMO-MIRAMA HILL'!E32)</f>
        <v>0</v>
      </c>
      <c r="F32" s="49">
        <f>AVERAGE('25.10 NTUNGAMO- MIRAMA -24h'!F32,'26.10 NTUNGAMO-MIRAMA HILL'!F32)</f>
        <v>0</v>
      </c>
      <c r="G32" s="49">
        <f>AVERAGE('25.10 NTUNGAMO- MIRAMA -24h'!G32,'26.10 NTUNGAMO-MIRAMA HILL'!G32)</f>
        <v>0</v>
      </c>
      <c r="H32" s="49">
        <f>AVERAGE('25.10 NTUNGAMO- MIRAMA -24h'!H32,'26.10 NTUNGAMO-MIRAMA HILL'!H32)</f>
        <v>0</v>
      </c>
      <c r="I32" s="49">
        <f>AVERAGE('25.10 NTUNGAMO- MIRAMA -24h'!I32,'26.10 NTUNGAMO-MIRAMA HILL'!I32)</f>
        <v>0.5</v>
      </c>
      <c r="J32" s="49">
        <f>AVERAGE('25.10 NTUNGAMO- MIRAMA -24h'!J32,'26.10 NTUNGAMO-MIRAMA HILL'!J32)</f>
        <v>0</v>
      </c>
      <c r="K32" s="49">
        <f>AVERAGE('25.10 NTUNGAMO- MIRAMA -24h'!K32,'26.10 NTUNGAMO-MIRAMA HILL'!K32)</f>
        <v>0</v>
      </c>
      <c r="L32" s="49">
        <f>AVERAGE('25.10 NTUNGAMO- MIRAMA -24h'!L32,'26.10 NTUNGAMO-MIRAMA HILL'!L32)</f>
        <v>0</v>
      </c>
      <c r="M32" s="49">
        <f>AVERAGE('25.10 NTUNGAMO- MIRAMA -24h'!M32,'26.10 NTUNGAMO-MIRAMA HILL'!M32)</f>
        <v>2.5</v>
      </c>
      <c r="N32" s="49">
        <f>AVERAGE('25.10 NTUNGAMO- MIRAMA -24h'!N32,'26.10 NTUNGAMO-MIRAMA HILL'!N32)</f>
        <v>0</v>
      </c>
      <c r="O32" s="15">
        <f t="shared" si="0"/>
        <v>1</v>
      </c>
      <c r="P32" s="15">
        <f t="shared" si="1"/>
        <v>3.5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7</v>
      </c>
      <c r="AC32" s="34">
        <f t="shared" si="24"/>
        <v>0</v>
      </c>
      <c r="AD32" s="34">
        <f t="shared" si="24"/>
        <v>0</v>
      </c>
      <c r="AE32" s="31">
        <f t="shared" si="24"/>
        <v>7</v>
      </c>
      <c r="AF32" s="31">
        <f t="shared" si="24"/>
        <v>7</v>
      </c>
    </row>
    <row r="33" spans="2:32" ht="23.1" customHeight="1" x14ac:dyDescent="0.25">
      <c r="B33" s="23" t="s">
        <v>60</v>
      </c>
      <c r="C33" s="49">
        <f>AVERAGE('25.10 NTUNGAMO- MIRAMA -24h'!C33,'26.10 NTUNGAMO-MIRAMA HILL'!C33)</f>
        <v>0.5</v>
      </c>
      <c r="D33" s="49">
        <f>AVERAGE('25.10 NTUNGAMO- MIRAMA -24h'!D33,'26.10 NTUNGAMO-MIRAMA HILL'!D33)</f>
        <v>0</v>
      </c>
      <c r="E33" s="49">
        <f>AVERAGE('25.10 NTUNGAMO- MIRAMA -24h'!E33,'26.10 NTUNGAMO-MIRAMA HILL'!E33)</f>
        <v>0</v>
      </c>
      <c r="F33" s="49">
        <f>AVERAGE('25.10 NTUNGAMO- MIRAMA -24h'!F33,'26.10 NTUNGAMO-MIRAMA HILL'!F33)</f>
        <v>0</v>
      </c>
      <c r="G33" s="49">
        <f>AVERAGE('25.10 NTUNGAMO- MIRAMA -24h'!G33,'26.10 NTUNGAMO-MIRAMA HILL'!G33)</f>
        <v>0</v>
      </c>
      <c r="H33" s="49">
        <f>AVERAGE('25.10 NTUNGAMO- MIRAMA -24h'!H33,'26.10 NTUNGAMO-MIRAMA HILL'!H33)</f>
        <v>0</v>
      </c>
      <c r="I33" s="49">
        <f>AVERAGE('25.10 NTUNGAMO- MIRAMA -24h'!I33,'26.10 NTUNGAMO-MIRAMA HILL'!I33)</f>
        <v>0</v>
      </c>
      <c r="J33" s="49">
        <f>AVERAGE('25.10 NTUNGAMO- MIRAMA -24h'!J33,'26.10 NTUNGAMO-MIRAMA HILL'!J33)</f>
        <v>0</v>
      </c>
      <c r="K33" s="49">
        <f>AVERAGE('25.10 NTUNGAMO- MIRAMA -24h'!K33,'26.10 NTUNGAMO-MIRAMA HILL'!K33)</f>
        <v>0</v>
      </c>
      <c r="L33" s="49">
        <f>AVERAGE('25.10 NTUNGAMO- MIRAMA -24h'!L33,'26.10 NTUNGAMO-MIRAMA HILL'!L33)</f>
        <v>0</v>
      </c>
      <c r="M33" s="49">
        <f>AVERAGE('25.10 NTUNGAMO- MIRAMA -24h'!M33,'26.10 NTUNGAMO-MIRAMA HILL'!M33)</f>
        <v>3</v>
      </c>
      <c r="N33" s="49">
        <f>AVERAGE('25.10 NTUNGAMO- MIRAMA -24h'!N33,'26.10 NTUNGAMO-MIRAMA HILL'!N33)</f>
        <v>0</v>
      </c>
      <c r="O33" s="15">
        <f t="shared" si="0"/>
        <v>0.5</v>
      </c>
      <c r="P33" s="15">
        <f t="shared" si="1"/>
        <v>3.5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3</v>
      </c>
      <c r="AB33" s="34">
        <f t="shared" si="25"/>
        <v>6</v>
      </c>
      <c r="AC33" s="34">
        <f t="shared" si="25"/>
        <v>0</v>
      </c>
      <c r="AD33" s="34">
        <f t="shared" si="25"/>
        <v>0</v>
      </c>
      <c r="AE33" s="31">
        <f t="shared" si="25"/>
        <v>9</v>
      </c>
      <c r="AF33" s="31">
        <f t="shared" si="25"/>
        <v>9</v>
      </c>
    </row>
    <row r="34" spans="2:32" ht="23.1" customHeight="1" x14ac:dyDescent="0.25">
      <c r="B34" s="24" t="s">
        <v>61</v>
      </c>
      <c r="C34" s="49">
        <f>AVERAGE('25.10 NTUNGAMO- MIRAMA -24h'!C34,'26.10 NTUNGAMO-MIRAMA HILL'!C34)</f>
        <v>1.5</v>
      </c>
      <c r="D34" s="49">
        <f>AVERAGE('25.10 NTUNGAMO- MIRAMA -24h'!D34,'26.10 NTUNGAMO-MIRAMA HILL'!D34)</f>
        <v>0</v>
      </c>
      <c r="E34" s="49">
        <f>AVERAGE('25.10 NTUNGAMO- MIRAMA -24h'!E34,'26.10 NTUNGAMO-MIRAMA HILL'!E34)</f>
        <v>1</v>
      </c>
      <c r="F34" s="49">
        <f>AVERAGE('25.10 NTUNGAMO- MIRAMA -24h'!F34,'26.10 NTUNGAMO-MIRAMA HILL'!F34)</f>
        <v>0</v>
      </c>
      <c r="G34" s="49">
        <f>AVERAGE('25.10 NTUNGAMO- MIRAMA -24h'!G34,'26.10 NTUNGAMO-MIRAMA HILL'!G34)</f>
        <v>0</v>
      </c>
      <c r="H34" s="49">
        <f>AVERAGE('25.10 NTUNGAMO- MIRAMA -24h'!H34,'26.10 NTUNGAMO-MIRAMA HILL'!H34)</f>
        <v>0</v>
      </c>
      <c r="I34" s="49">
        <f>AVERAGE('25.10 NTUNGAMO- MIRAMA -24h'!I34,'26.10 NTUNGAMO-MIRAMA HILL'!I34)</f>
        <v>0</v>
      </c>
      <c r="J34" s="49">
        <f>AVERAGE('25.10 NTUNGAMO- MIRAMA -24h'!J34,'26.10 NTUNGAMO-MIRAMA HILL'!J34)</f>
        <v>0</v>
      </c>
      <c r="K34" s="49">
        <f>AVERAGE('25.10 NTUNGAMO- MIRAMA -24h'!K34,'26.10 NTUNGAMO-MIRAMA HILL'!K34)</f>
        <v>0</v>
      </c>
      <c r="L34" s="49">
        <f>AVERAGE('25.10 NTUNGAMO- MIRAMA -24h'!L34,'26.10 NTUNGAMO-MIRAMA HILL'!L34)</f>
        <v>1.5</v>
      </c>
      <c r="M34" s="49">
        <f>AVERAGE('25.10 NTUNGAMO- MIRAMA -24h'!M34,'26.10 NTUNGAMO-MIRAMA HILL'!M34)</f>
        <v>2</v>
      </c>
      <c r="N34" s="49">
        <f>AVERAGE('25.10 NTUNGAMO- MIRAMA -24h'!N34,'26.10 NTUNGAMO-MIRAMA HILL'!N34)</f>
        <v>0</v>
      </c>
      <c r="O34" s="15">
        <f t="shared" si="0"/>
        <v>4</v>
      </c>
      <c r="P34" s="15">
        <f t="shared" si="1"/>
        <v>6</v>
      </c>
      <c r="R34" s="51" t="s">
        <v>90</v>
      </c>
      <c r="S34" s="52">
        <f t="shared" ref="S34:AF34" si="26">MAX(S10:S12)</f>
        <v>1.5</v>
      </c>
      <c r="T34" s="52">
        <f t="shared" si="26"/>
        <v>0</v>
      </c>
      <c r="U34" s="52">
        <f t="shared" si="26"/>
        <v>0</v>
      </c>
      <c r="V34" s="52">
        <f t="shared" si="26"/>
        <v>0</v>
      </c>
      <c r="W34" s="52">
        <f t="shared" si="26"/>
        <v>0</v>
      </c>
      <c r="X34" s="52">
        <f t="shared" si="26"/>
        <v>0</v>
      </c>
      <c r="Y34" s="52">
        <f t="shared" si="26"/>
        <v>0</v>
      </c>
      <c r="Z34" s="52">
        <f t="shared" si="26"/>
        <v>1</v>
      </c>
      <c r="AA34" s="52">
        <f t="shared" si="26"/>
        <v>1.5</v>
      </c>
      <c r="AB34" s="52">
        <f t="shared" si="26"/>
        <v>3</v>
      </c>
      <c r="AC34" s="52">
        <f t="shared" si="26"/>
        <v>12.5</v>
      </c>
      <c r="AD34" s="52">
        <f t="shared" si="26"/>
        <v>0</v>
      </c>
      <c r="AE34" s="40">
        <f t="shared" si="26"/>
        <v>7</v>
      </c>
      <c r="AF34" s="40">
        <f t="shared" si="26"/>
        <v>19.5</v>
      </c>
    </row>
    <row r="35" spans="2:32" ht="23.1" customHeight="1" x14ac:dyDescent="0.25">
      <c r="B35" s="24" t="s">
        <v>62</v>
      </c>
      <c r="C35" s="49">
        <f>AVERAGE('25.10 NTUNGAMO- MIRAMA -24h'!C35,'26.10 NTUNGAMO-MIRAMA HILL'!C35)</f>
        <v>0</v>
      </c>
      <c r="D35" s="49">
        <f>AVERAGE('25.10 NTUNGAMO- MIRAMA -24h'!D35,'26.10 NTUNGAMO-MIRAMA HILL'!D35)</f>
        <v>0</v>
      </c>
      <c r="E35" s="49">
        <f>AVERAGE('25.10 NTUNGAMO- MIRAMA -24h'!E35,'26.10 NTUNGAMO-MIRAMA HILL'!E35)</f>
        <v>0</v>
      </c>
      <c r="F35" s="49">
        <f>AVERAGE('25.10 NTUNGAMO- MIRAMA -24h'!F35,'26.10 NTUNGAMO-MIRAMA HILL'!F35)</f>
        <v>0</v>
      </c>
      <c r="G35" s="49">
        <f>AVERAGE('25.10 NTUNGAMO- MIRAMA -24h'!G35,'26.10 NTUNGAMO-MIRAMA HILL'!G35)</f>
        <v>0</v>
      </c>
      <c r="H35" s="49">
        <f>AVERAGE('25.10 NTUNGAMO- MIRAMA -24h'!H35,'26.10 NTUNGAMO-MIRAMA HILL'!H35)</f>
        <v>0</v>
      </c>
      <c r="I35" s="49">
        <f>AVERAGE('25.10 NTUNGAMO- MIRAMA -24h'!I35,'26.10 NTUNGAMO-MIRAMA HILL'!I35)</f>
        <v>0</v>
      </c>
      <c r="J35" s="49">
        <f>AVERAGE('25.10 NTUNGAMO- MIRAMA -24h'!J35,'26.10 NTUNGAMO-MIRAMA HILL'!J35)</f>
        <v>0</v>
      </c>
      <c r="K35" s="49">
        <f>AVERAGE('25.10 NTUNGAMO- MIRAMA -24h'!K35,'26.10 NTUNGAMO-MIRAMA HILL'!K35)</f>
        <v>0</v>
      </c>
      <c r="L35" s="49">
        <f>AVERAGE('25.10 NTUNGAMO- MIRAMA -24h'!L35,'26.10 NTUNGAMO-MIRAMA HILL'!L35)</f>
        <v>0</v>
      </c>
      <c r="M35" s="49">
        <f>AVERAGE('25.10 NTUNGAMO- MIRAMA -24h'!M35,'26.10 NTUNGAMO-MIRAMA HILL'!M35)</f>
        <v>2</v>
      </c>
      <c r="N35" s="49">
        <f>AVERAGE('25.10 NTUNGAMO- MIRAMA -24h'!N35,'26.10 NTUNGAMO-MIRAMA HILL'!N35)</f>
        <v>0</v>
      </c>
      <c r="O35" s="15">
        <f t="shared" si="0"/>
        <v>0</v>
      </c>
      <c r="P35" s="15">
        <f t="shared" si="1"/>
        <v>2</v>
      </c>
      <c r="R35" s="51" t="s">
        <v>91</v>
      </c>
      <c r="S35" s="52">
        <f t="shared" ref="S35:AF35" si="27">MAX(S13:S18)</f>
        <v>4</v>
      </c>
      <c r="T35" s="52">
        <f t="shared" si="27"/>
        <v>1</v>
      </c>
      <c r="U35" s="52">
        <f t="shared" si="27"/>
        <v>1.5</v>
      </c>
      <c r="V35" s="52">
        <f t="shared" si="27"/>
        <v>0</v>
      </c>
      <c r="W35" s="52">
        <f t="shared" si="27"/>
        <v>0</v>
      </c>
      <c r="X35" s="52">
        <f t="shared" si="27"/>
        <v>0</v>
      </c>
      <c r="Y35" s="52">
        <f t="shared" si="27"/>
        <v>0.5</v>
      </c>
      <c r="Z35" s="52">
        <f t="shared" si="27"/>
        <v>0</v>
      </c>
      <c r="AA35" s="52">
        <f t="shared" si="27"/>
        <v>0.5</v>
      </c>
      <c r="AB35" s="52">
        <f t="shared" si="27"/>
        <v>6.5</v>
      </c>
      <c r="AC35" s="52">
        <f t="shared" si="27"/>
        <v>19</v>
      </c>
      <c r="AD35" s="52">
        <f t="shared" si="27"/>
        <v>0</v>
      </c>
      <c r="AE35" s="40">
        <f t="shared" si="27"/>
        <v>10.5</v>
      </c>
      <c r="AF35" s="40">
        <f t="shared" si="27"/>
        <v>27</v>
      </c>
    </row>
    <row r="36" spans="2:32" ht="23.1" customHeight="1" x14ac:dyDescent="0.25">
      <c r="B36" s="24" t="s">
        <v>63</v>
      </c>
      <c r="C36" s="49">
        <f>AVERAGE('25.10 NTUNGAMO- MIRAMA -24h'!C36,'26.10 NTUNGAMO-MIRAMA HILL'!C36)</f>
        <v>0</v>
      </c>
      <c r="D36" s="49">
        <f>AVERAGE('25.10 NTUNGAMO- MIRAMA -24h'!D36,'26.10 NTUNGAMO-MIRAMA HILL'!D36)</f>
        <v>0</v>
      </c>
      <c r="E36" s="49">
        <f>AVERAGE('25.10 NTUNGAMO- MIRAMA -24h'!E36,'26.10 NTUNGAMO-MIRAMA HILL'!E36)</f>
        <v>0.5</v>
      </c>
      <c r="F36" s="49">
        <f>AVERAGE('25.10 NTUNGAMO- MIRAMA -24h'!F36,'26.10 NTUNGAMO-MIRAMA HILL'!F36)</f>
        <v>0</v>
      </c>
      <c r="G36" s="49">
        <f>AVERAGE('25.10 NTUNGAMO- MIRAMA -24h'!G36,'26.10 NTUNGAMO-MIRAMA HILL'!G36)</f>
        <v>0</v>
      </c>
      <c r="H36" s="49">
        <f>AVERAGE('25.10 NTUNGAMO- MIRAMA -24h'!H36,'26.10 NTUNGAMO-MIRAMA HILL'!H36)</f>
        <v>0</v>
      </c>
      <c r="I36" s="49">
        <f>AVERAGE('25.10 NTUNGAMO- MIRAMA -24h'!I36,'26.10 NTUNGAMO-MIRAMA HILL'!I36)</f>
        <v>0</v>
      </c>
      <c r="J36" s="49">
        <f>AVERAGE('25.10 NTUNGAMO- MIRAMA -24h'!J36,'26.10 NTUNGAMO-MIRAMA HILL'!J36)</f>
        <v>0</v>
      </c>
      <c r="K36" s="49">
        <f>AVERAGE('25.10 NTUNGAMO- MIRAMA -24h'!K36,'26.10 NTUNGAMO-MIRAMA HILL'!K36)</f>
        <v>0</v>
      </c>
      <c r="L36" s="49">
        <f>AVERAGE('25.10 NTUNGAMO- MIRAMA -24h'!L36,'26.10 NTUNGAMO-MIRAMA HILL'!L36)</f>
        <v>1.5</v>
      </c>
      <c r="M36" s="49">
        <f>AVERAGE('25.10 NTUNGAMO- MIRAMA -24h'!M36,'26.10 NTUNGAMO-MIRAMA HILL'!M36)</f>
        <v>2.5</v>
      </c>
      <c r="N36" s="49">
        <f>AVERAGE('25.10 NTUNGAMO- MIRAMA -24h'!N36,'26.10 NTUNGAMO-MIRAMA HILL'!N36)</f>
        <v>0</v>
      </c>
      <c r="O36" s="15">
        <f t="shared" si="0"/>
        <v>2</v>
      </c>
      <c r="P36" s="15">
        <f t="shared" si="1"/>
        <v>4.5</v>
      </c>
      <c r="R36" s="51" t="s">
        <v>92</v>
      </c>
      <c r="S36" s="52">
        <f t="shared" ref="S36:AF36" si="28">MAX(S19:S21)</f>
        <v>4.5</v>
      </c>
      <c r="T36" s="52">
        <f t="shared" si="28"/>
        <v>0</v>
      </c>
      <c r="U36" s="52">
        <f t="shared" si="28"/>
        <v>0</v>
      </c>
      <c r="V36" s="52">
        <f t="shared" si="28"/>
        <v>0.5</v>
      </c>
      <c r="W36" s="52">
        <f t="shared" si="28"/>
        <v>0.5</v>
      </c>
      <c r="X36" s="52">
        <f t="shared" si="28"/>
        <v>0</v>
      </c>
      <c r="Y36" s="52">
        <f t="shared" si="28"/>
        <v>0.5</v>
      </c>
      <c r="Z36" s="52">
        <f t="shared" si="28"/>
        <v>1</v>
      </c>
      <c r="AA36" s="52">
        <f t="shared" si="28"/>
        <v>0</v>
      </c>
      <c r="AB36" s="52">
        <f t="shared" si="28"/>
        <v>3</v>
      </c>
      <c r="AC36" s="52">
        <f t="shared" si="28"/>
        <v>14</v>
      </c>
      <c r="AD36" s="52">
        <f t="shared" si="28"/>
        <v>0</v>
      </c>
      <c r="AE36" s="40">
        <f t="shared" si="28"/>
        <v>9</v>
      </c>
      <c r="AF36" s="40">
        <f t="shared" si="28"/>
        <v>21</v>
      </c>
    </row>
    <row r="37" spans="2:32" ht="23.1" customHeight="1" x14ac:dyDescent="0.25">
      <c r="B37" s="23" t="s">
        <v>64</v>
      </c>
      <c r="C37" s="49">
        <f>AVERAGE('25.10 NTUNGAMO- MIRAMA -24h'!C37,'26.10 NTUNGAMO-MIRAMA HILL'!C37)</f>
        <v>0.5</v>
      </c>
      <c r="D37" s="49">
        <f>AVERAGE('25.10 NTUNGAMO- MIRAMA -24h'!D37,'26.10 NTUNGAMO-MIRAMA HILL'!D37)</f>
        <v>0</v>
      </c>
      <c r="E37" s="49">
        <f>AVERAGE('25.10 NTUNGAMO- MIRAMA -24h'!E37,'26.10 NTUNGAMO-MIRAMA HILL'!E37)</f>
        <v>0</v>
      </c>
      <c r="F37" s="49">
        <f>AVERAGE('25.10 NTUNGAMO- MIRAMA -24h'!F37,'26.10 NTUNGAMO-MIRAMA HILL'!F37)</f>
        <v>0</v>
      </c>
      <c r="G37" s="49">
        <f>AVERAGE('25.10 NTUNGAMO- MIRAMA -24h'!G37,'26.10 NTUNGAMO-MIRAMA HILL'!G37)</f>
        <v>0</v>
      </c>
      <c r="H37" s="49">
        <f>AVERAGE('25.10 NTUNGAMO- MIRAMA -24h'!H37,'26.10 NTUNGAMO-MIRAMA HILL'!H37)</f>
        <v>0</v>
      </c>
      <c r="I37" s="49">
        <f>AVERAGE('25.10 NTUNGAMO- MIRAMA -24h'!I37,'26.10 NTUNGAMO-MIRAMA HILL'!I37)</f>
        <v>0</v>
      </c>
      <c r="J37" s="49">
        <f>AVERAGE('25.10 NTUNGAMO- MIRAMA -24h'!J37,'26.10 NTUNGAMO-MIRAMA HILL'!J37)</f>
        <v>0</v>
      </c>
      <c r="K37" s="49">
        <f>AVERAGE('25.10 NTUNGAMO- MIRAMA -24h'!K37,'26.10 NTUNGAMO-MIRAMA HILL'!K37)</f>
        <v>0.5</v>
      </c>
      <c r="L37" s="49">
        <f>AVERAGE('25.10 NTUNGAMO- MIRAMA -24h'!L37,'26.10 NTUNGAMO-MIRAMA HILL'!L37)</f>
        <v>3.5</v>
      </c>
      <c r="M37" s="49">
        <f>AVERAGE('25.10 NTUNGAMO- MIRAMA -24h'!M37,'26.10 NTUNGAMO-MIRAMA HILL'!M37)</f>
        <v>2</v>
      </c>
      <c r="N37" s="49">
        <f>AVERAGE('25.10 NTUNGAMO- MIRAMA -24h'!N37,'26.10 NTUNGAMO-MIRAMA HILL'!N37)</f>
        <v>0</v>
      </c>
      <c r="O37" s="15">
        <f t="shared" si="0"/>
        <v>4.5</v>
      </c>
      <c r="P37" s="15">
        <f t="shared" si="1"/>
        <v>6.5</v>
      </c>
      <c r="R37" s="37" t="s">
        <v>85</v>
      </c>
      <c r="S37" s="53">
        <f t="shared" ref="S37:AF37" si="29">SUM(S10:S12)</f>
        <v>3</v>
      </c>
      <c r="T37" s="54">
        <f t="shared" si="29"/>
        <v>0</v>
      </c>
      <c r="U37" s="54">
        <f t="shared" si="29"/>
        <v>0</v>
      </c>
      <c r="V37" s="54">
        <f t="shared" si="29"/>
        <v>0</v>
      </c>
      <c r="W37" s="54">
        <f t="shared" si="29"/>
        <v>0</v>
      </c>
      <c r="X37" s="54">
        <f t="shared" si="29"/>
        <v>0</v>
      </c>
      <c r="Y37" s="54">
        <f t="shared" si="29"/>
        <v>0</v>
      </c>
      <c r="Z37" s="54">
        <f t="shared" si="29"/>
        <v>1.5</v>
      </c>
      <c r="AA37" s="54">
        <f t="shared" si="29"/>
        <v>2</v>
      </c>
      <c r="AB37" s="54">
        <f t="shared" si="29"/>
        <v>5.5</v>
      </c>
      <c r="AC37" s="54">
        <f t="shared" si="29"/>
        <v>26</v>
      </c>
      <c r="AD37" s="54">
        <f t="shared" si="29"/>
        <v>0</v>
      </c>
      <c r="AE37" s="55">
        <f t="shared" si="29"/>
        <v>12</v>
      </c>
      <c r="AF37" s="55">
        <f t="shared" si="29"/>
        <v>38</v>
      </c>
    </row>
    <row r="38" spans="2:32" ht="23.1" customHeight="1" x14ac:dyDescent="0.25">
      <c r="B38" s="24" t="s">
        <v>65</v>
      </c>
      <c r="C38" s="49">
        <f>AVERAGE('25.10 NTUNGAMO- MIRAMA -24h'!C38,'26.10 NTUNGAMO-MIRAMA HILL'!C38)</f>
        <v>2.5</v>
      </c>
      <c r="D38" s="49">
        <f>AVERAGE('25.10 NTUNGAMO- MIRAMA -24h'!D38,'26.10 NTUNGAMO-MIRAMA HILL'!D38)</f>
        <v>0</v>
      </c>
      <c r="E38" s="49">
        <f>AVERAGE('25.10 NTUNGAMO- MIRAMA -24h'!E38,'26.10 NTUNGAMO-MIRAMA HILL'!E38)</f>
        <v>0</v>
      </c>
      <c r="F38" s="49">
        <f>AVERAGE('25.10 NTUNGAMO- MIRAMA -24h'!F38,'26.10 NTUNGAMO-MIRAMA HILL'!F38)</f>
        <v>0</v>
      </c>
      <c r="G38" s="49">
        <f>AVERAGE('25.10 NTUNGAMO- MIRAMA -24h'!G38,'26.10 NTUNGAMO-MIRAMA HILL'!G38)</f>
        <v>0</v>
      </c>
      <c r="H38" s="49">
        <f>AVERAGE('25.10 NTUNGAMO- MIRAMA -24h'!H38,'26.10 NTUNGAMO-MIRAMA HILL'!H38)</f>
        <v>0</v>
      </c>
      <c r="I38" s="49">
        <f>AVERAGE('25.10 NTUNGAMO- MIRAMA -24h'!I38,'26.10 NTUNGAMO-MIRAMA HILL'!I38)</f>
        <v>0</v>
      </c>
      <c r="J38" s="49">
        <f>AVERAGE('25.10 NTUNGAMO- MIRAMA -24h'!J38,'26.10 NTUNGAMO-MIRAMA HILL'!J38)</f>
        <v>0</v>
      </c>
      <c r="K38" s="49">
        <f>AVERAGE('25.10 NTUNGAMO- MIRAMA -24h'!K38,'26.10 NTUNGAMO-MIRAMA HILL'!K38)</f>
        <v>0</v>
      </c>
      <c r="L38" s="49">
        <f>AVERAGE('25.10 NTUNGAMO- MIRAMA -24h'!L38,'26.10 NTUNGAMO-MIRAMA HILL'!L38)</f>
        <v>1</v>
      </c>
      <c r="M38" s="49">
        <f>AVERAGE('25.10 NTUNGAMO- MIRAMA -24h'!M38,'26.10 NTUNGAMO-MIRAMA HILL'!M38)</f>
        <v>7</v>
      </c>
      <c r="N38" s="49">
        <f>AVERAGE('25.10 NTUNGAMO- MIRAMA -24h'!N38,'26.10 NTUNGAMO-MIRAMA HILL'!N38)</f>
        <v>0</v>
      </c>
      <c r="O38" s="15">
        <f t="shared" si="0"/>
        <v>3.5</v>
      </c>
      <c r="P38" s="15">
        <f t="shared" si="1"/>
        <v>10.5</v>
      </c>
      <c r="R38" s="28" t="s">
        <v>86</v>
      </c>
      <c r="S38" s="54">
        <f t="shared" ref="S38:AF38" si="30">SUM(S13:S18)</f>
        <v>17.5</v>
      </c>
      <c r="T38" s="54">
        <f t="shared" si="30"/>
        <v>1</v>
      </c>
      <c r="U38" s="54">
        <f t="shared" si="30"/>
        <v>1.5</v>
      </c>
      <c r="V38" s="54">
        <f t="shared" si="30"/>
        <v>0</v>
      </c>
      <c r="W38" s="54">
        <f t="shared" si="30"/>
        <v>0</v>
      </c>
      <c r="X38" s="54">
        <f t="shared" si="30"/>
        <v>0</v>
      </c>
      <c r="Y38" s="54">
        <f t="shared" si="30"/>
        <v>1</v>
      </c>
      <c r="Z38" s="54">
        <f t="shared" si="30"/>
        <v>0</v>
      </c>
      <c r="AA38" s="54">
        <f t="shared" si="30"/>
        <v>1.5</v>
      </c>
      <c r="AB38" s="54">
        <f t="shared" si="30"/>
        <v>22</v>
      </c>
      <c r="AC38" s="54">
        <f t="shared" si="30"/>
        <v>75.5</v>
      </c>
      <c r="AD38" s="54">
        <f t="shared" si="30"/>
        <v>0</v>
      </c>
      <c r="AE38" s="55">
        <f t="shared" si="30"/>
        <v>44.5</v>
      </c>
      <c r="AF38" s="55">
        <f t="shared" si="30"/>
        <v>120</v>
      </c>
    </row>
    <row r="39" spans="2:32" ht="23.1" customHeight="1" x14ac:dyDescent="0.25">
      <c r="B39" s="24" t="s">
        <v>66</v>
      </c>
      <c r="C39" s="49">
        <f>AVERAGE('25.10 NTUNGAMO- MIRAMA -24h'!C39,'26.10 NTUNGAMO-MIRAMA HILL'!C39)</f>
        <v>0</v>
      </c>
      <c r="D39" s="49">
        <f>AVERAGE('25.10 NTUNGAMO- MIRAMA -24h'!D39,'26.10 NTUNGAMO-MIRAMA HILL'!D39)</f>
        <v>0</v>
      </c>
      <c r="E39" s="49">
        <f>AVERAGE('25.10 NTUNGAMO- MIRAMA -24h'!E39,'26.10 NTUNGAMO-MIRAMA HILL'!E39)</f>
        <v>0</v>
      </c>
      <c r="F39" s="49">
        <f>AVERAGE('25.10 NTUNGAMO- MIRAMA -24h'!F39,'26.10 NTUNGAMO-MIRAMA HILL'!F39)</f>
        <v>0</v>
      </c>
      <c r="G39" s="49">
        <f>AVERAGE('25.10 NTUNGAMO- MIRAMA -24h'!G39,'26.10 NTUNGAMO-MIRAMA HILL'!G39)</f>
        <v>0</v>
      </c>
      <c r="H39" s="49">
        <f>AVERAGE('25.10 NTUNGAMO- MIRAMA -24h'!H39,'26.10 NTUNGAMO-MIRAMA HILL'!H39)</f>
        <v>0</v>
      </c>
      <c r="I39" s="49">
        <f>AVERAGE('25.10 NTUNGAMO- MIRAMA -24h'!I39,'26.10 NTUNGAMO-MIRAMA HILL'!I39)</f>
        <v>0</v>
      </c>
      <c r="J39" s="49">
        <f>AVERAGE('25.10 NTUNGAMO- MIRAMA -24h'!J39,'26.10 NTUNGAMO-MIRAMA HILL'!J39)</f>
        <v>0</v>
      </c>
      <c r="K39" s="49">
        <f>AVERAGE('25.10 NTUNGAMO- MIRAMA -24h'!K39,'26.10 NTUNGAMO-MIRAMA HILL'!K39)</f>
        <v>0</v>
      </c>
      <c r="L39" s="49">
        <f>AVERAGE('25.10 NTUNGAMO- MIRAMA -24h'!L39,'26.10 NTUNGAMO-MIRAMA HILL'!L39)</f>
        <v>0</v>
      </c>
      <c r="M39" s="49">
        <f>AVERAGE('25.10 NTUNGAMO- MIRAMA -24h'!M39,'26.10 NTUNGAMO-MIRAMA HILL'!M39)</f>
        <v>1.5</v>
      </c>
      <c r="N39" s="49">
        <f>AVERAGE('25.10 NTUNGAMO- MIRAMA -24h'!N39,'26.10 NTUNGAMO-MIRAMA HILL'!N39)</f>
        <v>0</v>
      </c>
      <c r="O39" s="15">
        <f t="shared" si="0"/>
        <v>0</v>
      </c>
      <c r="P39" s="15">
        <f t="shared" si="1"/>
        <v>1.5</v>
      </c>
      <c r="R39" s="29" t="s">
        <v>87</v>
      </c>
      <c r="S39" s="54">
        <f t="shared" ref="S39:AF39" si="31">SUM(S19:S21)</f>
        <v>12</v>
      </c>
      <c r="T39" s="54">
        <f t="shared" si="31"/>
        <v>0</v>
      </c>
      <c r="U39" s="54">
        <f t="shared" si="31"/>
        <v>0</v>
      </c>
      <c r="V39" s="54">
        <f t="shared" si="31"/>
        <v>0.5</v>
      </c>
      <c r="W39" s="54">
        <f t="shared" si="31"/>
        <v>0.5</v>
      </c>
      <c r="X39" s="54">
        <f t="shared" si="31"/>
        <v>0</v>
      </c>
      <c r="Y39" s="54">
        <f t="shared" si="31"/>
        <v>0.5</v>
      </c>
      <c r="Z39" s="54">
        <f t="shared" si="31"/>
        <v>1</v>
      </c>
      <c r="AA39" s="54">
        <f t="shared" si="31"/>
        <v>0</v>
      </c>
      <c r="AB39" s="54">
        <f t="shared" si="31"/>
        <v>8</v>
      </c>
      <c r="AC39" s="54">
        <f t="shared" si="31"/>
        <v>30.5</v>
      </c>
      <c r="AD39" s="54">
        <f t="shared" si="31"/>
        <v>0</v>
      </c>
      <c r="AE39" s="55">
        <f t="shared" si="31"/>
        <v>22.5</v>
      </c>
      <c r="AF39" s="55">
        <f t="shared" si="31"/>
        <v>53</v>
      </c>
    </row>
    <row r="40" spans="2:32" ht="23.1" customHeight="1" x14ac:dyDescent="0.25">
      <c r="B40" s="24" t="s">
        <v>67</v>
      </c>
      <c r="C40" s="49">
        <f>AVERAGE('25.10 NTUNGAMO- MIRAMA -24h'!C40,'26.10 NTUNGAMO-MIRAMA HILL'!C40)</f>
        <v>0.5</v>
      </c>
      <c r="D40" s="49">
        <f>AVERAGE('25.10 NTUNGAMO- MIRAMA -24h'!D40,'26.10 NTUNGAMO-MIRAMA HILL'!D40)</f>
        <v>0</v>
      </c>
      <c r="E40" s="49">
        <f>AVERAGE('25.10 NTUNGAMO- MIRAMA -24h'!E40,'26.10 NTUNGAMO-MIRAMA HILL'!E40)</f>
        <v>0</v>
      </c>
      <c r="F40" s="49">
        <f>AVERAGE('25.10 NTUNGAMO- MIRAMA -24h'!F40,'26.10 NTUNGAMO-MIRAMA HILL'!F40)</f>
        <v>0</v>
      </c>
      <c r="G40" s="49">
        <f>AVERAGE('25.10 NTUNGAMO- MIRAMA -24h'!G40,'26.10 NTUNGAMO-MIRAMA HILL'!G40)</f>
        <v>0</v>
      </c>
      <c r="H40" s="49">
        <f>AVERAGE('25.10 NTUNGAMO- MIRAMA -24h'!H40,'26.10 NTUNGAMO-MIRAMA HILL'!H40)</f>
        <v>0</v>
      </c>
      <c r="I40" s="49">
        <f>AVERAGE('25.10 NTUNGAMO- MIRAMA -24h'!I40,'26.10 NTUNGAMO-MIRAMA HILL'!I40)</f>
        <v>0</v>
      </c>
      <c r="J40" s="49">
        <f>AVERAGE('25.10 NTUNGAMO- MIRAMA -24h'!J40,'26.10 NTUNGAMO-MIRAMA HILL'!J40)</f>
        <v>0</v>
      </c>
      <c r="K40" s="49">
        <f>AVERAGE('25.10 NTUNGAMO- MIRAMA -24h'!K40,'26.10 NTUNGAMO-MIRAMA HILL'!K40)</f>
        <v>0</v>
      </c>
      <c r="L40" s="49">
        <f>AVERAGE('25.10 NTUNGAMO- MIRAMA -24h'!L40,'26.10 NTUNGAMO-MIRAMA HILL'!L40)</f>
        <v>0</v>
      </c>
      <c r="M40" s="49">
        <f>AVERAGE('25.10 NTUNGAMO- MIRAMA -24h'!M40,'26.10 NTUNGAMO-MIRAMA HILL'!M40)</f>
        <v>3</v>
      </c>
      <c r="N40" s="49">
        <f>AVERAGE('25.10 NTUNGAMO- MIRAMA -24h'!N40,'26.10 NTUNGAMO-MIRAMA HILL'!N40)</f>
        <v>0</v>
      </c>
      <c r="O40" s="15">
        <f t="shared" si="0"/>
        <v>0.5</v>
      </c>
      <c r="P40" s="15">
        <f t="shared" si="1"/>
        <v>3.5</v>
      </c>
      <c r="R40" s="5" t="s">
        <v>17</v>
      </c>
      <c r="S40" s="54">
        <f t="shared" ref="S40:AF40" si="32">SUM(S10:S21)</f>
        <v>32.5</v>
      </c>
      <c r="T40" s="54">
        <f t="shared" si="32"/>
        <v>1</v>
      </c>
      <c r="U40" s="54">
        <f t="shared" si="32"/>
        <v>1.5</v>
      </c>
      <c r="V40" s="54">
        <f t="shared" si="32"/>
        <v>0.5</v>
      </c>
      <c r="W40" s="54">
        <f t="shared" si="32"/>
        <v>0.5</v>
      </c>
      <c r="X40" s="54">
        <f t="shared" si="32"/>
        <v>0</v>
      </c>
      <c r="Y40" s="54">
        <f t="shared" si="32"/>
        <v>1.5</v>
      </c>
      <c r="Z40" s="54">
        <f t="shared" si="32"/>
        <v>2.5</v>
      </c>
      <c r="AA40" s="54">
        <f t="shared" si="32"/>
        <v>3.5</v>
      </c>
      <c r="AB40" s="54">
        <f t="shared" si="32"/>
        <v>35.5</v>
      </c>
      <c r="AC40" s="54">
        <f t="shared" si="32"/>
        <v>132</v>
      </c>
      <c r="AD40" s="54">
        <f t="shared" si="32"/>
        <v>0</v>
      </c>
      <c r="AE40" s="55">
        <f t="shared" si="32"/>
        <v>79</v>
      </c>
      <c r="AF40" s="55">
        <f t="shared" si="32"/>
        <v>211</v>
      </c>
    </row>
    <row r="41" spans="2:32" ht="23.1" customHeight="1" x14ac:dyDescent="0.25">
      <c r="B41" s="23" t="s">
        <v>68</v>
      </c>
      <c r="C41" s="49">
        <f>AVERAGE('25.10 NTUNGAMO- MIRAMA -24h'!C41,'26.10 NTUNGAMO-MIRAMA HILL'!C41)</f>
        <v>0.5</v>
      </c>
      <c r="D41" s="49">
        <f>AVERAGE('25.10 NTUNGAMO- MIRAMA -24h'!D41,'26.10 NTUNGAMO-MIRAMA HILL'!D41)</f>
        <v>1</v>
      </c>
      <c r="E41" s="49">
        <f>AVERAGE('25.10 NTUNGAMO- MIRAMA -24h'!E41,'26.10 NTUNGAMO-MIRAMA HILL'!E41)</f>
        <v>0</v>
      </c>
      <c r="F41" s="49">
        <f>AVERAGE('25.10 NTUNGAMO- MIRAMA -24h'!F41,'26.10 NTUNGAMO-MIRAMA HILL'!F41)</f>
        <v>0</v>
      </c>
      <c r="G41" s="49">
        <f>AVERAGE('25.10 NTUNGAMO- MIRAMA -24h'!G41,'26.10 NTUNGAMO-MIRAMA HILL'!G41)</f>
        <v>0</v>
      </c>
      <c r="H41" s="49">
        <f>AVERAGE('25.10 NTUNGAMO- MIRAMA -24h'!H41,'26.10 NTUNGAMO-MIRAMA HILL'!H41)</f>
        <v>0</v>
      </c>
      <c r="I41" s="49">
        <f>AVERAGE('25.10 NTUNGAMO- MIRAMA -24h'!I41,'26.10 NTUNGAMO-MIRAMA HILL'!I41)</f>
        <v>0</v>
      </c>
      <c r="J41" s="49">
        <f>AVERAGE('25.10 NTUNGAMO- MIRAMA -24h'!J41,'26.10 NTUNGAMO-MIRAMA HILL'!J41)</f>
        <v>0</v>
      </c>
      <c r="K41" s="49">
        <f>AVERAGE('25.10 NTUNGAMO- MIRAMA -24h'!K41,'26.10 NTUNGAMO-MIRAMA HILL'!K41)</f>
        <v>0</v>
      </c>
      <c r="L41" s="49">
        <f>AVERAGE('25.10 NTUNGAMO- MIRAMA -24h'!L41,'26.10 NTUNGAMO-MIRAMA HILL'!L41)</f>
        <v>1.5</v>
      </c>
      <c r="M41" s="49">
        <f>AVERAGE('25.10 NTUNGAMO- MIRAMA -24h'!M41,'26.10 NTUNGAMO-MIRAMA HILL'!M41)</f>
        <v>1.5</v>
      </c>
      <c r="N41" s="49">
        <f>AVERAGE('25.10 NTUNGAMO- MIRAMA -24h'!N41,'26.10 NTUNGAMO-MIRAMA HILL'!N41)</f>
        <v>0</v>
      </c>
      <c r="O41" s="15">
        <f t="shared" si="0"/>
        <v>3</v>
      </c>
      <c r="P41" s="15">
        <f t="shared" si="1"/>
        <v>4.5</v>
      </c>
      <c r="R41" s="5" t="s">
        <v>174</v>
      </c>
      <c r="S41" s="54">
        <f>SUM(S10:S33)</f>
        <v>35.5</v>
      </c>
      <c r="T41" s="54">
        <f t="shared" ref="T41:AD41" si="33">SUM(T10:T33)</f>
        <v>1</v>
      </c>
      <c r="U41" s="54">
        <f t="shared" si="33"/>
        <v>1.5</v>
      </c>
      <c r="V41" s="54">
        <f t="shared" si="33"/>
        <v>0.5</v>
      </c>
      <c r="W41" s="54">
        <f t="shared" si="33"/>
        <v>0.5</v>
      </c>
      <c r="X41" s="54">
        <f t="shared" si="33"/>
        <v>0</v>
      </c>
      <c r="Y41" s="54">
        <f t="shared" si="33"/>
        <v>1.5</v>
      </c>
      <c r="Z41" s="54">
        <f t="shared" si="33"/>
        <v>2.5</v>
      </c>
      <c r="AA41" s="54">
        <f t="shared" si="33"/>
        <v>7.5</v>
      </c>
      <c r="AB41" s="54">
        <f t="shared" si="33"/>
        <v>60.5</v>
      </c>
      <c r="AC41" s="54">
        <f t="shared" si="33"/>
        <v>141</v>
      </c>
      <c r="AD41" s="54">
        <f t="shared" si="33"/>
        <v>0</v>
      </c>
      <c r="AE41" s="55">
        <f>SUM(AE10:AE33)</f>
        <v>111</v>
      </c>
      <c r="AF41" s="55">
        <f>SUM(AF10:AF33)</f>
        <v>252</v>
      </c>
    </row>
    <row r="42" spans="2:32" ht="23.1" customHeight="1" x14ac:dyDescent="0.25">
      <c r="B42" s="24" t="s">
        <v>69</v>
      </c>
      <c r="C42" s="49">
        <f>AVERAGE('25.10 NTUNGAMO- MIRAMA -24h'!C42,'26.10 NTUNGAMO-MIRAMA HILL'!C42)</f>
        <v>1.5</v>
      </c>
      <c r="D42" s="49">
        <f>AVERAGE('25.10 NTUNGAMO- MIRAMA -24h'!D42,'26.10 NTUNGAMO-MIRAMA HILL'!D42)</f>
        <v>0</v>
      </c>
      <c r="E42" s="49">
        <f>AVERAGE('25.10 NTUNGAMO- MIRAMA -24h'!E42,'26.10 NTUNGAMO-MIRAMA HILL'!E42)</f>
        <v>0</v>
      </c>
      <c r="F42" s="49">
        <f>AVERAGE('25.10 NTUNGAMO- MIRAMA -24h'!F42,'26.10 NTUNGAMO-MIRAMA HILL'!F42)</f>
        <v>0</v>
      </c>
      <c r="G42" s="49">
        <f>AVERAGE('25.10 NTUNGAMO- MIRAMA -24h'!G42,'26.10 NTUNGAMO-MIRAMA HILL'!G42)</f>
        <v>0</v>
      </c>
      <c r="H42" s="49">
        <f>AVERAGE('25.10 NTUNGAMO- MIRAMA -24h'!H42,'26.10 NTUNGAMO-MIRAMA HILL'!H42)</f>
        <v>0</v>
      </c>
      <c r="I42" s="49">
        <f>AVERAGE('25.10 NTUNGAMO- MIRAMA -24h'!I42,'26.10 NTUNGAMO-MIRAMA HILL'!I42)</f>
        <v>0</v>
      </c>
      <c r="J42" s="49">
        <f>AVERAGE('25.10 NTUNGAMO- MIRAMA -24h'!J42,'26.10 NTUNGAMO-MIRAMA HILL'!J42)</f>
        <v>0</v>
      </c>
      <c r="K42" s="49">
        <f>AVERAGE('25.10 NTUNGAMO- MIRAMA -24h'!K42,'26.10 NTUNGAMO-MIRAMA HILL'!K42)</f>
        <v>0.5</v>
      </c>
      <c r="L42" s="49">
        <f>AVERAGE('25.10 NTUNGAMO- MIRAMA -24h'!L42,'26.10 NTUNGAMO-MIRAMA HILL'!L42)</f>
        <v>1</v>
      </c>
      <c r="M42" s="49">
        <f>AVERAGE('25.10 NTUNGAMO- MIRAMA -24h'!M42,'26.10 NTUNGAMO-MIRAMA HILL'!M42)</f>
        <v>7</v>
      </c>
      <c r="N42" s="49">
        <f>AVERAGE('25.10 NTUNGAMO- MIRAMA -24h'!N42,'26.10 NTUNGAMO-MIRAMA HILL'!N42)</f>
        <v>0</v>
      </c>
      <c r="O42" s="15">
        <f t="shared" si="0"/>
        <v>3</v>
      </c>
      <c r="P42" s="15">
        <f t="shared" si="1"/>
        <v>10</v>
      </c>
      <c r="R42" s="5" t="s">
        <v>160</v>
      </c>
      <c r="S42" s="48">
        <f>S41/S40</f>
        <v>1.0923076923076922</v>
      </c>
      <c r="T42" s="48">
        <f t="shared" ref="T42:AF42" si="34">T41/T40</f>
        <v>1</v>
      </c>
      <c r="U42" s="48">
        <f t="shared" si="34"/>
        <v>1</v>
      </c>
      <c r="V42" s="48">
        <f t="shared" si="34"/>
        <v>1</v>
      </c>
      <c r="W42" s="48">
        <f t="shared" si="34"/>
        <v>1</v>
      </c>
      <c r="X42" s="48">
        <v>0</v>
      </c>
      <c r="Y42" s="48">
        <f t="shared" si="34"/>
        <v>1</v>
      </c>
      <c r="Z42" s="48">
        <f t="shared" si="34"/>
        <v>1</v>
      </c>
      <c r="AA42" s="48">
        <f t="shared" si="34"/>
        <v>2.1428571428571428</v>
      </c>
      <c r="AB42" s="48">
        <f t="shared" si="34"/>
        <v>1.704225352112676</v>
      </c>
      <c r="AC42" s="48">
        <f t="shared" si="34"/>
        <v>1.0681818181818181</v>
      </c>
      <c r="AD42" s="48" t="e">
        <f t="shared" si="34"/>
        <v>#DIV/0!</v>
      </c>
      <c r="AE42" s="56">
        <f t="shared" si="34"/>
        <v>1.4050632911392404</v>
      </c>
      <c r="AF42" s="56">
        <f t="shared" si="34"/>
        <v>1.1943127962085307</v>
      </c>
    </row>
    <row r="43" spans="2:32" ht="23.1" customHeight="1" x14ac:dyDescent="0.25">
      <c r="B43" s="23" t="s">
        <v>70</v>
      </c>
      <c r="C43" s="49">
        <f>AVERAGE('25.10 NTUNGAMO- MIRAMA -24h'!C43,'26.10 NTUNGAMO-MIRAMA HILL'!C43)</f>
        <v>1</v>
      </c>
      <c r="D43" s="49">
        <f>AVERAGE('25.10 NTUNGAMO- MIRAMA -24h'!D43,'26.10 NTUNGAMO-MIRAMA HILL'!D43)</f>
        <v>0</v>
      </c>
      <c r="E43" s="49">
        <f>AVERAGE('25.10 NTUNGAMO- MIRAMA -24h'!E43,'26.10 NTUNGAMO-MIRAMA HILL'!E43)</f>
        <v>0</v>
      </c>
      <c r="F43" s="49">
        <f>AVERAGE('25.10 NTUNGAMO- MIRAMA -24h'!F43,'26.10 NTUNGAMO-MIRAMA HILL'!F43)</f>
        <v>0</v>
      </c>
      <c r="G43" s="49">
        <f>AVERAGE('25.10 NTUNGAMO- MIRAMA -24h'!G43,'26.10 NTUNGAMO-MIRAMA HILL'!G43)</f>
        <v>0</v>
      </c>
      <c r="H43" s="49">
        <f>AVERAGE('25.10 NTUNGAMO- MIRAMA -24h'!H43,'26.10 NTUNGAMO-MIRAMA HILL'!H43)</f>
        <v>0</v>
      </c>
      <c r="I43" s="49">
        <f>AVERAGE('25.10 NTUNGAMO- MIRAMA -24h'!I43,'26.10 NTUNGAMO-MIRAMA HILL'!I43)</f>
        <v>0</v>
      </c>
      <c r="J43" s="49">
        <f>AVERAGE('25.10 NTUNGAMO- MIRAMA -24h'!J43,'26.10 NTUNGAMO-MIRAMA HILL'!J43)</f>
        <v>0</v>
      </c>
      <c r="K43" s="49">
        <f>AVERAGE('25.10 NTUNGAMO- MIRAMA -24h'!K43,'26.10 NTUNGAMO-MIRAMA HILL'!K43)</f>
        <v>0</v>
      </c>
      <c r="L43" s="49">
        <f>AVERAGE('25.10 NTUNGAMO- MIRAMA -24h'!L43,'26.10 NTUNGAMO-MIRAMA HILL'!L43)</f>
        <v>2</v>
      </c>
      <c r="M43" s="49">
        <f>AVERAGE('25.10 NTUNGAMO- MIRAMA -24h'!M43,'26.10 NTUNGAMO-MIRAMA HILL'!M43)</f>
        <v>4.5</v>
      </c>
      <c r="N43" s="49">
        <f>AVERAGE('25.10 NTUNGAMO- MIRAMA -24h'!N43,'26.10 NTUNGAMO-MIRAMA HILL'!N43)</f>
        <v>0</v>
      </c>
      <c r="O43" s="15">
        <f t="shared" si="0"/>
        <v>3</v>
      </c>
      <c r="P43" s="15">
        <f t="shared" si="1"/>
        <v>7.5</v>
      </c>
    </row>
    <row r="44" spans="2:32" ht="23.1" customHeight="1" x14ac:dyDescent="0.25">
      <c r="B44" s="25" t="s">
        <v>71</v>
      </c>
      <c r="C44" s="49">
        <f>AVERAGE('25.10 NTUNGAMO- MIRAMA -24h'!C44,'26.10 NTUNGAMO-MIRAMA HILL'!C44)</f>
        <v>1.5</v>
      </c>
      <c r="D44" s="49">
        <f>AVERAGE('25.10 NTUNGAMO- MIRAMA -24h'!D44,'26.10 NTUNGAMO-MIRAMA HILL'!D44)</f>
        <v>0</v>
      </c>
      <c r="E44" s="49">
        <f>AVERAGE('25.10 NTUNGAMO- MIRAMA -24h'!E44,'26.10 NTUNGAMO-MIRAMA HILL'!E44)</f>
        <v>0</v>
      </c>
      <c r="F44" s="49">
        <f>AVERAGE('25.10 NTUNGAMO- MIRAMA -24h'!F44,'26.10 NTUNGAMO-MIRAMA HILL'!F44)</f>
        <v>0</v>
      </c>
      <c r="G44" s="49">
        <f>AVERAGE('25.10 NTUNGAMO- MIRAMA -24h'!G44,'26.10 NTUNGAMO-MIRAMA HILL'!G44)</f>
        <v>0</v>
      </c>
      <c r="H44" s="49">
        <f>AVERAGE('25.10 NTUNGAMO- MIRAMA -24h'!H44,'26.10 NTUNGAMO-MIRAMA HILL'!H44)</f>
        <v>0</v>
      </c>
      <c r="I44" s="49">
        <f>AVERAGE('25.10 NTUNGAMO- MIRAMA -24h'!I44,'26.10 NTUNGAMO-MIRAMA HILL'!I44)</f>
        <v>0</v>
      </c>
      <c r="J44" s="49">
        <f>AVERAGE('25.10 NTUNGAMO- MIRAMA -24h'!J44,'26.10 NTUNGAMO-MIRAMA HILL'!J44)</f>
        <v>0</v>
      </c>
      <c r="K44" s="49">
        <f>AVERAGE('25.10 NTUNGAMO- MIRAMA -24h'!K44,'26.10 NTUNGAMO-MIRAMA HILL'!K44)</f>
        <v>0</v>
      </c>
      <c r="L44" s="49">
        <f>AVERAGE('25.10 NTUNGAMO- MIRAMA -24h'!L44,'26.10 NTUNGAMO-MIRAMA HILL'!L44)</f>
        <v>0.5</v>
      </c>
      <c r="M44" s="49">
        <f>AVERAGE('25.10 NTUNGAMO- MIRAMA -24h'!M44,'26.10 NTUNGAMO-MIRAMA HILL'!M44)</f>
        <v>3</v>
      </c>
      <c r="N44" s="49">
        <f>AVERAGE('25.10 NTUNGAMO- MIRAMA -24h'!N44,'26.10 NTUNGAMO-MIRAMA HILL'!N44)</f>
        <v>0</v>
      </c>
      <c r="O44" s="15">
        <f t="shared" si="0"/>
        <v>2</v>
      </c>
      <c r="P44" s="15">
        <f t="shared" si="1"/>
        <v>5</v>
      </c>
    </row>
    <row r="45" spans="2:32" ht="23.1" customHeight="1" x14ac:dyDescent="0.25">
      <c r="B45" s="23" t="s">
        <v>72</v>
      </c>
      <c r="C45" s="49">
        <f>AVERAGE('25.10 NTUNGAMO- MIRAMA -24h'!C45,'26.10 NTUNGAMO-MIRAMA HILL'!C45)</f>
        <v>0</v>
      </c>
      <c r="D45" s="49">
        <f>AVERAGE('25.10 NTUNGAMO- MIRAMA -24h'!D45,'26.10 NTUNGAMO-MIRAMA HILL'!D45)</f>
        <v>0</v>
      </c>
      <c r="E45" s="49">
        <f>AVERAGE('25.10 NTUNGAMO- MIRAMA -24h'!E45,'26.10 NTUNGAMO-MIRAMA HILL'!E45)</f>
        <v>0</v>
      </c>
      <c r="F45" s="49">
        <f>AVERAGE('25.10 NTUNGAMO- MIRAMA -24h'!F45,'26.10 NTUNGAMO-MIRAMA HILL'!F45)</f>
        <v>0</v>
      </c>
      <c r="G45" s="49">
        <f>AVERAGE('25.10 NTUNGAMO- MIRAMA -24h'!G45,'26.10 NTUNGAMO-MIRAMA HILL'!G45)</f>
        <v>0</v>
      </c>
      <c r="H45" s="49">
        <f>AVERAGE('25.10 NTUNGAMO- MIRAMA -24h'!H45,'26.10 NTUNGAMO-MIRAMA HILL'!H45)</f>
        <v>0</v>
      </c>
      <c r="I45" s="49">
        <f>AVERAGE('25.10 NTUNGAMO- MIRAMA -24h'!I45,'26.10 NTUNGAMO-MIRAMA HILL'!I45)</f>
        <v>0</v>
      </c>
      <c r="J45" s="49">
        <f>AVERAGE('25.10 NTUNGAMO- MIRAMA -24h'!J45,'26.10 NTUNGAMO-MIRAMA HILL'!J45)</f>
        <v>0</v>
      </c>
      <c r="K45" s="49">
        <f>AVERAGE('25.10 NTUNGAMO- MIRAMA -24h'!K45,'26.10 NTUNGAMO-MIRAMA HILL'!K45)</f>
        <v>0</v>
      </c>
      <c r="L45" s="49">
        <f>AVERAGE('25.10 NTUNGAMO- MIRAMA -24h'!L45,'26.10 NTUNGAMO-MIRAMA HILL'!L45)</f>
        <v>0</v>
      </c>
      <c r="M45" s="49">
        <f>AVERAGE('25.10 NTUNGAMO- MIRAMA -24h'!M45,'26.10 NTUNGAMO-MIRAMA HILL'!M45)</f>
        <v>4.5</v>
      </c>
      <c r="N45" s="49">
        <f>AVERAGE('25.10 NTUNGAMO- MIRAMA -24h'!N45,'26.10 NTUNGAMO-MIRAMA HILL'!N45)</f>
        <v>0</v>
      </c>
      <c r="O45" s="15">
        <f t="shared" si="0"/>
        <v>0</v>
      </c>
      <c r="P45" s="15">
        <f t="shared" si="1"/>
        <v>4.5</v>
      </c>
    </row>
    <row r="46" spans="2:32" ht="23.1" customHeight="1" x14ac:dyDescent="0.25">
      <c r="B46" s="24" t="s">
        <v>73</v>
      </c>
      <c r="C46" s="49">
        <f>AVERAGE('25.10 NTUNGAMO- MIRAMA -24h'!C46,'26.10 NTUNGAMO-MIRAMA HILL'!C46)</f>
        <v>1.5</v>
      </c>
      <c r="D46" s="49">
        <f>AVERAGE('25.10 NTUNGAMO- MIRAMA -24h'!D46,'26.10 NTUNGAMO-MIRAMA HILL'!D46)</f>
        <v>0</v>
      </c>
      <c r="E46" s="49">
        <f>AVERAGE('25.10 NTUNGAMO- MIRAMA -24h'!E46,'26.10 NTUNGAMO-MIRAMA HILL'!E46)</f>
        <v>0</v>
      </c>
      <c r="F46" s="49">
        <f>AVERAGE('25.10 NTUNGAMO- MIRAMA -24h'!F46,'26.10 NTUNGAMO-MIRAMA HILL'!F46)</f>
        <v>0</v>
      </c>
      <c r="G46" s="49">
        <f>AVERAGE('25.10 NTUNGAMO- MIRAMA -24h'!G46,'26.10 NTUNGAMO-MIRAMA HILL'!G46)</f>
        <v>0</v>
      </c>
      <c r="H46" s="49">
        <f>AVERAGE('25.10 NTUNGAMO- MIRAMA -24h'!H46,'26.10 NTUNGAMO-MIRAMA HILL'!H46)</f>
        <v>0</v>
      </c>
      <c r="I46" s="49">
        <f>AVERAGE('25.10 NTUNGAMO- MIRAMA -24h'!I46,'26.10 NTUNGAMO-MIRAMA HILL'!I46)</f>
        <v>0.5</v>
      </c>
      <c r="J46" s="49">
        <f>AVERAGE('25.10 NTUNGAMO- MIRAMA -24h'!J46,'26.10 NTUNGAMO-MIRAMA HILL'!J46)</f>
        <v>1</v>
      </c>
      <c r="K46" s="49">
        <f>AVERAGE('25.10 NTUNGAMO- MIRAMA -24h'!K46,'26.10 NTUNGAMO-MIRAMA HILL'!K46)</f>
        <v>0</v>
      </c>
      <c r="L46" s="49">
        <f>AVERAGE('25.10 NTUNGAMO- MIRAMA -24h'!L46,'26.10 NTUNGAMO-MIRAMA HILL'!L46)</f>
        <v>2</v>
      </c>
      <c r="M46" s="49">
        <f>AVERAGE('25.10 NTUNGAMO- MIRAMA -24h'!M46,'26.10 NTUNGAMO-MIRAMA HILL'!M46)</f>
        <v>2.5</v>
      </c>
      <c r="N46" s="49">
        <f>AVERAGE('25.10 NTUNGAMO- MIRAMA -24h'!N46,'26.10 NTUNGAMO-MIRAMA HILL'!N46)</f>
        <v>0</v>
      </c>
      <c r="O46" s="15">
        <f t="shared" si="0"/>
        <v>5</v>
      </c>
      <c r="P46" s="15">
        <f t="shared" si="1"/>
        <v>7.5</v>
      </c>
      <c r="R46" s="8"/>
      <c r="T46"/>
    </row>
    <row r="47" spans="2:32" ht="23.1" customHeight="1" x14ac:dyDescent="0.25">
      <c r="B47" s="24" t="s">
        <v>74</v>
      </c>
      <c r="C47" s="49">
        <f>AVERAGE('25.10 NTUNGAMO- MIRAMA -24h'!C47,'26.10 NTUNGAMO-MIRAMA HILL'!C47)</f>
        <v>1.5</v>
      </c>
      <c r="D47" s="49">
        <f>AVERAGE('25.10 NTUNGAMO- MIRAMA -24h'!D47,'26.10 NTUNGAMO-MIRAMA HILL'!D47)</f>
        <v>0</v>
      </c>
      <c r="E47" s="49">
        <f>AVERAGE('25.10 NTUNGAMO- MIRAMA -24h'!E47,'26.10 NTUNGAMO-MIRAMA HILL'!E47)</f>
        <v>0</v>
      </c>
      <c r="F47" s="49">
        <f>AVERAGE('25.10 NTUNGAMO- MIRAMA -24h'!F47,'26.10 NTUNGAMO-MIRAMA HILL'!F47)</f>
        <v>0</v>
      </c>
      <c r="G47" s="49">
        <f>AVERAGE('25.10 NTUNGAMO- MIRAMA -24h'!G47,'26.10 NTUNGAMO-MIRAMA HILL'!G47)</f>
        <v>0</v>
      </c>
      <c r="H47" s="49">
        <f>AVERAGE('25.10 NTUNGAMO- MIRAMA -24h'!H47,'26.10 NTUNGAMO-MIRAMA HILL'!H47)</f>
        <v>0</v>
      </c>
      <c r="I47" s="49">
        <f>AVERAGE('25.10 NTUNGAMO- MIRAMA -24h'!I47,'26.10 NTUNGAMO-MIRAMA HILL'!I47)</f>
        <v>0</v>
      </c>
      <c r="J47" s="49">
        <f>AVERAGE('25.10 NTUNGAMO- MIRAMA -24h'!J47,'26.10 NTUNGAMO-MIRAMA HILL'!J47)</f>
        <v>0</v>
      </c>
      <c r="K47" s="49">
        <f>AVERAGE('25.10 NTUNGAMO- MIRAMA -24h'!K47,'26.10 NTUNGAMO-MIRAMA HILL'!K47)</f>
        <v>0</v>
      </c>
      <c r="L47" s="49">
        <f>AVERAGE('25.10 NTUNGAMO- MIRAMA -24h'!L47,'26.10 NTUNGAMO-MIRAMA HILL'!L47)</f>
        <v>0.5</v>
      </c>
      <c r="M47" s="49">
        <f>AVERAGE('25.10 NTUNGAMO- MIRAMA -24h'!M47,'26.10 NTUNGAMO-MIRAMA HILL'!M47)</f>
        <v>1</v>
      </c>
      <c r="N47" s="49">
        <f>AVERAGE('25.10 NTUNGAMO- MIRAMA -24h'!N47,'26.10 NTUNGAMO-MIRAMA HILL'!N47)</f>
        <v>0</v>
      </c>
      <c r="O47" s="15">
        <f t="shared" si="0"/>
        <v>2</v>
      </c>
      <c r="P47" s="15">
        <f t="shared" si="1"/>
        <v>3</v>
      </c>
      <c r="R47" s="8"/>
      <c r="T47"/>
    </row>
    <row r="48" spans="2:32" ht="23.1" customHeight="1" x14ac:dyDescent="0.25">
      <c r="B48" s="24" t="s">
        <v>75</v>
      </c>
      <c r="C48" s="49">
        <f>AVERAGE('25.10 NTUNGAMO- MIRAMA -24h'!C48,'26.10 NTUNGAMO-MIRAMA HILL'!C48)</f>
        <v>1.5</v>
      </c>
      <c r="D48" s="49">
        <f>AVERAGE('25.10 NTUNGAMO- MIRAMA -24h'!D48,'26.10 NTUNGAMO-MIRAMA HILL'!D48)</f>
        <v>0</v>
      </c>
      <c r="E48" s="49">
        <f>AVERAGE('25.10 NTUNGAMO- MIRAMA -24h'!E48,'26.10 NTUNGAMO-MIRAMA HILL'!E48)</f>
        <v>0</v>
      </c>
      <c r="F48" s="49">
        <f>AVERAGE('25.10 NTUNGAMO- MIRAMA -24h'!F48,'26.10 NTUNGAMO-MIRAMA HILL'!F48)</f>
        <v>0</v>
      </c>
      <c r="G48" s="49">
        <f>AVERAGE('25.10 NTUNGAMO- MIRAMA -24h'!G48,'26.10 NTUNGAMO-MIRAMA HILL'!G48)</f>
        <v>0</v>
      </c>
      <c r="H48" s="49">
        <f>AVERAGE('25.10 NTUNGAMO- MIRAMA -24h'!H48,'26.10 NTUNGAMO-MIRAMA HILL'!H48)</f>
        <v>0</v>
      </c>
      <c r="I48" s="49">
        <f>AVERAGE('25.10 NTUNGAMO- MIRAMA -24h'!I48,'26.10 NTUNGAMO-MIRAMA HILL'!I48)</f>
        <v>0</v>
      </c>
      <c r="J48" s="49">
        <f>AVERAGE('25.10 NTUNGAMO- MIRAMA -24h'!J48,'26.10 NTUNGAMO-MIRAMA HILL'!J48)</f>
        <v>0</v>
      </c>
      <c r="K48" s="49">
        <f>AVERAGE('25.10 NTUNGAMO- MIRAMA -24h'!K48,'26.10 NTUNGAMO-MIRAMA HILL'!K48)</f>
        <v>0</v>
      </c>
      <c r="L48" s="49">
        <f>AVERAGE('25.10 NTUNGAMO- MIRAMA -24h'!L48,'26.10 NTUNGAMO-MIRAMA HILL'!L48)</f>
        <v>0.5</v>
      </c>
      <c r="M48" s="49">
        <f>AVERAGE('25.10 NTUNGAMO- MIRAMA -24h'!M48,'26.10 NTUNGAMO-MIRAMA HILL'!M48)</f>
        <v>2</v>
      </c>
      <c r="N48" s="49">
        <f>AVERAGE('25.10 NTUNGAMO- MIRAMA -24h'!N48,'26.10 NTUNGAMO-MIRAMA HILL'!N48)</f>
        <v>0</v>
      </c>
      <c r="O48" s="15">
        <f t="shared" si="0"/>
        <v>2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49">
        <f>AVERAGE('25.10 NTUNGAMO- MIRAMA -24h'!C49,'26.10 NTUNGAMO-MIRAMA HILL'!C49)</f>
        <v>0</v>
      </c>
      <c r="D49" s="49">
        <f>AVERAGE('25.10 NTUNGAMO- MIRAMA -24h'!D49,'26.10 NTUNGAMO-MIRAMA HILL'!D49)</f>
        <v>0</v>
      </c>
      <c r="E49" s="49">
        <f>AVERAGE('25.10 NTUNGAMO- MIRAMA -24h'!E49,'26.10 NTUNGAMO-MIRAMA HILL'!E49)</f>
        <v>0</v>
      </c>
      <c r="F49" s="49">
        <f>AVERAGE('25.10 NTUNGAMO- MIRAMA -24h'!F49,'26.10 NTUNGAMO-MIRAMA HILL'!F49)</f>
        <v>0</v>
      </c>
      <c r="G49" s="49">
        <f>AVERAGE('25.10 NTUNGAMO- MIRAMA -24h'!G49,'26.10 NTUNGAMO-MIRAMA HILL'!G49)</f>
        <v>0</v>
      </c>
      <c r="H49" s="49">
        <f>AVERAGE('25.10 NTUNGAMO- MIRAMA -24h'!H49,'26.10 NTUNGAMO-MIRAMA HILL'!H49)</f>
        <v>0</v>
      </c>
      <c r="I49" s="49">
        <f>AVERAGE('25.10 NTUNGAMO- MIRAMA -24h'!I49,'26.10 NTUNGAMO-MIRAMA HILL'!I49)</f>
        <v>0</v>
      </c>
      <c r="J49" s="49">
        <f>AVERAGE('25.10 NTUNGAMO- MIRAMA -24h'!J49,'26.10 NTUNGAMO-MIRAMA HILL'!J49)</f>
        <v>0</v>
      </c>
      <c r="K49" s="49">
        <f>AVERAGE('25.10 NTUNGAMO- MIRAMA -24h'!K49,'26.10 NTUNGAMO-MIRAMA HILL'!K49)</f>
        <v>0</v>
      </c>
      <c r="L49" s="49">
        <f>AVERAGE('25.10 NTUNGAMO- MIRAMA -24h'!L49,'26.10 NTUNGAMO-MIRAMA HILL'!L49)</f>
        <v>0</v>
      </c>
      <c r="M49" s="49">
        <f>AVERAGE('25.10 NTUNGAMO- MIRAMA -24h'!M49,'26.10 NTUNGAMO-MIRAMA HILL'!M49)</f>
        <v>4</v>
      </c>
      <c r="N49" s="49">
        <f>AVERAGE('25.10 NTUNGAMO- MIRAMA -24h'!N49,'26.10 NTUNGAMO-MIRAMA HILL'!N49)</f>
        <v>0</v>
      </c>
      <c r="O49" s="15">
        <f t="shared" si="0"/>
        <v>0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49">
        <f>AVERAGE('25.10 NTUNGAMO- MIRAMA -24h'!C50,'26.10 NTUNGAMO-MIRAMA HILL'!C50)</f>
        <v>0.5</v>
      </c>
      <c r="D50" s="49">
        <f>AVERAGE('25.10 NTUNGAMO- MIRAMA -24h'!D50,'26.10 NTUNGAMO-MIRAMA HILL'!D50)</f>
        <v>0</v>
      </c>
      <c r="E50" s="49">
        <f>AVERAGE('25.10 NTUNGAMO- MIRAMA -24h'!E50,'26.10 NTUNGAMO-MIRAMA HILL'!E50)</f>
        <v>0</v>
      </c>
      <c r="F50" s="49">
        <f>AVERAGE('25.10 NTUNGAMO- MIRAMA -24h'!F50,'26.10 NTUNGAMO-MIRAMA HILL'!F50)</f>
        <v>0</v>
      </c>
      <c r="G50" s="49">
        <f>AVERAGE('25.10 NTUNGAMO- MIRAMA -24h'!G50,'26.10 NTUNGAMO-MIRAMA HILL'!G50)</f>
        <v>0</v>
      </c>
      <c r="H50" s="49">
        <f>AVERAGE('25.10 NTUNGAMO- MIRAMA -24h'!H50,'26.10 NTUNGAMO-MIRAMA HILL'!H50)</f>
        <v>0</v>
      </c>
      <c r="I50" s="49">
        <f>AVERAGE('25.10 NTUNGAMO- MIRAMA -24h'!I50,'26.10 NTUNGAMO-MIRAMA HILL'!I50)</f>
        <v>0</v>
      </c>
      <c r="J50" s="49">
        <f>AVERAGE('25.10 NTUNGAMO- MIRAMA -24h'!J50,'26.10 NTUNGAMO-MIRAMA HILL'!J50)</f>
        <v>0</v>
      </c>
      <c r="K50" s="49">
        <f>AVERAGE('25.10 NTUNGAMO- MIRAMA -24h'!K50,'26.10 NTUNGAMO-MIRAMA HILL'!K50)</f>
        <v>0</v>
      </c>
      <c r="L50" s="49">
        <f>AVERAGE('25.10 NTUNGAMO- MIRAMA -24h'!L50,'26.10 NTUNGAMO-MIRAMA HILL'!L50)</f>
        <v>0.5</v>
      </c>
      <c r="M50" s="49">
        <f>AVERAGE('25.10 NTUNGAMO- MIRAMA -24h'!M50,'26.10 NTUNGAMO-MIRAMA HILL'!M50)</f>
        <v>3.5</v>
      </c>
      <c r="N50" s="49">
        <f>AVERAGE('25.10 NTUNGAMO- MIRAMA -24h'!N50,'26.10 NTUNGAMO-MIRAMA HILL'!N50)</f>
        <v>0</v>
      </c>
      <c r="O50" s="15">
        <f t="shared" si="0"/>
        <v>1</v>
      </c>
      <c r="P50" s="15">
        <f t="shared" si="1"/>
        <v>4.5</v>
      </c>
      <c r="R50" s="8"/>
      <c r="T50"/>
    </row>
    <row r="51" spans="2:20" ht="23.1" customHeight="1" x14ac:dyDescent="0.25">
      <c r="B51" s="24" t="s">
        <v>78</v>
      </c>
      <c r="C51" s="49">
        <f>AVERAGE('25.10 NTUNGAMO- MIRAMA -24h'!C51,'26.10 NTUNGAMO-MIRAMA HILL'!C51)</f>
        <v>1</v>
      </c>
      <c r="D51" s="49">
        <f>AVERAGE('25.10 NTUNGAMO- MIRAMA -24h'!D51,'26.10 NTUNGAMO-MIRAMA HILL'!D51)</f>
        <v>0</v>
      </c>
      <c r="E51" s="49">
        <f>AVERAGE('25.10 NTUNGAMO- MIRAMA -24h'!E51,'26.10 NTUNGAMO-MIRAMA HILL'!E51)</f>
        <v>0</v>
      </c>
      <c r="F51" s="49">
        <f>AVERAGE('25.10 NTUNGAMO- MIRAMA -24h'!F51,'26.10 NTUNGAMO-MIRAMA HILL'!F51)</f>
        <v>0</v>
      </c>
      <c r="G51" s="49">
        <f>AVERAGE('25.10 NTUNGAMO- MIRAMA -24h'!G51,'26.10 NTUNGAMO-MIRAMA HILL'!G51)</f>
        <v>0</v>
      </c>
      <c r="H51" s="49">
        <f>AVERAGE('25.10 NTUNGAMO- MIRAMA -24h'!H51,'26.10 NTUNGAMO-MIRAMA HILL'!H51)</f>
        <v>0</v>
      </c>
      <c r="I51" s="49">
        <f>AVERAGE('25.10 NTUNGAMO- MIRAMA -24h'!I51,'26.10 NTUNGAMO-MIRAMA HILL'!I51)</f>
        <v>0</v>
      </c>
      <c r="J51" s="49">
        <f>AVERAGE('25.10 NTUNGAMO- MIRAMA -24h'!J51,'26.10 NTUNGAMO-MIRAMA HILL'!J51)</f>
        <v>0</v>
      </c>
      <c r="K51" s="49">
        <f>AVERAGE('25.10 NTUNGAMO- MIRAMA -24h'!K51,'26.10 NTUNGAMO-MIRAMA HILL'!K51)</f>
        <v>0</v>
      </c>
      <c r="L51" s="49">
        <f>AVERAGE('25.10 NTUNGAMO- MIRAMA -24h'!L51,'26.10 NTUNGAMO-MIRAMA HILL'!L51)</f>
        <v>0</v>
      </c>
      <c r="M51" s="49">
        <f>AVERAGE('25.10 NTUNGAMO- MIRAMA -24h'!M51,'26.10 NTUNGAMO-MIRAMA HILL'!M51)</f>
        <v>4.5</v>
      </c>
      <c r="N51" s="49">
        <f>AVERAGE('25.10 NTUNGAMO- MIRAMA -24h'!N51,'26.10 NTUNGAMO-MIRAMA HILL'!N51)</f>
        <v>0</v>
      </c>
      <c r="O51" s="15">
        <f t="shared" si="0"/>
        <v>1</v>
      </c>
      <c r="P51" s="15">
        <f t="shared" si="1"/>
        <v>5.5</v>
      </c>
      <c r="R51" s="8"/>
      <c r="T51"/>
    </row>
    <row r="52" spans="2:20" ht="23.1" customHeight="1" x14ac:dyDescent="0.25">
      <c r="B52" s="24" t="s">
        <v>79</v>
      </c>
      <c r="C52" s="49">
        <f>AVERAGE('25.10 NTUNGAMO- MIRAMA -24h'!C52,'26.10 NTUNGAMO-MIRAMA HILL'!C52)</f>
        <v>1.5</v>
      </c>
      <c r="D52" s="49">
        <f>AVERAGE('25.10 NTUNGAMO- MIRAMA -24h'!D52,'26.10 NTUNGAMO-MIRAMA HILL'!D52)</f>
        <v>0</v>
      </c>
      <c r="E52" s="49">
        <f>AVERAGE('25.10 NTUNGAMO- MIRAMA -24h'!E52,'26.10 NTUNGAMO-MIRAMA HILL'!E52)</f>
        <v>0</v>
      </c>
      <c r="F52" s="49">
        <f>AVERAGE('25.10 NTUNGAMO- MIRAMA -24h'!F52,'26.10 NTUNGAMO-MIRAMA HILL'!F52)</f>
        <v>0</v>
      </c>
      <c r="G52" s="49">
        <f>AVERAGE('25.10 NTUNGAMO- MIRAMA -24h'!G52,'26.10 NTUNGAMO-MIRAMA HILL'!G52)</f>
        <v>0</v>
      </c>
      <c r="H52" s="49">
        <f>AVERAGE('25.10 NTUNGAMO- MIRAMA -24h'!H52,'26.10 NTUNGAMO-MIRAMA HILL'!H52)</f>
        <v>0</v>
      </c>
      <c r="I52" s="49">
        <f>AVERAGE('25.10 NTUNGAMO- MIRAMA -24h'!I52,'26.10 NTUNGAMO-MIRAMA HILL'!I52)</f>
        <v>0</v>
      </c>
      <c r="J52" s="49">
        <f>AVERAGE('25.10 NTUNGAMO- MIRAMA -24h'!J52,'26.10 NTUNGAMO-MIRAMA HILL'!J52)</f>
        <v>0</v>
      </c>
      <c r="K52" s="49">
        <f>AVERAGE('25.10 NTUNGAMO- MIRAMA -24h'!K52,'26.10 NTUNGAMO-MIRAMA HILL'!K52)</f>
        <v>0</v>
      </c>
      <c r="L52" s="49">
        <f>AVERAGE('25.10 NTUNGAMO- MIRAMA -24h'!L52,'26.10 NTUNGAMO-MIRAMA HILL'!L52)</f>
        <v>2.5</v>
      </c>
      <c r="M52" s="49">
        <f>AVERAGE('25.10 NTUNGAMO- MIRAMA -24h'!M52,'26.10 NTUNGAMO-MIRAMA HILL'!M52)</f>
        <v>3.5</v>
      </c>
      <c r="N52" s="49">
        <f>AVERAGE('25.10 NTUNGAMO- MIRAMA -24h'!N52,'26.10 NTUNGAMO-MIRAMA HILL'!N52)</f>
        <v>0</v>
      </c>
      <c r="O52" s="15">
        <f t="shared" si="0"/>
        <v>4</v>
      </c>
      <c r="P52" s="15">
        <f t="shared" si="1"/>
        <v>7.5</v>
      </c>
      <c r="R52" s="8"/>
      <c r="T52"/>
    </row>
    <row r="53" spans="2:20" ht="23.1" customHeight="1" x14ac:dyDescent="0.25">
      <c r="B53" s="23" t="s">
        <v>80</v>
      </c>
      <c r="C53" s="49">
        <f>AVERAGE('25.10 NTUNGAMO- MIRAMA -24h'!C53,'26.10 NTUNGAMO-MIRAMA HILL'!C53)</f>
        <v>1</v>
      </c>
      <c r="D53" s="49">
        <f>AVERAGE('25.10 NTUNGAMO- MIRAMA -24h'!D53,'26.10 NTUNGAMO-MIRAMA HILL'!D53)</f>
        <v>0</v>
      </c>
      <c r="E53" s="49">
        <f>AVERAGE('25.10 NTUNGAMO- MIRAMA -24h'!E53,'26.10 NTUNGAMO-MIRAMA HILL'!E53)</f>
        <v>0</v>
      </c>
      <c r="F53" s="49">
        <f>AVERAGE('25.10 NTUNGAMO- MIRAMA -24h'!F53,'26.10 NTUNGAMO-MIRAMA HILL'!F53)</f>
        <v>0</v>
      </c>
      <c r="G53" s="49">
        <f>AVERAGE('25.10 NTUNGAMO- MIRAMA -24h'!G53,'26.10 NTUNGAMO-MIRAMA HILL'!G53)</f>
        <v>0</v>
      </c>
      <c r="H53" s="49">
        <f>AVERAGE('25.10 NTUNGAMO- MIRAMA -24h'!H53,'26.10 NTUNGAMO-MIRAMA HILL'!H53)</f>
        <v>0</v>
      </c>
      <c r="I53" s="49">
        <f>AVERAGE('25.10 NTUNGAMO- MIRAMA -24h'!I53,'26.10 NTUNGAMO-MIRAMA HILL'!I53)</f>
        <v>0</v>
      </c>
      <c r="J53" s="49">
        <f>AVERAGE('25.10 NTUNGAMO- MIRAMA -24h'!J53,'26.10 NTUNGAMO-MIRAMA HILL'!J53)</f>
        <v>0</v>
      </c>
      <c r="K53" s="49">
        <f>AVERAGE('25.10 NTUNGAMO- MIRAMA -24h'!K53,'26.10 NTUNGAMO-MIRAMA HILL'!K53)</f>
        <v>0</v>
      </c>
      <c r="L53" s="49">
        <f>AVERAGE('25.10 NTUNGAMO- MIRAMA -24h'!L53,'26.10 NTUNGAMO-MIRAMA HILL'!L53)</f>
        <v>0</v>
      </c>
      <c r="M53" s="49">
        <f>AVERAGE('25.10 NTUNGAMO- MIRAMA -24h'!M53,'26.10 NTUNGAMO-MIRAMA HILL'!M53)</f>
        <v>2.5</v>
      </c>
      <c r="N53" s="49">
        <f>AVERAGE('25.10 NTUNGAMO- MIRAMA -24h'!N53,'26.10 NTUNGAMO-MIRAMA HILL'!N53)</f>
        <v>0</v>
      </c>
      <c r="O53" s="15">
        <f t="shared" si="0"/>
        <v>1</v>
      </c>
      <c r="P53" s="15">
        <f t="shared" si="1"/>
        <v>3.5</v>
      </c>
      <c r="R53" s="8"/>
      <c r="T53"/>
    </row>
    <row r="54" spans="2:20" ht="23.1" customHeight="1" x14ac:dyDescent="0.25">
      <c r="B54" s="23" t="s">
        <v>81</v>
      </c>
      <c r="C54" s="49">
        <f>AVERAGE('25.10 NTUNGAMO- MIRAMA -24h'!C54,'26.10 NTUNGAMO-MIRAMA HILL'!C54)</f>
        <v>1</v>
      </c>
      <c r="D54" s="49">
        <f>AVERAGE('25.10 NTUNGAMO- MIRAMA -24h'!D54,'26.10 NTUNGAMO-MIRAMA HILL'!D54)</f>
        <v>0</v>
      </c>
      <c r="E54" s="49">
        <f>AVERAGE('25.10 NTUNGAMO- MIRAMA -24h'!E54,'26.10 NTUNGAMO-MIRAMA HILL'!E54)</f>
        <v>0</v>
      </c>
      <c r="F54" s="49">
        <f>AVERAGE('25.10 NTUNGAMO- MIRAMA -24h'!F54,'26.10 NTUNGAMO-MIRAMA HILL'!F54)</f>
        <v>0.5</v>
      </c>
      <c r="G54" s="49">
        <f>AVERAGE('25.10 NTUNGAMO- MIRAMA -24h'!G54,'26.10 NTUNGAMO-MIRAMA HILL'!G54)</f>
        <v>0.5</v>
      </c>
      <c r="H54" s="49">
        <f>AVERAGE('25.10 NTUNGAMO- MIRAMA -24h'!H54,'26.10 NTUNGAMO-MIRAMA HILL'!H54)</f>
        <v>0</v>
      </c>
      <c r="I54" s="49">
        <f>AVERAGE('25.10 NTUNGAMO- MIRAMA -24h'!I54,'26.10 NTUNGAMO-MIRAMA HILL'!I54)</f>
        <v>0</v>
      </c>
      <c r="J54" s="49">
        <f>AVERAGE('25.10 NTUNGAMO- MIRAMA -24h'!J54,'26.10 NTUNGAMO-MIRAMA HILL'!J54)</f>
        <v>0</v>
      </c>
      <c r="K54" s="49">
        <f>AVERAGE('25.10 NTUNGAMO- MIRAMA -24h'!K54,'26.10 NTUNGAMO-MIRAMA HILL'!K54)</f>
        <v>0</v>
      </c>
      <c r="L54" s="49">
        <f>AVERAGE('25.10 NTUNGAMO- MIRAMA -24h'!L54,'26.10 NTUNGAMO-MIRAMA HILL'!L54)</f>
        <v>1.5</v>
      </c>
      <c r="M54" s="49">
        <f>AVERAGE('25.10 NTUNGAMO- MIRAMA -24h'!M54,'26.10 NTUNGAMO-MIRAMA HILL'!M54)</f>
        <v>1</v>
      </c>
      <c r="N54" s="49">
        <f>AVERAGE('25.10 NTUNGAMO- MIRAMA -24h'!N54,'26.10 NTUNGAMO-MIRAMA HILL'!N54)</f>
        <v>0</v>
      </c>
      <c r="O54" s="15">
        <f t="shared" si="0"/>
        <v>3.5</v>
      </c>
      <c r="P54" s="15">
        <f t="shared" si="1"/>
        <v>4.5</v>
      </c>
      <c r="R54" s="8"/>
      <c r="T54"/>
    </row>
    <row r="55" spans="2:20" ht="23.1" customHeight="1" x14ac:dyDescent="0.25">
      <c r="B55" s="23" t="s">
        <v>82</v>
      </c>
      <c r="C55" s="49">
        <f>AVERAGE('25.10 NTUNGAMO- MIRAMA -24h'!C55,'26.10 NTUNGAMO-MIRAMA HILL'!C55)</f>
        <v>0</v>
      </c>
      <c r="D55" s="49">
        <f>AVERAGE('25.10 NTUNGAMO- MIRAMA -24h'!D55,'26.10 NTUNGAMO-MIRAMA HILL'!D55)</f>
        <v>0</v>
      </c>
      <c r="E55" s="49">
        <f>AVERAGE('25.10 NTUNGAMO- MIRAMA -24h'!E55,'26.10 NTUNGAMO-MIRAMA HILL'!E55)</f>
        <v>0</v>
      </c>
      <c r="F55" s="49">
        <f>AVERAGE('25.10 NTUNGAMO- MIRAMA -24h'!F55,'26.10 NTUNGAMO-MIRAMA HILL'!F55)</f>
        <v>0</v>
      </c>
      <c r="G55" s="49">
        <f>AVERAGE('25.10 NTUNGAMO- MIRAMA -24h'!G55,'26.10 NTUNGAMO-MIRAMA HILL'!G55)</f>
        <v>0</v>
      </c>
      <c r="H55" s="49">
        <f>AVERAGE('25.10 NTUNGAMO- MIRAMA -24h'!H55,'26.10 NTUNGAMO-MIRAMA HILL'!H55)</f>
        <v>0</v>
      </c>
      <c r="I55" s="49">
        <f>AVERAGE('25.10 NTUNGAMO- MIRAMA -24h'!I55,'26.10 NTUNGAMO-MIRAMA HILL'!I55)</f>
        <v>0</v>
      </c>
      <c r="J55" s="49">
        <f>AVERAGE('25.10 NTUNGAMO- MIRAMA -24h'!J55,'26.10 NTUNGAMO-MIRAMA HILL'!J55)</f>
        <v>0</v>
      </c>
      <c r="K55" s="49">
        <f>AVERAGE('25.10 NTUNGAMO- MIRAMA -24h'!K55,'26.10 NTUNGAMO-MIRAMA HILL'!K55)</f>
        <v>0</v>
      </c>
      <c r="L55" s="49">
        <f>AVERAGE('25.10 NTUNGAMO- MIRAMA -24h'!L55,'26.10 NTUNGAMO-MIRAMA HILL'!L55)</f>
        <v>0</v>
      </c>
      <c r="M55" s="49">
        <f>AVERAGE('25.10 NTUNGAMO- MIRAMA -24h'!M55,'26.10 NTUNGAMO-MIRAMA HILL'!M55)</f>
        <v>1.5</v>
      </c>
      <c r="N55" s="49">
        <f>AVERAGE('25.10 NTUNGAMO- MIRAMA -24h'!N55,'26.10 NTUNGAMO-MIRAMA HILL'!N55)</f>
        <v>0</v>
      </c>
      <c r="O55" s="15">
        <f t="shared" si="0"/>
        <v>0</v>
      </c>
      <c r="P55" s="15">
        <f t="shared" si="1"/>
        <v>1.5</v>
      </c>
      <c r="R55" s="8"/>
      <c r="T55"/>
    </row>
    <row r="56" spans="2:20" ht="23.1" customHeight="1" x14ac:dyDescent="0.25">
      <c r="B56" s="23" t="s">
        <v>83</v>
      </c>
      <c r="C56" s="49">
        <f>AVERAGE('25.10 NTUNGAMO- MIRAMA -24h'!C56,'26.10 NTUNGAMO-MIRAMA HILL'!C56)</f>
        <v>0.5</v>
      </c>
      <c r="D56" s="49">
        <f>AVERAGE('25.10 NTUNGAMO- MIRAMA -24h'!D56,'26.10 NTUNGAMO-MIRAMA HILL'!D56)</f>
        <v>0</v>
      </c>
      <c r="E56" s="49">
        <f>AVERAGE('25.10 NTUNGAMO- MIRAMA -24h'!E56,'26.10 NTUNGAMO-MIRAMA HILL'!E56)</f>
        <v>0</v>
      </c>
      <c r="F56" s="49">
        <f>AVERAGE('25.10 NTUNGAMO- MIRAMA -24h'!F56,'26.10 NTUNGAMO-MIRAMA HILL'!F56)</f>
        <v>0</v>
      </c>
      <c r="G56" s="49">
        <f>AVERAGE('25.10 NTUNGAMO- MIRAMA -24h'!G56,'26.10 NTUNGAMO-MIRAMA HILL'!G56)</f>
        <v>0</v>
      </c>
      <c r="H56" s="49">
        <f>AVERAGE('25.10 NTUNGAMO- MIRAMA -24h'!H56,'26.10 NTUNGAMO-MIRAMA HILL'!H56)</f>
        <v>0</v>
      </c>
      <c r="I56" s="49">
        <f>AVERAGE('25.10 NTUNGAMO- MIRAMA -24h'!I56,'26.10 NTUNGAMO-MIRAMA HILL'!I56)</f>
        <v>0</v>
      </c>
      <c r="J56" s="49">
        <f>AVERAGE('25.10 NTUNGAMO- MIRAMA -24h'!J56,'26.10 NTUNGAMO-MIRAMA HILL'!J56)</f>
        <v>0</v>
      </c>
      <c r="K56" s="49">
        <f>AVERAGE('25.10 NTUNGAMO- MIRAMA -24h'!K56,'26.10 NTUNGAMO-MIRAMA HILL'!K56)</f>
        <v>0</v>
      </c>
      <c r="L56" s="49">
        <f>AVERAGE('25.10 NTUNGAMO- MIRAMA -24h'!L56,'26.10 NTUNGAMO-MIRAMA HILL'!L56)</f>
        <v>0</v>
      </c>
      <c r="M56" s="49">
        <f>AVERAGE('25.10 NTUNGAMO- MIRAMA -24h'!M56,'26.10 NTUNGAMO-MIRAMA HILL'!M56)</f>
        <v>0.5</v>
      </c>
      <c r="N56" s="49">
        <f>AVERAGE('25.10 NTUNGAMO- MIRAMA -24h'!N56,'26.10 NTUNGAMO-MIRAMA HILL'!N56)</f>
        <v>0</v>
      </c>
      <c r="O56" s="15">
        <f t="shared" si="0"/>
        <v>0.5</v>
      </c>
      <c r="P56" s="15">
        <f t="shared" si="1"/>
        <v>1</v>
      </c>
      <c r="R56" s="8"/>
      <c r="T56"/>
    </row>
    <row r="57" spans="2:20" ht="23.1" customHeight="1" x14ac:dyDescent="0.25">
      <c r="B57" s="23" t="s">
        <v>84</v>
      </c>
      <c r="C57" s="49">
        <f>AVERAGE('25.10 NTUNGAMO- MIRAMA -24h'!C57,'26.10 NTUNGAMO-MIRAMA HILL'!C57)</f>
        <v>2</v>
      </c>
      <c r="D57" s="49">
        <f>AVERAGE('25.10 NTUNGAMO- MIRAMA -24h'!D57,'26.10 NTUNGAMO-MIRAMA HILL'!D57)</f>
        <v>0</v>
      </c>
      <c r="E57" s="49">
        <f>AVERAGE('25.10 NTUNGAMO- MIRAMA -24h'!E57,'26.10 NTUNGAMO-MIRAMA HILL'!E57)</f>
        <v>0</v>
      </c>
      <c r="F57" s="49">
        <f>AVERAGE('25.10 NTUNGAMO- MIRAMA -24h'!F57,'26.10 NTUNGAMO-MIRAMA HILL'!F57)</f>
        <v>0</v>
      </c>
      <c r="G57" s="49">
        <f>AVERAGE('25.10 NTUNGAMO- MIRAMA -24h'!G57,'26.10 NTUNGAMO-MIRAMA HILL'!G57)</f>
        <v>0</v>
      </c>
      <c r="H57" s="49">
        <f>AVERAGE('25.10 NTUNGAMO- MIRAMA -24h'!H57,'26.10 NTUNGAMO-MIRAMA HILL'!H57)</f>
        <v>0</v>
      </c>
      <c r="I57" s="49">
        <f>AVERAGE('25.10 NTUNGAMO- MIRAMA -24h'!I57,'26.10 NTUNGAMO-MIRAMA HILL'!I57)</f>
        <v>0</v>
      </c>
      <c r="J57" s="49">
        <f>AVERAGE('25.10 NTUNGAMO- MIRAMA -24h'!J57,'26.10 NTUNGAMO-MIRAMA HILL'!J57)</f>
        <v>0</v>
      </c>
      <c r="K57" s="49">
        <f>AVERAGE('25.10 NTUNGAMO- MIRAMA -24h'!K57,'26.10 NTUNGAMO-MIRAMA HILL'!K57)</f>
        <v>0</v>
      </c>
      <c r="L57" s="49">
        <f>AVERAGE('25.10 NTUNGAMO- MIRAMA -24h'!L57,'26.10 NTUNGAMO-MIRAMA HILL'!L57)</f>
        <v>0.5</v>
      </c>
      <c r="M57" s="49">
        <f>AVERAGE('25.10 NTUNGAMO- MIRAMA -24h'!M57,'26.10 NTUNGAMO-MIRAMA HILL'!M57)</f>
        <v>4</v>
      </c>
      <c r="N57" s="49">
        <f>AVERAGE('25.10 NTUNGAMO- MIRAMA -24h'!N57,'26.10 NTUNGAMO-MIRAMA HILL'!N57)</f>
        <v>0</v>
      </c>
      <c r="O57" s="15">
        <f t="shared" si="0"/>
        <v>2.5</v>
      </c>
      <c r="P57" s="15">
        <f t="shared" si="1"/>
        <v>6.5</v>
      </c>
      <c r="R57" s="8"/>
      <c r="T57"/>
    </row>
    <row r="58" spans="2:20" ht="23.1" customHeight="1" x14ac:dyDescent="0.25">
      <c r="B58" s="23" t="s">
        <v>99</v>
      </c>
      <c r="C58" s="49">
        <f>AVERAGE('25.10 NTUNGAMO- MIRAMA -24h'!C58)</f>
        <v>0</v>
      </c>
      <c r="D58" s="49">
        <f>AVERAGE('25.10 NTUNGAMO- MIRAMA -24h'!D58)</f>
        <v>0</v>
      </c>
      <c r="E58" s="49">
        <f>AVERAGE('25.10 NTUNGAMO- MIRAMA -24h'!E58)</f>
        <v>0</v>
      </c>
      <c r="F58" s="49">
        <f>AVERAGE('25.10 NTUNGAMO- MIRAMA -24h'!F58)</f>
        <v>0</v>
      </c>
      <c r="G58" s="49">
        <f>AVERAGE('25.10 NTUNGAMO- MIRAMA -24h'!G58)</f>
        <v>0</v>
      </c>
      <c r="H58" s="49">
        <f>AVERAGE('25.10 NTUNGAMO- MIRAMA -24h'!H58)</f>
        <v>0</v>
      </c>
      <c r="I58" s="49">
        <f>AVERAGE('25.10 NTUNGAMO- MIRAMA -24h'!I58)</f>
        <v>0</v>
      </c>
      <c r="J58" s="49">
        <f>AVERAGE('25.10 NTUNGAMO- MIRAMA -24h'!J58)</f>
        <v>0</v>
      </c>
      <c r="K58" s="49">
        <f>AVERAGE('25.10 NTUNGAMO- MIRAMA -24h'!K58)</f>
        <v>0</v>
      </c>
      <c r="L58" s="49">
        <f>AVERAGE('25.10 NTUNGAMO- MIRAMA -24h'!L58)</f>
        <v>0</v>
      </c>
      <c r="M58" s="49">
        <f>AVERAGE('25.10 NTUNGAMO- MIRAMA -24h'!M58)</f>
        <v>1</v>
      </c>
      <c r="N58" s="49">
        <f>AVERAGE('25.10 NTUNGAMO- MIRAMA -24h'!N58)</f>
        <v>0</v>
      </c>
      <c r="O58" s="15">
        <f t="shared" si="0"/>
        <v>0</v>
      </c>
      <c r="P58" s="15">
        <f t="shared" si="1"/>
        <v>1</v>
      </c>
      <c r="R58" s="8"/>
      <c r="T58"/>
    </row>
    <row r="59" spans="2:20" ht="23.1" customHeight="1" x14ac:dyDescent="0.25">
      <c r="B59" s="23" t="s">
        <v>100</v>
      </c>
      <c r="C59" s="49">
        <f>AVERAGE('25.10 NTUNGAMO- MIRAMA -24h'!C59)</f>
        <v>0</v>
      </c>
      <c r="D59" s="49">
        <f>AVERAGE('25.10 NTUNGAMO- MIRAMA -24h'!D59)</f>
        <v>0</v>
      </c>
      <c r="E59" s="49">
        <f>AVERAGE('25.10 NTUNGAMO- MIRAMA -24h'!E59)</f>
        <v>0</v>
      </c>
      <c r="F59" s="49">
        <f>AVERAGE('25.10 NTUNGAMO- MIRAMA -24h'!F59)</f>
        <v>0</v>
      </c>
      <c r="G59" s="49">
        <f>AVERAGE('25.10 NTUNGAMO- MIRAMA -24h'!G59)</f>
        <v>0</v>
      </c>
      <c r="H59" s="49">
        <f>AVERAGE('25.10 NTUNGAMO- MIRAMA -24h'!H59)</f>
        <v>0</v>
      </c>
      <c r="I59" s="49">
        <f>AVERAGE('25.10 NTUNGAMO- MIRAMA -24h'!I59)</f>
        <v>0</v>
      </c>
      <c r="J59" s="49">
        <f>AVERAGE('25.10 NTUNGAMO- MIRAMA -24h'!J59)</f>
        <v>0</v>
      </c>
      <c r="K59" s="49">
        <f>AVERAGE('25.10 NTUNGAMO- MIRAMA -24h'!K59)</f>
        <v>0</v>
      </c>
      <c r="L59" s="49">
        <f>AVERAGE('25.10 NTUNGAMO- MIRAMA -24h'!L59)</f>
        <v>0</v>
      </c>
      <c r="M59" s="49">
        <f>AVERAGE('25.10 NTUNGAMO- MIRAMA -24h'!M59)</f>
        <v>0</v>
      </c>
      <c r="N59" s="49">
        <f>AVERAGE('25.10 NTUNGAMO- MIRAMA -24h'!N59)</f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23" t="s">
        <v>101</v>
      </c>
      <c r="C60" s="49">
        <f>AVERAGE('25.10 NTUNGAMO- MIRAMA -24h'!C60)</f>
        <v>0</v>
      </c>
      <c r="D60" s="49">
        <f>AVERAGE('25.10 NTUNGAMO- MIRAMA -24h'!D60)</f>
        <v>0</v>
      </c>
      <c r="E60" s="49">
        <f>AVERAGE('25.10 NTUNGAMO- MIRAMA -24h'!E60)</f>
        <v>0</v>
      </c>
      <c r="F60" s="49">
        <f>AVERAGE('25.10 NTUNGAMO- MIRAMA -24h'!F60)</f>
        <v>0</v>
      </c>
      <c r="G60" s="49">
        <f>AVERAGE('25.10 NTUNGAMO- MIRAMA -24h'!G60)</f>
        <v>0</v>
      </c>
      <c r="H60" s="49">
        <f>AVERAGE('25.10 NTUNGAMO- MIRAMA -24h'!H60)</f>
        <v>0</v>
      </c>
      <c r="I60" s="49">
        <f>AVERAGE('25.10 NTUNGAMO- MIRAMA -24h'!I60)</f>
        <v>0</v>
      </c>
      <c r="J60" s="49">
        <f>AVERAGE('25.10 NTUNGAMO- MIRAMA -24h'!J60)</f>
        <v>0</v>
      </c>
      <c r="K60" s="49">
        <f>AVERAGE('25.10 NTUNGAMO- MIRAMA -24h'!K60)</f>
        <v>0</v>
      </c>
      <c r="L60" s="49">
        <f>AVERAGE('25.10 NTUNGAMO- MIRAMA -24h'!L60)</f>
        <v>0</v>
      </c>
      <c r="M60" s="49">
        <f>AVERAGE('25.10 NTUNGAMO- MIRAMA -24h'!M60)</f>
        <v>0</v>
      </c>
      <c r="N60" s="49">
        <f>AVERAGE('25.10 NTUNGAMO- MIRAMA -24h'!N60)</f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23" t="s">
        <v>102</v>
      </c>
      <c r="C61" s="49">
        <f>AVERAGE('25.10 NTUNGAMO- MIRAMA -24h'!C61)</f>
        <v>1</v>
      </c>
      <c r="D61" s="49">
        <f>AVERAGE('25.10 NTUNGAMO- MIRAMA -24h'!D61)</f>
        <v>0</v>
      </c>
      <c r="E61" s="49">
        <f>AVERAGE('25.10 NTUNGAMO- MIRAMA -24h'!E61)</f>
        <v>0</v>
      </c>
      <c r="F61" s="49">
        <f>AVERAGE('25.10 NTUNGAMO- MIRAMA -24h'!F61)</f>
        <v>0</v>
      </c>
      <c r="G61" s="49">
        <f>AVERAGE('25.10 NTUNGAMO- MIRAMA -24h'!G61)</f>
        <v>0</v>
      </c>
      <c r="H61" s="49">
        <f>AVERAGE('25.10 NTUNGAMO- MIRAMA -24h'!H61)</f>
        <v>0</v>
      </c>
      <c r="I61" s="49">
        <f>AVERAGE('25.10 NTUNGAMO- MIRAMA -24h'!I61)</f>
        <v>0</v>
      </c>
      <c r="J61" s="49">
        <f>AVERAGE('25.10 NTUNGAMO- MIRAMA -24h'!J61)</f>
        <v>0</v>
      </c>
      <c r="K61" s="49">
        <f>AVERAGE('25.10 NTUNGAMO- MIRAMA -24h'!K61)</f>
        <v>0</v>
      </c>
      <c r="L61" s="49">
        <f>AVERAGE('25.10 NTUNGAMO- MIRAMA -24h'!L61)</f>
        <v>0</v>
      </c>
      <c r="M61" s="49">
        <f>AVERAGE('25.10 NTUNGAMO- MIRAMA -24h'!M61)</f>
        <v>1</v>
      </c>
      <c r="N61" s="49">
        <f>AVERAGE('25.10 NTUNGAMO- MIRAMA -24h'!N61)</f>
        <v>0</v>
      </c>
      <c r="O61" s="15">
        <f t="shared" si="0"/>
        <v>1</v>
      </c>
      <c r="P61" s="15">
        <f t="shared" si="1"/>
        <v>2</v>
      </c>
      <c r="R61" s="8"/>
      <c r="T61"/>
    </row>
    <row r="62" spans="2:20" ht="23.1" customHeight="1" x14ac:dyDescent="0.25">
      <c r="B62" s="23" t="s">
        <v>107</v>
      </c>
      <c r="C62" s="49">
        <f>AVERAGE('25.10 NTUNGAMO- MIRAMA -24h'!C62)</f>
        <v>1</v>
      </c>
      <c r="D62" s="49">
        <f>AVERAGE('25.10 NTUNGAMO- MIRAMA -24h'!D62)</f>
        <v>0</v>
      </c>
      <c r="E62" s="49">
        <f>AVERAGE('25.10 NTUNGAMO- MIRAMA -24h'!E62)</f>
        <v>0</v>
      </c>
      <c r="F62" s="49">
        <f>AVERAGE('25.10 NTUNGAMO- MIRAMA -24h'!F62)</f>
        <v>0</v>
      </c>
      <c r="G62" s="49">
        <f>AVERAGE('25.10 NTUNGAMO- MIRAMA -24h'!G62)</f>
        <v>0</v>
      </c>
      <c r="H62" s="49">
        <f>AVERAGE('25.10 NTUNGAMO- MIRAMA -24h'!H62)</f>
        <v>0</v>
      </c>
      <c r="I62" s="49">
        <f>AVERAGE('25.10 NTUNGAMO- MIRAMA -24h'!I62)</f>
        <v>0</v>
      </c>
      <c r="J62" s="49">
        <f>AVERAGE('25.10 NTUNGAMO- MIRAMA -24h'!J62)</f>
        <v>0</v>
      </c>
      <c r="K62" s="49">
        <f>AVERAGE('25.10 NTUNGAMO- MIRAMA -24h'!K62)</f>
        <v>0</v>
      </c>
      <c r="L62" s="49">
        <f>AVERAGE('25.10 NTUNGAMO- MIRAMA -24h'!L62)</f>
        <v>0</v>
      </c>
      <c r="M62" s="49">
        <f>AVERAGE('25.10 NTUNGAMO- MIRAMA -24h'!M62)</f>
        <v>3</v>
      </c>
      <c r="N62" s="49">
        <f>AVERAGE('25.10 NTUNGAMO- MIRAMA -24h'!N62)</f>
        <v>0</v>
      </c>
      <c r="O62" s="15">
        <f t="shared" si="0"/>
        <v>1</v>
      </c>
      <c r="P62" s="15">
        <f t="shared" si="1"/>
        <v>4</v>
      </c>
      <c r="R62" s="8"/>
      <c r="T62"/>
    </row>
    <row r="63" spans="2:20" ht="23.1" customHeight="1" x14ac:dyDescent="0.25">
      <c r="B63" s="23" t="s">
        <v>108</v>
      </c>
      <c r="C63" s="49">
        <f>AVERAGE('25.10 NTUNGAMO- MIRAMA -24h'!C63)</f>
        <v>1</v>
      </c>
      <c r="D63" s="49">
        <f>AVERAGE('25.10 NTUNGAMO- MIRAMA -24h'!D63)</f>
        <v>0</v>
      </c>
      <c r="E63" s="49">
        <f>AVERAGE('25.10 NTUNGAMO- MIRAMA -24h'!E63)</f>
        <v>0</v>
      </c>
      <c r="F63" s="49">
        <f>AVERAGE('25.10 NTUNGAMO- MIRAMA -24h'!F63)</f>
        <v>0</v>
      </c>
      <c r="G63" s="49">
        <f>AVERAGE('25.10 NTUNGAMO- MIRAMA -24h'!G63)</f>
        <v>0</v>
      </c>
      <c r="H63" s="49">
        <f>AVERAGE('25.10 NTUNGAMO- MIRAMA -24h'!H63)</f>
        <v>0</v>
      </c>
      <c r="I63" s="49">
        <f>AVERAGE('25.10 NTUNGAMO- MIRAMA -24h'!I63)</f>
        <v>0</v>
      </c>
      <c r="J63" s="49">
        <f>AVERAGE('25.10 NTUNGAMO- MIRAMA -24h'!J63)</f>
        <v>0</v>
      </c>
      <c r="K63" s="49">
        <f>AVERAGE('25.10 NTUNGAMO- MIRAMA -24h'!K63)</f>
        <v>0</v>
      </c>
      <c r="L63" s="49">
        <f>AVERAGE('25.10 NTUNGAMO- MIRAMA -24h'!L63)</f>
        <v>1</v>
      </c>
      <c r="M63" s="49">
        <f>AVERAGE('25.10 NTUNGAMO- MIRAMA -24h'!M63)</f>
        <v>0</v>
      </c>
      <c r="N63" s="49">
        <f>AVERAGE('25.10 NTUNGAMO- MIRAMA -24h'!N63)</f>
        <v>0</v>
      </c>
      <c r="O63" s="15">
        <f t="shared" si="0"/>
        <v>2</v>
      </c>
      <c r="P63" s="15">
        <f t="shared" si="1"/>
        <v>2</v>
      </c>
      <c r="R63" s="8"/>
      <c r="T63"/>
    </row>
    <row r="64" spans="2:20" ht="23.1" customHeight="1" x14ac:dyDescent="0.25">
      <c r="B64" s="23" t="s">
        <v>109</v>
      </c>
      <c r="C64" s="49">
        <f>AVERAGE('25.10 NTUNGAMO- MIRAMA -24h'!C64)</f>
        <v>0</v>
      </c>
      <c r="D64" s="49">
        <f>AVERAGE('25.10 NTUNGAMO- MIRAMA -24h'!D64)</f>
        <v>0</v>
      </c>
      <c r="E64" s="49">
        <f>AVERAGE('25.10 NTUNGAMO- MIRAMA -24h'!E64)</f>
        <v>0</v>
      </c>
      <c r="F64" s="49">
        <f>AVERAGE('25.10 NTUNGAMO- MIRAMA -24h'!F64)</f>
        <v>0</v>
      </c>
      <c r="G64" s="49">
        <f>AVERAGE('25.10 NTUNGAMO- MIRAMA -24h'!G64)</f>
        <v>0</v>
      </c>
      <c r="H64" s="49">
        <f>AVERAGE('25.10 NTUNGAMO- MIRAMA -24h'!H64)</f>
        <v>0</v>
      </c>
      <c r="I64" s="49">
        <f>AVERAGE('25.10 NTUNGAMO- MIRAMA -24h'!I64)</f>
        <v>0</v>
      </c>
      <c r="J64" s="49">
        <f>AVERAGE('25.10 NTUNGAMO- MIRAMA -24h'!J64)</f>
        <v>0</v>
      </c>
      <c r="K64" s="49">
        <f>AVERAGE('25.10 NTUNGAMO- MIRAMA -24h'!K64)</f>
        <v>0</v>
      </c>
      <c r="L64" s="49">
        <f>AVERAGE('25.10 NTUNGAMO- MIRAMA -24h'!L64)</f>
        <v>0</v>
      </c>
      <c r="M64" s="49">
        <f>AVERAGE('25.10 NTUNGAMO- MIRAMA -24h'!M64)</f>
        <v>0</v>
      </c>
      <c r="N64" s="49">
        <f>AVERAGE('25.10 NTUNGAMO- MIRAMA -24h'!N64)</f>
        <v>0</v>
      </c>
      <c r="O64" s="15">
        <f t="shared" si="0"/>
        <v>0</v>
      </c>
      <c r="P64" s="15">
        <f t="shared" si="1"/>
        <v>0</v>
      </c>
      <c r="R64" s="8"/>
      <c r="T64"/>
    </row>
    <row r="65" spans="2:20" ht="23.1" customHeight="1" x14ac:dyDescent="0.25">
      <c r="B65" s="23" t="s">
        <v>158</v>
      </c>
      <c r="C65" s="49">
        <f>AVERAGE('25.10 NTUNGAMO- MIRAMA -24h'!C65)</f>
        <v>0</v>
      </c>
      <c r="D65" s="49">
        <f>AVERAGE('25.10 NTUNGAMO- MIRAMA -24h'!D65)</f>
        <v>0</v>
      </c>
      <c r="E65" s="49">
        <f>AVERAGE('25.10 NTUNGAMO- MIRAMA -24h'!E65)</f>
        <v>0</v>
      </c>
      <c r="F65" s="49">
        <f>AVERAGE('25.10 NTUNGAMO- MIRAMA -24h'!F65)</f>
        <v>0</v>
      </c>
      <c r="G65" s="49">
        <f>AVERAGE('25.10 NTUNGAMO- MIRAMA -24h'!G65)</f>
        <v>0</v>
      </c>
      <c r="H65" s="49">
        <f>AVERAGE('25.10 NTUNGAMO- MIRAMA -24h'!H65)</f>
        <v>0</v>
      </c>
      <c r="I65" s="49">
        <f>AVERAGE('25.10 NTUNGAMO- MIRAMA -24h'!I65)</f>
        <v>0</v>
      </c>
      <c r="J65" s="49">
        <f>AVERAGE('25.10 NTUNGAMO- MIRAMA -24h'!J65)</f>
        <v>0</v>
      </c>
      <c r="K65" s="49">
        <f>AVERAGE('25.10 NTUNGAMO- MIRAMA -24h'!K65)</f>
        <v>0</v>
      </c>
      <c r="L65" s="49">
        <f>AVERAGE('25.10 NTUNGAMO- MIRAMA -24h'!L65)</f>
        <v>0</v>
      </c>
      <c r="M65" s="49">
        <f>AVERAGE('25.10 NTUNGAMO- MIRAMA -24h'!M65)</f>
        <v>4</v>
      </c>
      <c r="N65" s="49">
        <f>AVERAGE('25.10 NTUNGAMO- MIRAMA -24h'!N65)</f>
        <v>0</v>
      </c>
      <c r="O65" s="15">
        <f t="shared" si="0"/>
        <v>0</v>
      </c>
      <c r="P65" s="15">
        <f t="shared" si="1"/>
        <v>4</v>
      </c>
      <c r="R65" s="8"/>
      <c r="T65"/>
    </row>
    <row r="66" spans="2:20" ht="23.1" customHeight="1" x14ac:dyDescent="0.25">
      <c r="B66" s="23" t="s">
        <v>103</v>
      </c>
      <c r="C66" s="49">
        <f>AVERAGE('25.10 NTUNGAMO- MIRAMA -24h'!C66)</f>
        <v>0</v>
      </c>
      <c r="D66" s="49">
        <f>AVERAGE('25.10 NTUNGAMO- MIRAMA -24h'!D66)</f>
        <v>0</v>
      </c>
      <c r="E66" s="49">
        <f>AVERAGE('25.10 NTUNGAMO- MIRAMA -24h'!E66)</f>
        <v>0</v>
      </c>
      <c r="F66" s="49">
        <f>AVERAGE('25.10 NTUNGAMO- MIRAMA -24h'!F66)</f>
        <v>0</v>
      </c>
      <c r="G66" s="49">
        <f>AVERAGE('25.10 NTUNGAMO- MIRAMA -24h'!G66)</f>
        <v>0</v>
      </c>
      <c r="H66" s="49">
        <f>AVERAGE('25.10 NTUNGAMO- MIRAMA -24h'!H66)</f>
        <v>0</v>
      </c>
      <c r="I66" s="49">
        <f>AVERAGE('25.10 NTUNGAMO- MIRAMA -24h'!I66)</f>
        <v>0</v>
      </c>
      <c r="J66" s="49">
        <f>AVERAGE('25.10 NTUNGAMO- MIRAMA -24h'!J66)</f>
        <v>0</v>
      </c>
      <c r="K66" s="49">
        <f>AVERAGE('25.10 NTUNGAMO- MIRAMA -24h'!K66)</f>
        <v>0</v>
      </c>
      <c r="L66" s="49">
        <f>AVERAGE('25.10 NTUNGAMO- MIRAMA -24h'!L66)</f>
        <v>2</v>
      </c>
      <c r="M66" s="49">
        <f>AVERAGE('25.10 NTUNGAMO- MIRAMA -24h'!M66)</f>
        <v>0</v>
      </c>
      <c r="N66" s="49">
        <f>AVERAGE('25.10 NTUNGAMO- MIRAMA -24h'!N66)</f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23" t="s">
        <v>104</v>
      </c>
      <c r="C67" s="49">
        <f>AVERAGE('25.10 NTUNGAMO- MIRAMA -24h'!C67)</f>
        <v>0</v>
      </c>
      <c r="D67" s="49">
        <f>AVERAGE('25.10 NTUNGAMO- MIRAMA -24h'!D67)</f>
        <v>0</v>
      </c>
      <c r="E67" s="49">
        <f>AVERAGE('25.10 NTUNGAMO- MIRAMA -24h'!E67)</f>
        <v>0</v>
      </c>
      <c r="F67" s="49">
        <f>AVERAGE('25.10 NTUNGAMO- MIRAMA -24h'!F67)</f>
        <v>0</v>
      </c>
      <c r="G67" s="49">
        <f>AVERAGE('25.10 NTUNGAMO- MIRAMA -24h'!G67)</f>
        <v>0</v>
      </c>
      <c r="H67" s="49">
        <f>AVERAGE('25.10 NTUNGAMO- MIRAMA -24h'!H67)</f>
        <v>0</v>
      </c>
      <c r="I67" s="49">
        <f>AVERAGE('25.10 NTUNGAMO- MIRAMA -24h'!I67)</f>
        <v>0</v>
      </c>
      <c r="J67" s="49">
        <f>AVERAGE('25.10 NTUNGAMO- MIRAMA -24h'!J67)</f>
        <v>0</v>
      </c>
      <c r="K67" s="49">
        <f>AVERAGE('25.10 NTUNGAMO- MIRAMA -24h'!K67)</f>
        <v>0</v>
      </c>
      <c r="L67" s="49">
        <f>AVERAGE('25.10 NTUNGAMO- MIRAMA -24h'!L67)</f>
        <v>0</v>
      </c>
      <c r="M67" s="49">
        <f>AVERAGE('25.10 NTUNGAMO- MIRAMA -24h'!M67)</f>
        <v>0</v>
      </c>
      <c r="N67" s="49">
        <f>AVERAGE('25.10 NTUNGAMO- MIRAMA -24h'!N67)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3" t="s">
        <v>105</v>
      </c>
      <c r="C68" s="49">
        <f>AVERAGE('25.10 NTUNGAMO- MIRAMA -24h'!C68)</f>
        <v>0</v>
      </c>
      <c r="D68" s="49">
        <f>AVERAGE('25.10 NTUNGAMO- MIRAMA -24h'!D68)</f>
        <v>0</v>
      </c>
      <c r="E68" s="49">
        <f>AVERAGE('25.10 NTUNGAMO- MIRAMA -24h'!E68)</f>
        <v>0</v>
      </c>
      <c r="F68" s="49">
        <f>AVERAGE('25.10 NTUNGAMO- MIRAMA -24h'!F68)</f>
        <v>0</v>
      </c>
      <c r="G68" s="49">
        <f>AVERAGE('25.10 NTUNGAMO- MIRAMA -24h'!G68)</f>
        <v>0</v>
      </c>
      <c r="H68" s="49">
        <f>AVERAGE('25.10 NTUNGAMO- MIRAMA -24h'!H68)</f>
        <v>0</v>
      </c>
      <c r="I68" s="49">
        <f>AVERAGE('25.10 NTUNGAMO- MIRAMA -24h'!I68)</f>
        <v>0</v>
      </c>
      <c r="J68" s="49">
        <f>AVERAGE('25.10 NTUNGAMO- MIRAMA -24h'!J68)</f>
        <v>0</v>
      </c>
      <c r="K68" s="49">
        <f>AVERAGE('25.10 NTUNGAMO- MIRAMA -24h'!K68)</f>
        <v>0</v>
      </c>
      <c r="L68" s="49">
        <f>AVERAGE('25.10 NTUNGAMO- MIRAMA -24h'!L68)</f>
        <v>0</v>
      </c>
      <c r="M68" s="49">
        <f>AVERAGE('25.10 NTUNGAMO- MIRAMA -24h'!M68)</f>
        <v>0</v>
      </c>
      <c r="N68" s="49">
        <f>AVERAGE('25.10 NTUNGAMO- MIRAMA -24h'!N68)</f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23" t="s">
        <v>106</v>
      </c>
      <c r="C69" s="49">
        <f>AVERAGE('25.10 NTUNGAMO- MIRAMA -24h'!C69)</f>
        <v>0</v>
      </c>
      <c r="D69" s="49">
        <f>AVERAGE('25.10 NTUNGAMO- MIRAMA -24h'!D69)</f>
        <v>0</v>
      </c>
      <c r="E69" s="49">
        <f>AVERAGE('25.10 NTUNGAMO- MIRAMA -24h'!E69)</f>
        <v>0</v>
      </c>
      <c r="F69" s="49">
        <f>AVERAGE('25.10 NTUNGAMO- MIRAMA -24h'!F69)</f>
        <v>0</v>
      </c>
      <c r="G69" s="49">
        <f>AVERAGE('25.10 NTUNGAMO- MIRAMA -24h'!G69)</f>
        <v>0</v>
      </c>
      <c r="H69" s="49">
        <f>AVERAGE('25.10 NTUNGAMO- MIRAMA -24h'!H69)</f>
        <v>0</v>
      </c>
      <c r="I69" s="49">
        <f>AVERAGE('25.10 NTUNGAMO- MIRAMA -24h'!I69)</f>
        <v>0</v>
      </c>
      <c r="J69" s="49">
        <f>AVERAGE('25.10 NTUNGAMO- MIRAMA -24h'!J69)</f>
        <v>0</v>
      </c>
      <c r="K69" s="49">
        <f>AVERAGE('25.10 NTUNGAMO- MIRAMA -24h'!K69)</f>
        <v>0</v>
      </c>
      <c r="L69" s="49">
        <f>AVERAGE('25.10 NTUNGAMO- MIRAMA -24h'!L69)</f>
        <v>3</v>
      </c>
      <c r="M69" s="49">
        <f>AVERAGE('25.10 NTUNGAMO- MIRAMA -24h'!M69)</f>
        <v>0</v>
      </c>
      <c r="N69" s="49">
        <f>AVERAGE('25.10 NTUNGAMO- MIRAMA -24h'!N69)</f>
        <v>0</v>
      </c>
      <c r="O69" s="15">
        <f t="shared" si="0"/>
        <v>3</v>
      </c>
      <c r="P69" s="15">
        <f t="shared" si="1"/>
        <v>3</v>
      </c>
      <c r="R69" s="8"/>
      <c r="T69"/>
    </row>
    <row r="70" spans="2:20" ht="23.1" customHeight="1" x14ac:dyDescent="0.25">
      <c r="B70" s="23" t="s">
        <v>110</v>
      </c>
      <c r="C70" s="49">
        <f>AVERAGE('25.10 NTUNGAMO- MIRAMA -24h'!C70)</f>
        <v>0</v>
      </c>
      <c r="D70" s="49">
        <f>AVERAGE('25.10 NTUNGAMO- MIRAMA -24h'!D70)</f>
        <v>0</v>
      </c>
      <c r="E70" s="49">
        <f>AVERAGE('25.10 NTUNGAMO- MIRAMA -24h'!E70)</f>
        <v>0</v>
      </c>
      <c r="F70" s="49">
        <f>AVERAGE('25.10 NTUNGAMO- MIRAMA -24h'!F70)</f>
        <v>0</v>
      </c>
      <c r="G70" s="49">
        <f>AVERAGE('25.10 NTUNGAMO- MIRAMA -24h'!G70)</f>
        <v>0</v>
      </c>
      <c r="H70" s="49">
        <f>AVERAGE('25.10 NTUNGAMO- MIRAMA -24h'!H70)</f>
        <v>0</v>
      </c>
      <c r="I70" s="49">
        <f>AVERAGE('25.10 NTUNGAMO- MIRAMA -24h'!I70)</f>
        <v>0</v>
      </c>
      <c r="J70" s="49">
        <f>AVERAGE('25.10 NTUNGAMO- MIRAMA -24h'!J70)</f>
        <v>0</v>
      </c>
      <c r="K70" s="49">
        <f>AVERAGE('25.10 NTUNGAMO- MIRAMA -24h'!K70)</f>
        <v>0</v>
      </c>
      <c r="L70" s="49">
        <f>AVERAGE('25.10 NTUNGAMO- MIRAMA -24h'!L70)</f>
        <v>0</v>
      </c>
      <c r="M70" s="49">
        <f>AVERAGE('25.10 NTUNGAMO- MIRAMA -24h'!M70)</f>
        <v>0</v>
      </c>
      <c r="N70" s="49">
        <f>AVERAGE('25.10 NTUNGAMO- MIRAMA -24h'!N70)</f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23" t="s">
        <v>111</v>
      </c>
      <c r="C71" s="49">
        <f>AVERAGE('25.10 NTUNGAMO- MIRAMA -24h'!C71)</f>
        <v>0</v>
      </c>
      <c r="D71" s="49">
        <f>AVERAGE('25.10 NTUNGAMO- MIRAMA -24h'!D71)</f>
        <v>0</v>
      </c>
      <c r="E71" s="49">
        <f>AVERAGE('25.10 NTUNGAMO- MIRAMA -24h'!E71)</f>
        <v>0</v>
      </c>
      <c r="F71" s="49">
        <f>AVERAGE('25.10 NTUNGAMO- MIRAMA -24h'!F71)</f>
        <v>0</v>
      </c>
      <c r="G71" s="49">
        <f>AVERAGE('25.10 NTUNGAMO- MIRAMA -24h'!G71)</f>
        <v>0</v>
      </c>
      <c r="H71" s="49">
        <f>AVERAGE('25.10 NTUNGAMO- MIRAMA -24h'!H71)</f>
        <v>0</v>
      </c>
      <c r="I71" s="49">
        <f>AVERAGE('25.10 NTUNGAMO- MIRAMA -24h'!I71)</f>
        <v>0</v>
      </c>
      <c r="J71" s="49">
        <f>AVERAGE('25.10 NTUNGAMO- MIRAMA -24h'!J71)</f>
        <v>0</v>
      </c>
      <c r="K71" s="49">
        <f>AVERAGE('25.10 NTUNGAMO- MIRAMA -24h'!K71)</f>
        <v>0</v>
      </c>
      <c r="L71" s="49">
        <f>AVERAGE('25.10 NTUNGAMO- MIRAMA -24h'!L71)</f>
        <v>1</v>
      </c>
      <c r="M71" s="49">
        <f>AVERAGE('25.10 NTUNGAMO- MIRAMA -24h'!M71)</f>
        <v>0</v>
      </c>
      <c r="N71" s="49">
        <f>AVERAGE('25.10 NTUNGAMO- MIRAMA -24h'!N71)</f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23" t="s">
        <v>112</v>
      </c>
      <c r="C72" s="49">
        <f>AVERAGE('25.10 NTUNGAMO- MIRAMA -24h'!C72)</f>
        <v>0</v>
      </c>
      <c r="D72" s="49">
        <f>AVERAGE('25.10 NTUNGAMO- MIRAMA -24h'!D72)</f>
        <v>0</v>
      </c>
      <c r="E72" s="49">
        <f>AVERAGE('25.10 NTUNGAMO- MIRAMA -24h'!E72)</f>
        <v>0</v>
      </c>
      <c r="F72" s="49">
        <f>AVERAGE('25.10 NTUNGAMO- MIRAMA -24h'!F72)</f>
        <v>0</v>
      </c>
      <c r="G72" s="49">
        <f>AVERAGE('25.10 NTUNGAMO- MIRAMA -24h'!G72)</f>
        <v>0</v>
      </c>
      <c r="H72" s="49">
        <f>AVERAGE('25.10 NTUNGAMO- MIRAMA -24h'!H72)</f>
        <v>0</v>
      </c>
      <c r="I72" s="49">
        <f>AVERAGE('25.10 NTUNGAMO- MIRAMA -24h'!I72)</f>
        <v>0</v>
      </c>
      <c r="J72" s="49">
        <f>AVERAGE('25.10 NTUNGAMO- MIRAMA -24h'!J72)</f>
        <v>0</v>
      </c>
      <c r="K72" s="49">
        <f>AVERAGE('25.10 NTUNGAMO- MIRAMA -24h'!K72)</f>
        <v>0</v>
      </c>
      <c r="L72" s="49">
        <f>AVERAGE('25.10 NTUNGAMO- MIRAMA -24h'!L72)</f>
        <v>0</v>
      </c>
      <c r="M72" s="49">
        <f>AVERAGE('25.10 NTUNGAMO- MIRAMA -24h'!M72)</f>
        <v>0</v>
      </c>
      <c r="N72" s="49">
        <f>AVERAGE('25.10 NTUNGAMO- MIRAMA -24h'!N72)</f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23" t="s">
        <v>113</v>
      </c>
      <c r="C73" s="49">
        <f>AVERAGE('25.10 NTUNGAMO- MIRAMA -24h'!C73)</f>
        <v>0</v>
      </c>
      <c r="D73" s="49">
        <f>AVERAGE('25.10 NTUNGAMO- MIRAMA -24h'!D73)</f>
        <v>0</v>
      </c>
      <c r="E73" s="49">
        <f>AVERAGE('25.10 NTUNGAMO- MIRAMA -24h'!E73)</f>
        <v>0</v>
      </c>
      <c r="F73" s="49">
        <f>AVERAGE('25.10 NTUNGAMO- MIRAMA -24h'!F73)</f>
        <v>0</v>
      </c>
      <c r="G73" s="49">
        <f>AVERAGE('25.10 NTUNGAMO- MIRAMA -24h'!G73)</f>
        <v>0</v>
      </c>
      <c r="H73" s="49">
        <f>AVERAGE('25.10 NTUNGAMO- MIRAMA -24h'!H73)</f>
        <v>0</v>
      </c>
      <c r="I73" s="49">
        <f>AVERAGE('25.10 NTUNGAMO- MIRAMA -24h'!I73)</f>
        <v>0</v>
      </c>
      <c r="J73" s="49">
        <f>AVERAGE('25.10 NTUNGAMO- MIRAMA -24h'!J73)</f>
        <v>0</v>
      </c>
      <c r="K73" s="49">
        <f>AVERAGE('25.10 NTUNGAMO- MIRAMA -24h'!K73)</f>
        <v>0</v>
      </c>
      <c r="L73" s="49">
        <f>AVERAGE('25.10 NTUNGAMO- MIRAMA -24h'!L73)</f>
        <v>0</v>
      </c>
      <c r="M73" s="49">
        <f>AVERAGE('25.10 NTUNGAMO- MIRAMA -24h'!M73)</f>
        <v>0</v>
      </c>
      <c r="N73" s="49">
        <f>AVERAGE('25.10 NTUNGAMO- MIRAMA -24h'!N73)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AVERAGE('25.10 NTUNGAMO- MIRAMA -24h'!C74)</f>
        <v>0</v>
      </c>
      <c r="D74" s="49">
        <f>AVERAGE('25.10 NTUNGAMO- MIRAMA -24h'!D74)</f>
        <v>0</v>
      </c>
      <c r="E74" s="49">
        <f>AVERAGE('25.10 NTUNGAMO- MIRAMA -24h'!E74)</f>
        <v>0</v>
      </c>
      <c r="F74" s="49">
        <f>AVERAGE('25.10 NTUNGAMO- MIRAMA -24h'!F74)</f>
        <v>0</v>
      </c>
      <c r="G74" s="49">
        <f>AVERAGE('25.10 NTUNGAMO- MIRAMA -24h'!G74)</f>
        <v>0</v>
      </c>
      <c r="H74" s="49">
        <f>AVERAGE('25.10 NTUNGAMO- MIRAMA -24h'!H74)</f>
        <v>0</v>
      </c>
      <c r="I74" s="49">
        <f>AVERAGE('25.10 NTUNGAMO- MIRAMA -24h'!I74)</f>
        <v>0</v>
      </c>
      <c r="J74" s="49">
        <f>AVERAGE('25.10 NTUNGAMO- MIRAMA -24h'!J74)</f>
        <v>0</v>
      </c>
      <c r="K74" s="49">
        <f>AVERAGE('25.10 NTUNGAMO- MIRAMA -24h'!K74)</f>
        <v>1</v>
      </c>
      <c r="L74" s="49">
        <f>AVERAGE('25.10 NTUNGAMO- MIRAMA -24h'!L74)</f>
        <v>0</v>
      </c>
      <c r="M74" s="49">
        <f>AVERAGE('25.10 NTUNGAMO- MIRAMA -24h'!M74)</f>
        <v>0</v>
      </c>
      <c r="N74" s="49">
        <f>AVERAGE('25.10 NTUNGAMO- MIRAMA -24h'!N74)</f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23" t="s">
        <v>115</v>
      </c>
      <c r="C75" s="49">
        <f>AVERAGE('25.10 NTUNGAMO- MIRAMA -24h'!C75)</f>
        <v>0</v>
      </c>
      <c r="D75" s="49">
        <f>AVERAGE('25.10 NTUNGAMO- MIRAMA -24h'!D75)</f>
        <v>0</v>
      </c>
      <c r="E75" s="49">
        <f>AVERAGE('25.10 NTUNGAMO- MIRAMA -24h'!E75)</f>
        <v>0</v>
      </c>
      <c r="F75" s="49">
        <f>AVERAGE('25.10 NTUNGAMO- MIRAMA -24h'!F75)</f>
        <v>0</v>
      </c>
      <c r="G75" s="49">
        <f>AVERAGE('25.10 NTUNGAMO- MIRAMA -24h'!G75)</f>
        <v>0</v>
      </c>
      <c r="H75" s="49">
        <f>AVERAGE('25.10 NTUNGAMO- MIRAMA -24h'!H75)</f>
        <v>0</v>
      </c>
      <c r="I75" s="49">
        <f>AVERAGE('25.10 NTUNGAMO- MIRAMA -24h'!I75)</f>
        <v>0</v>
      </c>
      <c r="J75" s="49">
        <f>AVERAGE('25.10 NTUNGAMO- MIRAMA -24h'!J75)</f>
        <v>0</v>
      </c>
      <c r="K75" s="49">
        <f>AVERAGE('25.10 NTUNGAMO- MIRAMA -24h'!K75)</f>
        <v>0</v>
      </c>
      <c r="L75" s="49">
        <f>AVERAGE('25.10 NTUNGAMO- MIRAMA -24h'!L75)</f>
        <v>2</v>
      </c>
      <c r="M75" s="49">
        <f>AVERAGE('25.10 NTUNGAMO- MIRAMA -24h'!M75)</f>
        <v>0</v>
      </c>
      <c r="N75" s="49">
        <f>AVERAGE('25.10 NTUNGAMO- MIRAMA -24h'!N75)</f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23" t="s">
        <v>116</v>
      </c>
      <c r="C76" s="49">
        <f>AVERAGE('25.10 NTUNGAMO- MIRAMA -24h'!C76)</f>
        <v>0</v>
      </c>
      <c r="D76" s="49">
        <f>AVERAGE('25.10 NTUNGAMO- MIRAMA -24h'!D76)</f>
        <v>0</v>
      </c>
      <c r="E76" s="49">
        <f>AVERAGE('25.10 NTUNGAMO- MIRAMA -24h'!E76)</f>
        <v>0</v>
      </c>
      <c r="F76" s="49">
        <f>AVERAGE('25.10 NTUNGAMO- MIRAMA -24h'!F76)</f>
        <v>0</v>
      </c>
      <c r="G76" s="49">
        <f>AVERAGE('25.10 NTUNGAMO- MIRAMA -24h'!G76)</f>
        <v>0</v>
      </c>
      <c r="H76" s="49">
        <f>AVERAGE('25.10 NTUNGAMO- MIRAMA -24h'!H76)</f>
        <v>0</v>
      </c>
      <c r="I76" s="49">
        <f>AVERAGE('25.10 NTUNGAMO- MIRAMA -24h'!I76)</f>
        <v>0</v>
      </c>
      <c r="J76" s="49">
        <f>AVERAGE('25.10 NTUNGAMO- MIRAMA -24h'!J76)</f>
        <v>0</v>
      </c>
      <c r="K76" s="49">
        <f>AVERAGE('25.10 NTUNGAMO- MIRAMA -24h'!K76)</f>
        <v>0</v>
      </c>
      <c r="L76" s="49">
        <f>AVERAGE('25.10 NTUNGAMO- MIRAMA -24h'!L76)</f>
        <v>0</v>
      </c>
      <c r="M76" s="49">
        <f>AVERAGE('25.10 NTUNGAMO- MIRAMA -24h'!M76)</f>
        <v>0</v>
      </c>
      <c r="N76" s="49">
        <f>AVERAGE('25.10 NTUNGAMO- MIRAMA -24h'!N76)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AVERAGE('25.10 NTUNGAMO- MIRAMA -24h'!C77)</f>
        <v>0</v>
      </c>
      <c r="D77" s="49">
        <f>AVERAGE('25.10 NTUNGAMO- MIRAMA -24h'!D77)</f>
        <v>0</v>
      </c>
      <c r="E77" s="49">
        <f>AVERAGE('25.10 NTUNGAMO- MIRAMA -24h'!E77)</f>
        <v>0</v>
      </c>
      <c r="F77" s="49">
        <f>AVERAGE('25.10 NTUNGAMO- MIRAMA -24h'!F77)</f>
        <v>0</v>
      </c>
      <c r="G77" s="49">
        <f>AVERAGE('25.10 NTUNGAMO- MIRAMA -24h'!G77)</f>
        <v>0</v>
      </c>
      <c r="H77" s="49">
        <f>AVERAGE('25.10 NTUNGAMO- MIRAMA -24h'!H77)</f>
        <v>0</v>
      </c>
      <c r="I77" s="49">
        <f>AVERAGE('25.10 NTUNGAMO- MIRAMA -24h'!I77)</f>
        <v>0</v>
      </c>
      <c r="J77" s="49">
        <f>AVERAGE('25.10 NTUNGAMO- MIRAMA -24h'!J77)</f>
        <v>0</v>
      </c>
      <c r="K77" s="49">
        <f>AVERAGE('25.10 NTUNGAMO- MIRAMA -24h'!K77)</f>
        <v>0</v>
      </c>
      <c r="L77" s="49">
        <f>AVERAGE('25.10 NTUNGAMO- MIRAMA -24h'!L77)</f>
        <v>0</v>
      </c>
      <c r="M77" s="49">
        <f>AVERAGE('25.10 NTUNGAMO- MIRAMA -24h'!M77)</f>
        <v>0</v>
      </c>
      <c r="N77" s="49">
        <f>AVERAGE('25.10 NTUNGAMO- MIRAMA -24h'!N77)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4" t="s">
        <v>118</v>
      </c>
      <c r="C78" s="49">
        <f>AVERAGE('25.10 NTUNGAMO- MIRAMA -24h'!C78)</f>
        <v>0</v>
      </c>
      <c r="D78" s="49">
        <f>AVERAGE('25.10 NTUNGAMO- MIRAMA -24h'!D78)</f>
        <v>0</v>
      </c>
      <c r="E78" s="49">
        <f>AVERAGE('25.10 NTUNGAMO- MIRAMA -24h'!E78)</f>
        <v>0</v>
      </c>
      <c r="F78" s="49">
        <f>AVERAGE('25.10 NTUNGAMO- MIRAMA -24h'!F78)</f>
        <v>0</v>
      </c>
      <c r="G78" s="49">
        <f>AVERAGE('25.10 NTUNGAMO- MIRAMA -24h'!G78)</f>
        <v>0</v>
      </c>
      <c r="H78" s="49">
        <f>AVERAGE('25.10 NTUNGAMO- MIRAMA -24h'!H78)</f>
        <v>0</v>
      </c>
      <c r="I78" s="49">
        <f>AVERAGE('25.10 NTUNGAMO- MIRAMA -24h'!I78)</f>
        <v>0</v>
      </c>
      <c r="J78" s="49">
        <f>AVERAGE('25.10 NTUNGAMO- MIRAMA -24h'!J78)</f>
        <v>0</v>
      </c>
      <c r="K78" s="49">
        <f>AVERAGE('25.10 NTUNGAMO- MIRAMA -24h'!K78)</f>
        <v>0</v>
      </c>
      <c r="L78" s="49">
        <f>AVERAGE('25.10 NTUNGAMO- MIRAMA -24h'!L78)</f>
        <v>0</v>
      </c>
      <c r="M78" s="49">
        <f>AVERAGE('25.10 NTUNGAMO- MIRAMA -24h'!M78)</f>
        <v>0</v>
      </c>
      <c r="N78" s="49">
        <f>AVERAGE('25.10 NTUNGAMO- MIRAMA 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AVERAGE('25.10 NTUNGAMO- MIRAMA -24h'!C79)</f>
        <v>0</v>
      </c>
      <c r="D79" s="49">
        <f>AVERAGE('25.10 NTUNGAMO- MIRAMA -24h'!D79)</f>
        <v>0</v>
      </c>
      <c r="E79" s="49">
        <f>AVERAGE('25.10 NTUNGAMO- MIRAMA -24h'!E79)</f>
        <v>0</v>
      </c>
      <c r="F79" s="49">
        <f>AVERAGE('25.10 NTUNGAMO- MIRAMA -24h'!F79)</f>
        <v>0</v>
      </c>
      <c r="G79" s="49">
        <f>AVERAGE('25.10 NTUNGAMO- MIRAMA -24h'!G79)</f>
        <v>0</v>
      </c>
      <c r="H79" s="49">
        <f>AVERAGE('25.10 NTUNGAMO- MIRAMA -24h'!H79)</f>
        <v>0</v>
      </c>
      <c r="I79" s="49">
        <f>AVERAGE('25.10 NTUNGAMO- MIRAMA -24h'!I79)</f>
        <v>0</v>
      </c>
      <c r="J79" s="49">
        <f>AVERAGE('25.10 NTUNGAMO- MIRAMA -24h'!J79)</f>
        <v>0</v>
      </c>
      <c r="K79" s="49">
        <f>AVERAGE('25.10 NTUNGAMO- MIRAMA -24h'!K79)</f>
        <v>0</v>
      </c>
      <c r="L79" s="49">
        <f>AVERAGE('25.10 NTUNGAMO- MIRAMA -24h'!L79)</f>
        <v>0</v>
      </c>
      <c r="M79" s="49">
        <f>AVERAGE('25.10 NTUNGAMO- MIRAMA -24h'!M79)</f>
        <v>0</v>
      </c>
      <c r="N79" s="49">
        <f>AVERAGE('25.10 NTUNGAMO- MIRAMA 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AVERAGE('25.10 NTUNGAMO- MIRAMA -24h'!C80)</f>
        <v>0</v>
      </c>
      <c r="D80" s="49">
        <f>AVERAGE('25.10 NTUNGAMO- MIRAMA -24h'!D80)</f>
        <v>0</v>
      </c>
      <c r="E80" s="49">
        <f>AVERAGE('25.10 NTUNGAMO- MIRAMA -24h'!E80)</f>
        <v>0</v>
      </c>
      <c r="F80" s="49">
        <f>AVERAGE('25.10 NTUNGAMO- MIRAMA -24h'!F80)</f>
        <v>0</v>
      </c>
      <c r="G80" s="49">
        <f>AVERAGE('25.10 NTUNGAMO- MIRAMA -24h'!G80)</f>
        <v>0</v>
      </c>
      <c r="H80" s="49">
        <f>AVERAGE('25.10 NTUNGAMO- MIRAMA -24h'!H80)</f>
        <v>0</v>
      </c>
      <c r="I80" s="49">
        <f>AVERAGE('25.10 NTUNGAMO- MIRAMA -24h'!I80)</f>
        <v>0</v>
      </c>
      <c r="J80" s="49">
        <f>AVERAGE('25.10 NTUNGAMO- MIRAMA -24h'!J80)</f>
        <v>0</v>
      </c>
      <c r="K80" s="49">
        <f>AVERAGE('25.10 NTUNGAMO- MIRAMA -24h'!K80)</f>
        <v>0</v>
      </c>
      <c r="L80" s="49">
        <f>AVERAGE('25.10 NTUNGAMO- MIRAMA -24h'!L80)</f>
        <v>0</v>
      </c>
      <c r="M80" s="49">
        <f>AVERAGE('25.10 NTUNGAMO- MIRAMA -24h'!M80)</f>
        <v>0</v>
      </c>
      <c r="N80" s="49">
        <f>AVERAGE('25.10 NTUNGAMO- MIRAMA 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AVERAGE('25.10 NTUNGAMO- MIRAMA -24h'!C81)</f>
        <v>0</v>
      </c>
      <c r="D81" s="49">
        <f>AVERAGE('25.10 NTUNGAMO- MIRAMA -24h'!D81)</f>
        <v>0</v>
      </c>
      <c r="E81" s="49">
        <f>AVERAGE('25.10 NTUNGAMO- MIRAMA -24h'!E81)</f>
        <v>0</v>
      </c>
      <c r="F81" s="49">
        <f>AVERAGE('25.10 NTUNGAMO- MIRAMA -24h'!F81)</f>
        <v>0</v>
      </c>
      <c r="G81" s="49">
        <f>AVERAGE('25.10 NTUNGAMO- MIRAMA -24h'!G81)</f>
        <v>0</v>
      </c>
      <c r="H81" s="49">
        <f>AVERAGE('25.10 NTUNGAMO- MIRAMA -24h'!H81)</f>
        <v>0</v>
      </c>
      <c r="I81" s="49">
        <f>AVERAGE('25.10 NTUNGAMO- MIRAMA -24h'!I81)</f>
        <v>0</v>
      </c>
      <c r="J81" s="49">
        <f>AVERAGE('25.10 NTUNGAMO- MIRAMA -24h'!J81)</f>
        <v>0</v>
      </c>
      <c r="K81" s="49">
        <f>AVERAGE('25.10 NTUNGAMO- MIRAMA -24h'!K81)</f>
        <v>0</v>
      </c>
      <c r="L81" s="49">
        <f>AVERAGE('25.10 NTUNGAMO- MIRAMA -24h'!L81)</f>
        <v>0</v>
      </c>
      <c r="M81" s="49">
        <f>AVERAGE('25.10 NTUNGAMO- MIRAMA -24h'!M81)</f>
        <v>0</v>
      </c>
      <c r="N81" s="49">
        <f>AVERAGE('25.10 NTUNGAMO- MIRAMA 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AVERAGE('25.10 NTUNGAMO- MIRAMA -24h'!C82)</f>
        <v>0</v>
      </c>
      <c r="D82" s="49">
        <f>AVERAGE('25.10 NTUNGAMO- MIRAMA -24h'!D82)</f>
        <v>0</v>
      </c>
      <c r="E82" s="49">
        <f>AVERAGE('25.10 NTUNGAMO- MIRAMA -24h'!E82)</f>
        <v>0</v>
      </c>
      <c r="F82" s="49">
        <f>AVERAGE('25.10 NTUNGAMO- MIRAMA -24h'!F82)</f>
        <v>0</v>
      </c>
      <c r="G82" s="49">
        <f>AVERAGE('25.10 NTUNGAMO- MIRAMA -24h'!G82)</f>
        <v>0</v>
      </c>
      <c r="H82" s="49">
        <f>AVERAGE('25.10 NTUNGAMO- MIRAMA -24h'!H82)</f>
        <v>0</v>
      </c>
      <c r="I82" s="49">
        <f>AVERAGE('25.10 NTUNGAMO- MIRAMA -24h'!I82)</f>
        <v>0</v>
      </c>
      <c r="J82" s="49">
        <f>AVERAGE('25.10 NTUNGAMO- MIRAMA -24h'!J82)</f>
        <v>0</v>
      </c>
      <c r="K82" s="49">
        <f>AVERAGE('25.10 NTUNGAMO- MIRAMA -24h'!K82)</f>
        <v>0</v>
      </c>
      <c r="L82" s="49">
        <f>AVERAGE('25.10 NTUNGAMO- MIRAMA -24h'!L82)</f>
        <v>0</v>
      </c>
      <c r="M82" s="49">
        <f>AVERAGE('25.10 NTUNGAMO- MIRAMA -24h'!M82)</f>
        <v>0</v>
      </c>
      <c r="N82" s="49">
        <f>AVERAGE('25.10 NTUNGAMO- MIRAMA 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AVERAGE('25.10 NTUNGAMO- MIRAMA -24h'!C83)</f>
        <v>0</v>
      </c>
      <c r="D83" s="49">
        <f>AVERAGE('25.10 NTUNGAMO- MIRAMA -24h'!D83)</f>
        <v>0</v>
      </c>
      <c r="E83" s="49">
        <f>AVERAGE('25.10 NTUNGAMO- MIRAMA -24h'!E83)</f>
        <v>0</v>
      </c>
      <c r="F83" s="49">
        <f>AVERAGE('25.10 NTUNGAMO- MIRAMA -24h'!F83)</f>
        <v>0</v>
      </c>
      <c r="G83" s="49">
        <f>AVERAGE('25.10 NTUNGAMO- MIRAMA -24h'!G83)</f>
        <v>0</v>
      </c>
      <c r="H83" s="49">
        <f>AVERAGE('25.10 NTUNGAMO- MIRAMA -24h'!H83)</f>
        <v>0</v>
      </c>
      <c r="I83" s="49">
        <f>AVERAGE('25.10 NTUNGAMO- MIRAMA -24h'!I83)</f>
        <v>0</v>
      </c>
      <c r="J83" s="49">
        <f>AVERAGE('25.10 NTUNGAMO- MIRAMA -24h'!J83)</f>
        <v>0</v>
      </c>
      <c r="K83" s="49">
        <f>AVERAGE('25.10 NTUNGAMO- MIRAMA -24h'!K83)</f>
        <v>0</v>
      </c>
      <c r="L83" s="49">
        <f>AVERAGE('25.10 NTUNGAMO- MIRAMA -24h'!L83)</f>
        <v>0</v>
      </c>
      <c r="M83" s="49">
        <f>AVERAGE('25.10 NTUNGAMO- MIRAMA -24h'!M83)</f>
        <v>0</v>
      </c>
      <c r="N83" s="49">
        <f>AVERAGE('25.10 NTUNGAMO- MIRAMA 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AVERAGE('25.10 NTUNGAMO- MIRAMA -24h'!C84)</f>
        <v>0</v>
      </c>
      <c r="D84" s="49">
        <f>AVERAGE('25.10 NTUNGAMO- MIRAMA -24h'!D84)</f>
        <v>0</v>
      </c>
      <c r="E84" s="49">
        <f>AVERAGE('25.10 NTUNGAMO- MIRAMA -24h'!E84)</f>
        <v>0</v>
      </c>
      <c r="F84" s="49">
        <f>AVERAGE('25.10 NTUNGAMO- MIRAMA -24h'!F84)</f>
        <v>0</v>
      </c>
      <c r="G84" s="49">
        <f>AVERAGE('25.10 NTUNGAMO- MIRAMA -24h'!G84)</f>
        <v>0</v>
      </c>
      <c r="H84" s="49">
        <f>AVERAGE('25.10 NTUNGAMO- MIRAMA -24h'!H84)</f>
        <v>0</v>
      </c>
      <c r="I84" s="49">
        <f>AVERAGE('25.10 NTUNGAMO- MIRAMA -24h'!I84)</f>
        <v>0</v>
      </c>
      <c r="J84" s="49">
        <f>AVERAGE('25.10 NTUNGAMO- MIRAMA -24h'!J84)</f>
        <v>0</v>
      </c>
      <c r="K84" s="49">
        <f>AVERAGE('25.10 NTUNGAMO- MIRAMA -24h'!K84)</f>
        <v>0</v>
      </c>
      <c r="L84" s="49">
        <f>AVERAGE('25.10 NTUNGAMO- MIRAMA -24h'!L84)</f>
        <v>0</v>
      </c>
      <c r="M84" s="49">
        <f>AVERAGE('25.10 NTUNGAMO- MIRAMA -24h'!M84)</f>
        <v>0</v>
      </c>
      <c r="N84" s="49">
        <f>AVERAGE('25.10 NTUNGAMO- MIRAMA 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AVERAGE('25.10 NTUNGAMO- MIRAMA -24h'!C85)</f>
        <v>0</v>
      </c>
      <c r="D85" s="49">
        <f>AVERAGE('25.10 NTUNGAMO- MIRAMA -24h'!D85)</f>
        <v>0</v>
      </c>
      <c r="E85" s="49">
        <f>AVERAGE('25.10 NTUNGAMO- MIRAMA -24h'!E85)</f>
        <v>0</v>
      </c>
      <c r="F85" s="49">
        <f>AVERAGE('25.10 NTUNGAMO- MIRAMA -24h'!F85)</f>
        <v>0</v>
      </c>
      <c r="G85" s="49">
        <f>AVERAGE('25.10 NTUNGAMO- MIRAMA -24h'!G85)</f>
        <v>0</v>
      </c>
      <c r="H85" s="49">
        <f>AVERAGE('25.10 NTUNGAMO- MIRAMA -24h'!H85)</f>
        <v>0</v>
      </c>
      <c r="I85" s="49">
        <f>AVERAGE('25.10 NTUNGAMO- MIRAMA -24h'!I85)</f>
        <v>0</v>
      </c>
      <c r="J85" s="49">
        <f>AVERAGE('25.10 NTUNGAMO- MIRAMA -24h'!J85)</f>
        <v>0</v>
      </c>
      <c r="K85" s="49">
        <f>AVERAGE('25.10 NTUNGAMO- MIRAMA -24h'!K85)</f>
        <v>0</v>
      </c>
      <c r="L85" s="49">
        <f>AVERAGE('25.10 NTUNGAMO- MIRAMA -24h'!L85)</f>
        <v>0</v>
      </c>
      <c r="M85" s="49">
        <f>AVERAGE('25.10 NTUNGAMO- MIRAMA -24h'!M85)</f>
        <v>0</v>
      </c>
      <c r="N85" s="49">
        <f>AVERAGE('25.10 NTUNGAMO- MIRAMA 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AVERAGE('25.10 NTUNGAMO- MIRAMA -24h'!C86)</f>
        <v>0</v>
      </c>
      <c r="D86" s="49">
        <f>AVERAGE('25.10 NTUNGAMO- MIRAMA -24h'!D86)</f>
        <v>0</v>
      </c>
      <c r="E86" s="49">
        <f>AVERAGE('25.10 NTUNGAMO- MIRAMA -24h'!E86)</f>
        <v>0</v>
      </c>
      <c r="F86" s="49">
        <f>AVERAGE('25.10 NTUNGAMO- MIRAMA -24h'!F86)</f>
        <v>0</v>
      </c>
      <c r="G86" s="49">
        <f>AVERAGE('25.10 NTUNGAMO- MIRAMA -24h'!G86)</f>
        <v>0</v>
      </c>
      <c r="H86" s="49">
        <f>AVERAGE('25.10 NTUNGAMO- MIRAMA -24h'!H86)</f>
        <v>0</v>
      </c>
      <c r="I86" s="49">
        <f>AVERAGE('25.10 NTUNGAMO- MIRAMA -24h'!I86)</f>
        <v>0</v>
      </c>
      <c r="J86" s="49">
        <f>AVERAGE('25.10 NTUNGAMO- MIRAMA -24h'!J86)</f>
        <v>0</v>
      </c>
      <c r="K86" s="49">
        <f>AVERAGE('25.10 NTUNGAMO- MIRAMA -24h'!K86)</f>
        <v>0</v>
      </c>
      <c r="L86" s="49">
        <f>AVERAGE('25.10 NTUNGAMO- MIRAMA -24h'!L86)</f>
        <v>2</v>
      </c>
      <c r="M86" s="49">
        <f>AVERAGE('25.10 NTUNGAMO- MIRAMA -24h'!M86)</f>
        <v>0</v>
      </c>
      <c r="N86" s="49">
        <f>AVERAGE('25.10 NTUNGAMO- MIRAMA -24h'!N86)</f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AVERAGE('25.10 NTUNGAMO- MIRAMA -24h'!C87)</f>
        <v>0</v>
      </c>
      <c r="D87" s="49">
        <f>AVERAGE('25.10 NTUNGAMO- MIRAMA -24h'!D87)</f>
        <v>0</v>
      </c>
      <c r="E87" s="49">
        <f>AVERAGE('25.10 NTUNGAMO- MIRAMA -24h'!E87)</f>
        <v>0</v>
      </c>
      <c r="F87" s="49">
        <f>AVERAGE('25.10 NTUNGAMO- MIRAMA -24h'!F87)</f>
        <v>0</v>
      </c>
      <c r="G87" s="49">
        <f>AVERAGE('25.10 NTUNGAMO- MIRAMA -24h'!G87)</f>
        <v>0</v>
      </c>
      <c r="H87" s="49">
        <f>AVERAGE('25.10 NTUNGAMO- MIRAMA -24h'!H87)</f>
        <v>0</v>
      </c>
      <c r="I87" s="49">
        <f>AVERAGE('25.10 NTUNGAMO- MIRAMA -24h'!I87)</f>
        <v>0</v>
      </c>
      <c r="J87" s="49">
        <f>AVERAGE('25.10 NTUNGAMO- MIRAMA -24h'!J87)</f>
        <v>0</v>
      </c>
      <c r="K87" s="49">
        <f>AVERAGE('25.10 NTUNGAMO- MIRAMA -24h'!K87)</f>
        <v>0</v>
      </c>
      <c r="L87" s="49">
        <f>AVERAGE('25.10 NTUNGAMO- MIRAMA -24h'!L87)</f>
        <v>0</v>
      </c>
      <c r="M87" s="49">
        <f>AVERAGE('25.10 NTUNGAMO- MIRAMA -24h'!M87)</f>
        <v>0</v>
      </c>
      <c r="N87" s="49">
        <f>AVERAGE('25.10 NTUNGAMO- MIRAMA 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AVERAGE('25.10 NTUNGAMO- MIRAMA -24h'!C88)</f>
        <v>0</v>
      </c>
      <c r="D88" s="49">
        <f>AVERAGE('25.10 NTUNGAMO- MIRAMA -24h'!D88)</f>
        <v>0</v>
      </c>
      <c r="E88" s="49">
        <f>AVERAGE('25.10 NTUNGAMO- MIRAMA -24h'!E88)</f>
        <v>0</v>
      </c>
      <c r="F88" s="49">
        <f>AVERAGE('25.10 NTUNGAMO- MIRAMA -24h'!F88)</f>
        <v>0</v>
      </c>
      <c r="G88" s="49">
        <f>AVERAGE('25.10 NTUNGAMO- MIRAMA -24h'!G88)</f>
        <v>0</v>
      </c>
      <c r="H88" s="49">
        <f>AVERAGE('25.10 NTUNGAMO- MIRAMA -24h'!H88)</f>
        <v>0</v>
      </c>
      <c r="I88" s="49">
        <f>AVERAGE('25.10 NTUNGAMO- MIRAMA -24h'!I88)</f>
        <v>0</v>
      </c>
      <c r="J88" s="49">
        <f>AVERAGE('25.10 NTUNGAMO- MIRAMA -24h'!J88)</f>
        <v>0</v>
      </c>
      <c r="K88" s="49">
        <f>AVERAGE('25.10 NTUNGAMO- MIRAMA -24h'!K88)</f>
        <v>0</v>
      </c>
      <c r="L88" s="49">
        <f>AVERAGE('25.10 NTUNGAMO- MIRAMA -24h'!L88)</f>
        <v>0</v>
      </c>
      <c r="M88" s="49">
        <f>AVERAGE('25.10 NTUNGAMO- MIRAMA -24h'!M88)</f>
        <v>0</v>
      </c>
      <c r="N88" s="49">
        <f>AVERAGE('25.10 NTUNGAMO- MIRAMA 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AVERAGE('25.10 NTUNGAMO- MIRAMA -24h'!C89)</f>
        <v>0</v>
      </c>
      <c r="D89" s="49">
        <f>AVERAGE('25.10 NTUNGAMO- MIRAMA -24h'!D89)</f>
        <v>0</v>
      </c>
      <c r="E89" s="49">
        <f>AVERAGE('25.10 NTUNGAMO- MIRAMA -24h'!E89)</f>
        <v>0</v>
      </c>
      <c r="F89" s="49">
        <f>AVERAGE('25.10 NTUNGAMO- MIRAMA -24h'!F89)</f>
        <v>0</v>
      </c>
      <c r="G89" s="49">
        <f>AVERAGE('25.10 NTUNGAMO- MIRAMA -24h'!G89)</f>
        <v>0</v>
      </c>
      <c r="H89" s="49">
        <f>AVERAGE('25.10 NTUNGAMO- MIRAMA -24h'!H89)</f>
        <v>0</v>
      </c>
      <c r="I89" s="49">
        <f>AVERAGE('25.10 NTUNGAMO- MIRAMA -24h'!I89)</f>
        <v>0</v>
      </c>
      <c r="J89" s="49">
        <f>AVERAGE('25.10 NTUNGAMO- MIRAMA -24h'!J89)</f>
        <v>0</v>
      </c>
      <c r="K89" s="49">
        <f>AVERAGE('25.10 NTUNGAMO- MIRAMA -24h'!K89)</f>
        <v>0</v>
      </c>
      <c r="L89" s="49">
        <f>AVERAGE('25.10 NTUNGAMO- MIRAMA -24h'!L89)</f>
        <v>1</v>
      </c>
      <c r="M89" s="49">
        <f>AVERAGE('25.10 NTUNGAMO- MIRAMA -24h'!M89)</f>
        <v>0</v>
      </c>
      <c r="N89" s="49">
        <f>AVERAGE('25.10 NTUNGAMO- MIRAMA -24h'!N89)</f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AVERAGE('25.10 NTUNGAMO- MIRAMA -24h'!C90)</f>
        <v>0</v>
      </c>
      <c r="D90" s="49">
        <f>AVERAGE('25.10 NTUNGAMO- MIRAMA -24h'!D90)</f>
        <v>0</v>
      </c>
      <c r="E90" s="49">
        <f>AVERAGE('25.10 NTUNGAMO- MIRAMA -24h'!E90)</f>
        <v>0</v>
      </c>
      <c r="F90" s="49">
        <f>AVERAGE('25.10 NTUNGAMO- MIRAMA -24h'!F90)</f>
        <v>0</v>
      </c>
      <c r="G90" s="49">
        <f>AVERAGE('25.10 NTUNGAMO- MIRAMA -24h'!G90)</f>
        <v>0</v>
      </c>
      <c r="H90" s="49">
        <f>AVERAGE('25.10 NTUNGAMO- MIRAMA -24h'!H90)</f>
        <v>0</v>
      </c>
      <c r="I90" s="49">
        <f>AVERAGE('25.10 NTUNGAMO- MIRAMA -24h'!I90)</f>
        <v>0</v>
      </c>
      <c r="J90" s="49">
        <f>AVERAGE('25.10 NTUNGAMO- MIRAMA -24h'!J90)</f>
        <v>0</v>
      </c>
      <c r="K90" s="49">
        <f>AVERAGE('25.10 NTUNGAMO- MIRAMA -24h'!K90)</f>
        <v>0</v>
      </c>
      <c r="L90" s="49">
        <f>AVERAGE('25.10 NTUNGAMO- MIRAMA -24h'!L90)</f>
        <v>0</v>
      </c>
      <c r="M90" s="49">
        <f>AVERAGE('25.10 NTUNGAMO- MIRAMA -24h'!M90)</f>
        <v>0</v>
      </c>
      <c r="N90" s="49">
        <f>AVERAGE('25.10 NTUNGAMO- MIRAMA 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AVERAGE('25.10 NTUNGAMO- MIRAMA -24h'!C91)</f>
        <v>0</v>
      </c>
      <c r="D91" s="49">
        <f>AVERAGE('25.10 NTUNGAMO- MIRAMA -24h'!D91)</f>
        <v>0</v>
      </c>
      <c r="E91" s="49">
        <f>AVERAGE('25.10 NTUNGAMO- MIRAMA -24h'!E91)</f>
        <v>0</v>
      </c>
      <c r="F91" s="49">
        <f>AVERAGE('25.10 NTUNGAMO- MIRAMA -24h'!F91)</f>
        <v>0</v>
      </c>
      <c r="G91" s="49">
        <f>AVERAGE('25.10 NTUNGAMO- MIRAMA -24h'!G91)</f>
        <v>0</v>
      </c>
      <c r="H91" s="49">
        <f>AVERAGE('25.10 NTUNGAMO- MIRAMA -24h'!H91)</f>
        <v>0</v>
      </c>
      <c r="I91" s="49">
        <f>AVERAGE('25.10 NTUNGAMO- MIRAMA -24h'!I91)</f>
        <v>0</v>
      </c>
      <c r="J91" s="49">
        <f>AVERAGE('25.10 NTUNGAMO- MIRAMA -24h'!J91)</f>
        <v>0</v>
      </c>
      <c r="K91" s="49">
        <f>AVERAGE('25.10 NTUNGAMO- MIRAMA -24h'!K91)</f>
        <v>0</v>
      </c>
      <c r="L91" s="49">
        <f>AVERAGE('25.10 NTUNGAMO- MIRAMA -24h'!L91)</f>
        <v>0</v>
      </c>
      <c r="M91" s="49">
        <f>AVERAGE('25.10 NTUNGAMO- MIRAMA -24h'!M91)</f>
        <v>0</v>
      </c>
      <c r="N91" s="49">
        <f>AVERAGE('25.10 NTUNGAMO- MIRAMA 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AVERAGE('25.10 NTUNGAMO- MIRAMA -24h'!C92)</f>
        <v>0</v>
      </c>
      <c r="D92" s="49">
        <f>AVERAGE('25.10 NTUNGAMO- MIRAMA -24h'!D92)</f>
        <v>0</v>
      </c>
      <c r="E92" s="49">
        <f>AVERAGE('25.10 NTUNGAMO- MIRAMA -24h'!E92)</f>
        <v>0</v>
      </c>
      <c r="F92" s="49">
        <f>AVERAGE('25.10 NTUNGAMO- MIRAMA -24h'!F92)</f>
        <v>0</v>
      </c>
      <c r="G92" s="49">
        <f>AVERAGE('25.10 NTUNGAMO- MIRAMA -24h'!G92)</f>
        <v>0</v>
      </c>
      <c r="H92" s="49">
        <f>AVERAGE('25.10 NTUNGAMO- MIRAMA -24h'!H92)</f>
        <v>0</v>
      </c>
      <c r="I92" s="49">
        <f>AVERAGE('25.10 NTUNGAMO- MIRAMA -24h'!I92)</f>
        <v>0</v>
      </c>
      <c r="J92" s="49">
        <f>AVERAGE('25.10 NTUNGAMO- MIRAMA -24h'!J92)</f>
        <v>0</v>
      </c>
      <c r="K92" s="49">
        <f>AVERAGE('25.10 NTUNGAMO- MIRAMA -24h'!K92)</f>
        <v>0</v>
      </c>
      <c r="L92" s="49">
        <f>AVERAGE('25.10 NTUNGAMO- MIRAMA -24h'!L92)</f>
        <v>0</v>
      </c>
      <c r="M92" s="49">
        <f>AVERAGE('25.10 NTUNGAMO- MIRAMA -24h'!M92)</f>
        <v>0</v>
      </c>
      <c r="N92" s="49">
        <f>AVERAGE('25.10 NTUNGAMO- MIRAMA 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AVERAGE('25.10 NTUNGAMO- MIRAMA -24h'!C93)</f>
        <v>0</v>
      </c>
      <c r="D93" s="49">
        <f>AVERAGE('25.10 NTUNGAMO- MIRAMA -24h'!D93)</f>
        <v>0</v>
      </c>
      <c r="E93" s="49">
        <f>AVERAGE('25.10 NTUNGAMO- MIRAMA -24h'!E93)</f>
        <v>0</v>
      </c>
      <c r="F93" s="49">
        <f>AVERAGE('25.10 NTUNGAMO- MIRAMA -24h'!F93)</f>
        <v>0</v>
      </c>
      <c r="G93" s="49">
        <f>AVERAGE('25.10 NTUNGAMO- MIRAMA -24h'!G93)</f>
        <v>0</v>
      </c>
      <c r="H93" s="49">
        <f>AVERAGE('25.10 NTUNGAMO- MIRAMA -24h'!H93)</f>
        <v>0</v>
      </c>
      <c r="I93" s="49">
        <f>AVERAGE('25.10 NTUNGAMO- MIRAMA -24h'!I93)</f>
        <v>0</v>
      </c>
      <c r="J93" s="49">
        <f>AVERAGE('25.10 NTUNGAMO- MIRAMA -24h'!J93)</f>
        <v>0</v>
      </c>
      <c r="K93" s="49">
        <f>AVERAGE('25.10 NTUNGAMO- MIRAMA -24h'!K93)</f>
        <v>0</v>
      </c>
      <c r="L93" s="49">
        <f>AVERAGE('25.10 NTUNGAMO- MIRAMA -24h'!L93)</f>
        <v>0</v>
      </c>
      <c r="M93" s="49">
        <f>AVERAGE('25.10 NTUNGAMO- MIRAMA -24h'!M93)</f>
        <v>0</v>
      </c>
      <c r="N93" s="49">
        <f>AVERAGE('25.10 NTUNGAMO- MIRAMA 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AVERAGE('25.10 NTUNGAMO- MIRAMA -24h'!C94)</f>
        <v>0</v>
      </c>
      <c r="D94" s="49">
        <f>AVERAGE('25.10 NTUNGAMO- MIRAMA -24h'!D94)</f>
        <v>0</v>
      </c>
      <c r="E94" s="49">
        <f>AVERAGE('25.10 NTUNGAMO- MIRAMA -24h'!E94)</f>
        <v>0</v>
      </c>
      <c r="F94" s="49">
        <f>AVERAGE('25.10 NTUNGAMO- MIRAMA -24h'!F94)</f>
        <v>0</v>
      </c>
      <c r="G94" s="49">
        <f>AVERAGE('25.10 NTUNGAMO- MIRAMA -24h'!G94)</f>
        <v>0</v>
      </c>
      <c r="H94" s="49">
        <f>AVERAGE('25.10 NTUNGAMO- MIRAMA -24h'!H94)</f>
        <v>0</v>
      </c>
      <c r="I94" s="49">
        <f>AVERAGE('25.10 NTUNGAMO- MIRAMA -24h'!I94)</f>
        <v>0</v>
      </c>
      <c r="J94" s="49">
        <f>AVERAGE('25.10 NTUNGAMO- MIRAMA -24h'!J94)</f>
        <v>0</v>
      </c>
      <c r="K94" s="49">
        <f>AVERAGE('25.10 NTUNGAMO- MIRAMA -24h'!K94)</f>
        <v>0</v>
      </c>
      <c r="L94" s="49">
        <f>AVERAGE('25.10 NTUNGAMO- MIRAMA -24h'!L94)</f>
        <v>0</v>
      </c>
      <c r="M94" s="49">
        <f>AVERAGE('25.10 NTUNGAMO- MIRAMA -24h'!M94)</f>
        <v>0</v>
      </c>
      <c r="N94" s="49">
        <f>AVERAGE('25.10 NTUNGAMO- MIRAMA 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AVERAGE('25.10 NTUNGAMO- MIRAMA -24h'!C95)</f>
        <v>0</v>
      </c>
      <c r="D95" s="49">
        <f>AVERAGE('25.10 NTUNGAMO- MIRAMA -24h'!D95)</f>
        <v>0</v>
      </c>
      <c r="E95" s="49">
        <f>AVERAGE('25.10 NTUNGAMO- MIRAMA -24h'!E95)</f>
        <v>0</v>
      </c>
      <c r="F95" s="49">
        <f>AVERAGE('25.10 NTUNGAMO- MIRAMA -24h'!F95)</f>
        <v>0</v>
      </c>
      <c r="G95" s="49">
        <f>AVERAGE('25.10 NTUNGAMO- MIRAMA -24h'!G95)</f>
        <v>0</v>
      </c>
      <c r="H95" s="49">
        <f>AVERAGE('25.10 NTUNGAMO- MIRAMA -24h'!H95)</f>
        <v>0</v>
      </c>
      <c r="I95" s="49">
        <f>AVERAGE('25.10 NTUNGAMO- MIRAMA -24h'!I95)</f>
        <v>0</v>
      </c>
      <c r="J95" s="49">
        <f>AVERAGE('25.10 NTUNGAMO- MIRAMA -24h'!J95)</f>
        <v>0</v>
      </c>
      <c r="K95" s="49">
        <f>AVERAGE('25.10 NTUNGAMO- MIRAMA -24h'!K95)</f>
        <v>0</v>
      </c>
      <c r="L95" s="49">
        <f>AVERAGE('25.10 NTUNGAMO- MIRAMA -24h'!L95)</f>
        <v>0</v>
      </c>
      <c r="M95" s="49">
        <f>AVERAGE('25.10 NTUNGAMO- MIRAMA -24h'!M95)</f>
        <v>0</v>
      </c>
      <c r="N95" s="49">
        <f>AVERAGE('25.10 NTUNGAMO- MIRAMA 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AVERAGE('25.10 NTUNGAMO- MIRAMA -24h'!C96)</f>
        <v>0</v>
      </c>
      <c r="D96" s="49">
        <f>AVERAGE('25.10 NTUNGAMO- MIRAMA -24h'!D96)</f>
        <v>0</v>
      </c>
      <c r="E96" s="49">
        <f>AVERAGE('25.10 NTUNGAMO- MIRAMA -24h'!E96)</f>
        <v>0</v>
      </c>
      <c r="F96" s="49">
        <f>AVERAGE('25.10 NTUNGAMO- MIRAMA -24h'!F96)</f>
        <v>0</v>
      </c>
      <c r="G96" s="49">
        <f>AVERAGE('25.10 NTUNGAMO- MIRAMA -24h'!G96)</f>
        <v>0</v>
      </c>
      <c r="H96" s="49">
        <f>AVERAGE('25.10 NTUNGAMO- MIRAMA -24h'!H96)</f>
        <v>0</v>
      </c>
      <c r="I96" s="49">
        <f>AVERAGE('25.10 NTUNGAMO- MIRAMA -24h'!I96)</f>
        <v>0</v>
      </c>
      <c r="J96" s="49">
        <f>AVERAGE('25.10 NTUNGAMO- MIRAMA -24h'!J96)</f>
        <v>0</v>
      </c>
      <c r="K96" s="49">
        <f>AVERAGE('25.10 NTUNGAMO- MIRAMA -24h'!K96)</f>
        <v>0</v>
      </c>
      <c r="L96" s="49">
        <f>AVERAGE('25.10 NTUNGAMO- MIRAMA -24h'!L96)</f>
        <v>0</v>
      </c>
      <c r="M96" s="49">
        <f>AVERAGE('25.10 NTUNGAMO- MIRAMA -24h'!M96)</f>
        <v>0</v>
      </c>
      <c r="N96" s="49">
        <f>AVERAGE('25.10 NTUNGAMO- MIRAMA 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AVERAGE('25.10 NTUNGAMO- MIRAMA -24h'!C97)</f>
        <v>0</v>
      </c>
      <c r="D97" s="49">
        <f>AVERAGE('25.10 NTUNGAMO- MIRAMA -24h'!D97)</f>
        <v>0</v>
      </c>
      <c r="E97" s="49">
        <f>AVERAGE('25.10 NTUNGAMO- MIRAMA -24h'!E97)</f>
        <v>0</v>
      </c>
      <c r="F97" s="49">
        <f>AVERAGE('25.10 NTUNGAMO- MIRAMA -24h'!F97)</f>
        <v>0</v>
      </c>
      <c r="G97" s="49">
        <f>AVERAGE('25.10 NTUNGAMO- MIRAMA -24h'!G97)</f>
        <v>0</v>
      </c>
      <c r="H97" s="49">
        <f>AVERAGE('25.10 NTUNGAMO- MIRAMA -24h'!H97)</f>
        <v>0</v>
      </c>
      <c r="I97" s="49">
        <f>AVERAGE('25.10 NTUNGAMO- MIRAMA -24h'!I97)</f>
        <v>0</v>
      </c>
      <c r="J97" s="49">
        <f>AVERAGE('25.10 NTUNGAMO- MIRAMA -24h'!J97)</f>
        <v>0</v>
      </c>
      <c r="K97" s="49">
        <f>AVERAGE('25.10 NTUNGAMO- MIRAMA -24h'!K97)</f>
        <v>0</v>
      </c>
      <c r="L97" s="49">
        <f>AVERAGE('25.10 NTUNGAMO- MIRAMA -24h'!L97)</f>
        <v>0</v>
      </c>
      <c r="M97" s="49">
        <f>AVERAGE('25.10 NTUNGAMO- MIRAMA -24h'!M97)</f>
        <v>0</v>
      </c>
      <c r="N97" s="49">
        <f>AVERAGE('25.10 NTUNGAMO- MIRAMA 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AVERAGE('25.10 NTUNGAMO- MIRAMA -24h'!C98)</f>
        <v>0</v>
      </c>
      <c r="D98" s="49">
        <f>AVERAGE('25.10 NTUNGAMO- MIRAMA -24h'!D98)</f>
        <v>0</v>
      </c>
      <c r="E98" s="49">
        <f>AVERAGE('25.10 NTUNGAMO- MIRAMA -24h'!E98)</f>
        <v>0</v>
      </c>
      <c r="F98" s="49">
        <f>AVERAGE('25.10 NTUNGAMO- MIRAMA -24h'!F98)</f>
        <v>0</v>
      </c>
      <c r="G98" s="49">
        <f>AVERAGE('25.10 NTUNGAMO- MIRAMA -24h'!G98)</f>
        <v>0</v>
      </c>
      <c r="H98" s="49">
        <f>AVERAGE('25.10 NTUNGAMO- MIRAMA -24h'!H98)</f>
        <v>0</v>
      </c>
      <c r="I98" s="49">
        <f>AVERAGE('25.10 NTUNGAMO- MIRAMA -24h'!I98)</f>
        <v>0</v>
      </c>
      <c r="J98" s="49">
        <f>AVERAGE('25.10 NTUNGAMO- MIRAMA -24h'!J98)</f>
        <v>0</v>
      </c>
      <c r="K98" s="49">
        <f>AVERAGE('25.10 NTUNGAMO- MIRAMA -24h'!K98)</f>
        <v>0</v>
      </c>
      <c r="L98" s="49">
        <f>AVERAGE('25.10 NTUNGAMO- MIRAMA -24h'!L98)</f>
        <v>2</v>
      </c>
      <c r="M98" s="49">
        <f>AVERAGE('25.10 NTUNGAMO- MIRAMA -24h'!M98)</f>
        <v>0</v>
      </c>
      <c r="N98" s="49">
        <f>AVERAGE('25.10 NTUNGAMO- MIRAMA -24h'!N98)</f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AVERAGE('25.10 NTUNGAMO- MIRAMA -24h'!C99)</f>
        <v>0</v>
      </c>
      <c r="D99" s="49">
        <f>AVERAGE('25.10 NTUNGAMO- MIRAMA -24h'!D99)</f>
        <v>0</v>
      </c>
      <c r="E99" s="49">
        <f>AVERAGE('25.10 NTUNGAMO- MIRAMA -24h'!E99)</f>
        <v>0</v>
      </c>
      <c r="F99" s="49">
        <f>AVERAGE('25.10 NTUNGAMO- MIRAMA -24h'!F99)</f>
        <v>0</v>
      </c>
      <c r="G99" s="49">
        <f>AVERAGE('25.10 NTUNGAMO- MIRAMA -24h'!G99)</f>
        <v>0</v>
      </c>
      <c r="H99" s="49">
        <f>AVERAGE('25.10 NTUNGAMO- MIRAMA -24h'!H99)</f>
        <v>0</v>
      </c>
      <c r="I99" s="49">
        <f>AVERAGE('25.10 NTUNGAMO- MIRAMA -24h'!I99)</f>
        <v>0</v>
      </c>
      <c r="J99" s="49">
        <f>AVERAGE('25.10 NTUNGAMO- MIRAMA -24h'!J99)</f>
        <v>0</v>
      </c>
      <c r="K99" s="49">
        <f>AVERAGE('25.10 NTUNGAMO- MIRAMA -24h'!K99)</f>
        <v>0</v>
      </c>
      <c r="L99" s="49">
        <f>AVERAGE('25.10 NTUNGAMO- MIRAMA -24h'!L99)</f>
        <v>1</v>
      </c>
      <c r="M99" s="49">
        <f>AVERAGE('25.10 NTUNGAMO- MIRAMA -24h'!M99)</f>
        <v>0</v>
      </c>
      <c r="N99" s="49">
        <f>AVERAGE('25.10 NTUNGAMO- MIRAMA -24h'!N99)</f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AVERAGE('25.10 NTUNGAMO- MIRAMA -24h'!C100)</f>
        <v>0</v>
      </c>
      <c r="D100" s="49">
        <f>AVERAGE('25.10 NTUNGAMO- MIRAMA -24h'!D100)</f>
        <v>0</v>
      </c>
      <c r="E100" s="49">
        <f>AVERAGE('25.10 NTUNGAMO- MIRAMA -24h'!E100)</f>
        <v>0</v>
      </c>
      <c r="F100" s="49">
        <f>AVERAGE('25.10 NTUNGAMO- MIRAMA -24h'!F100)</f>
        <v>0</v>
      </c>
      <c r="G100" s="49">
        <f>AVERAGE('25.10 NTUNGAMO- MIRAMA -24h'!G100)</f>
        <v>0</v>
      </c>
      <c r="H100" s="49">
        <f>AVERAGE('25.10 NTUNGAMO- MIRAMA -24h'!H100)</f>
        <v>0</v>
      </c>
      <c r="I100" s="49">
        <f>AVERAGE('25.10 NTUNGAMO- MIRAMA -24h'!I100)</f>
        <v>0</v>
      </c>
      <c r="J100" s="49">
        <f>AVERAGE('25.10 NTUNGAMO- MIRAMA -24h'!J100)</f>
        <v>0</v>
      </c>
      <c r="K100" s="49">
        <f>AVERAGE('25.10 NTUNGAMO- MIRAMA -24h'!K100)</f>
        <v>0</v>
      </c>
      <c r="L100" s="49">
        <f>AVERAGE('25.10 NTUNGAMO- MIRAMA -24h'!L100)</f>
        <v>4</v>
      </c>
      <c r="M100" s="49">
        <f>AVERAGE('25.10 NTUNGAMO- MIRAMA -24h'!M100)</f>
        <v>0</v>
      </c>
      <c r="N100" s="49">
        <f>AVERAGE('25.10 NTUNGAMO- MIRAMA -24h'!N100)</f>
        <v>0</v>
      </c>
      <c r="O100" s="15">
        <f t="shared" si="35"/>
        <v>4</v>
      </c>
      <c r="P100" s="15">
        <f t="shared" si="36"/>
        <v>4</v>
      </c>
      <c r="R100" s="8"/>
      <c r="T100"/>
    </row>
    <row r="101" spans="2:20" ht="23.1" customHeight="1" x14ac:dyDescent="0.25">
      <c r="B101" s="23" t="s">
        <v>141</v>
      </c>
      <c r="C101" s="49">
        <f>AVERAGE('25.10 NTUNGAMO- MIRAMA -24h'!C101)</f>
        <v>0</v>
      </c>
      <c r="D101" s="49">
        <f>AVERAGE('25.10 NTUNGAMO- MIRAMA -24h'!D101)</f>
        <v>0</v>
      </c>
      <c r="E101" s="49">
        <f>AVERAGE('25.10 NTUNGAMO- MIRAMA -24h'!E101)</f>
        <v>0</v>
      </c>
      <c r="F101" s="49">
        <f>AVERAGE('25.10 NTUNGAMO- MIRAMA -24h'!F101)</f>
        <v>0</v>
      </c>
      <c r="G101" s="49">
        <f>AVERAGE('25.10 NTUNGAMO- MIRAMA -24h'!G101)</f>
        <v>0</v>
      </c>
      <c r="H101" s="49">
        <f>AVERAGE('25.10 NTUNGAMO- MIRAMA -24h'!H101)</f>
        <v>0</v>
      </c>
      <c r="I101" s="49">
        <f>AVERAGE('25.10 NTUNGAMO- MIRAMA -24h'!I101)</f>
        <v>0</v>
      </c>
      <c r="J101" s="49">
        <f>AVERAGE('25.10 NTUNGAMO- MIRAMA -24h'!J101)</f>
        <v>0</v>
      </c>
      <c r="K101" s="49">
        <f>AVERAGE('25.10 NTUNGAMO- MIRAMA -24h'!K101)</f>
        <v>0</v>
      </c>
      <c r="L101" s="49">
        <f>AVERAGE('25.10 NTUNGAMO- MIRAMA -24h'!L101)</f>
        <v>0</v>
      </c>
      <c r="M101" s="49">
        <f>AVERAGE('25.10 NTUNGAMO- MIRAMA -24h'!M101)</f>
        <v>0</v>
      </c>
      <c r="N101" s="49">
        <f>AVERAGE('25.10 NTUNGAMO- MIRAMA -24h'!N101)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4" t="s">
        <v>142</v>
      </c>
      <c r="C102" s="49">
        <f>AVERAGE('25.10 NTUNGAMO- MIRAMA -24h'!C102)</f>
        <v>0</v>
      </c>
      <c r="D102" s="49">
        <f>AVERAGE('25.10 NTUNGAMO- MIRAMA -24h'!D102)</f>
        <v>0</v>
      </c>
      <c r="E102" s="49">
        <f>AVERAGE('25.10 NTUNGAMO- MIRAMA -24h'!E102)</f>
        <v>0</v>
      </c>
      <c r="F102" s="49">
        <f>AVERAGE('25.10 NTUNGAMO- MIRAMA -24h'!F102)</f>
        <v>0</v>
      </c>
      <c r="G102" s="49">
        <f>AVERAGE('25.10 NTUNGAMO- MIRAMA -24h'!G102)</f>
        <v>0</v>
      </c>
      <c r="H102" s="49">
        <f>AVERAGE('25.10 NTUNGAMO- MIRAMA -24h'!H102)</f>
        <v>0</v>
      </c>
      <c r="I102" s="49">
        <f>AVERAGE('25.10 NTUNGAMO- MIRAMA -24h'!I102)</f>
        <v>0</v>
      </c>
      <c r="J102" s="49">
        <f>AVERAGE('25.10 NTUNGAMO- MIRAMA -24h'!J102)</f>
        <v>0</v>
      </c>
      <c r="K102" s="49">
        <f>AVERAGE('25.10 NTUNGAMO- MIRAMA -24h'!K102)</f>
        <v>3</v>
      </c>
      <c r="L102" s="49">
        <f>AVERAGE('25.10 NTUNGAMO- MIRAMA -24h'!L102)</f>
        <v>4</v>
      </c>
      <c r="M102" s="49">
        <f>AVERAGE('25.10 NTUNGAMO- MIRAMA -24h'!M102)</f>
        <v>0</v>
      </c>
      <c r="N102" s="49">
        <f>AVERAGE('25.10 NTUNGAMO- MIRAMA -24h'!N102)</f>
        <v>0</v>
      </c>
      <c r="O102" s="15">
        <f t="shared" si="35"/>
        <v>7</v>
      </c>
      <c r="P102" s="15">
        <f t="shared" si="36"/>
        <v>7</v>
      </c>
      <c r="R102" s="8"/>
      <c r="T102"/>
    </row>
    <row r="103" spans="2:20" ht="23.1" customHeight="1" x14ac:dyDescent="0.25">
      <c r="B103" s="23" t="s">
        <v>143</v>
      </c>
      <c r="C103" s="49">
        <f>AVERAGE('25.10 NTUNGAMO- MIRAMA -24h'!C103)</f>
        <v>0</v>
      </c>
      <c r="D103" s="49">
        <f>AVERAGE('25.10 NTUNGAMO- MIRAMA -24h'!D103)</f>
        <v>0</v>
      </c>
      <c r="E103" s="49">
        <f>AVERAGE('25.10 NTUNGAMO- MIRAMA -24h'!E103)</f>
        <v>0</v>
      </c>
      <c r="F103" s="49">
        <f>AVERAGE('25.10 NTUNGAMO- MIRAMA -24h'!F103)</f>
        <v>0</v>
      </c>
      <c r="G103" s="49">
        <f>AVERAGE('25.10 NTUNGAMO- MIRAMA -24h'!G103)</f>
        <v>0</v>
      </c>
      <c r="H103" s="49">
        <f>AVERAGE('25.10 NTUNGAMO- MIRAMA -24h'!H103)</f>
        <v>0</v>
      </c>
      <c r="I103" s="49">
        <f>AVERAGE('25.10 NTUNGAMO- MIRAMA -24h'!I103)</f>
        <v>0</v>
      </c>
      <c r="J103" s="49">
        <f>AVERAGE('25.10 NTUNGAMO- MIRAMA -24h'!J103)</f>
        <v>0</v>
      </c>
      <c r="K103" s="49">
        <f>AVERAGE('25.10 NTUNGAMO- MIRAMA -24h'!K103)</f>
        <v>0</v>
      </c>
      <c r="L103" s="49">
        <f>AVERAGE('25.10 NTUNGAMO- MIRAMA -24h'!L103)</f>
        <v>2</v>
      </c>
      <c r="M103" s="49">
        <f>AVERAGE('25.10 NTUNGAMO- MIRAMA -24h'!M103)</f>
        <v>0</v>
      </c>
      <c r="N103" s="49">
        <f>AVERAGE('25.10 NTUNGAMO- MIRAMA -24h'!N103)</f>
        <v>0</v>
      </c>
      <c r="O103" s="15">
        <f t="shared" si="35"/>
        <v>2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AVERAGE('25.10 NTUNGAMO- MIRAMA -24h'!C104)</f>
        <v>0</v>
      </c>
      <c r="D104" s="49">
        <f>AVERAGE('25.10 NTUNGAMO- MIRAMA -24h'!D104)</f>
        <v>0</v>
      </c>
      <c r="E104" s="49">
        <f>AVERAGE('25.10 NTUNGAMO- MIRAMA -24h'!E104)</f>
        <v>0</v>
      </c>
      <c r="F104" s="49">
        <f>AVERAGE('25.10 NTUNGAMO- MIRAMA -24h'!F104)</f>
        <v>0</v>
      </c>
      <c r="G104" s="49">
        <f>AVERAGE('25.10 NTUNGAMO- MIRAMA -24h'!G104)</f>
        <v>0</v>
      </c>
      <c r="H104" s="49">
        <f>AVERAGE('25.10 NTUNGAMO- MIRAMA -24h'!H104)</f>
        <v>0</v>
      </c>
      <c r="I104" s="49">
        <f>AVERAGE('25.10 NTUNGAMO- MIRAMA -24h'!I104)</f>
        <v>0</v>
      </c>
      <c r="J104" s="49">
        <f>AVERAGE('25.10 NTUNGAMO- MIRAMA -24h'!J104)</f>
        <v>0</v>
      </c>
      <c r="K104" s="49">
        <f>AVERAGE('25.10 NTUNGAMO- MIRAMA -24h'!K104)</f>
        <v>0</v>
      </c>
      <c r="L104" s="49">
        <f>AVERAGE('25.10 NTUNGAMO- MIRAMA -24h'!L104)</f>
        <v>0</v>
      </c>
      <c r="M104" s="49">
        <f>AVERAGE('25.10 NTUNGAMO- MIRAMA -24h'!M104)</f>
        <v>0</v>
      </c>
      <c r="N104" s="49">
        <f>AVERAGE('25.10 NTUNGAMO- MIRAMA -24h'!N104)</f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23" t="s">
        <v>145</v>
      </c>
      <c r="C105" s="49">
        <f>AVERAGE('25.10 NTUNGAMO- MIRAMA -24h'!C105)</f>
        <v>0</v>
      </c>
      <c r="D105" s="49">
        <f>AVERAGE('25.10 NTUNGAMO- MIRAMA -24h'!D105)</f>
        <v>0</v>
      </c>
      <c r="E105" s="49">
        <f>AVERAGE('25.10 NTUNGAMO- MIRAMA -24h'!E105)</f>
        <v>0</v>
      </c>
      <c r="F105" s="49">
        <f>AVERAGE('25.10 NTUNGAMO- MIRAMA -24h'!F105)</f>
        <v>0</v>
      </c>
      <c r="G105" s="49">
        <f>AVERAGE('25.10 NTUNGAMO- MIRAMA -24h'!G105)</f>
        <v>0</v>
      </c>
      <c r="H105" s="49">
        <f>AVERAGE('25.10 NTUNGAMO- MIRAMA -24h'!H105)</f>
        <v>0</v>
      </c>
      <c r="I105" s="49">
        <f>AVERAGE('25.10 NTUNGAMO- MIRAMA -24h'!I105)</f>
        <v>0</v>
      </c>
      <c r="J105" s="49">
        <f>AVERAGE('25.10 NTUNGAMO- MIRAMA -24h'!J105)</f>
        <v>0</v>
      </c>
      <c r="K105" s="49">
        <f>AVERAGE('25.10 NTUNGAMO- MIRAMA -24h'!K105)</f>
        <v>0</v>
      </c>
      <c r="L105" s="49">
        <f>AVERAGE('25.10 NTUNGAMO- MIRAMA -24h'!L105)</f>
        <v>0</v>
      </c>
      <c r="M105" s="49">
        <f>AVERAGE('25.10 NTUNGAMO- MIRAMA -24h'!M105)</f>
        <v>0</v>
      </c>
      <c r="N105" s="49">
        <f>AVERAGE('25.10 NTUNGAMO- MIRAMA -24h'!N105)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35.5</v>
      </c>
      <c r="D106" s="16">
        <f t="shared" ref="D106:Q106" si="37">SUM(D10:D105)</f>
        <v>1</v>
      </c>
      <c r="E106" s="16">
        <f t="shared" si="37"/>
        <v>1.5</v>
      </c>
      <c r="F106" s="16">
        <f t="shared" si="37"/>
        <v>0.5</v>
      </c>
      <c r="G106" s="16">
        <f t="shared" si="37"/>
        <v>0.5</v>
      </c>
      <c r="H106" s="16">
        <f t="shared" si="37"/>
        <v>0</v>
      </c>
      <c r="I106" s="16">
        <f t="shared" si="37"/>
        <v>1.5</v>
      </c>
      <c r="J106" s="16">
        <f t="shared" si="37"/>
        <v>2.5</v>
      </c>
      <c r="K106" s="16">
        <f t="shared" si="37"/>
        <v>7.5</v>
      </c>
      <c r="L106" s="16">
        <f t="shared" si="37"/>
        <v>60.5</v>
      </c>
      <c r="M106" s="16">
        <f t="shared" si="37"/>
        <v>141</v>
      </c>
      <c r="N106" s="16">
        <f t="shared" si="37"/>
        <v>0</v>
      </c>
      <c r="O106" s="16">
        <f t="shared" si="37"/>
        <v>111</v>
      </c>
      <c r="P106" s="16">
        <f t="shared" si="37"/>
        <v>252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0.14087301587301587</v>
      </c>
      <c r="D107" s="43">
        <f t="shared" si="38"/>
        <v>3.968253968253968E-3</v>
      </c>
      <c r="E107" s="43">
        <f t="shared" si="38"/>
        <v>5.9523809523809521E-3</v>
      </c>
      <c r="F107" s="43">
        <f t="shared" si="38"/>
        <v>1.984126984126984E-3</v>
      </c>
      <c r="G107" s="43">
        <f t="shared" si="38"/>
        <v>1.984126984126984E-3</v>
      </c>
      <c r="H107" s="43">
        <f t="shared" si="38"/>
        <v>0</v>
      </c>
      <c r="I107" s="43">
        <f t="shared" si="38"/>
        <v>5.9523809523809521E-3</v>
      </c>
      <c r="J107" s="43">
        <f t="shared" si="38"/>
        <v>9.9206349206349201E-3</v>
      </c>
      <c r="K107" s="43">
        <f t="shared" si="38"/>
        <v>2.976190476190476E-2</v>
      </c>
      <c r="L107" s="43">
        <f t="shared" si="38"/>
        <v>0.24007936507936509</v>
      </c>
      <c r="M107" s="43">
        <f t="shared" si="38"/>
        <v>0.55952380952380953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0.31981981981981983</v>
      </c>
      <c r="D108" s="44">
        <f t="shared" ref="D108:N108" si="39">D106/$O$106</f>
        <v>9.0090090090090089E-3</v>
      </c>
      <c r="E108" s="44">
        <f t="shared" si="39"/>
        <v>1.3513513513513514E-2</v>
      </c>
      <c r="F108" s="44">
        <f t="shared" si="39"/>
        <v>4.5045045045045045E-3</v>
      </c>
      <c r="G108" s="44">
        <f t="shared" si="39"/>
        <v>4.5045045045045045E-3</v>
      </c>
      <c r="H108" s="44">
        <f t="shared" si="39"/>
        <v>0</v>
      </c>
      <c r="I108" s="44">
        <f t="shared" si="39"/>
        <v>1.3513513513513514E-2</v>
      </c>
      <c r="J108" s="44">
        <f t="shared" si="39"/>
        <v>2.2522522522522521E-2</v>
      </c>
      <c r="K108" s="44">
        <f t="shared" si="39"/>
        <v>6.7567567567567571E-2</v>
      </c>
      <c r="L108" s="44">
        <f t="shared" si="39"/>
        <v>0.54504504504504503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G60" zoomScale="60" workbookViewId="0">
      <selection activeCell="AD52" sqref="AD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e">
        <f>#REF!</f>
        <v>#REF!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58" t="e">
        <f>#REF!</f>
        <v>#REF!</v>
      </c>
      <c r="H5" s="59"/>
      <c r="I5" s="14"/>
      <c r="J5" s="2" t="s">
        <v>5</v>
      </c>
      <c r="K5" s="58" t="e">
        <f>#REF!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e">
        <f>#REF!</f>
        <v>#REF!</v>
      </c>
      <c r="E6" s="59"/>
      <c r="F6" s="2" t="s">
        <v>2</v>
      </c>
      <c r="G6" s="58" t="e">
        <f>#REF!</f>
        <v>#REF!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MIRAMA-NTUNGAMO-24h'!C10,'26.10 MIRAMA HILL-NTUNGAMO'!C10)</f>
        <v>0.5</v>
      </c>
      <c r="D10" s="49">
        <f>AVERAGE('25.10 MIRAMA-NTUNGAMO-24h'!D10,'26.10 MIRAMA HILL-NTUNGAMO'!D10)</f>
        <v>0</v>
      </c>
      <c r="E10" s="49">
        <f>AVERAGE('25.10 MIRAMA-NTUNGAMO-24h'!E10,'26.10 MIRAMA HILL-NTUNGAMO'!E10)</f>
        <v>0</v>
      </c>
      <c r="F10" s="49">
        <f>AVERAGE('25.10 MIRAMA-NTUNGAMO-24h'!F10,'26.10 MIRAMA HILL-NTUNGAMO'!F10)</f>
        <v>0</v>
      </c>
      <c r="G10" s="49">
        <f>AVERAGE('25.10 MIRAMA-NTUNGAMO-24h'!G10,'26.10 MIRAMA HILL-NTUNGAMO'!G10)</f>
        <v>0</v>
      </c>
      <c r="H10" s="49">
        <f>AVERAGE('25.10 MIRAMA-NTUNGAMO-24h'!H10,'26.10 MIRAMA HILL-NTUNGAMO'!H10)</f>
        <v>0</v>
      </c>
      <c r="I10" s="49">
        <f>AVERAGE('25.10 MIRAMA-NTUNGAMO-24h'!I10,'26.10 MIRAMA HILL-NTUNGAMO'!I10)</f>
        <v>0</v>
      </c>
      <c r="J10" s="49">
        <f>AVERAGE('25.10 MIRAMA-NTUNGAMO-24h'!J10,'26.10 MIRAMA HILL-NTUNGAMO'!J10)</f>
        <v>1</v>
      </c>
      <c r="K10" s="49">
        <f>AVERAGE('25.10 MIRAMA-NTUNGAMO-24h'!K10,'26.10 MIRAMA HILL-NTUNGAMO'!K10)</f>
        <v>0.5</v>
      </c>
      <c r="L10" s="49">
        <f>AVERAGE('25.10 MIRAMA-NTUNGAMO-24h'!L10,'26.10 MIRAMA HILL-NTUNGAMO'!L10)</f>
        <v>1</v>
      </c>
      <c r="M10" s="49">
        <f>AVERAGE('25.10 MIRAMA-NTUNGAMO-24h'!M10,'26.10 MIRAMA HILL-NTUNGAMO'!M10)</f>
        <v>2.5</v>
      </c>
      <c r="N10" s="49">
        <f>AVERAGE('25.10 MIRAMA-NTUNGAMO-24h'!N10,'26.10 MIRAMA HILL-NTUNGAMO'!N10)</f>
        <v>0</v>
      </c>
      <c r="O10" s="15">
        <f t="shared" ref="O10:O73" si="0">SUM(C10:L10,N10)</f>
        <v>3</v>
      </c>
      <c r="P10" s="15">
        <f t="shared" ref="P10:P73" si="1">SUM(C10:N10)</f>
        <v>5.5</v>
      </c>
      <c r="R10" s="1" t="s">
        <v>6</v>
      </c>
      <c r="S10" s="17">
        <f t="shared" ref="S10:AF10" si="2">SUM(C10:C13)</f>
        <v>2</v>
      </c>
      <c r="T10" s="17">
        <f t="shared" si="2"/>
        <v>0.5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0.5</v>
      </c>
      <c r="AB10" s="17">
        <f t="shared" si="2"/>
        <v>4</v>
      </c>
      <c r="AC10" s="17">
        <f t="shared" si="2"/>
        <v>11</v>
      </c>
      <c r="AD10" s="17">
        <f t="shared" si="2"/>
        <v>0</v>
      </c>
      <c r="AE10" s="31">
        <f t="shared" si="2"/>
        <v>8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49">
        <f>AVERAGE('25.10 MIRAMA-NTUNGAMO-24h'!C11,'26.10 MIRAMA HILL-NTUNGAMO'!C11)</f>
        <v>0</v>
      </c>
      <c r="D11" s="49">
        <f>AVERAGE('25.10 MIRAMA-NTUNGAMO-24h'!D11,'26.10 MIRAMA HILL-NTUNGAMO'!D11)</f>
        <v>0</v>
      </c>
      <c r="E11" s="49">
        <f>AVERAGE('25.10 MIRAMA-NTUNGAMO-24h'!E11,'26.10 MIRAMA HILL-NTUNGAMO'!E11)</f>
        <v>0</v>
      </c>
      <c r="F11" s="49">
        <f>AVERAGE('25.10 MIRAMA-NTUNGAMO-24h'!F11,'26.10 MIRAMA HILL-NTUNGAMO'!F11)</f>
        <v>0</v>
      </c>
      <c r="G11" s="49">
        <f>AVERAGE('25.10 MIRAMA-NTUNGAMO-24h'!G11,'26.10 MIRAMA HILL-NTUNGAMO'!G11)</f>
        <v>0</v>
      </c>
      <c r="H11" s="49">
        <f>AVERAGE('25.10 MIRAMA-NTUNGAMO-24h'!H11,'26.10 MIRAMA HILL-NTUNGAMO'!H11)</f>
        <v>0</v>
      </c>
      <c r="I11" s="49">
        <f>AVERAGE('25.10 MIRAMA-NTUNGAMO-24h'!I11,'26.10 MIRAMA HILL-NTUNGAMO'!I11)</f>
        <v>0</v>
      </c>
      <c r="J11" s="49">
        <f>AVERAGE('25.10 MIRAMA-NTUNGAMO-24h'!J11,'26.10 MIRAMA HILL-NTUNGAMO'!J11)</f>
        <v>0</v>
      </c>
      <c r="K11" s="49">
        <f>AVERAGE('25.10 MIRAMA-NTUNGAMO-24h'!K11,'26.10 MIRAMA HILL-NTUNGAMO'!K11)</f>
        <v>0</v>
      </c>
      <c r="L11" s="49">
        <f>AVERAGE('25.10 MIRAMA-NTUNGAMO-24h'!L11,'26.10 MIRAMA HILL-NTUNGAMO'!L11)</f>
        <v>3</v>
      </c>
      <c r="M11" s="49">
        <f>AVERAGE('25.10 MIRAMA-NTUNGAMO-24h'!M11,'26.10 MIRAMA HILL-NTUNGAMO'!M11)</f>
        <v>5</v>
      </c>
      <c r="N11" s="49">
        <f>AVERAGE('25.10 MIRAMA-NTUNGAMO-24h'!N11,'26.10 MIRAMA HILL-NTUNGAMO'!N11)</f>
        <v>0</v>
      </c>
      <c r="O11" s="15">
        <f t="shared" si="0"/>
        <v>3</v>
      </c>
      <c r="P11" s="15">
        <f t="shared" si="1"/>
        <v>8</v>
      </c>
      <c r="R11" s="1" t="s">
        <v>7</v>
      </c>
      <c r="S11" s="17">
        <f t="shared" ref="S11:AF11" si="3">SUM(C14:C17)</f>
        <v>5.5</v>
      </c>
      <c r="T11" s="17">
        <f t="shared" si="3"/>
        <v>0</v>
      </c>
      <c r="U11" s="17">
        <f t="shared" si="3"/>
        <v>0</v>
      </c>
      <c r="V11" s="17">
        <f t="shared" si="3"/>
        <v>0.5</v>
      </c>
      <c r="W11" s="17">
        <f t="shared" si="3"/>
        <v>0</v>
      </c>
      <c r="X11" s="17">
        <f t="shared" si="3"/>
        <v>0</v>
      </c>
      <c r="Y11" s="17">
        <f t="shared" si="3"/>
        <v>2.5</v>
      </c>
      <c r="Z11" s="17">
        <f t="shared" si="3"/>
        <v>0</v>
      </c>
      <c r="AA11" s="17">
        <f t="shared" si="3"/>
        <v>1</v>
      </c>
      <c r="AB11" s="17">
        <f t="shared" si="3"/>
        <v>4</v>
      </c>
      <c r="AC11" s="17">
        <f t="shared" si="3"/>
        <v>7.5</v>
      </c>
      <c r="AD11" s="17">
        <f t="shared" si="3"/>
        <v>0</v>
      </c>
      <c r="AE11" s="31">
        <f t="shared" si="3"/>
        <v>13.5</v>
      </c>
      <c r="AF11" s="31">
        <f t="shared" si="3"/>
        <v>21</v>
      </c>
    </row>
    <row r="12" spans="2:32" ht="23.1" customHeight="1" x14ac:dyDescent="0.25">
      <c r="B12" s="23" t="s">
        <v>39</v>
      </c>
      <c r="C12" s="49">
        <f>AVERAGE('25.10 MIRAMA-NTUNGAMO-24h'!C12,'26.10 MIRAMA HILL-NTUNGAMO'!C12)</f>
        <v>0</v>
      </c>
      <c r="D12" s="49">
        <f>AVERAGE('25.10 MIRAMA-NTUNGAMO-24h'!D12,'26.10 MIRAMA HILL-NTUNGAMO'!D12)</f>
        <v>0</v>
      </c>
      <c r="E12" s="49">
        <f>AVERAGE('25.10 MIRAMA-NTUNGAMO-24h'!E12,'26.10 MIRAMA HILL-NTUNGAMO'!E12)</f>
        <v>0</v>
      </c>
      <c r="F12" s="49">
        <f>AVERAGE('25.10 MIRAMA-NTUNGAMO-24h'!F12,'26.10 MIRAMA HILL-NTUNGAMO'!F12)</f>
        <v>0</v>
      </c>
      <c r="G12" s="49">
        <f>AVERAGE('25.10 MIRAMA-NTUNGAMO-24h'!G12,'26.10 MIRAMA HILL-NTUNGAMO'!G12)</f>
        <v>0</v>
      </c>
      <c r="H12" s="49">
        <f>AVERAGE('25.10 MIRAMA-NTUNGAMO-24h'!H12,'26.10 MIRAMA HILL-NTUNGAMO'!H12)</f>
        <v>0</v>
      </c>
      <c r="I12" s="49">
        <f>AVERAGE('25.10 MIRAMA-NTUNGAMO-24h'!I12,'26.10 MIRAMA HILL-NTUNGAMO'!I12)</f>
        <v>0</v>
      </c>
      <c r="J12" s="49">
        <f>AVERAGE('25.10 MIRAMA-NTUNGAMO-24h'!J12,'26.10 MIRAMA HILL-NTUNGAMO'!J12)</f>
        <v>0</v>
      </c>
      <c r="K12" s="49">
        <f>AVERAGE('25.10 MIRAMA-NTUNGAMO-24h'!K12,'26.10 MIRAMA HILL-NTUNGAMO'!K12)</f>
        <v>0</v>
      </c>
      <c r="L12" s="49">
        <f>AVERAGE('25.10 MIRAMA-NTUNGAMO-24h'!L12,'26.10 MIRAMA HILL-NTUNGAMO'!L12)</f>
        <v>0</v>
      </c>
      <c r="M12" s="49">
        <f>AVERAGE('25.10 MIRAMA-NTUNGAMO-24h'!M12,'26.10 MIRAMA HILL-NTUNGAMO'!M12)</f>
        <v>3</v>
      </c>
      <c r="N12" s="49">
        <f>AVERAGE('25.10 MIRAMA-NTUNGAMO-24h'!N12,'26.10 MIRAMA HILL-NTUNGAMO'!N12)</f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8.5</v>
      </c>
      <c r="T12" s="17">
        <f t="shared" si="4"/>
        <v>5</v>
      </c>
      <c r="U12" s="17">
        <f t="shared" si="4"/>
        <v>0</v>
      </c>
      <c r="V12" s="17">
        <f t="shared" si="4"/>
        <v>0.5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3.5</v>
      </c>
      <c r="AB12" s="17">
        <f t="shared" si="4"/>
        <v>9.5</v>
      </c>
      <c r="AC12" s="17">
        <f t="shared" si="4"/>
        <v>12.5</v>
      </c>
      <c r="AD12" s="17">
        <f t="shared" si="4"/>
        <v>0</v>
      </c>
      <c r="AE12" s="31">
        <f t="shared" si="4"/>
        <v>27</v>
      </c>
      <c r="AF12" s="31">
        <f t="shared" si="4"/>
        <v>39.5</v>
      </c>
    </row>
    <row r="13" spans="2:32" ht="23.1" customHeight="1" x14ac:dyDescent="0.25">
      <c r="B13" s="23" t="s">
        <v>40</v>
      </c>
      <c r="C13" s="49">
        <f>AVERAGE('25.10 MIRAMA-NTUNGAMO-24h'!C13,'26.10 MIRAMA HILL-NTUNGAMO'!C13)</f>
        <v>1.5</v>
      </c>
      <c r="D13" s="49">
        <f>AVERAGE('25.10 MIRAMA-NTUNGAMO-24h'!D13,'26.10 MIRAMA HILL-NTUNGAMO'!D13)</f>
        <v>0.5</v>
      </c>
      <c r="E13" s="49">
        <f>AVERAGE('25.10 MIRAMA-NTUNGAMO-24h'!E13,'26.10 MIRAMA HILL-NTUNGAMO'!E13)</f>
        <v>0</v>
      </c>
      <c r="F13" s="49">
        <f>AVERAGE('25.10 MIRAMA-NTUNGAMO-24h'!F13,'26.10 MIRAMA HILL-NTUNGAMO'!F13)</f>
        <v>0</v>
      </c>
      <c r="G13" s="49">
        <f>AVERAGE('25.10 MIRAMA-NTUNGAMO-24h'!G13,'26.10 MIRAMA HILL-NTUNGAMO'!G13)</f>
        <v>0</v>
      </c>
      <c r="H13" s="49">
        <f>AVERAGE('25.10 MIRAMA-NTUNGAMO-24h'!H13,'26.10 MIRAMA HILL-NTUNGAMO'!H13)</f>
        <v>0</v>
      </c>
      <c r="I13" s="49">
        <f>AVERAGE('25.10 MIRAMA-NTUNGAMO-24h'!I13,'26.10 MIRAMA HILL-NTUNGAMO'!I13)</f>
        <v>0</v>
      </c>
      <c r="J13" s="49">
        <f>AVERAGE('25.10 MIRAMA-NTUNGAMO-24h'!J13,'26.10 MIRAMA HILL-NTUNGAMO'!J13)</f>
        <v>0</v>
      </c>
      <c r="K13" s="49">
        <f>AVERAGE('25.10 MIRAMA-NTUNGAMO-24h'!K13,'26.10 MIRAMA HILL-NTUNGAMO'!K13)</f>
        <v>0</v>
      </c>
      <c r="L13" s="49">
        <f>AVERAGE('25.10 MIRAMA-NTUNGAMO-24h'!L13,'26.10 MIRAMA HILL-NTUNGAMO'!L13)</f>
        <v>0</v>
      </c>
      <c r="M13" s="49">
        <f>AVERAGE('25.10 MIRAMA-NTUNGAMO-24h'!M13,'26.10 MIRAMA HILL-NTUNGAMO'!M13)</f>
        <v>0.5</v>
      </c>
      <c r="N13" s="49">
        <f>AVERAGE('25.10 MIRAMA-NTUNGAMO-24h'!N13,'26.10 MIRAMA HILL-NTUNGAMO'!N13)</f>
        <v>0</v>
      </c>
      <c r="O13" s="15">
        <f t="shared" si="0"/>
        <v>2</v>
      </c>
      <c r="P13" s="15">
        <f t="shared" si="1"/>
        <v>2.5</v>
      </c>
      <c r="R13" s="1" t="s">
        <v>9</v>
      </c>
      <c r="S13" s="17">
        <f t="shared" ref="S13:AF13" si="5">SUM(C22:C25)</f>
        <v>2.5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0.5</v>
      </c>
      <c r="Z13" s="17">
        <f t="shared" si="5"/>
        <v>0.5</v>
      </c>
      <c r="AA13" s="17">
        <f t="shared" si="5"/>
        <v>0.5</v>
      </c>
      <c r="AB13" s="17">
        <f t="shared" si="5"/>
        <v>7.5</v>
      </c>
      <c r="AC13" s="17">
        <f t="shared" si="5"/>
        <v>8.5</v>
      </c>
      <c r="AD13" s="17">
        <f t="shared" si="5"/>
        <v>0</v>
      </c>
      <c r="AE13" s="31">
        <f t="shared" si="5"/>
        <v>12.5</v>
      </c>
      <c r="AF13" s="31">
        <f t="shared" si="5"/>
        <v>21</v>
      </c>
    </row>
    <row r="14" spans="2:32" ht="23.1" customHeight="1" x14ac:dyDescent="0.25">
      <c r="B14" s="23" t="s">
        <v>41</v>
      </c>
      <c r="C14" s="49">
        <f>AVERAGE('25.10 MIRAMA-NTUNGAMO-24h'!C14,'26.10 MIRAMA HILL-NTUNGAMO'!C14)</f>
        <v>1</v>
      </c>
      <c r="D14" s="49">
        <f>AVERAGE('25.10 MIRAMA-NTUNGAMO-24h'!D14,'26.10 MIRAMA HILL-NTUNGAMO'!D14)</f>
        <v>0</v>
      </c>
      <c r="E14" s="49">
        <f>AVERAGE('25.10 MIRAMA-NTUNGAMO-24h'!E14,'26.10 MIRAMA HILL-NTUNGAMO'!E14)</f>
        <v>0</v>
      </c>
      <c r="F14" s="49">
        <f>AVERAGE('25.10 MIRAMA-NTUNGAMO-24h'!F14,'26.10 MIRAMA HILL-NTUNGAMO'!F14)</f>
        <v>0</v>
      </c>
      <c r="G14" s="49">
        <f>AVERAGE('25.10 MIRAMA-NTUNGAMO-24h'!G14,'26.10 MIRAMA HILL-NTUNGAMO'!G14)</f>
        <v>0</v>
      </c>
      <c r="H14" s="49">
        <f>AVERAGE('25.10 MIRAMA-NTUNGAMO-24h'!H14,'26.10 MIRAMA HILL-NTUNGAMO'!H14)</f>
        <v>0</v>
      </c>
      <c r="I14" s="49">
        <f>AVERAGE('25.10 MIRAMA-NTUNGAMO-24h'!I14,'26.10 MIRAMA HILL-NTUNGAMO'!I14)</f>
        <v>0</v>
      </c>
      <c r="J14" s="49">
        <f>AVERAGE('25.10 MIRAMA-NTUNGAMO-24h'!J14,'26.10 MIRAMA HILL-NTUNGAMO'!J14)</f>
        <v>0</v>
      </c>
      <c r="K14" s="49">
        <f>AVERAGE('25.10 MIRAMA-NTUNGAMO-24h'!K14,'26.10 MIRAMA HILL-NTUNGAMO'!K14)</f>
        <v>0.5</v>
      </c>
      <c r="L14" s="49">
        <f>AVERAGE('25.10 MIRAMA-NTUNGAMO-24h'!L14,'26.10 MIRAMA HILL-NTUNGAMO'!L14)</f>
        <v>0</v>
      </c>
      <c r="M14" s="49">
        <f>AVERAGE('25.10 MIRAMA-NTUNGAMO-24h'!M14,'26.10 MIRAMA HILL-NTUNGAMO'!M14)</f>
        <v>5</v>
      </c>
      <c r="N14" s="49">
        <f>AVERAGE('25.10 MIRAMA-NTUNGAMO-24h'!N14,'26.10 MIRAMA HILL-NTUNGAMO'!N14)</f>
        <v>0</v>
      </c>
      <c r="O14" s="15">
        <f t="shared" si="0"/>
        <v>1.5</v>
      </c>
      <c r="P14" s="15">
        <f t="shared" si="1"/>
        <v>6.5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1.5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5.5</v>
      </c>
      <c r="AC14" s="17">
        <f t="shared" si="6"/>
        <v>13</v>
      </c>
      <c r="AD14" s="17">
        <f t="shared" si="6"/>
        <v>0</v>
      </c>
      <c r="AE14" s="31">
        <f t="shared" si="6"/>
        <v>14</v>
      </c>
      <c r="AF14" s="31">
        <f t="shared" si="6"/>
        <v>27</v>
      </c>
    </row>
    <row r="15" spans="2:32" ht="23.1" customHeight="1" x14ac:dyDescent="0.25">
      <c r="B15" s="23" t="s">
        <v>42</v>
      </c>
      <c r="C15" s="49">
        <f>AVERAGE('25.10 MIRAMA-NTUNGAMO-24h'!C15,'26.10 MIRAMA HILL-NTUNGAMO'!C15)</f>
        <v>2.5</v>
      </c>
      <c r="D15" s="49">
        <f>AVERAGE('25.10 MIRAMA-NTUNGAMO-24h'!D15,'26.10 MIRAMA HILL-NTUNGAMO'!D15)</f>
        <v>0</v>
      </c>
      <c r="E15" s="49">
        <f>AVERAGE('25.10 MIRAMA-NTUNGAMO-24h'!E15,'26.10 MIRAMA HILL-NTUNGAMO'!E15)</f>
        <v>0</v>
      </c>
      <c r="F15" s="49">
        <f>AVERAGE('25.10 MIRAMA-NTUNGAMO-24h'!F15,'26.10 MIRAMA HILL-NTUNGAMO'!F15)</f>
        <v>0</v>
      </c>
      <c r="G15" s="49">
        <f>AVERAGE('25.10 MIRAMA-NTUNGAMO-24h'!G15,'26.10 MIRAMA HILL-NTUNGAMO'!G15)</f>
        <v>0</v>
      </c>
      <c r="H15" s="49">
        <f>AVERAGE('25.10 MIRAMA-NTUNGAMO-24h'!H15,'26.10 MIRAMA HILL-NTUNGAMO'!H15)</f>
        <v>0</v>
      </c>
      <c r="I15" s="49">
        <f>AVERAGE('25.10 MIRAMA-NTUNGAMO-24h'!I15,'26.10 MIRAMA HILL-NTUNGAMO'!I15)</f>
        <v>0.5</v>
      </c>
      <c r="J15" s="49">
        <f>AVERAGE('25.10 MIRAMA-NTUNGAMO-24h'!J15,'26.10 MIRAMA HILL-NTUNGAMO'!J15)</f>
        <v>0</v>
      </c>
      <c r="K15" s="49">
        <f>AVERAGE('25.10 MIRAMA-NTUNGAMO-24h'!K15,'26.10 MIRAMA HILL-NTUNGAMO'!K15)</f>
        <v>0</v>
      </c>
      <c r="L15" s="49">
        <f>AVERAGE('25.10 MIRAMA-NTUNGAMO-24h'!L15,'26.10 MIRAMA HILL-NTUNGAMO'!L15)</f>
        <v>0</v>
      </c>
      <c r="M15" s="49">
        <f>AVERAGE('25.10 MIRAMA-NTUNGAMO-24h'!M15,'26.10 MIRAMA HILL-NTUNGAMO'!M15)</f>
        <v>0.5</v>
      </c>
      <c r="N15" s="49">
        <f>AVERAGE('25.10 MIRAMA-NTUNGAMO-24h'!N15,'26.10 MIRAMA HILL-NTUNGAMO'!N15)</f>
        <v>0</v>
      </c>
      <c r="O15" s="15">
        <f t="shared" si="0"/>
        <v>3</v>
      </c>
      <c r="P15" s="15">
        <f t="shared" si="1"/>
        <v>3.5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3</v>
      </c>
      <c r="AB15" s="17">
        <f t="shared" si="7"/>
        <v>4</v>
      </c>
      <c r="AC15" s="17">
        <f t="shared" si="7"/>
        <v>17</v>
      </c>
      <c r="AD15" s="17">
        <f t="shared" si="7"/>
        <v>0</v>
      </c>
      <c r="AE15" s="31">
        <f t="shared" si="7"/>
        <v>15</v>
      </c>
      <c r="AF15" s="31">
        <f t="shared" si="7"/>
        <v>32</v>
      </c>
    </row>
    <row r="16" spans="2:32" ht="23.1" customHeight="1" x14ac:dyDescent="0.25">
      <c r="B16" s="23" t="s">
        <v>43</v>
      </c>
      <c r="C16" s="49">
        <f>AVERAGE('25.10 MIRAMA-NTUNGAMO-24h'!C16,'26.10 MIRAMA HILL-NTUNGAMO'!C16)</f>
        <v>0.5</v>
      </c>
      <c r="D16" s="49">
        <f>AVERAGE('25.10 MIRAMA-NTUNGAMO-24h'!D16,'26.10 MIRAMA HILL-NTUNGAMO'!D16)</f>
        <v>0</v>
      </c>
      <c r="E16" s="49">
        <f>AVERAGE('25.10 MIRAMA-NTUNGAMO-24h'!E16,'26.10 MIRAMA HILL-NTUNGAMO'!E16)</f>
        <v>0</v>
      </c>
      <c r="F16" s="49">
        <f>AVERAGE('25.10 MIRAMA-NTUNGAMO-24h'!F16,'26.10 MIRAMA HILL-NTUNGAMO'!F16)</f>
        <v>0.5</v>
      </c>
      <c r="G16" s="49">
        <f>AVERAGE('25.10 MIRAMA-NTUNGAMO-24h'!G16,'26.10 MIRAMA HILL-NTUNGAMO'!G16)</f>
        <v>0</v>
      </c>
      <c r="H16" s="49">
        <f>AVERAGE('25.10 MIRAMA-NTUNGAMO-24h'!H16,'26.10 MIRAMA HILL-NTUNGAMO'!H16)</f>
        <v>0</v>
      </c>
      <c r="I16" s="49">
        <f>AVERAGE('25.10 MIRAMA-NTUNGAMO-24h'!I16,'26.10 MIRAMA HILL-NTUNGAMO'!I16)</f>
        <v>2</v>
      </c>
      <c r="J16" s="49">
        <f>AVERAGE('25.10 MIRAMA-NTUNGAMO-24h'!J16,'26.10 MIRAMA HILL-NTUNGAMO'!J16)</f>
        <v>0</v>
      </c>
      <c r="K16" s="49">
        <f>AVERAGE('25.10 MIRAMA-NTUNGAMO-24h'!K16,'26.10 MIRAMA HILL-NTUNGAMO'!K16)</f>
        <v>0.5</v>
      </c>
      <c r="L16" s="49">
        <f>AVERAGE('25.10 MIRAMA-NTUNGAMO-24h'!L16,'26.10 MIRAMA HILL-NTUNGAMO'!L16)</f>
        <v>3</v>
      </c>
      <c r="M16" s="49">
        <f>AVERAGE('25.10 MIRAMA-NTUNGAMO-24h'!M16,'26.10 MIRAMA HILL-NTUNGAMO'!M16)</f>
        <v>1</v>
      </c>
      <c r="N16" s="49">
        <f>AVERAGE('25.10 MIRAMA-NTUNGAMO-24h'!N16,'26.10 MIRAMA HILL-NTUNGAMO'!N16)</f>
        <v>0</v>
      </c>
      <c r="O16" s="15">
        <f t="shared" si="0"/>
        <v>6.5</v>
      </c>
      <c r="P16" s="15">
        <f t="shared" si="1"/>
        <v>7.5</v>
      </c>
      <c r="R16" s="1" t="s">
        <v>12</v>
      </c>
      <c r="S16" s="17">
        <f t="shared" ref="S16:AF16" si="8">SUM(C34:C37)</f>
        <v>8</v>
      </c>
      <c r="T16" s="17">
        <f t="shared" si="8"/>
        <v>1.5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0.5</v>
      </c>
      <c r="Z16" s="17">
        <f t="shared" si="8"/>
        <v>1</v>
      </c>
      <c r="AA16" s="17">
        <f t="shared" si="8"/>
        <v>3</v>
      </c>
      <c r="AB16" s="17">
        <f t="shared" si="8"/>
        <v>7</v>
      </c>
      <c r="AC16" s="17">
        <f t="shared" si="8"/>
        <v>11.5</v>
      </c>
      <c r="AD16" s="17">
        <f t="shared" si="8"/>
        <v>0</v>
      </c>
      <c r="AE16" s="31">
        <f t="shared" si="8"/>
        <v>22</v>
      </c>
      <c r="AF16" s="31">
        <f t="shared" si="8"/>
        <v>33.5</v>
      </c>
    </row>
    <row r="17" spans="2:32" ht="23.1" customHeight="1" x14ac:dyDescent="0.25">
      <c r="B17" s="23" t="s">
        <v>44</v>
      </c>
      <c r="C17" s="49">
        <f>AVERAGE('25.10 MIRAMA-NTUNGAMO-24h'!C17,'26.10 MIRAMA HILL-NTUNGAMO'!C17)</f>
        <v>1.5</v>
      </c>
      <c r="D17" s="49">
        <f>AVERAGE('25.10 MIRAMA-NTUNGAMO-24h'!D17,'26.10 MIRAMA HILL-NTUNGAMO'!D17)</f>
        <v>0</v>
      </c>
      <c r="E17" s="49">
        <f>AVERAGE('25.10 MIRAMA-NTUNGAMO-24h'!E17,'26.10 MIRAMA HILL-NTUNGAMO'!E17)</f>
        <v>0</v>
      </c>
      <c r="F17" s="49">
        <f>AVERAGE('25.10 MIRAMA-NTUNGAMO-24h'!F17,'26.10 MIRAMA HILL-NTUNGAMO'!F17)</f>
        <v>0</v>
      </c>
      <c r="G17" s="49">
        <f>AVERAGE('25.10 MIRAMA-NTUNGAMO-24h'!G17,'26.10 MIRAMA HILL-NTUNGAMO'!G17)</f>
        <v>0</v>
      </c>
      <c r="H17" s="49">
        <f>AVERAGE('25.10 MIRAMA-NTUNGAMO-24h'!H17,'26.10 MIRAMA HILL-NTUNGAMO'!H17)</f>
        <v>0</v>
      </c>
      <c r="I17" s="49">
        <f>AVERAGE('25.10 MIRAMA-NTUNGAMO-24h'!I17,'26.10 MIRAMA HILL-NTUNGAMO'!I17)</f>
        <v>0</v>
      </c>
      <c r="J17" s="49">
        <f>AVERAGE('25.10 MIRAMA-NTUNGAMO-24h'!J17,'26.10 MIRAMA HILL-NTUNGAMO'!J17)</f>
        <v>0</v>
      </c>
      <c r="K17" s="49">
        <f>AVERAGE('25.10 MIRAMA-NTUNGAMO-24h'!K17,'26.10 MIRAMA HILL-NTUNGAMO'!K17)</f>
        <v>0</v>
      </c>
      <c r="L17" s="49">
        <f>AVERAGE('25.10 MIRAMA-NTUNGAMO-24h'!L17,'26.10 MIRAMA HILL-NTUNGAMO'!L17)</f>
        <v>1</v>
      </c>
      <c r="M17" s="49">
        <f>AVERAGE('25.10 MIRAMA-NTUNGAMO-24h'!M17,'26.10 MIRAMA HILL-NTUNGAMO'!M17)</f>
        <v>1</v>
      </c>
      <c r="N17" s="49">
        <f>AVERAGE('25.10 MIRAMA-NTUNGAMO-24h'!N17,'26.10 MIRAMA HILL-NTUNGAMO'!N17)</f>
        <v>0</v>
      </c>
      <c r="O17" s="15">
        <f t="shared" si="0"/>
        <v>2.5</v>
      </c>
      <c r="P17" s="15">
        <f t="shared" si="1"/>
        <v>3.5</v>
      </c>
      <c r="R17" s="1" t="s">
        <v>13</v>
      </c>
      <c r="S17" s="17">
        <f t="shared" ref="S17:AF17" si="9">SUM(C38:C41)</f>
        <v>4.5</v>
      </c>
      <c r="T17" s="17">
        <f t="shared" si="9"/>
        <v>0.5</v>
      </c>
      <c r="U17" s="17">
        <f t="shared" si="9"/>
        <v>1.5</v>
      </c>
      <c r="V17" s="17">
        <f t="shared" si="9"/>
        <v>0</v>
      </c>
      <c r="W17" s="17">
        <f t="shared" si="9"/>
        <v>0.5</v>
      </c>
      <c r="X17" s="17">
        <f t="shared" si="9"/>
        <v>0.5</v>
      </c>
      <c r="Y17" s="17">
        <f t="shared" si="9"/>
        <v>1.5</v>
      </c>
      <c r="Z17" s="17">
        <f t="shared" si="9"/>
        <v>0.5</v>
      </c>
      <c r="AA17" s="17">
        <f t="shared" si="9"/>
        <v>3</v>
      </c>
      <c r="AB17" s="17">
        <f t="shared" si="9"/>
        <v>5</v>
      </c>
      <c r="AC17" s="17">
        <f t="shared" si="9"/>
        <v>11</v>
      </c>
      <c r="AD17" s="17">
        <f t="shared" si="9"/>
        <v>0</v>
      </c>
      <c r="AE17" s="31">
        <f t="shared" si="9"/>
        <v>17.5</v>
      </c>
      <c r="AF17" s="31">
        <f t="shared" si="9"/>
        <v>28.5</v>
      </c>
    </row>
    <row r="18" spans="2:32" ht="23.1" customHeight="1" x14ac:dyDescent="0.25">
      <c r="B18" s="23" t="s">
        <v>45</v>
      </c>
      <c r="C18" s="49">
        <f>AVERAGE('25.10 MIRAMA-NTUNGAMO-24h'!C18,'26.10 MIRAMA HILL-NTUNGAMO'!C18)</f>
        <v>2.5</v>
      </c>
      <c r="D18" s="49">
        <f>AVERAGE('25.10 MIRAMA-NTUNGAMO-24h'!D18,'26.10 MIRAMA HILL-NTUNGAMO'!D18)</f>
        <v>0</v>
      </c>
      <c r="E18" s="49">
        <f>AVERAGE('25.10 MIRAMA-NTUNGAMO-24h'!E18,'26.10 MIRAMA HILL-NTUNGAMO'!E18)</f>
        <v>0</v>
      </c>
      <c r="F18" s="49">
        <f>AVERAGE('25.10 MIRAMA-NTUNGAMO-24h'!F18,'26.10 MIRAMA HILL-NTUNGAMO'!F18)</f>
        <v>0</v>
      </c>
      <c r="G18" s="49">
        <f>AVERAGE('25.10 MIRAMA-NTUNGAMO-24h'!G18,'26.10 MIRAMA HILL-NTUNGAMO'!G18)</f>
        <v>0</v>
      </c>
      <c r="H18" s="49">
        <f>AVERAGE('25.10 MIRAMA-NTUNGAMO-24h'!H18,'26.10 MIRAMA HILL-NTUNGAMO'!H18)</f>
        <v>0</v>
      </c>
      <c r="I18" s="49">
        <f>AVERAGE('25.10 MIRAMA-NTUNGAMO-24h'!I18,'26.10 MIRAMA HILL-NTUNGAMO'!I18)</f>
        <v>0</v>
      </c>
      <c r="J18" s="49">
        <f>AVERAGE('25.10 MIRAMA-NTUNGAMO-24h'!J18,'26.10 MIRAMA HILL-NTUNGAMO'!J18)</f>
        <v>0</v>
      </c>
      <c r="K18" s="49">
        <f>AVERAGE('25.10 MIRAMA-NTUNGAMO-24h'!K18,'26.10 MIRAMA HILL-NTUNGAMO'!K18)</f>
        <v>3</v>
      </c>
      <c r="L18" s="49">
        <f>AVERAGE('25.10 MIRAMA-NTUNGAMO-24h'!L18,'26.10 MIRAMA HILL-NTUNGAMO'!L18)</f>
        <v>3</v>
      </c>
      <c r="M18" s="49">
        <f>AVERAGE('25.10 MIRAMA-NTUNGAMO-24h'!M18,'26.10 MIRAMA HILL-NTUNGAMO'!M18)</f>
        <v>1.5</v>
      </c>
      <c r="N18" s="49">
        <f>AVERAGE('25.10 MIRAMA-NTUNGAMO-24h'!N18,'26.10 MIRAMA HILL-NTUNGAMO'!N18)</f>
        <v>0</v>
      </c>
      <c r="O18" s="15">
        <f t="shared" si="0"/>
        <v>8.5</v>
      </c>
      <c r="P18" s="15">
        <f t="shared" si="1"/>
        <v>10</v>
      </c>
      <c r="R18" s="1" t="s">
        <v>14</v>
      </c>
      <c r="S18" s="17">
        <f t="shared" ref="S18:AF18" si="10">SUM(C42:C45)</f>
        <v>3.5</v>
      </c>
      <c r="T18" s="17">
        <f t="shared" si="10"/>
        <v>2</v>
      </c>
      <c r="U18" s="17">
        <f t="shared" si="10"/>
        <v>1.5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0.5</v>
      </c>
      <c r="AA18" s="17">
        <f t="shared" si="10"/>
        <v>1.5</v>
      </c>
      <c r="AB18" s="17">
        <f t="shared" si="10"/>
        <v>6</v>
      </c>
      <c r="AC18" s="17">
        <f t="shared" si="10"/>
        <v>18</v>
      </c>
      <c r="AD18" s="17">
        <f t="shared" si="10"/>
        <v>0</v>
      </c>
      <c r="AE18" s="31">
        <f t="shared" si="10"/>
        <v>17</v>
      </c>
      <c r="AF18" s="31">
        <f t="shared" si="10"/>
        <v>35</v>
      </c>
    </row>
    <row r="19" spans="2:32" ht="23.1" customHeight="1" x14ac:dyDescent="0.25">
      <c r="B19" s="23" t="s">
        <v>46</v>
      </c>
      <c r="C19" s="49">
        <f>AVERAGE('25.10 MIRAMA-NTUNGAMO-24h'!C19,'26.10 MIRAMA HILL-NTUNGAMO'!C19)</f>
        <v>1.5</v>
      </c>
      <c r="D19" s="49">
        <f>AVERAGE('25.10 MIRAMA-NTUNGAMO-24h'!D19,'26.10 MIRAMA HILL-NTUNGAMO'!D19)</f>
        <v>0</v>
      </c>
      <c r="E19" s="49">
        <f>AVERAGE('25.10 MIRAMA-NTUNGAMO-24h'!E19,'26.10 MIRAMA HILL-NTUNGAMO'!E19)</f>
        <v>0</v>
      </c>
      <c r="F19" s="49">
        <f>AVERAGE('25.10 MIRAMA-NTUNGAMO-24h'!F19,'26.10 MIRAMA HILL-NTUNGAMO'!F19)</f>
        <v>0.5</v>
      </c>
      <c r="G19" s="49">
        <f>AVERAGE('25.10 MIRAMA-NTUNGAMO-24h'!G19,'26.10 MIRAMA HILL-NTUNGAMO'!G19)</f>
        <v>0</v>
      </c>
      <c r="H19" s="49">
        <f>AVERAGE('25.10 MIRAMA-NTUNGAMO-24h'!H19,'26.10 MIRAMA HILL-NTUNGAMO'!H19)</f>
        <v>0</v>
      </c>
      <c r="I19" s="49">
        <f>AVERAGE('25.10 MIRAMA-NTUNGAMO-24h'!I19,'26.10 MIRAMA HILL-NTUNGAMO'!I19)</f>
        <v>0</v>
      </c>
      <c r="J19" s="49">
        <f>AVERAGE('25.10 MIRAMA-NTUNGAMO-24h'!J19,'26.10 MIRAMA HILL-NTUNGAMO'!J19)</f>
        <v>0</v>
      </c>
      <c r="K19" s="49">
        <f>AVERAGE('25.10 MIRAMA-NTUNGAMO-24h'!K19,'26.10 MIRAMA HILL-NTUNGAMO'!K19)</f>
        <v>0</v>
      </c>
      <c r="L19" s="49">
        <f>AVERAGE('25.10 MIRAMA-NTUNGAMO-24h'!L19,'26.10 MIRAMA HILL-NTUNGAMO'!L19)</f>
        <v>3</v>
      </c>
      <c r="M19" s="49">
        <f>AVERAGE('25.10 MIRAMA-NTUNGAMO-24h'!M19,'26.10 MIRAMA HILL-NTUNGAMO'!M19)</f>
        <v>2.5</v>
      </c>
      <c r="N19" s="49">
        <f>AVERAGE('25.10 MIRAMA-NTUNGAMO-24h'!N19,'26.10 MIRAMA HILL-NTUNGAMO'!N19)</f>
        <v>0</v>
      </c>
      <c r="O19" s="15">
        <f t="shared" si="0"/>
        <v>5</v>
      </c>
      <c r="P19" s="15">
        <f t="shared" si="1"/>
        <v>7.5</v>
      </c>
      <c r="R19" s="1" t="s">
        <v>15</v>
      </c>
      <c r="S19" s="17">
        <f t="shared" ref="S19:AF19" si="11">SUM(C46:C49)</f>
        <v>6</v>
      </c>
      <c r="T19" s="17">
        <f t="shared" si="11"/>
        <v>1</v>
      </c>
      <c r="U19" s="17">
        <f t="shared" si="11"/>
        <v>0</v>
      </c>
      <c r="V19" s="17">
        <f t="shared" si="11"/>
        <v>0.5</v>
      </c>
      <c r="W19" s="17">
        <f t="shared" si="11"/>
        <v>0</v>
      </c>
      <c r="X19" s="17">
        <f t="shared" si="11"/>
        <v>0</v>
      </c>
      <c r="Y19" s="17">
        <f t="shared" si="11"/>
        <v>0.5</v>
      </c>
      <c r="Z19" s="17">
        <f t="shared" si="11"/>
        <v>4</v>
      </c>
      <c r="AA19" s="17">
        <f t="shared" si="11"/>
        <v>0</v>
      </c>
      <c r="AB19" s="17">
        <f t="shared" si="11"/>
        <v>5</v>
      </c>
      <c r="AC19" s="17">
        <f t="shared" si="11"/>
        <v>10.5</v>
      </c>
      <c r="AD19" s="17">
        <f t="shared" si="11"/>
        <v>0</v>
      </c>
      <c r="AE19" s="31">
        <f t="shared" si="11"/>
        <v>17</v>
      </c>
      <c r="AF19" s="31">
        <f t="shared" si="11"/>
        <v>27.5</v>
      </c>
    </row>
    <row r="20" spans="2:32" ht="23.1" customHeight="1" x14ac:dyDescent="0.25">
      <c r="B20" s="23" t="s">
        <v>47</v>
      </c>
      <c r="C20" s="49">
        <f>AVERAGE('25.10 MIRAMA-NTUNGAMO-24h'!C20,'26.10 MIRAMA HILL-NTUNGAMO'!C20)</f>
        <v>1.5</v>
      </c>
      <c r="D20" s="49">
        <f>AVERAGE('25.10 MIRAMA-NTUNGAMO-24h'!D20,'26.10 MIRAMA HILL-NTUNGAMO'!D20)</f>
        <v>0</v>
      </c>
      <c r="E20" s="49">
        <f>AVERAGE('25.10 MIRAMA-NTUNGAMO-24h'!E20,'26.10 MIRAMA HILL-NTUNGAMO'!E20)</f>
        <v>0</v>
      </c>
      <c r="F20" s="49">
        <f>AVERAGE('25.10 MIRAMA-NTUNGAMO-24h'!F20,'26.10 MIRAMA HILL-NTUNGAMO'!F20)</f>
        <v>0</v>
      </c>
      <c r="G20" s="49">
        <f>AVERAGE('25.10 MIRAMA-NTUNGAMO-24h'!G20,'26.10 MIRAMA HILL-NTUNGAMO'!G20)</f>
        <v>0</v>
      </c>
      <c r="H20" s="49">
        <f>AVERAGE('25.10 MIRAMA-NTUNGAMO-24h'!H20,'26.10 MIRAMA HILL-NTUNGAMO'!H20)</f>
        <v>0</v>
      </c>
      <c r="I20" s="49">
        <f>AVERAGE('25.10 MIRAMA-NTUNGAMO-24h'!I20,'26.10 MIRAMA HILL-NTUNGAMO'!I20)</f>
        <v>0</v>
      </c>
      <c r="J20" s="49">
        <f>AVERAGE('25.10 MIRAMA-NTUNGAMO-24h'!J20,'26.10 MIRAMA HILL-NTUNGAMO'!J20)</f>
        <v>0</v>
      </c>
      <c r="K20" s="49">
        <f>AVERAGE('25.10 MIRAMA-NTUNGAMO-24h'!K20,'26.10 MIRAMA HILL-NTUNGAMO'!K20)</f>
        <v>0.5</v>
      </c>
      <c r="L20" s="49">
        <f>AVERAGE('25.10 MIRAMA-NTUNGAMO-24h'!L20,'26.10 MIRAMA HILL-NTUNGAMO'!L20)</f>
        <v>2.5</v>
      </c>
      <c r="M20" s="49">
        <f>AVERAGE('25.10 MIRAMA-NTUNGAMO-24h'!M20,'26.10 MIRAMA HILL-NTUNGAMO'!M20)</f>
        <v>3.5</v>
      </c>
      <c r="N20" s="49">
        <f>AVERAGE('25.10 MIRAMA-NTUNGAMO-24h'!N20,'26.10 MIRAMA HILL-NTUNGAMO'!N20)</f>
        <v>0</v>
      </c>
      <c r="O20" s="15">
        <f t="shared" si="0"/>
        <v>4.5</v>
      </c>
      <c r="P20" s="15">
        <f t="shared" si="1"/>
        <v>8</v>
      </c>
      <c r="R20" s="1" t="s">
        <v>16</v>
      </c>
      <c r="S20" s="17">
        <f t="shared" ref="S20:AF20" si="12">SUM(C50:C53)</f>
        <v>4.5</v>
      </c>
      <c r="T20" s="17">
        <f t="shared" si="12"/>
        <v>2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1.5</v>
      </c>
      <c r="Z20" s="17">
        <f t="shared" si="12"/>
        <v>0</v>
      </c>
      <c r="AA20" s="17">
        <f t="shared" si="12"/>
        <v>2.5</v>
      </c>
      <c r="AB20" s="17">
        <f t="shared" si="12"/>
        <v>1.5</v>
      </c>
      <c r="AC20" s="17">
        <f t="shared" si="12"/>
        <v>15</v>
      </c>
      <c r="AD20" s="17">
        <f t="shared" si="12"/>
        <v>0</v>
      </c>
      <c r="AE20" s="31">
        <f t="shared" si="12"/>
        <v>12</v>
      </c>
      <c r="AF20" s="31">
        <f t="shared" si="12"/>
        <v>27</v>
      </c>
    </row>
    <row r="21" spans="2:32" ht="23.1" customHeight="1" x14ac:dyDescent="0.25">
      <c r="B21" s="23" t="s">
        <v>48</v>
      </c>
      <c r="C21" s="49">
        <f>AVERAGE('25.10 MIRAMA-NTUNGAMO-24h'!C21,'26.10 MIRAMA HILL-NTUNGAMO'!C21)</f>
        <v>3</v>
      </c>
      <c r="D21" s="49">
        <f>AVERAGE('25.10 MIRAMA-NTUNGAMO-24h'!D21,'26.10 MIRAMA HILL-NTUNGAMO'!D21)</f>
        <v>5</v>
      </c>
      <c r="E21" s="49">
        <f>AVERAGE('25.10 MIRAMA-NTUNGAMO-24h'!E21,'26.10 MIRAMA HILL-NTUNGAMO'!E21)</f>
        <v>0</v>
      </c>
      <c r="F21" s="49">
        <f>AVERAGE('25.10 MIRAMA-NTUNGAMO-24h'!F21,'26.10 MIRAMA HILL-NTUNGAMO'!F21)</f>
        <v>0</v>
      </c>
      <c r="G21" s="49">
        <f>AVERAGE('25.10 MIRAMA-NTUNGAMO-24h'!G21,'26.10 MIRAMA HILL-NTUNGAMO'!G21)</f>
        <v>0</v>
      </c>
      <c r="H21" s="49">
        <f>AVERAGE('25.10 MIRAMA-NTUNGAMO-24h'!H21,'26.10 MIRAMA HILL-NTUNGAMO'!H21)</f>
        <v>0</v>
      </c>
      <c r="I21" s="49">
        <f>AVERAGE('25.10 MIRAMA-NTUNGAMO-24h'!I21,'26.10 MIRAMA HILL-NTUNGAMO'!I21)</f>
        <v>0</v>
      </c>
      <c r="J21" s="49">
        <f>AVERAGE('25.10 MIRAMA-NTUNGAMO-24h'!J21,'26.10 MIRAMA HILL-NTUNGAMO'!J21)</f>
        <v>0</v>
      </c>
      <c r="K21" s="49">
        <f>AVERAGE('25.10 MIRAMA-NTUNGAMO-24h'!K21,'26.10 MIRAMA HILL-NTUNGAMO'!K21)</f>
        <v>0</v>
      </c>
      <c r="L21" s="49">
        <f>AVERAGE('25.10 MIRAMA-NTUNGAMO-24h'!L21,'26.10 MIRAMA HILL-NTUNGAMO'!L21)</f>
        <v>1</v>
      </c>
      <c r="M21" s="49">
        <f>AVERAGE('25.10 MIRAMA-NTUNGAMO-24h'!M21,'26.10 MIRAMA HILL-NTUNGAMO'!M21)</f>
        <v>5</v>
      </c>
      <c r="N21" s="49">
        <f>AVERAGE('25.10 MIRAMA-NTUNGAMO-24h'!N21,'26.10 MIRAMA HILL-NTUNGAMO'!N21)</f>
        <v>0</v>
      </c>
      <c r="O21" s="15">
        <f t="shared" si="0"/>
        <v>9</v>
      </c>
      <c r="P21" s="15">
        <f t="shared" si="1"/>
        <v>14</v>
      </c>
      <c r="R21" s="36" t="s">
        <v>20</v>
      </c>
      <c r="S21" s="34">
        <f t="shared" ref="S21:AF21" si="13">SUM(C54:C57)</f>
        <v>11.5</v>
      </c>
      <c r="T21" s="17">
        <f t="shared" si="13"/>
        <v>1</v>
      </c>
      <c r="U21" s="17">
        <f t="shared" si="13"/>
        <v>1.5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0.5</v>
      </c>
      <c r="Z21" s="17">
        <f t="shared" si="13"/>
        <v>0</v>
      </c>
      <c r="AA21" s="17">
        <f t="shared" si="13"/>
        <v>1</v>
      </c>
      <c r="AB21" s="17">
        <f t="shared" si="13"/>
        <v>7</v>
      </c>
      <c r="AC21" s="17">
        <f t="shared" si="13"/>
        <v>23.5</v>
      </c>
      <c r="AD21" s="17">
        <f t="shared" si="13"/>
        <v>0</v>
      </c>
      <c r="AE21" s="31">
        <f t="shared" si="13"/>
        <v>22.5</v>
      </c>
      <c r="AF21" s="31">
        <f t="shared" si="13"/>
        <v>46</v>
      </c>
    </row>
    <row r="22" spans="2:32" ht="23.1" customHeight="1" x14ac:dyDescent="0.25">
      <c r="B22" s="23" t="s">
        <v>49</v>
      </c>
      <c r="C22" s="49">
        <f>AVERAGE('25.10 MIRAMA-NTUNGAMO-24h'!C22,'26.10 MIRAMA HILL-NTUNGAMO'!C22)</f>
        <v>1.5</v>
      </c>
      <c r="D22" s="49">
        <f>AVERAGE('25.10 MIRAMA-NTUNGAMO-24h'!D22,'26.10 MIRAMA HILL-NTUNGAMO'!D22)</f>
        <v>0</v>
      </c>
      <c r="E22" s="49">
        <f>AVERAGE('25.10 MIRAMA-NTUNGAMO-24h'!E22,'26.10 MIRAMA HILL-NTUNGAMO'!E22)</f>
        <v>0.5</v>
      </c>
      <c r="F22" s="49">
        <f>AVERAGE('25.10 MIRAMA-NTUNGAMO-24h'!F22,'26.10 MIRAMA HILL-NTUNGAMO'!F22)</f>
        <v>0</v>
      </c>
      <c r="G22" s="49">
        <f>AVERAGE('25.10 MIRAMA-NTUNGAMO-24h'!G22,'26.10 MIRAMA HILL-NTUNGAMO'!G22)</f>
        <v>0</v>
      </c>
      <c r="H22" s="49">
        <f>AVERAGE('25.10 MIRAMA-NTUNGAMO-24h'!H22,'26.10 MIRAMA HILL-NTUNGAMO'!H22)</f>
        <v>0</v>
      </c>
      <c r="I22" s="49">
        <f>AVERAGE('25.10 MIRAMA-NTUNGAMO-24h'!I22,'26.10 MIRAMA HILL-NTUNGAMO'!I22)</f>
        <v>0.5</v>
      </c>
      <c r="J22" s="49">
        <f>AVERAGE('25.10 MIRAMA-NTUNGAMO-24h'!J22,'26.10 MIRAMA HILL-NTUNGAMO'!J22)</f>
        <v>0.5</v>
      </c>
      <c r="K22" s="49">
        <f>AVERAGE('25.10 MIRAMA-NTUNGAMO-24h'!K22,'26.10 MIRAMA HILL-NTUNGAMO'!K22)</f>
        <v>0.5</v>
      </c>
      <c r="L22" s="49">
        <f>AVERAGE('25.10 MIRAMA-NTUNGAMO-24h'!L22,'26.10 MIRAMA HILL-NTUNGAMO'!L22)</f>
        <v>3.5</v>
      </c>
      <c r="M22" s="49">
        <f>AVERAGE('25.10 MIRAMA-NTUNGAMO-24h'!M22,'26.10 MIRAMA HILL-NTUNGAMO'!M22)</f>
        <v>3.5</v>
      </c>
      <c r="N22" s="49">
        <f>AVERAGE('25.10 MIRAMA-NTUNGAMO-24h'!N22,'26.10 MIRAMA HILL-NTUNGAMO'!N22)</f>
        <v>0</v>
      </c>
      <c r="O22" s="15">
        <f t="shared" si="0"/>
        <v>7</v>
      </c>
      <c r="P22" s="15">
        <f t="shared" si="1"/>
        <v>10.5</v>
      </c>
      <c r="R22" s="1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5</v>
      </c>
      <c r="AC22" s="34">
        <f t="shared" si="14"/>
        <v>18</v>
      </c>
      <c r="AD22" s="34">
        <f t="shared" si="14"/>
        <v>0</v>
      </c>
      <c r="AE22" s="31">
        <f t="shared" si="14"/>
        <v>8</v>
      </c>
      <c r="AF22" s="31">
        <f t="shared" si="14"/>
        <v>26</v>
      </c>
    </row>
    <row r="23" spans="2:32" ht="23.1" customHeight="1" x14ac:dyDescent="0.25">
      <c r="B23" s="23" t="s">
        <v>50</v>
      </c>
      <c r="C23" s="49">
        <f>AVERAGE('25.10 MIRAMA-NTUNGAMO-24h'!C23,'26.10 MIRAMA HILL-NTUNGAMO'!C23)</f>
        <v>0</v>
      </c>
      <c r="D23" s="49">
        <f>AVERAGE('25.10 MIRAMA-NTUNGAMO-24h'!D23,'26.10 MIRAMA HILL-NTUNGAMO'!D23)</f>
        <v>0</v>
      </c>
      <c r="E23" s="49">
        <f>AVERAGE('25.10 MIRAMA-NTUNGAMO-24h'!E23,'26.10 MIRAMA HILL-NTUNGAMO'!E23)</f>
        <v>0.5</v>
      </c>
      <c r="F23" s="49">
        <f>AVERAGE('25.10 MIRAMA-NTUNGAMO-24h'!F23,'26.10 MIRAMA HILL-NTUNGAMO'!F23)</f>
        <v>0</v>
      </c>
      <c r="G23" s="49">
        <f>AVERAGE('25.10 MIRAMA-NTUNGAMO-24h'!G23,'26.10 MIRAMA HILL-NTUNGAMO'!G23)</f>
        <v>0</v>
      </c>
      <c r="H23" s="49">
        <f>AVERAGE('25.10 MIRAMA-NTUNGAMO-24h'!H23,'26.10 MIRAMA HILL-NTUNGAMO'!H23)</f>
        <v>0</v>
      </c>
      <c r="I23" s="49">
        <f>AVERAGE('25.10 MIRAMA-NTUNGAMO-24h'!I23,'26.10 MIRAMA HILL-NTUNGAMO'!I23)</f>
        <v>0</v>
      </c>
      <c r="J23" s="49">
        <f>AVERAGE('25.10 MIRAMA-NTUNGAMO-24h'!J23,'26.10 MIRAMA HILL-NTUNGAMO'!J23)</f>
        <v>0</v>
      </c>
      <c r="K23" s="49">
        <f>AVERAGE('25.10 MIRAMA-NTUNGAMO-24h'!K23,'26.10 MIRAMA HILL-NTUNGAMO'!K23)</f>
        <v>0</v>
      </c>
      <c r="L23" s="49">
        <f>AVERAGE('25.10 MIRAMA-NTUNGAMO-24h'!L23,'26.10 MIRAMA HILL-NTUNGAMO'!L23)</f>
        <v>1.5</v>
      </c>
      <c r="M23" s="49">
        <f>AVERAGE('25.10 MIRAMA-NTUNGAMO-24h'!M23,'26.10 MIRAMA HILL-NTUNGAMO'!M23)</f>
        <v>1</v>
      </c>
      <c r="N23" s="49">
        <f>AVERAGE('25.10 MIRAMA-NTUNGAMO-24h'!N23,'26.10 MIRAMA HILL-NTUNGAMO'!N23)</f>
        <v>0</v>
      </c>
      <c r="O23" s="15">
        <f t="shared" si="0"/>
        <v>2</v>
      </c>
      <c r="P23" s="15">
        <f t="shared" si="1"/>
        <v>3</v>
      </c>
      <c r="R23" s="1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3</v>
      </c>
      <c r="AA23" s="34">
        <f t="shared" si="15"/>
        <v>0</v>
      </c>
      <c r="AB23" s="34">
        <f t="shared" si="15"/>
        <v>3</v>
      </c>
      <c r="AC23" s="34">
        <f t="shared" si="15"/>
        <v>6</v>
      </c>
      <c r="AD23" s="34">
        <f t="shared" si="15"/>
        <v>0</v>
      </c>
      <c r="AE23" s="31">
        <f t="shared" si="15"/>
        <v>6</v>
      </c>
      <c r="AF23" s="31">
        <f t="shared" si="15"/>
        <v>12</v>
      </c>
    </row>
    <row r="24" spans="2:32" ht="23.1" customHeight="1" x14ac:dyDescent="0.25">
      <c r="B24" s="23" t="s">
        <v>51</v>
      </c>
      <c r="C24" s="49">
        <f>AVERAGE('25.10 MIRAMA-NTUNGAMO-24h'!C24,'26.10 MIRAMA HILL-NTUNGAMO'!C24)</f>
        <v>0.5</v>
      </c>
      <c r="D24" s="49">
        <f>AVERAGE('25.10 MIRAMA-NTUNGAMO-24h'!D24,'26.10 MIRAMA HILL-NTUNGAMO'!D24)</f>
        <v>0</v>
      </c>
      <c r="E24" s="49">
        <f>AVERAGE('25.10 MIRAMA-NTUNGAMO-24h'!E24,'26.10 MIRAMA HILL-NTUNGAMO'!E24)</f>
        <v>0</v>
      </c>
      <c r="F24" s="49">
        <f>AVERAGE('25.10 MIRAMA-NTUNGAMO-24h'!F24,'26.10 MIRAMA HILL-NTUNGAMO'!F24)</f>
        <v>0</v>
      </c>
      <c r="G24" s="49">
        <f>AVERAGE('25.10 MIRAMA-NTUNGAMO-24h'!G24,'26.10 MIRAMA HILL-NTUNGAMO'!G24)</f>
        <v>0</v>
      </c>
      <c r="H24" s="49">
        <f>AVERAGE('25.10 MIRAMA-NTUNGAMO-24h'!H24,'26.10 MIRAMA HILL-NTUNGAMO'!H24)</f>
        <v>0</v>
      </c>
      <c r="I24" s="49">
        <f>AVERAGE('25.10 MIRAMA-NTUNGAMO-24h'!I24,'26.10 MIRAMA HILL-NTUNGAMO'!I24)</f>
        <v>0</v>
      </c>
      <c r="J24" s="49">
        <f>AVERAGE('25.10 MIRAMA-NTUNGAMO-24h'!J24,'26.10 MIRAMA HILL-NTUNGAMO'!J24)</f>
        <v>0</v>
      </c>
      <c r="K24" s="49">
        <f>AVERAGE('25.10 MIRAMA-NTUNGAMO-24h'!K24,'26.10 MIRAMA HILL-NTUNGAMO'!K24)</f>
        <v>0</v>
      </c>
      <c r="L24" s="49">
        <f>AVERAGE('25.10 MIRAMA-NTUNGAMO-24h'!L24,'26.10 MIRAMA HILL-NTUNGAMO'!L24)</f>
        <v>1.5</v>
      </c>
      <c r="M24" s="49">
        <f>AVERAGE('25.10 MIRAMA-NTUNGAMO-24h'!M24,'26.10 MIRAMA HILL-NTUNGAMO'!M24)</f>
        <v>2.5</v>
      </c>
      <c r="N24" s="49">
        <f>AVERAGE('25.10 MIRAMA-NTUNGAMO-24h'!N24,'26.10 MIRAMA HILL-NTUNGAMO'!N24)</f>
        <v>0</v>
      </c>
      <c r="O24" s="15">
        <f t="shared" si="0"/>
        <v>2</v>
      </c>
      <c r="P24" s="15">
        <f t="shared" si="1"/>
        <v>4.5</v>
      </c>
      <c r="R24" s="1" t="s">
        <v>148</v>
      </c>
      <c r="S24" s="34">
        <f>SUM(C66:C69)</f>
        <v>1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1</v>
      </c>
      <c r="AB24" s="34">
        <f t="shared" si="16"/>
        <v>6</v>
      </c>
      <c r="AC24" s="34">
        <f t="shared" si="16"/>
        <v>7</v>
      </c>
      <c r="AD24" s="34">
        <f t="shared" si="16"/>
        <v>0</v>
      </c>
      <c r="AE24" s="31">
        <f t="shared" si="16"/>
        <v>11</v>
      </c>
      <c r="AF24" s="31">
        <f t="shared" si="16"/>
        <v>18</v>
      </c>
    </row>
    <row r="25" spans="2:32" ht="23.1" customHeight="1" x14ac:dyDescent="0.25">
      <c r="B25" s="23" t="s">
        <v>52</v>
      </c>
      <c r="C25" s="49">
        <f>AVERAGE('25.10 MIRAMA-NTUNGAMO-24h'!C25,'26.10 MIRAMA HILL-NTUNGAMO'!C25)</f>
        <v>0.5</v>
      </c>
      <c r="D25" s="49">
        <f>AVERAGE('25.10 MIRAMA-NTUNGAMO-24h'!D25,'26.10 MIRAMA HILL-NTUNGAMO'!D25)</f>
        <v>0</v>
      </c>
      <c r="E25" s="49">
        <f>AVERAGE('25.10 MIRAMA-NTUNGAMO-24h'!E25,'26.10 MIRAMA HILL-NTUNGAMO'!E25)</f>
        <v>0</v>
      </c>
      <c r="F25" s="49">
        <f>AVERAGE('25.10 MIRAMA-NTUNGAMO-24h'!F25,'26.10 MIRAMA HILL-NTUNGAMO'!F25)</f>
        <v>0</v>
      </c>
      <c r="G25" s="49">
        <f>AVERAGE('25.10 MIRAMA-NTUNGAMO-24h'!G25,'26.10 MIRAMA HILL-NTUNGAMO'!G25)</f>
        <v>0</v>
      </c>
      <c r="H25" s="49">
        <f>AVERAGE('25.10 MIRAMA-NTUNGAMO-24h'!H25,'26.10 MIRAMA HILL-NTUNGAMO'!H25)</f>
        <v>0</v>
      </c>
      <c r="I25" s="49">
        <f>AVERAGE('25.10 MIRAMA-NTUNGAMO-24h'!I25,'26.10 MIRAMA HILL-NTUNGAMO'!I25)</f>
        <v>0</v>
      </c>
      <c r="J25" s="49">
        <f>AVERAGE('25.10 MIRAMA-NTUNGAMO-24h'!J25,'26.10 MIRAMA HILL-NTUNGAMO'!J25)</f>
        <v>0</v>
      </c>
      <c r="K25" s="49">
        <f>AVERAGE('25.10 MIRAMA-NTUNGAMO-24h'!K25,'26.10 MIRAMA HILL-NTUNGAMO'!K25)</f>
        <v>0</v>
      </c>
      <c r="L25" s="49">
        <f>AVERAGE('25.10 MIRAMA-NTUNGAMO-24h'!L25,'26.10 MIRAMA HILL-NTUNGAMO'!L25)</f>
        <v>1</v>
      </c>
      <c r="M25" s="49">
        <f>AVERAGE('25.10 MIRAMA-NTUNGAMO-24h'!M25,'26.10 MIRAMA HILL-NTUNGAMO'!M25)</f>
        <v>1.5</v>
      </c>
      <c r="N25" s="49">
        <f>AVERAGE('25.10 MIRAMA-NTUNGAMO-24h'!N25,'26.10 MIRAMA HILL-NTUNGAMO'!N25)</f>
        <v>0</v>
      </c>
      <c r="O25" s="15">
        <f t="shared" si="0"/>
        <v>1.5</v>
      </c>
      <c r="P25" s="15">
        <f t="shared" si="1"/>
        <v>3</v>
      </c>
      <c r="R25" s="1" t="s">
        <v>149</v>
      </c>
      <c r="S25" s="34">
        <f>SUM(C70:C73)</f>
        <v>1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6</v>
      </c>
      <c r="AB25" s="34">
        <f t="shared" si="17"/>
        <v>4</v>
      </c>
      <c r="AC25" s="34">
        <f t="shared" si="17"/>
        <v>0</v>
      </c>
      <c r="AD25" s="34">
        <f t="shared" si="17"/>
        <v>0</v>
      </c>
      <c r="AE25" s="31">
        <f t="shared" si="17"/>
        <v>14</v>
      </c>
      <c r="AF25" s="31">
        <f t="shared" si="17"/>
        <v>14</v>
      </c>
    </row>
    <row r="26" spans="2:32" ht="23.1" customHeight="1" x14ac:dyDescent="0.25">
      <c r="B26" s="23" t="s">
        <v>53</v>
      </c>
      <c r="C26" s="49">
        <f>AVERAGE('25.10 MIRAMA-NTUNGAMO-24h'!C26,'26.10 MIRAMA HILL-NTUNGAMO'!C26)</f>
        <v>2</v>
      </c>
      <c r="D26" s="49">
        <f>AVERAGE('25.10 MIRAMA-NTUNGAMO-24h'!D26,'26.10 MIRAMA HILL-NTUNGAMO'!D26)</f>
        <v>0</v>
      </c>
      <c r="E26" s="49">
        <f>AVERAGE('25.10 MIRAMA-NTUNGAMO-24h'!E26,'26.10 MIRAMA HILL-NTUNGAMO'!E26)</f>
        <v>0</v>
      </c>
      <c r="F26" s="49">
        <f>AVERAGE('25.10 MIRAMA-NTUNGAMO-24h'!F26,'26.10 MIRAMA HILL-NTUNGAMO'!F26)</f>
        <v>0</v>
      </c>
      <c r="G26" s="49">
        <f>AVERAGE('25.10 MIRAMA-NTUNGAMO-24h'!G26,'26.10 MIRAMA HILL-NTUNGAMO'!G26)</f>
        <v>0</v>
      </c>
      <c r="H26" s="49">
        <f>AVERAGE('25.10 MIRAMA-NTUNGAMO-24h'!H26,'26.10 MIRAMA HILL-NTUNGAMO'!H26)</f>
        <v>0</v>
      </c>
      <c r="I26" s="49">
        <f>AVERAGE('25.10 MIRAMA-NTUNGAMO-24h'!I26,'26.10 MIRAMA HILL-NTUNGAMO'!I26)</f>
        <v>0</v>
      </c>
      <c r="J26" s="49">
        <f>AVERAGE('25.10 MIRAMA-NTUNGAMO-24h'!J26,'26.10 MIRAMA HILL-NTUNGAMO'!J26)</f>
        <v>0</v>
      </c>
      <c r="K26" s="49">
        <f>AVERAGE('25.10 MIRAMA-NTUNGAMO-24h'!K26,'26.10 MIRAMA HILL-NTUNGAMO'!K26)</f>
        <v>0</v>
      </c>
      <c r="L26" s="49">
        <f>AVERAGE('25.10 MIRAMA-NTUNGAMO-24h'!L26,'26.10 MIRAMA HILL-NTUNGAMO'!L26)</f>
        <v>1.5</v>
      </c>
      <c r="M26" s="49">
        <f>AVERAGE('25.10 MIRAMA-NTUNGAMO-24h'!M26,'26.10 MIRAMA HILL-NTUNGAMO'!M26)</f>
        <v>2</v>
      </c>
      <c r="N26" s="49">
        <f>AVERAGE('25.10 MIRAMA-NTUNGAMO-24h'!N26,'26.10 MIRAMA HILL-NTUNGAMO'!N26)</f>
        <v>0</v>
      </c>
      <c r="O26" s="15">
        <f t="shared" si="0"/>
        <v>3.5</v>
      </c>
      <c r="P26" s="15">
        <f t="shared" si="1"/>
        <v>5.5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3</v>
      </c>
      <c r="AB26" s="34">
        <f t="shared" si="18"/>
        <v>8</v>
      </c>
      <c r="AC26" s="34">
        <f t="shared" si="18"/>
        <v>0</v>
      </c>
      <c r="AD26" s="34">
        <f t="shared" si="18"/>
        <v>0</v>
      </c>
      <c r="AE26" s="31">
        <f t="shared" si="18"/>
        <v>12</v>
      </c>
      <c r="AF26" s="31">
        <f t="shared" si="18"/>
        <v>12</v>
      </c>
    </row>
    <row r="27" spans="2:32" ht="23.1" customHeight="1" x14ac:dyDescent="0.25">
      <c r="B27" s="23" t="s">
        <v>54</v>
      </c>
      <c r="C27" s="49">
        <f>AVERAGE('25.10 MIRAMA-NTUNGAMO-24h'!C27,'26.10 MIRAMA HILL-NTUNGAMO'!C27)</f>
        <v>2</v>
      </c>
      <c r="D27" s="49">
        <f>AVERAGE('25.10 MIRAMA-NTUNGAMO-24h'!D27,'26.10 MIRAMA HILL-NTUNGAMO'!D27)</f>
        <v>0</v>
      </c>
      <c r="E27" s="49">
        <f>AVERAGE('25.10 MIRAMA-NTUNGAMO-24h'!E27,'26.10 MIRAMA HILL-NTUNGAMO'!E27)</f>
        <v>1</v>
      </c>
      <c r="F27" s="49">
        <f>AVERAGE('25.10 MIRAMA-NTUNGAMO-24h'!F27,'26.10 MIRAMA HILL-NTUNGAMO'!F27)</f>
        <v>0</v>
      </c>
      <c r="G27" s="49">
        <f>AVERAGE('25.10 MIRAMA-NTUNGAMO-24h'!G27,'26.10 MIRAMA HILL-NTUNGAMO'!G27)</f>
        <v>0</v>
      </c>
      <c r="H27" s="49">
        <f>AVERAGE('25.10 MIRAMA-NTUNGAMO-24h'!H27,'26.10 MIRAMA HILL-NTUNGAMO'!H27)</f>
        <v>0</v>
      </c>
      <c r="I27" s="49">
        <f>AVERAGE('25.10 MIRAMA-NTUNGAMO-24h'!I27,'26.10 MIRAMA HILL-NTUNGAMO'!I27)</f>
        <v>0</v>
      </c>
      <c r="J27" s="49">
        <f>AVERAGE('25.10 MIRAMA-NTUNGAMO-24h'!J27,'26.10 MIRAMA HILL-NTUNGAMO'!J27)</f>
        <v>0</v>
      </c>
      <c r="K27" s="49">
        <f>AVERAGE('25.10 MIRAMA-NTUNGAMO-24h'!K27,'26.10 MIRAMA HILL-NTUNGAMO'!K27)</f>
        <v>0</v>
      </c>
      <c r="L27" s="49">
        <f>AVERAGE('25.10 MIRAMA-NTUNGAMO-24h'!L27,'26.10 MIRAMA HILL-NTUNGAMO'!L27)</f>
        <v>2.5</v>
      </c>
      <c r="M27" s="49">
        <f>AVERAGE('25.10 MIRAMA-NTUNGAMO-24h'!M27,'26.10 MIRAMA HILL-NTUNGAMO'!M27)</f>
        <v>5</v>
      </c>
      <c r="N27" s="49">
        <f>AVERAGE('25.10 MIRAMA-NTUNGAMO-24h'!N27,'26.10 MIRAMA HILL-NTUNGAMO'!N27)</f>
        <v>0</v>
      </c>
      <c r="O27" s="15">
        <f t="shared" si="0"/>
        <v>5.5</v>
      </c>
      <c r="P27" s="15">
        <f t="shared" si="1"/>
        <v>10.5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2</v>
      </c>
      <c r="AC27" s="34">
        <f t="shared" si="19"/>
        <v>0</v>
      </c>
      <c r="AD27" s="34">
        <f t="shared" si="19"/>
        <v>0</v>
      </c>
      <c r="AE27" s="31">
        <f t="shared" si="19"/>
        <v>3</v>
      </c>
      <c r="AF27" s="31">
        <f t="shared" si="19"/>
        <v>3</v>
      </c>
    </row>
    <row r="28" spans="2:32" ht="23.1" customHeight="1" x14ac:dyDescent="0.25">
      <c r="B28" s="23" t="s">
        <v>55</v>
      </c>
      <c r="C28" s="49">
        <f>AVERAGE('25.10 MIRAMA-NTUNGAMO-24h'!C28,'26.10 MIRAMA HILL-NTUNGAMO'!C28)</f>
        <v>2.5</v>
      </c>
      <c r="D28" s="49">
        <f>AVERAGE('25.10 MIRAMA-NTUNGAMO-24h'!D28,'26.10 MIRAMA HILL-NTUNGAMO'!D28)</f>
        <v>0</v>
      </c>
      <c r="E28" s="49">
        <f>AVERAGE('25.10 MIRAMA-NTUNGAMO-24h'!E28,'26.10 MIRAMA HILL-NTUNGAMO'!E28)</f>
        <v>0</v>
      </c>
      <c r="F28" s="49">
        <f>AVERAGE('25.10 MIRAMA-NTUNGAMO-24h'!F28,'26.10 MIRAMA HILL-NTUNGAMO'!F28)</f>
        <v>0</v>
      </c>
      <c r="G28" s="49">
        <f>AVERAGE('25.10 MIRAMA-NTUNGAMO-24h'!G28,'26.10 MIRAMA HILL-NTUNGAMO'!G28)</f>
        <v>0</v>
      </c>
      <c r="H28" s="49">
        <f>AVERAGE('25.10 MIRAMA-NTUNGAMO-24h'!H28,'26.10 MIRAMA HILL-NTUNGAMO'!H28)</f>
        <v>0</v>
      </c>
      <c r="I28" s="49">
        <f>AVERAGE('25.10 MIRAMA-NTUNGAMO-24h'!I28,'26.10 MIRAMA HILL-NTUNGAMO'!I28)</f>
        <v>0</v>
      </c>
      <c r="J28" s="49">
        <f>AVERAGE('25.10 MIRAMA-NTUNGAMO-24h'!J28,'26.10 MIRAMA HILL-NTUNGAMO'!J28)</f>
        <v>0</v>
      </c>
      <c r="K28" s="49">
        <f>AVERAGE('25.10 MIRAMA-NTUNGAMO-24h'!K28,'26.10 MIRAMA HILL-NTUNGAMO'!K28)</f>
        <v>0</v>
      </c>
      <c r="L28" s="49">
        <f>AVERAGE('25.10 MIRAMA-NTUNGAMO-24h'!L28,'26.10 MIRAMA HILL-NTUNGAMO'!L28)</f>
        <v>1.5</v>
      </c>
      <c r="M28" s="49">
        <f>AVERAGE('25.10 MIRAMA-NTUNGAMO-24h'!M28,'26.10 MIRAMA HILL-NTUNGAMO'!M28)</f>
        <v>3</v>
      </c>
      <c r="N28" s="49">
        <f>AVERAGE('25.10 MIRAMA-NTUNGAMO-24h'!N28,'26.10 MIRAMA HILL-NTUNGAMO'!N28)</f>
        <v>0</v>
      </c>
      <c r="O28" s="15">
        <f t="shared" si="0"/>
        <v>4</v>
      </c>
      <c r="P28" s="15">
        <f t="shared" si="1"/>
        <v>7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23" t="s">
        <v>56</v>
      </c>
      <c r="C29" s="49">
        <f>AVERAGE('25.10 MIRAMA-NTUNGAMO-24h'!C29,'26.10 MIRAMA HILL-NTUNGAMO'!C29)</f>
        <v>0.5</v>
      </c>
      <c r="D29" s="49">
        <f>AVERAGE('25.10 MIRAMA-NTUNGAMO-24h'!D29,'26.10 MIRAMA HILL-NTUNGAMO'!D29)</f>
        <v>0</v>
      </c>
      <c r="E29" s="49">
        <f>AVERAGE('25.10 MIRAMA-NTUNGAMO-24h'!E29,'26.10 MIRAMA HILL-NTUNGAMO'!E29)</f>
        <v>0.5</v>
      </c>
      <c r="F29" s="49">
        <f>AVERAGE('25.10 MIRAMA-NTUNGAMO-24h'!F29,'26.10 MIRAMA HILL-NTUNGAMO'!F29)</f>
        <v>0</v>
      </c>
      <c r="G29" s="49">
        <f>AVERAGE('25.10 MIRAMA-NTUNGAMO-24h'!G29,'26.10 MIRAMA HILL-NTUNGAMO'!G29)</f>
        <v>0</v>
      </c>
      <c r="H29" s="49">
        <f>AVERAGE('25.10 MIRAMA-NTUNGAMO-24h'!H29,'26.10 MIRAMA HILL-NTUNGAMO'!H29)</f>
        <v>0</v>
      </c>
      <c r="I29" s="49">
        <f>AVERAGE('25.10 MIRAMA-NTUNGAMO-24h'!I29,'26.10 MIRAMA HILL-NTUNGAMO'!I29)</f>
        <v>0</v>
      </c>
      <c r="J29" s="49">
        <f>AVERAGE('25.10 MIRAMA-NTUNGAMO-24h'!J29,'26.10 MIRAMA HILL-NTUNGAMO'!J29)</f>
        <v>0</v>
      </c>
      <c r="K29" s="49">
        <f>AVERAGE('25.10 MIRAMA-NTUNGAMO-24h'!K29,'26.10 MIRAMA HILL-NTUNGAMO'!K29)</f>
        <v>0</v>
      </c>
      <c r="L29" s="49">
        <f>AVERAGE('25.10 MIRAMA-NTUNGAMO-24h'!L29,'26.10 MIRAMA HILL-NTUNGAMO'!L29)</f>
        <v>0</v>
      </c>
      <c r="M29" s="49">
        <f>AVERAGE('25.10 MIRAMA-NTUNGAMO-24h'!M29,'26.10 MIRAMA HILL-NTUNGAMO'!M29)</f>
        <v>3</v>
      </c>
      <c r="N29" s="49">
        <f>AVERAGE('25.10 MIRAMA-NTUNGAMO-24h'!N29,'26.10 MIRAMA HILL-NTUNGAMO'!N29)</f>
        <v>0</v>
      </c>
      <c r="O29" s="15">
        <f t="shared" si="0"/>
        <v>1</v>
      </c>
      <c r="P29" s="15">
        <f t="shared" si="1"/>
        <v>4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AVERAGE('25.10 MIRAMA-NTUNGAMO-24h'!C30,'26.10 MIRAMA HILL-NTUNGAMO'!C30)</f>
        <v>2</v>
      </c>
      <c r="D30" s="49">
        <f>AVERAGE('25.10 MIRAMA-NTUNGAMO-24h'!D30,'26.10 MIRAMA HILL-NTUNGAMO'!D30)</f>
        <v>0</v>
      </c>
      <c r="E30" s="49">
        <f>AVERAGE('25.10 MIRAMA-NTUNGAMO-24h'!E30,'26.10 MIRAMA HILL-NTUNGAMO'!E30)</f>
        <v>0</v>
      </c>
      <c r="F30" s="49">
        <f>AVERAGE('25.10 MIRAMA-NTUNGAMO-24h'!F30,'26.10 MIRAMA HILL-NTUNGAMO'!F30)</f>
        <v>0</v>
      </c>
      <c r="G30" s="49">
        <f>AVERAGE('25.10 MIRAMA-NTUNGAMO-24h'!G30,'26.10 MIRAMA HILL-NTUNGAMO'!G30)</f>
        <v>0</v>
      </c>
      <c r="H30" s="49">
        <f>AVERAGE('25.10 MIRAMA-NTUNGAMO-24h'!H30,'26.10 MIRAMA HILL-NTUNGAMO'!H30)</f>
        <v>0</v>
      </c>
      <c r="I30" s="49">
        <f>AVERAGE('25.10 MIRAMA-NTUNGAMO-24h'!I30,'26.10 MIRAMA HILL-NTUNGAMO'!I30)</f>
        <v>1.5</v>
      </c>
      <c r="J30" s="49">
        <f>AVERAGE('25.10 MIRAMA-NTUNGAMO-24h'!J30,'26.10 MIRAMA HILL-NTUNGAMO'!J30)</f>
        <v>0.5</v>
      </c>
      <c r="K30" s="49">
        <f>AVERAGE('25.10 MIRAMA-NTUNGAMO-24h'!K30,'26.10 MIRAMA HILL-NTUNGAMO'!K30)</f>
        <v>1</v>
      </c>
      <c r="L30" s="49">
        <f>AVERAGE('25.10 MIRAMA-NTUNGAMO-24h'!L30,'26.10 MIRAMA HILL-NTUNGAMO'!L30)</f>
        <v>0.5</v>
      </c>
      <c r="M30" s="49">
        <f>AVERAGE('25.10 MIRAMA-NTUNGAMO-24h'!M30,'26.10 MIRAMA HILL-NTUNGAMO'!M30)</f>
        <v>4.5</v>
      </c>
      <c r="N30" s="49">
        <f>AVERAGE('25.10 MIRAMA-NTUNGAMO-24h'!N30,'26.10 MIRAMA HILL-NTUNGAMO'!N30)</f>
        <v>0</v>
      </c>
      <c r="O30" s="15">
        <f t="shared" si="0"/>
        <v>5.5</v>
      </c>
      <c r="P30" s="15">
        <f t="shared" si="1"/>
        <v>10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AVERAGE('25.10 MIRAMA-NTUNGAMO-24h'!C31,'26.10 MIRAMA HILL-NTUNGAMO'!C31)</f>
        <v>1.5</v>
      </c>
      <c r="D31" s="49">
        <f>AVERAGE('25.10 MIRAMA-NTUNGAMO-24h'!D31,'26.10 MIRAMA HILL-NTUNGAMO'!D31)</f>
        <v>0</v>
      </c>
      <c r="E31" s="49">
        <f>AVERAGE('25.10 MIRAMA-NTUNGAMO-24h'!E31,'26.10 MIRAMA HILL-NTUNGAMO'!E31)</f>
        <v>0</v>
      </c>
      <c r="F31" s="49">
        <f>AVERAGE('25.10 MIRAMA-NTUNGAMO-24h'!F31,'26.10 MIRAMA HILL-NTUNGAMO'!F31)</f>
        <v>0</v>
      </c>
      <c r="G31" s="49">
        <f>AVERAGE('25.10 MIRAMA-NTUNGAMO-24h'!G31,'26.10 MIRAMA HILL-NTUNGAMO'!G31)</f>
        <v>0</v>
      </c>
      <c r="H31" s="49">
        <f>AVERAGE('25.10 MIRAMA-NTUNGAMO-24h'!H31,'26.10 MIRAMA HILL-NTUNGAMO'!H31)</f>
        <v>0</v>
      </c>
      <c r="I31" s="49">
        <f>AVERAGE('25.10 MIRAMA-NTUNGAMO-24h'!I31,'26.10 MIRAMA HILL-NTUNGAMO'!I31)</f>
        <v>0</v>
      </c>
      <c r="J31" s="49">
        <f>AVERAGE('25.10 MIRAMA-NTUNGAMO-24h'!J31,'26.10 MIRAMA HILL-NTUNGAMO'!J31)</f>
        <v>0</v>
      </c>
      <c r="K31" s="49">
        <f>AVERAGE('25.10 MIRAMA-NTUNGAMO-24h'!K31,'26.10 MIRAMA HILL-NTUNGAMO'!K31)</f>
        <v>2</v>
      </c>
      <c r="L31" s="49">
        <f>AVERAGE('25.10 MIRAMA-NTUNGAMO-24h'!L31,'26.10 MIRAMA HILL-NTUNGAMO'!L31)</f>
        <v>1</v>
      </c>
      <c r="M31" s="49">
        <f>AVERAGE('25.10 MIRAMA-NTUNGAMO-24h'!M31,'26.10 MIRAMA HILL-NTUNGAMO'!M31)</f>
        <v>6.5</v>
      </c>
      <c r="N31" s="49">
        <f>AVERAGE('25.10 MIRAMA-NTUNGAMO-24h'!N31,'26.10 MIRAMA HILL-NTUNGAMO'!N31)</f>
        <v>0</v>
      </c>
      <c r="O31" s="15">
        <f t="shared" si="0"/>
        <v>4.5</v>
      </c>
      <c r="P31" s="15">
        <f t="shared" si="1"/>
        <v>11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2</v>
      </c>
      <c r="AC31" s="34">
        <f t="shared" si="23"/>
        <v>1</v>
      </c>
      <c r="AD31" s="34">
        <f t="shared" si="23"/>
        <v>0</v>
      </c>
      <c r="AE31" s="31">
        <f t="shared" si="23"/>
        <v>2</v>
      </c>
      <c r="AF31" s="31">
        <f t="shared" si="23"/>
        <v>3</v>
      </c>
    </row>
    <row r="32" spans="2:32" ht="23.1" customHeight="1" x14ac:dyDescent="0.25">
      <c r="B32" s="24" t="s">
        <v>59</v>
      </c>
      <c r="C32" s="49">
        <f>AVERAGE('25.10 MIRAMA-NTUNGAMO-24h'!C32,'26.10 MIRAMA HILL-NTUNGAMO'!C32)</f>
        <v>1.5</v>
      </c>
      <c r="D32" s="49">
        <f>AVERAGE('25.10 MIRAMA-NTUNGAMO-24h'!D32,'26.10 MIRAMA HILL-NTUNGAMO'!D32)</f>
        <v>0</v>
      </c>
      <c r="E32" s="49">
        <f>AVERAGE('25.10 MIRAMA-NTUNGAMO-24h'!E32,'26.10 MIRAMA HILL-NTUNGAMO'!E32)</f>
        <v>0</v>
      </c>
      <c r="F32" s="49">
        <f>AVERAGE('25.10 MIRAMA-NTUNGAMO-24h'!F32,'26.10 MIRAMA HILL-NTUNGAMO'!F32)</f>
        <v>0</v>
      </c>
      <c r="G32" s="49">
        <f>AVERAGE('25.10 MIRAMA-NTUNGAMO-24h'!G32,'26.10 MIRAMA HILL-NTUNGAMO'!G32)</f>
        <v>0</v>
      </c>
      <c r="H32" s="49">
        <f>AVERAGE('25.10 MIRAMA-NTUNGAMO-24h'!H32,'26.10 MIRAMA HILL-NTUNGAMO'!H32)</f>
        <v>0</v>
      </c>
      <c r="I32" s="49">
        <f>AVERAGE('25.10 MIRAMA-NTUNGAMO-24h'!I32,'26.10 MIRAMA HILL-NTUNGAMO'!I32)</f>
        <v>0.5</v>
      </c>
      <c r="J32" s="49">
        <f>AVERAGE('25.10 MIRAMA-NTUNGAMO-24h'!J32,'26.10 MIRAMA HILL-NTUNGAMO'!J32)</f>
        <v>0.5</v>
      </c>
      <c r="K32" s="49">
        <f>AVERAGE('25.10 MIRAMA-NTUNGAMO-24h'!K32,'26.10 MIRAMA HILL-NTUNGAMO'!K32)</f>
        <v>0</v>
      </c>
      <c r="L32" s="49">
        <f>AVERAGE('25.10 MIRAMA-NTUNGAMO-24h'!L32,'26.10 MIRAMA HILL-NTUNGAMO'!L32)</f>
        <v>2.5</v>
      </c>
      <c r="M32" s="49">
        <f>AVERAGE('25.10 MIRAMA-NTUNGAMO-24h'!M32,'26.10 MIRAMA HILL-NTUNGAMO'!M32)</f>
        <v>4.5</v>
      </c>
      <c r="N32" s="49">
        <f>AVERAGE('25.10 MIRAMA-NTUNGAMO-24h'!N32,'26.10 MIRAMA HILL-NTUNGAMO'!N32)</f>
        <v>0</v>
      </c>
      <c r="O32" s="15">
        <f t="shared" si="0"/>
        <v>5</v>
      </c>
      <c r="P32" s="15">
        <f t="shared" si="1"/>
        <v>9.5</v>
      </c>
      <c r="R32" s="1" t="s">
        <v>156</v>
      </c>
      <c r="S32" s="34">
        <f>SUM(C98:C101)</f>
        <v>5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5</v>
      </c>
      <c r="AB32" s="34">
        <f t="shared" si="24"/>
        <v>9</v>
      </c>
      <c r="AC32" s="34">
        <f t="shared" si="24"/>
        <v>11</v>
      </c>
      <c r="AD32" s="34">
        <f t="shared" si="24"/>
        <v>0</v>
      </c>
      <c r="AE32" s="31">
        <f t="shared" si="24"/>
        <v>21</v>
      </c>
      <c r="AF32" s="31">
        <f t="shared" si="24"/>
        <v>32</v>
      </c>
    </row>
    <row r="33" spans="2:32" ht="23.1" customHeight="1" x14ac:dyDescent="0.25">
      <c r="B33" s="23" t="s">
        <v>60</v>
      </c>
      <c r="C33" s="49">
        <f>AVERAGE('25.10 MIRAMA-NTUNGAMO-24h'!C33,'26.10 MIRAMA HILL-NTUNGAMO'!C33)</f>
        <v>0</v>
      </c>
      <c r="D33" s="49">
        <f>AVERAGE('25.10 MIRAMA-NTUNGAMO-24h'!D33,'26.10 MIRAMA HILL-NTUNGAMO'!D33)</f>
        <v>0</v>
      </c>
      <c r="E33" s="49">
        <f>AVERAGE('25.10 MIRAMA-NTUNGAMO-24h'!E33,'26.10 MIRAMA HILL-NTUNGAMO'!E33)</f>
        <v>0</v>
      </c>
      <c r="F33" s="49">
        <f>AVERAGE('25.10 MIRAMA-NTUNGAMO-24h'!F33,'26.10 MIRAMA HILL-NTUNGAMO'!F33)</f>
        <v>0</v>
      </c>
      <c r="G33" s="49">
        <f>AVERAGE('25.10 MIRAMA-NTUNGAMO-24h'!G33,'26.10 MIRAMA HILL-NTUNGAMO'!G33)</f>
        <v>0</v>
      </c>
      <c r="H33" s="49">
        <f>AVERAGE('25.10 MIRAMA-NTUNGAMO-24h'!H33,'26.10 MIRAMA HILL-NTUNGAMO'!H33)</f>
        <v>0</v>
      </c>
      <c r="I33" s="49">
        <f>AVERAGE('25.10 MIRAMA-NTUNGAMO-24h'!I33,'26.10 MIRAMA HILL-NTUNGAMO'!I33)</f>
        <v>0</v>
      </c>
      <c r="J33" s="49">
        <f>AVERAGE('25.10 MIRAMA-NTUNGAMO-24h'!J33,'26.10 MIRAMA HILL-NTUNGAMO'!J33)</f>
        <v>0</v>
      </c>
      <c r="K33" s="49">
        <f>AVERAGE('25.10 MIRAMA-NTUNGAMO-24h'!K33,'26.10 MIRAMA HILL-NTUNGAMO'!K33)</f>
        <v>0</v>
      </c>
      <c r="L33" s="49">
        <f>AVERAGE('25.10 MIRAMA-NTUNGAMO-24h'!L33,'26.10 MIRAMA HILL-NTUNGAMO'!L33)</f>
        <v>0</v>
      </c>
      <c r="M33" s="49">
        <f>AVERAGE('25.10 MIRAMA-NTUNGAMO-24h'!M33,'26.10 MIRAMA HILL-NTUNGAMO'!M33)</f>
        <v>1.5</v>
      </c>
      <c r="N33" s="49">
        <f>AVERAGE('25.10 MIRAMA-NTUNGAMO-24h'!N33,'26.10 MIRAMA HILL-NTUNGAMO'!N33)</f>
        <v>0</v>
      </c>
      <c r="O33" s="15">
        <f t="shared" si="0"/>
        <v>0</v>
      </c>
      <c r="P33" s="15">
        <f t="shared" si="1"/>
        <v>1.5</v>
      </c>
      <c r="R33" s="1" t="s">
        <v>157</v>
      </c>
      <c r="S33" s="34">
        <f>SUM(C102:C105)</f>
        <v>4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4</v>
      </c>
      <c r="AA33" s="34">
        <f t="shared" si="25"/>
        <v>18</v>
      </c>
      <c r="AB33" s="34">
        <f t="shared" si="25"/>
        <v>25</v>
      </c>
      <c r="AC33" s="34">
        <f t="shared" si="25"/>
        <v>18</v>
      </c>
      <c r="AD33" s="34">
        <f t="shared" si="25"/>
        <v>0</v>
      </c>
      <c r="AE33" s="31">
        <f t="shared" si="25"/>
        <v>58</v>
      </c>
      <c r="AF33" s="31">
        <f t="shared" si="25"/>
        <v>76</v>
      </c>
    </row>
    <row r="34" spans="2:32" ht="23.1" customHeight="1" x14ac:dyDescent="0.25">
      <c r="B34" s="24" t="s">
        <v>61</v>
      </c>
      <c r="C34" s="49">
        <f>AVERAGE('25.10 MIRAMA-NTUNGAMO-24h'!C34,'26.10 MIRAMA HILL-NTUNGAMO'!C34)</f>
        <v>3</v>
      </c>
      <c r="D34" s="49">
        <f>AVERAGE('25.10 MIRAMA-NTUNGAMO-24h'!D34,'26.10 MIRAMA HILL-NTUNGAMO'!D34)</f>
        <v>1</v>
      </c>
      <c r="E34" s="49">
        <f>AVERAGE('25.10 MIRAMA-NTUNGAMO-24h'!E34,'26.10 MIRAMA HILL-NTUNGAMO'!E34)</f>
        <v>0</v>
      </c>
      <c r="F34" s="49">
        <f>AVERAGE('25.10 MIRAMA-NTUNGAMO-24h'!F34,'26.10 MIRAMA HILL-NTUNGAMO'!F34)</f>
        <v>0</v>
      </c>
      <c r="G34" s="49">
        <f>AVERAGE('25.10 MIRAMA-NTUNGAMO-24h'!G34,'26.10 MIRAMA HILL-NTUNGAMO'!G34)</f>
        <v>0</v>
      </c>
      <c r="H34" s="49">
        <f>AVERAGE('25.10 MIRAMA-NTUNGAMO-24h'!H34,'26.10 MIRAMA HILL-NTUNGAMO'!H34)</f>
        <v>0</v>
      </c>
      <c r="I34" s="49">
        <f>AVERAGE('25.10 MIRAMA-NTUNGAMO-24h'!I34,'26.10 MIRAMA HILL-NTUNGAMO'!I34)</f>
        <v>0</v>
      </c>
      <c r="J34" s="49">
        <f>AVERAGE('25.10 MIRAMA-NTUNGAMO-24h'!J34,'26.10 MIRAMA HILL-NTUNGAMO'!J34)</f>
        <v>1</v>
      </c>
      <c r="K34" s="49">
        <f>AVERAGE('25.10 MIRAMA-NTUNGAMO-24h'!K34,'26.10 MIRAMA HILL-NTUNGAMO'!K34)</f>
        <v>0.5</v>
      </c>
      <c r="L34" s="49">
        <f>AVERAGE('25.10 MIRAMA-NTUNGAMO-24h'!L34,'26.10 MIRAMA HILL-NTUNGAMO'!L34)</f>
        <v>2.5</v>
      </c>
      <c r="M34" s="49">
        <f>AVERAGE('25.10 MIRAMA-NTUNGAMO-24h'!M34,'26.10 MIRAMA HILL-NTUNGAMO'!M34)</f>
        <v>3.5</v>
      </c>
      <c r="N34" s="49">
        <f>AVERAGE('25.10 MIRAMA-NTUNGAMO-24h'!N34,'26.10 MIRAMA HILL-NTUNGAMO'!N34)</f>
        <v>0</v>
      </c>
      <c r="O34" s="15">
        <f t="shared" si="0"/>
        <v>8</v>
      </c>
      <c r="P34" s="15">
        <f t="shared" si="1"/>
        <v>11.5</v>
      </c>
      <c r="R34" s="51" t="s">
        <v>90</v>
      </c>
      <c r="S34" s="52">
        <f t="shared" ref="S34:AF34" si="26">MAX(S10:S12)</f>
        <v>8.5</v>
      </c>
      <c r="T34" s="52">
        <f t="shared" si="26"/>
        <v>5</v>
      </c>
      <c r="U34" s="52">
        <f t="shared" si="26"/>
        <v>0</v>
      </c>
      <c r="V34" s="52">
        <f t="shared" si="26"/>
        <v>0.5</v>
      </c>
      <c r="W34" s="52">
        <f t="shared" si="26"/>
        <v>0</v>
      </c>
      <c r="X34" s="52">
        <f t="shared" si="26"/>
        <v>0</v>
      </c>
      <c r="Y34" s="52">
        <f t="shared" si="26"/>
        <v>2.5</v>
      </c>
      <c r="Z34" s="52">
        <f t="shared" si="26"/>
        <v>1</v>
      </c>
      <c r="AA34" s="52">
        <f t="shared" si="26"/>
        <v>3.5</v>
      </c>
      <c r="AB34" s="52">
        <f t="shared" si="26"/>
        <v>9.5</v>
      </c>
      <c r="AC34" s="52">
        <f t="shared" si="26"/>
        <v>12.5</v>
      </c>
      <c r="AD34" s="52">
        <f t="shared" si="26"/>
        <v>0</v>
      </c>
      <c r="AE34" s="40">
        <f t="shared" si="26"/>
        <v>27</v>
      </c>
      <c r="AF34" s="40">
        <f t="shared" si="26"/>
        <v>39.5</v>
      </c>
    </row>
    <row r="35" spans="2:32" ht="23.1" customHeight="1" x14ac:dyDescent="0.25">
      <c r="B35" s="24" t="s">
        <v>62</v>
      </c>
      <c r="C35" s="49">
        <f>AVERAGE('25.10 MIRAMA-NTUNGAMO-24h'!C35,'26.10 MIRAMA HILL-NTUNGAMO'!C35)</f>
        <v>0.5</v>
      </c>
      <c r="D35" s="49">
        <f>AVERAGE('25.10 MIRAMA-NTUNGAMO-24h'!D35,'26.10 MIRAMA HILL-NTUNGAMO'!D35)</f>
        <v>0.5</v>
      </c>
      <c r="E35" s="49">
        <f>AVERAGE('25.10 MIRAMA-NTUNGAMO-24h'!E35,'26.10 MIRAMA HILL-NTUNGAMO'!E35)</f>
        <v>0.5</v>
      </c>
      <c r="F35" s="49">
        <f>AVERAGE('25.10 MIRAMA-NTUNGAMO-24h'!F35,'26.10 MIRAMA HILL-NTUNGAMO'!F35)</f>
        <v>0</v>
      </c>
      <c r="G35" s="49">
        <f>AVERAGE('25.10 MIRAMA-NTUNGAMO-24h'!G35,'26.10 MIRAMA HILL-NTUNGAMO'!G35)</f>
        <v>0</v>
      </c>
      <c r="H35" s="49">
        <f>AVERAGE('25.10 MIRAMA-NTUNGAMO-24h'!H35,'26.10 MIRAMA HILL-NTUNGAMO'!H35)</f>
        <v>0</v>
      </c>
      <c r="I35" s="49">
        <f>AVERAGE('25.10 MIRAMA-NTUNGAMO-24h'!I35,'26.10 MIRAMA HILL-NTUNGAMO'!I35)</f>
        <v>0</v>
      </c>
      <c r="J35" s="49">
        <f>AVERAGE('25.10 MIRAMA-NTUNGAMO-24h'!J35,'26.10 MIRAMA HILL-NTUNGAMO'!J35)</f>
        <v>0</v>
      </c>
      <c r="K35" s="49">
        <f>AVERAGE('25.10 MIRAMA-NTUNGAMO-24h'!K35,'26.10 MIRAMA HILL-NTUNGAMO'!K35)</f>
        <v>1.5</v>
      </c>
      <c r="L35" s="49">
        <f>AVERAGE('25.10 MIRAMA-NTUNGAMO-24h'!L35,'26.10 MIRAMA HILL-NTUNGAMO'!L35)</f>
        <v>2.5</v>
      </c>
      <c r="M35" s="49">
        <f>AVERAGE('25.10 MIRAMA-NTUNGAMO-24h'!M35,'26.10 MIRAMA HILL-NTUNGAMO'!M35)</f>
        <v>1.5</v>
      </c>
      <c r="N35" s="49">
        <f>AVERAGE('25.10 MIRAMA-NTUNGAMO-24h'!N35,'26.10 MIRAMA HILL-NTUNGAMO'!N35)</f>
        <v>0</v>
      </c>
      <c r="O35" s="15">
        <f t="shared" si="0"/>
        <v>5.5</v>
      </c>
      <c r="P35" s="15">
        <f t="shared" si="1"/>
        <v>7</v>
      </c>
      <c r="R35" s="51" t="s">
        <v>91</v>
      </c>
      <c r="S35" s="52">
        <f t="shared" ref="S35:AF35" si="27">MAX(S13:S18)</f>
        <v>8</v>
      </c>
      <c r="T35" s="52">
        <f t="shared" si="27"/>
        <v>2</v>
      </c>
      <c r="U35" s="52">
        <f t="shared" si="27"/>
        <v>1.5</v>
      </c>
      <c r="V35" s="52">
        <f t="shared" si="27"/>
        <v>0</v>
      </c>
      <c r="W35" s="52">
        <f t="shared" si="27"/>
        <v>0.5</v>
      </c>
      <c r="X35" s="52">
        <f t="shared" si="27"/>
        <v>0.5</v>
      </c>
      <c r="Y35" s="52">
        <f t="shared" si="27"/>
        <v>2</v>
      </c>
      <c r="Z35" s="52">
        <f t="shared" si="27"/>
        <v>1</v>
      </c>
      <c r="AA35" s="52">
        <f t="shared" si="27"/>
        <v>3</v>
      </c>
      <c r="AB35" s="52">
        <f t="shared" si="27"/>
        <v>7.5</v>
      </c>
      <c r="AC35" s="52">
        <f t="shared" si="27"/>
        <v>18</v>
      </c>
      <c r="AD35" s="52">
        <f t="shared" si="27"/>
        <v>0</v>
      </c>
      <c r="AE35" s="40">
        <f t="shared" si="27"/>
        <v>22</v>
      </c>
      <c r="AF35" s="40">
        <f t="shared" si="27"/>
        <v>35</v>
      </c>
    </row>
    <row r="36" spans="2:32" ht="23.1" customHeight="1" x14ac:dyDescent="0.25">
      <c r="B36" s="24" t="s">
        <v>63</v>
      </c>
      <c r="C36" s="49">
        <f>AVERAGE('25.10 MIRAMA-NTUNGAMO-24h'!C36,'26.10 MIRAMA HILL-NTUNGAMO'!C36)</f>
        <v>0.5</v>
      </c>
      <c r="D36" s="49">
        <f>AVERAGE('25.10 MIRAMA-NTUNGAMO-24h'!D36,'26.10 MIRAMA HILL-NTUNGAMO'!D36)</f>
        <v>0</v>
      </c>
      <c r="E36" s="49">
        <f>AVERAGE('25.10 MIRAMA-NTUNGAMO-24h'!E36,'26.10 MIRAMA HILL-NTUNGAMO'!E36)</f>
        <v>0</v>
      </c>
      <c r="F36" s="49">
        <f>AVERAGE('25.10 MIRAMA-NTUNGAMO-24h'!F36,'26.10 MIRAMA HILL-NTUNGAMO'!F36)</f>
        <v>0</v>
      </c>
      <c r="G36" s="49">
        <f>AVERAGE('25.10 MIRAMA-NTUNGAMO-24h'!G36,'26.10 MIRAMA HILL-NTUNGAMO'!G36)</f>
        <v>0</v>
      </c>
      <c r="H36" s="49">
        <f>AVERAGE('25.10 MIRAMA-NTUNGAMO-24h'!H36,'26.10 MIRAMA HILL-NTUNGAMO'!H36)</f>
        <v>0</v>
      </c>
      <c r="I36" s="49">
        <f>AVERAGE('25.10 MIRAMA-NTUNGAMO-24h'!I36,'26.10 MIRAMA HILL-NTUNGAMO'!I36)</f>
        <v>0.5</v>
      </c>
      <c r="J36" s="49">
        <f>AVERAGE('25.10 MIRAMA-NTUNGAMO-24h'!J36,'26.10 MIRAMA HILL-NTUNGAMO'!J36)</f>
        <v>0</v>
      </c>
      <c r="K36" s="49">
        <f>AVERAGE('25.10 MIRAMA-NTUNGAMO-24h'!K36,'26.10 MIRAMA HILL-NTUNGAMO'!K36)</f>
        <v>1</v>
      </c>
      <c r="L36" s="49">
        <f>AVERAGE('25.10 MIRAMA-NTUNGAMO-24h'!L36,'26.10 MIRAMA HILL-NTUNGAMO'!L36)</f>
        <v>1.5</v>
      </c>
      <c r="M36" s="49">
        <f>AVERAGE('25.10 MIRAMA-NTUNGAMO-24h'!M36,'26.10 MIRAMA HILL-NTUNGAMO'!M36)</f>
        <v>4</v>
      </c>
      <c r="N36" s="49">
        <f>AVERAGE('25.10 MIRAMA-NTUNGAMO-24h'!N36,'26.10 MIRAMA HILL-NTUNGAMO'!N36)</f>
        <v>0</v>
      </c>
      <c r="O36" s="15">
        <f t="shared" si="0"/>
        <v>3.5</v>
      </c>
      <c r="P36" s="15">
        <f t="shared" si="1"/>
        <v>7.5</v>
      </c>
      <c r="R36" s="51" t="s">
        <v>92</v>
      </c>
      <c r="S36" s="52">
        <f t="shared" ref="S36:AF36" si="28">MAX(S19:S21)</f>
        <v>11.5</v>
      </c>
      <c r="T36" s="52">
        <f t="shared" si="28"/>
        <v>2</v>
      </c>
      <c r="U36" s="52">
        <f t="shared" si="28"/>
        <v>1.5</v>
      </c>
      <c r="V36" s="52">
        <f t="shared" si="28"/>
        <v>0.5</v>
      </c>
      <c r="W36" s="52">
        <f t="shared" si="28"/>
        <v>0</v>
      </c>
      <c r="X36" s="52">
        <f t="shared" si="28"/>
        <v>0</v>
      </c>
      <c r="Y36" s="52">
        <f t="shared" si="28"/>
        <v>1.5</v>
      </c>
      <c r="Z36" s="52">
        <f t="shared" si="28"/>
        <v>4</v>
      </c>
      <c r="AA36" s="52">
        <f t="shared" si="28"/>
        <v>2.5</v>
      </c>
      <c r="AB36" s="52">
        <f t="shared" si="28"/>
        <v>7</v>
      </c>
      <c r="AC36" s="52">
        <f t="shared" si="28"/>
        <v>23.5</v>
      </c>
      <c r="AD36" s="52">
        <f t="shared" si="28"/>
        <v>0</v>
      </c>
      <c r="AE36" s="40">
        <f t="shared" si="28"/>
        <v>22.5</v>
      </c>
      <c r="AF36" s="40">
        <f t="shared" si="28"/>
        <v>46</v>
      </c>
    </row>
    <row r="37" spans="2:32" ht="23.1" customHeight="1" x14ac:dyDescent="0.25">
      <c r="B37" s="23" t="s">
        <v>64</v>
      </c>
      <c r="C37" s="49">
        <f>AVERAGE('25.10 MIRAMA-NTUNGAMO-24h'!C37,'26.10 MIRAMA HILL-NTUNGAMO'!C37)</f>
        <v>4</v>
      </c>
      <c r="D37" s="49">
        <f>AVERAGE('25.10 MIRAMA-NTUNGAMO-24h'!D37,'26.10 MIRAMA HILL-NTUNGAMO'!D37)</f>
        <v>0</v>
      </c>
      <c r="E37" s="49">
        <f>AVERAGE('25.10 MIRAMA-NTUNGAMO-24h'!E37,'26.10 MIRAMA HILL-NTUNGAMO'!E37)</f>
        <v>0.5</v>
      </c>
      <c r="F37" s="49">
        <f>AVERAGE('25.10 MIRAMA-NTUNGAMO-24h'!F37,'26.10 MIRAMA HILL-NTUNGAMO'!F37)</f>
        <v>0</v>
      </c>
      <c r="G37" s="49">
        <f>AVERAGE('25.10 MIRAMA-NTUNGAMO-24h'!G37,'26.10 MIRAMA HILL-NTUNGAMO'!G37)</f>
        <v>0</v>
      </c>
      <c r="H37" s="49">
        <f>AVERAGE('25.10 MIRAMA-NTUNGAMO-24h'!H37,'26.10 MIRAMA HILL-NTUNGAMO'!H37)</f>
        <v>0</v>
      </c>
      <c r="I37" s="49">
        <f>AVERAGE('25.10 MIRAMA-NTUNGAMO-24h'!I37,'26.10 MIRAMA HILL-NTUNGAMO'!I37)</f>
        <v>0</v>
      </c>
      <c r="J37" s="49">
        <f>AVERAGE('25.10 MIRAMA-NTUNGAMO-24h'!J37,'26.10 MIRAMA HILL-NTUNGAMO'!J37)</f>
        <v>0</v>
      </c>
      <c r="K37" s="49">
        <f>AVERAGE('25.10 MIRAMA-NTUNGAMO-24h'!K37,'26.10 MIRAMA HILL-NTUNGAMO'!K37)</f>
        <v>0</v>
      </c>
      <c r="L37" s="49">
        <f>AVERAGE('25.10 MIRAMA-NTUNGAMO-24h'!L37,'26.10 MIRAMA HILL-NTUNGAMO'!L37)</f>
        <v>0.5</v>
      </c>
      <c r="M37" s="49">
        <f>AVERAGE('25.10 MIRAMA-NTUNGAMO-24h'!M37,'26.10 MIRAMA HILL-NTUNGAMO'!M37)</f>
        <v>2.5</v>
      </c>
      <c r="N37" s="49">
        <f>AVERAGE('25.10 MIRAMA-NTUNGAMO-24h'!N37,'26.10 MIRAMA HILL-NTUNGAMO'!N37)</f>
        <v>0</v>
      </c>
      <c r="O37" s="15">
        <f t="shared" si="0"/>
        <v>5</v>
      </c>
      <c r="P37" s="15">
        <f t="shared" si="1"/>
        <v>7.5</v>
      </c>
      <c r="R37" s="37" t="s">
        <v>85</v>
      </c>
      <c r="S37" s="53">
        <f t="shared" ref="S37:AF37" si="29">SUM(S10:S12)</f>
        <v>16</v>
      </c>
      <c r="T37" s="54">
        <f t="shared" si="29"/>
        <v>5.5</v>
      </c>
      <c r="U37" s="54">
        <f t="shared" si="29"/>
        <v>0</v>
      </c>
      <c r="V37" s="54">
        <f t="shared" si="29"/>
        <v>1</v>
      </c>
      <c r="W37" s="54">
        <f t="shared" si="29"/>
        <v>0</v>
      </c>
      <c r="X37" s="54">
        <f t="shared" si="29"/>
        <v>0</v>
      </c>
      <c r="Y37" s="54">
        <f t="shared" si="29"/>
        <v>2.5</v>
      </c>
      <c r="Z37" s="54">
        <f t="shared" si="29"/>
        <v>1</v>
      </c>
      <c r="AA37" s="54">
        <f t="shared" si="29"/>
        <v>5</v>
      </c>
      <c r="AB37" s="54">
        <f t="shared" si="29"/>
        <v>17.5</v>
      </c>
      <c r="AC37" s="54">
        <f t="shared" si="29"/>
        <v>31</v>
      </c>
      <c r="AD37" s="54">
        <f t="shared" si="29"/>
        <v>0</v>
      </c>
      <c r="AE37" s="55">
        <f t="shared" si="29"/>
        <v>48.5</v>
      </c>
      <c r="AF37" s="55">
        <f t="shared" si="29"/>
        <v>79.5</v>
      </c>
    </row>
    <row r="38" spans="2:32" ht="23.1" customHeight="1" x14ac:dyDescent="0.25">
      <c r="B38" s="24" t="s">
        <v>65</v>
      </c>
      <c r="C38" s="49">
        <f>AVERAGE('25.10 MIRAMA-NTUNGAMO-24h'!C38,'26.10 MIRAMA HILL-NTUNGAMO'!C38)</f>
        <v>0.5</v>
      </c>
      <c r="D38" s="49">
        <f>AVERAGE('25.10 MIRAMA-NTUNGAMO-24h'!D38,'26.10 MIRAMA HILL-NTUNGAMO'!D38)</f>
        <v>0</v>
      </c>
      <c r="E38" s="49">
        <f>AVERAGE('25.10 MIRAMA-NTUNGAMO-24h'!E38,'26.10 MIRAMA HILL-NTUNGAMO'!E38)</f>
        <v>0</v>
      </c>
      <c r="F38" s="49">
        <f>AVERAGE('25.10 MIRAMA-NTUNGAMO-24h'!F38,'26.10 MIRAMA HILL-NTUNGAMO'!F38)</f>
        <v>0</v>
      </c>
      <c r="G38" s="49">
        <f>AVERAGE('25.10 MIRAMA-NTUNGAMO-24h'!G38,'26.10 MIRAMA HILL-NTUNGAMO'!G38)</f>
        <v>0</v>
      </c>
      <c r="H38" s="49">
        <f>AVERAGE('25.10 MIRAMA-NTUNGAMO-24h'!H38,'26.10 MIRAMA HILL-NTUNGAMO'!H38)</f>
        <v>0</v>
      </c>
      <c r="I38" s="49">
        <f>AVERAGE('25.10 MIRAMA-NTUNGAMO-24h'!I38,'26.10 MIRAMA HILL-NTUNGAMO'!I38)</f>
        <v>0</v>
      </c>
      <c r="J38" s="49">
        <f>AVERAGE('25.10 MIRAMA-NTUNGAMO-24h'!J38,'26.10 MIRAMA HILL-NTUNGAMO'!J38)</f>
        <v>0</v>
      </c>
      <c r="K38" s="49">
        <f>AVERAGE('25.10 MIRAMA-NTUNGAMO-24h'!K38,'26.10 MIRAMA HILL-NTUNGAMO'!K38)</f>
        <v>0</v>
      </c>
      <c r="L38" s="49">
        <f>AVERAGE('25.10 MIRAMA-NTUNGAMO-24h'!L38,'26.10 MIRAMA HILL-NTUNGAMO'!L38)</f>
        <v>1.5</v>
      </c>
      <c r="M38" s="49">
        <f>AVERAGE('25.10 MIRAMA-NTUNGAMO-24h'!M38,'26.10 MIRAMA HILL-NTUNGAMO'!M38)</f>
        <v>4.5</v>
      </c>
      <c r="N38" s="49">
        <f>AVERAGE('25.10 MIRAMA-NTUNGAMO-24h'!N38,'26.10 MIRAMA HILL-NTUNGAMO'!N38)</f>
        <v>0</v>
      </c>
      <c r="O38" s="15">
        <f t="shared" si="0"/>
        <v>2</v>
      </c>
      <c r="P38" s="15">
        <f t="shared" si="1"/>
        <v>6.5</v>
      </c>
      <c r="R38" s="28" t="s">
        <v>86</v>
      </c>
      <c r="S38" s="54">
        <f t="shared" ref="S38:AF38" si="30">SUM(S13:S18)</f>
        <v>30.5</v>
      </c>
      <c r="T38" s="54">
        <f t="shared" si="30"/>
        <v>4</v>
      </c>
      <c r="U38" s="54">
        <f t="shared" si="30"/>
        <v>6.5</v>
      </c>
      <c r="V38" s="54">
        <f t="shared" si="30"/>
        <v>0</v>
      </c>
      <c r="W38" s="54">
        <f t="shared" si="30"/>
        <v>0.5</v>
      </c>
      <c r="X38" s="54">
        <f t="shared" si="30"/>
        <v>0.5</v>
      </c>
      <c r="Y38" s="54">
        <f t="shared" si="30"/>
        <v>6.5</v>
      </c>
      <c r="Z38" s="54">
        <f t="shared" si="30"/>
        <v>3.5</v>
      </c>
      <c r="AA38" s="54">
        <f t="shared" si="30"/>
        <v>11</v>
      </c>
      <c r="AB38" s="54">
        <f t="shared" si="30"/>
        <v>35</v>
      </c>
      <c r="AC38" s="54">
        <f t="shared" si="30"/>
        <v>79</v>
      </c>
      <c r="AD38" s="54">
        <f t="shared" si="30"/>
        <v>0</v>
      </c>
      <c r="AE38" s="55">
        <f t="shared" si="30"/>
        <v>98</v>
      </c>
      <c r="AF38" s="55">
        <f t="shared" si="30"/>
        <v>177</v>
      </c>
    </row>
    <row r="39" spans="2:32" ht="23.1" customHeight="1" x14ac:dyDescent="0.25">
      <c r="B39" s="24" t="s">
        <v>66</v>
      </c>
      <c r="C39" s="49">
        <f>AVERAGE('25.10 MIRAMA-NTUNGAMO-24h'!C39,'26.10 MIRAMA HILL-NTUNGAMO'!C39)</f>
        <v>0.5</v>
      </c>
      <c r="D39" s="49">
        <f>AVERAGE('25.10 MIRAMA-NTUNGAMO-24h'!D39,'26.10 MIRAMA HILL-NTUNGAMO'!D39)</f>
        <v>0</v>
      </c>
      <c r="E39" s="49">
        <f>AVERAGE('25.10 MIRAMA-NTUNGAMO-24h'!E39,'26.10 MIRAMA HILL-NTUNGAMO'!E39)</f>
        <v>1.5</v>
      </c>
      <c r="F39" s="49">
        <f>AVERAGE('25.10 MIRAMA-NTUNGAMO-24h'!F39,'26.10 MIRAMA HILL-NTUNGAMO'!F39)</f>
        <v>0</v>
      </c>
      <c r="G39" s="49">
        <f>AVERAGE('25.10 MIRAMA-NTUNGAMO-24h'!G39,'26.10 MIRAMA HILL-NTUNGAMO'!G39)</f>
        <v>0</v>
      </c>
      <c r="H39" s="49">
        <f>AVERAGE('25.10 MIRAMA-NTUNGAMO-24h'!H39,'26.10 MIRAMA HILL-NTUNGAMO'!H39)</f>
        <v>0</v>
      </c>
      <c r="I39" s="49">
        <f>AVERAGE('25.10 MIRAMA-NTUNGAMO-24h'!I39,'26.10 MIRAMA HILL-NTUNGAMO'!I39)</f>
        <v>1</v>
      </c>
      <c r="J39" s="49">
        <f>AVERAGE('25.10 MIRAMA-NTUNGAMO-24h'!J39,'26.10 MIRAMA HILL-NTUNGAMO'!J39)</f>
        <v>0.5</v>
      </c>
      <c r="K39" s="49">
        <f>AVERAGE('25.10 MIRAMA-NTUNGAMO-24h'!K39,'26.10 MIRAMA HILL-NTUNGAMO'!K39)</f>
        <v>1.5</v>
      </c>
      <c r="L39" s="49">
        <f>AVERAGE('25.10 MIRAMA-NTUNGAMO-24h'!L39,'26.10 MIRAMA HILL-NTUNGAMO'!L39)</f>
        <v>0</v>
      </c>
      <c r="M39" s="49">
        <f>AVERAGE('25.10 MIRAMA-NTUNGAMO-24h'!M39,'26.10 MIRAMA HILL-NTUNGAMO'!M39)</f>
        <v>3</v>
      </c>
      <c r="N39" s="49">
        <f>AVERAGE('25.10 MIRAMA-NTUNGAMO-24h'!N39,'26.10 MIRAMA HILL-NTUNGAMO'!N39)</f>
        <v>0</v>
      </c>
      <c r="O39" s="15">
        <f t="shared" si="0"/>
        <v>5</v>
      </c>
      <c r="P39" s="15">
        <f t="shared" si="1"/>
        <v>8</v>
      </c>
      <c r="R39" s="29" t="s">
        <v>87</v>
      </c>
      <c r="S39" s="54">
        <f t="shared" ref="S39:AF39" si="31">SUM(S19:S21)</f>
        <v>22</v>
      </c>
      <c r="T39" s="54">
        <f t="shared" si="31"/>
        <v>4</v>
      </c>
      <c r="U39" s="54">
        <f t="shared" si="31"/>
        <v>1.5</v>
      </c>
      <c r="V39" s="54">
        <f t="shared" si="31"/>
        <v>0.5</v>
      </c>
      <c r="W39" s="54">
        <f t="shared" si="31"/>
        <v>0</v>
      </c>
      <c r="X39" s="54">
        <f t="shared" si="31"/>
        <v>0</v>
      </c>
      <c r="Y39" s="54">
        <f t="shared" si="31"/>
        <v>2.5</v>
      </c>
      <c r="Z39" s="54">
        <f t="shared" si="31"/>
        <v>4</v>
      </c>
      <c r="AA39" s="54">
        <f t="shared" si="31"/>
        <v>3.5</v>
      </c>
      <c r="AB39" s="54">
        <f t="shared" si="31"/>
        <v>13.5</v>
      </c>
      <c r="AC39" s="54">
        <f t="shared" si="31"/>
        <v>49</v>
      </c>
      <c r="AD39" s="54">
        <f t="shared" si="31"/>
        <v>0</v>
      </c>
      <c r="AE39" s="55">
        <f t="shared" si="31"/>
        <v>51.5</v>
      </c>
      <c r="AF39" s="55">
        <f t="shared" si="31"/>
        <v>100.5</v>
      </c>
    </row>
    <row r="40" spans="2:32" ht="23.1" customHeight="1" x14ac:dyDescent="0.25">
      <c r="B40" s="24" t="s">
        <v>67</v>
      </c>
      <c r="C40" s="49">
        <f>AVERAGE('25.10 MIRAMA-NTUNGAMO-24h'!C40,'26.10 MIRAMA HILL-NTUNGAMO'!C40)</f>
        <v>1</v>
      </c>
      <c r="D40" s="49">
        <f>AVERAGE('25.10 MIRAMA-NTUNGAMO-24h'!D40,'26.10 MIRAMA HILL-NTUNGAMO'!D40)</f>
        <v>0.5</v>
      </c>
      <c r="E40" s="49">
        <f>AVERAGE('25.10 MIRAMA-NTUNGAMO-24h'!E40,'26.10 MIRAMA HILL-NTUNGAMO'!E40)</f>
        <v>0</v>
      </c>
      <c r="F40" s="49">
        <f>AVERAGE('25.10 MIRAMA-NTUNGAMO-24h'!F40,'26.10 MIRAMA HILL-NTUNGAMO'!F40)</f>
        <v>0</v>
      </c>
      <c r="G40" s="49">
        <f>AVERAGE('25.10 MIRAMA-NTUNGAMO-24h'!G40,'26.10 MIRAMA HILL-NTUNGAMO'!G40)</f>
        <v>0</v>
      </c>
      <c r="H40" s="49">
        <f>AVERAGE('25.10 MIRAMA-NTUNGAMO-24h'!H40,'26.10 MIRAMA HILL-NTUNGAMO'!H40)</f>
        <v>0.5</v>
      </c>
      <c r="I40" s="49">
        <f>AVERAGE('25.10 MIRAMA-NTUNGAMO-24h'!I40,'26.10 MIRAMA HILL-NTUNGAMO'!I40)</f>
        <v>0</v>
      </c>
      <c r="J40" s="49">
        <f>AVERAGE('25.10 MIRAMA-NTUNGAMO-24h'!J40,'26.10 MIRAMA HILL-NTUNGAMO'!J40)</f>
        <v>0</v>
      </c>
      <c r="K40" s="49">
        <f>AVERAGE('25.10 MIRAMA-NTUNGAMO-24h'!K40,'26.10 MIRAMA HILL-NTUNGAMO'!K40)</f>
        <v>1</v>
      </c>
      <c r="L40" s="49">
        <f>AVERAGE('25.10 MIRAMA-NTUNGAMO-24h'!L40,'26.10 MIRAMA HILL-NTUNGAMO'!L40)</f>
        <v>2</v>
      </c>
      <c r="M40" s="49">
        <f>AVERAGE('25.10 MIRAMA-NTUNGAMO-24h'!M40,'26.10 MIRAMA HILL-NTUNGAMO'!M40)</f>
        <v>2</v>
      </c>
      <c r="N40" s="49">
        <f>AVERAGE('25.10 MIRAMA-NTUNGAMO-24h'!N40,'26.10 MIRAMA HILL-NTUNGAMO'!N40)</f>
        <v>0</v>
      </c>
      <c r="O40" s="15">
        <f t="shared" si="0"/>
        <v>5</v>
      </c>
      <c r="P40" s="15">
        <f t="shared" si="1"/>
        <v>7</v>
      </c>
      <c r="R40" s="5" t="s">
        <v>17</v>
      </c>
      <c r="S40" s="54">
        <f t="shared" ref="S40:AF40" si="32">SUM(S10:S21)</f>
        <v>68.5</v>
      </c>
      <c r="T40" s="54">
        <f t="shared" si="32"/>
        <v>13.5</v>
      </c>
      <c r="U40" s="54">
        <f t="shared" si="32"/>
        <v>8</v>
      </c>
      <c r="V40" s="54">
        <f t="shared" si="32"/>
        <v>1.5</v>
      </c>
      <c r="W40" s="54">
        <f t="shared" si="32"/>
        <v>0.5</v>
      </c>
      <c r="X40" s="54">
        <f t="shared" si="32"/>
        <v>0.5</v>
      </c>
      <c r="Y40" s="54">
        <f t="shared" si="32"/>
        <v>11.5</v>
      </c>
      <c r="Z40" s="54">
        <f t="shared" si="32"/>
        <v>8.5</v>
      </c>
      <c r="AA40" s="54">
        <f t="shared" si="32"/>
        <v>19.5</v>
      </c>
      <c r="AB40" s="54">
        <f t="shared" si="32"/>
        <v>66</v>
      </c>
      <c r="AC40" s="54">
        <f t="shared" si="32"/>
        <v>159</v>
      </c>
      <c r="AD40" s="54">
        <f t="shared" si="32"/>
        <v>0</v>
      </c>
      <c r="AE40" s="55">
        <f t="shared" si="32"/>
        <v>198</v>
      </c>
      <c r="AF40" s="55">
        <f t="shared" si="32"/>
        <v>357</v>
      </c>
    </row>
    <row r="41" spans="2:32" ht="23.1" customHeight="1" x14ac:dyDescent="0.25">
      <c r="B41" s="23" t="s">
        <v>68</v>
      </c>
      <c r="C41" s="49">
        <f>AVERAGE('25.10 MIRAMA-NTUNGAMO-24h'!C41,'26.10 MIRAMA HILL-NTUNGAMO'!C41)</f>
        <v>2.5</v>
      </c>
      <c r="D41" s="49">
        <f>AVERAGE('25.10 MIRAMA-NTUNGAMO-24h'!D41,'26.10 MIRAMA HILL-NTUNGAMO'!D41)</f>
        <v>0</v>
      </c>
      <c r="E41" s="49">
        <f>AVERAGE('25.10 MIRAMA-NTUNGAMO-24h'!E41,'26.10 MIRAMA HILL-NTUNGAMO'!E41)</f>
        <v>0</v>
      </c>
      <c r="F41" s="49">
        <f>AVERAGE('25.10 MIRAMA-NTUNGAMO-24h'!F41,'26.10 MIRAMA HILL-NTUNGAMO'!F41)</f>
        <v>0</v>
      </c>
      <c r="G41" s="49">
        <f>AVERAGE('25.10 MIRAMA-NTUNGAMO-24h'!G41,'26.10 MIRAMA HILL-NTUNGAMO'!G41)</f>
        <v>0.5</v>
      </c>
      <c r="H41" s="49">
        <f>AVERAGE('25.10 MIRAMA-NTUNGAMO-24h'!H41,'26.10 MIRAMA HILL-NTUNGAMO'!H41)</f>
        <v>0</v>
      </c>
      <c r="I41" s="49">
        <f>AVERAGE('25.10 MIRAMA-NTUNGAMO-24h'!I41,'26.10 MIRAMA HILL-NTUNGAMO'!I41)</f>
        <v>0.5</v>
      </c>
      <c r="J41" s="49">
        <f>AVERAGE('25.10 MIRAMA-NTUNGAMO-24h'!J41,'26.10 MIRAMA HILL-NTUNGAMO'!J41)</f>
        <v>0</v>
      </c>
      <c r="K41" s="49">
        <f>AVERAGE('25.10 MIRAMA-NTUNGAMO-24h'!K41,'26.10 MIRAMA HILL-NTUNGAMO'!K41)</f>
        <v>0.5</v>
      </c>
      <c r="L41" s="49">
        <f>AVERAGE('25.10 MIRAMA-NTUNGAMO-24h'!L41,'26.10 MIRAMA HILL-NTUNGAMO'!L41)</f>
        <v>1.5</v>
      </c>
      <c r="M41" s="49">
        <f>AVERAGE('25.10 MIRAMA-NTUNGAMO-24h'!M41,'26.10 MIRAMA HILL-NTUNGAMO'!M41)</f>
        <v>1.5</v>
      </c>
      <c r="N41" s="49">
        <f>AVERAGE('25.10 MIRAMA-NTUNGAMO-24h'!N41,'26.10 MIRAMA HILL-NTUNGAMO'!N41)</f>
        <v>0</v>
      </c>
      <c r="O41" s="15">
        <f t="shared" si="0"/>
        <v>5.5</v>
      </c>
      <c r="P41" s="15">
        <f t="shared" si="1"/>
        <v>7</v>
      </c>
      <c r="R41" s="5" t="s">
        <v>174</v>
      </c>
      <c r="S41" s="54">
        <f>SUM(S10:S33)</f>
        <v>82.5</v>
      </c>
      <c r="T41" s="54">
        <f t="shared" ref="T41:AD41" si="33">SUM(T10:T33)</f>
        <v>18.5</v>
      </c>
      <c r="U41" s="54">
        <f t="shared" si="33"/>
        <v>9</v>
      </c>
      <c r="V41" s="54">
        <f t="shared" si="33"/>
        <v>4.5</v>
      </c>
      <c r="W41" s="54">
        <f t="shared" si="33"/>
        <v>0.5</v>
      </c>
      <c r="X41" s="54">
        <f t="shared" si="33"/>
        <v>0.5</v>
      </c>
      <c r="Y41" s="54">
        <f t="shared" si="33"/>
        <v>15.5</v>
      </c>
      <c r="Z41" s="54">
        <f t="shared" si="33"/>
        <v>19.5</v>
      </c>
      <c r="AA41" s="54">
        <f t="shared" si="33"/>
        <v>52.5</v>
      </c>
      <c r="AB41" s="54">
        <f t="shared" si="33"/>
        <v>132</v>
      </c>
      <c r="AC41" s="54">
        <f t="shared" si="33"/>
        <v>220</v>
      </c>
      <c r="AD41" s="54">
        <f t="shared" si="33"/>
        <v>0</v>
      </c>
      <c r="AE41" s="55">
        <f>SUM(AE10:AE33)</f>
        <v>335</v>
      </c>
      <c r="AF41" s="55">
        <f>SUM(AF10:AF33)</f>
        <v>555</v>
      </c>
    </row>
    <row r="42" spans="2:32" ht="23.1" customHeight="1" x14ac:dyDescent="0.25">
      <c r="B42" s="24" t="s">
        <v>69</v>
      </c>
      <c r="C42" s="49">
        <f>AVERAGE('25.10 MIRAMA-NTUNGAMO-24h'!C42,'26.10 MIRAMA HILL-NTUNGAMO'!C42)</f>
        <v>1</v>
      </c>
      <c r="D42" s="49">
        <f>AVERAGE('25.10 MIRAMA-NTUNGAMO-24h'!D42,'26.10 MIRAMA HILL-NTUNGAMO'!D42)</f>
        <v>0</v>
      </c>
      <c r="E42" s="49">
        <f>AVERAGE('25.10 MIRAMA-NTUNGAMO-24h'!E42,'26.10 MIRAMA HILL-NTUNGAMO'!E42)</f>
        <v>0</v>
      </c>
      <c r="F42" s="49">
        <f>AVERAGE('25.10 MIRAMA-NTUNGAMO-24h'!F42,'26.10 MIRAMA HILL-NTUNGAMO'!F42)</f>
        <v>0</v>
      </c>
      <c r="G42" s="49">
        <f>AVERAGE('25.10 MIRAMA-NTUNGAMO-24h'!G42,'26.10 MIRAMA HILL-NTUNGAMO'!G42)</f>
        <v>0</v>
      </c>
      <c r="H42" s="49">
        <f>AVERAGE('25.10 MIRAMA-NTUNGAMO-24h'!H42,'26.10 MIRAMA HILL-NTUNGAMO'!H42)</f>
        <v>0</v>
      </c>
      <c r="I42" s="49">
        <f>AVERAGE('25.10 MIRAMA-NTUNGAMO-24h'!I42,'26.10 MIRAMA HILL-NTUNGAMO'!I42)</f>
        <v>0</v>
      </c>
      <c r="J42" s="49">
        <f>AVERAGE('25.10 MIRAMA-NTUNGAMO-24h'!J42,'26.10 MIRAMA HILL-NTUNGAMO'!J42)</f>
        <v>0</v>
      </c>
      <c r="K42" s="49">
        <f>AVERAGE('25.10 MIRAMA-NTUNGAMO-24h'!K42,'26.10 MIRAMA HILL-NTUNGAMO'!K42)</f>
        <v>1.5</v>
      </c>
      <c r="L42" s="49">
        <f>AVERAGE('25.10 MIRAMA-NTUNGAMO-24h'!L42,'26.10 MIRAMA HILL-NTUNGAMO'!L42)</f>
        <v>3</v>
      </c>
      <c r="M42" s="49">
        <f>AVERAGE('25.10 MIRAMA-NTUNGAMO-24h'!M42,'26.10 MIRAMA HILL-NTUNGAMO'!M42)</f>
        <v>6.5</v>
      </c>
      <c r="N42" s="49">
        <f>AVERAGE('25.10 MIRAMA-NTUNGAMO-24h'!N42,'26.10 MIRAMA HILL-NTUNGAMO'!N42)</f>
        <v>0</v>
      </c>
      <c r="O42" s="15">
        <f t="shared" si="0"/>
        <v>5.5</v>
      </c>
      <c r="P42" s="15">
        <f t="shared" si="1"/>
        <v>12</v>
      </c>
      <c r="R42" s="5" t="s">
        <v>160</v>
      </c>
      <c r="S42" s="48">
        <f>S41/S40</f>
        <v>1.2043795620437956</v>
      </c>
      <c r="T42" s="48">
        <f t="shared" ref="T42:AF42" si="34">T41/T40</f>
        <v>1.3703703703703705</v>
      </c>
      <c r="U42" s="48">
        <f t="shared" si="34"/>
        <v>1.125</v>
      </c>
      <c r="V42" s="48">
        <f t="shared" si="34"/>
        <v>3</v>
      </c>
      <c r="W42" s="48">
        <f t="shared" si="34"/>
        <v>1</v>
      </c>
      <c r="X42" s="48">
        <f t="shared" si="34"/>
        <v>1</v>
      </c>
      <c r="Y42" s="48">
        <f t="shared" si="34"/>
        <v>1.3478260869565217</v>
      </c>
      <c r="Z42" s="48">
        <f t="shared" si="34"/>
        <v>2.2941176470588234</v>
      </c>
      <c r="AA42" s="48">
        <f t="shared" si="34"/>
        <v>2.6923076923076925</v>
      </c>
      <c r="AB42" s="48">
        <f t="shared" si="34"/>
        <v>2</v>
      </c>
      <c r="AC42" s="48">
        <f t="shared" si="34"/>
        <v>1.3836477987421383</v>
      </c>
      <c r="AD42" s="48" t="e">
        <f t="shared" si="34"/>
        <v>#DIV/0!</v>
      </c>
      <c r="AE42" s="56">
        <f t="shared" si="34"/>
        <v>1.6919191919191918</v>
      </c>
      <c r="AF42" s="56">
        <f t="shared" si="34"/>
        <v>1.5546218487394958</v>
      </c>
    </row>
    <row r="43" spans="2:32" ht="23.1" customHeight="1" x14ac:dyDescent="0.25">
      <c r="B43" s="23" t="s">
        <v>70</v>
      </c>
      <c r="C43" s="49">
        <f>AVERAGE('25.10 MIRAMA-NTUNGAMO-24h'!C43,'26.10 MIRAMA HILL-NTUNGAMO'!C43)</f>
        <v>2</v>
      </c>
      <c r="D43" s="49">
        <f>AVERAGE('25.10 MIRAMA-NTUNGAMO-24h'!D43,'26.10 MIRAMA HILL-NTUNGAMO'!D43)</f>
        <v>0.5</v>
      </c>
      <c r="E43" s="49">
        <f>AVERAGE('25.10 MIRAMA-NTUNGAMO-24h'!E43,'26.10 MIRAMA HILL-NTUNGAMO'!E43)</f>
        <v>1.5</v>
      </c>
      <c r="F43" s="49">
        <f>AVERAGE('25.10 MIRAMA-NTUNGAMO-24h'!F43,'26.10 MIRAMA HILL-NTUNGAMO'!F43)</f>
        <v>0</v>
      </c>
      <c r="G43" s="49">
        <f>AVERAGE('25.10 MIRAMA-NTUNGAMO-24h'!G43,'26.10 MIRAMA HILL-NTUNGAMO'!G43)</f>
        <v>0</v>
      </c>
      <c r="H43" s="49">
        <f>AVERAGE('25.10 MIRAMA-NTUNGAMO-24h'!H43,'26.10 MIRAMA HILL-NTUNGAMO'!H43)</f>
        <v>0</v>
      </c>
      <c r="I43" s="49">
        <f>AVERAGE('25.10 MIRAMA-NTUNGAMO-24h'!I43,'26.10 MIRAMA HILL-NTUNGAMO'!I43)</f>
        <v>0</v>
      </c>
      <c r="J43" s="49">
        <f>AVERAGE('25.10 MIRAMA-NTUNGAMO-24h'!J43,'26.10 MIRAMA HILL-NTUNGAMO'!J43)</f>
        <v>0</v>
      </c>
      <c r="K43" s="49">
        <f>AVERAGE('25.10 MIRAMA-NTUNGAMO-24h'!K43,'26.10 MIRAMA HILL-NTUNGAMO'!K43)</f>
        <v>0</v>
      </c>
      <c r="L43" s="49">
        <f>AVERAGE('25.10 MIRAMA-NTUNGAMO-24h'!L43,'26.10 MIRAMA HILL-NTUNGAMO'!L43)</f>
        <v>1</v>
      </c>
      <c r="M43" s="49">
        <f>AVERAGE('25.10 MIRAMA-NTUNGAMO-24h'!M43,'26.10 MIRAMA HILL-NTUNGAMO'!M43)</f>
        <v>4.5</v>
      </c>
      <c r="N43" s="49">
        <f>AVERAGE('25.10 MIRAMA-NTUNGAMO-24h'!N43,'26.10 MIRAMA HILL-NTUNGAMO'!N43)</f>
        <v>0</v>
      </c>
      <c r="O43" s="15">
        <f t="shared" si="0"/>
        <v>5</v>
      </c>
      <c r="P43" s="15">
        <f t="shared" si="1"/>
        <v>9.5</v>
      </c>
    </row>
    <row r="44" spans="2:32" ht="23.1" customHeight="1" x14ac:dyDescent="0.25">
      <c r="B44" s="25" t="s">
        <v>71</v>
      </c>
      <c r="C44" s="49">
        <f>AVERAGE('25.10 MIRAMA-NTUNGAMO-24h'!C44,'26.10 MIRAMA HILL-NTUNGAMO'!C44)</f>
        <v>0.5</v>
      </c>
      <c r="D44" s="49">
        <f>AVERAGE('25.10 MIRAMA-NTUNGAMO-24h'!D44,'26.10 MIRAMA HILL-NTUNGAMO'!D44)</f>
        <v>1.5</v>
      </c>
      <c r="E44" s="49">
        <f>AVERAGE('25.10 MIRAMA-NTUNGAMO-24h'!E44,'26.10 MIRAMA HILL-NTUNGAMO'!E44)</f>
        <v>0</v>
      </c>
      <c r="F44" s="49">
        <f>AVERAGE('25.10 MIRAMA-NTUNGAMO-24h'!F44,'26.10 MIRAMA HILL-NTUNGAMO'!F44)</f>
        <v>0</v>
      </c>
      <c r="G44" s="49">
        <f>AVERAGE('25.10 MIRAMA-NTUNGAMO-24h'!G44,'26.10 MIRAMA HILL-NTUNGAMO'!G44)</f>
        <v>0</v>
      </c>
      <c r="H44" s="49">
        <f>AVERAGE('25.10 MIRAMA-NTUNGAMO-24h'!H44,'26.10 MIRAMA HILL-NTUNGAMO'!H44)</f>
        <v>0</v>
      </c>
      <c r="I44" s="49">
        <f>AVERAGE('25.10 MIRAMA-NTUNGAMO-24h'!I44,'26.10 MIRAMA HILL-NTUNGAMO'!I44)</f>
        <v>2</v>
      </c>
      <c r="J44" s="49">
        <f>AVERAGE('25.10 MIRAMA-NTUNGAMO-24h'!J44,'26.10 MIRAMA HILL-NTUNGAMO'!J44)</f>
        <v>0.5</v>
      </c>
      <c r="K44" s="49">
        <f>AVERAGE('25.10 MIRAMA-NTUNGAMO-24h'!K44,'26.10 MIRAMA HILL-NTUNGAMO'!K44)</f>
        <v>0</v>
      </c>
      <c r="L44" s="49">
        <f>AVERAGE('25.10 MIRAMA-NTUNGAMO-24h'!L44,'26.10 MIRAMA HILL-NTUNGAMO'!L44)</f>
        <v>1.5</v>
      </c>
      <c r="M44" s="49">
        <f>AVERAGE('25.10 MIRAMA-NTUNGAMO-24h'!M44,'26.10 MIRAMA HILL-NTUNGAMO'!M44)</f>
        <v>1.5</v>
      </c>
      <c r="N44" s="49">
        <f>AVERAGE('25.10 MIRAMA-NTUNGAMO-24h'!N44,'26.10 MIRAMA HILL-NTUNGAMO'!N44)</f>
        <v>0</v>
      </c>
      <c r="O44" s="15">
        <f t="shared" si="0"/>
        <v>6</v>
      </c>
      <c r="P44" s="15">
        <f t="shared" si="1"/>
        <v>7.5</v>
      </c>
    </row>
    <row r="45" spans="2:32" ht="23.1" customHeight="1" x14ac:dyDescent="0.25">
      <c r="B45" s="23" t="s">
        <v>72</v>
      </c>
      <c r="C45" s="49">
        <f>AVERAGE('25.10 MIRAMA-NTUNGAMO-24h'!C45,'26.10 MIRAMA HILL-NTUNGAMO'!C45)</f>
        <v>0</v>
      </c>
      <c r="D45" s="49">
        <f>AVERAGE('25.10 MIRAMA-NTUNGAMO-24h'!D45,'26.10 MIRAMA HILL-NTUNGAMO'!D45)</f>
        <v>0</v>
      </c>
      <c r="E45" s="49">
        <f>AVERAGE('25.10 MIRAMA-NTUNGAMO-24h'!E45,'26.10 MIRAMA HILL-NTUNGAMO'!E45)</f>
        <v>0</v>
      </c>
      <c r="F45" s="49">
        <f>AVERAGE('25.10 MIRAMA-NTUNGAMO-24h'!F45,'26.10 MIRAMA HILL-NTUNGAMO'!F45)</f>
        <v>0</v>
      </c>
      <c r="G45" s="49">
        <f>AVERAGE('25.10 MIRAMA-NTUNGAMO-24h'!G45,'26.10 MIRAMA HILL-NTUNGAMO'!G45)</f>
        <v>0</v>
      </c>
      <c r="H45" s="49">
        <f>AVERAGE('25.10 MIRAMA-NTUNGAMO-24h'!H45,'26.10 MIRAMA HILL-NTUNGAMO'!H45)</f>
        <v>0</v>
      </c>
      <c r="I45" s="49">
        <f>AVERAGE('25.10 MIRAMA-NTUNGAMO-24h'!I45,'26.10 MIRAMA HILL-NTUNGAMO'!I45)</f>
        <v>0</v>
      </c>
      <c r="J45" s="49">
        <f>AVERAGE('25.10 MIRAMA-NTUNGAMO-24h'!J45,'26.10 MIRAMA HILL-NTUNGAMO'!J45)</f>
        <v>0</v>
      </c>
      <c r="K45" s="49">
        <f>AVERAGE('25.10 MIRAMA-NTUNGAMO-24h'!K45,'26.10 MIRAMA HILL-NTUNGAMO'!K45)</f>
        <v>0</v>
      </c>
      <c r="L45" s="49">
        <f>AVERAGE('25.10 MIRAMA-NTUNGAMO-24h'!L45,'26.10 MIRAMA HILL-NTUNGAMO'!L45)</f>
        <v>0.5</v>
      </c>
      <c r="M45" s="49">
        <f>AVERAGE('25.10 MIRAMA-NTUNGAMO-24h'!M45,'26.10 MIRAMA HILL-NTUNGAMO'!M45)</f>
        <v>5.5</v>
      </c>
      <c r="N45" s="49">
        <f>AVERAGE('25.10 MIRAMA-NTUNGAMO-24h'!N45,'26.10 MIRAMA HILL-NTUNGAMO'!N45)</f>
        <v>0</v>
      </c>
      <c r="O45" s="15">
        <f t="shared" si="0"/>
        <v>0.5</v>
      </c>
      <c r="P45" s="15">
        <f t="shared" si="1"/>
        <v>6</v>
      </c>
    </row>
    <row r="46" spans="2:32" ht="23.1" customHeight="1" x14ac:dyDescent="0.25">
      <c r="B46" s="24" t="s">
        <v>73</v>
      </c>
      <c r="C46" s="49">
        <f>AVERAGE('25.10 MIRAMA-NTUNGAMO-24h'!C46,'26.10 MIRAMA HILL-NTUNGAMO'!C46)</f>
        <v>4</v>
      </c>
      <c r="D46" s="49">
        <f>AVERAGE('25.10 MIRAMA-NTUNGAMO-24h'!D46,'26.10 MIRAMA HILL-NTUNGAMO'!D46)</f>
        <v>1</v>
      </c>
      <c r="E46" s="49">
        <f>AVERAGE('25.10 MIRAMA-NTUNGAMO-24h'!E46,'26.10 MIRAMA HILL-NTUNGAMO'!E46)</f>
        <v>0</v>
      </c>
      <c r="F46" s="49">
        <f>AVERAGE('25.10 MIRAMA-NTUNGAMO-24h'!F46,'26.10 MIRAMA HILL-NTUNGAMO'!F46)</f>
        <v>0.5</v>
      </c>
      <c r="G46" s="49">
        <f>AVERAGE('25.10 MIRAMA-NTUNGAMO-24h'!G46,'26.10 MIRAMA HILL-NTUNGAMO'!G46)</f>
        <v>0</v>
      </c>
      <c r="H46" s="49">
        <f>AVERAGE('25.10 MIRAMA-NTUNGAMO-24h'!H46,'26.10 MIRAMA HILL-NTUNGAMO'!H46)</f>
        <v>0</v>
      </c>
      <c r="I46" s="49">
        <f>AVERAGE('25.10 MIRAMA-NTUNGAMO-24h'!I46,'26.10 MIRAMA HILL-NTUNGAMO'!I46)</f>
        <v>0.5</v>
      </c>
      <c r="J46" s="49">
        <f>AVERAGE('25.10 MIRAMA-NTUNGAMO-24h'!J46,'26.10 MIRAMA HILL-NTUNGAMO'!J46)</f>
        <v>3</v>
      </c>
      <c r="K46" s="49">
        <f>AVERAGE('25.10 MIRAMA-NTUNGAMO-24h'!K46,'26.10 MIRAMA HILL-NTUNGAMO'!K46)</f>
        <v>0</v>
      </c>
      <c r="L46" s="49">
        <f>AVERAGE('25.10 MIRAMA-NTUNGAMO-24h'!L46,'26.10 MIRAMA HILL-NTUNGAMO'!L46)</f>
        <v>2.5</v>
      </c>
      <c r="M46" s="49">
        <f>AVERAGE('25.10 MIRAMA-NTUNGAMO-24h'!M46,'26.10 MIRAMA HILL-NTUNGAMO'!M46)</f>
        <v>4</v>
      </c>
      <c r="N46" s="49">
        <f>AVERAGE('25.10 MIRAMA-NTUNGAMO-24h'!N46,'26.10 MIRAMA HILL-NTUNGAMO'!N46)</f>
        <v>0</v>
      </c>
      <c r="O46" s="15">
        <f t="shared" si="0"/>
        <v>11.5</v>
      </c>
      <c r="P46" s="15">
        <f t="shared" si="1"/>
        <v>15.5</v>
      </c>
      <c r="R46" s="8"/>
      <c r="T46"/>
    </row>
    <row r="47" spans="2:32" ht="23.1" customHeight="1" x14ac:dyDescent="0.25">
      <c r="B47" s="24" t="s">
        <v>74</v>
      </c>
      <c r="C47" s="49">
        <f>AVERAGE('25.10 MIRAMA-NTUNGAMO-24h'!C47,'26.10 MIRAMA HILL-NTUNGAMO'!C47)</f>
        <v>1</v>
      </c>
      <c r="D47" s="49">
        <f>AVERAGE('25.10 MIRAMA-NTUNGAMO-24h'!D47,'26.10 MIRAMA HILL-NTUNGAMO'!D47)</f>
        <v>0</v>
      </c>
      <c r="E47" s="49">
        <f>AVERAGE('25.10 MIRAMA-NTUNGAMO-24h'!E47,'26.10 MIRAMA HILL-NTUNGAMO'!E47)</f>
        <v>0</v>
      </c>
      <c r="F47" s="49">
        <f>AVERAGE('25.10 MIRAMA-NTUNGAMO-24h'!F47,'26.10 MIRAMA HILL-NTUNGAMO'!F47)</f>
        <v>0</v>
      </c>
      <c r="G47" s="49">
        <f>AVERAGE('25.10 MIRAMA-NTUNGAMO-24h'!G47,'26.10 MIRAMA HILL-NTUNGAMO'!G47)</f>
        <v>0</v>
      </c>
      <c r="H47" s="49">
        <f>AVERAGE('25.10 MIRAMA-NTUNGAMO-24h'!H47,'26.10 MIRAMA HILL-NTUNGAMO'!H47)</f>
        <v>0</v>
      </c>
      <c r="I47" s="49">
        <f>AVERAGE('25.10 MIRAMA-NTUNGAMO-24h'!I47,'26.10 MIRAMA HILL-NTUNGAMO'!I47)</f>
        <v>0</v>
      </c>
      <c r="J47" s="49">
        <f>AVERAGE('25.10 MIRAMA-NTUNGAMO-24h'!J47,'26.10 MIRAMA HILL-NTUNGAMO'!J47)</f>
        <v>0</v>
      </c>
      <c r="K47" s="49">
        <f>AVERAGE('25.10 MIRAMA-NTUNGAMO-24h'!K47,'26.10 MIRAMA HILL-NTUNGAMO'!K47)</f>
        <v>0</v>
      </c>
      <c r="L47" s="49">
        <f>AVERAGE('25.10 MIRAMA-NTUNGAMO-24h'!L47,'26.10 MIRAMA HILL-NTUNGAMO'!L47)</f>
        <v>1</v>
      </c>
      <c r="M47" s="49">
        <f>AVERAGE('25.10 MIRAMA-NTUNGAMO-24h'!M47,'26.10 MIRAMA HILL-NTUNGAMO'!M47)</f>
        <v>1</v>
      </c>
      <c r="N47" s="49">
        <f>AVERAGE('25.10 MIRAMA-NTUNGAMO-24h'!N47,'26.10 MIRAMA HILL-NTUNGAMO'!N47)</f>
        <v>0</v>
      </c>
      <c r="O47" s="15">
        <f t="shared" si="0"/>
        <v>2</v>
      </c>
      <c r="P47" s="15">
        <f t="shared" si="1"/>
        <v>3</v>
      </c>
      <c r="R47" s="8"/>
      <c r="T47"/>
    </row>
    <row r="48" spans="2:32" ht="23.1" customHeight="1" x14ac:dyDescent="0.25">
      <c r="B48" s="24" t="s">
        <v>75</v>
      </c>
      <c r="C48" s="49">
        <f>AVERAGE('25.10 MIRAMA-NTUNGAMO-24h'!C48,'26.10 MIRAMA HILL-NTUNGAMO'!C48)</f>
        <v>1</v>
      </c>
      <c r="D48" s="49">
        <f>AVERAGE('25.10 MIRAMA-NTUNGAMO-24h'!D48,'26.10 MIRAMA HILL-NTUNGAMO'!D48)</f>
        <v>0</v>
      </c>
      <c r="E48" s="49">
        <f>AVERAGE('25.10 MIRAMA-NTUNGAMO-24h'!E48,'26.10 MIRAMA HILL-NTUNGAMO'!E48)</f>
        <v>0</v>
      </c>
      <c r="F48" s="49">
        <f>AVERAGE('25.10 MIRAMA-NTUNGAMO-24h'!F48,'26.10 MIRAMA HILL-NTUNGAMO'!F48)</f>
        <v>0</v>
      </c>
      <c r="G48" s="49">
        <f>AVERAGE('25.10 MIRAMA-NTUNGAMO-24h'!G48,'26.10 MIRAMA HILL-NTUNGAMO'!G48)</f>
        <v>0</v>
      </c>
      <c r="H48" s="49">
        <f>AVERAGE('25.10 MIRAMA-NTUNGAMO-24h'!H48,'26.10 MIRAMA HILL-NTUNGAMO'!H48)</f>
        <v>0</v>
      </c>
      <c r="I48" s="49">
        <f>AVERAGE('25.10 MIRAMA-NTUNGAMO-24h'!I48,'26.10 MIRAMA HILL-NTUNGAMO'!I48)</f>
        <v>0</v>
      </c>
      <c r="J48" s="49">
        <f>AVERAGE('25.10 MIRAMA-NTUNGAMO-24h'!J48,'26.10 MIRAMA HILL-NTUNGAMO'!J48)</f>
        <v>0.5</v>
      </c>
      <c r="K48" s="49">
        <f>AVERAGE('25.10 MIRAMA-NTUNGAMO-24h'!K48,'26.10 MIRAMA HILL-NTUNGAMO'!K48)</f>
        <v>0</v>
      </c>
      <c r="L48" s="49">
        <f>AVERAGE('25.10 MIRAMA-NTUNGAMO-24h'!L48,'26.10 MIRAMA HILL-NTUNGAMO'!L48)</f>
        <v>1.5</v>
      </c>
      <c r="M48" s="49">
        <f>AVERAGE('25.10 MIRAMA-NTUNGAMO-24h'!M48,'26.10 MIRAMA HILL-NTUNGAMO'!M48)</f>
        <v>2</v>
      </c>
      <c r="N48" s="49">
        <f>AVERAGE('25.10 MIRAMA-NTUNGAMO-24h'!N48,'26.10 MIRAMA HILL-NTUNGAMO'!N48)</f>
        <v>0</v>
      </c>
      <c r="O48" s="15">
        <f t="shared" si="0"/>
        <v>3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49">
        <f>AVERAGE('25.10 MIRAMA-NTUNGAMO-24h'!C49,'26.10 MIRAMA HILL-NTUNGAMO'!C49)</f>
        <v>0</v>
      </c>
      <c r="D49" s="49">
        <f>AVERAGE('25.10 MIRAMA-NTUNGAMO-24h'!D49,'26.10 MIRAMA HILL-NTUNGAMO'!D49)</f>
        <v>0</v>
      </c>
      <c r="E49" s="49">
        <f>AVERAGE('25.10 MIRAMA-NTUNGAMO-24h'!E49,'26.10 MIRAMA HILL-NTUNGAMO'!E49)</f>
        <v>0</v>
      </c>
      <c r="F49" s="49">
        <f>AVERAGE('25.10 MIRAMA-NTUNGAMO-24h'!F49,'26.10 MIRAMA HILL-NTUNGAMO'!F49)</f>
        <v>0</v>
      </c>
      <c r="G49" s="49">
        <f>AVERAGE('25.10 MIRAMA-NTUNGAMO-24h'!G49,'26.10 MIRAMA HILL-NTUNGAMO'!G49)</f>
        <v>0</v>
      </c>
      <c r="H49" s="49">
        <f>AVERAGE('25.10 MIRAMA-NTUNGAMO-24h'!H49,'26.10 MIRAMA HILL-NTUNGAMO'!H49)</f>
        <v>0</v>
      </c>
      <c r="I49" s="49">
        <f>AVERAGE('25.10 MIRAMA-NTUNGAMO-24h'!I49,'26.10 MIRAMA HILL-NTUNGAMO'!I49)</f>
        <v>0</v>
      </c>
      <c r="J49" s="49">
        <f>AVERAGE('25.10 MIRAMA-NTUNGAMO-24h'!J49,'26.10 MIRAMA HILL-NTUNGAMO'!J49)</f>
        <v>0.5</v>
      </c>
      <c r="K49" s="49">
        <f>AVERAGE('25.10 MIRAMA-NTUNGAMO-24h'!K49,'26.10 MIRAMA HILL-NTUNGAMO'!K49)</f>
        <v>0</v>
      </c>
      <c r="L49" s="49">
        <f>AVERAGE('25.10 MIRAMA-NTUNGAMO-24h'!L49,'26.10 MIRAMA HILL-NTUNGAMO'!L49)</f>
        <v>0</v>
      </c>
      <c r="M49" s="49">
        <f>AVERAGE('25.10 MIRAMA-NTUNGAMO-24h'!M49,'26.10 MIRAMA HILL-NTUNGAMO'!M49)</f>
        <v>3.5</v>
      </c>
      <c r="N49" s="49">
        <f>AVERAGE('25.10 MIRAMA-NTUNGAMO-24h'!N49,'26.10 MIRAMA HILL-NTUNGAMO'!N49)</f>
        <v>0</v>
      </c>
      <c r="O49" s="15">
        <f t="shared" si="0"/>
        <v>0.5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49">
        <f>AVERAGE('25.10 MIRAMA-NTUNGAMO-24h'!C50,'26.10 MIRAMA HILL-NTUNGAMO'!C50)</f>
        <v>2</v>
      </c>
      <c r="D50" s="49">
        <f>AVERAGE('25.10 MIRAMA-NTUNGAMO-24h'!D50,'26.10 MIRAMA HILL-NTUNGAMO'!D50)</f>
        <v>0</v>
      </c>
      <c r="E50" s="49">
        <f>AVERAGE('25.10 MIRAMA-NTUNGAMO-24h'!E50,'26.10 MIRAMA HILL-NTUNGAMO'!E50)</f>
        <v>0</v>
      </c>
      <c r="F50" s="49">
        <f>AVERAGE('25.10 MIRAMA-NTUNGAMO-24h'!F50,'26.10 MIRAMA HILL-NTUNGAMO'!F50)</f>
        <v>0</v>
      </c>
      <c r="G50" s="49">
        <f>AVERAGE('25.10 MIRAMA-NTUNGAMO-24h'!G50,'26.10 MIRAMA HILL-NTUNGAMO'!G50)</f>
        <v>0</v>
      </c>
      <c r="H50" s="49">
        <f>AVERAGE('25.10 MIRAMA-NTUNGAMO-24h'!H50,'26.10 MIRAMA HILL-NTUNGAMO'!H50)</f>
        <v>0</v>
      </c>
      <c r="I50" s="49">
        <f>AVERAGE('25.10 MIRAMA-NTUNGAMO-24h'!I50,'26.10 MIRAMA HILL-NTUNGAMO'!I50)</f>
        <v>0</v>
      </c>
      <c r="J50" s="49">
        <f>AVERAGE('25.10 MIRAMA-NTUNGAMO-24h'!J50,'26.10 MIRAMA HILL-NTUNGAMO'!J50)</f>
        <v>0</v>
      </c>
      <c r="K50" s="49">
        <f>AVERAGE('25.10 MIRAMA-NTUNGAMO-24h'!K50,'26.10 MIRAMA HILL-NTUNGAMO'!K50)</f>
        <v>0</v>
      </c>
      <c r="L50" s="49">
        <f>AVERAGE('25.10 MIRAMA-NTUNGAMO-24h'!L50,'26.10 MIRAMA HILL-NTUNGAMO'!L50)</f>
        <v>1</v>
      </c>
      <c r="M50" s="49">
        <f>AVERAGE('25.10 MIRAMA-NTUNGAMO-24h'!M50,'26.10 MIRAMA HILL-NTUNGAMO'!M50)</f>
        <v>6</v>
      </c>
      <c r="N50" s="49">
        <f>AVERAGE('25.10 MIRAMA-NTUNGAMO-24h'!N50,'26.10 MIRAMA HILL-NTUNGAMO'!N50)</f>
        <v>0</v>
      </c>
      <c r="O50" s="15">
        <f t="shared" si="0"/>
        <v>3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49">
        <f>AVERAGE('25.10 MIRAMA-NTUNGAMO-24h'!C51,'26.10 MIRAMA HILL-NTUNGAMO'!C51)</f>
        <v>1</v>
      </c>
      <c r="D51" s="49">
        <f>AVERAGE('25.10 MIRAMA-NTUNGAMO-24h'!D51,'26.10 MIRAMA HILL-NTUNGAMO'!D51)</f>
        <v>0.5</v>
      </c>
      <c r="E51" s="49">
        <f>AVERAGE('25.10 MIRAMA-NTUNGAMO-24h'!E51,'26.10 MIRAMA HILL-NTUNGAMO'!E51)</f>
        <v>0</v>
      </c>
      <c r="F51" s="49">
        <f>AVERAGE('25.10 MIRAMA-NTUNGAMO-24h'!F51,'26.10 MIRAMA HILL-NTUNGAMO'!F51)</f>
        <v>0</v>
      </c>
      <c r="G51" s="49">
        <f>AVERAGE('25.10 MIRAMA-NTUNGAMO-24h'!G51,'26.10 MIRAMA HILL-NTUNGAMO'!G51)</f>
        <v>0</v>
      </c>
      <c r="H51" s="49">
        <f>AVERAGE('25.10 MIRAMA-NTUNGAMO-24h'!H51,'26.10 MIRAMA HILL-NTUNGAMO'!H51)</f>
        <v>0</v>
      </c>
      <c r="I51" s="49">
        <f>AVERAGE('25.10 MIRAMA-NTUNGAMO-24h'!I51,'26.10 MIRAMA HILL-NTUNGAMO'!I51)</f>
        <v>1.5</v>
      </c>
      <c r="J51" s="49">
        <f>AVERAGE('25.10 MIRAMA-NTUNGAMO-24h'!J51,'26.10 MIRAMA HILL-NTUNGAMO'!J51)</f>
        <v>0</v>
      </c>
      <c r="K51" s="49">
        <f>AVERAGE('25.10 MIRAMA-NTUNGAMO-24h'!K51,'26.10 MIRAMA HILL-NTUNGAMO'!K51)</f>
        <v>2.5</v>
      </c>
      <c r="L51" s="49">
        <f>AVERAGE('25.10 MIRAMA-NTUNGAMO-24h'!L51,'26.10 MIRAMA HILL-NTUNGAMO'!L51)</f>
        <v>0</v>
      </c>
      <c r="M51" s="49">
        <f>AVERAGE('25.10 MIRAMA-NTUNGAMO-24h'!M51,'26.10 MIRAMA HILL-NTUNGAMO'!M51)</f>
        <v>6.5</v>
      </c>
      <c r="N51" s="49">
        <f>AVERAGE('25.10 MIRAMA-NTUNGAMO-24h'!N51,'26.10 MIRAMA HILL-NTUNGAMO'!N51)</f>
        <v>0</v>
      </c>
      <c r="O51" s="15">
        <f t="shared" si="0"/>
        <v>5.5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49">
        <f>AVERAGE('25.10 MIRAMA-NTUNGAMO-24h'!C52,'26.10 MIRAMA HILL-NTUNGAMO'!C52)</f>
        <v>1.5</v>
      </c>
      <c r="D52" s="49">
        <f>AVERAGE('25.10 MIRAMA-NTUNGAMO-24h'!D52,'26.10 MIRAMA HILL-NTUNGAMO'!D52)</f>
        <v>1.5</v>
      </c>
      <c r="E52" s="49">
        <f>AVERAGE('25.10 MIRAMA-NTUNGAMO-24h'!E52,'26.10 MIRAMA HILL-NTUNGAMO'!E52)</f>
        <v>0</v>
      </c>
      <c r="F52" s="49">
        <f>AVERAGE('25.10 MIRAMA-NTUNGAMO-24h'!F52,'26.10 MIRAMA HILL-NTUNGAMO'!F52)</f>
        <v>0</v>
      </c>
      <c r="G52" s="49">
        <f>AVERAGE('25.10 MIRAMA-NTUNGAMO-24h'!G52,'26.10 MIRAMA HILL-NTUNGAMO'!G52)</f>
        <v>0</v>
      </c>
      <c r="H52" s="49">
        <f>AVERAGE('25.10 MIRAMA-NTUNGAMO-24h'!H52,'26.10 MIRAMA HILL-NTUNGAMO'!H52)</f>
        <v>0</v>
      </c>
      <c r="I52" s="49">
        <f>AVERAGE('25.10 MIRAMA-NTUNGAMO-24h'!I52,'26.10 MIRAMA HILL-NTUNGAMO'!I52)</f>
        <v>0</v>
      </c>
      <c r="J52" s="49">
        <f>AVERAGE('25.10 MIRAMA-NTUNGAMO-24h'!J52,'26.10 MIRAMA HILL-NTUNGAMO'!J52)</f>
        <v>0</v>
      </c>
      <c r="K52" s="49">
        <f>AVERAGE('25.10 MIRAMA-NTUNGAMO-24h'!K52,'26.10 MIRAMA HILL-NTUNGAMO'!K52)</f>
        <v>0</v>
      </c>
      <c r="L52" s="49">
        <f>AVERAGE('25.10 MIRAMA-NTUNGAMO-24h'!L52,'26.10 MIRAMA HILL-NTUNGAMO'!L52)</f>
        <v>0.5</v>
      </c>
      <c r="M52" s="49">
        <f>AVERAGE('25.10 MIRAMA-NTUNGAMO-24h'!M52,'26.10 MIRAMA HILL-NTUNGAMO'!M52)</f>
        <v>1.5</v>
      </c>
      <c r="N52" s="49">
        <f>AVERAGE('25.10 MIRAMA-NTUNGAMO-24h'!N52,'26.10 MIRAMA HILL-NTUNGAMO'!N52)</f>
        <v>0</v>
      </c>
      <c r="O52" s="15">
        <f t="shared" si="0"/>
        <v>3.5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49">
        <f>AVERAGE('25.10 MIRAMA-NTUNGAMO-24h'!C53,'26.10 MIRAMA HILL-NTUNGAMO'!C53)</f>
        <v>0</v>
      </c>
      <c r="D53" s="49">
        <f>AVERAGE('25.10 MIRAMA-NTUNGAMO-24h'!D53,'26.10 MIRAMA HILL-NTUNGAMO'!D53)</f>
        <v>0</v>
      </c>
      <c r="E53" s="49">
        <f>AVERAGE('25.10 MIRAMA-NTUNGAMO-24h'!E53,'26.10 MIRAMA HILL-NTUNGAMO'!E53)</f>
        <v>0</v>
      </c>
      <c r="F53" s="49">
        <f>AVERAGE('25.10 MIRAMA-NTUNGAMO-24h'!F53,'26.10 MIRAMA HILL-NTUNGAMO'!F53)</f>
        <v>0</v>
      </c>
      <c r="G53" s="49">
        <f>AVERAGE('25.10 MIRAMA-NTUNGAMO-24h'!G53,'26.10 MIRAMA HILL-NTUNGAMO'!G53)</f>
        <v>0</v>
      </c>
      <c r="H53" s="49">
        <f>AVERAGE('25.10 MIRAMA-NTUNGAMO-24h'!H53,'26.10 MIRAMA HILL-NTUNGAMO'!H53)</f>
        <v>0</v>
      </c>
      <c r="I53" s="49">
        <f>AVERAGE('25.10 MIRAMA-NTUNGAMO-24h'!I53,'26.10 MIRAMA HILL-NTUNGAMO'!I53)</f>
        <v>0</v>
      </c>
      <c r="J53" s="49">
        <f>AVERAGE('25.10 MIRAMA-NTUNGAMO-24h'!J53,'26.10 MIRAMA HILL-NTUNGAMO'!J53)</f>
        <v>0</v>
      </c>
      <c r="K53" s="49">
        <f>AVERAGE('25.10 MIRAMA-NTUNGAMO-24h'!K53,'26.10 MIRAMA HILL-NTUNGAMO'!K53)</f>
        <v>0</v>
      </c>
      <c r="L53" s="49">
        <f>AVERAGE('25.10 MIRAMA-NTUNGAMO-24h'!L53,'26.10 MIRAMA HILL-NTUNGAMO'!L53)</f>
        <v>0</v>
      </c>
      <c r="M53" s="49">
        <f>AVERAGE('25.10 MIRAMA-NTUNGAMO-24h'!M53,'26.10 MIRAMA HILL-NTUNGAMO'!M53)</f>
        <v>1</v>
      </c>
      <c r="N53" s="49">
        <f>AVERAGE('25.10 MIRAMA-NTUNGAMO-24h'!N53,'26.10 MIRAMA HILL-NTUNGAMO'!N53)</f>
        <v>0</v>
      </c>
      <c r="O53" s="15">
        <f t="shared" si="0"/>
        <v>0</v>
      </c>
      <c r="P53" s="15">
        <f t="shared" si="1"/>
        <v>1</v>
      </c>
      <c r="R53" s="8"/>
      <c r="T53"/>
    </row>
    <row r="54" spans="2:20" ht="23.1" customHeight="1" x14ac:dyDescent="0.25">
      <c r="B54" s="23" t="s">
        <v>81</v>
      </c>
      <c r="C54" s="49">
        <f>AVERAGE('25.10 MIRAMA-NTUNGAMO-24h'!C54,'26.10 MIRAMA HILL-NTUNGAMO'!C54)</f>
        <v>0</v>
      </c>
      <c r="D54" s="49">
        <f>AVERAGE('25.10 MIRAMA-NTUNGAMO-24h'!D54,'26.10 MIRAMA HILL-NTUNGAMO'!D54)</f>
        <v>0</v>
      </c>
      <c r="E54" s="49">
        <f>AVERAGE('25.10 MIRAMA-NTUNGAMO-24h'!E54,'26.10 MIRAMA HILL-NTUNGAMO'!E54)</f>
        <v>0</v>
      </c>
      <c r="F54" s="49">
        <f>AVERAGE('25.10 MIRAMA-NTUNGAMO-24h'!F54,'26.10 MIRAMA HILL-NTUNGAMO'!F54)</f>
        <v>0</v>
      </c>
      <c r="G54" s="49">
        <f>AVERAGE('25.10 MIRAMA-NTUNGAMO-24h'!G54,'26.10 MIRAMA HILL-NTUNGAMO'!G54)</f>
        <v>0</v>
      </c>
      <c r="H54" s="49">
        <f>AVERAGE('25.10 MIRAMA-NTUNGAMO-24h'!H54,'26.10 MIRAMA HILL-NTUNGAMO'!H54)</f>
        <v>0</v>
      </c>
      <c r="I54" s="49">
        <f>AVERAGE('25.10 MIRAMA-NTUNGAMO-24h'!I54,'26.10 MIRAMA HILL-NTUNGAMO'!I54)</f>
        <v>0.5</v>
      </c>
      <c r="J54" s="49">
        <f>AVERAGE('25.10 MIRAMA-NTUNGAMO-24h'!J54,'26.10 MIRAMA HILL-NTUNGAMO'!J54)</f>
        <v>0</v>
      </c>
      <c r="K54" s="49">
        <f>AVERAGE('25.10 MIRAMA-NTUNGAMO-24h'!K54,'26.10 MIRAMA HILL-NTUNGAMO'!K54)</f>
        <v>1</v>
      </c>
      <c r="L54" s="49">
        <f>AVERAGE('25.10 MIRAMA-NTUNGAMO-24h'!L54,'26.10 MIRAMA HILL-NTUNGAMO'!L54)</f>
        <v>1.5</v>
      </c>
      <c r="M54" s="49">
        <f>AVERAGE('25.10 MIRAMA-NTUNGAMO-24h'!M54,'26.10 MIRAMA HILL-NTUNGAMO'!M54)</f>
        <v>3</v>
      </c>
      <c r="N54" s="49">
        <f>AVERAGE('25.10 MIRAMA-NTUNGAMO-24h'!N54,'26.10 MIRAMA HILL-NTUNGAMO'!N54)</f>
        <v>0</v>
      </c>
      <c r="O54" s="15">
        <f t="shared" si="0"/>
        <v>3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49">
        <f>AVERAGE('25.10 MIRAMA-NTUNGAMO-24h'!C55,'26.10 MIRAMA HILL-NTUNGAMO'!C55)</f>
        <v>2.5</v>
      </c>
      <c r="D55" s="49">
        <f>AVERAGE('25.10 MIRAMA-NTUNGAMO-24h'!D55,'26.10 MIRAMA HILL-NTUNGAMO'!D55)</f>
        <v>0</v>
      </c>
      <c r="E55" s="49">
        <f>AVERAGE('25.10 MIRAMA-NTUNGAMO-24h'!E55,'26.10 MIRAMA HILL-NTUNGAMO'!E55)</f>
        <v>0</v>
      </c>
      <c r="F55" s="49">
        <f>AVERAGE('25.10 MIRAMA-NTUNGAMO-24h'!F55,'26.10 MIRAMA HILL-NTUNGAMO'!F55)</f>
        <v>0</v>
      </c>
      <c r="G55" s="49">
        <f>AVERAGE('25.10 MIRAMA-NTUNGAMO-24h'!G55,'26.10 MIRAMA HILL-NTUNGAMO'!G55)</f>
        <v>0</v>
      </c>
      <c r="H55" s="49">
        <f>AVERAGE('25.10 MIRAMA-NTUNGAMO-24h'!H55,'26.10 MIRAMA HILL-NTUNGAMO'!H55)</f>
        <v>0</v>
      </c>
      <c r="I55" s="49">
        <f>AVERAGE('25.10 MIRAMA-NTUNGAMO-24h'!I55,'26.10 MIRAMA HILL-NTUNGAMO'!I55)</f>
        <v>0</v>
      </c>
      <c r="J55" s="49">
        <f>AVERAGE('25.10 MIRAMA-NTUNGAMO-24h'!J55,'26.10 MIRAMA HILL-NTUNGAMO'!J55)</f>
        <v>0</v>
      </c>
      <c r="K55" s="49">
        <f>AVERAGE('25.10 MIRAMA-NTUNGAMO-24h'!K55,'26.10 MIRAMA HILL-NTUNGAMO'!K55)</f>
        <v>0</v>
      </c>
      <c r="L55" s="49">
        <f>AVERAGE('25.10 MIRAMA-NTUNGAMO-24h'!L55,'26.10 MIRAMA HILL-NTUNGAMO'!L55)</f>
        <v>2</v>
      </c>
      <c r="M55" s="49">
        <f>AVERAGE('25.10 MIRAMA-NTUNGAMO-24h'!M55,'26.10 MIRAMA HILL-NTUNGAMO'!M55)</f>
        <v>4.5</v>
      </c>
      <c r="N55" s="49">
        <f>AVERAGE('25.10 MIRAMA-NTUNGAMO-24h'!N55,'26.10 MIRAMA HILL-NTUNGAMO'!N55)</f>
        <v>0</v>
      </c>
      <c r="O55" s="15">
        <f t="shared" si="0"/>
        <v>4.5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49">
        <f>AVERAGE('25.10 MIRAMA-NTUNGAMO-24h'!C56,'26.10 MIRAMA HILL-NTUNGAMO'!C56)</f>
        <v>4.5</v>
      </c>
      <c r="D56" s="49">
        <f>AVERAGE('25.10 MIRAMA-NTUNGAMO-24h'!D56,'26.10 MIRAMA HILL-NTUNGAMO'!D56)</f>
        <v>1</v>
      </c>
      <c r="E56" s="49">
        <f>AVERAGE('25.10 MIRAMA-NTUNGAMO-24h'!E56,'26.10 MIRAMA HILL-NTUNGAMO'!E56)</f>
        <v>0.5</v>
      </c>
      <c r="F56" s="49">
        <f>AVERAGE('25.10 MIRAMA-NTUNGAMO-24h'!F56,'26.10 MIRAMA HILL-NTUNGAMO'!F56)</f>
        <v>0</v>
      </c>
      <c r="G56" s="49">
        <f>AVERAGE('25.10 MIRAMA-NTUNGAMO-24h'!G56,'26.10 MIRAMA HILL-NTUNGAMO'!G56)</f>
        <v>0</v>
      </c>
      <c r="H56" s="49">
        <f>AVERAGE('25.10 MIRAMA-NTUNGAMO-24h'!H56,'26.10 MIRAMA HILL-NTUNGAMO'!H56)</f>
        <v>0</v>
      </c>
      <c r="I56" s="49">
        <f>AVERAGE('25.10 MIRAMA-NTUNGAMO-24h'!I56,'26.10 MIRAMA HILL-NTUNGAMO'!I56)</f>
        <v>0</v>
      </c>
      <c r="J56" s="49">
        <f>AVERAGE('25.10 MIRAMA-NTUNGAMO-24h'!J56,'26.10 MIRAMA HILL-NTUNGAMO'!J56)</f>
        <v>0</v>
      </c>
      <c r="K56" s="49">
        <f>AVERAGE('25.10 MIRAMA-NTUNGAMO-24h'!K56,'26.10 MIRAMA HILL-NTUNGAMO'!K56)</f>
        <v>0</v>
      </c>
      <c r="L56" s="49">
        <f>AVERAGE('25.10 MIRAMA-NTUNGAMO-24h'!L56,'26.10 MIRAMA HILL-NTUNGAMO'!L56)</f>
        <v>0.5</v>
      </c>
      <c r="M56" s="49">
        <f>AVERAGE('25.10 MIRAMA-NTUNGAMO-24h'!M56,'26.10 MIRAMA HILL-NTUNGAMO'!M56)</f>
        <v>3.5</v>
      </c>
      <c r="N56" s="49">
        <f>AVERAGE('25.10 MIRAMA-NTUNGAMO-24h'!N56,'26.10 MIRAMA HILL-NTUNGAMO'!N56)</f>
        <v>0</v>
      </c>
      <c r="O56" s="15">
        <f t="shared" si="0"/>
        <v>6.5</v>
      </c>
      <c r="P56" s="15">
        <f t="shared" si="1"/>
        <v>10</v>
      </c>
      <c r="R56" s="8"/>
      <c r="T56"/>
    </row>
    <row r="57" spans="2:20" ht="23.1" customHeight="1" x14ac:dyDescent="0.25">
      <c r="B57" s="23" t="s">
        <v>84</v>
      </c>
      <c r="C57" s="49">
        <f>AVERAGE('25.10 MIRAMA-NTUNGAMO-24h'!C57,'26.10 MIRAMA HILL-NTUNGAMO'!C57)</f>
        <v>4.5</v>
      </c>
      <c r="D57" s="49">
        <f>AVERAGE('25.10 MIRAMA-NTUNGAMO-24h'!D57,'26.10 MIRAMA HILL-NTUNGAMO'!D57)</f>
        <v>0</v>
      </c>
      <c r="E57" s="49">
        <f>AVERAGE('25.10 MIRAMA-NTUNGAMO-24h'!E57,'26.10 MIRAMA HILL-NTUNGAMO'!E57)</f>
        <v>1</v>
      </c>
      <c r="F57" s="49">
        <f>AVERAGE('25.10 MIRAMA-NTUNGAMO-24h'!F57,'26.10 MIRAMA HILL-NTUNGAMO'!F57)</f>
        <v>0</v>
      </c>
      <c r="G57" s="49">
        <f>AVERAGE('25.10 MIRAMA-NTUNGAMO-24h'!G57,'26.10 MIRAMA HILL-NTUNGAMO'!G57)</f>
        <v>0</v>
      </c>
      <c r="H57" s="49">
        <f>AVERAGE('25.10 MIRAMA-NTUNGAMO-24h'!H57,'26.10 MIRAMA HILL-NTUNGAMO'!H57)</f>
        <v>0</v>
      </c>
      <c r="I57" s="49">
        <f>AVERAGE('25.10 MIRAMA-NTUNGAMO-24h'!I57,'26.10 MIRAMA HILL-NTUNGAMO'!I57)</f>
        <v>0</v>
      </c>
      <c r="J57" s="49">
        <f>AVERAGE('25.10 MIRAMA-NTUNGAMO-24h'!J57,'26.10 MIRAMA HILL-NTUNGAMO'!J57)</f>
        <v>0</v>
      </c>
      <c r="K57" s="49">
        <f>AVERAGE('25.10 MIRAMA-NTUNGAMO-24h'!K57,'26.10 MIRAMA HILL-NTUNGAMO'!K57)</f>
        <v>0</v>
      </c>
      <c r="L57" s="49">
        <f>AVERAGE('25.10 MIRAMA-NTUNGAMO-24h'!L57,'26.10 MIRAMA HILL-NTUNGAMO'!L57)</f>
        <v>3</v>
      </c>
      <c r="M57" s="49">
        <f>AVERAGE('25.10 MIRAMA-NTUNGAMO-24h'!M57,'26.10 MIRAMA HILL-NTUNGAMO'!M57)</f>
        <v>12.5</v>
      </c>
      <c r="N57" s="49">
        <f>AVERAGE('25.10 MIRAMA-NTUNGAMO-24h'!N57,'26.10 MIRAMA HILL-NTUNGAMO'!N57)</f>
        <v>0</v>
      </c>
      <c r="O57" s="15">
        <f t="shared" si="0"/>
        <v>8.5</v>
      </c>
      <c r="P57" s="15">
        <f t="shared" si="1"/>
        <v>21</v>
      </c>
      <c r="R57" s="8"/>
      <c r="T57"/>
    </row>
    <row r="58" spans="2:20" ht="23.1" customHeight="1" x14ac:dyDescent="0.25">
      <c r="B58" s="23" t="s">
        <v>99</v>
      </c>
      <c r="C58" s="49">
        <f>AVERAGE('25.10 MIRAMA-NTUNGAMO-24h'!C58)</f>
        <v>2</v>
      </c>
      <c r="D58" s="49">
        <f>AVERAGE('25.10 MIRAMA-NTUNGAMO-24h'!D58)</f>
        <v>0</v>
      </c>
      <c r="E58" s="49">
        <f>AVERAGE('25.10 MIRAMA-NTUNGAMO-24h'!E58)</f>
        <v>0</v>
      </c>
      <c r="F58" s="49">
        <f>AVERAGE('25.10 MIRAMA-NTUNGAMO-24h'!F58)</f>
        <v>0</v>
      </c>
      <c r="G58" s="49">
        <f>AVERAGE('25.10 MIRAMA-NTUNGAMO-24h'!G58)</f>
        <v>0</v>
      </c>
      <c r="H58" s="49">
        <f>AVERAGE('25.10 MIRAMA-NTUNGAMO-24h'!H58)</f>
        <v>0</v>
      </c>
      <c r="I58" s="49">
        <f>AVERAGE('25.10 MIRAMA-NTUNGAMO-24h'!I58)</f>
        <v>0</v>
      </c>
      <c r="J58" s="49">
        <f>AVERAGE('25.10 MIRAMA-NTUNGAMO-24h'!J58)</f>
        <v>0</v>
      </c>
      <c r="K58" s="49">
        <f>AVERAGE('25.10 MIRAMA-NTUNGAMO-24h'!K58)</f>
        <v>0</v>
      </c>
      <c r="L58" s="49">
        <f>AVERAGE('25.10 MIRAMA-NTUNGAMO-24h'!L58)</f>
        <v>2</v>
      </c>
      <c r="M58" s="49">
        <f>AVERAGE('25.10 MIRAMA-NTUNGAMO-24h'!M58)</f>
        <v>5</v>
      </c>
      <c r="N58" s="49">
        <f>AVERAGE('25.10 MIRAMA-NTUNGAMO-24h'!N58)</f>
        <v>0</v>
      </c>
      <c r="O58" s="15">
        <f t="shared" si="0"/>
        <v>4</v>
      </c>
      <c r="P58" s="15">
        <f t="shared" si="1"/>
        <v>9</v>
      </c>
      <c r="R58" s="8"/>
      <c r="T58"/>
    </row>
    <row r="59" spans="2:20" ht="23.1" customHeight="1" x14ac:dyDescent="0.25">
      <c r="B59" s="23" t="s">
        <v>100</v>
      </c>
      <c r="C59" s="49">
        <f>AVERAGE('25.10 MIRAMA-NTUNGAMO-24h'!C59)</f>
        <v>1</v>
      </c>
      <c r="D59" s="49">
        <f>AVERAGE('25.10 MIRAMA-NTUNGAMO-24h'!D59)</f>
        <v>0</v>
      </c>
      <c r="E59" s="49">
        <f>AVERAGE('25.10 MIRAMA-NTUNGAMO-24h'!E59)</f>
        <v>0</v>
      </c>
      <c r="F59" s="49">
        <f>AVERAGE('25.10 MIRAMA-NTUNGAMO-24h'!F59)</f>
        <v>0</v>
      </c>
      <c r="G59" s="49">
        <f>AVERAGE('25.10 MIRAMA-NTUNGAMO-24h'!G59)</f>
        <v>0</v>
      </c>
      <c r="H59" s="49">
        <f>AVERAGE('25.10 MIRAMA-NTUNGAMO-24h'!H59)</f>
        <v>0</v>
      </c>
      <c r="I59" s="49">
        <f>AVERAGE('25.10 MIRAMA-NTUNGAMO-24h'!I59)</f>
        <v>0</v>
      </c>
      <c r="J59" s="49">
        <f>AVERAGE('25.10 MIRAMA-NTUNGAMO-24h'!J59)</f>
        <v>0</v>
      </c>
      <c r="K59" s="49">
        <f>AVERAGE('25.10 MIRAMA-NTUNGAMO-24h'!K59)</f>
        <v>0</v>
      </c>
      <c r="L59" s="49">
        <f>AVERAGE('25.10 MIRAMA-NTUNGAMO-24h'!L59)</f>
        <v>3</v>
      </c>
      <c r="M59" s="49">
        <f>AVERAGE('25.10 MIRAMA-NTUNGAMO-24h'!M59)</f>
        <v>7</v>
      </c>
      <c r="N59" s="49">
        <f>AVERAGE('25.10 MIRAMA-NTUNGAMO-24h'!N59)</f>
        <v>0</v>
      </c>
      <c r="O59" s="15">
        <f t="shared" si="0"/>
        <v>4</v>
      </c>
      <c r="P59" s="15">
        <f t="shared" si="1"/>
        <v>11</v>
      </c>
      <c r="R59" s="8"/>
      <c r="T59"/>
    </row>
    <row r="60" spans="2:20" ht="23.1" customHeight="1" x14ac:dyDescent="0.25">
      <c r="B60" s="23" t="s">
        <v>101</v>
      </c>
      <c r="C60" s="49">
        <f>AVERAGE('25.10 MIRAMA-NTUNGAMO-24h'!C60)</f>
        <v>0</v>
      </c>
      <c r="D60" s="49">
        <f>AVERAGE('25.10 MIRAMA-NTUNGAMO-24h'!D60)</f>
        <v>0</v>
      </c>
      <c r="E60" s="49">
        <f>AVERAGE('25.10 MIRAMA-NTUNGAMO-24h'!E60)</f>
        <v>0</v>
      </c>
      <c r="F60" s="49">
        <f>AVERAGE('25.10 MIRAMA-NTUNGAMO-24h'!F60)</f>
        <v>0</v>
      </c>
      <c r="G60" s="49">
        <f>AVERAGE('25.10 MIRAMA-NTUNGAMO-24h'!G60)</f>
        <v>0</v>
      </c>
      <c r="H60" s="49">
        <f>AVERAGE('25.10 MIRAMA-NTUNGAMO-24h'!H60)</f>
        <v>0</v>
      </c>
      <c r="I60" s="49">
        <f>AVERAGE('25.10 MIRAMA-NTUNGAMO-24h'!I60)</f>
        <v>0</v>
      </c>
      <c r="J60" s="49">
        <f>AVERAGE('25.10 MIRAMA-NTUNGAMO-24h'!J60)</f>
        <v>0</v>
      </c>
      <c r="K60" s="49">
        <f>AVERAGE('25.10 MIRAMA-NTUNGAMO-24h'!K60)</f>
        <v>0</v>
      </c>
      <c r="L60" s="49">
        <f>AVERAGE('25.10 MIRAMA-NTUNGAMO-24h'!L60)</f>
        <v>0</v>
      </c>
      <c r="M60" s="49">
        <f>AVERAGE('25.10 MIRAMA-NTUNGAMO-24h'!M60)</f>
        <v>2</v>
      </c>
      <c r="N60" s="49">
        <f>AVERAGE('25.10 MIRAMA-NTUNGAMO-24h'!N60)</f>
        <v>0</v>
      </c>
      <c r="O60" s="15">
        <f t="shared" si="0"/>
        <v>0</v>
      </c>
      <c r="P60" s="15">
        <f t="shared" si="1"/>
        <v>2</v>
      </c>
      <c r="R60" s="8"/>
      <c r="T60"/>
    </row>
    <row r="61" spans="2:20" ht="23.1" customHeight="1" x14ac:dyDescent="0.25">
      <c r="B61" s="23" t="s">
        <v>102</v>
      </c>
      <c r="C61" s="49">
        <f>AVERAGE('25.10 MIRAMA-NTUNGAMO-24h'!C61)</f>
        <v>0</v>
      </c>
      <c r="D61" s="49">
        <f>AVERAGE('25.10 MIRAMA-NTUNGAMO-24h'!D61)</f>
        <v>0</v>
      </c>
      <c r="E61" s="49">
        <f>AVERAGE('25.10 MIRAMA-NTUNGAMO-24h'!E61)</f>
        <v>0</v>
      </c>
      <c r="F61" s="49">
        <f>AVERAGE('25.10 MIRAMA-NTUNGAMO-24h'!F61)</f>
        <v>0</v>
      </c>
      <c r="G61" s="49">
        <f>AVERAGE('25.10 MIRAMA-NTUNGAMO-24h'!G61)</f>
        <v>0</v>
      </c>
      <c r="H61" s="49">
        <f>AVERAGE('25.10 MIRAMA-NTUNGAMO-24h'!H61)</f>
        <v>0</v>
      </c>
      <c r="I61" s="49">
        <f>AVERAGE('25.10 MIRAMA-NTUNGAMO-24h'!I61)</f>
        <v>0</v>
      </c>
      <c r="J61" s="49">
        <f>AVERAGE('25.10 MIRAMA-NTUNGAMO-24h'!J61)</f>
        <v>0</v>
      </c>
      <c r="K61" s="49">
        <f>AVERAGE('25.10 MIRAMA-NTUNGAMO-24h'!K61)</f>
        <v>0</v>
      </c>
      <c r="L61" s="49">
        <f>AVERAGE('25.10 MIRAMA-NTUNGAMO-24h'!L61)</f>
        <v>0</v>
      </c>
      <c r="M61" s="49">
        <f>AVERAGE('25.10 MIRAMA-NTUNGAMO-24h'!M61)</f>
        <v>4</v>
      </c>
      <c r="N61" s="49">
        <f>AVERAGE('25.10 MIRAMA-NTUNGAMO-24h'!N61)</f>
        <v>0</v>
      </c>
      <c r="O61" s="15">
        <f t="shared" si="0"/>
        <v>0</v>
      </c>
      <c r="P61" s="15">
        <f t="shared" si="1"/>
        <v>4</v>
      </c>
      <c r="R61" s="8"/>
      <c r="T61"/>
    </row>
    <row r="62" spans="2:20" ht="23.1" customHeight="1" x14ac:dyDescent="0.25">
      <c r="B62" s="23" t="s">
        <v>107</v>
      </c>
      <c r="C62" s="49">
        <f>AVERAGE('25.10 MIRAMA-NTUNGAMO-24h'!C62)</f>
        <v>0</v>
      </c>
      <c r="D62" s="49">
        <f>AVERAGE('25.10 MIRAMA-NTUNGAMO-24h'!D62)</f>
        <v>0</v>
      </c>
      <c r="E62" s="49">
        <f>AVERAGE('25.10 MIRAMA-NTUNGAMO-24h'!E62)</f>
        <v>0</v>
      </c>
      <c r="F62" s="49">
        <f>AVERAGE('25.10 MIRAMA-NTUNGAMO-24h'!F62)</f>
        <v>0</v>
      </c>
      <c r="G62" s="49">
        <f>AVERAGE('25.10 MIRAMA-NTUNGAMO-24h'!G62)</f>
        <v>0</v>
      </c>
      <c r="H62" s="49">
        <f>AVERAGE('25.10 MIRAMA-NTUNGAMO-24h'!H62)</f>
        <v>0</v>
      </c>
      <c r="I62" s="49">
        <f>AVERAGE('25.10 MIRAMA-NTUNGAMO-24h'!I62)</f>
        <v>0</v>
      </c>
      <c r="J62" s="49">
        <f>AVERAGE('25.10 MIRAMA-NTUNGAMO-24h'!J62)</f>
        <v>0</v>
      </c>
      <c r="K62" s="49">
        <f>AVERAGE('25.10 MIRAMA-NTUNGAMO-24h'!K62)</f>
        <v>0</v>
      </c>
      <c r="L62" s="49">
        <f>AVERAGE('25.10 MIRAMA-NTUNGAMO-24h'!L62)</f>
        <v>0</v>
      </c>
      <c r="M62" s="49">
        <f>AVERAGE('25.10 MIRAMA-NTUNGAMO-24h'!M62)</f>
        <v>1</v>
      </c>
      <c r="N62" s="49">
        <f>AVERAGE('25.10 MIRAMA-NTUNGAMO-24h'!N62)</f>
        <v>0</v>
      </c>
      <c r="O62" s="15">
        <f t="shared" si="0"/>
        <v>0</v>
      </c>
      <c r="P62" s="15">
        <f t="shared" si="1"/>
        <v>1</v>
      </c>
      <c r="R62" s="8"/>
      <c r="T62"/>
    </row>
    <row r="63" spans="2:20" ht="23.1" customHeight="1" x14ac:dyDescent="0.25">
      <c r="B63" s="23" t="s">
        <v>108</v>
      </c>
      <c r="C63" s="49">
        <f>AVERAGE('25.10 MIRAMA-NTUNGAMO-24h'!C63)</f>
        <v>0</v>
      </c>
      <c r="D63" s="49">
        <f>AVERAGE('25.10 MIRAMA-NTUNGAMO-24h'!D63)</f>
        <v>0</v>
      </c>
      <c r="E63" s="49">
        <f>AVERAGE('25.10 MIRAMA-NTUNGAMO-24h'!E63)</f>
        <v>0</v>
      </c>
      <c r="F63" s="49">
        <f>AVERAGE('25.10 MIRAMA-NTUNGAMO-24h'!F63)</f>
        <v>0</v>
      </c>
      <c r="G63" s="49">
        <f>AVERAGE('25.10 MIRAMA-NTUNGAMO-24h'!G63)</f>
        <v>0</v>
      </c>
      <c r="H63" s="49">
        <f>AVERAGE('25.10 MIRAMA-NTUNGAMO-24h'!H63)</f>
        <v>0</v>
      </c>
      <c r="I63" s="49">
        <f>AVERAGE('25.10 MIRAMA-NTUNGAMO-24h'!I63)</f>
        <v>0</v>
      </c>
      <c r="J63" s="49">
        <f>AVERAGE('25.10 MIRAMA-NTUNGAMO-24h'!J63)</f>
        <v>1</v>
      </c>
      <c r="K63" s="49">
        <f>AVERAGE('25.10 MIRAMA-NTUNGAMO-24h'!K63)</f>
        <v>0</v>
      </c>
      <c r="L63" s="49">
        <f>AVERAGE('25.10 MIRAMA-NTUNGAMO-24h'!L63)</f>
        <v>0</v>
      </c>
      <c r="M63" s="49">
        <f>AVERAGE('25.10 MIRAMA-NTUNGAMO-24h'!M63)</f>
        <v>5</v>
      </c>
      <c r="N63" s="49">
        <f>AVERAGE('25.10 MIRAMA-NTUNGAMO-24h'!N63)</f>
        <v>0</v>
      </c>
      <c r="O63" s="15">
        <f t="shared" si="0"/>
        <v>1</v>
      </c>
      <c r="P63" s="15">
        <f t="shared" si="1"/>
        <v>6</v>
      </c>
      <c r="R63" s="8"/>
      <c r="T63"/>
    </row>
    <row r="64" spans="2:20" ht="23.1" customHeight="1" x14ac:dyDescent="0.25">
      <c r="B64" s="23" t="s">
        <v>109</v>
      </c>
      <c r="C64" s="49">
        <f>AVERAGE('25.10 MIRAMA-NTUNGAMO-24h'!C64)</f>
        <v>0</v>
      </c>
      <c r="D64" s="49">
        <f>AVERAGE('25.10 MIRAMA-NTUNGAMO-24h'!D64)</f>
        <v>0</v>
      </c>
      <c r="E64" s="49">
        <f>AVERAGE('25.10 MIRAMA-NTUNGAMO-24h'!E64)</f>
        <v>0</v>
      </c>
      <c r="F64" s="49">
        <f>AVERAGE('25.10 MIRAMA-NTUNGAMO-24h'!F64)</f>
        <v>0</v>
      </c>
      <c r="G64" s="49">
        <f>AVERAGE('25.10 MIRAMA-NTUNGAMO-24h'!G64)</f>
        <v>0</v>
      </c>
      <c r="H64" s="49">
        <f>AVERAGE('25.10 MIRAMA-NTUNGAMO-24h'!H64)</f>
        <v>0</v>
      </c>
      <c r="I64" s="49">
        <f>AVERAGE('25.10 MIRAMA-NTUNGAMO-24h'!I64)</f>
        <v>0</v>
      </c>
      <c r="J64" s="49">
        <f>AVERAGE('25.10 MIRAMA-NTUNGAMO-24h'!J64)</f>
        <v>2</v>
      </c>
      <c r="K64" s="49">
        <f>AVERAGE('25.10 MIRAMA-NTUNGAMO-24h'!K64)</f>
        <v>0</v>
      </c>
      <c r="L64" s="49">
        <f>AVERAGE('25.10 MIRAMA-NTUNGAMO-24h'!L64)</f>
        <v>3</v>
      </c>
      <c r="M64" s="49">
        <f>AVERAGE('25.10 MIRAMA-NTUNGAMO-24h'!M64)</f>
        <v>0</v>
      </c>
      <c r="N64" s="49">
        <f>AVERAGE('25.10 MIRAMA-NTUNGAMO-24h'!N64)</f>
        <v>0</v>
      </c>
      <c r="O64" s="15">
        <f t="shared" si="0"/>
        <v>5</v>
      </c>
      <c r="P64" s="15">
        <f t="shared" si="1"/>
        <v>5</v>
      </c>
      <c r="R64" s="8"/>
      <c r="T64"/>
    </row>
    <row r="65" spans="2:20" ht="23.1" customHeight="1" x14ac:dyDescent="0.25">
      <c r="B65" s="23" t="s">
        <v>158</v>
      </c>
      <c r="C65" s="49">
        <f>AVERAGE('25.10 MIRAMA-NTUNGAMO-24h'!C65)</f>
        <v>0</v>
      </c>
      <c r="D65" s="49">
        <f>AVERAGE('25.10 MIRAMA-NTUNGAMO-24h'!D65)</f>
        <v>0</v>
      </c>
      <c r="E65" s="49">
        <f>AVERAGE('25.10 MIRAMA-NTUNGAMO-24h'!E65)</f>
        <v>0</v>
      </c>
      <c r="F65" s="49">
        <f>AVERAGE('25.10 MIRAMA-NTUNGAMO-24h'!F65)</f>
        <v>0</v>
      </c>
      <c r="G65" s="49">
        <f>AVERAGE('25.10 MIRAMA-NTUNGAMO-24h'!G65)</f>
        <v>0</v>
      </c>
      <c r="H65" s="49">
        <f>AVERAGE('25.10 MIRAMA-NTUNGAMO-24h'!H65)</f>
        <v>0</v>
      </c>
      <c r="I65" s="49">
        <f>AVERAGE('25.10 MIRAMA-NTUNGAMO-24h'!I65)</f>
        <v>0</v>
      </c>
      <c r="J65" s="49">
        <f>AVERAGE('25.10 MIRAMA-NTUNGAMO-24h'!J65)</f>
        <v>0</v>
      </c>
      <c r="K65" s="49">
        <f>AVERAGE('25.10 MIRAMA-NTUNGAMO-24h'!K65)</f>
        <v>0</v>
      </c>
      <c r="L65" s="49">
        <f>AVERAGE('25.10 MIRAMA-NTUNGAMO-24h'!L65)</f>
        <v>0</v>
      </c>
      <c r="M65" s="49">
        <f>AVERAGE('25.10 MIRAMA-NTUNGAMO-24h'!M65)</f>
        <v>0</v>
      </c>
      <c r="N65" s="49">
        <f>AVERAGE('25.10 MIRAMA-NTUNGAMO-24h'!N65)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3" t="s">
        <v>103</v>
      </c>
      <c r="C66" s="49">
        <f>AVERAGE('25.10 MIRAMA-NTUNGAMO-24h'!C66)</f>
        <v>1</v>
      </c>
      <c r="D66" s="49">
        <f>AVERAGE('25.10 MIRAMA-NTUNGAMO-24h'!D66)</f>
        <v>1</v>
      </c>
      <c r="E66" s="49">
        <f>AVERAGE('25.10 MIRAMA-NTUNGAMO-24h'!E66)</f>
        <v>0</v>
      </c>
      <c r="F66" s="49">
        <f>AVERAGE('25.10 MIRAMA-NTUNGAMO-24h'!F66)</f>
        <v>0</v>
      </c>
      <c r="G66" s="49">
        <f>AVERAGE('25.10 MIRAMA-NTUNGAMO-24h'!G66)</f>
        <v>0</v>
      </c>
      <c r="H66" s="49">
        <f>AVERAGE('25.10 MIRAMA-NTUNGAMO-24h'!H66)</f>
        <v>0</v>
      </c>
      <c r="I66" s="49">
        <f>AVERAGE('25.10 MIRAMA-NTUNGAMO-24h'!I66)</f>
        <v>0</v>
      </c>
      <c r="J66" s="49">
        <f>AVERAGE('25.10 MIRAMA-NTUNGAMO-24h'!J66)</f>
        <v>0</v>
      </c>
      <c r="K66" s="49">
        <f>AVERAGE('25.10 MIRAMA-NTUNGAMO-24h'!K66)</f>
        <v>0</v>
      </c>
      <c r="L66" s="49">
        <f>AVERAGE('25.10 MIRAMA-NTUNGAMO-24h'!L66)</f>
        <v>3</v>
      </c>
      <c r="M66" s="49">
        <f>AVERAGE('25.10 MIRAMA-NTUNGAMO-24h'!M66)</f>
        <v>2</v>
      </c>
      <c r="N66" s="49">
        <f>AVERAGE('25.10 MIRAMA-NTUNGAMO-24h'!N66)</f>
        <v>0</v>
      </c>
      <c r="O66" s="15">
        <f t="shared" si="0"/>
        <v>5</v>
      </c>
      <c r="P66" s="15">
        <f t="shared" si="1"/>
        <v>7</v>
      </c>
      <c r="R66" s="8"/>
      <c r="T66"/>
    </row>
    <row r="67" spans="2:20" ht="23.1" customHeight="1" x14ac:dyDescent="0.25">
      <c r="B67" s="23" t="s">
        <v>104</v>
      </c>
      <c r="C67" s="49">
        <f>AVERAGE('25.10 MIRAMA-NTUNGAMO-24h'!C67)</f>
        <v>0</v>
      </c>
      <c r="D67" s="49">
        <f>AVERAGE('25.10 MIRAMA-NTUNGAMO-24h'!D67)</f>
        <v>0</v>
      </c>
      <c r="E67" s="49">
        <f>AVERAGE('25.10 MIRAMA-NTUNGAMO-24h'!E67)</f>
        <v>0</v>
      </c>
      <c r="F67" s="49">
        <f>AVERAGE('25.10 MIRAMA-NTUNGAMO-24h'!F67)</f>
        <v>0</v>
      </c>
      <c r="G67" s="49">
        <f>AVERAGE('25.10 MIRAMA-NTUNGAMO-24h'!G67)</f>
        <v>0</v>
      </c>
      <c r="H67" s="49">
        <f>AVERAGE('25.10 MIRAMA-NTUNGAMO-24h'!H67)</f>
        <v>0</v>
      </c>
      <c r="I67" s="49">
        <f>AVERAGE('25.10 MIRAMA-NTUNGAMO-24h'!I67)</f>
        <v>0</v>
      </c>
      <c r="J67" s="49">
        <f>AVERAGE('25.10 MIRAMA-NTUNGAMO-24h'!J67)</f>
        <v>0</v>
      </c>
      <c r="K67" s="49">
        <f>AVERAGE('25.10 MIRAMA-NTUNGAMO-24h'!K67)</f>
        <v>1</v>
      </c>
      <c r="L67" s="49">
        <f>AVERAGE('25.10 MIRAMA-NTUNGAMO-24h'!L67)</f>
        <v>1</v>
      </c>
      <c r="M67" s="49">
        <f>AVERAGE('25.10 MIRAMA-NTUNGAMO-24h'!M67)</f>
        <v>0</v>
      </c>
      <c r="N67" s="49">
        <f>AVERAGE('25.10 MIRAMA-NTUNGAMO-24h'!N67)</f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23" t="s">
        <v>105</v>
      </c>
      <c r="C68" s="49">
        <f>AVERAGE('25.10 MIRAMA-NTUNGAMO-24h'!C68)</f>
        <v>0</v>
      </c>
      <c r="D68" s="49">
        <f>AVERAGE('25.10 MIRAMA-NTUNGAMO-24h'!D68)</f>
        <v>0</v>
      </c>
      <c r="E68" s="49">
        <f>AVERAGE('25.10 MIRAMA-NTUNGAMO-24h'!E68)</f>
        <v>0</v>
      </c>
      <c r="F68" s="49">
        <f>AVERAGE('25.10 MIRAMA-NTUNGAMO-24h'!F68)</f>
        <v>1</v>
      </c>
      <c r="G68" s="49">
        <f>AVERAGE('25.10 MIRAMA-NTUNGAMO-24h'!G68)</f>
        <v>0</v>
      </c>
      <c r="H68" s="49">
        <f>AVERAGE('25.10 MIRAMA-NTUNGAMO-24h'!H68)</f>
        <v>0</v>
      </c>
      <c r="I68" s="49">
        <f>AVERAGE('25.10 MIRAMA-NTUNGAMO-24h'!I68)</f>
        <v>1</v>
      </c>
      <c r="J68" s="49">
        <f>AVERAGE('25.10 MIRAMA-NTUNGAMO-24h'!J68)</f>
        <v>0</v>
      </c>
      <c r="K68" s="49">
        <f>AVERAGE('25.10 MIRAMA-NTUNGAMO-24h'!K68)</f>
        <v>0</v>
      </c>
      <c r="L68" s="49">
        <f>AVERAGE('25.10 MIRAMA-NTUNGAMO-24h'!L68)</f>
        <v>0</v>
      </c>
      <c r="M68" s="49">
        <f>AVERAGE('25.10 MIRAMA-NTUNGAMO-24h'!M68)</f>
        <v>4</v>
      </c>
      <c r="N68" s="49">
        <f>AVERAGE('25.10 MIRAMA-NTUNGAMO-24h'!N68)</f>
        <v>0</v>
      </c>
      <c r="O68" s="15">
        <f t="shared" si="0"/>
        <v>2</v>
      </c>
      <c r="P68" s="15">
        <f t="shared" si="1"/>
        <v>6</v>
      </c>
      <c r="R68" s="8"/>
      <c r="T68"/>
    </row>
    <row r="69" spans="2:20" ht="23.1" customHeight="1" x14ac:dyDescent="0.25">
      <c r="B69" s="23" t="s">
        <v>106</v>
      </c>
      <c r="C69" s="49">
        <f>AVERAGE('25.10 MIRAMA-NTUNGAMO-24h'!C69)</f>
        <v>0</v>
      </c>
      <c r="D69" s="49">
        <f>AVERAGE('25.10 MIRAMA-NTUNGAMO-24h'!D69)</f>
        <v>0</v>
      </c>
      <c r="E69" s="49">
        <f>AVERAGE('25.10 MIRAMA-NTUNGAMO-24h'!E69)</f>
        <v>0</v>
      </c>
      <c r="F69" s="49">
        <f>AVERAGE('25.10 MIRAMA-NTUNGAMO-24h'!F69)</f>
        <v>0</v>
      </c>
      <c r="G69" s="49">
        <f>AVERAGE('25.10 MIRAMA-NTUNGAMO-24h'!G69)</f>
        <v>0</v>
      </c>
      <c r="H69" s="49">
        <f>AVERAGE('25.10 MIRAMA-NTUNGAMO-24h'!H69)</f>
        <v>0</v>
      </c>
      <c r="I69" s="49">
        <f>AVERAGE('25.10 MIRAMA-NTUNGAMO-24h'!I69)</f>
        <v>0</v>
      </c>
      <c r="J69" s="49">
        <f>AVERAGE('25.10 MIRAMA-NTUNGAMO-24h'!J69)</f>
        <v>0</v>
      </c>
      <c r="K69" s="49">
        <f>AVERAGE('25.10 MIRAMA-NTUNGAMO-24h'!K69)</f>
        <v>0</v>
      </c>
      <c r="L69" s="49">
        <f>AVERAGE('25.10 MIRAMA-NTUNGAMO-24h'!L69)</f>
        <v>2</v>
      </c>
      <c r="M69" s="49">
        <f>AVERAGE('25.10 MIRAMA-NTUNGAMO-24h'!M69)</f>
        <v>1</v>
      </c>
      <c r="N69" s="49">
        <f>AVERAGE('25.10 MIRAMA-NTUNGAMO-24h'!N69)</f>
        <v>0</v>
      </c>
      <c r="O69" s="15">
        <f t="shared" si="0"/>
        <v>2</v>
      </c>
      <c r="P69" s="15">
        <f t="shared" si="1"/>
        <v>3</v>
      </c>
      <c r="R69" s="8"/>
      <c r="T69"/>
    </row>
    <row r="70" spans="2:20" ht="23.1" customHeight="1" x14ac:dyDescent="0.25">
      <c r="B70" s="23" t="s">
        <v>110</v>
      </c>
      <c r="C70" s="49">
        <f>AVERAGE('25.10 MIRAMA-NTUNGAMO-24h'!C70)</f>
        <v>1</v>
      </c>
      <c r="D70" s="49">
        <f>AVERAGE('25.10 MIRAMA-NTUNGAMO-24h'!D70)</f>
        <v>0</v>
      </c>
      <c r="E70" s="49">
        <f>AVERAGE('25.10 MIRAMA-NTUNGAMO-24h'!E70)</f>
        <v>0</v>
      </c>
      <c r="F70" s="49">
        <f>AVERAGE('25.10 MIRAMA-NTUNGAMO-24h'!F70)</f>
        <v>0</v>
      </c>
      <c r="G70" s="49">
        <f>AVERAGE('25.10 MIRAMA-NTUNGAMO-24h'!G70)</f>
        <v>0</v>
      </c>
      <c r="H70" s="49">
        <f>AVERAGE('25.10 MIRAMA-NTUNGAMO-24h'!H70)</f>
        <v>0</v>
      </c>
      <c r="I70" s="49">
        <f>AVERAGE('25.10 MIRAMA-NTUNGAMO-24h'!I70)</f>
        <v>0</v>
      </c>
      <c r="J70" s="49">
        <f>AVERAGE('25.10 MIRAMA-NTUNGAMO-24h'!J70)</f>
        <v>0</v>
      </c>
      <c r="K70" s="49">
        <f>AVERAGE('25.10 MIRAMA-NTUNGAMO-24h'!K70)</f>
        <v>5</v>
      </c>
      <c r="L70" s="49">
        <f>AVERAGE('25.10 MIRAMA-NTUNGAMO-24h'!L70)</f>
        <v>2</v>
      </c>
      <c r="M70" s="49">
        <f>AVERAGE('25.10 MIRAMA-NTUNGAMO-24h'!M70)</f>
        <v>0</v>
      </c>
      <c r="N70" s="49">
        <f>AVERAGE('25.10 MIRAMA-NTUNGAMO-24h'!N70)</f>
        <v>0</v>
      </c>
      <c r="O70" s="15">
        <f t="shared" si="0"/>
        <v>8</v>
      </c>
      <c r="P70" s="15">
        <f t="shared" si="1"/>
        <v>8</v>
      </c>
      <c r="R70" s="8"/>
      <c r="T70"/>
    </row>
    <row r="71" spans="2:20" ht="23.1" customHeight="1" x14ac:dyDescent="0.25">
      <c r="B71" s="23" t="s">
        <v>111</v>
      </c>
      <c r="C71" s="49">
        <f>AVERAGE('25.10 MIRAMA-NTUNGAMO-24h'!C71)</f>
        <v>0</v>
      </c>
      <c r="D71" s="49">
        <f>AVERAGE('25.10 MIRAMA-NTUNGAMO-24h'!D71)</f>
        <v>0</v>
      </c>
      <c r="E71" s="49">
        <f>AVERAGE('25.10 MIRAMA-NTUNGAMO-24h'!E71)</f>
        <v>0</v>
      </c>
      <c r="F71" s="49">
        <f>AVERAGE('25.10 MIRAMA-NTUNGAMO-24h'!F71)</f>
        <v>0</v>
      </c>
      <c r="G71" s="49">
        <f>AVERAGE('25.10 MIRAMA-NTUNGAMO-24h'!G71)</f>
        <v>0</v>
      </c>
      <c r="H71" s="49">
        <f>AVERAGE('25.10 MIRAMA-NTUNGAMO-24h'!H71)</f>
        <v>0</v>
      </c>
      <c r="I71" s="49">
        <f>AVERAGE('25.10 MIRAMA-NTUNGAMO-24h'!I71)</f>
        <v>0</v>
      </c>
      <c r="J71" s="49">
        <f>AVERAGE('25.10 MIRAMA-NTUNGAMO-24h'!J71)</f>
        <v>0</v>
      </c>
      <c r="K71" s="49">
        <f>AVERAGE('25.10 MIRAMA-NTUNGAMO-24h'!K71)</f>
        <v>0</v>
      </c>
      <c r="L71" s="49">
        <f>AVERAGE('25.10 MIRAMA-NTUNGAMO-24h'!L71)</f>
        <v>1</v>
      </c>
      <c r="M71" s="49">
        <f>AVERAGE('25.10 MIRAMA-NTUNGAMO-24h'!M71)</f>
        <v>0</v>
      </c>
      <c r="N71" s="49">
        <f>AVERAGE('25.10 MIRAMA-NTUNGAMO-24h'!N71)</f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23" t="s">
        <v>112</v>
      </c>
      <c r="C72" s="49">
        <f>AVERAGE('25.10 MIRAMA-NTUNGAMO-24h'!C72)</f>
        <v>0</v>
      </c>
      <c r="D72" s="49">
        <f>AVERAGE('25.10 MIRAMA-NTUNGAMO-24h'!D72)</f>
        <v>1</v>
      </c>
      <c r="E72" s="49">
        <f>AVERAGE('25.10 MIRAMA-NTUNGAMO-24h'!E72)</f>
        <v>0</v>
      </c>
      <c r="F72" s="49">
        <f>AVERAGE('25.10 MIRAMA-NTUNGAMO-24h'!F72)</f>
        <v>0</v>
      </c>
      <c r="G72" s="49">
        <f>AVERAGE('25.10 MIRAMA-NTUNGAMO-24h'!G72)</f>
        <v>0</v>
      </c>
      <c r="H72" s="49">
        <f>AVERAGE('25.10 MIRAMA-NTUNGAMO-24h'!H72)</f>
        <v>0</v>
      </c>
      <c r="I72" s="49">
        <f>AVERAGE('25.10 MIRAMA-NTUNGAMO-24h'!I72)</f>
        <v>0</v>
      </c>
      <c r="J72" s="49">
        <f>AVERAGE('25.10 MIRAMA-NTUNGAMO-24h'!J72)</f>
        <v>2</v>
      </c>
      <c r="K72" s="49">
        <f>AVERAGE('25.10 MIRAMA-NTUNGAMO-24h'!K72)</f>
        <v>1</v>
      </c>
      <c r="L72" s="49">
        <f>AVERAGE('25.10 MIRAMA-NTUNGAMO-24h'!L72)</f>
        <v>1</v>
      </c>
      <c r="M72" s="49">
        <f>AVERAGE('25.10 MIRAMA-NTUNGAMO-24h'!M72)</f>
        <v>0</v>
      </c>
      <c r="N72" s="49">
        <f>AVERAGE('25.10 MIRAMA-NTUNGAMO-24h'!N72)</f>
        <v>0</v>
      </c>
      <c r="O72" s="15">
        <f t="shared" si="0"/>
        <v>5</v>
      </c>
      <c r="P72" s="15">
        <f t="shared" si="1"/>
        <v>5</v>
      </c>
      <c r="R72" s="8"/>
      <c r="T72"/>
    </row>
    <row r="73" spans="2:20" ht="23.1" customHeight="1" x14ac:dyDescent="0.25">
      <c r="B73" s="23" t="s">
        <v>113</v>
      </c>
      <c r="C73" s="49">
        <f>AVERAGE('25.10 MIRAMA-NTUNGAMO-24h'!C73)</f>
        <v>0</v>
      </c>
      <c r="D73" s="49">
        <f>AVERAGE('25.10 MIRAMA-NTUNGAMO-24h'!D73)</f>
        <v>0</v>
      </c>
      <c r="E73" s="49">
        <f>AVERAGE('25.10 MIRAMA-NTUNGAMO-24h'!E73)</f>
        <v>0</v>
      </c>
      <c r="F73" s="49">
        <f>AVERAGE('25.10 MIRAMA-NTUNGAMO-24h'!F73)</f>
        <v>0</v>
      </c>
      <c r="G73" s="49">
        <f>AVERAGE('25.10 MIRAMA-NTUNGAMO-24h'!G73)</f>
        <v>0</v>
      </c>
      <c r="H73" s="49">
        <f>AVERAGE('25.10 MIRAMA-NTUNGAMO-24h'!H73)</f>
        <v>0</v>
      </c>
      <c r="I73" s="49">
        <f>AVERAGE('25.10 MIRAMA-NTUNGAMO-24h'!I73)</f>
        <v>0</v>
      </c>
      <c r="J73" s="49">
        <f>AVERAGE('25.10 MIRAMA-NTUNGAMO-24h'!J73)</f>
        <v>0</v>
      </c>
      <c r="K73" s="49">
        <f>AVERAGE('25.10 MIRAMA-NTUNGAMO-24h'!K73)</f>
        <v>0</v>
      </c>
      <c r="L73" s="49">
        <f>AVERAGE('25.10 MIRAMA-NTUNGAMO-24h'!L73)</f>
        <v>0</v>
      </c>
      <c r="M73" s="49">
        <f>AVERAGE('25.10 MIRAMA-NTUNGAMO-24h'!M73)</f>
        <v>0</v>
      </c>
      <c r="N73" s="49">
        <f>AVERAGE('25.10 MIRAMA-NTUNGAMO-24h'!N73)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AVERAGE('25.10 MIRAMA-NTUNGAMO-24h'!C74)</f>
        <v>0</v>
      </c>
      <c r="D74" s="49">
        <f>AVERAGE('25.10 MIRAMA-NTUNGAMO-24h'!D74)</f>
        <v>0</v>
      </c>
      <c r="E74" s="49">
        <f>AVERAGE('25.10 MIRAMA-NTUNGAMO-24h'!E74)</f>
        <v>0</v>
      </c>
      <c r="F74" s="49">
        <f>AVERAGE('25.10 MIRAMA-NTUNGAMO-24h'!F74)</f>
        <v>0</v>
      </c>
      <c r="G74" s="49">
        <f>AVERAGE('25.10 MIRAMA-NTUNGAMO-24h'!G74)</f>
        <v>0</v>
      </c>
      <c r="H74" s="49">
        <f>AVERAGE('25.10 MIRAMA-NTUNGAMO-24h'!H74)</f>
        <v>0</v>
      </c>
      <c r="I74" s="49">
        <f>AVERAGE('25.10 MIRAMA-NTUNGAMO-24h'!I74)</f>
        <v>0</v>
      </c>
      <c r="J74" s="49">
        <f>AVERAGE('25.10 MIRAMA-NTUNGAMO-24h'!J74)</f>
        <v>0</v>
      </c>
      <c r="K74" s="49">
        <f>AVERAGE('25.10 MIRAMA-NTUNGAMO-24h'!K74)</f>
        <v>0</v>
      </c>
      <c r="L74" s="49">
        <f>AVERAGE('25.10 MIRAMA-NTUNGAMO-24h'!L74)</f>
        <v>3</v>
      </c>
      <c r="M74" s="49">
        <f>AVERAGE('25.10 MIRAMA-NTUNGAMO-24h'!M74)</f>
        <v>0</v>
      </c>
      <c r="N74" s="49">
        <f>AVERAGE('25.10 MIRAMA-NTUNGAMO-24h'!N74)</f>
        <v>0</v>
      </c>
      <c r="O74" s="15">
        <f t="shared" ref="O74:O105" si="35">SUM(C74:L74,N74)</f>
        <v>3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23" t="s">
        <v>115</v>
      </c>
      <c r="C75" s="49">
        <f>AVERAGE('25.10 MIRAMA-NTUNGAMO-24h'!C75)</f>
        <v>0</v>
      </c>
      <c r="D75" s="49">
        <f>AVERAGE('25.10 MIRAMA-NTUNGAMO-24h'!D75)</f>
        <v>0</v>
      </c>
      <c r="E75" s="49">
        <f>AVERAGE('25.10 MIRAMA-NTUNGAMO-24h'!E75)</f>
        <v>0</v>
      </c>
      <c r="F75" s="49">
        <f>AVERAGE('25.10 MIRAMA-NTUNGAMO-24h'!F75)</f>
        <v>0</v>
      </c>
      <c r="G75" s="49">
        <f>AVERAGE('25.10 MIRAMA-NTUNGAMO-24h'!G75)</f>
        <v>0</v>
      </c>
      <c r="H75" s="49">
        <f>AVERAGE('25.10 MIRAMA-NTUNGAMO-24h'!H75)</f>
        <v>0</v>
      </c>
      <c r="I75" s="49">
        <f>AVERAGE('25.10 MIRAMA-NTUNGAMO-24h'!I75)</f>
        <v>0</v>
      </c>
      <c r="J75" s="49">
        <f>AVERAGE('25.10 MIRAMA-NTUNGAMO-24h'!J75)</f>
        <v>1</v>
      </c>
      <c r="K75" s="49">
        <f>AVERAGE('25.10 MIRAMA-NTUNGAMO-24h'!K75)</f>
        <v>2</v>
      </c>
      <c r="L75" s="49">
        <f>AVERAGE('25.10 MIRAMA-NTUNGAMO-24h'!L75)</f>
        <v>5</v>
      </c>
      <c r="M75" s="49">
        <f>AVERAGE('25.10 MIRAMA-NTUNGAMO-24h'!M75)</f>
        <v>0</v>
      </c>
      <c r="N75" s="49">
        <f>AVERAGE('25.10 MIRAMA-NTUNGAMO-24h'!N75)</f>
        <v>0</v>
      </c>
      <c r="O75" s="15">
        <f t="shared" si="35"/>
        <v>8</v>
      </c>
      <c r="P75" s="15">
        <f t="shared" si="36"/>
        <v>8</v>
      </c>
      <c r="R75" s="8"/>
      <c r="T75"/>
    </row>
    <row r="76" spans="2:20" ht="23.1" customHeight="1" x14ac:dyDescent="0.25">
      <c r="B76" s="23" t="s">
        <v>116</v>
      </c>
      <c r="C76" s="49">
        <f>AVERAGE('25.10 MIRAMA-NTUNGAMO-24h'!C76)</f>
        <v>0</v>
      </c>
      <c r="D76" s="49">
        <f>AVERAGE('25.10 MIRAMA-NTUNGAMO-24h'!D76)</f>
        <v>0</v>
      </c>
      <c r="E76" s="49">
        <f>AVERAGE('25.10 MIRAMA-NTUNGAMO-24h'!E76)</f>
        <v>0</v>
      </c>
      <c r="F76" s="49">
        <f>AVERAGE('25.10 MIRAMA-NTUNGAMO-24h'!F76)</f>
        <v>0</v>
      </c>
      <c r="G76" s="49">
        <f>AVERAGE('25.10 MIRAMA-NTUNGAMO-24h'!G76)</f>
        <v>0</v>
      </c>
      <c r="H76" s="49">
        <f>AVERAGE('25.10 MIRAMA-NTUNGAMO-24h'!H76)</f>
        <v>0</v>
      </c>
      <c r="I76" s="49">
        <f>AVERAGE('25.10 MIRAMA-NTUNGAMO-24h'!I76)</f>
        <v>0</v>
      </c>
      <c r="J76" s="49">
        <f>AVERAGE('25.10 MIRAMA-NTUNGAMO-24h'!J76)</f>
        <v>0</v>
      </c>
      <c r="K76" s="49">
        <f>AVERAGE('25.10 MIRAMA-NTUNGAMO-24h'!K76)</f>
        <v>0</v>
      </c>
      <c r="L76" s="49">
        <f>AVERAGE('25.10 MIRAMA-NTUNGAMO-24h'!L76)</f>
        <v>0</v>
      </c>
      <c r="M76" s="49">
        <f>AVERAGE('25.10 MIRAMA-NTUNGAMO-24h'!M76)</f>
        <v>0</v>
      </c>
      <c r="N76" s="49">
        <f>AVERAGE('25.10 MIRAMA-NTUNGAMO-24h'!N76)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AVERAGE('25.10 MIRAMA-NTUNGAMO-24h'!C77)</f>
        <v>0</v>
      </c>
      <c r="D77" s="49">
        <f>AVERAGE('25.10 MIRAMA-NTUNGAMO-24h'!D77)</f>
        <v>0</v>
      </c>
      <c r="E77" s="49">
        <f>AVERAGE('25.10 MIRAMA-NTUNGAMO-24h'!E77)</f>
        <v>0</v>
      </c>
      <c r="F77" s="49">
        <f>AVERAGE('25.10 MIRAMA-NTUNGAMO-24h'!F77)</f>
        <v>0</v>
      </c>
      <c r="G77" s="49">
        <f>AVERAGE('25.10 MIRAMA-NTUNGAMO-24h'!G77)</f>
        <v>0</v>
      </c>
      <c r="H77" s="49">
        <f>AVERAGE('25.10 MIRAMA-NTUNGAMO-24h'!H77)</f>
        <v>0</v>
      </c>
      <c r="I77" s="49">
        <f>AVERAGE('25.10 MIRAMA-NTUNGAMO-24h'!I77)</f>
        <v>0</v>
      </c>
      <c r="J77" s="49">
        <f>AVERAGE('25.10 MIRAMA-NTUNGAMO-24h'!J77)</f>
        <v>0</v>
      </c>
      <c r="K77" s="49">
        <f>AVERAGE('25.10 MIRAMA-NTUNGAMO-24h'!K77)</f>
        <v>1</v>
      </c>
      <c r="L77" s="49">
        <f>AVERAGE('25.10 MIRAMA-NTUNGAMO-24h'!L77)</f>
        <v>0</v>
      </c>
      <c r="M77" s="49">
        <f>AVERAGE('25.10 MIRAMA-NTUNGAMO-24h'!M77)</f>
        <v>0</v>
      </c>
      <c r="N77" s="49">
        <f>AVERAGE('25.10 MIRAMA-NTUNGAMO-24h'!N77)</f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24" t="s">
        <v>118</v>
      </c>
      <c r="C78" s="49">
        <f>AVERAGE('25.10 MIRAMA-NTUNGAMO-24h'!C78)</f>
        <v>0</v>
      </c>
      <c r="D78" s="49">
        <f>AVERAGE('25.10 MIRAMA-NTUNGAMO-24h'!D78)</f>
        <v>0</v>
      </c>
      <c r="E78" s="49">
        <f>AVERAGE('25.10 MIRAMA-NTUNGAMO-24h'!E78)</f>
        <v>0</v>
      </c>
      <c r="F78" s="49">
        <f>AVERAGE('25.10 MIRAMA-NTUNGAMO-24h'!F78)</f>
        <v>0</v>
      </c>
      <c r="G78" s="49">
        <f>AVERAGE('25.10 MIRAMA-NTUNGAMO-24h'!G78)</f>
        <v>0</v>
      </c>
      <c r="H78" s="49">
        <f>AVERAGE('25.10 MIRAMA-NTUNGAMO-24h'!H78)</f>
        <v>0</v>
      </c>
      <c r="I78" s="49">
        <f>AVERAGE('25.10 MIRAMA-NTUNGAMO-24h'!I78)</f>
        <v>0</v>
      </c>
      <c r="J78" s="49">
        <f>AVERAGE('25.10 MIRAMA-NTUNGAMO-24h'!J78)</f>
        <v>0</v>
      </c>
      <c r="K78" s="49">
        <f>AVERAGE('25.10 MIRAMA-NTUNGAMO-24h'!K78)</f>
        <v>0</v>
      </c>
      <c r="L78" s="49">
        <f>AVERAGE('25.10 MIRAMA-NTUNGAMO-24h'!L78)</f>
        <v>0</v>
      </c>
      <c r="M78" s="49">
        <f>AVERAGE('25.10 MIRAMA-NTUNGAMO-24h'!M78)</f>
        <v>0</v>
      </c>
      <c r="N78" s="49">
        <f>AVERAGE('25.10 MIRAMA-NTUNGAMO-24h'!N78)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AVERAGE('25.10 MIRAMA-NTUNGAMO-24h'!C79)</f>
        <v>0</v>
      </c>
      <c r="D79" s="49">
        <f>AVERAGE('25.10 MIRAMA-NTUNGAMO-24h'!D79)</f>
        <v>0</v>
      </c>
      <c r="E79" s="49">
        <f>AVERAGE('25.10 MIRAMA-NTUNGAMO-24h'!E79)</f>
        <v>0</v>
      </c>
      <c r="F79" s="49">
        <f>AVERAGE('25.10 MIRAMA-NTUNGAMO-24h'!F79)</f>
        <v>0</v>
      </c>
      <c r="G79" s="49">
        <f>AVERAGE('25.10 MIRAMA-NTUNGAMO-24h'!G79)</f>
        <v>0</v>
      </c>
      <c r="H79" s="49">
        <f>AVERAGE('25.10 MIRAMA-NTUNGAMO-24h'!H79)</f>
        <v>0</v>
      </c>
      <c r="I79" s="49">
        <f>AVERAGE('25.10 MIRAMA-NTUNGAMO-24h'!I79)</f>
        <v>0</v>
      </c>
      <c r="J79" s="49">
        <f>AVERAGE('25.10 MIRAMA-NTUNGAMO-24h'!J79)</f>
        <v>0</v>
      </c>
      <c r="K79" s="49">
        <f>AVERAGE('25.10 MIRAMA-NTUNGAMO-24h'!K79)</f>
        <v>0</v>
      </c>
      <c r="L79" s="49">
        <f>AVERAGE('25.10 MIRAMA-NTUNGAMO-24h'!L79)</f>
        <v>0</v>
      </c>
      <c r="M79" s="49">
        <f>AVERAGE('25.10 MIRAMA-NTUNGAMO-24h'!M79)</f>
        <v>0</v>
      </c>
      <c r="N79" s="49">
        <f>AVERAGE('25.10 MIRAMA-NTUNGAMO-24h'!N79)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AVERAGE('25.10 MIRAMA-NTUNGAMO-24h'!C80)</f>
        <v>0</v>
      </c>
      <c r="D80" s="49">
        <f>AVERAGE('25.10 MIRAMA-NTUNGAMO-24h'!D80)</f>
        <v>0</v>
      </c>
      <c r="E80" s="49">
        <f>AVERAGE('25.10 MIRAMA-NTUNGAMO-24h'!E80)</f>
        <v>0</v>
      </c>
      <c r="F80" s="49">
        <f>AVERAGE('25.10 MIRAMA-NTUNGAMO-24h'!F80)</f>
        <v>0</v>
      </c>
      <c r="G80" s="49">
        <f>AVERAGE('25.10 MIRAMA-NTUNGAMO-24h'!G80)</f>
        <v>0</v>
      </c>
      <c r="H80" s="49">
        <f>AVERAGE('25.10 MIRAMA-NTUNGAMO-24h'!H80)</f>
        <v>0</v>
      </c>
      <c r="I80" s="49">
        <f>AVERAGE('25.10 MIRAMA-NTUNGAMO-24h'!I80)</f>
        <v>0</v>
      </c>
      <c r="J80" s="49">
        <f>AVERAGE('25.10 MIRAMA-NTUNGAMO-24h'!J80)</f>
        <v>0</v>
      </c>
      <c r="K80" s="49">
        <f>AVERAGE('25.10 MIRAMA-NTUNGAMO-24h'!K80)</f>
        <v>0</v>
      </c>
      <c r="L80" s="49">
        <f>AVERAGE('25.10 MIRAMA-NTUNGAMO-24h'!L80)</f>
        <v>2</v>
      </c>
      <c r="M80" s="49">
        <f>AVERAGE('25.10 MIRAMA-NTUNGAMO-24h'!M80)</f>
        <v>0</v>
      </c>
      <c r="N80" s="49">
        <f>AVERAGE('25.10 MIRAMA-NTUNGAMO-24h'!N80)</f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AVERAGE('25.10 MIRAMA-NTUNGAMO-24h'!C81)</f>
        <v>0</v>
      </c>
      <c r="D81" s="49">
        <f>AVERAGE('25.10 MIRAMA-NTUNGAMO-24h'!D81)</f>
        <v>0</v>
      </c>
      <c r="E81" s="49">
        <f>AVERAGE('25.10 MIRAMA-NTUNGAMO-24h'!E81)</f>
        <v>0</v>
      </c>
      <c r="F81" s="49">
        <f>AVERAGE('25.10 MIRAMA-NTUNGAMO-24h'!F81)</f>
        <v>0</v>
      </c>
      <c r="G81" s="49">
        <f>AVERAGE('25.10 MIRAMA-NTUNGAMO-24h'!G81)</f>
        <v>0</v>
      </c>
      <c r="H81" s="49">
        <f>AVERAGE('25.10 MIRAMA-NTUNGAMO-24h'!H81)</f>
        <v>0</v>
      </c>
      <c r="I81" s="49">
        <f>AVERAGE('25.10 MIRAMA-NTUNGAMO-24h'!I81)</f>
        <v>0</v>
      </c>
      <c r="J81" s="49">
        <f>AVERAGE('25.10 MIRAMA-NTUNGAMO-24h'!J81)</f>
        <v>1</v>
      </c>
      <c r="K81" s="49">
        <f>AVERAGE('25.10 MIRAMA-NTUNGAMO-24h'!K81)</f>
        <v>0</v>
      </c>
      <c r="L81" s="49">
        <f>AVERAGE('25.10 MIRAMA-NTUNGAMO-24h'!L81)</f>
        <v>0</v>
      </c>
      <c r="M81" s="49">
        <f>AVERAGE('25.10 MIRAMA-NTUNGAMO-24h'!M81)</f>
        <v>0</v>
      </c>
      <c r="N81" s="49">
        <f>AVERAGE('25.10 MIRAMA-NTUNGAMO-24h'!N81)</f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24" t="s">
        <v>122</v>
      </c>
      <c r="C82" s="49">
        <f>AVERAGE('25.10 MIRAMA-NTUNGAMO-24h'!C82)</f>
        <v>0</v>
      </c>
      <c r="D82" s="49">
        <f>AVERAGE('25.10 MIRAMA-NTUNGAMO-24h'!D82)</f>
        <v>0</v>
      </c>
      <c r="E82" s="49">
        <f>AVERAGE('25.10 MIRAMA-NTUNGAMO-24h'!E82)</f>
        <v>0</v>
      </c>
      <c r="F82" s="49">
        <f>AVERAGE('25.10 MIRAMA-NTUNGAMO-24h'!F82)</f>
        <v>0</v>
      </c>
      <c r="G82" s="49">
        <f>AVERAGE('25.10 MIRAMA-NTUNGAMO-24h'!G82)</f>
        <v>0</v>
      </c>
      <c r="H82" s="49">
        <f>AVERAGE('25.10 MIRAMA-NTUNGAMO-24h'!H82)</f>
        <v>0</v>
      </c>
      <c r="I82" s="49">
        <f>AVERAGE('25.10 MIRAMA-NTUNGAMO-24h'!I82)</f>
        <v>0</v>
      </c>
      <c r="J82" s="49">
        <f>AVERAGE('25.10 MIRAMA-NTUNGAMO-24h'!J82)</f>
        <v>0</v>
      </c>
      <c r="K82" s="49">
        <f>AVERAGE('25.10 MIRAMA-NTUNGAMO-24h'!K82)</f>
        <v>0</v>
      </c>
      <c r="L82" s="49">
        <f>AVERAGE('25.10 MIRAMA-NTUNGAMO-24h'!L82)</f>
        <v>0</v>
      </c>
      <c r="M82" s="49">
        <f>AVERAGE('25.10 MIRAMA-NTUNGAMO-24h'!M82)</f>
        <v>0</v>
      </c>
      <c r="N82" s="49">
        <f>AVERAGE('25.10 MIRAMA-NTUNGAMO-24h'!N82)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AVERAGE('25.10 MIRAMA-NTUNGAMO-24h'!C83)</f>
        <v>0</v>
      </c>
      <c r="D83" s="49">
        <f>AVERAGE('25.10 MIRAMA-NTUNGAMO-24h'!D83)</f>
        <v>0</v>
      </c>
      <c r="E83" s="49">
        <f>AVERAGE('25.10 MIRAMA-NTUNGAMO-24h'!E83)</f>
        <v>0</v>
      </c>
      <c r="F83" s="49">
        <f>AVERAGE('25.10 MIRAMA-NTUNGAMO-24h'!F83)</f>
        <v>0</v>
      </c>
      <c r="G83" s="49">
        <f>AVERAGE('25.10 MIRAMA-NTUNGAMO-24h'!G83)</f>
        <v>0</v>
      </c>
      <c r="H83" s="49">
        <f>AVERAGE('25.10 MIRAMA-NTUNGAMO-24h'!H83)</f>
        <v>0</v>
      </c>
      <c r="I83" s="49">
        <f>AVERAGE('25.10 MIRAMA-NTUNGAMO-24h'!I83)</f>
        <v>0</v>
      </c>
      <c r="J83" s="49">
        <f>AVERAGE('25.10 MIRAMA-NTUNGAMO-24h'!J83)</f>
        <v>0</v>
      </c>
      <c r="K83" s="49">
        <f>AVERAGE('25.10 MIRAMA-NTUNGAMO-24h'!K83)</f>
        <v>0</v>
      </c>
      <c r="L83" s="49">
        <f>AVERAGE('25.10 MIRAMA-NTUNGAMO-24h'!L83)</f>
        <v>2</v>
      </c>
      <c r="M83" s="49">
        <f>AVERAGE('25.10 MIRAMA-NTUNGAMO-24h'!M83)</f>
        <v>0</v>
      </c>
      <c r="N83" s="49">
        <f>AVERAGE('25.10 MIRAMA-NTUNGAMO-24h'!N83)</f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AVERAGE('25.10 MIRAMA-NTUNGAMO-24h'!C84)</f>
        <v>0</v>
      </c>
      <c r="D84" s="49">
        <f>AVERAGE('25.10 MIRAMA-NTUNGAMO-24h'!D84)</f>
        <v>0</v>
      </c>
      <c r="E84" s="49">
        <f>AVERAGE('25.10 MIRAMA-NTUNGAMO-24h'!E84)</f>
        <v>0</v>
      </c>
      <c r="F84" s="49">
        <f>AVERAGE('25.10 MIRAMA-NTUNGAMO-24h'!F84)</f>
        <v>0</v>
      </c>
      <c r="G84" s="49">
        <f>AVERAGE('25.10 MIRAMA-NTUNGAMO-24h'!G84)</f>
        <v>0</v>
      </c>
      <c r="H84" s="49">
        <f>AVERAGE('25.10 MIRAMA-NTUNGAMO-24h'!H84)</f>
        <v>0</v>
      </c>
      <c r="I84" s="49">
        <f>AVERAGE('25.10 MIRAMA-NTUNGAMO-24h'!I84)</f>
        <v>0</v>
      </c>
      <c r="J84" s="49">
        <f>AVERAGE('25.10 MIRAMA-NTUNGAMO-24h'!J84)</f>
        <v>0</v>
      </c>
      <c r="K84" s="49">
        <f>AVERAGE('25.10 MIRAMA-NTUNGAMO-24h'!K84)</f>
        <v>0</v>
      </c>
      <c r="L84" s="49">
        <f>AVERAGE('25.10 MIRAMA-NTUNGAMO-24h'!L84)</f>
        <v>0</v>
      </c>
      <c r="M84" s="49">
        <f>AVERAGE('25.10 MIRAMA-NTUNGAMO-24h'!M84)</f>
        <v>0</v>
      </c>
      <c r="N84" s="49">
        <f>AVERAGE('25.10 MIRAMA-NTUNGAMO-24h'!N84)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AVERAGE('25.10 MIRAMA-NTUNGAMO-24h'!C85)</f>
        <v>0</v>
      </c>
      <c r="D85" s="49">
        <f>AVERAGE('25.10 MIRAMA-NTUNGAMO-24h'!D85)</f>
        <v>0</v>
      </c>
      <c r="E85" s="49">
        <f>AVERAGE('25.10 MIRAMA-NTUNGAMO-24h'!E85)</f>
        <v>0</v>
      </c>
      <c r="F85" s="49">
        <f>AVERAGE('25.10 MIRAMA-NTUNGAMO-24h'!F85)</f>
        <v>0</v>
      </c>
      <c r="G85" s="49">
        <f>AVERAGE('25.10 MIRAMA-NTUNGAMO-24h'!G85)</f>
        <v>0</v>
      </c>
      <c r="H85" s="49">
        <f>AVERAGE('25.10 MIRAMA-NTUNGAMO-24h'!H85)</f>
        <v>0</v>
      </c>
      <c r="I85" s="49">
        <f>AVERAGE('25.10 MIRAMA-NTUNGAMO-24h'!I85)</f>
        <v>0</v>
      </c>
      <c r="J85" s="49">
        <f>AVERAGE('25.10 MIRAMA-NTUNGAMO-24h'!J85)</f>
        <v>0</v>
      </c>
      <c r="K85" s="49">
        <f>AVERAGE('25.10 MIRAMA-NTUNGAMO-24h'!K85)</f>
        <v>0</v>
      </c>
      <c r="L85" s="49">
        <f>AVERAGE('25.10 MIRAMA-NTUNGAMO-24h'!L85)</f>
        <v>0</v>
      </c>
      <c r="M85" s="49">
        <f>AVERAGE('25.10 MIRAMA-NTUNGAMO-24h'!M85)</f>
        <v>0</v>
      </c>
      <c r="N85" s="49">
        <f>AVERAGE('25.10 MIRAMA-NTUNGAMO-24h'!N85)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AVERAGE('25.10 MIRAMA-NTUNGAMO-24h'!C86)</f>
        <v>0</v>
      </c>
      <c r="D86" s="49">
        <f>AVERAGE('25.10 MIRAMA-NTUNGAMO-24h'!D86)</f>
        <v>0</v>
      </c>
      <c r="E86" s="49">
        <f>AVERAGE('25.10 MIRAMA-NTUNGAMO-24h'!E86)</f>
        <v>0</v>
      </c>
      <c r="F86" s="49">
        <f>AVERAGE('25.10 MIRAMA-NTUNGAMO-24h'!F86)</f>
        <v>0</v>
      </c>
      <c r="G86" s="49">
        <f>AVERAGE('25.10 MIRAMA-NTUNGAMO-24h'!G86)</f>
        <v>0</v>
      </c>
      <c r="H86" s="49">
        <f>AVERAGE('25.10 MIRAMA-NTUNGAMO-24h'!H86)</f>
        <v>0</v>
      </c>
      <c r="I86" s="49">
        <f>AVERAGE('25.10 MIRAMA-NTUNGAMO-24h'!I86)</f>
        <v>0</v>
      </c>
      <c r="J86" s="49">
        <f>AVERAGE('25.10 MIRAMA-NTUNGAMO-24h'!J86)</f>
        <v>0</v>
      </c>
      <c r="K86" s="49">
        <f>AVERAGE('25.10 MIRAMA-NTUNGAMO-24h'!K86)</f>
        <v>0</v>
      </c>
      <c r="L86" s="49">
        <f>AVERAGE('25.10 MIRAMA-NTUNGAMO-24h'!L86)</f>
        <v>0</v>
      </c>
      <c r="M86" s="49">
        <f>AVERAGE('25.10 MIRAMA-NTUNGAMO-24h'!M86)</f>
        <v>0</v>
      </c>
      <c r="N86" s="49">
        <f>AVERAGE('25.10 MIRAMA-NTUNGAMO-24h'!N86)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AVERAGE('25.10 MIRAMA-NTUNGAMO-24h'!C87)</f>
        <v>0</v>
      </c>
      <c r="D87" s="49">
        <f>AVERAGE('25.10 MIRAMA-NTUNGAMO-24h'!D87)</f>
        <v>0</v>
      </c>
      <c r="E87" s="49">
        <f>AVERAGE('25.10 MIRAMA-NTUNGAMO-24h'!E87)</f>
        <v>0</v>
      </c>
      <c r="F87" s="49">
        <f>AVERAGE('25.10 MIRAMA-NTUNGAMO-24h'!F87)</f>
        <v>0</v>
      </c>
      <c r="G87" s="49">
        <f>AVERAGE('25.10 MIRAMA-NTUNGAMO-24h'!G87)</f>
        <v>0</v>
      </c>
      <c r="H87" s="49">
        <f>AVERAGE('25.10 MIRAMA-NTUNGAMO-24h'!H87)</f>
        <v>0</v>
      </c>
      <c r="I87" s="49">
        <f>AVERAGE('25.10 MIRAMA-NTUNGAMO-24h'!I87)</f>
        <v>0</v>
      </c>
      <c r="J87" s="49">
        <f>AVERAGE('25.10 MIRAMA-NTUNGAMO-24h'!J87)</f>
        <v>0</v>
      </c>
      <c r="K87" s="49">
        <f>AVERAGE('25.10 MIRAMA-NTUNGAMO-24h'!K87)</f>
        <v>0</v>
      </c>
      <c r="L87" s="49">
        <f>AVERAGE('25.10 MIRAMA-NTUNGAMO-24h'!L87)</f>
        <v>0</v>
      </c>
      <c r="M87" s="49">
        <f>AVERAGE('25.10 MIRAMA-NTUNGAMO-24h'!M87)</f>
        <v>0</v>
      </c>
      <c r="N87" s="49">
        <f>AVERAGE('25.10 MIRAMA-NTUNGAMO-24h'!N87)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AVERAGE('25.10 MIRAMA-NTUNGAMO-24h'!C88)</f>
        <v>0</v>
      </c>
      <c r="D88" s="49">
        <f>AVERAGE('25.10 MIRAMA-NTUNGAMO-24h'!D88)</f>
        <v>0</v>
      </c>
      <c r="E88" s="49">
        <f>AVERAGE('25.10 MIRAMA-NTUNGAMO-24h'!E88)</f>
        <v>0</v>
      </c>
      <c r="F88" s="49">
        <f>AVERAGE('25.10 MIRAMA-NTUNGAMO-24h'!F88)</f>
        <v>0</v>
      </c>
      <c r="G88" s="49">
        <f>AVERAGE('25.10 MIRAMA-NTUNGAMO-24h'!G88)</f>
        <v>0</v>
      </c>
      <c r="H88" s="49">
        <f>AVERAGE('25.10 MIRAMA-NTUNGAMO-24h'!H88)</f>
        <v>0</v>
      </c>
      <c r="I88" s="49">
        <f>AVERAGE('25.10 MIRAMA-NTUNGAMO-24h'!I88)</f>
        <v>0</v>
      </c>
      <c r="J88" s="49">
        <f>AVERAGE('25.10 MIRAMA-NTUNGAMO-24h'!J88)</f>
        <v>0</v>
      </c>
      <c r="K88" s="49">
        <f>AVERAGE('25.10 MIRAMA-NTUNGAMO-24h'!K88)</f>
        <v>0</v>
      </c>
      <c r="L88" s="49">
        <f>AVERAGE('25.10 MIRAMA-NTUNGAMO-24h'!L88)</f>
        <v>0</v>
      </c>
      <c r="M88" s="49">
        <f>AVERAGE('25.10 MIRAMA-NTUNGAMO-24h'!M88)</f>
        <v>0</v>
      </c>
      <c r="N88" s="49">
        <f>AVERAGE('25.10 MIRAMA-NTUNGAMO-24h'!N88)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AVERAGE('25.10 MIRAMA-NTUNGAMO-24h'!C89)</f>
        <v>0</v>
      </c>
      <c r="D89" s="49">
        <f>AVERAGE('25.10 MIRAMA-NTUNGAMO-24h'!D89)</f>
        <v>0</v>
      </c>
      <c r="E89" s="49">
        <f>AVERAGE('25.10 MIRAMA-NTUNGAMO-24h'!E89)</f>
        <v>0</v>
      </c>
      <c r="F89" s="49">
        <f>AVERAGE('25.10 MIRAMA-NTUNGAMO-24h'!F89)</f>
        <v>0</v>
      </c>
      <c r="G89" s="49">
        <f>AVERAGE('25.10 MIRAMA-NTUNGAMO-24h'!G89)</f>
        <v>0</v>
      </c>
      <c r="H89" s="49">
        <f>AVERAGE('25.10 MIRAMA-NTUNGAMO-24h'!H89)</f>
        <v>0</v>
      </c>
      <c r="I89" s="49">
        <f>AVERAGE('25.10 MIRAMA-NTUNGAMO-24h'!I89)</f>
        <v>0</v>
      </c>
      <c r="J89" s="49">
        <f>AVERAGE('25.10 MIRAMA-NTUNGAMO-24h'!J89)</f>
        <v>0</v>
      </c>
      <c r="K89" s="49">
        <f>AVERAGE('25.10 MIRAMA-NTUNGAMO-24h'!K89)</f>
        <v>0</v>
      </c>
      <c r="L89" s="49">
        <f>AVERAGE('25.10 MIRAMA-NTUNGAMO-24h'!L89)</f>
        <v>0</v>
      </c>
      <c r="M89" s="49">
        <f>AVERAGE('25.10 MIRAMA-NTUNGAMO-24h'!M89)</f>
        <v>0</v>
      </c>
      <c r="N89" s="49">
        <f>AVERAGE('25.10 MIRAMA-NTUNGAMO-24h'!N89)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AVERAGE('25.10 MIRAMA-NTUNGAMO-24h'!C90)</f>
        <v>0</v>
      </c>
      <c r="D90" s="49">
        <f>AVERAGE('25.10 MIRAMA-NTUNGAMO-24h'!D90)</f>
        <v>0</v>
      </c>
      <c r="E90" s="49">
        <f>AVERAGE('25.10 MIRAMA-NTUNGAMO-24h'!E90)</f>
        <v>0</v>
      </c>
      <c r="F90" s="49">
        <f>AVERAGE('25.10 MIRAMA-NTUNGAMO-24h'!F90)</f>
        <v>0</v>
      </c>
      <c r="G90" s="49">
        <f>AVERAGE('25.10 MIRAMA-NTUNGAMO-24h'!G90)</f>
        <v>0</v>
      </c>
      <c r="H90" s="49">
        <f>AVERAGE('25.10 MIRAMA-NTUNGAMO-24h'!H90)</f>
        <v>0</v>
      </c>
      <c r="I90" s="49">
        <f>AVERAGE('25.10 MIRAMA-NTUNGAMO-24h'!I90)</f>
        <v>0</v>
      </c>
      <c r="J90" s="49">
        <f>AVERAGE('25.10 MIRAMA-NTUNGAMO-24h'!J90)</f>
        <v>0</v>
      </c>
      <c r="K90" s="49">
        <f>AVERAGE('25.10 MIRAMA-NTUNGAMO-24h'!K90)</f>
        <v>0</v>
      </c>
      <c r="L90" s="49">
        <f>AVERAGE('25.10 MIRAMA-NTUNGAMO-24h'!L90)</f>
        <v>0</v>
      </c>
      <c r="M90" s="49">
        <f>AVERAGE('25.10 MIRAMA-NTUNGAMO-24h'!M90)</f>
        <v>0</v>
      </c>
      <c r="N90" s="49">
        <f>AVERAGE('25.10 MIRAMA-NTUNGAMO-24h'!N90)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AVERAGE('25.10 MIRAMA-NTUNGAMO-24h'!C91)</f>
        <v>0</v>
      </c>
      <c r="D91" s="49">
        <f>AVERAGE('25.10 MIRAMA-NTUNGAMO-24h'!D91)</f>
        <v>0</v>
      </c>
      <c r="E91" s="49">
        <f>AVERAGE('25.10 MIRAMA-NTUNGAMO-24h'!E91)</f>
        <v>0</v>
      </c>
      <c r="F91" s="49">
        <f>AVERAGE('25.10 MIRAMA-NTUNGAMO-24h'!F91)</f>
        <v>0</v>
      </c>
      <c r="G91" s="49">
        <f>AVERAGE('25.10 MIRAMA-NTUNGAMO-24h'!G91)</f>
        <v>0</v>
      </c>
      <c r="H91" s="49">
        <f>AVERAGE('25.10 MIRAMA-NTUNGAMO-24h'!H91)</f>
        <v>0</v>
      </c>
      <c r="I91" s="49">
        <f>AVERAGE('25.10 MIRAMA-NTUNGAMO-24h'!I91)</f>
        <v>0</v>
      </c>
      <c r="J91" s="49">
        <f>AVERAGE('25.10 MIRAMA-NTUNGAMO-24h'!J91)</f>
        <v>0</v>
      </c>
      <c r="K91" s="49">
        <f>AVERAGE('25.10 MIRAMA-NTUNGAMO-24h'!K91)</f>
        <v>0</v>
      </c>
      <c r="L91" s="49">
        <f>AVERAGE('25.10 MIRAMA-NTUNGAMO-24h'!L91)</f>
        <v>0</v>
      </c>
      <c r="M91" s="49">
        <f>AVERAGE('25.10 MIRAMA-NTUNGAMO-24h'!M91)</f>
        <v>0</v>
      </c>
      <c r="N91" s="49">
        <f>AVERAGE('25.10 MIRAMA-NTUNGAMO-24h'!N91)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AVERAGE('25.10 MIRAMA-NTUNGAMO-24h'!C92)</f>
        <v>0</v>
      </c>
      <c r="D92" s="49">
        <f>AVERAGE('25.10 MIRAMA-NTUNGAMO-24h'!D92)</f>
        <v>0</v>
      </c>
      <c r="E92" s="49">
        <f>AVERAGE('25.10 MIRAMA-NTUNGAMO-24h'!E92)</f>
        <v>0</v>
      </c>
      <c r="F92" s="49">
        <f>AVERAGE('25.10 MIRAMA-NTUNGAMO-24h'!F92)</f>
        <v>0</v>
      </c>
      <c r="G92" s="49">
        <f>AVERAGE('25.10 MIRAMA-NTUNGAMO-24h'!G92)</f>
        <v>0</v>
      </c>
      <c r="H92" s="49">
        <f>AVERAGE('25.10 MIRAMA-NTUNGAMO-24h'!H92)</f>
        <v>0</v>
      </c>
      <c r="I92" s="49">
        <f>AVERAGE('25.10 MIRAMA-NTUNGAMO-24h'!I92)</f>
        <v>0</v>
      </c>
      <c r="J92" s="49">
        <f>AVERAGE('25.10 MIRAMA-NTUNGAMO-24h'!J92)</f>
        <v>0</v>
      </c>
      <c r="K92" s="49">
        <f>AVERAGE('25.10 MIRAMA-NTUNGAMO-24h'!K92)</f>
        <v>0</v>
      </c>
      <c r="L92" s="49">
        <f>AVERAGE('25.10 MIRAMA-NTUNGAMO-24h'!L92)</f>
        <v>0</v>
      </c>
      <c r="M92" s="49">
        <f>AVERAGE('25.10 MIRAMA-NTUNGAMO-24h'!M92)</f>
        <v>0</v>
      </c>
      <c r="N92" s="49">
        <f>AVERAGE('25.10 MIRAMA-NTUNGAMO-24h'!N92)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AVERAGE('25.10 MIRAMA-NTUNGAMO-24h'!C93)</f>
        <v>0</v>
      </c>
      <c r="D93" s="49">
        <f>AVERAGE('25.10 MIRAMA-NTUNGAMO-24h'!D93)</f>
        <v>0</v>
      </c>
      <c r="E93" s="49">
        <f>AVERAGE('25.10 MIRAMA-NTUNGAMO-24h'!E93)</f>
        <v>0</v>
      </c>
      <c r="F93" s="49">
        <f>AVERAGE('25.10 MIRAMA-NTUNGAMO-24h'!F93)</f>
        <v>0</v>
      </c>
      <c r="G93" s="49">
        <f>AVERAGE('25.10 MIRAMA-NTUNGAMO-24h'!G93)</f>
        <v>0</v>
      </c>
      <c r="H93" s="49">
        <f>AVERAGE('25.10 MIRAMA-NTUNGAMO-24h'!H93)</f>
        <v>0</v>
      </c>
      <c r="I93" s="49">
        <f>AVERAGE('25.10 MIRAMA-NTUNGAMO-24h'!I93)</f>
        <v>0</v>
      </c>
      <c r="J93" s="49">
        <f>AVERAGE('25.10 MIRAMA-NTUNGAMO-24h'!J93)</f>
        <v>0</v>
      </c>
      <c r="K93" s="49">
        <f>AVERAGE('25.10 MIRAMA-NTUNGAMO-24h'!K93)</f>
        <v>0</v>
      </c>
      <c r="L93" s="49">
        <f>AVERAGE('25.10 MIRAMA-NTUNGAMO-24h'!L93)</f>
        <v>0</v>
      </c>
      <c r="M93" s="49">
        <f>AVERAGE('25.10 MIRAMA-NTUNGAMO-24h'!M93)</f>
        <v>0</v>
      </c>
      <c r="N93" s="49">
        <f>AVERAGE('25.10 MIRAMA-NTUNGAMO-24h'!N93)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AVERAGE('25.10 MIRAMA-NTUNGAMO-24h'!C94)</f>
        <v>0</v>
      </c>
      <c r="D94" s="49">
        <f>AVERAGE('25.10 MIRAMA-NTUNGAMO-24h'!D94)</f>
        <v>0</v>
      </c>
      <c r="E94" s="49">
        <f>AVERAGE('25.10 MIRAMA-NTUNGAMO-24h'!E94)</f>
        <v>0</v>
      </c>
      <c r="F94" s="49">
        <f>AVERAGE('25.10 MIRAMA-NTUNGAMO-24h'!F94)</f>
        <v>0</v>
      </c>
      <c r="G94" s="49">
        <f>AVERAGE('25.10 MIRAMA-NTUNGAMO-24h'!G94)</f>
        <v>0</v>
      </c>
      <c r="H94" s="49">
        <f>AVERAGE('25.10 MIRAMA-NTUNGAMO-24h'!H94)</f>
        <v>0</v>
      </c>
      <c r="I94" s="49">
        <f>AVERAGE('25.10 MIRAMA-NTUNGAMO-24h'!I94)</f>
        <v>0</v>
      </c>
      <c r="J94" s="49">
        <f>AVERAGE('25.10 MIRAMA-NTUNGAMO-24h'!J94)</f>
        <v>0</v>
      </c>
      <c r="K94" s="49">
        <f>AVERAGE('25.10 MIRAMA-NTUNGAMO-24h'!K94)</f>
        <v>0</v>
      </c>
      <c r="L94" s="49">
        <f>AVERAGE('25.10 MIRAMA-NTUNGAMO-24h'!L94)</f>
        <v>0</v>
      </c>
      <c r="M94" s="49">
        <f>AVERAGE('25.10 MIRAMA-NTUNGAMO-24h'!M94)</f>
        <v>0</v>
      </c>
      <c r="N94" s="49">
        <f>AVERAGE('25.10 MIRAMA-NTUNGAMO-24h'!N94)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AVERAGE('25.10 MIRAMA-NTUNGAMO-24h'!C95)</f>
        <v>0</v>
      </c>
      <c r="D95" s="49">
        <f>AVERAGE('25.10 MIRAMA-NTUNGAMO-24h'!D95)</f>
        <v>0</v>
      </c>
      <c r="E95" s="49">
        <f>AVERAGE('25.10 MIRAMA-NTUNGAMO-24h'!E95)</f>
        <v>0</v>
      </c>
      <c r="F95" s="49">
        <f>AVERAGE('25.10 MIRAMA-NTUNGAMO-24h'!F95)</f>
        <v>0</v>
      </c>
      <c r="G95" s="49">
        <f>AVERAGE('25.10 MIRAMA-NTUNGAMO-24h'!G95)</f>
        <v>0</v>
      </c>
      <c r="H95" s="49">
        <f>AVERAGE('25.10 MIRAMA-NTUNGAMO-24h'!H95)</f>
        <v>0</v>
      </c>
      <c r="I95" s="49">
        <f>AVERAGE('25.10 MIRAMA-NTUNGAMO-24h'!I95)</f>
        <v>0</v>
      </c>
      <c r="J95" s="49">
        <f>AVERAGE('25.10 MIRAMA-NTUNGAMO-24h'!J95)</f>
        <v>0</v>
      </c>
      <c r="K95" s="49">
        <f>AVERAGE('25.10 MIRAMA-NTUNGAMO-24h'!K95)</f>
        <v>0</v>
      </c>
      <c r="L95" s="49">
        <f>AVERAGE('25.10 MIRAMA-NTUNGAMO-24h'!L95)</f>
        <v>0</v>
      </c>
      <c r="M95" s="49">
        <f>AVERAGE('25.10 MIRAMA-NTUNGAMO-24h'!M95)</f>
        <v>0</v>
      </c>
      <c r="N95" s="49">
        <f>AVERAGE('25.10 MIRAMA-NTUNGAMO-24h'!N95)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AVERAGE('25.10 MIRAMA-NTUNGAMO-24h'!C96)</f>
        <v>0</v>
      </c>
      <c r="D96" s="49">
        <f>AVERAGE('25.10 MIRAMA-NTUNGAMO-24h'!D96)</f>
        <v>0</v>
      </c>
      <c r="E96" s="49">
        <f>AVERAGE('25.10 MIRAMA-NTUNGAMO-24h'!E96)</f>
        <v>0</v>
      </c>
      <c r="F96" s="49">
        <f>AVERAGE('25.10 MIRAMA-NTUNGAMO-24h'!F96)</f>
        <v>0</v>
      </c>
      <c r="G96" s="49">
        <f>AVERAGE('25.10 MIRAMA-NTUNGAMO-24h'!G96)</f>
        <v>0</v>
      </c>
      <c r="H96" s="49">
        <f>AVERAGE('25.10 MIRAMA-NTUNGAMO-24h'!H96)</f>
        <v>0</v>
      </c>
      <c r="I96" s="49">
        <f>AVERAGE('25.10 MIRAMA-NTUNGAMO-24h'!I96)</f>
        <v>0</v>
      </c>
      <c r="J96" s="49">
        <f>AVERAGE('25.10 MIRAMA-NTUNGAMO-24h'!J96)</f>
        <v>0</v>
      </c>
      <c r="K96" s="49">
        <f>AVERAGE('25.10 MIRAMA-NTUNGAMO-24h'!K96)</f>
        <v>0</v>
      </c>
      <c r="L96" s="49">
        <f>AVERAGE('25.10 MIRAMA-NTUNGAMO-24h'!L96)</f>
        <v>2</v>
      </c>
      <c r="M96" s="49">
        <f>AVERAGE('25.10 MIRAMA-NTUNGAMO-24h'!M96)</f>
        <v>0</v>
      </c>
      <c r="N96" s="49">
        <f>AVERAGE('25.10 MIRAMA-NTUNGAMO-24h'!N96)</f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AVERAGE('25.10 MIRAMA-NTUNGAMO-24h'!C97)</f>
        <v>0</v>
      </c>
      <c r="D97" s="49">
        <f>AVERAGE('25.10 MIRAMA-NTUNGAMO-24h'!D97)</f>
        <v>0</v>
      </c>
      <c r="E97" s="49">
        <f>AVERAGE('25.10 MIRAMA-NTUNGAMO-24h'!E97)</f>
        <v>0</v>
      </c>
      <c r="F97" s="49">
        <f>AVERAGE('25.10 MIRAMA-NTUNGAMO-24h'!F97)</f>
        <v>0</v>
      </c>
      <c r="G97" s="49">
        <f>AVERAGE('25.10 MIRAMA-NTUNGAMO-24h'!G97)</f>
        <v>0</v>
      </c>
      <c r="H97" s="49">
        <f>AVERAGE('25.10 MIRAMA-NTUNGAMO-24h'!H97)</f>
        <v>0</v>
      </c>
      <c r="I97" s="49">
        <f>AVERAGE('25.10 MIRAMA-NTUNGAMO-24h'!I97)</f>
        <v>0</v>
      </c>
      <c r="J97" s="49">
        <f>AVERAGE('25.10 MIRAMA-NTUNGAMO-24h'!J97)</f>
        <v>0</v>
      </c>
      <c r="K97" s="49">
        <f>AVERAGE('25.10 MIRAMA-NTUNGAMO-24h'!K97)</f>
        <v>0</v>
      </c>
      <c r="L97" s="49">
        <f>AVERAGE('25.10 MIRAMA-NTUNGAMO-24h'!L97)</f>
        <v>0</v>
      </c>
      <c r="M97" s="49">
        <f>AVERAGE('25.10 MIRAMA-NTUNGAMO-24h'!M97)</f>
        <v>1</v>
      </c>
      <c r="N97" s="49">
        <f>AVERAGE('25.10 MIRAMA-NTUNGAMO-24h'!N97)</f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AVERAGE('25.10 MIRAMA-NTUNGAMO-24h'!C98)</f>
        <v>1</v>
      </c>
      <c r="D98" s="49">
        <f>AVERAGE('25.10 MIRAMA-NTUNGAMO-24h'!D98)</f>
        <v>0</v>
      </c>
      <c r="E98" s="49">
        <f>AVERAGE('25.10 MIRAMA-NTUNGAMO-24h'!E98)</f>
        <v>0</v>
      </c>
      <c r="F98" s="49">
        <f>AVERAGE('25.10 MIRAMA-NTUNGAMO-24h'!F98)</f>
        <v>0</v>
      </c>
      <c r="G98" s="49">
        <f>AVERAGE('25.10 MIRAMA-NTUNGAMO-24h'!G98)</f>
        <v>0</v>
      </c>
      <c r="H98" s="49">
        <f>AVERAGE('25.10 MIRAMA-NTUNGAMO-24h'!H98)</f>
        <v>0</v>
      </c>
      <c r="I98" s="49">
        <f>AVERAGE('25.10 MIRAMA-NTUNGAMO-24h'!I98)</f>
        <v>0</v>
      </c>
      <c r="J98" s="49">
        <f>AVERAGE('25.10 MIRAMA-NTUNGAMO-24h'!J98)</f>
        <v>0</v>
      </c>
      <c r="K98" s="49">
        <f>AVERAGE('25.10 MIRAMA-NTUNGAMO-24h'!K98)</f>
        <v>1</v>
      </c>
      <c r="L98" s="49">
        <f>AVERAGE('25.10 MIRAMA-NTUNGAMO-24h'!L98)</f>
        <v>2</v>
      </c>
      <c r="M98" s="49">
        <f>AVERAGE('25.10 MIRAMA-NTUNGAMO-24h'!M98)</f>
        <v>3</v>
      </c>
      <c r="N98" s="49">
        <f>AVERAGE('25.10 MIRAMA-NTUNGAMO-24h'!N98)</f>
        <v>0</v>
      </c>
      <c r="O98" s="15">
        <f t="shared" si="35"/>
        <v>4</v>
      </c>
      <c r="P98" s="15">
        <f t="shared" si="36"/>
        <v>7</v>
      </c>
      <c r="R98" s="8"/>
      <c r="T98"/>
    </row>
    <row r="99" spans="2:20" ht="23.1" customHeight="1" x14ac:dyDescent="0.25">
      <c r="B99" s="23" t="s">
        <v>139</v>
      </c>
      <c r="C99" s="49">
        <f>AVERAGE('25.10 MIRAMA-NTUNGAMO-24h'!C99)</f>
        <v>3</v>
      </c>
      <c r="D99" s="49">
        <f>AVERAGE('25.10 MIRAMA-NTUNGAMO-24h'!D99)</f>
        <v>0</v>
      </c>
      <c r="E99" s="49">
        <f>AVERAGE('25.10 MIRAMA-NTUNGAMO-24h'!E99)</f>
        <v>0</v>
      </c>
      <c r="F99" s="49">
        <f>AVERAGE('25.10 MIRAMA-NTUNGAMO-24h'!F99)</f>
        <v>0</v>
      </c>
      <c r="G99" s="49">
        <f>AVERAGE('25.10 MIRAMA-NTUNGAMO-24h'!G99)</f>
        <v>0</v>
      </c>
      <c r="H99" s="49">
        <f>AVERAGE('25.10 MIRAMA-NTUNGAMO-24h'!H99)</f>
        <v>0</v>
      </c>
      <c r="I99" s="49">
        <f>AVERAGE('25.10 MIRAMA-NTUNGAMO-24h'!I99)</f>
        <v>0</v>
      </c>
      <c r="J99" s="49">
        <f>AVERAGE('25.10 MIRAMA-NTUNGAMO-24h'!J99)</f>
        <v>0</v>
      </c>
      <c r="K99" s="49">
        <f>AVERAGE('25.10 MIRAMA-NTUNGAMO-24h'!K99)</f>
        <v>3</v>
      </c>
      <c r="L99" s="49">
        <f>AVERAGE('25.10 MIRAMA-NTUNGAMO-24h'!L99)</f>
        <v>1</v>
      </c>
      <c r="M99" s="49">
        <f>AVERAGE('25.10 MIRAMA-NTUNGAMO-24h'!M99)</f>
        <v>0</v>
      </c>
      <c r="N99" s="49">
        <f>AVERAGE('25.10 MIRAMA-NTUNGAMO-24h'!N99)</f>
        <v>0</v>
      </c>
      <c r="O99" s="15">
        <f t="shared" si="35"/>
        <v>7</v>
      </c>
      <c r="P99" s="15">
        <f t="shared" si="36"/>
        <v>7</v>
      </c>
      <c r="R99" s="8"/>
      <c r="T99"/>
    </row>
    <row r="100" spans="2:20" ht="23.1" customHeight="1" x14ac:dyDescent="0.25">
      <c r="B100" s="25" t="s">
        <v>140</v>
      </c>
      <c r="C100" s="49">
        <f>AVERAGE('25.10 MIRAMA-NTUNGAMO-24h'!C100)</f>
        <v>0</v>
      </c>
      <c r="D100" s="49">
        <f>AVERAGE('25.10 MIRAMA-NTUNGAMO-24h'!D100)</f>
        <v>0</v>
      </c>
      <c r="E100" s="49">
        <f>AVERAGE('25.10 MIRAMA-NTUNGAMO-24h'!E100)</f>
        <v>0</v>
      </c>
      <c r="F100" s="49">
        <f>AVERAGE('25.10 MIRAMA-NTUNGAMO-24h'!F100)</f>
        <v>0</v>
      </c>
      <c r="G100" s="49">
        <f>AVERAGE('25.10 MIRAMA-NTUNGAMO-24h'!G100)</f>
        <v>0</v>
      </c>
      <c r="H100" s="49">
        <f>AVERAGE('25.10 MIRAMA-NTUNGAMO-24h'!H100)</f>
        <v>0</v>
      </c>
      <c r="I100" s="49">
        <f>AVERAGE('25.10 MIRAMA-NTUNGAMO-24h'!I100)</f>
        <v>0</v>
      </c>
      <c r="J100" s="49">
        <f>AVERAGE('25.10 MIRAMA-NTUNGAMO-24h'!J100)</f>
        <v>0</v>
      </c>
      <c r="K100" s="49">
        <f>AVERAGE('25.10 MIRAMA-NTUNGAMO-24h'!K100)</f>
        <v>1</v>
      </c>
      <c r="L100" s="49">
        <f>AVERAGE('25.10 MIRAMA-NTUNGAMO-24h'!L100)</f>
        <v>4</v>
      </c>
      <c r="M100" s="49">
        <f>AVERAGE('25.10 MIRAMA-NTUNGAMO-24h'!M100)</f>
        <v>5</v>
      </c>
      <c r="N100" s="49">
        <f>AVERAGE('25.10 MIRAMA-NTUNGAMO-24h'!N100)</f>
        <v>0</v>
      </c>
      <c r="O100" s="15">
        <f t="shared" si="35"/>
        <v>5</v>
      </c>
      <c r="P100" s="15">
        <f t="shared" si="36"/>
        <v>10</v>
      </c>
      <c r="R100" s="8"/>
      <c r="T100"/>
    </row>
    <row r="101" spans="2:20" ht="23.1" customHeight="1" x14ac:dyDescent="0.25">
      <c r="B101" s="23" t="s">
        <v>141</v>
      </c>
      <c r="C101" s="49">
        <f>AVERAGE('25.10 MIRAMA-NTUNGAMO-24h'!C101)</f>
        <v>1</v>
      </c>
      <c r="D101" s="49">
        <f>AVERAGE('25.10 MIRAMA-NTUNGAMO-24h'!D101)</f>
        <v>1</v>
      </c>
      <c r="E101" s="49">
        <f>AVERAGE('25.10 MIRAMA-NTUNGAMO-24h'!E101)</f>
        <v>0</v>
      </c>
      <c r="F101" s="49">
        <f>AVERAGE('25.10 MIRAMA-NTUNGAMO-24h'!F101)</f>
        <v>1</v>
      </c>
      <c r="G101" s="49">
        <f>AVERAGE('25.10 MIRAMA-NTUNGAMO-24h'!G101)</f>
        <v>0</v>
      </c>
      <c r="H101" s="49">
        <f>AVERAGE('25.10 MIRAMA-NTUNGAMO-24h'!H101)</f>
        <v>0</v>
      </c>
      <c r="I101" s="49">
        <f>AVERAGE('25.10 MIRAMA-NTUNGAMO-24h'!I101)</f>
        <v>0</v>
      </c>
      <c r="J101" s="49">
        <f>AVERAGE('25.10 MIRAMA-NTUNGAMO-24h'!J101)</f>
        <v>0</v>
      </c>
      <c r="K101" s="49">
        <f>AVERAGE('25.10 MIRAMA-NTUNGAMO-24h'!K101)</f>
        <v>0</v>
      </c>
      <c r="L101" s="49">
        <f>AVERAGE('25.10 MIRAMA-NTUNGAMO-24h'!L101)</f>
        <v>2</v>
      </c>
      <c r="M101" s="49">
        <f>AVERAGE('25.10 MIRAMA-NTUNGAMO-24h'!M101)</f>
        <v>3</v>
      </c>
      <c r="N101" s="49">
        <f>AVERAGE('25.10 MIRAMA-NTUNGAMO-24h'!N101)</f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AVERAGE('25.10 MIRAMA-NTUNGAMO-24h'!C102)</f>
        <v>1</v>
      </c>
      <c r="D102" s="49">
        <f>AVERAGE('25.10 MIRAMA-NTUNGAMO-24h'!D102)</f>
        <v>0</v>
      </c>
      <c r="E102" s="49">
        <f>AVERAGE('25.10 MIRAMA-NTUNGAMO-24h'!E102)</f>
        <v>0</v>
      </c>
      <c r="F102" s="49">
        <f>AVERAGE('25.10 MIRAMA-NTUNGAMO-24h'!F102)</f>
        <v>1</v>
      </c>
      <c r="G102" s="49">
        <f>AVERAGE('25.10 MIRAMA-NTUNGAMO-24h'!G102)</f>
        <v>0</v>
      </c>
      <c r="H102" s="49">
        <f>AVERAGE('25.10 MIRAMA-NTUNGAMO-24h'!H102)</f>
        <v>0</v>
      </c>
      <c r="I102" s="49">
        <f>AVERAGE('25.10 MIRAMA-NTUNGAMO-24h'!I102)</f>
        <v>0</v>
      </c>
      <c r="J102" s="49">
        <f>AVERAGE('25.10 MIRAMA-NTUNGAMO-24h'!J102)</f>
        <v>0</v>
      </c>
      <c r="K102" s="49">
        <f>AVERAGE('25.10 MIRAMA-NTUNGAMO-24h'!K102)</f>
        <v>6</v>
      </c>
      <c r="L102" s="49">
        <f>AVERAGE('25.10 MIRAMA-NTUNGAMO-24h'!L102)</f>
        <v>4</v>
      </c>
      <c r="M102" s="49">
        <f>AVERAGE('25.10 MIRAMA-NTUNGAMO-24h'!M102)</f>
        <v>4</v>
      </c>
      <c r="N102" s="49">
        <f>AVERAGE('25.10 MIRAMA-NTUNGAMO-24h'!N102)</f>
        <v>0</v>
      </c>
      <c r="O102" s="15">
        <f t="shared" si="35"/>
        <v>12</v>
      </c>
      <c r="P102" s="15">
        <f t="shared" si="36"/>
        <v>16</v>
      </c>
      <c r="R102" s="8"/>
      <c r="T102"/>
    </row>
    <row r="103" spans="2:20" ht="23.1" customHeight="1" x14ac:dyDescent="0.25">
      <c r="B103" s="23" t="s">
        <v>143</v>
      </c>
      <c r="C103" s="49">
        <f>AVERAGE('25.10 MIRAMA-NTUNGAMO-24h'!C103)</f>
        <v>0</v>
      </c>
      <c r="D103" s="49">
        <f>AVERAGE('25.10 MIRAMA-NTUNGAMO-24h'!D103)</f>
        <v>0</v>
      </c>
      <c r="E103" s="49">
        <f>AVERAGE('25.10 MIRAMA-NTUNGAMO-24h'!E103)</f>
        <v>0</v>
      </c>
      <c r="F103" s="49">
        <f>AVERAGE('25.10 MIRAMA-NTUNGAMO-24h'!F103)</f>
        <v>0</v>
      </c>
      <c r="G103" s="49">
        <f>AVERAGE('25.10 MIRAMA-NTUNGAMO-24h'!G103)</f>
        <v>0</v>
      </c>
      <c r="H103" s="49">
        <f>AVERAGE('25.10 MIRAMA-NTUNGAMO-24h'!H103)</f>
        <v>0</v>
      </c>
      <c r="I103" s="49">
        <f>AVERAGE('25.10 MIRAMA-NTUNGAMO-24h'!I103)</f>
        <v>0</v>
      </c>
      <c r="J103" s="49">
        <f>AVERAGE('25.10 MIRAMA-NTUNGAMO-24h'!J103)</f>
        <v>1</v>
      </c>
      <c r="K103" s="49">
        <f>AVERAGE('25.10 MIRAMA-NTUNGAMO-24h'!K103)</f>
        <v>3</v>
      </c>
      <c r="L103" s="49">
        <f>AVERAGE('25.10 MIRAMA-NTUNGAMO-24h'!L103)</f>
        <v>5</v>
      </c>
      <c r="M103" s="49">
        <f>AVERAGE('25.10 MIRAMA-NTUNGAMO-24h'!M103)</f>
        <v>6</v>
      </c>
      <c r="N103" s="49">
        <f>AVERAGE('25.10 MIRAMA-NTUNGAMO-24h'!N103)</f>
        <v>0</v>
      </c>
      <c r="O103" s="15">
        <f t="shared" si="35"/>
        <v>9</v>
      </c>
      <c r="P103" s="15">
        <f t="shared" si="36"/>
        <v>15</v>
      </c>
      <c r="R103" s="8"/>
      <c r="T103"/>
    </row>
    <row r="104" spans="2:20" ht="23.1" customHeight="1" x14ac:dyDescent="0.25">
      <c r="B104" s="25" t="s">
        <v>144</v>
      </c>
      <c r="C104" s="49">
        <f>AVERAGE('25.10 MIRAMA-NTUNGAMO-24h'!C104)</f>
        <v>2</v>
      </c>
      <c r="D104" s="49">
        <f>AVERAGE('25.10 MIRAMA-NTUNGAMO-24h'!D104)</f>
        <v>0</v>
      </c>
      <c r="E104" s="49">
        <f>AVERAGE('25.10 MIRAMA-NTUNGAMO-24h'!E104)</f>
        <v>0</v>
      </c>
      <c r="F104" s="49">
        <f>AVERAGE('25.10 MIRAMA-NTUNGAMO-24h'!F104)</f>
        <v>0</v>
      </c>
      <c r="G104" s="49">
        <f>AVERAGE('25.10 MIRAMA-NTUNGAMO-24h'!G104)</f>
        <v>0</v>
      </c>
      <c r="H104" s="49">
        <f>AVERAGE('25.10 MIRAMA-NTUNGAMO-24h'!H104)</f>
        <v>0</v>
      </c>
      <c r="I104" s="49">
        <f>AVERAGE('25.10 MIRAMA-NTUNGAMO-24h'!I104)</f>
        <v>0</v>
      </c>
      <c r="J104" s="49">
        <f>AVERAGE('25.10 MIRAMA-NTUNGAMO-24h'!J104)</f>
        <v>2</v>
      </c>
      <c r="K104" s="49">
        <f>AVERAGE('25.10 MIRAMA-NTUNGAMO-24h'!K104)</f>
        <v>5</v>
      </c>
      <c r="L104" s="49">
        <f>AVERAGE('25.10 MIRAMA-NTUNGAMO-24h'!L104)</f>
        <v>9</v>
      </c>
      <c r="M104" s="49">
        <f>AVERAGE('25.10 MIRAMA-NTUNGAMO-24h'!M104)</f>
        <v>3</v>
      </c>
      <c r="N104" s="49">
        <f>AVERAGE('25.10 MIRAMA-NTUNGAMO-24h'!N104)</f>
        <v>0</v>
      </c>
      <c r="O104" s="15">
        <f t="shared" si="35"/>
        <v>18</v>
      </c>
      <c r="P104" s="15">
        <f t="shared" si="36"/>
        <v>21</v>
      </c>
      <c r="R104" s="8"/>
      <c r="T104"/>
    </row>
    <row r="105" spans="2:20" ht="23.1" customHeight="1" x14ac:dyDescent="0.25">
      <c r="B105" s="23" t="s">
        <v>145</v>
      </c>
      <c r="C105" s="49">
        <f>AVERAGE('25.10 MIRAMA-NTUNGAMO-24h'!C105)</f>
        <v>1</v>
      </c>
      <c r="D105" s="49">
        <f>AVERAGE('25.10 MIRAMA-NTUNGAMO-24h'!D105)</f>
        <v>2</v>
      </c>
      <c r="E105" s="49">
        <f>AVERAGE('25.10 MIRAMA-NTUNGAMO-24h'!E105)</f>
        <v>1</v>
      </c>
      <c r="F105" s="49">
        <f>AVERAGE('25.10 MIRAMA-NTUNGAMO-24h'!F105)</f>
        <v>0</v>
      </c>
      <c r="G105" s="49">
        <f>AVERAGE('25.10 MIRAMA-NTUNGAMO-24h'!G105)</f>
        <v>0</v>
      </c>
      <c r="H105" s="49">
        <f>AVERAGE('25.10 MIRAMA-NTUNGAMO-24h'!H105)</f>
        <v>0</v>
      </c>
      <c r="I105" s="49">
        <f>AVERAGE('25.10 MIRAMA-NTUNGAMO-24h'!I105)</f>
        <v>3</v>
      </c>
      <c r="J105" s="49">
        <f>AVERAGE('25.10 MIRAMA-NTUNGAMO-24h'!J105)</f>
        <v>1</v>
      </c>
      <c r="K105" s="49">
        <f>AVERAGE('25.10 MIRAMA-NTUNGAMO-24h'!K105)</f>
        <v>4</v>
      </c>
      <c r="L105" s="49">
        <f>AVERAGE('25.10 MIRAMA-NTUNGAMO-24h'!L105)</f>
        <v>7</v>
      </c>
      <c r="M105" s="49">
        <f>AVERAGE('25.10 MIRAMA-NTUNGAMO-24h'!M105)</f>
        <v>5</v>
      </c>
      <c r="N105" s="49">
        <f>AVERAGE('25.10 MIRAMA-NTUNGAMO-24h'!N105)</f>
        <v>0</v>
      </c>
      <c r="O105" s="15">
        <f t="shared" si="35"/>
        <v>19</v>
      </c>
      <c r="P105" s="15">
        <f t="shared" si="36"/>
        <v>24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82.5</v>
      </c>
      <c r="D106" s="16">
        <f t="shared" ref="D106:Q106" si="37">SUM(D10:D105)</f>
        <v>18.5</v>
      </c>
      <c r="E106" s="16">
        <f t="shared" si="37"/>
        <v>9</v>
      </c>
      <c r="F106" s="16">
        <f t="shared" si="37"/>
        <v>4.5</v>
      </c>
      <c r="G106" s="16">
        <f t="shared" si="37"/>
        <v>0.5</v>
      </c>
      <c r="H106" s="16">
        <f t="shared" si="37"/>
        <v>0.5</v>
      </c>
      <c r="I106" s="16">
        <f t="shared" si="37"/>
        <v>15.5</v>
      </c>
      <c r="J106" s="16">
        <f t="shared" si="37"/>
        <v>19.5</v>
      </c>
      <c r="K106" s="16">
        <f t="shared" si="37"/>
        <v>52.5</v>
      </c>
      <c r="L106" s="16">
        <f t="shared" si="37"/>
        <v>132</v>
      </c>
      <c r="M106" s="16">
        <f t="shared" si="37"/>
        <v>220</v>
      </c>
      <c r="N106" s="16">
        <f t="shared" si="37"/>
        <v>0</v>
      </c>
      <c r="O106" s="16">
        <f t="shared" si="37"/>
        <v>335</v>
      </c>
      <c r="P106" s="16">
        <f t="shared" si="37"/>
        <v>555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0.14864864864864866</v>
      </c>
      <c r="D107" s="43">
        <f t="shared" si="38"/>
        <v>3.3333333333333333E-2</v>
      </c>
      <c r="E107" s="43">
        <f t="shared" si="38"/>
        <v>1.6216216216216217E-2</v>
      </c>
      <c r="F107" s="43">
        <f t="shared" si="38"/>
        <v>8.1081081081081086E-3</v>
      </c>
      <c r="G107" s="43">
        <f t="shared" si="38"/>
        <v>9.0090090090090091E-4</v>
      </c>
      <c r="H107" s="43">
        <f t="shared" si="38"/>
        <v>9.0090090090090091E-4</v>
      </c>
      <c r="I107" s="43">
        <f t="shared" si="38"/>
        <v>2.7927927927927927E-2</v>
      </c>
      <c r="J107" s="43">
        <f t="shared" si="38"/>
        <v>3.5135135135135137E-2</v>
      </c>
      <c r="K107" s="43">
        <f t="shared" si="38"/>
        <v>9.45945945945946E-2</v>
      </c>
      <c r="L107" s="43">
        <f t="shared" si="38"/>
        <v>0.23783783783783785</v>
      </c>
      <c r="M107" s="43">
        <f t="shared" si="38"/>
        <v>0.3963963963963964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0.2462686567164179</v>
      </c>
      <c r="D108" s="44">
        <f t="shared" ref="D108:N108" si="39">D106/$O$106</f>
        <v>5.5223880597014927E-2</v>
      </c>
      <c r="E108" s="44">
        <f t="shared" si="39"/>
        <v>2.6865671641791045E-2</v>
      </c>
      <c r="F108" s="44">
        <f t="shared" si="39"/>
        <v>1.3432835820895522E-2</v>
      </c>
      <c r="G108" s="44">
        <f t="shared" si="39"/>
        <v>1.4925373134328358E-3</v>
      </c>
      <c r="H108" s="44">
        <f t="shared" si="39"/>
        <v>1.4925373134328358E-3</v>
      </c>
      <c r="I108" s="44">
        <f t="shared" si="39"/>
        <v>4.6268656716417909E-2</v>
      </c>
      <c r="J108" s="44">
        <f t="shared" si="39"/>
        <v>5.8208955223880594E-2</v>
      </c>
      <c r="K108" s="44">
        <f t="shared" si="39"/>
        <v>0.15671641791044777</v>
      </c>
      <c r="L108" s="44">
        <f t="shared" si="39"/>
        <v>0.39402985074626867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C58" sqref="C58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e">
        <f>#REF!</f>
        <v>#REF!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58" t="e">
        <f>'Avg Week Mirama-Ntungamo'!G5:H5</f>
        <v>#REF!</v>
      </c>
      <c r="H5" s="59"/>
      <c r="I5" s="14"/>
      <c r="J5" s="2" t="s">
        <v>5</v>
      </c>
      <c r="K5" s="58" t="e">
        <f>'Avg Week Mirama-Ntungamo'!K5:L5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58" t="e">
        <f>'Avg Week Mirama-Ntungamo'!K6:L6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Ntungamo-Mirama'!C10+'Avg Week Mirama-Ntungamo'!C10</f>
        <v>0.5</v>
      </c>
      <c r="D10" s="49">
        <f>'Avg Week Ntungamo-Mirama'!D10+'Avg Week Mirama-Ntungamo'!D10</f>
        <v>0</v>
      </c>
      <c r="E10" s="49">
        <f>'Avg Week Ntungamo-Mirama'!E10+'Avg Week Mirama-Ntungamo'!E10</f>
        <v>0</v>
      </c>
      <c r="F10" s="49">
        <f>'Avg Week Ntungamo-Mirama'!F10+'Avg Week Mirama-Ntungamo'!F10</f>
        <v>0</v>
      </c>
      <c r="G10" s="49">
        <f>'Avg Week Ntungamo-Mirama'!G10+'Avg Week Mirama-Ntungamo'!G10</f>
        <v>0</v>
      </c>
      <c r="H10" s="49">
        <f>'Avg Week Ntungamo-Mirama'!H10+'Avg Week Mirama-Ntungamo'!H10</f>
        <v>0</v>
      </c>
      <c r="I10" s="49">
        <f>'Avg Week Ntungamo-Mirama'!I10+'Avg Week Mirama-Ntungamo'!I10</f>
        <v>0</v>
      </c>
      <c r="J10" s="49">
        <f>'Avg Week Ntungamo-Mirama'!J10+'Avg Week Mirama-Ntungamo'!J10</f>
        <v>1</v>
      </c>
      <c r="K10" s="49">
        <f>'Avg Week Ntungamo-Mirama'!K10+'Avg Week Mirama-Ntungamo'!K10</f>
        <v>0.5</v>
      </c>
      <c r="L10" s="49">
        <f>'Avg Week Ntungamo-Mirama'!L10+'Avg Week Mirama-Ntungamo'!L10</f>
        <v>1</v>
      </c>
      <c r="M10" s="49">
        <f>'Avg Week Ntungamo-Mirama'!M10+'Avg Week Mirama-Ntungamo'!M10</f>
        <v>6.5</v>
      </c>
      <c r="N10" s="49">
        <f>'Avg Week Ntungamo-Mirama'!N10+'Avg Week Mirama-Ntungamo'!N10</f>
        <v>0</v>
      </c>
      <c r="O10" s="15">
        <f t="shared" ref="O10:O73" si="0">SUM(C10:L10,N10)</f>
        <v>3</v>
      </c>
      <c r="P10" s="15">
        <f t="shared" ref="P10:P73" si="1">SUM(C10:N10)</f>
        <v>9.5</v>
      </c>
      <c r="R10" s="1" t="s">
        <v>6</v>
      </c>
      <c r="S10" s="17">
        <f t="shared" ref="S10:AF10" si="2">SUM(C10:C13)</f>
        <v>3</v>
      </c>
      <c r="T10" s="17">
        <f t="shared" si="2"/>
        <v>0.5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1.5</v>
      </c>
      <c r="AA10" s="17">
        <f t="shared" si="2"/>
        <v>1</v>
      </c>
      <c r="AB10" s="17">
        <f t="shared" si="2"/>
        <v>4.5</v>
      </c>
      <c r="AC10" s="17">
        <f t="shared" si="2"/>
        <v>19</v>
      </c>
      <c r="AD10" s="17">
        <f t="shared" si="2"/>
        <v>0</v>
      </c>
      <c r="AE10" s="31">
        <f t="shared" si="2"/>
        <v>10.5</v>
      </c>
      <c r="AF10" s="31">
        <f t="shared" si="2"/>
        <v>29.5</v>
      </c>
    </row>
    <row r="11" spans="2:32" s="6" customFormat="1" ht="23.1" customHeight="1" x14ac:dyDescent="0.25">
      <c r="B11" s="23" t="s">
        <v>38</v>
      </c>
      <c r="C11" s="49">
        <f>'Avg Week Ntungamo-Mirama'!C11+'Avg Week Mirama-Ntungamo'!C11</f>
        <v>0.5</v>
      </c>
      <c r="D11" s="49">
        <f>'Avg Week Ntungamo-Mirama'!D11+'Avg Week Mirama-Ntungamo'!D11</f>
        <v>0</v>
      </c>
      <c r="E11" s="49">
        <f>'Avg Week Ntungamo-Mirama'!E11+'Avg Week Mirama-Ntungamo'!E11</f>
        <v>0</v>
      </c>
      <c r="F11" s="49">
        <f>'Avg Week Ntungamo-Mirama'!F11+'Avg Week Mirama-Ntungamo'!F11</f>
        <v>0</v>
      </c>
      <c r="G11" s="49">
        <f>'Avg Week Ntungamo-Mirama'!G11+'Avg Week Mirama-Ntungamo'!G11</f>
        <v>0</v>
      </c>
      <c r="H11" s="49">
        <f>'Avg Week Ntungamo-Mirama'!H11+'Avg Week Mirama-Ntungamo'!H11</f>
        <v>0</v>
      </c>
      <c r="I11" s="49">
        <f>'Avg Week Ntungamo-Mirama'!I11+'Avg Week Mirama-Ntungamo'!I11</f>
        <v>0</v>
      </c>
      <c r="J11" s="49">
        <f>'Avg Week Ntungamo-Mirama'!J11+'Avg Week Mirama-Ntungamo'!J11</f>
        <v>0</v>
      </c>
      <c r="K11" s="49">
        <f>'Avg Week Ntungamo-Mirama'!K11+'Avg Week Mirama-Ntungamo'!K11</f>
        <v>0</v>
      </c>
      <c r="L11" s="49">
        <f>'Avg Week Ntungamo-Mirama'!L11+'Avg Week Mirama-Ntungamo'!L11</f>
        <v>3</v>
      </c>
      <c r="M11" s="49">
        <f>'Avg Week Ntungamo-Mirama'!M11+'Avg Week Mirama-Ntungamo'!M11</f>
        <v>7</v>
      </c>
      <c r="N11" s="49">
        <f>'Avg Week Ntungamo-Mirama'!N11+'Avg Week Mirama-Ntungamo'!N11</f>
        <v>0</v>
      </c>
      <c r="O11" s="15">
        <f t="shared" si="0"/>
        <v>3.5</v>
      </c>
      <c r="P11" s="15">
        <f t="shared" si="1"/>
        <v>10.5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0</v>
      </c>
      <c r="V11" s="17">
        <f t="shared" si="3"/>
        <v>0.5</v>
      </c>
      <c r="W11" s="17">
        <f t="shared" si="3"/>
        <v>0</v>
      </c>
      <c r="X11" s="17">
        <f t="shared" si="3"/>
        <v>0</v>
      </c>
      <c r="Y11" s="17">
        <f t="shared" si="3"/>
        <v>2.5</v>
      </c>
      <c r="Z11" s="17">
        <f t="shared" si="3"/>
        <v>0</v>
      </c>
      <c r="AA11" s="17">
        <f t="shared" si="3"/>
        <v>1</v>
      </c>
      <c r="AB11" s="17">
        <f t="shared" si="3"/>
        <v>6</v>
      </c>
      <c r="AC11" s="17">
        <f t="shared" si="3"/>
        <v>13</v>
      </c>
      <c r="AD11" s="17">
        <f t="shared" si="3"/>
        <v>0</v>
      </c>
      <c r="AE11" s="31">
        <f t="shared" si="3"/>
        <v>16</v>
      </c>
      <c r="AF11" s="31">
        <f t="shared" si="3"/>
        <v>29</v>
      </c>
    </row>
    <row r="12" spans="2:32" ht="23.1" customHeight="1" x14ac:dyDescent="0.25">
      <c r="B12" s="23" t="s">
        <v>39</v>
      </c>
      <c r="C12" s="49">
        <f>'Avg Week Ntungamo-Mirama'!C12+'Avg Week Mirama-Ntungamo'!C12</f>
        <v>0</v>
      </c>
      <c r="D12" s="49">
        <f>'Avg Week Ntungamo-Mirama'!D12+'Avg Week Mirama-Ntungamo'!D12</f>
        <v>0</v>
      </c>
      <c r="E12" s="49">
        <f>'Avg Week Ntungamo-Mirama'!E12+'Avg Week Mirama-Ntungamo'!E12</f>
        <v>0</v>
      </c>
      <c r="F12" s="49">
        <f>'Avg Week Ntungamo-Mirama'!F12+'Avg Week Mirama-Ntungamo'!F12</f>
        <v>0</v>
      </c>
      <c r="G12" s="49">
        <f>'Avg Week Ntungamo-Mirama'!G12+'Avg Week Mirama-Ntungamo'!G12</f>
        <v>0</v>
      </c>
      <c r="H12" s="49">
        <f>'Avg Week Ntungamo-Mirama'!H12+'Avg Week Mirama-Ntungamo'!H12</f>
        <v>0</v>
      </c>
      <c r="I12" s="49">
        <f>'Avg Week Ntungamo-Mirama'!I12+'Avg Week Mirama-Ntungamo'!I12</f>
        <v>0</v>
      </c>
      <c r="J12" s="49">
        <f>'Avg Week Ntungamo-Mirama'!J12+'Avg Week Mirama-Ntungamo'!J12</f>
        <v>0</v>
      </c>
      <c r="K12" s="49">
        <f>'Avg Week Ntungamo-Mirama'!K12+'Avg Week Mirama-Ntungamo'!K12</f>
        <v>0</v>
      </c>
      <c r="L12" s="49">
        <f>'Avg Week Ntungamo-Mirama'!L12+'Avg Week Mirama-Ntungamo'!L12</f>
        <v>0</v>
      </c>
      <c r="M12" s="49">
        <f>'Avg Week Ntungamo-Mirama'!M12+'Avg Week Mirama-Ntungamo'!M12</f>
        <v>5</v>
      </c>
      <c r="N12" s="49">
        <f>'Avg Week Ntungamo-Mirama'!N12+'Avg Week Mirama-Ntungamo'!N12</f>
        <v>0</v>
      </c>
      <c r="O12" s="15">
        <f t="shared" si="0"/>
        <v>0</v>
      </c>
      <c r="P12" s="15">
        <f t="shared" si="1"/>
        <v>5</v>
      </c>
      <c r="R12" s="1" t="s">
        <v>8</v>
      </c>
      <c r="S12" s="17">
        <f t="shared" ref="S12:AF12" si="4">SUM(C18:C21)</f>
        <v>10</v>
      </c>
      <c r="T12" s="17">
        <f t="shared" si="4"/>
        <v>5</v>
      </c>
      <c r="U12" s="17">
        <f t="shared" si="4"/>
        <v>0</v>
      </c>
      <c r="V12" s="17">
        <f t="shared" si="4"/>
        <v>0.5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5</v>
      </c>
      <c r="AB12" s="17">
        <f t="shared" si="4"/>
        <v>12.5</v>
      </c>
      <c r="AC12" s="17">
        <f t="shared" si="4"/>
        <v>25</v>
      </c>
      <c r="AD12" s="17">
        <f t="shared" si="4"/>
        <v>0</v>
      </c>
      <c r="AE12" s="31">
        <f t="shared" si="4"/>
        <v>34</v>
      </c>
      <c r="AF12" s="31">
        <f t="shared" si="4"/>
        <v>59</v>
      </c>
    </row>
    <row r="13" spans="2:32" ht="23.1" customHeight="1" x14ac:dyDescent="0.25">
      <c r="B13" s="23" t="s">
        <v>40</v>
      </c>
      <c r="C13" s="49">
        <f>'Avg Week Ntungamo-Mirama'!C13+'Avg Week Mirama-Ntungamo'!C13</f>
        <v>2</v>
      </c>
      <c r="D13" s="49">
        <f>'Avg Week Ntungamo-Mirama'!D13+'Avg Week Mirama-Ntungamo'!D13</f>
        <v>0.5</v>
      </c>
      <c r="E13" s="49">
        <f>'Avg Week Ntungamo-Mirama'!E13+'Avg Week Mirama-Ntungamo'!E13</f>
        <v>0</v>
      </c>
      <c r="F13" s="49">
        <f>'Avg Week Ntungamo-Mirama'!F13+'Avg Week Mirama-Ntungamo'!F13</f>
        <v>0</v>
      </c>
      <c r="G13" s="49">
        <f>'Avg Week Ntungamo-Mirama'!G13+'Avg Week Mirama-Ntungamo'!G13</f>
        <v>0</v>
      </c>
      <c r="H13" s="49">
        <f>'Avg Week Ntungamo-Mirama'!H13+'Avg Week Mirama-Ntungamo'!H13</f>
        <v>0</v>
      </c>
      <c r="I13" s="49">
        <f>'Avg Week Ntungamo-Mirama'!I13+'Avg Week Mirama-Ntungamo'!I13</f>
        <v>0</v>
      </c>
      <c r="J13" s="49">
        <f>'Avg Week Ntungamo-Mirama'!J13+'Avg Week Mirama-Ntungamo'!J13</f>
        <v>0.5</v>
      </c>
      <c r="K13" s="49">
        <f>'Avg Week Ntungamo-Mirama'!K13+'Avg Week Mirama-Ntungamo'!K13</f>
        <v>0.5</v>
      </c>
      <c r="L13" s="49">
        <f>'Avg Week Ntungamo-Mirama'!L13+'Avg Week Mirama-Ntungamo'!L13</f>
        <v>0.5</v>
      </c>
      <c r="M13" s="49">
        <f>'Avg Week Ntungamo-Mirama'!M13+'Avg Week Mirama-Ntungamo'!M13</f>
        <v>0.5</v>
      </c>
      <c r="N13" s="49">
        <f>'Avg Week Ntungamo-Mirama'!N13+'Avg Week Mirama-Ntungamo'!N13</f>
        <v>0</v>
      </c>
      <c r="O13" s="15">
        <f t="shared" si="0"/>
        <v>4</v>
      </c>
      <c r="P13" s="15">
        <f t="shared" si="1"/>
        <v>4.5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0.5</v>
      </c>
      <c r="AA13" s="17">
        <f t="shared" si="5"/>
        <v>1</v>
      </c>
      <c r="AB13" s="17">
        <f t="shared" si="5"/>
        <v>10</v>
      </c>
      <c r="AC13" s="17">
        <f t="shared" si="5"/>
        <v>22.5</v>
      </c>
      <c r="AD13" s="17">
        <f t="shared" si="5"/>
        <v>0</v>
      </c>
      <c r="AE13" s="31">
        <f t="shared" si="5"/>
        <v>17.5</v>
      </c>
      <c r="AF13" s="31">
        <f t="shared" si="5"/>
        <v>40</v>
      </c>
    </row>
    <row r="14" spans="2:32" ht="23.1" customHeight="1" x14ac:dyDescent="0.25">
      <c r="B14" s="23" t="s">
        <v>41</v>
      </c>
      <c r="C14" s="49">
        <f>'Avg Week Ntungamo-Mirama'!C14+'Avg Week Mirama-Ntungamo'!C14</f>
        <v>1.5</v>
      </c>
      <c r="D14" s="49">
        <f>'Avg Week Ntungamo-Mirama'!D14+'Avg Week Mirama-Ntungamo'!D14</f>
        <v>0</v>
      </c>
      <c r="E14" s="49">
        <f>'Avg Week Ntungamo-Mirama'!E14+'Avg Week Mirama-Ntungamo'!E14</f>
        <v>0</v>
      </c>
      <c r="F14" s="49">
        <f>'Avg Week Ntungamo-Mirama'!F14+'Avg Week Mirama-Ntungamo'!F14</f>
        <v>0</v>
      </c>
      <c r="G14" s="49">
        <f>'Avg Week Ntungamo-Mirama'!G14+'Avg Week Mirama-Ntungamo'!G14</f>
        <v>0</v>
      </c>
      <c r="H14" s="49">
        <f>'Avg Week Ntungamo-Mirama'!H14+'Avg Week Mirama-Ntungamo'!H14</f>
        <v>0</v>
      </c>
      <c r="I14" s="49">
        <f>'Avg Week Ntungamo-Mirama'!I14+'Avg Week Mirama-Ntungamo'!I14</f>
        <v>0</v>
      </c>
      <c r="J14" s="49">
        <f>'Avg Week Ntungamo-Mirama'!J14+'Avg Week Mirama-Ntungamo'!J14</f>
        <v>0</v>
      </c>
      <c r="K14" s="49">
        <f>'Avg Week Ntungamo-Mirama'!K14+'Avg Week Mirama-Ntungamo'!K14</f>
        <v>0.5</v>
      </c>
      <c r="L14" s="49">
        <f>'Avg Week Ntungamo-Mirama'!L14+'Avg Week Mirama-Ntungamo'!L14</f>
        <v>1</v>
      </c>
      <c r="M14" s="49">
        <f>'Avg Week Ntungamo-Mirama'!M14+'Avg Week Mirama-Ntungamo'!M14</f>
        <v>6</v>
      </c>
      <c r="N14" s="49">
        <f>'Avg Week Ntungamo-Mirama'!N14+'Avg Week Mirama-Ntungamo'!N14</f>
        <v>0</v>
      </c>
      <c r="O14" s="15">
        <f t="shared" si="0"/>
        <v>3</v>
      </c>
      <c r="P14" s="15">
        <f t="shared" si="1"/>
        <v>9</v>
      </c>
      <c r="R14" s="1" t="s">
        <v>10</v>
      </c>
      <c r="S14" s="17">
        <f t="shared" ref="S14:AF14" si="6">SUM(C26:C29)</f>
        <v>10</v>
      </c>
      <c r="T14" s="17">
        <f t="shared" si="6"/>
        <v>0</v>
      </c>
      <c r="U14" s="17">
        <f t="shared" si="6"/>
        <v>1.5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11</v>
      </c>
      <c r="AC14" s="17">
        <f t="shared" si="6"/>
        <v>24</v>
      </c>
      <c r="AD14" s="17">
        <f t="shared" si="6"/>
        <v>0</v>
      </c>
      <c r="AE14" s="31">
        <f t="shared" si="6"/>
        <v>22.5</v>
      </c>
      <c r="AF14" s="31">
        <f t="shared" si="6"/>
        <v>46.5</v>
      </c>
    </row>
    <row r="15" spans="2:32" ht="23.1" customHeight="1" x14ac:dyDescent="0.25">
      <c r="B15" s="23" t="s">
        <v>42</v>
      </c>
      <c r="C15" s="49">
        <f>'Avg Week Ntungamo-Mirama'!C15+'Avg Week Mirama-Ntungamo'!C15</f>
        <v>2.5</v>
      </c>
      <c r="D15" s="49">
        <f>'Avg Week Ntungamo-Mirama'!D15+'Avg Week Mirama-Ntungamo'!D15</f>
        <v>0</v>
      </c>
      <c r="E15" s="49">
        <f>'Avg Week Ntungamo-Mirama'!E15+'Avg Week Mirama-Ntungamo'!E15</f>
        <v>0</v>
      </c>
      <c r="F15" s="49">
        <f>'Avg Week Ntungamo-Mirama'!F15+'Avg Week Mirama-Ntungamo'!F15</f>
        <v>0</v>
      </c>
      <c r="G15" s="49">
        <f>'Avg Week Ntungamo-Mirama'!G15+'Avg Week Mirama-Ntungamo'!G15</f>
        <v>0</v>
      </c>
      <c r="H15" s="49">
        <f>'Avg Week Ntungamo-Mirama'!H15+'Avg Week Mirama-Ntungamo'!H15</f>
        <v>0</v>
      </c>
      <c r="I15" s="49">
        <f>'Avg Week Ntungamo-Mirama'!I15+'Avg Week Mirama-Ntungamo'!I15</f>
        <v>0.5</v>
      </c>
      <c r="J15" s="49">
        <f>'Avg Week Ntungamo-Mirama'!J15+'Avg Week Mirama-Ntungamo'!J15</f>
        <v>0</v>
      </c>
      <c r="K15" s="49">
        <f>'Avg Week Ntungamo-Mirama'!K15+'Avg Week Mirama-Ntungamo'!K15</f>
        <v>0</v>
      </c>
      <c r="L15" s="49">
        <f>'Avg Week Ntungamo-Mirama'!L15+'Avg Week Mirama-Ntungamo'!L15</f>
        <v>1</v>
      </c>
      <c r="M15" s="49">
        <f>'Avg Week Ntungamo-Mirama'!M15+'Avg Week Mirama-Ntungamo'!M15</f>
        <v>2</v>
      </c>
      <c r="N15" s="49">
        <f>'Avg Week Ntungamo-Mirama'!N15+'Avg Week Mirama-Ntungamo'!N15</f>
        <v>0</v>
      </c>
      <c r="O15" s="15">
        <f t="shared" si="0"/>
        <v>4</v>
      </c>
      <c r="P15" s="15">
        <f t="shared" si="1"/>
        <v>6</v>
      </c>
      <c r="R15" s="1" t="s">
        <v>11</v>
      </c>
      <c r="S15" s="17">
        <f t="shared" ref="S15:AF15" si="7">SUM(C30:C33)</f>
        <v>8.5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2.5</v>
      </c>
      <c r="Z15" s="17">
        <f t="shared" si="7"/>
        <v>1</v>
      </c>
      <c r="AA15" s="17">
        <f t="shared" si="7"/>
        <v>3</v>
      </c>
      <c r="AB15" s="17">
        <f t="shared" si="7"/>
        <v>5.5</v>
      </c>
      <c r="AC15" s="17">
        <f t="shared" si="7"/>
        <v>27</v>
      </c>
      <c r="AD15" s="17">
        <f t="shared" si="7"/>
        <v>0</v>
      </c>
      <c r="AE15" s="31">
        <f t="shared" si="7"/>
        <v>20.5</v>
      </c>
      <c r="AF15" s="31">
        <f t="shared" si="7"/>
        <v>47.5</v>
      </c>
    </row>
    <row r="16" spans="2:32" ht="23.1" customHeight="1" x14ac:dyDescent="0.25">
      <c r="B16" s="23" t="s">
        <v>43</v>
      </c>
      <c r="C16" s="49">
        <f>'Avg Week Ntungamo-Mirama'!C16+'Avg Week Mirama-Ntungamo'!C16</f>
        <v>0.5</v>
      </c>
      <c r="D16" s="49">
        <f>'Avg Week Ntungamo-Mirama'!D16+'Avg Week Mirama-Ntungamo'!D16</f>
        <v>0</v>
      </c>
      <c r="E16" s="49">
        <f>'Avg Week Ntungamo-Mirama'!E16+'Avg Week Mirama-Ntungamo'!E16</f>
        <v>0</v>
      </c>
      <c r="F16" s="49">
        <f>'Avg Week Ntungamo-Mirama'!F16+'Avg Week Mirama-Ntungamo'!F16</f>
        <v>0.5</v>
      </c>
      <c r="G16" s="49">
        <f>'Avg Week Ntungamo-Mirama'!G16+'Avg Week Mirama-Ntungamo'!G16</f>
        <v>0</v>
      </c>
      <c r="H16" s="49">
        <f>'Avg Week Ntungamo-Mirama'!H16+'Avg Week Mirama-Ntungamo'!H16</f>
        <v>0</v>
      </c>
      <c r="I16" s="49">
        <f>'Avg Week Ntungamo-Mirama'!I16+'Avg Week Mirama-Ntungamo'!I16</f>
        <v>2</v>
      </c>
      <c r="J16" s="49">
        <f>'Avg Week Ntungamo-Mirama'!J16+'Avg Week Mirama-Ntungamo'!J16</f>
        <v>0</v>
      </c>
      <c r="K16" s="49">
        <f>'Avg Week Ntungamo-Mirama'!K16+'Avg Week Mirama-Ntungamo'!K16</f>
        <v>0.5</v>
      </c>
      <c r="L16" s="49">
        <f>'Avg Week Ntungamo-Mirama'!L16+'Avg Week Mirama-Ntungamo'!L16</f>
        <v>3</v>
      </c>
      <c r="M16" s="49">
        <f>'Avg Week Ntungamo-Mirama'!M16+'Avg Week Mirama-Ntungamo'!M16</f>
        <v>4</v>
      </c>
      <c r="N16" s="49">
        <f>'Avg Week Ntungamo-Mirama'!N16+'Avg Week Mirama-Ntungamo'!N16</f>
        <v>0</v>
      </c>
      <c r="O16" s="15">
        <f t="shared" si="0"/>
        <v>6.5</v>
      </c>
      <c r="P16" s="15">
        <f t="shared" si="1"/>
        <v>10.5</v>
      </c>
      <c r="R16" s="1" t="s">
        <v>12</v>
      </c>
      <c r="S16" s="17">
        <f t="shared" ref="S16:AF16" si="8">SUM(C34:C37)</f>
        <v>10</v>
      </c>
      <c r="T16" s="17">
        <f t="shared" si="8"/>
        <v>1.5</v>
      </c>
      <c r="U16" s="17">
        <f t="shared" si="8"/>
        <v>2.5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0.5</v>
      </c>
      <c r="Z16" s="17">
        <f t="shared" si="8"/>
        <v>1</v>
      </c>
      <c r="AA16" s="17">
        <f t="shared" si="8"/>
        <v>3.5</v>
      </c>
      <c r="AB16" s="17">
        <f t="shared" si="8"/>
        <v>13.5</v>
      </c>
      <c r="AC16" s="17">
        <f t="shared" si="8"/>
        <v>20</v>
      </c>
      <c r="AD16" s="17">
        <f t="shared" si="8"/>
        <v>0</v>
      </c>
      <c r="AE16" s="31">
        <f t="shared" si="8"/>
        <v>32.5</v>
      </c>
      <c r="AF16" s="31">
        <f t="shared" si="8"/>
        <v>52.5</v>
      </c>
    </row>
    <row r="17" spans="2:32" ht="23.1" customHeight="1" x14ac:dyDescent="0.25">
      <c r="B17" s="23" t="s">
        <v>44</v>
      </c>
      <c r="C17" s="49">
        <f>'Avg Week Ntungamo-Mirama'!C17+'Avg Week Mirama-Ntungamo'!C17</f>
        <v>1.5</v>
      </c>
      <c r="D17" s="49">
        <f>'Avg Week Ntungamo-Mirama'!D17+'Avg Week Mirama-Ntungamo'!D17</f>
        <v>0</v>
      </c>
      <c r="E17" s="49">
        <f>'Avg Week Ntungamo-Mirama'!E17+'Avg Week Mirama-Ntungamo'!E17</f>
        <v>0</v>
      </c>
      <c r="F17" s="49">
        <f>'Avg Week Ntungamo-Mirama'!F17+'Avg Week Mirama-Ntungamo'!F17</f>
        <v>0</v>
      </c>
      <c r="G17" s="49">
        <f>'Avg Week Ntungamo-Mirama'!G17+'Avg Week Mirama-Ntungamo'!G17</f>
        <v>0</v>
      </c>
      <c r="H17" s="49">
        <f>'Avg Week Ntungamo-Mirama'!H17+'Avg Week Mirama-Ntungamo'!H17</f>
        <v>0</v>
      </c>
      <c r="I17" s="49">
        <f>'Avg Week Ntungamo-Mirama'!I17+'Avg Week Mirama-Ntungamo'!I17</f>
        <v>0</v>
      </c>
      <c r="J17" s="49">
        <f>'Avg Week Ntungamo-Mirama'!J17+'Avg Week Mirama-Ntungamo'!J17</f>
        <v>0</v>
      </c>
      <c r="K17" s="49">
        <f>'Avg Week Ntungamo-Mirama'!K17+'Avg Week Mirama-Ntungamo'!K17</f>
        <v>0</v>
      </c>
      <c r="L17" s="49">
        <f>'Avg Week Ntungamo-Mirama'!L17+'Avg Week Mirama-Ntungamo'!L17</f>
        <v>1</v>
      </c>
      <c r="M17" s="49">
        <f>'Avg Week Ntungamo-Mirama'!M17+'Avg Week Mirama-Ntungamo'!M17</f>
        <v>1</v>
      </c>
      <c r="N17" s="49">
        <f>'Avg Week Ntungamo-Mirama'!N17+'Avg Week Mirama-Ntungamo'!N17</f>
        <v>0</v>
      </c>
      <c r="O17" s="15">
        <f t="shared" si="0"/>
        <v>2.5</v>
      </c>
      <c r="P17" s="15">
        <f t="shared" si="1"/>
        <v>3.5</v>
      </c>
      <c r="R17" s="1" t="s">
        <v>13</v>
      </c>
      <c r="S17" s="17">
        <f t="shared" ref="S17:AF17" si="9">SUM(C38:C41)</f>
        <v>8</v>
      </c>
      <c r="T17" s="17">
        <f t="shared" si="9"/>
        <v>1.5</v>
      </c>
      <c r="U17" s="17">
        <f t="shared" si="9"/>
        <v>1.5</v>
      </c>
      <c r="V17" s="17">
        <f t="shared" si="9"/>
        <v>0</v>
      </c>
      <c r="W17" s="17">
        <f t="shared" si="9"/>
        <v>0.5</v>
      </c>
      <c r="X17" s="17">
        <f t="shared" si="9"/>
        <v>0.5</v>
      </c>
      <c r="Y17" s="17">
        <f t="shared" si="9"/>
        <v>1.5</v>
      </c>
      <c r="Z17" s="17">
        <f t="shared" si="9"/>
        <v>0.5</v>
      </c>
      <c r="AA17" s="17">
        <f t="shared" si="9"/>
        <v>3</v>
      </c>
      <c r="AB17" s="17">
        <f t="shared" si="9"/>
        <v>7.5</v>
      </c>
      <c r="AC17" s="17">
        <f t="shared" si="9"/>
        <v>24</v>
      </c>
      <c r="AD17" s="17">
        <f t="shared" si="9"/>
        <v>0</v>
      </c>
      <c r="AE17" s="31">
        <f t="shared" si="9"/>
        <v>24.5</v>
      </c>
      <c r="AF17" s="31">
        <f t="shared" si="9"/>
        <v>48.5</v>
      </c>
    </row>
    <row r="18" spans="2:32" ht="23.1" customHeight="1" x14ac:dyDescent="0.25">
      <c r="B18" s="23" t="s">
        <v>45</v>
      </c>
      <c r="C18" s="49">
        <f>'Avg Week Ntungamo-Mirama'!C18+'Avg Week Mirama-Ntungamo'!C18</f>
        <v>3</v>
      </c>
      <c r="D18" s="49">
        <f>'Avg Week Ntungamo-Mirama'!D18+'Avg Week Mirama-Ntungamo'!D18</f>
        <v>0</v>
      </c>
      <c r="E18" s="49">
        <f>'Avg Week Ntungamo-Mirama'!E18+'Avg Week Mirama-Ntungamo'!E18</f>
        <v>0</v>
      </c>
      <c r="F18" s="49">
        <f>'Avg Week Ntungamo-Mirama'!F18+'Avg Week Mirama-Ntungamo'!F18</f>
        <v>0</v>
      </c>
      <c r="G18" s="49">
        <f>'Avg Week Ntungamo-Mirama'!G18+'Avg Week Mirama-Ntungamo'!G18</f>
        <v>0</v>
      </c>
      <c r="H18" s="49">
        <f>'Avg Week Ntungamo-Mirama'!H18+'Avg Week Mirama-Ntungamo'!H18</f>
        <v>0</v>
      </c>
      <c r="I18" s="49">
        <f>'Avg Week Ntungamo-Mirama'!I18+'Avg Week Mirama-Ntungamo'!I18</f>
        <v>0</v>
      </c>
      <c r="J18" s="49">
        <f>'Avg Week Ntungamo-Mirama'!J18+'Avg Week Mirama-Ntungamo'!J18</f>
        <v>0.5</v>
      </c>
      <c r="K18" s="49">
        <f>'Avg Week Ntungamo-Mirama'!K18+'Avg Week Mirama-Ntungamo'!K18</f>
        <v>4</v>
      </c>
      <c r="L18" s="49">
        <f>'Avg Week Ntungamo-Mirama'!L18+'Avg Week Mirama-Ntungamo'!L18</f>
        <v>3.5</v>
      </c>
      <c r="M18" s="49">
        <f>'Avg Week Ntungamo-Mirama'!M18+'Avg Week Mirama-Ntungamo'!M18</f>
        <v>5</v>
      </c>
      <c r="N18" s="49">
        <f>'Avg Week Ntungamo-Mirama'!N18+'Avg Week Mirama-Ntungamo'!N18</f>
        <v>0</v>
      </c>
      <c r="O18" s="15">
        <f t="shared" si="0"/>
        <v>11</v>
      </c>
      <c r="P18" s="15">
        <f t="shared" si="1"/>
        <v>16</v>
      </c>
      <c r="R18" s="1" t="s">
        <v>14</v>
      </c>
      <c r="S18" s="17">
        <f t="shared" ref="S18:AF18" si="10">SUM(C42:C45)</f>
        <v>7.5</v>
      </c>
      <c r="T18" s="17">
        <f t="shared" si="10"/>
        <v>2</v>
      </c>
      <c r="U18" s="17">
        <f t="shared" si="10"/>
        <v>1.5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0.5</v>
      </c>
      <c r="AA18" s="17">
        <f t="shared" si="10"/>
        <v>2</v>
      </c>
      <c r="AB18" s="17">
        <f t="shared" si="10"/>
        <v>9.5</v>
      </c>
      <c r="AC18" s="17">
        <f t="shared" si="10"/>
        <v>37</v>
      </c>
      <c r="AD18" s="17">
        <f t="shared" si="10"/>
        <v>0</v>
      </c>
      <c r="AE18" s="31">
        <f t="shared" si="10"/>
        <v>25</v>
      </c>
      <c r="AF18" s="31">
        <f t="shared" si="10"/>
        <v>62</v>
      </c>
    </row>
    <row r="19" spans="2:32" ht="23.1" customHeight="1" x14ac:dyDescent="0.25">
      <c r="B19" s="23" t="s">
        <v>46</v>
      </c>
      <c r="C19" s="49">
        <f>'Avg Week Ntungamo-Mirama'!C19+'Avg Week Mirama-Ntungamo'!C19</f>
        <v>2</v>
      </c>
      <c r="D19" s="49">
        <f>'Avg Week Ntungamo-Mirama'!D19+'Avg Week Mirama-Ntungamo'!D19</f>
        <v>0</v>
      </c>
      <c r="E19" s="49">
        <f>'Avg Week Ntungamo-Mirama'!E19+'Avg Week Mirama-Ntungamo'!E19</f>
        <v>0</v>
      </c>
      <c r="F19" s="49">
        <f>'Avg Week Ntungamo-Mirama'!F19+'Avg Week Mirama-Ntungamo'!F19</f>
        <v>0.5</v>
      </c>
      <c r="G19" s="49">
        <f>'Avg Week Ntungamo-Mirama'!G19+'Avg Week Mirama-Ntungamo'!G19</f>
        <v>0</v>
      </c>
      <c r="H19" s="49">
        <f>'Avg Week Ntungamo-Mirama'!H19+'Avg Week Mirama-Ntungamo'!H19</f>
        <v>0</v>
      </c>
      <c r="I19" s="49">
        <f>'Avg Week Ntungamo-Mirama'!I19+'Avg Week Mirama-Ntungamo'!I19</f>
        <v>0</v>
      </c>
      <c r="J19" s="49">
        <f>'Avg Week Ntungamo-Mirama'!J19+'Avg Week Mirama-Ntungamo'!J19</f>
        <v>0</v>
      </c>
      <c r="K19" s="49">
        <f>'Avg Week Ntungamo-Mirama'!K19+'Avg Week Mirama-Ntungamo'!K19</f>
        <v>0</v>
      </c>
      <c r="L19" s="49">
        <f>'Avg Week Ntungamo-Mirama'!L19+'Avg Week Mirama-Ntungamo'!L19</f>
        <v>3.5</v>
      </c>
      <c r="M19" s="49">
        <f>'Avg Week Ntungamo-Mirama'!M19+'Avg Week Mirama-Ntungamo'!M19</f>
        <v>3.5</v>
      </c>
      <c r="N19" s="49">
        <f>'Avg Week Ntungamo-Mirama'!N19+'Avg Week Mirama-Ntungamo'!N19</f>
        <v>0</v>
      </c>
      <c r="O19" s="15">
        <f t="shared" si="0"/>
        <v>6</v>
      </c>
      <c r="P19" s="15">
        <f t="shared" si="1"/>
        <v>9.5</v>
      </c>
      <c r="R19" s="1" t="s">
        <v>15</v>
      </c>
      <c r="S19" s="17">
        <f t="shared" ref="S19:AF19" si="11">SUM(C46:C49)</f>
        <v>10.5</v>
      </c>
      <c r="T19" s="17">
        <f t="shared" si="11"/>
        <v>1</v>
      </c>
      <c r="U19" s="17">
        <f t="shared" si="11"/>
        <v>0</v>
      </c>
      <c r="V19" s="17">
        <f t="shared" si="11"/>
        <v>0.5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5</v>
      </c>
      <c r="AA19" s="17">
        <f t="shared" si="11"/>
        <v>0</v>
      </c>
      <c r="AB19" s="17">
        <f t="shared" si="11"/>
        <v>8</v>
      </c>
      <c r="AC19" s="17">
        <f t="shared" si="11"/>
        <v>20</v>
      </c>
      <c r="AD19" s="17">
        <f t="shared" si="11"/>
        <v>0</v>
      </c>
      <c r="AE19" s="31">
        <f t="shared" si="11"/>
        <v>26</v>
      </c>
      <c r="AF19" s="31">
        <f t="shared" si="11"/>
        <v>46</v>
      </c>
    </row>
    <row r="20" spans="2:32" ht="23.1" customHeight="1" x14ac:dyDescent="0.25">
      <c r="B20" s="23" t="s">
        <v>47</v>
      </c>
      <c r="C20" s="49">
        <f>'Avg Week Ntungamo-Mirama'!C20+'Avg Week Mirama-Ntungamo'!C20</f>
        <v>1.5</v>
      </c>
      <c r="D20" s="49">
        <f>'Avg Week Ntungamo-Mirama'!D20+'Avg Week Mirama-Ntungamo'!D20</f>
        <v>0</v>
      </c>
      <c r="E20" s="49">
        <f>'Avg Week Ntungamo-Mirama'!E20+'Avg Week Mirama-Ntungamo'!E20</f>
        <v>0</v>
      </c>
      <c r="F20" s="49">
        <f>'Avg Week Ntungamo-Mirama'!F20+'Avg Week Mirama-Ntungamo'!F20</f>
        <v>0</v>
      </c>
      <c r="G20" s="49">
        <f>'Avg Week Ntungamo-Mirama'!G20+'Avg Week Mirama-Ntungamo'!G20</f>
        <v>0</v>
      </c>
      <c r="H20" s="49">
        <f>'Avg Week Ntungamo-Mirama'!H20+'Avg Week Mirama-Ntungamo'!H20</f>
        <v>0</v>
      </c>
      <c r="I20" s="49">
        <f>'Avg Week Ntungamo-Mirama'!I20+'Avg Week Mirama-Ntungamo'!I20</f>
        <v>0</v>
      </c>
      <c r="J20" s="49">
        <f>'Avg Week Ntungamo-Mirama'!J20+'Avg Week Mirama-Ntungamo'!J20</f>
        <v>0</v>
      </c>
      <c r="K20" s="49">
        <f>'Avg Week Ntungamo-Mirama'!K20+'Avg Week Mirama-Ntungamo'!K20</f>
        <v>1</v>
      </c>
      <c r="L20" s="49">
        <f>'Avg Week Ntungamo-Mirama'!L20+'Avg Week Mirama-Ntungamo'!L20</f>
        <v>4.5</v>
      </c>
      <c r="M20" s="49">
        <f>'Avg Week Ntungamo-Mirama'!M20+'Avg Week Mirama-Ntungamo'!M20</f>
        <v>8.5</v>
      </c>
      <c r="N20" s="49">
        <f>'Avg Week Ntungamo-Mirama'!N20+'Avg Week Mirama-Ntungamo'!N20</f>
        <v>0</v>
      </c>
      <c r="O20" s="15">
        <f t="shared" si="0"/>
        <v>7</v>
      </c>
      <c r="P20" s="15">
        <f t="shared" si="1"/>
        <v>15.5</v>
      </c>
      <c r="R20" s="1" t="s">
        <v>16</v>
      </c>
      <c r="S20" s="17">
        <f t="shared" ref="S20:AF20" si="12">SUM(C50:C53)</f>
        <v>8.5</v>
      </c>
      <c r="T20" s="17">
        <f t="shared" si="12"/>
        <v>2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1.5</v>
      </c>
      <c r="Z20" s="17">
        <f t="shared" si="12"/>
        <v>0</v>
      </c>
      <c r="AA20" s="17">
        <f t="shared" si="12"/>
        <v>2.5</v>
      </c>
      <c r="AB20" s="17">
        <f t="shared" si="12"/>
        <v>4.5</v>
      </c>
      <c r="AC20" s="17">
        <f t="shared" si="12"/>
        <v>29</v>
      </c>
      <c r="AD20" s="17">
        <f t="shared" si="12"/>
        <v>0</v>
      </c>
      <c r="AE20" s="31">
        <f t="shared" si="12"/>
        <v>19</v>
      </c>
      <c r="AF20" s="31">
        <f t="shared" si="12"/>
        <v>48</v>
      </c>
    </row>
    <row r="21" spans="2:32" ht="23.1" customHeight="1" x14ac:dyDescent="0.25">
      <c r="B21" s="23" t="s">
        <v>48</v>
      </c>
      <c r="C21" s="49">
        <f>'Avg Week Ntungamo-Mirama'!C21+'Avg Week Mirama-Ntungamo'!C21</f>
        <v>3.5</v>
      </c>
      <c r="D21" s="49">
        <f>'Avg Week Ntungamo-Mirama'!D21+'Avg Week Mirama-Ntungamo'!D21</f>
        <v>5</v>
      </c>
      <c r="E21" s="49">
        <f>'Avg Week Ntungamo-Mirama'!E21+'Avg Week Mirama-Ntungamo'!E21</f>
        <v>0</v>
      </c>
      <c r="F21" s="49">
        <f>'Avg Week Ntungamo-Mirama'!F21+'Avg Week Mirama-Ntungamo'!F21</f>
        <v>0</v>
      </c>
      <c r="G21" s="49">
        <f>'Avg Week Ntungamo-Mirama'!G21+'Avg Week Mirama-Ntungamo'!G21</f>
        <v>0</v>
      </c>
      <c r="H21" s="49">
        <f>'Avg Week Ntungamo-Mirama'!H21+'Avg Week Mirama-Ntungamo'!H21</f>
        <v>0</v>
      </c>
      <c r="I21" s="49">
        <f>'Avg Week Ntungamo-Mirama'!I21+'Avg Week Mirama-Ntungamo'!I21</f>
        <v>0</v>
      </c>
      <c r="J21" s="49">
        <f>'Avg Week Ntungamo-Mirama'!J21+'Avg Week Mirama-Ntungamo'!J21</f>
        <v>0.5</v>
      </c>
      <c r="K21" s="49">
        <f>'Avg Week Ntungamo-Mirama'!K21+'Avg Week Mirama-Ntungamo'!K21</f>
        <v>0</v>
      </c>
      <c r="L21" s="49">
        <f>'Avg Week Ntungamo-Mirama'!L21+'Avg Week Mirama-Ntungamo'!L21</f>
        <v>1</v>
      </c>
      <c r="M21" s="49">
        <f>'Avg Week Ntungamo-Mirama'!M21+'Avg Week Mirama-Ntungamo'!M21</f>
        <v>8</v>
      </c>
      <c r="N21" s="49">
        <f>'Avg Week Ntungamo-Mirama'!N21+'Avg Week Mirama-Ntungamo'!N21</f>
        <v>0</v>
      </c>
      <c r="O21" s="15">
        <f t="shared" si="0"/>
        <v>10</v>
      </c>
      <c r="P21" s="15">
        <f t="shared" si="1"/>
        <v>18</v>
      </c>
      <c r="R21" s="36" t="s">
        <v>20</v>
      </c>
      <c r="S21" s="34">
        <f t="shared" ref="S21:AF21" si="13">SUM(C54:C57)</f>
        <v>15</v>
      </c>
      <c r="T21" s="17">
        <f t="shared" si="13"/>
        <v>1</v>
      </c>
      <c r="U21" s="17">
        <f t="shared" si="13"/>
        <v>1.5</v>
      </c>
      <c r="V21" s="17">
        <f t="shared" si="13"/>
        <v>0.5</v>
      </c>
      <c r="W21" s="17">
        <f t="shared" si="13"/>
        <v>0.5</v>
      </c>
      <c r="X21" s="17">
        <f t="shared" si="13"/>
        <v>0</v>
      </c>
      <c r="Y21" s="17">
        <f t="shared" si="13"/>
        <v>0.5</v>
      </c>
      <c r="Z21" s="17">
        <f t="shared" si="13"/>
        <v>0</v>
      </c>
      <c r="AA21" s="17">
        <f t="shared" si="13"/>
        <v>1</v>
      </c>
      <c r="AB21" s="17">
        <f t="shared" si="13"/>
        <v>9</v>
      </c>
      <c r="AC21" s="17">
        <f t="shared" si="13"/>
        <v>30.5</v>
      </c>
      <c r="AD21" s="17">
        <f t="shared" si="13"/>
        <v>0</v>
      </c>
      <c r="AE21" s="31">
        <f t="shared" si="13"/>
        <v>29</v>
      </c>
      <c r="AF21" s="31">
        <f t="shared" si="13"/>
        <v>59.5</v>
      </c>
    </row>
    <row r="22" spans="2:32" ht="23.1" customHeight="1" x14ac:dyDescent="0.25">
      <c r="B22" s="23" t="s">
        <v>49</v>
      </c>
      <c r="C22" s="49">
        <f>'Avg Week Ntungamo-Mirama'!C22+'Avg Week Mirama-Ntungamo'!C22</f>
        <v>2</v>
      </c>
      <c r="D22" s="49">
        <f>'Avg Week Ntungamo-Mirama'!D22+'Avg Week Mirama-Ntungamo'!D22</f>
        <v>0</v>
      </c>
      <c r="E22" s="49">
        <f>'Avg Week Ntungamo-Mirama'!E22+'Avg Week Mirama-Ntungamo'!E22</f>
        <v>0.5</v>
      </c>
      <c r="F22" s="49">
        <f>'Avg Week Ntungamo-Mirama'!F22+'Avg Week Mirama-Ntungamo'!F22</f>
        <v>0</v>
      </c>
      <c r="G22" s="49">
        <f>'Avg Week Ntungamo-Mirama'!G22+'Avg Week Mirama-Ntungamo'!G22</f>
        <v>0</v>
      </c>
      <c r="H22" s="49">
        <f>'Avg Week Ntungamo-Mirama'!H22+'Avg Week Mirama-Ntungamo'!H22</f>
        <v>0</v>
      </c>
      <c r="I22" s="49">
        <f>'Avg Week Ntungamo-Mirama'!I22+'Avg Week Mirama-Ntungamo'!I22</f>
        <v>1</v>
      </c>
      <c r="J22" s="49">
        <f>'Avg Week Ntungamo-Mirama'!J22+'Avg Week Mirama-Ntungamo'!J22</f>
        <v>0.5</v>
      </c>
      <c r="K22" s="49">
        <f>'Avg Week Ntungamo-Mirama'!K22+'Avg Week Mirama-Ntungamo'!K22</f>
        <v>0.5</v>
      </c>
      <c r="L22" s="49">
        <f>'Avg Week Ntungamo-Mirama'!L22+'Avg Week Mirama-Ntungamo'!L22</f>
        <v>5</v>
      </c>
      <c r="M22" s="49">
        <f>'Avg Week Ntungamo-Mirama'!M22+'Avg Week Mirama-Ntungamo'!M22</f>
        <v>6.5</v>
      </c>
      <c r="N22" s="49">
        <f>'Avg Week Ntungamo-Mirama'!N22+'Avg Week Mirama-Ntungamo'!N22</f>
        <v>0</v>
      </c>
      <c r="O22" s="15">
        <f t="shared" si="0"/>
        <v>9.5</v>
      </c>
      <c r="P22" s="15">
        <f t="shared" si="1"/>
        <v>16</v>
      </c>
      <c r="R22" s="1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5</v>
      </c>
      <c r="AC22" s="34">
        <f t="shared" si="14"/>
        <v>20</v>
      </c>
      <c r="AD22" s="34">
        <f t="shared" si="14"/>
        <v>0</v>
      </c>
      <c r="AE22" s="31">
        <f t="shared" si="14"/>
        <v>9</v>
      </c>
      <c r="AF22" s="31">
        <f t="shared" si="14"/>
        <v>29</v>
      </c>
    </row>
    <row r="23" spans="2:32" ht="23.1" customHeight="1" x14ac:dyDescent="0.25">
      <c r="B23" s="23" t="s">
        <v>50</v>
      </c>
      <c r="C23" s="49">
        <f>'Avg Week Ntungamo-Mirama'!C23+'Avg Week Mirama-Ntungamo'!C23</f>
        <v>0.5</v>
      </c>
      <c r="D23" s="49">
        <f>'Avg Week Ntungamo-Mirama'!D23+'Avg Week Mirama-Ntungamo'!D23</f>
        <v>0</v>
      </c>
      <c r="E23" s="49">
        <f>'Avg Week Ntungamo-Mirama'!E23+'Avg Week Mirama-Ntungamo'!E23</f>
        <v>0.5</v>
      </c>
      <c r="F23" s="49">
        <f>'Avg Week Ntungamo-Mirama'!F23+'Avg Week Mirama-Ntungamo'!F23</f>
        <v>0</v>
      </c>
      <c r="G23" s="49">
        <f>'Avg Week Ntungamo-Mirama'!G23+'Avg Week Mirama-Ntungamo'!G23</f>
        <v>0</v>
      </c>
      <c r="H23" s="49">
        <f>'Avg Week Ntungamo-Mirama'!H23+'Avg Week Mirama-Ntungamo'!H23</f>
        <v>0</v>
      </c>
      <c r="I23" s="49">
        <f>'Avg Week Ntungamo-Mirama'!I23+'Avg Week Mirama-Ntungamo'!I23</f>
        <v>0</v>
      </c>
      <c r="J23" s="49">
        <f>'Avg Week Ntungamo-Mirama'!J23+'Avg Week Mirama-Ntungamo'!J23</f>
        <v>0</v>
      </c>
      <c r="K23" s="49">
        <f>'Avg Week Ntungamo-Mirama'!K23+'Avg Week Mirama-Ntungamo'!K23</f>
        <v>0</v>
      </c>
      <c r="L23" s="49">
        <f>'Avg Week Ntungamo-Mirama'!L23+'Avg Week Mirama-Ntungamo'!L23</f>
        <v>2</v>
      </c>
      <c r="M23" s="49">
        <f>'Avg Week Ntungamo-Mirama'!M23+'Avg Week Mirama-Ntungamo'!M23</f>
        <v>4.5</v>
      </c>
      <c r="N23" s="49">
        <f>'Avg Week Ntungamo-Mirama'!N23+'Avg Week Mirama-Ntungamo'!N23</f>
        <v>0</v>
      </c>
      <c r="O23" s="15">
        <f t="shared" si="0"/>
        <v>3</v>
      </c>
      <c r="P23" s="15">
        <f t="shared" si="1"/>
        <v>7.5</v>
      </c>
      <c r="R23" s="1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3</v>
      </c>
      <c r="AA23" s="34">
        <f t="shared" si="15"/>
        <v>0</v>
      </c>
      <c r="AB23" s="34">
        <f t="shared" si="15"/>
        <v>4</v>
      </c>
      <c r="AC23" s="34">
        <f t="shared" si="15"/>
        <v>13</v>
      </c>
      <c r="AD23" s="34">
        <f t="shared" si="15"/>
        <v>0</v>
      </c>
      <c r="AE23" s="31">
        <f t="shared" si="15"/>
        <v>9</v>
      </c>
      <c r="AF23" s="31">
        <f t="shared" si="15"/>
        <v>22</v>
      </c>
    </row>
    <row r="24" spans="2:32" ht="23.1" customHeight="1" x14ac:dyDescent="0.25">
      <c r="B24" s="23" t="s">
        <v>51</v>
      </c>
      <c r="C24" s="49">
        <f>'Avg Week Ntungamo-Mirama'!C24+'Avg Week Mirama-Ntungamo'!C24</f>
        <v>1</v>
      </c>
      <c r="D24" s="49">
        <f>'Avg Week Ntungamo-Mirama'!D24+'Avg Week Mirama-Ntungamo'!D24</f>
        <v>0</v>
      </c>
      <c r="E24" s="49">
        <f>'Avg Week Ntungamo-Mirama'!E24+'Avg Week Mirama-Ntungamo'!E24</f>
        <v>0</v>
      </c>
      <c r="F24" s="49">
        <f>'Avg Week Ntungamo-Mirama'!F24+'Avg Week Mirama-Ntungamo'!F24</f>
        <v>0</v>
      </c>
      <c r="G24" s="49">
        <f>'Avg Week Ntungamo-Mirama'!G24+'Avg Week Mirama-Ntungamo'!G24</f>
        <v>0</v>
      </c>
      <c r="H24" s="49">
        <f>'Avg Week Ntungamo-Mirama'!H24+'Avg Week Mirama-Ntungamo'!H24</f>
        <v>0</v>
      </c>
      <c r="I24" s="49">
        <f>'Avg Week Ntungamo-Mirama'!I24+'Avg Week Mirama-Ntungamo'!I24</f>
        <v>0</v>
      </c>
      <c r="J24" s="49">
        <f>'Avg Week Ntungamo-Mirama'!J24+'Avg Week Mirama-Ntungamo'!J24</f>
        <v>0</v>
      </c>
      <c r="K24" s="49">
        <f>'Avg Week Ntungamo-Mirama'!K24+'Avg Week Mirama-Ntungamo'!K24</f>
        <v>0.5</v>
      </c>
      <c r="L24" s="49">
        <f>'Avg Week Ntungamo-Mirama'!L24+'Avg Week Mirama-Ntungamo'!L24</f>
        <v>2</v>
      </c>
      <c r="M24" s="49">
        <f>'Avg Week Ntungamo-Mirama'!M24+'Avg Week Mirama-Ntungamo'!M24</f>
        <v>6</v>
      </c>
      <c r="N24" s="49">
        <f>'Avg Week Ntungamo-Mirama'!N24+'Avg Week Mirama-Ntungamo'!N24</f>
        <v>0</v>
      </c>
      <c r="O24" s="15">
        <f t="shared" si="0"/>
        <v>3.5</v>
      </c>
      <c r="P24" s="15">
        <f t="shared" si="1"/>
        <v>9.5</v>
      </c>
      <c r="R24" s="1" t="s">
        <v>148</v>
      </c>
      <c r="S24" s="34">
        <f>SUM(C66:C69)</f>
        <v>1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1</v>
      </c>
      <c r="AB24" s="34">
        <f t="shared" si="16"/>
        <v>11</v>
      </c>
      <c r="AC24" s="34">
        <f t="shared" si="16"/>
        <v>7</v>
      </c>
      <c r="AD24" s="34">
        <f t="shared" si="16"/>
        <v>0</v>
      </c>
      <c r="AE24" s="31">
        <f t="shared" si="16"/>
        <v>16</v>
      </c>
      <c r="AF24" s="31">
        <f t="shared" si="16"/>
        <v>23</v>
      </c>
    </row>
    <row r="25" spans="2:32" ht="23.1" customHeight="1" x14ac:dyDescent="0.25">
      <c r="B25" s="23" t="s">
        <v>52</v>
      </c>
      <c r="C25" s="49">
        <f>'Avg Week Ntungamo-Mirama'!C25+'Avg Week Mirama-Ntungamo'!C25</f>
        <v>0.5</v>
      </c>
      <c r="D25" s="49">
        <f>'Avg Week Ntungamo-Mirama'!D25+'Avg Week Mirama-Ntungamo'!D25</f>
        <v>0</v>
      </c>
      <c r="E25" s="49">
        <f>'Avg Week Ntungamo-Mirama'!E25+'Avg Week Mirama-Ntungamo'!E25</f>
        <v>0</v>
      </c>
      <c r="F25" s="49">
        <f>'Avg Week Ntungamo-Mirama'!F25+'Avg Week Mirama-Ntungamo'!F25</f>
        <v>0</v>
      </c>
      <c r="G25" s="49">
        <f>'Avg Week Ntungamo-Mirama'!G25+'Avg Week Mirama-Ntungamo'!G25</f>
        <v>0</v>
      </c>
      <c r="H25" s="49">
        <f>'Avg Week Ntungamo-Mirama'!H25+'Avg Week Mirama-Ntungamo'!H25</f>
        <v>0</v>
      </c>
      <c r="I25" s="49">
        <f>'Avg Week Ntungamo-Mirama'!I25+'Avg Week Mirama-Ntungamo'!I25</f>
        <v>0</v>
      </c>
      <c r="J25" s="49">
        <f>'Avg Week Ntungamo-Mirama'!J25+'Avg Week Mirama-Ntungamo'!J25</f>
        <v>0</v>
      </c>
      <c r="K25" s="49">
        <f>'Avg Week Ntungamo-Mirama'!K25+'Avg Week Mirama-Ntungamo'!K25</f>
        <v>0</v>
      </c>
      <c r="L25" s="49">
        <f>'Avg Week Ntungamo-Mirama'!L25+'Avg Week Mirama-Ntungamo'!L25</f>
        <v>1</v>
      </c>
      <c r="M25" s="49">
        <f>'Avg Week Ntungamo-Mirama'!M25+'Avg Week Mirama-Ntungamo'!M25</f>
        <v>5.5</v>
      </c>
      <c r="N25" s="49">
        <f>'Avg Week Ntungamo-Mirama'!N25+'Avg Week Mirama-Ntungamo'!N25</f>
        <v>0</v>
      </c>
      <c r="O25" s="15">
        <f t="shared" si="0"/>
        <v>1.5</v>
      </c>
      <c r="P25" s="15">
        <f t="shared" si="1"/>
        <v>7</v>
      </c>
      <c r="R25" s="1" t="s">
        <v>149</v>
      </c>
      <c r="S25" s="34">
        <f>SUM(C70:C73)</f>
        <v>1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6</v>
      </c>
      <c r="AB25" s="34">
        <f t="shared" si="17"/>
        <v>5</v>
      </c>
      <c r="AC25" s="34">
        <f t="shared" si="17"/>
        <v>0</v>
      </c>
      <c r="AD25" s="34">
        <f t="shared" si="17"/>
        <v>0</v>
      </c>
      <c r="AE25" s="31">
        <f t="shared" si="17"/>
        <v>15</v>
      </c>
      <c r="AF25" s="31">
        <f t="shared" si="17"/>
        <v>15</v>
      </c>
    </row>
    <row r="26" spans="2:32" ht="23.1" customHeight="1" x14ac:dyDescent="0.25">
      <c r="B26" s="23" t="s">
        <v>53</v>
      </c>
      <c r="C26" s="49">
        <f>'Avg Week Ntungamo-Mirama'!C26+'Avg Week Mirama-Ntungamo'!C26</f>
        <v>4</v>
      </c>
      <c r="D26" s="49">
        <f>'Avg Week Ntungamo-Mirama'!D26+'Avg Week Mirama-Ntungamo'!D26</f>
        <v>0</v>
      </c>
      <c r="E26" s="49">
        <f>'Avg Week Ntungamo-Mirama'!E26+'Avg Week Mirama-Ntungamo'!E26</f>
        <v>0</v>
      </c>
      <c r="F26" s="49">
        <f>'Avg Week Ntungamo-Mirama'!F26+'Avg Week Mirama-Ntungamo'!F26</f>
        <v>0</v>
      </c>
      <c r="G26" s="49">
        <f>'Avg Week Ntungamo-Mirama'!G26+'Avg Week Mirama-Ntungamo'!G26</f>
        <v>0</v>
      </c>
      <c r="H26" s="49">
        <f>'Avg Week Ntungamo-Mirama'!H26+'Avg Week Mirama-Ntungamo'!H26</f>
        <v>0</v>
      </c>
      <c r="I26" s="49">
        <f>'Avg Week Ntungamo-Mirama'!I26+'Avg Week Mirama-Ntungamo'!I26</f>
        <v>0</v>
      </c>
      <c r="J26" s="49">
        <f>'Avg Week Ntungamo-Mirama'!J26+'Avg Week Mirama-Ntungamo'!J26</f>
        <v>0</v>
      </c>
      <c r="K26" s="49">
        <f>'Avg Week Ntungamo-Mirama'!K26+'Avg Week Mirama-Ntungamo'!K26</f>
        <v>0</v>
      </c>
      <c r="L26" s="49">
        <f>'Avg Week Ntungamo-Mirama'!L26+'Avg Week Mirama-Ntungamo'!L26</f>
        <v>3.5</v>
      </c>
      <c r="M26" s="49">
        <f>'Avg Week Ntungamo-Mirama'!M26+'Avg Week Mirama-Ntungamo'!M26</f>
        <v>4.5</v>
      </c>
      <c r="N26" s="49">
        <f>'Avg Week Ntungamo-Mirama'!N26+'Avg Week Mirama-Ntungamo'!N26</f>
        <v>0</v>
      </c>
      <c r="O26" s="15">
        <f t="shared" si="0"/>
        <v>7.5</v>
      </c>
      <c r="P26" s="15">
        <f t="shared" si="1"/>
        <v>12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4</v>
      </c>
      <c r="AB26" s="34">
        <f t="shared" si="18"/>
        <v>10</v>
      </c>
      <c r="AC26" s="34">
        <f t="shared" si="18"/>
        <v>0</v>
      </c>
      <c r="AD26" s="34">
        <f t="shared" si="18"/>
        <v>0</v>
      </c>
      <c r="AE26" s="31">
        <f t="shared" si="18"/>
        <v>15</v>
      </c>
      <c r="AF26" s="31">
        <f t="shared" si="18"/>
        <v>15</v>
      </c>
    </row>
    <row r="27" spans="2:32" ht="23.1" customHeight="1" x14ac:dyDescent="0.25">
      <c r="B27" s="23" t="s">
        <v>54</v>
      </c>
      <c r="C27" s="49">
        <f>'Avg Week Ntungamo-Mirama'!C27+'Avg Week Mirama-Ntungamo'!C27</f>
        <v>2</v>
      </c>
      <c r="D27" s="49">
        <f>'Avg Week Ntungamo-Mirama'!D27+'Avg Week Mirama-Ntungamo'!D27</f>
        <v>0</v>
      </c>
      <c r="E27" s="49">
        <f>'Avg Week Ntungamo-Mirama'!E27+'Avg Week Mirama-Ntungamo'!E27</f>
        <v>1</v>
      </c>
      <c r="F27" s="49">
        <f>'Avg Week Ntungamo-Mirama'!F27+'Avg Week Mirama-Ntungamo'!F27</f>
        <v>0</v>
      </c>
      <c r="G27" s="49">
        <f>'Avg Week Ntungamo-Mirama'!G27+'Avg Week Mirama-Ntungamo'!G27</f>
        <v>0</v>
      </c>
      <c r="H27" s="49">
        <f>'Avg Week Ntungamo-Mirama'!H27+'Avg Week Mirama-Ntungamo'!H27</f>
        <v>0</v>
      </c>
      <c r="I27" s="49">
        <f>'Avg Week Ntungamo-Mirama'!I27+'Avg Week Mirama-Ntungamo'!I27</f>
        <v>0</v>
      </c>
      <c r="J27" s="49">
        <f>'Avg Week Ntungamo-Mirama'!J27+'Avg Week Mirama-Ntungamo'!J27</f>
        <v>0</v>
      </c>
      <c r="K27" s="49">
        <f>'Avg Week Ntungamo-Mirama'!K27+'Avg Week Mirama-Ntungamo'!K27</f>
        <v>0</v>
      </c>
      <c r="L27" s="49">
        <f>'Avg Week Ntungamo-Mirama'!L27+'Avg Week Mirama-Ntungamo'!L27</f>
        <v>4</v>
      </c>
      <c r="M27" s="49">
        <f>'Avg Week Ntungamo-Mirama'!M27+'Avg Week Mirama-Ntungamo'!M27</f>
        <v>8</v>
      </c>
      <c r="N27" s="49">
        <f>'Avg Week Ntungamo-Mirama'!N27+'Avg Week Mirama-Ntungamo'!N27</f>
        <v>0</v>
      </c>
      <c r="O27" s="15">
        <f t="shared" si="0"/>
        <v>7</v>
      </c>
      <c r="P27" s="15">
        <f t="shared" si="1"/>
        <v>15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2</v>
      </c>
      <c r="AC27" s="34">
        <f t="shared" si="19"/>
        <v>0</v>
      </c>
      <c r="AD27" s="34">
        <f t="shared" si="19"/>
        <v>0</v>
      </c>
      <c r="AE27" s="31">
        <f t="shared" si="19"/>
        <v>3</v>
      </c>
      <c r="AF27" s="31">
        <f t="shared" si="19"/>
        <v>3</v>
      </c>
    </row>
    <row r="28" spans="2:32" ht="23.1" customHeight="1" x14ac:dyDescent="0.25">
      <c r="B28" s="23" t="s">
        <v>55</v>
      </c>
      <c r="C28" s="49">
        <f>'Avg Week Ntungamo-Mirama'!C28+'Avg Week Mirama-Ntungamo'!C28</f>
        <v>3.5</v>
      </c>
      <c r="D28" s="49">
        <f>'Avg Week Ntungamo-Mirama'!D28+'Avg Week Mirama-Ntungamo'!D28</f>
        <v>0</v>
      </c>
      <c r="E28" s="49">
        <f>'Avg Week Ntungamo-Mirama'!E28+'Avg Week Mirama-Ntungamo'!E28</f>
        <v>0</v>
      </c>
      <c r="F28" s="49">
        <f>'Avg Week Ntungamo-Mirama'!F28+'Avg Week Mirama-Ntungamo'!F28</f>
        <v>0</v>
      </c>
      <c r="G28" s="49">
        <f>'Avg Week Ntungamo-Mirama'!G28+'Avg Week Mirama-Ntungamo'!G28</f>
        <v>0</v>
      </c>
      <c r="H28" s="49">
        <f>'Avg Week Ntungamo-Mirama'!H28+'Avg Week Mirama-Ntungamo'!H28</f>
        <v>0</v>
      </c>
      <c r="I28" s="49">
        <f>'Avg Week Ntungamo-Mirama'!I28+'Avg Week Mirama-Ntungamo'!I28</f>
        <v>0</v>
      </c>
      <c r="J28" s="49">
        <f>'Avg Week Ntungamo-Mirama'!J28+'Avg Week Mirama-Ntungamo'!J28</f>
        <v>0</v>
      </c>
      <c r="K28" s="49">
        <f>'Avg Week Ntungamo-Mirama'!K28+'Avg Week Mirama-Ntungamo'!K28</f>
        <v>0</v>
      </c>
      <c r="L28" s="49">
        <f>'Avg Week Ntungamo-Mirama'!L28+'Avg Week Mirama-Ntungamo'!L28</f>
        <v>3</v>
      </c>
      <c r="M28" s="49">
        <f>'Avg Week Ntungamo-Mirama'!M28+'Avg Week Mirama-Ntungamo'!M28</f>
        <v>5</v>
      </c>
      <c r="N28" s="49">
        <f>'Avg Week Ntungamo-Mirama'!N28+'Avg Week Mirama-Ntungamo'!N28</f>
        <v>0</v>
      </c>
      <c r="O28" s="15">
        <f t="shared" si="0"/>
        <v>6.5</v>
      </c>
      <c r="P28" s="15">
        <f t="shared" si="1"/>
        <v>11.5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23" t="s">
        <v>56</v>
      </c>
      <c r="C29" s="49">
        <f>'Avg Week Ntungamo-Mirama'!C29+'Avg Week Mirama-Ntungamo'!C29</f>
        <v>0.5</v>
      </c>
      <c r="D29" s="49">
        <f>'Avg Week Ntungamo-Mirama'!D29+'Avg Week Mirama-Ntungamo'!D29</f>
        <v>0</v>
      </c>
      <c r="E29" s="49">
        <f>'Avg Week Ntungamo-Mirama'!E29+'Avg Week Mirama-Ntungamo'!E29</f>
        <v>0.5</v>
      </c>
      <c r="F29" s="49">
        <f>'Avg Week Ntungamo-Mirama'!F29+'Avg Week Mirama-Ntungamo'!F29</f>
        <v>0</v>
      </c>
      <c r="G29" s="49">
        <f>'Avg Week Ntungamo-Mirama'!G29+'Avg Week Mirama-Ntungamo'!G29</f>
        <v>0</v>
      </c>
      <c r="H29" s="49">
        <f>'Avg Week Ntungamo-Mirama'!H29+'Avg Week Mirama-Ntungamo'!H29</f>
        <v>0</v>
      </c>
      <c r="I29" s="49">
        <f>'Avg Week Ntungamo-Mirama'!I29+'Avg Week Mirama-Ntungamo'!I29</f>
        <v>0</v>
      </c>
      <c r="J29" s="49">
        <f>'Avg Week Ntungamo-Mirama'!J29+'Avg Week Mirama-Ntungamo'!J29</f>
        <v>0</v>
      </c>
      <c r="K29" s="49">
        <f>'Avg Week Ntungamo-Mirama'!K29+'Avg Week Mirama-Ntungamo'!K29</f>
        <v>0</v>
      </c>
      <c r="L29" s="49">
        <f>'Avg Week Ntungamo-Mirama'!L29+'Avg Week Mirama-Ntungamo'!L29</f>
        <v>0.5</v>
      </c>
      <c r="M29" s="49">
        <f>'Avg Week Ntungamo-Mirama'!M29+'Avg Week Mirama-Ntungamo'!M29</f>
        <v>6.5</v>
      </c>
      <c r="N29" s="49">
        <f>'Avg Week Ntungamo-Mirama'!N29+'Avg Week Mirama-Ntungamo'!N29</f>
        <v>0</v>
      </c>
      <c r="O29" s="15">
        <f t="shared" si="0"/>
        <v>1.5</v>
      </c>
      <c r="P29" s="15">
        <f t="shared" si="1"/>
        <v>8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23" t="s">
        <v>57</v>
      </c>
      <c r="C30" s="49">
        <f>'Avg Week Ntungamo-Mirama'!C30+'Avg Week Mirama-Ntungamo'!C30</f>
        <v>4</v>
      </c>
      <c r="D30" s="49">
        <f>'Avg Week Ntungamo-Mirama'!D30+'Avg Week Mirama-Ntungamo'!D30</f>
        <v>0</v>
      </c>
      <c r="E30" s="49">
        <f>'Avg Week Ntungamo-Mirama'!E30+'Avg Week Mirama-Ntungamo'!E30</f>
        <v>0</v>
      </c>
      <c r="F30" s="49">
        <f>'Avg Week Ntungamo-Mirama'!F30+'Avg Week Mirama-Ntungamo'!F30</f>
        <v>0</v>
      </c>
      <c r="G30" s="49">
        <f>'Avg Week Ntungamo-Mirama'!G30+'Avg Week Mirama-Ntungamo'!G30</f>
        <v>0</v>
      </c>
      <c r="H30" s="49">
        <f>'Avg Week Ntungamo-Mirama'!H30+'Avg Week Mirama-Ntungamo'!H30</f>
        <v>0</v>
      </c>
      <c r="I30" s="49">
        <f>'Avg Week Ntungamo-Mirama'!I30+'Avg Week Mirama-Ntungamo'!I30</f>
        <v>1.5</v>
      </c>
      <c r="J30" s="49">
        <f>'Avg Week Ntungamo-Mirama'!J30+'Avg Week Mirama-Ntungamo'!J30</f>
        <v>0.5</v>
      </c>
      <c r="K30" s="49">
        <f>'Avg Week Ntungamo-Mirama'!K30+'Avg Week Mirama-Ntungamo'!K30</f>
        <v>1</v>
      </c>
      <c r="L30" s="49">
        <f>'Avg Week Ntungamo-Mirama'!L30+'Avg Week Mirama-Ntungamo'!L30</f>
        <v>0.5</v>
      </c>
      <c r="M30" s="49">
        <f>'Avg Week Ntungamo-Mirama'!M30+'Avg Week Mirama-Ntungamo'!M30</f>
        <v>7</v>
      </c>
      <c r="N30" s="49">
        <f>'Avg Week Ntungamo-Mirama'!N30+'Avg Week Mirama-Ntungamo'!N30</f>
        <v>0</v>
      </c>
      <c r="O30" s="15">
        <f t="shared" si="0"/>
        <v>7.5</v>
      </c>
      <c r="P30" s="15">
        <f t="shared" si="1"/>
        <v>14.5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'Avg Week Ntungamo-Mirama'!C31+'Avg Week Mirama-Ntungamo'!C31</f>
        <v>2</v>
      </c>
      <c r="D31" s="49">
        <f>'Avg Week Ntungamo-Mirama'!D31+'Avg Week Mirama-Ntungamo'!D31</f>
        <v>0</v>
      </c>
      <c r="E31" s="49">
        <f>'Avg Week Ntungamo-Mirama'!E31+'Avg Week Mirama-Ntungamo'!E31</f>
        <v>0</v>
      </c>
      <c r="F31" s="49">
        <f>'Avg Week Ntungamo-Mirama'!F31+'Avg Week Mirama-Ntungamo'!F31</f>
        <v>0</v>
      </c>
      <c r="G31" s="49">
        <f>'Avg Week Ntungamo-Mirama'!G31+'Avg Week Mirama-Ntungamo'!G31</f>
        <v>0</v>
      </c>
      <c r="H31" s="49">
        <f>'Avg Week Ntungamo-Mirama'!H31+'Avg Week Mirama-Ntungamo'!H31</f>
        <v>0</v>
      </c>
      <c r="I31" s="49">
        <f>'Avg Week Ntungamo-Mirama'!I31+'Avg Week Mirama-Ntungamo'!I31</f>
        <v>0</v>
      </c>
      <c r="J31" s="49">
        <f>'Avg Week Ntungamo-Mirama'!J31+'Avg Week Mirama-Ntungamo'!J31</f>
        <v>0</v>
      </c>
      <c r="K31" s="49">
        <f>'Avg Week Ntungamo-Mirama'!K31+'Avg Week Mirama-Ntungamo'!K31</f>
        <v>2</v>
      </c>
      <c r="L31" s="49">
        <f>'Avg Week Ntungamo-Mirama'!L31+'Avg Week Mirama-Ntungamo'!L31</f>
        <v>2.5</v>
      </c>
      <c r="M31" s="49">
        <f>'Avg Week Ntungamo-Mirama'!M31+'Avg Week Mirama-Ntungamo'!M31</f>
        <v>8.5</v>
      </c>
      <c r="N31" s="49">
        <f>'Avg Week Ntungamo-Mirama'!N31+'Avg Week Mirama-Ntungamo'!N31</f>
        <v>0</v>
      </c>
      <c r="O31" s="15">
        <f t="shared" si="0"/>
        <v>6.5</v>
      </c>
      <c r="P31" s="15">
        <f t="shared" si="1"/>
        <v>15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2</v>
      </c>
      <c r="AC31" s="34">
        <f t="shared" si="23"/>
        <v>1</v>
      </c>
      <c r="AD31" s="34">
        <f t="shared" si="23"/>
        <v>0</v>
      </c>
      <c r="AE31" s="31">
        <f t="shared" si="23"/>
        <v>2</v>
      </c>
      <c r="AF31" s="31">
        <f t="shared" si="23"/>
        <v>3</v>
      </c>
    </row>
    <row r="32" spans="2:32" ht="23.1" customHeight="1" x14ac:dyDescent="0.25">
      <c r="B32" s="24" t="s">
        <v>59</v>
      </c>
      <c r="C32" s="49">
        <f>'Avg Week Ntungamo-Mirama'!C32+'Avg Week Mirama-Ntungamo'!C32</f>
        <v>2</v>
      </c>
      <c r="D32" s="49">
        <f>'Avg Week Ntungamo-Mirama'!D32+'Avg Week Mirama-Ntungamo'!D32</f>
        <v>0</v>
      </c>
      <c r="E32" s="49">
        <f>'Avg Week Ntungamo-Mirama'!E32+'Avg Week Mirama-Ntungamo'!E32</f>
        <v>0</v>
      </c>
      <c r="F32" s="49">
        <f>'Avg Week Ntungamo-Mirama'!F32+'Avg Week Mirama-Ntungamo'!F32</f>
        <v>0</v>
      </c>
      <c r="G32" s="49">
        <f>'Avg Week Ntungamo-Mirama'!G32+'Avg Week Mirama-Ntungamo'!G32</f>
        <v>0</v>
      </c>
      <c r="H32" s="49">
        <f>'Avg Week Ntungamo-Mirama'!H32+'Avg Week Mirama-Ntungamo'!H32</f>
        <v>0</v>
      </c>
      <c r="I32" s="49">
        <f>'Avg Week Ntungamo-Mirama'!I32+'Avg Week Mirama-Ntungamo'!I32</f>
        <v>1</v>
      </c>
      <c r="J32" s="49">
        <f>'Avg Week Ntungamo-Mirama'!J32+'Avg Week Mirama-Ntungamo'!J32</f>
        <v>0.5</v>
      </c>
      <c r="K32" s="49">
        <f>'Avg Week Ntungamo-Mirama'!K32+'Avg Week Mirama-Ntungamo'!K32</f>
        <v>0</v>
      </c>
      <c r="L32" s="49">
        <f>'Avg Week Ntungamo-Mirama'!L32+'Avg Week Mirama-Ntungamo'!L32</f>
        <v>2.5</v>
      </c>
      <c r="M32" s="49">
        <f>'Avg Week Ntungamo-Mirama'!M32+'Avg Week Mirama-Ntungamo'!M32</f>
        <v>7</v>
      </c>
      <c r="N32" s="49">
        <f>'Avg Week Ntungamo-Mirama'!N32+'Avg Week Mirama-Ntungamo'!N32</f>
        <v>0</v>
      </c>
      <c r="O32" s="15">
        <f t="shared" si="0"/>
        <v>6</v>
      </c>
      <c r="P32" s="15">
        <f t="shared" si="1"/>
        <v>13</v>
      </c>
      <c r="R32" s="1" t="s">
        <v>156</v>
      </c>
      <c r="S32" s="34">
        <f>SUM(C98:C101)</f>
        <v>5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5</v>
      </c>
      <c r="AB32" s="34">
        <f t="shared" si="24"/>
        <v>16</v>
      </c>
      <c r="AC32" s="34">
        <f t="shared" si="24"/>
        <v>11</v>
      </c>
      <c r="AD32" s="34">
        <f t="shared" si="24"/>
        <v>0</v>
      </c>
      <c r="AE32" s="31">
        <f t="shared" si="24"/>
        <v>28</v>
      </c>
      <c r="AF32" s="31">
        <f t="shared" si="24"/>
        <v>39</v>
      </c>
    </row>
    <row r="33" spans="2:32" ht="23.1" customHeight="1" x14ac:dyDescent="0.25">
      <c r="B33" s="23" t="s">
        <v>60</v>
      </c>
      <c r="C33" s="49">
        <f>'Avg Week Ntungamo-Mirama'!C33+'Avg Week Mirama-Ntungamo'!C33</f>
        <v>0.5</v>
      </c>
      <c r="D33" s="49">
        <f>'Avg Week Ntungamo-Mirama'!D33+'Avg Week Mirama-Ntungamo'!D33</f>
        <v>0</v>
      </c>
      <c r="E33" s="49">
        <f>'Avg Week Ntungamo-Mirama'!E33+'Avg Week Mirama-Ntungamo'!E33</f>
        <v>0</v>
      </c>
      <c r="F33" s="49">
        <f>'Avg Week Ntungamo-Mirama'!F33+'Avg Week Mirama-Ntungamo'!F33</f>
        <v>0</v>
      </c>
      <c r="G33" s="49">
        <f>'Avg Week Ntungamo-Mirama'!G33+'Avg Week Mirama-Ntungamo'!G33</f>
        <v>0</v>
      </c>
      <c r="H33" s="49">
        <f>'Avg Week Ntungamo-Mirama'!H33+'Avg Week Mirama-Ntungamo'!H33</f>
        <v>0</v>
      </c>
      <c r="I33" s="49">
        <f>'Avg Week Ntungamo-Mirama'!I33+'Avg Week Mirama-Ntungamo'!I33</f>
        <v>0</v>
      </c>
      <c r="J33" s="49">
        <f>'Avg Week Ntungamo-Mirama'!J33+'Avg Week Mirama-Ntungamo'!J33</f>
        <v>0</v>
      </c>
      <c r="K33" s="49">
        <f>'Avg Week Ntungamo-Mirama'!K33+'Avg Week Mirama-Ntungamo'!K33</f>
        <v>0</v>
      </c>
      <c r="L33" s="49">
        <f>'Avg Week Ntungamo-Mirama'!L33+'Avg Week Mirama-Ntungamo'!L33</f>
        <v>0</v>
      </c>
      <c r="M33" s="49">
        <f>'Avg Week Ntungamo-Mirama'!M33+'Avg Week Mirama-Ntungamo'!M33</f>
        <v>4.5</v>
      </c>
      <c r="N33" s="49">
        <f>'Avg Week Ntungamo-Mirama'!N33+'Avg Week Mirama-Ntungamo'!N33</f>
        <v>0</v>
      </c>
      <c r="O33" s="15">
        <f t="shared" si="0"/>
        <v>0.5</v>
      </c>
      <c r="P33" s="15">
        <f t="shared" si="1"/>
        <v>5</v>
      </c>
      <c r="R33" s="1" t="s">
        <v>157</v>
      </c>
      <c r="S33" s="34">
        <f>SUM(C102:C105)</f>
        <v>4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4</v>
      </c>
      <c r="AA33" s="34">
        <f t="shared" si="25"/>
        <v>21</v>
      </c>
      <c r="AB33" s="34">
        <f t="shared" si="25"/>
        <v>31</v>
      </c>
      <c r="AC33" s="34">
        <f t="shared" si="25"/>
        <v>18</v>
      </c>
      <c r="AD33" s="34">
        <f t="shared" si="25"/>
        <v>0</v>
      </c>
      <c r="AE33" s="31">
        <f t="shared" si="25"/>
        <v>67</v>
      </c>
      <c r="AF33" s="31">
        <f t="shared" si="25"/>
        <v>85</v>
      </c>
    </row>
    <row r="34" spans="2:32" ht="23.1" customHeight="1" x14ac:dyDescent="0.25">
      <c r="B34" s="24" t="s">
        <v>61</v>
      </c>
      <c r="C34" s="49">
        <f>'Avg Week Ntungamo-Mirama'!C34+'Avg Week Mirama-Ntungamo'!C34</f>
        <v>4.5</v>
      </c>
      <c r="D34" s="49">
        <f>'Avg Week Ntungamo-Mirama'!D34+'Avg Week Mirama-Ntungamo'!D34</f>
        <v>1</v>
      </c>
      <c r="E34" s="49">
        <f>'Avg Week Ntungamo-Mirama'!E34+'Avg Week Mirama-Ntungamo'!E34</f>
        <v>1</v>
      </c>
      <c r="F34" s="49">
        <f>'Avg Week Ntungamo-Mirama'!F34+'Avg Week Mirama-Ntungamo'!F34</f>
        <v>0</v>
      </c>
      <c r="G34" s="49">
        <f>'Avg Week Ntungamo-Mirama'!G34+'Avg Week Mirama-Ntungamo'!G34</f>
        <v>0</v>
      </c>
      <c r="H34" s="49">
        <f>'Avg Week Ntungamo-Mirama'!H34+'Avg Week Mirama-Ntungamo'!H34</f>
        <v>0</v>
      </c>
      <c r="I34" s="49">
        <f>'Avg Week Ntungamo-Mirama'!I34+'Avg Week Mirama-Ntungamo'!I34</f>
        <v>0</v>
      </c>
      <c r="J34" s="49">
        <f>'Avg Week Ntungamo-Mirama'!J34+'Avg Week Mirama-Ntungamo'!J34</f>
        <v>1</v>
      </c>
      <c r="K34" s="49">
        <f>'Avg Week Ntungamo-Mirama'!K34+'Avg Week Mirama-Ntungamo'!K34</f>
        <v>0.5</v>
      </c>
      <c r="L34" s="49">
        <f>'Avg Week Ntungamo-Mirama'!L34+'Avg Week Mirama-Ntungamo'!L34</f>
        <v>4</v>
      </c>
      <c r="M34" s="49">
        <f>'Avg Week Ntungamo-Mirama'!M34+'Avg Week Mirama-Ntungamo'!M34</f>
        <v>5.5</v>
      </c>
      <c r="N34" s="49">
        <f>'Avg Week Ntungamo-Mirama'!N34+'Avg Week Mirama-Ntungamo'!N34</f>
        <v>0</v>
      </c>
      <c r="O34" s="15">
        <f t="shared" si="0"/>
        <v>12</v>
      </c>
      <c r="P34" s="15">
        <f t="shared" si="1"/>
        <v>17.5</v>
      </c>
      <c r="R34" s="51" t="s">
        <v>90</v>
      </c>
      <c r="S34" s="52">
        <f t="shared" ref="S34:AF34" si="26">MAX(S10:S12)</f>
        <v>10</v>
      </c>
      <c r="T34" s="52">
        <f t="shared" si="26"/>
        <v>5</v>
      </c>
      <c r="U34" s="52">
        <f t="shared" si="26"/>
        <v>0</v>
      </c>
      <c r="V34" s="52">
        <f t="shared" si="26"/>
        <v>0.5</v>
      </c>
      <c r="W34" s="52">
        <f t="shared" si="26"/>
        <v>0</v>
      </c>
      <c r="X34" s="52">
        <f t="shared" si="26"/>
        <v>0</v>
      </c>
      <c r="Y34" s="52">
        <f t="shared" si="26"/>
        <v>2.5</v>
      </c>
      <c r="Z34" s="52">
        <f t="shared" si="26"/>
        <v>1.5</v>
      </c>
      <c r="AA34" s="52">
        <f t="shared" si="26"/>
        <v>5</v>
      </c>
      <c r="AB34" s="52">
        <f t="shared" si="26"/>
        <v>12.5</v>
      </c>
      <c r="AC34" s="52">
        <f t="shared" si="26"/>
        <v>25</v>
      </c>
      <c r="AD34" s="52">
        <f t="shared" si="26"/>
        <v>0</v>
      </c>
      <c r="AE34" s="40">
        <f t="shared" si="26"/>
        <v>34</v>
      </c>
      <c r="AF34" s="40">
        <f t="shared" si="26"/>
        <v>59</v>
      </c>
    </row>
    <row r="35" spans="2:32" ht="23.1" customHeight="1" x14ac:dyDescent="0.25">
      <c r="B35" s="24" t="s">
        <v>62</v>
      </c>
      <c r="C35" s="49">
        <f>'Avg Week Ntungamo-Mirama'!C35+'Avg Week Mirama-Ntungamo'!C35</f>
        <v>0.5</v>
      </c>
      <c r="D35" s="49">
        <f>'Avg Week Ntungamo-Mirama'!D35+'Avg Week Mirama-Ntungamo'!D35</f>
        <v>0.5</v>
      </c>
      <c r="E35" s="49">
        <f>'Avg Week Ntungamo-Mirama'!E35+'Avg Week Mirama-Ntungamo'!E35</f>
        <v>0.5</v>
      </c>
      <c r="F35" s="49">
        <f>'Avg Week Ntungamo-Mirama'!F35+'Avg Week Mirama-Ntungamo'!F35</f>
        <v>0</v>
      </c>
      <c r="G35" s="49">
        <f>'Avg Week Ntungamo-Mirama'!G35+'Avg Week Mirama-Ntungamo'!G35</f>
        <v>0</v>
      </c>
      <c r="H35" s="49">
        <f>'Avg Week Ntungamo-Mirama'!H35+'Avg Week Mirama-Ntungamo'!H35</f>
        <v>0</v>
      </c>
      <c r="I35" s="49">
        <f>'Avg Week Ntungamo-Mirama'!I35+'Avg Week Mirama-Ntungamo'!I35</f>
        <v>0</v>
      </c>
      <c r="J35" s="49">
        <f>'Avg Week Ntungamo-Mirama'!J35+'Avg Week Mirama-Ntungamo'!J35</f>
        <v>0</v>
      </c>
      <c r="K35" s="49">
        <f>'Avg Week Ntungamo-Mirama'!K35+'Avg Week Mirama-Ntungamo'!K35</f>
        <v>1.5</v>
      </c>
      <c r="L35" s="49">
        <f>'Avg Week Ntungamo-Mirama'!L35+'Avg Week Mirama-Ntungamo'!L35</f>
        <v>2.5</v>
      </c>
      <c r="M35" s="49">
        <f>'Avg Week Ntungamo-Mirama'!M35+'Avg Week Mirama-Ntungamo'!M35</f>
        <v>3.5</v>
      </c>
      <c r="N35" s="49">
        <f>'Avg Week Ntungamo-Mirama'!N35+'Avg Week Mirama-Ntungamo'!N35</f>
        <v>0</v>
      </c>
      <c r="O35" s="15">
        <f t="shared" si="0"/>
        <v>5.5</v>
      </c>
      <c r="P35" s="15">
        <f t="shared" si="1"/>
        <v>9</v>
      </c>
      <c r="R35" s="51" t="s">
        <v>91</v>
      </c>
      <c r="S35" s="52">
        <f t="shared" ref="S35:AF35" si="27">MAX(S13:S18)</f>
        <v>10</v>
      </c>
      <c r="T35" s="52">
        <f t="shared" si="27"/>
        <v>2</v>
      </c>
      <c r="U35" s="52">
        <f t="shared" si="27"/>
        <v>2.5</v>
      </c>
      <c r="V35" s="52">
        <f t="shared" si="27"/>
        <v>0</v>
      </c>
      <c r="W35" s="52">
        <f t="shared" si="27"/>
        <v>0.5</v>
      </c>
      <c r="X35" s="52">
        <f t="shared" si="27"/>
        <v>0.5</v>
      </c>
      <c r="Y35" s="52">
        <f t="shared" si="27"/>
        <v>2.5</v>
      </c>
      <c r="Z35" s="52">
        <f t="shared" si="27"/>
        <v>1</v>
      </c>
      <c r="AA35" s="52">
        <f t="shared" si="27"/>
        <v>3.5</v>
      </c>
      <c r="AB35" s="52">
        <f t="shared" si="27"/>
        <v>13.5</v>
      </c>
      <c r="AC35" s="52">
        <f t="shared" si="27"/>
        <v>37</v>
      </c>
      <c r="AD35" s="52">
        <f t="shared" si="27"/>
        <v>0</v>
      </c>
      <c r="AE35" s="40">
        <f t="shared" si="27"/>
        <v>32.5</v>
      </c>
      <c r="AF35" s="40">
        <f t="shared" si="27"/>
        <v>62</v>
      </c>
    </row>
    <row r="36" spans="2:32" ht="23.1" customHeight="1" x14ac:dyDescent="0.25">
      <c r="B36" s="24" t="s">
        <v>63</v>
      </c>
      <c r="C36" s="49">
        <f>'Avg Week Ntungamo-Mirama'!C36+'Avg Week Mirama-Ntungamo'!C36</f>
        <v>0.5</v>
      </c>
      <c r="D36" s="49">
        <f>'Avg Week Ntungamo-Mirama'!D36+'Avg Week Mirama-Ntungamo'!D36</f>
        <v>0</v>
      </c>
      <c r="E36" s="49">
        <f>'Avg Week Ntungamo-Mirama'!E36+'Avg Week Mirama-Ntungamo'!E36</f>
        <v>0.5</v>
      </c>
      <c r="F36" s="49">
        <f>'Avg Week Ntungamo-Mirama'!F36+'Avg Week Mirama-Ntungamo'!F36</f>
        <v>0</v>
      </c>
      <c r="G36" s="49">
        <f>'Avg Week Ntungamo-Mirama'!G36+'Avg Week Mirama-Ntungamo'!G36</f>
        <v>0</v>
      </c>
      <c r="H36" s="49">
        <f>'Avg Week Ntungamo-Mirama'!H36+'Avg Week Mirama-Ntungamo'!H36</f>
        <v>0</v>
      </c>
      <c r="I36" s="49">
        <f>'Avg Week Ntungamo-Mirama'!I36+'Avg Week Mirama-Ntungamo'!I36</f>
        <v>0.5</v>
      </c>
      <c r="J36" s="49">
        <f>'Avg Week Ntungamo-Mirama'!J36+'Avg Week Mirama-Ntungamo'!J36</f>
        <v>0</v>
      </c>
      <c r="K36" s="49">
        <f>'Avg Week Ntungamo-Mirama'!K36+'Avg Week Mirama-Ntungamo'!K36</f>
        <v>1</v>
      </c>
      <c r="L36" s="49">
        <f>'Avg Week Ntungamo-Mirama'!L36+'Avg Week Mirama-Ntungamo'!L36</f>
        <v>3</v>
      </c>
      <c r="M36" s="49">
        <f>'Avg Week Ntungamo-Mirama'!M36+'Avg Week Mirama-Ntungamo'!M36</f>
        <v>6.5</v>
      </c>
      <c r="N36" s="49">
        <f>'Avg Week Ntungamo-Mirama'!N36+'Avg Week Mirama-Ntungamo'!N36</f>
        <v>0</v>
      </c>
      <c r="O36" s="15">
        <f t="shared" si="0"/>
        <v>5.5</v>
      </c>
      <c r="P36" s="15">
        <f t="shared" si="1"/>
        <v>12</v>
      </c>
      <c r="R36" s="51" t="s">
        <v>92</v>
      </c>
      <c r="S36" s="52">
        <f t="shared" ref="S36:AF36" si="28">MAX(S19:S21)</f>
        <v>15</v>
      </c>
      <c r="T36" s="52">
        <f t="shared" si="28"/>
        <v>2</v>
      </c>
      <c r="U36" s="52">
        <f t="shared" si="28"/>
        <v>1.5</v>
      </c>
      <c r="V36" s="52">
        <f t="shared" si="28"/>
        <v>0.5</v>
      </c>
      <c r="W36" s="52">
        <f t="shared" si="28"/>
        <v>0.5</v>
      </c>
      <c r="X36" s="52">
        <f t="shared" si="28"/>
        <v>0</v>
      </c>
      <c r="Y36" s="52">
        <f t="shared" si="28"/>
        <v>1.5</v>
      </c>
      <c r="Z36" s="52">
        <f t="shared" si="28"/>
        <v>5</v>
      </c>
      <c r="AA36" s="52">
        <f t="shared" si="28"/>
        <v>2.5</v>
      </c>
      <c r="AB36" s="52">
        <f t="shared" si="28"/>
        <v>9</v>
      </c>
      <c r="AC36" s="52">
        <f t="shared" si="28"/>
        <v>30.5</v>
      </c>
      <c r="AD36" s="52">
        <f t="shared" si="28"/>
        <v>0</v>
      </c>
      <c r="AE36" s="40">
        <f t="shared" si="28"/>
        <v>29</v>
      </c>
      <c r="AF36" s="40">
        <f t="shared" si="28"/>
        <v>59.5</v>
      </c>
    </row>
    <row r="37" spans="2:32" ht="23.1" customHeight="1" x14ac:dyDescent="0.25">
      <c r="B37" s="23" t="s">
        <v>64</v>
      </c>
      <c r="C37" s="49">
        <f>'Avg Week Ntungamo-Mirama'!C37+'Avg Week Mirama-Ntungamo'!C37</f>
        <v>4.5</v>
      </c>
      <c r="D37" s="49">
        <f>'Avg Week Ntungamo-Mirama'!D37+'Avg Week Mirama-Ntungamo'!D37</f>
        <v>0</v>
      </c>
      <c r="E37" s="49">
        <f>'Avg Week Ntungamo-Mirama'!E37+'Avg Week Mirama-Ntungamo'!E37</f>
        <v>0.5</v>
      </c>
      <c r="F37" s="49">
        <f>'Avg Week Ntungamo-Mirama'!F37+'Avg Week Mirama-Ntungamo'!F37</f>
        <v>0</v>
      </c>
      <c r="G37" s="49">
        <f>'Avg Week Ntungamo-Mirama'!G37+'Avg Week Mirama-Ntungamo'!G37</f>
        <v>0</v>
      </c>
      <c r="H37" s="49">
        <f>'Avg Week Ntungamo-Mirama'!H37+'Avg Week Mirama-Ntungamo'!H37</f>
        <v>0</v>
      </c>
      <c r="I37" s="49">
        <f>'Avg Week Ntungamo-Mirama'!I37+'Avg Week Mirama-Ntungamo'!I37</f>
        <v>0</v>
      </c>
      <c r="J37" s="49">
        <f>'Avg Week Ntungamo-Mirama'!J37+'Avg Week Mirama-Ntungamo'!J37</f>
        <v>0</v>
      </c>
      <c r="K37" s="49">
        <f>'Avg Week Ntungamo-Mirama'!K37+'Avg Week Mirama-Ntungamo'!K37</f>
        <v>0.5</v>
      </c>
      <c r="L37" s="49">
        <f>'Avg Week Ntungamo-Mirama'!L37+'Avg Week Mirama-Ntungamo'!L37</f>
        <v>4</v>
      </c>
      <c r="M37" s="49">
        <f>'Avg Week Ntungamo-Mirama'!M37+'Avg Week Mirama-Ntungamo'!M37</f>
        <v>4.5</v>
      </c>
      <c r="N37" s="49">
        <f>'Avg Week Ntungamo-Mirama'!N37+'Avg Week Mirama-Ntungamo'!N37</f>
        <v>0</v>
      </c>
      <c r="O37" s="15">
        <f t="shared" si="0"/>
        <v>9.5</v>
      </c>
      <c r="P37" s="15">
        <f t="shared" si="1"/>
        <v>14</v>
      </c>
      <c r="R37" s="37" t="s">
        <v>85</v>
      </c>
      <c r="S37" s="53">
        <f t="shared" ref="S37:AF37" si="29">SUM(S10:S12)</f>
        <v>19</v>
      </c>
      <c r="T37" s="54">
        <f t="shared" si="29"/>
        <v>5.5</v>
      </c>
      <c r="U37" s="54">
        <f t="shared" si="29"/>
        <v>0</v>
      </c>
      <c r="V37" s="54">
        <f t="shared" si="29"/>
        <v>1</v>
      </c>
      <c r="W37" s="54">
        <f t="shared" si="29"/>
        <v>0</v>
      </c>
      <c r="X37" s="54">
        <f t="shared" si="29"/>
        <v>0</v>
      </c>
      <c r="Y37" s="54">
        <f t="shared" si="29"/>
        <v>2.5</v>
      </c>
      <c r="Z37" s="54">
        <f t="shared" si="29"/>
        <v>2.5</v>
      </c>
      <c r="AA37" s="54">
        <f t="shared" si="29"/>
        <v>7</v>
      </c>
      <c r="AB37" s="54">
        <f t="shared" si="29"/>
        <v>23</v>
      </c>
      <c r="AC37" s="54">
        <f t="shared" si="29"/>
        <v>57</v>
      </c>
      <c r="AD37" s="54">
        <f t="shared" si="29"/>
        <v>0</v>
      </c>
      <c r="AE37" s="55">
        <f t="shared" si="29"/>
        <v>60.5</v>
      </c>
      <c r="AF37" s="55">
        <f t="shared" si="29"/>
        <v>117.5</v>
      </c>
    </row>
    <row r="38" spans="2:32" ht="23.1" customHeight="1" x14ac:dyDescent="0.25">
      <c r="B38" s="24" t="s">
        <v>65</v>
      </c>
      <c r="C38" s="49">
        <f>'Avg Week Ntungamo-Mirama'!C38+'Avg Week Mirama-Ntungamo'!C38</f>
        <v>3</v>
      </c>
      <c r="D38" s="49">
        <f>'Avg Week Ntungamo-Mirama'!D38+'Avg Week Mirama-Ntungamo'!D38</f>
        <v>0</v>
      </c>
      <c r="E38" s="49">
        <f>'Avg Week Ntungamo-Mirama'!E38+'Avg Week Mirama-Ntungamo'!E38</f>
        <v>0</v>
      </c>
      <c r="F38" s="49">
        <f>'Avg Week Ntungamo-Mirama'!F38+'Avg Week Mirama-Ntungamo'!F38</f>
        <v>0</v>
      </c>
      <c r="G38" s="49">
        <f>'Avg Week Ntungamo-Mirama'!G38+'Avg Week Mirama-Ntungamo'!G38</f>
        <v>0</v>
      </c>
      <c r="H38" s="49">
        <f>'Avg Week Ntungamo-Mirama'!H38+'Avg Week Mirama-Ntungamo'!H38</f>
        <v>0</v>
      </c>
      <c r="I38" s="49">
        <f>'Avg Week Ntungamo-Mirama'!I38+'Avg Week Mirama-Ntungamo'!I38</f>
        <v>0</v>
      </c>
      <c r="J38" s="49">
        <f>'Avg Week Ntungamo-Mirama'!J38+'Avg Week Mirama-Ntungamo'!J38</f>
        <v>0</v>
      </c>
      <c r="K38" s="49">
        <f>'Avg Week Ntungamo-Mirama'!K38+'Avg Week Mirama-Ntungamo'!K38</f>
        <v>0</v>
      </c>
      <c r="L38" s="49">
        <f>'Avg Week Ntungamo-Mirama'!L38+'Avg Week Mirama-Ntungamo'!L38</f>
        <v>2.5</v>
      </c>
      <c r="M38" s="49">
        <f>'Avg Week Ntungamo-Mirama'!M38+'Avg Week Mirama-Ntungamo'!M38</f>
        <v>11.5</v>
      </c>
      <c r="N38" s="49">
        <f>'Avg Week Ntungamo-Mirama'!N38+'Avg Week Mirama-Ntungamo'!N38</f>
        <v>0</v>
      </c>
      <c r="O38" s="15">
        <f t="shared" si="0"/>
        <v>5.5</v>
      </c>
      <c r="P38" s="15">
        <f t="shared" si="1"/>
        <v>17</v>
      </c>
      <c r="R38" s="28" t="s">
        <v>86</v>
      </c>
      <c r="S38" s="54">
        <f t="shared" ref="S38:AF38" si="30">SUM(S13:S18)</f>
        <v>48</v>
      </c>
      <c r="T38" s="54">
        <f t="shared" si="30"/>
        <v>5</v>
      </c>
      <c r="U38" s="54">
        <f t="shared" si="30"/>
        <v>8</v>
      </c>
      <c r="V38" s="54">
        <f t="shared" si="30"/>
        <v>0</v>
      </c>
      <c r="W38" s="54">
        <f t="shared" si="30"/>
        <v>0.5</v>
      </c>
      <c r="X38" s="54">
        <f t="shared" si="30"/>
        <v>0.5</v>
      </c>
      <c r="Y38" s="54">
        <f t="shared" si="30"/>
        <v>7.5</v>
      </c>
      <c r="Z38" s="54">
        <f t="shared" si="30"/>
        <v>3.5</v>
      </c>
      <c r="AA38" s="54">
        <f t="shared" si="30"/>
        <v>12.5</v>
      </c>
      <c r="AB38" s="54">
        <f t="shared" si="30"/>
        <v>57</v>
      </c>
      <c r="AC38" s="54">
        <f t="shared" si="30"/>
        <v>154.5</v>
      </c>
      <c r="AD38" s="54">
        <f t="shared" si="30"/>
        <v>0</v>
      </c>
      <c r="AE38" s="55">
        <f t="shared" si="30"/>
        <v>142.5</v>
      </c>
      <c r="AF38" s="55">
        <f t="shared" si="30"/>
        <v>297</v>
      </c>
    </row>
    <row r="39" spans="2:32" ht="23.1" customHeight="1" x14ac:dyDescent="0.25">
      <c r="B39" s="24" t="s">
        <v>66</v>
      </c>
      <c r="C39" s="49">
        <f>'Avg Week Ntungamo-Mirama'!C39+'Avg Week Mirama-Ntungamo'!C39</f>
        <v>0.5</v>
      </c>
      <c r="D39" s="49">
        <f>'Avg Week Ntungamo-Mirama'!D39+'Avg Week Mirama-Ntungamo'!D39</f>
        <v>0</v>
      </c>
      <c r="E39" s="49">
        <f>'Avg Week Ntungamo-Mirama'!E39+'Avg Week Mirama-Ntungamo'!E39</f>
        <v>1.5</v>
      </c>
      <c r="F39" s="49">
        <f>'Avg Week Ntungamo-Mirama'!F39+'Avg Week Mirama-Ntungamo'!F39</f>
        <v>0</v>
      </c>
      <c r="G39" s="49">
        <f>'Avg Week Ntungamo-Mirama'!G39+'Avg Week Mirama-Ntungamo'!G39</f>
        <v>0</v>
      </c>
      <c r="H39" s="49">
        <f>'Avg Week Ntungamo-Mirama'!H39+'Avg Week Mirama-Ntungamo'!H39</f>
        <v>0</v>
      </c>
      <c r="I39" s="49">
        <f>'Avg Week Ntungamo-Mirama'!I39+'Avg Week Mirama-Ntungamo'!I39</f>
        <v>1</v>
      </c>
      <c r="J39" s="49">
        <f>'Avg Week Ntungamo-Mirama'!J39+'Avg Week Mirama-Ntungamo'!J39</f>
        <v>0.5</v>
      </c>
      <c r="K39" s="49">
        <f>'Avg Week Ntungamo-Mirama'!K39+'Avg Week Mirama-Ntungamo'!K39</f>
        <v>1.5</v>
      </c>
      <c r="L39" s="49">
        <f>'Avg Week Ntungamo-Mirama'!L39+'Avg Week Mirama-Ntungamo'!L39</f>
        <v>0</v>
      </c>
      <c r="M39" s="49">
        <f>'Avg Week Ntungamo-Mirama'!M39+'Avg Week Mirama-Ntungamo'!M39</f>
        <v>4.5</v>
      </c>
      <c r="N39" s="49">
        <f>'Avg Week Ntungamo-Mirama'!N39+'Avg Week Mirama-Ntungamo'!N39</f>
        <v>0</v>
      </c>
      <c r="O39" s="15">
        <f t="shared" si="0"/>
        <v>5</v>
      </c>
      <c r="P39" s="15">
        <f t="shared" si="1"/>
        <v>9.5</v>
      </c>
      <c r="R39" s="29" t="s">
        <v>87</v>
      </c>
      <c r="S39" s="54">
        <f t="shared" ref="S39:AF39" si="31">SUM(S19:S21)</f>
        <v>34</v>
      </c>
      <c r="T39" s="54">
        <f t="shared" si="31"/>
        <v>4</v>
      </c>
      <c r="U39" s="54">
        <f t="shared" si="31"/>
        <v>1.5</v>
      </c>
      <c r="V39" s="54">
        <f t="shared" si="31"/>
        <v>1</v>
      </c>
      <c r="W39" s="54">
        <f t="shared" si="31"/>
        <v>0.5</v>
      </c>
      <c r="X39" s="54">
        <f t="shared" si="31"/>
        <v>0</v>
      </c>
      <c r="Y39" s="54">
        <f t="shared" si="31"/>
        <v>3</v>
      </c>
      <c r="Z39" s="54">
        <f t="shared" si="31"/>
        <v>5</v>
      </c>
      <c r="AA39" s="54">
        <f t="shared" si="31"/>
        <v>3.5</v>
      </c>
      <c r="AB39" s="54">
        <f t="shared" si="31"/>
        <v>21.5</v>
      </c>
      <c r="AC39" s="54">
        <f t="shared" si="31"/>
        <v>79.5</v>
      </c>
      <c r="AD39" s="54">
        <f t="shared" si="31"/>
        <v>0</v>
      </c>
      <c r="AE39" s="55">
        <f t="shared" si="31"/>
        <v>74</v>
      </c>
      <c r="AF39" s="55">
        <f t="shared" si="31"/>
        <v>153.5</v>
      </c>
    </row>
    <row r="40" spans="2:32" ht="23.1" customHeight="1" x14ac:dyDescent="0.25">
      <c r="B40" s="24" t="s">
        <v>67</v>
      </c>
      <c r="C40" s="49">
        <f>'Avg Week Ntungamo-Mirama'!C40+'Avg Week Mirama-Ntungamo'!C40</f>
        <v>1.5</v>
      </c>
      <c r="D40" s="49">
        <f>'Avg Week Ntungamo-Mirama'!D40+'Avg Week Mirama-Ntungamo'!D40</f>
        <v>0.5</v>
      </c>
      <c r="E40" s="49">
        <f>'Avg Week Ntungamo-Mirama'!E40+'Avg Week Mirama-Ntungamo'!E40</f>
        <v>0</v>
      </c>
      <c r="F40" s="49">
        <f>'Avg Week Ntungamo-Mirama'!F40+'Avg Week Mirama-Ntungamo'!F40</f>
        <v>0</v>
      </c>
      <c r="G40" s="49">
        <f>'Avg Week Ntungamo-Mirama'!G40+'Avg Week Mirama-Ntungamo'!G40</f>
        <v>0</v>
      </c>
      <c r="H40" s="49">
        <f>'Avg Week Ntungamo-Mirama'!H40+'Avg Week Mirama-Ntungamo'!H40</f>
        <v>0.5</v>
      </c>
      <c r="I40" s="49">
        <f>'Avg Week Ntungamo-Mirama'!I40+'Avg Week Mirama-Ntungamo'!I40</f>
        <v>0</v>
      </c>
      <c r="J40" s="49">
        <f>'Avg Week Ntungamo-Mirama'!J40+'Avg Week Mirama-Ntungamo'!J40</f>
        <v>0</v>
      </c>
      <c r="K40" s="49">
        <f>'Avg Week Ntungamo-Mirama'!K40+'Avg Week Mirama-Ntungamo'!K40</f>
        <v>1</v>
      </c>
      <c r="L40" s="49">
        <f>'Avg Week Ntungamo-Mirama'!L40+'Avg Week Mirama-Ntungamo'!L40</f>
        <v>2</v>
      </c>
      <c r="M40" s="49">
        <f>'Avg Week Ntungamo-Mirama'!M40+'Avg Week Mirama-Ntungamo'!M40</f>
        <v>5</v>
      </c>
      <c r="N40" s="49">
        <f>'Avg Week Ntungamo-Mirama'!N40+'Avg Week Mirama-Ntungamo'!N40</f>
        <v>0</v>
      </c>
      <c r="O40" s="15">
        <f t="shared" si="0"/>
        <v>5.5</v>
      </c>
      <c r="P40" s="15">
        <f t="shared" si="1"/>
        <v>10.5</v>
      </c>
      <c r="R40" s="5" t="s">
        <v>17</v>
      </c>
      <c r="S40" s="54">
        <f t="shared" ref="S40:AF40" si="32">SUM(S10:S21)</f>
        <v>101</v>
      </c>
      <c r="T40" s="54">
        <f t="shared" si="32"/>
        <v>14.5</v>
      </c>
      <c r="U40" s="54">
        <f t="shared" si="32"/>
        <v>9.5</v>
      </c>
      <c r="V40" s="54">
        <f t="shared" si="32"/>
        <v>2</v>
      </c>
      <c r="W40" s="54">
        <f t="shared" si="32"/>
        <v>1</v>
      </c>
      <c r="X40" s="54">
        <f t="shared" si="32"/>
        <v>0.5</v>
      </c>
      <c r="Y40" s="54">
        <f t="shared" si="32"/>
        <v>13</v>
      </c>
      <c r="Z40" s="54">
        <f t="shared" si="32"/>
        <v>11</v>
      </c>
      <c r="AA40" s="54">
        <f t="shared" si="32"/>
        <v>23</v>
      </c>
      <c r="AB40" s="54">
        <f t="shared" si="32"/>
        <v>101.5</v>
      </c>
      <c r="AC40" s="54">
        <f t="shared" si="32"/>
        <v>291</v>
      </c>
      <c r="AD40" s="54">
        <f t="shared" si="32"/>
        <v>0</v>
      </c>
      <c r="AE40" s="55">
        <f t="shared" si="32"/>
        <v>277</v>
      </c>
      <c r="AF40" s="55">
        <f t="shared" si="32"/>
        <v>568</v>
      </c>
    </row>
    <row r="41" spans="2:32" ht="23.1" customHeight="1" x14ac:dyDescent="0.25">
      <c r="B41" s="23" t="s">
        <v>68</v>
      </c>
      <c r="C41" s="49">
        <f>'Avg Week Ntungamo-Mirama'!C41+'Avg Week Mirama-Ntungamo'!C41</f>
        <v>3</v>
      </c>
      <c r="D41" s="49">
        <f>'Avg Week Ntungamo-Mirama'!D41+'Avg Week Mirama-Ntungamo'!D41</f>
        <v>1</v>
      </c>
      <c r="E41" s="49">
        <f>'Avg Week Ntungamo-Mirama'!E41+'Avg Week Mirama-Ntungamo'!E41</f>
        <v>0</v>
      </c>
      <c r="F41" s="49">
        <f>'Avg Week Ntungamo-Mirama'!F41+'Avg Week Mirama-Ntungamo'!F41</f>
        <v>0</v>
      </c>
      <c r="G41" s="49">
        <f>'Avg Week Ntungamo-Mirama'!G41+'Avg Week Mirama-Ntungamo'!G41</f>
        <v>0.5</v>
      </c>
      <c r="H41" s="49">
        <f>'Avg Week Ntungamo-Mirama'!H41+'Avg Week Mirama-Ntungamo'!H41</f>
        <v>0</v>
      </c>
      <c r="I41" s="49">
        <f>'Avg Week Ntungamo-Mirama'!I41+'Avg Week Mirama-Ntungamo'!I41</f>
        <v>0.5</v>
      </c>
      <c r="J41" s="49">
        <f>'Avg Week Ntungamo-Mirama'!J41+'Avg Week Mirama-Ntungamo'!J41</f>
        <v>0</v>
      </c>
      <c r="K41" s="49">
        <f>'Avg Week Ntungamo-Mirama'!K41+'Avg Week Mirama-Ntungamo'!K41</f>
        <v>0.5</v>
      </c>
      <c r="L41" s="49">
        <f>'Avg Week Ntungamo-Mirama'!L41+'Avg Week Mirama-Ntungamo'!L41</f>
        <v>3</v>
      </c>
      <c r="M41" s="49">
        <f>'Avg Week Ntungamo-Mirama'!M41+'Avg Week Mirama-Ntungamo'!M41</f>
        <v>3</v>
      </c>
      <c r="N41" s="49">
        <f>'Avg Week Ntungamo-Mirama'!N41+'Avg Week Mirama-Ntungamo'!N41</f>
        <v>0</v>
      </c>
      <c r="O41" s="15">
        <f t="shared" si="0"/>
        <v>8.5</v>
      </c>
      <c r="P41" s="15">
        <f t="shared" si="1"/>
        <v>11.5</v>
      </c>
      <c r="R41" s="5" t="s">
        <v>174</v>
      </c>
      <c r="S41" s="54">
        <f>SUM(S10:S33)</f>
        <v>118</v>
      </c>
      <c r="T41" s="54">
        <f t="shared" ref="T41:AD41" si="33">SUM(T10:T33)</f>
        <v>19.5</v>
      </c>
      <c r="U41" s="54">
        <f t="shared" si="33"/>
        <v>10.5</v>
      </c>
      <c r="V41" s="54">
        <f t="shared" si="33"/>
        <v>5</v>
      </c>
      <c r="W41" s="54">
        <f t="shared" si="33"/>
        <v>1</v>
      </c>
      <c r="X41" s="54">
        <f t="shared" si="33"/>
        <v>0.5</v>
      </c>
      <c r="Y41" s="54">
        <f t="shared" si="33"/>
        <v>17</v>
      </c>
      <c r="Z41" s="54">
        <f t="shared" si="33"/>
        <v>22</v>
      </c>
      <c r="AA41" s="54">
        <f t="shared" si="33"/>
        <v>60</v>
      </c>
      <c r="AB41" s="54">
        <f t="shared" si="33"/>
        <v>192.5</v>
      </c>
      <c r="AC41" s="54">
        <f t="shared" si="33"/>
        <v>361</v>
      </c>
      <c r="AD41" s="54">
        <f t="shared" si="33"/>
        <v>0</v>
      </c>
      <c r="AE41" s="55">
        <f>SUM(AE10:AE33)</f>
        <v>446</v>
      </c>
      <c r="AF41" s="55">
        <f>SUM(AF10:AF33)</f>
        <v>807</v>
      </c>
    </row>
    <row r="42" spans="2:32" ht="23.1" customHeight="1" x14ac:dyDescent="0.25">
      <c r="B42" s="24" t="s">
        <v>69</v>
      </c>
      <c r="C42" s="49">
        <f>'Avg Week Ntungamo-Mirama'!C42+'Avg Week Mirama-Ntungamo'!C42</f>
        <v>2.5</v>
      </c>
      <c r="D42" s="49">
        <f>'Avg Week Ntungamo-Mirama'!D42+'Avg Week Mirama-Ntungamo'!D42</f>
        <v>0</v>
      </c>
      <c r="E42" s="49">
        <f>'Avg Week Ntungamo-Mirama'!E42+'Avg Week Mirama-Ntungamo'!E42</f>
        <v>0</v>
      </c>
      <c r="F42" s="49">
        <f>'Avg Week Ntungamo-Mirama'!F42+'Avg Week Mirama-Ntungamo'!F42</f>
        <v>0</v>
      </c>
      <c r="G42" s="49">
        <f>'Avg Week Ntungamo-Mirama'!G42+'Avg Week Mirama-Ntungamo'!G42</f>
        <v>0</v>
      </c>
      <c r="H42" s="49">
        <f>'Avg Week Ntungamo-Mirama'!H42+'Avg Week Mirama-Ntungamo'!H42</f>
        <v>0</v>
      </c>
      <c r="I42" s="49">
        <f>'Avg Week Ntungamo-Mirama'!I42+'Avg Week Mirama-Ntungamo'!I42</f>
        <v>0</v>
      </c>
      <c r="J42" s="49">
        <f>'Avg Week Ntungamo-Mirama'!J42+'Avg Week Mirama-Ntungamo'!J42</f>
        <v>0</v>
      </c>
      <c r="K42" s="49">
        <f>'Avg Week Ntungamo-Mirama'!K42+'Avg Week Mirama-Ntungamo'!K42</f>
        <v>2</v>
      </c>
      <c r="L42" s="49">
        <f>'Avg Week Ntungamo-Mirama'!L42+'Avg Week Mirama-Ntungamo'!L42</f>
        <v>4</v>
      </c>
      <c r="M42" s="49">
        <f>'Avg Week Ntungamo-Mirama'!M42+'Avg Week Mirama-Ntungamo'!M42</f>
        <v>13.5</v>
      </c>
      <c r="N42" s="49">
        <f>'Avg Week Ntungamo-Mirama'!N42+'Avg Week Mirama-Ntungamo'!N42</f>
        <v>0</v>
      </c>
      <c r="O42" s="15">
        <f t="shared" si="0"/>
        <v>8.5</v>
      </c>
      <c r="P42" s="15">
        <f t="shared" si="1"/>
        <v>22</v>
      </c>
      <c r="R42" s="5" t="s">
        <v>160</v>
      </c>
      <c r="S42" s="48">
        <f>S41/S40</f>
        <v>1.1683168316831682</v>
      </c>
      <c r="T42" s="48">
        <f t="shared" ref="T42:AF42" si="34">T41/T40</f>
        <v>1.3448275862068966</v>
      </c>
      <c r="U42" s="48">
        <f t="shared" si="34"/>
        <v>1.1052631578947369</v>
      </c>
      <c r="V42" s="48">
        <f t="shared" si="34"/>
        <v>2.5</v>
      </c>
      <c r="W42" s="48">
        <f t="shared" si="34"/>
        <v>1</v>
      </c>
      <c r="X42" s="48">
        <f t="shared" si="34"/>
        <v>1</v>
      </c>
      <c r="Y42" s="48">
        <f t="shared" si="34"/>
        <v>1.3076923076923077</v>
      </c>
      <c r="Z42" s="48">
        <f t="shared" si="34"/>
        <v>2</v>
      </c>
      <c r="AA42" s="48">
        <f t="shared" si="34"/>
        <v>2.6086956521739131</v>
      </c>
      <c r="AB42" s="48">
        <f t="shared" si="34"/>
        <v>1.896551724137931</v>
      </c>
      <c r="AC42" s="48">
        <f t="shared" si="34"/>
        <v>1.2405498281786942</v>
      </c>
      <c r="AD42" s="48">
        <v>0</v>
      </c>
      <c r="AE42" s="56">
        <f t="shared" si="34"/>
        <v>1.6101083032490975</v>
      </c>
      <c r="AF42" s="56">
        <f t="shared" si="34"/>
        <v>1.420774647887324</v>
      </c>
    </row>
    <row r="43" spans="2:32" ht="23.1" customHeight="1" x14ac:dyDescent="0.25">
      <c r="B43" s="23" t="s">
        <v>70</v>
      </c>
      <c r="C43" s="49">
        <f>'Avg Week Ntungamo-Mirama'!C43+'Avg Week Mirama-Ntungamo'!C43</f>
        <v>3</v>
      </c>
      <c r="D43" s="49">
        <f>'Avg Week Ntungamo-Mirama'!D43+'Avg Week Mirama-Ntungamo'!D43</f>
        <v>0.5</v>
      </c>
      <c r="E43" s="49">
        <f>'Avg Week Ntungamo-Mirama'!E43+'Avg Week Mirama-Ntungamo'!E43</f>
        <v>1.5</v>
      </c>
      <c r="F43" s="49">
        <f>'Avg Week Ntungamo-Mirama'!F43+'Avg Week Mirama-Ntungamo'!F43</f>
        <v>0</v>
      </c>
      <c r="G43" s="49">
        <f>'Avg Week Ntungamo-Mirama'!G43+'Avg Week Mirama-Ntungamo'!G43</f>
        <v>0</v>
      </c>
      <c r="H43" s="49">
        <f>'Avg Week Ntungamo-Mirama'!H43+'Avg Week Mirama-Ntungamo'!H43</f>
        <v>0</v>
      </c>
      <c r="I43" s="49">
        <f>'Avg Week Ntungamo-Mirama'!I43+'Avg Week Mirama-Ntungamo'!I43</f>
        <v>0</v>
      </c>
      <c r="J43" s="49">
        <f>'Avg Week Ntungamo-Mirama'!J43+'Avg Week Mirama-Ntungamo'!J43</f>
        <v>0</v>
      </c>
      <c r="K43" s="49">
        <f>'Avg Week Ntungamo-Mirama'!K43+'Avg Week Mirama-Ntungamo'!K43</f>
        <v>0</v>
      </c>
      <c r="L43" s="49">
        <f>'Avg Week Ntungamo-Mirama'!L43+'Avg Week Mirama-Ntungamo'!L43</f>
        <v>3</v>
      </c>
      <c r="M43" s="49">
        <f>'Avg Week Ntungamo-Mirama'!M43+'Avg Week Mirama-Ntungamo'!M43</f>
        <v>9</v>
      </c>
      <c r="N43" s="49">
        <f>'Avg Week Ntungamo-Mirama'!N43+'Avg Week Mirama-Ntungamo'!N43</f>
        <v>0</v>
      </c>
      <c r="O43" s="15">
        <f t="shared" si="0"/>
        <v>8</v>
      </c>
      <c r="P43" s="15">
        <f t="shared" si="1"/>
        <v>17</v>
      </c>
    </row>
    <row r="44" spans="2:32" ht="23.1" customHeight="1" x14ac:dyDescent="0.25">
      <c r="B44" s="25" t="s">
        <v>71</v>
      </c>
      <c r="C44" s="49">
        <f>'Avg Week Ntungamo-Mirama'!C44+'Avg Week Mirama-Ntungamo'!C44</f>
        <v>2</v>
      </c>
      <c r="D44" s="49">
        <f>'Avg Week Ntungamo-Mirama'!D44+'Avg Week Mirama-Ntungamo'!D44</f>
        <v>1.5</v>
      </c>
      <c r="E44" s="49">
        <f>'Avg Week Ntungamo-Mirama'!E44+'Avg Week Mirama-Ntungamo'!E44</f>
        <v>0</v>
      </c>
      <c r="F44" s="49">
        <f>'Avg Week Ntungamo-Mirama'!F44+'Avg Week Mirama-Ntungamo'!F44</f>
        <v>0</v>
      </c>
      <c r="G44" s="49">
        <f>'Avg Week Ntungamo-Mirama'!G44+'Avg Week Mirama-Ntungamo'!G44</f>
        <v>0</v>
      </c>
      <c r="H44" s="49">
        <f>'Avg Week Ntungamo-Mirama'!H44+'Avg Week Mirama-Ntungamo'!H44</f>
        <v>0</v>
      </c>
      <c r="I44" s="49">
        <f>'Avg Week Ntungamo-Mirama'!I44+'Avg Week Mirama-Ntungamo'!I44</f>
        <v>2</v>
      </c>
      <c r="J44" s="49">
        <f>'Avg Week Ntungamo-Mirama'!J44+'Avg Week Mirama-Ntungamo'!J44</f>
        <v>0.5</v>
      </c>
      <c r="K44" s="49">
        <f>'Avg Week Ntungamo-Mirama'!K44+'Avg Week Mirama-Ntungamo'!K44</f>
        <v>0</v>
      </c>
      <c r="L44" s="49">
        <f>'Avg Week Ntungamo-Mirama'!L44+'Avg Week Mirama-Ntungamo'!L44</f>
        <v>2</v>
      </c>
      <c r="M44" s="49">
        <f>'Avg Week Ntungamo-Mirama'!M44+'Avg Week Mirama-Ntungamo'!M44</f>
        <v>4.5</v>
      </c>
      <c r="N44" s="49">
        <f>'Avg Week Ntungamo-Mirama'!N44+'Avg Week Mirama-Ntungamo'!N44</f>
        <v>0</v>
      </c>
      <c r="O44" s="15">
        <f t="shared" si="0"/>
        <v>8</v>
      </c>
      <c r="P44" s="15">
        <f t="shared" si="1"/>
        <v>12.5</v>
      </c>
    </row>
    <row r="45" spans="2:32" ht="23.1" customHeight="1" x14ac:dyDescent="0.25">
      <c r="B45" s="23" t="s">
        <v>72</v>
      </c>
      <c r="C45" s="49">
        <f>'Avg Week Ntungamo-Mirama'!C45+'Avg Week Mirama-Ntungamo'!C45</f>
        <v>0</v>
      </c>
      <c r="D45" s="49">
        <f>'Avg Week Ntungamo-Mirama'!D45+'Avg Week Mirama-Ntungamo'!D45</f>
        <v>0</v>
      </c>
      <c r="E45" s="49">
        <f>'Avg Week Ntungamo-Mirama'!E45+'Avg Week Mirama-Ntungamo'!E45</f>
        <v>0</v>
      </c>
      <c r="F45" s="49">
        <f>'Avg Week Ntungamo-Mirama'!F45+'Avg Week Mirama-Ntungamo'!F45</f>
        <v>0</v>
      </c>
      <c r="G45" s="49">
        <f>'Avg Week Ntungamo-Mirama'!G45+'Avg Week Mirama-Ntungamo'!G45</f>
        <v>0</v>
      </c>
      <c r="H45" s="49">
        <f>'Avg Week Ntungamo-Mirama'!H45+'Avg Week Mirama-Ntungamo'!H45</f>
        <v>0</v>
      </c>
      <c r="I45" s="49">
        <f>'Avg Week Ntungamo-Mirama'!I45+'Avg Week Mirama-Ntungamo'!I45</f>
        <v>0</v>
      </c>
      <c r="J45" s="49">
        <f>'Avg Week Ntungamo-Mirama'!J45+'Avg Week Mirama-Ntungamo'!J45</f>
        <v>0</v>
      </c>
      <c r="K45" s="49">
        <f>'Avg Week Ntungamo-Mirama'!K45+'Avg Week Mirama-Ntungamo'!K45</f>
        <v>0</v>
      </c>
      <c r="L45" s="49">
        <f>'Avg Week Ntungamo-Mirama'!L45+'Avg Week Mirama-Ntungamo'!L45</f>
        <v>0.5</v>
      </c>
      <c r="M45" s="49">
        <f>'Avg Week Ntungamo-Mirama'!M45+'Avg Week Mirama-Ntungamo'!M45</f>
        <v>10</v>
      </c>
      <c r="N45" s="49">
        <f>'Avg Week Ntungamo-Mirama'!N45+'Avg Week Mirama-Ntungamo'!N45</f>
        <v>0</v>
      </c>
      <c r="O45" s="15">
        <f t="shared" si="0"/>
        <v>0.5</v>
      </c>
      <c r="P45" s="15">
        <f t="shared" si="1"/>
        <v>10.5</v>
      </c>
    </row>
    <row r="46" spans="2:32" ht="23.1" customHeight="1" x14ac:dyDescent="0.25">
      <c r="B46" s="24" t="s">
        <v>73</v>
      </c>
      <c r="C46" s="49">
        <f>'Avg Week Ntungamo-Mirama'!C46+'Avg Week Mirama-Ntungamo'!C46</f>
        <v>5.5</v>
      </c>
      <c r="D46" s="49">
        <f>'Avg Week Ntungamo-Mirama'!D46+'Avg Week Mirama-Ntungamo'!D46</f>
        <v>1</v>
      </c>
      <c r="E46" s="49">
        <f>'Avg Week Ntungamo-Mirama'!E46+'Avg Week Mirama-Ntungamo'!E46</f>
        <v>0</v>
      </c>
      <c r="F46" s="49">
        <f>'Avg Week Ntungamo-Mirama'!F46+'Avg Week Mirama-Ntungamo'!F46</f>
        <v>0.5</v>
      </c>
      <c r="G46" s="49">
        <f>'Avg Week Ntungamo-Mirama'!G46+'Avg Week Mirama-Ntungamo'!G46</f>
        <v>0</v>
      </c>
      <c r="H46" s="49">
        <f>'Avg Week Ntungamo-Mirama'!H46+'Avg Week Mirama-Ntungamo'!H46</f>
        <v>0</v>
      </c>
      <c r="I46" s="49">
        <f>'Avg Week Ntungamo-Mirama'!I46+'Avg Week Mirama-Ntungamo'!I46</f>
        <v>1</v>
      </c>
      <c r="J46" s="49">
        <f>'Avg Week Ntungamo-Mirama'!J46+'Avg Week Mirama-Ntungamo'!J46</f>
        <v>4</v>
      </c>
      <c r="K46" s="49">
        <f>'Avg Week Ntungamo-Mirama'!K46+'Avg Week Mirama-Ntungamo'!K46</f>
        <v>0</v>
      </c>
      <c r="L46" s="49">
        <f>'Avg Week Ntungamo-Mirama'!L46+'Avg Week Mirama-Ntungamo'!L46</f>
        <v>4.5</v>
      </c>
      <c r="M46" s="49">
        <f>'Avg Week Ntungamo-Mirama'!M46+'Avg Week Mirama-Ntungamo'!M46</f>
        <v>6.5</v>
      </c>
      <c r="N46" s="49">
        <f>'Avg Week Ntungamo-Mirama'!N46+'Avg Week Mirama-Ntungamo'!N46</f>
        <v>0</v>
      </c>
      <c r="O46" s="15">
        <f t="shared" si="0"/>
        <v>16.5</v>
      </c>
      <c r="P46" s="15">
        <f t="shared" si="1"/>
        <v>23</v>
      </c>
      <c r="R46" s="8"/>
      <c r="T46"/>
    </row>
    <row r="47" spans="2:32" ht="23.1" customHeight="1" x14ac:dyDescent="0.25">
      <c r="B47" s="24" t="s">
        <v>74</v>
      </c>
      <c r="C47" s="49">
        <f>'Avg Week Ntungamo-Mirama'!C47+'Avg Week Mirama-Ntungamo'!C47</f>
        <v>2.5</v>
      </c>
      <c r="D47" s="49">
        <f>'Avg Week Ntungamo-Mirama'!D47+'Avg Week Mirama-Ntungamo'!D47</f>
        <v>0</v>
      </c>
      <c r="E47" s="49">
        <f>'Avg Week Ntungamo-Mirama'!E47+'Avg Week Mirama-Ntungamo'!E47</f>
        <v>0</v>
      </c>
      <c r="F47" s="49">
        <f>'Avg Week Ntungamo-Mirama'!F47+'Avg Week Mirama-Ntungamo'!F47</f>
        <v>0</v>
      </c>
      <c r="G47" s="49">
        <f>'Avg Week Ntungamo-Mirama'!G47+'Avg Week Mirama-Ntungamo'!G47</f>
        <v>0</v>
      </c>
      <c r="H47" s="49">
        <f>'Avg Week Ntungamo-Mirama'!H47+'Avg Week Mirama-Ntungamo'!H47</f>
        <v>0</v>
      </c>
      <c r="I47" s="49">
        <f>'Avg Week Ntungamo-Mirama'!I47+'Avg Week Mirama-Ntungamo'!I47</f>
        <v>0</v>
      </c>
      <c r="J47" s="49">
        <f>'Avg Week Ntungamo-Mirama'!J47+'Avg Week Mirama-Ntungamo'!J47</f>
        <v>0</v>
      </c>
      <c r="K47" s="49">
        <f>'Avg Week Ntungamo-Mirama'!K47+'Avg Week Mirama-Ntungamo'!K47</f>
        <v>0</v>
      </c>
      <c r="L47" s="49">
        <f>'Avg Week Ntungamo-Mirama'!L47+'Avg Week Mirama-Ntungamo'!L47</f>
        <v>1.5</v>
      </c>
      <c r="M47" s="49">
        <f>'Avg Week Ntungamo-Mirama'!M47+'Avg Week Mirama-Ntungamo'!M47</f>
        <v>2</v>
      </c>
      <c r="N47" s="49">
        <f>'Avg Week Ntungamo-Mirama'!N47+'Avg Week Mirama-Ntungamo'!N47</f>
        <v>0</v>
      </c>
      <c r="O47" s="15">
        <f t="shared" si="0"/>
        <v>4</v>
      </c>
      <c r="P47" s="15">
        <f t="shared" si="1"/>
        <v>6</v>
      </c>
      <c r="R47" s="8"/>
      <c r="T47"/>
    </row>
    <row r="48" spans="2:32" ht="23.1" customHeight="1" x14ac:dyDescent="0.25">
      <c r="B48" s="24" t="s">
        <v>75</v>
      </c>
      <c r="C48" s="49">
        <f>'Avg Week Ntungamo-Mirama'!C48+'Avg Week Mirama-Ntungamo'!C48</f>
        <v>2.5</v>
      </c>
      <c r="D48" s="49">
        <f>'Avg Week Ntungamo-Mirama'!D48+'Avg Week Mirama-Ntungamo'!D48</f>
        <v>0</v>
      </c>
      <c r="E48" s="49">
        <f>'Avg Week Ntungamo-Mirama'!E48+'Avg Week Mirama-Ntungamo'!E48</f>
        <v>0</v>
      </c>
      <c r="F48" s="49">
        <f>'Avg Week Ntungamo-Mirama'!F48+'Avg Week Mirama-Ntungamo'!F48</f>
        <v>0</v>
      </c>
      <c r="G48" s="49">
        <f>'Avg Week Ntungamo-Mirama'!G48+'Avg Week Mirama-Ntungamo'!G48</f>
        <v>0</v>
      </c>
      <c r="H48" s="49">
        <f>'Avg Week Ntungamo-Mirama'!H48+'Avg Week Mirama-Ntungamo'!H48</f>
        <v>0</v>
      </c>
      <c r="I48" s="49">
        <f>'Avg Week Ntungamo-Mirama'!I48+'Avg Week Mirama-Ntungamo'!I48</f>
        <v>0</v>
      </c>
      <c r="J48" s="49">
        <f>'Avg Week Ntungamo-Mirama'!J48+'Avg Week Mirama-Ntungamo'!J48</f>
        <v>0.5</v>
      </c>
      <c r="K48" s="49">
        <f>'Avg Week Ntungamo-Mirama'!K48+'Avg Week Mirama-Ntungamo'!K48</f>
        <v>0</v>
      </c>
      <c r="L48" s="49">
        <f>'Avg Week Ntungamo-Mirama'!L48+'Avg Week Mirama-Ntungamo'!L48</f>
        <v>2</v>
      </c>
      <c r="M48" s="49">
        <f>'Avg Week Ntungamo-Mirama'!M48+'Avg Week Mirama-Ntungamo'!M48</f>
        <v>4</v>
      </c>
      <c r="N48" s="49">
        <f>'Avg Week Ntungamo-Mirama'!N48+'Avg Week Mirama-Ntungamo'!N48</f>
        <v>0</v>
      </c>
      <c r="O48" s="15">
        <f t="shared" si="0"/>
        <v>5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49">
        <f>'Avg Week Ntungamo-Mirama'!C49+'Avg Week Mirama-Ntungamo'!C49</f>
        <v>0</v>
      </c>
      <c r="D49" s="49">
        <f>'Avg Week Ntungamo-Mirama'!D49+'Avg Week Mirama-Ntungamo'!D49</f>
        <v>0</v>
      </c>
      <c r="E49" s="49">
        <f>'Avg Week Ntungamo-Mirama'!E49+'Avg Week Mirama-Ntungamo'!E49</f>
        <v>0</v>
      </c>
      <c r="F49" s="49">
        <f>'Avg Week Ntungamo-Mirama'!F49+'Avg Week Mirama-Ntungamo'!F49</f>
        <v>0</v>
      </c>
      <c r="G49" s="49">
        <f>'Avg Week Ntungamo-Mirama'!G49+'Avg Week Mirama-Ntungamo'!G49</f>
        <v>0</v>
      </c>
      <c r="H49" s="49">
        <f>'Avg Week Ntungamo-Mirama'!H49+'Avg Week Mirama-Ntungamo'!H49</f>
        <v>0</v>
      </c>
      <c r="I49" s="49">
        <f>'Avg Week Ntungamo-Mirama'!I49+'Avg Week Mirama-Ntungamo'!I49</f>
        <v>0</v>
      </c>
      <c r="J49" s="49">
        <f>'Avg Week Ntungamo-Mirama'!J49+'Avg Week Mirama-Ntungamo'!J49</f>
        <v>0.5</v>
      </c>
      <c r="K49" s="49">
        <f>'Avg Week Ntungamo-Mirama'!K49+'Avg Week Mirama-Ntungamo'!K49</f>
        <v>0</v>
      </c>
      <c r="L49" s="49">
        <f>'Avg Week Ntungamo-Mirama'!L49+'Avg Week Mirama-Ntungamo'!L49</f>
        <v>0</v>
      </c>
      <c r="M49" s="49">
        <f>'Avg Week Ntungamo-Mirama'!M49+'Avg Week Mirama-Ntungamo'!M49</f>
        <v>7.5</v>
      </c>
      <c r="N49" s="49">
        <f>'Avg Week Ntungamo-Mirama'!N49+'Avg Week Mirama-Ntungamo'!N49</f>
        <v>0</v>
      </c>
      <c r="O49" s="15">
        <f t="shared" si="0"/>
        <v>0.5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49">
        <f>'Avg Week Ntungamo-Mirama'!C50+'Avg Week Mirama-Ntungamo'!C50</f>
        <v>2.5</v>
      </c>
      <c r="D50" s="49">
        <f>'Avg Week Ntungamo-Mirama'!D50+'Avg Week Mirama-Ntungamo'!D50</f>
        <v>0</v>
      </c>
      <c r="E50" s="49">
        <f>'Avg Week Ntungamo-Mirama'!E50+'Avg Week Mirama-Ntungamo'!E50</f>
        <v>0</v>
      </c>
      <c r="F50" s="49">
        <f>'Avg Week Ntungamo-Mirama'!F50+'Avg Week Mirama-Ntungamo'!F50</f>
        <v>0</v>
      </c>
      <c r="G50" s="49">
        <f>'Avg Week Ntungamo-Mirama'!G50+'Avg Week Mirama-Ntungamo'!G50</f>
        <v>0</v>
      </c>
      <c r="H50" s="49">
        <f>'Avg Week Ntungamo-Mirama'!H50+'Avg Week Mirama-Ntungamo'!H50</f>
        <v>0</v>
      </c>
      <c r="I50" s="49">
        <f>'Avg Week Ntungamo-Mirama'!I50+'Avg Week Mirama-Ntungamo'!I50</f>
        <v>0</v>
      </c>
      <c r="J50" s="49">
        <f>'Avg Week Ntungamo-Mirama'!J50+'Avg Week Mirama-Ntungamo'!J50</f>
        <v>0</v>
      </c>
      <c r="K50" s="49">
        <f>'Avg Week Ntungamo-Mirama'!K50+'Avg Week Mirama-Ntungamo'!K50</f>
        <v>0</v>
      </c>
      <c r="L50" s="49">
        <f>'Avg Week Ntungamo-Mirama'!L50+'Avg Week Mirama-Ntungamo'!L50</f>
        <v>1.5</v>
      </c>
      <c r="M50" s="49">
        <f>'Avg Week Ntungamo-Mirama'!M50+'Avg Week Mirama-Ntungamo'!M50</f>
        <v>9.5</v>
      </c>
      <c r="N50" s="49">
        <f>'Avg Week Ntungamo-Mirama'!N50+'Avg Week Mirama-Ntungamo'!N50</f>
        <v>0</v>
      </c>
      <c r="O50" s="15">
        <f t="shared" si="0"/>
        <v>4</v>
      </c>
      <c r="P50" s="15">
        <f t="shared" si="1"/>
        <v>13.5</v>
      </c>
      <c r="R50" s="8"/>
      <c r="T50"/>
    </row>
    <row r="51" spans="2:20" ht="23.1" customHeight="1" x14ac:dyDescent="0.25">
      <c r="B51" s="24" t="s">
        <v>78</v>
      </c>
      <c r="C51" s="49">
        <f>'Avg Week Ntungamo-Mirama'!C51+'Avg Week Mirama-Ntungamo'!C51</f>
        <v>2</v>
      </c>
      <c r="D51" s="49">
        <f>'Avg Week Ntungamo-Mirama'!D51+'Avg Week Mirama-Ntungamo'!D51</f>
        <v>0.5</v>
      </c>
      <c r="E51" s="49">
        <f>'Avg Week Ntungamo-Mirama'!E51+'Avg Week Mirama-Ntungamo'!E51</f>
        <v>0</v>
      </c>
      <c r="F51" s="49">
        <f>'Avg Week Ntungamo-Mirama'!F51+'Avg Week Mirama-Ntungamo'!F51</f>
        <v>0</v>
      </c>
      <c r="G51" s="49">
        <f>'Avg Week Ntungamo-Mirama'!G51+'Avg Week Mirama-Ntungamo'!G51</f>
        <v>0</v>
      </c>
      <c r="H51" s="49">
        <f>'Avg Week Ntungamo-Mirama'!H51+'Avg Week Mirama-Ntungamo'!H51</f>
        <v>0</v>
      </c>
      <c r="I51" s="49">
        <f>'Avg Week Ntungamo-Mirama'!I51+'Avg Week Mirama-Ntungamo'!I51</f>
        <v>1.5</v>
      </c>
      <c r="J51" s="49">
        <f>'Avg Week Ntungamo-Mirama'!J51+'Avg Week Mirama-Ntungamo'!J51</f>
        <v>0</v>
      </c>
      <c r="K51" s="49">
        <f>'Avg Week Ntungamo-Mirama'!K51+'Avg Week Mirama-Ntungamo'!K51</f>
        <v>2.5</v>
      </c>
      <c r="L51" s="49">
        <f>'Avg Week Ntungamo-Mirama'!L51+'Avg Week Mirama-Ntungamo'!L51</f>
        <v>0</v>
      </c>
      <c r="M51" s="49">
        <f>'Avg Week Ntungamo-Mirama'!M51+'Avg Week Mirama-Ntungamo'!M51</f>
        <v>11</v>
      </c>
      <c r="N51" s="49">
        <f>'Avg Week Ntungamo-Mirama'!N51+'Avg Week Mirama-Ntungamo'!N51</f>
        <v>0</v>
      </c>
      <c r="O51" s="15">
        <f t="shared" si="0"/>
        <v>6.5</v>
      </c>
      <c r="P51" s="15">
        <f t="shared" si="1"/>
        <v>17.5</v>
      </c>
      <c r="R51" s="8"/>
      <c r="T51"/>
    </row>
    <row r="52" spans="2:20" ht="23.1" customHeight="1" x14ac:dyDescent="0.25">
      <c r="B52" s="24" t="s">
        <v>79</v>
      </c>
      <c r="C52" s="49">
        <f>'Avg Week Ntungamo-Mirama'!C52+'Avg Week Mirama-Ntungamo'!C52</f>
        <v>3</v>
      </c>
      <c r="D52" s="49">
        <f>'Avg Week Ntungamo-Mirama'!D52+'Avg Week Mirama-Ntungamo'!D52</f>
        <v>1.5</v>
      </c>
      <c r="E52" s="49">
        <f>'Avg Week Ntungamo-Mirama'!E52+'Avg Week Mirama-Ntungamo'!E52</f>
        <v>0</v>
      </c>
      <c r="F52" s="49">
        <f>'Avg Week Ntungamo-Mirama'!F52+'Avg Week Mirama-Ntungamo'!F52</f>
        <v>0</v>
      </c>
      <c r="G52" s="49">
        <f>'Avg Week Ntungamo-Mirama'!G52+'Avg Week Mirama-Ntungamo'!G52</f>
        <v>0</v>
      </c>
      <c r="H52" s="49">
        <f>'Avg Week Ntungamo-Mirama'!H52+'Avg Week Mirama-Ntungamo'!H52</f>
        <v>0</v>
      </c>
      <c r="I52" s="49">
        <f>'Avg Week Ntungamo-Mirama'!I52+'Avg Week Mirama-Ntungamo'!I52</f>
        <v>0</v>
      </c>
      <c r="J52" s="49">
        <f>'Avg Week Ntungamo-Mirama'!J52+'Avg Week Mirama-Ntungamo'!J52</f>
        <v>0</v>
      </c>
      <c r="K52" s="49">
        <f>'Avg Week Ntungamo-Mirama'!K52+'Avg Week Mirama-Ntungamo'!K52</f>
        <v>0</v>
      </c>
      <c r="L52" s="49">
        <f>'Avg Week Ntungamo-Mirama'!L52+'Avg Week Mirama-Ntungamo'!L52</f>
        <v>3</v>
      </c>
      <c r="M52" s="49">
        <f>'Avg Week Ntungamo-Mirama'!M52+'Avg Week Mirama-Ntungamo'!M52</f>
        <v>5</v>
      </c>
      <c r="N52" s="49">
        <f>'Avg Week Ntungamo-Mirama'!N52+'Avg Week Mirama-Ntungamo'!N52</f>
        <v>0</v>
      </c>
      <c r="O52" s="15">
        <f t="shared" si="0"/>
        <v>7.5</v>
      </c>
      <c r="P52" s="15">
        <f t="shared" si="1"/>
        <v>12.5</v>
      </c>
      <c r="R52" s="8"/>
      <c r="T52"/>
    </row>
    <row r="53" spans="2:20" ht="23.1" customHeight="1" x14ac:dyDescent="0.25">
      <c r="B53" s="23" t="s">
        <v>80</v>
      </c>
      <c r="C53" s="49">
        <f>'Avg Week Ntungamo-Mirama'!C53+'Avg Week Mirama-Ntungamo'!C53</f>
        <v>1</v>
      </c>
      <c r="D53" s="49">
        <f>'Avg Week Ntungamo-Mirama'!D53+'Avg Week Mirama-Ntungamo'!D53</f>
        <v>0</v>
      </c>
      <c r="E53" s="49">
        <f>'Avg Week Ntungamo-Mirama'!E53+'Avg Week Mirama-Ntungamo'!E53</f>
        <v>0</v>
      </c>
      <c r="F53" s="49">
        <f>'Avg Week Ntungamo-Mirama'!F53+'Avg Week Mirama-Ntungamo'!F53</f>
        <v>0</v>
      </c>
      <c r="G53" s="49">
        <f>'Avg Week Ntungamo-Mirama'!G53+'Avg Week Mirama-Ntungamo'!G53</f>
        <v>0</v>
      </c>
      <c r="H53" s="49">
        <f>'Avg Week Ntungamo-Mirama'!H53+'Avg Week Mirama-Ntungamo'!H53</f>
        <v>0</v>
      </c>
      <c r="I53" s="49">
        <f>'Avg Week Ntungamo-Mirama'!I53+'Avg Week Mirama-Ntungamo'!I53</f>
        <v>0</v>
      </c>
      <c r="J53" s="49">
        <f>'Avg Week Ntungamo-Mirama'!J53+'Avg Week Mirama-Ntungamo'!J53</f>
        <v>0</v>
      </c>
      <c r="K53" s="49">
        <f>'Avg Week Ntungamo-Mirama'!K53+'Avg Week Mirama-Ntungamo'!K53</f>
        <v>0</v>
      </c>
      <c r="L53" s="49">
        <f>'Avg Week Ntungamo-Mirama'!L53+'Avg Week Mirama-Ntungamo'!L53</f>
        <v>0</v>
      </c>
      <c r="M53" s="49">
        <f>'Avg Week Ntungamo-Mirama'!M53+'Avg Week Mirama-Ntungamo'!M53</f>
        <v>3.5</v>
      </c>
      <c r="N53" s="49">
        <f>'Avg Week Ntungamo-Mirama'!N53+'Avg Week Mirama-Ntungamo'!N53</f>
        <v>0</v>
      </c>
      <c r="O53" s="15">
        <f t="shared" si="0"/>
        <v>1</v>
      </c>
      <c r="P53" s="15">
        <f t="shared" si="1"/>
        <v>4.5</v>
      </c>
      <c r="R53" s="8"/>
      <c r="T53"/>
    </row>
    <row r="54" spans="2:20" ht="23.1" customHeight="1" x14ac:dyDescent="0.25">
      <c r="B54" s="23" t="s">
        <v>81</v>
      </c>
      <c r="C54" s="49">
        <f>'Avg Week Ntungamo-Mirama'!C54+'Avg Week Mirama-Ntungamo'!C54</f>
        <v>1</v>
      </c>
      <c r="D54" s="49">
        <f>'Avg Week Ntungamo-Mirama'!D54+'Avg Week Mirama-Ntungamo'!D54</f>
        <v>0</v>
      </c>
      <c r="E54" s="49">
        <f>'Avg Week Ntungamo-Mirama'!E54+'Avg Week Mirama-Ntungamo'!E54</f>
        <v>0</v>
      </c>
      <c r="F54" s="49">
        <f>'Avg Week Ntungamo-Mirama'!F54+'Avg Week Mirama-Ntungamo'!F54</f>
        <v>0.5</v>
      </c>
      <c r="G54" s="49">
        <f>'Avg Week Ntungamo-Mirama'!G54+'Avg Week Mirama-Ntungamo'!G54</f>
        <v>0.5</v>
      </c>
      <c r="H54" s="49">
        <f>'Avg Week Ntungamo-Mirama'!H54+'Avg Week Mirama-Ntungamo'!H54</f>
        <v>0</v>
      </c>
      <c r="I54" s="49">
        <f>'Avg Week Ntungamo-Mirama'!I54+'Avg Week Mirama-Ntungamo'!I54</f>
        <v>0.5</v>
      </c>
      <c r="J54" s="49">
        <f>'Avg Week Ntungamo-Mirama'!J54+'Avg Week Mirama-Ntungamo'!J54</f>
        <v>0</v>
      </c>
      <c r="K54" s="49">
        <f>'Avg Week Ntungamo-Mirama'!K54+'Avg Week Mirama-Ntungamo'!K54</f>
        <v>1</v>
      </c>
      <c r="L54" s="49">
        <f>'Avg Week Ntungamo-Mirama'!L54+'Avg Week Mirama-Ntungamo'!L54</f>
        <v>3</v>
      </c>
      <c r="M54" s="49">
        <f>'Avg Week Ntungamo-Mirama'!M54+'Avg Week Mirama-Ntungamo'!M54</f>
        <v>4</v>
      </c>
      <c r="N54" s="49">
        <f>'Avg Week Ntungamo-Mirama'!N54+'Avg Week Mirama-Ntungamo'!N54</f>
        <v>0</v>
      </c>
      <c r="O54" s="15">
        <f t="shared" si="0"/>
        <v>6.5</v>
      </c>
      <c r="P54" s="15">
        <f t="shared" si="1"/>
        <v>10.5</v>
      </c>
      <c r="R54" s="8"/>
      <c r="T54"/>
    </row>
    <row r="55" spans="2:20" ht="23.1" customHeight="1" x14ac:dyDescent="0.25">
      <c r="B55" s="23" t="s">
        <v>82</v>
      </c>
      <c r="C55" s="49">
        <f>'Avg Week Ntungamo-Mirama'!C55+'Avg Week Mirama-Ntungamo'!C55</f>
        <v>2.5</v>
      </c>
      <c r="D55" s="49">
        <f>'Avg Week Ntungamo-Mirama'!D55+'Avg Week Mirama-Ntungamo'!D55</f>
        <v>0</v>
      </c>
      <c r="E55" s="49">
        <f>'Avg Week Ntungamo-Mirama'!E55+'Avg Week Mirama-Ntungamo'!E55</f>
        <v>0</v>
      </c>
      <c r="F55" s="49">
        <f>'Avg Week Ntungamo-Mirama'!F55+'Avg Week Mirama-Ntungamo'!F55</f>
        <v>0</v>
      </c>
      <c r="G55" s="49">
        <f>'Avg Week Ntungamo-Mirama'!G55+'Avg Week Mirama-Ntungamo'!G55</f>
        <v>0</v>
      </c>
      <c r="H55" s="49">
        <f>'Avg Week Ntungamo-Mirama'!H55+'Avg Week Mirama-Ntungamo'!H55</f>
        <v>0</v>
      </c>
      <c r="I55" s="49">
        <f>'Avg Week Ntungamo-Mirama'!I55+'Avg Week Mirama-Ntungamo'!I55</f>
        <v>0</v>
      </c>
      <c r="J55" s="49">
        <f>'Avg Week Ntungamo-Mirama'!J55+'Avg Week Mirama-Ntungamo'!J55</f>
        <v>0</v>
      </c>
      <c r="K55" s="49">
        <f>'Avg Week Ntungamo-Mirama'!K55+'Avg Week Mirama-Ntungamo'!K55</f>
        <v>0</v>
      </c>
      <c r="L55" s="49">
        <f>'Avg Week Ntungamo-Mirama'!L55+'Avg Week Mirama-Ntungamo'!L55</f>
        <v>2</v>
      </c>
      <c r="M55" s="49">
        <f>'Avg Week Ntungamo-Mirama'!M55+'Avg Week Mirama-Ntungamo'!M55</f>
        <v>6</v>
      </c>
      <c r="N55" s="49">
        <f>'Avg Week Ntungamo-Mirama'!N55+'Avg Week Mirama-Ntungamo'!N55</f>
        <v>0</v>
      </c>
      <c r="O55" s="15">
        <f t="shared" si="0"/>
        <v>4.5</v>
      </c>
      <c r="P55" s="15">
        <f t="shared" si="1"/>
        <v>10.5</v>
      </c>
      <c r="R55" s="8"/>
      <c r="T55"/>
    </row>
    <row r="56" spans="2:20" ht="23.1" customHeight="1" x14ac:dyDescent="0.25">
      <c r="B56" s="23" t="s">
        <v>83</v>
      </c>
      <c r="C56" s="49">
        <f>'Avg Week Ntungamo-Mirama'!C56+'Avg Week Mirama-Ntungamo'!C56</f>
        <v>5</v>
      </c>
      <c r="D56" s="49">
        <f>'Avg Week Ntungamo-Mirama'!D56+'Avg Week Mirama-Ntungamo'!D56</f>
        <v>1</v>
      </c>
      <c r="E56" s="49">
        <f>'Avg Week Ntungamo-Mirama'!E56+'Avg Week Mirama-Ntungamo'!E56</f>
        <v>0.5</v>
      </c>
      <c r="F56" s="49">
        <f>'Avg Week Ntungamo-Mirama'!F56+'Avg Week Mirama-Ntungamo'!F56</f>
        <v>0</v>
      </c>
      <c r="G56" s="49">
        <f>'Avg Week Ntungamo-Mirama'!G56+'Avg Week Mirama-Ntungamo'!G56</f>
        <v>0</v>
      </c>
      <c r="H56" s="49">
        <f>'Avg Week Ntungamo-Mirama'!H56+'Avg Week Mirama-Ntungamo'!H56</f>
        <v>0</v>
      </c>
      <c r="I56" s="49">
        <f>'Avg Week Ntungamo-Mirama'!I56+'Avg Week Mirama-Ntungamo'!I56</f>
        <v>0</v>
      </c>
      <c r="J56" s="49">
        <f>'Avg Week Ntungamo-Mirama'!J56+'Avg Week Mirama-Ntungamo'!J56</f>
        <v>0</v>
      </c>
      <c r="K56" s="49">
        <f>'Avg Week Ntungamo-Mirama'!K56+'Avg Week Mirama-Ntungamo'!K56</f>
        <v>0</v>
      </c>
      <c r="L56" s="49">
        <f>'Avg Week Ntungamo-Mirama'!L56+'Avg Week Mirama-Ntungamo'!L56</f>
        <v>0.5</v>
      </c>
      <c r="M56" s="49">
        <f>'Avg Week Ntungamo-Mirama'!M56+'Avg Week Mirama-Ntungamo'!M56</f>
        <v>4</v>
      </c>
      <c r="N56" s="49">
        <f>'Avg Week Ntungamo-Mirama'!N56+'Avg Week Mirama-Ntungamo'!N56</f>
        <v>0</v>
      </c>
      <c r="O56" s="15">
        <f t="shared" si="0"/>
        <v>7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49">
        <f>'Avg Week Ntungamo-Mirama'!C57+'Avg Week Mirama-Ntungamo'!C57</f>
        <v>6.5</v>
      </c>
      <c r="D57" s="49">
        <f>'Avg Week Ntungamo-Mirama'!D57+'Avg Week Mirama-Ntungamo'!D57</f>
        <v>0</v>
      </c>
      <c r="E57" s="49">
        <f>'Avg Week Ntungamo-Mirama'!E57+'Avg Week Mirama-Ntungamo'!E57</f>
        <v>1</v>
      </c>
      <c r="F57" s="49">
        <f>'Avg Week Ntungamo-Mirama'!F57+'Avg Week Mirama-Ntungamo'!F57</f>
        <v>0</v>
      </c>
      <c r="G57" s="49">
        <f>'Avg Week Ntungamo-Mirama'!G57+'Avg Week Mirama-Ntungamo'!G57</f>
        <v>0</v>
      </c>
      <c r="H57" s="49">
        <f>'Avg Week Ntungamo-Mirama'!H57+'Avg Week Mirama-Ntungamo'!H57</f>
        <v>0</v>
      </c>
      <c r="I57" s="49">
        <f>'Avg Week Ntungamo-Mirama'!I57+'Avg Week Mirama-Ntungamo'!I57</f>
        <v>0</v>
      </c>
      <c r="J57" s="49">
        <f>'Avg Week Ntungamo-Mirama'!J57+'Avg Week Mirama-Ntungamo'!J57</f>
        <v>0</v>
      </c>
      <c r="K57" s="49">
        <f>'Avg Week Ntungamo-Mirama'!K57+'Avg Week Mirama-Ntungamo'!K57</f>
        <v>0</v>
      </c>
      <c r="L57" s="49">
        <f>'Avg Week Ntungamo-Mirama'!L57+'Avg Week Mirama-Ntungamo'!L57</f>
        <v>3.5</v>
      </c>
      <c r="M57" s="49">
        <f>'Avg Week Ntungamo-Mirama'!M57+'Avg Week Mirama-Ntungamo'!M57</f>
        <v>16.5</v>
      </c>
      <c r="N57" s="49">
        <f>'Avg Week Ntungamo-Mirama'!N57+'Avg Week Mirama-Ntungamo'!N57</f>
        <v>0</v>
      </c>
      <c r="O57" s="15">
        <f t="shared" si="0"/>
        <v>11</v>
      </c>
      <c r="P57" s="15">
        <f t="shared" si="1"/>
        <v>27.5</v>
      </c>
      <c r="R57" s="8"/>
      <c r="T57"/>
    </row>
    <row r="58" spans="2:20" ht="23.1" customHeight="1" x14ac:dyDescent="0.25">
      <c r="B58" s="23" t="s">
        <v>99</v>
      </c>
      <c r="C58" s="49">
        <f>'Avg Week Ntungamo-Mirama'!C58+'Avg Week Mirama-Ntungamo'!C58</f>
        <v>2</v>
      </c>
      <c r="D58" s="49">
        <f>'Avg Week Ntungamo-Mirama'!D58+'Avg Week Mirama-Ntungamo'!D58</f>
        <v>0</v>
      </c>
      <c r="E58" s="49">
        <f>'Avg Week Ntungamo-Mirama'!E58+'Avg Week Mirama-Ntungamo'!E58</f>
        <v>0</v>
      </c>
      <c r="F58" s="49">
        <f>'Avg Week Ntungamo-Mirama'!F58+'Avg Week Mirama-Ntungamo'!F58</f>
        <v>0</v>
      </c>
      <c r="G58" s="49">
        <f>'Avg Week Ntungamo-Mirama'!G58+'Avg Week Mirama-Ntungamo'!G58</f>
        <v>0</v>
      </c>
      <c r="H58" s="49">
        <f>'Avg Week Ntungamo-Mirama'!H58+'Avg Week Mirama-Ntungamo'!H58</f>
        <v>0</v>
      </c>
      <c r="I58" s="49">
        <f>'Avg Week Ntungamo-Mirama'!I58+'Avg Week Mirama-Ntungamo'!I58</f>
        <v>0</v>
      </c>
      <c r="J58" s="49">
        <f>'Avg Week Ntungamo-Mirama'!J58+'Avg Week Mirama-Ntungamo'!J58</f>
        <v>0</v>
      </c>
      <c r="K58" s="49">
        <f>'Avg Week Ntungamo-Mirama'!K58+'Avg Week Mirama-Ntungamo'!K58</f>
        <v>0</v>
      </c>
      <c r="L58" s="49">
        <f>'Avg Week Ntungamo-Mirama'!L58+'Avg Week Mirama-Ntungamo'!L58</f>
        <v>2</v>
      </c>
      <c r="M58" s="49">
        <f>'Avg Week Ntungamo-Mirama'!M58+'Avg Week Mirama-Ntungamo'!M58</f>
        <v>6</v>
      </c>
      <c r="N58" s="49">
        <f>'Avg Week Ntungamo-Mirama'!N58+'Avg Week Mirama-Ntungamo'!N58</f>
        <v>0</v>
      </c>
      <c r="O58" s="15">
        <f t="shared" si="0"/>
        <v>4</v>
      </c>
      <c r="P58" s="15">
        <f t="shared" si="1"/>
        <v>10</v>
      </c>
      <c r="R58" s="8"/>
      <c r="T58"/>
    </row>
    <row r="59" spans="2:20" ht="23.1" customHeight="1" x14ac:dyDescent="0.25">
      <c r="B59" s="23" t="s">
        <v>100</v>
      </c>
      <c r="C59" s="49">
        <f>'Avg Week Ntungamo-Mirama'!C59+'Avg Week Mirama-Ntungamo'!C59</f>
        <v>1</v>
      </c>
      <c r="D59" s="49">
        <f>'Avg Week Ntungamo-Mirama'!D59+'Avg Week Mirama-Ntungamo'!D59</f>
        <v>0</v>
      </c>
      <c r="E59" s="49">
        <f>'Avg Week Ntungamo-Mirama'!E59+'Avg Week Mirama-Ntungamo'!E59</f>
        <v>0</v>
      </c>
      <c r="F59" s="49">
        <f>'Avg Week Ntungamo-Mirama'!F59+'Avg Week Mirama-Ntungamo'!F59</f>
        <v>0</v>
      </c>
      <c r="G59" s="49">
        <f>'Avg Week Ntungamo-Mirama'!G59+'Avg Week Mirama-Ntungamo'!G59</f>
        <v>0</v>
      </c>
      <c r="H59" s="49">
        <f>'Avg Week Ntungamo-Mirama'!H59+'Avg Week Mirama-Ntungamo'!H59</f>
        <v>0</v>
      </c>
      <c r="I59" s="49">
        <f>'Avg Week Ntungamo-Mirama'!I59+'Avg Week Mirama-Ntungamo'!I59</f>
        <v>0</v>
      </c>
      <c r="J59" s="49">
        <f>'Avg Week Ntungamo-Mirama'!J59+'Avg Week Mirama-Ntungamo'!J59</f>
        <v>0</v>
      </c>
      <c r="K59" s="49">
        <f>'Avg Week Ntungamo-Mirama'!K59+'Avg Week Mirama-Ntungamo'!K59</f>
        <v>0</v>
      </c>
      <c r="L59" s="49">
        <f>'Avg Week Ntungamo-Mirama'!L59+'Avg Week Mirama-Ntungamo'!L59</f>
        <v>3</v>
      </c>
      <c r="M59" s="49">
        <f>'Avg Week Ntungamo-Mirama'!M59+'Avg Week Mirama-Ntungamo'!M59</f>
        <v>7</v>
      </c>
      <c r="N59" s="49">
        <f>'Avg Week Ntungamo-Mirama'!N59+'Avg Week Mirama-Ntungamo'!N59</f>
        <v>0</v>
      </c>
      <c r="O59" s="15">
        <f t="shared" si="0"/>
        <v>4</v>
      </c>
      <c r="P59" s="15">
        <f t="shared" si="1"/>
        <v>11</v>
      </c>
      <c r="R59" s="8"/>
      <c r="T59"/>
    </row>
    <row r="60" spans="2:20" ht="23.1" customHeight="1" x14ac:dyDescent="0.25">
      <c r="B60" s="23" t="s">
        <v>101</v>
      </c>
      <c r="C60" s="49">
        <f>'Avg Week Ntungamo-Mirama'!C60+'Avg Week Mirama-Ntungamo'!C60</f>
        <v>0</v>
      </c>
      <c r="D60" s="49">
        <f>'Avg Week Ntungamo-Mirama'!D60+'Avg Week Mirama-Ntungamo'!D60</f>
        <v>0</v>
      </c>
      <c r="E60" s="49">
        <f>'Avg Week Ntungamo-Mirama'!E60+'Avg Week Mirama-Ntungamo'!E60</f>
        <v>0</v>
      </c>
      <c r="F60" s="49">
        <f>'Avg Week Ntungamo-Mirama'!F60+'Avg Week Mirama-Ntungamo'!F60</f>
        <v>0</v>
      </c>
      <c r="G60" s="49">
        <f>'Avg Week Ntungamo-Mirama'!G60+'Avg Week Mirama-Ntungamo'!G60</f>
        <v>0</v>
      </c>
      <c r="H60" s="49">
        <f>'Avg Week Ntungamo-Mirama'!H60+'Avg Week Mirama-Ntungamo'!H60</f>
        <v>0</v>
      </c>
      <c r="I60" s="49">
        <f>'Avg Week Ntungamo-Mirama'!I60+'Avg Week Mirama-Ntungamo'!I60</f>
        <v>0</v>
      </c>
      <c r="J60" s="49">
        <f>'Avg Week Ntungamo-Mirama'!J60+'Avg Week Mirama-Ntungamo'!J60</f>
        <v>0</v>
      </c>
      <c r="K60" s="49">
        <f>'Avg Week Ntungamo-Mirama'!K60+'Avg Week Mirama-Ntungamo'!K60</f>
        <v>0</v>
      </c>
      <c r="L60" s="49">
        <f>'Avg Week Ntungamo-Mirama'!L60+'Avg Week Mirama-Ntungamo'!L60</f>
        <v>0</v>
      </c>
      <c r="M60" s="49">
        <f>'Avg Week Ntungamo-Mirama'!M60+'Avg Week Mirama-Ntungamo'!M60</f>
        <v>2</v>
      </c>
      <c r="N60" s="49">
        <f>'Avg Week Ntungamo-Mirama'!N60+'Avg Week Mirama-Ntungamo'!N60</f>
        <v>0</v>
      </c>
      <c r="O60" s="15">
        <f t="shared" si="0"/>
        <v>0</v>
      </c>
      <c r="P60" s="15">
        <f t="shared" si="1"/>
        <v>2</v>
      </c>
      <c r="R60" s="8"/>
      <c r="T60"/>
    </row>
    <row r="61" spans="2:20" ht="23.1" customHeight="1" x14ac:dyDescent="0.25">
      <c r="B61" s="23" t="s">
        <v>102</v>
      </c>
      <c r="C61" s="49">
        <f>'Avg Week Ntungamo-Mirama'!C61+'Avg Week Mirama-Ntungamo'!C61</f>
        <v>1</v>
      </c>
      <c r="D61" s="49">
        <f>'Avg Week Ntungamo-Mirama'!D61+'Avg Week Mirama-Ntungamo'!D61</f>
        <v>0</v>
      </c>
      <c r="E61" s="49">
        <f>'Avg Week Ntungamo-Mirama'!E61+'Avg Week Mirama-Ntungamo'!E61</f>
        <v>0</v>
      </c>
      <c r="F61" s="49">
        <f>'Avg Week Ntungamo-Mirama'!F61+'Avg Week Mirama-Ntungamo'!F61</f>
        <v>0</v>
      </c>
      <c r="G61" s="49">
        <f>'Avg Week Ntungamo-Mirama'!G61+'Avg Week Mirama-Ntungamo'!G61</f>
        <v>0</v>
      </c>
      <c r="H61" s="49">
        <f>'Avg Week Ntungamo-Mirama'!H61+'Avg Week Mirama-Ntungamo'!H61</f>
        <v>0</v>
      </c>
      <c r="I61" s="49">
        <f>'Avg Week Ntungamo-Mirama'!I61+'Avg Week Mirama-Ntungamo'!I61</f>
        <v>0</v>
      </c>
      <c r="J61" s="49">
        <f>'Avg Week Ntungamo-Mirama'!J61+'Avg Week Mirama-Ntungamo'!J61</f>
        <v>0</v>
      </c>
      <c r="K61" s="49">
        <f>'Avg Week Ntungamo-Mirama'!K61+'Avg Week Mirama-Ntungamo'!K61</f>
        <v>0</v>
      </c>
      <c r="L61" s="49">
        <f>'Avg Week Ntungamo-Mirama'!L61+'Avg Week Mirama-Ntungamo'!L61</f>
        <v>0</v>
      </c>
      <c r="M61" s="49">
        <f>'Avg Week Ntungamo-Mirama'!M61+'Avg Week Mirama-Ntungamo'!M61</f>
        <v>5</v>
      </c>
      <c r="N61" s="49">
        <f>'Avg Week Ntungamo-Mirama'!N61+'Avg Week Mirama-Ntungamo'!N61</f>
        <v>0</v>
      </c>
      <c r="O61" s="15">
        <f t="shared" si="0"/>
        <v>1</v>
      </c>
      <c r="P61" s="15">
        <f t="shared" si="1"/>
        <v>6</v>
      </c>
      <c r="R61" s="8"/>
      <c r="T61"/>
    </row>
    <row r="62" spans="2:20" ht="23.1" customHeight="1" x14ac:dyDescent="0.25">
      <c r="B62" s="23" t="s">
        <v>107</v>
      </c>
      <c r="C62" s="49">
        <f>'Avg Week Ntungamo-Mirama'!C62+'Avg Week Mirama-Ntungamo'!C62</f>
        <v>1</v>
      </c>
      <c r="D62" s="49">
        <f>'Avg Week Ntungamo-Mirama'!D62+'Avg Week Mirama-Ntungamo'!D62</f>
        <v>0</v>
      </c>
      <c r="E62" s="49">
        <f>'Avg Week Ntungamo-Mirama'!E62+'Avg Week Mirama-Ntungamo'!E62</f>
        <v>0</v>
      </c>
      <c r="F62" s="49">
        <f>'Avg Week Ntungamo-Mirama'!F62+'Avg Week Mirama-Ntungamo'!F62</f>
        <v>0</v>
      </c>
      <c r="G62" s="49">
        <f>'Avg Week Ntungamo-Mirama'!G62+'Avg Week Mirama-Ntungamo'!G62</f>
        <v>0</v>
      </c>
      <c r="H62" s="49">
        <f>'Avg Week Ntungamo-Mirama'!H62+'Avg Week Mirama-Ntungamo'!H62</f>
        <v>0</v>
      </c>
      <c r="I62" s="49">
        <f>'Avg Week Ntungamo-Mirama'!I62+'Avg Week Mirama-Ntungamo'!I62</f>
        <v>0</v>
      </c>
      <c r="J62" s="49">
        <f>'Avg Week Ntungamo-Mirama'!J62+'Avg Week Mirama-Ntungamo'!J62</f>
        <v>0</v>
      </c>
      <c r="K62" s="49">
        <f>'Avg Week Ntungamo-Mirama'!K62+'Avg Week Mirama-Ntungamo'!K62</f>
        <v>0</v>
      </c>
      <c r="L62" s="49">
        <f>'Avg Week Ntungamo-Mirama'!L62+'Avg Week Mirama-Ntungamo'!L62</f>
        <v>0</v>
      </c>
      <c r="M62" s="49">
        <f>'Avg Week Ntungamo-Mirama'!M62+'Avg Week Mirama-Ntungamo'!M62</f>
        <v>4</v>
      </c>
      <c r="N62" s="49">
        <f>'Avg Week Ntungamo-Mirama'!N62+'Avg Week Mirama-Ntungamo'!N62</f>
        <v>0</v>
      </c>
      <c r="O62" s="15">
        <f t="shared" si="0"/>
        <v>1</v>
      </c>
      <c r="P62" s="15">
        <f t="shared" si="1"/>
        <v>5</v>
      </c>
      <c r="R62" s="8"/>
      <c r="T62"/>
    </row>
    <row r="63" spans="2:20" ht="23.1" customHeight="1" x14ac:dyDescent="0.25">
      <c r="B63" s="23" t="s">
        <v>108</v>
      </c>
      <c r="C63" s="49">
        <f>'Avg Week Ntungamo-Mirama'!C63+'Avg Week Mirama-Ntungamo'!C63</f>
        <v>1</v>
      </c>
      <c r="D63" s="49">
        <f>'Avg Week Ntungamo-Mirama'!D63+'Avg Week Mirama-Ntungamo'!D63</f>
        <v>0</v>
      </c>
      <c r="E63" s="49">
        <f>'Avg Week Ntungamo-Mirama'!E63+'Avg Week Mirama-Ntungamo'!E63</f>
        <v>0</v>
      </c>
      <c r="F63" s="49">
        <f>'Avg Week Ntungamo-Mirama'!F63+'Avg Week Mirama-Ntungamo'!F63</f>
        <v>0</v>
      </c>
      <c r="G63" s="49">
        <f>'Avg Week Ntungamo-Mirama'!G63+'Avg Week Mirama-Ntungamo'!G63</f>
        <v>0</v>
      </c>
      <c r="H63" s="49">
        <f>'Avg Week Ntungamo-Mirama'!H63+'Avg Week Mirama-Ntungamo'!H63</f>
        <v>0</v>
      </c>
      <c r="I63" s="49">
        <f>'Avg Week Ntungamo-Mirama'!I63+'Avg Week Mirama-Ntungamo'!I63</f>
        <v>0</v>
      </c>
      <c r="J63" s="49">
        <f>'Avg Week Ntungamo-Mirama'!J63+'Avg Week Mirama-Ntungamo'!J63</f>
        <v>1</v>
      </c>
      <c r="K63" s="49">
        <f>'Avg Week Ntungamo-Mirama'!K63+'Avg Week Mirama-Ntungamo'!K63</f>
        <v>0</v>
      </c>
      <c r="L63" s="49">
        <f>'Avg Week Ntungamo-Mirama'!L63+'Avg Week Mirama-Ntungamo'!L63</f>
        <v>1</v>
      </c>
      <c r="M63" s="49">
        <f>'Avg Week Ntungamo-Mirama'!M63+'Avg Week Mirama-Ntungamo'!M63</f>
        <v>5</v>
      </c>
      <c r="N63" s="49">
        <f>'Avg Week Ntungamo-Mirama'!N63+'Avg Week Mirama-Ntungamo'!N63</f>
        <v>0</v>
      </c>
      <c r="O63" s="15">
        <f t="shared" si="0"/>
        <v>3</v>
      </c>
      <c r="P63" s="15">
        <f t="shared" si="1"/>
        <v>8</v>
      </c>
      <c r="R63" s="8"/>
      <c r="T63"/>
    </row>
    <row r="64" spans="2:20" ht="23.1" customHeight="1" x14ac:dyDescent="0.25">
      <c r="B64" s="23" t="s">
        <v>109</v>
      </c>
      <c r="C64" s="49">
        <f>'Avg Week Ntungamo-Mirama'!C64+'Avg Week Mirama-Ntungamo'!C64</f>
        <v>0</v>
      </c>
      <c r="D64" s="49">
        <f>'Avg Week Ntungamo-Mirama'!D64+'Avg Week Mirama-Ntungamo'!D64</f>
        <v>0</v>
      </c>
      <c r="E64" s="49">
        <f>'Avg Week Ntungamo-Mirama'!E64+'Avg Week Mirama-Ntungamo'!E64</f>
        <v>0</v>
      </c>
      <c r="F64" s="49">
        <f>'Avg Week Ntungamo-Mirama'!F64+'Avg Week Mirama-Ntungamo'!F64</f>
        <v>0</v>
      </c>
      <c r="G64" s="49">
        <f>'Avg Week Ntungamo-Mirama'!G64+'Avg Week Mirama-Ntungamo'!G64</f>
        <v>0</v>
      </c>
      <c r="H64" s="49">
        <f>'Avg Week Ntungamo-Mirama'!H64+'Avg Week Mirama-Ntungamo'!H64</f>
        <v>0</v>
      </c>
      <c r="I64" s="49">
        <f>'Avg Week Ntungamo-Mirama'!I64+'Avg Week Mirama-Ntungamo'!I64</f>
        <v>0</v>
      </c>
      <c r="J64" s="49">
        <f>'Avg Week Ntungamo-Mirama'!J64+'Avg Week Mirama-Ntungamo'!J64</f>
        <v>2</v>
      </c>
      <c r="K64" s="49">
        <f>'Avg Week Ntungamo-Mirama'!K64+'Avg Week Mirama-Ntungamo'!K64</f>
        <v>0</v>
      </c>
      <c r="L64" s="49">
        <f>'Avg Week Ntungamo-Mirama'!L64+'Avg Week Mirama-Ntungamo'!L64</f>
        <v>3</v>
      </c>
      <c r="M64" s="49">
        <f>'Avg Week Ntungamo-Mirama'!M64+'Avg Week Mirama-Ntungamo'!M64</f>
        <v>0</v>
      </c>
      <c r="N64" s="49">
        <f>'Avg Week Ntungamo-Mirama'!N64+'Avg Week Mirama-Ntungamo'!N64</f>
        <v>0</v>
      </c>
      <c r="O64" s="15">
        <f t="shared" si="0"/>
        <v>5</v>
      </c>
      <c r="P64" s="15">
        <f t="shared" si="1"/>
        <v>5</v>
      </c>
      <c r="R64" s="8"/>
      <c r="T64"/>
    </row>
    <row r="65" spans="2:20" ht="23.1" customHeight="1" x14ac:dyDescent="0.25">
      <c r="B65" s="23" t="s">
        <v>158</v>
      </c>
      <c r="C65" s="49">
        <f>'Avg Week Ntungamo-Mirama'!C65+'Avg Week Mirama-Ntungamo'!C65</f>
        <v>0</v>
      </c>
      <c r="D65" s="49">
        <f>'Avg Week Ntungamo-Mirama'!D65+'Avg Week Mirama-Ntungamo'!D65</f>
        <v>0</v>
      </c>
      <c r="E65" s="49">
        <f>'Avg Week Ntungamo-Mirama'!E65+'Avg Week Mirama-Ntungamo'!E65</f>
        <v>0</v>
      </c>
      <c r="F65" s="49">
        <f>'Avg Week Ntungamo-Mirama'!F65+'Avg Week Mirama-Ntungamo'!F65</f>
        <v>0</v>
      </c>
      <c r="G65" s="49">
        <f>'Avg Week Ntungamo-Mirama'!G65+'Avg Week Mirama-Ntungamo'!G65</f>
        <v>0</v>
      </c>
      <c r="H65" s="49">
        <f>'Avg Week Ntungamo-Mirama'!H65+'Avg Week Mirama-Ntungamo'!H65</f>
        <v>0</v>
      </c>
      <c r="I65" s="49">
        <f>'Avg Week Ntungamo-Mirama'!I65+'Avg Week Mirama-Ntungamo'!I65</f>
        <v>0</v>
      </c>
      <c r="J65" s="49">
        <f>'Avg Week Ntungamo-Mirama'!J65+'Avg Week Mirama-Ntungamo'!J65</f>
        <v>0</v>
      </c>
      <c r="K65" s="49">
        <f>'Avg Week Ntungamo-Mirama'!K65+'Avg Week Mirama-Ntungamo'!K65</f>
        <v>0</v>
      </c>
      <c r="L65" s="49">
        <f>'Avg Week Ntungamo-Mirama'!L65+'Avg Week Mirama-Ntungamo'!L65</f>
        <v>0</v>
      </c>
      <c r="M65" s="49">
        <f>'Avg Week Ntungamo-Mirama'!M65+'Avg Week Mirama-Ntungamo'!M65</f>
        <v>4</v>
      </c>
      <c r="N65" s="49">
        <f>'Avg Week Ntungamo-Mirama'!N65+'Avg Week Mirama-Ntungamo'!N65</f>
        <v>0</v>
      </c>
      <c r="O65" s="15">
        <f t="shared" si="0"/>
        <v>0</v>
      </c>
      <c r="P65" s="15">
        <f t="shared" si="1"/>
        <v>4</v>
      </c>
      <c r="R65" s="8"/>
      <c r="T65"/>
    </row>
    <row r="66" spans="2:20" ht="23.1" customHeight="1" x14ac:dyDescent="0.25">
      <c r="B66" s="23" t="s">
        <v>103</v>
      </c>
      <c r="C66" s="49">
        <f>'Avg Week Ntungamo-Mirama'!C66+'Avg Week Mirama-Ntungamo'!C66</f>
        <v>1</v>
      </c>
      <c r="D66" s="49">
        <f>'Avg Week Ntungamo-Mirama'!D66+'Avg Week Mirama-Ntungamo'!D66</f>
        <v>1</v>
      </c>
      <c r="E66" s="49">
        <f>'Avg Week Ntungamo-Mirama'!E66+'Avg Week Mirama-Ntungamo'!E66</f>
        <v>0</v>
      </c>
      <c r="F66" s="49">
        <f>'Avg Week Ntungamo-Mirama'!F66+'Avg Week Mirama-Ntungamo'!F66</f>
        <v>0</v>
      </c>
      <c r="G66" s="49">
        <f>'Avg Week Ntungamo-Mirama'!G66+'Avg Week Mirama-Ntungamo'!G66</f>
        <v>0</v>
      </c>
      <c r="H66" s="49">
        <f>'Avg Week Ntungamo-Mirama'!H66+'Avg Week Mirama-Ntungamo'!H66</f>
        <v>0</v>
      </c>
      <c r="I66" s="49">
        <f>'Avg Week Ntungamo-Mirama'!I66+'Avg Week Mirama-Ntungamo'!I66</f>
        <v>0</v>
      </c>
      <c r="J66" s="49">
        <f>'Avg Week Ntungamo-Mirama'!J66+'Avg Week Mirama-Ntungamo'!J66</f>
        <v>0</v>
      </c>
      <c r="K66" s="49">
        <f>'Avg Week Ntungamo-Mirama'!K66+'Avg Week Mirama-Ntungamo'!K66</f>
        <v>0</v>
      </c>
      <c r="L66" s="49">
        <f>'Avg Week Ntungamo-Mirama'!L66+'Avg Week Mirama-Ntungamo'!L66</f>
        <v>5</v>
      </c>
      <c r="M66" s="49">
        <f>'Avg Week Ntungamo-Mirama'!M66+'Avg Week Mirama-Ntungamo'!M66</f>
        <v>2</v>
      </c>
      <c r="N66" s="49">
        <f>'Avg Week Ntungamo-Mirama'!N66+'Avg Week Mirama-Ntungamo'!N66</f>
        <v>0</v>
      </c>
      <c r="O66" s="15">
        <f t="shared" si="0"/>
        <v>7</v>
      </c>
      <c r="P66" s="15">
        <f t="shared" si="1"/>
        <v>9</v>
      </c>
      <c r="R66" s="8"/>
      <c r="T66"/>
    </row>
    <row r="67" spans="2:20" ht="23.1" customHeight="1" x14ac:dyDescent="0.25">
      <c r="B67" s="23" t="s">
        <v>104</v>
      </c>
      <c r="C67" s="49">
        <f>'Avg Week Ntungamo-Mirama'!C67+'Avg Week Mirama-Ntungamo'!C67</f>
        <v>0</v>
      </c>
      <c r="D67" s="49">
        <f>'Avg Week Ntungamo-Mirama'!D67+'Avg Week Mirama-Ntungamo'!D67</f>
        <v>0</v>
      </c>
      <c r="E67" s="49">
        <f>'Avg Week Ntungamo-Mirama'!E67+'Avg Week Mirama-Ntungamo'!E67</f>
        <v>0</v>
      </c>
      <c r="F67" s="49">
        <f>'Avg Week Ntungamo-Mirama'!F67+'Avg Week Mirama-Ntungamo'!F67</f>
        <v>0</v>
      </c>
      <c r="G67" s="49">
        <f>'Avg Week Ntungamo-Mirama'!G67+'Avg Week Mirama-Ntungamo'!G67</f>
        <v>0</v>
      </c>
      <c r="H67" s="49">
        <f>'Avg Week Ntungamo-Mirama'!H67+'Avg Week Mirama-Ntungamo'!H67</f>
        <v>0</v>
      </c>
      <c r="I67" s="49">
        <f>'Avg Week Ntungamo-Mirama'!I67+'Avg Week Mirama-Ntungamo'!I67</f>
        <v>0</v>
      </c>
      <c r="J67" s="49">
        <f>'Avg Week Ntungamo-Mirama'!J67+'Avg Week Mirama-Ntungamo'!J67</f>
        <v>0</v>
      </c>
      <c r="K67" s="49">
        <f>'Avg Week Ntungamo-Mirama'!K67+'Avg Week Mirama-Ntungamo'!K67</f>
        <v>1</v>
      </c>
      <c r="L67" s="49">
        <f>'Avg Week Ntungamo-Mirama'!L67+'Avg Week Mirama-Ntungamo'!L67</f>
        <v>1</v>
      </c>
      <c r="M67" s="49">
        <f>'Avg Week Ntungamo-Mirama'!M67+'Avg Week Mirama-Ntungamo'!M67</f>
        <v>0</v>
      </c>
      <c r="N67" s="49">
        <f>'Avg Week Ntungamo-Mirama'!N67+'Avg Week Mirama-Ntungamo'!N67</f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23" t="s">
        <v>105</v>
      </c>
      <c r="C68" s="49">
        <f>'Avg Week Ntungamo-Mirama'!C68+'Avg Week Mirama-Ntungamo'!C68</f>
        <v>0</v>
      </c>
      <c r="D68" s="49">
        <f>'Avg Week Ntungamo-Mirama'!D68+'Avg Week Mirama-Ntungamo'!D68</f>
        <v>0</v>
      </c>
      <c r="E68" s="49">
        <f>'Avg Week Ntungamo-Mirama'!E68+'Avg Week Mirama-Ntungamo'!E68</f>
        <v>0</v>
      </c>
      <c r="F68" s="49">
        <f>'Avg Week Ntungamo-Mirama'!F68+'Avg Week Mirama-Ntungamo'!F68</f>
        <v>1</v>
      </c>
      <c r="G68" s="49">
        <f>'Avg Week Ntungamo-Mirama'!G68+'Avg Week Mirama-Ntungamo'!G68</f>
        <v>0</v>
      </c>
      <c r="H68" s="49">
        <f>'Avg Week Ntungamo-Mirama'!H68+'Avg Week Mirama-Ntungamo'!H68</f>
        <v>0</v>
      </c>
      <c r="I68" s="49">
        <f>'Avg Week Ntungamo-Mirama'!I68+'Avg Week Mirama-Ntungamo'!I68</f>
        <v>1</v>
      </c>
      <c r="J68" s="49">
        <f>'Avg Week Ntungamo-Mirama'!J68+'Avg Week Mirama-Ntungamo'!J68</f>
        <v>0</v>
      </c>
      <c r="K68" s="49">
        <f>'Avg Week Ntungamo-Mirama'!K68+'Avg Week Mirama-Ntungamo'!K68</f>
        <v>0</v>
      </c>
      <c r="L68" s="49">
        <f>'Avg Week Ntungamo-Mirama'!L68+'Avg Week Mirama-Ntungamo'!L68</f>
        <v>0</v>
      </c>
      <c r="M68" s="49">
        <f>'Avg Week Ntungamo-Mirama'!M68+'Avg Week Mirama-Ntungamo'!M68</f>
        <v>4</v>
      </c>
      <c r="N68" s="49">
        <f>'Avg Week Ntungamo-Mirama'!N68+'Avg Week Mirama-Ntungamo'!N68</f>
        <v>0</v>
      </c>
      <c r="O68" s="15">
        <f t="shared" si="0"/>
        <v>2</v>
      </c>
      <c r="P68" s="15">
        <f t="shared" si="1"/>
        <v>6</v>
      </c>
      <c r="R68" s="8"/>
      <c r="T68"/>
    </row>
    <row r="69" spans="2:20" ht="23.1" customHeight="1" x14ac:dyDescent="0.25">
      <c r="B69" s="23" t="s">
        <v>106</v>
      </c>
      <c r="C69" s="49">
        <f>'Avg Week Ntungamo-Mirama'!C69+'Avg Week Mirama-Ntungamo'!C69</f>
        <v>0</v>
      </c>
      <c r="D69" s="49">
        <f>'Avg Week Ntungamo-Mirama'!D69+'Avg Week Mirama-Ntungamo'!D69</f>
        <v>0</v>
      </c>
      <c r="E69" s="49">
        <f>'Avg Week Ntungamo-Mirama'!E69+'Avg Week Mirama-Ntungamo'!E69</f>
        <v>0</v>
      </c>
      <c r="F69" s="49">
        <f>'Avg Week Ntungamo-Mirama'!F69+'Avg Week Mirama-Ntungamo'!F69</f>
        <v>0</v>
      </c>
      <c r="G69" s="49">
        <f>'Avg Week Ntungamo-Mirama'!G69+'Avg Week Mirama-Ntungamo'!G69</f>
        <v>0</v>
      </c>
      <c r="H69" s="49">
        <f>'Avg Week Ntungamo-Mirama'!H69+'Avg Week Mirama-Ntungamo'!H69</f>
        <v>0</v>
      </c>
      <c r="I69" s="49">
        <f>'Avg Week Ntungamo-Mirama'!I69+'Avg Week Mirama-Ntungamo'!I69</f>
        <v>0</v>
      </c>
      <c r="J69" s="49">
        <f>'Avg Week Ntungamo-Mirama'!J69+'Avg Week Mirama-Ntungamo'!J69</f>
        <v>0</v>
      </c>
      <c r="K69" s="49">
        <f>'Avg Week Ntungamo-Mirama'!K69+'Avg Week Mirama-Ntungamo'!K69</f>
        <v>0</v>
      </c>
      <c r="L69" s="49">
        <f>'Avg Week Ntungamo-Mirama'!L69+'Avg Week Mirama-Ntungamo'!L69</f>
        <v>5</v>
      </c>
      <c r="M69" s="49">
        <f>'Avg Week Ntungamo-Mirama'!M69+'Avg Week Mirama-Ntungamo'!M69</f>
        <v>1</v>
      </c>
      <c r="N69" s="49">
        <f>'Avg Week Ntungamo-Mirama'!N69+'Avg Week Mirama-Ntungamo'!N69</f>
        <v>0</v>
      </c>
      <c r="O69" s="15">
        <f t="shared" si="0"/>
        <v>5</v>
      </c>
      <c r="P69" s="15">
        <f t="shared" si="1"/>
        <v>6</v>
      </c>
      <c r="R69" s="8"/>
      <c r="T69"/>
    </row>
    <row r="70" spans="2:20" ht="23.1" customHeight="1" x14ac:dyDescent="0.25">
      <c r="B70" s="23" t="s">
        <v>110</v>
      </c>
      <c r="C70" s="49">
        <f>'Avg Week Ntungamo-Mirama'!C70+'Avg Week Mirama-Ntungamo'!C70</f>
        <v>1</v>
      </c>
      <c r="D70" s="49">
        <f>'Avg Week Ntungamo-Mirama'!D70+'Avg Week Mirama-Ntungamo'!D70</f>
        <v>0</v>
      </c>
      <c r="E70" s="49">
        <f>'Avg Week Ntungamo-Mirama'!E70+'Avg Week Mirama-Ntungamo'!E70</f>
        <v>0</v>
      </c>
      <c r="F70" s="49">
        <f>'Avg Week Ntungamo-Mirama'!F70+'Avg Week Mirama-Ntungamo'!F70</f>
        <v>0</v>
      </c>
      <c r="G70" s="49">
        <f>'Avg Week Ntungamo-Mirama'!G70+'Avg Week Mirama-Ntungamo'!G70</f>
        <v>0</v>
      </c>
      <c r="H70" s="49">
        <f>'Avg Week Ntungamo-Mirama'!H70+'Avg Week Mirama-Ntungamo'!H70</f>
        <v>0</v>
      </c>
      <c r="I70" s="49">
        <f>'Avg Week Ntungamo-Mirama'!I70+'Avg Week Mirama-Ntungamo'!I70</f>
        <v>0</v>
      </c>
      <c r="J70" s="49">
        <f>'Avg Week Ntungamo-Mirama'!J70+'Avg Week Mirama-Ntungamo'!J70</f>
        <v>0</v>
      </c>
      <c r="K70" s="49">
        <f>'Avg Week Ntungamo-Mirama'!K70+'Avg Week Mirama-Ntungamo'!K70</f>
        <v>5</v>
      </c>
      <c r="L70" s="49">
        <f>'Avg Week Ntungamo-Mirama'!L70+'Avg Week Mirama-Ntungamo'!L70</f>
        <v>2</v>
      </c>
      <c r="M70" s="49">
        <f>'Avg Week Ntungamo-Mirama'!M70+'Avg Week Mirama-Ntungamo'!M70</f>
        <v>0</v>
      </c>
      <c r="N70" s="49">
        <f>'Avg Week Ntungamo-Mirama'!N70+'Avg Week Mirama-Ntungamo'!N70</f>
        <v>0</v>
      </c>
      <c r="O70" s="15">
        <f t="shared" si="0"/>
        <v>8</v>
      </c>
      <c r="P70" s="15">
        <f t="shared" si="1"/>
        <v>8</v>
      </c>
      <c r="R70" s="8"/>
      <c r="T70"/>
    </row>
    <row r="71" spans="2:20" ht="23.1" customHeight="1" x14ac:dyDescent="0.25">
      <c r="B71" s="23" t="s">
        <v>111</v>
      </c>
      <c r="C71" s="49">
        <f>'Avg Week Ntungamo-Mirama'!C71+'Avg Week Mirama-Ntungamo'!C71</f>
        <v>0</v>
      </c>
      <c r="D71" s="49">
        <f>'Avg Week Ntungamo-Mirama'!D71+'Avg Week Mirama-Ntungamo'!D71</f>
        <v>0</v>
      </c>
      <c r="E71" s="49">
        <f>'Avg Week Ntungamo-Mirama'!E71+'Avg Week Mirama-Ntungamo'!E71</f>
        <v>0</v>
      </c>
      <c r="F71" s="49">
        <f>'Avg Week Ntungamo-Mirama'!F71+'Avg Week Mirama-Ntungamo'!F71</f>
        <v>0</v>
      </c>
      <c r="G71" s="49">
        <f>'Avg Week Ntungamo-Mirama'!G71+'Avg Week Mirama-Ntungamo'!G71</f>
        <v>0</v>
      </c>
      <c r="H71" s="49">
        <f>'Avg Week Ntungamo-Mirama'!H71+'Avg Week Mirama-Ntungamo'!H71</f>
        <v>0</v>
      </c>
      <c r="I71" s="49">
        <f>'Avg Week Ntungamo-Mirama'!I71+'Avg Week Mirama-Ntungamo'!I71</f>
        <v>0</v>
      </c>
      <c r="J71" s="49">
        <f>'Avg Week Ntungamo-Mirama'!J71+'Avg Week Mirama-Ntungamo'!J71</f>
        <v>0</v>
      </c>
      <c r="K71" s="49">
        <f>'Avg Week Ntungamo-Mirama'!K71+'Avg Week Mirama-Ntungamo'!K71</f>
        <v>0</v>
      </c>
      <c r="L71" s="49">
        <f>'Avg Week Ntungamo-Mirama'!L71+'Avg Week Mirama-Ntungamo'!L71</f>
        <v>2</v>
      </c>
      <c r="M71" s="49">
        <f>'Avg Week Ntungamo-Mirama'!M71+'Avg Week Mirama-Ntungamo'!M71</f>
        <v>0</v>
      </c>
      <c r="N71" s="49">
        <f>'Avg Week Ntungamo-Mirama'!N71+'Avg Week Mirama-Ntungamo'!N71</f>
        <v>0</v>
      </c>
      <c r="O71" s="15">
        <f t="shared" si="0"/>
        <v>2</v>
      </c>
      <c r="P71" s="15">
        <f t="shared" si="1"/>
        <v>2</v>
      </c>
      <c r="R71" s="8"/>
      <c r="T71"/>
    </row>
    <row r="72" spans="2:20" ht="23.1" customHeight="1" x14ac:dyDescent="0.25">
      <c r="B72" s="23" t="s">
        <v>112</v>
      </c>
      <c r="C72" s="49">
        <f>'Avg Week Ntungamo-Mirama'!C72+'Avg Week Mirama-Ntungamo'!C72</f>
        <v>0</v>
      </c>
      <c r="D72" s="49">
        <f>'Avg Week Ntungamo-Mirama'!D72+'Avg Week Mirama-Ntungamo'!D72</f>
        <v>1</v>
      </c>
      <c r="E72" s="49">
        <f>'Avg Week Ntungamo-Mirama'!E72+'Avg Week Mirama-Ntungamo'!E72</f>
        <v>0</v>
      </c>
      <c r="F72" s="49">
        <f>'Avg Week Ntungamo-Mirama'!F72+'Avg Week Mirama-Ntungamo'!F72</f>
        <v>0</v>
      </c>
      <c r="G72" s="49">
        <f>'Avg Week Ntungamo-Mirama'!G72+'Avg Week Mirama-Ntungamo'!G72</f>
        <v>0</v>
      </c>
      <c r="H72" s="49">
        <f>'Avg Week Ntungamo-Mirama'!H72+'Avg Week Mirama-Ntungamo'!H72</f>
        <v>0</v>
      </c>
      <c r="I72" s="49">
        <f>'Avg Week Ntungamo-Mirama'!I72+'Avg Week Mirama-Ntungamo'!I72</f>
        <v>0</v>
      </c>
      <c r="J72" s="49">
        <f>'Avg Week Ntungamo-Mirama'!J72+'Avg Week Mirama-Ntungamo'!J72</f>
        <v>2</v>
      </c>
      <c r="K72" s="49">
        <f>'Avg Week Ntungamo-Mirama'!K72+'Avg Week Mirama-Ntungamo'!K72</f>
        <v>1</v>
      </c>
      <c r="L72" s="49">
        <f>'Avg Week Ntungamo-Mirama'!L72+'Avg Week Mirama-Ntungamo'!L72</f>
        <v>1</v>
      </c>
      <c r="M72" s="49">
        <f>'Avg Week Ntungamo-Mirama'!M72+'Avg Week Mirama-Ntungamo'!M72</f>
        <v>0</v>
      </c>
      <c r="N72" s="49">
        <f>'Avg Week Ntungamo-Mirama'!N72+'Avg Week Mirama-Ntungamo'!N72</f>
        <v>0</v>
      </c>
      <c r="O72" s="15">
        <f t="shared" si="0"/>
        <v>5</v>
      </c>
      <c r="P72" s="15">
        <f t="shared" si="1"/>
        <v>5</v>
      </c>
      <c r="R72" s="8"/>
      <c r="T72"/>
    </row>
    <row r="73" spans="2:20" ht="23.1" customHeight="1" x14ac:dyDescent="0.25">
      <c r="B73" s="23" t="s">
        <v>113</v>
      </c>
      <c r="C73" s="49">
        <f>'Avg Week Ntungamo-Mirama'!C73+'Avg Week Mirama-Ntungamo'!C73</f>
        <v>0</v>
      </c>
      <c r="D73" s="49">
        <f>'Avg Week Ntungamo-Mirama'!D73+'Avg Week Mirama-Ntungamo'!D73</f>
        <v>0</v>
      </c>
      <c r="E73" s="49">
        <f>'Avg Week Ntungamo-Mirama'!E73+'Avg Week Mirama-Ntungamo'!E73</f>
        <v>0</v>
      </c>
      <c r="F73" s="49">
        <f>'Avg Week Ntungamo-Mirama'!F73+'Avg Week Mirama-Ntungamo'!F73</f>
        <v>0</v>
      </c>
      <c r="G73" s="49">
        <f>'Avg Week Ntungamo-Mirama'!G73+'Avg Week Mirama-Ntungamo'!G73</f>
        <v>0</v>
      </c>
      <c r="H73" s="49">
        <f>'Avg Week Ntungamo-Mirama'!H73+'Avg Week Mirama-Ntungamo'!H73</f>
        <v>0</v>
      </c>
      <c r="I73" s="49">
        <f>'Avg Week Ntungamo-Mirama'!I73+'Avg Week Mirama-Ntungamo'!I73</f>
        <v>0</v>
      </c>
      <c r="J73" s="49">
        <f>'Avg Week Ntungamo-Mirama'!J73+'Avg Week Mirama-Ntungamo'!J73</f>
        <v>0</v>
      </c>
      <c r="K73" s="49">
        <f>'Avg Week Ntungamo-Mirama'!K73+'Avg Week Mirama-Ntungamo'!K73</f>
        <v>0</v>
      </c>
      <c r="L73" s="49">
        <f>'Avg Week Ntungamo-Mirama'!L73+'Avg Week Mirama-Ntungamo'!L73</f>
        <v>0</v>
      </c>
      <c r="M73" s="49">
        <f>'Avg Week Ntungamo-Mirama'!M73+'Avg Week Mirama-Ntungamo'!M73</f>
        <v>0</v>
      </c>
      <c r="N73" s="49">
        <f>'Avg Week Ntungamo-Mirama'!N73+'Avg Week Mirama-Ntungamo'!N73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3" t="s">
        <v>114</v>
      </c>
      <c r="C74" s="49">
        <f>'Avg Week Ntungamo-Mirama'!C74+'Avg Week Mirama-Ntungamo'!C74</f>
        <v>0</v>
      </c>
      <c r="D74" s="49">
        <f>'Avg Week Ntungamo-Mirama'!D74+'Avg Week Mirama-Ntungamo'!D74</f>
        <v>0</v>
      </c>
      <c r="E74" s="49">
        <f>'Avg Week Ntungamo-Mirama'!E74+'Avg Week Mirama-Ntungamo'!E74</f>
        <v>0</v>
      </c>
      <c r="F74" s="49">
        <f>'Avg Week Ntungamo-Mirama'!F74+'Avg Week Mirama-Ntungamo'!F74</f>
        <v>0</v>
      </c>
      <c r="G74" s="49">
        <f>'Avg Week Ntungamo-Mirama'!G74+'Avg Week Mirama-Ntungamo'!G74</f>
        <v>0</v>
      </c>
      <c r="H74" s="49">
        <f>'Avg Week Ntungamo-Mirama'!H74+'Avg Week Mirama-Ntungamo'!H74</f>
        <v>0</v>
      </c>
      <c r="I74" s="49">
        <f>'Avg Week Ntungamo-Mirama'!I74+'Avg Week Mirama-Ntungamo'!I74</f>
        <v>0</v>
      </c>
      <c r="J74" s="49">
        <f>'Avg Week Ntungamo-Mirama'!J74+'Avg Week Mirama-Ntungamo'!J74</f>
        <v>0</v>
      </c>
      <c r="K74" s="49">
        <f>'Avg Week Ntungamo-Mirama'!K74+'Avg Week Mirama-Ntungamo'!K74</f>
        <v>1</v>
      </c>
      <c r="L74" s="49">
        <f>'Avg Week Ntungamo-Mirama'!L74+'Avg Week Mirama-Ntungamo'!L74</f>
        <v>3</v>
      </c>
      <c r="M74" s="49">
        <f>'Avg Week Ntungamo-Mirama'!M74+'Avg Week Mirama-Ntungamo'!M74</f>
        <v>0</v>
      </c>
      <c r="N74" s="49">
        <f>'Avg Week Ntungamo-Mirama'!N74+'Avg Week Mirama-Ntungamo'!N74</f>
        <v>0</v>
      </c>
      <c r="O74" s="15">
        <f t="shared" ref="O74:O105" si="35">SUM(C74:L74,N74)</f>
        <v>4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'Avg Week Ntungamo-Mirama'!C75+'Avg Week Mirama-Ntungamo'!C75</f>
        <v>0</v>
      </c>
      <c r="D75" s="49">
        <f>'Avg Week Ntungamo-Mirama'!D75+'Avg Week Mirama-Ntungamo'!D75</f>
        <v>0</v>
      </c>
      <c r="E75" s="49">
        <f>'Avg Week Ntungamo-Mirama'!E75+'Avg Week Mirama-Ntungamo'!E75</f>
        <v>0</v>
      </c>
      <c r="F75" s="49">
        <f>'Avg Week Ntungamo-Mirama'!F75+'Avg Week Mirama-Ntungamo'!F75</f>
        <v>0</v>
      </c>
      <c r="G75" s="49">
        <f>'Avg Week Ntungamo-Mirama'!G75+'Avg Week Mirama-Ntungamo'!G75</f>
        <v>0</v>
      </c>
      <c r="H75" s="49">
        <f>'Avg Week Ntungamo-Mirama'!H75+'Avg Week Mirama-Ntungamo'!H75</f>
        <v>0</v>
      </c>
      <c r="I75" s="49">
        <f>'Avg Week Ntungamo-Mirama'!I75+'Avg Week Mirama-Ntungamo'!I75</f>
        <v>0</v>
      </c>
      <c r="J75" s="49">
        <f>'Avg Week Ntungamo-Mirama'!J75+'Avg Week Mirama-Ntungamo'!J75</f>
        <v>1</v>
      </c>
      <c r="K75" s="49">
        <f>'Avg Week Ntungamo-Mirama'!K75+'Avg Week Mirama-Ntungamo'!K75</f>
        <v>2</v>
      </c>
      <c r="L75" s="49">
        <f>'Avg Week Ntungamo-Mirama'!L75+'Avg Week Mirama-Ntungamo'!L75</f>
        <v>7</v>
      </c>
      <c r="M75" s="49">
        <f>'Avg Week Ntungamo-Mirama'!M75+'Avg Week Mirama-Ntungamo'!M75</f>
        <v>0</v>
      </c>
      <c r="N75" s="49">
        <f>'Avg Week Ntungamo-Mirama'!N75+'Avg Week Mirama-Ntungamo'!N75</f>
        <v>0</v>
      </c>
      <c r="O75" s="15">
        <f t="shared" si="35"/>
        <v>10</v>
      </c>
      <c r="P75" s="15">
        <f t="shared" si="36"/>
        <v>10</v>
      </c>
      <c r="R75" s="8"/>
      <c r="T75"/>
    </row>
    <row r="76" spans="2:20" ht="23.1" customHeight="1" x14ac:dyDescent="0.25">
      <c r="B76" s="23" t="s">
        <v>116</v>
      </c>
      <c r="C76" s="49">
        <f>'Avg Week Ntungamo-Mirama'!C76+'Avg Week Mirama-Ntungamo'!C76</f>
        <v>0</v>
      </c>
      <c r="D76" s="49">
        <f>'Avg Week Ntungamo-Mirama'!D76+'Avg Week Mirama-Ntungamo'!D76</f>
        <v>0</v>
      </c>
      <c r="E76" s="49">
        <f>'Avg Week Ntungamo-Mirama'!E76+'Avg Week Mirama-Ntungamo'!E76</f>
        <v>0</v>
      </c>
      <c r="F76" s="49">
        <f>'Avg Week Ntungamo-Mirama'!F76+'Avg Week Mirama-Ntungamo'!F76</f>
        <v>0</v>
      </c>
      <c r="G76" s="49">
        <f>'Avg Week Ntungamo-Mirama'!G76+'Avg Week Mirama-Ntungamo'!G76</f>
        <v>0</v>
      </c>
      <c r="H76" s="49">
        <f>'Avg Week Ntungamo-Mirama'!H76+'Avg Week Mirama-Ntungamo'!H76</f>
        <v>0</v>
      </c>
      <c r="I76" s="49">
        <f>'Avg Week Ntungamo-Mirama'!I76+'Avg Week Mirama-Ntungamo'!I76</f>
        <v>0</v>
      </c>
      <c r="J76" s="49">
        <f>'Avg Week Ntungamo-Mirama'!J76+'Avg Week Mirama-Ntungamo'!J76</f>
        <v>0</v>
      </c>
      <c r="K76" s="49">
        <f>'Avg Week Ntungamo-Mirama'!K76+'Avg Week Mirama-Ntungamo'!K76</f>
        <v>0</v>
      </c>
      <c r="L76" s="49">
        <f>'Avg Week Ntungamo-Mirama'!L76+'Avg Week Mirama-Ntungamo'!L76</f>
        <v>0</v>
      </c>
      <c r="M76" s="49">
        <f>'Avg Week Ntungamo-Mirama'!M76+'Avg Week Mirama-Ntungamo'!M76</f>
        <v>0</v>
      </c>
      <c r="N76" s="49">
        <f>'Avg Week Ntungamo-Mirama'!N76+'Avg Week Mirama-Ntungamo'!N76</f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23" t="s">
        <v>117</v>
      </c>
      <c r="C77" s="49">
        <f>'Avg Week Ntungamo-Mirama'!C77+'Avg Week Mirama-Ntungamo'!C77</f>
        <v>0</v>
      </c>
      <c r="D77" s="49">
        <f>'Avg Week Ntungamo-Mirama'!D77+'Avg Week Mirama-Ntungamo'!D77</f>
        <v>0</v>
      </c>
      <c r="E77" s="49">
        <f>'Avg Week Ntungamo-Mirama'!E77+'Avg Week Mirama-Ntungamo'!E77</f>
        <v>0</v>
      </c>
      <c r="F77" s="49">
        <f>'Avg Week Ntungamo-Mirama'!F77+'Avg Week Mirama-Ntungamo'!F77</f>
        <v>0</v>
      </c>
      <c r="G77" s="49">
        <f>'Avg Week Ntungamo-Mirama'!G77+'Avg Week Mirama-Ntungamo'!G77</f>
        <v>0</v>
      </c>
      <c r="H77" s="49">
        <f>'Avg Week Ntungamo-Mirama'!H77+'Avg Week Mirama-Ntungamo'!H77</f>
        <v>0</v>
      </c>
      <c r="I77" s="49">
        <f>'Avg Week Ntungamo-Mirama'!I77+'Avg Week Mirama-Ntungamo'!I77</f>
        <v>0</v>
      </c>
      <c r="J77" s="49">
        <f>'Avg Week Ntungamo-Mirama'!J77+'Avg Week Mirama-Ntungamo'!J77</f>
        <v>0</v>
      </c>
      <c r="K77" s="49">
        <f>'Avg Week Ntungamo-Mirama'!K77+'Avg Week Mirama-Ntungamo'!K77</f>
        <v>1</v>
      </c>
      <c r="L77" s="49">
        <f>'Avg Week Ntungamo-Mirama'!L77+'Avg Week Mirama-Ntungamo'!L77</f>
        <v>0</v>
      </c>
      <c r="M77" s="49">
        <f>'Avg Week Ntungamo-Mirama'!M77+'Avg Week Mirama-Ntungamo'!M77</f>
        <v>0</v>
      </c>
      <c r="N77" s="49">
        <f>'Avg Week Ntungamo-Mirama'!N77+'Avg Week Mirama-Ntungamo'!N77</f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24" t="s">
        <v>118</v>
      </c>
      <c r="C78" s="49">
        <f>'Avg Week Ntungamo-Mirama'!C78+'Avg Week Mirama-Ntungamo'!C78</f>
        <v>0</v>
      </c>
      <c r="D78" s="49">
        <f>'Avg Week Ntungamo-Mirama'!D78+'Avg Week Mirama-Ntungamo'!D78</f>
        <v>0</v>
      </c>
      <c r="E78" s="49">
        <f>'Avg Week Ntungamo-Mirama'!E78+'Avg Week Mirama-Ntungamo'!E78</f>
        <v>0</v>
      </c>
      <c r="F78" s="49">
        <f>'Avg Week Ntungamo-Mirama'!F78+'Avg Week Mirama-Ntungamo'!F78</f>
        <v>0</v>
      </c>
      <c r="G78" s="49">
        <f>'Avg Week Ntungamo-Mirama'!G78+'Avg Week Mirama-Ntungamo'!G78</f>
        <v>0</v>
      </c>
      <c r="H78" s="49">
        <f>'Avg Week Ntungamo-Mirama'!H78+'Avg Week Mirama-Ntungamo'!H78</f>
        <v>0</v>
      </c>
      <c r="I78" s="49">
        <f>'Avg Week Ntungamo-Mirama'!I78+'Avg Week Mirama-Ntungamo'!I78</f>
        <v>0</v>
      </c>
      <c r="J78" s="49">
        <f>'Avg Week Ntungamo-Mirama'!J78+'Avg Week Mirama-Ntungamo'!J78</f>
        <v>0</v>
      </c>
      <c r="K78" s="49">
        <f>'Avg Week Ntungamo-Mirama'!K78+'Avg Week Mirama-Ntungamo'!K78</f>
        <v>0</v>
      </c>
      <c r="L78" s="49">
        <f>'Avg Week Ntungamo-Mirama'!L78+'Avg Week Mirama-Ntungamo'!L78</f>
        <v>0</v>
      </c>
      <c r="M78" s="49">
        <f>'Avg Week Ntungamo-Mirama'!M78+'Avg Week Mirama-Ntungamo'!M78</f>
        <v>0</v>
      </c>
      <c r="N78" s="49">
        <f>'Avg Week Ntungamo-Mirama'!N78+'Avg Week Mirama-Ntungamo'!N78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'Avg Week Ntungamo-Mirama'!C79+'Avg Week Mirama-Ntungamo'!C79</f>
        <v>0</v>
      </c>
      <c r="D79" s="49">
        <f>'Avg Week Ntungamo-Mirama'!D79+'Avg Week Mirama-Ntungamo'!D79</f>
        <v>0</v>
      </c>
      <c r="E79" s="49">
        <f>'Avg Week Ntungamo-Mirama'!E79+'Avg Week Mirama-Ntungamo'!E79</f>
        <v>0</v>
      </c>
      <c r="F79" s="49">
        <f>'Avg Week Ntungamo-Mirama'!F79+'Avg Week Mirama-Ntungamo'!F79</f>
        <v>0</v>
      </c>
      <c r="G79" s="49">
        <f>'Avg Week Ntungamo-Mirama'!G79+'Avg Week Mirama-Ntungamo'!G79</f>
        <v>0</v>
      </c>
      <c r="H79" s="49">
        <f>'Avg Week Ntungamo-Mirama'!H79+'Avg Week Mirama-Ntungamo'!H79</f>
        <v>0</v>
      </c>
      <c r="I79" s="49">
        <f>'Avg Week Ntungamo-Mirama'!I79+'Avg Week Mirama-Ntungamo'!I79</f>
        <v>0</v>
      </c>
      <c r="J79" s="49">
        <f>'Avg Week Ntungamo-Mirama'!J79+'Avg Week Mirama-Ntungamo'!J79</f>
        <v>0</v>
      </c>
      <c r="K79" s="49">
        <f>'Avg Week Ntungamo-Mirama'!K79+'Avg Week Mirama-Ntungamo'!K79</f>
        <v>0</v>
      </c>
      <c r="L79" s="49">
        <f>'Avg Week Ntungamo-Mirama'!L79+'Avg Week Mirama-Ntungamo'!L79</f>
        <v>0</v>
      </c>
      <c r="M79" s="49">
        <f>'Avg Week Ntungamo-Mirama'!M79+'Avg Week Mirama-Ntungamo'!M79</f>
        <v>0</v>
      </c>
      <c r="N79" s="49">
        <f>'Avg Week Ntungamo-Mirama'!N79+'Avg Week Mirama-Ntungamo'!N79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'Avg Week Ntungamo-Mirama'!C80+'Avg Week Mirama-Ntungamo'!C80</f>
        <v>0</v>
      </c>
      <c r="D80" s="49">
        <f>'Avg Week Ntungamo-Mirama'!D80+'Avg Week Mirama-Ntungamo'!D80</f>
        <v>0</v>
      </c>
      <c r="E80" s="49">
        <f>'Avg Week Ntungamo-Mirama'!E80+'Avg Week Mirama-Ntungamo'!E80</f>
        <v>0</v>
      </c>
      <c r="F80" s="49">
        <f>'Avg Week Ntungamo-Mirama'!F80+'Avg Week Mirama-Ntungamo'!F80</f>
        <v>0</v>
      </c>
      <c r="G80" s="49">
        <f>'Avg Week Ntungamo-Mirama'!G80+'Avg Week Mirama-Ntungamo'!G80</f>
        <v>0</v>
      </c>
      <c r="H80" s="49">
        <f>'Avg Week Ntungamo-Mirama'!H80+'Avg Week Mirama-Ntungamo'!H80</f>
        <v>0</v>
      </c>
      <c r="I80" s="49">
        <f>'Avg Week Ntungamo-Mirama'!I80+'Avg Week Mirama-Ntungamo'!I80</f>
        <v>0</v>
      </c>
      <c r="J80" s="49">
        <f>'Avg Week Ntungamo-Mirama'!J80+'Avg Week Mirama-Ntungamo'!J80</f>
        <v>0</v>
      </c>
      <c r="K80" s="49">
        <f>'Avg Week Ntungamo-Mirama'!K80+'Avg Week Mirama-Ntungamo'!K80</f>
        <v>0</v>
      </c>
      <c r="L80" s="49">
        <f>'Avg Week Ntungamo-Mirama'!L80+'Avg Week Mirama-Ntungamo'!L80</f>
        <v>2</v>
      </c>
      <c r="M80" s="49">
        <f>'Avg Week Ntungamo-Mirama'!M80+'Avg Week Mirama-Ntungamo'!M80</f>
        <v>0</v>
      </c>
      <c r="N80" s="49">
        <f>'Avg Week Ntungamo-Mirama'!N80+'Avg Week Mirama-Ntungamo'!N80</f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'Avg Week Ntungamo-Mirama'!C81+'Avg Week Mirama-Ntungamo'!C81</f>
        <v>0</v>
      </c>
      <c r="D81" s="49">
        <f>'Avg Week Ntungamo-Mirama'!D81+'Avg Week Mirama-Ntungamo'!D81</f>
        <v>0</v>
      </c>
      <c r="E81" s="49">
        <f>'Avg Week Ntungamo-Mirama'!E81+'Avg Week Mirama-Ntungamo'!E81</f>
        <v>0</v>
      </c>
      <c r="F81" s="49">
        <f>'Avg Week Ntungamo-Mirama'!F81+'Avg Week Mirama-Ntungamo'!F81</f>
        <v>0</v>
      </c>
      <c r="G81" s="49">
        <f>'Avg Week Ntungamo-Mirama'!G81+'Avg Week Mirama-Ntungamo'!G81</f>
        <v>0</v>
      </c>
      <c r="H81" s="49">
        <f>'Avg Week Ntungamo-Mirama'!H81+'Avg Week Mirama-Ntungamo'!H81</f>
        <v>0</v>
      </c>
      <c r="I81" s="49">
        <f>'Avg Week Ntungamo-Mirama'!I81+'Avg Week Mirama-Ntungamo'!I81</f>
        <v>0</v>
      </c>
      <c r="J81" s="49">
        <f>'Avg Week Ntungamo-Mirama'!J81+'Avg Week Mirama-Ntungamo'!J81</f>
        <v>1</v>
      </c>
      <c r="K81" s="49">
        <f>'Avg Week Ntungamo-Mirama'!K81+'Avg Week Mirama-Ntungamo'!K81</f>
        <v>0</v>
      </c>
      <c r="L81" s="49">
        <f>'Avg Week Ntungamo-Mirama'!L81+'Avg Week Mirama-Ntungamo'!L81</f>
        <v>0</v>
      </c>
      <c r="M81" s="49">
        <f>'Avg Week Ntungamo-Mirama'!M81+'Avg Week Mirama-Ntungamo'!M81</f>
        <v>0</v>
      </c>
      <c r="N81" s="49">
        <f>'Avg Week Ntungamo-Mirama'!N81+'Avg Week Mirama-Ntungamo'!N81</f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24" t="s">
        <v>122</v>
      </c>
      <c r="C82" s="49">
        <f>'Avg Week Ntungamo-Mirama'!C82+'Avg Week Mirama-Ntungamo'!C82</f>
        <v>0</v>
      </c>
      <c r="D82" s="49">
        <f>'Avg Week Ntungamo-Mirama'!D82+'Avg Week Mirama-Ntungamo'!D82</f>
        <v>0</v>
      </c>
      <c r="E82" s="49">
        <f>'Avg Week Ntungamo-Mirama'!E82+'Avg Week Mirama-Ntungamo'!E82</f>
        <v>0</v>
      </c>
      <c r="F82" s="49">
        <f>'Avg Week Ntungamo-Mirama'!F82+'Avg Week Mirama-Ntungamo'!F82</f>
        <v>0</v>
      </c>
      <c r="G82" s="49">
        <f>'Avg Week Ntungamo-Mirama'!G82+'Avg Week Mirama-Ntungamo'!G82</f>
        <v>0</v>
      </c>
      <c r="H82" s="49">
        <f>'Avg Week Ntungamo-Mirama'!H82+'Avg Week Mirama-Ntungamo'!H82</f>
        <v>0</v>
      </c>
      <c r="I82" s="49">
        <f>'Avg Week Ntungamo-Mirama'!I82+'Avg Week Mirama-Ntungamo'!I82</f>
        <v>0</v>
      </c>
      <c r="J82" s="49">
        <f>'Avg Week Ntungamo-Mirama'!J82+'Avg Week Mirama-Ntungamo'!J82</f>
        <v>0</v>
      </c>
      <c r="K82" s="49">
        <f>'Avg Week Ntungamo-Mirama'!K82+'Avg Week Mirama-Ntungamo'!K82</f>
        <v>0</v>
      </c>
      <c r="L82" s="49">
        <f>'Avg Week Ntungamo-Mirama'!L82+'Avg Week Mirama-Ntungamo'!L82</f>
        <v>0</v>
      </c>
      <c r="M82" s="49">
        <f>'Avg Week Ntungamo-Mirama'!M82+'Avg Week Mirama-Ntungamo'!M82</f>
        <v>0</v>
      </c>
      <c r="N82" s="49">
        <f>'Avg Week Ntungamo-Mirama'!N82+'Avg Week Mirama-Ntungamo'!N82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'Avg Week Ntungamo-Mirama'!C83+'Avg Week Mirama-Ntungamo'!C83</f>
        <v>0</v>
      </c>
      <c r="D83" s="49">
        <f>'Avg Week Ntungamo-Mirama'!D83+'Avg Week Mirama-Ntungamo'!D83</f>
        <v>0</v>
      </c>
      <c r="E83" s="49">
        <f>'Avg Week Ntungamo-Mirama'!E83+'Avg Week Mirama-Ntungamo'!E83</f>
        <v>0</v>
      </c>
      <c r="F83" s="49">
        <f>'Avg Week Ntungamo-Mirama'!F83+'Avg Week Mirama-Ntungamo'!F83</f>
        <v>0</v>
      </c>
      <c r="G83" s="49">
        <f>'Avg Week Ntungamo-Mirama'!G83+'Avg Week Mirama-Ntungamo'!G83</f>
        <v>0</v>
      </c>
      <c r="H83" s="49">
        <f>'Avg Week Ntungamo-Mirama'!H83+'Avg Week Mirama-Ntungamo'!H83</f>
        <v>0</v>
      </c>
      <c r="I83" s="49">
        <f>'Avg Week Ntungamo-Mirama'!I83+'Avg Week Mirama-Ntungamo'!I83</f>
        <v>0</v>
      </c>
      <c r="J83" s="49">
        <f>'Avg Week Ntungamo-Mirama'!J83+'Avg Week Mirama-Ntungamo'!J83</f>
        <v>0</v>
      </c>
      <c r="K83" s="49">
        <f>'Avg Week Ntungamo-Mirama'!K83+'Avg Week Mirama-Ntungamo'!K83</f>
        <v>0</v>
      </c>
      <c r="L83" s="49">
        <f>'Avg Week Ntungamo-Mirama'!L83+'Avg Week Mirama-Ntungamo'!L83</f>
        <v>2</v>
      </c>
      <c r="M83" s="49">
        <f>'Avg Week Ntungamo-Mirama'!M83+'Avg Week Mirama-Ntungamo'!M83</f>
        <v>0</v>
      </c>
      <c r="N83" s="49">
        <f>'Avg Week Ntungamo-Mirama'!N83+'Avg Week Mirama-Ntungamo'!N83</f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'Avg Week Ntungamo-Mirama'!C84+'Avg Week Mirama-Ntungamo'!C84</f>
        <v>0</v>
      </c>
      <c r="D84" s="49">
        <f>'Avg Week Ntungamo-Mirama'!D84+'Avg Week Mirama-Ntungamo'!D84</f>
        <v>0</v>
      </c>
      <c r="E84" s="49">
        <f>'Avg Week Ntungamo-Mirama'!E84+'Avg Week Mirama-Ntungamo'!E84</f>
        <v>0</v>
      </c>
      <c r="F84" s="49">
        <f>'Avg Week Ntungamo-Mirama'!F84+'Avg Week Mirama-Ntungamo'!F84</f>
        <v>0</v>
      </c>
      <c r="G84" s="49">
        <f>'Avg Week Ntungamo-Mirama'!G84+'Avg Week Mirama-Ntungamo'!G84</f>
        <v>0</v>
      </c>
      <c r="H84" s="49">
        <f>'Avg Week Ntungamo-Mirama'!H84+'Avg Week Mirama-Ntungamo'!H84</f>
        <v>0</v>
      </c>
      <c r="I84" s="49">
        <f>'Avg Week Ntungamo-Mirama'!I84+'Avg Week Mirama-Ntungamo'!I84</f>
        <v>0</v>
      </c>
      <c r="J84" s="49">
        <f>'Avg Week Ntungamo-Mirama'!J84+'Avg Week Mirama-Ntungamo'!J84</f>
        <v>0</v>
      </c>
      <c r="K84" s="49">
        <f>'Avg Week Ntungamo-Mirama'!K84+'Avg Week Mirama-Ntungamo'!K84</f>
        <v>0</v>
      </c>
      <c r="L84" s="49">
        <f>'Avg Week Ntungamo-Mirama'!L84+'Avg Week Mirama-Ntungamo'!L84</f>
        <v>0</v>
      </c>
      <c r="M84" s="49">
        <f>'Avg Week Ntungamo-Mirama'!M84+'Avg Week Mirama-Ntungamo'!M84</f>
        <v>0</v>
      </c>
      <c r="N84" s="49">
        <f>'Avg Week Ntungamo-Mirama'!N84+'Avg Week Mirama-Ntungamo'!N84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'Avg Week Ntungamo-Mirama'!C85+'Avg Week Mirama-Ntungamo'!C85</f>
        <v>0</v>
      </c>
      <c r="D85" s="49">
        <f>'Avg Week Ntungamo-Mirama'!D85+'Avg Week Mirama-Ntungamo'!D85</f>
        <v>0</v>
      </c>
      <c r="E85" s="49">
        <f>'Avg Week Ntungamo-Mirama'!E85+'Avg Week Mirama-Ntungamo'!E85</f>
        <v>0</v>
      </c>
      <c r="F85" s="49">
        <f>'Avg Week Ntungamo-Mirama'!F85+'Avg Week Mirama-Ntungamo'!F85</f>
        <v>0</v>
      </c>
      <c r="G85" s="49">
        <f>'Avg Week Ntungamo-Mirama'!G85+'Avg Week Mirama-Ntungamo'!G85</f>
        <v>0</v>
      </c>
      <c r="H85" s="49">
        <f>'Avg Week Ntungamo-Mirama'!H85+'Avg Week Mirama-Ntungamo'!H85</f>
        <v>0</v>
      </c>
      <c r="I85" s="49">
        <f>'Avg Week Ntungamo-Mirama'!I85+'Avg Week Mirama-Ntungamo'!I85</f>
        <v>0</v>
      </c>
      <c r="J85" s="49">
        <f>'Avg Week Ntungamo-Mirama'!J85+'Avg Week Mirama-Ntungamo'!J85</f>
        <v>0</v>
      </c>
      <c r="K85" s="49">
        <f>'Avg Week Ntungamo-Mirama'!K85+'Avg Week Mirama-Ntungamo'!K85</f>
        <v>0</v>
      </c>
      <c r="L85" s="49">
        <f>'Avg Week Ntungamo-Mirama'!L85+'Avg Week Mirama-Ntungamo'!L85</f>
        <v>0</v>
      </c>
      <c r="M85" s="49">
        <f>'Avg Week Ntungamo-Mirama'!M85+'Avg Week Mirama-Ntungamo'!M85</f>
        <v>0</v>
      </c>
      <c r="N85" s="49">
        <f>'Avg Week Ntungamo-Mirama'!N85+'Avg Week Mirama-Ntungamo'!N85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'Avg Week Ntungamo-Mirama'!C86+'Avg Week Mirama-Ntungamo'!C86</f>
        <v>0</v>
      </c>
      <c r="D86" s="49">
        <f>'Avg Week Ntungamo-Mirama'!D86+'Avg Week Mirama-Ntungamo'!D86</f>
        <v>0</v>
      </c>
      <c r="E86" s="49">
        <f>'Avg Week Ntungamo-Mirama'!E86+'Avg Week Mirama-Ntungamo'!E86</f>
        <v>0</v>
      </c>
      <c r="F86" s="49">
        <f>'Avg Week Ntungamo-Mirama'!F86+'Avg Week Mirama-Ntungamo'!F86</f>
        <v>0</v>
      </c>
      <c r="G86" s="49">
        <f>'Avg Week Ntungamo-Mirama'!G86+'Avg Week Mirama-Ntungamo'!G86</f>
        <v>0</v>
      </c>
      <c r="H86" s="49">
        <f>'Avg Week Ntungamo-Mirama'!H86+'Avg Week Mirama-Ntungamo'!H86</f>
        <v>0</v>
      </c>
      <c r="I86" s="49">
        <f>'Avg Week Ntungamo-Mirama'!I86+'Avg Week Mirama-Ntungamo'!I86</f>
        <v>0</v>
      </c>
      <c r="J86" s="49">
        <f>'Avg Week Ntungamo-Mirama'!J86+'Avg Week Mirama-Ntungamo'!J86</f>
        <v>0</v>
      </c>
      <c r="K86" s="49">
        <f>'Avg Week Ntungamo-Mirama'!K86+'Avg Week Mirama-Ntungamo'!K86</f>
        <v>0</v>
      </c>
      <c r="L86" s="49">
        <f>'Avg Week Ntungamo-Mirama'!L86+'Avg Week Mirama-Ntungamo'!L86</f>
        <v>2</v>
      </c>
      <c r="M86" s="49">
        <f>'Avg Week Ntungamo-Mirama'!M86+'Avg Week Mirama-Ntungamo'!M86</f>
        <v>0</v>
      </c>
      <c r="N86" s="49">
        <f>'Avg Week Ntungamo-Mirama'!N86+'Avg Week Mirama-Ntungamo'!N86</f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'Avg Week Ntungamo-Mirama'!C87+'Avg Week Mirama-Ntungamo'!C87</f>
        <v>0</v>
      </c>
      <c r="D87" s="49">
        <f>'Avg Week Ntungamo-Mirama'!D87+'Avg Week Mirama-Ntungamo'!D87</f>
        <v>0</v>
      </c>
      <c r="E87" s="49">
        <f>'Avg Week Ntungamo-Mirama'!E87+'Avg Week Mirama-Ntungamo'!E87</f>
        <v>0</v>
      </c>
      <c r="F87" s="49">
        <f>'Avg Week Ntungamo-Mirama'!F87+'Avg Week Mirama-Ntungamo'!F87</f>
        <v>0</v>
      </c>
      <c r="G87" s="49">
        <f>'Avg Week Ntungamo-Mirama'!G87+'Avg Week Mirama-Ntungamo'!G87</f>
        <v>0</v>
      </c>
      <c r="H87" s="49">
        <f>'Avg Week Ntungamo-Mirama'!H87+'Avg Week Mirama-Ntungamo'!H87</f>
        <v>0</v>
      </c>
      <c r="I87" s="49">
        <f>'Avg Week Ntungamo-Mirama'!I87+'Avg Week Mirama-Ntungamo'!I87</f>
        <v>0</v>
      </c>
      <c r="J87" s="49">
        <f>'Avg Week Ntungamo-Mirama'!J87+'Avg Week Mirama-Ntungamo'!J87</f>
        <v>0</v>
      </c>
      <c r="K87" s="49">
        <f>'Avg Week Ntungamo-Mirama'!K87+'Avg Week Mirama-Ntungamo'!K87</f>
        <v>0</v>
      </c>
      <c r="L87" s="49">
        <f>'Avg Week Ntungamo-Mirama'!L87+'Avg Week Mirama-Ntungamo'!L87</f>
        <v>0</v>
      </c>
      <c r="M87" s="49">
        <f>'Avg Week Ntungamo-Mirama'!M87+'Avg Week Mirama-Ntungamo'!M87</f>
        <v>0</v>
      </c>
      <c r="N87" s="49">
        <f>'Avg Week Ntungamo-Mirama'!N87+'Avg Week Mirama-Ntungamo'!N87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Ntungamo-Mirama'!C88+'Avg Week Mirama-Ntungamo'!C88</f>
        <v>0</v>
      </c>
      <c r="D88" s="49">
        <f>'Avg Week Ntungamo-Mirama'!D88+'Avg Week Mirama-Ntungamo'!D88</f>
        <v>0</v>
      </c>
      <c r="E88" s="49">
        <f>'Avg Week Ntungamo-Mirama'!E88+'Avg Week Mirama-Ntungamo'!E88</f>
        <v>0</v>
      </c>
      <c r="F88" s="49">
        <f>'Avg Week Ntungamo-Mirama'!F88+'Avg Week Mirama-Ntungamo'!F88</f>
        <v>0</v>
      </c>
      <c r="G88" s="49">
        <f>'Avg Week Ntungamo-Mirama'!G88+'Avg Week Mirama-Ntungamo'!G88</f>
        <v>0</v>
      </c>
      <c r="H88" s="49">
        <f>'Avg Week Ntungamo-Mirama'!H88+'Avg Week Mirama-Ntungamo'!H88</f>
        <v>0</v>
      </c>
      <c r="I88" s="49">
        <f>'Avg Week Ntungamo-Mirama'!I88+'Avg Week Mirama-Ntungamo'!I88</f>
        <v>0</v>
      </c>
      <c r="J88" s="49">
        <f>'Avg Week Ntungamo-Mirama'!J88+'Avg Week Mirama-Ntungamo'!J88</f>
        <v>0</v>
      </c>
      <c r="K88" s="49">
        <f>'Avg Week Ntungamo-Mirama'!K88+'Avg Week Mirama-Ntungamo'!K88</f>
        <v>0</v>
      </c>
      <c r="L88" s="49">
        <f>'Avg Week Ntungamo-Mirama'!L88+'Avg Week Mirama-Ntungamo'!L88</f>
        <v>0</v>
      </c>
      <c r="M88" s="49">
        <f>'Avg Week Ntungamo-Mirama'!M88+'Avg Week Mirama-Ntungamo'!M88</f>
        <v>0</v>
      </c>
      <c r="N88" s="49">
        <f>'Avg Week Ntungamo-Mirama'!N88+'Avg Week Mirama-Ntungamo'!N88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Week Ntungamo-Mirama'!C89+'Avg Week Mirama-Ntungamo'!C89</f>
        <v>0</v>
      </c>
      <c r="D89" s="49">
        <f>'Avg Week Ntungamo-Mirama'!D89+'Avg Week Mirama-Ntungamo'!D89</f>
        <v>0</v>
      </c>
      <c r="E89" s="49">
        <f>'Avg Week Ntungamo-Mirama'!E89+'Avg Week Mirama-Ntungamo'!E89</f>
        <v>0</v>
      </c>
      <c r="F89" s="49">
        <f>'Avg Week Ntungamo-Mirama'!F89+'Avg Week Mirama-Ntungamo'!F89</f>
        <v>0</v>
      </c>
      <c r="G89" s="49">
        <f>'Avg Week Ntungamo-Mirama'!G89+'Avg Week Mirama-Ntungamo'!G89</f>
        <v>0</v>
      </c>
      <c r="H89" s="49">
        <f>'Avg Week Ntungamo-Mirama'!H89+'Avg Week Mirama-Ntungamo'!H89</f>
        <v>0</v>
      </c>
      <c r="I89" s="49">
        <f>'Avg Week Ntungamo-Mirama'!I89+'Avg Week Mirama-Ntungamo'!I89</f>
        <v>0</v>
      </c>
      <c r="J89" s="49">
        <f>'Avg Week Ntungamo-Mirama'!J89+'Avg Week Mirama-Ntungamo'!J89</f>
        <v>0</v>
      </c>
      <c r="K89" s="49">
        <f>'Avg Week Ntungamo-Mirama'!K89+'Avg Week Mirama-Ntungamo'!K89</f>
        <v>0</v>
      </c>
      <c r="L89" s="49">
        <f>'Avg Week Ntungamo-Mirama'!L89+'Avg Week Mirama-Ntungamo'!L89</f>
        <v>1</v>
      </c>
      <c r="M89" s="49">
        <f>'Avg Week Ntungamo-Mirama'!M89+'Avg Week Mirama-Ntungamo'!M89</f>
        <v>0</v>
      </c>
      <c r="N89" s="49">
        <f>'Avg Week Ntungamo-Mirama'!N89+'Avg Week Mirama-Ntungamo'!N89</f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'Avg Week Ntungamo-Mirama'!C90+'Avg Week Mirama-Ntungamo'!C90</f>
        <v>0</v>
      </c>
      <c r="D90" s="49">
        <f>'Avg Week Ntungamo-Mirama'!D90+'Avg Week Mirama-Ntungamo'!D90</f>
        <v>0</v>
      </c>
      <c r="E90" s="49">
        <f>'Avg Week Ntungamo-Mirama'!E90+'Avg Week Mirama-Ntungamo'!E90</f>
        <v>0</v>
      </c>
      <c r="F90" s="49">
        <f>'Avg Week Ntungamo-Mirama'!F90+'Avg Week Mirama-Ntungamo'!F90</f>
        <v>0</v>
      </c>
      <c r="G90" s="49">
        <f>'Avg Week Ntungamo-Mirama'!G90+'Avg Week Mirama-Ntungamo'!G90</f>
        <v>0</v>
      </c>
      <c r="H90" s="49">
        <f>'Avg Week Ntungamo-Mirama'!H90+'Avg Week Mirama-Ntungamo'!H90</f>
        <v>0</v>
      </c>
      <c r="I90" s="49">
        <f>'Avg Week Ntungamo-Mirama'!I90+'Avg Week Mirama-Ntungamo'!I90</f>
        <v>0</v>
      </c>
      <c r="J90" s="49">
        <f>'Avg Week Ntungamo-Mirama'!J90+'Avg Week Mirama-Ntungamo'!J90</f>
        <v>0</v>
      </c>
      <c r="K90" s="49">
        <f>'Avg Week Ntungamo-Mirama'!K90+'Avg Week Mirama-Ntungamo'!K90</f>
        <v>0</v>
      </c>
      <c r="L90" s="49">
        <f>'Avg Week Ntungamo-Mirama'!L90+'Avg Week Mirama-Ntungamo'!L90</f>
        <v>0</v>
      </c>
      <c r="M90" s="49">
        <f>'Avg Week Ntungamo-Mirama'!M90+'Avg Week Mirama-Ntungamo'!M90</f>
        <v>0</v>
      </c>
      <c r="N90" s="49">
        <f>'Avg Week Ntungamo-Mirama'!N90+'Avg Week Mirama-Ntungamo'!N90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'Avg Week Ntungamo-Mirama'!C91+'Avg Week Mirama-Ntungamo'!C91</f>
        <v>0</v>
      </c>
      <c r="D91" s="49">
        <f>'Avg Week Ntungamo-Mirama'!D91+'Avg Week Mirama-Ntungamo'!D91</f>
        <v>0</v>
      </c>
      <c r="E91" s="49">
        <f>'Avg Week Ntungamo-Mirama'!E91+'Avg Week Mirama-Ntungamo'!E91</f>
        <v>0</v>
      </c>
      <c r="F91" s="49">
        <f>'Avg Week Ntungamo-Mirama'!F91+'Avg Week Mirama-Ntungamo'!F91</f>
        <v>0</v>
      </c>
      <c r="G91" s="49">
        <f>'Avg Week Ntungamo-Mirama'!G91+'Avg Week Mirama-Ntungamo'!G91</f>
        <v>0</v>
      </c>
      <c r="H91" s="49">
        <f>'Avg Week Ntungamo-Mirama'!H91+'Avg Week Mirama-Ntungamo'!H91</f>
        <v>0</v>
      </c>
      <c r="I91" s="49">
        <f>'Avg Week Ntungamo-Mirama'!I91+'Avg Week Mirama-Ntungamo'!I91</f>
        <v>0</v>
      </c>
      <c r="J91" s="49">
        <f>'Avg Week Ntungamo-Mirama'!J91+'Avg Week Mirama-Ntungamo'!J91</f>
        <v>0</v>
      </c>
      <c r="K91" s="49">
        <f>'Avg Week Ntungamo-Mirama'!K91+'Avg Week Mirama-Ntungamo'!K91</f>
        <v>0</v>
      </c>
      <c r="L91" s="49">
        <f>'Avg Week Ntungamo-Mirama'!L91+'Avg Week Mirama-Ntungamo'!L91</f>
        <v>0</v>
      </c>
      <c r="M91" s="49">
        <f>'Avg Week Ntungamo-Mirama'!M91+'Avg Week Mirama-Ntungamo'!M91</f>
        <v>0</v>
      </c>
      <c r="N91" s="49">
        <f>'Avg Week Ntungamo-Mirama'!N91+'Avg Week Mirama-Ntungamo'!N91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Week Ntungamo-Mirama'!C92+'Avg Week Mirama-Ntungamo'!C92</f>
        <v>0</v>
      </c>
      <c r="D92" s="49">
        <f>'Avg Week Ntungamo-Mirama'!D92+'Avg Week Mirama-Ntungamo'!D92</f>
        <v>0</v>
      </c>
      <c r="E92" s="49">
        <f>'Avg Week Ntungamo-Mirama'!E92+'Avg Week Mirama-Ntungamo'!E92</f>
        <v>0</v>
      </c>
      <c r="F92" s="49">
        <f>'Avg Week Ntungamo-Mirama'!F92+'Avg Week Mirama-Ntungamo'!F92</f>
        <v>0</v>
      </c>
      <c r="G92" s="49">
        <f>'Avg Week Ntungamo-Mirama'!G92+'Avg Week Mirama-Ntungamo'!G92</f>
        <v>0</v>
      </c>
      <c r="H92" s="49">
        <f>'Avg Week Ntungamo-Mirama'!H92+'Avg Week Mirama-Ntungamo'!H92</f>
        <v>0</v>
      </c>
      <c r="I92" s="49">
        <f>'Avg Week Ntungamo-Mirama'!I92+'Avg Week Mirama-Ntungamo'!I92</f>
        <v>0</v>
      </c>
      <c r="J92" s="49">
        <f>'Avg Week Ntungamo-Mirama'!J92+'Avg Week Mirama-Ntungamo'!J92</f>
        <v>0</v>
      </c>
      <c r="K92" s="49">
        <f>'Avg Week Ntungamo-Mirama'!K92+'Avg Week Mirama-Ntungamo'!K92</f>
        <v>0</v>
      </c>
      <c r="L92" s="49">
        <f>'Avg Week Ntungamo-Mirama'!L92+'Avg Week Mirama-Ntungamo'!L92</f>
        <v>0</v>
      </c>
      <c r="M92" s="49">
        <f>'Avg Week Ntungamo-Mirama'!M92+'Avg Week Mirama-Ntungamo'!M92</f>
        <v>0</v>
      </c>
      <c r="N92" s="49">
        <f>'Avg Week Ntungamo-Mirama'!N92+'Avg Week Mirama-Ntungamo'!N92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Ntungamo-Mirama'!C93+'Avg Week Mirama-Ntungamo'!C93</f>
        <v>0</v>
      </c>
      <c r="D93" s="49">
        <f>'Avg Week Ntungamo-Mirama'!D93+'Avg Week Mirama-Ntungamo'!D93</f>
        <v>0</v>
      </c>
      <c r="E93" s="49">
        <f>'Avg Week Ntungamo-Mirama'!E93+'Avg Week Mirama-Ntungamo'!E93</f>
        <v>0</v>
      </c>
      <c r="F93" s="49">
        <f>'Avg Week Ntungamo-Mirama'!F93+'Avg Week Mirama-Ntungamo'!F93</f>
        <v>0</v>
      </c>
      <c r="G93" s="49">
        <f>'Avg Week Ntungamo-Mirama'!G93+'Avg Week Mirama-Ntungamo'!G93</f>
        <v>0</v>
      </c>
      <c r="H93" s="49">
        <f>'Avg Week Ntungamo-Mirama'!H93+'Avg Week Mirama-Ntungamo'!H93</f>
        <v>0</v>
      </c>
      <c r="I93" s="49">
        <f>'Avg Week Ntungamo-Mirama'!I93+'Avg Week Mirama-Ntungamo'!I93</f>
        <v>0</v>
      </c>
      <c r="J93" s="49">
        <f>'Avg Week Ntungamo-Mirama'!J93+'Avg Week Mirama-Ntungamo'!J93</f>
        <v>0</v>
      </c>
      <c r="K93" s="49">
        <f>'Avg Week Ntungamo-Mirama'!K93+'Avg Week Mirama-Ntungamo'!K93</f>
        <v>0</v>
      </c>
      <c r="L93" s="49">
        <f>'Avg Week Ntungamo-Mirama'!L93+'Avg Week Mirama-Ntungamo'!L93</f>
        <v>0</v>
      </c>
      <c r="M93" s="49">
        <f>'Avg Week Ntungamo-Mirama'!M93+'Avg Week Mirama-Ntungamo'!M93</f>
        <v>0</v>
      </c>
      <c r="N93" s="49">
        <f>'Avg Week Ntungamo-Mirama'!N93+'Avg Week Mirama-Ntungamo'!N93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'Avg Week Ntungamo-Mirama'!C94+'Avg Week Mirama-Ntungamo'!C94</f>
        <v>0</v>
      </c>
      <c r="D94" s="49">
        <f>'Avg Week Ntungamo-Mirama'!D94+'Avg Week Mirama-Ntungamo'!D94</f>
        <v>0</v>
      </c>
      <c r="E94" s="49">
        <f>'Avg Week Ntungamo-Mirama'!E94+'Avg Week Mirama-Ntungamo'!E94</f>
        <v>0</v>
      </c>
      <c r="F94" s="49">
        <f>'Avg Week Ntungamo-Mirama'!F94+'Avg Week Mirama-Ntungamo'!F94</f>
        <v>0</v>
      </c>
      <c r="G94" s="49">
        <f>'Avg Week Ntungamo-Mirama'!G94+'Avg Week Mirama-Ntungamo'!G94</f>
        <v>0</v>
      </c>
      <c r="H94" s="49">
        <f>'Avg Week Ntungamo-Mirama'!H94+'Avg Week Mirama-Ntungamo'!H94</f>
        <v>0</v>
      </c>
      <c r="I94" s="49">
        <f>'Avg Week Ntungamo-Mirama'!I94+'Avg Week Mirama-Ntungamo'!I94</f>
        <v>0</v>
      </c>
      <c r="J94" s="49">
        <f>'Avg Week Ntungamo-Mirama'!J94+'Avg Week Mirama-Ntungamo'!J94</f>
        <v>0</v>
      </c>
      <c r="K94" s="49">
        <f>'Avg Week Ntungamo-Mirama'!K94+'Avg Week Mirama-Ntungamo'!K94</f>
        <v>0</v>
      </c>
      <c r="L94" s="49">
        <f>'Avg Week Ntungamo-Mirama'!L94+'Avg Week Mirama-Ntungamo'!L94</f>
        <v>0</v>
      </c>
      <c r="M94" s="49">
        <f>'Avg Week Ntungamo-Mirama'!M94+'Avg Week Mirama-Ntungamo'!M94</f>
        <v>0</v>
      </c>
      <c r="N94" s="49">
        <f>'Avg Week Ntungamo-Mirama'!N94+'Avg Week Mirama-Ntungamo'!N94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'Avg Week Ntungamo-Mirama'!C95+'Avg Week Mirama-Ntungamo'!C95</f>
        <v>0</v>
      </c>
      <c r="D95" s="49">
        <f>'Avg Week Ntungamo-Mirama'!D95+'Avg Week Mirama-Ntungamo'!D95</f>
        <v>0</v>
      </c>
      <c r="E95" s="49">
        <f>'Avg Week Ntungamo-Mirama'!E95+'Avg Week Mirama-Ntungamo'!E95</f>
        <v>0</v>
      </c>
      <c r="F95" s="49">
        <f>'Avg Week Ntungamo-Mirama'!F95+'Avg Week Mirama-Ntungamo'!F95</f>
        <v>0</v>
      </c>
      <c r="G95" s="49">
        <f>'Avg Week Ntungamo-Mirama'!G95+'Avg Week Mirama-Ntungamo'!G95</f>
        <v>0</v>
      </c>
      <c r="H95" s="49">
        <f>'Avg Week Ntungamo-Mirama'!H95+'Avg Week Mirama-Ntungamo'!H95</f>
        <v>0</v>
      </c>
      <c r="I95" s="49">
        <f>'Avg Week Ntungamo-Mirama'!I95+'Avg Week Mirama-Ntungamo'!I95</f>
        <v>0</v>
      </c>
      <c r="J95" s="49">
        <f>'Avg Week Ntungamo-Mirama'!J95+'Avg Week Mirama-Ntungamo'!J95</f>
        <v>0</v>
      </c>
      <c r="K95" s="49">
        <f>'Avg Week Ntungamo-Mirama'!K95+'Avg Week Mirama-Ntungamo'!K95</f>
        <v>0</v>
      </c>
      <c r="L95" s="49">
        <f>'Avg Week Ntungamo-Mirama'!L95+'Avg Week Mirama-Ntungamo'!L95</f>
        <v>0</v>
      </c>
      <c r="M95" s="49">
        <f>'Avg Week Ntungamo-Mirama'!M95+'Avg Week Mirama-Ntungamo'!M95</f>
        <v>0</v>
      </c>
      <c r="N95" s="49">
        <f>'Avg Week Ntungamo-Mirama'!N95+'Avg Week Mirama-Ntungamo'!N95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'Avg Week Ntungamo-Mirama'!C96+'Avg Week Mirama-Ntungamo'!C96</f>
        <v>0</v>
      </c>
      <c r="D96" s="49">
        <f>'Avg Week Ntungamo-Mirama'!D96+'Avg Week Mirama-Ntungamo'!D96</f>
        <v>0</v>
      </c>
      <c r="E96" s="49">
        <f>'Avg Week Ntungamo-Mirama'!E96+'Avg Week Mirama-Ntungamo'!E96</f>
        <v>0</v>
      </c>
      <c r="F96" s="49">
        <f>'Avg Week Ntungamo-Mirama'!F96+'Avg Week Mirama-Ntungamo'!F96</f>
        <v>0</v>
      </c>
      <c r="G96" s="49">
        <f>'Avg Week Ntungamo-Mirama'!G96+'Avg Week Mirama-Ntungamo'!G96</f>
        <v>0</v>
      </c>
      <c r="H96" s="49">
        <f>'Avg Week Ntungamo-Mirama'!H96+'Avg Week Mirama-Ntungamo'!H96</f>
        <v>0</v>
      </c>
      <c r="I96" s="49">
        <f>'Avg Week Ntungamo-Mirama'!I96+'Avg Week Mirama-Ntungamo'!I96</f>
        <v>0</v>
      </c>
      <c r="J96" s="49">
        <f>'Avg Week Ntungamo-Mirama'!J96+'Avg Week Mirama-Ntungamo'!J96</f>
        <v>0</v>
      </c>
      <c r="K96" s="49">
        <f>'Avg Week Ntungamo-Mirama'!K96+'Avg Week Mirama-Ntungamo'!K96</f>
        <v>0</v>
      </c>
      <c r="L96" s="49">
        <f>'Avg Week Ntungamo-Mirama'!L96+'Avg Week Mirama-Ntungamo'!L96</f>
        <v>2</v>
      </c>
      <c r="M96" s="49">
        <f>'Avg Week Ntungamo-Mirama'!M96+'Avg Week Mirama-Ntungamo'!M96</f>
        <v>0</v>
      </c>
      <c r="N96" s="49">
        <f>'Avg Week Ntungamo-Mirama'!N96+'Avg Week Mirama-Ntungamo'!N96</f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'Avg Week Ntungamo-Mirama'!C97+'Avg Week Mirama-Ntungamo'!C97</f>
        <v>0</v>
      </c>
      <c r="D97" s="49">
        <f>'Avg Week Ntungamo-Mirama'!D97+'Avg Week Mirama-Ntungamo'!D97</f>
        <v>0</v>
      </c>
      <c r="E97" s="49">
        <f>'Avg Week Ntungamo-Mirama'!E97+'Avg Week Mirama-Ntungamo'!E97</f>
        <v>0</v>
      </c>
      <c r="F97" s="49">
        <f>'Avg Week Ntungamo-Mirama'!F97+'Avg Week Mirama-Ntungamo'!F97</f>
        <v>0</v>
      </c>
      <c r="G97" s="49">
        <f>'Avg Week Ntungamo-Mirama'!G97+'Avg Week Mirama-Ntungamo'!G97</f>
        <v>0</v>
      </c>
      <c r="H97" s="49">
        <f>'Avg Week Ntungamo-Mirama'!H97+'Avg Week Mirama-Ntungamo'!H97</f>
        <v>0</v>
      </c>
      <c r="I97" s="49">
        <f>'Avg Week Ntungamo-Mirama'!I97+'Avg Week Mirama-Ntungamo'!I97</f>
        <v>0</v>
      </c>
      <c r="J97" s="49">
        <f>'Avg Week Ntungamo-Mirama'!J97+'Avg Week Mirama-Ntungamo'!J97</f>
        <v>0</v>
      </c>
      <c r="K97" s="49">
        <f>'Avg Week Ntungamo-Mirama'!K97+'Avg Week Mirama-Ntungamo'!K97</f>
        <v>0</v>
      </c>
      <c r="L97" s="49">
        <f>'Avg Week Ntungamo-Mirama'!L97+'Avg Week Mirama-Ntungamo'!L97</f>
        <v>0</v>
      </c>
      <c r="M97" s="49">
        <f>'Avg Week Ntungamo-Mirama'!M97+'Avg Week Mirama-Ntungamo'!M97</f>
        <v>1</v>
      </c>
      <c r="N97" s="49">
        <f>'Avg Week Ntungamo-Mirama'!N97+'Avg Week Mirama-Ntungamo'!N97</f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'Avg Week Ntungamo-Mirama'!C98+'Avg Week Mirama-Ntungamo'!C98</f>
        <v>1</v>
      </c>
      <c r="D98" s="49">
        <f>'Avg Week Ntungamo-Mirama'!D98+'Avg Week Mirama-Ntungamo'!D98</f>
        <v>0</v>
      </c>
      <c r="E98" s="49">
        <f>'Avg Week Ntungamo-Mirama'!E98+'Avg Week Mirama-Ntungamo'!E98</f>
        <v>0</v>
      </c>
      <c r="F98" s="49">
        <f>'Avg Week Ntungamo-Mirama'!F98+'Avg Week Mirama-Ntungamo'!F98</f>
        <v>0</v>
      </c>
      <c r="G98" s="49">
        <f>'Avg Week Ntungamo-Mirama'!G98+'Avg Week Mirama-Ntungamo'!G98</f>
        <v>0</v>
      </c>
      <c r="H98" s="49">
        <f>'Avg Week Ntungamo-Mirama'!H98+'Avg Week Mirama-Ntungamo'!H98</f>
        <v>0</v>
      </c>
      <c r="I98" s="49">
        <f>'Avg Week Ntungamo-Mirama'!I98+'Avg Week Mirama-Ntungamo'!I98</f>
        <v>0</v>
      </c>
      <c r="J98" s="49">
        <f>'Avg Week Ntungamo-Mirama'!J98+'Avg Week Mirama-Ntungamo'!J98</f>
        <v>0</v>
      </c>
      <c r="K98" s="49">
        <f>'Avg Week Ntungamo-Mirama'!K98+'Avg Week Mirama-Ntungamo'!K98</f>
        <v>1</v>
      </c>
      <c r="L98" s="49">
        <f>'Avg Week Ntungamo-Mirama'!L98+'Avg Week Mirama-Ntungamo'!L98</f>
        <v>4</v>
      </c>
      <c r="M98" s="49">
        <f>'Avg Week Ntungamo-Mirama'!M98+'Avg Week Mirama-Ntungamo'!M98</f>
        <v>3</v>
      </c>
      <c r="N98" s="49">
        <f>'Avg Week Ntungamo-Mirama'!N98+'Avg Week Mirama-Ntungamo'!N98</f>
        <v>0</v>
      </c>
      <c r="O98" s="15">
        <f t="shared" si="35"/>
        <v>6</v>
      </c>
      <c r="P98" s="15">
        <f t="shared" si="36"/>
        <v>9</v>
      </c>
      <c r="R98" s="8"/>
      <c r="T98"/>
    </row>
    <row r="99" spans="2:20" ht="23.1" customHeight="1" x14ac:dyDescent="0.25">
      <c r="B99" s="23" t="s">
        <v>139</v>
      </c>
      <c r="C99" s="49">
        <f>'Avg Week Ntungamo-Mirama'!C99+'Avg Week Mirama-Ntungamo'!C99</f>
        <v>3</v>
      </c>
      <c r="D99" s="49">
        <f>'Avg Week Ntungamo-Mirama'!D99+'Avg Week Mirama-Ntungamo'!D99</f>
        <v>0</v>
      </c>
      <c r="E99" s="49">
        <f>'Avg Week Ntungamo-Mirama'!E99+'Avg Week Mirama-Ntungamo'!E99</f>
        <v>0</v>
      </c>
      <c r="F99" s="49">
        <f>'Avg Week Ntungamo-Mirama'!F99+'Avg Week Mirama-Ntungamo'!F99</f>
        <v>0</v>
      </c>
      <c r="G99" s="49">
        <f>'Avg Week Ntungamo-Mirama'!G99+'Avg Week Mirama-Ntungamo'!G99</f>
        <v>0</v>
      </c>
      <c r="H99" s="49">
        <f>'Avg Week Ntungamo-Mirama'!H99+'Avg Week Mirama-Ntungamo'!H99</f>
        <v>0</v>
      </c>
      <c r="I99" s="49">
        <f>'Avg Week Ntungamo-Mirama'!I99+'Avg Week Mirama-Ntungamo'!I99</f>
        <v>0</v>
      </c>
      <c r="J99" s="49">
        <f>'Avg Week Ntungamo-Mirama'!J99+'Avg Week Mirama-Ntungamo'!J99</f>
        <v>0</v>
      </c>
      <c r="K99" s="49">
        <f>'Avg Week Ntungamo-Mirama'!K99+'Avg Week Mirama-Ntungamo'!K99</f>
        <v>3</v>
      </c>
      <c r="L99" s="49">
        <f>'Avg Week Ntungamo-Mirama'!L99+'Avg Week Mirama-Ntungamo'!L99</f>
        <v>2</v>
      </c>
      <c r="M99" s="49">
        <f>'Avg Week Ntungamo-Mirama'!M99+'Avg Week Mirama-Ntungamo'!M99</f>
        <v>0</v>
      </c>
      <c r="N99" s="49">
        <f>'Avg Week Ntungamo-Mirama'!N99+'Avg Week Mirama-Ntungamo'!N99</f>
        <v>0</v>
      </c>
      <c r="O99" s="15">
        <f t="shared" si="35"/>
        <v>8</v>
      </c>
      <c r="P99" s="15">
        <f t="shared" si="36"/>
        <v>8</v>
      </c>
      <c r="R99" s="8"/>
      <c r="T99"/>
    </row>
    <row r="100" spans="2:20" ht="23.1" customHeight="1" x14ac:dyDescent="0.25">
      <c r="B100" s="25" t="s">
        <v>140</v>
      </c>
      <c r="C100" s="49">
        <f>'Avg Week Ntungamo-Mirama'!C100+'Avg Week Mirama-Ntungamo'!C100</f>
        <v>0</v>
      </c>
      <c r="D100" s="49">
        <f>'Avg Week Ntungamo-Mirama'!D100+'Avg Week Mirama-Ntungamo'!D100</f>
        <v>0</v>
      </c>
      <c r="E100" s="49">
        <f>'Avg Week Ntungamo-Mirama'!E100+'Avg Week Mirama-Ntungamo'!E100</f>
        <v>0</v>
      </c>
      <c r="F100" s="49">
        <f>'Avg Week Ntungamo-Mirama'!F100+'Avg Week Mirama-Ntungamo'!F100</f>
        <v>0</v>
      </c>
      <c r="G100" s="49">
        <f>'Avg Week Ntungamo-Mirama'!G100+'Avg Week Mirama-Ntungamo'!G100</f>
        <v>0</v>
      </c>
      <c r="H100" s="49">
        <f>'Avg Week Ntungamo-Mirama'!H100+'Avg Week Mirama-Ntungamo'!H100</f>
        <v>0</v>
      </c>
      <c r="I100" s="49">
        <f>'Avg Week Ntungamo-Mirama'!I100+'Avg Week Mirama-Ntungamo'!I100</f>
        <v>0</v>
      </c>
      <c r="J100" s="49">
        <f>'Avg Week Ntungamo-Mirama'!J100+'Avg Week Mirama-Ntungamo'!J100</f>
        <v>0</v>
      </c>
      <c r="K100" s="49">
        <f>'Avg Week Ntungamo-Mirama'!K100+'Avg Week Mirama-Ntungamo'!K100</f>
        <v>1</v>
      </c>
      <c r="L100" s="49">
        <f>'Avg Week Ntungamo-Mirama'!L100+'Avg Week Mirama-Ntungamo'!L100</f>
        <v>8</v>
      </c>
      <c r="M100" s="49">
        <f>'Avg Week Ntungamo-Mirama'!M100+'Avg Week Mirama-Ntungamo'!M100</f>
        <v>5</v>
      </c>
      <c r="N100" s="49">
        <f>'Avg Week Ntungamo-Mirama'!N100+'Avg Week Mirama-Ntungamo'!N100</f>
        <v>0</v>
      </c>
      <c r="O100" s="15">
        <f t="shared" si="35"/>
        <v>9</v>
      </c>
      <c r="P100" s="15">
        <f t="shared" si="36"/>
        <v>14</v>
      </c>
      <c r="R100" s="8"/>
      <c r="T100"/>
    </row>
    <row r="101" spans="2:20" ht="23.1" customHeight="1" x14ac:dyDescent="0.25">
      <c r="B101" s="23" t="s">
        <v>141</v>
      </c>
      <c r="C101" s="49">
        <f>'Avg Week Ntungamo-Mirama'!C101+'Avg Week Mirama-Ntungamo'!C101</f>
        <v>1</v>
      </c>
      <c r="D101" s="49">
        <f>'Avg Week Ntungamo-Mirama'!D101+'Avg Week Mirama-Ntungamo'!D101</f>
        <v>1</v>
      </c>
      <c r="E101" s="49">
        <f>'Avg Week Ntungamo-Mirama'!E101+'Avg Week Mirama-Ntungamo'!E101</f>
        <v>0</v>
      </c>
      <c r="F101" s="49">
        <f>'Avg Week Ntungamo-Mirama'!F101+'Avg Week Mirama-Ntungamo'!F101</f>
        <v>1</v>
      </c>
      <c r="G101" s="49">
        <f>'Avg Week Ntungamo-Mirama'!G101+'Avg Week Mirama-Ntungamo'!G101</f>
        <v>0</v>
      </c>
      <c r="H101" s="49">
        <f>'Avg Week Ntungamo-Mirama'!H101+'Avg Week Mirama-Ntungamo'!H101</f>
        <v>0</v>
      </c>
      <c r="I101" s="49">
        <f>'Avg Week Ntungamo-Mirama'!I101+'Avg Week Mirama-Ntungamo'!I101</f>
        <v>0</v>
      </c>
      <c r="J101" s="49">
        <f>'Avg Week Ntungamo-Mirama'!J101+'Avg Week Mirama-Ntungamo'!J101</f>
        <v>0</v>
      </c>
      <c r="K101" s="49">
        <f>'Avg Week Ntungamo-Mirama'!K101+'Avg Week Mirama-Ntungamo'!K101</f>
        <v>0</v>
      </c>
      <c r="L101" s="49">
        <f>'Avg Week Ntungamo-Mirama'!L101+'Avg Week Mirama-Ntungamo'!L101</f>
        <v>2</v>
      </c>
      <c r="M101" s="49">
        <f>'Avg Week Ntungamo-Mirama'!M101+'Avg Week Mirama-Ntungamo'!M101</f>
        <v>3</v>
      </c>
      <c r="N101" s="49">
        <f>'Avg Week Ntungamo-Mirama'!N101+'Avg Week Mirama-Ntungamo'!N101</f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'Avg Week Ntungamo-Mirama'!C102+'Avg Week Mirama-Ntungamo'!C102</f>
        <v>1</v>
      </c>
      <c r="D102" s="49">
        <f>'Avg Week Ntungamo-Mirama'!D102+'Avg Week Mirama-Ntungamo'!D102</f>
        <v>0</v>
      </c>
      <c r="E102" s="49">
        <f>'Avg Week Ntungamo-Mirama'!E102+'Avg Week Mirama-Ntungamo'!E102</f>
        <v>0</v>
      </c>
      <c r="F102" s="49">
        <f>'Avg Week Ntungamo-Mirama'!F102+'Avg Week Mirama-Ntungamo'!F102</f>
        <v>1</v>
      </c>
      <c r="G102" s="49">
        <f>'Avg Week Ntungamo-Mirama'!G102+'Avg Week Mirama-Ntungamo'!G102</f>
        <v>0</v>
      </c>
      <c r="H102" s="49">
        <f>'Avg Week Ntungamo-Mirama'!H102+'Avg Week Mirama-Ntungamo'!H102</f>
        <v>0</v>
      </c>
      <c r="I102" s="49">
        <f>'Avg Week Ntungamo-Mirama'!I102+'Avg Week Mirama-Ntungamo'!I102</f>
        <v>0</v>
      </c>
      <c r="J102" s="49">
        <f>'Avg Week Ntungamo-Mirama'!J102+'Avg Week Mirama-Ntungamo'!J102</f>
        <v>0</v>
      </c>
      <c r="K102" s="49">
        <f>'Avg Week Ntungamo-Mirama'!K102+'Avg Week Mirama-Ntungamo'!K102</f>
        <v>9</v>
      </c>
      <c r="L102" s="49">
        <f>'Avg Week Ntungamo-Mirama'!L102+'Avg Week Mirama-Ntungamo'!L102</f>
        <v>8</v>
      </c>
      <c r="M102" s="49">
        <f>'Avg Week Ntungamo-Mirama'!M102+'Avg Week Mirama-Ntungamo'!M102</f>
        <v>4</v>
      </c>
      <c r="N102" s="49">
        <f>'Avg Week Ntungamo-Mirama'!N102+'Avg Week Mirama-Ntungamo'!N102</f>
        <v>0</v>
      </c>
      <c r="O102" s="15">
        <f t="shared" si="35"/>
        <v>19</v>
      </c>
      <c r="P102" s="15">
        <f t="shared" si="36"/>
        <v>23</v>
      </c>
      <c r="R102" s="8"/>
      <c r="T102"/>
    </row>
    <row r="103" spans="2:20" ht="23.1" customHeight="1" x14ac:dyDescent="0.25">
      <c r="B103" s="23" t="s">
        <v>143</v>
      </c>
      <c r="C103" s="49">
        <f>'Avg Week Ntungamo-Mirama'!C103+'Avg Week Mirama-Ntungamo'!C103</f>
        <v>0</v>
      </c>
      <c r="D103" s="49">
        <f>'Avg Week Ntungamo-Mirama'!D103+'Avg Week Mirama-Ntungamo'!D103</f>
        <v>0</v>
      </c>
      <c r="E103" s="49">
        <f>'Avg Week Ntungamo-Mirama'!E103+'Avg Week Mirama-Ntungamo'!E103</f>
        <v>0</v>
      </c>
      <c r="F103" s="49">
        <f>'Avg Week Ntungamo-Mirama'!F103+'Avg Week Mirama-Ntungamo'!F103</f>
        <v>0</v>
      </c>
      <c r="G103" s="49">
        <f>'Avg Week Ntungamo-Mirama'!G103+'Avg Week Mirama-Ntungamo'!G103</f>
        <v>0</v>
      </c>
      <c r="H103" s="49">
        <f>'Avg Week Ntungamo-Mirama'!H103+'Avg Week Mirama-Ntungamo'!H103</f>
        <v>0</v>
      </c>
      <c r="I103" s="49">
        <f>'Avg Week Ntungamo-Mirama'!I103+'Avg Week Mirama-Ntungamo'!I103</f>
        <v>0</v>
      </c>
      <c r="J103" s="49">
        <f>'Avg Week Ntungamo-Mirama'!J103+'Avg Week Mirama-Ntungamo'!J103</f>
        <v>1</v>
      </c>
      <c r="K103" s="49">
        <f>'Avg Week Ntungamo-Mirama'!K103+'Avg Week Mirama-Ntungamo'!K103</f>
        <v>3</v>
      </c>
      <c r="L103" s="49">
        <f>'Avg Week Ntungamo-Mirama'!L103+'Avg Week Mirama-Ntungamo'!L103</f>
        <v>7</v>
      </c>
      <c r="M103" s="49">
        <f>'Avg Week Ntungamo-Mirama'!M103+'Avg Week Mirama-Ntungamo'!M103</f>
        <v>6</v>
      </c>
      <c r="N103" s="49">
        <f>'Avg Week Ntungamo-Mirama'!N103+'Avg Week Mirama-Ntungamo'!N103</f>
        <v>0</v>
      </c>
      <c r="O103" s="15">
        <f t="shared" si="35"/>
        <v>11</v>
      </c>
      <c r="P103" s="15">
        <f t="shared" si="36"/>
        <v>17</v>
      </c>
      <c r="R103" s="8"/>
      <c r="T103"/>
    </row>
    <row r="104" spans="2:20" ht="23.1" customHeight="1" x14ac:dyDescent="0.25">
      <c r="B104" s="25" t="s">
        <v>144</v>
      </c>
      <c r="C104" s="49">
        <f>'Avg Week Ntungamo-Mirama'!C104+'Avg Week Mirama-Ntungamo'!C104</f>
        <v>2</v>
      </c>
      <c r="D104" s="49">
        <f>'Avg Week Ntungamo-Mirama'!D104+'Avg Week Mirama-Ntungamo'!D104</f>
        <v>0</v>
      </c>
      <c r="E104" s="49">
        <f>'Avg Week Ntungamo-Mirama'!E104+'Avg Week Mirama-Ntungamo'!E104</f>
        <v>0</v>
      </c>
      <c r="F104" s="49">
        <f>'Avg Week Ntungamo-Mirama'!F104+'Avg Week Mirama-Ntungamo'!F104</f>
        <v>0</v>
      </c>
      <c r="G104" s="49">
        <f>'Avg Week Ntungamo-Mirama'!G104+'Avg Week Mirama-Ntungamo'!G104</f>
        <v>0</v>
      </c>
      <c r="H104" s="49">
        <f>'Avg Week Ntungamo-Mirama'!H104+'Avg Week Mirama-Ntungamo'!H104</f>
        <v>0</v>
      </c>
      <c r="I104" s="49">
        <f>'Avg Week Ntungamo-Mirama'!I104+'Avg Week Mirama-Ntungamo'!I104</f>
        <v>0</v>
      </c>
      <c r="J104" s="49">
        <f>'Avg Week Ntungamo-Mirama'!J104+'Avg Week Mirama-Ntungamo'!J104</f>
        <v>2</v>
      </c>
      <c r="K104" s="49">
        <f>'Avg Week Ntungamo-Mirama'!K104+'Avg Week Mirama-Ntungamo'!K104</f>
        <v>5</v>
      </c>
      <c r="L104" s="49">
        <f>'Avg Week Ntungamo-Mirama'!L104+'Avg Week Mirama-Ntungamo'!L104</f>
        <v>9</v>
      </c>
      <c r="M104" s="49">
        <f>'Avg Week Ntungamo-Mirama'!M104+'Avg Week Mirama-Ntungamo'!M104</f>
        <v>3</v>
      </c>
      <c r="N104" s="49">
        <f>'Avg Week Ntungamo-Mirama'!N104+'Avg Week Mirama-Ntungamo'!N104</f>
        <v>0</v>
      </c>
      <c r="O104" s="15">
        <f t="shared" si="35"/>
        <v>18</v>
      </c>
      <c r="P104" s="15">
        <f t="shared" si="36"/>
        <v>21</v>
      </c>
      <c r="R104" s="8"/>
      <c r="T104"/>
    </row>
    <row r="105" spans="2:20" ht="23.1" customHeight="1" x14ac:dyDescent="0.25">
      <c r="B105" s="23" t="s">
        <v>145</v>
      </c>
      <c r="C105" s="49">
        <f>'Avg Week Ntungamo-Mirama'!C105+'Avg Week Mirama-Ntungamo'!C105</f>
        <v>1</v>
      </c>
      <c r="D105" s="49">
        <f>'Avg Week Ntungamo-Mirama'!D105+'Avg Week Mirama-Ntungamo'!D105</f>
        <v>2</v>
      </c>
      <c r="E105" s="49">
        <f>'Avg Week Ntungamo-Mirama'!E105+'Avg Week Mirama-Ntungamo'!E105</f>
        <v>1</v>
      </c>
      <c r="F105" s="49">
        <f>'Avg Week Ntungamo-Mirama'!F105+'Avg Week Mirama-Ntungamo'!F105</f>
        <v>0</v>
      </c>
      <c r="G105" s="49">
        <f>'Avg Week Ntungamo-Mirama'!G105+'Avg Week Mirama-Ntungamo'!G105</f>
        <v>0</v>
      </c>
      <c r="H105" s="49">
        <f>'Avg Week Ntungamo-Mirama'!H105+'Avg Week Mirama-Ntungamo'!H105</f>
        <v>0</v>
      </c>
      <c r="I105" s="49">
        <f>'Avg Week Ntungamo-Mirama'!I105+'Avg Week Mirama-Ntungamo'!I105</f>
        <v>3</v>
      </c>
      <c r="J105" s="49">
        <f>'Avg Week Ntungamo-Mirama'!J105+'Avg Week Mirama-Ntungamo'!J105</f>
        <v>1</v>
      </c>
      <c r="K105" s="49">
        <f>'Avg Week Ntungamo-Mirama'!K105+'Avg Week Mirama-Ntungamo'!K105</f>
        <v>4</v>
      </c>
      <c r="L105" s="49">
        <f>'Avg Week Ntungamo-Mirama'!L105+'Avg Week Mirama-Ntungamo'!L105</f>
        <v>7</v>
      </c>
      <c r="M105" s="49">
        <f>'Avg Week Ntungamo-Mirama'!M105+'Avg Week Mirama-Ntungamo'!M105</f>
        <v>5</v>
      </c>
      <c r="N105" s="49">
        <f>'Avg Week Ntungamo-Mirama'!N105+'Avg Week Mirama-Ntungamo'!N105</f>
        <v>0</v>
      </c>
      <c r="O105" s="15">
        <f t="shared" si="35"/>
        <v>19</v>
      </c>
      <c r="P105" s="15">
        <f t="shared" si="36"/>
        <v>24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118</v>
      </c>
      <c r="D106" s="16">
        <f t="shared" ref="D106:Q106" si="37">SUM(D10:D105)</f>
        <v>19.5</v>
      </c>
      <c r="E106" s="16">
        <f t="shared" si="37"/>
        <v>10.5</v>
      </c>
      <c r="F106" s="16">
        <f t="shared" si="37"/>
        <v>5</v>
      </c>
      <c r="G106" s="16">
        <f t="shared" si="37"/>
        <v>1</v>
      </c>
      <c r="H106" s="16">
        <f t="shared" si="37"/>
        <v>0.5</v>
      </c>
      <c r="I106" s="16">
        <f t="shared" si="37"/>
        <v>17</v>
      </c>
      <c r="J106" s="16">
        <f t="shared" si="37"/>
        <v>22</v>
      </c>
      <c r="K106" s="16">
        <f t="shared" si="37"/>
        <v>60</v>
      </c>
      <c r="L106" s="16">
        <f t="shared" si="37"/>
        <v>192.5</v>
      </c>
      <c r="M106" s="16">
        <f t="shared" si="37"/>
        <v>361</v>
      </c>
      <c r="N106" s="16">
        <f t="shared" si="37"/>
        <v>0</v>
      </c>
      <c r="O106" s="16">
        <f t="shared" si="37"/>
        <v>446</v>
      </c>
      <c r="P106" s="16">
        <f t="shared" si="37"/>
        <v>807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0.14622057001239158</v>
      </c>
      <c r="D107" s="43">
        <f t="shared" si="38"/>
        <v>2.4163568773234202E-2</v>
      </c>
      <c r="E107" s="43">
        <f t="shared" si="38"/>
        <v>1.3011152416356878E-2</v>
      </c>
      <c r="F107" s="43">
        <f t="shared" si="38"/>
        <v>6.1957868649318466E-3</v>
      </c>
      <c r="G107" s="43">
        <f t="shared" si="38"/>
        <v>1.2391573729863693E-3</v>
      </c>
      <c r="H107" s="43">
        <f t="shared" si="38"/>
        <v>6.1957868649318464E-4</v>
      </c>
      <c r="I107" s="43">
        <f t="shared" si="38"/>
        <v>2.1065675340768277E-2</v>
      </c>
      <c r="J107" s="43">
        <f t="shared" si="38"/>
        <v>2.7261462205700124E-2</v>
      </c>
      <c r="K107" s="43">
        <f t="shared" si="38"/>
        <v>7.434944237918216E-2</v>
      </c>
      <c r="L107" s="43">
        <f t="shared" si="38"/>
        <v>0.23853779429987609</v>
      </c>
      <c r="M107" s="43">
        <f t="shared" si="38"/>
        <v>0.44733581164807928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0.26457399103139012</v>
      </c>
      <c r="D108" s="44">
        <f t="shared" ref="D108:N108" si="39">D106/$O$106</f>
        <v>4.3721973094170405E-2</v>
      </c>
      <c r="E108" s="44">
        <f t="shared" si="39"/>
        <v>2.3542600896860985E-2</v>
      </c>
      <c r="F108" s="44">
        <f t="shared" si="39"/>
        <v>1.1210762331838564E-2</v>
      </c>
      <c r="G108" s="44">
        <f t="shared" si="39"/>
        <v>2.242152466367713E-3</v>
      </c>
      <c r="H108" s="44">
        <f t="shared" si="39"/>
        <v>1.1210762331838565E-3</v>
      </c>
      <c r="I108" s="44">
        <f t="shared" si="39"/>
        <v>3.811659192825112E-2</v>
      </c>
      <c r="J108" s="44">
        <f t="shared" si="39"/>
        <v>4.9327354260089683E-2</v>
      </c>
      <c r="K108" s="44">
        <f t="shared" si="39"/>
        <v>0.13452914798206278</v>
      </c>
      <c r="L108" s="44">
        <f t="shared" si="39"/>
        <v>0.43161434977578478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HeadingPairs>
  <TitlesOfParts>
    <vt:vector size="21" baseType="lpstr">
      <vt:lpstr>25.10 NTUNGAMO- MIRAMA -24h</vt:lpstr>
      <vt:lpstr>25.10 MIRAMA-NTUNGAMO-24h</vt:lpstr>
      <vt:lpstr>26.10 NTUNGAMO-MIRAMA HILL</vt:lpstr>
      <vt:lpstr>26.10 MIRAMA HILL-NTUNGAMO</vt:lpstr>
      <vt:lpstr>Avg Week Ntungamo-Mirama</vt:lpstr>
      <vt:lpstr>Avg Week Mirama-Ntungamo</vt:lpstr>
      <vt:lpstr>Avg Week Marima-Ntungamo-2Dir</vt:lpstr>
      <vt:lpstr>'25.10 MIRAMA-NTUNGAMO-24h'!Print_Area</vt:lpstr>
      <vt:lpstr>'25.10 NTUNGAMO- MIRAMA -24h'!Print_Area</vt:lpstr>
      <vt:lpstr>'26.10 MIRAMA HILL-NTUNGAMO'!Print_Area</vt:lpstr>
      <vt:lpstr>'26.10 NTUNGAMO-MIRAMA HILL'!Print_Area</vt:lpstr>
      <vt:lpstr>'Avg Week Marima-Ntungamo-2Dir'!Print_Area</vt:lpstr>
      <vt:lpstr>'Avg Week Mirama-Ntungamo'!Print_Area</vt:lpstr>
      <vt:lpstr>'Avg Week Ntungamo-Mirama'!Print_Area</vt:lpstr>
      <vt:lpstr>'25.10 MIRAMA-NTUNGAMO-24h'!Print_Titles</vt:lpstr>
      <vt:lpstr>'25.10 NTUNGAMO- MIRAMA -24h'!Print_Titles</vt:lpstr>
      <vt:lpstr>'26.10 MIRAMA HILL-NTUNGAMO'!Print_Titles</vt:lpstr>
      <vt:lpstr>'26.10 NTUNGAMO-MIRAMA HILL'!Print_Titles</vt:lpstr>
      <vt:lpstr>'Avg Week Marima-Ntungamo-2Dir'!Print_Titles</vt:lpstr>
      <vt:lpstr>'Avg Week Mirama-Ntungamo'!Print_Titles</vt:lpstr>
      <vt:lpstr>'Avg Week Ntungamo-Mirama'!Print_Titles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2020-04-06T17:29:41Z</dcterms:modified>
</cp:coreProperties>
</file>