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09-KATEERA-KYANKWANZI\MCC\"/>
    </mc:Choice>
  </mc:AlternateContent>
  <xr:revisionPtr revIDLastSave="0" documentId="13_ncr:1_{924D471C-7265-456B-BEDA-92E9891C5AB4}" xr6:coauthVersionLast="45" xr6:coauthVersionMax="45" xr10:uidLastSave="{00000000-0000-0000-0000-000000000000}"/>
  <bookViews>
    <workbookView xWindow="-120" yWindow="-120" windowWidth="20730" windowHeight="11160" tabRatio="889" firstSheet="14" activeTab="16" xr2:uid="{00000000-000D-0000-FFFF-FFFF00000000}"/>
  </bookViews>
  <sheets>
    <sheet name="17.10 Kyankwanzi-bukomero" sheetId="93" r:id="rId1"/>
    <sheet name="17.10 bukomero-Kyankwanzi" sheetId="94" r:id="rId2"/>
    <sheet name="18.10 Kyankwanzi-bukomero" sheetId="95" r:id="rId3"/>
    <sheet name="18.10 bukomero-Kyankwanzi" sheetId="96" r:id="rId4"/>
    <sheet name="19.10 Kyankwanzi-bukomero-24h" sheetId="101" r:id="rId5"/>
    <sheet name="19.10 bukomero-Kyankwanzi-24h" sheetId="109" r:id="rId6"/>
    <sheet name="20.10 Kyankwanzi-bukomero" sheetId="97" r:id="rId7"/>
    <sheet name="20.10 bukomero-Kyankwanzi" sheetId="98" r:id="rId8"/>
    <sheet name="21.10 Kyankwanzi-bukomero-24h" sheetId="105" r:id="rId9"/>
    <sheet name="21.10 bukomero-Kyankwanzi-24h" sheetId="110" r:id="rId10"/>
    <sheet name="22.10 Kyankwanzi-bukomero" sheetId="99" r:id="rId11"/>
    <sheet name="22.10 bukomero-Kyankwanzi" sheetId="112" r:id="rId12"/>
    <sheet name="23.10 kyankwanzi-bukomero" sheetId="113" r:id="rId13"/>
    <sheet name="23.10 bukomero-Kyankwanzi" sheetId="114" r:id="rId14"/>
    <sheet name="Avg Week Kyankwanzi-Bukomero" sheetId="107" r:id="rId15"/>
    <sheet name="Avg Week Bukomero-Kyankwanzi" sheetId="108" r:id="rId16"/>
    <sheet name="Avg Week Kyankwanzi-Bukome-2Dir" sheetId="111" r:id="rId17"/>
  </sheets>
  <definedNames>
    <definedName name="_xlnm.Print_Area" localSheetId="1">'17.10 bukomero-Kyankwanzi'!$A$1:$AF$60</definedName>
    <definedName name="_xlnm.Print_Area" localSheetId="0">'17.10 Kyankwanzi-bukomero'!$A$1:$AF$60</definedName>
    <definedName name="_xlnm.Print_Area" localSheetId="3">'18.10 bukomero-Kyankwanzi'!$A$1:$AF$60</definedName>
    <definedName name="_xlnm.Print_Area" localSheetId="2">'18.10 Kyankwanzi-bukomero'!$A$1:$AF$60</definedName>
    <definedName name="_xlnm.Print_Area" localSheetId="5">'19.10 bukomero-Kyankwanzi-24h'!$A$1:$AF$108</definedName>
    <definedName name="_xlnm.Print_Area" localSheetId="4">'19.10 Kyankwanzi-bukomero-24h'!$A$1:$AF$108</definedName>
    <definedName name="_xlnm.Print_Area" localSheetId="7">'20.10 bukomero-Kyankwanzi'!$A$1:$AF$60</definedName>
    <definedName name="_xlnm.Print_Area" localSheetId="6">'20.10 Kyankwanzi-bukomero'!$A$1:$AF$60</definedName>
    <definedName name="_xlnm.Print_Area" localSheetId="9">'21.10 bukomero-Kyankwanzi-24h'!$A$1:$AF$108</definedName>
    <definedName name="_xlnm.Print_Area" localSheetId="8">'21.10 Kyankwanzi-bukomero-24h'!$A$1:$AF$108</definedName>
    <definedName name="_xlnm.Print_Area" localSheetId="11">'22.10 bukomero-Kyankwanzi'!$A$1:$AF$60</definedName>
    <definedName name="_xlnm.Print_Area" localSheetId="10">'22.10 Kyankwanzi-bukomero'!$A$1:$AF$60</definedName>
    <definedName name="_xlnm.Print_Area" localSheetId="13">'23.10 bukomero-Kyankwanzi'!$A$1:$AF$60</definedName>
    <definedName name="_xlnm.Print_Area" localSheetId="12">'23.10 kyankwanzi-bukomero'!$A$1:$AF$60</definedName>
    <definedName name="_xlnm.Print_Area" localSheetId="15">'Avg Week Bukomero-Kyankwanzi'!$A$1:$AF$108</definedName>
    <definedName name="_xlnm.Print_Area" localSheetId="16">'Avg Week Kyankwanzi-Bukome-2Dir'!$A$1:$AF$108</definedName>
    <definedName name="_xlnm.Print_Area" localSheetId="14">'Avg Week Kyankwanzi-Bukomero'!$A$1:$AF$108</definedName>
    <definedName name="_xlnm.Print_Titles" localSheetId="1">'17.10 bukomero-Kyankwanzi'!$1:$8</definedName>
    <definedName name="_xlnm.Print_Titles" localSheetId="0">'17.10 Kyankwanzi-bukomero'!$1:$8</definedName>
    <definedName name="_xlnm.Print_Titles" localSheetId="3">'18.10 bukomero-Kyankwanzi'!$1:$8</definedName>
    <definedName name="_xlnm.Print_Titles" localSheetId="2">'18.10 Kyankwanzi-bukomero'!$1:$8</definedName>
    <definedName name="_xlnm.Print_Titles" localSheetId="5">'19.10 bukomero-Kyankwanzi-24h'!$1:$8</definedName>
    <definedName name="_xlnm.Print_Titles" localSheetId="4">'19.10 Kyankwanzi-bukomero-24h'!$1:$8</definedName>
    <definedName name="_xlnm.Print_Titles" localSheetId="7">'20.10 bukomero-Kyankwanzi'!$1:$8</definedName>
    <definedName name="_xlnm.Print_Titles" localSheetId="6">'20.10 Kyankwanzi-bukomero'!$1:$8</definedName>
    <definedName name="_xlnm.Print_Titles" localSheetId="9">'21.10 bukomero-Kyankwanzi-24h'!$1:$8</definedName>
    <definedName name="_xlnm.Print_Titles" localSheetId="8">'21.10 Kyankwanzi-bukomero-24h'!$1:$8</definedName>
    <definedName name="_xlnm.Print_Titles" localSheetId="11">'22.10 bukomero-Kyankwanzi'!$1:$8</definedName>
    <definedName name="_xlnm.Print_Titles" localSheetId="10">'22.10 Kyankwanzi-bukomero'!$1:$8</definedName>
    <definedName name="_xlnm.Print_Titles" localSheetId="13">'23.10 bukomero-Kyankwanzi'!$1:$8</definedName>
    <definedName name="_xlnm.Print_Titles" localSheetId="12">'23.10 kyankwanzi-bukomero'!$1:$8</definedName>
    <definedName name="_xlnm.Print_Titles" localSheetId="15">'Avg Week Bukomero-Kyankwanzi'!$1:$8</definedName>
    <definedName name="_xlnm.Print_Titles" localSheetId="16">'Avg Week Kyankwanzi-Bukome-2Dir'!$1:$8</definedName>
    <definedName name="_xlnm.Print_Titles" localSheetId="14">'Avg Week Kyankwanzi-Bukomero'!$1:$8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26" i="108" l="1"/>
  <c r="N58" i="111"/>
  <c r="M61" i="111"/>
  <c r="K64" i="111"/>
  <c r="L64" i="111"/>
  <c r="K67" i="111"/>
  <c r="J70" i="111"/>
  <c r="I73" i="111"/>
  <c r="G76" i="111"/>
  <c r="H76" i="111"/>
  <c r="G79" i="111"/>
  <c r="F82" i="111"/>
  <c r="E85" i="111"/>
  <c r="N87" i="111"/>
  <c r="D88" i="111"/>
  <c r="N90" i="111"/>
  <c r="M93" i="111"/>
  <c r="L96" i="111"/>
  <c r="D58" i="108"/>
  <c r="E58" i="108"/>
  <c r="U22" i="108" s="1"/>
  <c r="F58" i="108"/>
  <c r="G58" i="108"/>
  <c r="H58" i="108"/>
  <c r="I58" i="108"/>
  <c r="J58" i="108"/>
  <c r="K58" i="108"/>
  <c r="L58" i="108"/>
  <c r="M58" i="108"/>
  <c r="AC22" i="108" s="1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L61" i="111" s="1"/>
  <c r="M61" i="108"/>
  <c r="N61" i="108"/>
  <c r="D62" i="108"/>
  <c r="E62" i="108"/>
  <c r="F62" i="108"/>
  <c r="G62" i="108"/>
  <c r="H62" i="108"/>
  <c r="I62" i="108"/>
  <c r="Y23" i="108" s="1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U24" i="108" s="1"/>
  <c r="F66" i="108"/>
  <c r="G66" i="108"/>
  <c r="H66" i="108"/>
  <c r="I66" i="108"/>
  <c r="J66" i="108"/>
  <c r="K66" i="108"/>
  <c r="L66" i="108"/>
  <c r="M66" i="108"/>
  <c r="AC24" i="108" s="1"/>
  <c r="N66" i="108"/>
  <c r="D67" i="108"/>
  <c r="E67" i="108"/>
  <c r="F67" i="108"/>
  <c r="G67" i="108"/>
  <c r="H67" i="108"/>
  <c r="I67" i="108"/>
  <c r="J67" i="108"/>
  <c r="J67" i="111" s="1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Y25" i="108" s="1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H73" i="111" s="1"/>
  <c r="I73" i="108"/>
  <c r="J73" i="108"/>
  <c r="K73" i="108"/>
  <c r="L73" i="108"/>
  <c r="M73" i="108"/>
  <c r="N73" i="108"/>
  <c r="D74" i="108"/>
  <c r="E74" i="108"/>
  <c r="U26" i="108" s="1"/>
  <c r="F74" i="108"/>
  <c r="G74" i="108"/>
  <c r="H74" i="108"/>
  <c r="I74" i="108"/>
  <c r="J74" i="108"/>
  <c r="K74" i="108"/>
  <c r="L74" i="108"/>
  <c r="M74" i="108"/>
  <c r="AC26" i="108" s="1"/>
  <c r="N74" i="108"/>
  <c r="D75" i="108"/>
  <c r="E75" i="108"/>
  <c r="F75" i="108"/>
  <c r="G75" i="108"/>
  <c r="H75" i="108"/>
  <c r="I75" i="108"/>
  <c r="Y26" i="108" s="1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Y27" i="108" s="1"/>
  <c r="J78" i="108"/>
  <c r="K78" i="108"/>
  <c r="L78" i="108"/>
  <c r="M78" i="108"/>
  <c r="N78" i="108"/>
  <c r="D79" i="108"/>
  <c r="E79" i="108"/>
  <c r="F79" i="108"/>
  <c r="F79" i="111" s="1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U28" i="108" s="1"/>
  <c r="F82" i="108"/>
  <c r="G82" i="108"/>
  <c r="H82" i="108"/>
  <c r="I82" i="108"/>
  <c r="J82" i="108"/>
  <c r="K82" i="108"/>
  <c r="L82" i="108"/>
  <c r="M82" i="108"/>
  <c r="AC28" i="108" s="1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D85" i="111" s="1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U29" i="108" s="1"/>
  <c r="F86" i="108"/>
  <c r="G86" i="108"/>
  <c r="H86" i="108"/>
  <c r="X29" i="108" s="1"/>
  <c r="I86" i="108"/>
  <c r="Y29" i="108" s="1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P88" i="108" s="1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T30" i="108" s="1"/>
  <c r="E90" i="108"/>
  <c r="U30" i="108" s="1"/>
  <c r="F90" i="108"/>
  <c r="G90" i="108"/>
  <c r="H90" i="108"/>
  <c r="I90" i="108"/>
  <c r="J90" i="108"/>
  <c r="K90" i="108"/>
  <c r="L90" i="108"/>
  <c r="AB30" i="108" s="1"/>
  <c r="M90" i="108"/>
  <c r="AC30" i="108" s="1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L93" i="111" s="1"/>
  <c r="M93" i="108"/>
  <c r="N93" i="108"/>
  <c r="D94" i="108"/>
  <c r="E94" i="108"/>
  <c r="F94" i="108"/>
  <c r="G94" i="108"/>
  <c r="H94" i="108"/>
  <c r="X31" i="108" s="1"/>
  <c r="I94" i="108"/>
  <c r="Y31" i="108" s="1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K96" i="111" s="1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T32" i="108" s="1"/>
  <c r="E98" i="108"/>
  <c r="U32" i="108" s="1"/>
  <c r="F98" i="108"/>
  <c r="G98" i="108"/>
  <c r="H98" i="108"/>
  <c r="I98" i="108"/>
  <c r="J98" i="108"/>
  <c r="K98" i="108"/>
  <c r="L98" i="108"/>
  <c r="AB32" i="108" s="1"/>
  <c r="M98" i="108"/>
  <c r="AC32" i="108" s="1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X33" i="108" s="1"/>
  <c r="I102" i="108"/>
  <c r="Y33" i="108" s="1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S23" i="108" s="1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L61" i="107"/>
  <c r="M61" i="107"/>
  <c r="N61" i="107"/>
  <c r="N61" i="111" s="1"/>
  <c r="D62" i="107"/>
  <c r="E62" i="107"/>
  <c r="E62" i="111" s="1"/>
  <c r="F62" i="107"/>
  <c r="G62" i="107"/>
  <c r="H62" i="107"/>
  <c r="I62" i="107"/>
  <c r="J62" i="107"/>
  <c r="K62" i="107"/>
  <c r="L62" i="107"/>
  <c r="M62" i="107"/>
  <c r="N62" i="107"/>
  <c r="D63" i="107"/>
  <c r="D63" i="111" s="1"/>
  <c r="E63" i="107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K64" i="107"/>
  <c r="L64" i="107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J67" i="107"/>
  <c r="K67" i="107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L69" i="107"/>
  <c r="L69" i="111" s="1"/>
  <c r="M69" i="107"/>
  <c r="M69" i="111" s="1"/>
  <c r="N69" i="107"/>
  <c r="N69" i="111" s="1"/>
  <c r="D70" i="107"/>
  <c r="E70" i="107"/>
  <c r="F70" i="107"/>
  <c r="G70" i="107"/>
  <c r="H70" i="107"/>
  <c r="I70" i="107"/>
  <c r="J70" i="107"/>
  <c r="K70" i="107"/>
  <c r="L70" i="107"/>
  <c r="M70" i="107"/>
  <c r="M70" i="111" s="1"/>
  <c r="N70" i="107"/>
  <c r="D71" i="107"/>
  <c r="D71" i="111" s="1"/>
  <c r="E71" i="107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H73" i="107"/>
  <c r="I73" i="107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G76" i="107"/>
  <c r="H76" i="107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L77" i="107"/>
  <c r="L77" i="111" s="1"/>
  <c r="M77" i="107"/>
  <c r="M77" i="111" s="1"/>
  <c r="N77" i="107"/>
  <c r="N77" i="111" s="1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D79" i="111" s="1"/>
  <c r="E79" i="107"/>
  <c r="F79" i="107"/>
  <c r="G79" i="107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D85" i="107"/>
  <c r="E85" i="107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L85" i="107"/>
  <c r="L85" i="111" s="1"/>
  <c r="M85" i="107"/>
  <c r="M85" i="111" s="1"/>
  <c r="N85" i="107"/>
  <c r="N85" i="111" s="1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D87" i="111" s="1"/>
  <c r="E87" i="107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N87" i="107"/>
  <c r="D88" i="107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L93" i="107"/>
  <c r="M93" i="107"/>
  <c r="N93" i="107"/>
  <c r="N93" i="111" s="1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D95" i="111" s="1"/>
  <c r="E95" i="107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K96" i="107"/>
  <c r="L96" i="107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L101" i="107"/>
  <c r="L101" i="111" s="1"/>
  <c r="M101" i="107"/>
  <c r="M101" i="111" s="1"/>
  <c r="N101" i="107"/>
  <c r="N101" i="111" s="1"/>
  <c r="D102" i="107"/>
  <c r="T33" i="107" s="1"/>
  <c r="E102" i="107"/>
  <c r="F102" i="107"/>
  <c r="G102" i="107"/>
  <c r="H102" i="107"/>
  <c r="I102" i="107"/>
  <c r="I102" i="111" s="1"/>
  <c r="J102" i="107"/>
  <c r="K102" i="107"/>
  <c r="L102" i="107"/>
  <c r="M102" i="107"/>
  <c r="N102" i="107"/>
  <c r="D103" i="107"/>
  <c r="D103" i="111" s="1"/>
  <c r="E103" i="107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60" i="107"/>
  <c r="C61" i="107"/>
  <c r="C62" i="107"/>
  <c r="P62" i="107" s="1"/>
  <c r="C63" i="107"/>
  <c r="O63" i="107" s="1"/>
  <c r="C64" i="107"/>
  <c r="C64" i="111" s="1"/>
  <c r="C65" i="107"/>
  <c r="C66" i="107"/>
  <c r="C67" i="107"/>
  <c r="C68" i="107"/>
  <c r="C69" i="107"/>
  <c r="C70" i="107"/>
  <c r="C71" i="107"/>
  <c r="C72" i="107"/>
  <c r="C72" i="111" s="1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7" i="111" s="1"/>
  <c r="C88" i="107"/>
  <c r="C88" i="111" s="1"/>
  <c r="C89" i="107"/>
  <c r="C90" i="107"/>
  <c r="C91" i="107"/>
  <c r="C92" i="107"/>
  <c r="C93" i="107"/>
  <c r="C94" i="107"/>
  <c r="C95" i="107"/>
  <c r="C95" i="111" s="1"/>
  <c r="C96" i="107"/>
  <c r="C96" i="111" s="1"/>
  <c r="C97" i="107"/>
  <c r="C98" i="107"/>
  <c r="C99" i="107"/>
  <c r="C100" i="107"/>
  <c r="C101" i="107"/>
  <c r="C102" i="107"/>
  <c r="C103" i="107"/>
  <c r="C104" i="107"/>
  <c r="C104" i="111" s="1"/>
  <c r="C105" i="107"/>
  <c r="C58" i="108"/>
  <c r="C58" i="107"/>
  <c r="P72" i="111" l="1"/>
  <c r="P95" i="111"/>
  <c r="P87" i="111"/>
  <c r="O87" i="111"/>
  <c r="O79" i="107"/>
  <c r="P79" i="107"/>
  <c r="T29" i="107"/>
  <c r="D86" i="111"/>
  <c r="T29" i="111" s="1"/>
  <c r="L70" i="111"/>
  <c r="AB25" i="111" s="1"/>
  <c r="AB25" i="107"/>
  <c r="D70" i="111"/>
  <c r="T25" i="111" s="1"/>
  <c r="T25" i="107"/>
  <c r="X24" i="107"/>
  <c r="H66" i="111"/>
  <c r="X24" i="111" s="1"/>
  <c r="P77" i="107"/>
  <c r="O77" i="107"/>
  <c r="C77" i="111"/>
  <c r="P58" i="107"/>
  <c r="O58" i="107"/>
  <c r="S22" i="107"/>
  <c r="P92" i="107"/>
  <c r="O92" i="107"/>
  <c r="C92" i="111"/>
  <c r="P68" i="107"/>
  <c r="O68" i="107"/>
  <c r="C68" i="111"/>
  <c r="Y33" i="111"/>
  <c r="P63" i="107"/>
  <c r="AF23" i="107" s="1"/>
  <c r="O99" i="107"/>
  <c r="C99" i="111"/>
  <c r="P99" i="107"/>
  <c r="O83" i="107"/>
  <c r="P83" i="107"/>
  <c r="C83" i="111"/>
  <c r="O67" i="107"/>
  <c r="P67" i="107"/>
  <c r="C67" i="111"/>
  <c r="O59" i="107"/>
  <c r="P59" i="107"/>
  <c r="C59" i="111"/>
  <c r="G105" i="111"/>
  <c r="J104" i="111"/>
  <c r="P104" i="111" s="1"/>
  <c r="M103" i="111"/>
  <c r="E103" i="111"/>
  <c r="H102" i="111"/>
  <c r="X33" i="111" s="1"/>
  <c r="X33" i="107"/>
  <c r="K101" i="111"/>
  <c r="N100" i="111"/>
  <c r="F100" i="111"/>
  <c r="I99" i="111"/>
  <c r="AB32" i="107"/>
  <c r="L98" i="111"/>
  <c r="AB32" i="111" s="1"/>
  <c r="T32" i="107"/>
  <c r="D98" i="111"/>
  <c r="T32" i="111" s="1"/>
  <c r="G97" i="111"/>
  <c r="J96" i="111"/>
  <c r="P96" i="111" s="1"/>
  <c r="M95" i="111"/>
  <c r="E95" i="111"/>
  <c r="O95" i="111" s="1"/>
  <c r="X31" i="107"/>
  <c r="H94" i="111"/>
  <c r="X31" i="111" s="1"/>
  <c r="K93" i="111"/>
  <c r="N92" i="111"/>
  <c r="F92" i="111"/>
  <c r="I91" i="111"/>
  <c r="AB30" i="107"/>
  <c r="L90" i="111"/>
  <c r="AB30" i="111" s="1"/>
  <c r="T30" i="107"/>
  <c r="D90" i="111"/>
  <c r="T30" i="111" s="1"/>
  <c r="G89" i="111"/>
  <c r="J88" i="111"/>
  <c r="P88" i="111" s="1"/>
  <c r="M87" i="111"/>
  <c r="E87" i="111"/>
  <c r="AA23" i="108"/>
  <c r="O88" i="108"/>
  <c r="O103" i="107"/>
  <c r="P103" i="107"/>
  <c r="O71" i="107"/>
  <c r="P71" i="107"/>
  <c r="AB33" i="107"/>
  <c r="L102" i="111"/>
  <c r="AB33" i="111" s="1"/>
  <c r="X30" i="107"/>
  <c r="H90" i="111"/>
  <c r="X30" i="111" s="1"/>
  <c r="AB29" i="107"/>
  <c r="L86" i="111"/>
  <c r="AB29" i="111" s="1"/>
  <c r="O85" i="107"/>
  <c r="P85" i="107"/>
  <c r="C85" i="111"/>
  <c r="P100" i="107"/>
  <c r="O100" i="107"/>
  <c r="C100" i="111"/>
  <c r="P84" i="107"/>
  <c r="O84" i="107"/>
  <c r="C84" i="111"/>
  <c r="O76" i="107"/>
  <c r="P76" i="107"/>
  <c r="C76" i="111"/>
  <c r="C103" i="111"/>
  <c r="C71" i="111"/>
  <c r="P58" i="108"/>
  <c r="AF22" i="108" s="1"/>
  <c r="O58" i="108"/>
  <c r="S22" i="108"/>
  <c r="O91" i="107"/>
  <c r="P91" i="107"/>
  <c r="C91" i="111"/>
  <c r="O75" i="107"/>
  <c r="P75" i="107"/>
  <c r="C75" i="111"/>
  <c r="C58" i="111"/>
  <c r="P98" i="107"/>
  <c r="AF32" i="107" s="1"/>
  <c r="O98" i="107"/>
  <c r="S32" i="107"/>
  <c r="C98" i="111"/>
  <c r="P90" i="107"/>
  <c r="O90" i="107"/>
  <c r="S30" i="107"/>
  <c r="C90" i="111"/>
  <c r="P82" i="107"/>
  <c r="AF28" i="107" s="1"/>
  <c r="O82" i="107"/>
  <c r="C82" i="111"/>
  <c r="S28" i="107"/>
  <c r="P74" i="107"/>
  <c r="O74" i="107"/>
  <c r="AE26" i="107" s="1"/>
  <c r="S26" i="107"/>
  <c r="C74" i="111"/>
  <c r="P66" i="107"/>
  <c r="AF24" i="107" s="1"/>
  <c r="O66" i="107"/>
  <c r="S24" i="107"/>
  <c r="C66" i="111"/>
  <c r="W33" i="107"/>
  <c r="G102" i="111"/>
  <c r="W33" i="111" s="1"/>
  <c r="AA32" i="107"/>
  <c r="K98" i="111"/>
  <c r="AA32" i="111" s="1"/>
  <c r="P69" i="108"/>
  <c r="Z23" i="108"/>
  <c r="C63" i="111"/>
  <c r="O95" i="107"/>
  <c r="P95" i="107"/>
  <c r="T31" i="107"/>
  <c r="D94" i="111"/>
  <c r="T31" i="111" s="1"/>
  <c r="P101" i="107"/>
  <c r="O101" i="107"/>
  <c r="C101" i="111"/>
  <c r="P69" i="107"/>
  <c r="O69" i="107"/>
  <c r="C69" i="111"/>
  <c r="P105" i="107"/>
  <c r="O105" i="107"/>
  <c r="C105" i="111"/>
  <c r="P97" i="107"/>
  <c r="O97" i="107"/>
  <c r="C97" i="111"/>
  <c r="P89" i="107"/>
  <c r="O89" i="107"/>
  <c r="C89" i="111"/>
  <c r="C81" i="111"/>
  <c r="P81" i="107"/>
  <c r="O81" i="107"/>
  <c r="P73" i="107"/>
  <c r="O73" i="107"/>
  <c r="C73" i="111"/>
  <c r="P65" i="107"/>
  <c r="O65" i="107"/>
  <c r="C65" i="111"/>
  <c r="AD33" i="107"/>
  <c r="N102" i="111"/>
  <c r="AD33" i="111" s="1"/>
  <c r="V33" i="107"/>
  <c r="F102" i="111"/>
  <c r="V33" i="111" s="1"/>
  <c r="Z32" i="107"/>
  <c r="J98" i="111"/>
  <c r="Z32" i="111" s="1"/>
  <c r="AD31" i="107"/>
  <c r="N94" i="111"/>
  <c r="AD31" i="111" s="1"/>
  <c r="V31" i="107"/>
  <c r="F94" i="111"/>
  <c r="V31" i="111" s="1"/>
  <c r="P100" i="108"/>
  <c r="O100" i="108"/>
  <c r="O92" i="108"/>
  <c r="P92" i="108"/>
  <c r="P84" i="108"/>
  <c r="O84" i="108"/>
  <c r="P76" i="108"/>
  <c r="O76" i="108"/>
  <c r="P68" i="108"/>
  <c r="O68" i="108"/>
  <c r="O60" i="108"/>
  <c r="P60" i="108"/>
  <c r="D102" i="111"/>
  <c r="T33" i="111" s="1"/>
  <c r="V28" i="111"/>
  <c r="AD22" i="111"/>
  <c r="X32" i="107"/>
  <c r="H98" i="111"/>
  <c r="X32" i="111" s="1"/>
  <c r="D78" i="111"/>
  <c r="T27" i="111" s="1"/>
  <c r="T27" i="107"/>
  <c r="X26" i="107"/>
  <c r="H74" i="111"/>
  <c r="X26" i="111" s="1"/>
  <c r="H58" i="111"/>
  <c r="X22" i="111" s="1"/>
  <c r="X22" i="107"/>
  <c r="P93" i="107"/>
  <c r="O93" i="107"/>
  <c r="C93" i="111"/>
  <c r="P104" i="107"/>
  <c r="O104" i="107"/>
  <c r="P96" i="107"/>
  <c r="O96" i="107"/>
  <c r="P88" i="107"/>
  <c r="O88" i="107"/>
  <c r="P80" i="107"/>
  <c r="O80" i="107"/>
  <c r="P72" i="107"/>
  <c r="O72" i="107"/>
  <c r="P64" i="107"/>
  <c r="O64" i="107"/>
  <c r="AC33" i="107"/>
  <c r="M102" i="111"/>
  <c r="U33" i="107"/>
  <c r="E102" i="111"/>
  <c r="Y32" i="107"/>
  <c r="I98" i="111"/>
  <c r="Y32" i="111" s="1"/>
  <c r="AC31" i="107"/>
  <c r="M94" i="111"/>
  <c r="AC31" i="111" s="1"/>
  <c r="U31" i="107"/>
  <c r="E94" i="111"/>
  <c r="U31" i="111" s="1"/>
  <c r="O99" i="108"/>
  <c r="P99" i="108"/>
  <c r="O91" i="108"/>
  <c r="P91" i="108"/>
  <c r="O83" i="108"/>
  <c r="P83" i="108"/>
  <c r="O75" i="108"/>
  <c r="P75" i="108"/>
  <c r="O67" i="108"/>
  <c r="P67" i="108"/>
  <c r="O59" i="108"/>
  <c r="P59" i="108"/>
  <c r="AB28" i="108"/>
  <c r="T28" i="108"/>
  <c r="X27" i="108"/>
  <c r="AB26" i="108"/>
  <c r="T26" i="108"/>
  <c r="X25" i="108"/>
  <c r="AB24" i="108"/>
  <c r="T24" i="108"/>
  <c r="X23" i="108"/>
  <c r="AB22" i="108"/>
  <c r="T22" i="108"/>
  <c r="E82" i="111"/>
  <c r="U28" i="111" s="1"/>
  <c r="I70" i="111"/>
  <c r="Y25" i="111" s="1"/>
  <c r="M58" i="111"/>
  <c r="AC22" i="111" s="1"/>
  <c r="W29" i="108"/>
  <c r="C80" i="111"/>
  <c r="AD30" i="111"/>
  <c r="O87" i="107"/>
  <c r="P87" i="107"/>
  <c r="AB31" i="107"/>
  <c r="L94" i="111"/>
  <c r="AB31" i="111" s="1"/>
  <c r="H82" i="111"/>
  <c r="X28" i="111" s="1"/>
  <c r="X28" i="107"/>
  <c r="L78" i="111"/>
  <c r="AB27" i="111" s="1"/>
  <c r="AB27" i="107"/>
  <c r="AB23" i="107"/>
  <c r="L62" i="111"/>
  <c r="AB23" i="111" s="1"/>
  <c r="D62" i="111"/>
  <c r="T23" i="111" s="1"/>
  <c r="T23" i="107"/>
  <c r="P102" i="107"/>
  <c r="O102" i="107"/>
  <c r="S33" i="107"/>
  <c r="C102" i="111"/>
  <c r="O94" i="107"/>
  <c r="AE31" i="107" s="1"/>
  <c r="P94" i="107"/>
  <c r="AF31" i="107" s="1"/>
  <c r="S31" i="107"/>
  <c r="C94" i="111"/>
  <c r="P86" i="107"/>
  <c r="O86" i="107"/>
  <c r="S29" i="107"/>
  <c r="C86" i="111"/>
  <c r="P78" i="107"/>
  <c r="AF27" i="107" s="1"/>
  <c r="O78" i="107"/>
  <c r="AE27" i="107" s="1"/>
  <c r="S27" i="107"/>
  <c r="C78" i="111"/>
  <c r="P70" i="107"/>
  <c r="AF25" i="107" s="1"/>
  <c r="O70" i="107"/>
  <c r="S25" i="107"/>
  <c r="C70" i="111"/>
  <c r="O62" i="107"/>
  <c r="AE23" i="107" s="1"/>
  <c r="S23" i="107"/>
  <c r="C62" i="111"/>
  <c r="AA33" i="107"/>
  <c r="K102" i="111"/>
  <c r="AA33" i="111" s="1"/>
  <c r="W32" i="107"/>
  <c r="G98" i="111"/>
  <c r="W32" i="111" s="1"/>
  <c r="AA31" i="107"/>
  <c r="K94" i="111"/>
  <c r="AA31" i="111" s="1"/>
  <c r="G90" i="111"/>
  <c r="W30" i="111" s="1"/>
  <c r="W30" i="107"/>
  <c r="K86" i="111"/>
  <c r="AA29" i="111" s="1"/>
  <c r="AA29" i="107"/>
  <c r="G82" i="111"/>
  <c r="W28" i="111" s="1"/>
  <c r="W28" i="107"/>
  <c r="K78" i="111"/>
  <c r="AA27" i="111" s="1"/>
  <c r="AA27" i="107"/>
  <c r="W26" i="107"/>
  <c r="G74" i="111"/>
  <c r="W26" i="111" s="1"/>
  <c r="AA25" i="107"/>
  <c r="K70" i="111"/>
  <c r="AA25" i="111" s="1"/>
  <c r="W24" i="107"/>
  <c r="G66" i="111"/>
  <c r="W24" i="111" s="1"/>
  <c r="AA23" i="107"/>
  <c r="K62" i="111"/>
  <c r="AA23" i="111" s="1"/>
  <c r="W22" i="107"/>
  <c r="G58" i="111"/>
  <c r="W22" i="111" s="1"/>
  <c r="C79" i="111"/>
  <c r="M90" i="111"/>
  <c r="AC30" i="111" s="1"/>
  <c r="AD30" i="107"/>
  <c r="P61" i="107"/>
  <c r="O61" i="107"/>
  <c r="Z33" i="107"/>
  <c r="AD32" i="107"/>
  <c r="V32" i="107"/>
  <c r="Z31" i="107"/>
  <c r="V30" i="107"/>
  <c r="Z29" i="107"/>
  <c r="AD28" i="107"/>
  <c r="V28" i="107"/>
  <c r="Z27" i="107"/>
  <c r="AD26" i="107"/>
  <c r="V26" i="107"/>
  <c r="Z25" i="107"/>
  <c r="AD24" i="107"/>
  <c r="V24" i="107"/>
  <c r="Z23" i="107"/>
  <c r="AD22" i="107"/>
  <c r="V22" i="107"/>
  <c r="S32" i="108"/>
  <c r="P98" i="108"/>
  <c r="O98" i="108"/>
  <c r="S30" i="108"/>
  <c r="P90" i="108"/>
  <c r="O90" i="108"/>
  <c r="P82" i="108"/>
  <c r="AF28" i="108" s="1"/>
  <c r="O82" i="108"/>
  <c r="S28" i="108"/>
  <c r="S26" i="108"/>
  <c r="P74" i="108"/>
  <c r="O74" i="108"/>
  <c r="S24" i="108"/>
  <c r="P66" i="108"/>
  <c r="O66" i="108"/>
  <c r="AE24" i="108" s="1"/>
  <c r="W33" i="108"/>
  <c r="AA32" i="108"/>
  <c r="W31" i="108"/>
  <c r="AA30" i="108"/>
  <c r="AA28" i="108"/>
  <c r="W27" i="108"/>
  <c r="AA26" i="108"/>
  <c r="W25" i="108"/>
  <c r="AA24" i="108"/>
  <c r="W23" i="108"/>
  <c r="AA22" i="108"/>
  <c r="N98" i="111"/>
  <c r="AD32" i="111" s="1"/>
  <c r="F90" i="111"/>
  <c r="V30" i="111" s="1"/>
  <c r="J78" i="111"/>
  <c r="N66" i="111"/>
  <c r="F58" i="111"/>
  <c r="V22" i="111" s="1"/>
  <c r="P60" i="107"/>
  <c r="O60" i="107"/>
  <c r="AC32" i="107"/>
  <c r="U32" i="107"/>
  <c r="Y31" i="107"/>
  <c r="AC30" i="107"/>
  <c r="U30" i="107"/>
  <c r="Y29" i="107"/>
  <c r="AC28" i="107"/>
  <c r="U28" i="107"/>
  <c r="Y27" i="107"/>
  <c r="AC26" i="107"/>
  <c r="U26" i="107"/>
  <c r="Y25" i="107"/>
  <c r="AC24" i="107"/>
  <c r="U24" i="107"/>
  <c r="Y23" i="107"/>
  <c r="AC22" i="107"/>
  <c r="U22" i="107"/>
  <c r="P105" i="108"/>
  <c r="O105" i="108"/>
  <c r="P97" i="108"/>
  <c r="O97" i="108"/>
  <c r="P89" i="108"/>
  <c r="O89" i="108"/>
  <c r="P81" i="108"/>
  <c r="O81" i="108"/>
  <c r="P73" i="108"/>
  <c r="O73" i="108"/>
  <c r="P65" i="108"/>
  <c r="O65" i="108"/>
  <c r="AD33" i="108"/>
  <c r="V33" i="108"/>
  <c r="Z32" i="108"/>
  <c r="AD31" i="108"/>
  <c r="V31" i="108"/>
  <c r="Z30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C61" i="111"/>
  <c r="M98" i="111"/>
  <c r="AC32" i="111" s="1"/>
  <c r="E90" i="111"/>
  <c r="U30" i="111" s="1"/>
  <c r="I78" i="111"/>
  <c r="Y27" i="111" s="1"/>
  <c r="M66" i="111"/>
  <c r="AC24" i="111" s="1"/>
  <c r="E58" i="111"/>
  <c r="U22" i="111" s="1"/>
  <c r="X29" i="107"/>
  <c r="H86" i="111"/>
  <c r="X29" i="111" s="1"/>
  <c r="K85" i="111"/>
  <c r="N84" i="111"/>
  <c r="F84" i="111"/>
  <c r="I83" i="111"/>
  <c r="AB28" i="107"/>
  <c r="L82" i="111"/>
  <c r="AB28" i="111" s="1"/>
  <c r="T28" i="107"/>
  <c r="D82" i="111"/>
  <c r="T28" i="111" s="1"/>
  <c r="G81" i="111"/>
  <c r="J80" i="111"/>
  <c r="M79" i="111"/>
  <c r="E79" i="111"/>
  <c r="X27" i="107"/>
  <c r="H78" i="111"/>
  <c r="X27" i="111" s="1"/>
  <c r="K77" i="111"/>
  <c r="N76" i="111"/>
  <c r="F76" i="111"/>
  <c r="I75" i="111"/>
  <c r="AB26" i="107"/>
  <c r="L74" i="111"/>
  <c r="AB26" i="111" s="1"/>
  <c r="T26" i="107"/>
  <c r="D74" i="111"/>
  <c r="T26" i="111" s="1"/>
  <c r="G73" i="111"/>
  <c r="J72" i="111"/>
  <c r="O72" i="111" s="1"/>
  <c r="M71" i="111"/>
  <c r="AC25" i="111" s="1"/>
  <c r="E71" i="111"/>
  <c r="X25" i="107"/>
  <c r="H70" i="111"/>
  <c r="X25" i="111" s="1"/>
  <c r="K69" i="111"/>
  <c r="N68" i="111"/>
  <c r="F68" i="111"/>
  <c r="I67" i="111"/>
  <c r="AB24" i="107"/>
  <c r="L66" i="111"/>
  <c r="AB24" i="111" s="1"/>
  <c r="T24" i="107"/>
  <c r="D66" i="111"/>
  <c r="T24" i="111" s="1"/>
  <c r="G65" i="111"/>
  <c r="J64" i="111"/>
  <c r="P64" i="111" s="1"/>
  <c r="M63" i="111"/>
  <c r="E63" i="111"/>
  <c r="X23" i="107"/>
  <c r="H62" i="111"/>
  <c r="X23" i="111" s="1"/>
  <c r="K61" i="111"/>
  <c r="N60" i="111"/>
  <c r="F60" i="111"/>
  <c r="I59" i="111"/>
  <c r="AB22" i="107"/>
  <c r="L58" i="111"/>
  <c r="AB22" i="111" s="1"/>
  <c r="T22" i="107"/>
  <c r="D58" i="111"/>
  <c r="T22" i="111" s="1"/>
  <c r="P104" i="108"/>
  <c r="O104" i="108"/>
  <c r="P96" i="108"/>
  <c r="O96" i="108"/>
  <c r="P80" i="108"/>
  <c r="O80" i="108"/>
  <c r="P72" i="108"/>
  <c r="O72" i="108"/>
  <c r="P64" i="108"/>
  <c r="O64" i="108"/>
  <c r="AC33" i="108"/>
  <c r="U33" i="108"/>
  <c r="Y32" i="108"/>
  <c r="AC31" i="108"/>
  <c r="U31" i="108"/>
  <c r="Y30" i="108"/>
  <c r="AC29" i="108"/>
  <c r="Y28" i="108"/>
  <c r="AC27" i="108"/>
  <c r="U27" i="108"/>
  <c r="AC25" i="108"/>
  <c r="U25" i="108"/>
  <c r="Y24" i="108"/>
  <c r="AC23" i="108"/>
  <c r="U23" i="108"/>
  <c r="Y22" i="108"/>
  <c r="C60" i="111"/>
  <c r="F98" i="111"/>
  <c r="V32" i="111" s="1"/>
  <c r="J86" i="111"/>
  <c r="Z29" i="111" s="1"/>
  <c r="N74" i="111"/>
  <c r="AD26" i="111" s="1"/>
  <c r="F66" i="111"/>
  <c r="V24" i="111" s="1"/>
  <c r="AC25" i="107"/>
  <c r="W31" i="107"/>
  <c r="G94" i="111"/>
  <c r="W31" i="111" s="1"/>
  <c r="AA30" i="107"/>
  <c r="K90" i="111"/>
  <c r="W29" i="107"/>
  <c r="G86" i="111"/>
  <c r="AA28" i="107"/>
  <c r="K82" i="111"/>
  <c r="W27" i="107"/>
  <c r="G78" i="111"/>
  <c r="AA26" i="107"/>
  <c r="K74" i="111"/>
  <c r="W25" i="107"/>
  <c r="G70" i="111"/>
  <c r="AA24" i="107"/>
  <c r="K66" i="111"/>
  <c r="AA24" i="111" s="1"/>
  <c r="W23" i="107"/>
  <c r="G62" i="111"/>
  <c r="W23" i="111" s="1"/>
  <c r="AA22" i="107"/>
  <c r="K58" i="111"/>
  <c r="AA22" i="111" s="1"/>
  <c r="O103" i="108"/>
  <c r="P103" i="108"/>
  <c r="O95" i="108"/>
  <c r="P95" i="108"/>
  <c r="O87" i="108"/>
  <c r="P87" i="108"/>
  <c r="O79" i="108"/>
  <c r="P79" i="108"/>
  <c r="O71" i="108"/>
  <c r="P71" i="108"/>
  <c r="O63" i="108"/>
  <c r="P63" i="108"/>
  <c r="AB33" i="108"/>
  <c r="T33" i="108"/>
  <c r="X32" i="108"/>
  <c r="AB31" i="108"/>
  <c r="T31" i="108"/>
  <c r="X30" i="108"/>
  <c r="AB29" i="108"/>
  <c r="T29" i="108"/>
  <c r="X28" i="108"/>
  <c r="AB27" i="108"/>
  <c r="T27" i="108"/>
  <c r="AB25" i="108"/>
  <c r="T25" i="108"/>
  <c r="X24" i="108"/>
  <c r="AB23" i="108"/>
  <c r="T23" i="108"/>
  <c r="X22" i="108"/>
  <c r="E98" i="111"/>
  <c r="U32" i="111" s="1"/>
  <c r="I86" i="111"/>
  <c r="Y29" i="111" s="1"/>
  <c r="M74" i="111"/>
  <c r="AC26" i="111" s="1"/>
  <c r="E66" i="111"/>
  <c r="U24" i="111" s="1"/>
  <c r="Z30" i="107"/>
  <c r="J90" i="111"/>
  <c r="Z30" i="111" s="1"/>
  <c r="AD29" i="107"/>
  <c r="N86" i="111"/>
  <c r="AD29" i="111" s="1"/>
  <c r="V29" i="107"/>
  <c r="F86" i="111"/>
  <c r="V29" i="111" s="1"/>
  <c r="Z28" i="107"/>
  <c r="J82" i="111"/>
  <c r="Z28" i="111" s="1"/>
  <c r="AD27" i="107"/>
  <c r="N78" i="111"/>
  <c r="AD27" i="111" s="1"/>
  <c r="V27" i="107"/>
  <c r="F78" i="111"/>
  <c r="V27" i="111" s="1"/>
  <c r="Z26" i="107"/>
  <c r="J74" i="111"/>
  <c r="Z26" i="111" s="1"/>
  <c r="AD25" i="107"/>
  <c r="N70" i="111"/>
  <c r="AD25" i="111" s="1"/>
  <c r="V25" i="107"/>
  <c r="F70" i="111"/>
  <c r="V25" i="111" s="1"/>
  <c r="Z24" i="107"/>
  <c r="J66" i="111"/>
  <c r="Z24" i="111" s="1"/>
  <c r="AD23" i="107"/>
  <c r="N62" i="111"/>
  <c r="AD23" i="111" s="1"/>
  <c r="V23" i="107"/>
  <c r="F62" i="111"/>
  <c r="V23" i="111" s="1"/>
  <c r="Z22" i="107"/>
  <c r="J58" i="111"/>
  <c r="Z22" i="111" s="1"/>
  <c r="P102" i="108"/>
  <c r="O102" i="108"/>
  <c r="S33" i="108"/>
  <c r="P94" i="108"/>
  <c r="AF31" i="108" s="1"/>
  <c r="O94" i="108"/>
  <c r="S31" i="108"/>
  <c r="S29" i="108"/>
  <c r="P86" i="108"/>
  <c r="AF29" i="108" s="1"/>
  <c r="O86" i="108"/>
  <c r="O78" i="108"/>
  <c r="S27" i="108"/>
  <c r="P78" i="108"/>
  <c r="S25" i="108"/>
  <c r="P70" i="108"/>
  <c r="P62" i="108"/>
  <c r="AF23" i="108" s="1"/>
  <c r="O62" i="108"/>
  <c r="AE23" i="108" s="1"/>
  <c r="AA33" i="108"/>
  <c r="W32" i="108"/>
  <c r="AA31" i="108"/>
  <c r="W30" i="108"/>
  <c r="AA29" i="108"/>
  <c r="W28" i="108"/>
  <c r="AA27" i="108"/>
  <c r="W26" i="108"/>
  <c r="AA25" i="108"/>
  <c r="W24" i="108"/>
  <c r="W22" i="108"/>
  <c r="J102" i="111"/>
  <c r="Z33" i="111" s="1"/>
  <c r="J94" i="111"/>
  <c r="Z31" i="111" s="1"/>
  <c r="N82" i="111"/>
  <c r="AD28" i="111" s="1"/>
  <c r="F74" i="111"/>
  <c r="J62" i="111"/>
  <c r="Z23" i="111" s="1"/>
  <c r="Y33" i="107"/>
  <c r="U23" i="107"/>
  <c r="Y30" i="107"/>
  <c r="I90" i="111"/>
  <c r="Y30" i="111" s="1"/>
  <c r="AC29" i="107"/>
  <c r="M86" i="111"/>
  <c r="AC29" i="111" s="1"/>
  <c r="U29" i="107"/>
  <c r="E86" i="111"/>
  <c r="U29" i="111" s="1"/>
  <c r="Y28" i="107"/>
  <c r="I82" i="111"/>
  <c r="Y28" i="111" s="1"/>
  <c r="AC27" i="107"/>
  <c r="M78" i="111"/>
  <c r="AC27" i="111" s="1"/>
  <c r="U27" i="107"/>
  <c r="E78" i="111"/>
  <c r="U27" i="111" s="1"/>
  <c r="Y26" i="107"/>
  <c r="I74" i="111"/>
  <c r="Y26" i="111" s="1"/>
  <c r="E70" i="111"/>
  <c r="U25" i="111" s="1"/>
  <c r="U25" i="107"/>
  <c r="Y24" i="107"/>
  <c r="I66" i="111"/>
  <c r="AC23" i="107"/>
  <c r="M62" i="111"/>
  <c r="U23" i="111"/>
  <c r="I58" i="111"/>
  <c r="Y22" i="111" s="1"/>
  <c r="Y22" i="107"/>
  <c r="O101" i="108"/>
  <c r="P101" i="108"/>
  <c r="P93" i="108"/>
  <c r="O93" i="108"/>
  <c r="P85" i="108"/>
  <c r="O85" i="108"/>
  <c r="P77" i="108"/>
  <c r="O77" i="108"/>
  <c r="O69" i="108"/>
  <c r="P61" i="108"/>
  <c r="O61" i="108"/>
  <c r="Z33" i="108"/>
  <c r="AD32" i="108"/>
  <c r="V32" i="108"/>
  <c r="Z31" i="108"/>
  <c r="AD30" i="108"/>
  <c r="V30" i="108"/>
  <c r="Z29" i="108"/>
  <c r="AD28" i="108"/>
  <c r="V28" i="108"/>
  <c r="Z27" i="108"/>
  <c r="AD26" i="108"/>
  <c r="V26" i="108"/>
  <c r="Z25" i="108"/>
  <c r="AD24" i="108"/>
  <c r="V24" i="108"/>
  <c r="AD22" i="108"/>
  <c r="V22" i="108"/>
  <c r="I94" i="111"/>
  <c r="Y31" i="111" s="1"/>
  <c r="M82" i="111"/>
  <c r="AC28" i="111" s="1"/>
  <c r="E74" i="111"/>
  <c r="U26" i="111" s="1"/>
  <c r="I62" i="111"/>
  <c r="Y23" i="111" s="1"/>
  <c r="O70" i="108"/>
  <c r="G6" i="107"/>
  <c r="G6" i="113"/>
  <c r="D6" i="107"/>
  <c r="D6" i="113"/>
  <c r="G6" i="108"/>
  <c r="D6" i="108"/>
  <c r="AC23" i="111" l="1"/>
  <c r="V26" i="111"/>
  <c r="W25" i="111"/>
  <c r="W29" i="111"/>
  <c r="AE28" i="108"/>
  <c r="Z25" i="111"/>
  <c r="P105" i="111"/>
  <c r="O105" i="111"/>
  <c r="S26" i="111"/>
  <c r="P74" i="111"/>
  <c r="O74" i="111"/>
  <c r="S30" i="111"/>
  <c r="P90" i="111"/>
  <c r="O90" i="111"/>
  <c r="AE30" i="111" s="1"/>
  <c r="S22" i="111"/>
  <c r="P58" i="111"/>
  <c r="O58" i="111"/>
  <c r="AE22" i="108"/>
  <c r="P61" i="111"/>
  <c r="O61" i="111"/>
  <c r="AF25" i="108"/>
  <c r="P81" i="111"/>
  <c r="O81" i="111"/>
  <c r="Y24" i="111"/>
  <c r="AE31" i="108"/>
  <c r="AA26" i="111"/>
  <c r="AA30" i="111"/>
  <c r="AD24" i="111"/>
  <c r="AF24" i="108"/>
  <c r="AE30" i="108"/>
  <c r="P80" i="111"/>
  <c r="O80" i="111"/>
  <c r="P89" i="111"/>
  <c r="O89" i="111"/>
  <c r="AE30" i="107"/>
  <c r="P71" i="111"/>
  <c r="O71" i="111"/>
  <c r="P100" i="111"/>
  <c r="O100" i="111"/>
  <c r="P83" i="111"/>
  <c r="O83" i="111"/>
  <c r="P68" i="111"/>
  <c r="O68" i="111"/>
  <c r="AF22" i="107"/>
  <c r="O88" i="111"/>
  <c r="P67" i="111"/>
  <c r="O67" i="111"/>
  <c r="AF27" i="108"/>
  <c r="P60" i="111"/>
  <c r="O60" i="111"/>
  <c r="Z27" i="111"/>
  <c r="AF30" i="108"/>
  <c r="AE25" i="107"/>
  <c r="AE29" i="107"/>
  <c r="AE33" i="107"/>
  <c r="P69" i="111"/>
  <c r="O69" i="111"/>
  <c r="AF26" i="107"/>
  <c r="AF30" i="107"/>
  <c r="P103" i="111"/>
  <c r="O103" i="111"/>
  <c r="P77" i="111"/>
  <c r="O77" i="111"/>
  <c r="O64" i="111"/>
  <c r="P70" i="111"/>
  <c r="O70" i="111"/>
  <c r="S25" i="111"/>
  <c r="W27" i="111"/>
  <c r="AE26" i="108"/>
  <c r="AF29" i="107"/>
  <c r="AF33" i="107"/>
  <c r="U33" i="111"/>
  <c r="P93" i="111"/>
  <c r="O93" i="111"/>
  <c r="P73" i="111"/>
  <c r="O73" i="111"/>
  <c r="P66" i="111"/>
  <c r="AF24" i="111" s="1"/>
  <c r="O66" i="111"/>
  <c r="S24" i="111"/>
  <c r="S32" i="111"/>
  <c r="P98" i="111"/>
  <c r="O98" i="111"/>
  <c r="P91" i="111"/>
  <c r="O91" i="111"/>
  <c r="P76" i="111"/>
  <c r="O76" i="111"/>
  <c r="P59" i="111"/>
  <c r="O59" i="111"/>
  <c r="O104" i="111"/>
  <c r="S29" i="111"/>
  <c r="P86" i="111"/>
  <c r="AF29" i="111" s="1"/>
  <c r="O86" i="111"/>
  <c r="P65" i="111"/>
  <c r="O65" i="111"/>
  <c r="P75" i="111"/>
  <c r="O75" i="111"/>
  <c r="AE25" i="108"/>
  <c r="AE27" i="108"/>
  <c r="AE33" i="108"/>
  <c r="AF26" i="108"/>
  <c r="AE32" i="108"/>
  <c r="P79" i="111"/>
  <c r="O79" i="111"/>
  <c r="O78" i="111"/>
  <c r="S27" i="111"/>
  <c r="P78" i="111"/>
  <c r="P94" i="111"/>
  <c r="O94" i="111"/>
  <c r="S31" i="111"/>
  <c r="P97" i="111"/>
  <c r="O97" i="111"/>
  <c r="P63" i="111"/>
  <c r="O63" i="111"/>
  <c r="P82" i="111"/>
  <c r="O82" i="111"/>
  <c r="S28" i="111"/>
  <c r="P85" i="111"/>
  <c r="O85" i="111"/>
  <c r="P92" i="111"/>
  <c r="O92" i="111"/>
  <c r="O96" i="111"/>
  <c r="P84" i="111"/>
  <c r="O84" i="111"/>
  <c r="P102" i="111"/>
  <c r="AF33" i="111" s="1"/>
  <c r="O102" i="111"/>
  <c r="AE33" i="111" s="1"/>
  <c r="S33" i="111"/>
  <c r="AE22" i="107"/>
  <c r="AE29" i="108"/>
  <c r="AF33" i="108"/>
  <c r="AA28" i="111"/>
  <c r="AF32" i="108"/>
  <c r="O62" i="111"/>
  <c r="P62" i="111"/>
  <c r="AF23" i="111" s="1"/>
  <c r="S23" i="111"/>
  <c r="AC33" i="111"/>
  <c r="P101" i="111"/>
  <c r="O101" i="111"/>
  <c r="AE24" i="107"/>
  <c r="AE28" i="107"/>
  <c r="AE32" i="107"/>
  <c r="P99" i="111"/>
  <c r="O99" i="111"/>
  <c r="C3" i="107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E10" i="108"/>
  <c r="E106" i="108" s="1"/>
  <c r="F10" i="108"/>
  <c r="G10" i="108"/>
  <c r="G106" i="108" s="1"/>
  <c r="H10" i="108"/>
  <c r="I10" i="108"/>
  <c r="J10" i="108"/>
  <c r="K10" i="108"/>
  <c r="L10" i="108"/>
  <c r="M10" i="108"/>
  <c r="M106" i="108" s="1"/>
  <c r="N10" i="108"/>
  <c r="C10" i="108"/>
  <c r="C106" i="108" s="1"/>
  <c r="C11" i="107"/>
  <c r="D11" i="107"/>
  <c r="D11" i="111" s="1"/>
  <c r="E11" i="107"/>
  <c r="F11" i="107"/>
  <c r="F11" i="111" s="1"/>
  <c r="G11" i="107"/>
  <c r="H11" i="107"/>
  <c r="H11" i="111" s="1"/>
  <c r="I11" i="107"/>
  <c r="J11" i="107"/>
  <c r="J11" i="111" s="1"/>
  <c r="K11" i="107"/>
  <c r="L11" i="107"/>
  <c r="L11" i="111" s="1"/>
  <c r="M11" i="107"/>
  <c r="N11" i="107"/>
  <c r="N11" i="111" s="1"/>
  <c r="C12" i="107"/>
  <c r="D12" i="107"/>
  <c r="D12" i="111" s="1"/>
  <c r="E12" i="107"/>
  <c r="F12" i="107"/>
  <c r="F12" i="111" s="1"/>
  <c r="G12" i="107"/>
  <c r="H12" i="107"/>
  <c r="H12" i="111" s="1"/>
  <c r="I12" i="107"/>
  <c r="J12" i="107"/>
  <c r="J12" i="111" s="1"/>
  <c r="K12" i="107"/>
  <c r="L12" i="107"/>
  <c r="L12" i="111" s="1"/>
  <c r="M12" i="107"/>
  <c r="N12" i="107"/>
  <c r="N12" i="111" s="1"/>
  <c r="C13" i="107"/>
  <c r="D13" i="107"/>
  <c r="D13" i="111" s="1"/>
  <c r="E13" i="107"/>
  <c r="F13" i="107"/>
  <c r="F13" i="111" s="1"/>
  <c r="G13" i="107"/>
  <c r="H13" i="107"/>
  <c r="H13" i="111" s="1"/>
  <c r="I13" i="107"/>
  <c r="J13" i="107"/>
  <c r="J13" i="111" s="1"/>
  <c r="K13" i="107"/>
  <c r="L13" i="107"/>
  <c r="L13" i="111" s="1"/>
  <c r="M13" i="107"/>
  <c r="N13" i="107"/>
  <c r="N13" i="111" s="1"/>
  <c r="C14" i="107"/>
  <c r="D14" i="107"/>
  <c r="D14" i="111" s="1"/>
  <c r="E14" i="107"/>
  <c r="F14" i="107"/>
  <c r="F14" i="111" s="1"/>
  <c r="G14" i="107"/>
  <c r="H14" i="107"/>
  <c r="H14" i="111" s="1"/>
  <c r="I14" i="107"/>
  <c r="J14" i="107"/>
  <c r="J14" i="111" s="1"/>
  <c r="K14" i="107"/>
  <c r="L14" i="107"/>
  <c r="L14" i="111" s="1"/>
  <c r="M14" i="107"/>
  <c r="N14" i="107"/>
  <c r="N14" i="111" s="1"/>
  <c r="C15" i="107"/>
  <c r="D15" i="107"/>
  <c r="D15" i="111" s="1"/>
  <c r="E15" i="107"/>
  <c r="F15" i="107"/>
  <c r="F15" i="111" s="1"/>
  <c r="G15" i="107"/>
  <c r="H15" i="107"/>
  <c r="H15" i="111" s="1"/>
  <c r="I15" i="107"/>
  <c r="J15" i="107"/>
  <c r="J15" i="111" s="1"/>
  <c r="K15" i="107"/>
  <c r="L15" i="107"/>
  <c r="L15" i="111" s="1"/>
  <c r="M15" i="107"/>
  <c r="N15" i="107"/>
  <c r="N15" i="111" s="1"/>
  <c r="C16" i="107"/>
  <c r="D16" i="107"/>
  <c r="D16" i="111" s="1"/>
  <c r="E16" i="107"/>
  <c r="F16" i="107"/>
  <c r="F16" i="111" s="1"/>
  <c r="G16" i="107"/>
  <c r="H16" i="107"/>
  <c r="H16" i="111" s="1"/>
  <c r="I16" i="107"/>
  <c r="J16" i="107"/>
  <c r="J16" i="111" s="1"/>
  <c r="K16" i="107"/>
  <c r="L16" i="107"/>
  <c r="L16" i="111" s="1"/>
  <c r="M16" i="107"/>
  <c r="N16" i="107"/>
  <c r="N16" i="111" s="1"/>
  <c r="C17" i="107"/>
  <c r="D17" i="107"/>
  <c r="D17" i="111" s="1"/>
  <c r="E17" i="107"/>
  <c r="F17" i="107"/>
  <c r="F17" i="111" s="1"/>
  <c r="G17" i="107"/>
  <c r="H17" i="107"/>
  <c r="H17" i="111" s="1"/>
  <c r="I17" i="107"/>
  <c r="J17" i="107"/>
  <c r="J17" i="111" s="1"/>
  <c r="K17" i="107"/>
  <c r="L17" i="107"/>
  <c r="L17" i="111" s="1"/>
  <c r="M17" i="107"/>
  <c r="N17" i="107"/>
  <c r="N17" i="111" s="1"/>
  <c r="C18" i="107"/>
  <c r="D18" i="107"/>
  <c r="D18" i="111" s="1"/>
  <c r="E18" i="107"/>
  <c r="F18" i="107"/>
  <c r="F18" i="111" s="1"/>
  <c r="G18" i="107"/>
  <c r="H18" i="107"/>
  <c r="H18" i="111" s="1"/>
  <c r="I18" i="107"/>
  <c r="J18" i="107"/>
  <c r="J18" i="111" s="1"/>
  <c r="K18" i="107"/>
  <c r="L18" i="107"/>
  <c r="L18" i="111" s="1"/>
  <c r="M18" i="107"/>
  <c r="N18" i="107"/>
  <c r="N18" i="111" s="1"/>
  <c r="C19" i="107"/>
  <c r="D19" i="107"/>
  <c r="D19" i="111" s="1"/>
  <c r="E19" i="107"/>
  <c r="F19" i="107"/>
  <c r="F19" i="111" s="1"/>
  <c r="G19" i="107"/>
  <c r="H19" i="107"/>
  <c r="H19" i="111" s="1"/>
  <c r="I19" i="107"/>
  <c r="J19" i="107"/>
  <c r="J19" i="111" s="1"/>
  <c r="K19" i="107"/>
  <c r="L19" i="107"/>
  <c r="L19" i="111" s="1"/>
  <c r="M19" i="107"/>
  <c r="N19" i="107"/>
  <c r="N19" i="111" s="1"/>
  <c r="C20" i="107"/>
  <c r="D20" i="107"/>
  <c r="D20" i="111" s="1"/>
  <c r="E20" i="107"/>
  <c r="F20" i="107"/>
  <c r="F20" i="111" s="1"/>
  <c r="G20" i="107"/>
  <c r="H20" i="107"/>
  <c r="H20" i="111" s="1"/>
  <c r="I20" i="107"/>
  <c r="J20" i="107"/>
  <c r="J20" i="111" s="1"/>
  <c r="K20" i="107"/>
  <c r="L20" i="107"/>
  <c r="L20" i="111" s="1"/>
  <c r="M20" i="107"/>
  <c r="N20" i="107"/>
  <c r="N20" i="111" s="1"/>
  <c r="C21" i="107"/>
  <c r="D21" i="107"/>
  <c r="D21" i="111" s="1"/>
  <c r="E21" i="107"/>
  <c r="F21" i="107"/>
  <c r="F21" i="111" s="1"/>
  <c r="G21" i="107"/>
  <c r="H21" i="107"/>
  <c r="H21" i="111" s="1"/>
  <c r="I21" i="107"/>
  <c r="J21" i="107"/>
  <c r="J21" i="111" s="1"/>
  <c r="K21" i="107"/>
  <c r="L21" i="107"/>
  <c r="L21" i="111" s="1"/>
  <c r="M21" i="107"/>
  <c r="N21" i="107"/>
  <c r="N21" i="111" s="1"/>
  <c r="C22" i="107"/>
  <c r="D22" i="107"/>
  <c r="D22" i="111" s="1"/>
  <c r="E22" i="107"/>
  <c r="F22" i="107"/>
  <c r="F22" i="111" s="1"/>
  <c r="G22" i="107"/>
  <c r="H22" i="107"/>
  <c r="H22" i="111" s="1"/>
  <c r="I22" i="107"/>
  <c r="J22" i="107"/>
  <c r="J22" i="111" s="1"/>
  <c r="K22" i="107"/>
  <c r="L22" i="107"/>
  <c r="L22" i="111" s="1"/>
  <c r="M22" i="107"/>
  <c r="N22" i="107"/>
  <c r="N22" i="111" s="1"/>
  <c r="C23" i="107"/>
  <c r="D23" i="107"/>
  <c r="D23" i="111" s="1"/>
  <c r="E23" i="107"/>
  <c r="F23" i="107"/>
  <c r="F23" i="111" s="1"/>
  <c r="G23" i="107"/>
  <c r="H23" i="107"/>
  <c r="H23" i="111" s="1"/>
  <c r="I23" i="107"/>
  <c r="J23" i="107"/>
  <c r="J23" i="111" s="1"/>
  <c r="K23" i="107"/>
  <c r="L23" i="107"/>
  <c r="L23" i="111" s="1"/>
  <c r="M23" i="107"/>
  <c r="N23" i="107"/>
  <c r="N23" i="111" s="1"/>
  <c r="C24" i="107"/>
  <c r="D24" i="107"/>
  <c r="D24" i="111" s="1"/>
  <c r="E24" i="107"/>
  <c r="F24" i="107"/>
  <c r="F24" i="111" s="1"/>
  <c r="G24" i="107"/>
  <c r="H24" i="107"/>
  <c r="H24" i="111" s="1"/>
  <c r="I24" i="107"/>
  <c r="J24" i="107"/>
  <c r="J24" i="111" s="1"/>
  <c r="K24" i="107"/>
  <c r="L24" i="107"/>
  <c r="L24" i="111" s="1"/>
  <c r="M24" i="107"/>
  <c r="N24" i="107"/>
  <c r="N24" i="111" s="1"/>
  <c r="C25" i="107"/>
  <c r="D25" i="107"/>
  <c r="D25" i="111" s="1"/>
  <c r="E25" i="107"/>
  <c r="F25" i="107"/>
  <c r="F25" i="111" s="1"/>
  <c r="G25" i="107"/>
  <c r="H25" i="107"/>
  <c r="H25" i="111" s="1"/>
  <c r="I25" i="107"/>
  <c r="J25" i="107"/>
  <c r="J25" i="111" s="1"/>
  <c r="K25" i="107"/>
  <c r="L25" i="107"/>
  <c r="L25" i="111" s="1"/>
  <c r="M25" i="107"/>
  <c r="N25" i="107"/>
  <c r="N25" i="111" s="1"/>
  <c r="C26" i="107"/>
  <c r="D26" i="107"/>
  <c r="D26" i="111" s="1"/>
  <c r="E26" i="107"/>
  <c r="F26" i="107"/>
  <c r="F26" i="111" s="1"/>
  <c r="G26" i="107"/>
  <c r="H26" i="107"/>
  <c r="H26" i="111" s="1"/>
  <c r="I26" i="107"/>
  <c r="J26" i="107"/>
  <c r="J26" i="111" s="1"/>
  <c r="K26" i="107"/>
  <c r="L26" i="107"/>
  <c r="L26" i="111" s="1"/>
  <c r="M26" i="107"/>
  <c r="N26" i="107"/>
  <c r="N26" i="111" s="1"/>
  <c r="C27" i="107"/>
  <c r="D27" i="107"/>
  <c r="D27" i="111" s="1"/>
  <c r="E27" i="107"/>
  <c r="F27" i="107"/>
  <c r="F27" i="111" s="1"/>
  <c r="G27" i="107"/>
  <c r="H27" i="107"/>
  <c r="H27" i="111" s="1"/>
  <c r="I27" i="107"/>
  <c r="J27" i="107"/>
  <c r="J27" i="111" s="1"/>
  <c r="K27" i="107"/>
  <c r="L27" i="107"/>
  <c r="L27" i="111" s="1"/>
  <c r="M27" i="107"/>
  <c r="N27" i="107"/>
  <c r="N27" i="111" s="1"/>
  <c r="C28" i="107"/>
  <c r="D28" i="107"/>
  <c r="D28" i="111" s="1"/>
  <c r="E28" i="107"/>
  <c r="F28" i="107"/>
  <c r="F28" i="111" s="1"/>
  <c r="G28" i="107"/>
  <c r="H28" i="107"/>
  <c r="H28" i="111" s="1"/>
  <c r="I28" i="107"/>
  <c r="J28" i="107"/>
  <c r="J28" i="111" s="1"/>
  <c r="K28" i="107"/>
  <c r="L28" i="107"/>
  <c r="L28" i="111" s="1"/>
  <c r="M28" i="107"/>
  <c r="N28" i="107"/>
  <c r="N28" i="111" s="1"/>
  <c r="C29" i="107"/>
  <c r="D29" i="107"/>
  <c r="D29" i="111" s="1"/>
  <c r="E29" i="107"/>
  <c r="F29" i="107"/>
  <c r="F29" i="111" s="1"/>
  <c r="G29" i="107"/>
  <c r="H29" i="107"/>
  <c r="H29" i="111" s="1"/>
  <c r="I29" i="107"/>
  <c r="J29" i="107"/>
  <c r="J29" i="111" s="1"/>
  <c r="K29" i="107"/>
  <c r="L29" i="107"/>
  <c r="L29" i="111" s="1"/>
  <c r="M29" i="107"/>
  <c r="N29" i="107"/>
  <c r="N29" i="111" s="1"/>
  <c r="C30" i="107"/>
  <c r="D30" i="107"/>
  <c r="D30" i="111" s="1"/>
  <c r="E30" i="107"/>
  <c r="F30" i="107"/>
  <c r="F30" i="111" s="1"/>
  <c r="G30" i="107"/>
  <c r="H30" i="107"/>
  <c r="H30" i="111" s="1"/>
  <c r="I30" i="107"/>
  <c r="J30" i="107"/>
  <c r="J30" i="111" s="1"/>
  <c r="K30" i="107"/>
  <c r="L30" i="107"/>
  <c r="L30" i="111" s="1"/>
  <c r="M30" i="107"/>
  <c r="N30" i="107"/>
  <c r="N30" i="111" s="1"/>
  <c r="C31" i="107"/>
  <c r="D31" i="107"/>
  <c r="D31" i="111" s="1"/>
  <c r="E31" i="107"/>
  <c r="F31" i="107"/>
  <c r="F31" i="111" s="1"/>
  <c r="G31" i="107"/>
  <c r="H31" i="107"/>
  <c r="H31" i="111" s="1"/>
  <c r="I31" i="107"/>
  <c r="J31" i="107"/>
  <c r="J31" i="111" s="1"/>
  <c r="K31" i="107"/>
  <c r="L31" i="107"/>
  <c r="L31" i="111" s="1"/>
  <c r="M31" i="107"/>
  <c r="N31" i="107"/>
  <c r="N31" i="111" s="1"/>
  <c r="C32" i="107"/>
  <c r="D32" i="107"/>
  <c r="D32" i="111" s="1"/>
  <c r="E32" i="107"/>
  <c r="F32" i="107"/>
  <c r="F32" i="111" s="1"/>
  <c r="G32" i="107"/>
  <c r="H32" i="107"/>
  <c r="H32" i="111" s="1"/>
  <c r="I32" i="107"/>
  <c r="J32" i="107"/>
  <c r="J32" i="111" s="1"/>
  <c r="K32" i="107"/>
  <c r="L32" i="107"/>
  <c r="L32" i="111" s="1"/>
  <c r="M32" i="107"/>
  <c r="N32" i="107"/>
  <c r="N32" i="111" s="1"/>
  <c r="C33" i="107"/>
  <c r="D33" i="107"/>
  <c r="D33" i="111" s="1"/>
  <c r="E33" i="107"/>
  <c r="F33" i="107"/>
  <c r="F33" i="111" s="1"/>
  <c r="G33" i="107"/>
  <c r="H33" i="107"/>
  <c r="H33" i="111" s="1"/>
  <c r="I33" i="107"/>
  <c r="J33" i="107"/>
  <c r="J33" i="111" s="1"/>
  <c r="K33" i="107"/>
  <c r="L33" i="107"/>
  <c r="L33" i="111" s="1"/>
  <c r="M33" i="107"/>
  <c r="N33" i="107"/>
  <c r="N33" i="111" s="1"/>
  <c r="C34" i="107"/>
  <c r="D34" i="107"/>
  <c r="D34" i="111" s="1"/>
  <c r="E34" i="107"/>
  <c r="F34" i="107"/>
  <c r="F34" i="111" s="1"/>
  <c r="G34" i="107"/>
  <c r="H34" i="107"/>
  <c r="H34" i="111" s="1"/>
  <c r="I34" i="107"/>
  <c r="J34" i="107"/>
  <c r="J34" i="111" s="1"/>
  <c r="K34" i="107"/>
  <c r="L34" i="107"/>
  <c r="L34" i="111" s="1"/>
  <c r="M34" i="107"/>
  <c r="N34" i="107"/>
  <c r="N34" i="111" s="1"/>
  <c r="C35" i="107"/>
  <c r="D35" i="107"/>
  <c r="D35" i="111" s="1"/>
  <c r="E35" i="107"/>
  <c r="F35" i="107"/>
  <c r="F35" i="111" s="1"/>
  <c r="G35" i="107"/>
  <c r="H35" i="107"/>
  <c r="H35" i="111" s="1"/>
  <c r="I35" i="107"/>
  <c r="J35" i="107"/>
  <c r="J35" i="111" s="1"/>
  <c r="K35" i="107"/>
  <c r="L35" i="107"/>
  <c r="L35" i="111" s="1"/>
  <c r="M35" i="107"/>
  <c r="N35" i="107"/>
  <c r="N35" i="111" s="1"/>
  <c r="C36" i="107"/>
  <c r="D36" i="107"/>
  <c r="D36" i="111" s="1"/>
  <c r="E36" i="107"/>
  <c r="F36" i="107"/>
  <c r="F36" i="111" s="1"/>
  <c r="G36" i="107"/>
  <c r="H36" i="107"/>
  <c r="H36" i="111" s="1"/>
  <c r="I36" i="107"/>
  <c r="J36" i="107"/>
  <c r="J36" i="111" s="1"/>
  <c r="K36" i="107"/>
  <c r="L36" i="107"/>
  <c r="L36" i="111" s="1"/>
  <c r="M36" i="107"/>
  <c r="N36" i="107"/>
  <c r="N36" i="111" s="1"/>
  <c r="C37" i="107"/>
  <c r="D37" i="107"/>
  <c r="D37" i="111" s="1"/>
  <c r="E37" i="107"/>
  <c r="F37" i="107"/>
  <c r="F37" i="111" s="1"/>
  <c r="G37" i="107"/>
  <c r="H37" i="107"/>
  <c r="H37" i="111" s="1"/>
  <c r="I37" i="107"/>
  <c r="J37" i="107"/>
  <c r="J37" i="111" s="1"/>
  <c r="K37" i="107"/>
  <c r="L37" i="107"/>
  <c r="L37" i="111" s="1"/>
  <c r="M37" i="107"/>
  <c r="N37" i="107"/>
  <c r="N37" i="111" s="1"/>
  <c r="C38" i="107"/>
  <c r="D38" i="107"/>
  <c r="D38" i="111" s="1"/>
  <c r="E38" i="107"/>
  <c r="F38" i="107"/>
  <c r="F38" i="111" s="1"/>
  <c r="G38" i="107"/>
  <c r="H38" i="107"/>
  <c r="H38" i="111" s="1"/>
  <c r="I38" i="107"/>
  <c r="J38" i="107"/>
  <c r="J38" i="111" s="1"/>
  <c r="K38" i="107"/>
  <c r="L38" i="107"/>
  <c r="L38" i="111" s="1"/>
  <c r="M38" i="107"/>
  <c r="N38" i="107"/>
  <c r="N38" i="111" s="1"/>
  <c r="C39" i="107"/>
  <c r="D39" i="107"/>
  <c r="D39" i="111" s="1"/>
  <c r="E39" i="107"/>
  <c r="F39" i="107"/>
  <c r="F39" i="111" s="1"/>
  <c r="G39" i="107"/>
  <c r="H39" i="107"/>
  <c r="H39" i="111" s="1"/>
  <c r="I39" i="107"/>
  <c r="J39" i="107"/>
  <c r="J39" i="111" s="1"/>
  <c r="K39" i="107"/>
  <c r="L39" i="107"/>
  <c r="L39" i="111" s="1"/>
  <c r="M39" i="107"/>
  <c r="N39" i="107"/>
  <c r="N39" i="111" s="1"/>
  <c r="C40" i="107"/>
  <c r="D40" i="107"/>
  <c r="D40" i="111" s="1"/>
  <c r="E40" i="107"/>
  <c r="F40" i="107"/>
  <c r="F40" i="111" s="1"/>
  <c r="G40" i="107"/>
  <c r="H40" i="107"/>
  <c r="H40" i="111" s="1"/>
  <c r="I40" i="107"/>
  <c r="J40" i="107"/>
  <c r="J40" i="111" s="1"/>
  <c r="K40" i="107"/>
  <c r="L40" i="107"/>
  <c r="L40" i="111" s="1"/>
  <c r="M40" i="107"/>
  <c r="N40" i="107"/>
  <c r="N40" i="111" s="1"/>
  <c r="C41" i="107"/>
  <c r="D41" i="107"/>
  <c r="D41" i="111" s="1"/>
  <c r="E41" i="107"/>
  <c r="F41" i="107"/>
  <c r="F41" i="111" s="1"/>
  <c r="G41" i="107"/>
  <c r="H41" i="107"/>
  <c r="H41" i="111" s="1"/>
  <c r="I41" i="107"/>
  <c r="J41" i="107"/>
  <c r="J41" i="111" s="1"/>
  <c r="K41" i="107"/>
  <c r="L41" i="107"/>
  <c r="L41" i="111" s="1"/>
  <c r="M41" i="107"/>
  <c r="N41" i="107"/>
  <c r="N41" i="111" s="1"/>
  <c r="C42" i="107"/>
  <c r="D42" i="107"/>
  <c r="D42" i="111" s="1"/>
  <c r="E42" i="107"/>
  <c r="F42" i="107"/>
  <c r="F42" i="111" s="1"/>
  <c r="G42" i="107"/>
  <c r="H42" i="107"/>
  <c r="H42" i="111" s="1"/>
  <c r="I42" i="107"/>
  <c r="J42" i="107"/>
  <c r="J42" i="111" s="1"/>
  <c r="K42" i="107"/>
  <c r="L42" i="107"/>
  <c r="L42" i="111" s="1"/>
  <c r="M42" i="107"/>
  <c r="N42" i="107"/>
  <c r="N42" i="111" s="1"/>
  <c r="C43" i="107"/>
  <c r="D43" i="107"/>
  <c r="D43" i="111" s="1"/>
  <c r="E43" i="107"/>
  <c r="F43" i="107"/>
  <c r="F43" i="111" s="1"/>
  <c r="G43" i="107"/>
  <c r="H43" i="107"/>
  <c r="H43" i="111" s="1"/>
  <c r="I43" i="107"/>
  <c r="J43" i="107"/>
  <c r="J43" i="111" s="1"/>
  <c r="K43" i="107"/>
  <c r="L43" i="107"/>
  <c r="L43" i="111" s="1"/>
  <c r="M43" i="107"/>
  <c r="N43" i="107"/>
  <c r="N43" i="111" s="1"/>
  <c r="C44" i="107"/>
  <c r="D44" i="107"/>
  <c r="D44" i="111" s="1"/>
  <c r="E44" i="107"/>
  <c r="F44" i="107"/>
  <c r="F44" i="111" s="1"/>
  <c r="G44" i="107"/>
  <c r="H44" i="107"/>
  <c r="H44" i="111" s="1"/>
  <c r="I44" i="107"/>
  <c r="J44" i="107"/>
  <c r="J44" i="111" s="1"/>
  <c r="K44" i="107"/>
  <c r="L44" i="107"/>
  <c r="L44" i="111" s="1"/>
  <c r="M44" i="107"/>
  <c r="N44" i="107"/>
  <c r="N44" i="111" s="1"/>
  <c r="C45" i="107"/>
  <c r="D45" i="107"/>
  <c r="D45" i="111" s="1"/>
  <c r="E45" i="107"/>
  <c r="F45" i="107"/>
  <c r="F45" i="111" s="1"/>
  <c r="G45" i="107"/>
  <c r="H45" i="107"/>
  <c r="H45" i="111" s="1"/>
  <c r="I45" i="107"/>
  <c r="J45" i="107"/>
  <c r="J45" i="111" s="1"/>
  <c r="K45" i="107"/>
  <c r="L45" i="107"/>
  <c r="L45" i="111" s="1"/>
  <c r="M45" i="107"/>
  <c r="N45" i="107"/>
  <c r="N45" i="111" s="1"/>
  <c r="C46" i="107"/>
  <c r="D46" i="107"/>
  <c r="D46" i="111" s="1"/>
  <c r="E46" i="107"/>
  <c r="F46" i="107"/>
  <c r="F46" i="111" s="1"/>
  <c r="G46" i="107"/>
  <c r="H46" i="107"/>
  <c r="H46" i="111" s="1"/>
  <c r="I46" i="107"/>
  <c r="J46" i="107"/>
  <c r="J46" i="111" s="1"/>
  <c r="K46" i="107"/>
  <c r="L46" i="107"/>
  <c r="L46" i="111" s="1"/>
  <c r="M46" i="107"/>
  <c r="N46" i="107"/>
  <c r="N46" i="111" s="1"/>
  <c r="C47" i="107"/>
  <c r="D47" i="107"/>
  <c r="D47" i="111" s="1"/>
  <c r="E47" i="107"/>
  <c r="F47" i="107"/>
  <c r="F47" i="111" s="1"/>
  <c r="G47" i="107"/>
  <c r="H47" i="107"/>
  <c r="H47" i="111" s="1"/>
  <c r="I47" i="107"/>
  <c r="J47" i="107"/>
  <c r="J47" i="111" s="1"/>
  <c r="K47" i="107"/>
  <c r="L47" i="107"/>
  <c r="L47" i="111" s="1"/>
  <c r="M47" i="107"/>
  <c r="N47" i="107"/>
  <c r="N47" i="111" s="1"/>
  <c r="C48" i="107"/>
  <c r="D48" i="107"/>
  <c r="D48" i="111" s="1"/>
  <c r="E48" i="107"/>
  <c r="F48" i="107"/>
  <c r="F48" i="111" s="1"/>
  <c r="G48" i="107"/>
  <c r="H48" i="107"/>
  <c r="H48" i="111" s="1"/>
  <c r="I48" i="107"/>
  <c r="J48" i="107"/>
  <c r="J48" i="111" s="1"/>
  <c r="K48" i="107"/>
  <c r="L48" i="107"/>
  <c r="L48" i="111" s="1"/>
  <c r="M48" i="107"/>
  <c r="N48" i="107"/>
  <c r="N48" i="111" s="1"/>
  <c r="C49" i="107"/>
  <c r="D49" i="107"/>
  <c r="D49" i="111" s="1"/>
  <c r="E49" i="107"/>
  <c r="F49" i="107"/>
  <c r="F49" i="111" s="1"/>
  <c r="G49" i="107"/>
  <c r="H49" i="107"/>
  <c r="H49" i="111" s="1"/>
  <c r="I49" i="107"/>
  <c r="J49" i="107"/>
  <c r="J49" i="111" s="1"/>
  <c r="K49" i="107"/>
  <c r="L49" i="107"/>
  <c r="L49" i="111" s="1"/>
  <c r="M49" i="107"/>
  <c r="N49" i="107"/>
  <c r="N49" i="111" s="1"/>
  <c r="C50" i="107"/>
  <c r="D50" i="107"/>
  <c r="D50" i="111" s="1"/>
  <c r="E50" i="107"/>
  <c r="F50" i="107"/>
  <c r="F50" i="111" s="1"/>
  <c r="G50" i="107"/>
  <c r="H50" i="107"/>
  <c r="H50" i="111" s="1"/>
  <c r="I50" i="107"/>
  <c r="J50" i="107"/>
  <c r="J50" i="111" s="1"/>
  <c r="K50" i="107"/>
  <c r="L50" i="107"/>
  <c r="L50" i="111" s="1"/>
  <c r="M50" i="107"/>
  <c r="N50" i="107"/>
  <c r="N50" i="111" s="1"/>
  <c r="C51" i="107"/>
  <c r="D51" i="107"/>
  <c r="D51" i="111" s="1"/>
  <c r="E51" i="107"/>
  <c r="F51" i="107"/>
  <c r="F51" i="111" s="1"/>
  <c r="G51" i="107"/>
  <c r="H51" i="107"/>
  <c r="H51" i="111" s="1"/>
  <c r="I51" i="107"/>
  <c r="J51" i="107"/>
  <c r="J51" i="111" s="1"/>
  <c r="K51" i="107"/>
  <c r="L51" i="107"/>
  <c r="L51" i="111" s="1"/>
  <c r="M51" i="107"/>
  <c r="N51" i="107"/>
  <c r="N51" i="111" s="1"/>
  <c r="C52" i="107"/>
  <c r="D52" i="107"/>
  <c r="D52" i="111" s="1"/>
  <c r="E52" i="107"/>
  <c r="F52" i="107"/>
  <c r="F52" i="111" s="1"/>
  <c r="G52" i="107"/>
  <c r="H52" i="107"/>
  <c r="H52" i="111" s="1"/>
  <c r="I52" i="107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F22" i="111" l="1"/>
  <c r="G10" i="111"/>
  <c r="G106" i="107"/>
  <c r="N10" i="111"/>
  <c r="N106" i="111" s="1"/>
  <c r="N106" i="107"/>
  <c r="F10" i="111"/>
  <c r="F106" i="111" s="1"/>
  <c r="F106" i="107"/>
  <c r="N106" i="108"/>
  <c r="F106" i="108"/>
  <c r="AE24" i="111"/>
  <c r="C10" i="111"/>
  <c r="C106" i="107"/>
  <c r="L106" i="107"/>
  <c r="D106" i="107"/>
  <c r="L106" i="108"/>
  <c r="D106" i="108"/>
  <c r="AE23" i="111"/>
  <c r="AE31" i="111"/>
  <c r="AE29" i="111"/>
  <c r="AF30" i="111"/>
  <c r="K106" i="108"/>
  <c r="AE28" i="111"/>
  <c r="AF31" i="111"/>
  <c r="K10" i="111"/>
  <c r="K106" i="107"/>
  <c r="J10" i="111"/>
  <c r="J106" i="111" s="1"/>
  <c r="J106" i="107"/>
  <c r="J106" i="108"/>
  <c r="AF28" i="111"/>
  <c r="AF27" i="111"/>
  <c r="AE32" i="111"/>
  <c r="AE25" i="111"/>
  <c r="AE26" i="111"/>
  <c r="E10" i="111"/>
  <c r="E106" i="107"/>
  <c r="I106" i="108"/>
  <c r="AF32" i="111"/>
  <c r="AF25" i="111"/>
  <c r="AF26" i="111"/>
  <c r="M10" i="111"/>
  <c r="M106" i="107"/>
  <c r="I10" i="111"/>
  <c r="I106" i="107"/>
  <c r="H106" i="107"/>
  <c r="H106" i="108"/>
  <c r="AE27" i="111"/>
  <c r="AE22" i="111"/>
  <c r="I52" i="111"/>
  <c r="G52" i="111"/>
  <c r="E52" i="111"/>
  <c r="C52" i="111"/>
  <c r="M51" i="111"/>
  <c r="K51" i="111"/>
  <c r="I51" i="111"/>
  <c r="G51" i="111"/>
  <c r="E51" i="111"/>
  <c r="C51" i="111"/>
  <c r="M50" i="111"/>
  <c r="K50" i="111"/>
  <c r="I50" i="111"/>
  <c r="G50" i="111"/>
  <c r="E50" i="111"/>
  <c r="C50" i="111"/>
  <c r="M49" i="111"/>
  <c r="K49" i="111"/>
  <c r="I49" i="111"/>
  <c r="G49" i="111"/>
  <c r="E49" i="111"/>
  <c r="C49" i="111"/>
  <c r="M48" i="111"/>
  <c r="K48" i="111"/>
  <c r="I48" i="111"/>
  <c r="G48" i="111"/>
  <c r="E48" i="111"/>
  <c r="C48" i="111"/>
  <c r="M47" i="111"/>
  <c r="K47" i="111"/>
  <c r="I47" i="111"/>
  <c r="G47" i="111"/>
  <c r="E47" i="111"/>
  <c r="C47" i="111"/>
  <c r="M46" i="111"/>
  <c r="K46" i="111"/>
  <c r="I46" i="111"/>
  <c r="G46" i="111"/>
  <c r="E46" i="111"/>
  <c r="C46" i="111"/>
  <c r="M45" i="111"/>
  <c r="K45" i="111"/>
  <c r="I45" i="111"/>
  <c r="G45" i="111"/>
  <c r="E45" i="111"/>
  <c r="C45" i="111"/>
  <c r="M44" i="111"/>
  <c r="K44" i="111"/>
  <c r="I44" i="111"/>
  <c r="G44" i="111"/>
  <c r="E44" i="111"/>
  <c r="C44" i="111"/>
  <c r="M43" i="111"/>
  <c r="K43" i="111"/>
  <c r="I43" i="111"/>
  <c r="G43" i="111"/>
  <c r="E43" i="111"/>
  <c r="C43" i="111"/>
  <c r="M42" i="111"/>
  <c r="K42" i="111"/>
  <c r="I42" i="111"/>
  <c r="G42" i="111"/>
  <c r="E42" i="111"/>
  <c r="C42" i="111"/>
  <c r="M41" i="111"/>
  <c r="K41" i="111"/>
  <c r="I41" i="111"/>
  <c r="G41" i="111"/>
  <c r="E41" i="111"/>
  <c r="C41" i="111"/>
  <c r="M40" i="111"/>
  <c r="K40" i="111"/>
  <c r="I40" i="111"/>
  <c r="G40" i="111"/>
  <c r="E40" i="111"/>
  <c r="C40" i="111"/>
  <c r="M39" i="111"/>
  <c r="K39" i="111"/>
  <c r="I39" i="111"/>
  <c r="G39" i="111"/>
  <c r="E39" i="111"/>
  <c r="C39" i="111"/>
  <c r="M38" i="111"/>
  <c r="K38" i="111"/>
  <c r="I38" i="111"/>
  <c r="G38" i="111"/>
  <c r="E38" i="111"/>
  <c r="C38" i="111"/>
  <c r="M37" i="111"/>
  <c r="K37" i="111"/>
  <c r="I37" i="111"/>
  <c r="G37" i="111"/>
  <c r="E37" i="111"/>
  <c r="C37" i="111"/>
  <c r="M36" i="111"/>
  <c r="K36" i="111"/>
  <c r="I36" i="111"/>
  <c r="G36" i="111"/>
  <c r="E36" i="111"/>
  <c r="C36" i="111"/>
  <c r="M35" i="111"/>
  <c r="K35" i="111"/>
  <c r="I35" i="111"/>
  <c r="G35" i="111"/>
  <c r="E35" i="111"/>
  <c r="C35" i="111"/>
  <c r="M34" i="111"/>
  <c r="K34" i="111"/>
  <c r="I34" i="111"/>
  <c r="G34" i="111"/>
  <c r="E34" i="111"/>
  <c r="C34" i="111"/>
  <c r="M33" i="111"/>
  <c r="K33" i="111"/>
  <c r="I33" i="111"/>
  <c r="G33" i="111"/>
  <c r="E33" i="111"/>
  <c r="C33" i="111"/>
  <c r="M32" i="111"/>
  <c r="K32" i="111"/>
  <c r="I32" i="111"/>
  <c r="G32" i="111"/>
  <c r="E32" i="111"/>
  <c r="C32" i="111"/>
  <c r="M31" i="111"/>
  <c r="K31" i="111"/>
  <c r="I31" i="111"/>
  <c r="G31" i="111"/>
  <c r="E31" i="111"/>
  <c r="C31" i="111"/>
  <c r="M30" i="111"/>
  <c r="K30" i="111"/>
  <c r="I30" i="111"/>
  <c r="G30" i="111"/>
  <c r="E30" i="111"/>
  <c r="C30" i="111"/>
  <c r="M29" i="111"/>
  <c r="K29" i="111"/>
  <c r="I29" i="111"/>
  <c r="G29" i="111"/>
  <c r="E29" i="111"/>
  <c r="C29" i="111"/>
  <c r="M28" i="111"/>
  <c r="K28" i="111"/>
  <c r="I28" i="111"/>
  <c r="G28" i="111"/>
  <c r="E28" i="111"/>
  <c r="C28" i="111"/>
  <c r="M27" i="111"/>
  <c r="K27" i="111"/>
  <c r="I27" i="111"/>
  <c r="G27" i="111"/>
  <c r="E27" i="111"/>
  <c r="C27" i="111"/>
  <c r="M26" i="111"/>
  <c r="K26" i="111"/>
  <c r="I26" i="111"/>
  <c r="G26" i="111"/>
  <c r="E26" i="111"/>
  <c r="C26" i="111"/>
  <c r="M25" i="111"/>
  <c r="K25" i="111"/>
  <c r="I25" i="111"/>
  <c r="G25" i="111"/>
  <c r="E25" i="111"/>
  <c r="C25" i="111"/>
  <c r="M24" i="111"/>
  <c r="K24" i="111"/>
  <c r="I24" i="111"/>
  <c r="G24" i="111"/>
  <c r="E24" i="111"/>
  <c r="C24" i="111"/>
  <c r="M23" i="111"/>
  <c r="K23" i="111"/>
  <c r="I23" i="111"/>
  <c r="G23" i="111"/>
  <c r="E23" i="111"/>
  <c r="C23" i="111"/>
  <c r="M22" i="111"/>
  <c r="K22" i="111"/>
  <c r="I22" i="111"/>
  <c r="G22" i="111"/>
  <c r="E22" i="111"/>
  <c r="C22" i="111"/>
  <c r="M21" i="111"/>
  <c r="K21" i="111"/>
  <c r="I21" i="111"/>
  <c r="G21" i="111"/>
  <c r="E21" i="111"/>
  <c r="C21" i="111"/>
  <c r="M20" i="111"/>
  <c r="K20" i="111"/>
  <c r="I20" i="111"/>
  <c r="G20" i="111"/>
  <c r="E20" i="111"/>
  <c r="C20" i="111"/>
  <c r="M19" i="111"/>
  <c r="K19" i="111"/>
  <c r="I19" i="111"/>
  <c r="G19" i="111"/>
  <c r="E19" i="111"/>
  <c r="C19" i="111"/>
  <c r="M18" i="111"/>
  <c r="K18" i="111"/>
  <c r="I18" i="111"/>
  <c r="G18" i="111"/>
  <c r="E18" i="111"/>
  <c r="C18" i="111"/>
  <c r="M17" i="111"/>
  <c r="K17" i="111"/>
  <c r="I17" i="111"/>
  <c r="G17" i="111"/>
  <c r="E17" i="111"/>
  <c r="C17" i="111"/>
  <c r="M16" i="111"/>
  <c r="K16" i="111"/>
  <c r="I16" i="111"/>
  <c r="G16" i="111"/>
  <c r="E16" i="111"/>
  <c r="C16" i="111"/>
  <c r="M15" i="111"/>
  <c r="K15" i="111"/>
  <c r="I15" i="111"/>
  <c r="G15" i="111"/>
  <c r="E15" i="111"/>
  <c r="C15" i="111"/>
  <c r="M14" i="111"/>
  <c r="K14" i="111"/>
  <c r="I14" i="111"/>
  <c r="G14" i="111"/>
  <c r="E14" i="111"/>
  <c r="C14" i="111"/>
  <c r="M13" i="111"/>
  <c r="K13" i="111"/>
  <c r="I13" i="111"/>
  <c r="G13" i="111"/>
  <c r="E13" i="111"/>
  <c r="C13" i="111"/>
  <c r="M12" i="111"/>
  <c r="K12" i="111"/>
  <c r="I12" i="111"/>
  <c r="G12" i="111"/>
  <c r="E12" i="111"/>
  <c r="C12" i="111"/>
  <c r="M11" i="111"/>
  <c r="M106" i="111" s="1"/>
  <c r="K11" i="111"/>
  <c r="K106" i="111" s="1"/>
  <c r="I11" i="111"/>
  <c r="G11" i="111"/>
  <c r="E11" i="111"/>
  <c r="C11" i="111"/>
  <c r="L10" i="111"/>
  <c r="L106" i="111" s="1"/>
  <c r="H10" i="111"/>
  <c r="H106" i="111" s="1"/>
  <c r="D10" i="111"/>
  <c r="D106" i="111" s="1"/>
  <c r="O10" i="107"/>
  <c r="P10" i="107"/>
  <c r="O11" i="107"/>
  <c r="P11" i="107"/>
  <c r="O12" i="107"/>
  <c r="P12" i="107"/>
  <c r="O13" i="107"/>
  <c r="P13" i="107"/>
  <c r="O14" i="107"/>
  <c r="P14" i="107"/>
  <c r="O15" i="107"/>
  <c r="P15" i="107"/>
  <c r="O16" i="107"/>
  <c r="P16" i="107"/>
  <c r="O17" i="107"/>
  <c r="P17" i="107"/>
  <c r="O18" i="107"/>
  <c r="P18" i="107"/>
  <c r="O19" i="107"/>
  <c r="P19" i="107"/>
  <c r="O20" i="107"/>
  <c r="P20" i="107"/>
  <c r="O21" i="107"/>
  <c r="P21" i="107"/>
  <c r="O22" i="107"/>
  <c r="P22" i="107"/>
  <c r="O23" i="107"/>
  <c r="P23" i="107"/>
  <c r="O24" i="107"/>
  <c r="P24" i="107"/>
  <c r="O25" i="107"/>
  <c r="P25" i="107"/>
  <c r="O26" i="107"/>
  <c r="P26" i="107"/>
  <c r="O27" i="107"/>
  <c r="P27" i="107"/>
  <c r="O28" i="107"/>
  <c r="P28" i="107"/>
  <c r="O29" i="107"/>
  <c r="P29" i="107"/>
  <c r="O30" i="107"/>
  <c r="P30" i="107"/>
  <c r="O31" i="107"/>
  <c r="P31" i="107"/>
  <c r="O32" i="107"/>
  <c r="P32" i="107"/>
  <c r="O33" i="107"/>
  <c r="P33" i="107"/>
  <c r="O34" i="107"/>
  <c r="P34" i="107"/>
  <c r="O35" i="107"/>
  <c r="P35" i="107"/>
  <c r="O36" i="107"/>
  <c r="P36" i="107"/>
  <c r="O37" i="107"/>
  <c r="P37" i="107"/>
  <c r="O38" i="107"/>
  <c r="P38" i="107"/>
  <c r="O39" i="107"/>
  <c r="P39" i="107"/>
  <c r="O40" i="107"/>
  <c r="P40" i="107"/>
  <c r="O41" i="107"/>
  <c r="P41" i="107"/>
  <c r="O42" i="107"/>
  <c r="P42" i="107"/>
  <c r="O43" i="107"/>
  <c r="P43" i="107"/>
  <c r="O44" i="107"/>
  <c r="P44" i="107"/>
  <c r="O45" i="107"/>
  <c r="P45" i="107"/>
  <c r="O46" i="107"/>
  <c r="P46" i="107"/>
  <c r="O47" i="107"/>
  <c r="P47" i="107"/>
  <c r="O48" i="107"/>
  <c r="P48" i="107"/>
  <c r="O49" i="107"/>
  <c r="P49" i="107"/>
  <c r="O50" i="107"/>
  <c r="P50" i="107"/>
  <c r="O51" i="107"/>
  <c r="P51" i="107"/>
  <c r="O52" i="107"/>
  <c r="P52" i="107"/>
  <c r="O53" i="107"/>
  <c r="P53" i="107"/>
  <c r="O54" i="107"/>
  <c r="P54" i="107"/>
  <c r="O55" i="107"/>
  <c r="P55" i="107"/>
  <c r="O56" i="107"/>
  <c r="P56" i="107"/>
  <c r="O57" i="107"/>
  <c r="P57" i="107"/>
  <c r="P106" i="107" l="1"/>
  <c r="I106" i="111"/>
  <c r="O106" i="107"/>
  <c r="C106" i="111"/>
  <c r="E106" i="111"/>
  <c r="G106" i="111"/>
  <c r="N58" i="114"/>
  <c r="M58" i="114"/>
  <c r="L58" i="114"/>
  <c r="K58" i="114"/>
  <c r="J58" i="114"/>
  <c r="I58" i="114"/>
  <c r="H58" i="114"/>
  <c r="G58" i="114"/>
  <c r="F58" i="114"/>
  <c r="E58" i="114"/>
  <c r="D58" i="114"/>
  <c r="C58" i="114"/>
  <c r="P57" i="114"/>
  <c r="O57" i="114"/>
  <c r="P56" i="114"/>
  <c r="O56" i="114"/>
  <c r="P55" i="114"/>
  <c r="O55" i="114"/>
  <c r="P54" i="114"/>
  <c r="O54" i="114"/>
  <c r="AE21" i="114" s="1"/>
  <c r="P53" i="114"/>
  <c r="O53" i="114"/>
  <c r="P52" i="114"/>
  <c r="O52" i="114"/>
  <c r="P51" i="114"/>
  <c r="O51" i="114"/>
  <c r="P50" i="114"/>
  <c r="O50" i="114"/>
  <c r="AE20" i="114" s="1"/>
  <c r="P49" i="114"/>
  <c r="O49" i="114"/>
  <c r="P48" i="114"/>
  <c r="O48" i="114"/>
  <c r="P47" i="114"/>
  <c r="O47" i="114"/>
  <c r="P46" i="114"/>
  <c r="O46" i="114"/>
  <c r="AE19" i="114" s="1"/>
  <c r="AE27" i="114" s="1"/>
  <c r="P45" i="114"/>
  <c r="O45" i="114"/>
  <c r="P44" i="114"/>
  <c r="O44" i="114"/>
  <c r="P43" i="114"/>
  <c r="O43" i="114"/>
  <c r="P42" i="114"/>
  <c r="O42" i="114"/>
  <c r="AE18" i="114" s="1"/>
  <c r="P41" i="114"/>
  <c r="O41" i="114"/>
  <c r="P40" i="114"/>
  <c r="O40" i="114"/>
  <c r="P39" i="114"/>
  <c r="O39" i="114"/>
  <c r="P38" i="114"/>
  <c r="O38" i="114"/>
  <c r="AE17" i="114" s="1"/>
  <c r="P37" i="114"/>
  <c r="O37" i="114"/>
  <c r="P36" i="114"/>
  <c r="O36" i="114"/>
  <c r="P35" i="114"/>
  <c r="O35" i="114"/>
  <c r="P34" i="114"/>
  <c r="O34" i="114"/>
  <c r="AE16" i="114" s="1"/>
  <c r="P33" i="114"/>
  <c r="O33" i="114"/>
  <c r="P32" i="114"/>
  <c r="O32" i="114"/>
  <c r="P31" i="114"/>
  <c r="O31" i="114"/>
  <c r="P30" i="114"/>
  <c r="O30" i="114"/>
  <c r="AE15" i="114" s="1"/>
  <c r="P29" i="114"/>
  <c r="O29" i="114"/>
  <c r="P28" i="114"/>
  <c r="O28" i="114"/>
  <c r="P27" i="114"/>
  <c r="O27" i="114"/>
  <c r="P26" i="114"/>
  <c r="O26" i="114"/>
  <c r="AE14" i="114" s="1"/>
  <c r="P25" i="114"/>
  <c r="O25" i="114"/>
  <c r="P24" i="114"/>
  <c r="O24" i="114"/>
  <c r="P23" i="114"/>
  <c r="O23" i="114"/>
  <c r="P22" i="114"/>
  <c r="O22" i="114"/>
  <c r="AE13" i="114" s="1"/>
  <c r="AF21" i="114"/>
  <c r="AD21" i="114"/>
  <c r="AC21" i="114"/>
  <c r="AB21" i="114"/>
  <c r="AA21" i="114"/>
  <c r="Z21" i="114"/>
  <c r="Y21" i="114"/>
  <c r="X21" i="114"/>
  <c r="W21" i="114"/>
  <c r="V21" i="114"/>
  <c r="U21" i="114"/>
  <c r="T21" i="114"/>
  <c r="S21" i="114"/>
  <c r="P21" i="114"/>
  <c r="O21" i="114"/>
  <c r="AF20" i="114"/>
  <c r="AD20" i="114"/>
  <c r="AC20" i="114"/>
  <c r="AB20" i="114"/>
  <c r="AA20" i="114"/>
  <c r="Z20" i="114"/>
  <c r="Y20" i="114"/>
  <c r="X20" i="114"/>
  <c r="W20" i="114"/>
  <c r="V20" i="114"/>
  <c r="U20" i="114"/>
  <c r="T20" i="114"/>
  <c r="S20" i="114"/>
  <c r="P20" i="114"/>
  <c r="O20" i="114"/>
  <c r="AF19" i="114"/>
  <c r="AD19" i="114"/>
  <c r="AD27" i="114" s="1"/>
  <c r="AC19" i="114"/>
  <c r="AC27" i="114" s="1"/>
  <c r="AB19" i="114"/>
  <c r="AA19" i="114"/>
  <c r="Z19" i="114"/>
  <c r="Z27" i="114" s="1"/>
  <c r="Y19" i="114"/>
  <c r="X19" i="114"/>
  <c r="W19" i="114"/>
  <c r="V19" i="114"/>
  <c r="V27" i="114" s="1"/>
  <c r="U19" i="114"/>
  <c r="U27" i="114" s="1"/>
  <c r="T19" i="114"/>
  <c r="T24" i="114" s="1"/>
  <c r="S19" i="114"/>
  <c r="P19" i="114"/>
  <c r="O19" i="114"/>
  <c r="AF18" i="114"/>
  <c r="AD18" i="114"/>
  <c r="AC18" i="114"/>
  <c r="AB18" i="114"/>
  <c r="AA18" i="114"/>
  <c r="Z18" i="114"/>
  <c r="Y18" i="114"/>
  <c r="X18" i="114"/>
  <c r="W18" i="114"/>
  <c r="V18" i="114"/>
  <c r="U18" i="114"/>
  <c r="T18" i="114"/>
  <c r="S18" i="114"/>
  <c r="P18" i="114"/>
  <c r="O18" i="114"/>
  <c r="AE12" i="114" s="1"/>
  <c r="AF17" i="114"/>
  <c r="AD17" i="114"/>
  <c r="AC17" i="114"/>
  <c r="AB17" i="114"/>
  <c r="AA17" i="114"/>
  <c r="Z17" i="114"/>
  <c r="Y17" i="114"/>
  <c r="X17" i="114"/>
  <c r="W17" i="114"/>
  <c r="V17" i="114"/>
  <c r="U17" i="114"/>
  <c r="T17" i="114"/>
  <c r="S17" i="114"/>
  <c r="P17" i="114"/>
  <c r="O17" i="114"/>
  <c r="AF16" i="114"/>
  <c r="AD16" i="114"/>
  <c r="AC16" i="114"/>
  <c r="AB16" i="114"/>
  <c r="AA16" i="114"/>
  <c r="Z16" i="114"/>
  <c r="Y16" i="114"/>
  <c r="X16" i="114"/>
  <c r="W16" i="114"/>
  <c r="V16" i="114"/>
  <c r="U16" i="114"/>
  <c r="T16" i="114"/>
  <c r="S16" i="114"/>
  <c r="P16" i="114"/>
  <c r="O16" i="114"/>
  <c r="AF15" i="114"/>
  <c r="AD15" i="114"/>
  <c r="AC15" i="114"/>
  <c r="AB15" i="114"/>
  <c r="AA15" i="114"/>
  <c r="Z15" i="114"/>
  <c r="Y15" i="114"/>
  <c r="X15" i="114"/>
  <c r="W15" i="114"/>
  <c r="V15" i="114"/>
  <c r="U15" i="114"/>
  <c r="T15" i="114"/>
  <c r="S15" i="114"/>
  <c r="P15" i="114"/>
  <c r="AF11" i="114" s="1"/>
  <c r="O15" i="114"/>
  <c r="AF14" i="114"/>
  <c r="AD14" i="114"/>
  <c r="AC14" i="114"/>
  <c r="AB14" i="114"/>
  <c r="AA14" i="114"/>
  <c r="Z14" i="114"/>
  <c r="Y14" i="114"/>
  <c r="X14" i="114"/>
  <c r="W14" i="114"/>
  <c r="V14" i="114"/>
  <c r="U14" i="114"/>
  <c r="T14" i="114"/>
  <c r="S14" i="114"/>
  <c r="P14" i="114"/>
  <c r="O14" i="114"/>
  <c r="AE11" i="114" s="1"/>
  <c r="AF13" i="114"/>
  <c r="AD13" i="114"/>
  <c r="AD23" i="114" s="1"/>
  <c r="AC13" i="114"/>
  <c r="AB13" i="114"/>
  <c r="AB26" i="114" s="1"/>
  <c r="AA13" i="114"/>
  <c r="Z13" i="114"/>
  <c r="Z23" i="114" s="1"/>
  <c r="Y13" i="114"/>
  <c r="X13" i="114"/>
  <c r="X26" i="114" s="1"/>
  <c r="W13" i="114"/>
  <c r="V13" i="114"/>
  <c r="V23" i="114" s="1"/>
  <c r="U13" i="114"/>
  <c r="U26" i="114" s="1"/>
  <c r="T13" i="114"/>
  <c r="T26" i="114" s="1"/>
  <c r="S13" i="114"/>
  <c r="P13" i="114"/>
  <c r="O13" i="114"/>
  <c r="AF12" i="114"/>
  <c r="AD12" i="114"/>
  <c r="AC12" i="114"/>
  <c r="AB12" i="114"/>
  <c r="AA12" i="114"/>
  <c r="Z12" i="114"/>
  <c r="Y12" i="114"/>
  <c r="X12" i="114"/>
  <c r="W12" i="114"/>
  <c r="V12" i="114"/>
  <c r="U12" i="114"/>
  <c r="T12" i="114"/>
  <c r="S12" i="114"/>
  <c r="P12" i="114"/>
  <c r="O12" i="114"/>
  <c r="AD11" i="114"/>
  <c r="AD22" i="114" s="1"/>
  <c r="AC11" i="114"/>
  <c r="AB11" i="114"/>
  <c r="AA11" i="114"/>
  <c r="Z11" i="114"/>
  <c r="Y11" i="114"/>
  <c r="X11" i="114"/>
  <c r="W11" i="114"/>
  <c r="V11" i="114"/>
  <c r="V22" i="114" s="1"/>
  <c r="U11" i="114"/>
  <c r="T11" i="114"/>
  <c r="S11" i="114"/>
  <c r="P11" i="114"/>
  <c r="O11" i="114"/>
  <c r="AD10" i="114"/>
  <c r="AC10" i="114"/>
  <c r="AB10" i="114"/>
  <c r="AA10" i="114"/>
  <c r="AA28" i="114" s="1"/>
  <c r="Z10" i="114"/>
  <c r="Y10" i="114"/>
  <c r="X10" i="114"/>
  <c r="W10" i="114"/>
  <c r="V10" i="114"/>
  <c r="U10" i="114"/>
  <c r="T10" i="114"/>
  <c r="S10" i="114"/>
  <c r="S28" i="114" s="1"/>
  <c r="P10" i="114"/>
  <c r="O10" i="114"/>
  <c r="G6" i="114"/>
  <c r="D6" i="114"/>
  <c r="N58" i="113"/>
  <c r="M58" i="113"/>
  <c r="L58" i="113"/>
  <c r="K58" i="113"/>
  <c r="J58" i="113"/>
  <c r="I58" i="113"/>
  <c r="H58" i="113"/>
  <c r="G58" i="113"/>
  <c r="F58" i="113"/>
  <c r="E58" i="113"/>
  <c r="D58" i="113"/>
  <c r="C58" i="113"/>
  <c r="P57" i="113"/>
  <c r="O57" i="113"/>
  <c r="P56" i="113"/>
  <c r="O56" i="113"/>
  <c r="P55" i="113"/>
  <c r="O55" i="113"/>
  <c r="P54" i="113"/>
  <c r="O54" i="113"/>
  <c r="P53" i="113"/>
  <c r="O53" i="113"/>
  <c r="P52" i="113"/>
  <c r="O52" i="113"/>
  <c r="P51" i="113"/>
  <c r="O51" i="113"/>
  <c r="P50" i="113"/>
  <c r="O50" i="113"/>
  <c r="P49" i="113"/>
  <c r="O49" i="113"/>
  <c r="P48" i="113"/>
  <c r="O48" i="113"/>
  <c r="P47" i="113"/>
  <c r="O47" i="113"/>
  <c r="P46" i="113"/>
  <c r="O46" i="113"/>
  <c r="P45" i="113"/>
  <c r="O45" i="113"/>
  <c r="P44" i="113"/>
  <c r="O44" i="113"/>
  <c r="P43" i="113"/>
  <c r="O43" i="113"/>
  <c r="P42" i="113"/>
  <c r="O42" i="113"/>
  <c r="P41" i="113"/>
  <c r="O41" i="113"/>
  <c r="P40" i="113"/>
  <c r="O40" i="113"/>
  <c r="P39" i="113"/>
  <c r="O39" i="113"/>
  <c r="P38" i="113"/>
  <c r="O38" i="113"/>
  <c r="P37" i="113"/>
  <c r="O37" i="113"/>
  <c r="P36" i="113"/>
  <c r="O36" i="113"/>
  <c r="P35" i="113"/>
  <c r="O35" i="113"/>
  <c r="P34" i="113"/>
  <c r="O34" i="113"/>
  <c r="P33" i="113"/>
  <c r="O33" i="113"/>
  <c r="P32" i="113"/>
  <c r="O32" i="113"/>
  <c r="P31" i="113"/>
  <c r="O31" i="113"/>
  <c r="P30" i="113"/>
  <c r="O30" i="113"/>
  <c r="P29" i="113"/>
  <c r="O29" i="113"/>
  <c r="P28" i="113"/>
  <c r="O28" i="113"/>
  <c r="P27" i="113"/>
  <c r="O27" i="113"/>
  <c r="P26" i="113"/>
  <c r="O26" i="113"/>
  <c r="P25" i="113"/>
  <c r="O25" i="113"/>
  <c r="P24" i="113"/>
  <c r="O24" i="113"/>
  <c r="P23" i="113"/>
  <c r="O23" i="113"/>
  <c r="P22" i="113"/>
  <c r="O22" i="113"/>
  <c r="AF21" i="113"/>
  <c r="AE21" i="113"/>
  <c r="AD21" i="113"/>
  <c r="AC21" i="113"/>
  <c r="AB21" i="113"/>
  <c r="AA21" i="113"/>
  <c r="Z21" i="113"/>
  <c r="Y21" i="113"/>
  <c r="X21" i="113"/>
  <c r="W21" i="113"/>
  <c r="V21" i="113"/>
  <c r="U21" i="113"/>
  <c r="T21" i="113"/>
  <c r="S21" i="113"/>
  <c r="P21" i="113"/>
  <c r="O21" i="113"/>
  <c r="AF20" i="113"/>
  <c r="AE20" i="113"/>
  <c r="AD20" i="113"/>
  <c r="AC20" i="113"/>
  <c r="AB20" i="113"/>
  <c r="AA20" i="113"/>
  <c r="Z20" i="113"/>
  <c r="Y20" i="113"/>
  <c r="X20" i="113"/>
  <c r="W20" i="113"/>
  <c r="V20" i="113"/>
  <c r="U20" i="113"/>
  <c r="T20" i="113"/>
  <c r="S20" i="113"/>
  <c r="P20" i="113"/>
  <c r="O20" i="113"/>
  <c r="AF19" i="113"/>
  <c r="AF27" i="113" s="1"/>
  <c r="AE19" i="113"/>
  <c r="AE27" i="113" s="1"/>
  <c r="AD19" i="113"/>
  <c r="AD27" i="113" s="1"/>
  <c r="AC19" i="113"/>
  <c r="AC27" i="113" s="1"/>
  <c r="AB19" i="113"/>
  <c r="AB27" i="113" s="1"/>
  <c r="AA19" i="113"/>
  <c r="AA27" i="113" s="1"/>
  <c r="Z19" i="113"/>
  <c r="Z27" i="113" s="1"/>
  <c r="Y19" i="113"/>
  <c r="Y27" i="113" s="1"/>
  <c r="X19" i="113"/>
  <c r="X24" i="113" s="1"/>
  <c r="W19" i="113"/>
  <c r="W27" i="113" s="1"/>
  <c r="V19" i="113"/>
  <c r="V27" i="113" s="1"/>
  <c r="U19" i="113"/>
  <c r="U27" i="113" s="1"/>
  <c r="T19" i="113"/>
  <c r="T24" i="113" s="1"/>
  <c r="S19" i="113"/>
  <c r="S27" i="113" s="1"/>
  <c r="P19" i="113"/>
  <c r="O19" i="113"/>
  <c r="AF18" i="113"/>
  <c r="AE18" i="113"/>
  <c r="AD18" i="113"/>
  <c r="AC18" i="113"/>
  <c r="AB18" i="113"/>
  <c r="AA18" i="113"/>
  <c r="Z18" i="113"/>
  <c r="Y18" i="113"/>
  <c r="X18" i="113"/>
  <c r="W18" i="113"/>
  <c r="V18" i="113"/>
  <c r="U18" i="113"/>
  <c r="T18" i="113"/>
  <c r="S18" i="113"/>
  <c r="P18" i="113"/>
  <c r="O18" i="113"/>
  <c r="AE12" i="113" s="1"/>
  <c r="AF17" i="113"/>
  <c r="AE17" i="113"/>
  <c r="AD17" i="113"/>
  <c r="AC17" i="113"/>
  <c r="AB17" i="113"/>
  <c r="AA17" i="113"/>
  <c r="Z17" i="113"/>
  <c r="Y17" i="113"/>
  <c r="X17" i="113"/>
  <c r="W17" i="113"/>
  <c r="V17" i="113"/>
  <c r="U17" i="113"/>
  <c r="T17" i="113"/>
  <c r="S17" i="113"/>
  <c r="P17" i="113"/>
  <c r="O17" i="113"/>
  <c r="AF16" i="113"/>
  <c r="AE16" i="113"/>
  <c r="AD16" i="113"/>
  <c r="AC16" i="113"/>
  <c r="AB16" i="113"/>
  <c r="AA16" i="113"/>
  <c r="Z16" i="113"/>
  <c r="Y16" i="113"/>
  <c r="X16" i="113"/>
  <c r="W16" i="113"/>
  <c r="V16" i="113"/>
  <c r="U16" i="113"/>
  <c r="T16" i="113"/>
  <c r="S16" i="113"/>
  <c r="P16" i="113"/>
  <c r="O16" i="113"/>
  <c r="AF15" i="113"/>
  <c r="AE15" i="113"/>
  <c r="AD15" i="113"/>
  <c r="AC15" i="113"/>
  <c r="AB15" i="113"/>
  <c r="AA15" i="113"/>
  <c r="Z15" i="113"/>
  <c r="Y15" i="113"/>
  <c r="X15" i="113"/>
  <c r="W15" i="113"/>
  <c r="V15" i="113"/>
  <c r="U15" i="113"/>
  <c r="T15" i="113"/>
  <c r="S15" i="113"/>
  <c r="P15" i="113"/>
  <c r="O15" i="113"/>
  <c r="AF14" i="113"/>
  <c r="AE14" i="113"/>
  <c r="AD14" i="113"/>
  <c r="AC14" i="113"/>
  <c r="AB14" i="113"/>
  <c r="AA14" i="113"/>
  <c r="Z14" i="113"/>
  <c r="Y14" i="113"/>
  <c r="X14" i="113"/>
  <c r="W14" i="113"/>
  <c r="V14" i="113"/>
  <c r="U14" i="113"/>
  <c r="T14" i="113"/>
  <c r="S14" i="113"/>
  <c r="P14" i="113"/>
  <c r="O14" i="113"/>
  <c r="AE11" i="113" s="1"/>
  <c r="AF13" i="113"/>
  <c r="AF26" i="113" s="1"/>
  <c r="AE13" i="113"/>
  <c r="AE26" i="113" s="1"/>
  <c r="AD13" i="113"/>
  <c r="AD23" i="113" s="1"/>
  <c r="AC13" i="113"/>
  <c r="AC26" i="113" s="1"/>
  <c r="AB13" i="113"/>
  <c r="AB26" i="113" s="1"/>
  <c r="AA13" i="113"/>
  <c r="AA26" i="113" s="1"/>
  <c r="Z13" i="113"/>
  <c r="Z23" i="113" s="1"/>
  <c r="Y13" i="113"/>
  <c r="Y26" i="113" s="1"/>
  <c r="X13" i="113"/>
  <c r="X26" i="113" s="1"/>
  <c r="W13" i="113"/>
  <c r="W26" i="113" s="1"/>
  <c r="V13" i="113"/>
  <c r="V23" i="113" s="1"/>
  <c r="U13" i="113"/>
  <c r="U26" i="113" s="1"/>
  <c r="T13" i="113"/>
  <c r="T26" i="113" s="1"/>
  <c r="S13" i="113"/>
  <c r="S26" i="113" s="1"/>
  <c r="P13" i="113"/>
  <c r="O13" i="113"/>
  <c r="AF12" i="113"/>
  <c r="AD12" i="113"/>
  <c r="AC12" i="113"/>
  <c r="AB12" i="113"/>
  <c r="AA12" i="113"/>
  <c r="Z12" i="113"/>
  <c r="Y12" i="113"/>
  <c r="X12" i="113"/>
  <c r="W12" i="113"/>
  <c r="V12" i="113"/>
  <c r="U12" i="113"/>
  <c r="T12" i="113"/>
  <c r="S12" i="113"/>
  <c r="P12" i="113"/>
  <c r="O12" i="113"/>
  <c r="AF11" i="113"/>
  <c r="AD11" i="113"/>
  <c r="AC11" i="113"/>
  <c r="AB11" i="113"/>
  <c r="AA11" i="113"/>
  <c r="Z11" i="113"/>
  <c r="Y11" i="113"/>
  <c r="X11" i="113"/>
  <c r="X25" i="113" s="1"/>
  <c r="W11" i="113"/>
  <c r="V11" i="113"/>
  <c r="U11" i="113"/>
  <c r="T11" i="113"/>
  <c r="S11" i="113"/>
  <c r="P11" i="113"/>
  <c r="O11" i="113"/>
  <c r="AD10" i="113"/>
  <c r="AC10" i="113"/>
  <c r="AB10" i="113"/>
  <c r="AA10" i="113"/>
  <c r="AA28" i="113" s="1"/>
  <c r="Z10" i="113"/>
  <c r="Y10" i="113"/>
  <c r="X10" i="113"/>
  <c r="W10" i="113"/>
  <c r="W28" i="113" s="1"/>
  <c r="V10" i="113"/>
  <c r="U10" i="113"/>
  <c r="T10" i="113"/>
  <c r="S10" i="113"/>
  <c r="S28" i="113" s="1"/>
  <c r="P10" i="113"/>
  <c r="O10" i="113"/>
  <c r="N58" i="112"/>
  <c r="M58" i="112"/>
  <c r="L58" i="112"/>
  <c r="K58" i="112"/>
  <c r="J58" i="112"/>
  <c r="I58" i="112"/>
  <c r="H58" i="112"/>
  <c r="G58" i="112"/>
  <c r="F58" i="112"/>
  <c r="E58" i="112"/>
  <c r="D58" i="112"/>
  <c r="C58" i="112"/>
  <c r="P57" i="112"/>
  <c r="O57" i="112"/>
  <c r="P56" i="112"/>
  <c r="O56" i="112"/>
  <c r="P55" i="112"/>
  <c r="O55" i="112"/>
  <c r="P54" i="112"/>
  <c r="AF21" i="112" s="1"/>
  <c r="O54" i="112"/>
  <c r="P53" i="112"/>
  <c r="O53" i="112"/>
  <c r="P52" i="112"/>
  <c r="O52" i="112"/>
  <c r="P51" i="112"/>
  <c r="O51" i="112"/>
  <c r="P50" i="112"/>
  <c r="O50" i="112"/>
  <c r="P49" i="112"/>
  <c r="O49" i="112"/>
  <c r="P48" i="112"/>
  <c r="O48" i="112"/>
  <c r="P47" i="112"/>
  <c r="O47" i="112"/>
  <c r="P46" i="112"/>
  <c r="O46" i="112"/>
  <c r="P45" i="112"/>
  <c r="O45" i="112"/>
  <c r="P44" i="112"/>
  <c r="O44" i="112"/>
  <c r="P43" i="112"/>
  <c r="O43" i="112"/>
  <c r="P42" i="112"/>
  <c r="O42" i="112"/>
  <c r="P41" i="112"/>
  <c r="O41" i="112"/>
  <c r="P40" i="112"/>
  <c r="O40" i="112"/>
  <c r="P39" i="112"/>
  <c r="O39" i="112"/>
  <c r="P38" i="112"/>
  <c r="AF17" i="112" s="1"/>
  <c r="O38" i="112"/>
  <c r="P37" i="112"/>
  <c r="O37" i="112"/>
  <c r="P36" i="112"/>
  <c r="O36" i="112"/>
  <c r="P35" i="112"/>
  <c r="O35" i="112"/>
  <c r="P34" i="112"/>
  <c r="O34" i="112"/>
  <c r="P33" i="112"/>
  <c r="O33" i="112"/>
  <c r="P32" i="112"/>
  <c r="O32" i="112"/>
  <c r="P31" i="112"/>
  <c r="O31" i="112"/>
  <c r="P30" i="112"/>
  <c r="O30" i="112"/>
  <c r="P29" i="112"/>
  <c r="O29" i="112"/>
  <c r="P28" i="112"/>
  <c r="O28" i="112"/>
  <c r="P27" i="112"/>
  <c r="O27" i="112"/>
  <c r="P26" i="112"/>
  <c r="O26" i="112"/>
  <c r="P25" i="112"/>
  <c r="O25" i="112"/>
  <c r="P24" i="112"/>
  <c r="O24" i="112"/>
  <c r="P23" i="112"/>
  <c r="O23" i="112"/>
  <c r="P22" i="112"/>
  <c r="AF13" i="112" s="1"/>
  <c r="AF26" i="112" s="1"/>
  <c r="O22" i="112"/>
  <c r="AE13" i="112" s="1"/>
  <c r="AD21" i="112"/>
  <c r="AC21" i="112"/>
  <c r="AB21" i="112"/>
  <c r="AA21" i="112"/>
  <c r="Z21" i="112"/>
  <c r="Y21" i="112"/>
  <c r="X21" i="112"/>
  <c r="W21" i="112"/>
  <c r="V21" i="112"/>
  <c r="U21" i="112"/>
  <c r="T21" i="112"/>
  <c r="S21" i="112"/>
  <c r="P21" i="112"/>
  <c r="O21" i="112"/>
  <c r="AF20" i="112"/>
  <c r="AD20" i="112"/>
  <c r="AC20" i="112"/>
  <c r="AB20" i="112"/>
  <c r="AA20" i="112"/>
  <c r="Z20" i="112"/>
  <c r="Y20" i="112"/>
  <c r="X20" i="112"/>
  <c r="W20" i="112"/>
  <c r="V20" i="112"/>
  <c r="U20" i="112"/>
  <c r="T20" i="112"/>
  <c r="S20" i="112"/>
  <c r="P20" i="112"/>
  <c r="O20" i="112"/>
  <c r="AF19" i="112"/>
  <c r="AD19" i="112"/>
  <c r="AD27" i="112" s="1"/>
  <c r="AC19" i="112"/>
  <c r="AB19" i="112"/>
  <c r="AA19" i="112"/>
  <c r="Z19" i="112"/>
  <c r="Z27" i="112" s="1"/>
  <c r="Y19" i="112"/>
  <c r="X19" i="112"/>
  <c r="W19" i="112"/>
  <c r="W27" i="112" s="1"/>
  <c r="V19" i="112"/>
  <c r="V27" i="112" s="1"/>
  <c r="U19" i="112"/>
  <c r="T19" i="112"/>
  <c r="T24" i="112" s="1"/>
  <c r="S19" i="112"/>
  <c r="P19" i="112"/>
  <c r="O19" i="112"/>
  <c r="AF18" i="112"/>
  <c r="AD18" i="112"/>
  <c r="AC18" i="112"/>
  <c r="AB18" i="112"/>
  <c r="AA18" i="112"/>
  <c r="Z18" i="112"/>
  <c r="Y18" i="112"/>
  <c r="X18" i="112"/>
  <c r="W18" i="112"/>
  <c r="V18" i="112"/>
  <c r="U18" i="112"/>
  <c r="T18" i="112"/>
  <c r="S18" i="112"/>
  <c r="P18" i="112"/>
  <c r="O18" i="112"/>
  <c r="AE12" i="112" s="1"/>
  <c r="AD17" i="112"/>
  <c r="AC17" i="112"/>
  <c r="AB17" i="112"/>
  <c r="AA17" i="112"/>
  <c r="Z17" i="112"/>
  <c r="Y17" i="112"/>
  <c r="X17" i="112"/>
  <c r="W17" i="112"/>
  <c r="V17" i="112"/>
  <c r="U17" i="112"/>
  <c r="T17" i="112"/>
  <c r="S17" i="112"/>
  <c r="P17" i="112"/>
  <c r="O17" i="112"/>
  <c r="AF16" i="112"/>
  <c r="AD16" i="112"/>
  <c r="AC16" i="112"/>
  <c r="AB16" i="112"/>
  <c r="AA16" i="112"/>
  <c r="Z16" i="112"/>
  <c r="Y16" i="112"/>
  <c r="X16" i="112"/>
  <c r="W16" i="112"/>
  <c r="V16" i="112"/>
  <c r="U16" i="112"/>
  <c r="T16" i="112"/>
  <c r="S16" i="112"/>
  <c r="P16" i="112"/>
  <c r="O16" i="112"/>
  <c r="AF15" i="112"/>
  <c r="AD15" i="112"/>
  <c r="AC15" i="112"/>
  <c r="AB15" i="112"/>
  <c r="AA15" i="112"/>
  <c r="Z15" i="112"/>
  <c r="Y15" i="112"/>
  <c r="X15" i="112"/>
  <c r="W15" i="112"/>
  <c r="V15" i="112"/>
  <c r="U15" i="112"/>
  <c r="T15" i="112"/>
  <c r="S15" i="112"/>
  <c r="P15" i="112"/>
  <c r="O15" i="112"/>
  <c r="AF14" i="112"/>
  <c r="AD14" i="112"/>
  <c r="AC14" i="112"/>
  <c r="AB14" i="112"/>
  <c r="AA14" i="112"/>
  <c r="Z14" i="112"/>
  <c r="Y14" i="112"/>
  <c r="X14" i="112"/>
  <c r="W14" i="112"/>
  <c r="V14" i="112"/>
  <c r="U14" i="112"/>
  <c r="T14" i="112"/>
  <c r="S14" i="112"/>
  <c r="P14" i="112"/>
  <c r="O14" i="112"/>
  <c r="AE11" i="112" s="1"/>
  <c r="AD13" i="112"/>
  <c r="AC13" i="112"/>
  <c r="AB13" i="112"/>
  <c r="AB26" i="112" s="1"/>
  <c r="AA13" i="112"/>
  <c r="Z13" i="112"/>
  <c r="Y13" i="112"/>
  <c r="Y26" i="112" s="1"/>
  <c r="X13" i="112"/>
  <c r="X26" i="112" s="1"/>
  <c r="W13" i="112"/>
  <c r="V13" i="112"/>
  <c r="U13" i="112"/>
  <c r="T13" i="112"/>
  <c r="T26" i="112" s="1"/>
  <c r="S13" i="112"/>
  <c r="P13" i="112"/>
  <c r="O13" i="112"/>
  <c r="AF12" i="112"/>
  <c r="AD12" i="112"/>
  <c r="AC12" i="112"/>
  <c r="AB12" i="112"/>
  <c r="AA12" i="112"/>
  <c r="Z12" i="112"/>
  <c r="Y12" i="112"/>
  <c r="X12" i="112"/>
  <c r="W12" i="112"/>
  <c r="V12" i="112"/>
  <c r="U12" i="112"/>
  <c r="T12" i="112"/>
  <c r="S12" i="112"/>
  <c r="P12" i="112"/>
  <c r="O12" i="112"/>
  <c r="AF11" i="112"/>
  <c r="AD11" i="112"/>
  <c r="AD22" i="112" s="1"/>
  <c r="AC11" i="112"/>
  <c r="AB11" i="112"/>
  <c r="AA11" i="112"/>
  <c r="Z11" i="112"/>
  <c r="Z22" i="112" s="1"/>
  <c r="Y11" i="112"/>
  <c r="X11" i="112"/>
  <c r="W11" i="112"/>
  <c r="V11" i="112"/>
  <c r="V22" i="112" s="1"/>
  <c r="U11" i="112"/>
  <c r="T11" i="112"/>
  <c r="S11" i="112"/>
  <c r="P11" i="112"/>
  <c r="O11" i="112"/>
  <c r="AD10" i="112"/>
  <c r="AC10" i="112"/>
  <c r="AB10" i="112"/>
  <c r="AA10" i="112"/>
  <c r="Z10" i="112"/>
  <c r="Y10" i="112"/>
  <c r="X10" i="112"/>
  <c r="W10" i="112"/>
  <c r="V10" i="112"/>
  <c r="U10" i="112"/>
  <c r="T10" i="112"/>
  <c r="S10" i="112"/>
  <c r="P10" i="112"/>
  <c r="O10" i="112"/>
  <c r="G6" i="112"/>
  <c r="D6" i="112"/>
  <c r="D5" i="112"/>
  <c r="C3" i="94"/>
  <c r="AD23" i="112" l="1"/>
  <c r="AB27" i="112"/>
  <c r="Z22" i="114"/>
  <c r="V23" i="112"/>
  <c r="S28" i="112"/>
  <c r="AA28" i="112"/>
  <c r="W26" i="112"/>
  <c r="U27" i="112"/>
  <c r="AC27" i="112"/>
  <c r="AC26" i="114"/>
  <c r="S27" i="114"/>
  <c r="AA27" i="114"/>
  <c r="AE14" i="112"/>
  <c r="AE26" i="112" s="1"/>
  <c r="AE15" i="112"/>
  <c r="AE16" i="112"/>
  <c r="AE17" i="112"/>
  <c r="AE18" i="112"/>
  <c r="AE19" i="112"/>
  <c r="AE20" i="112"/>
  <c r="AE21" i="112"/>
  <c r="AB27" i="114"/>
  <c r="AF27" i="112"/>
  <c r="W26" i="114"/>
  <c r="AF26" i="114"/>
  <c r="Z23" i="112"/>
  <c r="X24" i="112"/>
  <c r="W28" i="112"/>
  <c r="S26" i="112"/>
  <c r="AA26" i="112"/>
  <c r="Y27" i="112"/>
  <c r="Y26" i="114"/>
  <c r="W27" i="114"/>
  <c r="AF27" i="114"/>
  <c r="X24" i="114"/>
  <c r="U26" i="112"/>
  <c r="AC26" i="112"/>
  <c r="S27" i="112"/>
  <c r="AA27" i="112"/>
  <c r="T25" i="113"/>
  <c r="AB25" i="113"/>
  <c r="W28" i="114"/>
  <c r="S26" i="114"/>
  <c r="AA26" i="114"/>
  <c r="Y27" i="114"/>
  <c r="AE26" i="114"/>
  <c r="C3" i="114"/>
  <c r="C3" i="111"/>
  <c r="C3" i="108"/>
  <c r="O58" i="112"/>
  <c r="U28" i="112"/>
  <c r="Y28" i="112"/>
  <c r="AC28" i="112"/>
  <c r="V22" i="113"/>
  <c r="Z22" i="113"/>
  <c r="AD22" i="113"/>
  <c r="O58" i="114"/>
  <c r="E60" i="114" s="1"/>
  <c r="U28" i="114"/>
  <c r="Y28" i="114"/>
  <c r="AC28" i="114"/>
  <c r="C3" i="112"/>
  <c r="AF10" i="112"/>
  <c r="AF28" i="112" s="1"/>
  <c r="T25" i="112"/>
  <c r="X25" i="112"/>
  <c r="AB25" i="112"/>
  <c r="O58" i="113"/>
  <c r="U28" i="113"/>
  <c r="Y28" i="113"/>
  <c r="AC28" i="113"/>
  <c r="AF10" i="114"/>
  <c r="AF28" i="114" s="1"/>
  <c r="T25" i="114"/>
  <c r="X25" i="114"/>
  <c r="AB25" i="114"/>
  <c r="C3" i="113"/>
  <c r="AF10" i="113"/>
  <c r="AF28" i="113" s="1"/>
  <c r="T23" i="114"/>
  <c r="X23" i="114"/>
  <c r="AB23" i="114"/>
  <c r="AF23" i="114"/>
  <c r="V24" i="114"/>
  <c r="Z24" i="114"/>
  <c r="AD24" i="114"/>
  <c r="V26" i="114"/>
  <c r="Z26" i="114"/>
  <c r="AD26" i="114"/>
  <c r="T27" i="114"/>
  <c r="X27" i="114"/>
  <c r="C60" i="114"/>
  <c r="K60" i="114"/>
  <c r="P58" i="114"/>
  <c r="M59" i="114" s="1"/>
  <c r="T28" i="114"/>
  <c r="V28" i="114"/>
  <c r="X28" i="114"/>
  <c r="Z28" i="114"/>
  <c r="AB28" i="114"/>
  <c r="AD28" i="114"/>
  <c r="T22" i="114"/>
  <c r="X22" i="114"/>
  <c r="AB22" i="114"/>
  <c r="AB24" i="114"/>
  <c r="AF24" i="114"/>
  <c r="V25" i="114"/>
  <c r="Z25" i="114"/>
  <c r="AD25" i="114"/>
  <c r="J60" i="114"/>
  <c r="AE10" i="114"/>
  <c r="S22" i="114"/>
  <c r="U22" i="114"/>
  <c r="W22" i="114"/>
  <c r="Y22" i="114"/>
  <c r="AA22" i="114"/>
  <c r="AC22" i="114"/>
  <c r="S23" i="114"/>
  <c r="U23" i="114"/>
  <c r="W23" i="114"/>
  <c r="Y23" i="114"/>
  <c r="AA23" i="114"/>
  <c r="AC23" i="114"/>
  <c r="AE23" i="114"/>
  <c r="S24" i="114"/>
  <c r="U24" i="114"/>
  <c r="W24" i="114"/>
  <c r="Y24" i="114"/>
  <c r="AA24" i="114"/>
  <c r="AC24" i="114"/>
  <c r="AE24" i="114"/>
  <c r="S25" i="114"/>
  <c r="U25" i="114"/>
  <c r="W25" i="114"/>
  <c r="Y25" i="114"/>
  <c r="AA25" i="114"/>
  <c r="AC25" i="114"/>
  <c r="X23" i="113"/>
  <c r="Z24" i="113"/>
  <c r="T27" i="113"/>
  <c r="K60" i="113"/>
  <c r="T23" i="113"/>
  <c r="AB23" i="113"/>
  <c r="AF23" i="113"/>
  <c r="V24" i="113"/>
  <c r="AD24" i="113"/>
  <c r="V26" i="113"/>
  <c r="Z26" i="113"/>
  <c r="AD26" i="113"/>
  <c r="X27" i="113"/>
  <c r="C60" i="113"/>
  <c r="E60" i="113"/>
  <c r="G60" i="113"/>
  <c r="I60" i="113"/>
  <c r="P58" i="113"/>
  <c r="M59" i="113" s="1"/>
  <c r="T28" i="113"/>
  <c r="V28" i="113"/>
  <c r="X28" i="113"/>
  <c r="Z28" i="113"/>
  <c r="AB28" i="113"/>
  <c r="AD28" i="113"/>
  <c r="T22" i="113"/>
  <c r="X22" i="113"/>
  <c r="AB22" i="113"/>
  <c r="AB24" i="113"/>
  <c r="AF24" i="113"/>
  <c r="V25" i="113"/>
  <c r="Z25" i="113"/>
  <c r="AD25" i="113"/>
  <c r="D60" i="113"/>
  <c r="F60" i="113"/>
  <c r="H60" i="113"/>
  <c r="J60" i="113"/>
  <c r="L60" i="113"/>
  <c r="N60" i="113"/>
  <c r="AE10" i="113"/>
  <c r="S22" i="113"/>
  <c r="U22" i="113"/>
  <c r="W22" i="113"/>
  <c r="Y22" i="113"/>
  <c r="AA22" i="113"/>
  <c r="AC22" i="113"/>
  <c r="S23" i="113"/>
  <c r="U23" i="113"/>
  <c r="W23" i="113"/>
  <c r="Y23" i="113"/>
  <c r="AA23" i="113"/>
  <c r="AC23" i="113"/>
  <c r="AE23" i="113"/>
  <c r="S24" i="113"/>
  <c r="U24" i="113"/>
  <c r="W24" i="113"/>
  <c r="Y24" i="113"/>
  <c r="AA24" i="113"/>
  <c r="AC24" i="113"/>
  <c r="AE24" i="113"/>
  <c r="S25" i="113"/>
  <c r="U25" i="113"/>
  <c r="W25" i="113"/>
  <c r="Y25" i="113"/>
  <c r="AA25" i="113"/>
  <c r="AC25" i="113"/>
  <c r="T23" i="112"/>
  <c r="X23" i="112"/>
  <c r="AB23" i="112"/>
  <c r="AF23" i="112"/>
  <c r="V24" i="112"/>
  <c r="Z24" i="112"/>
  <c r="AD24" i="112"/>
  <c r="V26" i="112"/>
  <c r="Z26" i="112"/>
  <c r="AD26" i="112"/>
  <c r="T27" i="112"/>
  <c r="X27" i="112"/>
  <c r="C60" i="112"/>
  <c r="E60" i="112"/>
  <c r="G60" i="112"/>
  <c r="I60" i="112"/>
  <c r="K60" i="112"/>
  <c r="P58" i="112"/>
  <c r="M59" i="112" s="1"/>
  <c r="T28" i="112"/>
  <c r="V28" i="112"/>
  <c r="X28" i="112"/>
  <c r="Z28" i="112"/>
  <c r="AB28" i="112"/>
  <c r="AD28" i="112"/>
  <c r="T22" i="112"/>
  <c r="X22" i="112"/>
  <c r="AB22" i="112"/>
  <c r="AB24" i="112"/>
  <c r="AF24" i="112"/>
  <c r="V25" i="112"/>
  <c r="Z25" i="112"/>
  <c r="AD25" i="112"/>
  <c r="D60" i="112"/>
  <c r="F60" i="112"/>
  <c r="H60" i="112"/>
  <c r="J60" i="112"/>
  <c r="L60" i="112"/>
  <c r="N60" i="112"/>
  <c r="AE10" i="112"/>
  <c r="S22" i="112"/>
  <c r="U22" i="112"/>
  <c r="W22" i="112"/>
  <c r="Y22" i="112"/>
  <c r="AA22" i="112"/>
  <c r="AC22" i="112"/>
  <c r="S23" i="112"/>
  <c r="U23" i="112"/>
  <c r="W23" i="112"/>
  <c r="Y23" i="112"/>
  <c r="AA23" i="112"/>
  <c r="AC23" i="112"/>
  <c r="S24" i="112"/>
  <c r="U24" i="112"/>
  <c r="W24" i="112"/>
  <c r="Y24" i="112"/>
  <c r="AA24" i="112"/>
  <c r="AC24" i="112"/>
  <c r="AE24" i="112"/>
  <c r="S25" i="112"/>
  <c r="U25" i="112"/>
  <c r="W25" i="112"/>
  <c r="Y25" i="112"/>
  <c r="AA25" i="112"/>
  <c r="AC25" i="112"/>
  <c r="K6" i="98"/>
  <c r="K6" i="99" s="1"/>
  <c r="K5" i="98"/>
  <c r="K5" i="99" s="1"/>
  <c r="G5" i="98"/>
  <c r="G5" i="99" s="1"/>
  <c r="K6" i="97"/>
  <c r="K5" i="97"/>
  <c r="G5" i="97"/>
  <c r="K6" i="96"/>
  <c r="K5" i="96"/>
  <c r="G5" i="96"/>
  <c r="K6" i="95"/>
  <c r="K5" i="95"/>
  <c r="G5" i="95"/>
  <c r="G5" i="94"/>
  <c r="G6" i="110"/>
  <c r="G6" i="98"/>
  <c r="G6" i="96"/>
  <c r="G6" i="109" s="1"/>
  <c r="G6" i="105"/>
  <c r="G6" i="101"/>
  <c r="G6" i="99"/>
  <c r="G6" i="97"/>
  <c r="G6" i="95"/>
  <c r="D6" i="110"/>
  <c r="D6" i="109"/>
  <c r="D6" i="98"/>
  <c r="D6" i="96"/>
  <c r="D6" i="105"/>
  <c r="D6" i="101"/>
  <c r="D6" i="99"/>
  <c r="D6" i="97"/>
  <c r="D6" i="95"/>
  <c r="D5" i="110"/>
  <c r="D5" i="109"/>
  <c r="D5" i="98"/>
  <c r="D5" i="96"/>
  <c r="D5" i="94"/>
  <c r="AF25" i="112" l="1"/>
  <c r="AE23" i="112"/>
  <c r="AF22" i="112"/>
  <c r="AF22" i="114"/>
  <c r="D59" i="114"/>
  <c r="AF25" i="114"/>
  <c r="AE27" i="112"/>
  <c r="D59" i="112"/>
  <c r="K6" i="101"/>
  <c r="K6" i="109" s="1"/>
  <c r="K6" i="105" s="1"/>
  <c r="K6" i="110" s="1"/>
  <c r="K6" i="107"/>
  <c r="K6" i="108"/>
  <c r="K6" i="111" s="1"/>
  <c r="K6" i="112"/>
  <c r="K6" i="113"/>
  <c r="K6" i="114"/>
  <c r="H60" i="114"/>
  <c r="I60" i="114"/>
  <c r="G5" i="101"/>
  <c r="G5" i="109" s="1"/>
  <c r="G5" i="105" s="1"/>
  <c r="G5" i="110" s="1"/>
  <c r="G5" i="108"/>
  <c r="G5" i="111" s="1"/>
  <c r="G5" i="107"/>
  <c r="G5" i="112"/>
  <c r="G5" i="113"/>
  <c r="G5" i="114"/>
  <c r="N60" i="114"/>
  <c r="F60" i="114"/>
  <c r="G60" i="114"/>
  <c r="K5" i="101"/>
  <c r="K5" i="109" s="1"/>
  <c r="K5" i="105" s="1"/>
  <c r="K5" i="110" s="1"/>
  <c r="K5" i="111"/>
  <c r="K5" i="114"/>
  <c r="K5" i="112"/>
  <c r="K5" i="113"/>
  <c r="L60" i="114"/>
  <c r="D60" i="114"/>
  <c r="E59" i="114"/>
  <c r="L59" i="114"/>
  <c r="I59" i="114"/>
  <c r="H59" i="114"/>
  <c r="AF22" i="113"/>
  <c r="AF25" i="113"/>
  <c r="G59" i="113"/>
  <c r="J59" i="113"/>
  <c r="K59" i="113"/>
  <c r="C59" i="113"/>
  <c r="N59" i="113"/>
  <c r="F59" i="113"/>
  <c r="I59" i="113"/>
  <c r="E59" i="113"/>
  <c r="L59" i="113"/>
  <c r="H59" i="113"/>
  <c r="D59" i="113"/>
  <c r="E59" i="112"/>
  <c r="L59" i="112"/>
  <c r="I59" i="112"/>
  <c r="H59" i="112"/>
  <c r="AE28" i="114"/>
  <c r="AE25" i="114"/>
  <c r="AE22" i="114"/>
  <c r="K59" i="114"/>
  <c r="G59" i="114"/>
  <c r="C59" i="114"/>
  <c r="N59" i="114"/>
  <c r="J59" i="114"/>
  <c r="F59" i="114"/>
  <c r="AE28" i="113"/>
  <c r="AE25" i="113"/>
  <c r="AE22" i="113"/>
  <c r="AE28" i="112"/>
  <c r="AE25" i="112"/>
  <c r="AE22" i="112"/>
  <c r="K59" i="112"/>
  <c r="G59" i="112"/>
  <c r="C59" i="112"/>
  <c r="N59" i="112"/>
  <c r="J59" i="112"/>
  <c r="F59" i="112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5"/>
  <c r="C3" i="101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Z19" i="105"/>
  <c r="Z39" i="105" s="1"/>
  <c r="Y19" i="105"/>
  <c r="X19" i="105"/>
  <c r="X39" i="105" s="1"/>
  <c r="W19" i="105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AA26" i="95" s="1"/>
  <c r="W13" i="95"/>
  <c r="V13" i="95"/>
  <c r="U13" i="95"/>
  <c r="T13" i="95"/>
  <c r="AD21" i="95"/>
  <c r="AC20" i="95"/>
  <c r="T19" i="95"/>
  <c r="S27" i="99" l="1"/>
  <c r="W39" i="101"/>
  <c r="AA27" i="99"/>
  <c r="W39" i="105"/>
  <c r="AA39" i="105"/>
  <c r="AD39" i="105"/>
  <c r="AA39" i="101"/>
  <c r="X26" i="98"/>
  <c r="Z39" i="101"/>
  <c r="AB39" i="101"/>
  <c r="AD39" i="101"/>
  <c r="W26" i="95"/>
  <c r="AD26" i="95"/>
  <c r="X15" i="96"/>
  <c r="X23" i="96" s="1"/>
  <c r="AD16" i="97"/>
  <c r="AD23" i="97" s="1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T19" i="108"/>
  <c r="V19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Z13" i="95"/>
  <c r="V14" i="99"/>
  <c r="V26" i="99" s="1"/>
  <c r="T21" i="98"/>
  <c r="T27" i="98" s="1"/>
  <c r="AB14" i="95"/>
  <c r="U15" i="101"/>
  <c r="P105" i="101"/>
  <c r="Y17" i="94"/>
  <c r="P77" i="101"/>
  <c r="P69" i="101"/>
  <c r="P91" i="101"/>
  <c r="U15" i="94"/>
  <c r="W17" i="96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U11" i="99"/>
  <c r="W11" i="99"/>
  <c r="Y11" i="99"/>
  <c r="AA11" i="99"/>
  <c r="AC11" i="99"/>
  <c r="T13" i="99"/>
  <c r="X13" i="99"/>
  <c r="AB13" i="99"/>
  <c r="P25" i="99"/>
  <c r="P26" i="99"/>
  <c r="P27" i="99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AF33" i="101" l="1"/>
  <c r="Y38" i="105"/>
  <c r="AF32" i="101"/>
  <c r="W38" i="110"/>
  <c r="AB26" i="98"/>
  <c r="X26" i="96"/>
  <c r="S38" i="105"/>
  <c r="Z26" i="95"/>
  <c r="AF25" i="101"/>
  <c r="AF28" i="101"/>
  <c r="U38" i="109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AD21" i="108"/>
  <c r="Z20" i="108"/>
  <c r="W27" i="95"/>
  <c r="W24" i="95"/>
  <c r="AB24" i="98"/>
  <c r="W26" i="96"/>
  <c r="V21" i="108"/>
  <c r="AD19" i="108"/>
  <c r="Z21" i="108"/>
  <c r="AD20" i="108"/>
  <c r="V20" i="108"/>
  <c r="V36" i="108" s="1"/>
  <c r="Z19" i="108"/>
  <c r="AC26" i="97"/>
  <c r="AC23" i="97"/>
  <c r="T13" i="111"/>
  <c r="AD12" i="111"/>
  <c r="T12" i="111"/>
  <c r="AC24" i="94"/>
  <c r="Y24" i="94"/>
  <c r="S27" i="94"/>
  <c r="AA38" i="110"/>
  <c r="W24" i="94"/>
  <c r="W27" i="94"/>
  <c r="S26" i="94"/>
  <c r="U23" i="97"/>
  <c r="AA27" i="94"/>
  <c r="U27" i="95"/>
  <c r="U24" i="95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W41" i="108" s="1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AB16" i="107"/>
  <c r="X16" i="107"/>
  <c r="T16" i="107"/>
  <c r="AB15" i="107"/>
  <c r="X15" i="107"/>
  <c r="T15" i="107"/>
  <c r="AD14" i="107"/>
  <c r="Z14" i="107"/>
  <c r="V14" i="107"/>
  <c r="AD13" i="107"/>
  <c r="Z13" i="107"/>
  <c r="V13" i="107"/>
  <c r="AB12" i="107"/>
  <c r="Z12" i="107"/>
  <c r="V12" i="107"/>
  <c r="T12" i="107"/>
  <c r="AD11" i="107"/>
  <c r="AB11" i="107"/>
  <c r="T11" i="107"/>
  <c r="AB20" i="107"/>
  <c r="X20" i="107"/>
  <c r="T20" i="107"/>
  <c r="AD19" i="107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AD15" i="107"/>
  <c r="Z15" i="107"/>
  <c r="V15" i="107"/>
  <c r="AB14" i="107"/>
  <c r="X14" i="107"/>
  <c r="T14" i="107"/>
  <c r="AB13" i="107"/>
  <c r="X13" i="107"/>
  <c r="T13" i="107"/>
  <c r="AD12" i="107"/>
  <c r="X12" i="107"/>
  <c r="X11" i="107"/>
  <c r="V11" i="107"/>
  <c r="AB10" i="107"/>
  <c r="Z10" i="107"/>
  <c r="Z41" i="107" s="1"/>
  <c r="X10" i="107"/>
  <c r="T10" i="107"/>
  <c r="AC21" i="107"/>
  <c r="AA21" i="107"/>
  <c r="Y21" i="107"/>
  <c r="W21" i="107"/>
  <c r="U21" i="107"/>
  <c r="S21" i="107"/>
  <c r="AC20" i="107"/>
  <c r="AA20" i="107"/>
  <c r="Y20" i="107"/>
  <c r="W20" i="107"/>
  <c r="U20" i="107"/>
  <c r="S20" i="107"/>
  <c r="AC19" i="107"/>
  <c r="AA19" i="107"/>
  <c r="Y19" i="107"/>
  <c r="W19" i="107"/>
  <c r="U19" i="107"/>
  <c r="S19" i="107"/>
  <c r="AC18" i="107"/>
  <c r="AA18" i="107"/>
  <c r="Y18" i="107"/>
  <c r="W18" i="107"/>
  <c r="U18" i="107"/>
  <c r="S18" i="107"/>
  <c r="AC17" i="107"/>
  <c r="Y17" i="107"/>
  <c r="W17" i="107"/>
  <c r="U17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AC12" i="107"/>
  <c r="AA12" i="107"/>
  <c r="Y12" i="107"/>
  <c r="W12" i="107"/>
  <c r="U12" i="107"/>
  <c r="S12" i="107"/>
  <c r="AC11" i="107"/>
  <c r="AA11" i="107"/>
  <c r="Y11" i="107"/>
  <c r="W11" i="107"/>
  <c r="U11" i="107"/>
  <c r="S11" i="107"/>
  <c r="S16" i="107"/>
  <c r="Y10" i="107"/>
  <c r="AB38" i="105"/>
  <c r="T38" i="105"/>
  <c r="AD10" i="107"/>
  <c r="V10" i="107"/>
  <c r="AA10" i="107"/>
  <c r="S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AB26" i="95"/>
  <c r="Z24" i="95"/>
  <c r="V23" i="99"/>
  <c r="V23" i="98"/>
  <c r="Z27" i="98"/>
  <c r="T24" i="98"/>
  <c r="Y27" i="94"/>
  <c r="Y23" i="96"/>
  <c r="Y26" i="94"/>
  <c r="Y23" i="95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V23" i="95"/>
  <c r="W23" i="94"/>
  <c r="AA38" i="101"/>
  <c r="AC38" i="101"/>
  <c r="Y35" i="101"/>
  <c r="U38" i="101"/>
  <c r="AB26" i="99"/>
  <c r="T26" i="99"/>
  <c r="Z35" i="101"/>
  <c r="AC26" i="99"/>
  <c r="AB23" i="99"/>
  <c r="T23" i="99"/>
  <c r="X26" i="99"/>
  <c r="AF15" i="101"/>
  <c r="AF14" i="101"/>
  <c r="AF13" i="101"/>
  <c r="AF12" i="101"/>
  <c r="AF11" i="101"/>
  <c r="X23" i="99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AF13" i="96"/>
  <c r="AE19" i="96"/>
  <c r="AE17" i="96"/>
  <c r="AE15" i="96"/>
  <c r="S23" i="96"/>
  <c r="T25" i="94"/>
  <c r="AE18" i="96"/>
  <c r="S23" i="97"/>
  <c r="AA23" i="99"/>
  <c r="W23" i="99"/>
  <c r="X25" i="94"/>
  <c r="AE16" i="96"/>
  <c r="AE21" i="96"/>
  <c r="AF11" i="98"/>
  <c r="AE18" i="97"/>
  <c r="AE19" i="98"/>
  <c r="AF14" i="99"/>
  <c r="AE20" i="96"/>
  <c r="AE14" i="96"/>
  <c r="S23" i="95"/>
  <c r="S25" i="94"/>
  <c r="AF21" i="99"/>
  <c r="AF20" i="99"/>
  <c r="AF19" i="99"/>
  <c r="AF18" i="99"/>
  <c r="AF17" i="99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E20" i="98"/>
  <c r="AE24" i="98" s="1"/>
  <c r="AE17" i="98"/>
  <c r="AE11" i="97"/>
  <c r="AB28" i="99"/>
  <c r="AB25" i="99"/>
  <c r="AB22" i="99"/>
  <c r="X28" i="99"/>
  <c r="X25" i="99"/>
  <c r="X22" i="99"/>
  <c r="T28" i="99"/>
  <c r="T25" i="99"/>
  <c r="T22" i="99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AD28" i="99"/>
  <c r="AD25" i="99"/>
  <c r="AD22" i="99"/>
  <c r="Z28" i="99"/>
  <c r="Z25" i="99"/>
  <c r="Z22" i="99"/>
  <c r="V28" i="99"/>
  <c r="V25" i="99"/>
  <c r="V22" i="99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T41" i="107" l="1"/>
  <c r="Y41" i="108"/>
  <c r="Y41" i="107"/>
  <c r="X41" i="107"/>
  <c r="AB41" i="108"/>
  <c r="S41" i="107"/>
  <c r="AB41" i="107"/>
  <c r="W41" i="107"/>
  <c r="AA41" i="107"/>
  <c r="AC41" i="107"/>
  <c r="AA42" i="110"/>
  <c r="Z41" i="108"/>
  <c r="AD41" i="108"/>
  <c r="U41" i="107"/>
  <c r="V41" i="107"/>
  <c r="P106" i="108"/>
  <c r="O106" i="108"/>
  <c r="X41" i="108"/>
  <c r="U41" i="108"/>
  <c r="T41" i="108"/>
  <c r="AD41" i="107"/>
  <c r="AC41" i="108"/>
  <c r="V41" i="108"/>
  <c r="U36" i="107"/>
  <c r="S41" i="108"/>
  <c r="AA41" i="108"/>
  <c r="S42" i="110"/>
  <c r="U39" i="107"/>
  <c r="AD39" i="107"/>
  <c r="X42" i="109"/>
  <c r="S36" i="107"/>
  <c r="Y34" i="108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T41" i="111" s="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Z42" i="107" s="1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V40" i="108"/>
  <c r="Z35" i="108"/>
  <c r="U34" i="108"/>
  <c r="T40" i="108"/>
  <c r="S34" i="108"/>
  <c r="AF16" i="108"/>
  <c r="AA37" i="108"/>
  <c r="AA36" i="108"/>
  <c r="AB34" i="108"/>
  <c r="AB37" i="108"/>
  <c r="W40" i="108"/>
  <c r="W42" i="108" s="1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E24" i="96"/>
  <c r="C107" i="101"/>
  <c r="AE40" i="101"/>
  <c r="AE37" i="101"/>
  <c r="AE34" i="101"/>
  <c r="AF40" i="101"/>
  <c r="AF37" i="101"/>
  <c r="AF34" i="101"/>
  <c r="AE38" i="101"/>
  <c r="AE35" i="101"/>
  <c r="AE26" i="97"/>
  <c r="AF27" i="97"/>
  <c r="AF23" i="99"/>
  <c r="AF26" i="99"/>
  <c r="AF24" i="99"/>
  <c r="AF27" i="99"/>
  <c r="AE23" i="97"/>
  <c r="AE27" i="98"/>
  <c r="AF28" i="99"/>
  <c r="AF25" i="99"/>
  <c r="AF22" i="99"/>
  <c r="AE26" i="99"/>
  <c r="AE23" i="99"/>
  <c r="AE27" i="99"/>
  <c r="AE24" i="99"/>
  <c r="E60" i="99"/>
  <c r="G60" i="99"/>
  <c r="I60" i="99"/>
  <c r="K60" i="99"/>
  <c r="F60" i="99"/>
  <c r="J60" i="99"/>
  <c r="N60" i="99"/>
  <c r="D60" i="99"/>
  <c r="H60" i="99"/>
  <c r="L60" i="99"/>
  <c r="M59" i="99"/>
  <c r="D59" i="99"/>
  <c r="H59" i="99"/>
  <c r="L59" i="99"/>
  <c r="E59" i="99"/>
  <c r="G59" i="99"/>
  <c r="I59" i="99"/>
  <c r="K59" i="99"/>
  <c r="F59" i="99"/>
  <c r="J59" i="99"/>
  <c r="N59" i="99"/>
  <c r="C59" i="99"/>
  <c r="AE28" i="99"/>
  <c r="AE25" i="99"/>
  <c r="AE22" i="99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C41" i="111" l="1"/>
  <c r="AC42" i="108"/>
  <c r="V42" i="107"/>
  <c r="AB42" i="107"/>
  <c r="U41" i="111"/>
  <c r="V41" i="111"/>
  <c r="V42" i="111" s="1"/>
  <c r="AD42" i="107"/>
  <c r="U42" i="107"/>
  <c r="S42" i="107"/>
  <c r="AE41" i="108"/>
  <c r="S41" i="111"/>
  <c r="T42" i="108"/>
  <c r="AD42" i="108"/>
  <c r="AD41" i="111"/>
  <c r="AD42" i="111" s="1"/>
  <c r="X41" i="111"/>
  <c r="U42" i="108"/>
  <c r="Z42" i="108"/>
  <c r="X42" i="107"/>
  <c r="AA42" i="108"/>
  <c r="Y42" i="107"/>
  <c r="Y41" i="111"/>
  <c r="Y42" i="111" s="1"/>
  <c r="W41" i="111"/>
  <c r="W42" i="111" s="1"/>
  <c r="AF41" i="108"/>
  <c r="S42" i="108"/>
  <c r="AC42" i="107"/>
  <c r="Y42" i="108"/>
  <c r="AF41" i="107"/>
  <c r="AA42" i="107"/>
  <c r="AE41" i="107"/>
  <c r="AE42" i="107" s="1"/>
  <c r="AA41" i="111"/>
  <c r="AB41" i="111"/>
  <c r="Z41" i="111"/>
  <c r="Z42" i="111" s="1"/>
  <c r="V42" i="108"/>
  <c r="W42" i="107"/>
  <c r="T42" i="107"/>
  <c r="O106" i="111"/>
  <c r="K108" i="111" s="1"/>
  <c r="P106" i="111"/>
  <c r="C107" i="108"/>
  <c r="E107" i="108"/>
  <c r="G107" i="108"/>
  <c r="I107" i="108"/>
  <c r="K107" i="108"/>
  <c r="M107" i="108"/>
  <c r="D107" i="108"/>
  <c r="F107" i="108"/>
  <c r="H107" i="108"/>
  <c r="J107" i="108"/>
  <c r="L107" i="108"/>
  <c r="N107" i="108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T42" i="111" s="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AF42" i="110"/>
  <c r="AE42" i="110"/>
  <c r="AE42" i="109"/>
  <c r="AF42" i="109"/>
  <c r="K107" i="107"/>
  <c r="C108" i="107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L108" i="107"/>
  <c r="AE40" i="108"/>
  <c r="AF40" i="107"/>
  <c r="F107" i="107"/>
  <c r="I107" i="107"/>
  <c r="E107" i="107"/>
  <c r="N107" i="107"/>
  <c r="AE34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F42" i="107" l="1"/>
  <c r="U42" i="111"/>
  <c r="AF34" i="111"/>
  <c r="AF41" i="111"/>
  <c r="S42" i="111"/>
  <c r="AE42" i="108"/>
  <c r="AE41" i="111"/>
  <c r="AE42" i="111" s="1"/>
  <c r="AB42" i="111"/>
  <c r="AA42" i="111"/>
  <c r="AF42" i="108"/>
  <c r="X42" i="111"/>
  <c r="AC42" i="111"/>
  <c r="C107" i="111"/>
  <c r="E107" i="111"/>
  <c r="G107" i="111"/>
  <c r="I107" i="111"/>
  <c r="K107" i="111"/>
  <c r="M107" i="111"/>
  <c r="D107" i="111"/>
  <c r="F107" i="111"/>
  <c r="H107" i="111"/>
  <c r="J107" i="111"/>
  <c r="L107" i="111"/>
  <c r="N107" i="111"/>
  <c r="AF37" i="111"/>
  <c r="E108" i="111"/>
  <c r="AE34" i="111"/>
  <c r="F108" i="111"/>
  <c r="AE39" i="111"/>
  <c r="AE37" i="111"/>
  <c r="AE40" i="111"/>
  <c r="AF40" i="111"/>
  <c r="N108" i="111"/>
  <c r="H108" i="111"/>
  <c r="C108" i="111"/>
  <c r="AE35" i="111"/>
  <c r="AE36" i="111"/>
  <c r="AF36" i="111"/>
  <c r="AF38" i="111"/>
  <c r="AF39" i="111"/>
  <c r="AE38" i="111"/>
  <c r="J108" i="111"/>
  <c r="I108" i="111"/>
  <c r="D108" i="111"/>
  <c r="L108" i="111"/>
  <c r="G108" i="111"/>
  <c r="AF35" i="111"/>
  <c r="AF42" i="111" l="1"/>
</calcChain>
</file>

<file path=xl/sharedStrings.xml><?xml version="1.0" encoding="utf-8"?>
<sst xmlns="http://schemas.openxmlformats.org/spreadsheetml/2006/main" count="2329" uniqueCount="179">
  <si>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</si>
  <si>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</si>
  <si>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</si>
  <si>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</si>
  <si>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</si>
  <si>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</si>
  <si>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</si>
  <si>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</si>
  <si>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</si>
  <si>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</si>
  <si>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</si>
  <si>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</si>
  <si>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</si>
  <si>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</si>
  <si>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</si>
  <si>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</si>
  <si>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</si>
  <si>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</si>
  <si>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</si>
  <si>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</si>
  <si>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</si>
  <si>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</si>
  <si>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</si>
  <si>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</si>
  <si>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</si>
  <si>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</si>
  <si>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</si>
  <si>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</si>
  <si>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</si>
  <si>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</si>
  <si>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</si>
  <si>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</si>
  <si>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</si>
  <si>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</si>
  <si>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</si>
  <si>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</si>
  <si>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</si>
  <si>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</si>
  <si>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</si>
  <si>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</si>
  <si>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</si>
  <si>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</si>
  <si>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</si>
  <si>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</si>
  <si>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</si>
  <si>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</si>
  <si>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</si>
  <si>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</si>
  <si>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</si>
  <si>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</si>
  <si>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</si>
  <si>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</si>
  <si>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</si>
  <si>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</si>
  <si>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</si>
  <si>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</si>
  <si>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</si>
  <si>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</si>
  <si>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</si>
  <si>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</si>
  <si>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</si>
  <si>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</si>
  <si>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</si>
  <si>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</si>
  <si>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</si>
  <si>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</si>
  <si>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</si>
  <si>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</si>
  <si>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</si>
  <si>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</si>
  <si>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</si>
  <si>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</si>
  <si>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</si>
  <si>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</si>
  <si>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</si>
  <si>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</si>
  <si>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</si>
  <si>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</si>
  <si>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</si>
  <si>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</si>
  <si>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</si>
  <si>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</si>
  <si>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</si>
  <si>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</si>
  <si>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</si>
  <si>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</si>
  <si>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</si>
  <si>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</si>
  <si>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</si>
  <si>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</si>
  <si>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</si>
  <si>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</si>
  <si>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</si>
  <si>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</si>
  <si>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</si>
  <si>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</si>
  <si>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</si>
  <si>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</si>
  <si>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</si>
  <si>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</si>
  <si>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</si>
  <si>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</si>
  <si>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</si>
  <si>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</si>
  <si>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</si>
  <si>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</si>
  <si>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</si>
  <si>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</si>
  <si>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</si>
  <si>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</si>
  <si>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</si>
  <si>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</si>
  <si>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</si>
  <si>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</si>
  <si>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</si>
  <si>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</si>
  <si>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</si>
  <si>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</si>
  <si>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</si>
  <si>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</si>
  <si>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</si>
  <si>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</si>
  <si>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</si>
  <si>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</si>
  <si>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</si>
  <si>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</si>
  <si>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</si>
  <si>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</si>
  <si>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</si>
  <si>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</si>
  <si>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</si>
  <si>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</si>
  <si>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</si>
  <si>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</si>
  <si>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</si>
  <si>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</si>
  <si>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</si>
  <si>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</si>
  <si>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</si>
  <si>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</si>
  <si>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</si>
  <si>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</si>
  <si>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</si>
  <si>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</si>
  <si>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</si>
  <si>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</si>
  <si>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</si>
  <si>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</si>
  <si>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</si>
  <si>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</si>
  <si>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</si>
  <si>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</si>
  <si>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</si>
  <si>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</si>
  <si>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</si>
  <si>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</si>
  <si>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</si>
  <si>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</si>
  <si>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</si>
  <si>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</si>
  <si>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</si>
  <si>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</si>
  <si>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</si>
  <si>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17.10.19</t>
  </si>
  <si>
    <t>kyankwanzi</t>
  </si>
  <si>
    <t>bukomero</t>
  </si>
  <si>
    <t>kato joseph</t>
  </si>
  <si>
    <t>mbabazi</t>
  </si>
  <si>
    <t>rukundo james</t>
  </si>
  <si>
    <t xml:space="preserve">mbabazi </t>
  </si>
  <si>
    <t>18.10.19</t>
  </si>
  <si>
    <t>20.10.19</t>
  </si>
  <si>
    <t>22.10.19</t>
  </si>
  <si>
    <t>23.10.19</t>
  </si>
  <si>
    <t>MCC - C4 - STN110 - Bukomero Kyankwanzi Road</t>
  </si>
  <si>
    <t>19.10.19</t>
  </si>
  <si>
    <t>21.10.19</t>
  </si>
  <si>
    <t>XXXXX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</si>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</sst>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Kyankwanzi-bukomero'!$AE$9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Kyankwanzi-bukomero'!$AE$10:$AE$21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12</c:v>
                </c:pt>
                <c:pt idx="10">
                  <c:v>8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'17.10 Kyankwanzi-bukomero'!$AF$9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Kyankwanzi-bukomero'!$AF$10:$AF$21</c:f>
              <c:numCache>
                <c:formatCode>0</c:formatCode>
                <c:ptCount val="12"/>
                <c:pt idx="0">
                  <c:v>37</c:v>
                </c:pt>
                <c:pt idx="1">
                  <c:v>48</c:v>
                </c:pt>
                <c:pt idx="2">
                  <c:v>47</c:v>
                </c:pt>
                <c:pt idx="3">
                  <c:v>48</c:v>
                </c:pt>
                <c:pt idx="4">
                  <c:v>53</c:v>
                </c:pt>
                <c:pt idx="5">
                  <c:v>44</c:v>
                </c:pt>
                <c:pt idx="6">
                  <c:v>61</c:v>
                </c:pt>
                <c:pt idx="7">
                  <c:v>48</c:v>
                </c:pt>
                <c:pt idx="8">
                  <c:v>64</c:v>
                </c:pt>
                <c:pt idx="9">
                  <c:v>67</c:v>
                </c:pt>
                <c:pt idx="10">
                  <c:v>45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762432"/>
        <c:axId val="215777280"/>
      </c:lineChart>
      <c:catAx>
        <c:axId val="215762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777280"/>
        <c:crosses val="autoZero"/>
        <c:auto val="1"/>
        <c:lblAlgn val="ctr"/>
        <c:lblOffset val="100"/>
        <c:noMultiLvlLbl val="0"/>
      </c:catAx>
      <c:valAx>
        <c:axId val="215777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7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Kyankwanzi-bukomero'!$C$59:$N$59</c:f>
              <c:numCache>
                <c:formatCode>0.0%</c:formatCode>
                <c:ptCount val="12"/>
                <c:pt idx="0">
                  <c:v>2.7156549520766772E-2</c:v>
                </c:pt>
                <c:pt idx="1">
                  <c:v>1.1182108626198083E-2</c:v>
                </c:pt>
                <c:pt idx="2">
                  <c:v>1.1182108626198083E-2</c:v>
                </c:pt>
                <c:pt idx="3">
                  <c:v>6.3897763578274758E-3</c:v>
                </c:pt>
                <c:pt idx="4">
                  <c:v>0</c:v>
                </c:pt>
                <c:pt idx="5">
                  <c:v>0</c:v>
                </c:pt>
                <c:pt idx="6">
                  <c:v>3.8338658146964855E-2</c:v>
                </c:pt>
                <c:pt idx="7">
                  <c:v>1.7571884984025558E-2</c:v>
                </c:pt>
                <c:pt idx="8">
                  <c:v>3.1948881789137379E-3</c:v>
                </c:pt>
                <c:pt idx="9">
                  <c:v>0</c:v>
                </c:pt>
                <c:pt idx="10">
                  <c:v>0.88498402555910538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Kyankwanzi-bukomero'!$C$60:$N$60</c:f>
              <c:numCache>
                <c:formatCode>0.00%</c:formatCode>
                <c:ptCount val="12"/>
                <c:pt idx="0">
                  <c:v>0.2361111111111111</c:v>
                </c:pt>
                <c:pt idx="1">
                  <c:v>9.7222222222222224E-2</c:v>
                </c:pt>
                <c:pt idx="2">
                  <c:v>9.7222222222222224E-2</c:v>
                </c:pt>
                <c:pt idx="3">
                  <c:v>5.5555555555555552E-2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0.15277777777777779</c:v>
                </c:pt>
                <c:pt idx="8">
                  <c:v>2.7777777777777776E-2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bukomero-Kyankwanzi'!$AE$9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bukomero-Kyankwanzi'!$AE$10:$AE$21</c:f>
              <c:numCache>
                <c:formatCode>0</c:formatCode>
                <c:ptCount val="12"/>
                <c:pt idx="0">
                  <c:v>2</c:v>
                </c:pt>
                <c:pt idx="1">
                  <c:v>9</c:v>
                </c:pt>
                <c:pt idx="2">
                  <c:v>10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3</c:v>
                </c:pt>
                <c:pt idx="10">
                  <c:v>12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'17.10 bukomero-Kyankwanzi'!$AF$9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bukomero-Kyankwanzi'!$AF$10:$AF$21</c:f>
              <c:numCache>
                <c:formatCode>0</c:formatCode>
                <c:ptCount val="12"/>
                <c:pt idx="0">
                  <c:v>22</c:v>
                </c:pt>
                <c:pt idx="1">
                  <c:v>46</c:v>
                </c:pt>
                <c:pt idx="2">
                  <c:v>47</c:v>
                </c:pt>
                <c:pt idx="3">
                  <c:v>47</c:v>
                </c:pt>
                <c:pt idx="4">
                  <c:v>42</c:v>
                </c:pt>
                <c:pt idx="5">
                  <c:v>44</c:v>
                </c:pt>
                <c:pt idx="6">
                  <c:v>63</c:v>
                </c:pt>
                <c:pt idx="7">
                  <c:v>57</c:v>
                </c:pt>
                <c:pt idx="8">
                  <c:v>55</c:v>
                </c:pt>
                <c:pt idx="9">
                  <c:v>38</c:v>
                </c:pt>
                <c:pt idx="10">
                  <c:v>31</c:v>
                </c:pt>
                <c:pt idx="11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04832"/>
        <c:axId val="79706752"/>
      </c:lineChart>
      <c:catAx>
        <c:axId val="79704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06752"/>
        <c:crosses val="autoZero"/>
        <c:auto val="1"/>
        <c:lblAlgn val="ctr"/>
        <c:lblOffset val="100"/>
        <c:noMultiLvlLbl val="0"/>
      </c:catAx>
      <c:valAx>
        <c:axId val="79706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70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bukomero-Kyankwanzi'!$C$59:$N$59</c:f>
              <c:numCache>
                <c:formatCode>0.0%</c:formatCode>
                <c:ptCount val="12"/>
                <c:pt idx="0">
                  <c:v>3.5087719298245612E-2</c:v>
                </c:pt>
                <c:pt idx="1">
                  <c:v>1.0526315789473684E-2</c:v>
                </c:pt>
                <c:pt idx="2">
                  <c:v>1.0526315789473684E-2</c:v>
                </c:pt>
                <c:pt idx="3">
                  <c:v>3.5087719298245615E-3</c:v>
                </c:pt>
                <c:pt idx="4">
                  <c:v>0</c:v>
                </c:pt>
                <c:pt idx="5">
                  <c:v>0</c:v>
                </c:pt>
                <c:pt idx="6">
                  <c:v>6.491228070175438E-2</c:v>
                </c:pt>
                <c:pt idx="7">
                  <c:v>8.771929824561403E-3</c:v>
                </c:pt>
                <c:pt idx="8">
                  <c:v>1.7543859649122807E-3</c:v>
                </c:pt>
                <c:pt idx="9">
                  <c:v>0</c:v>
                </c:pt>
                <c:pt idx="10">
                  <c:v>0.86491228070175441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'17.10 bukomero-Kyankwanzi'!$S$9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'17.10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bukomero-Kyankwanzi'!$S$10:$S$21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'17.10 bukomero-Kyankwanzi'!$T$9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'17.10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'17.10 bukomero-Kyankwanzi'!$T$10:$T$21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'17.10 bukomero-Kyankwanzi'!$U$9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'17.10 bukomero-Kyankwanzi'!$V$9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'17.10 bukomero-Kyankwanzi'!$W$9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'17.10 bukomero-Kyankwanzi'!$X$9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'17.10 bukomero-Kyankwanzi'!$Y$9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bukomero-Kyankwanzi'!$Y$10:$Y$21</c:f>
              <c:numCache>
                <c:formatCode>0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1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'17.10 bukomero-Kyankwanzi'!$Z$9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'17.10 bukomero-Kyankwanzi'!$AA$9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'17.10 bukomero-Kyankwanzi'!$AB$9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'17.10 bukomero-Kyankwanzi'!$AC$9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bukomero-Kyankwanzi'!$AC$10:$AC$21</c:f>
              <c:numCache>
                <c:formatCode>0</c:formatCode>
                <c:ptCount val="12"/>
                <c:pt idx="0">
                  <c:v>20</c:v>
                </c:pt>
                <c:pt idx="1">
                  <c:v>37</c:v>
                </c:pt>
                <c:pt idx="2">
                  <c:v>37</c:v>
                </c:pt>
                <c:pt idx="3">
                  <c:v>41</c:v>
                </c:pt>
                <c:pt idx="4">
                  <c:v>39</c:v>
                </c:pt>
                <c:pt idx="5">
                  <c:v>41</c:v>
                </c:pt>
                <c:pt idx="6">
                  <c:v>55</c:v>
                </c:pt>
                <c:pt idx="7">
                  <c:v>48</c:v>
                </c:pt>
                <c:pt idx="8">
                  <c:v>45</c:v>
                </c:pt>
                <c:pt idx="9">
                  <c:v>35</c:v>
                </c:pt>
                <c:pt idx="10">
                  <c:v>19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'17.10 bukomero-Kyankwanzi'!$AD$9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'17.10 bukomero-Kyankwanzi'!$AD$10:$AD$21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01344"/>
        <c:axId val="79803136"/>
      </c:lineChart>
      <c:catAx>
        <c:axId val="7980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803136"/>
        <c:crosses val="autoZero"/>
        <c:auto val="1"/>
        <c:lblAlgn val="ctr"/>
        <c:lblOffset val="100"/>
        <c:noMultiLvlLbl val="0"/>
      </c:catAx>
      <c:valAx>
        <c:axId val="7980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80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'17.10 bukomero-Kyankwanzi'!$C$60:$N$60</c:f>
              <c:numCache>
                <c:formatCode>0.00%</c:formatCode>
                <c:ptCount val="12"/>
                <c:pt idx="0">
                  <c:v>0.25974025974025972</c:v>
                </c:pt>
                <c:pt idx="1">
                  <c:v>7.792207792207792E-2</c:v>
                </c:pt>
                <c:pt idx="2">
                  <c:v>7.792207792207792E-2</c:v>
                </c:pt>
                <c:pt idx="3">
                  <c:v>2.5974025974025976E-2</c:v>
                </c:pt>
                <c:pt idx="4">
                  <c:v>0</c:v>
                </c:pt>
                <c:pt idx="5">
                  <c:v>0</c:v>
                </c:pt>
                <c:pt idx="6">
                  <c:v>0.48051948051948051</c:v>
                </c:pt>
                <c:pt idx="7">
                  <c:v>6.4935064935064929E-2</c:v>
                </c:pt>
                <c:pt idx="8">
                  <c:v>1.2987012987012988E-2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Kyankwanzi-bukomero'!$AE$9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Kyankwanzi-bukomero'!$AE$10:$AE$21</c:f>
              <c:numCache>
                <c:formatCode>0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7</c:v>
                </c:pt>
                <c:pt idx="3">
                  <c:v>1</c:v>
                </c:pt>
                <c:pt idx="4">
                  <c:v>7</c:v>
                </c:pt>
                <c:pt idx="5">
                  <c:v>10</c:v>
                </c:pt>
                <c:pt idx="6">
                  <c:v>6</c:v>
                </c:pt>
                <c:pt idx="7">
                  <c:v>11</c:v>
                </c:pt>
                <c:pt idx="8">
                  <c:v>5</c:v>
                </c:pt>
                <c:pt idx="9">
                  <c:v>11</c:v>
                </c:pt>
                <c:pt idx="10">
                  <c:v>16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'18.10 Kyankwanzi-bukomero'!$AF$9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Kyankwanzi-bukomero'!$AF$10:$AF$21</c:f>
              <c:numCache>
                <c:formatCode>0</c:formatCode>
                <c:ptCount val="12"/>
                <c:pt idx="0">
                  <c:v>49</c:v>
                </c:pt>
                <c:pt idx="1">
                  <c:v>36</c:v>
                </c:pt>
                <c:pt idx="2">
                  <c:v>53</c:v>
                </c:pt>
                <c:pt idx="3">
                  <c:v>44</c:v>
                </c:pt>
                <c:pt idx="4">
                  <c:v>49</c:v>
                </c:pt>
                <c:pt idx="5">
                  <c:v>53</c:v>
                </c:pt>
                <c:pt idx="6">
                  <c:v>40</c:v>
                </c:pt>
                <c:pt idx="7">
                  <c:v>62</c:v>
                </c:pt>
                <c:pt idx="8">
                  <c:v>48</c:v>
                </c:pt>
                <c:pt idx="9">
                  <c:v>78</c:v>
                </c:pt>
                <c:pt idx="10">
                  <c:v>90</c:v>
                </c:pt>
                <c:pt idx="11">
                  <c:v>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12960"/>
        <c:axId val="79914880"/>
      </c:lineChart>
      <c:catAx>
        <c:axId val="79912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914880"/>
        <c:crosses val="autoZero"/>
        <c:auto val="1"/>
        <c:lblAlgn val="ctr"/>
        <c:lblOffset val="100"/>
        <c:noMultiLvlLbl val="0"/>
      </c:catAx>
      <c:valAx>
        <c:axId val="799148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991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Kyankwanzi-bukomero'!$C$59:$N$59</c:f>
              <c:numCache>
                <c:formatCode>0.0%</c:formatCode>
                <c:ptCount val="12"/>
                <c:pt idx="0">
                  <c:v>3.5714285714285712E-2</c:v>
                </c:pt>
                <c:pt idx="1">
                  <c:v>1.636904761904762E-2</c:v>
                </c:pt>
                <c:pt idx="2">
                  <c:v>4.464285714285714E-3</c:v>
                </c:pt>
                <c:pt idx="3">
                  <c:v>1.1904761904761904E-2</c:v>
                </c:pt>
                <c:pt idx="4">
                  <c:v>0</c:v>
                </c:pt>
                <c:pt idx="5">
                  <c:v>0</c:v>
                </c:pt>
                <c:pt idx="6">
                  <c:v>5.5059523809523808E-2</c:v>
                </c:pt>
                <c:pt idx="7">
                  <c:v>2.976190476190476E-3</c:v>
                </c:pt>
                <c:pt idx="8">
                  <c:v>0</c:v>
                </c:pt>
                <c:pt idx="9">
                  <c:v>0</c:v>
                </c:pt>
                <c:pt idx="10">
                  <c:v>0.87351190476190477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Kyankwanzi-bukomero'!$S$9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Kyankwanzi-bukomero'!$S$10:$S$21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'18.10 Kyankwanzi-bukomero'!$T$9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Kyankwanzi-bukomero'!$T$10:$T$21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'18.10 Kyankwanzi-bukomero'!$U$9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'18.10 Kyankwanzi-bukomero'!$V$9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'18.10 Kyankwanzi-bukomero'!$W$9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'18.10 Kyankwanzi-bukomero'!$X$9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'18.10 Kyankwanzi-bukomero'!$Y$9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2</c:v>
                </c:pt>
                <c:pt idx="9">
                  <c:v>5</c:v>
                </c:pt>
                <c:pt idx="10">
                  <c:v>8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'18.10 Kyankwanzi-bukomero'!$Z$9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Kyankwanzi-bukomero'!$Z$10:$Z$21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'18.10 Kyankwanzi-bukomero'!$AA$9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'18.10 Kyankwanzi-bukomero'!$AB$9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'18.10 Kyankwanzi-bukomero'!$AC$9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Kyankwanzi-bukomero'!$AC$10:$AC$21</c:f>
              <c:numCache>
                <c:formatCode>0</c:formatCode>
                <c:ptCount val="12"/>
                <c:pt idx="0">
                  <c:v>45</c:v>
                </c:pt>
                <c:pt idx="1">
                  <c:v>35</c:v>
                </c:pt>
                <c:pt idx="2">
                  <c:v>46</c:v>
                </c:pt>
                <c:pt idx="3">
                  <c:v>43</c:v>
                </c:pt>
                <c:pt idx="4">
                  <c:v>42</c:v>
                </c:pt>
                <c:pt idx="5">
                  <c:v>43</c:v>
                </c:pt>
                <c:pt idx="6">
                  <c:v>34</c:v>
                </c:pt>
                <c:pt idx="7">
                  <c:v>51</c:v>
                </c:pt>
                <c:pt idx="8">
                  <c:v>43</c:v>
                </c:pt>
                <c:pt idx="9">
                  <c:v>67</c:v>
                </c:pt>
                <c:pt idx="10">
                  <c:v>74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'18.10 Kyankwanzi-bukomero'!$AD$9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Kyankwanzi-bukomero'!$AD$10:$AD$21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93408"/>
        <c:axId val="80194944"/>
      </c:lineChart>
      <c:catAx>
        <c:axId val="8019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194944"/>
        <c:crosses val="autoZero"/>
        <c:auto val="1"/>
        <c:lblAlgn val="ctr"/>
        <c:lblOffset val="100"/>
        <c:noMultiLvlLbl val="0"/>
      </c:catAx>
      <c:valAx>
        <c:axId val="801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Kyankwanzi-bukomero'!$C$60:$N$60</c:f>
              <c:numCache>
                <c:formatCode>0.00%</c:formatCode>
                <c:ptCount val="12"/>
                <c:pt idx="0">
                  <c:v>0.28235294117647058</c:v>
                </c:pt>
                <c:pt idx="1">
                  <c:v>0.12941176470588237</c:v>
                </c:pt>
                <c:pt idx="2">
                  <c:v>3.5294117647058823E-2</c:v>
                </c:pt>
                <c:pt idx="3">
                  <c:v>9.4117647058823528E-2</c:v>
                </c:pt>
                <c:pt idx="4">
                  <c:v>0</c:v>
                </c:pt>
                <c:pt idx="5">
                  <c:v>0</c:v>
                </c:pt>
                <c:pt idx="6">
                  <c:v>0.43529411764705883</c:v>
                </c:pt>
                <c:pt idx="7">
                  <c:v>2.3529411764705882E-2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bukomero-Kyankwanzi'!$AE$9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'18.10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bukomero-Kyankwanzi'!$AE$10:$AE$21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3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'18.10 bukomero-Kyankwanzi'!$AF$9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'18.10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bukomero-Kyankwanzi'!$AF$10:$AF$21</c:f>
              <c:numCache>
                <c:formatCode>0</c:formatCode>
                <c:ptCount val="12"/>
                <c:pt idx="0">
                  <c:v>45</c:v>
                </c:pt>
                <c:pt idx="1">
                  <c:v>48</c:v>
                </c:pt>
                <c:pt idx="2">
                  <c:v>44</c:v>
                </c:pt>
                <c:pt idx="3">
                  <c:v>54</c:v>
                </c:pt>
                <c:pt idx="4">
                  <c:v>37</c:v>
                </c:pt>
                <c:pt idx="5">
                  <c:v>41</c:v>
                </c:pt>
                <c:pt idx="6">
                  <c:v>37</c:v>
                </c:pt>
                <c:pt idx="7">
                  <c:v>53</c:v>
                </c:pt>
                <c:pt idx="8">
                  <c:v>51</c:v>
                </c:pt>
                <c:pt idx="9">
                  <c:v>55</c:v>
                </c:pt>
                <c:pt idx="10">
                  <c:v>81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325248"/>
        <c:axId val="80327424"/>
      </c:lineChart>
      <c:catAx>
        <c:axId val="803252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327424"/>
        <c:crosses val="autoZero"/>
        <c:auto val="1"/>
        <c:lblAlgn val="ctr"/>
        <c:lblOffset val="100"/>
        <c:noMultiLvlLbl val="0"/>
      </c:catAx>
      <c:valAx>
        <c:axId val="80327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32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bukomero-Kyankwanzi'!$C$59:$N$59</c:f>
              <c:numCache>
                <c:formatCode>0.0%</c:formatCode>
                <c:ptCount val="12"/>
                <c:pt idx="0">
                  <c:v>2.8571428571428571E-2</c:v>
                </c:pt>
                <c:pt idx="1">
                  <c:v>1.3445378151260505E-2</c:v>
                </c:pt>
                <c:pt idx="2">
                  <c:v>8.4033613445378148E-3</c:v>
                </c:pt>
                <c:pt idx="3">
                  <c:v>6.7226890756302525E-3</c:v>
                </c:pt>
                <c:pt idx="4">
                  <c:v>0</c:v>
                </c:pt>
                <c:pt idx="5">
                  <c:v>0</c:v>
                </c:pt>
                <c:pt idx="6">
                  <c:v>5.7142857142857141E-2</c:v>
                </c:pt>
                <c:pt idx="7">
                  <c:v>1.1764705882352941E-2</c:v>
                </c:pt>
                <c:pt idx="8">
                  <c:v>0</c:v>
                </c:pt>
                <c:pt idx="9">
                  <c:v>0</c:v>
                </c:pt>
                <c:pt idx="10">
                  <c:v>0.87394957983193278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'18.10 bukomero-Kyankwanzi'!$S$9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'18.10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bukomero-Kyankwanzi'!$S$10:$S$21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'18.10 bukomero-Kyankwanzi'!$T$9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'18.10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'18.10 bukomero-Kyankwanzi'!$T$10:$T$21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'18.10 bukomero-Kyankwanzi'!$U$9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'18.10 bukomero-Kyankwanzi'!$V$9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'18.10 bukomero-Kyankwanzi'!$W$9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'18.10 bukomero-Kyankwanzi'!$X$9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'18.10 bukomero-Kyankwanzi'!$Y$9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bukomero-Kyankwanzi'!$Y$10:$Y$21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6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'18.10 bukomero-Kyankwanzi'!$Z$9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'18.10 bukomero-Kyankwanzi'!$AA$9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'18.10 bukomero-Kyankwanzi'!$AB$9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'18.10 bukomero-Kyankwanzi'!$AC$9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bukomero-Kyankwanzi'!$AC$10:$AC$21</c:f>
              <c:numCache>
                <c:formatCode>0</c:formatCode>
                <c:ptCount val="12"/>
                <c:pt idx="0">
                  <c:v>38</c:v>
                </c:pt>
                <c:pt idx="1">
                  <c:v>40</c:v>
                </c:pt>
                <c:pt idx="2">
                  <c:v>36</c:v>
                </c:pt>
                <c:pt idx="3">
                  <c:v>46</c:v>
                </c:pt>
                <c:pt idx="4">
                  <c:v>34</c:v>
                </c:pt>
                <c:pt idx="5">
                  <c:v>39</c:v>
                </c:pt>
                <c:pt idx="6">
                  <c:v>33</c:v>
                </c:pt>
                <c:pt idx="7">
                  <c:v>44</c:v>
                </c:pt>
                <c:pt idx="8">
                  <c:v>43</c:v>
                </c:pt>
                <c:pt idx="9">
                  <c:v>52</c:v>
                </c:pt>
                <c:pt idx="10">
                  <c:v>75</c:v>
                </c:pt>
                <c:pt idx="11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'18.10 bukomero-Kyankwanzi'!$AD$9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'18.10 bukomero-Kyankwanzi'!$AD$10:$AD$21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05952"/>
        <c:axId val="80607488"/>
      </c:lineChart>
      <c:catAx>
        <c:axId val="8060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07488"/>
        <c:crosses val="autoZero"/>
        <c:auto val="1"/>
        <c:lblAlgn val="ctr"/>
        <c:lblOffset val="100"/>
        <c:noMultiLvlLbl val="0"/>
      </c:catAx>
      <c:valAx>
        <c:axId val="8060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60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'18.10 bukomero-Kyankwanzi'!$C$60:$N$60</c:f>
              <c:numCache>
                <c:formatCode>0.00%</c:formatCode>
                <c:ptCount val="12"/>
                <c:pt idx="0">
                  <c:v>0.22666666666666666</c:v>
                </c:pt>
                <c:pt idx="1">
                  <c:v>0.10666666666666667</c:v>
                </c:pt>
                <c:pt idx="2">
                  <c:v>6.6666666666666666E-2</c:v>
                </c:pt>
                <c:pt idx="3">
                  <c:v>5.3333333333333337E-2</c:v>
                </c:pt>
                <c:pt idx="4">
                  <c:v>0</c:v>
                </c:pt>
                <c:pt idx="5">
                  <c:v>0</c:v>
                </c:pt>
                <c:pt idx="6">
                  <c:v>0.45333333333333331</c:v>
                </c:pt>
                <c:pt idx="7">
                  <c:v>9.3333333333333338E-2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Kyankwanzi-bukomero-24h'!$AE$9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Kyankwanzi-bukomero-24h'!$R$10:$R$33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Kyankwanzi-bukomero-24h'!$AE$10:$AE$33</c:f>
              <c:numCache>
                <c:formatCode>0</c:formatCode>
                <c:ptCount val="24"/>
                <c:pt idx="0">
                  <c:v>2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12</c:v>
                </c:pt>
                <c:pt idx="6">
                  <c:v>2</c:v>
                </c:pt>
                <c:pt idx="7">
                  <c:v>11</c:v>
                </c:pt>
                <c:pt idx="8">
                  <c:v>8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0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8</c:v>
                </c:pt>
                <c:pt idx="21">
                  <c:v>6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'19.10 Kyankwanzi-bukomero-24h'!$AF$9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Kyankwanzi-bukomero-24h'!$R$10:$R$33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Kyankwanzi-bukomero-24h'!$AF$10:$AF$33</c:f>
              <c:numCache>
                <c:formatCode>0</c:formatCode>
                <c:ptCount val="24"/>
                <c:pt idx="0">
                  <c:v>31</c:v>
                </c:pt>
                <c:pt idx="1">
                  <c:v>55</c:v>
                </c:pt>
                <c:pt idx="2">
                  <c:v>37</c:v>
                </c:pt>
                <c:pt idx="3">
                  <c:v>36</c:v>
                </c:pt>
                <c:pt idx="4">
                  <c:v>37</c:v>
                </c:pt>
                <c:pt idx="5">
                  <c:v>53</c:v>
                </c:pt>
                <c:pt idx="6">
                  <c:v>57</c:v>
                </c:pt>
                <c:pt idx="7">
                  <c:v>60</c:v>
                </c:pt>
                <c:pt idx="8">
                  <c:v>32</c:v>
                </c:pt>
                <c:pt idx="9">
                  <c:v>38</c:v>
                </c:pt>
                <c:pt idx="10">
                  <c:v>40</c:v>
                </c:pt>
                <c:pt idx="11">
                  <c:v>55</c:v>
                </c:pt>
                <c:pt idx="12">
                  <c:v>53</c:v>
                </c:pt>
                <c:pt idx="13">
                  <c:v>41</c:v>
                </c:pt>
                <c:pt idx="14">
                  <c:v>34</c:v>
                </c:pt>
                <c:pt idx="15">
                  <c:v>25</c:v>
                </c:pt>
                <c:pt idx="16">
                  <c:v>11</c:v>
                </c:pt>
                <c:pt idx="17">
                  <c:v>6</c:v>
                </c:pt>
                <c:pt idx="18">
                  <c:v>6</c:v>
                </c:pt>
                <c:pt idx="19">
                  <c:v>2</c:v>
                </c:pt>
                <c:pt idx="20">
                  <c:v>9</c:v>
                </c:pt>
                <c:pt idx="21">
                  <c:v>7</c:v>
                </c:pt>
                <c:pt idx="22">
                  <c:v>12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91808"/>
        <c:axId val="80810368"/>
      </c:lineChart>
      <c:catAx>
        <c:axId val="80791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810368"/>
        <c:crosses val="autoZero"/>
        <c:auto val="1"/>
        <c:lblAlgn val="ctr"/>
        <c:lblOffset val="100"/>
        <c:noMultiLvlLbl val="0"/>
      </c:catAx>
      <c:valAx>
        <c:axId val="8081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079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Kyankwanzi-bukomero-24h'!$C$9:$N$9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Kyankwanzi-bukomero-24h'!$C$107:$N$107</c:f>
              <c:numCache>
                <c:formatCode>0.0%</c:formatCode>
                <c:ptCount val="12"/>
                <c:pt idx="0">
                  <c:v>4.0789473684210528E-2</c:v>
                </c:pt>
                <c:pt idx="1">
                  <c:v>9.2105263157894728E-3</c:v>
                </c:pt>
                <c:pt idx="2">
                  <c:v>1.3157894736842105E-2</c:v>
                </c:pt>
                <c:pt idx="3">
                  <c:v>1.5789473684210527E-2</c:v>
                </c:pt>
                <c:pt idx="4">
                  <c:v>0</c:v>
                </c:pt>
                <c:pt idx="5">
                  <c:v>0</c:v>
                </c:pt>
                <c:pt idx="6">
                  <c:v>7.6315789473684212E-2</c:v>
                </c:pt>
                <c:pt idx="7">
                  <c:v>1.3157894736842105E-2</c:v>
                </c:pt>
                <c:pt idx="8">
                  <c:v>0</c:v>
                </c:pt>
                <c:pt idx="9">
                  <c:v>0</c:v>
                </c:pt>
                <c:pt idx="10">
                  <c:v>0.83157894736842108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Kyankwanzi-bukomero-24h'!$C$9:$N$9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Kyankwanzi-bukomero-24h'!$C$108:$N$108</c:f>
              <c:numCache>
                <c:formatCode>0.00%</c:formatCode>
                <c:ptCount val="12"/>
                <c:pt idx="0">
                  <c:v>0.2421875</c:v>
                </c:pt>
                <c:pt idx="1">
                  <c:v>5.46875E-2</c:v>
                </c:pt>
                <c:pt idx="2">
                  <c:v>7.8125E-2</c:v>
                </c:pt>
                <c:pt idx="3">
                  <c:v>9.375E-2</c:v>
                </c:pt>
                <c:pt idx="4">
                  <c:v>0</c:v>
                </c:pt>
                <c:pt idx="5">
                  <c:v>0</c:v>
                </c:pt>
                <c:pt idx="6">
                  <c:v>0.453125</c:v>
                </c:pt>
                <c:pt idx="7">
                  <c:v>7.8125E-2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'19.10 bukomero-Kyankwanzi-24h'!$AE$9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'19.10 bukomero-Kyankwanzi-24h'!$R$10:$R$33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bukomero-Kyankwanzi-24h'!$AE$10:$AE$33</c:f>
              <c:numCache>
                <c:formatCode>0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8</c:v>
                </c:pt>
                <c:pt idx="7">
                  <c:v>3</c:v>
                </c:pt>
                <c:pt idx="8">
                  <c:v>5</c:v>
                </c:pt>
                <c:pt idx="9">
                  <c:v>13</c:v>
                </c:pt>
                <c:pt idx="10">
                  <c:v>2</c:v>
                </c:pt>
                <c:pt idx="11">
                  <c:v>8</c:v>
                </c:pt>
                <c:pt idx="12">
                  <c:v>6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3</c:v>
                </c:pt>
                <c:pt idx="22">
                  <c:v>5</c:v>
                </c:pt>
                <c:pt idx="23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'19.10 bukomero-Kyankwanzi-24h'!$AF$9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'19.10 bukomero-Kyankwanzi-24h'!$R$10:$R$33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'19.10 bukomero-Kyankwanzi-24h'!$AF$10:$AF$33</c:f>
              <c:numCache>
                <c:formatCode>0</c:formatCode>
                <c:ptCount val="24"/>
                <c:pt idx="0">
                  <c:v>35</c:v>
                </c:pt>
                <c:pt idx="1">
                  <c:v>38</c:v>
                </c:pt>
                <c:pt idx="2">
                  <c:v>57</c:v>
                </c:pt>
                <c:pt idx="3">
                  <c:v>45</c:v>
                </c:pt>
                <c:pt idx="4">
                  <c:v>46</c:v>
                </c:pt>
                <c:pt idx="5">
                  <c:v>64</c:v>
                </c:pt>
                <c:pt idx="6">
                  <c:v>58</c:v>
                </c:pt>
                <c:pt idx="7">
                  <c:v>57</c:v>
                </c:pt>
                <c:pt idx="8">
                  <c:v>39</c:v>
                </c:pt>
                <c:pt idx="9">
                  <c:v>67</c:v>
                </c:pt>
                <c:pt idx="10">
                  <c:v>47</c:v>
                </c:pt>
                <c:pt idx="11">
                  <c:v>61</c:v>
                </c:pt>
                <c:pt idx="12">
                  <c:v>47</c:v>
                </c:pt>
                <c:pt idx="13">
                  <c:v>22</c:v>
                </c:pt>
                <c:pt idx="14">
                  <c:v>21</c:v>
                </c:pt>
                <c:pt idx="15">
                  <c:v>20</c:v>
                </c:pt>
                <c:pt idx="16">
                  <c:v>9</c:v>
                </c:pt>
                <c:pt idx="17">
                  <c:v>6</c:v>
                </c:pt>
                <c:pt idx="18">
                  <c:v>6</c:v>
                </c:pt>
                <c:pt idx="19">
                  <c:v>4</c:v>
                </c:pt>
                <c:pt idx="20">
                  <c:v>10</c:v>
                </c:pt>
                <c:pt idx="21">
                  <c:v>3</c:v>
                </c:pt>
                <c:pt idx="22">
                  <c:v>14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6032"/>
        <c:axId val="81037952"/>
      </c:lineChart>
      <c:catAx>
        <c:axId val="81036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037952"/>
        <c:crosses val="autoZero"/>
        <c:auto val="1"/>
        <c:lblAlgn val="ctr"/>
        <c:lblOffset val="100"/>
        <c:noMultiLvlLbl val="0"/>
      </c:catAx>
      <c:valAx>
        <c:axId val="810379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0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bukomero-Kyankwanzi-24h'!$C$9:$N$9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bukomero-Kyankwanzi-24h'!$C$107:$N$107</c:f>
              <c:numCache>
                <c:formatCode>0.0%</c:formatCode>
                <c:ptCount val="12"/>
                <c:pt idx="0">
                  <c:v>3.4271725826193387E-2</c:v>
                </c:pt>
                <c:pt idx="1">
                  <c:v>8.5679314565483469E-3</c:v>
                </c:pt>
                <c:pt idx="2">
                  <c:v>6.1199510403916772E-3</c:v>
                </c:pt>
                <c:pt idx="3">
                  <c:v>1.4687882496940025E-2</c:v>
                </c:pt>
                <c:pt idx="4">
                  <c:v>0</c:v>
                </c:pt>
                <c:pt idx="5">
                  <c:v>0</c:v>
                </c:pt>
                <c:pt idx="6">
                  <c:v>7.4663402692778463E-2</c:v>
                </c:pt>
                <c:pt idx="7">
                  <c:v>1.591187270501836E-2</c:v>
                </c:pt>
                <c:pt idx="8">
                  <c:v>1.2239902080783353E-3</c:v>
                </c:pt>
                <c:pt idx="9">
                  <c:v>0</c:v>
                </c:pt>
                <c:pt idx="10">
                  <c:v>0.84332925336597309</c:v>
                </c:pt>
                <c:pt idx="11">
                  <c:v>1.2239902080783353E-3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'19.10 bukomero-Kyankwanzi-24h'!$C$9:$N$9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'19.10 bukomero-Kyankwanzi-24h'!$C$108:$N$108</c:f>
              <c:numCache>
                <c:formatCode>0.00%</c:formatCode>
                <c:ptCount val="12"/>
                <c:pt idx="0">
                  <c:v>0.21875</c:v>
                </c:pt>
                <c:pt idx="1">
                  <c:v>5.46875E-2</c:v>
                </c:pt>
                <c:pt idx="2">
                  <c:v>3.90625E-2</c:v>
                </c:pt>
                <c:pt idx="3">
                  <c:v>9.375E-2</c:v>
                </c:pt>
                <c:pt idx="4">
                  <c:v>0</c:v>
                </c:pt>
                <c:pt idx="5">
                  <c:v>0</c:v>
                </c:pt>
                <c:pt idx="6">
                  <c:v>0.4765625</c:v>
                </c:pt>
                <c:pt idx="7">
                  <c:v>0.1015625</c:v>
                </c:pt>
                <c:pt idx="8">
                  <c:v>7.8125E-3</c:v>
                </c:pt>
                <c:pt idx="9">
                  <c:v>0</c:v>
                </c:pt>
                <c:pt idx="11">
                  <c:v>7.8125E-3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Kyankwanzi-bukomero'!$AE$9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Kyankwanzi-bukomero'!$AE$10:$AE$21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9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'20.10 Kyankwanzi-bukomero'!$AF$9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Kyankwanzi-bukomero'!$AF$10:$AF$21</c:f>
              <c:numCache>
                <c:formatCode>0</c:formatCode>
                <c:ptCount val="12"/>
                <c:pt idx="0">
                  <c:v>23</c:v>
                </c:pt>
                <c:pt idx="1">
                  <c:v>34</c:v>
                </c:pt>
                <c:pt idx="2">
                  <c:v>43</c:v>
                </c:pt>
                <c:pt idx="3">
                  <c:v>53</c:v>
                </c:pt>
                <c:pt idx="4">
                  <c:v>49</c:v>
                </c:pt>
                <c:pt idx="5">
                  <c:v>52</c:v>
                </c:pt>
                <c:pt idx="6">
                  <c:v>70</c:v>
                </c:pt>
                <c:pt idx="7">
                  <c:v>79</c:v>
                </c:pt>
                <c:pt idx="8">
                  <c:v>63</c:v>
                </c:pt>
                <c:pt idx="9">
                  <c:v>69</c:v>
                </c:pt>
                <c:pt idx="10">
                  <c:v>61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20576"/>
        <c:axId val="81466112"/>
      </c:lineChart>
      <c:catAx>
        <c:axId val="81320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466112"/>
        <c:crosses val="autoZero"/>
        <c:auto val="1"/>
        <c:lblAlgn val="ctr"/>
        <c:lblOffset val="100"/>
        <c:noMultiLvlLbl val="0"/>
      </c:catAx>
      <c:valAx>
        <c:axId val="814661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32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Kyankwanzi-bukomero'!$C$59:$N$59</c:f>
              <c:numCache>
                <c:formatCode>0.0%</c:formatCode>
                <c:ptCount val="12"/>
                <c:pt idx="0">
                  <c:v>3.875968992248062E-2</c:v>
                </c:pt>
                <c:pt idx="1">
                  <c:v>6.2015503875968991E-3</c:v>
                </c:pt>
                <c:pt idx="2">
                  <c:v>3.1007751937984496E-3</c:v>
                </c:pt>
                <c:pt idx="3">
                  <c:v>3.1007751937984496E-3</c:v>
                </c:pt>
                <c:pt idx="4">
                  <c:v>0</c:v>
                </c:pt>
                <c:pt idx="5">
                  <c:v>0</c:v>
                </c:pt>
                <c:pt idx="6">
                  <c:v>4.6511627906976744E-2</c:v>
                </c:pt>
                <c:pt idx="7">
                  <c:v>6.2015503875968991E-3</c:v>
                </c:pt>
                <c:pt idx="8">
                  <c:v>0</c:v>
                </c:pt>
                <c:pt idx="9">
                  <c:v>0</c:v>
                </c:pt>
                <c:pt idx="10">
                  <c:v>0.89612403100775195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Kyankwanzi-bukomero'!$S$9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Kyankwanzi-bukomero'!$S$10:$S$21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'20.10 Kyankwanzi-bukomero'!$T$9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Kyankwanzi-bukomero'!$T$10:$T$21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'20.10 Kyankwanzi-bukomero'!$U$9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'20.10 Kyankwanzi-bukomero'!$V$9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'20.10 Kyankwanzi-bukomero'!$W$9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'20.10 Kyankwanzi-bukomero'!$X$9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'20.10 Kyankwanzi-bukomero'!$Y$9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Kyankwanzi-bukomero'!$Y$10:$Y$21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'20.10 Kyankwanzi-bukomero'!$Z$9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'20.10 Kyankwanzi-bukomero'!$AA$9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'20.10 Kyankwanzi-bukomero'!$AB$9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'20.10 Kyankwanzi-bukomero'!$AC$9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Kyankwanzi-bukomero'!$AC$10:$AC$21</c:f>
              <c:numCache>
                <c:formatCode>0</c:formatCode>
                <c:ptCount val="12"/>
                <c:pt idx="0">
                  <c:v>21</c:v>
                </c:pt>
                <c:pt idx="1">
                  <c:v>29</c:v>
                </c:pt>
                <c:pt idx="2">
                  <c:v>39</c:v>
                </c:pt>
                <c:pt idx="3">
                  <c:v>47</c:v>
                </c:pt>
                <c:pt idx="4">
                  <c:v>45</c:v>
                </c:pt>
                <c:pt idx="5">
                  <c:v>48</c:v>
                </c:pt>
                <c:pt idx="6">
                  <c:v>61</c:v>
                </c:pt>
                <c:pt idx="7">
                  <c:v>74</c:v>
                </c:pt>
                <c:pt idx="8">
                  <c:v>57</c:v>
                </c:pt>
                <c:pt idx="9">
                  <c:v>65</c:v>
                </c:pt>
                <c:pt idx="10">
                  <c:v>53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'20.10 Kyankwanzi-bukomero'!$AD$9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'20.10 Kyankwanzi-bukomero'!$AD$10:$AD$21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577408"/>
        <c:axId val="94578944"/>
      </c:lineChart>
      <c:catAx>
        <c:axId val="9457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578944"/>
        <c:crosses val="autoZero"/>
        <c:auto val="1"/>
        <c:lblAlgn val="ctr"/>
        <c:lblOffset val="100"/>
        <c:noMultiLvlLbl val="0"/>
      </c:catAx>
      <c:valAx>
        <c:axId val="9457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457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Kyankwanzi-bukomero'!$C$60:$N$60</c:f>
              <c:numCache>
                <c:formatCode>0.00%</c:formatCode>
                <c:ptCount val="12"/>
                <c:pt idx="0">
                  <c:v>0.37313432835820898</c:v>
                </c:pt>
                <c:pt idx="1">
                  <c:v>5.9701492537313432E-2</c:v>
                </c:pt>
                <c:pt idx="2">
                  <c:v>2.9850746268656716E-2</c:v>
                </c:pt>
                <c:pt idx="3">
                  <c:v>2.9850746268656716E-2</c:v>
                </c:pt>
                <c:pt idx="4">
                  <c:v>0</c:v>
                </c:pt>
                <c:pt idx="5">
                  <c:v>0</c:v>
                </c:pt>
                <c:pt idx="6">
                  <c:v>0.44776119402985076</c:v>
                </c:pt>
                <c:pt idx="7">
                  <c:v>5.9701492537313432E-2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'20.10 bukomero-Kyankwanzi'!$AE$9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bukomero-Kyankwanzi'!$AE$10:$AE$21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'20.10 bukomero-Kyankwanzi'!$AF$9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'20.10 bukomero-Kyankwanzi'!$AF$10:$AF$21</c:f>
              <c:numCache>
                <c:formatCode>0</c:formatCode>
                <c:ptCount val="12"/>
                <c:pt idx="0">
                  <c:v>25</c:v>
                </c:pt>
                <c:pt idx="1">
                  <c:v>36</c:v>
                </c:pt>
                <c:pt idx="2">
                  <c:v>43</c:v>
                </c:pt>
                <c:pt idx="3">
                  <c:v>54</c:v>
                </c:pt>
                <c:pt idx="4">
                  <c:v>52</c:v>
                </c:pt>
                <c:pt idx="5">
                  <c:v>56</c:v>
                </c:pt>
                <c:pt idx="6">
                  <c:v>56</c:v>
                </c:pt>
                <c:pt idx="7">
                  <c:v>67</c:v>
                </c:pt>
                <c:pt idx="8">
                  <c:v>69</c:v>
                </c:pt>
                <c:pt idx="9">
                  <c:v>63</c:v>
                </c:pt>
                <c:pt idx="10">
                  <c:v>73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467008"/>
        <c:axId val="95468928"/>
      </c:lineChart>
      <c:catAx>
        <c:axId val="95467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468928"/>
        <c:crosses val="autoZero"/>
        <c:auto val="1"/>
        <c:lblAlgn val="ctr"/>
        <c:lblOffset val="100"/>
        <c:noMultiLvlLbl val="0"/>
      </c:catAx>
      <c:valAx>
        <c:axId val="95468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546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bukomero-Kyankwanzi'!$C$59:$N$59</c:f>
              <c:numCache>
                <c:formatCode>0.0%</c:formatCode>
                <c:ptCount val="12"/>
                <c:pt idx="0">
                  <c:v>2.4316109422492401E-2</c:v>
                </c:pt>
                <c:pt idx="1">
                  <c:v>6.0790273556231003E-3</c:v>
                </c:pt>
                <c:pt idx="2">
                  <c:v>1.0638297872340425E-2</c:v>
                </c:pt>
                <c:pt idx="3">
                  <c:v>6.0790273556231003E-3</c:v>
                </c:pt>
                <c:pt idx="4">
                  <c:v>0</c:v>
                </c:pt>
                <c:pt idx="5">
                  <c:v>0</c:v>
                </c:pt>
                <c:pt idx="6">
                  <c:v>3.0395136778115502E-2</c:v>
                </c:pt>
                <c:pt idx="7">
                  <c:v>1.0638297872340425E-2</c:v>
                </c:pt>
                <c:pt idx="8">
                  <c:v>1.5197568389057751E-3</c:v>
                </c:pt>
                <c:pt idx="9">
                  <c:v>0</c:v>
                </c:pt>
                <c:pt idx="10">
                  <c:v>0.91033434650455924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'20.10 bukomero-Kyankwanzi'!$C$60:$N$60</c:f>
              <c:numCache>
                <c:formatCode>0.00%</c:formatCode>
                <c:ptCount val="12"/>
                <c:pt idx="0">
                  <c:v>0.2711864406779661</c:v>
                </c:pt>
                <c:pt idx="1">
                  <c:v>6.7796610169491525E-2</c:v>
                </c:pt>
                <c:pt idx="2">
                  <c:v>0.11864406779661017</c:v>
                </c:pt>
                <c:pt idx="3">
                  <c:v>6.7796610169491525E-2</c:v>
                </c:pt>
                <c:pt idx="4">
                  <c:v>0</c:v>
                </c:pt>
                <c:pt idx="5">
                  <c:v>0</c:v>
                </c:pt>
                <c:pt idx="6">
                  <c:v>0.33898305084745761</c:v>
                </c:pt>
                <c:pt idx="7">
                  <c:v>0.11864406779661017</c:v>
                </c:pt>
                <c:pt idx="8">
                  <c:v>1.6949152542372881E-2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Kyankwanzi-bukomero-24h'!$AE$9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Kyankwanzi-bukomero-24h'!$R$10:$R$33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Kyankwanzi-bukomero-24h'!$AE$10:$AE$33</c:f>
              <c:numCache>
                <c:formatCode>0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7</c:v>
                </c:pt>
                <c:pt idx="8">
                  <c:v>10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6</c:v>
                </c:pt>
                <c:pt idx="18">
                  <c:v>8</c:v>
                </c:pt>
                <c:pt idx="19">
                  <c:v>6</c:v>
                </c:pt>
                <c:pt idx="20">
                  <c:v>6</c:v>
                </c:pt>
                <c:pt idx="21">
                  <c:v>3</c:v>
                </c:pt>
                <c:pt idx="22">
                  <c:v>11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'21.10 Kyankwanzi-bukomero-24h'!$AF$9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Kyankwanzi-bukomero-24h'!$R$10:$R$33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Kyankwanzi-bukomero-24h'!$AF$10:$AF$33</c:f>
              <c:numCache>
                <c:formatCode>0</c:formatCode>
                <c:ptCount val="24"/>
                <c:pt idx="0">
                  <c:v>34</c:v>
                </c:pt>
                <c:pt idx="1">
                  <c:v>35</c:v>
                </c:pt>
                <c:pt idx="2">
                  <c:v>37</c:v>
                </c:pt>
                <c:pt idx="3">
                  <c:v>33</c:v>
                </c:pt>
                <c:pt idx="4">
                  <c:v>50</c:v>
                </c:pt>
                <c:pt idx="5">
                  <c:v>45</c:v>
                </c:pt>
                <c:pt idx="6">
                  <c:v>60</c:v>
                </c:pt>
                <c:pt idx="7">
                  <c:v>44</c:v>
                </c:pt>
                <c:pt idx="8">
                  <c:v>57</c:v>
                </c:pt>
                <c:pt idx="9">
                  <c:v>45</c:v>
                </c:pt>
                <c:pt idx="10">
                  <c:v>56</c:v>
                </c:pt>
                <c:pt idx="11">
                  <c:v>60</c:v>
                </c:pt>
                <c:pt idx="12">
                  <c:v>52</c:v>
                </c:pt>
                <c:pt idx="13">
                  <c:v>47</c:v>
                </c:pt>
                <c:pt idx="14">
                  <c:v>27</c:v>
                </c:pt>
                <c:pt idx="15">
                  <c:v>18</c:v>
                </c:pt>
                <c:pt idx="16">
                  <c:v>24</c:v>
                </c:pt>
                <c:pt idx="17">
                  <c:v>8</c:v>
                </c:pt>
                <c:pt idx="18">
                  <c:v>13</c:v>
                </c:pt>
                <c:pt idx="19">
                  <c:v>12</c:v>
                </c:pt>
                <c:pt idx="20">
                  <c:v>7</c:v>
                </c:pt>
                <c:pt idx="21">
                  <c:v>4</c:v>
                </c:pt>
                <c:pt idx="22">
                  <c:v>15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07296"/>
        <c:axId val="96009216"/>
      </c:lineChart>
      <c:catAx>
        <c:axId val="96007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009216"/>
        <c:crosses val="autoZero"/>
        <c:auto val="1"/>
        <c:lblAlgn val="ctr"/>
        <c:lblOffset val="100"/>
        <c:noMultiLvlLbl val="0"/>
      </c:catAx>
      <c:valAx>
        <c:axId val="96009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0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Kyankwanzi-bukomero-24h'!$C$9:$N$9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Kyankwanzi-bukomero-24h'!$C$107:$N$107</c:f>
              <c:numCache>
                <c:formatCode>0.0%</c:formatCode>
                <c:ptCount val="12"/>
                <c:pt idx="0">
                  <c:v>3.9751552795031057E-2</c:v>
                </c:pt>
                <c:pt idx="1">
                  <c:v>4.9689440993788822E-3</c:v>
                </c:pt>
                <c:pt idx="2">
                  <c:v>9.9378881987577643E-3</c:v>
                </c:pt>
                <c:pt idx="3">
                  <c:v>8.6956521739130436E-3</c:v>
                </c:pt>
                <c:pt idx="4">
                  <c:v>0</c:v>
                </c:pt>
                <c:pt idx="5">
                  <c:v>0</c:v>
                </c:pt>
                <c:pt idx="6">
                  <c:v>8.0745341614906832E-2</c:v>
                </c:pt>
                <c:pt idx="7">
                  <c:v>1.6149068322981366E-2</c:v>
                </c:pt>
                <c:pt idx="8">
                  <c:v>1.2422360248447205E-3</c:v>
                </c:pt>
                <c:pt idx="9">
                  <c:v>0</c:v>
                </c:pt>
                <c:pt idx="10">
                  <c:v>0.83850931677018636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Kyankwanzi-bukomero-24h'!$C$9:$N$9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Kyankwanzi-bukomero-24h'!$C$108:$N$108</c:f>
              <c:numCache>
                <c:formatCode>0.00%</c:formatCode>
                <c:ptCount val="12"/>
                <c:pt idx="0">
                  <c:v>0.24615384615384617</c:v>
                </c:pt>
                <c:pt idx="1">
                  <c:v>3.0769230769230771E-2</c:v>
                </c:pt>
                <c:pt idx="2">
                  <c:v>6.1538461538461542E-2</c:v>
                </c:pt>
                <c:pt idx="3">
                  <c:v>5.3846153846153849E-2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0.1</c:v>
                </c:pt>
                <c:pt idx="8">
                  <c:v>7.6923076923076927E-3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'21.10 bukomero-Kyankwanzi-24h'!$AE$9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'21.10 bukomero-Kyankwanzi-24h'!$R$10:$R$33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bukomero-Kyankwanzi-24h'!$AE$10:$AE$33</c:f>
              <c:numCache>
                <c:formatCode>0</c:formatCode>
                <c:ptCount val="2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9</c:v>
                </c:pt>
                <c:pt idx="10">
                  <c:v>5</c:v>
                </c:pt>
                <c:pt idx="11">
                  <c:v>8</c:v>
                </c:pt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4</c:v>
                </c:pt>
                <c:pt idx="20">
                  <c:v>7</c:v>
                </c:pt>
                <c:pt idx="21">
                  <c:v>3</c:v>
                </c:pt>
                <c:pt idx="22">
                  <c:v>3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'21.10 bukomero-Kyankwanzi-24h'!$AF$9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'21.10 bukomero-Kyankwanzi-24h'!$R$10:$R$33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'21.10 bukomero-Kyankwanzi-24h'!$AF$10:$AF$33</c:f>
              <c:numCache>
                <c:formatCode>0</c:formatCode>
                <c:ptCount val="24"/>
                <c:pt idx="0">
                  <c:v>46</c:v>
                </c:pt>
                <c:pt idx="1">
                  <c:v>34</c:v>
                </c:pt>
                <c:pt idx="2">
                  <c:v>39</c:v>
                </c:pt>
                <c:pt idx="3">
                  <c:v>30</c:v>
                </c:pt>
                <c:pt idx="4">
                  <c:v>48</c:v>
                </c:pt>
                <c:pt idx="5">
                  <c:v>50</c:v>
                </c:pt>
                <c:pt idx="6">
                  <c:v>48</c:v>
                </c:pt>
                <c:pt idx="7">
                  <c:v>59</c:v>
                </c:pt>
                <c:pt idx="8">
                  <c:v>56</c:v>
                </c:pt>
                <c:pt idx="9">
                  <c:v>69</c:v>
                </c:pt>
                <c:pt idx="10">
                  <c:v>66</c:v>
                </c:pt>
                <c:pt idx="11">
                  <c:v>69</c:v>
                </c:pt>
                <c:pt idx="12">
                  <c:v>60</c:v>
                </c:pt>
                <c:pt idx="13">
                  <c:v>44</c:v>
                </c:pt>
                <c:pt idx="14">
                  <c:v>26</c:v>
                </c:pt>
                <c:pt idx="15">
                  <c:v>19</c:v>
                </c:pt>
                <c:pt idx="16">
                  <c:v>12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7</c:v>
                </c:pt>
                <c:pt idx="21">
                  <c:v>3</c:v>
                </c:pt>
                <c:pt idx="22">
                  <c:v>13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837632"/>
        <c:axId val="96839552"/>
      </c:lineChart>
      <c:catAx>
        <c:axId val="968376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839552"/>
        <c:crosses val="autoZero"/>
        <c:auto val="1"/>
        <c:lblAlgn val="ctr"/>
        <c:lblOffset val="100"/>
        <c:noMultiLvlLbl val="0"/>
      </c:catAx>
      <c:valAx>
        <c:axId val="968395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68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bukomero-Kyankwanzi-24h'!$C$9:$N$9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bukomero-Kyankwanzi-24h'!$C$107:$N$107</c:f>
              <c:numCache>
                <c:formatCode>0.0%</c:formatCode>
                <c:ptCount val="12"/>
                <c:pt idx="0">
                  <c:v>2.9691211401425176E-2</c:v>
                </c:pt>
                <c:pt idx="1">
                  <c:v>4.7505938242280287E-3</c:v>
                </c:pt>
                <c:pt idx="2">
                  <c:v>1.0688836104513063E-2</c:v>
                </c:pt>
                <c:pt idx="3">
                  <c:v>7.1258907363420431E-3</c:v>
                </c:pt>
                <c:pt idx="4">
                  <c:v>0</c:v>
                </c:pt>
                <c:pt idx="5">
                  <c:v>0</c:v>
                </c:pt>
                <c:pt idx="6">
                  <c:v>6.1757719714964368E-2</c:v>
                </c:pt>
                <c:pt idx="7">
                  <c:v>5.9382422802850355E-3</c:v>
                </c:pt>
                <c:pt idx="8">
                  <c:v>3.5629453681710215E-3</c:v>
                </c:pt>
                <c:pt idx="9">
                  <c:v>0</c:v>
                </c:pt>
                <c:pt idx="10">
                  <c:v>0.87173396674584325</c:v>
                </c:pt>
                <c:pt idx="11">
                  <c:v>4.7505938242280287E-3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'21.10 bukomero-Kyankwanzi-24h'!$C$9:$N$9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'21.10 bukomero-Kyankwanzi-24h'!$C$108:$N$108</c:f>
              <c:numCache>
                <c:formatCode>0.00%</c:formatCode>
                <c:ptCount val="12"/>
                <c:pt idx="0">
                  <c:v>0.23148148148148148</c:v>
                </c:pt>
                <c:pt idx="1">
                  <c:v>3.7037037037037035E-2</c:v>
                </c:pt>
                <c:pt idx="2">
                  <c:v>8.3333333333333329E-2</c:v>
                </c:pt>
                <c:pt idx="3">
                  <c:v>5.5555555555555552E-2</c:v>
                </c:pt>
                <c:pt idx="4">
                  <c:v>0</c:v>
                </c:pt>
                <c:pt idx="5">
                  <c:v>0</c:v>
                </c:pt>
                <c:pt idx="6">
                  <c:v>0.48148148148148145</c:v>
                </c:pt>
                <c:pt idx="7">
                  <c:v>4.6296296296296294E-2</c:v>
                </c:pt>
                <c:pt idx="8">
                  <c:v>2.7777777777777776E-2</c:v>
                </c:pt>
                <c:pt idx="9">
                  <c:v>0</c:v>
                </c:pt>
                <c:pt idx="11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Kyankwanzi-bukomero'!$AE$9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Kyankwanzi-bukomero'!$AE$10:$AE$21</c:f>
              <c:numCache>
                <c:formatCode>0</c:formatCode>
                <c:ptCount val="12"/>
                <c:pt idx="0">
                  <c:v>0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8</c:v>
                </c:pt>
                <c:pt idx="8">
                  <c:v>8</c:v>
                </c:pt>
                <c:pt idx="9">
                  <c:v>11</c:v>
                </c:pt>
                <c:pt idx="10">
                  <c:v>7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'22.10 Kyankwanzi-bukomero'!$AF$9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Kyankwanzi-bukomero'!$AF$10:$AF$21</c:f>
              <c:numCache>
                <c:formatCode>0</c:formatCode>
                <c:ptCount val="12"/>
                <c:pt idx="0">
                  <c:v>52</c:v>
                </c:pt>
                <c:pt idx="1">
                  <c:v>63</c:v>
                </c:pt>
                <c:pt idx="2">
                  <c:v>67</c:v>
                </c:pt>
                <c:pt idx="3">
                  <c:v>58</c:v>
                </c:pt>
                <c:pt idx="4">
                  <c:v>50</c:v>
                </c:pt>
                <c:pt idx="5">
                  <c:v>68</c:v>
                </c:pt>
                <c:pt idx="6">
                  <c:v>56</c:v>
                </c:pt>
                <c:pt idx="7">
                  <c:v>77</c:v>
                </c:pt>
                <c:pt idx="8">
                  <c:v>78</c:v>
                </c:pt>
                <c:pt idx="9">
                  <c:v>101</c:v>
                </c:pt>
                <c:pt idx="10">
                  <c:v>90</c:v>
                </c:pt>
                <c:pt idx="11">
                  <c:v>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63840"/>
        <c:axId val="97386496"/>
      </c:lineChart>
      <c:catAx>
        <c:axId val="97363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386496"/>
        <c:crosses val="autoZero"/>
        <c:auto val="1"/>
        <c:lblAlgn val="ctr"/>
        <c:lblOffset val="100"/>
        <c:noMultiLvlLbl val="0"/>
      </c:catAx>
      <c:valAx>
        <c:axId val="97386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736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Kyankwanzi-bukomero'!$C$59:$N$59</c:f>
              <c:numCache>
                <c:formatCode>0.0%</c:formatCode>
                <c:ptCount val="12"/>
                <c:pt idx="0">
                  <c:v>1.5204678362573099E-2</c:v>
                </c:pt>
                <c:pt idx="1">
                  <c:v>8.1871345029239772E-3</c:v>
                </c:pt>
                <c:pt idx="2">
                  <c:v>4.6783625730994153E-3</c:v>
                </c:pt>
                <c:pt idx="3">
                  <c:v>8.1871345029239772E-3</c:v>
                </c:pt>
                <c:pt idx="4">
                  <c:v>0</c:v>
                </c:pt>
                <c:pt idx="5">
                  <c:v>0</c:v>
                </c:pt>
                <c:pt idx="6">
                  <c:v>3.3918128654970757E-2</c:v>
                </c:pt>
                <c:pt idx="7">
                  <c:v>4.6783625730994153E-3</c:v>
                </c:pt>
                <c:pt idx="8">
                  <c:v>1.1695906432748538E-3</c:v>
                </c:pt>
                <c:pt idx="9">
                  <c:v>0</c:v>
                </c:pt>
                <c:pt idx="10">
                  <c:v>0.92397660818713445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Kyankwanzi-bukomero'!$S$9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Kyankwanzi-bukomero'!$S$10:$S$21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'22.10 Kyankwanzi-bukomero'!$T$9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Kyankwanzi-bukomero'!$T$10:$T$21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'22.10 Kyankwanzi-bukomero'!$U$9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'22.10 Kyankwanzi-bukomero'!$V$9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Kyankwanzi-bukomero'!$V$10:$V$21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'22.10 Kyankwanzi-bukomero'!$W$9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'22.10 Kyankwanzi-bukomero'!$X$9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'22.10 Kyankwanzi-bukomero'!$Y$9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Kyankwanzi-bukomero'!$Y$10:$Y$21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5</c:v>
                </c:pt>
                <c:pt idx="9">
                  <c:v>7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'22.10 Kyankwanzi-bukomero'!$Z$9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'22.10 Kyankwanzi-bukomero'!$AA$9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'22.10 Kyankwanzi-bukomero'!$AB$9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'22.10 Kyankwanzi-bukomero'!$AC$9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Kyankwanzi-bukomero'!$AC$10:$AC$21</c:f>
              <c:numCache>
                <c:formatCode>0</c:formatCode>
                <c:ptCount val="12"/>
                <c:pt idx="0">
                  <c:v>52</c:v>
                </c:pt>
                <c:pt idx="1">
                  <c:v>56</c:v>
                </c:pt>
                <c:pt idx="2">
                  <c:v>65</c:v>
                </c:pt>
                <c:pt idx="3">
                  <c:v>50</c:v>
                </c:pt>
                <c:pt idx="4">
                  <c:v>47</c:v>
                </c:pt>
                <c:pt idx="5">
                  <c:v>63</c:v>
                </c:pt>
                <c:pt idx="6">
                  <c:v>52</c:v>
                </c:pt>
                <c:pt idx="7">
                  <c:v>69</c:v>
                </c:pt>
                <c:pt idx="8">
                  <c:v>70</c:v>
                </c:pt>
                <c:pt idx="9">
                  <c:v>90</c:v>
                </c:pt>
                <c:pt idx="10">
                  <c:v>83</c:v>
                </c:pt>
                <c:pt idx="11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'22.10 Kyankwanzi-bukomero'!$AD$9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Kyankwanzi-bukomero'!$AD$10:$AD$21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296000"/>
        <c:axId val="119297536"/>
      </c:lineChart>
      <c:catAx>
        <c:axId val="11929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297536"/>
        <c:crosses val="autoZero"/>
        <c:auto val="1"/>
        <c:lblAlgn val="ctr"/>
        <c:lblOffset val="100"/>
        <c:noMultiLvlLbl val="0"/>
      </c:catAx>
      <c:valAx>
        <c:axId val="11929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29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Kyankwanzi-bukomero'!$C$60:$N$60</c:f>
              <c:numCache>
                <c:formatCode>0.00%</c:formatCode>
                <c:ptCount val="12"/>
                <c:pt idx="0">
                  <c:v>0.2</c:v>
                </c:pt>
                <c:pt idx="1">
                  <c:v>0.1076923076923077</c:v>
                </c:pt>
                <c:pt idx="2">
                  <c:v>6.1538461538461542E-2</c:v>
                </c:pt>
                <c:pt idx="3">
                  <c:v>0.1076923076923077</c:v>
                </c:pt>
                <c:pt idx="4">
                  <c:v>0</c:v>
                </c:pt>
                <c:pt idx="5">
                  <c:v>0</c:v>
                </c:pt>
                <c:pt idx="6">
                  <c:v>0.44615384615384618</c:v>
                </c:pt>
                <c:pt idx="7">
                  <c:v>6.1538461538461542E-2</c:v>
                </c:pt>
                <c:pt idx="8">
                  <c:v>1.5384615384615385E-2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bukomero-Kyankwanzi'!$AE$9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bukomero-Kyankwanzi'!$AE$10:$AE$21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11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9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A2-4BEA-9283-A21D641FF48D}"/>
            </c:ext>
          </c:extLst>
        </c:ser>
        <c:ser>
          <c:idx val="1"/>
          <c:order val="1"/>
          <c:tx>
            <c:strRef>
              <c:f>'22.10 bukomero-Kyankwanzi'!$AF$9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bukomero-Kyankwanzi'!$AF$10:$AF$21</c:f>
              <c:numCache>
                <c:formatCode>0</c:formatCode>
                <c:ptCount val="12"/>
                <c:pt idx="0">
                  <c:v>35</c:v>
                </c:pt>
                <c:pt idx="1">
                  <c:v>29</c:v>
                </c:pt>
                <c:pt idx="2">
                  <c:v>28</c:v>
                </c:pt>
                <c:pt idx="3">
                  <c:v>36</c:v>
                </c:pt>
                <c:pt idx="4">
                  <c:v>64</c:v>
                </c:pt>
                <c:pt idx="5">
                  <c:v>32</c:v>
                </c:pt>
                <c:pt idx="6">
                  <c:v>40</c:v>
                </c:pt>
                <c:pt idx="7">
                  <c:v>62</c:v>
                </c:pt>
                <c:pt idx="8">
                  <c:v>59</c:v>
                </c:pt>
                <c:pt idx="9">
                  <c:v>82</c:v>
                </c:pt>
                <c:pt idx="10">
                  <c:v>87</c:v>
                </c:pt>
                <c:pt idx="11">
                  <c:v>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A2-4BEA-9283-A21D641FF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63008"/>
        <c:axId val="119564928"/>
      </c:lineChart>
      <c:catAx>
        <c:axId val="119563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564928"/>
        <c:crosses val="autoZero"/>
        <c:auto val="1"/>
        <c:lblAlgn val="ctr"/>
        <c:lblOffset val="100"/>
        <c:noMultiLvlLbl val="0"/>
      </c:catAx>
      <c:valAx>
        <c:axId val="1195649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1956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89-420E-8FA8-03A5114451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89-420E-8FA8-03A5114451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89-420E-8FA8-03A5114451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89-420E-8FA8-03A5114451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89-420E-8FA8-03A5114451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689-420E-8FA8-03A5114451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689-420E-8FA8-03A5114451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689-420E-8FA8-03A51144510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689-420E-8FA8-03A51144510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689-420E-8FA8-03A51144510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689-420E-8FA8-03A51144510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689-420E-8FA8-03A51144510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689-420E-8FA8-03A5114451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bukomero-Kyankwanzi'!$C$59:$N$59</c:f>
              <c:numCache>
                <c:formatCode>0.0%</c:formatCode>
                <c:ptCount val="12"/>
                <c:pt idx="0">
                  <c:v>1.0719754977029096E-2</c:v>
                </c:pt>
                <c:pt idx="1">
                  <c:v>1.0719754977029096E-2</c:v>
                </c:pt>
                <c:pt idx="2">
                  <c:v>1.5313935681470138E-2</c:v>
                </c:pt>
                <c:pt idx="3">
                  <c:v>1.5313935681470138E-3</c:v>
                </c:pt>
                <c:pt idx="4">
                  <c:v>0</c:v>
                </c:pt>
                <c:pt idx="5">
                  <c:v>0</c:v>
                </c:pt>
                <c:pt idx="6">
                  <c:v>5.9724349157733538E-2</c:v>
                </c:pt>
                <c:pt idx="7">
                  <c:v>3.0627871362940277E-3</c:v>
                </c:pt>
                <c:pt idx="8">
                  <c:v>0</c:v>
                </c:pt>
                <c:pt idx="9">
                  <c:v>0</c:v>
                </c:pt>
                <c:pt idx="10">
                  <c:v>0.89892802450229714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689-420E-8FA8-03A511445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'22.10 bukomero-Kyankwanzi'!$S$9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bukomero-Kyankwanzi'!$S$10:$S$21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E2-4D5A-972E-384981BF3323}"/>
            </c:ext>
          </c:extLst>
        </c:ser>
        <c:ser>
          <c:idx val="1"/>
          <c:order val="1"/>
          <c:tx>
            <c:strRef>
              <c:f>'22.10 bukomero-Kyankwanzi'!$T$9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'22.10 bukomero-Kyankwanzi'!$T$10:$T$21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E2-4D5A-972E-384981BF3323}"/>
            </c:ext>
          </c:extLst>
        </c:ser>
        <c:ser>
          <c:idx val="2"/>
          <c:order val="2"/>
          <c:tx>
            <c:strRef>
              <c:f>'22.10 bukomero-Kyankwanzi'!$U$9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2-4D5A-972E-384981BF3323}"/>
            </c:ext>
          </c:extLst>
        </c:ser>
        <c:ser>
          <c:idx val="3"/>
          <c:order val="3"/>
          <c:tx>
            <c:strRef>
              <c:f>'22.10 bukomero-Kyankwanzi'!$V$9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E2-4D5A-972E-384981BF3323}"/>
            </c:ext>
          </c:extLst>
        </c:ser>
        <c:ser>
          <c:idx val="4"/>
          <c:order val="4"/>
          <c:tx>
            <c:strRef>
              <c:f>'22.10 bukomero-Kyankwanzi'!$W$9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E2-4D5A-972E-384981BF3323}"/>
            </c:ext>
          </c:extLst>
        </c:ser>
        <c:ser>
          <c:idx val="5"/>
          <c:order val="5"/>
          <c:tx>
            <c:strRef>
              <c:f>'22.10 bukomero-Kyankwanzi'!$X$9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E2-4D5A-972E-384981BF3323}"/>
            </c:ext>
          </c:extLst>
        </c:ser>
        <c:ser>
          <c:idx val="6"/>
          <c:order val="6"/>
          <c:tx>
            <c:strRef>
              <c:f>'22.10 bukomero-Kyankwanzi'!$Y$9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1</c:v>
                </c:pt>
                <c:pt idx="7">
                  <c:v>5</c:v>
                </c:pt>
                <c:pt idx="8">
                  <c:v>2</c:v>
                </c:pt>
                <c:pt idx="9">
                  <c:v>5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E2-4D5A-972E-384981BF3323}"/>
            </c:ext>
          </c:extLst>
        </c:ser>
        <c:ser>
          <c:idx val="7"/>
          <c:order val="7"/>
          <c:tx>
            <c:strRef>
              <c:f>'22.10 bukomero-Kyankwanzi'!$Z$9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E2-4D5A-972E-384981BF3323}"/>
            </c:ext>
          </c:extLst>
        </c:ser>
        <c:ser>
          <c:idx val="8"/>
          <c:order val="8"/>
          <c:tx>
            <c:strRef>
              <c:f>'22.10 bukomero-Kyankwanzi'!$AA$9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E2-4D5A-972E-384981BF3323}"/>
            </c:ext>
          </c:extLst>
        </c:ser>
        <c:ser>
          <c:idx val="9"/>
          <c:order val="9"/>
          <c:tx>
            <c:strRef>
              <c:f>'22.10 bukomero-Kyankwanzi'!$AB$9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E2-4D5A-972E-384981BF3323}"/>
            </c:ext>
          </c:extLst>
        </c:ser>
        <c:ser>
          <c:idx val="10"/>
          <c:order val="10"/>
          <c:tx>
            <c:strRef>
              <c:f>'22.10 bukomero-Kyankwanzi'!$AC$9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bukomero-Kyankwanzi'!$AC$10:$AC$21</c:f>
              <c:numCache>
                <c:formatCode>0</c:formatCode>
                <c:ptCount val="12"/>
                <c:pt idx="0">
                  <c:v>32</c:v>
                </c:pt>
                <c:pt idx="1">
                  <c:v>23</c:v>
                </c:pt>
                <c:pt idx="2">
                  <c:v>24</c:v>
                </c:pt>
                <c:pt idx="3">
                  <c:v>30</c:v>
                </c:pt>
                <c:pt idx="4">
                  <c:v>56</c:v>
                </c:pt>
                <c:pt idx="5">
                  <c:v>21</c:v>
                </c:pt>
                <c:pt idx="6">
                  <c:v>38</c:v>
                </c:pt>
                <c:pt idx="7">
                  <c:v>55</c:v>
                </c:pt>
                <c:pt idx="8">
                  <c:v>54</c:v>
                </c:pt>
                <c:pt idx="9">
                  <c:v>73</c:v>
                </c:pt>
                <c:pt idx="10">
                  <c:v>86</c:v>
                </c:pt>
                <c:pt idx="1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E2-4D5A-972E-384981BF3323}"/>
            </c:ext>
          </c:extLst>
        </c:ser>
        <c:ser>
          <c:idx val="11"/>
          <c:order val="11"/>
          <c:tx>
            <c:strRef>
              <c:f>'22.10 bukomero-Kyankwanzi'!$AD$9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'22.10 bukomero-Kyankwanzi'!$AD$10:$AD$21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9E2-4D5A-972E-384981BF3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02400"/>
        <c:axId val="192520576"/>
      </c:lineChart>
      <c:catAx>
        <c:axId val="19250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2520576"/>
        <c:crosses val="autoZero"/>
        <c:auto val="1"/>
        <c:lblAlgn val="ctr"/>
        <c:lblOffset val="100"/>
        <c:noMultiLvlLbl val="0"/>
      </c:catAx>
      <c:valAx>
        <c:axId val="1925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250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9C-4FF9-94D2-1C0805A130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9C-4FF9-94D2-1C0805A130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9C-4FF9-94D2-1C0805A130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9C-4FF9-94D2-1C0805A130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9C-4FF9-94D2-1C0805A130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9C-4FF9-94D2-1C0805A130B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9C-4FF9-94D2-1C0805A130B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9C-4FF9-94D2-1C0805A130B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9C-4FF9-94D2-1C0805A130B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9C-4FF9-94D2-1C0805A130B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9C-4FF9-94D2-1C0805A130B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9C-4FF9-94D2-1C0805A130B6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9C-4FF9-94D2-1C0805A130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'22.10 bukomero-Kyankwanzi'!$C$60:$N$60</c:f>
              <c:numCache>
                <c:formatCode>0.00%</c:formatCode>
                <c:ptCount val="12"/>
                <c:pt idx="0">
                  <c:v>0.10606060606060606</c:v>
                </c:pt>
                <c:pt idx="1">
                  <c:v>0.10606060606060606</c:v>
                </c:pt>
                <c:pt idx="2">
                  <c:v>0.15151515151515152</c:v>
                </c:pt>
                <c:pt idx="3">
                  <c:v>1.5151515151515152E-2</c:v>
                </c:pt>
                <c:pt idx="4">
                  <c:v>0</c:v>
                </c:pt>
                <c:pt idx="5">
                  <c:v>0</c:v>
                </c:pt>
                <c:pt idx="6">
                  <c:v>0.59090909090909094</c:v>
                </c:pt>
                <c:pt idx="7">
                  <c:v>3.0303030303030304E-2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9C-4FF9-94D2-1C0805A13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kyankwanzi-bukomero'!$AE$9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kyankwanzi-bukomero'!$AE$10:$AE$21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5</c:v>
                </c:pt>
                <c:pt idx="4">
                  <c:v>14</c:v>
                </c:pt>
                <c:pt idx="5">
                  <c:v>9</c:v>
                </c:pt>
                <c:pt idx="6">
                  <c:v>6</c:v>
                </c:pt>
                <c:pt idx="7">
                  <c:v>16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F6-476C-807C-28999895845D}"/>
            </c:ext>
          </c:extLst>
        </c:ser>
        <c:ser>
          <c:idx val="1"/>
          <c:order val="1"/>
          <c:tx>
            <c:strRef>
              <c:f>'23.10 kyankwanzi-bukomero'!$AF$9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kyankwanzi-bukomero'!$AF$10:$AF$21</c:f>
              <c:numCache>
                <c:formatCode>0</c:formatCode>
                <c:ptCount val="12"/>
                <c:pt idx="0">
                  <c:v>40</c:v>
                </c:pt>
                <c:pt idx="1">
                  <c:v>42</c:v>
                </c:pt>
                <c:pt idx="2">
                  <c:v>52</c:v>
                </c:pt>
                <c:pt idx="3">
                  <c:v>43</c:v>
                </c:pt>
                <c:pt idx="4">
                  <c:v>73</c:v>
                </c:pt>
                <c:pt idx="5">
                  <c:v>59</c:v>
                </c:pt>
                <c:pt idx="6">
                  <c:v>55</c:v>
                </c:pt>
                <c:pt idx="7">
                  <c:v>64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F6-476C-807C-289998958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24064"/>
        <c:axId val="193279488"/>
      </c:lineChart>
      <c:catAx>
        <c:axId val="193224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3279488"/>
        <c:crosses val="autoZero"/>
        <c:auto val="1"/>
        <c:lblAlgn val="ctr"/>
        <c:lblOffset val="100"/>
        <c:noMultiLvlLbl val="0"/>
      </c:catAx>
      <c:valAx>
        <c:axId val="193279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19322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5B-4111-B0E6-5FF3EB4F75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5B-4111-B0E6-5FF3EB4F75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5B-4111-B0E6-5FF3EB4F75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05B-4111-B0E6-5FF3EB4F75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05B-4111-B0E6-5FF3EB4F75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05B-4111-B0E6-5FF3EB4F75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05B-4111-B0E6-5FF3EB4F753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05B-4111-B0E6-5FF3EB4F753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05B-4111-B0E6-5FF3EB4F753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05B-4111-B0E6-5FF3EB4F753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05B-4111-B0E6-5FF3EB4F753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05B-4111-B0E6-5FF3EB4F753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5B-4111-B0E6-5FF3EB4F75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kyankwanzi-bukomero'!$C$59:$N$59</c:f>
              <c:numCache>
                <c:formatCode>0.0%</c:formatCode>
                <c:ptCount val="12"/>
                <c:pt idx="0">
                  <c:v>4.9327354260089683E-2</c:v>
                </c:pt>
                <c:pt idx="1">
                  <c:v>1.4947683109118086E-2</c:v>
                </c:pt>
                <c:pt idx="2">
                  <c:v>1.4947683109118086E-2</c:v>
                </c:pt>
                <c:pt idx="3">
                  <c:v>8.9686098654708519E-3</c:v>
                </c:pt>
                <c:pt idx="4">
                  <c:v>0</c:v>
                </c:pt>
                <c:pt idx="5">
                  <c:v>2.9895366218236174E-3</c:v>
                </c:pt>
                <c:pt idx="6">
                  <c:v>5.0822122571001493E-2</c:v>
                </c:pt>
                <c:pt idx="7">
                  <c:v>1.195814648729447E-2</c:v>
                </c:pt>
                <c:pt idx="8">
                  <c:v>0</c:v>
                </c:pt>
                <c:pt idx="9">
                  <c:v>2.9895366218236174E-3</c:v>
                </c:pt>
                <c:pt idx="10">
                  <c:v>0.84304932735426008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05B-4111-B0E6-5FF3EB4F7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kyankwanzi-bukomero'!$S$9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kyankwanzi-bukomero'!$S$10:$S$21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44-4017-BDE2-36AB6AFB1A07}"/>
            </c:ext>
          </c:extLst>
        </c:ser>
        <c:ser>
          <c:idx val="1"/>
          <c:order val="1"/>
          <c:tx>
            <c:strRef>
              <c:f>'23.10 kyankwanzi-bukomero'!$T$9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kyankwanzi-bukomero'!$R$10:$R$21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kyankwanzi-bukomero'!$T$10:$T$21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44-4017-BDE2-36AB6AFB1A07}"/>
            </c:ext>
          </c:extLst>
        </c:ser>
        <c:ser>
          <c:idx val="2"/>
          <c:order val="2"/>
          <c:tx>
            <c:strRef>
              <c:f>'23.10 kyankwanzi-bukomero'!$U$9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44-4017-BDE2-36AB6AFB1A07}"/>
            </c:ext>
          </c:extLst>
        </c:ser>
        <c:ser>
          <c:idx val="3"/>
          <c:order val="3"/>
          <c:tx>
            <c:strRef>
              <c:f>'23.10 kyankwanzi-bukomero'!$V$9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kyankwanzi-bukomero'!$V$10:$V$21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44-4017-BDE2-36AB6AFB1A07}"/>
            </c:ext>
          </c:extLst>
        </c:ser>
        <c:ser>
          <c:idx val="4"/>
          <c:order val="4"/>
          <c:tx>
            <c:strRef>
              <c:f>'23.10 kyankwanzi-bukomero'!$W$9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44-4017-BDE2-36AB6AFB1A07}"/>
            </c:ext>
          </c:extLst>
        </c:ser>
        <c:ser>
          <c:idx val="5"/>
          <c:order val="5"/>
          <c:tx>
            <c:strRef>
              <c:f>'23.10 kyankwanzi-bukomero'!$X$9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44-4017-BDE2-36AB6AFB1A07}"/>
            </c:ext>
          </c:extLst>
        </c:ser>
        <c:ser>
          <c:idx val="6"/>
          <c:order val="6"/>
          <c:tx>
            <c:strRef>
              <c:f>'23.10 kyankwanzi-bukomero'!$Y$9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kyankwanzi-bukomero'!$Y$10:$Y$21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44-4017-BDE2-36AB6AFB1A07}"/>
            </c:ext>
          </c:extLst>
        </c:ser>
        <c:ser>
          <c:idx val="7"/>
          <c:order val="7"/>
          <c:tx>
            <c:strRef>
              <c:f>'23.10 kyankwanzi-bukomero'!$Z$9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44-4017-BDE2-36AB6AFB1A07}"/>
            </c:ext>
          </c:extLst>
        </c:ser>
        <c:ser>
          <c:idx val="8"/>
          <c:order val="8"/>
          <c:tx>
            <c:strRef>
              <c:f>'23.10 kyankwanzi-bukomero'!$AA$9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44-4017-BDE2-36AB6AFB1A07}"/>
            </c:ext>
          </c:extLst>
        </c:ser>
        <c:ser>
          <c:idx val="9"/>
          <c:order val="9"/>
          <c:tx>
            <c:strRef>
              <c:f>'23.10 kyankwanzi-bukomero'!$AB$9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F44-4017-BDE2-36AB6AFB1A07}"/>
            </c:ext>
          </c:extLst>
        </c:ser>
        <c:ser>
          <c:idx val="10"/>
          <c:order val="10"/>
          <c:tx>
            <c:strRef>
              <c:f>'23.10 kyankwanzi-bukomero'!$AC$9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kyankwanzi-bukomero'!$AC$10:$AC$21</c:f>
              <c:numCache>
                <c:formatCode>0</c:formatCode>
                <c:ptCount val="12"/>
                <c:pt idx="0">
                  <c:v>38</c:v>
                </c:pt>
                <c:pt idx="1">
                  <c:v>38</c:v>
                </c:pt>
                <c:pt idx="2">
                  <c:v>44</c:v>
                </c:pt>
                <c:pt idx="3">
                  <c:v>38</c:v>
                </c:pt>
                <c:pt idx="4">
                  <c:v>59</c:v>
                </c:pt>
                <c:pt idx="5">
                  <c:v>50</c:v>
                </c:pt>
                <c:pt idx="6">
                  <c:v>49</c:v>
                </c:pt>
                <c:pt idx="7">
                  <c:v>48</c:v>
                </c:pt>
                <c:pt idx="8">
                  <c:v>47</c:v>
                </c:pt>
                <c:pt idx="9">
                  <c:v>48</c:v>
                </c:pt>
                <c:pt idx="10">
                  <c:v>50</c:v>
                </c:pt>
                <c:pt idx="1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44-4017-BDE2-36AB6AFB1A07}"/>
            </c:ext>
          </c:extLst>
        </c:ser>
        <c:ser>
          <c:idx val="11"/>
          <c:order val="11"/>
          <c:tx>
            <c:strRef>
              <c:f>'23.10 kyankwanzi-bukomero'!$AD$9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kyankwanzi-bukomero'!$AD$10:$AD$21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F44-4017-BDE2-36AB6AFB1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44928"/>
        <c:axId val="202046464"/>
      </c:lineChart>
      <c:catAx>
        <c:axId val="20204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046464"/>
        <c:crosses val="autoZero"/>
        <c:auto val="1"/>
        <c:lblAlgn val="ctr"/>
        <c:lblOffset val="100"/>
        <c:noMultiLvlLbl val="0"/>
      </c:catAx>
      <c:valAx>
        <c:axId val="20204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04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88-44E0-B156-1B74A1F851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88-44E0-B156-1B74A1F851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D88-44E0-B156-1B74A1F851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D88-44E0-B156-1B74A1F851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D88-44E0-B156-1B74A1F851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D88-44E0-B156-1B74A1F851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D88-44E0-B156-1B74A1F851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D88-44E0-B156-1B74A1F851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D88-44E0-B156-1B74A1F851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D88-44E0-B156-1B74A1F851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D88-44E0-B156-1B74A1F851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D88-44E0-B156-1B74A1F851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88-44E0-B156-1B74A1F851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kyankwanzi-bukomero'!$C$60:$N$60</c:f>
              <c:numCache>
                <c:formatCode>0.00%</c:formatCode>
                <c:ptCount val="12"/>
                <c:pt idx="0">
                  <c:v>0.31428571428571428</c:v>
                </c:pt>
                <c:pt idx="1">
                  <c:v>9.5238095238095233E-2</c:v>
                </c:pt>
                <c:pt idx="2">
                  <c:v>9.5238095238095233E-2</c:v>
                </c:pt>
                <c:pt idx="3">
                  <c:v>5.7142857142857141E-2</c:v>
                </c:pt>
                <c:pt idx="4">
                  <c:v>0</c:v>
                </c:pt>
                <c:pt idx="5">
                  <c:v>1.9047619047619049E-2</c:v>
                </c:pt>
                <c:pt idx="6">
                  <c:v>0.32380952380952382</c:v>
                </c:pt>
                <c:pt idx="7">
                  <c:v>7.6190476190476197E-2</c:v>
                </c:pt>
                <c:pt idx="8">
                  <c:v>0</c:v>
                </c:pt>
                <c:pt idx="9">
                  <c:v>1.9047619047619049E-2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D88-44E0-B156-1B74A1F85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bukomero-Kyankwanzi'!$AE$9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bukomero-Kyankwanzi'!$AE$10:$AE$21</c:f>
              <c:numCache>
                <c:formatCode>0</c:formatCode>
                <c:ptCount val="12"/>
                <c:pt idx="0">
                  <c:v>9</c:v>
                </c:pt>
                <c:pt idx="1">
                  <c:v>24</c:v>
                </c:pt>
                <c:pt idx="2">
                  <c:v>11</c:v>
                </c:pt>
                <c:pt idx="3">
                  <c:v>12</c:v>
                </c:pt>
                <c:pt idx="4">
                  <c:v>2</c:v>
                </c:pt>
                <c:pt idx="5">
                  <c:v>9</c:v>
                </c:pt>
                <c:pt idx="6">
                  <c:v>9</c:v>
                </c:pt>
                <c:pt idx="7">
                  <c:v>13</c:v>
                </c:pt>
                <c:pt idx="8">
                  <c:v>6</c:v>
                </c:pt>
                <c:pt idx="9">
                  <c:v>12</c:v>
                </c:pt>
                <c:pt idx="10">
                  <c:v>11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BB-4C11-842D-07E70068722A}"/>
            </c:ext>
          </c:extLst>
        </c:ser>
        <c:ser>
          <c:idx val="1"/>
          <c:order val="1"/>
          <c:tx>
            <c:strRef>
              <c:f>'23.10 bukomero-Kyankwanzi'!$AF$9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bukomero-Kyankwanzi'!$AF$10:$AF$21</c:f>
              <c:numCache>
                <c:formatCode>0</c:formatCode>
                <c:ptCount val="12"/>
                <c:pt idx="0">
                  <c:v>49</c:v>
                </c:pt>
                <c:pt idx="1">
                  <c:v>86</c:v>
                </c:pt>
                <c:pt idx="2">
                  <c:v>65</c:v>
                </c:pt>
                <c:pt idx="3">
                  <c:v>68</c:v>
                </c:pt>
                <c:pt idx="4">
                  <c:v>52</c:v>
                </c:pt>
                <c:pt idx="5">
                  <c:v>48</c:v>
                </c:pt>
                <c:pt idx="6">
                  <c:v>53</c:v>
                </c:pt>
                <c:pt idx="7">
                  <c:v>53</c:v>
                </c:pt>
                <c:pt idx="8">
                  <c:v>51</c:v>
                </c:pt>
                <c:pt idx="9">
                  <c:v>66</c:v>
                </c:pt>
                <c:pt idx="10">
                  <c:v>55</c:v>
                </c:pt>
                <c:pt idx="11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BB-4C11-842D-07E700687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97952"/>
        <c:axId val="202400128"/>
      </c:lineChart>
      <c:catAx>
        <c:axId val="202397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400128"/>
        <c:crosses val="autoZero"/>
        <c:auto val="1"/>
        <c:lblAlgn val="ctr"/>
        <c:lblOffset val="100"/>
        <c:noMultiLvlLbl val="0"/>
      </c:catAx>
      <c:valAx>
        <c:axId val="2024001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39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D0B-480C-B9E2-AEC483B855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D0B-480C-B9E2-AEC483B8553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D0B-480C-B9E2-AEC483B8553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D0B-480C-B9E2-AEC483B8553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D0B-480C-B9E2-AEC483B8553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D0B-480C-B9E2-AEC483B8553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D0B-480C-B9E2-AEC483B8553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D0B-480C-B9E2-AEC483B8553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D0B-480C-B9E2-AEC483B8553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D0B-480C-B9E2-AEC483B8553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D0B-480C-B9E2-AEC483B8553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D0B-480C-B9E2-AEC483B8553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D0B-480C-B9E2-AEC483B855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bukomero-Kyankwanzi'!$C$59:$N$59</c:f>
              <c:numCache>
                <c:formatCode>0.0%</c:formatCode>
                <c:ptCount val="12"/>
                <c:pt idx="0">
                  <c:v>5.308464849354376E-2</c:v>
                </c:pt>
                <c:pt idx="1">
                  <c:v>1.5781922525107604E-2</c:v>
                </c:pt>
                <c:pt idx="2">
                  <c:v>1.8651362984218076E-2</c:v>
                </c:pt>
                <c:pt idx="3">
                  <c:v>2.2955523672883789E-2</c:v>
                </c:pt>
                <c:pt idx="4">
                  <c:v>2.8694404591104736E-3</c:v>
                </c:pt>
                <c:pt idx="5">
                  <c:v>0</c:v>
                </c:pt>
                <c:pt idx="6">
                  <c:v>7.1736011477761832E-2</c:v>
                </c:pt>
                <c:pt idx="7">
                  <c:v>1.4347202295552368E-3</c:v>
                </c:pt>
                <c:pt idx="8">
                  <c:v>2.8694404591104736E-3</c:v>
                </c:pt>
                <c:pt idx="9">
                  <c:v>0</c:v>
                </c:pt>
                <c:pt idx="10">
                  <c:v>0.8106169296987088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D0B-480C-B9E2-AEC483B85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'23.10 bukomero-Kyankwanzi'!$S$9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bukomero-Kyankwanzi'!$S$10:$S$21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A0-4771-90A6-E097E8EE8FB9}"/>
            </c:ext>
          </c:extLst>
        </c:ser>
        <c:ser>
          <c:idx val="1"/>
          <c:order val="1"/>
          <c:tx>
            <c:strRef>
              <c:f>'23.10 bukomero-Kyankwanzi'!$T$9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'23.10 bukomero-Kyankwanzi'!$R$10:$R$21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'23.10 bukomero-Kyankwanzi'!$T$10:$T$21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A0-4771-90A6-E097E8EE8FB9}"/>
            </c:ext>
          </c:extLst>
        </c:ser>
        <c:ser>
          <c:idx val="2"/>
          <c:order val="2"/>
          <c:tx>
            <c:strRef>
              <c:f>'23.10 bukomero-Kyankwanzi'!$U$9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A0-4771-90A6-E097E8EE8FB9}"/>
            </c:ext>
          </c:extLst>
        </c:ser>
        <c:ser>
          <c:idx val="3"/>
          <c:order val="3"/>
          <c:tx>
            <c:strRef>
              <c:f>'23.10 bukomero-Kyankwanzi'!$V$9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bukomero-Kyankwanzi'!$V$10:$V$21</c:f>
              <c:numCache>
                <c:formatCode>0</c:formatCode>
                <c:ptCount val="12"/>
                <c:pt idx="0">
                  <c:v>0</c:v>
                </c:pt>
                <c:pt idx="1">
                  <c:v>12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A0-4771-90A6-E097E8EE8FB9}"/>
            </c:ext>
          </c:extLst>
        </c:ser>
        <c:ser>
          <c:idx val="4"/>
          <c:order val="4"/>
          <c:tx>
            <c:strRef>
              <c:f>'23.10 bukomero-Kyankwanzi'!$W$9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bukomero-Kyankwanzi'!$W$10:$W$21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A0-4771-90A6-E097E8EE8FB9}"/>
            </c:ext>
          </c:extLst>
        </c:ser>
        <c:ser>
          <c:idx val="5"/>
          <c:order val="5"/>
          <c:tx>
            <c:strRef>
              <c:f>'23.10 bukomero-Kyankwanzi'!$X$9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A0-4771-90A6-E097E8EE8FB9}"/>
            </c:ext>
          </c:extLst>
        </c:ser>
        <c:ser>
          <c:idx val="6"/>
          <c:order val="6"/>
          <c:tx>
            <c:strRef>
              <c:f>'23.10 bukomero-Kyankwanzi'!$Y$9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bukomero-Kyankwanzi'!$Y$10:$Y$21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8</c:v>
                </c:pt>
                <c:pt idx="3">
                  <c:v>4</c:v>
                </c:pt>
                <c:pt idx="4">
                  <c:v>1</c:v>
                </c:pt>
                <c:pt idx="5">
                  <c:v>8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A0-4771-90A6-E097E8EE8FB9}"/>
            </c:ext>
          </c:extLst>
        </c:ser>
        <c:ser>
          <c:idx val="7"/>
          <c:order val="7"/>
          <c:tx>
            <c:strRef>
              <c:f>'23.10 bukomero-Kyankwanzi'!$Z$9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2A0-4771-90A6-E097E8EE8FB9}"/>
            </c:ext>
          </c:extLst>
        </c:ser>
        <c:ser>
          <c:idx val="8"/>
          <c:order val="8"/>
          <c:tx>
            <c:strRef>
              <c:f>'23.10 bukomero-Kyankwanzi'!$AA$9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A0-4771-90A6-E097E8EE8FB9}"/>
            </c:ext>
          </c:extLst>
        </c:ser>
        <c:ser>
          <c:idx val="9"/>
          <c:order val="9"/>
          <c:tx>
            <c:strRef>
              <c:f>'23.10 bukomero-Kyankwanzi'!$AB$9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A0-4771-90A6-E097E8EE8FB9}"/>
            </c:ext>
          </c:extLst>
        </c:ser>
        <c:ser>
          <c:idx val="10"/>
          <c:order val="10"/>
          <c:tx>
            <c:strRef>
              <c:f>'23.10 bukomero-Kyankwanzi'!$AC$9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bukomero-Kyankwanzi'!$AC$10:$AC$21</c:f>
              <c:numCache>
                <c:formatCode>0</c:formatCode>
                <c:ptCount val="12"/>
                <c:pt idx="0">
                  <c:v>40</c:v>
                </c:pt>
                <c:pt idx="1">
                  <c:v>62</c:v>
                </c:pt>
                <c:pt idx="2">
                  <c:v>54</c:v>
                </c:pt>
                <c:pt idx="3">
                  <c:v>56</c:v>
                </c:pt>
                <c:pt idx="4">
                  <c:v>50</c:v>
                </c:pt>
                <c:pt idx="5">
                  <c:v>39</c:v>
                </c:pt>
                <c:pt idx="6">
                  <c:v>44</c:v>
                </c:pt>
                <c:pt idx="7">
                  <c:v>40</c:v>
                </c:pt>
                <c:pt idx="8">
                  <c:v>45</c:v>
                </c:pt>
                <c:pt idx="9">
                  <c:v>54</c:v>
                </c:pt>
                <c:pt idx="10">
                  <c:v>44</c:v>
                </c:pt>
                <c:pt idx="11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A0-4771-90A6-E097E8EE8FB9}"/>
            </c:ext>
          </c:extLst>
        </c:ser>
        <c:ser>
          <c:idx val="11"/>
          <c:order val="11"/>
          <c:tx>
            <c:strRef>
              <c:f>'23.10 bukomero-Kyankwanzi'!$AD$9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'23.10 bukomero-Kyankwanzi'!$AD$10:$AD$21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2A0-4771-90A6-E097E8EE8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96736"/>
        <c:axId val="202598272"/>
      </c:lineChart>
      <c:catAx>
        <c:axId val="20259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598272"/>
        <c:crosses val="autoZero"/>
        <c:auto val="1"/>
        <c:lblAlgn val="ctr"/>
        <c:lblOffset val="100"/>
        <c:noMultiLvlLbl val="0"/>
      </c:catAx>
      <c:valAx>
        <c:axId val="2025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5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410-4851-B6BD-EBF13745AC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410-4851-B6BD-EBF13745AC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410-4851-B6BD-EBF13745AC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410-4851-B6BD-EBF13745AC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410-4851-B6BD-EBF13745AC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410-4851-B6BD-EBF13745AC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410-4851-B6BD-EBF13745AC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410-4851-B6BD-EBF13745AC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410-4851-B6BD-EBF13745AC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410-4851-B6BD-EBF13745AC6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410-4851-B6BD-EBF13745AC6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410-4851-B6BD-EBF13745AC6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410-4851-B6BD-EBF13745AC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'23.10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'23.10 bukomero-Kyankwanzi'!$C$60:$N$60</c:f>
              <c:numCache>
                <c:formatCode>0.00%</c:formatCode>
                <c:ptCount val="12"/>
                <c:pt idx="0">
                  <c:v>0.28030303030303028</c:v>
                </c:pt>
                <c:pt idx="1">
                  <c:v>8.3333333333333329E-2</c:v>
                </c:pt>
                <c:pt idx="2">
                  <c:v>9.8484848484848481E-2</c:v>
                </c:pt>
                <c:pt idx="3">
                  <c:v>0.12121212121212122</c:v>
                </c:pt>
                <c:pt idx="4">
                  <c:v>1.5151515151515152E-2</c:v>
                </c:pt>
                <c:pt idx="5">
                  <c:v>0</c:v>
                </c:pt>
                <c:pt idx="6">
                  <c:v>0.37878787878787878</c:v>
                </c:pt>
                <c:pt idx="7">
                  <c:v>7.575757575757576E-3</c:v>
                </c:pt>
                <c:pt idx="8">
                  <c:v>1.5151515151515152E-2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410-4851-B6BD-EBF13745A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Kyankwanzi-Bukomero'!$AE$9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Kyankwanzi-Bukomero'!$R$10:$R$33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Kyankwanzi-Bukomero'!$AE$10:$AE$33</c:f>
              <c:numCache>
                <c:formatCode>0</c:formatCode>
                <c:ptCount val="24"/>
                <c:pt idx="0">
                  <c:v>2.4285714285714284</c:v>
                </c:pt>
                <c:pt idx="1">
                  <c:v>5</c:v>
                </c:pt>
                <c:pt idx="2">
                  <c:v>6</c:v>
                </c:pt>
                <c:pt idx="3">
                  <c:v>4.8571428571428568</c:v>
                </c:pt>
                <c:pt idx="4">
                  <c:v>6.4285714285714288</c:v>
                </c:pt>
                <c:pt idx="5">
                  <c:v>6.9999999999999991</c:v>
                </c:pt>
                <c:pt idx="6">
                  <c:v>5.7142857142857135</c:v>
                </c:pt>
                <c:pt idx="7">
                  <c:v>9.1428571428571423</c:v>
                </c:pt>
                <c:pt idx="8">
                  <c:v>8.1428571428571423</c:v>
                </c:pt>
                <c:pt idx="9">
                  <c:v>8.1428571428571423</c:v>
                </c:pt>
                <c:pt idx="10">
                  <c:v>7.9999999999999991</c:v>
                </c:pt>
                <c:pt idx="11">
                  <c:v>5.5714285714285712</c:v>
                </c:pt>
                <c:pt idx="12">
                  <c:v>3.5</c:v>
                </c:pt>
                <c:pt idx="13">
                  <c:v>3</c:v>
                </c:pt>
                <c:pt idx="14">
                  <c:v>4</c:v>
                </c:pt>
                <c:pt idx="15">
                  <c:v>3.5</c:v>
                </c:pt>
                <c:pt idx="16">
                  <c:v>0.5</c:v>
                </c:pt>
                <c:pt idx="17">
                  <c:v>3.5</c:v>
                </c:pt>
                <c:pt idx="18">
                  <c:v>6.5</c:v>
                </c:pt>
                <c:pt idx="19">
                  <c:v>4</c:v>
                </c:pt>
                <c:pt idx="20">
                  <c:v>7</c:v>
                </c:pt>
                <c:pt idx="21">
                  <c:v>4.5</c:v>
                </c:pt>
                <c:pt idx="22">
                  <c:v>10.5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Kyankwanzi-Bukomero'!$AF$9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Kyankwanzi-Bukomero'!$R$10:$R$33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Kyankwanzi-Bukomero'!$AF$10:$AF$33</c:f>
              <c:numCache>
                <c:formatCode>0</c:formatCode>
                <c:ptCount val="24"/>
                <c:pt idx="0">
                  <c:v>38</c:v>
                </c:pt>
                <c:pt idx="1">
                  <c:v>44.714285714285722</c:v>
                </c:pt>
                <c:pt idx="2">
                  <c:v>48</c:v>
                </c:pt>
                <c:pt idx="3">
                  <c:v>45</c:v>
                </c:pt>
                <c:pt idx="4">
                  <c:v>51.571428571428569</c:v>
                </c:pt>
                <c:pt idx="5">
                  <c:v>53.428571428571431</c:v>
                </c:pt>
                <c:pt idx="6">
                  <c:v>57</c:v>
                </c:pt>
                <c:pt idx="7">
                  <c:v>62</c:v>
                </c:pt>
                <c:pt idx="8">
                  <c:v>57.142857142857146</c:v>
                </c:pt>
                <c:pt idx="9">
                  <c:v>65.285714285714278</c:v>
                </c:pt>
                <c:pt idx="10">
                  <c:v>63.142857142857146</c:v>
                </c:pt>
                <c:pt idx="11">
                  <c:v>65.285714285714292</c:v>
                </c:pt>
                <c:pt idx="12">
                  <c:v>52.5</c:v>
                </c:pt>
                <c:pt idx="13">
                  <c:v>44</c:v>
                </c:pt>
                <c:pt idx="14">
                  <c:v>30.5</c:v>
                </c:pt>
                <c:pt idx="15">
                  <c:v>21.5</c:v>
                </c:pt>
                <c:pt idx="16">
                  <c:v>17.5</c:v>
                </c:pt>
                <c:pt idx="17">
                  <c:v>7</c:v>
                </c:pt>
                <c:pt idx="18">
                  <c:v>9.5</c:v>
                </c:pt>
                <c:pt idx="19">
                  <c:v>7</c:v>
                </c:pt>
                <c:pt idx="20">
                  <c:v>8</c:v>
                </c:pt>
                <c:pt idx="21">
                  <c:v>5.5</c:v>
                </c:pt>
                <c:pt idx="22">
                  <c:v>13.5</c:v>
                </c:pt>
                <c:pt idx="23">
                  <c:v>22.5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43264"/>
        <c:axId val="202845184"/>
      </c:lineChart>
      <c:catAx>
        <c:axId val="202843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845184"/>
        <c:crosses val="autoZero"/>
        <c:auto val="1"/>
        <c:lblAlgn val="ctr"/>
        <c:lblOffset val="100"/>
        <c:noMultiLvlLbl val="0"/>
      </c:catAx>
      <c:valAx>
        <c:axId val="2028451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284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Kyankwanzi-Bukomero'!$C$107:$N$107</c:f>
              <c:numCache>
                <c:formatCode>0.0%</c:formatCode>
                <c:ptCount val="12"/>
                <c:pt idx="0">
                  <c:v>3.412558214228361E-2</c:v>
                </c:pt>
                <c:pt idx="1">
                  <c:v>1.0438413361169102E-2</c:v>
                </c:pt>
                <c:pt idx="2">
                  <c:v>7.8689577645736329E-3</c:v>
                </c:pt>
                <c:pt idx="3">
                  <c:v>1.1803436646860448E-2</c:v>
                </c:pt>
                <c:pt idx="4">
                  <c:v>0</c:v>
                </c:pt>
                <c:pt idx="5">
                  <c:v>3.2118194957443392E-4</c:v>
                </c:pt>
                <c:pt idx="6">
                  <c:v>6.977677854504577E-2</c:v>
                </c:pt>
                <c:pt idx="7">
                  <c:v>1.6380279428296132E-2</c:v>
                </c:pt>
                <c:pt idx="8">
                  <c:v>6.4236389914886784E-4</c:v>
                </c:pt>
                <c:pt idx="9">
                  <c:v>3.2118194957443392E-4</c:v>
                </c:pt>
                <c:pt idx="10">
                  <c:v>0.84832182431347369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Kyankwanzi-Bukomero'!$C$9:$N$9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Kyankwanzi-Bukomero'!$C$108:$N$108</c:f>
              <c:numCache>
                <c:formatCode>0.00%</c:formatCode>
                <c:ptCount val="12"/>
                <c:pt idx="0">
                  <c:v>0.22498676548438326</c:v>
                </c:pt>
                <c:pt idx="1">
                  <c:v>6.8819481206987804E-2</c:v>
                </c:pt>
                <c:pt idx="2">
                  <c:v>5.1879301217575439E-2</c:v>
                </c:pt>
                <c:pt idx="3">
                  <c:v>7.7818951826363142E-2</c:v>
                </c:pt>
                <c:pt idx="4">
                  <c:v>0</c:v>
                </c:pt>
                <c:pt idx="5">
                  <c:v>2.1175224986765481E-3</c:v>
                </c:pt>
                <c:pt idx="6">
                  <c:v>0.4600317628374801</c:v>
                </c:pt>
                <c:pt idx="7">
                  <c:v>0.10799364743250398</c:v>
                </c:pt>
                <c:pt idx="8">
                  <c:v>4.2350449973530963E-3</c:v>
                </c:pt>
                <c:pt idx="9">
                  <c:v>2.1175224986765481E-3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Bukomero-Kyankwanzi'!$AE$9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Bukomero-Kyankwanzi'!$R$10:$R$33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Bukomero-Kyankwanzi'!$AE$10:$AE$33</c:f>
              <c:numCache>
                <c:formatCode>0</c:formatCode>
                <c:ptCount val="24"/>
                <c:pt idx="0">
                  <c:v>4.5714285714285712</c:v>
                </c:pt>
                <c:pt idx="1">
                  <c:v>8.4285714285714288</c:v>
                </c:pt>
                <c:pt idx="2">
                  <c:v>7.4285714285714279</c:v>
                </c:pt>
                <c:pt idx="3">
                  <c:v>6.1428571428571423</c:v>
                </c:pt>
                <c:pt idx="4">
                  <c:v>4.5714285714285712</c:v>
                </c:pt>
                <c:pt idx="5">
                  <c:v>5.7142857142857135</c:v>
                </c:pt>
                <c:pt idx="6">
                  <c:v>5.428571428571427</c:v>
                </c:pt>
                <c:pt idx="7">
                  <c:v>7.4285714285714288</c:v>
                </c:pt>
                <c:pt idx="8">
                  <c:v>6.7142857142857135</c:v>
                </c:pt>
                <c:pt idx="9">
                  <c:v>7.4285714285714288</c:v>
                </c:pt>
                <c:pt idx="10">
                  <c:v>6</c:v>
                </c:pt>
                <c:pt idx="11">
                  <c:v>8.1428571428571423</c:v>
                </c:pt>
                <c:pt idx="12">
                  <c:v>5</c:v>
                </c:pt>
                <c:pt idx="13">
                  <c:v>4</c:v>
                </c:pt>
                <c:pt idx="14">
                  <c:v>3.5</c:v>
                </c:pt>
                <c:pt idx="15">
                  <c:v>3.5</c:v>
                </c:pt>
                <c:pt idx="16">
                  <c:v>3</c:v>
                </c:pt>
                <c:pt idx="17">
                  <c:v>2</c:v>
                </c:pt>
                <c:pt idx="18">
                  <c:v>2.5</c:v>
                </c:pt>
                <c:pt idx="19">
                  <c:v>4</c:v>
                </c:pt>
                <c:pt idx="20">
                  <c:v>6</c:v>
                </c:pt>
                <c:pt idx="21">
                  <c:v>3</c:v>
                </c:pt>
                <c:pt idx="22">
                  <c:v>4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Bukomero-Kyankwanzi'!$AF$9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Bukomero-Kyankwanzi'!$R$10:$R$33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Bukomero-Kyankwanzi'!$AF$10:$AF$33</c:f>
              <c:numCache>
                <c:formatCode>0</c:formatCode>
                <c:ptCount val="24"/>
                <c:pt idx="0">
                  <c:v>36.714285714285715</c:v>
                </c:pt>
                <c:pt idx="1">
                  <c:v>45.285714285714292</c:v>
                </c:pt>
                <c:pt idx="2">
                  <c:v>46.142857142857139</c:v>
                </c:pt>
                <c:pt idx="3">
                  <c:v>47.714285714285715</c:v>
                </c:pt>
                <c:pt idx="4">
                  <c:v>48.714285714285708</c:v>
                </c:pt>
                <c:pt idx="5">
                  <c:v>47.857142857142854</c:v>
                </c:pt>
                <c:pt idx="6">
                  <c:v>50.714285714285715</c:v>
                </c:pt>
                <c:pt idx="7">
                  <c:v>58.285714285714292</c:v>
                </c:pt>
                <c:pt idx="8">
                  <c:v>54.285714285714285</c:v>
                </c:pt>
                <c:pt idx="9">
                  <c:v>62.857142857142861</c:v>
                </c:pt>
                <c:pt idx="10">
                  <c:v>62.857142857142861</c:v>
                </c:pt>
                <c:pt idx="11">
                  <c:v>67.285714285714292</c:v>
                </c:pt>
                <c:pt idx="12">
                  <c:v>53.5</c:v>
                </c:pt>
                <c:pt idx="13">
                  <c:v>33</c:v>
                </c:pt>
                <c:pt idx="14">
                  <c:v>23.5</c:v>
                </c:pt>
                <c:pt idx="15">
                  <c:v>19.5</c:v>
                </c:pt>
                <c:pt idx="16">
                  <c:v>10.5</c:v>
                </c:pt>
                <c:pt idx="17">
                  <c:v>6</c:v>
                </c:pt>
                <c:pt idx="18">
                  <c:v>5.5</c:v>
                </c:pt>
                <c:pt idx="19">
                  <c:v>4</c:v>
                </c:pt>
                <c:pt idx="20">
                  <c:v>8.5</c:v>
                </c:pt>
                <c:pt idx="21">
                  <c:v>3</c:v>
                </c:pt>
                <c:pt idx="22">
                  <c:v>13.5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251712"/>
        <c:axId val="203253632"/>
      </c:lineChart>
      <c:catAx>
        <c:axId val="2032517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253632"/>
        <c:crosses val="autoZero"/>
        <c:auto val="1"/>
        <c:lblAlgn val="ctr"/>
        <c:lblOffset val="100"/>
        <c:noMultiLvlLbl val="0"/>
      </c:catAx>
      <c:valAx>
        <c:axId val="203253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325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Bukomero-Kyankwanzi'!$C$107:$N$107</c:f>
              <c:numCache>
                <c:formatCode>0.0%</c:formatCode>
                <c:ptCount val="12"/>
                <c:pt idx="0">
                  <c:v>3.2997715542770117E-2</c:v>
                </c:pt>
                <c:pt idx="1">
                  <c:v>1.0068533716896526E-2</c:v>
                </c:pt>
                <c:pt idx="2">
                  <c:v>9.7300956087655512E-3</c:v>
                </c:pt>
                <c:pt idx="3">
                  <c:v>9.3070479736018299E-3</c:v>
                </c:pt>
                <c:pt idx="4">
                  <c:v>3.3843810813097557E-4</c:v>
                </c:pt>
                <c:pt idx="5">
                  <c:v>0</c:v>
                </c:pt>
                <c:pt idx="6">
                  <c:v>7.1579659869701329E-2</c:v>
                </c:pt>
                <c:pt idx="7">
                  <c:v>1.2268381419747863E-2</c:v>
                </c:pt>
                <c:pt idx="8">
                  <c:v>2.1998477028513409E-3</c:v>
                </c:pt>
                <c:pt idx="9">
                  <c:v>0</c:v>
                </c:pt>
                <c:pt idx="10">
                  <c:v>0.84897199424655201</c:v>
                </c:pt>
                <c:pt idx="11">
                  <c:v>2.5382858109823168E-3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Bukomero-Kyankwanzi'!$C$9:$N$9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Bukomero-Kyankwanzi'!$C$108:$N$108</c:f>
              <c:numCache>
                <c:formatCode>0.00%</c:formatCode>
                <c:ptCount val="12"/>
                <c:pt idx="0">
                  <c:v>0.21848739495798314</c:v>
                </c:pt>
                <c:pt idx="1">
                  <c:v>6.666666666666668E-2</c:v>
                </c:pt>
                <c:pt idx="2">
                  <c:v>6.442577030812327E-2</c:v>
                </c:pt>
                <c:pt idx="3">
                  <c:v>6.1624649859943988E-2</c:v>
                </c:pt>
                <c:pt idx="4">
                  <c:v>2.2408963585434168E-3</c:v>
                </c:pt>
                <c:pt idx="5">
                  <c:v>0</c:v>
                </c:pt>
                <c:pt idx="6">
                  <c:v>0.4739495798319327</c:v>
                </c:pt>
                <c:pt idx="7">
                  <c:v>8.1232492997198855E-2</c:v>
                </c:pt>
                <c:pt idx="8">
                  <c:v>1.456582633053221E-2</c:v>
                </c:pt>
                <c:pt idx="9">
                  <c:v>0</c:v>
                </c:pt>
                <c:pt idx="11">
                  <c:v>1.680672268907563E-2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Kyankwanzi-Bukome-2Dir'!$C$9:$N$9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Kyankwanzi-Bukome-2Dir'!$C$107:$N$107</c:f>
              <c:numCache>
                <c:formatCode>0.0%</c:formatCode>
                <c:ptCount val="12"/>
                <c:pt idx="0">
                  <c:v>3.3576401763276073E-2</c:v>
                </c:pt>
                <c:pt idx="1">
                  <c:v>1.0258311704362874E-2</c:v>
                </c:pt>
                <c:pt idx="2">
                  <c:v>8.7751823013224612E-3</c:v>
                </c:pt>
                <c:pt idx="3">
                  <c:v>1.0587896016149635E-2</c:v>
                </c:pt>
                <c:pt idx="4">
                  <c:v>1.6479215589337948E-4</c:v>
                </c:pt>
                <c:pt idx="5">
                  <c:v>1.6479215589337948E-4</c:v>
                </c:pt>
                <c:pt idx="6">
                  <c:v>7.0654636839286439E-2</c:v>
                </c:pt>
                <c:pt idx="7">
                  <c:v>1.4378115601697361E-2</c:v>
                </c:pt>
                <c:pt idx="8">
                  <c:v>1.4007333250937253E-3</c:v>
                </c:pt>
                <c:pt idx="9">
                  <c:v>1.6479215589337948E-4</c:v>
                </c:pt>
                <c:pt idx="10">
                  <c:v>0.84863840481193098</c:v>
                </c:pt>
                <c:pt idx="11">
                  <c:v>1.2359411692003462E-3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Kyankwanzi-Bukome-2Dir'!$C$9:$N$9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Kyankwanzi-Bukome-2Dir'!$C$108:$N$108</c:f>
              <c:numCache>
                <c:formatCode>0.00%</c:formatCode>
                <c:ptCount val="12"/>
                <c:pt idx="0">
                  <c:v>0.22182906913445835</c:v>
                </c:pt>
                <c:pt idx="1">
                  <c:v>6.7773543821448012E-2</c:v>
                </c:pt>
                <c:pt idx="2">
                  <c:v>5.7974959172563983E-2</c:v>
                </c:pt>
                <c:pt idx="3">
                  <c:v>6.9951007076755597E-2</c:v>
                </c:pt>
                <c:pt idx="4">
                  <c:v>1.0887316276537832E-3</c:v>
                </c:pt>
                <c:pt idx="5">
                  <c:v>1.0887316276537832E-3</c:v>
                </c:pt>
                <c:pt idx="6">
                  <c:v>0.46679368535655952</c:v>
                </c:pt>
                <c:pt idx="7">
                  <c:v>9.4991834512792597E-2</c:v>
                </c:pt>
                <c:pt idx="8">
                  <c:v>9.2542188350571552E-3</c:v>
                </c:pt>
                <c:pt idx="9">
                  <c:v>1.0887316276537832E-3</c:v>
                </c:pt>
                <c:pt idx="11">
                  <c:v>8.1654872074033748E-3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Kyankwanzi-Bukome-2Dir'!$AE$9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Kyankwanzi-Bukome-2Dir'!$R$10:$R$33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Kyankwanzi-Bukome-2Dir'!$AE$10:$AE$33</c:f>
              <c:numCache>
                <c:formatCode>0</c:formatCode>
                <c:ptCount val="24"/>
                <c:pt idx="0">
                  <c:v>6.9999999999999982</c:v>
                </c:pt>
                <c:pt idx="1">
                  <c:v>13.428571428571429</c:v>
                </c:pt>
                <c:pt idx="2">
                  <c:v>13.428571428571429</c:v>
                </c:pt>
                <c:pt idx="3">
                  <c:v>11</c:v>
                </c:pt>
                <c:pt idx="4">
                  <c:v>11</c:v>
                </c:pt>
                <c:pt idx="5">
                  <c:v>12.714285714285712</c:v>
                </c:pt>
                <c:pt idx="6">
                  <c:v>11.142857142857142</c:v>
                </c:pt>
                <c:pt idx="7">
                  <c:v>16.571428571428569</c:v>
                </c:pt>
                <c:pt idx="8">
                  <c:v>14.857142857142856</c:v>
                </c:pt>
                <c:pt idx="9">
                  <c:v>15.571428571428571</c:v>
                </c:pt>
                <c:pt idx="10">
                  <c:v>13.999999999999998</c:v>
                </c:pt>
                <c:pt idx="11">
                  <c:v>13.714285714285712</c:v>
                </c:pt>
                <c:pt idx="12">
                  <c:v>8.5</c:v>
                </c:pt>
                <c:pt idx="13">
                  <c:v>7</c:v>
                </c:pt>
                <c:pt idx="14">
                  <c:v>7.5</c:v>
                </c:pt>
                <c:pt idx="15">
                  <c:v>7</c:v>
                </c:pt>
                <c:pt idx="16">
                  <c:v>3.5</c:v>
                </c:pt>
                <c:pt idx="17">
                  <c:v>5.5</c:v>
                </c:pt>
                <c:pt idx="18">
                  <c:v>9</c:v>
                </c:pt>
                <c:pt idx="19">
                  <c:v>8</c:v>
                </c:pt>
                <c:pt idx="20">
                  <c:v>13</c:v>
                </c:pt>
                <c:pt idx="21">
                  <c:v>7.5</c:v>
                </c:pt>
                <c:pt idx="22">
                  <c:v>14.5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9D-42AD-8BD0-D7AAD44E7FD1}"/>
            </c:ext>
          </c:extLst>
        </c:ser>
        <c:ser>
          <c:idx val="1"/>
          <c:order val="1"/>
          <c:tx>
            <c:strRef>
              <c:f>'Avg Week Kyankwanzi-Bukome-2Dir'!$AF$9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Kyankwanzi-Bukome-2Dir'!$R$10:$R$33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Kyankwanzi-Bukome-2Dir'!$AF$10:$AF$33</c:f>
              <c:numCache>
                <c:formatCode>0</c:formatCode>
                <c:ptCount val="24"/>
                <c:pt idx="0">
                  <c:v>74.714285714285722</c:v>
                </c:pt>
                <c:pt idx="1">
                  <c:v>89.999999999999986</c:v>
                </c:pt>
                <c:pt idx="2">
                  <c:v>94.142857142857153</c:v>
                </c:pt>
                <c:pt idx="3">
                  <c:v>92.714285714285708</c:v>
                </c:pt>
                <c:pt idx="4">
                  <c:v>100.28571428571428</c:v>
                </c:pt>
                <c:pt idx="5">
                  <c:v>101.28571428571428</c:v>
                </c:pt>
                <c:pt idx="6">
                  <c:v>107.71428571428571</c:v>
                </c:pt>
                <c:pt idx="7">
                  <c:v>120.28571428571429</c:v>
                </c:pt>
                <c:pt idx="8">
                  <c:v>111.42857142857143</c:v>
                </c:pt>
                <c:pt idx="9">
                  <c:v>128.14285714285714</c:v>
                </c:pt>
                <c:pt idx="10">
                  <c:v>126</c:v>
                </c:pt>
                <c:pt idx="11">
                  <c:v>132.57142857142858</c:v>
                </c:pt>
                <c:pt idx="12">
                  <c:v>106</c:v>
                </c:pt>
                <c:pt idx="13">
                  <c:v>77</c:v>
                </c:pt>
                <c:pt idx="14">
                  <c:v>54</c:v>
                </c:pt>
                <c:pt idx="15">
                  <c:v>41</c:v>
                </c:pt>
                <c:pt idx="16">
                  <c:v>28</c:v>
                </c:pt>
                <c:pt idx="17">
                  <c:v>13</c:v>
                </c:pt>
                <c:pt idx="18">
                  <c:v>15</c:v>
                </c:pt>
                <c:pt idx="19">
                  <c:v>11</c:v>
                </c:pt>
                <c:pt idx="20">
                  <c:v>16.5</c:v>
                </c:pt>
                <c:pt idx="21">
                  <c:v>8.5</c:v>
                </c:pt>
                <c:pt idx="22">
                  <c:v>27</c:v>
                </c:pt>
                <c:pt idx="23">
                  <c:v>57.5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F9D-42AD-8BD0-D7AAD44E7FD1}"/>
            </c:ext>
          </c:extLst>
        </c:ser>
        <c:ser>
          <c:idx val="5"/>
          <c:order val="2"/>
          <c:tx>
            <c:strRef>
              <c:f>'Avg Week Kyankwanzi-Bukome-2Dir'!$AC$9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Kyankwanzi-Bukome-2Dir'!$R$10:$R$33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Kyankwanzi-Bukome-2Dir'!$AC$10:$AC$33</c:f>
              <c:numCache>
                <c:formatCode>0</c:formatCode>
                <c:ptCount val="24"/>
                <c:pt idx="0">
                  <c:v>67.714285714285708</c:v>
                </c:pt>
                <c:pt idx="1">
                  <c:v>76.571428571428569</c:v>
                </c:pt>
                <c:pt idx="2">
                  <c:v>80.714285714285722</c:v>
                </c:pt>
                <c:pt idx="3">
                  <c:v>81.714285714285708</c:v>
                </c:pt>
                <c:pt idx="4">
                  <c:v>89.285714285714278</c:v>
                </c:pt>
                <c:pt idx="5">
                  <c:v>88.571428571428569</c:v>
                </c:pt>
                <c:pt idx="6">
                  <c:v>96.571428571428584</c:v>
                </c:pt>
                <c:pt idx="7">
                  <c:v>103.71428571428571</c:v>
                </c:pt>
                <c:pt idx="8">
                  <c:v>96.571428571428569</c:v>
                </c:pt>
                <c:pt idx="9">
                  <c:v>112.57142857142858</c:v>
                </c:pt>
                <c:pt idx="10">
                  <c:v>112</c:v>
                </c:pt>
                <c:pt idx="11">
                  <c:v>118.85714285714286</c:v>
                </c:pt>
                <c:pt idx="12">
                  <c:v>97.5</c:v>
                </c:pt>
                <c:pt idx="13">
                  <c:v>70</c:v>
                </c:pt>
                <c:pt idx="14">
                  <c:v>46.5</c:v>
                </c:pt>
                <c:pt idx="15">
                  <c:v>34</c:v>
                </c:pt>
                <c:pt idx="16">
                  <c:v>24.5</c:v>
                </c:pt>
                <c:pt idx="17">
                  <c:v>7.5</c:v>
                </c:pt>
                <c:pt idx="18">
                  <c:v>6</c:v>
                </c:pt>
                <c:pt idx="19">
                  <c:v>3</c:v>
                </c:pt>
                <c:pt idx="20">
                  <c:v>3.5</c:v>
                </c:pt>
                <c:pt idx="21">
                  <c:v>1</c:v>
                </c:pt>
                <c:pt idx="22">
                  <c:v>12.5</c:v>
                </c:pt>
                <c:pt idx="2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9D-42AD-8BD0-D7AAD44E7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Kyankwanzi-Bukome-2Dir'!$S$9:$AF$9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Kyankwanzi-Bukome-2Dir'!$S$41:$AF$41</c:f>
              <c:numCache>
                <c:formatCode>_(* #,##0_);_(* \(#,##0\);_(* "-"_);_(@_)</c:formatCode>
                <c:ptCount val="14"/>
                <c:pt idx="0">
                  <c:v>58.214285714285708</c:v>
                </c:pt>
                <c:pt idx="1">
                  <c:v>17.785714285714285</c:v>
                </c:pt>
                <c:pt idx="2">
                  <c:v>15.214285714285715</c:v>
                </c:pt>
                <c:pt idx="3">
                  <c:v>18.357142857142858</c:v>
                </c:pt>
                <c:pt idx="4">
                  <c:v>0.2857142857142857</c:v>
                </c:pt>
                <c:pt idx="5">
                  <c:v>0.2857142857142857</c:v>
                </c:pt>
                <c:pt idx="6">
                  <c:v>122.5</c:v>
                </c:pt>
                <c:pt idx="7">
                  <c:v>24.928571428571427</c:v>
                </c:pt>
                <c:pt idx="8">
                  <c:v>2.4285714285714284</c:v>
                </c:pt>
                <c:pt idx="9">
                  <c:v>0.2857142857142857</c:v>
                </c:pt>
                <c:pt idx="10">
                  <c:v>1471.3571428571427</c:v>
                </c:pt>
                <c:pt idx="11">
                  <c:v>2.1428571428571428</c:v>
                </c:pt>
                <c:pt idx="12">
                  <c:v>262.42857142857144</c:v>
                </c:pt>
                <c:pt idx="13">
                  <c:v>1733.7857142857144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9-4BFE-86E0-CF5B8A71EB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Kyankwanzi-Bukome-2Dir'!$S$9:$AF$9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Kyankwanzi-Bukome-2Dir'!$S$42:$AF$42</c:f>
              <c:numCache>
                <c:formatCode>0.000</c:formatCode>
                <c:ptCount val="14"/>
                <c:pt idx="0">
                  <c:v>1.3955479452054795</c:v>
                </c:pt>
                <c:pt idx="1">
                  <c:v>1.4476744186046513</c:v>
                </c:pt>
                <c:pt idx="2">
                  <c:v>1.109375</c:v>
                </c:pt>
                <c:pt idx="3">
                  <c:v>1.6907894736842104</c:v>
                </c:pt>
                <c:pt idx="4">
                  <c:v>1</c:v>
                </c:pt>
                <c:pt idx="5">
                  <c:v>1</c:v>
                </c:pt>
                <c:pt idx="6">
                  <c:v>1.8846153846153846</c:v>
                </c:pt>
                <c:pt idx="7">
                  <c:v>2.9576271186440684</c:v>
                </c:pt>
                <c:pt idx="8">
                  <c:v>1.7000000000000002</c:v>
                </c:pt>
                <c:pt idx="9">
                  <c:v>1</c:v>
                </c:pt>
                <c:pt idx="10">
                  <c:v>1.3080391160782323</c:v>
                </c:pt>
                <c:pt idx="11">
                  <c:v>15</c:v>
                </c:pt>
                <c:pt idx="12">
                  <c:v>1.6993524514338578</c:v>
                </c:pt>
                <c:pt idx="13">
                  <c:v>1.3552763819095477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1-4067-952A-7AC626C0DE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1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6FCA3-1ECB-44AD-9AD7-903638C9A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B46D-55EC-45E6-A2F3-66D01DABF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E7EA96-B81E-4EB8-9E59-32944E66E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F80D984-7BB3-4157-BE92-013C16FF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32A8AA-3D9B-469E-96B6-65677300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AF16B1-EB30-4836-A36D-6BBC31FC7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0F9475-34C9-4498-97C2-D1384E864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65FDC0-B48F-4197-988C-FEC219FC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79351C-5F13-4BB7-9019-790A32A75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ADBD51-55BD-4888-B4A5-54A7B486A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59D3E76-6D81-471E-BD60-5C3BAF6EF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8B05DA-D094-4D65-8C3D-79D181F90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593BC2C-034A-4845-A741-8D6F00131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52C830B-ECFF-40A1-9C5E-F9D9BEE92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1D9E3DB-805D-4F04-A5A8-C44B88EB3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A254E14-B949-428A-B499-E5C77B0B3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23164-4BCA-46C4-9A36-6EA59F992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3B8855-4FAB-488F-8AC5-D938B6A99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34746B-D544-4D51-B4C9-9C209013F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9975BE-E6A1-4BAB-A689-7E04B6F7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208263-B290-470E-9180-B1AC0190D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A89C97-FF08-4966-B3C2-05A02685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39F756-7076-4A3B-A971-7AEACC491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682FBD-BD1D-41B2-B9E0-976FE6675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D8D05F-751C-4D51-A798-CAE69244C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D56641-93F0-4F61-A088-53AE1F19D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3F2FFC7-AF49-40D1-A9C2-39E03965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598CAB-9E0F-4B6B-B967-E84B1525F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22BE49-51CD-4D9D-AEAB-A92FB6106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B4C6ADD-FC2B-4FFF-B7CB-552791210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E3EA109-E023-4E4C-942A-5841B2C2B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D4BBFD2-4028-4428-B904-D04BCC882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15535-13D3-4D3A-B8F3-4CCFEF272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011BAA-A3BB-4B04-9C7D-EBDBA8C05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51A202-142A-4CFC-839A-BF7EA533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4BDF20-0184-4000-A866-94C37E342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8993DE-1117-41FB-BB01-DE92C84F6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7DAC41E-7089-4A78-AB63-1BA42D35A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DBBA24-EA57-4E4E-80F5-09F056D2C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0368C71-DAE3-49E2-99DE-CEF8F4A36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DA88B01-B110-49F3-85A6-93C6693A4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ED3F4DF-84C5-44F4-BF5B-7E3144D3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F177A26-8EBD-457C-A388-0F7E6DA9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8FCFFC-F6A7-4A8A-8710-3B2BC616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DF273B3-8D8D-4D08-85EB-70A73EDB5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7B6D757-6514-4EBF-A38A-8565ED1EB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2B81C29-813B-46F6-85FA-BBB21597E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4636F24-0AC0-450A-AC32-A0F92B907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15875</xdr:colOff>
      <xdr:row>58</xdr:row>
      <xdr:rowOff>41276</xdr:rowOff>
    </xdr:from>
    <xdr:to>
      <xdr:col>30</xdr:col>
      <xdr:colOff>31750</xdr:colOff>
      <xdr:row>71</xdr:row>
      <xdr:rowOff>15876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58</xdr:row>
      <xdr:rowOff>47625</xdr:rowOff>
    </xdr:from>
    <xdr:to>
      <xdr:col>24</xdr:col>
      <xdr:colOff>15875</xdr:colOff>
      <xdr:row>71</xdr:row>
      <xdr:rowOff>31750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6350</xdr:rowOff>
    </xdr:from>
    <xdr:to>
      <xdr:col>27</xdr:col>
      <xdr:colOff>698500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58</xdr:row>
      <xdr:rowOff>279401</xdr:rowOff>
    </xdr:from>
    <xdr:to>
      <xdr:col>30</xdr:col>
      <xdr:colOff>15875</xdr:colOff>
      <xdr:row>72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15874</xdr:colOff>
      <xdr:row>59</xdr:row>
      <xdr:rowOff>2</xdr:rowOff>
    </xdr:from>
    <xdr:to>
      <xdr:col>23</xdr:col>
      <xdr:colOff>698499</xdr:colOff>
      <xdr:row>73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142875</xdr:colOff>
      <xdr:row>73</xdr:row>
      <xdr:rowOff>57151</xdr:rowOff>
    </xdr:from>
    <xdr:to>
      <xdr:col>23</xdr:col>
      <xdr:colOff>682625</xdr:colOff>
      <xdr:row>88</xdr:row>
      <xdr:rowOff>63501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31750</xdr:colOff>
      <xdr:row>58</xdr:row>
      <xdr:rowOff>47625</xdr:rowOff>
    </xdr:from>
    <xdr:to>
      <xdr:col>24</xdr:col>
      <xdr:colOff>0</xdr:colOff>
      <xdr:row>73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15875</xdr:colOff>
      <xdr:row>43</xdr:row>
      <xdr:rowOff>15875</xdr:rowOff>
    </xdr:from>
    <xdr:to>
      <xdr:col>30</xdr:col>
      <xdr:colOff>698500</xdr:colOff>
      <xdr:row>58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15875</xdr:colOff>
      <xdr:row>58</xdr:row>
      <xdr:rowOff>47625</xdr:rowOff>
    </xdr:from>
    <xdr:to>
      <xdr:col>31</xdr:col>
      <xdr:colOff>0</xdr:colOff>
      <xdr:row>73</xdr:row>
      <xdr:rowOff>63500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698500</xdr:colOff>
      <xdr:row>73</xdr:row>
      <xdr:rowOff>63500</xdr:rowOff>
    </xdr:from>
    <xdr:to>
      <xdr:col>30</xdr:col>
      <xdr:colOff>682625</xdr:colOff>
      <xdr:row>88</xdr:row>
      <xdr:rowOff>47625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topLeftCell="A34" zoomScale="60" workbookViewId="0">
      <selection activeCell="R7" sqref="R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174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4" t="s">
        <v>165</v>
      </c>
      <c r="H5" s="55"/>
      <c r="I5" s="14"/>
      <c r="J5" s="2" t="s">
        <v>5</v>
      </c>
      <c r="K5" s="54" t="s">
        <v>166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165</v>
      </c>
      <c r="H6" s="55"/>
      <c r="J6" s="2" t="s">
        <v>21</v>
      </c>
      <c r="K6" s="54" t="s">
        <v>167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4</v>
      </c>
      <c r="R10" s="1" t="s">
        <v>6</v>
      </c>
      <c r="S10" s="17">
        <f t="shared" ref="S10:AF10" si="2">SUM(C10:C13)</f>
        <v>3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32</v>
      </c>
      <c r="AD10" s="17">
        <f t="shared" si="2"/>
        <v>0</v>
      </c>
      <c r="AE10" s="31">
        <f t="shared" si="2"/>
        <v>5</v>
      </c>
      <c r="AF10" s="31">
        <f t="shared" si="2"/>
        <v>37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2</v>
      </c>
      <c r="P11" s="15">
        <f t="shared" si="1"/>
        <v>8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44</v>
      </c>
      <c r="AD11" s="17">
        <f t="shared" si="3"/>
        <v>0</v>
      </c>
      <c r="AE11" s="31">
        <f t="shared" si="3"/>
        <v>4</v>
      </c>
      <c r="AF11" s="31">
        <f t="shared" si="3"/>
        <v>48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14</v>
      </c>
      <c r="N12" s="50">
        <v>0</v>
      </c>
      <c r="O12" s="15">
        <f t="shared" si="0"/>
        <v>1</v>
      </c>
      <c r="P12" s="15">
        <f t="shared" si="1"/>
        <v>15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42</v>
      </c>
      <c r="AD12" s="17">
        <f t="shared" si="4"/>
        <v>0</v>
      </c>
      <c r="AE12" s="31">
        <f t="shared" si="4"/>
        <v>5</v>
      </c>
      <c r="AF12" s="31">
        <f t="shared" si="4"/>
        <v>47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1</v>
      </c>
      <c r="P13" s="15">
        <f t="shared" si="1"/>
        <v>10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45</v>
      </c>
      <c r="AD13" s="17">
        <f t="shared" si="5"/>
        <v>0</v>
      </c>
      <c r="AE13" s="31">
        <f t="shared" si="5"/>
        <v>3</v>
      </c>
      <c r="AF13" s="31">
        <f t="shared" si="5"/>
        <v>48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2</v>
      </c>
      <c r="P14" s="15">
        <f t="shared" si="1"/>
        <v>12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48</v>
      </c>
      <c r="AD14" s="17">
        <f t="shared" si="6"/>
        <v>0</v>
      </c>
      <c r="AE14" s="31">
        <f t="shared" si="6"/>
        <v>5</v>
      </c>
      <c r="AF14" s="31">
        <f t="shared" si="6"/>
        <v>53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2</v>
      </c>
      <c r="P15" s="15">
        <f t="shared" si="1"/>
        <v>15</v>
      </c>
      <c r="R15" s="1" t="s">
        <v>11</v>
      </c>
      <c r="S15" s="17">
        <f t="shared" ref="S15:AF15" si="7">SUM(C30:C33)</f>
        <v>0</v>
      </c>
      <c r="T15" s="17">
        <f t="shared" si="7"/>
        <v>1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2</v>
      </c>
      <c r="AA15" s="17">
        <f t="shared" si="7"/>
        <v>1</v>
      </c>
      <c r="AB15" s="17">
        <f t="shared" si="7"/>
        <v>0</v>
      </c>
      <c r="AC15" s="17">
        <f t="shared" si="7"/>
        <v>39</v>
      </c>
      <c r="AD15" s="17">
        <f t="shared" si="7"/>
        <v>0</v>
      </c>
      <c r="AE15" s="31">
        <f t="shared" si="7"/>
        <v>5</v>
      </c>
      <c r="AF15" s="31">
        <f t="shared" si="7"/>
        <v>44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14</v>
      </c>
      <c r="N16" s="50">
        <v>0</v>
      </c>
      <c r="O16" s="15">
        <f t="shared" si="0"/>
        <v>0</v>
      </c>
      <c r="P16" s="15">
        <f t="shared" si="1"/>
        <v>14</v>
      </c>
      <c r="R16" s="1" t="s">
        <v>12</v>
      </c>
      <c r="S16" s="17">
        <f t="shared" ref="S16:AF16" si="8">SUM(C34:C37)</f>
        <v>3</v>
      </c>
      <c r="T16" s="17">
        <f t="shared" si="8"/>
        <v>1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55</v>
      </c>
      <c r="AD16" s="17">
        <f t="shared" si="8"/>
        <v>0</v>
      </c>
      <c r="AE16" s="31">
        <f t="shared" si="8"/>
        <v>6</v>
      </c>
      <c r="AF16" s="31">
        <f t="shared" si="8"/>
        <v>61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0</v>
      </c>
      <c r="P17" s="15">
        <f t="shared" si="1"/>
        <v>7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42</v>
      </c>
      <c r="AD17" s="17">
        <f t="shared" si="9"/>
        <v>0</v>
      </c>
      <c r="AE17" s="31">
        <f t="shared" si="9"/>
        <v>6</v>
      </c>
      <c r="AF17" s="31">
        <f t="shared" si="9"/>
        <v>48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2</v>
      </c>
      <c r="P18" s="15">
        <f t="shared" si="1"/>
        <v>11</v>
      </c>
      <c r="R18" s="1" t="s">
        <v>14</v>
      </c>
      <c r="S18" s="17">
        <f t="shared" ref="S18:AF18" si="10">SUM(C42:C45)</f>
        <v>2</v>
      </c>
      <c r="T18" s="17">
        <f t="shared" si="10"/>
        <v>2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55</v>
      </c>
      <c r="AD18" s="17">
        <f t="shared" si="10"/>
        <v>0</v>
      </c>
      <c r="AE18" s="31">
        <f t="shared" si="10"/>
        <v>9</v>
      </c>
      <c r="AF18" s="31">
        <f t="shared" si="10"/>
        <v>64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1</v>
      </c>
      <c r="G19" s="50">
        <v>0</v>
      </c>
      <c r="H19" s="50">
        <v>0</v>
      </c>
      <c r="I19" s="50">
        <v>0</v>
      </c>
      <c r="J19" s="50">
        <v>1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2</v>
      </c>
      <c r="P19" s="15">
        <f t="shared" si="1"/>
        <v>10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55</v>
      </c>
      <c r="AD19" s="17">
        <f t="shared" si="11"/>
        <v>0</v>
      </c>
      <c r="AE19" s="31">
        <f t="shared" si="11"/>
        <v>12</v>
      </c>
      <c r="AF19" s="31">
        <f t="shared" si="11"/>
        <v>67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1</v>
      </c>
      <c r="P20" s="15">
        <f t="shared" si="1"/>
        <v>14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37</v>
      </c>
      <c r="AD20" s="17">
        <f t="shared" si="12"/>
        <v>0</v>
      </c>
      <c r="AE20" s="31">
        <f t="shared" si="12"/>
        <v>8</v>
      </c>
      <c r="AF20" s="31">
        <f t="shared" si="12"/>
        <v>45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0</v>
      </c>
      <c r="P21" s="15">
        <f t="shared" si="1"/>
        <v>12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60</v>
      </c>
      <c r="AD21" s="17">
        <f t="shared" si="13"/>
        <v>0</v>
      </c>
      <c r="AE21" s="31">
        <f t="shared" si="13"/>
        <v>4</v>
      </c>
      <c r="AF21" s="31">
        <f t="shared" si="13"/>
        <v>64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1</v>
      </c>
      <c r="P22" s="15">
        <f t="shared" si="1"/>
        <v>15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44</v>
      </c>
      <c r="AD22" s="39">
        <f t="shared" si="14"/>
        <v>0</v>
      </c>
      <c r="AE22" s="40">
        <f t="shared" si="14"/>
        <v>5</v>
      </c>
      <c r="AF22" s="40">
        <f t="shared" si="14"/>
        <v>48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0</v>
      </c>
      <c r="P23" s="15">
        <f t="shared" si="1"/>
        <v>10</v>
      </c>
      <c r="R23" s="38" t="s">
        <v>91</v>
      </c>
      <c r="S23" s="39">
        <f>MAX(S13:S18)</f>
        <v>3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3</v>
      </c>
      <c r="AA23" s="39">
        <f t="shared" si="15"/>
        <v>1</v>
      </c>
      <c r="AB23" s="39">
        <f t="shared" si="15"/>
        <v>0</v>
      </c>
      <c r="AC23" s="39">
        <f t="shared" si="15"/>
        <v>55</v>
      </c>
      <c r="AD23" s="39">
        <f t="shared" si="15"/>
        <v>0</v>
      </c>
      <c r="AE23" s="40">
        <f t="shared" si="15"/>
        <v>9</v>
      </c>
      <c r="AF23" s="40">
        <f t="shared" si="15"/>
        <v>64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15</v>
      </c>
      <c r="N24" s="50">
        <v>0</v>
      </c>
      <c r="O24" s="15">
        <f t="shared" si="0"/>
        <v>1</v>
      </c>
      <c r="P24" s="15">
        <f t="shared" si="1"/>
        <v>16</v>
      </c>
      <c r="R24" s="38" t="s">
        <v>92</v>
      </c>
      <c r="S24" s="39">
        <f>MAX(S19:S21)</f>
        <v>4</v>
      </c>
      <c r="T24" s="39">
        <f t="shared" ref="T24:AF24" si="16">MAX(T19:T21)</f>
        <v>0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7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60</v>
      </c>
      <c r="AD24" s="39">
        <f t="shared" si="16"/>
        <v>0</v>
      </c>
      <c r="AE24" s="40">
        <f t="shared" si="16"/>
        <v>12</v>
      </c>
      <c r="AF24" s="40">
        <f t="shared" si="16"/>
        <v>67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1</v>
      </c>
      <c r="P25" s="15">
        <f t="shared" si="1"/>
        <v>7</v>
      </c>
      <c r="R25" s="37" t="s">
        <v>85</v>
      </c>
      <c r="S25" s="35">
        <f t="shared" ref="S25:AF25" si="17">SUM(S10:S12)</f>
        <v>5</v>
      </c>
      <c r="T25" s="16">
        <f t="shared" si="17"/>
        <v>1</v>
      </c>
      <c r="U25" s="16">
        <f t="shared" si="17"/>
        <v>2</v>
      </c>
      <c r="V25" s="16">
        <f t="shared" si="17"/>
        <v>2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3</v>
      </c>
      <c r="AA25" s="16">
        <f t="shared" si="17"/>
        <v>0</v>
      </c>
      <c r="AB25" s="16">
        <f t="shared" si="17"/>
        <v>0</v>
      </c>
      <c r="AC25" s="16">
        <f t="shared" si="17"/>
        <v>118</v>
      </c>
      <c r="AD25" s="16">
        <f t="shared" si="17"/>
        <v>0</v>
      </c>
      <c r="AE25" s="32">
        <f t="shared" si="17"/>
        <v>14</v>
      </c>
      <c r="AF25" s="32">
        <f t="shared" si="17"/>
        <v>132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1</v>
      </c>
      <c r="P26" s="15">
        <f t="shared" si="1"/>
        <v>10</v>
      </c>
      <c r="R26" s="28" t="s">
        <v>86</v>
      </c>
      <c r="S26" s="16">
        <f t="shared" ref="S26:AF26" si="18">SUM(S13:S18)</f>
        <v>6</v>
      </c>
      <c r="T26" s="16">
        <f t="shared" si="18"/>
        <v>6</v>
      </c>
      <c r="U26" s="16">
        <f t="shared" si="18"/>
        <v>3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8</v>
      </c>
      <c r="Z26" s="16">
        <f t="shared" si="18"/>
        <v>8</v>
      </c>
      <c r="AA26" s="16">
        <f t="shared" si="18"/>
        <v>2</v>
      </c>
      <c r="AB26" s="16">
        <f t="shared" si="18"/>
        <v>0</v>
      </c>
      <c r="AC26" s="16">
        <f t="shared" si="18"/>
        <v>284</v>
      </c>
      <c r="AD26" s="16">
        <f t="shared" si="18"/>
        <v>0</v>
      </c>
      <c r="AE26" s="32">
        <f t="shared" si="18"/>
        <v>34</v>
      </c>
      <c r="AF26" s="32">
        <f t="shared" si="18"/>
        <v>318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13</v>
      </c>
      <c r="N27" s="50">
        <v>0</v>
      </c>
      <c r="O27" s="15">
        <f t="shared" si="0"/>
        <v>0</v>
      </c>
      <c r="P27" s="15">
        <f t="shared" si="1"/>
        <v>13</v>
      </c>
      <c r="R27" s="29" t="s">
        <v>87</v>
      </c>
      <c r="S27" s="16">
        <f t="shared" ref="S27:AF27" si="19">SUM(S19:S21)</f>
        <v>6</v>
      </c>
      <c r="T27" s="16">
        <f t="shared" si="19"/>
        <v>0</v>
      </c>
      <c r="U27" s="16">
        <f t="shared" si="19"/>
        <v>2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15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152</v>
      </c>
      <c r="AD27" s="16">
        <f t="shared" si="19"/>
        <v>0</v>
      </c>
      <c r="AE27" s="32">
        <f t="shared" si="19"/>
        <v>24</v>
      </c>
      <c r="AF27" s="32">
        <f t="shared" si="19"/>
        <v>176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3</v>
      </c>
      <c r="P28" s="15">
        <f t="shared" si="1"/>
        <v>14</v>
      </c>
      <c r="R28" s="5" t="s">
        <v>17</v>
      </c>
      <c r="S28" s="16">
        <f t="shared" ref="S28:AF28" si="20">SUM(S10:S21)</f>
        <v>17</v>
      </c>
      <c r="T28" s="16">
        <f t="shared" si="20"/>
        <v>7</v>
      </c>
      <c r="U28" s="16">
        <f t="shared" si="20"/>
        <v>7</v>
      </c>
      <c r="V28" s="16">
        <f t="shared" si="20"/>
        <v>4</v>
      </c>
      <c r="W28" s="16">
        <f t="shared" si="20"/>
        <v>0</v>
      </c>
      <c r="X28" s="16">
        <f t="shared" si="20"/>
        <v>0</v>
      </c>
      <c r="Y28" s="16">
        <f t="shared" si="20"/>
        <v>24</v>
      </c>
      <c r="Z28" s="16">
        <f t="shared" si="20"/>
        <v>11</v>
      </c>
      <c r="AA28" s="16">
        <f t="shared" si="20"/>
        <v>2</v>
      </c>
      <c r="AB28" s="16">
        <f t="shared" si="20"/>
        <v>0</v>
      </c>
      <c r="AC28" s="16">
        <f t="shared" si="20"/>
        <v>554</v>
      </c>
      <c r="AD28" s="16">
        <f t="shared" si="20"/>
        <v>0</v>
      </c>
      <c r="AE28" s="32">
        <f t="shared" si="20"/>
        <v>72</v>
      </c>
      <c r="AF28" s="32">
        <f t="shared" si="20"/>
        <v>626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1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8</v>
      </c>
      <c r="N30" s="50">
        <v>0</v>
      </c>
      <c r="O30" s="15">
        <f t="shared" si="0"/>
        <v>1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1</v>
      </c>
      <c r="L31" s="50">
        <v>0</v>
      </c>
      <c r="M31" s="50">
        <v>15</v>
      </c>
      <c r="N31" s="50">
        <v>0</v>
      </c>
      <c r="O31" s="15">
        <f t="shared" si="0"/>
        <v>3</v>
      </c>
      <c r="P31" s="15">
        <f t="shared" si="1"/>
        <v>18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1</v>
      </c>
      <c r="P32" s="15">
        <f t="shared" si="1"/>
        <v>7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0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5</v>
      </c>
      <c r="N34" s="50">
        <v>0</v>
      </c>
      <c r="O34" s="15">
        <f t="shared" si="0"/>
        <v>1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2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2</v>
      </c>
      <c r="P36" s="15">
        <f t="shared" si="1"/>
        <v>17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21</v>
      </c>
      <c r="N37" s="50">
        <v>0</v>
      </c>
      <c r="O37" s="15">
        <f t="shared" si="0"/>
        <v>1</v>
      </c>
      <c r="P37" s="15">
        <f t="shared" si="1"/>
        <v>22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15</v>
      </c>
      <c r="N38" s="50">
        <v>0</v>
      </c>
      <c r="O38" s="15">
        <f t="shared" si="0"/>
        <v>0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1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2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3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2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2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18</v>
      </c>
      <c r="N43" s="50">
        <v>0</v>
      </c>
      <c r="O43" s="15">
        <f t="shared" si="0"/>
        <v>1</v>
      </c>
      <c r="P43" s="15">
        <f t="shared" si="1"/>
        <v>19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5">
        <f t="shared" si="0"/>
        <v>1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4</v>
      </c>
      <c r="J45" s="50">
        <v>0</v>
      </c>
      <c r="K45" s="50">
        <v>1</v>
      </c>
      <c r="L45" s="50">
        <v>0</v>
      </c>
      <c r="M45" s="50">
        <v>14</v>
      </c>
      <c r="N45" s="50">
        <v>0</v>
      </c>
      <c r="O45" s="15">
        <f t="shared" si="0"/>
        <v>5</v>
      </c>
      <c r="P45" s="15">
        <f t="shared" si="1"/>
        <v>19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1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3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5</v>
      </c>
      <c r="P48" s="15">
        <f t="shared" si="1"/>
        <v>18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3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4</v>
      </c>
      <c r="P50" s="15">
        <f t="shared" si="1"/>
        <v>15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4</v>
      </c>
      <c r="P51" s="15">
        <f t="shared" si="1"/>
        <v>15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0</v>
      </c>
      <c r="P52" s="15">
        <f t="shared" si="1"/>
        <v>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0</v>
      </c>
      <c r="P53" s="15">
        <f t="shared" si="1"/>
        <v>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14</v>
      </c>
      <c r="N54" s="50">
        <v>0</v>
      </c>
      <c r="O54" s="15">
        <f t="shared" si="0"/>
        <v>0</v>
      </c>
      <c r="P54" s="15">
        <f t="shared" si="1"/>
        <v>14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16</v>
      </c>
      <c r="N55" s="50">
        <v>0</v>
      </c>
      <c r="O55" s="15">
        <f t="shared" si="0"/>
        <v>2</v>
      </c>
      <c r="P55" s="15">
        <f t="shared" si="1"/>
        <v>18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17</v>
      </c>
      <c r="N56" s="50">
        <v>0</v>
      </c>
      <c r="O56" s="15">
        <f t="shared" si="0"/>
        <v>1</v>
      </c>
      <c r="P56" s="15">
        <f t="shared" si="1"/>
        <v>18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13</v>
      </c>
      <c r="N57" s="50">
        <v>0</v>
      </c>
      <c r="O57" s="15">
        <f t="shared" si="0"/>
        <v>1</v>
      </c>
      <c r="P57" s="15">
        <f t="shared" si="1"/>
        <v>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</v>
      </c>
      <c r="D58" s="16">
        <f t="shared" si="21"/>
        <v>7</v>
      </c>
      <c r="E58" s="16">
        <f t="shared" si="21"/>
        <v>7</v>
      </c>
      <c r="F58" s="16">
        <f t="shared" si="21"/>
        <v>4</v>
      </c>
      <c r="G58" s="16">
        <f t="shared" si="21"/>
        <v>0</v>
      </c>
      <c r="H58" s="16">
        <f t="shared" si="21"/>
        <v>0</v>
      </c>
      <c r="I58" s="16">
        <f t="shared" si="21"/>
        <v>24</v>
      </c>
      <c r="J58" s="16">
        <f t="shared" si="21"/>
        <v>11</v>
      </c>
      <c r="K58" s="16">
        <f t="shared" si="21"/>
        <v>2</v>
      </c>
      <c r="L58" s="16">
        <f t="shared" si="21"/>
        <v>0</v>
      </c>
      <c r="M58" s="16">
        <f t="shared" si="21"/>
        <v>554</v>
      </c>
      <c r="N58" s="16">
        <f t="shared" si="21"/>
        <v>0</v>
      </c>
      <c r="O58" s="16">
        <f t="shared" si="21"/>
        <v>72</v>
      </c>
      <c r="P58" s="16">
        <f t="shared" si="21"/>
        <v>626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2.7156549520766772E-2</v>
      </c>
      <c r="D59" s="43">
        <f t="shared" si="22"/>
        <v>1.1182108626198083E-2</v>
      </c>
      <c r="E59" s="43">
        <f t="shared" si="22"/>
        <v>1.1182108626198083E-2</v>
      </c>
      <c r="F59" s="43">
        <f t="shared" si="22"/>
        <v>6.3897763578274758E-3</v>
      </c>
      <c r="G59" s="43">
        <f t="shared" si="22"/>
        <v>0</v>
      </c>
      <c r="H59" s="43">
        <f t="shared" si="22"/>
        <v>0</v>
      </c>
      <c r="I59" s="43">
        <f t="shared" si="22"/>
        <v>3.8338658146964855E-2</v>
      </c>
      <c r="J59" s="43">
        <f t="shared" si="22"/>
        <v>1.7571884984025558E-2</v>
      </c>
      <c r="K59" s="43">
        <f t="shared" si="22"/>
        <v>3.1948881789137379E-3</v>
      </c>
      <c r="L59" s="43">
        <f t="shared" si="22"/>
        <v>0</v>
      </c>
      <c r="M59" s="43">
        <f t="shared" si="22"/>
        <v>0.88498402555910538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0.2361111111111111</v>
      </c>
      <c r="D60" s="44">
        <f t="shared" ref="D60:N60" si="23">D58/$O$58</f>
        <v>9.7222222222222224E-2</v>
      </c>
      <c r="E60" s="44">
        <f t="shared" si="23"/>
        <v>9.7222222222222224E-2</v>
      </c>
      <c r="F60" s="44">
        <f t="shared" si="23"/>
        <v>5.5555555555555552E-2</v>
      </c>
      <c r="G60" s="44">
        <f t="shared" si="23"/>
        <v>0</v>
      </c>
      <c r="H60" s="44">
        <f t="shared" si="23"/>
        <v>0</v>
      </c>
      <c r="I60" s="44">
        <f t="shared" si="23"/>
        <v>0.33333333333333331</v>
      </c>
      <c r="J60" s="44">
        <f t="shared" si="23"/>
        <v>0.15277777777777779</v>
      </c>
      <c r="K60" s="44">
        <f t="shared" si="23"/>
        <v>2.7777777777777776E-2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D55" sqref="D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'17.10 Kyankwanzi-bukomero'!D5</f>
        <v>17.10.19</v>
      </c>
      <c r="E5" s="3"/>
      <c r="F5" s="41" t="s">
        <v>1</v>
      </c>
      <c r="G5" s="60" t="str">
        <f>'17.10 Kyankwanzi-bukomero'!G5:H5</f>
        <v>bukomero</v>
      </c>
      <c r="H5" s="61"/>
      <c r="I5" s="14"/>
      <c r="J5" s="2" t="s">
        <v>5</v>
      </c>
      <c r="K5" s="60" t="s">
        <v>168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60" t="s">
        <v>169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20</v>
      </c>
      <c r="AD10" s="17">
        <f t="shared" si="2"/>
        <v>0</v>
      </c>
      <c r="AE10" s="31">
        <f t="shared" si="2"/>
        <v>2</v>
      </c>
      <c r="AF10" s="31">
        <f t="shared" si="2"/>
        <v>22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0</v>
      </c>
      <c r="P11" s="15">
        <f t="shared" si="1"/>
        <v>7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37</v>
      </c>
      <c r="AD11" s="17">
        <f t="shared" si="3"/>
        <v>0</v>
      </c>
      <c r="AE11" s="31">
        <f t="shared" si="3"/>
        <v>9</v>
      </c>
      <c r="AF11" s="31">
        <f t="shared" si="3"/>
        <v>46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5</v>
      </c>
      <c r="N12" s="50">
        <v>0</v>
      </c>
      <c r="O12" s="15">
        <f t="shared" si="0"/>
        <v>2</v>
      </c>
      <c r="P12" s="15">
        <f t="shared" si="1"/>
        <v>7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37</v>
      </c>
      <c r="AD12" s="17">
        <f t="shared" si="4"/>
        <v>0</v>
      </c>
      <c r="AE12" s="31">
        <f t="shared" si="4"/>
        <v>10</v>
      </c>
      <c r="AF12" s="31">
        <f t="shared" si="4"/>
        <v>47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0</v>
      </c>
      <c r="P13" s="15">
        <f t="shared" si="1"/>
        <v>8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41</v>
      </c>
      <c r="AD13" s="17">
        <f t="shared" si="5"/>
        <v>0</v>
      </c>
      <c r="AE13" s="31">
        <f t="shared" si="5"/>
        <v>6</v>
      </c>
      <c r="AF13" s="31">
        <f t="shared" si="5"/>
        <v>47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2</v>
      </c>
      <c r="P14" s="15">
        <f t="shared" si="1"/>
        <v>7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39</v>
      </c>
      <c r="AD14" s="17">
        <f t="shared" si="6"/>
        <v>0</v>
      </c>
      <c r="AE14" s="31">
        <f t="shared" si="6"/>
        <v>3</v>
      </c>
      <c r="AF14" s="31">
        <f t="shared" si="6"/>
        <v>42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1</v>
      </c>
      <c r="P15" s="15">
        <f t="shared" si="1"/>
        <v>17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3</v>
      </c>
      <c r="AF15" s="31">
        <f t="shared" si="7"/>
        <v>44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2</v>
      </c>
      <c r="P16" s="15">
        <f t="shared" si="1"/>
        <v>9</v>
      </c>
      <c r="R16" s="1" t="s">
        <v>12</v>
      </c>
      <c r="S16" s="17">
        <f t="shared" ref="S16:AF16" si="8">SUM(C34:C37)</f>
        <v>1</v>
      </c>
      <c r="T16" s="17">
        <f t="shared" si="8"/>
        <v>2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55</v>
      </c>
      <c r="AD16" s="17">
        <f t="shared" si="8"/>
        <v>0</v>
      </c>
      <c r="AE16" s="31">
        <f t="shared" si="8"/>
        <v>8</v>
      </c>
      <c r="AF16" s="31">
        <f t="shared" si="8"/>
        <v>63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4</v>
      </c>
      <c r="P17" s="15">
        <f t="shared" si="1"/>
        <v>13</v>
      </c>
      <c r="R17" s="1" t="s">
        <v>13</v>
      </c>
      <c r="S17" s="17">
        <f t="shared" ref="S17:AF17" si="9">SUM(C38:C41)</f>
        <v>1</v>
      </c>
      <c r="T17" s="17">
        <f t="shared" si="9"/>
        <v>1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48</v>
      </c>
      <c r="AD17" s="17">
        <f t="shared" si="9"/>
        <v>0</v>
      </c>
      <c r="AE17" s="31">
        <f t="shared" si="9"/>
        <v>9</v>
      </c>
      <c r="AF17" s="31">
        <f t="shared" si="9"/>
        <v>57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1</v>
      </c>
      <c r="P18" s="15">
        <f t="shared" si="1"/>
        <v>8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45</v>
      </c>
      <c r="AD18" s="17">
        <f t="shared" si="10"/>
        <v>0</v>
      </c>
      <c r="AE18" s="31">
        <f t="shared" si="10"/>
        <v>10</v>
      </c>
      <c r="AF18" s="31">
        <f t="shared" si="10"/>
        <v>55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2</v>
      </c>
      <c r="F19" s="50">
        <v>0</v>
      </c>
      <c r="G19" s="50">
        <v>0</v>
      </c>
      <c r="H19" s="50">
        <v>0</v>
      </c>
      <c r="I19" s="50">
        <v>2</v>
      </c>
      <c r="J19" s="50">
        <v>1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6</v>
      </c>
      <c r="P19" s="15">
        <f t="shared" si="1"/>
        <v>20</v>
      </c>
      <c r="R19" s="1" t="s">
        <v>15</v>
      </c>
      <c r="S19" s="17">
        <f t="shared" ref="S19:AF19" si="11">SUM(C46:C49)</f>
        <v>2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35</v>
      </c>
      <c r="AD19" s="17">
        <f t="shared" si="11"/>
        <v>0</v>
      </c>
      <c r="AE19" s="31">
        <f t="shared" si="11"/>
        <v>3</v>
      </c>
      <c r="AF19" s="31">
        <f t="shared" si="11"/>
        <v>38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2</v>
      </c>
      <c r="P20" s="15">
        <f t="shared" si="1"/>
        <v>9</v>
      </c>
      <c r="R20" s="1" t="s">
        <v>16</v>
      </c>
      <c r="S20" s="17">
        <f t="shared" ref="S20:AF20" si="12">SUM(C50:C53)</f>
        <v>6</v>
      </c>
      <c r="T20" s="17">
        <f t="shared" si="12"/>
        <v>0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19</v>
      </c>
      <c r="AD20" s="17">
        <f t="shared" si="12"/>
        <v>0</v>
      </c>
      <c r="AE20" s="31">
        <f t="shared" si="12"/>
        <v>12</v>
      </c>
      <c r="AF20" s="31">
        <f t="shared" si="12"/>
        <v>31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1</v>
      </c>
      <c r="P21" s="15">
        <f t="shared" si="1"/>
        <v>10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76</v>
      </c>
      <c r="AD21" s="17">
        <f t="shared" si="13"/>
        <v>0</v>
      </c>
      <c r="AE21" s="31">
        <f t="shared" si="13"/>
        <v>2</v>
      </c>
      <c r="AF21" s="31">
        <f t="shared" si="13"/>
        <v>78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14</v>
      </c>
      <c r="N22" s="50">
        <v>0</v>
      </c>
      <c r="O22" s="15">
        <f t="shared" si="0"/>
        <v>0</v>
      </c>
      <c r="P22" s="15">
        <f t="shared" si="1"/>
        <v>14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37</v>
      </c>
      <c r="AD22" s="39">
        <f t="shared" si="14"/>
        <v>0</v>
      </c>
      <c r="AE22" s="40">
        <f t="shared" si="14"/>
        <v>10</v>
      </c>
      <c r="AF22" s="40">
        <f t="shared" si="14"/>
        <v>47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2</v>
      </c>
      <c r="P23" s="15">
        <f t="shared" si="1"/>
        <v>9</v>
      </c>
      <c r="R23" s="38" t="s">
        <v>91</v>
      </c>
      <c r="S23" s="39">
        <f>MAX(S13:S18)</f>
        <v>2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55</v>
      </c>
      <c r="AD23" s="39">
        <f t="shared" si="15"/>
        <v>0</v>
      </c>
      <c r="AE23" s="40">
        <f t="shared" si="15"/>
        <v>10</v>
      </c>
      <c r="AF23" s="40">
        <f t="shared" si="15"/>
        <v>63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3</v>
      </c>
      <c r="P24" s="15">
        <f t="shared" si="1"/>
        <v>15</v>
      </c>
      <c r="R24" s="38" t="s">
        <v>92</v>
      </c>
      <c r="S24" s="39">
        <f>MAX(S19:S21)</f>
        <v>6</v>
      </c>
      <c r="T24" s="39">
        <f t="shared" ref="T24:AF24" si="16">MAX(T19:T21)</f>
        <v>1</v>
      </c>
      <c r="U24" s="39">
        <f t="shared" si="16"/>
        <v>0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76</v>
      </c>
      <c r="AD24" s="39">
        <f t="shared" si="16"/>
        <v>0</v>
      </c>
      <c r="AE24" s="40">
        <f t="shared" si="16"/>
        <v>12</v>
      </c>
      <c r="AF24" s="40">
        <f t="shared" si="16"/>
        <v>78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1</v>
      </c>
      <c r="P25" s="15">
        <f t="shared" si="1"/>
        <v>9</v>
      </c>
      <c r="R25" s="37" t="s">
        <v>85</v>
      </c>
      <c r="S25" s="35">
        <f t="shared" ref="S25:AF25" si="17">SUM(S10:S12)</f>
        <v>5</v>
      </c>
      <c r="T25" s="16">
        <f t="shared" si="17"/>
        <v>0</v>
      </c>
      <c r="U25" s="16">
        <f t="shared" si="17"/>
        <v>4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94</v>
      </c>
      <c r="AD25" s="16">
        <f t="shared" si="17"/>
        <v>0</v>
      </c>
      <c r="AE25" s="32">
        <f t="shared" si="17"/>
        <v>21</v>
      </c>
      <c r="AF25" s="32">
        <f t="shared" si="17"/>
        <v>115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0</v>
      </c>
      <c r="P26" s="15">
        <f t="shared" si="1"/>
        <v>9</v>
      </c>
      <c r="R26" s="28" t="s">
        <v>86</v>
      </c>
      <c r="S26" s="16">
        <f t="shared" ref="S26:AF26" si="18">SUM(S13:S18)</f>
        <v>7</v>
      </c>
      <c r="T26" s="16">
        <f t="shared" si="18"/>
        <v>5</v>
      </c>
      <c r="U26" s="16">
        <f t="shared" si="18"/>
        <v>2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20</v>
      </c>
      <c r="Z26" s="16">
        <f t="shared" si="18"/>
        <v>3</v>
      </c>
      <c r="AA26" s="16">
        <f t="shared" si="18"/>
        <v>1</v>
      </c>
      <c r="AB26" s="16">
        <f t="shared" si="18"/>
        <v>0</v>
      </c>
      <c r="AC26" s="16">
        <f t="shared" si="18"/>
        <v>269</v>
      </c>
      <c r="AD26" s="16">
        <f t="shared" si="18"/>
        <v>0</v>
      </c>
      <c r="AE26" s="32">
        <f t="shared" si="18"/>
        <v>39</v>
      </c>
      <c r="AF26" s="32">
        <f t="shared" si="18"/>
        <v>308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0</v>
      </c>
      <c r="P27" s="15">
        <f t="shared" si="1"/>
        <v>10</v>
      </c>
      <c r="R27" s="29" t="s">
        <v>87</v>
      </c>
      <c r="S27" s="16">
        <f t="shared" ref="S27:AF27" si="19">SUM(S19:S21)</f>
        <v>8</v>
      </c>
      <c r="T27" s="16">
        <f t="shared" si="19"/>
        <v>1</v>
      </c>
      <c r="U27" s="16">
        <f t="shared" si="19"/>
        <v>0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7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130</v>
      </c>
      <c r="AD27" s="16">
        <f t="shared" si="19"/>
        <v>0</v>
      </c>
      <c r="AE27" s="32">
        <f t="shared" si="19"/>
        <v>17</v>
      </c>
      <c r="AF27" s="32">
        <f t="shared" si="19"/>
        <v>147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13</v>
      </c>
      <c r="N28" s="50">
        <v>0</v>
      </c>
      <c r="O28" s="15">
        <f t="shared" si="0"/>
        <v>2</v>
      </c>
      <c r="P28" s="15">
        <f t="shared" si="1"/>
        <v>15</v>
      </c>
      <c r="R28" s="5" t="s">
        <v>17</v>
      </c>
      <c r="S28" s="16">
        <f t="shared" ref="S28:AF28" si="20">SUM(S10:S21)</f>
        <v>20</v>
      </c>
      <c r="T28" s="16">
        <f t="shared" si="20"/>
        <v>6</v>
      </c>
      <c r="U28" s="16">
        <f t="shared" si="20"/>
        <v>6</v>
      </c>
      <c r="V28" s="16">
        <f t="shared" si="20"/>
        <v>2</v>
      </c>
      <c r="W28" s="16">
        <f t="shared" si="20"/>
        <v>0</v>
      </c>
      <c r="X28" s="16">
        <f t="shared" si="20"/>
        <v>0</v>
      </c>
      <c r="Y28" s="16">
        <f t="shared" si="20"/>
        <v>37</v>
      </c>
      <c r="Z28" s="16">
        <f t="shared" si="20"/>
        <v>5</v>
      </c>
      <c r="AA28" s="16">
        <f t="shared" si="20"/>
        <v>1</v>
      </c>
      <c r="AB28" s="16">
        <f t="shared" si="20"/>
        <v>0</v>
      </c>
      <c r="AC28" s="16">
        <f t="shared" si="20"/>
        <v>493</v>
      </c>
      <c r="AD28" s="16">
        <f t="shared" si="20"/>
        <v>0</v>
      </c>
      <c r="AE28" s="32">
        <f t="shared" si="20"/>
        <v>77</v>
      </c>
      <c r="AF28" s="32">
        <f t="shared" si="20"/>
        <v>570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1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6</v>
      </c>
      <c r="N30" s="50">
        <v>0</v>
      </c>
      <c r="O30" s="15">
        <f t="shared" si="0"/>
        <v>0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2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15</v>
      </c>
      <c r="N32" s="50">
        <v>0</v>
      </c>
      <c r="O32" s="15">
        <f t="shared" si="0"/>
        <v>0</v>
      </c>
      <c r="P32" s="15">
        <f t="shared" si="1"/>
        <v>15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1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1</v>
      </c>
      <c r="D34" s="50">
        <v>2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3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2</v>
      </c>
      <c r="K35" s="50">
        <v>0</v>
      </c>
      <c r="L35" s="50">
        <v>0</v>
      </c>
      <c r="M35" s="50">
        <v>19</v>
      </c>
      <c r="N35" s="50">
        <v>0</v>
      </c>
      <c r="O35" s="15">
        <f t="shared" si="0"/>
        <v>2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11</v>
      </c>
      <c r="N36" s="50">
        <v>0</v>
      </c>
      <c r="O36" s="15">
        <f t="shared" si="0"/>
        <v>1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17</v>
      </c>
      <c r="N37" s="50">
        <v>0</v>
      </c>
      <c r="O37" s="15">
        <f t="shared" si="0"/>
        <v>2</v>
      </c>
      <c r="P37" s="15">
        <f t="shared" si="1"/>
        <v>19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2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3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3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1</v>
      </c>
      <c r="P41" s="15">
        <f t="shared" si="1"/>
        <v>13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2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1</v>
      </c>
      <c r="P43" s="15">
        <f t="shared" si="1"/>
        <v>9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2</v>
      </c>
      <c r="P44" s="15">
        <f t="shared" si="1"/>
        <v>10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5</v>
      </c>
      <c r="P45" s="15">
        <f t="shared" si="1"/>
        <v>20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13</v>
      </c>
      <c r="N46" s="50">
        <v>0</v>
      </c>
      <c r="O46" s="15">
        <f t="shared" si="0"/>
        <v>0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1</v>
      </c>
      <c r="P47" s="15">
        <f t="shared" si="1"/>
        <v>10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0</v>
      </c>
      <c r="P48" s="15">
        <f t="shared" si="1"/>
        <v>8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2</v>
      </c>
      <c r="P49" s="15">
        <f t="shared" si="1"/>
        <v>7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6</v>
      </c>
      <c r="P50" s="15">
        <f t="shared" si="1"/>
        <v>9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3</v>
      </c>
      <c r="P51" s="15">
        <f t="shared" si="1"/>
        <v>11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</v>
      </c>
      <c r="N52" s="50">
        <v>0</v>
      </c>
      <c r="O52" s="15">
        <f t="shared" si="0"/>
        <v>2</v>
      </c>
      <c r="P52" s="15">
        <f t="shared" si="1"/>
        <v>3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1</v>
      </c>
      <c r="P53" s="15">
        <f t="shared" si="1"/>
        <v>8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16</v>
      </c>
      <c r="N54" s="50">
        <v>0</v>
      </c>
      <c r="O54" s="15">
        <f t="shared" si="0"/>
        <v>0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18</v>
      </c>
      <c r="N55" s="50">
        <v>0</v>
      </c>
      <c r="O55" s="15">
        <f t="shared" si="0"/>
        <v>2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0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0</v>
      </c>
      <c r="P57" s="15">
        <f t="shared" si="1"/>
        <v>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20</v>
      </c>
      <c r="D58" s="16">
        <f t="shared" si="21"/>
        <v>6</v>
      </c>
      <c r="E58" s="16">
        <f t="shared" si="21"/>
        <v>6</v>
      </c>
      <c r="F58" s="16">
        <f t="shared" si="21"/>
        <v>2</v>
      </c>
      <c r="G58" s="16">
        <f t="shared" si="21"/>
        <v>0</v>
      </c>
      <c r="H58" s="16">
        <f t="shared" si="21"/>
        <v>0</v>
      </c>
      <c r="I58" s="16">
        <f t="shared" si="21"/>
        <v>37</v>
      </c>
      <c r="J58" s="16">
        <f t="shared" si="21"/>
        <v>5</v>
      </c>
      <c r="K58" s="16">
        <f t="shared" si="21"/>
        <v>1</v>
      </c>
      <c r="L58" s="16">
        <f t="shared" si="21"/>
        <v>0</v>
      </c>
      <c r="M58" s="16">
        <f t="shared" si="21"/>
        <v>493</v>
      </c>
      <c r="N58" s="16">
        <f t="shared" si="21"/>
        <v>0</v>
      </c>
      <c r="O58" s="16">
        <f t="shared" si="21"/>
        <v>77</v>
      </c>
      <c r="P58" s="16">
        <f t="shared" si="21"/>
        <v>570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3.5087719298245612E-2</v>
      </c>
      <c r="D59" s="43">
        <f t="shared" si="22"/>
        <v>1.0526315789473684E-2</v>
      </c>
      <c r="E59" s="43">
        <f t="shared" si="22"/>
        <v>1.0526315789473684E-2</v>
      </c>
      <c r="F59" s="43">
        <f t="shared" si="22"/>
        <v>3.5087719298245615E-3</v>
      </c>
      <c r="G59" s="43">
        <f t="shared" si="22"/>
        <v>0</v>
      </c>
      <c r="H59" s="43">
        <f t="shared" si="22"/>
        <v>0</v>
      </c>
      <c r="I59" s="43">
        <f t="shared" si="22"/>
        <v>6.491228070175438E-2</v>
      </c>
      <c r="J59" s="43">
        <f t="shared" si="22"/>
        <v>8.771929824561403E-3</v>
      </c>
      <c r="K59" s="43">
        <f t="shared" si="22"/>
        <v>1.7543859649122807E-3</v>
      </c>
      <c r="L59" s="43">
        <f t="shared" si="22"/>
        <v>0</v>
      </c>
      <c r="M59" s="43">
        <f t="shared" si="22"/>
        <v>0.86491228070175441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0.25974025974025972</v>
      </c>
      <c r="D60" s="44">
        <f t="shared" ref="D60:N60" si="23">D58/$O$58</f>
        <v>7.792207792207792E-2</v>
      </c>
      <c r="E60" s="44">
        <f t="shared" si="23"/>
        <v>7.792207792207792E-2</v>
      </c>
      <c r="F60" s="44">
        <f t="shared" si="23"/>
        <v>2.5974025974025976E-2</v>
      </c>
      <c r="G60" s="44">
        <f t="shared" si="23"/>
        <v>0</v>
      </c>
      <c r="H60" s="44">
        <f t="shared" si="23"/>
        <v>0</v>
      </c>
      <c r="I60" s="44">
        <f t="shared" si="23"/>
        <v>0.48051948051948051</v>
      </c>
      <c r="J60" s="44">
        <f t="shared" si="23"/>
        <v>6.4935064935064929E-2</v>
      </c>
      <c r="K60" s="44">
        <f t="shared" si="23"/>
        <v>1.2987012987012988E-2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F126"/>
  <sheetViews>
    <sheetView view="pageBreakPreview" zoomScale="60" workbookViewId="0">
      <selection activeCell="I55" sqref="I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'17.10 Kyankwanzi-bukomero'!G5:H5</f>
        <v>bukomero</v>
      </c>
      <c r="H5" s="64"/>
      <c r="I5" s="14"/>
      <c r="J5" s="2" t="s">
        <v>5</v>
      </c>
      <c r="K5" s="63" t="str">
        <f>'17.10 Kyankwanzi-bukomero'!K5:L5</f>
        <v>kato joseph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Kyankwanzi-bukomero'!D6:E6</f>
        <v>kyankwanzi</v>
      </c>
      <c r="E6" s="64"/>
      <c r="F6" s="2" t="s">
        <v>2</v>
      </c>
      <c r="G6" s="63" t="str">
        <f>'17.10 Kyankwanzi-bukomero'!G6:H6</f>
        <v>bukomero</v>
      </c>
      <c r="H6" s="64"/>
      <c r="J6" s="2" t="s">
        <v>21</v>
      </c>
      <c r="K6" s="63" t="str">
        <f>'17.10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14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1</v>
      </c>
      <c r="T10" s="17">
        <f t="shared" si="2"/>
        <v>2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45</v>
      </c>
      <c r="AD10" s="17">
        <f t="shared" si="2"/>
        <v>0</v>
      </c>
      <c r="AE10" s="31">
        <f t="shared" si="2"/>
        <v>4</v>
      </c>
      <c r="AF10" s="31">
        <f t="shared" si="2"/>
        <v>49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17</v>
      </c>
      <c r="N11" s="50">
        <v>0</v>
      </c>
      <c r="O11" s="15">
        <f t="shared" si="0"/>
        <v>2</v>
      </c>
      <c r="P11" s="15">
        <f t="shared" si="1"/>
        <v>19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35</v>
      </c>
      <c r="AD11" s="17">
        <f t="shared" si="3"/>
        <v>0</v>
      </c>
      <c r="AE11" s="31">
        <f t="shared" si="3"/>
        <v>1</v>
      </c>
      <c r="AF11" s="31">
        <f t="shared" si="3"/>
        <v>36</v>
      </c>
    </row>
    <row r="12" spans="2:32" ht="23.1" customHeight="1" x14ac:dyDescent="0.25">
      <c r="B12" s="23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1</v>
      </c>
      <c r="P12" s="15">
        <f t="shared" si="1"/>
        <v>9</v>
      </c>
      <c r="R12" s="1" t="s">
        <v>8</v>
      </c>
      <c r="S12" s="17">
        <f t="shared" ref="S12:AF12" si="4">SUM(C18:C21)</f>
        <v>2</v>
      </c>
      <c r="T12" s="17">
        <f t="shared" si="4"/>
        <v>1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46</v>
      </c>
      <c r="AD12" s="17">
        <f t="shared" si="4"/>
        <v>0</v>
      </c>
      <c r="AE12" s="31">
        <f t="shared" si="4"/>
        <v>7</v>
      </c>
      <c r="AF12" s="31">
        <f t="shared" si="4"/>
        <v>53</v>
      </c>
    </row>
    <row r="13" spans="2:32" ht="23.1" customHeight="1" x14ac:dyDescent="0.25">
      <c r="B13" s="23" t="s">
        <v>40</v>
      </c>
      <c r="C13" s="50">
        <v>0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1</v>
      </c>
      <c r="P13" s="15">
        <f t="shared" si="1"/>
        <v>7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43</v>
      </c>
      <c r="AD13" s="17">
        <f t="shared" si="5"/>
        <v>0</v>
      </c>
      <c r="AE13" s="31">
        <f t="shared" si="5"/>
        <v>1</v>
      </c>
      <c r="AF13" s="31">
        <f t="shared" si="5"/>
        <v>44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1</v>
      </c>
      <c r="P14" s="15">
        <f t="shared" si="1"/>
        <v>13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0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42</v>
      </c>
      <c r="AD14" s="17">
        <f t="shared" si="6"/>
        <v>0</v>
      </c>
      <c r="AE14" s="31">
        <f t="shared" si="6"/>
        <v>7</v>
      </c>
      <c r="AF14" s="31">
        <f t="shared" si="6"/>
        <v>49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0</v>
      </c>
      <c r="P15" s="15">
        <f t="shared" si="1"/>
        <v>8</v>
      </c>
      <c r="R15" s="1" t="s">
        <v>11</v>
      </c>
      <c r="S15" s="17">
        <f t="shared" ref="S15:AF15" si="7">SUM(C30:C33)</f>
        <v>4</v>
      </c>
      <c r="T15" s="17">
        <f t="shared" si="7"/>
        <v>1</v>
      </c>
      <c r="U15" s="17">
        <f t="shared" si="7"/>
        <v>1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43</v>
      </c>
      <c r="AD15" s="17">
        <f t="shared" si="7"/>
        <v>0</v>
      </c>
      <c r="AE15" s="31">
        <f t="shared" si="7"/>
        <v>10</v>
      </c>
      <c r="AF15" s="31">
        <f t="shared" si="7"/>
        <v>53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0</v>
      </c>
      <c r="P16" s="15">
        <f t="shared" si="1"/>
        <v>5</v>
      </c>
      <c r="R16" s="1" t="s">
        <v>12</v>
      </c>
      <c r="S16" s="17">
        <f t="shared" ref="S16:AF16" si="8">SUM(C34:C37)</f>
        <v>2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34</v>
      </c>
      <c r="AD16" s="17">
        <f t="shared" si="8"/>
        <v>0</v>
      </c>
      <c r="AE16" s="31">
        <f t="shared" si="8"/>
        <v>6</v>
      </c>
      <c r="AF16" s="31">
        <f t="shared" si="8"/>
        <v>40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0</v>
      </c>
      <c r="P17" s="15">
        <f t="shared" si="1"/>
        <v>10</v>
      </c>
      <c r="R17" s="1" t="s">
        <v>13</v>
      </c>
      <c r="S17" s="17">
        <f t="shared" ref="S17:AF17" si="9">SUM(C38:C41)</f>
        <v>4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51</v>
      </c>
      <c r="AD17" s="17">
        <f t="shared" si="9"/>
        <v>0</v>
      </c>
      <c r="AE17" s="31">
        <f t="shared" si="9"/>
        <v>11</v>
      </c>
      <c r="AF17" s="31">
        <f t="shared" si="9"/>
        <v>62</v>
      </c>
    </row>
    <row r="18" spans="2:32" ht="23.1" customHeight="1" x14ac:dyDescent="0.25">
      <c r="B18" s="23" t="s">
        <v>45</v>
      </c>
      <c r="C18" s="50">
        <v>1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3</v>
      </c>
      <c r="P18" s="15">
        <f t="shared" si="1"/>
        <v>15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43</v>
      </c>
      <c r="AD18" s="17">
        <f t="shared" si="10"/>
        <v>0</v>
      </c>
      <c r="AE18" s="31">
        <f t="shared" si="10"/>
        <v>5</v>
      </c>
      <c r="AF18" s="31">
        <f t="shared" si="10"/>
        <v>48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1</v>
      </c>
      <c r="P19" s="15">
        <f t="shared" si="1"/>
        <v>15</v>
      </c>
      <c r="R19" s="1" t="s">
        <v>15</v>
      </c>
      <c r="S19" s="17">
        <f t="shared" ref="S19:AF19" si="11">SUM(C46:C49)</f>
        <v>2</v>
      </c>
      <c r="T19" s="17">
        <f t="shared" si="11"/>
        <v>2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67</v>
      </c>
      <c r="AD19" s="17">
        <f t="shared" si="11"/>
        <v>0</v>
      </c>
      <c r="AE19" s="31">
        <f t="shared" si="11"/>
        <v>11</v>
      </c>
      <c r="AF19" s="31">
        <f t="shared" si="11"/>
        <v>78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2</v>
      </c>
      <c r="P20" s="15">
        <f t="shared" si="1"/>
        <v>10</v>
      </c>
      <c r="R20" s="1" t="s">
        <v>16</v>
      </c>
      <c r="S20" s="17">
        <f t="shared" ref="S20:AF20" si="12">SUM(C50:C53)</f>
        <v>4</v>
      </c>
      <c r="T20" s="17">
        <f t="shared" si="12"/>
        <v>3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74</v>
      </c>
      <c r="AD20" s="17">
        <f t="shared" si="12"/>
        <v>0</v>
      </c>
      <c r="AE20" s="31">
        <f t="shared" si="12"/>
        <v>16</v>
      </c>
      <c r="AF20" s="31">
        <f t="shared" si="12"/>
        <v>90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1</v>
      </c>
      <c r="P21" s="15">
        <f t="shared" si="1"/>
        <v>13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0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64</v>
      </c>
      <c r="AD21" s="17">
        <f t="shared" si="13"/>
        <v>0</v>
      </c>
      <c r="AE21" s="31">
        <f t="shared" si="13"/>
        <v>6</v>
      </c>
      <c r="AF21" s="31">
        <f t="shared" si="13"/>
        <v>70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1</v>
      </c>
      <c r="P22" s="15">
        <f t="shared" si="1"/>
        <v>14</v>
      </c>
      <c r="R22" s="38" t="s">
        <v>90</v>
      </c>
      <c r="S22" s="39">
        <f>MAX(S10:S12)</f>
        <v>2</v>
      </c>
      <c r="T22" s="39">
        <f t="shared" ref="T22:AF22" si="14">MAX(T10:T12)</f>
        <v>2</v>
      </c>
      <c r="U22" s="39">
        <f t="shared" si="14"/>
        <v>0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46</v>
      </c>
      <c r="AD22" s="39">
        <f t="shared" si="14"/>
        <v>0</v>
      </c>
      <c r="AE22" s="40">
        <f t="shared" si="14"/>
        <v>7</v>
      </c>
      <c r="AF22" s="40">
        <f t="shared" si="14"/>
        <v>53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11</v>
      </c>
      <c r="N23" s="50">
        <v>0</v>
      </c>
      <c r="O23" s="15">
        <f t="shared" si="0"/>
        <v>0</v>
      </c>
      <c r="P23" s="15">
        <f t="shared" si="1"/>
        <v>11</v>
      </c>
      <c r="R23" s="38" t="s">
        <v>91</v>
      </c>
      <c r="S23" s="39">
        <f>MAX(S13:S18)</f>
        <v>4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51</v>
      </c>
      <c r="AD23" s="39">
        <f t="shared" si="15"/>
        <v>0</v>
      </c>
      <c r="AE23" s="40">
        <f t="shared" si="15"/>
        <v>11</v>
      </c>
      <c r="AF23" s="40">
        <f t="shared" si="15"/>
        <v>62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0</v>
      </c>
      <c r="P24" s="15">
        <f t="shared" si="1"/>
        <v>6</v>
      </c>
      <c r="R24" s="38" t="s">
        <v>92</v>
      </c>
      <c r="S24" s="39">
        <f>MAX(S19:S21)</f>
        <v>4</v>
      </c>
      <c r="T24" s="39">
        <f t="shared" ref="T24:AF24" si="16">MAX(T19:T21)</f>
        <v>3</v>
      </c>
      <c r="U24" s="39">
        <f t="shared" si="16"/>
        <v>1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8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74</v>
      </c>
      <c r="AD24" s="39">
        <f t="shared" si="16"/>
        <v>0</v>
      </c>
      <c r="AE24" s="40">
        <f t="shared" si="16"/>
        <v>16</v>
      </c>
      <c r="AF24" s="40">
        <f t="shared" si="16"/>
        <v>90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0</v>
      </c>
      <c r="P25" s="15">
        <f t="shared" si="1"/>
        <v>13</v>
      </c>
      <c r="R25" s="37" t="s">
        <v>85</v>
      </c>
      <c r="S25" s="35">
        <f t="shared" ref="S25:AF25" si="17">SUM(S10:S12)</f>
        <v>3</v>
      </c>
      <c r="T25" s="16">
        <f t="shared" si="17"/>
        <v>3</v>
      </c>
      <c r="U25" s="16">
        <f t="shared" si="17"/>
        <v>0</v>
      </c>
      <c r="V25" s="16">
        <f t="shared" si="17"/>
        <v>1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126</v>
      </c>
      <c r="AD25" s="16">
        <f t="shared" si="17"/>
        <v>0</v>
      </c>
      <c r="AE25" s="32">
        <f t="shared" si="17"/>
        <v>12</v>
      </c>
      <c r="AF25" s="32">
        <f t="shared" si="17"/>
        <v>138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2</v>
      </c>
      <c r="P26" s="15">
        <f t="shared" si="1"/>
        <v>14</v>
      </c>
      <c r="R26" s="28" t="s">
        <v>86</v>
      </c>
      <c r="S26" s="16">
        <f t="shared" ref="S26:AF26" si="18">SUM(S13:S18)</f>
        <v>13</v>
      </c>
      <c r="T26" s="16">
        <f t="shared" si="18"/>
        <v>3</v>
      </c>
      <c r="U26" s="16">
        <f t="shared" si="18"/>
        <v>2</v>
      </c>
      <c r="V26" s="16">
        <f t="shared" si="18"/>
        <v>3</v>
      </c>
      <c r="W26" s="16">
        <f t="shared" si="18"/>
        <v>0</v>
      </c>
      <c r="X26" s="16">
        <f t="shared" si="18"/>
        <v>0</v>
      </c>
      <c r="Y26" s="16">
        <f t="shared" si="18"/>
        <v>18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256</v>
      </c>
      <c r="AD26" s="16">
        <f t="shared" si="18"/>
        <v>0</v>
      </c>
      <c r="AE26" s="32">
        <f t="shared" si="18"/>
        <v>40</v>
      </c>
      <c r="AF26" s="32">
        <f t="shared" si="18"/>
        <v>296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13</v>
      </c>
      <c r="N27" s="50">
        <v>0</v>
      </c>
      <c r="O27" s="15">
        <f t="shared" si="0"/>
        <v>1</v>
      </c>
      <c r="P27" s="15">
        <f t="shared" si="1"/>
        <v>14</v>
      </c>
      <c r="R27" s="29" t="s">
        <v>87</v>
      </c>
      <c r="S27" s="16">
        <f t="shared" ref="S27:AF27" si="19">SUM(S19:S21)</f>
        <v>8</v>
      </c>
      <c r="T27" s="16">
        <f t="shared" si="19"/>
        <v>5</v>
      </c>
      <c r="U27" s="16">
        <f t="shared" si="19"/>
        <v>1</v>
      </c>
      <c r="V27" s="16">
        <f t="shared" si="19"/>
        <v>4</v>
      </c>
      <c r="W27" s="16">
        <f t="shared" si="19"/>
        <v>0</v>
      </c>
      <c r="X27" s="16">
        <f t="shared" si="19"/>
        <v>0</v>
      </c>
      <c r="Y27" s="16">
        <f t="shared" si="19"/>
        <v>15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205</v>
      </c>
      <c r="AD27" s="16">
        <f t="shared" si="19"/>
        <v>0</v>
      </c>
      <c r="AE27" s="32">
        <f t="shared" si="19"/>
        <v>33</v>
      </c>
      <c r="AF27" s="32">
        <f t="shared" si="19"/>
        <v>238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2</v>
      </c>
      <c r="P28" s="15">
        <f t="shared" si="1"/>
        <v>11</v>
      </c>
      <c r="R28" s="5" t="s">
        <v>17</v>
      </c>
      <c r="S28" s="16">
        <f t="shared" ref="S28:AF28" si="20">SUM(S10:S21)</f>
        <v>24</v>
      </c>
      <c r="T28" s="16">
        <f t="shared" si="20"/>
        <v>11</v>
      </c>
      <c r="U28" s="16">
        <f t="shared" si="20"/>
        <v>3</v>
      </c>
      <c r="V28" s="16">
        <f t="shared" si="20"/>
        <v>8</v>
      </c>
      <c r="W28" s="16">
        <f t="shared" si="20"/>
        <v>0</v>
      </c>
      <c r="X28" s="16">
        <f t="shared" si="20"/>
        <v>0</v>
      </c>
      <c r="Y28" s="16">
        <f t="shared" si="20"/>
        <v>37</v>
      </c>
      <c r="Z28" s="16">
        <f t="shared" si="20"/>
        <v>2</v>
      </c>
      <c r="AA28" s="16">
        <f t="shared" si="20"/>
        <v>0</v>
      </c>
      <c r="AB28" s="16">
        <f t="shared" si="20"/>
        <v>0</v>
      </c>
      <c r="AC28" s="16">
        <f t="shared" si="20"/>
        <v>587</v>
      </c>
      <c r="AD28" s="16">
        <f t="shared" si="20"/>
        <v>0</v>
      </c>
      <c r="AE28" s="32">
        <f t="shared" si="20"/>
        <v>85</v>
      </c>
      <c r="AF28" s="32">
        <f t="shared" si="20"/>
        <v>672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2</v>
      </c>
      <c r="P29" s="15">
        <f t="shared" si="1"/>
        <v>10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2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2</v>
      </c>
      <c r="D31" s="50">
        <v>1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4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3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1</v>
      </c>
      <c r="P33" s="15">
        <f t="shared" si="1"/>
        <v>14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16</v>
      </c>
      <c r="N34" s="50">
        <v>0</v>
      </c>
      <c r="O34" s="15">
        <f t="shared" si="0"/>
        <v>1</v>
      </c>
      <c r="P34" s="15">
        <f t="shared" si="1"/>
        <v>17</v>
      </c>
    </row>
    <row r="35" spans="2:20" ht="23.1" customHeight="1" x14ac:dyDescent="0.25">
      <c r="B35" s="24" t="s">
        <v>62</v>
      </c>
      <c r="C35" s="50">
        <v>1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4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0</v>
      </c>
      <c r="P36" s="15">
        <f t="shared" si="1"/>
        <v>7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6</v>
      </c>
      <c r="N37" s="50">
        <v>0</v>
      </c>
      <c r="O37" s="15">
        <f t="shared" si="0"/>
        <v>1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16</v>
      </c>
      <c r="N38" s="50">
        <v>0</v>
      </c>
      <c r="O38" s="15">
        <f t="shared" si="0"/>
        <v>4</v>
      </c>
      <c r="P38" s="15">
        <f t="shared" si="1"/>
        <v>20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16</v>
      </c>
      <c r="N39" s="50">
        <v>0</v>
      </c>
      <c r="O39" s="15">
        <f t="shared" si="0"/>
        <v>4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3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0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2</v>
      </c>
      <c r="P42" s="15">
        <f t="shared" si="1"/>
        <v>16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0</v>
      </c>
      <c r="P43" s="15">
        <f t="shared" si="1"/>
        <v>10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5">
        <f t="shared" si="0"/>
        <v>2</v>
      </c>
      <c r="P44" s="15">
        <f t="shared" si="1"/>
        <v>14</v>
      </c>
    </row>
    <row r="45" spans="2:20" ht="23.1" customHeight="1" x14ac:dyDescent="0.25">
      <c r="B45" s="23" t="s">
        <v>72</v>
      </c>
      <c r="C45" s="50">
        <v>0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1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1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16</v>
      </c>
      <c r="N46" s="50">
        <v>0</v>
      </c>
      <c r="O46" s="15">
        <f t="shared" si="0"/>
        <v>2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14</v>
      </c>
      <c r="N47" s="50">
        <v>0</v>
      </c>
      <c r="O47" s="15">
        <f t="shared" si="0"/>
        <v>2</v>
      </c>
      <c r="P47" s="15">
        <f t="shared" si="1"/>
        <v>16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22</v>
      </c>
      <c r="N48" s="50">
        <v>0</v>
      </c>
      <c r="O48" s="15">
        <f t="shared" si="0"/>
        <v>2</v>
      </c>
      <c r="P48" s="15">
        <f t="shared" si="1"/>
        <v>24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1</v>
      </c>
      <c r="E49" s="50">
        <v>0</v>
      </c>
      <c r="F49" s="50">
        <v>0</v>
      </c>
      <c r="G49" s="50">
        <v>0</v>
      </c>
      <c r="H49" s="50">
        <v>0</v>
      </c>
      <c r="I49" s="50">
        <v>4</v>
      </c>
      <c r="J49" s="50">
        <v>0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5</v>
      </c>
      <c r="P49" s="15">
        <f t="shared" si="1"/>
        <v>20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17</v>
      </c>
      <c r="N50" s="50">
        <v>0</v>
      </c>
      <c r="O50" s="15">
        <f t="shared" si="0"/>
        <v>3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25</v>
      </c>
      <c r="N51" s="50">
        <v>0</v>
      </c>
      <c r="O51" s="15">
        <f t="shared" si="0"/>
        <v>4</v>
      </c>
      <c r="P51" s="15">
        <f t="shared" si="1"/>
        <v>29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13</v>
      </c>
      <c r="N52" s="50">
        <v>0</v>
      </c>
      <c r="O52" s="15">
        <f t="shared" si="0"/>
        <v>4</v>
      </c>
      <c r="P52" s="15">
        <f t="shared" si="1"/>
        <v>17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0</v>
      </c>
      <c r="F53" s="50">
        <v>1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5</v>
      </c>
      <c r="P53" s="15">
        <f t="shared" si="1"/>
        <v>24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2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13</v>
      </c>
      <c r="N55" s="50">
        <v>0</v>
      </c>
      <c r="O55" s="15">
        <f t="shared" si="0"/>
        <v>4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14</v>
      </c>
      <c r="N56" s="50">
        <v>0</v>
      </c>
      <c r="O56" s="15">
        <f t="shared" si="0"/>
        <v>0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0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24</v>
      </c>
      <c r="D58" s="16">
        <f t="shared" si="21"/>
        <v>11</v>
      </c>
      <c r="E58" s="16">
        <f t="shared" si="21"/>
        <v>3</v>
      </c>
      <c r="F58" s="16">
        <f t="shared" si="21"/>
        <v>8</v>
      </c>
      <c r="G58" s="16">
        <f t="shared" si="21"/>
        <v>0</v>
      </c>
      <c r="H58" s="16">
        <f t="shared" si="21"/>
        <v>0</v>
      </c>
      <c r="I58" s="16">
        <f t="shared" si="21"/>
        <v>37</v>
      </c>
      <c r="J58" s="16">
        <f t="shared" si="21"/>
        <v>2</v>
      </c>
      <c r="K58" s="16">
        <f t="shared" si="21"/>
        <v>0</v>
      </c>
      <c r="L58" s="16">
        <f t="shared" si="21"/>
        <v>0</v>
      </c>
      <c r="M58" s="16">
        <f t="shared" si="21"/>
        <v>587</v>
      </c>
      <c r="N58" s="16">
        <f t="shared" si="21"/>
        <v>0</v>
      </c>
      <c r="O58" s="16">
        <f t="shared" si="21"/>
        <v>85</v>
      </c>
      <c r="P58" s="16">
        <f t="shared" si="21"/>
        <v>672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3.5714285714285712E-2</v>
      </c>
      <c r="D59" s="43">
        <f t="shared" si="22"/>
        <v>1.636904761904762E-2</v>
      </c>
      <c r="E59" s="43">
        <f t="shared" si="22"/>
        <v>4.464285714285714E-3</v>
      </c>
      <c r="F59" s="43">
        <f t="shared" si="22"/>
        <v>1.1904761904761904E-2</v>
      </c>
      <c r="G59" s="43">
        <f t="shared" si="22"/>
        <v>0</v>
      </c>
      <c r="H59" s="43">
        <f t="shared" si="22"/>
        <v>0</v>
      </c>
      <c r="I59" s="43">
        <f t="shared" si="22"/>
        <v>5.5059523809523808E-2</v>
      </c>
      <c r="J59" s="43">
        <f t="shared" si="22"/>
        <v>2.976190476190476E-3</v>
      </c>
      <c r="K59" s="43">
        <f t="shared" si="22"/>
        <v>0</v>
      </c>
      <c r="L59" s="43">
        <f t="shared" si="22"/>
        <v>0</v>
      </c>
      <c r="M59" s="43">
        <f t="shared" si="22"/>
        <v>0.87351190476190477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0.28235294117647058</v>
      </c>
      <c r="D60" s="44">
        <f t="shared" ref="D60:N60" si="23">D58/$O$58</f>
        <v>0.12941176470588237</v>
      </c>
      <c r="E60" s="44">
        <f t="shared" si="23"/>
        <v>3.5294117647058823E-2</v>
      </c>
      <c r="F60" s="44">
        <f t="shared" si="23"/>
        <v>9.4117647058823528E-2</v>
      </c>
      <c r="G60" s="44">
        <f t="shared" si="23"/>
        <v>0</v>
      </c>
      <c r="H60" s="44">
        <f t="shared" si="23"/>
        <v>0</v>
      </c>
      <c r="I60" s="44">
        <f t="shared" si="23"/>
        <v>0.43529411764705883</v>
      </c>
      <c r="J60" s="44">
        <f t="shared" si="23"/>
        <v>2.3529411764705882E-2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26"/>
  <sheetViews>
    <sheetView view="pageBreakPreview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bukomero-Kyankwanzi'!C3:G3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'18.10 Kyankwanzi-bukomero'!D5</f>
        <v>18.10.19</v>
      </c>
      <c r="E5" s="3"/>
      <c r="F5" s="41" t="s">
        <v>1</v>
      </c>
      <c r="G5" s="63" t="str">
        <f>'17.10 Kyankwanzi-bukomero'!G5:H5</f>
        <v>bukomero</v>
      </c>
      <c r="H5" s="64"/>
      <c r="I5" s="14"/>
      <c r="J5" s="2" t="s">
        <v>5</v>
      </c>
      <c r="K5" s="63" t="str">
        <f>'17.10 Kyankwanzi-bukomero'!K5:L5</f>
        <v>kato joseph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bukomero-Kyankwanzi'!D6:E6</f>
        <v>bukomero</v>
      </c>
      <c r="E6" s="64"/>
      <c r="F6" s="2" t="s">
        <v>2</v>
      </c>
      <c r="G6" s="63" t="str">
        <f>'17.10 bukomero-Kyankwanzi'!G6:H6</f>
        <v>kyankwanzi</v>
      </c>
      <c r="H6" s="64"/>
      <c r="J6" s="2" t="s">
        <v>21</v>
      </c>
      <c r="K6" s="63" t="str">
        <f>'17.10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14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38</v>
      </c>
      <c r="AD10" s="17">
        <f t="shared" si="2"/>
        <v>0</v>
      </c>
      <c r="AE10" s="31">
        <f t="shared" si="2"/>
        <v>7</v>
      </c>
      <c r="AF10" s="31">
        <f t="shared" si="2"/>
        <v>45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1</v>
      </c>
      <c r="P11" s="15">
        <f t="shared" si="1"/>
        <v>13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40</v>
      </c>
      <c r="AD11" s="17">
        <f t="shared" si="3"/>
        <v>0</v>
      </c>
      <c r="AE11" s="31">
        <f t="shared" si="3"/>
        <v>8</v>
      </c>
      <c r="AF11" s="31">
        <f t="shared" si="3"/>
        <v>48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3</v>
      </c>
      <c r="P12" s="15">
        <f t="shared" si="1"/>
        <v>7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36</v>
      </c>
      <c r="AD12" s="17">
        <f t="shared" si="4"/>
        <v>0</v>
      </c>
      <c r="AE12" s="31">
        <f t="shared" si="4"/>
        <v>8</v>
      </c>
      <c r="AF12" s="31">
        <f t="shared" si="4"/>
        <v>44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2</v>
      </c>
      <c r="P13" s="15">
        <f t="shared" si="1"/>
        <v>11</v>
      </c>
      <c r="R13" s="1" t="s">
        <v>9</v>
      </c>
      <c r="S13" s="17">
        <f t="shared" ref="S13:AF13" si="5">SUM(C22:C25)</f>
        <v>1</v>
      </c>
      <c r="T13" s="17">
        <f t="shared" si="5"/>
        <v>2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46</v>
      </c>
      <c r="AD13" s="17">
        <f t="shared" si="5"/>
        <v>0</v>
      </c>
      <c r="AE13" s="31">
        <f t="shared" si="5"/>
        <v>8</v>
      </c>
      <c r="AF13" s="31">
        <f t="shared" si="5"/>
        <v>54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1</v>
      </c>
      <c r="P14" s="15">
        <f t="shared" si="1"/>
        <v>12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34</v>
      </c>
      <c r="AD14" s="17">
        <f t="shared" si="6"/>
        <v>0</v>
      </c>
      <c r="AE14" s="31">
        <f t="shared" si="6"/>
        <v>3</v>
      </c>
      <c r="AF14" s="31">
        <f t="shared" si="6"/>
        <v>37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2</v>
      </c>
      <c r="P15" s="15">
        <f t="shared" si="1"/>
        <v>10</v>
      </c>
      <c r="R15" s="1" t="s">
        <v>11</v>
      </c>
      <c r="S15" s="17">
        <f t="shared" ref="S15:AF15" si="7">SUM(C30:C33)</f>
        <v>0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39</v>
      </c>
      <c r="AD15" s="17">
        <f t="shared" si="7"/>
        <v>0</v>
      </c>
      <c r="AE15" s="31">
        <f t="shared" si="7"/>
        <v>2</v>
      </c>
      <c r="AF15" s="31">
        <f t="shared" si="7"/>
        <v>41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1</v>
      </c>
      <c r="P16" s="15">
        <f t="shared" si="1"/>
        <v>13</v>
      </c>
      <c r="R16" s="1" t="s">
        <v>12</v>
      </c>
      <c r="S16" s="17">
        <f t="shared" ref="S16:AF16" si="8">SUM(C34:C37)</f>
        <v>1</v>
      </c>
      <c r="T16" s="17">
        <f t="shared" si="8"/>
        <v>1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33</v>
      </c>
      <c r="AD16" s="17">
        <f t="shared" si="8"/>
        <v>0</v>
      </c>
      <c r="AE16" s="31">
        <f t="shared" si="8"/>
        <v>4</v>
      </c>
      <c r="AF16" s="31">
        <f t="shared" si="8"/>
        <v>37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4</v>
      </c>
      <c r="P17" s="15">
        <f t="shared" si="1"/>
        <v>13</v>
      </c>
      <c r="R17" s="1" t="s">
        <v>13</v>
      </c>
      <c r="S17" s="17">
        <f t="shared" ref="S17:AF17" si="9">SUM(C38:C41)</f>
        <v>0</v>
      </c>
      <c r="T17" s="17">
        <f t="shared" si="9"/>
        <v>1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44</v>
      </c>
      <c r="AD17" s="17">
        <f t="shared" si="9"/>
        <v>0</v>
      </c>
      <c r="AE17" s="31">
        <f t="shared" si="9"/>
        <v>9</v>
      </c>
      <c r="AF17" s="31">
        <f t="shared" si="9"/>
        <v>53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3</v>
      </c>
      <c r="P18" s="15">
        <f t="shared" si="1"/>
        <v>9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43</v>
      </c>
      <c r="AD18" s="17">
        <f t="shared" si="10"/>
        <v>0</v>
      </c>
      <c r="AE18" s="31">
        <f t="shared" si="10"/>
        <v>8</v>
      </c>
      <c r="AF18" s="31">
        <f t="shared" si="10"/>
        <v>51</v>
      </c>
    </row>
    <row r="19" spans="2:32" ht="23.1" customHeight="1" x14ac:dyDescent="0.25">
      <c r="B19" s="23" t="s">
        <v>46</v>
      </c>
      <c r="C19" s="50">
        <v>0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3</v>
      </c>
      <c r="P19" s="15">
        <f t="shared" si="1"/>
        <v>9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52</v>
      </c>
      <c r="AD19" s="17">
        <f t="shared" si="11"/>
        <v>0</v>
      </c>
      <c r="AE19" s="31">
        <f t="shared" si="11"/>
        <v>3</v>
      </c>
      <c r="AF19" s="31">
        <f t="shared" si="11"/>
        <v>55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1</v>
      </c>
      <c r="P20" s="15">
        <f t="shared" si="1"/>
        <v>14</v>
      </c>
      <c r="R20" s="1" t="s">
        <v>16</v>
      </c>
      <c r="S20" s="17">
        <f t="shared" ref="S20:AF20" si="12">SUM(C50:C53)</f>
        <v>1</v>
      </c>
      <c r="T20" s="17">
        <f t="shared" si="12"/>
        <v>1</v>
      </c>
      <c r="U20" s="17">
        <f t="shared" si="12"/>
        <v>2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75</v>
      </c>
      <c r="AD20" s="17">
        <f t="shared" si="12"/>
        <v>0</v>
      </c>
      <c r="AE20" s="31">
        <f t="shared" si="12"/>
        <v>6</v>
      </c>
      <c r="AF20" s="31">
        <f t="shared" si="12"/>
        <v>81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1</v>
      </c>
      <c r="P21" s="15">
        <f t="shared" si="1"/>
        <v>12</v>
      </c>
      <c r="R21" s="36" t="s">
        <v>20</v>
      </c>
      <c r="S21" s="34">
        <f t="shared" ref="S21:AF21" si="13">SUM(C54:C57)</f>
        <v>2</v>
      </c>
      <c r="T21" s="17">
        <f t="shared" si="13"/>
        <v>2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3</v>
      </c>
      <c r="AA21" s="17">
        <f t="shared" si="13"/>
        <v>0</v>
      </c>
      <c r="AB21" s="17">
        <f t="shared" si="13"/>
        <v>0</v>
      </c>
      <c r="AC21" s="17">
        <f t="shared" si="13"/>
        <v>40</v>
      </c>
      <c r="AD21" s="17">
        <f t="shared" si="13"/>
        <v>0</v>
      </c>
      <c r="AE21" s="31">
        <f t="shared" si="13"/>
        <v>9</v>
      </c>
      <c r="AF21" s="31">
        <f t="shared" si="13"/>
        <v>49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2</v>
      </c>
      <c r="P22" s="15">
        <f t="shared" si="1"/>
        <v>13</v>
      </c>
      <c r="R22" s="38" t="s">
        <v>90</v>
      </c>
      <c r="S22" s="39">
        <f>MAX(S10:S12)</f>
        <v>3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6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40</v>
      </c>
      <c r="AD22" s="39">
        <f t="shared" si="14"/>
        <v>0</v>
      </c>
      <c r="AE22" s="40">
        <f t="shared" si="14"/>
        <v>8</v>
      </c>
      <c r="AF22" s="40">
        <f t="shared" si="14"/>
        <v>48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6</v>
      </c>
      <c r="N23" s="50">
        <v>0</v>
      </c>
      <c r="O23" s="15">
        <f t="shared" si="0"/>
        <v>1</v>
      </c>
      <c r="P23" s="15">
        <f t="shared" si="1"/>
        <v>7</v>
      </c>
      <c r="R23" s="38" t="s">
        <v>91</v>
      </c>
      <c r="S23" s="39">
        <f>MAX(S13:S18)</f>
        <v>4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2</v>
      </c>
      <c r="AA23" s="39">
        <f t="shared" si="15"/>
        <v>0</v>
      </c>
      <c r="AB23" s="39">
        <f t="shared" si="15"/>
        <v>0</v>
      </c>
      <c r="AC23" s="39">
        <f t="shared" si="15"/>
        <v>46</v>
      </c>
      <c r="AD23" s="39">
        <f t="shared" si="15"/>
        <v>0</v>
      </c>
      <c r="AE23" s="40">
        <f t="shared" si="15"/>
        <v>9</v>
      </c>
      <c r="AF23" s="40">
        <f t="shared" si="15"/>
        <v>54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15</v>
      </c>
      <c r="N24" s="50">
        <v>0</v>
      </c>
      <c r="O24" s="15">
        <f t="shared" si="0"/>
        <v>1</v>
      </c>
      <c r="P24" s="15">
        <f t="shared" si="1"/>
        <v>16</v>
      </c>
      <c r="R24" s="38" t="s">
        <v>92</v>
      </c>
      <c r="S24" s="39">
        <f>MAX(S19:S21)</f>
        <v>3</v>
      </c>
      <c r="T24" s="39">
        <f t="shared" ref="T24:AF24" si="16">MAX(T19:T21)</f>
        <v>2</v>
      </c>
      <c r="U24" s="39">
        <f t="shared" si="16"/>
        <v>2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75</v>
      </c>
      <c r="AD24" s="39">
        <f t="shared" si="16"/>
        <v>0</v>
      </c>
      <c r="AE24" s="40">
        <f t="shared" si="16"/>
        <v>9</v>
      </c>
      <c r="AF24" s="40">
        <f t="shared" si="16"/>
        <v>81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4</v>
      </c>
      <c r="P25" s="15">
        <f t="shared" si="1"/>
        <v>18</v>
      </c>
      <c r="R25" s="37" t="s">
        <v>85</v>
      </c>
      <c r="S25" s="35">
        <f t="shared" ref="S25:AF25" si="17">SUM(S10:S12)</f>
        <v>4</v>
      </c>
      <c r="T25" s="16">
        <f t="shared" si="17"/>
        <v>1</v>
      </c>
      <c r="U25" s="16">
        <f t="shared" si="17"/>
        <v>1</v>
      </c>
      <c r="V25" s="16">
        <f t="shared" si="17"/>
        <v>2</v>
      </c>
      <c r="W25" s="16">
        <f t="shared" si="17"/>
        <v>0</v>
      </c>
      <c r="X25" s="16">
        <f t="shared" si="17"/>
        <v>0</v>
      </c>
      <c r="Y25" s="16">
        <f t="shared" si="17"/>
        <v>15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114</v>
      </c>
      <c r="AD25" s="16">
        <f t="shared" si="17"/>
        <v>0</v>
      </c>
      <c r="AE25" s="32">
        <f t="shared" si="17"/>
        <v>23</v>
      </c>
      <c r="AF25" s="32">
        <f t="shared" si="17"/>
        <v>137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0</v>
      </c>
      <c r="P26" s="15">
        <f t="shared" si="1"/>
        <v>8</v>
      </c>
      <c r="R26" s="28" t="s">
        <v>86</v>
      </c>
      <c r="S26" s="16">
        <f t="shared" ref="S26:AF26" si="18">SUM(S13:S18)</f>
        <v>7</v>
      </c>
      <c r="T26" s="16">
        <f t="shared" si="18"/>
        <v>4</v>
      </c>
      <c r="U26" s="16">
        <f t="shared" si="18"/>
        <v>2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16</v>
      </c>
      <c r="Z26" s="16">
        <f t="shared" si="18"/>
        <v>4</v>
      </c>
      <c r="AA26" s="16">
        <f t="shared" si="18"/>
        <v>0</v>
      </c>
      <c r="AB26" s="16">
        <f t="shared" si="18"/>
        <v>0</v>
      </c>
      <c r="AC26" s="16">
        <f t="shared" si="18"/>
        <v>239</v>
      </c>
      <c r="AD26" s="16">
        <f t="shared" si="18"/>
        <v>0</v>
      </c>
      <c r="AE26" s="32">
        <f t="shared" si="18"/>
        <v>34</v>
      </c>
      <c r="AF26" s="32">
        <f t="shared" si="18"/>
        <v>273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1</v>
      </c>
      <c r="P27" s="15">
        <f t="shared" si="1"/>
        <v>10</v>
      </c>
      <c r="R27" s="29" t="s">
        <v>87</v>
      </c>
      <c r="S27" s="16">
        <f t="shared" ref="S27:AF27" si="19">SUM(S19:S21)</f>
        <v>6</v>
      </c>
      <c r="T27" s="16">
        <f t="shared" si="19"/>
        <v>3</v>
      </c>
      <c r="U27" s="16">
        <f t="shared" si="19"/>
        <v>2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3</v>
      </c>
      <c r="Z27" s="16">
        <f t="shared" si="19"/>
        <v>3</v>
      </c>
      <c r="AA27" s="16">
        <f t="shared" si="19"/>
        <v>0</v>
      </c>
      <c r="AB27" s="16">
        <f t="shared" si="19"/>
        <v>0</v>
      </c>
      <c r="AC27" s="16">
        <f t="shared" si="19"/>
        <v>167</v>
      </c>
      <c r="AD27" s="16">
        <f t="shared" si="19"/>
        <v>0</v>
      </c>
      <c r="AE27" s="32">
        <f t="shared" si="19"/>
        <v>18</v>
      </c>
      <c r="AF27" s="32">
        <f t="shared" si="19"/>
        <v>185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1</v>
      </c>
      <c r="P28" s="15">
        <f t="shared" si="1"/>
        <v>11</v>
      </c>
      <c r="R28" s="5" t="s">
        <v>17</v>
      </c>
      <c r="S28" s="16">
        <f t="shared" ref="S28:AF28" si="20">SUM(S10:S21)</f>
        <v>17</v>
      </c>
      <c r="T28" s="16">
        <f t="shared" si="20"/>
        <v>8</v>
      </c>
      <c r="U28" s="16">
        <f t="shared" si="20"/>
        <v>5</v>
      </c>
      <c r="V28" s="16">
        <f t="shared" si="20"/>
        <v>4</v>
      </c>
      <c r="W28" s="16">
        <f t="shared" si="20"/>
        <v>0</v>
      </c>
      <c r="X28" s="16">
        <f t="shared" si="20"/>
        <v>0</v>
      </c>
      <c r="Y28" s="16">
        <f t="shared" si="20"/>
        <v>34</v>
      </c>
      <c r="Z28" s="16">
        <f t="shared" si="20"/>
        <v>7</v>
      </c>
      <c r="AA28" s="16">
        <f t="shared" si="20"/>
        <v>0</v>
      </c>
      <c r="AB28" s="16">
        <f t="shared" si="20"/>
        <v>0</v>
      </c>
      <c r="AC28" s="16">
        <f t="shared" si="20"/>
        <v>520</v>
      </c>
      <c r="AD28" s="16">
        <f t="shared" si="20"/>
        <v>0</v>
      </c>
      <c r="AE28" s="32">
        <f t="shared" si="20"/>
        <v>75</v>
      </c>
      <c r="AF28" s="32">
        <f t="shared" si="20"/>
        <v>595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1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0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10</v>
      </c>
      <c r="N31" s="50">
        <v>0</v>
      </c>
      <c r="O31" s="15">
        <f t="shared" si="0"/>
        <v>1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1</v>
      </c>
      <c r="P32" s="15">
        <f t="shared" si="1"/>
        <v>9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0</v>
      </c>
      <c r="P33" s="15">
        <f t="shared" si="1"/>
        <v>10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1</v>
      </c>
      <c r="P34" s="15">
        <f t="shared" si="1"/>
        <v>9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1</v>
      </c>
      <c r="P35" s="15">
        <f t="shared" si="1"/>
        <v>8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1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1</v>
      </c>
      <c r="P37" s="15">
        <f t="shared" si="1"/>
        <v>9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3</v>
      </c>
      <c r="P38" s="15">
        <f t="shared" si="1"/>
        <v>13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1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4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1</v>
      </c>
      <c r="P41" s="15">
        <f t="shared" si="1"/>
        <v>15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2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3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1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2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9</v>
      </c>
      <c r="N45" s="50">
        <v>0</v>
      </c>
      <c r="O45" s="15">
        <f t="shared" si="0"/>
        <v>2</v>
      </c>
      <c r="P45" s="15">
        <f t="shared" si="1"/>
        <v>11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17</v>
      </c>
      <c r="N46" s="50">
        <v>0</v>
      </c>
      <c r="O46" s="15">
        <f t="shared" si="0"/>
        <v>1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0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1</v>
      </c>
      <c r="P48" s="15">
        <f t="shared" si="1"/>
        <v>16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1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22</v>
      </c>
      <c r="N50" s="50">
        <v>0</v>
      </c>
      <c r="O50" s="15">
        <f t="shared" si="0"/>
        <v>1</v>
      </c>
      <c r="P50" s="15">
        <f t="shared" si="1"/>
        <v>23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0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18</v>
      </c>
      <c r="N52" s="50">
        <v>0</v>
      </c>
      <c r="O52" s="15">
        <f t="shared" si="0"/>
        <v>2</v>
      </c>
      <c r="P52" s="15">
        <f t="shared" si="1"/>
        <v>20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1</v>
      </c>
      <c r="E53" s="50">
        <v>2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3</v>
      </c>
      <c r="P53" s="15">
        <f t="shared" si="1"/>
        <v>22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2</v>
      </c>
      <c r="E54" s="50">
        <v>0</v>
      </c>
      <c r="F54" s="50">
        <v>0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6</v>
      </c>
      <c r="N54" s="50">
        <v>0</v>
      </c>
      <c r="O54" s="15">
        <f t="shared" si="0"/>
        <v>5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2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3</v>
      </c>
      <c r="P55" s="15">
        <f t="shared" si="1"/>
        <v>13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0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11</v>
      </c>
      <c r="N57" s="50">
        <v>0</v>
      </c>
      <c r="O57" s="15">
        <f t="shared" si="0"/>
        <v>1</v>
      </c>
      <c r="P57" s="15">
        <f t="shared" si="1"/>
        <v>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</v>
      </c>
      <c r="D58" s="16">
        <f t="shared" si="21"/>
        <v>8</v>
      </c>
      <c r="E58" s="16">
        <f t="shared" si="21"/>
        <v>5</v>
      </c>
      <c r="F58" s="16">
        <f t="shared" si="21"/>
        <v>4</v>
      </c>
      <c r="G58" s="16">
        <f t="shared" si="21"/>
        <v>0</v>
      </c>
      <c r="H58" s="16">
        <f t="shared" si="21"/>
        <v>0</v>
      </c>
      <c r="I58" s="16">
        <f t="shared" si="21"/>
        <v>34</v>
      </c>
      <c r="J58" s="16">
        <f t="shared" si="21"/>
        <v>7</v>
      </c>
      <c r="K58" s="16">
        <f t="shared" si="21"/>
        <v>0</v>
      </c>
      <c r="L58" s="16">
        <f t="shared" si="21"/>
        <v>0</v>
      </c>
      <c r="M58" s="16">
        <f t="shared" si="21"/>
        <v>520</v>
      </c>
      <c r="N58" s="16">
        <f t="shared" si="21"/>
        <v>0</v>
      </c>
      <c r="O58" s="16">
        <f t="shared" si="21"/>
        <v>75</v>
      </c>
      <c r="P58" s="16">
        <f t="shared" si="21"/>
        <v>595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2.8571428571428571E-2</v>
      </c>
      <c r="D59" s="43">
        <f t="shared" si="22"/>
        <v>1.3445378151260505E-2</v>
      </c>
      <c r="E59" s="43">
        <f t="shared" si="22"/>
        <v>8.4033613445378148E-3</v>
      </c>
      <c r="F59" s="43">
        <f t="shared" si="22"/>
        <v>6.7226890756302525E-3</v>
      </c>
      <c r="G59" s="43">
        <f t="shared" si="22"/>
        <v>0</v>
      </c>
      <c r="H59" s="43">
        <f t="shared" si="22"/>
        <v>0</v>
      </c>
      <c r="I59" s="43">
        <f t="shared" si="22"/>
        <v>5.7142857142857141E-2</v>
      </c>
      <c r="J59" s="43">
        <f t="shared" si="22"/>
        <v>1.1764705882352941E-2</v>
      </c>
      <c r="K59" s="43">
        <f t="shared" si="22"/>
        <v>0</v>
      </c>
      <c r="L59" s="43">
        <f t="shared" si="22"/>
        <v>0</v>
      </c>
      <c r="M59" s="43">
        <f t="shared" si="22"/>
        <v>0.87394957983193278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0.22666666666666666</v>
      </c>
      <c r="D60" s="44">
        <f t="shared" ref="D60:N60" si="23">D58/$O$58</f>
        <v>0.10666666666666667</v>
      </c>
      <c r="E60" s="44">
        <f t="shared" si="23"/>
        <v>6.6666666666666666E-2</v>
      </c>
      <c r="F60" s="44">
        <f t="shared" si="23"/>
        <v>5.3333333333333337E-2</v>
      </c>
      <c r="G60" s="44">
        <f t="shared" si="23"/>
        <v>0</v>
      </c>
      <c r="H60" s="44">
        <f t="shared" si="23"/>
        <v>0</v>
      </c>
      <c r="I60" s="44">
        <f t="shared" si="23"/>
        <v>0.45333333333333331</v>
      </c>
      <c r="J60" s="44">
        <f t="shared" si="23"/>
        <v>9.3333333333333338E-2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249977111117893"/>
  </sheetPr>
  <dimension ref="B1:AF174"/>
  <sheetViews>
    <sheetView view="pageBreakPreview" topLeftCell="A52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3" t="e">
        <f>#REF!</f>
        <v>#REF!</v>
      </c>
      <c r="H5" s="64"/>
      <c r="I5" s="14"/>
      <c r="J5" s="2" t="s">
        <v>5</v>
      </c>
      <c r="K5" s="63" t="e">
        <f>#REF!</f>
        <v>#REF!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Kyankwanzi-bukomero'!D6:E6</f>
        <v>kyankwanzi</v>
      </c>
      <c r="E6" s="64"/>
      <c r="F6" s="2" t="s">
        <v>2</v>
      </c>
      <c r="G6" s="63" t="str">
        <f>'17.10 Kyankwanzi-bukomero'!G6:H6</f>
        <v>bukomero</v>
      </c>
      <c r="H6" s="64"/>
      <c r="J6" s="2" t="s">
        <v>21</v>
      </c>
      <c r="K6" s="63" t="e">
        <f>#REF!</f>
        <v>#REF!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29</v>
      </c>
      <c r="AD10" s="17">
        <f t="shared" si="2"/>
        <v>0</v>
      </c>
      <c r="AE10" s="31">
        <f t="shared" si="2"/>
        <v>2</v>
      </c>
      <c r="AF10" s="31">
        <f t="shared" si="2"/>
        <v>31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7</v>
      </c>
      <c r="N11" s="50">
        <v>0</v>
      </c>
      <c r="O11" s="15">
        <f t="shared" si="0"/>
        <v>2</v>
      </c>
      <c r="P11" s="15">
        <f t="shared" si="1"/>
        <v>9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45</v>
      </c>
      <c r="AD11" s="17">
        <f t="shared" si="3"/>
        <v>0</v>
      </c>
      <c r="AE11" s="31">
        <f t="shared" si="3"/>
        <v>10</v>
      </c>
      <c r="AF11" s="31">
        <f t="shared" si="3"/>
        <v>55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0</v>
      </c>
      <c r="P12" s="15">
        <f t="shared" si="1"/>
        <v>11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8</v>
      </c>
      <c r="AF12" s="31">
        <f t="shared" si="4"/>
        <v>37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6</v>
      </c>
      <c r="N13" s="50">
        <v>0</v>
      </c>
      <c r="O13" s="15">
        <f t="shared" si="0"/>
        <v>0</v>
      </c>
      <c r="P13" s="15">
        <f t="shared" si="1"/>
        <v>6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29</v>
      </c>
      <c r="AD13" s="17">
        <f t="shared" si="5"/>
        <v>0</v>
      </c>
      <c r="AE13" s="31">
        <f t="shared" si="5"/>
        <v>7</v>
      </c>
      <c r="AF13" s="31">
        <f t="shared" si="5"/>
        <v>36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1</v>
      </c>
      <c r="P14" s="15">
        <f t="shared" si="1"/>
        <v>9</v>
      </c>
      <c r="R14" s="1" t="s">
        <v>10</v>
      </c>
      <c r="S14" s="17">
        <f t="shared" ref="S14:AF14" si="6">SUM(C26:C29)</f>
        <v>4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30</v>
      </c>
      <c r="AD14" s="17">
        <f t="shared" si="6"/>
        <v>0</v>
      </c>
      <c r="AE14" s="31">
        <f t="shared" si="6"/>
        <v>7</v>
      </c>
      <c r="AF14" s="31">
        <f t="shared" si="6"/>
        <v>37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11</v>
      </c>
      <c r="N15" s="50">
        <v>0</v>
      </c>
      <c r="O15" s="15">
        <f t="shared" si="0"/>
        <v>5</v>
      </c>
      <c r="P15" s="15">
        <f t="shared" si="1"/>
        <v>16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12</v>
      </c>
      <c r="AF15" s="31">
        <f t="shared" si="7"/>
        <v>53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15</v>
      </c>
      <c r="N16" s="50">
        <v>0</v>
      </c>
      <c r="O16" s="15">
        <f t="shared" si="0"/>
        <v>1</v>
      </c>
      <c r="P16" s="15">
        <f t="shared" si="1"/>
        <v>16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55</v>
      </c>
      <c r="AD16" s="17">
        <f t="shared" si="8"/>
        <v>0</v>
      </c>
      <c r="AE16" s="31">
        <f t="shared" si="8"/>
        <v>2</v>
      </c>
      <c r="AF16" s="31">
        <f t="shared" si="8"/>
        <v>57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11</v>
      </c>
      <c r="N17" s="50">
        <v>0</v>
      </c>
      <c r="O17" s="15">
        <f t="shared" si="0"/>
        <v>3</v>
      </c>
      <c r="P17" s="15">
        <f t="shared" si="1"/>
        <v>14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49</v>
      </c>
      <c r="AD17" s="17">
        <f t="shared" si="9"/>
        <v>0</v>
      </c>
      <c r="AE17" s="31">
        <f t="shared" si="9"/>
        <v>11</v>
      </c>
      <c r="AF17" s="31">
        <f t="shared" si="9"/>
        <v>60</v>
      </c>
    </row>
    <row r="18" spans="2:32" ht="23.1" customHeight="1" x14ac:dyDescent="0.25">
      <c r="B18" s="45" t="s">
        <v>45</v>
      </c>
      <c r="C18" s="50">
        <v>0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8</v>
      </c>
      <c r="N18" s="50">
        <v>0</v>
      </c>
      <c r="O18" s="15">
        <f t="shared" si="0"/>
        <v>3</v>
      </c>
      <c r="P18" s="15">
        <f t="shared" si="1"/>
        <v>11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24</v>
      </c>
      <c r="AD18" s="17">
        <f t="shared" si="10"/>
        <v>0</v>
      </c>
      <c r="AE18" s="31">
        <f t="shared" si="10"/>
        <v>8</v>
      </c>
      <c r="AF18" s="31">
        <f t="shared" si="10"/>
        <v>32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2</v>
      </c>
      <c r="P19" s="15">
        <f t="shared" si="1"/>
        <v>7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36</v>
      </c>
      <c r="AD19" s="17">
        <f t="shared" si="11"/>
        <v>0</v>
      </c>
      <c r="AE19" s="31">
        <f t="shared" si="11"/>
        <v>2</v>
      </c>
      <c r="AF19" s="31">
        <f t="shared" si="11"/>
        <v>38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3</v>
      </c>
      <c r="P20" s="15">
        <f t="shared" si="1"/>
        <v>11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38</v>
      </c>
      <c r="AD20" s="17">
        <f t="shared" si="12"/>
        <v>0</v>
      </c>
      <c r="AE20" s="31">
        <f t="shared" si="12"/>
        <v>2</v>
      </c>
      <c r="AF20" s="31">
        <f t="shared" si="12"/>
        <v>40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0</v>
      </c>
      <c r="P21" s="15">
        <f t="shared" si="1"/>
        <v>8</v>
      </c>
      <c r="R21" s="36" t="s">
        <v>20</v>
      </c>
      <c r="S21" s="34">
        <f t="shared" ref="S21:AF21" si="13">SUM(C54:C57)</f>
        <v>3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51</v>
      </c>
      <c r="AD21" s="17">
        <f t="shared" si="13"/>
        <v>0</v>
      </c>
      <c r="AE21" s="31">
        <f t="shared" si="13"/>
        <v>4</v>
      </c>
      <c r="AF21" s="31">
        <f t="shared" si="13"/>
        <v>55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3</v>
      </c>
      <c r="P22" s="15">
        <f t="shared" si="1"/>
        <v>14</v>
      </c>
      <c r="R22" s="36" t="s">
        <v>146</v>
      </c>
      <c r="S22" s="34">
        <f>SUM(C58:C61)</f>
        <v>1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51</v>
      </c>
      <c r="AD22" s="34">
        <f t="shared" si="14"/>
        <v>0</v>
      </c>
      <c r="AE22" s="31">
        <f t="shared" si="14"/>
        <v>2</v>
      </c>
      <c r="AF22" s="31">
        <f t="shared" si="14"/>
        <v>53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2</v>
      </c>
      <c r="P23" s="15">
        <f t="shared" si="1"/>
        <v>9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38</v>
      </c>
      <c r="AD23" s="34">
        <f t="shared" si="15"/>
        <v>0</v>
      </c>
      <c r="AE23" s="31">
        <f t="shared" si="15"/>
        <v>3</v>
      </c>
      <c r="AF23" s="31">
        <f t="shared" si="15"/>
        <v>41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1</v>
      </c>
      <c r="P24" s="15">
        <f t="shared" si="1"/>
        <v>9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3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30</v>
      </c>
      <c r="AD24" s="34">
        <f t="shared" si="16"/>
        <v>0</v>
      </c>
      <c r="AE24" s="31">
        <f t="shared" si="16"/>
        <v>4</v>
      </c>
      <c r="AF24" s="31">
        <f t="shared" si="16"/>
        <v>34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1</v>
      </c>
      <c r="P25" s="15">
        <f t="shared" si="1"/>
        <v>4</v>
      </c>
      <c r="R25" s="36" t="s">
        <v>149</v>
      </c>
      <c r="S25" s="34">
        <f>SUM(C70:C73)</f>
        <v>1</v>
      </c>
      <c r="T25" s="34">
        <f t="shared" ref="T25:AF25" si="17">SUM(D70:D73)</f>
        <v>1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2</v>
      </c>
      <c r="AA25" s="34">
        <f t="shared" si="17"/>
        <v>0</v>
      </c>
      <c r="AB25" s="34">
        <f t="shared" si="17"/>
        <v>0</v>
      </c>
      <c r="AC25" s="34">
        <f t="shared" si="17"/>
        <v>20</v>
      </c>
      <c r="AD25" s="34">
        <f t="shared" si="17"/>
        <v>0</v>
      </c>
      <c r="AE25" s="31">
        <f t="shared" si="17"/>
        <v>5</v>
      </c>
      <c r="AF25" s="31">
        <f t="shared" si="17"/>
        <v>25</v>
      </c>
    </row>
    <row r="26" spans="2:32" ht="23.1" customHeight="1" x14ac:dyDescent="0.25">
      <c r="B26" s="45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3</v>
      </c>
      <c r="P26" s="15">
        <f t="shared" si="1"/>
        <v>12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11</v>
      </c>
      <c r="AD26" s="34">
        <f t="shared" si="18"/>
        <v>0</v>
      </c>
      <c r="AE26" s="31">
        <f t="shared" si="18"/>
        <v>0</v>
      </c>
      <c r="AF26" s="31">
        <f t="shared" si="18"/>
        <v>11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1</v>
      </c>
      <c r="P27" s="15">
        <f t="shared" si="1"/>
        <v>7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5</v>
      </c>
      <c r="AD27" s="34">
        <f t="shared" si="19"/>
        <v>0</v>
      </c>
      <c r="AE27" s="31">
        <f t="shared" si="19"/>
        <v>1</v>
      </c>
      <c r="AF27" s="31">
        <f t="shared" si="19"/>
        <v>6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2</v>
      </c>
      <c r="P28" s="15">
        <f t="shared" si="1"/>
        <v>10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</v>
      </c>
      <c r="AD28" s="34">
        <f t="shared" si="20"/>
        <v>0</v>
      </c>
      <c r="AE28" s="31">
        <f t="shared" si="20"/>
        <v>5</v>
      </c>
      <c r="AF28" s="31">
        <f t="shared" si="20"/>
        <v>6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1</v>
      </c>
      <c r="P29" s="15">
        <f t="shared" si="1"/>
        <v>8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2</v>
      </c>
      <c r="AF29" s="31">
        <f t="shared" si="21"/>
        <v>2</v>
      </c>
    </row>
    <row r="30" spans="2:32" ht="23.1" customHeight="1" x14ac:dyDescent="0.25">
      <c r="B30" s="45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3</v>
      </c>
      <c r="P30" s="15">
        <f t="shared" si="1"/>
        <v>14</v>
      </c>
      <c r="R30" s="36" t="s">
        <v>154</v>
      </c>
      <c r="S30" s="34">
        <f>SUM(C90:C93)</f>
        <v>0</v>
      </c>
      <c r="T30" s="34">
        <f t="shared" ref="T30:AF30" si="22">SUM(D90:D93)</f>
        <v>2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6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8</v>
      </c>
      <c r="AF30" s="31">
        <f t="shared" si="22"/>
        <v>9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2</v>
      </c>
      <c r="P31" s="15">
        <f t="shared" si="1"/>
        <v>11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4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6</v>
      </c>
      <c r="AF31" s="31">
        <f t="shared" si="23"/>
        <v>7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7</v>
      </c>
      <c r="P32" s="15">
        <f t="shared" si="1"/>
        <v>15</v>
      </c>
      <c r="R32" s="33" t="s">
        <v>156</v>
      </c>
      <c r="S32" s="34">
        <f>SUM(C98:C101)</f>
        <v>2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</v>
      </c>
      <c r="AD32" s="34">
        <f t="shared" si="24"/>
        <v>0</v>
      </c>
      <c r="AE32" s="31">
        <f t="shared" si="24"/>
        <v>10</v>
      </c>
      <c r="AF32" s="31">
        <f t="shared" si="24"/>
        <v>12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0</v>
      </c>
      <c r="P33" s="15">
        <f t="shared" si="1"/>
        <v>13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4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16</v>
      </c>
      <c r="AD33" s="34">
        <f t="shared" si="25"/>
        <v>0</v>
      </c>
      <c r="AE33" s="31">
        <f t="shared" si="25"/>
        <v>7</v>
      </c>
      <c r="AF33" s="31">
        <f t="shared" si="25"/>
        <v>23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13</v>
      </c>
      <c r="N34" s="50">
        <v>0</v>
      </c>
      <c r="O34" s="15">
        <f t="shared" si="0"/>
        <v>0</v>
      </c>
      <c r="P34" s="15">
        <f t="shared" si="1"/>
        <v>13</v>
      </c>
      <c r="R34" s="38" t="s">
        <v>90</v>
      </c>
      <c r="S34" s="39">
        <f t="shared" ref="S34:AF34" si="26">MAX(S10:S12)</f>
        <v>4</v>
      </c>
      <c r="T34" s="39">
        <f t="shared" si="26"/>
        <v>1</v>
      </c>
      <c r="U34" s="39">
        <f t="shared" si="26"/>
        <v>2</v>
      </c>
      <c r="V34" s="39">
        <f t="shared" si="26"/>
        <v>2</v>
      </c>
      <c r="W34" s="39">
        <f t="shared" si="26"/>
        <v>0</v>
      </c>
      <c r="X34" s="39">
        <f t="shared" si="26"/>
        <v>0</v>
      </c>
      <c r="Y34" s="39">
        <f t="shared" si="26"/>
        <v>4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45</v>
      </c>
      <c r="AD34" s="39">
        <f t="shared" si="26"/>
        <v>0</v>
      </c>
      <c r="AE34" s="40">
        <f t="shared" si="26"/>
        <v>10</v>
      </c>
      <c r="AF34" s="40">
        <f t="shared" si="26"/>
        <v>55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12</v>
      </c>
      <c r="N35" s="50">
        <v>0</v>
      </c>
      <c r="O35" s="15">
        <f t="shared" si="0"/>
        <v>1</v>
      </c>
      <c r="P35" s="15">
        <f t="shared" si="1"/>
        <v>13</v>
      </c>
      <c r="R35" s="38" t="s">
        <v>91</v>
      </c>
      <c r="S35" s="39">
        <f t="shared" ref="S35:AF35" si="27">MAX(S13:S18)</f>
        <v>4</v>
      </c>
      <c r="T35" s="39">
        <f t="shared" si="27"/>
        <v>1</v>
      </c>
      <c r="U35" s="39">
        <f t="shared" si="27"/>
        <v>2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6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55</v>
      </c>
      <c r="AD35" s="39">
        <f t="shared" si="27"/>
        <v>0</v>
      </c>
      <c r="AE35" s="40">
        <f t="shared" si="27"/>
        <v>12</v>
      </c>
      <c r="AF35" s="40">
        <f t="shared" si="27"/>
        <v>60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1</v>
      </c>
      <c r="P36" s="15">
        <f t="shared" si="1"/>
        <v>15</v>
      </c>
      <c r="R36" s="38" t="s">
        <v>92</v>
      </c>
      <c r="S36" s="39">
        <f t="shared" ref="S36:AF36" si="28">MAX(S19:S21)</f>
        <v>3</v>
      </c>
      <c r="T36" s="39">
        <f t="shared" si="28"/>
        <v>0</v>
      </c>
      <c r="U36" s="39">
        <f t="shared" si="28"/>
        <v>1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1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51</v>
      </c>
      <c r="AD36" s="39">
        <f t="shared" si="28"/>
        <v>0</v>
      </c>
      <c r="AE36" s="40">
        <f t="shared" si="28"/>
        <v>4</v>
      </c>
      <c r="AF36" s="40">
        <f t="shared" si="28"/>
        <v>55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16</v>
      </c>
      <c r="N37" s="50">
        <v>0</v>
      </c>
      <c r="O37" s="15">
        <f t="shared" si="0"/>
        <v>0</v>
      </c>
      <c r="P37" s="15">
        <f t="shared" si="1"/>
        <v>16</v>
      </c>
      <c r="R37" s="37" t="s">
        <v>85</v>
      </c>
      <c r="S37" s="35">
        <f t="shared" ref="S37:AF37" si="29">SUM(S10:S12)</f>
        <v>5</v>
      </c>
      <c r="T37" s="16">
        <f t="shared" si="29"/>
        <v>1</v>
      </c>
      <c r="U37" s="16">
        <f t="shared" si="29"/>
        <v>3</v>
      </c>
      <c r="V37" s="16">
        <f t="shared" si="29"/>
        <v>3</v>
      </c>
      <c r="W37" s="16">
        <f t="shared" si="29"/>
        <v>0</v>
      </c>
      <c r="X37" s="16">
        <f t="shared" si="29"/>
        <v>0</v>
      </c>
      <c r="Y37" s="16">
        <f t="shared" si="29"/>
        <v>7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103</v>
      </c>
      <c r="AD37" s="16">
        <f t="shared" si="29"/>
        <v>0</v>
      </c>
      <c r="AE37" s="32">
        <f t="shared" si="29"/>
        <v>20</v>
      </c>
      <c r="AF37" s="32">
        <f t="shared" si="29"/>
        <v>123</v>
      </c>
    </row>
    <row r="38" spans="2:32" ht="23.1" customHeight="1" x14ac:dyDescent="0.25">
      <c r="B38" s="46" t="s">
        <v>65</v>
      </c>
      <c r="C38" s="50">
        <v>1</v>
      </c>
      <c r="D38" s="50">
        <v>1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4</v>
      </c>
      <c r="P38" s="15">
        <f t="shared" si="1"/>
        <v>11</v>
      </c>
      <c r="R38" s="28" t="s">
        <v>86</v>
      </c>
      <c r="S38" s="16">
        <f t="shared" ref="S38:AF38" si="30">SUM(S13:S18)</f>
        <v>16</v>
      </c>
      <c r="T38" s="16">
        <f t="shared" si="30"/>
        <v>1</v>
      </c>
      <c r="U38" s="16">
        <f t="shared" si="30"/>
        <v>5</v>
      </c>
      <c r="V38" s="16">
        <f t="shared" si="30"/>
        <v>1</v>
      </c>
      <c r="W38" s="16">
        <f t="shared" si="30"/>
        <v>0</v>
      </c>
      <c r="X38" s="16">
        <f t="shared" si="30"/>
        <v>0</v>
      </c>
      <c r="Y38" s="16">
        <f t="shared" si="30"/>
        <v>23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228</v>
      </c>
      <c r="AD38" s="16">
        <f t="shared" si="30"/>
        <v>0</v>
      </c>
      <c r="AE38" s="32">
        <f t="shared" si="30"/>
        <v>47</v>
      </c>
      <c r="AF38" s="32">
        <f t="shared" si="30"/>
        <v>275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2</v>
      </c>
      <c r="P39" s="15">
        <f t="shared" si="1"/>
        <v>11</v>
      </c>
      <c r="R39" s="29" t="s">
        <v>87</v>
      </c>
      <c r="S39" s="16">
        <f t="shared" ref="S39:AF39" si="31">SUM(S19:S21)</f>
        <v>3</v>
      </c>
      <c r="T39" s="16">
        <f t="shared" si="31"/>
        <v>0</v>
      </c>
      <c r="U39" s="16">
        <f t="shared" si="31"/>
        <v>2</v>
      </c>
      <c r="V39" s="16">
        <f t="shared" si="31"/>
        <v>2</v>
      </c>
      <c r="W39" s="16">
        <f t="shared" si="31"/>
        <v>0</v>
      </c>
      <c r="X39" s="16">
        <f t="shared" si="31"/>
        <v>0</v>
      </c>
      <c r="Y39" s="16">
        <f t="shared" si="31"/>
        <v>1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125</v>
      </c>
      <c r="AD39" s="16">
        <f t="shared" si="31"/>
        <v>0</v>
      </c>
      <c r="AE39" s="32">
        <f t="shared" si="31"/>
        <v>8</v>
      </c>
      <c r="AF39" s="32">
        <f t="shared" si="31"/>
        <v>133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4</v>
      </c>
      <c r="P40" s="15">
        <f t="shared" si="1"/>
        <v>17</v>
      </c>
      <c r="R40" s="5" t="s">
        <v>17</v>
      </c>
      <c r="S40" s="16">
        <f t="shared" ref="S40:AF40" si="32">SUM(S10:S21)</f>
        <v>24</v>
      </c>
      <c r="T40" s="16">
        <f t="shared" si="32"/>
        <v>2</v>
      </c>
      <c r="U40" s="16">
        <f t="shared" si="32"/>
        <v>10</v>
      </c>
      <c r="V40" s="16">
        <f t="shared" si="32"/>
        <v>6</v>
      </c>
      <c r="W40" s="16">
        <f t="shared" si="32"/>
        <v>0</v>
      </c>
      <c r="X40" s="16">
        <f t="shared" si="32"/>
        <v>0</v>
      </c>
      <c r="Y40" s="16">
        <f t="shared" si="32"/>
        <v>31</v>
      </c>
      <c r="Z40" s="16">
        <f t="shared" si="32"/>
        <v>2</v>
      </c>
      <c r="AA40" s="16">
        <f t="shared" si="32"/>
        <v>0</v>
      </c>
      <c r="AB40" s="16">
        <f t="shared" si="32"/>
        <v>0</v>
      </c>
      <c r="AC40" s="16">
        <f t="shared" si="32"/>
        <v>456</v>
      </c>
      <c r="AD40" s="16">
        <f t="shared" si="32"/>
        <v>0</v>
      </c>
      <c r="AE40" s="32">
        <f t="shared" si="32"/>
        <v>75</v>
      </c>
      <c r="AF40" s="32">
        <f t="shared" si="32"/>
        <v>531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20</v>
      </c>
      <c r="N41" s="50">
        <v>0</v>
      </c>
      <c r="O41" s="15">
        <f t="shared" si="0"/>
        <v>1</v>
      </c>
      <c r="P41" s="15">
        <f t="shared" si="1"/>
        <v>21</v>
      </c>
      <c r="R41" s="5" t="s">
        <v>159</v>
      </c>
      <c r="S41" s="16">
        <f>SUM(S10:S33)</f>
        <v>31</v>
      </c>
      <c r="T41" s="16">
        <f t="shared" ref="T41:AF41" si="33">SUM(T10:T33)</f>
        <v>7</v>
      </c>
      <c r="U41" s="16">
        <f t="shared" si="33"/>
        <v>10</v>
      </c>
      <c r="V41" s="16">
        <f t="shared" si="33"/>
        <v>12</v>
      </c>
      <c r="W41" s="16">
        <f t="shared" si="33"/>
        <v>0</v>
      </c>
      <c r="X41" s="16">
        <f t="shared" si="33"/>
        <v>0</v>
      </c>
      <c r="Y41" s="16">
        <f t="shared" si="33"/>
        <v>58</v>
      </c>
      <c r="Z41" s="16">
        <f t="shared" si="33"/>
        <v>10</v>
      </c>
      <c r="AA41" s="16">
        <f t="shared" si="33"/>
        <v>0</v>
      </c>
      <c r="AB41" s="16">
        <f t="shared" si="33"/>
        <v>0</v>
      </c>
      <c r="AC41" s="16">
        <f t="shared" si="33"/>
        <v>632</v>
      </c>
      <c r="AD41" s="16">
        <f t="shared" si="33"/>
        <v>0</v>
      </c>
      <c r="AE41" s="32">
        <f t="shared" si="33"/>
        <v>128</v>
      </c>
      <c r="AF41" s="32">
        <f t="shared" si="33"/>
        <v>760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2</v>
      </c>
      <c r="P42" s="15">
        <f t="shared" si="1"/>
        <v>12</v>
      </c>
      <c r="R42" s="5" t="s">
        <v>160</v>
      </c>
      <c r="S42" s="48">
        <f>S41/S40</f>
        <v>1.2916666666666667</v>
      </c>
      <c r="T42" s="48">
        <f t="shared" ref="T42:AF42" si="34">T41/T40</f>
        <v>3.5</v>
      </c>
      <c r="U42" s="48">
        <f t="shared" si="34"/>
        <v>1</v>
      </c>
      <c r="V42" s="48">
        <f t="shared" si="34"/>
        <v>2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1.8709677419354838</v>
      </c>
      <c r="Z42" s="48">
        <f t="shared" si="34"/>
        <v>5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1.3859649122807018</v>
      </c>
      <c r="AD42" s="48" t="e">
        <f t="shared" si="34"/>
        <v>#DIV/0!</v>
      </c>
      <c r="AE42" s="48">
        <f t="shared" si="34"/>
        <v>1.7066666666666668</v>
      </c>
      <c r="AF42" s="48">
        <f t="shared" si="34"/>
        <v>1.4312617702448212</v>
      </c>
    </row>
    <row r="43" spans="2:32" ht="23.1" customHeight="1" x14ac:dyDescent="0.25">
      <c r="B43" s="45" t="s">
        <v>70</v>
      </c>
      <c r="C43" s="50">
        <v>2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3</v>
      </c>
      <c r="P43" s="15">
        <f t="shared" si="1"/>
        <v>5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3</v>
      </c>
      <c r="P44" s="15">
        <f t="shared" si="1"/>
        <v>4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0</v>
      </c>
      <c r="P45" s="15">
        <f t="shared" si="1"/>
        <v>11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0</v>
      </c>
      <c r="P46" s="15">
        <f t="shared" si="1"/>
        <v>10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0</v>
      </c>
      <c r="P47" s="15">
        <f t="shared" si="1"/>
        <v>15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9</v>
      </c>
      <c r="N48" s="50">
        <v>0</v>
      </c>
      <c r="O48" s="15">
        <f t="shared" si="0"/>
        <v>2</v>
      </c>
      <c r="P48" s="15">
        <f t="shared" si="1"/>
        <v>11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</v>
      </c>
      <c r="N49" s="50">
        <v>0</v>
      </c>
      <c r="O49" s="15">
        <f t="shared" si="0"/>
        <v>0</v>
      </c>
      <c r="P49" s="15">
        <f t="shared" si="1"/>
        <v>2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3</v>
      </c>
      <c r="N50" s="50">
        <v>0</v>
      </c>
      <c r="O50" s="15">
        <f t="shared" si="0"/>
        <v>0</v>
      </c>
      <c r="P50" s="15">
        <f t="shared" si="1"/>
        <v>3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4</v>
      </c>
      <c r="N51" s="50">
        <v>0</v>
      </c>
      <c r="O51" s="15">
        <f t="shared" si="0"/>
        <v>0</v>
      </c>
      <c r="P51" s="15">
        <f t="shared" si="1"/>
        <v>4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0</v>
      </c>
      <c r="P52" s="15">
        <f t="shared" si="1"/>
        <v>15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16</v>
      </c>
      <c r="N53" s="50">
        <v>0</v>
      </c>
      <c r="O53" s="15">
        <f t="shared" si="0"/>
        <v>2</v>
      </c>
      <c r="P53" s="15">
        <f t="shared" si="1"/>
        <v>18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2</v>
      </c>
      <c r="P54" s="15">
        <f t="shared" si="1"/>
        <v>15</v>
      </c>
      <c r="R54" s="8"/>
      <c r="T54"/>
    </row>
    <row r="55" spans="2:20" ht="23.1" customHeight="1" x14ac:dyDescent="0.25">
      <c r="B55" s="45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2</v>
      </c>
      <c r="P55" s="15">
        <f t="shared" si="1"/>
        <v>14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14</v>
      </c>
      <c r="N56" s="50">
        <v>0</v>
      </c>
      <c r="O56" s="15">
        <f t="shared" si="0"/>
        <v>0</v>
      </c>
      <c r="P56" s="15">
        <f t="shared" si="1"/>
        <v>14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0</v>
      </c>
      <c r="P57" s="15">
        <f t="shared" si="1"/>
        <v>12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15</v>
      </c>
      <c r="N58" s="50">
        <v>0</v>
      </c>
      <c r="O58" s="15">
        <f t="shared" ref="O58:O105" si="35">SUM(C58:L58,N58)</f>
        <v>0</v>
      </c>
      <c r="P58" s="15">
        <f t="shared" ref="P58:P105" si="36">SUM(C58:N58)</f>
        <v>15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16</v>
      </c>
      <c r="N59" s="50">
        <v>0</v>
      </c>
      <c r="O59" s="15">
        <f t="shared" si="35"/>
        <v>1</v>
      </c>
      <c r="P59" s="15">
        <f t="shared" si="36"/>
        <v>17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13</v>
      </c>
      <c r="N60" s="50">
        <v>0</v>
      </c>
      <c r="O60" s="15">
        <f t="shared" si="35"/>
        <v>0</v>
      </c>
      <c r="P60" s="15">
        <f t="shared" si="36"/>
        <v>13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7</v>
      </c>
      <c r="N61" s="50">
        <v>0</v>
      </c>
      <c r="O61" s="15">
        <f t="shared" si="35"/>
        <v>1</v>
      </c>
      <c r="P61" s="15">
        <f t="shared" si="36"/>
        <v>8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12</v>
      </c>
      <c r="N62" s="50">
        <v>0</v>
      </c>
      <c r="O62" s="15">
        <f t="shared" si="35"/>
        <v>0</v>
      </c>
      <c r="P62" s="15">
        <f t="shared" si="36"/>
        <v>12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1</v>
      </c>
      <c r="K63" s="50">
        <v>0</v>
      </c>
      <c r="L63" s="50">
        <v>0</v>
      </c>
      <c r="M63" s="50">
        <v>7</v>
      </c>
      <c r="N63" s="50">
        <v>0</v>
      </c>
      <c r="O63" s="15">
        <f t="shared" si="35"/>
        <v>1</v>
      </c>
      <c r="P63" s="15">
        <f t="shared" si="36"/>
        <v>8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14</v>
      </c>
      <c r="N64" s="50">
        <v>0</v>
      </c>
      <c r="O64" s="15">
        <f t="shared" si="35"/>
        <v>1</v>
      </c>
      <c r="P64" s="15">
        <f t="shared" si="36"/>
        <v>15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0</v>
      </c>
      <c r="M65" s="50">
        <v>5</v>
      </c>
      <c r="N65" s="50">
        <v>0</v>
      </c>
      <c r="O65" s="15">
        <f t="shared" si="35"/>
        <v>1</v>
      </c>
      <c r="P65" s="15">
        <f t="shared" si="36"/>
        <v>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1</v>
      </c>
      <c r="G66" s="50">
        <v>0</v>
      </c>
      <c r="H66" s="50">
        <v>0</v>
      </c>
      <c r="I66" s="50">
        <v>1</v>
      </c>
      <c r="J66" s="50">
        <v>0</v>
      </c>
      <c r="K66" s="50">
        <v>0</v>
      </c>
      <c r="L66" s="50">
        <v>0</v>
      </c>
      <c r="M66" s="50">
        <v>13</v>
      </c>
      <c r="N66" s="50">
        <v>0</v>
      </c>
      <c r="O66" s="15">
        <f t="shared" si="35"/>
        <v>2</v>
      </c>
      <c r="P66" s="15">
        <f t="shared" si="36"/>
        <v>15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7</v>
      </c>
      <c r="N67" s="50">
        <v>0</v>
      </c>
      <c r="O67" s="15">
        <f t="shared" si="35"/>
        <v>0</v>
      </c>
      <c r="P67" s="15">
        <f t="shared" si="36"/>
        <v>7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4</v>
      </c>
      <c r="N68" s="50">
        <v>0</v>
      </c>
      <c r="O68" s="15">
        <f t="shared" si="35"/>
        <v>1</v>
      </c>
      <c r="P68" s="15">
        <f t="shared" si="36"/>
        <v>5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1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6</v>
      </c>
      <c r="N69" s="50">
        <v>0</v>
      </c>
      <c r="O69" s="15">
        <f t="shared" si="35"/>
        <v>1</v>
      </c>
      <c r="P69" s="15">
        <f t="shared" si="36"/>
        <v>7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1</v>
      </c>
      <c r="K70" s="50">
        <v>0</v>
      </c>
      <c r="L70" s="50">
        <v>0</v>
      </c>
      <c r="M70" s="50">
        <v>10</v>
      </c>
      <c r="N70" s="50">
        <v>0</v>
      </c>
      <c r="O70" s="15">
        <f t="shared" si="35"/>
        <v>2</v>
      </c>
      <c r="P70" s="15">
        <f t="shared" si="36"/>
        <v>12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4</v>
      </c>
      <c r="N71" s="50">
        <v>0</v>
      </c>
      <c r="O71" s="15">
        <f t="shared" si="35"/>
        <v>1</v>
      </c>
      <c r="P71" s="15">
        <f t="shared" si="36"/>
        <v>5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3</v>
      </c>
      <c r="N72" s="50">
        <v>0</v>
      </c>
      <c r="O72" s="15">
        <f t="shared" si="35"/>
        <v>0</v>
      </c>
      <c r="P72" s="15">
        <f t="shared" si="36"/>
        <v>3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35"/>
        <v>2</v>
      </c>
      <c r="P73" s="15">
        <f t="shared" si="36"/>
        <v>5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si="35"/>
        <v>0</v>
      </c>
      <c r="P74" s="15">
        <f t="shared" si="36"/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0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5</v>
      </c>
      <c r="N76" s="50">
        <v>0</v>
      </c>
      <c r="O76" s="15">
        <f t="shared" si="35"/>
        <v>0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0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0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1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1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2</v>
      </c>
      <c r="N81" s="50">
        <v>0</v>
      </c>
      <c r="O81" s="15">
        <f t="shared" si="35"/>
        <v>0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1</v>
      </c>
      <c r="P82" s="15">
        <f t="shared" si="36"/>
        <v>1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1</v>
      </c>
      <c r="P83" s="15">
        <f t="shared" si="36"/>
        <v>1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3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3</v>
      </c>
      <c r="P84" s="15">
        <f t="shared" si="36"/>
        <v>3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0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1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2</v>
      </c>
      <c r="J90" s="50">
        <v>0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2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</v>
      </c>
      <c r="N91" s="50">
        <v>0</v>
      </c>
      <c r="O91" s="15">
        <f t="shared" si="35"/>
        <v>0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2</v>
      </c>
      <c r="E93" s="50">
        <v>0</v>
      </c>
      <c r="F93" s="50">
        <v>0</v>
      </c>
      <c r="G93" s="50">
        <v>0</v>
      </c>
      <c r="H93" s="50">
        <v>0</v>
      </c>
      <c r="I93" s="50">
        <v>4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6</v>
      </c>
      <c r="P93" s="15">
        <f t="shared" si="36"/>
        <v>6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2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2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4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0</v>
      </c>
      <c r="F98" s="50">
        <v>2</v>
      </c>
      <c r="G98" s="50">
        <v>0</v>
      </c>
      <c r="H98" s="50">
        <v>0</v>
      </c>
      <c r="I98" s="50">
        <v>4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8</v>
      </c>
      <c r="P98" s="15">
        <f t="shared" si="36"/>
        <v>8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0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1</v>
      </c>
      <c r="E101" s="50">
        <v>0</v>
      </c>
      <c r="F101" s="50">
        <v>0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2</v>
      </c>
      <c r="P101" s="15">
        <f t="shared" si="36"/>
        <v>2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3</v>
      </c>
      <c r="J102" s="50">
        <v>1</v>
      </c>
      <c r="K102" s="50">
        <v>0</v>
      </c>
      <c r="L102" s="50">
        <v>0</v>
      </c>
      <c r="M102" s="50">
        <v>5</v>
      </c>
      <c r="N102" s="50">
        <v>0</v>
      </c>
      <c r="O102" s="15">
        <f t="shared" si="35"/>
        <v>4</v>
      </c>
      <c r="P102" s="15">
        <f t="shared" si="36"/>
        <v>9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0</v>
      </c>
      <c r="N103" s="50">
        <v>0</v>
      </c>
      <c r="O103" s="15">
        <f t="shared" si="35"/>
        <v>0</v>
      </c>
      <c r="P103" s="15">
        <f t="shared" si="36"/>
        <v>0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0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1</v>
      </c>
      <c r="E105" s="50">
        <v>0</v>
      </c>
      <c r="F105" s="50">
        <v>1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8</v>
      </c>
      <c r="N105" s="50">
        <v>0</v>
      </c>
      <c r="O105" s="15">
        <f t="shared" si="35"/>
        <v>3</v>
      </c>
      <c r="P105" s="15">
        <f t="shared" si="36"/>
        <v>11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</v>
      </c>
      <c r="D106" s="16">
        <f t="shared" ref="D106:P106" si="37">SUM(D10:D105)</f>
        <v>7</v>
      </c>
      <c r="E106" s="16">
        <f t="shared" si="37"/>
        <v>10</v>
      </c>
      <c r="F106" s="16">
        <f t="shared" si="37"/>
        <v>12</v>
      </c>
      <c r="G106" s="16">
        <f t="shared" si="37"/>
        <v>0</v>
      </c>
      <c r="H106" s="16">
        <f t="shared" si="37"/>
        <v>0</v>
      </c>
      <c r="I106" s="16">
        <f t="shared" si="37"/>
        <v>58</v>
      </c>
      <c r="J106" s="16">
        <f t="shared" si="37"/>
        <v>10</v>
      </c>
      <c r="K106" s="16">
        <f t="shared" si="37"/>
        <v>0</v>
      </c>
      <c r="L106" s="16">
        <f t="shared" si="37"/>
        <v>0</v>
      </c>
      <c r="M106" s="16">
        <f t="shared" si="37"/>
        <v>632</v>
      </c>
      <c r="N106" s="16">
        <f t="shared" si="37"/>
        <v>0</v>
      </c>
      <c r="O106" s="16">
        <f t="shared" si="37"/>
        <v>128</v>
      </c>
      <c r="P106" s="16">
        <f t="shared" si="37"/>
        <v>760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4.0789473684210528E-2</v>
      </c>
      <c r="D107" s="43">
        <f t="shared" si="38"/>
        <v>9.2105263157894728E-3</v>
      </c>
      <c r="E107" s="43">
        <f t="shared" si="38"/>
        <v>1.3157894736842105E-2</v>
      </c>
      <c r="F107" s="43">
        <f t="shared" si="38"/>
        <v>1.5789473684210527E-2</v>
      </c>
      <c r="G107" s="43">
        <f t="shared" si="38"/>
        <v>0</v>
      </c>
      <c r="H107" s="43">
        <f t="shared" si="38"/>
        <v>0</v>
      </c>
      <c r="I107" s="43">
        <f t="shared" si="38"/>
        <v>7.6315789473684212E-2</v>
      </c>
      <c r="J107" s="43">
        <f t="shared" si="38"/>
        <v>1.3157894736842105E-2</v>
      </c>
      <c r="K107" s="43">
        <f t="shared" si="38"/>
        <v>0</v>
      </c>
      <c r="L107" s="43">
        <f t="shared" si="38"/>
        <v>0</v>
      </c>
      <c r="M107" s="43">
        <f t="shared" si="38"/>
        <v>0.83157894736842108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0.2421875</v>
      </c>
      <c r="D108" s="44">
        <f t="shared" ref="D108:N108" si="39">D106/$O$106</f>
        <v>5.46875E-2</v>
      </c>
      <c r="E108" s="44">
        <f t="shared" si="39"/>
        <v>7.8125E-2</v>
      </c>
      <c r="F108" s="44">
        <f t="shared" si="39"/>
        <v>9.375E-2</v>
      </c>
      <c r="G108" s="44">
        <f t="shared" si="39"/>
        <v>0</v>
      </c>
      <c r="H108" s="44">
        <f t="shared" si="39"/>
        <v>0</v>
      </c>
      <c r="I108" s="44">
        <f t="shared" si="39"/>
        <v>0.453125</v>
      </c>
      <c r="J108" s="44">
        <f t="shared" si="39"/>
        <v>7.8125E-2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B1:AF174"/>
  <sheetViews>
    <sheetView view="pageBreakPreview" topLeftCell="A55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'19.10 Kyankwanzi-bukomero-24h'!D5</f>
        <v>19.10.19</v>
      </c>
      <c r="E5" s="3"/>
      <c r="F5" s="41" t="s">
        <v>1</v>
      </c>
      <c r="G5" s="63" t="e">
        <f>'19.10 Kyankwanzi-bukomero-24h'!G5:H5</f>
        <v>#REF!</v>
      </c>
      <c r="H5" s="64"/>
      <c r="I5" s="14"/>
      <c r="J5" s="2" t="s">
        <v>5</v>
      </c>
      <c r="K5" s="63" t="e">
        <f>'19.10 Kyankwanzi-bukomero-24h'!K5:L5</f>
        <v>#REF!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bukomero-Kyankwanzi'!D6:E6</f>
        <v>bukomero</v>
      </c>
      <c r="E6" s="64"/>
      <c r="F6" s="2" t="s">
        <v>2</v>
      </c>
      <c r="G6" s="63" t="str">
        <f>'18.10 bukomero-Kyankwanzi'!G6:H6</f>
        <v>kyankwanzi</v>
      </c>
      <c r="H6" s="64"/>
      <c r="J6" s="2" t="s">
        <v>21</v>
      </c>
      <c r="K6" s="63" t="e">
        <f>'19.10 Kyankwanzi-bukomero-24h'!K6:L6</f>
        <v>#REF!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1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73" si="0">SUM(C10:L10,N10)</f>
        <v>1</v>
      </c>
      <c r="P10" s="15">
        <f t="shared" ref="P10:P73" si="1">SUM(C10:N10)</f>
        <v>6</v>
      </c>
      <c r="R10" s="1" t="s">
        <v>6</v>
      </c>
      <c r="S10" s="17">
        <f t="shared" ref="S10:AF10" si="2">SUM(C10:C13)</f>
        <v>1</v>
      </c>
      <c r="T10" s="17">
        <f t="shared" si="2"/>
        <v>1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31</v>
      </c>
      <c r="AD10" s="17">
        <f t="shared" si="2"/>
        <v>0</v>
      </c>
      <c r="AE10" s="31">
        <f t="shared" si="2"/>
        <v>4</v>
      </c>
      <c r="AF10" s="31">
        <f t="shared" si="2"/>
        <v>35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0</v>
      </c>
      <c r="P11" s="15">
        <f t="shared" si="1"/>
        <v>8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33</v>
      </c>
      <c r="AD11" s="17">
        <f t="shared" si="3"/>
        <v>1</v>
      </c>
      <c r="AE11" s="31">
        <f t="shared" si="3"/>
        <v>5</v>
      </c>
      <c r="AF11" s="31">
        <f t="shared" si="3"/>
        <v>38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9</v>
      </c>
      <c r="N12" s="50">
        <v>0</v>
      </c>
      <c r="O12" s="15">
        <f t="shared" si="0"/>
        <v>1</v>
      </c>
      <c r="P12" s="15">
        <f t="shared" si="1"/>
        <v>10</v>
      </c>
      <c r="R12" s="1" t="s">
        <v>8</v>
      </c>
      <c r="S12" s="17">
        <f t="shared" ref="S12:AF12" si="4">SUM(C18:C21)</f>
        <v>3</v>
      </c>
      <c r="T12" s="17">
        <f t="shared" si="4"/>
        <v>0</v>
      </c>
      <c r="U12" s="17">
        <f t="shared" si="4"/>
        <v>0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48</v>
      </c>
      <c r="AD12" s="17">
        <f t="shared" si="4"/>
        <v>0</v>
      </c>
      <c r="AE12" s="31">
        <f t="shared" si="4"/>
        <v>9</v>
      </c>
      <c r="AF12" s="31">
        <f t="shared" si="4"/>
        <v>57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2</v>
      </c>
      <c r="P13" s="15">
        <f t="shared" si="1"/>
        <v>11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42</v>
      </c>
      <c r="AD13" s="17">
        <f t="shared" si="5"/>
        <v>0</v>
      </c>
      <c r="AE13" s="31">
        <f t="shared" si="5"/>
        <v>3</v>
      </c>
      <c r="AF13" s="31">
        <f t="shared" si="5"/>
        <v>45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0</v>
      </c>
      <c r="P14" s="15">
        <f t="shared" si="1"/>
        <v>6</v>
      </c>
      <c r="R14" s="1" t="s">
        <v>10</v>
      </c>
      <c r="S14" s="17">
        <f t="shared" ref="S14:AF14" si="6">SUM(C26:C29)</f>
        <v>3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40</v>
      </c>
      <c r="AD14" s="17">
        <f t="shared" si="6"/>
        <v>0</v>
      </c>
      <c r="AE14" s="31">
        <f t="shared" si="6"/>
        <v>6</v>
      </c>
      <c r="AF14" s="31">
        <f t="shared" si="6"/>
        <v>46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2</v>
      </c>
      <c r="P15" s="15">
        <f t="shared" si="1"/>
        <v>9</v>
      </c>
      <c r="R15" s="1" t="s">
        <v>11</v>
      </c>
      <c r="S15" s="17">
        <f t="shared" ref="S15:AF15" si="7">SUM(C30:C33)</f>
        <v>1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60</v>
      </c>
      <c r="AD15" s="17">
        <f t="shared" si="7"/>
        <v>0</v>
      </c>
      <c r="AE15" s="31">
        <f t="shared" si="7"/>
        <v>4</v>
      </c>
      <c r="AF15" s="31">
        <f t="shared" si="7"/>
        <v>64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1</v>
      </c>
      <c r="P16" s="15">
        <f t="shared" si="1"/>
        <v>12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50</v>
      </c>
      <c r="AD16" s="17">
        <f t="shared" si="8"/>
        <v>0</v>
      </c>
      <c r="AE16" s="31">
        <f t="shared" si="8"/>
        <v>8</v>
      </c>
      <c r="AF16" s="31">
        <f t="shared" si="8"/>
        <v>58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1</v>
      </c>
      <c r="O17" s="15">
        <f t="shared" si="0"/>
        <v>2</v>
      </c>
      <c r="P17" s="15">
        <f t="shared" si="1"/>
        <v>11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54</v>
      </c>
      <c r="AD17" s="17">
        <f t="shared" si="9"/>
        <v>0</v>
      </c>
      <c r="AE17" s="31">
        <f t="shared" si="9"/>
        <v>3</v>
      </c>
      <c r="AF17" s="31">
        <f t="shared" si="9"/>
        <v>57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10</v>
      </c>
      <c r="N18" s="50">
        <v>0</v>
      </c>
      <c r="O18" s="15">
        <f t="shared" si="0"/>
        <v>1</v>
      </c>
      <c r="P18" s="15">
        <f t="shared" si="1"/>
        <v>11</v>
      </c>
      <c r="R18" s="1" t="s">
        <v>14</v>
      </c>
      <c r="S18" s="17">
        <f t="shared" ref="S18:AF18" si="10">SUM(C42:C45)</f>
        <v>0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34</v>
      </c>
      <c r="AD18" s="17">
        <f t="shared" si="10"/>
        <v>0</v>
      </c>
      <c r="AE18" s="31">
        <f t="shared" si="10"/>
        <v>5</v>
      </c>
      <c r="AF18" s="31">
        <f t="shared" si="10"/>
        <v>39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2</v>
      </c>
      <c r="P19" s="15">
        <f t="shared" si="1"/>
        <v>17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1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1</v>
      </c>
      <c r="AB19" s="17">
        <f t="shared" si="11"/>
        <v>0</v>
      </c>
      <c r="AC19" s="17">
        <f t="shared" si="11"/>
        <v>54</v>
      </c>
      <c r="AD19" s="17">
        <f t="shared" si="11"/>
        <v>0</v>
      </c>
      <c r="AE19" s="31">
        <f t="shared" si="11"/>
        <v>13</v>
      </c>
      <c r="AF19" s="31">
        <f t="shared" si="11"/>
        <v>67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2</v>
      </c>
      <c r="P20" s="15">
        <f t="shared" si="1"/>
        <v>12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45</v>
      </c>
      <c r="AD20" s="17">
        <f t="shared" si="12"/>
        <v>0</v>
      </c>
      <c r="AE20" s="31">
        <f t="shared" si="12"/>
        <v>2</v>
      </c>
      <c r="AF20" s="31">
        <f t="shared" si="12"/>
        <v>47</v>
      </c>
    </row>
    <row r="21" spans="2:32" ht="23.1" customHeight="1" x14ac:dyDescent="0.25">
      <c r="B21" s="45" t="s">
        <v>48</v>
      </c>
      <c r="C21" s="50">
        <v>2</v>
      </c>
      <c r="D21" s="50">
        <v>0</v>
      </c>
      <c r="E21" s="50">
        <v>0</v>
      </c>
      <c r="F21" s="50">
        <v>2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4</v>
      </c>
      <c r="P21" s="15">
        <f t="shared" si="1"/>
        <v>17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2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53</v>
      </c>
      <c r="AD21" s="17">
        <f t="shared" si="13"/>
        <v>0</v>
      </c>
      <c r="AE21" s="31">
        <f t="shared" si="13"/>
        <v>8</v>
      </c>
      <c r="AF21" s="31">
        <f t="shared" si="13"/>
        <v>61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1</v>
      </c>
      <c r="P22" s="15">
        <f t="shared" si="1"/>
        <v>5</v>
      </c>
      <c r="R22" s="36" t="s">
        <v>146</v>
      </c>
      <c r="S22" s="34">
        <f>SUM(C58:C61)</f>
        <v>3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41</v>
      </c>
      <c r="AD22" s="34">
        <f t="shared" si="14"/>
        <v>0</v>
      </c>
      <c r="AE22" s="31">
        <f t="shared" si="14"/>
        <v>6</v>
      </c>
      <c r="AF22" s="31">
        <f t="shared" si="14"/>
        <v>47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18</v>
      </c>
      <c r="N23" s="50">
        <v>0</v>
      </c>
      <c r="O23" s="15">
        <f t="shared" si="0"/>
        <v>1</v>
      </c>
      <c r="P23" s="15">
        <f t="shared" si="1"/>
        <v>19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20</v>
      </c>
      <c r="AD23" s="34">
        <f t="shared" si="15"/>
        <v>0</v>
      </c>
      <c r="AE23" s="31">
        <f t="shared" si="15"/>
        <v>2</v>
      </c>
      <c r="AF23" s="31">
        <f t="shared" si="15"/>
        <v>22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10</v>
      </c>
      <c r="N24" s="50">
        <v>0</v>
      </c>
      <c r="O24" s="15">
        <f t="shared" si="0"/>
        <v>0</v>
      </c>
      <c r="P24" s="15">
        <f t="shared" si="1"/>
        <v>10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18</v>
      </c>
      <c r="AD24" s="34">
        <f t="shared" si="16"/>
        <v>0</v>
      </c>
      <c r="AE24" s="31">
        <f t="shared" si="16"/>
        <v>3</v>
      </c>
      <c r="AF24" s="31">
        <f t="shared" si="16"/>
        <v>21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10</v>
      </c>
      <c r="N25" s="50">
        <v>0</v>
      </c>
      <c r="O25" s="15">
        <f t="shared" si="0"/>
        <v>1</v>
      </c>
      <c r="P25" s="15">
        <f t="shared" si="1"/>
        <v>11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1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17</v>
      </c>
      <c r="AD25" s="34">
        <f t="shared" si="17"/>
        <v>0</v>
      </c>
      <c r="AE25" s="31">
        <f t="shared" si="17"/>
        <v>3</v>
      </c>
      <c r="AF25" s="31">
        <f t="shared" si="17"/>
        <v>20</v>
      </c>
    </row>
    <row r="26" spans="2:32" ht="23.1" customHeight="1" x14ac:dyDescent="0.25">
      <c r="B26" s="45" t="s">
        <v>53</v>
      </c>
      <c r="C26" s="50">
        <v>0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2</v>
      </c>
      <c r="P26" s="15">
        <f t="shared" si="1"/>
        <v>11</v>
      </c>
      <c r="R26" s="36" t="s">
        <v>150</v>
      </c>
      <c r="S26" s="34">
        <f>SUM(C74:C77)</f>
        <v>0</v>
      </c>
      <c r="T26" s="34">
        <f t="shared" ref="T26:AF26" si="18">SUM(D74:D77)</f>
        <v>1</v>
      </c>
      <c r="U26" s="34">
        <f t="shared" si="18"/>
        <v>0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6</v>
      </c>
      <c r="AD26" s="34">
        <f t="shared" si="18"/>
        <v>0</v>
      </c>
      <c r="AE26" s="31">
        <f t="shared" si="18"/>
        <v>3</v>
      </c>
      <c r="AF26" s="31">
        <f t="shared" si="18"/>
        <v>9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1</v>
      </c>
      <c r="P27" s="15">
        <f t="shared" si="1"/>
        <v>11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3</v>
      </c>
      <c r="AD27" s="34">
        <f t="shared" si="19"/>
        <v>0</v>
      </c>
      <c r="AE27" s="31">
        <f t="shared" si="19"/>
        <v>3</v>
      </c>
      <c r="AF27" s="31">
        <f t="shared" si="19"/>
        <v>6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2</v>
      </c>
      <c r="P28" s="15">
        <f t="shared" si="1"/>
        <v>11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3</v>
      </c>
      <c r="AF28" s="31">
        <f t="shared" si="20"/>
        <v>6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12</v>
      </c>
      <c r="N29" s="50">
        <v>0</v>
      </c>
      <c r="O29" s="15">
        <f t="shared" si="0"/>
        <v>1</v>
      </c>
      <c r="P29" s="15">
        <f t="shared" si="1"/>
        <v>13</v>
      </c>
      <c r="R29" s="36" t="s">
        <v>153</v>
      </c>
      <c r="S29" s="34">
        <f>SUM(C86:C89)</f>
        <v>0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4</v>
      </c>
      <c r="AF29" s="31">
        <f t="shared" si="21"/>
        <v>4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0</v>
      </c>
      <c r="P30" s="15">
        <f t="shared" si="1"/>
        <v>18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5</v>
      </c>
      <c r="AD30" s="34">
        <f t="shared" si="22"/>
        <v>0</v>
      </c>
      <c r="AE30" s="31">
        <f t="shared" si="22"/>
        <v>5</v>
      </c>
      <c r="AF30" s="31">
        <f t="shared" si="22"/>
        <v>10</v>
      </c>
    </row>
    <row r="31" spans="2:32" ht="23.1" customHeight="1" x14ac:dyDescent="0.25">
      <c r="B31" s="46" t="s">
        <v>58</v>
      </c>
      <c r="C31" s="50">
        <v>0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3</v>
      </c>
      <c r="P31" s="15">
        <f t="shared" si="1"/>
        <v>14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3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20</v>
      </c>
      <c r="N32" s="50">
        <v>0</v>
      </c>
      <c r="O32" s="15">
        <f t="shared" si="0"/>
        <v>1</v>
      </c>
      <c r="P32" s="15">
        <f t="shared" si="1"/>
        <v>21</v>
      </c>
      <c r="R32" s="33" t="s">
        <v>156</v>
      </c>
      <c r="S32" s="34">
        <f>SUM(C98:C101)</f>
        <v>1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9</v>
      </c>
      <c r="AD32" s="34">
        <f t="shared" si="24"/>
        <v>0</v>
      </c>
      <c r="AE32" s="31">
        <f t="shared" si="24"/>
        <v>5</v>
      </c>
      <c r="AF32" s="31">
        <f t="shared" si="24"/>
        <v>14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11</v>
      </c>
      <c r="N33" s="50">
        <v>0</v>
      </c>
      <c r="O33" s="15">
        <f t="shared" si="0"/>
        <v>0</v>
      </c>
      <c r="P33" s="15">
        <f t="shared" si="1"/>
        <v>11</v>
      </c>
      <c r="R33" s="33" t="s">
        <v>157</v>
      </c>
      <c r="S33" s="34">
        <f>SUM(C102:C105)</f>
        <v>3</v>
      </c>
      <c r="T33" s="34">
        <f t="shared" ref="T33:AF33" si="25">SUM(D102:D105)</f>
        <v>1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11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23</v>
      </c>
      <c r="AD33" s="34">
        <f t="shared" si="25"/>
        <v>0</v>
      </c>
      <c r="AE33" s="31">
        <f t="shared" si="25"/>
        <v>18</v>
      </c>
      <c r="AF33" s="31">
        <f t="shared" si="25"/>
        <v>41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2</v>
      </c>
      <c r="P34" s="15">
        <f t="shared" si="1"/>
        <v>16</v>
      </c>
      <c r="R34" s="38" t="s">
        <v>90</v>
      </c>
      <c r="S34" s="39">
        <f t="shared" ref="S34:AF34" si="26">MAX(S10:S12)</f>
        <v>3</v>
      </c>
      <c r="T34" s="39">
        <f t="shared" si="26"/>
        <v>1</v>
      </c>
      <c r="U34" s="39">
        <f t="shared" si="26"/>
        <v>0</v>
      </c>
      <c r="V34" s="39">
        <f t="shared" si="26"/>
        <v>3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48</v>
      </c>
      <c r="AD34" s="39">
        <f t="shared" si="26"/>
        <v>1</v>
      </c>
      <c r="AE34" s="40">
        <f t="shared" si="26"/>
        <v>9</v>
      </c>
      <c r="AF34" s="40">
        <f t="shared" si="26"/>
        <v>57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11</v>
      </c>
      <c r="N35" s="50">
        <v>0</v>
      </c>
      <c r="O35" s="15">
        <f t="shared" si="0"/>
        <v>1</v>
      </c>
      <c r="P35" s="15">
        <f t="shared" si="1"/>
        <v>12</v>
      </c>
      <c r="R35" s="38" t="s">
        <v>91</v>
      </c>
      <c r="S35" s="39">
        <f t="shared" ref="S35:AF35" si="27">MAX(S13:S18)</f>
        <v>3</v>
      </c>
      <c r="T35" s="39">
        <f t="shared" si="27"/>
        <v>1</v>
      </c>
      <c r="U35" s="39">
        <f t="shared" si="27"/>
        <v>1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4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60</v>
      </c>
      <c r="AD35" s="39">
        <f t="shared" si="27"/>
        <v>0</v>
      </c>
      <c r="AE35" s="40">
        <f t="shared" si="27"/>
        <v>8</v>
      </c>
      <c r="AF35" s="40">
        <f t="shared" si="27"/>
        <v>64</v>
      </c>
    </row>
    <row r="36" spans="2:32" ht="23.1" customHeight="1" x14ac:dyDescent="0.25">
      <c r="B36" s="46" t="s">
        <v>63</v>
      </c>
      <c r="C36" s="50">
        <v>2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10</v>
      </c>
      <c r="N36" s="50">
        <v>0</v>
      </c>
      <c r="O36" s="15">
        <f t="shared" si="0"/>
        <v>4</v>
      </c>
      <c r="P36" s="15">
        <f t="shared" si="1"/>
        <v>14</v>
      </c>
      <c r="R36" s="38" t="s">
        <v>92</v>
      </c>
      <c r="S36" s="39">
        <f t="shared" ref="S36:AF36" si="28">MAX(S19:S21)</f>
        <v>3</v>
      </c>
      <c r="T36" s="39">
        <f t="shared" si="28"/>
        <v>0</v>
      </c>
      <c r="U36" s="39">
        <f t="shared" si="28"/>
        <v>2</v>
      </c>
      <c r="V36" s="39">
        <f t="shared" si="28"/>
        <v>2</v>
      </c>
      <c r="W36" s="39">
        <f t="shared" si="28"/>
        <v>0</v>
      </c>
      <c r="X36" s="39">
        <f t="shared" si="28"/>
        <v>0</v>
      </c>
      <c r="Y36" s="39">
        <f t="shared" si="28"/>
        <v>6</v>
      </c>
      <c r="Z36" s="39">
        <f t="shared" si="28"/>
        <v>2</v>
      </c>
      <c r="AA36" s="39">
        <f t="shared" si="28"/>
        <v>1</v>
      </c>
      <c r="AB36" s="39">
        <f t="shared" si="28"/>
        <v>0</v>
      </c>
      <c r="AC36" s="39">
        <f t="shared" si="28"/>
        <v>54</v>
      </c>
      <c r="AD36" s="39">
        <f t="shared" si="28"/>
        <v>0</v>
      </c>
      <c r="AE36" s="40">
        <f t="shared" si="28"/>
        <v>13</v>
      </c>
      <c r="AF36" s="40">
        <f t="shared" si="28"/>
        <v>67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15</v>
      </c>
      <c r="N37" s="50">
        <v>0</v>
      </c>
      <c r="O37" s="15">
        <f t="shared" si="0"/>
        <v>1</v>
      </c>
      <c r="P37" s="15">
        <f t="shared" si="1"/>
        <v>16</v>
      </c>
      <c r="R37" s="37" t="s">
        <v>85</v>
      </c>
      <c r="S37" s="35">
        <f t="shared" ref="S37:AF37" si="29">SUM(S10:S12)</f>
        <v>6</v>
      </c>
      <c r="T37" s="16">
        <f t="shared" si="29"/>
        <v>1</v>
      </c>
      <c r="U37" s="16">
        <f t="shared" si="29"/>
        <v>0</v>
      </c>
      <c r="V37" s="16">
        <f t="shared" si="29"/>
        <v>5</v>
      </c>
      <c r="W37" s="16">
        <f t="shared" si="29"/>
        <v>0</v>
      </c>
      <c r="X37" s="16">
        <f t="shared" si="29"/>
        <v>0</v>
      </c>
      <c r="Y37" s="16">
        <f t="shared" si="29"/>
        <v>5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112</v>
      </c>
      <c r="AD37" s="16">
        <f t="shared" si="29"/>
        <v>1</v>
      </c>
      <c r="AE37" s="32">
        <f t="shared" si="29"/>
        <v>18</v>
      </c>
      <c r="AF37" s="32">
        <f t="shared" si="29"/>
        <v>130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0</v>
      </c>
      <c r="P38" s="15">
        <f t="shared" si="1"/>
        <v>14</v>
      </c>
      <c r="R38" s="28" t="s">
        <v>86</v>
      </c>
      <c r="S38" s="16">
        <f t="shared" ref="S38:AF38" si="30">SUM(S13:S18)</f>
        <v>8</v>
      </c>
      <c r="T38" s="16">
        <f t="shared" si="30"/>
        <v>2</v>
      </c>
      <c r="U38" s="16">
        <f t="shared" si="30"/>
        <v>2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16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280</v>
      </c>
      <c r="AD38" s="16">
        <f t="shared" si="30"/>
        <v>0</v>
      </c>
      <c r="AE38" s="32">
        <f t="shared" si="30"/>
        <v>29</v>
      </c>
      <c r="AF38" s="32">
        <f t="shared" si="30"/>
        <v>309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2</v>
      </c>
      <c r="P39" s="15">
        <f t="shared" si="1"/>
        <v>12</v>
      </c>
      <c r="R39" s="29" t="s">
        <v>87</v>
      </c>
      <c r="S39" s="16">
        <f t="shared" ref="S39:AF39" si="31">SUM(S19:S21)</f>
        <v>4</v>
      </c>
      <c r="T39" s="16">
        <f t="shared" si="31"/>
        <v>0</v>
      </c>
      <c r="U39" s="16">
        <f t="shared" si="31"/>
        <v>3</v>
      </c>
      <c r="V39" s="16">
        <f t="shared" si="31"/>
        <v>3</v>
      </c>
      <c r="W39" s="16">
        <f t="shared" si="31"/>
        <v>0</v>
      </c>
      <c r="X39" s="16">
        <f t="shared" si="31"/>
        <v>0</v>
      </c>
      <c r="Y39" s="16">
        <f t="shared" si="31"/>
        <v>10</v>
      </c>
      <c r="Z39" s="16">
        <f t="shared" si="31"/>
        <v>2</v>
      </c>
      <c r="AA39" s="16">
        <f t="shared" si="31"/>
        <v>1</v>
      </c>
      <c r="AB39" s="16">
        <f t="shared" si="31"/>
        <v>0</v>
      </c>
      <c r="AC39" s="16">
        <f t="shared" si="31"/>
        <v>152</v>
      </c>
      <c r="AD39" s="16">
        <f t="shared" si="31"/>
        <v>0</v>
      </c>
      <c r="AE39" s="32">
        <f t="shared" si="31"/>
        <v>23</v>
      </c>
      <c r="AF39" s="32">
        <f t="shared" si="31"/>
        <v>175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0</v>
      </c>
      <c r="P40" s="15">
        <f t="shared" si="1"/>
        <v>15</v>
      </c>
      <c r="R40" s="5" t="s">
        <v>17</v>
      </c>
      <c r="S40" s="16">
        <f t="shared" ref="S40:AF40" si="32">SUM(S10:S21)</f>
        <v>18</v>
      </c>
      <c r="T40" s="16">
        <f t="shared" si="32"/>
        <v>3</v>
      </c>
      <c r="U40" s="16">
        <f t="shared" si="32"/>
        <v>5</v>
      </c>
      <c r="V40" s="16">
        <f t="shared" si="32"/>
        <v>8</v>
      </c>
      <c r="W40" s="16">
        <f t="shared" si="32"/>
        <v>0</v>
      </c>
      <c r="X40" s="16">
        <f t="shared" si="32"/>
        <v>0</v>
      </c>
      <c r="Y40" s="16">
        <f t="shared" si="32"/>
        <v>31</v>
      </c>
      <c r="Z40" s="16">
        <f t="shared" si="32"/>
        <v>3</v>
      </c>
      <c r="AA40" s="16">
        <f t="shared" si="32"/>
        <v>1</v>
      </c>
      <c r="AB40" s="16">
        <f t="shared" si="32"/>
        <v>0</v>
      </c>
      <c r="AC40" s="16">
        <f t="shared" si="32"/>
        <v>544</v>
      </c>
      <c r="AD40" s="16">
        <f t="shared" si="32"/>
        <v>1</v>
      </c>
      <c r="AE40" s="32">
        <f t="shared" si="32"/>
        <v>70</v>
      </c>
      <c r="AF40" s="32">
        <f t="shared" si="32"/>
        <v>614</v>
      </c>
    </row>
    <row r="41" spans="2:32" ht="23.1" customHeight="1" x14ac:dyDescent="0.25">
      <c r="B41" s="45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15</v>
      </c>
      <c r="N41" s="50">
        <v>0</v>
      </c>
      <c r="O41" s="15">
        <f t="shared" si="0"/>
        <v>1</v>
      </c>
      <c r="P41" s="15">
        <f t="shared" si="1"/>
        <v>16</v>
      </c>
      <c r="R41" s="5" t="s">
        <v>159</v>
      </c>
      <c r="S41" s="16">
        <f>SUM(S10:S33)</f>
        <v>28</v>
      </c>
      <c r="T41" s="16">
        <f t="shared" ref="T41:AF41" si="33">SUM(T10:T33)</f>
        <v>7</v>
      </c>
      <c r="U41" s="16">
        <f t="shared" si="33"/>
        <v>5</v>
      </c>
      <c r="V41" s="16">
        <f t="shared" si="33"/>
        <v>12</v>
      </c>
      <c r="W41" s="16">
        <f t="shared" si="33"/>
        <v>0</v>
      </c>
      <c r="X41" s="16">
        <f t="shared" si="33"/>
        <v>0</v>
      </c>
      <c r="Y41" s="16">
        <f t="shared" si="33"/>
        <v>61</v>
      </c>
      <c r="Z41" s="16">
        <f t="shared" si="33"/>
        <v>13</v>
      </c>
      <c r="AA41" s="16">
        <f t="shared" si="33"/>
        <v>1</v>
      </c>
      <c r="AB41" s="16">
        <f t="shared" si="33"/>
        <v>0</v>
      </c>
      <c r="AC41" s="16">
        <f t="shared" si="33"/>
        <v>689</v>
      </c>
      <c r="AD41" s="16">
        <f t="shared" si="33"/>
        <v>1</v>
      </c>
      <c r="AE41" s="32">
        <f t="shared" si="33"/>
        <v>128</v>
      </c>
      <c r="AF41" s="32">
        <f t="shared" si="33"/>
        <v>817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2</v>
      </c>
      <c r="P42" s="15">
        <f t="shared" si="1"/>
        <v>18</v>
      </c>
      <c r="R42" s="5" t="s">
        <v>160</v>
      </c>
      <c r="S42" s="48">
        <f>S41/S40</f>
        <v>1.5555555555555556</v>
      </c>
      <c r="T42" s="48">
        <f t="shared" ref="T42:AF42" si="34">T41/T40</f>
        <v>2.3333333333333335</v>
      </c>
      <c r="U42" s="48">
        <f t="shared" si="34"/>
        <v>1</v>
      </c>
      <c r="V42" s="48">
        <f t="shared" si="34"/>
        <v>1.5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1.967741935483871</v>
      </c>
      <c r="Z42" s="48">
        <f t="shared" si="34"/>
        <v>4.333333333333333</v>
      </c>
      <c r="AA42" s="48">
        <f t="shared" si="34"/>
        <v>1</v>
      </c>
      <c r="AB42" s="48" t="e">
        <f t="shared" si="34"/>
        <v>#DIV/0!</v>
      </c>
      <c r="AC42" s="48">
        <f t="shared" si="34"/>
        <v>1.2665441176470589</v>
      </c>
      <c r="AD42" s="48">
        <f t="shared" si="34"/>
        <v>1</v>
      </c>
      <c r="AE42" s="48">
        <f t="shared" si="34"/>
        <v>1.8285714285714285</v>
      </c>
      <c r="AF42" s="48">
        <f t="shared" si="34"/>
        <v>1.3306188925081432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1</v>
      </c>
      <c r="P43" s="15">
        <f t="shared" si="1"/>
        <v>11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</v>
      </c>
      <c r="N44" s="50">
        <v>0</v>
      </c>
      <c r="O44" s="15">
        <f t="shared" si="0"/>
        <v>2</v>
      </c>
      <c r="P44" s="15">
        <f t="shared" si="1"/>
        <v>3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0</v>
      </c>
      <c r="P45" s="15">
        <f t="shared" si="1"/>
        <v>7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1</v>
      </c>
      <c r="L46" s="50">
        <v>0</v>
      </c>
      <c r="M46" s="50">
        <v>19</v>
      </c>
      <c r="N46" s="50">
        <v>0</v>
      </c>
      <c r="O46" s="15">
        <f t="shared" si="0"/>
        <v>3</v>
      </c>
      <c r="P46" s="15">
        <f t="shared" si="1"/>
        <v>22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3</v>
      </c>
      <c r="P47" s="15">
        <f t="shared" si="1"/>
        <v>19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3</v>
      </c>
      <c r="P48" s="15">
        <f t="shared" si="1"/>
        <v>10</v>
      </c>
      <c r="R48" s="8"/>
      <c r="T48"/>
    </row>
    <row r="49" spans="2:20" ht="23.1" customHeight="1" x14ac:dyDescent="0.25">
      <c r="B49" s="45" t="s">
        <v>76</v>
      </c>
      <c r="C49" s="50">
        <v>3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12</v>
      </c>
      <c r="N49" s="50">
        <v>0</v>
      </c>
      <c r="O49" s="15">
        <f t="shared" si="0"/>
        <v>4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0</v>
      </c>
      <c r="P50" s="15">
        <f t="shared" si="1"/>
        <v>13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0</v>
      </c>
      <c r="P51" s="15">
        <f t="shared" si="1"/>
        <v>5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2</v>
      </c>
      <c r="P52" s="15">
        <f t="shared" si="1"/>
        <v>13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16</v>
      </c>
      <c r="N53" s="50">
        <v>0</v>
      </c>
      <c r="O53" s="15">
        <f t="shared" si="0"/>
        <v>0</v>
      </c>
      <c r="P53" s="15">
        <f t="shared" si="1"/>
        <v>16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11</v>
      </c>
      <c r="N54" s="50">
        <v>0</v>
      </c>
      <c r="O54" s="15">
        <f t="shared" si="0"/>
        <v>3</v>
      </c>
      <c r="P54" s="15">
        <f t="shared" si="1"/>
        <v>14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16</v>
      </c>
      <c r="N55" s="50">
        <v>0</v>
      </c>
      <c r="O55" s="15">
        <f t="shared" si="0"/>
        <v>1</v>
      </c>
      <c r="P55" s="15">
        <f t="shared" si="1"/>
        <v>17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0</v>
      </c>
      <c r="P56" s="15">
        <f t="shared" si="1"/>
        <v>16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2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4</v>
      </c>
      <c r="P57" s="15">
        <f t="shared" si="1"/>
        <v>14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1</v>
      </c>
      <c r="J58" s="50">
        <v>0</v>
      </c>
      <c r="K58" s="50">
        <v>0</v>
      </c>
      <c r="L58" s="50">
        <v>0</v>
      </c>
      <c r="M58" s="50">
        <v>10</v>
      </c>
      <c r="N58" s="50">
        <v>0</v>
      </c>
      <c r="O58" s="15">
        <f t="shared" si="0"/>
        <v>3</v>
      </c>
      <c r="P58" s="15">
        <f t="shared" si="1"/>
        <v>13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11</v>
      </c>
      <c r="N59" s="50">
        <v>0</v>
      </c>
      <c r="O59" s="15">
        <f t="shared" si="0"/>
        <v>0</v>
      </c>
      <c r="P59" s="15">
        <f t="shared" si="1"/>
        <v>11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2</v>
      </c>
      <c r="K60" s="50">
        <v>0</v>
      </c>
      <c r="L60" s="50">
        <v>0</v>
      </c>
      <c r="M60" s="50">
        <v>9</v>
      </c>
      <c r="N60" s="50">
        <v>0</v>
      </c>
      <c r="O60" s="15">
        <f t="shared" si="0"/>
        <v>2</v>
      </c>
      <c r="P60" s="15">
        <f t="shared" si="1"/>
        <v>11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11</v>
      </c>
      <c r="N61" s="50">
        <v>0</v>
      </c>
      <c r="O61" s="15">
        <f t="shared" si="0"/>
        <v>1</v>
      </c>
      <c r="P61" s="15">
        <f t="shared" si="1"/>
        <v>12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5</v>
      </c>
      <c r="N62" s="50">
        <v>0</v>
      </c>
      <c r="O62" s="15">
        <f t="shared" si="0"/>
        <v>0</v>
      </c>
      <c r="P62" s="15">
        <f t="shared" si="1"/>
        <v>5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6</v>
      </c>
      <c r="N63" s="50">
        <v>0</v>
      </c>
      <c r="O63" s="15">
        <f t="shared" si="0"/>
        <v>2</v>
      </c>
      <c r="P63" s="15">
        <f t="shared" si="1"/>
        <v>8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3</v>
      </c>
      <c r="N64" s="50">
        <v>0</v>
      </c>
      <c r="O64" s="15">
        <f t="shared" si="0"/>
        <v>0</v>
      </c>
      <c r="P64" s="15">
        <f t="shared" si="1"/>
        <v>3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6</v>
      </c>
      <c r="N65" s="50">
        <v>0</v>
      </c>
      <c r="O65" s="15">
        <f t="shared" si="0"/>
        <v>0</v>
      </c>
      <c r="P65" s="15">
        <f t="shared" si="1"/>
        <v>6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12</v>
      </c>
      <c r="N66" s="50">
        <v>0</v>
      </c>
      <c r="O66" s="15">
        <f t="shared" si="0"/>
        <v>1</v>
      </c>
      <c r="P66" s="15">
        <f t="shared" si="1"/>
        <v>13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2</v>
      </c>
      <c r="N68" s="50">
        <v>0</v>
      </c>
      <c r="O68" s="15">
        <f t="shared" si="0"/>
        <v>0</v>
      </c>
      <c r="P68" s="15">
        <f t="shared" si="1"/>
        <v>2</v>
      </c>
      <c r="R68" s="8"/>
      <c r="T68"/>
    </row>
    <row r="69" spans="2:20" ht="23.1" customHeight="1" x14ac:dyDescent="0.25">
      <c r="B69" s="45" t="s">
        <v>106</v>
      </c>
      <c r="C69" s="50">
        <v>1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4</v>
      </c>
      <c r="N69" s="50">
        <v>0</v>
      </c>
      <c r="O69" s="15">
        <f t="shared" si="0"/>
        <v>2</v>
      </c>
      <c r="P69" s="15">
        <f t="shared" si="1"/>
        <v>6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7</v>
      </c>
      <c r="N70" s="50">
        <v>0</v>
      </c>
      <c r="O70" s="15">
        <f t="shared" si="0"/>
        <v>2</v>
      </c>
      <c r="P70" s="15">
        <f t="shared" si="1"/>
        <v>9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6</v>
      </c>
      <c r="N71" s="50">
        <v>0</v>
      </c>
      <c r="O71" s="15">
        <f t="shared" si="0"/>
        <v>0</v>
      </c>
      <c r="P71" s="15">
        <f t="shared" si="1"/>
        <v>6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</v>
      </c>
      <c r="N72" s="50">
        <v>0</v>
      </c>
      <c r="O72" s="15">
        <f t="shared" si="0"/>
        <v>0</v>
      </c>
      <c r="P72" s="15">
        <f t="shared" si="1"/>
        <v>2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2</v>
      </c>
      <c r="N73" s="50">
        <v>0</v>
      </c>
      <c r="O73" s="15">
        <f t="shared" si="0"/>
        <v>1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1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1</v>
      </c>
      <c r="P74" s="15">
        <f t="shared" ref="P74:P105" si="36">SUM(C74:N74)</f>
        <v>1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2</v>
      </c>
      <c r="N75" s="50">
        <v>0</v>
      </c>
      <c r="O75" s="15">
        <f t="shared" si="35"/>
        <v>1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1</v>
      </c>
      <c r="P76" s="15">
        <f t="shared" si="36"/>
        <v>3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0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</v>
      </c>
      <c r="N78" s="50">
        <v>0</v>
      </c>
      <c r="O78" s="15">
        <f t="shared" si="35"/>
        <v>0</v>
      </c>
      <c r="P78" s="15">
        <f t="shared" si="36"/>
        <v>1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1</v>
      </c>
      <c r="K79" s="50">
        <v>0</v>
      </c>
      <c r="L79" s="50">
        <v>0</v>
      </c>
      <c r="M79" s="50">
        <v>1</v>
      </c>
      <c r="N79" s="50">
        <v>0</v>
      </c>
      <c r="O79" s="15">
        <f t="shared" si="35"/>
        <v>2</v>
      </c>
      <c r="P79" s="15">
        <f t="shared" si="36"/>
        <v>3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0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0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2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2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</v>
      </c>
      <c r="N84" s="50">
        <v>0</v>
      </c>
      <c r="O84" s="15">
        <f t="shared" si="35"/>
        <v>0</v>
      </c>
      <c r="P84" s="15">
        <f t="shared" si="36"/>
        <v>1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1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3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3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1</v>
      </c>
      <c r="J90" s="50">
        <v>1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3</v>
      </c>
      <c r="P90" s="15">
        <f t="shared" si="36"/>
        <v>4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2</v>
      </c>
      <c r="J93" s="50">
        <v>0</v>
      </c>
      <c r="K93" s="50">
        <v>0</v>
      </c>
      <c r="L93" s="50">
        <v>0</v>
      </c>
      <c r="M93" s="50">
        <v>4</v>
      </c>
      <c r="N93" s="50">
        <v>0</v>
      </c>
      <c r="O93" s="15">
        <f t="shared" si="35"/>
        <v>2</v>
      </c>
      <c r="P93" s="15">
        <f t="shared" si="36"/>
        <v>6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1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1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0</v>
      </c>
      <c r="P95" s="15">
        <f t="shared" si="36"/>
        <v>0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2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2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2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3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1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0</v>
      </c>
      <c r="P100" s="15">
        <f t="shared" si="36"/>
        <v>0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1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6</v>
      </c>
      <c r="N101" s="50">
        <v>0</v>
      </c>
      <c r="O101" s="15">
        <f t="shared" si="35"/>
        <v>1</v>
      </c>
      <c r="P101" s="15">
        <f t="shared" si="36"/>
        <v>7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1</v>
      </c>
      <c r="E102" s="50">
        <v>0</v>
      </c>
      <c r="F102" s="50">
        <v>0</v>
      </c>
      <c r="G102" s="50">
        <v>0</v>
      </c>
      <c r="H102" s="50">
        <v>0</v>
      </c>
      <c r="I102" s="50">
        <v>3</v>
      </c>
      <c r="J102" s="50">
        <v>1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5</v>
      </c>
      <c r="P102" s="15">
        <f t="shared" si="36"/>
        <v>11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4</v>
      </c>
      <c r="N103" s="50">
        <v>0</v>
      </c>
      <c r="O103" s="15">
        <f t="shared" si="35"/>
        <v>1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2</v>
      </c>
      <c r="K104" s="50">
        <v>0</v>
      </c>
      <c r="L104" s="50">
        <v>0</v>
      </c>
      <c r="M104" s="50">
        <v>9</v>
      </c>
      <c r="N104" s="50">
        <v>0</v>
      </c>
      <c r="O104" s="15">
        <f t="shared" si="35"/>
        <v>2</v>
      </c>
      <c r="P104" s="15">
        <f t="shared" si="36"/>
        <v>11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7</v>
      </c>
      <c r="J105" s="50">
        <v>0</v>
      </c>
      <c r="K105" s="50">
        <v>0</v>
      </c>
      <c r="L105" s="50">
        <v>0</v>
      </c>
      <c r="M105" s="50">
        <v>4</v>
      </c>
      <c r="N105" s="50">
        <v>0</v>
      </c>
      <c r="O105" s="15">
        <f t="shared" si="35"/>
        <v>10</v>
      </c>
      <c r="P105" s="15">
        <f t="shared" si="36"/>
        <v>14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28</v>
      </c>
      <c r="D106" s="16">
        <f t="shared" ref="D106:P106" si="37">SUM(D10:D105)</f>
        <v>7</v>
      </c>
      <c r="E106" s="16">
        <f t="shared" si="37"/>
        <v>5</v>
      </c>
      <c r="F106" s="16">
        <f t="shared" si="37"/>
        <v>12</v>
      </c>
      <c r="G106" s="16">
        <f t="shared" si="37"/>
        <v>0</v>
      </c>
      <c r="H106" s="16">
        <f t="shared" si="37"/>
        <v>0</v>
      </c>
      <c r="I106" s="16">
        <f t="shared" si="37"/>
        <v>61</v>
      </c>
      <c r="J106" s="16">
        <f t="shared" si="37"/>
        <v>13</v>
      </c>
      <c r="K106" s="16">
        <f t="shared" si="37"/>
        <v>1</v>
      </c>
      <c r="L106" s="16">
        <f t="shared" si="37"/>
        <v>0</v>
      </c>
      <c r="M106" s="16">
        <f t="shared" si="37"/>
        <v>689</v>
      </c>
      <c r="N106" s="16">
        <f t="shared" si="37"/>
        <v>1</v>
      </c>
      <c r="O106" s="16">
        <f t="shared" si="37"/>
        <v>128</v>
      </c>
      <c r="P106" s="16">
        <f t="shared" si="37"/>
        <v>817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3.4271725826193387E-2</v>
      </c>
      <c r="D107" s="43">
        <f t="shared" si="38"/>
        <v>8.5679314565483469E-3</v>
      </c>
      <c r="E107" s="43">
        <f t="shared" si="38"/>
        <v>6.1199510403916772E-3</v>
      </c>
      <c r="F107" s="43">
        <f t="shared" si="38"/>
        <v>1.4687882496940025E-2</v>
      </c>
      <c r="G107" s="43">
        <f t="shared" si="38"/>
        <v>0</v>
      </c>
      <c r="H107" s="43">
        <f t="shared" si="38"/>
        <v>0</v>
      </c>
      <c r="I107" s="43">
        <f t="shared" si="38"/>
        <v>7.4663402692778463E-2</v>
      </c>
      <c r="J107" s="43">
        <f t="shared" si="38"/>
        <v>1.591187270501836E-2</v>
      </c>
      <c r="K107" s="43">
        <f t="shared" si="38"/>
        <v>1.2239902080783353E-3</v>
      </c>
      <c r="L107" s="43">
        <f t="shared" si="38"/>
        <v>0</v>
      </c>
      <c r="M107" s="43">
        <f t="shared" si="38"/>
        <v>0.84332925336597309</v>
      </c>
      <c r="N107" s="43">
        <f t="shared" si="38"/>
        <v>1.2239902080783353E-3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0.21875</v>
      </c>
      <c r="D108" s="44">
        <f t="shared" ref="D108:N108" si="39">D106/$O$106</f>
        <v>5.46875E-2</v>
      </c>
      <c r="E108" s="44">
        <f t="shared" si="39"/>
        <v>3.90625E-2</v>
      </c>
      <c r="F108" s="44">
        <f t="shared" si="39"/>
        <v>9.375E-2</v>
      </c>
      <c r="G108" s="44">
        <f t="shared" si="39"/>
        <v>0</v>
      </c>
      <c r="H108" s="44">
        <f t="shared" si="39"/>
        <v>0</v>
      </c>
      <c r="I108" s="44">
        <f t="shared" si="39"/>
        <v>0.4765625</v>
      </c>
      <c r="J108" s="44">
        <f t="shared" si="39"/>
        <v>0.1015625</v>
      </c>
      <c r="K108" s="44">
        <f t="shared" si="39"/>
        <v>7.8125E-3</v>
      </c>
      <c r="L108" s="44">
        <f t="shared" si="39"/>
        <v>0</v>
      </c>
      <c r="M108" s="44"/>
      <c r="N108" s="44">
        <f t="shared" si="39"/>
        <v>7.8125E-3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F126"/>
  <sheetViews>
    <sheetView view="pageBreakPreview" topLeftCell="A37" zoomScale="60" workbookViewId="0">
      <selection activeCell="D57" sqref="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'17.10 Kyankwanzi-bukomero'!G5:H5</f>
        <v>bukomero</v>
      </c>
      <c r="H5" s="64"/>
      <c r="I5" s="14"/>
      <c r="J5" s="2" t="s">
        <v>5</v>
      </c>
      <c r="K5" s="63" t="str">
        <f>'17.10 Kyankwanzi-bukomero'!K5:L5</f>
        <v>kato joseph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Kyankwanzi-bukomero'!D6:E6</f>
        <v>kyankwanzi</v>
      </c>
      <c r="E6" s="64"/>
      <c r="F6" s="2" t="s">
        <v>2</v>
      </c>
      <c r="G6" s="63" t="str">
        <f>'17.10 Kyankwanzi-bukomero'!G6:H6</f>
        <v>bukomero</v>
      </c>
      <c r="H6" s="64"/>
      <c r="J6" s="2" t="s">
        <v>21</v>
      </c>
      <c r="K6" s="63" t="str">
        <f>'17.10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21</v>
      </c>
      <c r="AD10" s="17">
        <f t="shared" si="2"/>
        <v>0</v>
      </c>
      <c r="AE10" s="31">
        <f t="shared" si="2"/>
        <v>2</v>
      </c>
      <c r="AF10" s="31">
        <f t="shared" si="2"/>
        <v>23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29</v>
      </c>
      <c r="AD11" s="17">
        <f t="shared" si="3"/>
        <v>0</v>
      </c>
      <c r="AE11" s="31">
        <f t="shared" si="3"/>
        <v>5</v>
      </c>
      <c r="AF11" s="31">
        <f t="shared" si="3"/>
        <v>34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1</v>
      </c>
      <c r="P12" s="15">
        <f t="shared" si="1"/>
        <v>8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39</v>
      </c>
      <c r="AD12" s="17">
        <f t="shared" si="4"/>
        <v>0</v>
      </c>
      <c r="AE12" s="31">
        <f t="shared" si="4"/>
        <v>4</v>
      </c>
      <c r="AF12" s="31">
        <f t="shared" si="4"/>
        <v>43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5">
        <f t="shared" si="0"/>
        <v>0</v>
      </c>
      <c r="P13" s="15">
        <f t="shared" si="1"/>
        <v>10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47</v>
      </c>
      <c r="AD13" s="17">
        <f t="shared" si="5"/>
        <v>0</v>
      </c>
      <c r="AE13" s="31">
        <f t="shared" si="5"/>
        <v>6</v>
      </c>
      <c r="AF13" s="31">
        <f t="shared" si="5"/>
        <v>53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1</v>
      </c>
      <c r="P14" s="15">
        <f t="shared" si="1"/>
        <v>6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45</v>
      </c>
      <c r="AD14" s="17">
        <f t="shared" si="6"/>
        <v>0</v>
      </c>
      <c r="AE14" s="31">
        <f t="shared" si="6"/>
        <v>4</v>
      </c>
      <c r="AF14" s="31">
        <f t="shared" si="6"/>
        <v>49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0</v>
      </c>
      <c r="P15" s="15">
        <f t="shared" si="1"/>
        <v>7</v>
      </c>
      <c r="R15" s="1" t="s">
        <v>11</v>
      </c>
      <c r="S15" s="17">
        <f t="shared" ref="S15:AF15" si="7">SUM(C30:C33)</f>
        <v>2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48</v>
      </c>
      <c r="AD15" s="17">
        <f t="shared" si="7"/>
        <v>0</v>
      </c>
      <c r="AE15" s="31">
        <f t="shared" si="7"/>
        <v>4</v>
      </c>
      <c r="AF15" s="31">
        <f t="shared" si="7"/>
        <v>52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1</v>
      </c>
      <c r="P16" s="15">
        <f t="shared" si="1"/>
        <v>9</v>
      </c>
      <c r="R16" s="1" t="s">
        <v>12</v>
      </c>
      <c r="S16" s="17">
        <f t="shared" ref="S16:AF16" si="8">SUM(C34:C37)</f>
        <v>4</v>
      </c>
      <c r="T16" s="17">
        <f t="shared" si="8"/>
        <v>1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61</v>
      </c>
      <c r="AD16" s="17">
        <f t="shared" si="8"/>
        <v>0</v>
      </c>
      <c r="AE16" s="31">
        <f t="shared" si="8"/>
        <v>9</v>
      </c>
      <c r="AF16" s="31">
        <f t="shared" si="8"/>
        <v>70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3</v>
      </c>
      <c r="P17" s="15">
        <f t="shared" si="1"/>
        <v>12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1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74</v>
      </c>
      <c r="AD17" s="17">
        <f t="shared" si="9"/>
        <v>0</v>
      </c>
      <c r="AE17" s="31">
        <f t="shared" si="9"/>
        <v>5</v>
      </c>
      <c r="AF17" s="31">
        <f t="shared" si="9"/>
        <v>79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0</v>
      </c>
      <c r="P18" s="15">
        <f t="shared" si="1"/>
        <v>9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57</v>
      </c>
      <c r="AD18" s="17">
        <f t="shared" si="10"/>
        <v>0</v>
      </c>
      <c r="AE18" s="31">
        <f t="shared" si="10"/>
        <v>6</v>
      </c>
      <c r="AF18" s="31">
        <f t="shared" si="10"/>
        <v>63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1</v>
      </c>
      <c r="P19" s="15">
        <f t="shared" si="1"/>
        <v>12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65</v>
      </c>
      <c r="AD19" s="17">
        <f t="shared" si="11"/>
        <v>0</v>
      </c>
      <c r="AE19" s="31">
        <f t="shared" si="11"/>
        <v>4</v>
      </c>
      <c r="AF19" s="31">
        <f t="shared" si="11"/>
        <v>69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4</v>
      </c>
      <c r="N20" s="50">
        <v>0</v>
      </c>
      <c r="O20" s="15">
        <f t="shared" si="0"/>
        <v>2</v>
      </c>
      <c r="P20" s="15">
        <f t="shared" si="1"/>
        <v>6</v>
      </c>
      <c r="R20" s="1" t="s">
        <v>16</v>
      </c>
      <c r="S20" s="17">
        <f t="shared" ref="S20:AF20" si="12">SUM(C50:C53)</f>
        <v>2</v>
      </c>
      <c r="T20" s="17">
        <f t="shared" si="12"/>
        <v>0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53</v>
      </c>
      <c r="AD20" s="17">
        <f t="shared" si="12"/>
        <v>0</v>
      </c>
      <c r="AE20" s="31">
        <f t="shared" si="12"/>
        <v>8</v>
      </c>
      <c r="AF20" s="31">
        <f t="shared" si="12"/>
        <v>61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15</v>
      </c>
      <c r="N21" s="50">
        <v>0</v>
      </c>
      <c r="O21" s="15">
        <f t="shared" si="0"/>
        <v>1</v>
      </c>
      <c r="P21" s="15">
        <f t="shared" si="1"/>
        <v>16</v>
      </c>
      <c r="R21" s="36" t="s">
        <v>20</v>
      </c>
      <c r="S21" s="34">
        <f t="shared" ref="S21:AF21" si="13">SUM(C54:C57)</f>
        <v>7</v>
      </c>
      <c r="T21" s="17">
        <f t="shared" si="13"/>
        <v>1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39</v>
      </c>
      <c r="AD21" s="17">
        <f t="shared" si="13"/>
        <v>0</v>
      </c>
      <c r="AE21" s="31">
        <f t="shared" si="13"/>
        <v>10</v>
      </c>
      <c r="AF21" s="31">
        <f t="shared" si="13"/>
        <v>49</v>
      </c>
    </row>
    <row r="22" spans="2:32" ht="23.1" customHeight="1" x14ac:dyDescent="0.25">
      <c r="B22" s="23" t="s">
        <v>49</v>
      </c>
      <c r="C22" s="50">
        <v>0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3</v>
      </c>
      <c r="P22" s="15">
        <f t="shared" si="1"/>
        <v>10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0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39</v>
      </c>
      <c r="AD22" s="39">
        <f t="shared" si="14"/>
        <v>0</v>
      </c>
      <c r="AE22" s="40">
        <f t="shared" si="14"/>
        <v>5</v>
      </c>
      <c r="AF22" s="40">
        <f t="shared" si="14"/>
        <v>43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1</v>
      </c>
      <c r="P23" s="15">
        <f t="shared" si="1"/>
        <v>11</v>
      </c>
      <c r="R23" s="38" t="s">
        <v>91</v>
      </c>
      <c r="S23" s="39">
        <f>MAX(S13:S18)</f>
        <v>4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4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74</v>
      </c>
      <c r="AD23" s="39">
        <f t="shared" si="15"/>
        <v>0</v>
      </c>
      <c r="AE23" s="40">
        <f t="shared" si="15"/>
        <v>9</v>
      </c>
      <c r="AF23" s="40">
        <f t="shared" si="15"/>
        <v>79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18</v>
      </c>
      <c r="N24" s="50">
        <v>0</v>
      </c>
      <c r="O24" s="15">
        <f t="shared" si="0"/>
        <v>1</v>
      </c>
      <c r="P24" s="15">
        <f t="shared" si="1"/>
        <v>19</v>
      </c>
      <c r="R24" s="38" t="s">
        <v>92</v>
      </c>
      <c r="S24" s="39">
        <f>MAX(S19:S21)</f>
        <v>7</v>
      </c>
      <c r="T24" s="39">
        <f t="shared" ref="T24:AF24" si="16">MAX(T19:T21)</f>
        <v>1</v>
      </c>
      <c r="U24" s="39">
        <f t="shared" si="16"/>
        <v>1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65</v>
      </c>
      <c r="AD24" s="39">
        <f t="shared" si="16"/>
        <v>0</v>
      </c>
      <c r="AE24" s="40">
        <f t="shared" si="16"/>
        <v>10</v>
      </c>
      <c r="AF24" s="40">
        <f t="shared" si="16"/>
        <v>69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1</v>
      </c>
      <c r="P25" s="15">
        <f t="shared" si="1"/>
        <v>13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0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7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89</v>
      </c>
      <c r="AD25" s="16">
        <f t="shared" si="17"/>
        <v>0</v>
      </c>
      <c r="AE25" s="32">
        <f t="shared" si="17"/>
        <v>11</v>
      </c>
      <c r="AF25" s="32">
        <f t="shared" si="17"/>
        <v>100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2</v>
      </c>
      <c r="P26" s="15">
        <f t="shared" si="1"/>
        <v>16</v>
      </c>
      <c r="R26" s="28" t="s">
        <v>86</v>
      </c>
      <c r="S26" s="16">
        <f t="shared" ref="S26:AF26" si="18">SUM(S13:S18)</f>
        <v>12</v>
      </c>
      <c r="T26" s="16">
        <f t="shared" si="18"/>
        <v>3</v>
      </c>
      <c r="U26" s="16">
        <f t="shared" si="18"/>
        <v>1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15</v>
      </c>
      <c r="Z26" s="16">
        <f t="shared" si="18"/>
        <v>2</v>
      </c>
      <c r="AA26" s="16">
        <f t="shared" si="18"/>
        <v>0</v>
      </c>
      <c r="AB26" s="16">
        <f t="shared" si="18"/>
        <v>0</v>
      </c>
      <c r="AC26" s="16">
        <f t="shared" si="18"/>
        <v>332</v>
      </c>
      <c r="AD26" s="16">
        <f t="shared" si="18"/>
        <v>0</v>
      </c>
      <c r="AE26" s="32">
        <f t="shared" si="18"/>
        <v>34</v>
      </c>
      <c r="AF26" s="32">
        <f t="shared" si="18"/>
        <v>366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1</v>
      </c>
      <c r="P27" s="15">
        <f t="shared" si="1"/>
        <v>11</v>
      </c>
      <c r="R27" s="29" t="s">
        <v>87</v>
      </c>
      <c r="S27" s="16">
        <f t="shared" ref="S27:AF27" si="19">SUM(S19:S21)</f>
        <v>9</v>
      </c>
      <c r="T27" s="16">
        <f t="shared" si="19"/>
        <v>1</v>
      </c>
      <c r="U27" s="16">
        <f t="shared" si="19"/>
        <v>1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8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157</v>
      </c>
      <c r="AD27" s="16">
        <f t="shared" si="19"/>
        <v>0</v>
      </c>
      <c r="AE27" s="32">
        <f t="shared" si="19"/>
        <v>22</v>
      </c>
      <c r="AF27" s="32">
        <f t="shared" si="19"/>
        <v>179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1</v>
      </c>
      <c r="P28" s="15">
        <f t="shared" si="1"/>
        <v>15</v>
      </c>
      <c r="R28" s="5" t="s">
        <v>17</v>
      </c>
      <c r="S28" s="16">
        <f t="shared" ref="S28:AF28" si="20">SUM(S10:S21)</f>
        <v>25</v>
      </c>
      <c r="T28" s="16">
        <f t="shared" si="20"/>
        <v>4</v>
      </c>
      <c r="U28" s="16">
        <f t="shared" si="20"/>
        <v>2</v>
      </c>
      <c r="V28" s="16">
        <f t="shared" si="20"/>
        <v>2</v>
      </c>
      <c r="W28" s="16">
        <f t="shared" si="20"/>
        <v>0</v>
      </c>
      <c r="X28" s="16">
        <f t="shared" si="20"/>
        <v>0</v>
      </c>
      <c r="Y28" s="16">
        <f t="shared" si="20"/>
        <v>30</v>
      </c>
      <c r="Z28" s="16">
        <f t="shared" si="20"/>
        <v>4</v>
      </c>
      <c r="AA28" s="16">
        <f t="shared" si="20"/>
        <v>0</v>
      </c>
      <c r="AB28" s="16">
        <f t="shared" si="20"/>
        <v>0</v>
      </c>
      <c r="AC28" s="16">
        <f t="shared" si="20"/>
        <v>578</v>
      </c>
      <c r="AD28" s="16">
        <f t="shared" si="20"/>
        <v>0</v>
      </c>
      <c r="AE28" s="32">
        <f t="shared" si="20"/>
        <v>67</v>
      </c>
      <c r="AF28" s="32">
        <f t="shared" si="20"/>
        <v>645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0</v>
      </c>
      <c r="P29" s="15">
        <f t="shared" si="1"/>
        <v>7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6</v>
      </c>
      <c r="N30" s="50">
        <v>0</v>
      </c>
      <c r="O30" s="15">
        <f t="shared" si="0"/>
        <v>0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13</v>
      </c>
      <c r="N31" s="50">
        <v>0</v>
      </c>
      <c r="O31" s="15">
        <f t="shared" si="0"/>
        <v>3</v>
      </c>
      <c r="P31" s="15">
        <f t="shared" si="1"/>
        <v>16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0</v>
      </c>
      <c r="P32" s="15">
        <f t="shared" si="1"/>
        <v>12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1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8</v>
      </c>
      <c r="N34" s="50">
        <v>0</v>
      </c>
      <c r="O34" s="15">
        <f t="shared" si="0"/>
        <v>1</v>
      </c>
      <c r="P34" s="15">
        <f t="shared" si="1"/>
        <v>9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18</v>
      </c>
      <c r="N35" s="50">
        <v>0</v>
      </c>
      <c r="O35" s="15">
        <f t="shared" si="0"/>
        <v>3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1</v>
      </c>
      <c r="D36" s="50">
        <v>1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2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1</v>
      </c>
      <c r="K37" s="50">
        <v>0</v>
      </c>
      <c r="L37" s="50">
        <v>0</v>
      </c>
      <c r="M37" s="50">
        <v>18</v>
      </c>
      <c r="N37" s="50">
        <v>0</v>
      </c>
      <c r="O37" s="15">
        <f t="shared" si="0"/>
        <v>3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0</v>
      </c>
      <c r="P38" s="15">
        <f t="shared" si="1"/>
        <v>13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22</v>
      </c>
      <c r="N39" s="50">
        <v>0</v>
      </c>
      <c r="O39" s="15">
        <f t="shared" si="0"/>
        <v>1</v>
      </c>
      <c r="P39" s="15">
        <f t="shared" si="1"/>
        <v>23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25</v>
      </c>
      <c r="N40" s="50">
        <v>0</v>
      </c>
      <c r="O40" s="15">
        <f t="shared" si="0"/>
        <v>1</v>
      </c>
      <c r="P40" s="15">
        <f t="shared" si="1"/>
        <v>26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3</v>
      </c>
      <c r="P41" s="15">
        <f t="shared" si="1"/>
        <v>17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18</v>
      </c>
      <c r="N42" s="50">
        <v>0</v>
      </c>
      <c r="O42" s="15">
        <f t="shared" si="0"/>
        <v>2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17</v>
      </c>
      <c r="N43" s="50">
        <v>0</v>
      </c>
      <c r="O43" s="15">
        <f t="shared" si="0"/>
        <v>0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2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12</v>
      </c>
      <c r="N45" s="50">
        <v>0</v>
      </c>
      <c r="O45" s="15">
        <f t="shared" si="0"/>
        <v>2</v>
      </c>
      <c r="P45" s="15">
        <f t="shared" si="1"/>
        <v>14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0</v>
      </c>
      <c r="P46" s="15">
        <f t="shared" si="1"/>
        <v>20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2</v>
      </c>
      <c r="P47" s="15">
        <f t="shared" si="1"/>
        <v>15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16</v>
      </c>
      <c r="N48" s="50">
        <v>0</v>
      </c>
      <c r="O48" s="15">
        <f t="shared" si="0"/>
        <v>1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1</v>
      </c>
      <c r="P49" s="15">
        <f t="shared" si="1"/>
        <v>17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1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18</v>
      </c>
      <c r="N51" s="50">
        <v>0</v>
      </c>
      <c r="O51" s="15">
        <f t="shared" si="0"/>
        <v>2</v>
      </c>
      <c r="P51" s="15">
        <f t="shared" si="1"/>
        <v>20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11</v>
      </c>
      <c r="N52" s="50">
        <v>0</v>
      </c>
      <c r="O52" s="15">
        <f t="shared" si="0"/>
        <v>2</v>
      </c>
      <c r="P52" s="15">
        <f t="shared" si="1"/>
        <v>13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3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2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5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1</v>
      </c>
      <c r="P56" s="15">
        <f t="shared" si="1"/>
        <v>10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2</v>
      </c>
      <c r="P57" s="15">
        <f t="shared" si="1"/>
        <v>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25</v>
      </c>
      <c r="D58" s="16">
        <f t="shared" si="21"/>
        <v>4</v>
      </c>
      <c r="E58" s="16">
        <f t="shared" si="21"/>
        <v>2</v>
      </c>
      <c r="F58" s="16">
        <f t="shared" si="21"/>
        <v>2</v>
      </c>
      <c r="G58" s="16">
        <f t="shared" si="21"/>
        <v>0</v>
      </c>
      <c r="H58" s="16">
        <f t="shared" si="21"/>
        <v>0</v>
      </c>
      <c r="I58" s="16">
        <f t="shared" si="21"/>
        <v>30</v>
      </c>
      <c r="J58" s="16">
        <f t="shared" si="21"/>
        <v>4</v>
      </c>
      <c r="K58" s="16">
        <f t="shared" si="21"/>
        <v>0</v>
      </c>
      <c r="L58" s="16">
        <f t="shared" si="21"/>
        <v>0</v>
      </c>
      <c r="M58" s="16">
        <f t="shared" si="21"/>
        <v>578</v>
      </c>
      <c r="N58" s="16">
        <f t="shared" si="21"/>
        <v>0</v>
      </c>
      <c r="O58" s="16">
        <f t="shared" si="21"/>
        <v>67</v>
      </c>
      <c r="P58" s="16">
        <f t="shared" si="21"/>
        <v>645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3.875968992248062E-2</v>
      </c>
      <c r="D59" s="43">
        <f t="shared" si="22"/>
        <v>6.2015503875968991E-3</v>
      </c>
      <c r="E59" s="43">
        <f t="shared" si="22"/>
        <v>3.1007751937984496E-3</v>
      </c>
      <c r="F59" s="43">
        <f t="shared" si="22"/>
        <v>3.1007751937984496E-3</v>
      </c>
      <c r="G59" s="43">
        <f t="shared" si="22"/>
        <v>0</v>
      </c>
      <c r="H59" s="43">
        <f t="shared" si="22"/>
        <v>0</v>
      </c>
      <c r="I59" s="43">
        <f t="shared" si="22"/>
        <v>4.6511627906976744E-2</v>
      </c>
      <c r="J59" s="43">
        <f t="shared" si="22"/>
        <v>6.2015503875968991E-3</v>
      </c>
      <c r="K59" s="43">
        <f t="shared" si="22"/>
        <v>0</v>
      </c>
      <c r="L59" s="43">
        <f t="shared" si="22"/>
        <v>0</v>
      </c>
      <c r="M59" s="43">
        <f t="shared" si="22"/>
        <v>0.89612403100775195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0.37313432835820898</v>
      </c>
      <c r="D60" s="44">
        <f t="shared" ref="D60:N60" si="23">D58/$O$58</f>
        <v>5.9701492537313432E-2</v>
      </c>
      <c r="E60" s="44">
        <f t="shared" si="23"/>
        <v>2.9850746268656716E-2</v>
      </c>
      <c r="F60" s="44">
        <f t="shared" si="23"/>
        <v>2.9850746268656716E-2</v>
      </c>
      <c r="G60" s="44">
        <f t="shared" si="23"/>
        <v>0</v>
      </c>
      <c r="H60" s="44">
        <f t="shared" si="23"/>
        <v>0</v>
      </c>
      <c r="I60" s="44">
        <f t="shared" si="23"/>
        <v>0.44776119402985076</v>
      </c>
      <c r="J60" s="44">
        <f t="shared" si="23"/>
        <v>5.9701492537313432E-2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F126"/>
  <sheetViews>
    <sheetView view="pageBreakPreview" zoomScale="60" workbookViewId="0">
      <selection activeCell="C57" sqref="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bukomero-Kyankwanzi'!C3:G3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'20.10 Kyankwanzi-bukomero'!D5</f>
        <v>20.10.19</v>
      </c>
      <c r="E5" s="3"/>
      <c r="F5" s="41" t="s">
        <v>1</v>
      </c>
      <c r="G5" s="63" t="str">
        <f>'17.10 Kyankwanzi-bukomero'!G5:H5</f>
        <v>bukomero</v>
      </c>
      <c r="H5" s="64"/>
      <c r="I5" s="14"/>
      <c r="J5" s="2" t="s">
        <v>5</v>
      </c>
      <c r="K5" s="63" t="str">
        <f>'17.10 Kyankwanzi-bukomero'!K5:L5</f>
        <v>kato joseph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bukomero-Kyankwanzi'!D6:E6</f>
        <v>bukomero</v>
      </c>
      <c r="E6" s="64"/>
      <c r="F6" s="2" t="s">
        <v>2</v>
      </c>
      <c r="G6" s="63" t="str">
        <f>'17.10 bukomero-Kyankwanzi'!G6:H6</f>
        <v>kyankwanzi</v>
      </c>
      <c r="H6" s="64"/>
      <c r="J6" s="2" t="s">
        <v>21</v>
      </c>
      <c r="K6" s="63" t="str">
        <f>'17.10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21</v>
      </c>
      <c r="AD10" s="17">
        <f t="shared" si="2"/>
        <v>0</v>
      </c>
      <c r="AE10" s="31">
        <f t="shared" si="2"/>
        <v>4</v>
      </c>
      <c r="AF10" s="31">
        <f t="shared" si="2"/>
        <v>25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1</v>
      </c>
      <c r="P11" s="15">
        <f t="shared" si="1"/>
        <v>7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34</v>
      </c>
      <c r="AD11" s="17">
        <f t="shared" si="3"/>
        <v>0</v>
      </c>
      <c r="AE11" s="31">
        <f t="shared" si="3"/>
        <v>2</v>
      </c>
      <c r="AF11" s="31">
        <f t="shared" si="3"/>
        <v>36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0</v>
      </c>
      <c r="P12" s="15">
        <f t="shared" si="1"/>
        <v>3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37</v>
      </c>
      <c r="AD12" s="17">
        <f t="shared" si="4"/>
        <v>0</v>
      </c>
      <c r="AE12" s="31">
        <f t="shared" si="4"/>
        <v>6</v>
      </c>
      <c r="AF12" s="31">
        <f t="shared" si="4"/>
        <v>43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1</v>
      </c>
      <c r="P13" s="15">
        <f t="shared" si="1"/>
        <v>10</v>
      </c>
      <c r="R13" s="1" t="s">
        <v>9</v>
      </c>
      <c r="S13" s="17">
        <f t="shared" ref="S13:AF13" si="5">SUM(C22:C25)</f>
        <v>0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50</v>
      </c>
      <c r="AD13" s="17">
        <f t="shared" si="5"/>
        <v>0</v>
      </c>
      <c r="AE13" s="31">
        <f t="shared" si="5"/>
        <v>4</v>
      </c>
      <c r="AF13" s="31">
        <f t="shared" si="5"/>
        <v>54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0</v>
      </c>
      <c r="P14" s="15">
        <f t="shared" si="1"/>
        <v>8</v>
      </c>
      <c r="R14" s="1" t="s">
        <v>10</v>
      </c>
      <c r="S14" s="17">
        <f t="shared" ref="S14:AF14" si="6">SUM(C26:C29)</f>
        <v>2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48</v>
      </c>
      <c r="AD14" s="17">
        <f t="shared" si="6"/>
        <v>0</v>
      </c>
      <c r="AE14" s="31">
        <f t="shared" si="6"/>
        <v>4</v>
      </c>
      <c r="AF14" s="31">
        <f t="shared" si="6"/>
        <v>52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0</v>
      </c>
      <c r="P15" s="15">
        <f t="shared" si="1"/>
        <v>10</v>
      </c>
      <c r="R15" s="1" t="s">
        <v>11</v>
      </c>
      <c r="S15" s="17">
        <f t="shared" ref="S15:AF15" si="7">SUM(C30:C33)</f>
        <v>1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52</v>
      </c>
      <c r="AD15" s="17">
        <f t="shared" si="7"/>
        <v>0</v>
      </c>
      <c r="AE15" s="31">
        <f t="shared" si="7"/>
        <v>4</v>
      </c>
      <c r="AF15" s="31">
        <f t="shared" si="7"/>
        <v>56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1</v>
      </c>
      <c r="P16" s="15">
        <f t="shared" si="1"/>
        <v>8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53</v>
      </c>
      <c r="AD16" s="17">
        <f t="shared" si="8"/>
        <v>0</v>
      </c>
      <c r="AE16" s="31">
        <f t="shared" si="8"/>
        <v>3</v>
      </c>
      <c r="AF16" s="31">
        <f t="shared" si="8"/>
        <v>56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0</v>
      </c>
      <c r="M17" s="50">
        <v>9</v>
      </c>
      <c r="N17" s="50">
        <v>0</v>
      </c>
      <c r="O17" s="15">
        <f t="shared" si="0"/>
        <v>1</v>
      </c>
      <c r="P17" s="15">
        <f t="shared" si="1"/>
        <v>10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61</v>
      </c>
      <c r="AD17" s="17">
        <f t="shared" si="9"/>
        <v>0</v>
      </c>
      <c r="AE17" s="31">
        <f t="shared" si="9"/>
        <v>6</v>
      </c>
      <c r="AF17" s="31">
        <f t="shared" si="9"/>
        <v>67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3</v>
      </c>
      <c r="P18" s="15">
        <f t="shared" si="1"/>
        <v>12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63</v>
      </c>
      <c r="AD18" s="17">
        <f t="shared" si="10"/>
        <v>0</v>
      </c>
      <c r="AE18" s="31">
        <f t="shared" si="10"/>
        <v>6</v>
      </c>
      <c r="AF18" s="31">
        <f t="shared" si="10"/>
        <v>69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13</v>
      </c>
      <c r="N19" s="50">
        <v>0</v>
      </c>
      <c r="O19" s="15">
        <f t="shared" si="0"/>
        <v>0</v>
      </c>
      <c r="P19" s="15">
        <f t="shared" si="1"/>
        <v>13</v>
      </c>
      <c r="R19" s="1" t="s">
        <v>15</v>
      </c>
      <c r="S19" s="17">
        <f t="shared" ref="S19:AF19" si="11">SUM(C46:C49)</f>
        <v>0</v>
      </c>
      <c r="T19" s="17">
        <f t="shared" si="11"/>
        <v>0</v>
      </c>
      <c r="U19" s="17">
        <f t="shared" si="11"/>
        <v>1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60</v>
      </c>
      <c r="AD19" s="17">
        <f t="shared" si="11"/>
        <v>0</v>
      </c>
      <c r="AE19" s="31">
        <f t="shared" si="11"/>
        <v>3</v>
      </c>
      <c r="AF19" s="31">
        <f t="shared" si="11"/>
        <v>63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2</v>
      </c>
      <c r="P20" s="15">
        <f t="shared" si="1"/>
        <v>8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68</v>
      </c>
      <c r="AD20" s="17">
        <f t="shared" si="12"/>
        <v>0</v>
      </c>
      <c r="AE20" s="31">
        <f t="shared" si="12"/>
        <v>5</v>
      </c>
      <c r="AF20" s="31">
        <f t="shared" si="12"/>
        <v>73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1</v>
      </c>
      <c r="P21" s="15">
        <f t="shared" si="1"/>
        <v>10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52</v>
      </c>
      <c r="AD21" s="17">
        <f t="shared" si="13"/>
        <v>0</v>
      </c>
      <c r="AE21" s="31">
        <f t="shared" si="13"/>
        <v>12</v>
      </c>
      <c r="AF21" s="31">
        <f t="shared" si="13"/>
        <v>64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11</v>
      </c>
      <c r="N22" s="50">
        <v>0</v>
      </c>
      <c r="O22" s="15">
        <f t="shared" si="0"/>
        <v>1</v>
      </c>
      <c r="P22" s="15">
        <f t="shared" si="1"/>
        <v>12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0</v>
      </c>
      <c r="AA22" s="39">
        <f t="shared" si="14"/>
        <v>1</v>
      </c>
      <c r="AB22" s="39">
        <f t="shared" si="14"/>
        <v>0</v>
      </c>
      <c r="AC22" s="39">
        <f t="shared" si="14"/>
        <v>37</v>
      </c>
      <c r="AD22" s="39">
        <f t="shared" si="14"/>
        <v>0</v>
      </c>
      <c r="AE22" s="40">
        <f t="shared" si="14"/>
        <v>6</v>
      </c>
      <c r="AF22" s="40">
        <f t="shared" si="14"/>
        <v>43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10</v>
      </c>
      <c r="N23" s="50">
        <v>0</v>
      </c>
      <c r="O23" s="15">
        <f t="shared" si="0"/>
        <v>1</v>
      </c>
      <c r="P23" s="15">
        <f t="shared" si="1"/>
        <v>11</v>
      </c>
      <c r="R23" s="38" t="s">
        <v>91</v>
      </c>
      <c r="S23" s="39">
        <f>MAX(S13:S18)</f>
        <v>2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3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63</v>
      </c>
      <c r="AD23" s="39">
        <f t="shared" si="15"/>
        <v>0</v>
      </c>
      <c r="AE23" s="40">
        <f t="shared" si="15"/>
        <v>6</v>
      </c>
      <c r="AF23" s="40">
        <f t="shared" si="15"/>
        <v>69</v>
      </c>
    </row>
    <row r="24" spans="2:32" ht="23.1" customHeight="1" x14ac:dyDescent="0.25">
      <c r="B24" s="23" t="s">
        <v>51</v>
      </c>
      <c r="C24" s="50">
        <v>0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1</v>
      </c>
      <c r="P24" s="15">
        <f t="shared" si="1"/>
        <v>17</v>
      </c>
      <c r="R24" s="38" t="s">
        <v>92</v>
      </c>
      <c r="S24" s="39">
        <f>MAX(S19:S21)</f>
        <v>6</v>
      </c>
      <c r="T24" s="39">
        <f t="shared" ref="T24:AF24" si="16">MAX(T19:T21)</f>
        <v>0</v>
      </c>
      <c r="U24" s="39">
        <f t="shared" si="16"/>
        <v>2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3</v>
      </c>
      <c r="Z24" s="39">
        <f t="shared" si="16"/>
        <v>4</v>
      </c>
      <c r="AA24" s="39">
        <f t="shared" si="16"/>
        <v>0</v>
      </c>
      <c r="AB24" s="39">
        <f t="shared" si="16"/>
        <v>0</v>
      </c>
      <c r="AC24" s="39">
        <f t="shared" si="16"/>
        <v>68</v>
      </c>
      <c r="AD24" s="39">
        <f t="shared" si="16"/>
        <v>0</v>
      </c>
      <c r="AE24" s="40">
        <f t="shared" si="16"/>
        <v>12</v>
      </c>
      <c r="AF24" s="40">
        <f t="shared" si="16"/>
        <v>73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1</v>
      </c>
      <c r="P25" s="15">
        <f t="shared" si="1"/>
        <v>14</v>
      </c>
      <c r="R25" s="37" t="s">
        <v>85</v>
      </c>
      <c r="S25" s="35">
        <f t="shared" ref="S25:AF25" si="17">SUM(S10:S12)</f>
        <v>3</v>
      </c>
      <c r="T25" s="16">
        <f t="shared" si="17"/>
        <v>0</v>
      </c>
      <c r="U25" s="16">
        <f t="shared" si="17"/>
        <v>1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0</v>
      </c>
      <c r="AA25" s="16">
        <f t="shared" si="17"/>
        <v>1</v>
      </c>
      <c r="AB25" s="16">
        <f t="shared" si="17"/>
        <v>0</v>
      </c>
      <c r="AC25" s="16">
        <f t="shared" si="17"/>
        <v>92</v>
      </c>
      <c r="AD25" s="16">
        <f t="shared" si="17"/>
        <v>0</v>
      </c>
      <c r="AE25" s="32">
        <f t="shared" si="17"/>
        <v>12</v>
      </c>
      <c r="AF25" s="32">
        <f t="shared" si="17"/>
        <v>104</v>
      </c>
    </row>
    <row r="26" spans="2:32" ht="23.1" customHeight="1" x14ac:dyDescent="0.25">
      <c r="B26" s="23" t="s">
        <v>53</v>
      </c>
      <c r="C26" s="50">
        <v>0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1</v>
      </c>
      <c r="P26" s="15">
        <f t="shared" si="1"/>
        <v>13</v>
      </c>
      <c r="R26" s="28" t="s">
        <v>86</v>
      </c>
      <c r="S26" s="16">
        <f t="shared" ref="S26:AF26" si="18">SUM(S13:S18)</f>
        <v>7</v>
      </c>
      <c r="T26" s="16">
        <f t="shared" si="18"/>
        <v>4</v>
      </c>
      <c r="U26" s="16">
        <f t="shared" si="18"/>
        <v>3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10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327</v>
      </c>
      <c r="AD26" s="16">
        <f t="shared" si="18"/>
        <v>0</v>
      </c>
      <c r="AE26" s="32">
        <f t="shared" si="18"/>
        <v>27</v>
      </c>
      <c r="AF26" s="32">
        <f t="shared" si="18"/>
        <v>354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0</v>
      </c>
      <c r="P27" s="15">
        <f t="shared" si="1"/>
        <v>8</v>
      </c>
      <c r="R27" s="29" t="s">
        <v>87</v>
      </c>
      <c r="S27" s="16">
        <f t="shared" ref="S27:AF27" si="19">SUM(S19:S21)</f>
        <v>6</v>
      </c>
      <c r="T27" s="16">
        <f t="shared" si="19"/>
        <v>0</v>
      </c>
      <c r="U27" s="16">
        <f t="shared" si="19"/>
        <v>3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6</v>
      </c>
      <c r="Z27" s="16">
        <f t="shared" si="19"/>
        <v>4</v>
      </c>
      <c r="AA27" s="16">
        <f t="shared" si="19"/>
        <v>0</v>
      </c>
      <c r="AB27" s="16">
        <f t="shared" si="19"/>
        <v>0</v>
      </c>
      <c r="AC27" s="16">
        <f t="shared" si="19"/>
        <v>180</v>
      </c>
      <c r="AD27" s="16">
        <f t="shared" si="19"/>
        <v>0</v>
      </c>
      <c r="AE27" s="32">
        <f t="shared" si="19"/>
        <v>20</v>
      </c>
      <c r="AF27" s="32">
        <f t="shared" si="19"/>
        <v>200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1</v>
      </c>
      <c r="P28" s="15">
        <f t="shared" si="1"/>
        <v>11</v>
      </c>
      <c r="R28" s="5" t="s">
        <v>17</v>
      </c>
      <c r="S28" s="16">
        <f t="shared" ref="S28:AF28" si="20">SUM(S10:S21)</f>
        <v>16</v>
      </c>
      <c r="T28" s="16">
        <f t="shared" si="20"/>
        <v>4</v>
      </c>
      <c r="U28" s="16">
        <f t="shared" si="20"/>
        <v>7</v>
      </c>
      <c r="V28" s="16">
        <f t="shared" si="20"/>
        <v>4</v>
      </c>
      <c r="W28" s="16">
        <f t="shared" si="20"/>
        <v>0</v>
      </c>
      <c r="X28" s="16">
        <f t="shared" si="20"/>
        <v>0</v>
      </c>
      <c r="Y28" s="16">
        <f t="shared" si="20"/>
        <v>20</v>
      </c>
      <c r="Z28" s="16">
        <f t="shared" si="20"/>
        <v>7</v>
      </c>
      <c r="AA28" s="16">
        <f t="shared" si="20"/>
        <v>1</v>
      </c>
      <c r="AB28" s="16">
        <f t="shared" si="20"/>
        <v>0</v>
      </c>
      <c r="AC28" s="16">
        <f t="shared" si="20"/>
        <v>599</v>
      </c>
      <c r="AD28" s="16">
        <f t="shared" si="20"/>
        <v>0</v>
      </c>
      <c r="AE28" s="32">
        <f t="shared" si="20"/>
        <v>59</v>
      </c>
      <c r="AF28" s="32">
        <f t="shared" si="20"/>
        <v>658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2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14</v>
      </c>
      <c r="N30" s="50">
        <v>0</v>
      </c>
      <c r="O30" s="15">
        <f t="shared" si="0"/>
        <v>1</v>
      </c>
      <c r="P30" s="15">
        <f t="shared" si="1"/>
        <v>15</v>
      </c>
    </row>
    <row r="31" spans="2:32" ht="23.1" customHeight="1" x14ac:dyDescent="0.25">
      <c r="B31" s="24" t="s">
        <v>58</v>
      </c>
      <c r="C31" s="50">
        <v>0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13</v>
      </c>
      <c r="N31" s="50">
        <v>0</v>
      </c>
      <c r="O31" s="15">
        <f t="shared" si="0"/>
        <v>1</v>
      </c>
      <c r="P31" s="15">
        <f t="shared" si="1"/>
        <v>14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17</v>
      </c>
      <c r="N32" s="50">
        <v>0</v>
      </c>
      <c r="O32" s="15">
        <f t="shared" si="0"/>
        <v>1</v>
      </c>
      <c r="P32" s="15">
        <f t="shared" si="1"/>
        <v>18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8</v>
      </c>
      <c r="N33" s="50">
        <v>0</v>
      </c>
      <c r="O33" s="15">
        <f t="shared" si="0"/>
        <v>1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0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2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0</v>
      </c>
      <c r="P36" s="15">
        <f t="shared" si="1"/>
        <v>14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18</v>
      </c>
      <c r="N37" s="50">
        <v>0</v>
      </c>
      <c r="O37" s="15">
        <f t="shared" si="0"/>
        <v>1</v>
      </c>
      <c r="P37" s="15">
        <f t="shared" si="1"/>
        <v>19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14</v>
      </c>
      <c r="N38" s="50">
        <v>0</v>
      </c>
      <c r="O38" s="15">
        <f t="shared" si="0"/>
        <v>2</v>
      </c>
      <c r="P38" s="15">
        <f t="shared" si="1"/>
        <v>16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1</v>
      </c>
      <c r="P39" s="15">
        <f t="shared" si="1"/>
        <v>21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2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1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1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4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2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21</v>
      </c>
      <c r="N44" s="50">
        <v>0</v>
      </c>
      <c r="O44" s="15">
        <f t="shared" si="0"/>
        <v>0</v>
      </c>
      <c r="P44" s="15">
        <f t="shared" si="1"/>
        <v>21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0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0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1</v>
      </c>
      <c r="P47" s="15">
        <f t="shared" si="1"/>
        <v>16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20</v>
      </c>
      <c r="N48" s="50">
        <v>0</v>
      </c>
      <c r="O48" s="15">
        <f t="shared" si="0"/>
        <v>2</v>
      </c>
      <c r="P48" s="15">
        <f t="shared" si="1"/>
        <v>22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0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19</v>
      </c>
      <c r="N50" s="50">
        <v>0</v>
      </c>
      <c r="O50" s="15">
        <f t="shared" si="0"/>
        <v>0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1</v>
      </c>
      <c r="P51" s="15">
        <f t="shared" si="1"/>
        <v>12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4</v>
      </c>
      <c r="P52" s="15">
        <f t="shared" si="1"/>
        <v>19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23</v>
      </c>
      <c r="N53" s="50">
        <v>0</v>
      </c>
      <c r="O53" s="15">
        <f t="shared" si="0"/>
        <v>0</v>
      </c>
      <c r="P53" s="15">
        <f t="shared" si="1"/>
        <v>23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3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3</v>
      </c>
      <c r="P55" s="15">
        <f t="shared" si="1"/>
        <v>15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3</v>
      </c>
      <c r="P56" s="15">
        <f t="shared" si="1"/>
        <v>14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1</v>
      </c>
      <c r="K57" s="50">
        <v>0</v>
      </c>
      <c r="L57" s="50">
        <v>0</v>
      </c>
      <c r="M57" s="50">
        <v>11</v>
      </c>
      <c r="N57" s="50">
        <v>0</v>
      </c>
      <c r="O57" s="15">
        <f t="shared" si="0"/>
        <v>3</v>
      </c>
      <c r="P57" s="15">
        <f t="shared" si="1"/>
        <v>14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</v>
      </c>
      <c r="D58" s="16">
        <f t="shared" si="21"/>
        <v>4</v>
      </c>
      <c r="E58" s="16">
        <f t="shared" si="21"/>
        <v>7</v>
      </c>
      <c r="F58" s="16">
        <f t="shared" si="21"/>
        <v>4</v>
      </c>
      <c r="G58" s="16">
        <f t="shared" si="21"/>
        <v>0</v>
      </c>
      <c r="H58" s="16">
        <f t="shared" si="21"/>
        <v>0</v>
      </c>
      <c r="I58" s="16">
        <f t="shared" si="21"/>
        <v>20</v>
      </c>
      <c r="J58" s="16">
        <f t="shared" si="21"/>
        <v>7</v>
      </c>
      <c r="K58" s="16">
        <f t="shared" si="21"/>
        <v>1</v>
      </c>
      <c r="L58" s="16">
        <f t="shared" si="21"/>
        <v>0</v>
      </c>
      <c r="M58" s="16">
        <f t="shared" si="21"/>
        <v>599</v>
      </c>
      <c r="N58" s="16">
        <f t="shared" si="21"/>
        <v>0</v>
      </c>
      <c r="O58" s="16">
        <f t="shared" si="21"/>
        <v>59</v>
      </c>
      <c r="P58" s="16">
        <f t="shared" si="21"/>
        <v>658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2.4316109422492401E-2</v>
      </c>
      <c r="D59" s="43">
        <f t="shared" si="22"/>
        <v>6.0790273556231003E-3</v>
      </c>
      <c r="E59" s="43">
        <f t="shared" si="22"/>
        <v>1.0638297872340425E-2</v>
      </c>
      <c r="F59" s="43">
        <f t="shared" si="22"/>
        <v>6.0790273556231003E-3</v>
      </c>
      <c r="G59" s="43">
        <f t="shared" si="22"/>
        <v>0</v>
      </c>
      <c r="H59" s="43">
        <f t="shared" si="22"/>
        <v>0</v>
      </c>
      <c r="I59" s="43">
        <f t="shared" si="22"/>
        <v>3.0395136778115502E-2</v>
      </c>
      <c r="J59" s="43">
        <f t="shared" si="22"/>
        <v>1.0638297872340425E-2</v>
      </c>
      <c r="K59" s="43">
        <f t="shared" si="22"/>
        <v>1.5197568389057751E-3</v>
      </c>
      <c r="L59" s="43">
        <f t="shared" si="22"/>
        <v>0</v>
      </c>
      <c r="M59" s="43">
        <f t="shared" si="22"/>
        <v>0.91033434650455924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0.2711864406779661</v>
      </c>
      <c r="D60" s="44">
        <f t="shared" ref="D60:N60" si="23">D58/$O$58</f>
        <v>6.7796610169491525E-2</v>
      </c>
      <c r="E60" s="44">
        <f t="shared" si="23"/>
        <v>0.11864406779661017</v>
      </c>
      <c r="F60" s="44">
        <f t="shared" si="23"/>
        <v>6.7796610169491525E-2</v>
      </c>
      <c r="G60" s="44">
        <f t="shared" si="23"/>
        <v>0</v>
      </c>
      <c r="H60" s="44">
        <f t="shared" si="23"/>
        <v>0</v>
      </c>
      <c r="I60" s="44">
        <f t="shared" si="23"/>
        <v>0.33898305084745761</v>
      </c>
      <c r="J60" s="44">
        <f t="shared" si="23"/>
        <v>0.11864406779661017</v>
      </c>
      <c r="K60" s="44">
        <f t="shared" si="23"/>
        <v>1.6949152542372881E-2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</sheetPr>
  <dimension ref="B1:AF174"/>
  <sheetViews>
    <sheetView view="pageBreakPreview" topLeftCell="A52" zoomScale="60" workbookViewId="0">
      <selection activeCell="S104" sqref="S10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3" t="e">
        <f>'19.10 bukomero-Kyankwanzi-24h'!G5:H5</f>
        <v>#REF!</v>
      </c>
      <c r="H5" s="64"/>
      <c r="I5" s="14"/>
      <c r="J5" s="2" t="s">
        <v>5</v>
      </c>
      <c r="K5" s="63" t="e">
        <f>'19.10 bukomero-Kyankwanzi-24h'!K5:L5</f>
        <v>#REF!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Kyankwanzi-bukomero'!D6:E6</f>
        <v>kyankwanzi</v>
      </c>
      <c r="E6" s="64"/>
      <c r="F6" s="2" t="s">
        <v>2</v>
      </c>
      <c r="G6" s="63" t="str">
        <f>'17.10 Kyankwanzi-bukomero'!G6:H6</f>
        <v>bukomero</v>
      </c>
      <c r="H6" s="64"/>
      <c r="J6" s="2" t="s">
        <v>21</v>
      </c>
      <c r="K6" s="63" t="e">
        <f>'19.10 bukomero-Kyankwanzi-24h'!K6:L6</f>
        <v>#REF!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5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32</v>
      </c>
      <c r="AD10" s="17">
        <f t="shared" si="2"/>
        <v>0</v>
      </c>
      <c r="AE10" s="31">
        <f t="shared" si="2"/>
        <v>2</v>
      </c>
      <c r="AF10" s="31">
        <f t="shared" si="2"/>
        <v>34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0</v>
      </c>
      <c r="P11" s="15">
        <f t="shared" si="1"/>
        <v>4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31</v>
      </c>
      <c r="AD11" s="17">
        <f t="shared" si="3"/>
        <v>0</v>
      </c>
      <c r="AE11" s="31">
        <f t="shared" si="3"/>
        <v>4</v>
      </c>
      <c r="AF11" s="31">
        <f t="shared" si="3"/>
        <v>35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14</v>
      </c>
      <c r="N12" s="50">
        <v>0</v>
      </c>
      <c r="O12" s="15">
        <f t="shared" si="0"/>
        <v>0</v>
      </c>
      <c r="P12" s="15">
        <f t="shared" si="1"/>
        <v>14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29</v>
      </c>
      <c r="AD12" s="17">
        <f t="shared" si="4"/>
        <v>0</v>
      </c>
      <c r="AE12" s="31">
        <f t="shared" si="4"/>
        <v>8</v>
      </c>
      <c r="AF12" s="31">
        <f t="shared" si="4"/>
        <v>37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2</v>
      </c>
      <c r="P13" s="15">
        <f t="shared" si="1"/>
        <v>11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29</v>
      </c>
      <c r="AD13" s="17">
        <f t="shared" si="5"/>
        <v>0</v>
      </c>
      <c r="AE13" s="31">
        <f t="shared" si="5"/>
        <v>4</v>
      </c>
      <c r="AF13" s="31">
        <f t="shared" si="5"/>
        <v>33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1</v>
      </c>
      <c r="P14" s="15">
        <f t="shared" si="1"/>
        <v>9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3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45</v>
      </c>
      <c r="AD14" s="17">
        <f t="shared" si="6"/>
        <v>0</v>
      </c>
      <c r="AE14" s="31">
        <f t="shared" si="6"/>
        <v>5</v>
      </c>
      <c r="AF14" s="31">
        <f t="shared" si="6"/>
        <v>50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1</v>
      </c>
      <c r="P15" s="15">
        <f t="shared" si="1"/>
        <v>8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41</v>
      </c>
      <c r="AD15" s="17">
        <f t="shared" si="7"/>
        <v>0</v>
      </c>
      <c r="AE15" s="31">
        <f t="shared" si="7"/>
        <v>4</v>
      </c>
      <c r="AF15" s="31">
        <f t="shared" si="7"/>
        <v>45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1</v>
      </c>
      <c r="P16" s="15">
        <f t="shared" si="1"/>
        <v>8</v>
      </c>
      <c r="R16" s="1" t="s">
        <v>12</v>
      </c>
      <c r="S16" s="17">
        <f t="shared" ref="S16:AF16" si="8">SUM(C34:C37)</f>
        <v>2</v>
      </c>
      <c r="T16" s="17">
        <f t="shared" si="8"/>
        <v>2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53</v>
      </c>
      <c r="AD16" s="17">
        <f t="shared" si="8"/>
        <v>0</v>
      </c>
      <c r="AE16" s="31">
        <f t="shared" si="8"/>
        <v>7</v>
      </c>
      <c r="AF16" s="31">
        <f t="shared" si="8"/>
        <v>60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9</v>
      </c>
      <c r="N17" s="50">
        <v>0</v>
      </c>
      <c r="O17" s="15">
        <f t="shared" si="0"/>
        <v>1</v>
      </c>
      <c r="P17" s="15">
        <f t="shared" si="1"/>
        <v>10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37</v>
      </c>
      <c r="AD17" s="17">
        <f t="shared" si="9"/>
        <v>0</v>
      </c>
      <c r="AE17" s="31">
        <f t="shared" si="9"/>
        <v>7</v>
      </c>
      <c r="AF17" s="31">
        <f t="shared" si="9"/>
        <v>44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2</v>
      </c>
      <c r="P18" s="15">
        <f t="shared" si="1"/>
        <v>8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1</v>
      </c>
      <c r="AB18" s="17">
        <f t="shared" si="10"/>
        <v>0</v>
      </c>
      <c r="AC18" s="17">
        <f t="shared" si="10"/>
        <v>47</v>
      </c>
      <c r="AD18" s="17">
        <f t="shared" si="10"/>
        <v>0</v>
      </c>
      <c r="AE18" s="31">
        <f t="shared" si="10"/>
        <v>10</v>
      </c>
      <c r="AF18" s="31">
        <f t="shared" si="10"/>
        <v>57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2</v>
      </c>
      <c r="P19" s="15">
        <f t="shared" si="1"/>
        <v>7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39</v>
      </c>
      <c r="AD19" s="17">
        <f t="shared" si="11"/>
        <v>0</v>
      </c>
      <c r="AE19" s="31">
        <f t="shared" si="11"/>
        <v>6</v>
      </c>
      <c r="AF19" s="31">
        <f t="shared" si="11"/>
        <v>45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1</v>
      </c>
      <c r="P20" s="15">
        <f t="shared" si="1"/>
        <v>11</v>
      </c>
      <c r="R20" s="1" t="s">
        <v>16</v>
      </c>
      <c r="S20" s="17">
        <f t="shared" ref="S20:AF20" si="12">SUM(C50:C53)</f>
        <v>1</v>
      </c>
      <c r="T20" s="17">
        <f t="shared" si="12"/>
        <v>1</v>
      </c>
      <c r="U20" s="17">
        <f t="shared" si="12"/>
        <v>0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51</v>
      </c>
      <c r="AD20" s="17">
        <f t="shared" si="12"/>
        <v>0</v>
      </c>
      <c r="AE20" s="31">
        <f t="shared" si="12"/>
        <v>5</v>
      </c>
      <c r="AF20" s="31">
        <f t="shared" si="12"/>
        <v>56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3</v>
      </c>
      <c r="P21" s="15">
        <f t="shared" si="1"/>
        <v>11</v>
      </c>
      <c r="R21" s="36" t="s">
        <v>20</v>
      </c>
      <c r="S21" s="34">
        <f t="shared" ref="S21:AF21" si="13">SUM(C54:C57)</f>
        <v>1</v>
      </c>
      <c r="T21" s="17">
        <f t="shared" si="13"/>
        <v>0</v>
      </c>
      <c r="U21" s="17">
        <f t="shared" si="13"/>
        <v>1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56</v>
      </c>
      <c r="AD21" s="17">
        <f t="shared" si="13"/>
        <v>0</v>
      </c>
      <c r="AE21" s="31">
        <f t="shared" si="13"/>
        <v>4</v>
      </c>
      <c r="AF21" s="31">
        <f t="shared" si="13"/>
        <v>60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1</v>
      </c>
      <c r="P22" s="15">
        <f t="shared" si="1"/>
        <v>6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1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47</v>
      </c>
      <c r="AD22" s="34">
        <f t="shared" si="14"/>
        <v>0</v>
      </c>
      <c r="AE22" s="31">
        <f t="shared" si="14"/>
        <v>5</v>
      </c>
      <c r="AF22" s="31">
        <f t="shared" si="14"/>
        <v>52</v>
      </c>
    </row>
    <row r="23" spans="2:32" ht="23.1" customHeight="1" x14ac:dyDescent="0.25">
      <c r="B23" s="45" t="s">
        <v>50</v>
      </c>
      <c r="C23" s="50">
        <v>1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9</v>
      </c>
      <c r="N23" s="50">
        <v>0</v>
      </c>
      <c r="O23" s="15">
        <f t="shared" si="0"/>
        <v>2</v>
      </c>
      <c r="P23" s="15">
        <f t="shared" si="1"/>
        <v>11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44</v>
      </c>
      <c r="AD23" s="34">
        <f t="shared" si="15"/>
        <v>0</v>
      </c>
      <c r="AE23" s="31">
        <f t="shared" si="15"/>
        <v>3</v>
      </c>
      <c r="AF23" s="31">
        <f t="shared" si="15"/>
        <v>47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1</v>
      </c>
      <c r="P24" s="15">
        <f t="shared" si="1"/>
        <v>8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23</v>
      </c>
      <c r="AD24" s="34">
        <f t="shared" si="16"/>
        <v>0</v>
      </c>
      <c r="AE24" s="31">
        <f t="shared" si="16"/>
        <v>4</v>
      </c>
      <c r="AF24" s="31">
        <f t="shared" si="16"/>
        <v>27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8</v>
      </c>
      <c r="N25" s="50">
        <v>0</v>
      </c>
      <c r="O25" s="15">
        <f t="shared" si="0"/>
        <v>0</v>
      </c>
      <c r="P25" s="15">
        <f t="shared" si="1"/>
        <v>8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16</v>
      </c>
      <c r="AD25" s="34">
        <f t="shared" si="17"/>
        <v>0</v>
      </c>
      <c r="AE25" s="31">
        <f t="shared" si="17"/>
        <v>2</v>
      </c>
      <c r="AF25" s="31">
        <f t="shared" si="17"/>
        <v>18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9</v>
      </c>
      <c r="N26" s="50">
        <v>0</v>
      </c>
      <c r="O26" s="15">
        <f t="shared" si="0"/>
        <v>0</v>
      </c>
      <c r="P26" s="15">
        <f t="shared" si="1"/>
        <v>9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23</v>
      </c>
      <c r="AD26" s="34">
        <f t="shared" si="18"/>
        <v>0</v>
      </c>
      <c r="AE26" s="31">
        <f t="shared" si="18"/>
        <v>1</v>
      </c>
      <c r="AF26" s="31">
        <f t="shared" si="18"/>
        <v>24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12</v>
      </c>
      <c r="N27" s="50">
        <v>0</v>
      </c>
      <c r="O27" s="15">
        <f t="shared" si="0"/>
        <v>3</v>
      </c>
      <c r="P27" s="15">
        <f t="shared" si="1"/>
        <v>15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2</v>
      </c>
      <c r="AD27" s="34">
        <f t="shared" si="19"/>
        <v>0</v>
      </c>
      <c r="AE27" s="31">
        <f t="shared" si="19"/>
        <v>6</v>
      </c>
      <c r="AF27" s="31">
        <f t="shared" si="19"/>
        <v>8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0</v>
      </c>
      <c r="P28" s="15">
        <f t="shared" si="1"/>
        <v>9</v>
      </c>
      <c r="R28" s="36" t="s">
        <v>152</v>
      </c>
      <c r="S28" s="34">
        <f>SUM(C82:C85)</f>
        <v>3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5</v>
      </c>
      <c r="AD28" s="34">
        <f t="shared" si="20"/>
        <v>0</v>
      </c>
      <c r="AE28" s="31">
        <f t="shared" si="20"/>
        <v>8</v>
      </c>
      <c r="AF28" s="31">
        <f t="shared" si="20"/>
        <v>13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2</v>
      </c>
      <c r="P29" s="15">
        <f t="shared" si="1"/>
        <v>17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5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6</v>
      </c>
      <c r="AD29" s="34">
        <f t="shared" si="21"/>
        <v>0</v>
      </c>
      <c r="AE29" s="31">
        <f t="shared" si="21"/>
        <v>6</v>
      </c>
      <c r="AF29" s="31">
        <f t="shared" si="21"/>
        <v>12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0</v>
      </c>
      <c r="P30" s="15">
        <f t="shared" si="1"/>
        <v>9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4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6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1</v>
      </c>
      <c r="P31" s="15">
        <f t="shared" si="1"/>
        <v>17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3</v>
      </c>
      <c r="AF31" s="31">
        <f t="shared" si="23"/>
        <v>4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2</v>
      </c>
      <c r="P32" s="15">
        <f t="shared" si="1"/>
        <v>13</v>
      </c>
      <c r="R32" s="33" t="s">
        <v>156</v>
      </c>
      <c r="S32" s="34">
        <f>SUM(C98:C101)</f>
        <v>1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6</v>
      </c>
      <c r="Z32" s="34">
        <f t="shared" si="24"/>
        <v>4</v>
      </c>
      <c r="AA32" s="34">
        <f t="shared" si="24"/>
        <v>0</v>
      </c>
      <c r="AB32" s="34">
        <f t="shared" si="24"/>
        <v>0</v>
      </c>
      <c r="AC32" s="34">
        <f t="shared" si="24"/>
        <v>4</v>
      </c>
      <c r="AD32" s="34">
        <f t="shared" si="24"/>
        <v>0</v>
      </c>
      <c r="AE32" s="31">
        <f t="shared" si="24"/>
        <v>11</v>
      </c>
      <c r="AF32" s="31">
        <f t="shared" si="24"/>
        <v>15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1</v>
      </c>
      <c r="P33" s="15">
        <f t="shared" si="1"/>
        <v>6</v>
      </c>
      <c r="R33" s="33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6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13</v>
      </c>
      <c r="AD33" s="34">
        <f t="shared" si="25"/>
        <v>0</v>
      </c>
      <c r="AE33" s="31">
        <f t="shared" si="25"/>
        <v>9</v>
      </c>
      <c r="AF33" s="31">
        <f t="shared" si="25"/>
        <v>22</v>
      </c>
    </row>
    <row r="34" spans="2:32" ht="23.1" customHeight="1" x14ac:dyDescent="0.25">
      <c r="B34" s="46" t="s">
        <v>61</v>
      </c>
      <c r="C34" s="50">
        <v>0</v>
      </c>
      <c r="D34" s="50">
        <v>1</v>
      </c>
      <c r="E34" s="50">
        <v>1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4</v>
      </c>
      <c r="P34" s="15">
        <f t="shared" si="1"/>
        <v>13</v>
      </c>
      <c r="R34" s="38" t="s">
        <v>90</v>
      </c>
      <c r="S34" s="39">
        <f t="shared" ref="S34:AF34" si="26">MAX(S10:S12)</f>
        <v>2</v>
      </c>
      <c r="T34" s="39">
        <f t="shared" si="26"/>
        <v>0</v>
      </c>
      <c r="U34" s="39">
        <f t="shared" si="26"/>
        <v>0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6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32</v>
      </c>
      <c r="AD34" s="39">
        <f t="shared" si="26"/>
        <v>0</v>
      </c>
      <c r="AE34" s="40">
        <f t="shared" si="26"/>
        <v>8</v>
      </c>
      <c r="AF34" s="40">
        <f t="shared" si="26"/>
        <v>37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1</v>
      </c>
      <c r="P35" s="15">
        <f t="shared" si="1"/>
        <v>17</v>
      </c>
      <c r="R35" s="38" t="s">
        <v>91</v>
      </c>
      <c r="S35" s="39">
        <f t="shared" ref="S35:AF35" si="27">MAX(S13:S18)</f>
        <v>3</v>
      </c>
      <c r="T35" s="39">
        <f t="shared" si="27"/>
        <v>2</v>
      </c>
      <c r="U35" s="39">
        <f t="shared" si="27"/>
        <v>2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3</v>
      </c>
      <c r="Z35" s="39">
        <f t="shared" si="27"/>
        <v>0</v>
      </c>
      <c r="AA35" s="39">
        <f t="shared" si="27"/>
        <v>1</v>
      </c>
      <c r="AB35" s="39">
        <f t="shared" si="27"/>
        <v>0</v>
      </c>
      <c r="AC35" s="39">
        <f t="shared" si="27"/>
        <v>53</v>
      </c>
      <c r="AD35" s="39">
        <f t="shared" si="27"/>
        <v>0</v>
      </c>
      <c r="AE35" s="40">
        <f t="shared" si="27"/>
        <v>10</v>
      </c>
      <c r="AF35" s="40">
        <f t="shared" si="27"/>
        <v>60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1</v>
      </c>
      <c r="P36" s="15">
        <f t="shared" si="1"/>
        <v>8</v>
      </c>
      <c r="R36" s="38" t="s">
        <v>92</v>
      </c>
      <c r="S36" s="39">
        <f t="shared" ref="S36:AF36" si="28">MAX(S19:S21)</f>
        <v>3</v>
      </c>
      <c r="T36" s="39">
        <f t="shared" si="28"/>
        <v>1</v>
      </c>
      <c r="U36" s="39">
        <f t="shared" si="28"/>
        <v>1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2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56</v>
      </c>
      <c r="AD36" s="39">
        <f t="shared" si="28"/>
        <v>0</v>
      </c>
      <c r="AE36" s="40">
        <f t="shared" si="28"/>
        <v>6</v>
      </c>
      <c r="AF36" s="40">
        <f t="shared" si="28"/>
        <v>60</v>
      </c>
    </row>
    <row r="37" spans="2:32" ht="23.1" customHeight="1" x14ac:dyDescent="0.25">
      <c r="B37" s="45" t="s">
        <v>64</v>
      </c>
      <c r="C37" s="50">
        <v>0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21</v>
      </c>
      <c r="N37" s="50">
        <v>0</v>
      </c>
      <c r="O37" s="15">
        <f t="shared" si="0"/>
        <v>1</v>
      </c>
      <c r="P37" s="15">
        <f t="shared" si="1"/>
        <v>22</v>
      </c>
      <c r="R37" s="37" t="s">
        <v>85</v>
      </c>
      <c r="S37" s="35">
        <f t="shared" ref="S37:AF37" si="29">SUM(S10:S12)</f>
        <v>5</v>
      </c>
      <c r="T37" s="16">
        <f t="shared" si="29"/>
        <v>0</v>
      </c>
      <c r="U37" s="16">
        <f t="shared" si="29"/>
        <v>0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9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92</v>
      </c>
      <c r="AD37" s="16">
        <f t="shared" si="29"/>
        <v>0</v>
      </c>
      <c r="AE37" s="32">
        <f t="shared" si="29"/>
        <v>14</v>
      </c>
      <c r="AF37" s="32">
        <f t="shared" si="29"/>
        <v>106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0</v>
      </c>
      <c r="P38" s="15">
        <f t="shared" si="1"/>
        <v>10</v>
      </c>
      <c r="R38" s="28" t="s">
        <v>86</v>
      </c>
      <c r="S38" s="16">
        <f t="shared" ref="S38:AF38" si="30">SUM(S13:S18)</f>
        <v>14</v>
      </c>
      <c r="T38" s="16">
        <f t="shared" si="30"/>
        <v>2</v>
      </c>
      <c r="U38" s="16">
        <f t="shared" si="30"/>
        <v>5</v>
      </c>
      <c r="V38" s="16">
        <f t="shared" si="30"/>
        <v>1</v>
      </c>
      <c r="W38" s="16">
        <f t="shared" si="30"/>
        <v>0</v>
      </c>
      <c r="X38" s="16">
        <f t="shared" si="30"/>
        <v>0</v>
      </c>
      <c r="Y38" s="16">
        <f t="shared" si="30"/>
        <v>14</v>
      </c>
      <c r="Z38" s="16">
        <f t="shared" si="30"/>
        <v>0</v>
      </c>
      <c r="AA38" s="16">
        <f t="shared" si="30"/>
        <v>1</v>
      </c>
      <c r="AB38" s="16">
        <f t="shared" si="30"/>
        <v>0</v>
      </c>
      <c r="AC38" s="16">
        <f t="shared" si="30"/>
        <v>252</v>
      </c>
      <c r="AD38" s="16">
        <f t="shared" si="30"/>
        <v>0</v>
      </c>
      <c r="AE38" s="32">
        <f t="shared" si="30"/>
        <v>37</v>
      </c>
      <c r="AF38" s="32">
        <f t="shared" si="30"/>
        <v>289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5</v>
      </c>
      <c r="P39" s="15">
        <f t="shared" si="1"/>
        <v>14</v>
      </c>
      <c r="R39" s="29" t="s">
        <v>87</v>
      </c>
      <c r="S39" s="16">
        <f t="shared" ref="S39:AF39" si="31">SUM(S19:S21)</f>
        <v>5</v>
      </c>
      <c r="T39" s="16">
        <f t="shared" si="31"/>
        <v>1</v>
      </c>
      <c r="U39" s="16">
        <f t="shared" si="31"/>
        <v>1</v>
      </c>
      <c r="V39" s="16">
        <f t="shared" si="31"/>
        <v>1</v>
      </c>
      <c r="W39" s="16">
        <f t="shared" si="31"/>
        <v>0</v>
      </c>
      <c r="X39" s="16">
        <f t="shared" si="31"/>
        <v>0</v>
      </c>
      <c r="Y39" s="16">
        <f t="shared" si="31"/>
        <v>6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146</v>
      </c>
      <c r="AD39" s="16">
        <f t="shared" si="31"/>
        <v>0</v>
      </c>
      <c r="AE39" s="32">
        <f t="shared" si="31"/>
        <v>15</v>
      </c>
      <c r="AF39" s="32">
        <f t="shared" si="31"/>
        <v>161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0</v>
      </c>
      <c r="P40" s="15">
        <f t="shared" si="1"/>
        <v>6</v>
      </c>
      <c r="R40" s="5" t="s">
        <v>17</v>
      </c>
      <c r="S40" s="16">
        <f t="shared" ref="S40:AF40" si="32">SUM(S10:S21)</f>
        <v>24</v>
      </c>
      <c r="T40" s="16">
        <f t="shared" si="32"/>
        <v>3</v>
      </c>
      <c r="U40" s="16">
        <f t="shared" si="32"/>
        <v>6</v>
      </c>
      <c r="V40" s="16">
        <f t="shared" si="32"/>
        <v>2</v>
      </c>
      <c r="W40" s="16">
        <f t="shared" si="32"/>
        <v>0</v>
      </c>
      <c r="X40" s="16">
        <f t="shared" si="32"/>
        <v>0</v>
      </c>
      <c r="Y40" s="16">
        <f t="shared" si="32"/>
        <v>29</v>
      </c>
      <c r="Z40" s="16">
        <f t="shared" si="32"/>
        <v>1</v>
      </c>
      <c r="AA40" s="16">
        <f t="shared" si="32"/>
        <v>1</v>
      </c>
      <c r="AB40" s="16">
        <f t="shared" si="32"/>
        <v>0</v>
      </c>
      <c r="AC40" s="16">
        <f t="shared" si="32"/>
        <v>490</v>
      </c>
      <c r="AD40" s="16">
        <f t="shared" si="32"/>
        <v>0</v>
      </c>
      <c r="AE40" s="32">
        <f t="shared" si="32"/>
        <v>66</v>
      </c>
      <c r="AF40" s="32">
        <f t="shared" si="32"/>
        <v>556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2</v>
      </c>
      <c r="P41" s="15">
        <f t="shared" si="1"/>
        <v>14</v>
      </c>
      <c r="R41" s="5" t="s">
        <v>159</v>
      </c>
      <c r="S41" s="16">
        <f>SUM(S10:S33)</f>
        <v>32</v>
      </c>
      <c r="T41" s="16">
        <f t="shared" ref="T41:AF41" si="33">SUM(T10:T33)</f>
        <v>4</v>
      </c>
      <c r="U41" s="16">
        <f t="shared" si="33"/>
        <v>8</v>
      </c>
      <c r="V41" s="16">
        <f t="shared" si="33"/>
        <v>7</v>
      </c>
      <c r="W41" s="16">
        <f t="shared" si="33"/>
        <v>0</v>
      </c>
      <c r="X41" s="16">
        <f t="shared" si="33"/>
        <v>0</v>
      </c>
      <c r="Y41" s="16">
        <f t="shared" si="33"/>
        <v>65</v>
      </c>
      <c r="Z41" s="16">
        <f t="shared" si="33"/>
        <v>13</v>
      </c>
      <c r="AA41" s="16">
        <f t="shared" si="33"/>
        <v>1</v>
      </c>
      <c r="AB41" s="16">
        <f t="shared" si="33"/>
        <v>0</v>
      </c>
      <c r="AC41" s="16">
        <f t="shared" si="33"/>
        <v>675</v>
      </c>
      <c r="AD41" s="16">
        <f t="shared" si="33"/>
        <v>0</v>
      </c>
      <c r="AE41" s="32">
        <f t="shared" si="33"/>
        <v>130</v>
      </c>
      <c r="AF41" s="32">
        <f t="shared" si="33"/>
        <v>805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11</v>
      </c>
      <c r="N42" s="50">
        <v>0</v>
      </c>
      <c r="O42" s="15">
        <f t="shared" si="0"/>
        <v>3</v>
      </c>
      <c r="P42" s="15">
        <f t="shared" si="1"/>
        <v>14</v>
      </c>
      <c r="R42" s="5" t="s">
        <v>160</v>
      </c>
      <c r="S42" s="48">
        <f>S41/S40</f>
        <v>1.3333333333333333</v>
      </c>
      <c r="T42" s="48">
        <f t="shared" ref="T42:AF42" si="34">T41/T40</f>
        <v>1.3333333333333333</v>
      </c>
      <c r="U42" s="48">
        <f t="shared" si="34"/>
        <v>1.3333333333333333</v>
      </c>
      <c r="V42" s="48">
        <f t="shared" si="34"/>
        <v>3.5</v>
      </c>
      <c r="W42" s="48" t="e">
        <f t="shared" si="34"/>
        <v>#DIV/0!</v>
      </c>
      <c r="X42" s="48" t="e">
        <f t="shared" si="34"/>
        <v>#DIV/0!</v>
      </c>
      <c r="Y42" s="48">
        <f t="shared" si="34"/>
        <v>2.2413793103448274</v>
      </c>
      <c r="Z42" s="48">
        <f t="shared" si="34"/>
        <v>13</v>
      </c>
      <c r="AA42" s="48">
        <f t="shared" si="34"/>
        <v>1</v>
      </c>
      <c r="AB42" s="48" t="e">
        <f t="shared" si="34"/>
        <v>#DIV/0!</v>
      </c>
      <c r="AC42" s="48">
        <f t="shared" si="34"/>
        <v>1.3775510204081634</v>
      </c>
      <c r="AD42" s="48" t="e">
        <f t="shared" si="34"/>
        <v>#DIV/0!</v>
      </c>
      <c r="AE42" s="48">
        <f t="shared" si="34"/>
        <v>1.9696969696969697</v>
      </c>
      <c r="AF42" s="48">
        <f t="shared" si="34"/>
        <v>1.4478417266187051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17</v>
      </c>
      <c r="N43" s="50">
        <v>0</v>
      </c>
      <c r="O43" s="15">
        <f t="shared" si="0"/>
        <v>4</v>
      </c>
      <c r="P43" s="15">
        <f t="shared" si="1"/>
        <v>21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5">
        <f t="shared" si="0"/>
        <v>1</v>
      </c>
      <c r="P44" s="15">
        <f t="shared" si="1"/>
        <v>13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2</v>
      </c>
      <c r="P45" s="15">
        <f t="shared" si="1"/>
        <v>9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2</v>
      </c>
      <c r="P46" s="15">
        <f t="shared" si="1"/>
        <v>12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0</v>
      </c>
      <c r="P47" s="15">
        <f t="shared" si="1"/>
        <v>8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8</v>
      </c>
      <c r="N48" s="50">
        <v>0</v>
      </c>
      <c r="O48" s="15">
        <f t="shared" si="0"/>
        <v>2</v>
      </c>
      <c r="P48" s="15">
        <f t="shared" si="1"/>
        <v>10</v>
      </c>
      <c r="R48" s="8"/>
      <c r="T48"/>
    </row>
    <row r="49" spans="2:20" ht="23.1" customHeight="1" x14ac:dyDescent="0.25">
      <c r="B49" s="45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13</v>
      </c>
      <c r="N49" s="50">
        <v>0</v>
      </c>
      <c r="O49" s="15">
        <f t="shared" si="0"/>
        <v>2</v>
      </c>
      <c r="P49" s="15">
        <f t="shared" si="1"/>
        <v>15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16</v>
      </c>
      <c r="N50" s="50">
        <v>0</v>
      </c>
      <c r="O50" s="15">
        <f t="shared" si="0"/>
        <v>3</v>
      </c>
      <c r="P50" s="15">
        <f t="shared" si="1"/>
        <v>19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7</v>
      </c>
      <c r="N51" s="50">
        <v>0</v>
      </c>
      <c r="O51" s="15">
        <f t="shared" si="0"/>
        <v>1</v>
      </c>
      <c r="P51" s="15">
        <f t="shared" si="1"/>
        <v>8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0</v>
      </c>
      <c r="P52" s="15">
        <f t="shared" si="1"/>
        <v>9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19</v>
      </c>
      <c r="N53" s="50">
        <v>0</v>
      </c>
      <c r="O53" s="15">
        <f t="shared" si="0"/>
        <v>1</v>
      </c>
      <c r="P53" s="15">
        <f t="shared" si="1"/>
        <v>20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14</v>
      </c>
      <c r="N54" s="50">
        <v>0</v>
      </c>
      <c r="O54" s="15">
        <f t="shared" si="0"/>
        <v>0</v>
      </c>
      <c r="P54" s="15">
        <f t="shared" si="1"/>
        <v>14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15</v>
      </c>
      <c r="N55" s="50">
        <v>0</v>
      </c>
      <c r="O55" s="15">
        <f t="shared" si="0"/>
        <v>2</v>
      </c>
      <c r="P55" s="15">
        <f t="shared" si="1"/>
        <v>17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1</v>
      </c>
      <c r="P56" s="15">
        <f t="shared" si="1"/>
        <v>13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15</v>
      </c>
      <c r="N57" s="50">
        <v>0</v>
      </c>
      <c r="O57" s="15">
        <f t="shared" si="0"/>
        <v>1</v>
      </c>
      <c r="P57" s="15">
        <f t="shared" si="1"/>
        <v>16</v>
      </c>
      <c r="R57" s="8"/>
      <c r="T57"/>
    </row>
    <row r="58" spans="2:20" ht="23.1" customHeight="1" x14ac:dyDescent="0.25">
      <c r="B58" s="45" t="s">
        <v>99</v>
      </c>
      <c r="C58" s="50">
        <v>0</v>
      </c>
      <c r="D58" s="50">
        <v>0</v>
      </c>
      <c r="E58" s="50">
        <v>0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16</v>
      </c>
      <c r="N58" s="50">
        <v>0</v>
      </c>
      <c r="O58" s="15">
        <f t="shared" si="0"/>
        <v>1</v>
      </c>
      <c r="P58" s="15">
        <f t="shared" si="1"/>
        <v>17</v>
      </c>
      <c r="R58" s="8"/>
      <c r="T58"/>
    </row>
    <row r="59" spans="2:20" ht="23.1" customHeight="1" x14ac:dyDescent="0.25">
      <c r="B59" s="45" t="s">
        <v>100</v>
      </c>
      <c r="C59" s="50">
        <v>0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10</v>
      </c>
      <c r="N59" s="50">
        <v>0</v>
      </c>
      <c r="O59" s="15">
        <f t="shared" si="0"/>
        <v>2</v>
      </c>
      <c r="P59" s="15">
        <f t="shared" si="1"/>
        <v>12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13</v>
      </c>
      <c r="N60" s="50">
        <v>0</v>
      </c>
      <c r="O60" s="15">
        <f t="shared" si="0"/>
        <v>1</v>
      </c>
      <c r="P60" s="15">
        <f t="shared" si="1"/>
        <v>14</v>
      </c>
      <c r="R60" s="8"/>
      <c r="T60"/>
    </row>
    <row r="61" spans="2:20" ht="23.1" customHeight="1" x14ac:dyDescent="0.25">
      <c r="B61" s="45" t="s">
        <v>102</v>
      </c>
      <c r="C61" s="50">
        <v>0</v>
      </c>
      <c r="D61" s="50">
        <v>0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8</v>
      </c>
      <c r="N61" s="50">
        <v>0</v>
      </c>
      <c r="O61" s="15">
        <f t="shared" si="0"/>
        <v>1</v>
      </c>
      <c r="P61" s="15">
        <f t="shared" si="1"/>
        <v>9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11</v>
      </c>
      <c r="N62" s="50">
        <v>0</v>
      </c>
      <c r="O62" s="15">
        <f t="shared" si="0"/>
        <v>0</v>
      </c>
      <c r="P62" s="15">
        <f t="shared" si="1"/>
        <v>11</v>
      </c>
      <c r="R62" s="8"/>
      <c r="T62"/>
    </row>
    <row r="63" spans="2:20" ht="23.1" customHeight="1" x14ac:dyDescent="0.25">
      <c r="B63" s="45" t="s">
        <v>108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14</v>
      </c>
      <c r="N63" s="50">
        <v>0</v>
      </c>
      <c r="O63" s="15">
        <f t="shared" si="0"/>
        <v>1</v>
      </c>
      <c r="P63" s="15">
        <f t="shared" si="1"/>
        <v>15</v>
      </c>
      <c r="R63" s="8"/>
      <c r="T63"/>
    </row>
    <row r="64" spans="2:20" ht="23.1" customHeight="1" x14ac:dyDescent="0.25">
      <c r="B64" s="45" t="s">
        <v>109</v>
      </c>
      <c r="C64" s="50">
        <v>1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1</v>
      </c>
      <c r="K64" s="50">
        <v>0</v>
      </c>
      <c r="L64" s="50">
        <v>0</v>
      </c>
      <c r="M64" s="50">
        <v>10</v>
      </c>
      <c r="N64" s="50">
        <v>0</v>
      </c>
      <c r="O64" s="15">
        <f t="shared" si="0"/>
        <v>2</v>
      </c>
      <c r="P64" s="15">
        <f t="shared" si="1"/>
        <v>12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9</v>
      </c>
      <c r="N65" s="50">
        <v>0</v>
      </c>
      <c r="O65" s="15">
        <f t="shared" si="0"/>
        <v>0</v>
      </c>
      <c r="P65" s="15">
        <f t="shared" si="1"/>
        <v>9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7</v>
      </c>
      <c r="N66" s="50">
        <v>0</v>
      </c>
      <c r="O66" s="15">
        <f t="shared" si="0"/>
        <v>0</v>
      </c>
      <c r="P66" s="15">
        <f t="shared" si="1"/>
        <v>7</v>
      </c>
      <c r="R66" s="8"/>
      <c r="T66"/>
    </row>
    <row r="67" spans="2:20" ht="23.1" customHeight="1" x14ac:dyDescent="0.25">
      <c r="B67" s="45" t="s">
        <v>104</v>
      </c>
      <c r="C67" s="50">
        <v>1</v>
      </c>
      <c r="D67" s="50">
        <v>0</v>
      </c>
      <c r="E67" s="50">
        <v>0</v>
      </c>
      <c r="F67" s="50">
        <v>1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4</v>
      </c>
      <c r="N67" s="50">
        <v>0</v>
      </c>
      <c r="O67" s="15">
        <f t="shared" si="0"/>
        <v>3</v>
      </c>
      <c r="P67" s="15">
        <f t="shared" si="1"/>
        <v>7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5</v>
      </c>
      <c r="N68" s="50">
        <v>0</v>
      </c>
      <c r="O68" s="15">
        <f t="shared" si="0"/>
        <v>0</v>
      </c>
      <c r="P68" s="15">
        <f t="shared" si="1"/>
        <v>5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7</v>
      </c>
      <c r="N69" s="50">
        <v>0</v>
      </c>
      <c r="O69" s="15">
        <f t="shared" si="0"/>
        <v>1</v>
      </c>
      <c r="P69" s="15">
        <f t="shared" si="1"/>
        <v>8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5</v>
      </c>
      <c r="N70" s="50">
        <v>0</v>
      </c>
      <c r="O70" s="15">
        <f t="shared" si="0"/>
        <v>2</v>
      </c>
      <c r="P70" s="15">
        <f t="shared" si="1"/>
        <v>7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0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5</v>
      </c>
      <c r="N72" s="50">
        <v>0</v>
      </c>
      <c r="O72" s="15">
        <f t="shared" si="0"/>
        <v>0</v>
      </c>
      <c r="P72" s="15">
        <f t="shared" si="1"/>
        <v>5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0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5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5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5</v>
      </c>
      <c r="N75" s="50">
        <v>0</v>
      </c>
      <c r="O75" s="15">
        <f t="shared" si="35"/>
        <v>0</v>
      </c>
      <c r="P75" s="15">
        <f t="shared" si="36"/>
        <v>5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</v>
      </c>
      <c r="N76" s="50">
        <v>0</v>
      </c>
      <c r="O76" s="15">
        <f t="shared" si="35"/>
        <v>0</v>
      </c>
      <c r="P76" s="15">
        <f t="shared" si="36"/>
        <v>1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12</v>
      </c>
      <c r="N77" s="50">
        <v>0</v>
      </c>
      <c r="O77" s="15">
        <f t="shared" si="35"/>
        <v>1</v>
      </c>
      <c r="P77" s="15">
        <f t="shared" si="36"/>
        <v>13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3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3</v>
      </c>
      <c r="P78" s="15">
        <f t="shared" si="36"/>
        <v>5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1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1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1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3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5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2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3</v>
      </c>
      <c r="N85" s="50">
        <v>0</v>
      </c>
      <c r="O85" s="15">
        <f t="shared" si="35"/>
        <v>1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2</v>
      </c>
      <c r="J86" s="50">
        <v>1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3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5</v>
      </c>
      <c r="N87" s="50">
        <v>0</v>
      </c>
      <c r="O87" s="15">
        <f t="shared" si="35"/>
        <v>0</v>
      </c>
      <c r="P87" s="15">
        <f t="shared" si="36"/>
        <v>5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3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</v>
      </c>
      <c r="N89" s="50">
        <v>0</v>
      </c>
      <c r="O89" s="15">
        <f t="shared" si="35"/>
        <v>0</v>
      </c>
      <c r="P89" s="15">
        <f t="shared" si="36"/>
        <v>1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2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0</v>
      </c>
      <c r="P91" s="15">
        <f t="shared" si="36"/>
        <v>0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3</v>
      </c>
      <c r="J93" s="50">
        <v>1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4</v>
      </c>
      <c r="P93" s="15">
        <f t="shared" si="36"/>
        <v>4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0</v>
      </c>
      <c r="P94" s="15">
        <f t="shared" si="36"/>
        <v>1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2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2</v>
      </c>
      <c r="J98" s="50">
        <v>1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3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1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1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3</v>
      </c>
      <c r="K100" s="50">
        <v>0</v>
      </c>
      <c r="L100" s="50">
        <v>0</v>
      </c>
      <c r="M100" s="50">
        <v>0</v>
      </c>
      <c r="N100" s="50">
        <v>0</v>
      </c>
      <c r="O100" s="15">
        <f t="shared" si="35"/>
        <v>3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4</v>
      </c>
      <c r="J101" s="50">
        <v>0</v>
      </c>
      <c r="K101" s="50">
        <v>0</v>
      </c>
      <c r="L101" s="50">
        <v>0</v>
      </c>
      <c r="M101" s="50">
        <v>0</v>
      </c>
      <c r="N101" s="50">
        <v>0</v>
      </c>
      <c r="O101" s="15">
        <f t="shared" si="35"/>
        <v>4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1</v>
      </c>
      <c r="G102" s="50">
        <v>0</v>
      </c>
      <c r="H102" s="50">
        <v>0</v>
      </c>
      <c r="I102" s="50">
        <v>1</v>
      </c>
      <c r="J102" s="50">
        <v>0</v>
      </c>
      <c r="K102" s="50">
        <v>0</v>
      </c>
      <c r="L102" s="50">
        <v>0</v>
      </c>
      <c r="M102" s="50">
        <v>6</v>
      </c>
      <c r="N102" s="50">
        <v>0</v>
      </c>
      <c r="O102" s="15">
        <f t="shared" si="35"/>
        <v>2</v>
      </c>
      <c r="P102" s="15">
        <f t="shared" si="36"/>
        <v>8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1</v>
      </c>
      <c r="E103" s="50">
        <v>0</v>
      </c>
      <c r="F103" s="50">
        <v>0</v>
      </c>
      <c r="G103" s="50">
        <v>0</v>
      </c>
      <c r="H103" s="50">
        <v>0</v>
      </c>
      <c r="I103" s="50">
        <v>5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6</v>
      </c>
      <c r="P103" s="15">
        <f t="shared" si="36"/>
        <v>8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</v>
      </c>
      <c r="N104" s="50">
        <v>0</v>
      </c>
      <c r="O104" s="15">
        <f t="shared" si="35"/>
        <v>0</v>
      </c>
      <c r="P104" s="15">
        <f t="shared" si="36"/>
        <v>1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1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4</v>
      </c>
      <c r="N105" s="50">
        <v>0</v>
      </c>
      <c r="O105" s="15">
        <f t="shared" si="35"/>
        <v>1</v>
      </c>
      <c r="P105" s="15">
        <f t="shared" si="36"/>
        <v>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32</v>
      </c>
      <c r="D106" s="16">
        <f t="shared" ref="D106:P106" si="37">SUM(D10:D105)</f>
        <v>4</v>
      </c>
      <c r="E106" s="16">
        <f t="shared" si="37"/>
        <v>8</v>
      </c>
      <c r="F106" s="16">
        <f t="shared" si="37"/>
        <v>7</v>
      </c>
      <c r="G106" s="16">
        <f t="shared" si="37"/>
        <v>0</v>
      </c>
      <c r="H106" s="16">
        <f t="shared" si="37"/>
        <v>0</v>
      </c>
      <c r="I106" s="16">
        <f t="shared" si="37"/>
        <v>65</v>
      </c>
      <c r="J106" s="16">
        <f t="shared" si="37"/>
        <v>13</v>
      </c>
      <c r="K106" s="16">
        <f t="shared" si="37"/>
        <v>1</v>
      </c>
      <c r="L106" s="16">
        <f t="shared" si="37"/>
        <v>0</v>
      </c>
      <c r="M106" s="16">
        <f t="shared" si="37"/>
        <v>675</v>
      </c>
      <c r="N106" s="16">
        <f t="shared" si="37"/>
        <v>0</v>
      </c>
      <c r="O106" s="16">
        <f t="shared" si="37"/>
        <v>130</v>
      </c>
      <c r="P106" s="16">
        <f t="shared" si="37"/>
        <v>805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3.9751552795031057E-2</v>
      </c>
      <c r="D107" s="43">
        <f t="shared" si="38"/>
        <v>4.9689440993788822E-3</v>
      </c>
      <c r="E107" s="43">
        <f t="shared" si="38"/>
        <v>9.9378881987577643E-3</v>
      </c>
      <c r="F107" s="43">
        <f t="shared" si="38"/>
        <v>8.6956521739130436E-3</v>
      </c>
      <c r="G107" s="43">
        <f t="shared" si="38"/>
        <v>0</v>
      </c>
      <c r="H107" s="43">
        <f t="shared" si="38"/>
        <v>0</v>
      </c>
      <c r="I107" s="43">
        <f t="shared" si="38"/>
        <v>8.0745341614906832E-2</v>
      </c>
      <c r="J107" s="43">
        <f t="shared" si="38"/>
        <v>1.6149068322981366E-2</v>
      </c>
      <c r="K107" s="43">
        <f t="shared" si="38"/>
        <v>1.2422360248447205E-3</v>
      </c>
      <c r="L107" s="43">
        <f t="shared" si="38"/>
        <v>0</v>
      </c>
      <c r="M107" s="43">
        <f t="shared" si="38"/>
        <v>0.83850931677018636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0.24615384615384617</v>
      </c>
      <c r="D108" s="44">
        <f t="shared" ref="D108:N108" si="39">D106/$O$106</f>
        <v>3.0769230769230771E-2</v>
      </c>
      <c r="E108" s="44">
        <f t="shared" si="39"/>
        <v>6.1538461538461542E-2</v>
      </c>
      <c r="F108" s="44">
        <f t="shared" si="39"/>
        <v>5.3846153846153849E-2</v>
      </c>
      <c r="G108" s="44">
        <f t="shared" si="39"/>
        <v>0</v>
      </c>
      <c r="H108" s="44">
        <f t="shared" si="39"/>
        <v>0</v>
      </c>
      <c r="I108" s="44">
        <f t="shared" si="39"/>
        <v>0.5</v>
      </c>
      <c r="J108" s="44">
        <f t="shared" si="39"/>
        <v>0.1</v>
      </c>
      <c r="K108" s="44">
        <f t="shared" si="39"/>
        <v>7.6923076923076927E-3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</sheetPr>
  <dimension ref="B1:AF174"/>
  <sheetViews>
    <sheetView view="pageBreakPreview" topLeftCell="A43" zoomScale="60" workbookViewId="0">
      <selection activeCell="C10" sqref="C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'21.10 Kyankwanzi-bukomero-24h'!D5</f>
        <v>21.10.19</v>
      </c>
      <c r="E5" s="3"/>
      <c r="F5" s="41" t="s">
        <v>1</v>
      </c>
      <c r="G5" s="63" t="e">
        <f>'21.10 Kyankwanzi-bukomero-24h'!G5:H5</f>
        <v>#REF!</v>
      </c>
      <c r="H5" s="64"/>
      <c r="I5" s="14"/>
      <c r="J5" s="2" t="s">
        <v>5</v>
      </c>
      <c r="K5" s="63" t="e">
        <f>'21.10 Kyankwanzi-bukomero-24h'!K5:L5</f>
        <v>#REF!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bukomero-Kyankwanzi'!D6:E6</f>
        <v>bukomero</v>
      </c>
      <c r="E6" s="64"/>
      <c r="F6" s="2" t="s">
        <v>2</v>
      </c>
      <c r="G6" s="63" t="str">
        <f>'17.10 bukomero-Kyankwanzi'!G6:H6</f>
        <v>kyankwanzi</v>
      </c>
      <c r="H6" s="64"/>
      <c r="J6" s="2" t="s">
        <v>21</v>
      </c>
      <c r="K6" s="63" t="e">
        <f>'21.10 Kyankwanzi-bukomero-24h'!K6:L6</f>
        <v>#REF!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15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15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3</v>
      </c>
      <c r="AF10" s="31">
        <f t="shared" si="2"/>
        <v>46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5">
        <f t="shared" si="0"/>
        <v>2</v>
      </c>
      <c r="P11" s="15">
        <f t="shared" si="1"/>
        <v>13</v>
      </c>
      <c r="R11" s="1" t="s">
        <v>7</v>
      </c>
      <c r="S11" s="17">
        <f t="shared" ref="S11:AF11" si="3">SUM(C14:C17)</f>
        <v>2</v>
      </c>
      <c r="T11" s="17">
        <f t="shared" si="3"/>
        <v>1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29</v>
      </c>
      <c r="AD11" s="17">
        <f t="shared" si="3"/>
        <v>0</v>
      </c>
      <c r="AE11" s="31">
        <f t="shared" si="3"/>
        <v>5</v>
      </c>
      <c r="AF11" s="31">
        <f t="shared" si="3"/>
        <v>34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9</v>
      </c>
      <c r="N12" s="50">
        <v>0</v>
      </c>
      <c r="O12" s="15">
        <f t="shared" si="0"/>
        <v>1</v>
      </c>
      <c r="P12" s="15">
        <f t="shared" si="1"/>
        <v>10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35</v>
      </c>
      <c r="AD12" s="17">
        <f t="shared" si="4"/>
        <v>0</v>
      </c>
      <c r="AE12" s="31">
        <f t="shared" si="4"/>
        <v>4</v>
      </c>
      <c r="AF12" s="31">
        <f t="shared" si="4"/>
        <v>39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0</v>
      </c>
      <c r="P13" s="15">
        <f t="shared" si="1"/>
        <v>8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26</v>
      </c>
      <c r="AD13" s="17">
        <f t="shared" si="5"/>
        <v>0</v>
      </c>
      <c r="AE13" s="31">
        <f t="shared" si="5"/>
        <v>4</v>
      </c>
      <c r="AF13" s="31">
        <f t="shared" si="5"/>
        <v>30</v>
      </c>
    </row>
    <row r="14" spans="2:32" ht="23.1" customHeight="1" x14ac:dyDescent="0.25">
      <c r="B14" s="45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6</v>
      </c>
      <c r="N14" s="50">
        <v>0</v>
      </c>
      <c r="O14" s="15">
        <f t="shared" si="0"/>
        <v>2</v>
      </c>
      <c r="P14" s="15">
        <f t="shared" si="1"/>
        <v>8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42</v>
      </c>
      <c r="AD14" s="17">
        <f t="shared" si="6"/>
        <v>0</v>
      </c>
      <c r="AE14" s="31">
        <f t="shared" si="6"/>
        <v>6</v>
      </c>
      <c r="AF14" s="31">
        <f t="shared" si="6"/>
        <v>48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0</v>
      </c>
      <c r="P15" s="15">
        <f t="shared" si="1"/>
        <v>6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43</v>
      </c>
      <c r="AD15" s="17">
        <f t="shared" si="7"/>
        <v>0</v>
      </c>
      <c r="AE15" s="31">
        <f t="shared" si="7"/>
        <v>7</v>
      </c>
      <c r="AF15" s="31">
        <f t="shared" si="7"/>
        <v>50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9</v>
      </c>
      <c r="N16" s="50">
        <v>0</v>
      </c>
      <c r="O16" s="15">
        <f t="shared" si="0"/>
        <v>0</v>
      </c>
      <c r="P16" s="15">
        <f t="shared" si="1"/>
        <v>9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44</v>
      </c>
      <c r="AD16" s="17">
        <f t="shared" si="8"/>
        <v>0</v>
      </c>
      <c r="AE16" s="31">
        <f t="shared" si="8"/>
        <v>4</v>
      </c>
      <c r="AF16" s="31">
        <f t="shared" si="8"/>
        <v>48</v>
      </c>
    </row>
    <row r="17" spans="2:32" ht="23.1" customHeight="1" x14ac:dyDescent="0.25">
      <c r="B17" s="45" t="s">
        <v>44</v>
      </c>
      <c r="C17" s="50">
        <v>0</v>
      </c>
      <c r="D17" s="50">
        <v>1</v>
      </c>
      <c r="E17" s="50">
        <v>0</v>
      </c>
      <c r="F17" s="50">
        <v>2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8</v>
      </c>
      <c r="N17" s="50">
        <v>0</v>
      </c>
      <c r="O17" s="15">
        <f t="shared" si="0"/>
        <v>3</v>
      </c>
      <c r="P17" s="15">
        <f t="shared" si="1"/>
        <v>11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54</v>
      </c>
      <c r="AD17" s="17">
        <f t="shared" si="9"/>
        <v>0</v>
      </c>
      <c r="AE17" s="31">
        <f t="shared" si="9"/>
        <v>5</v>
      </c>
      <c r="AF17" s="31">
        <f t="shared" si="9"/>
        <v>59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1</v>
      </c>
      <c r="P18" s="15">
        <f t="shared" si="1"/>
        <v>12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49</v>
      </c>
      <c r="AD18" s="17">
        <f t="shared" si="10"/>
        <v>0</v>
      </c>
      <c r="AE18" s="31">
        <f t="shared" si="10"/>
        <v>7</v>
      </c>
      <c r="AF18" s="31">
        <f t="shared" si="10"/>
        <v>56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1</v>
      </c>
      <c r="P19" s="15">
        <f t="shared" si="1"/>
        <v>8</v>
      </c>
      <c r="R19" s="1" t="s">
        <v>15</v>
      </c>
      <c r="S19" s="17">
        <f t="shared" ref="S19:AF19" si="11">SUM(C46:C49)</f>
        <v>1</v>
      </c>
      <c r="T19" s="17">
        <f t="shared" si="11"/>
        <v>0</v>
      </c>
      <c r="U19" s="17">
        <f t="shared" si="11"/>
        <v>3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60</v>
      </c>
      <c r="AD19" s="17">
        <f t="shared" si="11"/>
        <v>0</v>
      </c>
      <c r="AE19" s="31">
        <f t="shared" si="11"/>
        <v>9</v>
      </c>
      <c r="AF19" s="31">
        <f t="shared" si="11"/>
        <v>69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0</v>
      </c>
      <c r="P20" s="15">
        <f t="shared" si="1"/>
        <v>11</v>
      </c>
      <c r="R20" s="1" t="s">
        <v>16</v>
      </c>
      <c r="S20" s="17">
        <f t="shared" ref="S20:AF20" si="12">SUM(C50:C53)</f>
        <v>0</v>
      </c>
      <c r="T20" s="17">
        <f t="shared" si="12"/>
        <v>1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61</v>
      </c>
      <c r="AD20" s="17">
        <f t="shared" si="12"/>
        <v>0</v>
      </c>
      <c r="AE20" s="31">
        <f t="shared" si="12"/>
        <v>5</v>
      </c>
      <c r="AF20" s="31">
        <f t="shared" si="12"/>
        <v>66</v>
      </c>
    </row>
    <row r="21" spans="2:32" ht="23.1" customHeight="1" x14ac:dyDescent="0.25">
      <c r="B21" s="45" t="s">
        <v>48</v>
      </c>
      <c r="C21" s="50">
        <v>1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2</v>
      </c>
      <c r="P21" s="15">
        <f t="shared" si="1"/>
        <v>8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61</v>
      </c>
      <c r="AD21" s="17">
        <f t="shared" si="13"/>
        <v>0</v>
      </c>
      <c r="AE21" s="31">
        <f t="shared" si="13"/>
        <v>8</v>
      </c>
      <c r="AF21" s="31">
        <f t="shared" si="13"/>
        <v>69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0</v>
      </c>
      <c r="P22" s="15">
        <f t="shared" si="1"/>
        <v>6</v>
      </c>
      <c r="R22" s="36" t="s">
        <v>146</v>
      </c>
      <c r="S22" s="34">
        <f>SUM(C58:C61)</f>
        <v>3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56</v>
      </c>
      <c r="AD22" s="34">
        <f t="shared" si="14"/>
        <v>0</v>
      </c>
      <c r="AE22" s="31">
        <f t="shared" si="14"/>
        <v>4</v>
      </c>
      <c r="AF22" s="31">
        <f t="shared" si="14"/>
        <v>60</v>
      </c>
    </row>
    <row r="23" spans="2:32" ht="23.1" customHeight="1" x14ac:dyDescent="0.25">
      <c r="B23" s="45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1</v>
      </c>
      <c r="P23" s="15">
        <f t="shared" si="1"/>
        <v>9</v>
      </c>
      <c r="R23" s="36" t="s">
        <v>147</v>
      </c>
      <c r="S23" s="34">
        <f>SUM(C62:C65)</f>
        <v>2</v>
      </c>
      <c r="T23" s="34">
        <f t="shared" ref="T23:AF23" si="15">SUM(D62:D65)</f>
        <v>1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1</v>
      </c>
      <c r="AA23" s="34">
        <f t="shared" si="15"/>
        <v>0</v>
      </c>
      <c r="AB23" s="34">
        <f t="shared" si="15"/>
        <v>0</v>
      </c>
      <c r="AC23" s="34">
        <f t="shared" si="15"/>
        <v>38</v>
      </c>
      <c r="AD23" s="34">
        <f t="shared" si="15"/>
        <v>0</v>
      </c>
      <c r="AE23" s="31">
        <f t="shared" si="15"/>
        <v>6</v>
      </c>
      <c r="AF23" s="31">
        <f t="shared" si="15"/>
        <v>44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0</v>
      </c>
      <c r="O24" s="15">
        <f t="shared" si="0"/>
        <v>1</v>
      </c>
      <c r="P24" s="15">
        <f t="shared" si="1"/>
        <v>4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1</v>
      </c>
      <c r="AB24" s="34">
        <f t="shared" si="16"/>
        <v>0</v>
      </c>
      <c r="AC24" s="34">
        <f t="shared" si="16"/>
        <v>22</v>
      </c>
      <c r="AD24" s="34">
        <f t="shared" si="16"/>
        <v>0</v>
      </c>
      <c r="AE24" s="31">
        <f t="shared" si="16"/>
        <v>4</v>
      </c>
      <c r="AF24" s="31">
        <f t="shared" si="16"/>
        <v>26</v>
      </c>
    </row>
    <row r="25" spans="2:32" ht="23.1" customHeight="1" x14ac:dyDescent="0.25">
      <c r="B25" s="45" t="s">
        <v>52</v>
      </c>
      <c r="C25" s="50">
        <v>0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2</v>
      </c>
      <c r="P25" s="15">
        <f t="shared" si="1"/>
        <v>11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15</v>
      </c>
      <c r="AD25" s="34">
        <f t="shared" si="17"/>
        <v>0</v>
      </c>
      <c r="AE25" s="31">
        <f t="shared" si="17"/>
        <v>4</v>
      </c>
      <c r="AF25" s="31">
        <f t="shared" si="17"/>
        <v>19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1</v>
      </c>
      <c r="P26" s="15">
        <f t="shared" si="1"/>
        <v>12</v>
      </c>
      <c r="R26" s="36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1</v>
      </c>
      <c r="AB26" s="34">
        <f t="shared" si="18"/>
        <v>0</v>
      </c>
      <c r="AC26" s="34">
        <f t="shared" si="18"/>
        <v>9</v>
      </c>
      <c r="AD26" s="34">
        <f t="shared" si="18"/>
        <v>0</v>
      </c>
      <c r="AE26" s="31">
        <f t="shared" si="18"/>
        <v>3</v>
      </c>
      <c r="AF26" s="31">
        <f t="shared" si="18"/>
        <v>12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2</v>
      </c>
      <c r="P27" s="15">
        <f t="shared" si="1"/>
        <v>10</v>
      </c>
      <c r="R27" s="36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5</v>
      </c>
      <c r="AD27" s="34">
        <f t="shared" si="19"/>
        <v>0</v>
      </c>
      <c r="AE27" s="31">
        <f t="shared" si="19"/>
        <v>1</v>
      </c>
      <c r="AF27" s="31">
        <f t="shared" si="19"/>
        <v>6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9</v>
      </c>
      <c r="N28" s="50">
        <v>0</v>
      </c>
      <c r="O28" s="15">
        <f t="shared" si="0"/>
        <v>1</v>
      </c>
      <c r="P28" s="15">
        <f t="shared" si="1"/>
        <v>10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2</v>
      </c>
      <c r="AF28" s="31">
        <f t="shared" si="20"/>
        <v>5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2</v>
      </c>
      <c r="P29" s="15">
        <f t="shared" si="1"/>
        <v>16</v>
      </c>
      <c r="R29" s="36" t="s">
        <v>153</v>
      </c>
      <c r="S29" s="34">
        <f>SUM(C86:C89)</f>
        <v>1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4</v>
      </c>
      <c r="AF29" s="31">
        <f t="shared" si="21"/>
        <v>4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0</v>
      </c>
      <c r="P30" s="15">
        <f t="shared" si="1"/>
        <v>12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0</v>
      </c>
      <c r="AD30" s="34">
        <f t="shared" si="22"/>
        <v>4</v>
      </c>
      <c r="AE30" s="31">
        <f t="shared" si="22"/>
        <v>7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0</v>
      </c>
      <c r="P31" s="15">
        <f t="shared" si="1"/>
        <v>11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3</v>
      </c>
      <c r="AF31" s="31">
        <f t="shared" si="23"/>
        <v>3</v>
      </c>
    </row>
    <row r="32" spans="2:32" ht="23.1" customHeight="1" x14ac:dyDescent="0.25">
      <c r="B32" s="46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3</v>
      </c>
      <c r="P32" s="15">
        <f t="shared" si="1"/>
        <v>14</v>
      </c>
      <c r="R32" s="33" t="s">
        <v>156</v>
      </c>
      <c r="S32" s="34">
        <f>SUM(C98:C101)</f>
        <v>0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10</v>
      </c>
      <c r="AD32" s="34">
        <f t="shared" si="24"/>
        <v>0</v>
      </c>
      <c r="AE32" s="31">
        <f t="shared" si="24"/>
        <v>3</v>
      </c>
      <c r="AF32" s="31">
        <f t="shared" si="24"/>
        <v>13</v>
      </c>
    </row>
    <row r="33" spans="2:32" ht="23.1" customHeight="1" x14ac:dyDescent="0.25">
      <c r="B33" s="45" t="s">
        <v>60</v>
      </c>
      <c r="C33" s="50">
        <v>2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9</v>
      </c>
      <c r="N33" s="50">
        <v>0</v>
      </c>
      <c r="O33" s="15">
        <f t="shared" si="0"/>
        <v>4</v>
      </c>
      <c r="P33" s="15">
        <f t="shared" si="1"/>
        <v>13</v>
      </c>
      <c r="R33" s="33" t="s">
        <v>157</v>
      </c>
      <c r="S33" s="34">
        <f>SUM(C102:C105)</f>
        <v>0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29</v>
      </c>
      <c r="AD33" s="34">
        <f t="shared" si="25"/>
        <v>0</v>
      </c>
      <c r="AE33" s="31">
        <f t="shared" si="25"/>
        <v>0</v>
      </c>
      <c r="AF33" s="31">
        <f t="shared" si="25"/>
        <v>29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14</v>
      </c>
      <c r="N34" s="50">
        <v>0</v>
      </c>
      <c r="O34" s="15">
        <f t="shared" si="0"/>
        <v>1</v>
      </c>
      <c r="P34" s="15">
        <f t="shared" si="1"/>
        <v>15</v>
      </c>
      <c r="R34" s="38" t="s">
        <v>90</v>
      </c>
      <c r="S34" s="39">
        <f t="shared" ref="S34:AF34" si="26">MAX(S10:S12)</f>
        <v>2</v>
      </c>
      <c r="T34" s="39">
        <f t="shared" si="26"/>
        <v>1</v>
      </c>
      <c r="U34" s="39">
        <f t="shared" si="26"/>
        <v>0</v>
      </c>
      <c r="V34" s="39">
        <f t="shared" si="26"/>
        <v>2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43</v>
      </c>
      <c r="AD34" s="39">
        <f t="shared" si="26"/>
        <v>0</v>
      </c>
      <c r="AE34" s="40">
        <f t="shared" si="26"/>
        <v>5</v>
      </c>
      <c r="AF34" s="40">
        <f t="shared" si="26"/>
        <v>46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8</v>
      </c>
      <c r="N35" s="50">
        <v>0</v>
      </c>
      <c r="O35" s="15">
        <f t="shared" si="0"/>
        <v>2</v>
      </c>
      <c r="P35" s="15">
        <f t="shared" si="1"/>
        <v>10</v>
      </c>
      <c r="R35" s="38" t="s">
        <v>91</v>
      </c>
      <c r="S35" s="39">
        <f t="shared" ref="S35:AF35" si="27">MAX(S13:S18)</f>
        <v>3</v>
      </c>
      <c r="T35" s="39">
        <f t="shared" si="27"/>
        <v>1</v>
      </c>
      <c r="U35" s="39">
        <f t="shared" si="27"/>
        <v>1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4</v>
      </c>
      <c r="Z35" s="39">
        <f t="shared" si="27"/>
        <v>1</v>
      </c>
      <c r="AA35" s="39">
        <f t="shared" si="27"/>
        <v>1</v>
      </c>
      <c r="AB35" s="39">
        <f t="shared" si="27"/>
        <v>0</v>
      </c>
      <c r="AC35" s="39">
        <f t="shared" si="27"/>
        <v>54</v>
      </c>
      <c r="AD35" s="39">
        <f t="shared" si="27"/>
        <v>0</v>
      </c>
      <c r="AE35" s="40">
        <f t="shared" si="27"/>
        <v>7</v>
      </c>
      <c r="AF35" s="40">
        <f t="shared" si="27"/>
        <v>59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1</v>
      </c>
      <c r="P36" s="15">
        <f t="shared" si="1"/>
        <v>10</v>
      </c>
      <c r="R36" s="38" t="s">
        <v>92</v>
      </c>
      <c r="S36" s="39">
        <f t="shared" ref="S36:AF36" si="28">MAX(S19:S21)</f>
        <v>2</v>
      </c>
      <c r="T36" s="39">
        <f t="shared" si="28"/>
        <v>1</v>
      </c>
      <c r="U36" s="39">
        <f t="shared" si="28"/>
        <v>3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4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61</v>
      </c>
      <c r="AD36" s="39">
        <f t="shared" si="28"/>
        <v>0</v>
      </c>
      <c r="AE36" s="40">
        <f t="shared" si="28"/>
        <v>9</v>
      </c>
      <c r="AF36" s="40">
        <f t="shared" si="28"/>
        <v>69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0</v>
      </c>
      <c r="P37" s="15">
        <f t="shared" si="1"/>
        <v>13</v>
      </c>
      <c r="R37" s="37" t="s">
        <v>85</v>
      </c>
      <c r="S37" s="35">
        <f t="shared" ref="S37:AF37" si="29">SUM(S10:S12)</f>
        <v>5</v>
      </c>
      <c r="T37" s="16">
        <f t="shared" si="29"/>
        <v>1</v>
      </c>
      <c r="U37" s="16">
        <f t="shared" si="29"/>
        <v>0</v>
      </c>
      <c r="V37" s="16">
        <f t="shared" si="29"/>
        <v>3</v>
      </c>
      <c r="W37" s="16">
        <f t="shared" si="29"/>
        <v>0</v>
      </c>
      <c r="X37" s="16">
        <f t="shared" si="29"/>
        <v>0</v>
      </c>
      <c r="Y37" s="16">
        <f t="shared" si="29"/>
        <v>3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107</v>
      </c>
      <c r="AD37" s="16">
        <f t="shared" si="29"/>
        <v>0</v>
      </c>
      <c r="AE37" s="32">
        <f t="shared" si="29"/>
        <v>12</v>
      </c>
      <c r="AF37" s="32">
        <f t="shared" si="29"/>
        <v>119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22</v>
      </c>
      <c r="N38" s="50">
        <v>0</v>
      </c>
      <c r="O38" s="15">
        <f t="shared" si="0"/>
        <v>0</v>
      </c>
      <c r="P38" s="15">
        <f t="shared" si="1"/>
        <v>22</v>
      </c>
      <c r="R38" s="28" t="s">
        <v>86</v>
      </c>
      <c r="S38" s="16">
        <f t="shared" ref="S38:AF38" si="30">SUM(S13:S18)</f>
        <v>9</v>
      </c>
      <c r="T38" s="16">
        <f t="shared" si="30"/>
        <v>1</v>
      </c>
      <c r="U38" s="16">
        <f t="shared" si="30"/>
        <v>2</v>
      </c>
      <c r="V38" s="16">
        <f t="shared" si="30"/>
        <v>1</v>
      </c>
      <c r="W38" s="16">
        <f t="shared" si="30"/>
        <v>0</v>
      </c>
      <c r="X38" s="16">
        <f t="shared" si="30"/>
        <v>0</v>
      </c>
      <c r="Y38" s="16">
        <f t="shared" si="30"/>
        <v>18</v>
      </c>
      <c r="Z38" s="16">
        <f t="shared" si="30"/>
        <v>1</v>
      </c>
      <c r="AA38" s="16">
        <f t="shared" si="30"/>
        <v>1</v>
      </c>
      <c r="AB38" s="16">
        <f t="shared" si="30"/>
        <v>0</v>
      </c>
      <c r="AC38" s="16">
        <f t="shared" si="30"/>
        <v>258</v>
      </c>
      <c r="AD38" s="16">
        <f t="shared" si="30"/>
        <v>0</v>
      </c>
      <c r="AE38" s="32">
        <f t="shared" si="30"/>
        <v>33</v>
      </c>
      <c r="AF38" s="32">
        <f t="shared" si="30"/>
        <v>291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2</v>
      </c>
      <c r="P39" s="15">
        <f t="shared" si="1"/>
        <v>13</v>
      </c>
      <c r="R39" s="29" t="s">
        <v>87</v>
      </c>
      <c r="S39" s="16">
        <f t="shared" ref="S39:AF39" si="31">SUM(S19:S21)</f>
        <v>3</v>
      </c>
      <c r="T39" s="16">
        <f t="shared" si="31"/>
        <v>1</v>
      </c>
      <c r="U39" s="16">
        <f t="shared" si="31"/>
        <v>6</v>
      </c>
      <c r="V39" s="16">
        <f t="shared" si="31"/>
        <v>2</v>
      </c>
      <c r="W39" s="16">
        <f t="shared" si="31"/>
        <v>0</v>
      </c>
      <c r="X39" s="16">
        <f t="shared" si="31"/>
        <v>0</v>
      </c>
      <c r="Y39" s="16">
        <f t="shared" si="31"/>
        <v>9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182</v>
      </c>
      <c r="AD39" s="16">
        <f t="shared" si="31"/>
        <v>0</v>
      </c>
      <c r="AE39" s="32">
        <f t="shared" si="31"/>
        <v>22</v>
      </c>
      <c r="AF39" s="32">
        <f t="shared" si="31"/>
        <v>204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1</v>
      </c>
      <c r="P40" s="15">
        <f t="shared" si="1"/>
        <v>9</v>
      </c>
      <c r="R40" s="5" t="s">
        <v>17</v>
      </c>
      <c r="S40" s="16">
        <f t="shared" ref="S40:AF40" si="32">SUM(S10:S21)</f>
        <v>17</v>
      </c>
      <c r="T40" s="16">
        <f t="shared" si="32"/>
        <v>3</v>
      </c>
      <c r="U40" s="16">
        <f t="shared" si="32"/>
        <v>8</v>
      </c>
      <c r="V40" s="16">
        <f t="shared" si="32"/>
        <v>6</v>
      </c>
      <c r="W40" s="16">
        <f t="shared" si="32"/>
        <v>0</v>
      </c>
      <c r="X40" s="16">
        <f t="shared" si="32"/>
        <v>0</v>
      </c>
      <c r="Y40" s="16">
        <f t="shared" si="32"/>
        <v>30</v>
      </c>
      <c r="Z40" s="16">
        <f t="shared" si="32"/>
        <v>2</v>
      </c>
      <c r="AA40" s="16">
        <f t="shared" si="32"/>
        <v>1</v>
      </c>
      <c r="AB40" s="16">
        <f t="shared" si="32"/>
        <v>0</v>
      </c>
      <c r="AC40" s="16">
        <f t="shared" si="32"/>
        <v>547</v>
      </c>
      <c r="AD40" s="16">
        <f t="shared" si="32"/>
        <v>0</v>
      </c>
      <c r="AE40" s="32">
        <f t="shared" si="32"/>
        <v>67</v>
      </c>
      <c r="AF40" s="32">
        <f t="shared" si="32"/>
        <v>614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2</v>
      </c>
      <c r="P41" s="15">
        <f t="shared" si="1"/>
        <v>15</v>
      </c>
      <c r="R41" s="5" t="s">
        <v>159</v>
      </c>
      <c r="S41" s="16">
        <f>SUM(S10:S33)</f>
        <v>25</v>
      </c>
      <c r="T41" s="16">
        <f t="shared" ref="T41:AF41" si="33">SUM(T10:T33)</f>
        <v>4</v>
      </c>
      <c r="U41" s="16">
        <f t="shared" si="33"/>
        <v>9</v>
      </c>
      <c r="V41" s="16">
        <f t="shared" si="33"/>
        <v>6</v>
      </c>
      <c r="W41" s="16">
        <f t="shared" si="33"/>
        <v>0</v>
      </c>
      <c r="X41" s="16">
        <f t="shared" si="33"/>
        <v>0</v>
      </c>
      <c r="Y41" s="16">
        <f t="shared" si="33"/>
        <v>52</v>
      </c>
      <c r="Z41" s="16">
        <f t="shared" si="33"/>
        <v>5</v>
      </c>
      <c r="AA41" s="16">
        <f t="shared" si="33"/>
        <v>3</v>
      </c>
      <c r="AB41" s="16">
        <f t="shared" si="33"/>
        <v>0</v>
      </c>
      <c r="AC41" s="16">
        <f t="shared" si="33"/>
        <v>734</v>
      </c>
      <c r="AD41" s="16">
        <f t="shared" si="33"/>
        <v>4</v>
      </c>
      <c r="AE41" s="32">
        <f t="shared" si="33"/>
        <v>108</v>
      </c>
      <c r="AF41" s="32">
        <f t="shared" si="33"/>
        <v>842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1</v>
      </c>
      <c r="P42" s="15">
        <f t="shared" si="1"/>
        <v>13</v>
      </c>
      <c r="R42" s="5" t="s">
        <v>160</v>
      </c>
      <c r="S42" s="48">
        <f>S41/S40</f>
        <v>1.4705882352941178</v>
      </c>
      <c r="T42" s="48">
        <f t="shared" ref="T42:AF42" si="34">T41/T40</f>
        <v>1.3333333333333333</v>
      </c>
      <c r="U42" s="48">
        <f t="shared" si="34"/>
        <v>1.125</v>
      </c>
      <c r="V42" s="48">
        <f t="shared" si="34"/>
        <v>1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1.7333333333333334</v>
      </c>
      <c r="Z42" s="48">
        <f t="shared" si="34"/>
        <v>2.5</v>
      </c>
      <c r="AA42" s="48">
        <f t="shared" si="34"/>
        <v>3</v>
      </c>
      <c r="AB42" s="48" t="e">
        <f t="shared" si="34"/>
        <v>#DIV/0!</v>
      </c>
      <c r="AC42" s="48">
        <f t="shared" si="34"/>
        <v>1.3418647166361974</v>
      </c>
      <c r="AD42" s="48" t="e">
        <f t="shared" si="34"/>
        <v>#DIV/0!</v>
      </c>
      <c r="AE42" s="48">
        <f t="shared" si="34"/>
        <v>1.6119402985074627</v>
      </c>
      <c r="AF42" s="48">
        <f t="shared" si="34"/>
        <v>1.3713355048859934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13</v>
      </c>
      <c r="N43" s="50">
        <v>0</v>
      </c>
      <c r="O43" s="15">
        <f t="shared" si="0"/>
        <v>3</v>
      </c>
      <c r="P43" s="15">
        <f t="shared" si="1"/>
        <v>16</v>
      </c>
    </row>
    <row r="44" spans="2:32" ht="23.1" customHeight="1" x14ac:dyDescent="0.25">
      <c r="B44" s="47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2</v>
      </c>
      <c r="P44" s="15">
        <f t="shared" si="1"/>
        <v>13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13</v>
      </c>
      <c r="N45" s="50">
        <v>0</v>
      </c>
      <c r="O45" s="15">
        <f t="shared" si="0"/>
        <v>1</v>
      </c>
      <c r="P45" s="15">
        <f t="shared" si="1"/>
        <v>14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12</v>
      </c>
      <c r="N46" s="50">
        <v>0</v>
      </c>
      <c r="O46" s="15">
        <f t="shared" si="0"/>
        <v>1</v>
      </c>
      <c r="P46" s="15">
        <f t="shared" si="1"/>
        <v>13</v>
      </c>
      <c r="R46" s="8"/>
      <c r="T46"/>
    </row>
    <row r="47" spans="2:32" ht="23.1" customHeight="1" x14ac:dyDescent="0.25">
      <c r="B47" s="46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3</v>
      </c>
      <c r="P47" s="15">
        <f t="shared" si="1"/>
        <v>19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22</v>
      </c>
      <c r="N48" s="50">
        <v>0</v>
      </c>
      <c r="O48" s="15">
        <f t="shared" si="0"/>
        <v>2</v>
      </c>
      <c r="P48" s="15">
        <f t="shared" si="1"/>
        <v>24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3</v>
      </c>
      <c r="P49" s="15">
        <f t="shared" si="1"/>
        <v>13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16</v>
      </c>
      <c r="N50" s="50">
        <v>0</v>
      </c>
      <c r="O50" s="15">
        <f t="shared" si="0"/>
        <v>0</v>
      </c>
      <c r="P50" s="15">
        <f t="shared" si="1"/>
        <v>16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1</v>
      </c>
      <c r="P51" s="15">
        <f t="shared" si="1"/>
        <v>21</v>
      </c>
      <c r="R51" s="8"/>
      <c r="T51"/>
    </row>
    <row r="52" spans="2:20" ht="23.1" customHeight="1" x14ac:dyDescent="0.25">
      <c r="B52" s="46" t="s">
        <v>79</v>
      </c>
      <c r="C52" s="50">
        <v>0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9</v>
      </c>
      <c r="N52" s="50">
        <v>0</v>
      </c>
      <c r="O52" s="15">
        <f t="shared" si="0"/>
        <v>2</v>
      </c>
      <c r="P52" s="15">
        <f t="shared" si="1"/>
        <v>11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16</v>
      </c>
      <c r="N53" s="50">
        <v>0</v>
      </c>
      <c r="O53" s="15">
        <f t="shared" si="0"/>
        <v>2</v>
      </c>
      <c r="P53" s="15">
        <f t="shared" si="1"/>
        <v>18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10</v>
      </c>
      <c r="N54" s="50">
        <v>0</v>
      </c>
      <c r="O54" s="15">
        <f t="shared" si="0"/>
        <v>1</v>
      </c>
      <c r="P54" s="15">
        <f t="shared" si="1"/>
        <v>11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13</v>
      </c>
      <c r="N55" s="50">
        <v>0</v>
      </c>
      <c r="O55" s="15">
        <f t="shared" si="0"/>
        <v>0</v>
      </c>
      <c r="P55" s="15">
        <f t="shared" si="1"/>
        <v>13</v>
      </c>
      <c r="R55" s="8"/>
      <c r="T55"/>
    </row>
    <row r="56" spans="2:20" ht="23.1" customHeight="1" x14ac:dyDescent="0.25">
      <c r="B56" s="45" t="s">
        <v>83</v>
      </c>
      <c r="C56" s="50">
        <v>2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22</v>
      </c>
      <c r="N56" s="50">
        <v>0</v>
      </c>
      <c r="O56" s="15">
        <f t="shared" si="0"/>
        <v>6</v>
      </c>
      <c r="P56" s="15">
        <f t="shared" si="1"/>
        <v>28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16</v>
      </c>
      <c r="N57" s="50">
        <v>0</v>
      </c>
      <c r="O57" s="15">
        <f t="shared" si="0"/>
        <v>1</v>
      </c>
      <c r="P57" s="15">
        <f t="shared" si="1"/>
        <v>17</v>
      </c>
      <c r="R57" s="8"/>
      <c r="T57"/>
    </row>
    <row r="58" spans="2:20" ht="23.1" customHeight="1" x14ac:dyDescent="0.25">
      <c r="B58" s="45" t="s">
        <v>99</v>
      </c>
      <c r="C58" s="50">
        <v>1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19</v>
      </c>
      <c r="N58" s="50">
        <v>0</v>
      </c>
      <c r="O58" s="15">
        <f t="shared" si="0"/>
        <v>1</v>
      </c>
      <c r="P58" s="15">
        <f t="shared" si="1"/>
        <v>20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13</v>
      </c>
      <c r="N59" s="50">
        <v>0</v>
      </c>
      <c r="O59" s="15">
        <f t="shared" si="0"/>
        <v>1</v>
      </c>
      <c r="P59" s="15">
        <f t="shared" si="1"/>
        <v>14</v>
      </c>
      <c r="R59" s="8"/>
      <c r="T59"/>
    </row>
    <row r="60" spans="2:20" ht="23.1" customHeight="1" x14ac:dyDescent="0.25">
      <c r="B60" s="45" t="s">
        <v>101</v>
      </c>
      <c r="C60" s="50">
        <v>0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9</v>
      </c>
      <c r="N60" s="50">
        <v>0</v>
      </c>
      <c r="O60" s="15">
        <f t="shared" si="0"/>
        <v>1</v>
      </c>
      <c r="P60" s="15">
        <f t="shared" si="1"/>
        <v>10</v>
      </c>
      <c r="R60" s="8"/>
      <c r="T60"/>
    </row>
    <row r="61" spans="2:20" ht="23.1" customHeight="1" x14ac:dyDescent="0.25">
      <c r="B61" s="45" t="s">
        <v>102</v>
      </c>
      <c r="C61" s="50">
        <v>1</v>
      </c>
      <c r="D61" s="50">
        <v>0</v>
      </c>
      <c r="E61" s="50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15</v>
      </c>
      <c r="N61" s="50">
        <v>0</v>
      </c>
      <c r="O61" s="15">
        <f t="shared" si="0"/>
        <v>1</v>
      </c>
      <c r="P61" s="15">
        <f t="shared" si="1"/>
        <v>16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11</v>
      </c>
      <c r="N62" s="50">
        <v>0</v>
      </c>
      <c r="O62" s="15">
        <f t="shared" si="0"/>
        <v>1</v>
      </c>
      <c r="P62" s="15">
        <f t="shared" si="1"/>
        <v>12</v>
      </c>
      <c r="R62" s="8"/>
      <c r="T62"/>
    </row>
    <row r="63" spans="2:20" ht="23.1" customHeight="1" x14ac:dyDescent="0.25">
      <c r="B63" s="45" t="s">
        <v>108</v>
      </c>
      <c r="C63" s="50">
        <v>1</v>
      </c>
      <c r="D63" s="50">
        <v>1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7</v>
      </c>
      <c r="N63" s="50">
        <v>0</v>
      </c>
      <c r="O63" s="15">
        <f t="shared" si="0"/>
        <v>2</v>
      </c>
      <c r="P63" s="15">
        <f t="shared" si="1"/>
        <v>9</v>
      </c>
      <c r="R63" s="8"/>
      <c r="T63"/>
    </row>
    <row r="64" spans="2:20" ht="23.1" customHeight="1" x14ac:dyDescent="0.25">
      <c r="B64" s="45" t="s">
        <v>109</v>
      </c>
      <c r="C64" s="50">
        <v>0</v>
      </c>
      <c r="D64" s="50">
        <v>0</v>
      </c>
      <c r="E64" s="50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14</v>
      </c>
      <c r="N64" s="50">
        <v>0</v>
      </c>
      <c r="O64" s="15">
        <f t="shared" si="0"/>
        <v>0</v>
      </c>
      <c r="P64" s="15">
        <f t="shared" si="1"/>
        <v>14</v>
      </c>
      <c r="R64" s="8"/>
      <c r="T64"/>
    </row>
    <row r="65" spans="2:20" ht="23.1" customHeight="1" x14ac:dyDescent="0.25">
      <c r="B65" s="45" t="s">
        <v>158</v>
      </c>
      <c r="C65" s="50">
        <v>1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0</v>
      </c>
      <c r="M65" s="50">
        <v>6</v>
      </c>
      <c r="N65" s="50">
        <v>0</v>
      </c>
      <c r="O65" s="15">
        <f t="shared" si="0"/>
        <v>3</v>
      </c>
      <c r="P65" s="15">
        <f t="shared" si="1"/>
        <v>9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1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10</v>
      </c>
      <c r="N66" s="50">
        <v>0</v>
      </c>
      <c r="O66" s="15">
        <f t="shared" si="0"/>
        <v>1</v>
      </c>
      <c r="P66" s="15">
        <f t="shared" si="1"/>
        <v>11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1</v>
      </c>
      <c r="L67" s="50">
        <v>0</v>
      </c>
      <c r="M67" s="50">
        <v>6</v>
      </c>
      <c r="N67" s="50">
        <v>0</v>
      </c>
      <c r="O67" s="15">
        <f t="shared" si="0"/>
        <v>2</v>
      </c>
      <c r="P67" s="15">
        <f t="shared" si="1"/>
        <v>8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1</v>
      </c>
      <c r="J68" s="50">
        <v>0</v>
      </c>
      <c r="K68" s="50">
        <v>0</v>
      </c>
      <c r="L68" s="50">
        <v>0</v>
      </c>
      <c r="M68" s="50">
        <v>3</v>
      </c>
      <c r="N68" s="50">
        <v>0</v>
      </c>
      <c r="O68" s="15">
        <f t="shared" si="0"/>
        <v>1</v>
      </c>
      <c r="P68" s="15">
        <f t="shared" si="1"/>
        <v>4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3</v>
      </c>
      <c r="N69" s="50">
        <v>0</v>
      </c>
      <c r="O69" s="15">
        <f t="shared" si="0"/>
        <v>0</v>
      </c>
      <c r="P69" s="15">
        <f t="shared" si="1"/>
        <v>3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4</v>
      </c>
      <c r="N70" s="50">
        <v>0</v>
      </c>
      <c r="O70" s="15">
        <f t="shared" si="0"/>
        <v>0</v>
      </c>
      <c r="P70" s="15">
        <f t="shared" si="1"/>
        <v>4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3</v>
      </c>
      <c r="N71" s="50">
        <v>0</v>
      </c>
      <c r="O71" s="15">
        <f t="shared" si="0"/>
        <v>0</v>
      </c>
      <c r="P71" s="15">
        <f t="shared" si="1"/>
        <v>3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5</v>
      </c>
      <c r="N72" s="50">
        <v>0</v>
      </c>
      <c r="O72" s="15">
        <f t="shared" si="0"/>
        <v>0</v>
      </c>
      <c r="P72" s="15">
        <f t="shared" si="1"/>
        <v>5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3</v>
      </c>
      <c r="N73" s="50">
        <v>0</v>
      </c>
      <c r="O73" s="15">
        <f t="shared" si="0"/>
        <v>4</v>
      </c>
      <c r="P73" s="15">
        <f t="shared" si="1"/>
        <v>7</v>
      </c>
      <c r="R73" s="8"/>
      <c r="T73"/>
    </row>
    <row r="74" spans="2:20" ht="23.1" customHeight="1" x14ac:dyDescent="0.25">
      <c r="B74" s="45" t="s">
        <v>114</v>
      </c>
      <c r="C74" s="50">
        <v>0</v>
      </c>
      <c r="D74" s="50">
        <v>0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2</v>
      </c>
      <c r="N74" s="50">
        <v>0</v>
      </c>
      <c r="O74" s="15">
        <f t="shared" ref="O74:O105" si="35">SUM(C74:L74,N74)</f>
        <v>0</v>
      </c>
      <c r="P74" s="15">
        <f t="shared" ref="P74:P105" si="36">SUM(C74:N74)</f>
        <v>2</v>
      </c>
      <c r="R74" s="8"/>
      <c r="T74"/>
    </row>
    <row r="75" spans="2:20" ht="23.1" customHeight="1" x14ac:dyDescent="0.25">
      <c r="B75" s="45" t="s">
        <v>115</v>
      </c>
      <c r="C75" s="50">
        <v>0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1</v>
      </c>
      <c r="J75" s="50">
        <v>0</v>
      </c>
      <c r="K75" s="50">
        <v>0</v>
      </c>
      <c r="L75" s="50">
        <v>0</v>
      </c>
      <c r="M75" s="50">
        <v>3</v>
      </c>
      <c r="N75" s="50">
        <v>0</v>
      </c>
      <c r="O75" s="15">
        <f t="shared" si="35"/>
        <v>1</v>
      </c>
      <c r="P75" s="15">
        <f t="shared" si="36"/>
        <v>4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0</v>
      </c>
      <c r="K76" s="50">
        <v>1</v>
      </c>
      <c r="L76" s="50">
        <v>0</v>
      </c>
      <c r="M76" s="50">
        <v>2</v>
      </c>
      <c r="N76" s="50">
        <v>0</v>
      </c>
      <c r="O76" s="15">
        <f t="shared" si="35"/>
        <v>2</v>
      </c>
      <c r="P76" s="15">
        <f t="shared" si="36"/>
        <v>4</v>
      </c>
      <c r="R76" s="8"/>
      <c r="T76"/>
    </row>
    <row r="77" spans="2:20" ht="23.1" customHeight="1" x14ac:dyDescent="0.25">
      <c r="B77" s="45" t="s">
        <v>117</v>
      </c>
      <c r="C77" s="50">
        <v>0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</v>
      </c>
      <c r="N77" s="50">
        <v>0</v>
      </c>
      <c r="O77" s="15">
        <f t="shared" si="35"/>
        <v>0</v>
      </c>
      <c r="P77" s="15">
        <f t="shared" si="36"/>
        <v>2</v>
      </c>
      <c r="R77" s="8"/>
      <c r="T77"/>
    </row>
    <row r="78" spans="2:20" ht="23.1" customHeight="1" x14ac:dyDescent="0.25">
      <c r="B78" s="46" t="s">
        <v>118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0</v>
      </c>
      <c r="P78" s="15">
        <f t="shared" si="36"/>
        <v>2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1</v>
      </c>
      <c r="P79" s="15">
        <f t="shared" si="36"/>
        <v>1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</v>
      </c>
      <c r="N80" s="50">
        <v>0</v>
      </c>
      <c r="O80" s="15">
        <f t="shared" si="35"/>
        <v>0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0</v>
      </c>
      <c r="P81" s="15">
        <f t="shared" si="36"/>
        <v>1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0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1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1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1</v>
      </c>
      <c r="P87" s="15">
        <f t="shared" si="36"/>
        <v>1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2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0</v>
      </c>
      <c r="N90" s="50">
        <v>2</v>
      </c>
      <c r="O90" s="15">
        <f t="shared" si="35"/>
        <v>3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2</v>
      </c>
      <c r="J91" s="50">
        <v>0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2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2</v>
      </c>
      <c r="O93" s="15">
        <f t="shared" si="35"/>
        <v>2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1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2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2</v>
      </c>
      <c r="J98" s="50">
        <v>0</v>
      </c>
      <c r="K98" s="50">
        <v>0</v>
      </c>
      <c r="L98" s="50">
        <v>0</v>
      </c>
      <c r="M98" s="50">
        <v>3</v>
      </c>
      <c r="N98" s="50">
        <v>0</v>
      </c>
      <c r="O98" s="15">
        <f t="shared" si="35"/>
        <v>2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</v>
      </c>
      <c r="N99" s="50">
        <v>0</v>
      </c>
      <c r="O99" s="15">
        <f t="shared" si="35"/>
        <v>0</v>
      </c>
      <c r="P99" s="15">
        <f t="shared" si="36"/>
        <v>1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2</v>
      </c>
      <c r="N100" s="50">
        <v>0</v>
      </c>
      <c r="O100" s="15">
        <f t="shared" si="35"/>
        <v>1</v>
      </c>
      <c r="P100" s="15">
        <f t="shared" si="36"/>
        <v>3</v>
      </c>
      <c r="R100" s="8"/>
      <c r="T100"/>
    </row>
    <row r="101" spans="2:20" ht="23.1" customHeight="1" x14ac:dyDescent="0.25">
      <c r="B101" s="45" t="s">
        <v>141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4</v>
      </c>
      <c r="N101" s="50">
        <v>0</v>
      </c>
      <c r="O101" s="15">
        <f t="shared" si="35"/>
        <v>0</v>
      </c>
      <c r="P101" s="15">
        <f t="shared" si="36"/>
        <v>4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</v>
      </c>
      <c r="N102" s="50">
        <v>0</v>
      </c>
      <c r="O102" s="15">
        <f t="shared" si="35"/>
        <v>0</v>
      </c>
      <c r="P102" s="15">
        <f t="shared" si="36"/>
        <v>2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6</v>
      </c>
      <c r="N103" s="50">
        <v>0</v>
      </c>
      <c r="O103" s="15">
        <f t="shared" si="35"/>
        <v>0</v>
      </c>
      <c r="P103" s="15">
        <f t="shared" si="36"/>
        <v>6</v>
      </c>
      <c r="R103" s="8"/>
      <c r="T103"/>
    </row>
    <row r="104" spans="2:20" ht="23.1" customHeight="1" x14ac:dyDescent="0.25">
      <c r="B104" s="47" t="s">
        <v>144</v>
      </c>
      <c r="C104" s="50">
        <v>0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8</v>
      </c>
      <c r="N104" s="50">
        <v>0</v>
      </c>
      <c r="O104" s="15">
        <f t="shared" si="35"/>
        <v>0</v>
      </c>
      <c r="P104" s="15">
        <f t="shared" si="36"/>
        <v>8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13</v>
      </c>
      <c r="N105" s="50">
        <v>0</v>
      </c>
      <c r="O105" s="15">
        <f t="shared" si="35"/>
        <v>0</v>
      </c>
      <c r="P105" s="15">
        <f t="shared" si="36"/>
        <v>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25</v>
      </c>
      <c r="D106" s="16">
        <f t="shared" ref="D106:P106" si="37">SUM(D10:D105)</f>
        <v>4</v>
      </c>
      <c r="E106" s="16">
        <f t="shared" si="37"/>
        <v>9</v>
      </c>
      <c r="F106" s="16">
        <f t="shared" si="37"/>
        <v>6</v>
      </c>
      <c r="G106" s="16">
        <f t="shared" si="37"/>
        <v>0</v>
      </c>
      <c r="H106" s="16">
        <f t="shared" si="37"/>
        <v>0</v>
      </c>
      <c r="I106" s="16">
        <f t="shared" si="37"/>
        <v>52</v>
      </c>
      <c r="J106" s="16">
        <f t="shared" si="37"/>
        <v>5</v>
      </c>
      <c r="K106" s="16">
        <f t="shared" si="37"/>
        <v>3</v>
      </c>
      <c r="L106" s="16">
        <f t="shared" si="37"/>
        <v>0</v>
      </c>
      <c r="M106" s="16">
        <f t="shared" si="37"/>
        <v>734</v>
      </c>
      <c r="N106" s="16">
        <f t="shared" si="37"/>
        <v>4</v>
      </c>
      <c r="O106" s="16">
        <f t="shared" si="37"/>
        <v>108</v>
      </c>
      <c r="P106" s="16">
        <f t="shared" si="37"/>
        <v>842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2.9691211401425176E-2</v>
      </c>
      <c r="D107" s="43">
        <f t="shared" si="38"/>
        <v>4.7505938242280287E-3</v>
      </c>
      <c r="E107" s="43">
        <f t="shared" si="38"/>
        <v>1.0688836104513063E-2</v>
      </c>
      <c r="F107" s="43">
        <f t="shared" si="38"/>
        <v>7.1258907363420431E-3</v>
      </c>
      <c r="G107" s="43">
        <f t="shared" si="38"/>
        <v>0</v>
      </c>
      <c r="H107" s="43">
        <f t="shared" si="38"/>
        <v>0</v>
      </c>
      <c r="I107" s="43">
        <f t="shared" si="38"/>
        <v>6.1757719714964368E-2</v>
      </c>
      <c r="J107" s="43">
        <f t="shared" si="38"/>
        <v>5.9382422802850355E-3</v>
      </c>
      <c r="K107" s="43">
        <f t="shared" si="38"/>
        <v>3.5629453681710215E-3</v>
      </c>
      <c r="L107" s="43">
        <f t="shared" si="38"/>
        <v>0</v>
      </c>
      <c r="M107" s="43">
        <f t="shared" si="38"/>
        <v>0.87173396674584325</v>
      </c>
      <c r="N107" s="43">
        <f t="shared" si="38"/>
        <v>4.7505938242280287E-3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0.23148148148148148</v>
      </c>
      <c r="D108" s="44">
        <f t="shared" ref="D108:N108" si="39">D106/$O$106</f>
        <v>3.7037037037037035E-2</v>
      </c>
      <c r="E108" s="44">
        <f t="shared" si="39"/>
        <v>8.3333333333333329E-2</v>
      </c>
      <c r="F108" s="44">
        <f t="shared" si="39"/>
        <v>5.5555555555555552E-2</v>
      </c>
      <c r="G108" s="44">
        <f t="shared" si="39"/>
        <v>0</v>
      </c>
      <c r="H108" s="44">
        <f t="shared" si="39"/>
        <v>0</v>
      </c>
      <c r="I108" s="44">
        <f t="shared" si="39"/>
        <v>0.48148148148148145</v>
      </c>
      <c r="J108" s="44">
        <f t="shared" si="39"/>
        <v>4.6296296296296294E-2</v>
      </c>
      <c r="K108" s="44">
        <f t="shared" si="39"/>
        <v>2.7777777777777776E-2</v>
      </c>
      <c r="L108" s="44">
        <f t="shared" si="39"/>
        <v>0</v>
      </c>
      <c r="M108" s="44"/>
      <c r="N108" s="44">
        <f t="shared" si="39"/>
        <v>3.7037037037037035E-2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topLeftCell="A37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'20.10 bukomero-Kyankwanzi'!G5:H5</f>
        <v>bukomero</v>
      </c>
      <c r="H5" s="64"/>
      <c r="I5" s="14"/>
      <c r="J5" s="2" t="s">
        <v>5</v>
      </c>
      <c r="K5" s="63" t="str">
        <f>'20.10 bukomero-Kyankwanzi'!K5:L5</f>
        <v>kato joseph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Kyankwanzi-bukomero'!D6:E6</f>
        <v>kyankwanzi</v>
      </c>
      <c r="E6" s="64"/>
      <c r="F6" s="2" t="s">
        <v>2</v>
      </c>
      <c r="G6" s="63" t="str">
        <f>'17.10 Kyankwanzi-bukomero'!G6:H6</f>
        <v>bukomero</v>
      </c>
      <c r="H6" s="64"/>
      <c r="J6" s="2" t="s">
        <v>21</v>
      </c>
      <c r="K6" s="63" t="str">
        <f>'20.10 bukomero-Kyankwanzi'!K6:L6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52</v>
      </c>
      <c r="AD10" s="17">
        <f t="shared" si="2"/>
        <v>0</v>
      </c>
      <c r="AE10" s="31">
        <f t="shared" si="2"/>
        <v>0</v>
      </c>
      <c r="AF10" s="31">
        <f t="shared" si="2"/>
        <v>52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0</v>
      </c>
      <c r="P11" s="15">
        <f t="shared" si="1"/>
        <v>8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56</v>
      </c>
      <c r="AD11" s="17">
        <f t="shared" si="3"/>
        <v>0</v>
      </c>
      <c r="AE11" s="31">
        <f t="shared" si="3"/>
        <v>7</v>
      </c>
      <c r="AF11" s="31">
        <f t="shared" si="3"/>
        <v>63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18</v>
      </c>
      <c r="N12" s="50">
        <v>0</v>
      </c>
      <c r="O12" s="15">
        <f t="shared" si="0"/>
        <v>0</v>
      </c>
      <c r="P12" s="15">
        <f t="shared" si="1"/>
        <v>18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65</v>
      </c>
      <c r="AD12" s="17">
        <f t="shared" si="4"/>
        <v>0</v>
      </c>
      <c r="AE12" s="31">
        <f t="shared" si="4"/>
        <v>2</v>
      </c>
      <c r="AF12" s="31">
        <f t="shared" si="4"/>
        <v>67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0</v>
      </c>
      <c r="P13" s="15">
        <f t="shared" si="1"/>
        <v>15</v>
      </c>
      <c r="R13" s="1" t="s">
        <v>9</v>
      </c>
      <c r="S13" s="17">
        <f t="shared" ref="S13:AF13" si="5">SUM(C22:C25)</f>
        <v>0</v>
      </c>
      <c r="T13" s="17">
        <f t="shared" si="5"/>
        <v>0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50</v>
      </c>
      <c r="AD13" s="17">
        <f t="shared" si="5"/>
        <v>0</v>
      </c>
      <c r="AE13" s="31">
        <f t="shared" si="5"/>
        <v>8</v>
      </c>
      <c r="AF13" s="31">
        <f t="shared" si="5"/>
        <v>58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14</v>
      </c>
      <c r="N14" s="50">
        <v>0</v>
      </c>
      <c r="O14" s="15">
        <f t="shared" si="0"/>
        <v>1</v>
      </c>
      <c r="P14" s="15">
        <f t="shared" si="1"/>
        <v>15</v>
      </c>
      <c r="R14" s="1" t="s">
        <v>10</v>
      </c>
      <c r="S14" s="17">
        <f t="shared" ref="S14:AF14" si="6">SUM(C26:C29)</f>
        <v>1</v>
      </c>
      <c r="T14" s="17">
        <f t="shared" si="6"/>
        <v>0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47</v>
      </c>
      <c r="AD14" s="17">
        <f t="shared" si="6"/>
        <v>0</v>
      </c>
      <c r="AE14" s="31">
        <f t="shared" si="6"/>
        <v>3</v>
      </c>
      <c r="AF14" s="31">
        <f t="shared" si="6"/>
        <v>50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13</v>
      </c>
      <c r="N15" s="50">
        <v>0</v>
      </c>
      <c r="O15" s="15">
        <f t="shared" si="0"/>
        <v>0</v>
      </c>
      <c r="P15" s="15">
        <f t="shared" si="1"/>
        <v>13</v>
      </c>
      <c r="R15" s="1" t="s">
        <v>11</v>
      </c>
      <c r="S15" s="17">
        <f t="shared" ref="S15:AF15" si="7">SUM(C30:C33)</f>
        <v>2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63</v>
      </c>
      <c r="AD15" s="17">
        <f t="shared" si="7"/>
        <v>0</v>
      </c>
      <c r="AE15" s="31">
        <f t="shared" si="7"/>
        <v>5</v>
      </c>
      <c r="AF15" s="31">
        <f t="shared" si="7"/>
        <v>68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3</v>
      </c>
      <c r="P16" s="15">
        <f t="shared" si="1"/>
        <v>15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52</v>
      </c>
      <c r="AD16" s="17">
        <f t="shared" si="8"/>
        <v>0</v>
      </c>
      <c r="AE16" s="31">
        <f t="shared" si="8"/>
        <v>4</v>
      </c>
      <c r="AF16" s="31">
        <f t="shared" si="8"/>
        <v>56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3</v>
      </c>
      <c r="P17" s="15">
        <f t="shared" si="1"/>
        <v>20</v>
      </c>
      <c r="R17" s="1" t="s">
        <v>13</v>
      </c>
      <c r="S17" s="17">
        <f t="shared" ref="S17:AF17" si="9">SUM(C38:C41)</f>
        <v>2</v>
      </c>
      <c r="T17" s="17">
        <f t="shared" si="9"/>
        <v>2</v>
      </c>
      <c r="U17" s="17">
        <f t="shared" si="9"/>
        <v>1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69</v>
      </c>
      <c r="AD17" s="17">
        <f t="shared" si="9"/>
        <v>0</v>
      </c>
      <c r="AE17" s="31">
        <f t="shared" si="9"/>
        <v>8</v>
      </c>
      <c r="AF17" s="31">
        <f t="shared" si="9"/>
        <v>77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1</v>
      </c>
      <c r="P18" s="15">
        <f t="shared" si="1"/>
        <v>16</v>
      </c>
      <c r="R18" s="1" t="s">
        <v>14</v>
      </c>
      <c r="S18" s="17">
        <f t="shared" ref="S18:AF18" si="10">SUM(C42:C45)</f>
        <v>1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70</v>
      </c>
      <c r="AD18" s="17">
        <f t="shared" si="10"/>
        <v>0</v>
      </c>
      <c r="AE18" s="31">
        <f t="shared" si="10"/>
        <v>8</v>
      </c>
      <c r="AF18" s="31">
        <f t="shared" si="10"/>
        <v>78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22</v>
      </c>
      <c r="N19" s="50">
        <v>0</v>
      </c>
      <c r="O19" s="15">
        <f t="shared" si="0"/>
        <v>0</v>
      </c>
      <c r="P19" s="15">
        <f t="shared" si="1"/>
        <v>22</v>
      </c>
      <c r="R19" s="1" t="s">
        <v>15</v>
      </c>
      <c r="S19" s="17">
        <f t="shared" ref="S19:AF19" si="11">SUM(C46:C49)</f>
        <v>1</v>
      </c>
      <c r="T19" s="17">
        <f t="shared" si="11"/>
        <v>2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90</v>
      </c>
      <c r="AD19" s="17">
        <f t="shared" si="11"/>
        <v>0</v>
      </c>
      <c r="AE19" s="31">
        <f t="shared" si="11"/>
        <v>11</v>
      </c>
      <c r="AF19" s="31">
        <f t="shared" si="11"/>
        <v>101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0</v>
      </c>
      <c r="P20" s="15">
        <f t="shared" si="1"/>
        <v>13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1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83</v>
      </c>
      <c r="AD20" s="17">
        <f t="shared" si="12"/>
        <v>0</v>
      </c>
      <c r="AE20" s="31">
        <f t="shared" si="12"/>
        <v>7</v>
      </c>
      <c r="AF20" s="31">
        <f t="shared" si="12"/>
        <v>90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15</v>
      </c>
      <c r="N21" s="50">
        <v>0</v>
      </c>
      <c r="O21" s="15">
        <f t="shared" si="0"/>
        <v>1</v>
      </c>
      <c r="P21" s="15">
        <f t="shared" si="1"/>
        <v>16</v>
      </c>
      <c r="R21" s="36" t="s">
        <v>20</v>
      </c>
      <c r="S21" s="34">
        <f t="shared" ref="S21:AF21" si="13">SUM(C54:C57)</f>
        <v>0</v>
      </c>
      <c r="T21" s="17">
        <f t="shared" si="13"/>
        <v>1</v>
      </c>
      <c r="U21" s="17">
        <f t="shared" si="13"/>
        <v>0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93</v>
      </c>
      <c r="AD21" s="17">
        <f t="shared" si="13"/>
        <v>0</v>
      </c>
      <c r="AE21" s="31">
        <f t="shared" si="13"/>
        <v>2</v>
      </c>
      <c r="AF21" s="31">
        <f t="shared" si="13"/>
        <v>95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2</v>
      </c>
      <c r="P22" s="15">
        <f t="shared" si="1"/>
        <v>15</v>
      </c>
      <c r="R22" s="38" t="s">
        <v>90</v>
      </c>
      <c r="S22" s="39">
        <f>MAX(S10:S12)</f>
        <v>4</v>
      </c>
      <c r="T22" s="39">
        <f t="shared" ref="T22:AF22" si="14">MAX(T10:T12)</f>
        <v>0</v>
      </c>
      <c r="U22" s="39">
        <f t="shared" si="14"/>
        <v>0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65</v>
      </c>
      <c r="AD22" s="39">
        <f t="shared" si="14"/>
        <v>0</v>
      </c>
      <c r="AE22" s="40">
        <f t="shared" si="14"/>
        <v>7</v>
      </c>
      <c r="AF22" s="40">
        <f t="shared" si="14"/>
        <v>67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2</v>
      </c>
      <c r="P23" s="15">
        <f t="shared" si="1"/>
        <v>15</v>
      </c>
      <c r="R23" s="38" t="s">
        <v>91</v>
      </c>
      <c r="S23" s="39">
        <f>MAX(S13:S18)</f>
        <v>2</v>
      </c>
      <c r="T23" s="39">
        <f t="shared" ref="T23:AF23" si="15">MAX(T13:T18)</f>
        <v>2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2</v>
      </c>
      <c r="AA23" s="39">
        <f t="shared" si="15"/>
        <v>1</v>
      </c>
      <c r="AB23" s="39">
        <f t="shared" si="15"/>
        <v>0</v>
      </c>
      <c r="AC23" s="39">
        <f t="shared" si="15"/>
        <v>70</v>
      </c>
      <c r="AD23" s="39">
        <f t="shared" si="15"/>
        <v>0</v>
      </c>
      <c r="AE23" s="40">
        <f t="shared" si="15"/>
        <v>8</v>
      </c>
      <c r="AF23" s="40">
        <f t="shared" si="15"/>
        <v>78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12</v>
      </c>
      <c r="N24" s="50">
        <v>0</v>
      </c>
      <c r="O24" s="15">
        <f t="shared" si="0"/>
        <v>3</v>
      </c>
      <c r="P24" s="15">
        <f t="shared" si="1"/>
        <v>15</v>
      </c>
      <c r="R24" s="38" t="s">
        <v>92</v>
      </c>
      <c r="S24" s="39">
        <f>MAX(S19:S21)</f>
        <v>1</v>
      </c>
      <c r="T24" s="39">
        <f t="shared" ref="T24:AF24" si="16">MAX(T19:T21)</f>
        <v>2</v>
      </c>
      <c r="U24" s="39">
        <f t="shared" si="16"/>
        <v>1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7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93</v>
      </c>
      <c r="AD24" s="39">
        <f t="shared" si="16"/>
        <v>0</v>
      </c>
      <c r="AE24" s="40">
        <f t="shared" si="16"/>
        <v>11</v>
      </c>
      <c r="AF24" s="40">
        <f t="shared" si="16"/>
        <v>101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</v>
      </c>
      <c r="N25" s="50">
        <v>0</v>
      </c>
      <c r="O25" s="15">
        <f t="shared" si="0"/>
        <v>1</v>
      </c>
      <c r="P25" s="15">
        <f t="shared" si="1"/>
        <v>13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0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2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173</v>
      </c>
      <c r="AD25" s="16">
        <f t="shared" si="17"/>
        <v>0</v>
      </c>
      <c r="AE25" s="32">
        <f t="shared" si="17"/>
        <v>9</v>
      </c>
      <c r="AF25" s="32">
        <f t="shared" si="17"/>
        <v>182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2</v>
      </c>
      <c r="P26" s="15">
        <f t="shared" si="1"/>
        <v>13</v>
      </c>
      <c r="R26" s="28" t="s">
        <v>86</v>
      </c>
      <c r="S26" s="16">
        <f t="shared" ref="S26:AF26" si="18">SUM(S13:S18)</f>
        <v>7</v>
      </c>
      <c r="T26" s="16">
        <f t="shared" si="18"/>
        <v>4</v>
      </c>
      <c r="U26" s="16">
        <f t="shared" si="18"/>
        <v>2</v>
      </c>
      <c r="V26" s="16">
        <f t="shared" si="18"/>
        <v>2</v>
      </c>
      <c r="W26" s="16">
        <f t="shared" si="18"/>
        <v>0</v>
      </c>
      <c r="X26" s="16">
        <f t="shared" si="18"/>
        <v>0</v>
      </c>
      <c r="Y26" s="16">
        <f t="shared" si="18"/>
        <v>17</v>
      </c>
      <c r="Z26" s="16">
        <f t="shared" si="18"/>
        <v>3</v>
      </c>
      <c r="AA26" s="16">
        <f t="shared" si="18"/>
        <v>1</v>
      </c>
      <c r="AB26" s="16">
        <f t="shared" si="18"/>
        <v>0</v>
      </c>
      <c r="AC26" s="16">
        <f t="shared" si="18"/>
        <v>351</v>
      </c>
      <c r="AD26" s="16">
        <f t="shared" si="18"/>
        <v>0</v>
      </c>
      <c r="AE26" s="32">
        <f t="shared" si="18"/>
        <v>36</v>
      </c>
      <c r="AF26" s="32">
        <f t="shared" si="18"/>
        <v>387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12</v>
      </c>
      <c r="N27" s="50">
        <v>0</v>
      </c>
      <c r="O27" s="15">
        <f t="shared" si="0"/>
        <v>1</v>
      </c>
      <c r="P27" s="15">
        <f t="shared" si="1"/>
        <v>13</v>
      </c>
      <c r="R27" s="29" t="s">
        <v>87</v>
      </c>
      <c r="S27" s="16">
        <f t="shared" ref="S27:AF27" si="19">SUM(S19:S21)</f>
        <v>2</v>
      </c>
      <c r="T27" s="16">
        <f t="shared" si="19"/>
        <v>3</v>
      </c>
      <c r="U27" s="16">
        <f t="shared" si="19"/>
        <v>2</v>
      </c>
      <c r="V27" s="16">
        <f t="shared" si="19"/>
        <v>2</v>
      </c>
      <c r="W27" s="16">
        <f t="shared" si="19"/>
        <v>0</v>
      </c>
      <c r="X27" s="16">
        <f t="shared" si="19"/>
        <v>0</v>
      </c>
      <c r="Y27" s="16">
        <f t="shared" si="19"/>
        <v>10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266</v>
      </c>
      <c r="AD27" s="16">
        <f t="shared" si="19"/>
        <v>0</v>
      </c>
      <c r="AE27" s="32">
        <f t="shared" si="19"/>
        <v>20</v>
      </c>
      <c r="AF27" s="32">
        <f t="shared" si="19"/>
        <v>286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10</v>
      </c>
      <c r="N28" s="50">
        <v>0</v>
      </c>
      <c r="O28" s="15">
        <f t="shared" si="0"/>
        <v>0</v>
      </c>
      <c r="P28" s="15">
        <f t="shared" si="1"/>
        <v>10</v>
      </c>
      <c r="R28" s="5" t="s">
        <v>17</v>
      </c>
      <c r="S28" s="16">
        <f t="shared" ref="S28:AF28" si="20">SUM(S10:S21)</f>
        <v>13</v>
      </c>
      <c r="T28" s="16">
        <f t="shared" si="20"/>
        <v>7</v>
      </c>
      <c r="U28" s="16">
        <f t="shared" si="20"/>
        <v>4</v>
      </c>
      <c r="V28" s="16">
        <f t="shared" si="20"/>
        <v>7</v>
      </c>
      <c r="W28" s="16">
        <f t="shared" si="20"/>
        <v>0</v>
      </c>
      <c r="X28" s="16">
        <f t="shared" si="20"/>
        <v>0</v>
      </c>
      <c r="Y28" s="16">
        <f t="shared" si="20"/>
        <v>29</v>
      </c>
      <c r="Z28" s="16">
        <f t="shared" si="20"/>
        <v>4</v>
      </c>
      <c r="AA28" s="16">
        <f t="shared" si="20"/>
        <v>1</v>
      </c>
      <c r="AB28" s="16">
        <f t="shared" si="20"/>
        <v>0</v>
      </c>
      <c r="AC28" s="16">
        <f t="shared" si="20"/>
        <v>790</v>
      </c>
      <c r="AD28" s="16">
        <f t="shared" si="20"/>
        <v>0</v>
      </c>
      <c r="AE28" s="32">
        <f t="shared" si="20"/>
        <v>65</v>
      </c>
      <c r="AF28" s="32">
        <f t="shared" si="20"/>
        <v>855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0</v>
      </c>
      <c r="P29" s="15">
        <f t="shared" si="1"/>
        <v>14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1</v>
      </c>
      <c r="P30" s="15">
        <f t="shared" si="1"/>
        <v>20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1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14</v>
      </c>
      <c r="N32" s="50">
        <v>0</v>
      </c>
      <c r="O32" s="15">
        <f t="shared" si="0"/>
        <v>1</v>
      </c>
      <c r="P32" s="15">
        <f t="shared" si="1"/>
        <v>15</v>
      </c>
    </row>
    <row r="33" spans="2:20" ht="23.1" customHeight="1" x14ac:dyDescent="0.25">
      <c r="B33" s="23" t="s">
        <v>60</v>
      </c>
      <c r="C33" s="50">
        <v>1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2</v>
      </c>
      <c r="P33" s="15">
        <f t="shared" si="1"/>
        <v>18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0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0</v>
      </c>
      <c r="P35" s="15">
        <f t="shared" si="1"/>
        <v>15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2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2</v>
      </c>
      <c r="P36" s="15">
        <f t="shared" si="1"/>
        <v>19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10</v>
      </c>
      <c r="N37" s="50">
        <v>0</v>
      </c>
      <c r="O37" s="15">
        <f t="shared" si="0"/>
        <v>2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22</v>
      </c>
      <c r="N38" s="50">
        <v>0</v>
      </c>
      <c r="O38" s="15">
        <f t="shared" si="0"/>
        <v>2</v>
      </c>
      <c r="P38" s="15">
        <f t="shared" si="1"/>
        <v>24</v>
      </c>
    </row>
    <row r="39" spans="2:20" ht="23.1" customHeight="1" x14ac:dyDescent="0.25">
      <c r="B39" s="24" t="s">
        <v>66</v>
      </c>
      <c r="C39" s="50">
        <v>0</v>
      </c>
      <c r="D39" s="50">
        <v>1</v>
      </c>
      <c r="E39" s="50">
        <v>1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12</v>
      </c>
      <c r="N39" s="50">
        <v>0</v>
      </c>
      <c r="O39" s="15">
        <f t="shared" si="0"/>
        <v>3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1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14</v>
      </c>
      <c r="N40" s="50">
        <v>0</v>
      </c>
      <c r="O40" s="15">
        <f t="shared" si="0"/>
        <v>3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21</v>
      </c>
      <c r="N41" s="50">
        <v>0</v>
      </c>
      <c r="O41" s="15">
        <f t="shared" si="0"/>
        <v>0</v>
      </c>
      <c r="P41" s="15">
        <f t="shared" si="1"/>
        <v>21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0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4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0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2</v>
      </c>
      <c r="P44" s="15">
        <f t="shared" si="1"/>
        <v>17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21</v>
      </c>
      <c r="N45" s="50">
        <v>0</v>
      </c>
      <c r="O45" s="15">
        <f t="shared" si="0"/>
        <v>2</v>
      </c>
      <c r="P45" s="15">
        <f t="shared" si="1"/>
        <v>23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20</v>
      </c>
      <c r="N46" s="50">
        <v>0</v>
      </c>
      <c r="O46" s="15">
        <f t="shared" si="0"/>
        <v>4</v>
      </c>
      <c r="P46" s="15">
        <f t="shared" si="1"/>
        <v>24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25</v>
      </c>
      <c r="N47" s="50">
        <v>0</v>
      </c>
      <c r="O47" s="15">
        <f t="shared" si="0"/>
        <v>0</v>
      </c>
      <c r="P47" s="15">
        <f t="shared" si="1"/>
        <v>25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6</v>
      </c>
      <c r="J48" s="50">
        <v>0</v>
      </c>
      <c r="K48" s="50">
        <v>0</v>
      </c>
      <c r="L48" s="50">
        <v>0</v>
      </c>
      <c r="M48" s="50">
        <v>24</v>
      </c>
      <c r="N48" s="50">
        <v>0</v>
      </c>
      <c r="O48" s="15">
        <f t="shared" si="0"/>
        <v>7</v>
      </c>
      <c r="P48" s="15">
        <f t="shared" si="1"/>
        <v>31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21</v>
      </c>
      <c r="N49" s="50">
        <v>0</v>
      </c>
      <c r="O49" s="15">
        <f t="shared" si="0"/>
        <v>0</v>
      </c>
      <c r="P49" s="15">
        <f t="shared" si="1"/>
        <v>21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24</v>
      </c>
      <c r="N50" s="50">
        <v>0</v>
      </c>
      <c r="O50" s="15">
        <f t="shared" si="0"/>
        <v>2</v>
      </c>
      <c r="P50" s="15">
        <f t="shared" si="1"/>
        <v>26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15</v>
      </c>
      <c r="N51" s="50">
        <v>0</v>
      </c>
      <c r="O51" s="15">
        <f t="shared" si="0"/>
        <v>1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23</v>
      </c>
      <c r="N52" s="50">
        <v>0</v>
      </c>
      <c r="O52" s="15">
        <f t="shared" si="0"/>
        <v>3</v>
      </c>
      <c r="P52" s="15">
        <f t="shared" si="1"/>
        <v>26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21</v>
      </c>
      <c r="N53" s="50">
        <v>0</v>
      </c>
      <c r="O53" s="15">
        <f t="shared" si="0"/>
        <v>1</v>
      </c>
      <c r="P53" s="15">
        <f t="shared" si="1"/>
        <v>22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23</v>
      </c>
      <c r="N54" s="50">
        <v>0</v>
      </c>
      <c r="O54" s="15">
        <f t="shared" si="0"/>
        <v>0</v>
      </c>
      <c r="P54" s="15">
        <f t="shared" si="1"/>
        <v>23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26</v>
      </c>
      <c r="N55" s="50">
        <v>0</v>
      </c>
      <c r="O55" s="15">
        <f t="shared" si="0"/>
        <v>2</v>
      </c>
      <c r="P55" s="15">
        <f t="shared" si="1"/>
        <v>28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24</v>
      </c>
      <c r="N56" s="50">
        <v>0</v>
      </c>
      <c r="O56" s="15">
        <f t="shared" si="0"/>
        <v>0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0</v>
      </c>
      <c r="P57" s="15">
        <f t="shared" si="1"/>
        <v>20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</v>
      </c>
      <c r="D58" s="16">
        <f t="shared" si="21"/>
        <v>7</v>
      </c>
      <c r="E58" s="16">
        <f t="shared" si="21"/>
        <v>4</v>
      </c>
      <c r="F58" s="16">
        <f t="shared" si="21"/>
        <v>7</v>
      </c>
      <c r="G58" s="16">
        <f t="shared" si="21"/>
        <v>0</v>
      </c>
      <c r="H58" s="16">
        <f t="shared" si="21"/>
        <v>0</v>
      </c>
      <c r="I58" s="16">
        <f t="shared" si="21"/>
        <v>29</v>
      </c>
      <c r="J58" s="16">
        <f t="shared" si="21"/>
        <v>4</v>
      </c>
      <c r="K58" s="16">
        <f t="shared" si="21"/>
        <v>1</v>
      </c>
      <c r="L58" s="16">
        <f t="shared" si="21"/>
        <v>0</v>
      </c>
      <c r="M58" s="16">
        <f t="shared" si="21"/>
        <v>790</v>
      </c>
      <c r="N58" s="16">
        <f t="shared" si="21"/>
        <v>0</v>
      </c>
      <c r="O58" s="16">
        <f t="shared" si="21"/>
        <v>65</v>
      </c>
      <c r="P58" s="16">
        <f t="shared" si="21"/>
        <v>855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1.5204678362573099E-2</v>
      </c>
      <c r="D59" s="43">
        <f t="shared" si="22"/>
        <v>8.1871345029239772E-3</v>
      </c>
      <c r="E59" s="43">
        <f t="shared" si="22"/>
        <v>4.6783625730994153E-3</v>
      </c>
      <c r="F59" s="43">
        <f t="shared" si="22"/>
        <v>8.1871345029239772E-3</v>
      </c>
      <c r="G59" s="43">
        <f t="shared" si="22"/>
        <v>0</v>
      </c>
      <c r="H59" s="43">
        <f t="shared" si="22"/>
        <v>0</v>
      </c>
      <c r="I59" s="43">
        <f t="shared" si="22"/>
        <v>3.3918128654970757E-2</v>
      </c>
      <c r="J59" s="43">
        <f t="shared" si="22"/>
        <v>4.6783625730994153E-3</v>
      </c>
      <c r="K59" s="43">
        <f t="shared" si="22"/>
        <v>1.1695906432748538E-3</v>
      </c>
      <c r="L59" s="43">
        <f t="shared" si="22"/>
        <v>0</v>
      </c>
      <c r="M59" s="43">
        <f t="shared" si="22"/>
        <v>0.92397660818713445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</v>
      </c>
      <c r="D60" s="44">
        <f t="shared" ref="D60:N60" si="23">D58/$O$58</f>
        <v>0.1076923076923077</v>
      </c>
      <c r="E60" s="44">
        <f t="shared" si="23"/>
        <v>6.1538461538461542E-2</v>
      </c>
      <c r="F60" s="44">
        <f t="shared" si="23"/>
        <v>0.1076923076923077</v>
      </c>
      <c r="G60" s="44">
        <f t="shared" si="23"/>
        <v>0</v>
      </c>
      <c r="H60" s="44">
        <f t="shared" si="23"/>
        <v>0</v>
      </c>
      <c r="I60" s="44">
        <f t="shared" si="23"/>
        <v>0.44615384615384618</v>
      </c>
      <c r="J60" s="44">
        <f t="shared" si="23"/>
        <v>6.1538461538461542E-2</v>
      </c>
      <c r="K60" s="44">
        <f t="shared" si="23"/>
        <v>1.5384615384615385E-2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D6" sqref="D6:E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bukomero-Kyankwanzi'!C3:G3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'22.10 Kyankwanzi-bukomero'!D5</f>
        <v>22.10.19</v>
      </c>
      <c r="E5" s="3"/>
      <c r="F5" s="41" t="s">
        <v>1</v>
      </c>
      <c r="G5" s="63" t="str">
        <f>'22.10 Kyankwanzi-bukomero'!G5:H5</f>
        <v>bukomero</v>
      </c>
      <c r="H5" s="64"/>
      <c r="I5" s="14"/>
      <c r="J5" s="2" t="s">
        <v>5</v>
      </c>
      <c r="K5" s="63" t="str">
        <f>'22.10 Kyankwanzi-bukomero'!K5:L5</f>
        <v>kato joseph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bukomero-Kyankwanzi'!D6:E6</f>
        <v>bukomero</v>
      </c>
      <c r="E6" s="64"/>
      <c r="F6" s="2" t="s">
        <v>2</v>
      </c>
      <c r="G6" s="63" t="str">
        <f>'17.10 bukomero-Kyankwanzi'!G6:H6</f>
        <v>kyankwanzi</v>
      </c>
      <c r="H6" s="64"/>
      <c r="J6" s="2" t="s">
        <v>21</v>
      </c>
      <c r="K6" s="63" t="str">
        <f>'22.10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32</v>
      </c>
      <c r="AD10" s="17">
        <f t="shared" si="2"/>
        <v>0</v>
      </c>
      <c r="AE10" s="31">
        <f t="shared" si="2"/>
        <v>3</v>
      </c>
      <c r="AF10" s="31">
        <f t="shared" si="2"/>
        <v>35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4</v>
      </c>
      <c r="N11" s="50">
        <v>0</v>
      </c>
      <c r="O11" s="15">
        <f t="shared" si="0"/>
        <v>2</v>
      </c>
      <c r="P11" s="15">
        <f t="shared" si="1"/>
        <v>6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23</v>
      </c>
      <c r="AD11" s="17">
        <f t="shared" si="3"/>
        <v>0</v>
      </c>
      <c r="AE11" s="31">
        <f t="shared" si="3"/>
        <v>6</v>
      </c>
      <c r="AF11" s="31">
        <f t="shared" si="3"/>
        <v>29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0</v>
      </c>
      <c r="P12" s="15">
        <f t="shared" si="1"/>
        <v>10</v>
      </c>
      <c r="R12" s="1" t="s">
        <v>8</v>
      </c>
      <c r="S12" s="17">
        <f t="shared" ref="S12:AF12" si="4">SUM(C18:C21)</f>
        <v>0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24</v>
      </c>
      <c r="AD12" s="17">
        <f t="shared" si="4"/>
        <v>0</v>
      </c>
      <c r="AE12" s="31">
        <f t="shared" si="4"/>
        <v>4</v>
      </c>
      <c r="AF12" s="31">
        <f t="shared" si="4"/>
        <v>28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10</v>
      </c>
      <c r="N13" s="50">
        <v>0</v>
      </c>
      <c r="O13" s="15">
        <f t="shared" si="0"/>
        <v>0</v>
      </c>
      <c r="P13" s="15">
        <f t="shared" si="1"/>
        <v>10</v>
      </c>
      <c r="R13" s="1" t="s">
        <v>9</v>
      </c>
      <c r="S13" s="17">
        <f t="shared" ref="S13:AF13" si="5">SUM(C22:C25)</f>
        <v>1</v>
      </c>
      <c r="T13" s="17">
        <f t="shared" si="5"/>
        <v>1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30</v>
      </c>
      <c r="AD13" s="17">
        <f t="shared" si="5"/>
        <v>0</v>
      </c>
      <c r="AE13" s="31">
        <f t="shared" si="5"/>
        <v>6</v>
      </c>
      <c r="AF13" s="31">
        <f t="shared" si="5"/>
        <v>36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1</v>
      </c>
      <c r="P14" s="15">
        <f t="shared" si="1"/>
        <v>9</v>
      </c>
      <c r="R14" s="1" t="s">
        <v>10</v>
      </c>
      <c r="S14" s="17">
        <f t="shared" ref="S14:AF14" si="6">SUM(C26:C29)</f>
        <v>0</v>
      </c>
      <c r="T14" s="17">
        <f t="shared" si="6"/>
        <v>0</v>
      </c>
      <c r="U14" s="17">
        <f t="shared" si="6"/>
        <v>3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56</v>
      </c>
      <c r="AD14" s="17">
        <f t="shared" si="6"/>
        <v>0</v>
      </c>
      <c r="AE14" s="31">
        <f t="shared" si="6"/>
        <v>8</v>
      </c>
      <c r="AF14" s="31">
        <f t="shared" si="6"/>
        <v>64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5</v>
      </c>
      <c r="N15" s="50">
        <v>0</v>
      </c>
      <c r="O15" s="15">
        <f t="shared" si="0"/>
        <v>0</v>
      </c>
      <c r="P15" s="15">
        <f t="shared" si="1"/>
        <v>5</v>
      </c>
      <c r="R15" s="1" t="s">
        <v>11</v>
      </c>
      <c r="S15" s="17">
        <f t="shared" ref="S15:AF15" si="7">SUM(C30:C33)</f>
        <v>3</v>
      </c>
      <c r="T15" s="17">
        <f t="shared" si="7"/>
        <v>3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21</v>
      </c>
      <c r="AD15" s="17">
        <f t="shared" si="7"/>
        <v>0</v>
      </c>
      <c r="AE15" s="31">
        <f t="shared" si="7"/>
        <v>11</v>
      </c>
      <c r="AF15" s="31">
        <f t="shared" si="7"/>
        <v>32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5</v>
      </c>
      <c r="P16" s="15">
        <f t="shared" si="1"/>
        <v>10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38</v>
      </c>
      <c r="AD16" s="17">
        <f t="shared" si="8"/>
        <v>0</v>
      </c>
      <c r="AE16" s="31">
        <f t="shared" si="8"/>
        <v>2</v>
      </c>
      <c r="AF16" s="31">
        <f t="shared" si="8"/>
        <v>40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0</v>
      </c>
      <c r="P17" s="15">
        <f t="shared" si="1"/>
        <v>5</v>
      </c>
      <c r="R17" s="1" t="s">
        <v>13</v>
      </c>
      <c r="S17" s="17">
        <f t="shared" ref="S17:AF17" si="9">SUM(C38:C41)</f>
        <v>0</v>
      </c>
      <c r="T17" s="17">
        <f t="shared" si="9"/>
        <v>0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55</v>
      </c>
      <c r="AD17" s="17">
        <f t="shared" si="9"/>
        <v>0</v>
      </c>
      <c r="AE17" s="31">
        <f t="shared" si="9"/>
        <v>7</v>
      </c>
      <c r="AF17" s="31">
        <f t="shared" si="9"/>
        <v>62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3</v>
      </c>
      <c r="P18" s="15">
        <f t="shared" si="1"/>
        <v>10</v>
      </c>
      <c r="R18" s="1" t="s">
        <v>14</v>
      </c>
      <c r="S18" s="17">
        <f t="shared" ref="S18:AF18" si="10">SUM(C42:C45)</f>
        <v>2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54</v>
      </c>
      <c r="AD18" s="17">
        <f t="shared" si="10"/>
        <v>0</v>
      </c>
      <c r="AE18" s="31">
        <f t="shared" si="10"/>
        <v>5</v>
      </c>
      <c r="AF18" s="31">
        <f t="shared" si="10"/>
        <v>59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0</v>
      </c>
      <c r="P19" s="15">
        <f t="shared" si="1"/>
        <v>10</v>
      </c>
      <c r="R19" s="1" t="s">
        <v>15</v>
      </c>
      <c r="S19" s="17">
        <f t="shared" ref="S19:AF19" si="11">SUM(C46:C49)</f>
        <v>0</v>
      </c>
      <c r="T19" s="17">
        <f t="shared" si="11"/>
        <v>1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73</v>
      </c>
      <c r="AD19" s="17">
        <f t="shared" si="11"/>
        <v>0</v>
      </c>
      <c r="AE19" s="31">
        <f t="shared" si="11"/>
        <v>9</v>
      </c>
      <c r="AF19" s="31">
        <f t="shared" si="11"/>
        <v>82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</v>
      </c>
      <c r="N20" s="50">
        <v>0</v>
      </c>
      <c r="O20" s="15">
        <f t="shared" si="0"/>
        <v>1</v>
      </c>
      <c r="P20" s="15">
        <f t="shared" si="1"/>
        <v>2</v>
      </c>
      <c r="R20" s="1" t="s">
        <v>16</v>
      </c>
      <c r="S20" s="17">
        <f t="shared" ref="S20:AF20" si="12">SUM(C50:C53)</f>
        <v>0</v>
      </c>
      <c r="T20" s="17">
        <f t="shared" si="12"/>
        <v>0</v>
      </c>
      <c r="U20" s="17">
        <f t="shared" si="12"/>
        <v>0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86</v>
      </c>
      <c r="AD20" s="17">
        <f t="shared" si="12"/>
        <v>0</v>
      </c>
      <c r="AE20" s="31">
        <f t="shared" si="12"/>
        <v>1</v>
      </c>
      <c r="AF20" s="31">
        <f t="shared" si="12"/>
        <v>87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0</v>
      </c>
      <c r="P21" s="15">
        <f t="shared" si="1"/>
        <v>6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95</v>
      </c>
      <c r="AD21" s="17">
        <f t="shared" si="13"/>
        <v>0</v>
      </c>
      <c r="AE21" s="31">
        <f t="shared" si="13"/>
        <v>4</v>
      </c>
      <c r="AF21" s="31">
        <f t="shared" si="13"/>
        <v>99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0</v>
      </c>
      <c r="P22" s="15">
        <f t="shared" si="1"/>
        <v>5</v>
      </c>
      <c r="R22" s="38" t="s">
        <v>90</v>
      </c>
      <c r="S22" s="39">
        <f>MAX(S10:S12)</f>
        <v>1</v>
      </c>
      <c r="T22" s="39">
        <f t="shared" ref="T22:AF22" si="14">MAX(T10:T12)</f>
        <v>1</v>
      </c>
      <c r="U22" s="39">
        <f t="shared" si="14"/>
        <v>1</v>
      </c>
      <c r="V22" s="39">
        <f t="shared" si="14"/>
        <v>0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32</v>
      </c>
      <c r="AD22" s="39">
        <f t="shared" si="14"/>
        <v>0</v>
      </c>
      <c r="AE22" s="40">
        <f t="shared" si="14"/>
        <v>6</v>
      </c>
      <c r="AF22" s="40">
        <f t="shared" si="14"/>
        <v>35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1</v>
      </c>
      <c r="P23" s="15">
        <f t="shared" si="1"/>
        <v>9</v>
      </c>
      <c r="R23" s="38" t="s">
        <v>91</v>
      </c>
      <c r="S23" s="39">
        <f>MAX(S13:S18)</f>
        <v>3</v>
      </c>
      <c r="T23" s="39">
        <f t="shared" ref="T23:AF23" si="15">MAX(T13:T18)</f>
        <v>3</v>
      </c>
      <c r="U23" s="39">
        <f t="shared" si="15"/>
        <v>3</v>
      </c>
      <c r="V23" s="39">
        <f t="shared" si="15"/>
        <v>0</v>
      </c>
      <c r="W23" s="39">
        <f t="shared" si="15"/>
        <v>0</v>
      </c>
      <c r="X23" s="39">
        <f t="shared" si="15"/>
        <v>0</v>
      </c>
      <c r="Y23" s="39">
        <f t="shared" si="15"/>
        <v>5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56</v>
      </c>
      <c r="AD23" s="39">
        <f t="shared" si="15"/>
        <v>0</v>
      </c>
      <c r="AE23" s="40">
        <f t="shared" si="15"/>
        <v>11</v>
      </c>
      <c r="AF23" s="40">
        <f t="shared" si="15"/>
        <v>64</v>
      </c>
    </row>
    <row r="24" spans="2:32" ht="23.1" customHeight="1" x14ac:dyDescent="0.25">
      <c r="B24" s="23" t="s">
        <v>51</v>
      </c>
      <c r="C24" s="50">
        <v>1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4</v>
      </c>
      <c r="P24" s="15">
        <f t="shared" si="1"/>
        <v>10</v>
      </c>
      <c r="R24" s="38" t="s">
        <v>92</v>
      </c>
      <c r="S24" s="39">
        <f>MAX(S19:S21)</f>
        <v>0</v>
      </c>
      <c r="T24" s="39">
        <f t="shared" ref="T24:AF24" si="16">MAX(T19:T21)</f>
        <v>1</v>
      </c>
      <c r="U24" s="39">
        <f t="shared" si="16"/>
        <v>2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5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95</v>
      </c>
      <c r="AD24" s="39">
        <f t="shared" si="16"/>
        <v>0</v>
      </c>
      <c r="AE24" s="40">
        <f t="shared" si="16"/>
        <v>9</v>
      </c>
      <c r="AF24" s="40">
        <f t="shared" si="16"/>
        <v>99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1</v>
      </c>
      <c r="P25" s="15">
        <f t="shared" si="1"/>
        <v>12</v>
      </c>
      <c r="R25" s="37" t="s">
        <v>85</v>
      </c>
      <c r="S25" s="35">
        <f t="shared" ref="S25:AF25" si="17">SUM(S10:S12)</f>
        <v>1</v>
      </c>
      <c r="T25" s="16">
        <f t="shared" si="17"/>
        <v>1</v>
      </c>
      <c r="U25" s="16">
        <f t="shared" si="17"/>
        <v>2</v>
      </c>
      <c r="V25" s="16">
        <f t="shared" si="17"/>
        <v>0</v>
      </c>
      <c r="W25" s="16">
        <f t="shared" si="17"/>
        <v>0</v>
      </c>
      <c r="X25" s="16">
        <f t="shared" si="17"/>
        <v>0</v>
      </c>
      <c r="Y25" s="16">
        <f t="shared" si="17"/>
        <v>9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79</v>
      </c>
      <c r="AD25" s="16">
        <f t="shared" si="17"/>
        <v>0</v>
      </c>
      <c r="AE25" s="32">
        <f t="shared" si="17"/>
        <v>13</v>
      </c>
      <c r="AF25" s="32">
        <f t="shared" si="17"/>
        <v>92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4</v>
      </c>
      <c r="P26" s="15">
        <f t="shared" si="1"/>
        <v>19</v>
      </c>
      <c r="R26" s="28" t="s">
        <v>86</v>
      </c>
      <c r="S26" s="16">
        <f t="shared" ref="S26:AF26" si="18">SUM(S13:S18)</f>
        <v>6</v>
      </c>
      <c r="T26" s="16">
        <f t="shared" si="18"/>
        <v>5</v>
      </c>
      <c r="U26" s="16">
        <f t="shared" si="18"/>
        <v>6</v>
      </c>
      <c r="V26" s="16">
        <f t="shared" si="18"/>
        <v>0</v>
      </c>
      <c r="W26" s="16">
        <f t="shared" si="18"/>
        <v>0</v>
      </c>
      <c r="X26" s="16">
        <f t="shared" si="18"/>
        <v>0</v>
      </c>
      <c r="Y26" s="16">
        <f t="shared" si="18"/>
        <v>21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254</v>
      </c>
      <c r="AD26" s="16">
        <f t="shared" si="18"/>
        <v>0</v>
      </c>
      <c r="AE26" s="32">
        <f t="shared" si="18"/>
        <v>39</v>
      </c>
      <c r="AF26" s="32">
        <f t="shared" si="18"/>
        <v>293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1</v>
      </c>
      <c r="P27" s="15">
        <f t="shared" si="1"/>
        <v>8</v>
      </c>
      <c r="R27" s="29" t="s">
        <v>87</v>
      </c>
      <c r="S27" s="16">
        <f t="shared" ref="S27:AF27" si="19">SUM(S19:S21)</f>
        <v>0</v>
      </c>
      <c r="T27" s="16">
        <f t="shared" si="19"/>
        <v>1</v>
      </c>
      <c r="U27" s="16">
        <f t="shared" si="19"/>
        <v>2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9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254</v>
      </c>
      <c r="AD27" s="16">
        <f t="shared" si="19"/>
        <v>0</v>
      </c>
      <c r="AE27" s="32">
        <f t="shared" si="19"/>
        <v>14</v>
      </c>
      <c r="AF27" s="32">
        <f t="shared" si="19"/>
        <v>268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1</v>
      </c>
      <c r="P28" s="15">
        <f t="shared" si="1"/>
        <v>9</v>
      </c>
      <c r="R28" s="5" t="s">
        <v>17</v>
      </c>
      <c r="S28" s="16">
        <f t="shared" ref="S28:AF28" si="20">SUM(S10:S21)</f>
        <v>7</v>
      </c>
      <c r="T28" s="16">
        <f t="shared" si="20"/>
        <v>7</v>
      </c>
      <c r="U28" s="16">
        <f t="shared" si="20"/>
        <v>10</v>
      </c>
      <c r="V28" s="16">
        <f t="shared" si="20"/>
        <v>1</v>
      </c>
      <c r="W28" s="16">
        <f t="shared" si="20"/>
        <v>0</v>
      </c>
      <c r="X28" s="16">
        <f t="shared" si="20"/>
        <v>0</v>
      </c>
      <c r="Y28" s="16">
        <f t="shared" si="20"/>
        <v>39</v>
      </c>
      <c r="Z28" s="16">
        <f t="shared" si="20"/>
        <v>2</v>
      </c>
      <c r="AA28" s="16">
        <f t="shared" si="20"/>
        <v>0</v>
      </c>
      <c r="AB28" s="16">
        <f t="shared" si="20"/>
        <v>0</v>
      </c>
      <c r="AC28" s="16">
        <f t="shared" si="20"/>
        <v>587</v>
      </c>
      <c r="AD28" s="16">
        <f t="shared" si="20"/>
        <v>0</v>
      </c>
      <c r="AE28" s="32">
        <f t="shared" si="20"/>
        <v>66</v>
      </c>
      <c r="AF28" s="32">
        <f t="shared" si="20"/>
        <v>653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26</v>
      </c>
      <c r="N29" s="50">
        <v>0</v>
      </c>
      <c r="O29" s="15">
        <f t="shared" si="0"/>
        <v>2</v>
      </c>
      <c r="P29" s="15">
        <f t="shared" si="1"/>
        <v>28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1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7</v>
      </c>
      <c r="N30" s="50">
        <v>0</v>
      </c>
      <c r="O30" s="15">
        <f t="shared" si="0"/>
        <v>2</v>
      </c>
      <c r="P30" s="15">
        <f t="shared" si="1"/>
        <v>9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2</v>
      </c>
      <c r="P31" s="15">
        <f t="shared" si="1"/>
        <v>5</v>
      </c>
    </row>
    <row r="32" spans="2:32" ht="23.1" customHeight="1" x14ac:dyDescent="0.25">
      <c r="B32" s="24" t="s">
        <v>59</v>
      </c>
      <c r="C32" s="50">
        <v>1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6</v>
      </c>
      <c r="N32" s="50">
        <v>0</v>
      </c>
      <c r="O32" s="15">
        <f t="shared" si="0"/>
        <v>4</v>
      </c>
      <c r="P32" s="15">
        <f t="shared" si="1"/>
        <v>10</v>
      </c>
    </row>
    <row r="33" spans="2:20" ht="23.1" customHeight="1" x14ac:dyDescent="0.25">
      <c r="B33" s="23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5</v>
      </c>
      <c r="N33" s="50">
        <v>0</v>
      </c>
      <c r="O33" s="15">
        <f t="shared" si="0"/>
        <v>3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0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0</v>
      </c>
      <c r="P35" s="15">
        <f t="shared" si="1"/>
        <v>10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1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1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3</v>
      </c>
      <c r="J38" s="50">
        <v>0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3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18</v>
      </c>
      <c r="N39" s="50">
        <v>0</v>
      </c>
      <c r="O39" s="15">
        <f t="shared" si="0"/>
        <v>2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16</v>
      </c>
      <c r="N40" s="50">
        <v>0</v>
      </c>
      <c r="O40" s="15">
        <f t="shared" si="0"/>
        <v>1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1</v>
      </c>
      <c r="P41" s="15">
        <f t="shared" si="1"/>
        <v>15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9</v>
      </c>
      <c r="N42" s="50">
        <v>0</v>
      </c>
      <c r="O42" s="15">
        <f t="shared" si="0"/>
        <v>0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16</v>
      </c>
      <c r="N43" s="50">
        <v>0</v>
      </c>
      <c r="O43" s="15">
        <f t="shared" si="0"/>
        <v>2</v>
      </c>
      <c r="P43" s="15">
        <f t="shared" si="1"/>
        <v>18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3</v>
      </c>
      <c r="P44" s="15">
        <f t="shared" si="1"/>
        <v>17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0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0</v>
      </c>
      <c r="D46" s="50">
        <v>1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23</v>
      </c>
      <c r="N46" s="50">
        <v>0</v>
      </c>
      <c r="O46" s="15">
        <f t="shared" si="0"/>
        <v>3</v>
      </c>
      <c r="P46" s="15">
        <f t="shared" si="1"/>
        <v>26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5</v>
      </c>
      <c r="P47" s="15">
        <f t="shared" si="1"/>
        <v>21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0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21</v>
      </c>
      <c r="N49" s="50">
        <v>0</v>
      </c>
      <c r="O49" s="15">
        <f t="shared" si="0"/>
        <v>1</v>
      </c>
      <c r="P49" s="15">
        <f t="shared" si="1"/>
        <v>22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0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0</v>
      </c>
      <c r="P51" s="15">
        <f t="shared" si="1"/>
        <v>20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1</v>
      </c>
      <c r="P52" s="15">
        <f t="shared" si="1"/>
        <v>25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22</v>
      </c>
      <c r="N53" s="50">
        <v>0</v>
      </c>
      <c r="O53" s="15">
        <f t="shared" si="0"/>
        <v>0</v>
      </c>
      <c r="P53" s="15">
        <f t="shared" si="1"/>
        <v>22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22</v>
      </c>
      <c r="N54" s="50">
        <v>0</v>
      </c>
      <c r="O54" s="15">
        <f t="shared" si="0"/>
        <v>0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28</v>
      </c>
      <c r="N55" s="50">
        <v>0</v>
      </c>
      <c r="O55" s="15">
        <f t="shared" si="0"/>
        <v>2</v>
      </c>
      <c r="P55" s="15">
        <f t="shared" si="1"/>
        <v>30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17</v>
      </c>
      <c r="N56" s="50">
        <v>0</v>
      </c>
      <c r="O56" s="15">
        <f t="shared" si="0"/>
        <v>2</v>
      </c>
      <c r="P56" s="15">
        <f t="shared" si="1"/>
        <v>19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28</v>
      </c>
      <c r="N57" s="50">
        <v>0</v>
      </c>
      <c r="O57" s="15">
        <f t="shared" si="0"/>
        <v>0</v>
      </c>
      <c r="P57" s="15">
        <f t="shared" si="1"/>
        <v>28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</v>
      </c>
      <c r="D58" s="16">
        <f t="shared" si="21"/>
        <v>7</v>
      </c>
      <c r="E58" s="16">
        <f t="shared" si="21"/>
        <v>10</v>
      </c>
      <c r="F58" s="16">
        <f t="shared" si="21"/>
        <v>1</v>
      </c>
      <c r="G58" s="16">
        <f t="shared" si="21"/>
        <v>0</v>
      </c>
      <c r="H58" s="16">
        <f t="shared" si="21"/>
        <v>0</v>
      </c>
      <c r="I58" s="16">
        <f t="shared" si="21"/>
        <v>39</v>
      </c>
      <c r="J58" s="16">
        <f t="shared" si="21"/>
        <v>2</v>
      </c>
      <c r="K58" s="16">
        <f t="shared" si="21"/>
        <v>0</v>
      </c>
      <c r="L58" s="16">
        <f t="shared" si="21"/>
        <v>0</v>
      </c>
      <c r="M58" s="16">
        <f t="shared" si="21"/>
        <v>587</v>
      </c>
      <c r="N58" s="16">
        <f t="shared" si="21"/>
        <v>0</v>
      </c>
      <c r="O58" s="16">
        <f t="shared" si="21"/>
        <v>66</v>
      </c>
      <c r="P58" s="16">
        <f t="shared" si="21"/>
        <v>653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1.0719754977029096E-2</v>
      </c>
      <c r="D59" s="43">
        <f t="shared" si="22"/>
        <v>1.0719754977029096E-2</v>
      </c>
      <c r="E59" s="43">
        <f t="shared" si="22"/>
        <v>1.5313935681470138E-2</v>
      </c>
      <c r="F59" s="43">
        <f t="shared" si="22"/>
        <v>1.5313935681470138E-3</v>
      </c>
      <c r="G59" s="43">
        <f t="shared" si="22"/>
        <v>0</v>
      </c>
      <c r="H59" s="43">
        <f t="shared" si="22"/>
        <v>0</v>
      </c>
      <c r="I59" s="43">
        <f t="shared" si="22"/>
        <v>5.9724349157733538E-2</v>
      </c>
      <c r="J59" s="43">
        <f t="shared" si="22"/>
        <v>3.0627871362940277E-3</v>
      </c>
      <c r="K59" s="43">
        <f t="shared" si="22"/>
        <v>0</v>
      </c>
      <c r="L59" s="43">
        <f t="shared" si="22"/>
        <v>0</v>
      </c>
      <c r="M59" s="43">
        <f t="shared" si="22"/>
        <v>0.89892802450229714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0.10606060606060606</v>
      </c>
      <c r="D60" s="44">
        <f t="shared" ref="D60:N60" si="23">D58/$O$58</f>
        <v>0.10606060606060606</v>
      </c>
      <c r="E60" s="44">
        <f t="shared" si="23"/>
        <v>0.15151515151515152</v>
      </c>
      <c r="F60" s="44">
        <f t="shared" si="23"/>
        <v>1.5151515151515152E-2</v>
      </c>
      <c r="G60" s="44">
        <f t="shared" si="23"/>
        <v>0</v>
      </c>
      <c r="H60" s="44">
        <f t="shared" si="23"/>
        <v>0</v>
      </c>
      <c r="I60" s="44">
        <f t="shared" si="23"/>
        <v>0.59090909090909094</v>
      </c>
      <c r="J60" s="44">
        <f t="shared" si="23"/>
        <v>3.0303030303030304E-2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34" zoomScale="60" workbookViewId="0">
      <selection activeCell="R51" sqref="R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bukomero-Kyankwanzi'!C3:G3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'22.10 Kyankwanzi-bukomero'!G5:H5</f>
        <v>bukomero</v>
      </c>
      <c r="H5" s="64"/>
      <c r="I5" s="14"/>
      <c r="J5" s="2" t="s">
        <v>5</v>
      </c>
      <c r="K5" s="63" t="str">
        <f>'22.10 Kyankwanzi-bukomero'!K5:L5</f>
        <v>kato joseph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Kyankwanzi-bukomero'!D6:E6</f>
        <v>kyankwanzi</v>
      </c>
      <c r="E6" s="64"/>
      <c r="F6" s="2" t="s">
        <v>2</v>
      </c>
      <c r="G6" s="63" t="str">
        <f>'17.10 Kyankwanzi-bukomero'!G6:H6</f>
        <v>bukomero</v>
      </c>
      <c r="H6" s="64"/>
      <c r="J6" s="2" t="s">
        <v>21</v>
      </c>
      <c r="K6" s="63" t="str">
        <f>'22.10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38</v>
      </c>
      <c r="AD10" s="17">
        <f t="shared" si="2"/>
        <v>0</v>
      </c>
      <c r="AE10" s="31">
        <f t="shared" si="2"/>
        <v>2</v>
      </c>
      <c r="AF10" s="31">
        <f t="shared" si="2"/>
        <v>40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1</v>
      </c>
      <c r="P11" s="15">
        <f t="shared" si="1"/>
        <v>11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38</v>
      </c>
      <c r="AD11" s="17">
        <f t="shared" si="3"/>
        <v>0</v>
      </c>
      <c r="AE11" s="31">
        <f t="shared" si="3"/>
        <v>4</v>
      </c>
      <c r="AF11" s="31">
        <f t="shared" si="3"/>
        <v>42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0</v>
      </c>
      <c r="P12" s="15">
        <f t="shared" si="1"/>
        <v>7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44</v>
      </c>
      <c r="AD12" s="17">
        <f t="shared" si="4"/>
        <v>0</v>
      </c>
      <c r="AE12" s="31">
        <f t="shared" si="4"/>
        <v>8</v>
      </c>
      <c r="AF12" s="31">
        <f t="shared" si="4"/>
        <v>52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0</v>
      </c>
      <c r="P13" s="15">
        <f t="shared" si="1"/>
        <v>11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0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38</v>
      </c>
      <c r="AD13" s="17">
        <f t="shared" si="5"/>
        <v>0</v>
      </c>
      <c r="AE13" s="31">
        <f t="shared" si="5"/>
        <v>5</v>
      </c>
      <c r="AF13" s="31">
        <f t="shared" si="5"/>
        <v>43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2</v>
      </c>
      <c r="P14" s="15">
        <f t="shared" si="1"/>
        <v>11</v>
      </c>
      <c r="R14" s="1" t="s">
        <v>10</v>
      </c>
      <c r="S14" s="17">
        <f t="shared" ref="S14:AF14" si="6">SUM(C26:C29)</f>
        <v>5</v>
      </c>
      <c r="T14" s="17">
        <f t="shared" si="6"/>
        <v>1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59</v>
      </c>
      <c r="AD14" s="17">
        <f t="shared" si="6"/>
        <v>0</v>
      </c>
      <c r="AE14" s="31">
        <f t="shared" si="6"/>
        <v>14</v>
      </c>
      <c r="AF14" s="31">
        <f t="shared" si="6"/>
        <v>73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1</v>
      </c>
      <c r="P15" s="15">
        <f t="shared" si="1"/>
        <v>8</v>
      </c>
      <c r="R15" s="1" t="s">
        <v>11</v>
      </c>
      <c r="S15" s="17">
        <f t="shared" ref="S15:AF15" si="7">SUM(C30:C33)</f>
        <v>2</v>
      </c>
      <c r="T15" s="17">
        <f t="shared" si="7"/>
        <v>1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50</v>
      </c>
      <c r="AD15" s="17">
        <f t="shared" si="7"/>
        <v>0</v>
      </c>
      <c r="AE15" s="31">
        <f t="shared" si="7"/>
        <v>9</v>
      </c>
      <c r="AF15" s="31">
        <f t="shared" si="7"/>
        <v>59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11</v>
      </c>
      <c r="N16" s="50">
        <v>0</v>
      </c>
      <c r="O16" s="15">
        <f t="shared" si="0"/>
        <v>0</v>
      </c>
      <c r="P16" s="15">
        <f t="shared" si="1"/>
        <v>11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0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49</v>
      </c>
      <c r="AD16" s="17">
        <f t="shared" si="8"/>
        <v>0</v>
      </c>
      <c r="AE16" s="31">
        <f t="shared" si="8"/>
        <v>6</v>
      </c>
      <c r="AF16" s="31">
        <f t="shared" si="8"/>
        <v>55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11</v>
      </c>
      <c r="N17" s="50">
        <v>0</v>
      </c>
      <c r="O17" s="15">
        <f t="shared" si="0"/>
        <v>1</v>
      </c>
      <c r="P17" s="15">
        <f t="shared" si="1"/>
        <v>12</v>
      </c>
      <c r="R17" s="1" t="s">
        <v>13</v>
      </c>
      <c r="S17" s="17">
        <f t="shared" ref="S17:AF17" si="9">SUM(C38:C41)</f>
        <v>5</v>
      </c>
      <c r="T17" s="17">
        <f t="shared" si="9"/>
        <v>1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3</v>
      </c>
      <c r="AA17" s="17">
        <f t="shared" si="9"/>
        <v>0</v>
      </c>
      <c r="AB17" s="17">
        <f t="shared" si="9"/>
        <v>0</v>
      </c>
      <c r="AC17" s="17">
        <f t="shared" si="9"/>
        <v>48</v>
      </c>
      <c r="AD17" s="17">
        <f t="shared" si="9"/>
        <v>0</v>
      </c>
      <c r="AE17" s="31">
        <f t="shared" si="9"/>
        <v>16</v>
      </c>
      <c r="AF17" s="31">
        <f t="shared" si="9"/>
        <v>64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12</v>
      </c>
      <c r="N18" s="50">
        <v>0</v>
      </c>
      <c r="O18" s="15">
        <f t="shared" si="0"/>
        <v>5</v>
      </c>
      <c r="P18" s="15">
        <f t="shared" si="1"/>
        <v>17</v>
      </c>
      <c r="R18" s="1" t="s">
        <v>14</v>
      </c>
      <c r="S18" s="17">
        <f t="shared" ref="S18:AF18" si="10">SUM(C42:C45)</f>
        <v>5</v>
      </c>
      <c r="T18" s="17">
        <f t="shared" si="10"/>
        <v>1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47</v>
      </c>
      <c r="AD18" s="17">
        <f t="shared" si="10"/>
        <v>0</v>
      </c>
      <c r="AE18" s="31">
        <f t="shared" si="10"/>
        <v>11</v>
      </c>
      <c r="AF18" s="31">
        <f t="shared" si="10"/>
        <v>58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1</v>
      </c>
      <c r="P19" s="15">
        <f t="shared" si="1"/>
        <v>9</v>
      </c>
      <c r="R19" s="1" t="s">
        <v>15</v>
      </c>
      <c r="S19" s="17">
        <f t="shared" ref="S19:AF19" si="11">SUM(C46:C49)</f>
        <v>4</v>
      </c>
      <c r="T19" s="17">
        <f t="shared" si="11"/>
        <v>3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48</v>
      </c>
      <c r="AD19" s="17">
        <f t="shared" si="11"/>
        <v>0</v>
      </c>
      <c r="AE19" s="31">
        <f t="shared" si="11"/>
        <v>11</v>
      </c>
      <c r="AF19" s="31">
        <f t="shared" si="11"/>
        <v>59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1</v>
      </c>
      <c r="P20" s="15">
        <f t="shared" si="1"/>
        <v>16</v>
      </c>
      <c r="R20" s="1" t="s">
        <v>16</v>
      </c>
      <c r="S20" s="17">
        <f t="shared" ref="S20:AF20" si="12">SUM(C50:C53)</f>
        <v>0</v>
      </c>
      <c r="T20" s="17">
        <f t="shared" si="12"/>
        <v>3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2</v>
      </c>
      <c r="Y20" s="17">
        <f t="shared" si="12"/>
        <v>2</v>
      </c>
      <c r="Z20" s="17">
        <f t="shared" si="12"/>
        <v>0</v>
      </c>
      <c r="AA20" s="17">
        <f t="shared" si="12"/>
        <v>0</v>
      </c>
      <c r="AB20" s="17">
        <f t="shared" si="12"/>
        <v>1</v>
      </c>
      <c r="AC20" s="17">
        <f t="shared" si="12"/>
        <v>50</v>
      </c>
      <c r="AD20" s="17">
        <f t="shared" si="12"/>
        <v>0</v>
      </c>
      <c r="AE20" s="31">
        <f t="shared" si="12"/>
        <v>10</v>
      </c>
      <c r="AF20" s="31">
        <f t="shared" si="12"/>
        <v>60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1</v>
      </c>
      <c r="P21" s="15">
        <f t="shared" si="1"/>
        <v>10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2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55</v>
      </c>
      <c r="AD21" s="17">
        <f t="shared" si="13"/>
        <v>0</v>
      </c>
      <c r="AE21" s="31">
        <f t="shared" si="13"/>
        <v>9</v>
      </c>
      <c r="AF21" s="31">
        <f t="shared" si="13"/>
        <v>64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2</v>
      </c>
      <c r="P22" s="15">
        <f t="shared" si="1"/>
        <v>8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44</v>
      </c>
      <c r="AD22" s="39">
        <f t="shared" si="14"/>
        <v>0</v>
      </c>
      <c r="AE22" s="40">
        <f t="shared" si="14"/>
        <v>8</v>
      </c>
      <c r="AF22" s="40">
        <f t="shared" si="14"/>
        <v>52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0</v>
      </c>
      <c r="P23" s="15">
        <f t="shared" si="1"/>
        <v>8</v>
      </c>
      <c r="R23" s="38" t="s">
        <v>91</v>
      </c>
      <c r="S23" s="39">
        <f>MAX(S13:S18)</f>
        <v>5</v>
      </c>
      <c r="T23" s="39">
        <f t="shared" ref="T23:AF23" si="15">MAX(T13:T18)</f>
        <v>1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3</v>
      </c>
      <c r="AA23" s="39">
        <f t="shared" si="15"/>
        <v>0</v>
      </c>
      <c r="AB23" s="39">
        <f t="shared" si="15"/>
        <v>1</v>
      </c>
      <c r="AC23" s="39">
        <f t="shared" si="15"/>
        <v>59</v>
      </c>
      <c r="AD23" s="39">
        <f t="shared" si="15"/>
        <v>0</v>
      </c>
      <c r="AE23" s="40">
        <f t="shared" si="15"/>
        <v>16</v>
      </c>
      <c r="AF23" s="40">
        <f t="shared" si="15"/>
        <v>73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1</v>
      </c>
      <c r="P24" s="15">
        <f t="shared" si="1"/>
        <v>12</v>
      </c>
      <c r="R24" s="38" t="s">
        <v>92</v>
      </c>
      <c r="S24" s="39">
        <f>MAX(S19:S21)</f>
        <v>4</v>
      </c>
      <c r="T24" s="39">
        <f t="shared" ref="T24:AF24" si="16">MAX(T19:T21)</f>
        <v>3</v>
      </c>
      <c r="U24" s="39">
        <f t="shared" si="16"/>
        <v>2</v>
      </c>
      <c r="V24" s="39">
        <f t="shared" si="16"/>
        <v>1</v>
      </c>
      <c r="W24" s="39">
        <f t="shared" si="16"/>
        <v>0</v>
      </c>
      <c r="X24" s="39">
        <f t="shared" si="16"/>
        <v>2</v>
      </c>
      <c r="Y24" s="39">
        <f t="shared" si="16"/>
        <v>3</v>
      </c>
      <c r="Z24" s="39">
        <f t="shared" si="16"/>
        <v>0</v>
      </c>
      <c r="AA24" s="39">
        <f t="shared" si="16"/>
        <v>0</v>
      </c>
      <c r="AB24" s="39">
        <f t="shared" si="16"/>
        <v>1</v>
      </c>
      <c r="AC24" s="39">
        <f t="shared" si="16"/>
        <v>55</v>
      </c>
      <c r="AD24" s="39">
        <f t="shared" si="16"/>
        <v>0</v>
      </c>
      <c r="AE24" s="40">
        <f t="shared" si="16"/>
        <v>11</v>
      </c>
      <c r="AF24" s="40">
        <f t="shared" si="16"/>
        <v>64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13</v>
      </c>
      <c r="N25" s="50">
        <v>0</v>
      </c>
      <c r="O25" s="15">
        <f t="shared" si="0"/>
        <v>2</v>
      </c>
      <c r="P25" s="15">
        <f t="shared" si="1"/>
        <v>15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2</v>
      </c>
      <c r="V25" s="16">
        <f t="shared" si="17"/>
        <v>4</v>
      </c>
      <c r="W25" s="16">
        <f t="shared" si="17"/>
        <v>0</v>
      </c>
      <c r="X25" s="16">
        <f t="shared" si="17"/>
        <v>0</v>
      </c>
      <c r="Y25" s="16">
        <f t="shared" si="17"/>
        <v>3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120</v>
      </c>
      <c r="AD25" s="16">
        <f t="shared" si="17"/>
        <v>0</v>
      </c>
      <c r="AE25" s="32">
        <f t="shared" si="17"/>
        <v>14</v>
      </c>
      <c r="AF25" s="32">
        <f t="shared" si="17"/>
        <v>134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13</v>
      </c>
      <c r="N26" s="50">
        <v>0</v>
      </c>
      <c r="O26" s="15">
        <f t="shared" si="0"/>
        <v>4</v>
      </c>
      <c r="P26" s="15">
        <f t="shared" si="1"/>
        <v>17</v>
      </c>
      <c r="R26" s="28" t="s">
        <v>86</v>
      </c>
      <c r="S26" s="16">
        <f t="shared" ref="S26:AF26" si="18">SUM(S13:S18)</f>
        <v>21</v>
      </c>
      <c r="T26" s="16">
        <f t="shared" si="18"/>
        <v>4</v>
      </c>
      <c r="U26" s="16">
        <f t="shared" si="18"/>
        <v>3</v>
      </c>
      <c r="V26" s="16">
        <f t="shared" si="18"/>
        <v>1</v>
      </c>
      <c r="W26" s="16">
        <f t="shared" si="18"/>
        <v>0</v>
      </c>
      <c r="X26" s="16">
        <f t="shared" si="18"/>
        <v>0</v>
      </c>
      <c r="Y26" s="16">
        <f t="shared" si="18"/>
        <v>24</v>
      </c>
      <c r="Z26" s="16">
        <f t="shared" si="18"/>
        <v>7</v>
      </c>
      <c r="AA26" s="16">
        <f t="shared" si="18"/>
        <v>0</v>
      </c>
      <c r="AB26" s="16">
        <f t="shared" si="18"/>
        <v>1</v>
      </c>
      <c r="AC26" s="16">
        <f t="shared" si="18"/>
        <v>291</v>
      </c>
      <c r="AD26" s="16">
        <f t="shared" si="18"/>
        <v>0</v>
      </c>
      <c r="AE26" s="32">
        <f t="shared" si="18"/>
        <v>61</v>
      </c>
      <c r="AF26" s="32">
        <f t="shared" si="18"/>
        <v>352</v>
      </c>
    </row>
    <row r="27" spans="2:32" ht="23.1" customHeight="1" x14ac:dyDescent="0.25">
      <c r="B27" s="23" t="s">
        <v>54</v>
      </c>
      <c r="C27" s="50">
        <v>2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1</v>
      </c>
      <c r="M27" s="50">
        <v>14</v>
      </c>
      <c r="N27" s="50">
        <v>0</v>
      </c>
      <c r="O27" s="15">
        <f t="shared" si="0"/>
        <v>6</v>
      </c>
      <c r="P27" s="15">
        <f t="shared" si="1"/>
        <v>20</v>
      </c>
      <c r="R27" s="29" t="s">
        <v>87</v>
      </c>
      <c r="S27" s="16">
        <f t="shared" ref="S27:AF27" si="19">SUM(S19:S21)</f>
        <v>8</v>
      </c>
      <c r="T27" s="16">
        <f t="shared" si="19"/>
        <v>6</v>
      </c>
      <c r="U27" s="16">
        <f t="shared" si="19"/>
        <v>5</v>
      </c>
      <c r="V27" s="16">
        <f t="shared" si="19"/>
        <v>1</v>
      </c>
      <c r="W27" s="16">
        <f t="shared" si="19"/>
        <v>0</v>
      </c>
      <c r="X27" s="16">
        <f t="shared" si="19"/>
        <v>2</v>
      </c>
      <c r="Y27" s="16">
        <f t="shared" si="19"/>
        <v>7</v>
      </c>
      <c r="Z27" s="16">
        <f t="shared" si="19"/>
        <v>0</v>
      </c>
      <c r="AA27" s="16">
        <f t="shared" si="19"/>
        <v>0</v>
      </c>
      <c r="AB27" s="16">
        <f t="shared" si="19"/>
        <v>1</v>
      </c>
      <c r="AC27" s="16">
        <f t="shared" si="19"/>
        <v>153</v>
      </c>
      <c r="AD27" s="16">
        <f t="shared" si="19"/>
        <v>0</v>
      </c>
      <c r="AE27" s="32">
        <f t="shared" si="19"/>
        <v>30</v>
      </c>
      <c r="AF27" s="32">
        <f t="shared" si="19"/>
        <v>183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2</v>
      </c>
      <c r="P28" s="15">
        <f t="shared" si="1"/>
        <v>16</v>
      </c>
      <c r="R28" s="5" t="s">
        <v>17</v>
      </c>
      <c r="S28" s="16">
        <f t="shared" ref="S28:AF28" si="20">SUM(S10:S21)</f>
        <v>33</v>
      </c>
      <c r="T28" s="16">
        <f t="shared" si="20"/>
        <v>10</v>
      </c>
      <c r="U28" s="16">
        <f t="shared" si="20"/>
        <v>10</v>
      </c>
      <c r="V28" s="16">
        <f t="shared" si="20"/>
        <v>6</v>
      </c>
      <c r="W28" s="16">
        <f t="shared" si="20"/>
        <v>0</v>
      </c>
      <c r="X28" s="16">
        <f t="shared" si="20"/>
        <v>2</v>
      </c>
      <c r="Y28" s="16">
        <f t="shared" si="20"/>
        <v>34</v>
      </c>
      <c r="Z28" s="16">
        <f t="shared" si="20"/>
        <v>8</v>
      </c>
      <c r="AA28" s="16">
        <f t="shared" si="20"/>
        <v>0</v>
      </c>
      <c r="AB28" s="16">
        <f t="shared" si="20"/>
        <v>2</v>
      </c>
      <c r="AC28" s="16">
        <f t="shared" si="20"/>
        <v>564</v>
      </c>
      <c r="AD28" s="16">
        <f t="shared" si="20"/>
        <v>0</v>
      </c>
      <c r="AE28" s="32">
        <f t="shared" si="20"/>
        <v>105</v>
      </c>
      <c r="AF28" s="32">
        <f t="shared" si="20"/>
        <v>669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2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11</v>
      </c>
      <c r="N30" s="50">
        <v>0</v>
      </c>
      <c r="O30" s="15">
        <f t="shared" si="0"/>
        <v>2</v>
      </c>
      <c r="P30" s="15">
        <f t="shared" si="1"/>
        <v>13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2</v>
      </c>
      <c r="P31" s="15">
        <f t="shared" si="1"/>
        <v>13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4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16</v>
      </c>
      <c r="N33" s="50">
        <v>0</v>
      </c>
      <c r="O33" s="15">
        <f t="shared" si="0"/>
        <v>1</v>
      </c>
      <c r="P33" s="15">
        <f t="shared" si="1"/>
        <v>17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0</v>
      </c>
      <c r="P34" s="15">
        <f t="shared" si="1"/>
        <v>10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16</v>
      </c>
      <c r="N35" s="50">
        <v>0</v>
      </c>
      <c r="O35" s="15">
        <f t="shared" si="0"/>
        <v>0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2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6</v>
      </c>
      <c r="P36" s="15">
        <f t="shared" si="1"/>
        <v>17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12</v>
      </c>
      <c r="N37" s="50">
        <v>0</v>
      </c>
      <c r="O37" s="15">
        <f t="shared" si="0"/>
        <v>0</v>
      </c>
      <c r="P37" s="15">
        <f t="shared" si="1"/>
        <v>12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2</v>
      </c>
      <c r="J38" s="50">
        <v>2</v>
      </c>
      <c r="K38" s="50">
        <v>0</v>
      </c>
      <c r="L38" s="50">
        <v>0</v>
      </c>
      <c r="M38" s="50">
        <v>7</v>
      </c>
      <c r="N38" s="50">
        <v>0</v>
      </c>
      <c r="O38" s="15">
        <f t="shared" si="0"/>
        <v>7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9</v>
      </c>
      <c r="N39" s="50">
        <v>0</v>
      </c>
      <c r="O39" s="15">
        <f t="shared" si="0"/>
        <v>3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19</v>
      </c>
      <c r="N40" s="50">
        <v>0</v>
      </c>
      <c r="O40" s="15">
        <f t="shared" si="0"/>
        <v>3</v>
      </c>
      <c r="P40" s="15">
        <f t="shared" si="1"/>
        <v>22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13</v>
      </c>
      <c r="N41" s="50">
        <v>0</v>
      </c>
      <c r="O41" s="15">
        <f t="shared" si="0"/>
        <v>3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12</v>
      </c>
      <c r="N42" s="50">
        <v>0</v>
      </c>
      <c r="O42" s="15">
        <f t="shared" si="0"/>
        <v>3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1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1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9</v>
      </c>
      <c r="N44" s="50">
        <v>0</v>
      </c>
      <c r="O44" s="15">
        <f t="shared" si="0"/>
        <v>2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11</v>
      </c>
      <c r="N45" s="50">
        <v>0</v>
      </c>
      <c r="O45" s="15">
        <f t="shared" si="0"/>
        <v>5</v>
      </c>
      <c r="P45" s="15">
        <f t="shared" si="1"/>
        <v>16</v>
      </c>
    </row>
    <row r="46" spans="2:20" ht="23.1" customHeight="1" x14ac:dyDescent="0.25">
      <c r="B46" s="24" t="s">
        <v>73</v>
      </c>
      <c r="C46" s="50">
        <v>0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5">
        <f t="shared" si="0"/>
        <v>4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3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3</v>
      </c>
      <c r="P48" s="15">
        <f t="shared" si="1"/>
        <v>15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8</v>
      </c>
      <c r="N49" s="50">
        <v>0</v>
      </c>
      <c r="O49" s="15">
        <f t="shared" si="0"/>
        <v>1</v>
      </c>
      <c r="P49" s="15">
        <f t="shared" si="1"/>
        <v>9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1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1</v>
      </c>
      <c r="M50" s="50">
        <v>21</v>
      </c>
      <c r="N50" s="50">
        <v>0</v>
      </c>
      <c r="O50" s="15">
        <f t="shared" si="0"/>
        <v>2</v>
      </c>
      <c r="P50" s="15">
        <f t="shared" si="1"/>
        <v>23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1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10</v>
      </c>
      <c r="N51" s="50">
        <v>0</v>
      </c>
      <c r="O51" s="15">
        <f t="shared" si="0"/>
        <v>1</v>
      </c>
      <c r="P51" s="15">
        <f t="shared" si="1"/>
        <v>11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1</v>
      </c>
      <c r="E52" s="50">
        <v>0</v>
      </c>
      <c r="F52" s="50">
        <v>0</v>
      </c>
      <c r="G52" s="50">
        <v>0</v>
      </c>
      <c r="H52" s="50">
        <v>1</v>
      </c>
      <c r="I52" s="50">
        <v>1</v>
      </c>
      <c r="J52" s="50">
        <v>0</v>
      </c>
      <c r="K52" s="50">
        <v>0</v>
      </c>
      <c r="L52" s="50">
        <v>0</v>
      </c>
      <c r="M52" s="50">
        <v>3</v>
      </c>
      <c r="N52" s="50">
        <v>0</v>
      </c>
      <c r="O52" s="15">
        <f t="shared" si="0"/>
        <v>3</v>
      </c>
      <c r="P52" s="15">
        <f t="shared" si="1"/>
        <v>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2</v>
      </c>
      <c r="F53" s="50">
        <v>0</v>
      </c>
      <c r="G53" s="50">
        <v>0</v>
      </c>
      <c r="H53" s="50">
        <v>1</v>
      </c>
      <c r="I53" s="50">
        <v>1</v>
      </c>
      <c r="J53" s="50">
        <v>0</v>
      </c>
      <c r="K53" s="50">
        <v>0</v>
      </c>
      <c r="L53" s="50">
        <v>0</v>
      </c>
      <c r="M53" s="50">
        <v>16</v>
      </c>
      <c r="N53" s="50">
        <v>0</v>
      </c>
      <c r="O53" s="15">
        <f t="shared" si="0"/>
        <v>4</v>
      </c>
      <c r="P53" s="15">
        <f t="shared" si="1"/>
        <v>20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2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16</v>
      </c>
      <c r="N55" s="50">
        <v>0</v>
      </c>
      <c r="O55" s="15">
        <f t="shared" si="0"/>
        <v>3</v>
      </c>
      <c r="P55" s="15">
        <f t="shared" si="1"/>
        <v>19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14</v>
      </c>
      <c r="N56" s="50">
        <v>0</v>
      </c>
      <c r="O56" s="15">
        <f t="shared" si="0"/>
        <v>1</v>
      </c>
      <c r="P56" s="15">
        <f t="shared" si="1"/>
        <v>15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3</v>
      </c>
      <c r="P57" s="15">
        <f t="shared" si="1"/>
        <v>10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</v>
      </c>
      <c r="D58" s="16">
        <f t="shared" si="21"/>
        <v>10</v>
      </c>
      <c r="E58" s="16">
        <f t="shared" si="21"/>
        <v>10</v>
      </c>
      <c r="F58" s="16">
        <f t="shared" si="21"/>
        <v>6</v>
      </c>
      <c r="G58" s="16">
        <f t="shared" si="21"/>
        <v>0</v>
      </c>
      <c r="H58" s="16">
        <f t="shared" si="21"/>
        <v>2</v>
      </c>
      <c r="I58" s="16">
        <f t="shared" si="21"/>
        <v>34</v>
      </c>
      <c r="J58" s="16">
        <f t="shared" si="21"/>
        <v>8</v>
      </c>
      <c r="K58" s="16">
        <f t="shared" si="21"/>
        <v>0</v>
      </c>
      <c r="L58" s="16">
        <f t="shared" si="21"/>
        <v>2</v>
      </c>
      <c r="M58" s="16">
        <f t="shared" si="21"/>
        <v>564</v>
      </c>
      <c r="N58" s="16">
        <f t="shared" si="21"/>
        <v>0</v>
      </c>
      <c r="O58" s="16">
        <f t="shared" si="21"/>
        <v>105</v>
      </c>
      <c r="P58" s="16">
        <f t="shared" si="21"/>
        <v>669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4.9327354260089683E-2</v>
      </c>
      <c r="D59" s="43">
        <f t="shared" si="22"/>
        <v>1.4947683109118086E-2</v>
      </c>
      <c r="E59" s="43">
        <f t="shared" si="22"/>
        <v>1.4947683109118086E-2</v>
      </c>
      <c r="F59" s="43">
        <f t="shared" si="22"/>
        <v>8.9686098654708519E-3</v>
      </c>
      <c r="G59" s="43">
        <f t="shared" si="22"/>
        <v>0</v>
      </c>
      <c r="H59" s="43">
        <f t="shared" si="22"/>
        <v>2.9895366218236174E-3</v>
      </c>
      <c r="I59" s="43">
        <f t="shared" si="22"/>
        <v>5.0822122571001493E-2</v>
      </c>
      <c r="J59" s="43">
        <f t="shared" si="22"/>
        <v>1.195814648729447E-2</v>
      </c>
      <c r="K59" s="43">
        <f t="shared" si="22"/>
        <v>0</v>
      </c>
      <c r="L59" s="43">
        <f t="shared" si="22"/>
        <v>2.9895366218236174E-3</v>
      </c>
      <c r="M59" s="43">
        <f t="shared" si="22"/>
        <v>0.84304932735426008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0.31428571428571428</v>
      </c>
      <c r="D60" s="44">
        <f t="shared" ref="D60:N60" si="23">D58/$O$58</f>
        <v>9.5238095238095233E-2</v>
      </c>
      <c r="E60" s="44">
        <f t="shared" si="23"/>
        <v>9.5238095238095233E-2</v>
      </c>
      <c r="F60" s="44">
        <f t="shared" si="23"/>
        <v>5.7142857142857141E-2</v>
      </c>
      <c r="G60" s="44">
        <f t="shared" si="23"/>
        <v>0</v>
      </c>
      <c r="H60" s="44">
        <f t="shared" si="23"/>
        <v>1.9047619047619049E-2</v>
      </c>
      <c r="I60" s="44">
        <f t="shared" si="23"/>
        <v>0.32380952380952382</v>
      </c>
      <c r="J60" s="44">
        <f t="shared" si="23"/>
        <v>7.6190476190476197E-2</v>
      </c>
      <c r="K60" s="44">
        <f t="shared" si="23"/>
        <v>0</v>
      </c>
      <c r="L60" s="44">
        <f t="shared" si="23"/>
        <v>1.9047619047619049E-2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bukomero-Kyankwanzi'!C3:G3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'22.10 Kyankwanzi-bukomero'!G5:H5</f>
        <v>bukomero</v>
      </c>
      <c r="H5" s="64"/>
      <c r="I5" s="14"/>
      <c r="J5" s="2" t="s">
        <v>5</v>
      </c>
      <c r="K5" s="63" t="str">
        <f>'22.10 Kyankwanzi-bukomero'!K5:L5</f>
        <v>kato joseph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bukomero-Kyankwanzi'!D6:E6</f>
        <v>bukomero</v>
      </c>
      <c r="E6" s="64"/>
      <c r="F6" s="2" t="s">
        <v>2</v>
      </c>
      <c r="G6" s="63" t="str">
        <f>'17.10 bukomero-Kyankwanzi'!G6:H6</f>
        <v>kyankwanzi</v>
      </c>
      <c r="H6" s="64"/>
      <c r="J6" s="2" t="s">
        <v>21</v>
      </c>
      <c r="K6" s="63" t="str">
        <f>'22.10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40</v>
      </c>
      <c r="AD10" s="17">
        <f t="shared" si="2"/>
        <v>0</v>
      </c>
      <c r="AE10" s="31">
        <f t="shared" si="2"/>
        <v>9</v>
      </c>
      <c r="AF10" s="31">
        <f t="shared" si="2"/>
        <v>49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1</v>
      </c>
      <c r="P11" s="15">
        <f t="shared" si="1"/>
        <v>10</v>
      </c>
      <c r="R11" s="1" t="s">
        <v>7</v>
      </c>
      <c r="S11" s="17">
        <f t="shared" ref="S11:AF11" si="3">SUM(C14:C17)</f>
        <v>7</v>
      </c>
      <c r="T11" s="17">
        <f t="shared" si="3"/>
        <v>1</v>
      </c>
      <c r="U11" s="17">
        <f t="shared" si="3"/>
        <v>2</v>
      </c>
      <c r="V11" s="17">
        <f t="shared" si="3"/>
        <v>12</v>
      </c>
      <c r="W11" s="17">
        <f t="shared" si="3"/>
        <v>2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62</v>
      </c>
      <c r="AD11" s="17">
        <f t="shared" si="3"/>
        <v>0</v>
      </c>
      <c r="AE11" s="31">
        <f t="shared" si="3"/>
        <v>24</v>
      </c>
      <c r="AF11" s="31">
        <f t="shared" si="3"/>
        <v>86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2</v>
      </c>
      <c r="P12" s="15">
        <f t="shared" si="1"/>
        <v>17</v>
      </c>
      <c r="R12" s="1" t="s">
        <v>8</v>
      </c>
      <c r="S12" s="17">
        <f t="shared" ref="S12:AF12" si="4">SUM(C18:C21)</f>
        <v>1</v>
      </c>
      <c r="T12" s="17">
        <f t="shared" si="4"/>
        <v>1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8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54</v>
      </c>
      <c r="AD12" s="17">
        <f t="shared" si="4"/>
        <v>0</v>
      </c>
      <c r="AE12" s="31">
        <f t="shared" si="4"/>
        <v>11</v>
      </c>
      <c r="AF12" s="31">
        <f t="shared" si="4"/>
        <v>65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3</v>
      </c>
      <c r="P13" s="15">
        <f t="shared" si="1"/>
        <v>11</v>
      </c>
      <c r="R13" s="1" t="s">
        <v>9</v>
      </c>
      <c r="S13" s="17">
        <f t="shared" ref="S13:AF13" si="5">SUM(C22:C25)</f>
        <v>3</v>
      </c>
      <c r="T13" s="17">
        <f t="shared" si="5"/>
        <v>3</v>
      </c>
      <c r="U13" s="17">
        <f t="shared" si="5"/>
        <v>1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56</v>
      </c>
      <c r="AD13" s="17">
        <f t="shared" si="5"/>
        <v>0</v>
      </c>
      <c r="AE13" s="31">
        <f t="shared" si="5"/>
        <v>12</v>
      </c>
      <c r="AF13" s="31">
        <f t="shared" si="5"/>
        <v>68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4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15</v>
      </c>
      <c r="N14" s="50">
        <v>0</v>
      </c>
      <c r="O14" s="15">
        <f t="shared" si="0"/>
        <v>6</v>
      </c>
      <c r="P14" s="15">
        <f t="shared" si="1"/>
        <v>21</v>
      </c>
      <c r="R14" s="1" t="s">
        <v>10</v>
      </c>
      <c r="S14" s="17">
        <f t="shared" ref="S14:AF14" si="6">SUM(C26:C29)</f>
        <v>0</v>
      </c>
      <c r="T14" s="17">
        <f t="shared" si="6"/>
        <v>1</v>
      </c>
      <c r="U14" s="17">
        <f t="shared" si="6"/>
        <v>0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50</v>
      </c>
      <c r="AD14" s="17">
        <f t="shared" si="6"/>
        <v>0</v>
      </c>
      <c r="AE14" s="31">
        <f t="shared" si="6"/>
        <v>2</v>
      </c>
      <c r="AF14" s="31">
        <f t="shared" si="6"/>
        <v>52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2</v>
      </c>
      <c r="F15" s="50">
        <v>4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8</v>
      </c>
      <c r="P15" s="15">
        <f t="shared" si="1"/>
        <v>24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39</v>
      </c>
      <c r="AD15" s="17">
        <f t="shared" si="7"/>
        <v>0</v>
      </c>
      <c r="AE15" s="31">
        <f t="shared" si="7"/>
        <v>9</v>
      </c>
      <c r="AF15" s="31">
        <f t="shared" si="7"/>
        <v>48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3</v>
      </c>
      <c r="G16" s="50">
        <v>1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5</v>
      </c>
      <c r="P16" s="15">
        <f t="shared" si="1"/>
        <v>17</v>
      </c>
      <c r="R16" s="1" t="s">
        <v>12</v>
      </c>
      <c r="S16" s="17">
        <f t="shared" ref="S16:AF16" si="8">SUM(C34:C37)</f>
        <v>4</v>
      </c>
      <c r="T16" s="17">
        <f t="shared" si="8"/>
        <v>1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44</v>
      </c>
      <c r="AD16" s="17">
        <f t="shared" si="8"/>
        <v>0</v>
      </c>
      <c r="AE16" s="31">
        <f t="shared" si="8"/>
        <v>9</v>
      </c>
      <c r="AF16" s="31">
        <f t="shared" si="8"/>
        <v>53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0</v>
      </c>
      <c r="F17" s="50">
        <v>1</v>
      </c>
      <c r="G17" s="50">
        <v>1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19</v>
      </c>
      <c r="N17" s="50">
        <v>0</v>
      </c>
      <c r="O17" s="15">
        <f t="shared" si="0"/>
        <v>5</v>
      </c>
      <c r="P17" s="15">
        <f t="shared" si="1"/>
        <v>24</v>
      </c>
      <c r="R17" s="1" t="s">
        <v>13</v>
      </c>
      <c r="S17" s="17">
        <f t="shared" ref="S17:AF17" si="9">SUM(C38:C41)</f>
        <v>3</v>
      </c>
      <c r="T17" s="17">
        <f t="shared" si="9"/>
        <v>1</v>
      </c>
      <c r="U17" s="17">
        <f t="shared" si="9"/>
        <v>0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1</v>
      </c>
      <c r="AB17" s="17">
        <f t="shared" si="9"/>
        <v>0</v>
      </c>
      <c r="AC17" s="17">
        <f t="shared" si="9"/>
        <v>40</v>
      </c>
      <c r="AD17" s="17">
        <f t="shared" si="9"/>
        <v>0</v>
      </c>
      <c r="AE17" s="31">
        <f t="shared" si="9"/>
        <v>13</v>
      </c>
      <c r="AF17" s="31">
        <f t="shared" si="9"/>
        <v>53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4</v>
      </c>
      <c r="J18" s="50">
        <v>0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6</v>
      </c>
      <c r="P18" s="15">
        <f t="shared" si="1"/>
        <v>20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45</v>
      </c>
      <c r="AD18" s="17">
        <f t="shared" si="10"/>
        <v>0</v>
      </c>
      <c r="AE18" s="31">
        <f t="shared" si="10"/>
        <v>6</v>
      </c>
      <c r="AF18" s="31">
        <f t="shared" si="10"/>
        <v>51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1</v>
      </c>
      <c r="P19" s="15">
        <f t="shared" si="1"/>
        <v>18</v>
      </c>
      <c r="R19" s="1" t="s">
        <v>15</v>
      </c>
      <c r="S19" s="17">
        <f t="shared" ref="S19:AF19" si="11">SUM(C46:C49)</f>
        <v>4</v>
      </c>
      <c r="T19" s="17">
        <f t="shared" si="11"/>
        <v>1</v>
      </c>
      <c r="U19" s="17">
        <f t="shared" si="11"/>
        <v>3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54</v>
      </c>
      <c r="AD19" s="17">
        <f t="shared" si="11"/>
        <v>0</v>
      </c>
      <c r="AE19" s="31">
        <f t="shared" si="11"/>
        <v>12</v>
      </c>
      <c r="AF19" s="31">
        <f t="shared" si="11"/>
        <v>66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11</v>
      </c>
      <c r="N20" s="50">
        <v>0</v>
      </c>
      <c r="O20" s="15">
        <f t="shared" si="0"/>
        <v>1</v>
      </c>
      <c r="P20" s="15">
        <f t="shared" si="1"/>
        <v>12</v>
      </c>
      <c r="R20" s="1" t="s">
        <v>16</v>
      </c>
      <c r="S20" s="17">
        <f t="shared" ref="S20:AF20" si="12">SUM(C50:C53)</f>
        <v>3</v>
      </c>
      <c r="T20" s="17">
        <f t="shared" si="12"/>
        <v>2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44</v>
      </c>
      <c r="AD20" s="17">
        <f t="shared" si="12"/>
        <v>0</v>
      </c>
      <c r="AE20" s="31">
        <f t="shared" si="12"/>
        <v>11</v>
      </c>
      <c r="AF20" s="31">
        <f t="shared" si="12"/>
        <v>55</v>
      </c>
    </row>
    <row r="21" spans="2:32" ht="23.1" customHeight="1" x14ac:dyDescent="0.25">
      <c r="B21" s="23" t="s">
        <v>48</v>
      </c>
      <c r="C21" s="50">
        <v>1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12</v>
      </c>
      <c r="N21" s="50">
        <v>0</v>
      </c>
      <c r="O21" s="15">
        <f t="shared" si="0"/>
        <v>3</v>
      </c>
      <c r="P21" s="15">
        <f t="shared" si="1"/>
        <v>15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3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37</v>
      </c>
      <c r="AD21" s="17">
        <f t="shared" si="13"/>
        <v>0</v>
      </c>
      <c r="AE21" s="31">
        <f t="shared" si="13"/>
        <v>14</v>
      </c>
      <c r="AF21" s="31">
        <f t="shared" si="13"/>
        <v>51</v>
      </c>
    </row>
    <row r="22" spans="2:32" ht="23.1" customHeight="1" x14ac:dyDescent="0.25">
      <c r="B22" s="23" t="s">
        <v>49</v>
      </c>
      <c r="C22" s="50">
        <v>0</v>
      </c>
      <c r="D22" s="50">
        <v>3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16</v>
      </c>
      <c r="N22" s="50">
        <v>0</v>
      </c>
      <c r="O22" s="15">
        <f t="shared" si="0"/>
        <v>4</v>
      </c>
      <c r="P22" s="15">
        <f t="shared" si="1"/>
        <v>20</v>
      </c>
      <c r="R22" s="38" t="s">
        <v>90</v>
      </c>
      <c r="S22" s="39">
        <f>MAX(S10:S12)</f>
        <v>7</v>
      </c>
      <c r="T22" s="39">
        <f t="shared" ref="T22:AF22" si="14">MAX(T10:T12)</f>
        <v>1</v>
      </c>
      <c r="U22" s="39">
        <f t="shared" si="14"/>
        <v>2</v>
      </c>
      <c r="V22" s="39">
        <f t="shared" si="14"/>
        <v>12</v>
      </c>
      <c r="W22" s="39">
        <f t="shared" si="14"/>
        <v>2</v>
      </c>
      <c r="X22" s="39">
        <f t="shared" si="14"/>
        <v>0</v>
      </c>
      <c r="Y22" s="39">
        <f t="shared" si="14"/>
        <v>8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62</v>
      </c>
      <c r="AD22" s="39">
        <f t="shared" si="14"/>
        <v>0</v>
      </c>
      <c r="AE22" s="40">
        <f t="shared" si="14"/>
        <v>24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5</v>
      </c>
      <c r="P23" s="15">
        <f t="shared" si="1"/>
        <v>19</v>
      </c>
      <c r="R23" s="38" t="s">
        <v>91</v>
      </c>
      <c r="S23" s="39">
        <f>MAX(S13:S18)</f>
        <v>4</v>
      </c>
      <c r="T23" s="39">
        <f t="shared" ref="T23:AF23" si="15">MAX(T13:T18)</f>
        <v>3</v>
      </c>
      <c r="U23" s="39">
        <f t="shared" si="15"/>
        <v>1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8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56</v>
      </c>
      <c r="AD23" s="39">
        <f t="shared" si="15"/>
        <v>0</v>
      </c>
      <c r="AE23" s="40">
        <f t="shared" si="15"/>
        <v>13</v>
      </c>
      <c r="AF23" s="40">
        <f t="shared" si="15"/>
        <v>68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17</v>
      </c>
      <c r="N24" s="50">
        <v>0</v>
      </c>
      <c r="O24" s="15">
        <f t="shared" si="0"/>
        <v>3</v>
      </c>
      <c r="P24" s="15">
        <f t="shared" si="1"/>
        <v>20</v>
      </c>
      <c r="R24" s="38" t="s">
        <v>92</v>
      </c>
      <c r="S24" s="39">
        <f>MAX(S19:S21)</f>
        <v>6</v>
      </c>
      <c r="T24" s="39">
        <f t="shared" ref="T24:AF24" si="16">MAX(T19:T21)</f>
        <v>2</v>
      </c>
      <c r="U24" s="39">
        <f t="shared" si="16"/>
        <v>3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54</v>
      </c>
      <c r="AD24" s="39">
        <f t="shared" si="16"/>
        <v>0</v>
      </c>
      <c r="AE24" s="40">
        <f t="shared" si="16"/>
        <v>14</v>
      </c>
      <c r="AF24" s="40">
        <f t="shared" si="16"/>
        <v>66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0</v>
      </c>
      <c r="P25" s="15">
        <f t="shared" si="1"/>
        <v>9</v>
      </c>
      <c r="R25" s="37" t="s">
        <v>85</v>
      </c>
      <c r="S25" s="35">
        <f t="shared" ref="S25:AF25" si="17">SUM(S10:S12)</f>
        <v>11</v>
      </c>
      <c r="T25" s="16">
        <f t="shared" si="17"/>
        <v>2</v>
      </c>
      <c r="U25" s="16">
        <f t="shared" si="17"/>
        <v>4</v>
      </c>
      <c r="V25" s="16">
        <f t="shared" si="17"/>
        <v>12</v>
      </c>
      <c r="W25" s="16">
        <f t="shared" si="17"/>
        <v>2</v>
      </c>
      <c r="X25" s="16">
        <f t="shared" si="17"/>
        <v>0</v>
      </c>
      <c r="Y25" s="16">
        <f t="shared" si="17"/>
        <v>13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156</v>
      </c>
      <c r="AD25" s="16">
        <f t="shared" si="17"/>
        <v>0</v>
      </c>
      <c r="AE25" s="32">
        <f t="shared" si="17"/>
        <v>44</v>
      </c>
      <c r="AF25" s="32">
        <f t="shared" si="17"/>
        <v>200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0</v>
      </c>
      <c r="P26" s="15">
        <f t="shared" si="1"/>
        <v>11</v>
      </c>
      <c r="R26" s="28" t="s">
        <v>86</v>
      </c>
      <c r="S26" s="16">
        <f t="shared" ref="S26:AF26" si="18">SUM(S13:S18)</f>
        <v>13</v>
      </c>
      <c r="T26" s="16">
        <f t="shared" si="18"/>
        <v>6</v>
      </c>
      <c r="U26" s="16">
        <f t="shared" si="18"/>
        <v>2</v>
      </c>
      <c r="V26" s="16">
        <f t="shared" si="18"/>
        <v>3</v>
      </c>
      <c r="W26" s="16">
        <f t="shared" si="18"/>
        <v>0</v>
      </c>
      <c r="X26" s="16">
        <f t="shared" si="18"/>
        <v>0</v>
      </c>
      <c r="Y26" s="16">
        <f t="shared" si="18"/>
        <v>25</v>
      </c>
      <c r="Z26" s="16">
        <f t="shared" si="18"/>
        <v>1</v>
      </c>
      <c r="AA26" s="16">
        <f t="shared" si="18"/>
        <v>1</v>
      </c>
      <c r="AB26" s="16">
        <f t="shared" si="18"/>
        <v>0</v>
      </c>
      <c r="AC26" s="16">
        <f t="shared" si="18"/>
        <v>274</v>
      </c>
      <c r="AD26" s="16">
        <f t="shared" si="18"/>
        <v>0</v>
      </c>
      <c r="AE26" s="32">
        <f t="shared" si="18"/>
        <v>51</v>
      </c>
      <c r="AF26" s="32">
        <f t="shared" si="18"/>
        <v>325</v>
      </c>
    </row>
    <row r="27" spans="2:32" ht="23.1" customHeight="1" x14ac:dyDescent="0.25">
      <c r="B27" s="23" t="s">
        <v>54</v>
      </c>
      <c r="C27" s="50">
        <v>0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2</v>
      </c>
      <c r="P27" s="15">
        <f t="shared" si="1"/>
        <v>13</v>
      </c>
      <c r="R27" s="29" t="s">
        <v>87</v>
      </c>
      <c r="S27" s="16">
        <f t="shared" ref="S27:AF27" si="19">SUM(S19:S21)</f>
        <v>13</v>
      </c>
      <c r="T27" s="16">
        <f t="shared" si="19"/>
        <v>3</v>
      </c>
      <c r="U27" s="16">
        <f t="shared" si="19"/>
        <v>7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12</v>
      </c>
      <c r="Z27" s="16">
        <f t="shared" si="19"/>
        <v>0</v>
      </c>
      <c r="AA27" s="16">
        <f t="shared" si="19"/>
        <v>1</v>
      </c>
      <c r="AB27" s="16">
        <f t="shared" si="19"/>
        <v>0</v>
      </c>
      <c r="AC27" s="16">
        <f t="shared" si="19"/>
        <v>135</v>
      </c>
      <c r="AD27" s="16">
        <f t="shared" si="19"/>
        <v>0</v>
      </c>
      <c r="AE27" s="32">
        <f t="shared" si="19"/>
        <v>37</v>
      </c>
      <c r="AF27" s="32">
        <f t="shared" si="19"/>
        <v>172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0</v>
      </c>
      <c r="P28" s="15">
        <f t="shared" si="1"/>
        <v>12</v>
      </c>
      <c r="R28" s="5" t="s">
        <v>17</v>
      </c>
      <c r="S28" s="16">
        <f t="shared" ref="S28:AF28" si="20">SUM(S10:S21)</f>
        <v>37</v>
      </c>
      <c r="T28" s="16">
        <f t="shared" si="20"/>
        <v>11</v>
      </c>
      <c r="U28" s="16">
        <f t="shared" si="20"/>
        <v>13</v>
      </c>
      <c r="V28" s="16">
        <f t="shared" si="20"/>
        <v>16</v>
      </c>
      <c r="W28" s="16">
        <f t="shared" si="20"/>
        <v>2</v>
      </c>
      <c r="X28" s="16">
        <f t="shared" si="20"/>
        <v>0</v>
      </c>
      <c r="Y28" s="16">
        <f t="shared" si="20"/>
        <v>50</v>
      </c>
      <c r="Z28" s="16">
        <f t="shared" si="20"/>
        <v>1</v>
      </c>
      <c r="AA28" s="16">
        <f t="shared" si="20"/>
        <v>2</v>
      </c>
      <c r="AB28" s="16">
        <f t="shared" si="20"/>
        <v>0</v>
      </c>
      <c r="AC28" s="16">
        <f t="shared" si="20"/>
        <v>565</v>
      </c>
      <c r="AD28" s="16">
        <f t="shared" si="20"/>
        <v>0</v>
      </c>
      <c r="AE28" s="32">
        <f t="shared" si="20"/>
        <v>132</v>
      </c>
      <c r="AF28" s="32">
        <f t="shared" si="20"/>
        <v>697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0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1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3</v>
      </c>
      <c r="P31" s="15">
        <f t="shared" si="1"/>
        <v>10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4</v>
      </c>
      <c r="P32" s="15">
        <f t="shared" si="1"/>
        <v>14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1</v>
      </c>
      <c r="P33" s="15">
        <f t="shared" si="1"/>
        <v>13</v>
      </c>
    </row>
    <row r="34" spans="2:20" ht="23.1" customHeight="1" x14ac:dyDescent="0.25">
      <c r="B34" s="24" t="s">
        <v>61</v>
      </c>
      <c r="C34" s="50">
        <v>0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2</v>
      </c>
      <c r="P34" s="15">
        <f t="shared" si="1"/>
        <v>11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3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2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2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10</v>
      </c>
      <c r="N38" s="50">
        <v>0</v>
      </c>
      <c r="O38" s="15">
        <f t="shared" si="0"/>
        <v>1</v>
      </c>
      <c r="P38" s="15">
        <f t="shared" si="1"/>
        <v>11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0</v>
      </c>
      <c r="J39" s="50">
        <v>1</v>
      </c>
      <c r="K39" s="50">
        <v>0</v>
      </c>
      <c r="L39" s="50">
        <v>0</v>
      </c>
      <c r="M39" s="50">
        <v>13</v>
      </c>
      <c r="N39" s="50">
        <v>0</v>
      </c>
      <c r="O39" s="15">
        <f t="shared" si="0"/>
        <v>2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0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1</v>
      </c>
      <c r="L40" s="50">
        <v>0</v>
      </c>
      <c r="M40" s="50">
        <v>10</v>
      </c>
      <c r="N40" s="50">
        <v>0</v>
      </c>
      <c r="O40" s="15">
        <f t="shared" si="0"/>
        <v>5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7</v>
      </c>
      <c r="N41" s="50">
        <v>0</v>
      </c>
      <c r="O41" s="15">
        <f t="shared" si="0"/>
        <v>5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8</v>
      </c>
      <c r="N42" s="50">
        <v>0</v>
      </c>
      <c r="O42" s="15">
        <f t="shared" si="0"/>
        <v>1</v>
      </c>
      <c r="P42" s="15">
        <f t="shared" si="1"/>
        <v>9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0</v>
      </c>
      <c r="P43" s="15">
        <f t="shared" si="1"/>
        <v>7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2</v>
      </c>
      <c r="P44" s="15">
        <f t="shared" si="1"/>
        <v>17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3</v>
      </c>
      <c r="P45" s="15">
        <f t="shared" si="1"/>
        <v>18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17</v>
      </c>
      <c r="N46" s="50">
        <v>0</v>
      </c>
      <c r="O46" s="15">
        <f t="shared" si="0"/>
        <v>1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11</v>
      </c>
      <c r="N47" s="50">
        <v>0</v>
      </c>
      <c r="O47" s="15">
        <f t="shared" si="0"/>
        <v>4</v>
      </c>
      <c r="P47" s="15">
        <f t="shared" si="1"/>
        <v>15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12</v>
      </c>
      <c r="N48" s="50">
        <v>0</v>
      </c>
      <c r="O48" s="15">
        <f t="shared" si="0"/>
        <v>1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1</v>
      </c>
      <c r="E49" s="50">
        <v>1</v>
      </c>
      <c r="F49" s="50">
        <v>0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6</v>
      </c>
      <c r="P49" s="15">
        <f t="shared" si="1"/>
        <v>20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3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1</v>
      </c>
      <c r="P51" s="15">
        <f t="shared" si="1"/>
        <v>7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2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16</v>
      </c>
      <c r="N52" s="50">
        <v>0</v>
      </c>
      <c r="O52" s="15">
        <f t="shared" si="0"/>
        <v>3</v>
      </c>
      <c r="P52" s="15">
        <f t="shared" si="1"/>
        <v>19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4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4</v>
      </c>
      <c r="P54" s="15">
        <f t="shared" si="1"/>
        <v>11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0</v>
      </c>
      <c r="M55" s="50">
        <v>18</v>
      </c>
      <c r="N55" s="50">
        <v>0</v>
      </c>
      <c r="O55" s="15">
        <f t="shared" si="0"/>
        <v>2</v>
      </c>
      <c r="P55" s="15">
        <f t="shared" si="1"/>
        <v>20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4</v>
      </c>
      <c r="N56" s="50">
        <v>0</v>
      </c>
      <c r="O56" s="15">
        <f t="shared" si="0"/>
        <v>1</v>
      </c>
      <c r="P56" s="15">
        <f t="shared" si="1"/>
        <v>5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8</v>
      </c>
      <c r="N57" s="50">
        <v>0</v>
      </c>
      <c r="O57" s="15">
        <f t="shared" si="0"/>
        <v>7</v>
      </c>
      <c r="P57" s="15">
        <f t="shared" si="1"/>
        <v>15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37</v>
      </c>
      <c r="D58" s="16">
        <f t="shared" si="21"/>
        <v>11</v>
      </c>
      <c r="E58" s="16">
        <f t="shared" si="21"/>
        <v>13</v>
      </c>
      <c r="F58" s="16">
        <f t="shared" si="21"/>
        <v>16</v>
      </c>
      <c r="G58" s="16">
        <f t="shared" si="21"/>
        <v>2</v>
      </c>
      <c r="H58" s="16">
        <f t="shared" si="21"/>
        <v>0</v>
      </c>
      <c r="I58" s="16">
        <f t="shared" si="21"/>
        <v>50</v>
      </c>
      <c r="J58" s="16">
        <f t="shared" si="21"/>
        <v>1</v>
      </c>
      <c r="K58" s="16">
        <f t="shared" si="21"/>
        <v>2</v>
      </c>
      <c r="L58" s="16">
        <f t="shared" si="21"/>
        <v>0</v>
      </c>
      <c r="M58" s="16">
        <f t="shared" si="21"/>
        <v>565</v>
      </c>
      <c r="N58" s="16">
        <f t="shared" si="21"/>
        <v>0</v>
      </c>
      <c r="O58" s="16">
        <f t="shared" si="21"/>
        <v>132</v>
      </c>
      <c r="P58" s="16">
        <f t="shared" si="21"/>
        <v>697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5.308464849354376E-2</v>
      </c>
      <c r="D59" s="43">
        <f t="shared" si="22"/>
        <v>1.5781922525107604E-2</v>
      </c>
      <c r="E59" s="43">
        <f t="shared" si="22"/>
        <v>1.8651362984218076E-2</v>
      </c>
      <c r="F59" s="43">
        <f t="shared" si="22"/>
        <v>2.2955523672883789E-2</v>
      </c>
      <c r="G59" s="43">
        <f t="shared" si="22"/>
        <v>2.8694404591104736E-3</v>
      </c>
      <c r="H59" s="43">
        <f t="shared" si="22"/>
        <v>0</v>
      </c>
      <c r="I59" s="43">
        <f t="shared" si="22"/>
        <v>7.1736011477761832E-2</v>
      </c>
      <c r="J59" s="43">
        <f t="shared" si="22"/>
        <v>1.4347202295552368E-3</v>
      </c>
      <c r="K59" s="43">
        <f t="shared" si="22"/>
        <v>2.8694404591104736E-3</v>
      </c>
      <c r="L59" s="43">
        <f t="shared" si="22"/>
        <v>0</v>
      </c>
      <c r="M59" s="43">
        <f t="shared" si="22"/>
        <v>0.8106169296987088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0.28030303030303028</v>
      </c>
      <c r="D60" s="44">
        <f t="shared" ref="D60:N60" si="23">D58/$O$58</f>
        <v>8.3333333333333329E-2</v>
      </c>
      <c r="E60" s="44">
        <f t="shared" si="23"/>
        <v>9.8484848484848481E-2</v>
      </c>
      <c r="F60" s="44">
        <f t="shared" si="23"/>
        <v>0.12121212121212122</v>
      </c>
      <c r="G60" s="44">
        <f t="shared" si="23"/>
        <v>1.5151515151515152E-2</v>
      </c>
      <c r="H60" s="44">
        <f t="shared" si="23"/>
        <v>0</v>
      </c>
      <c r="I60" s="44">
        <f t="shared" si="23"/>
        <v>0.37878787878787878</v>
      </c>
      <c r="J60" s="44">
        <f t="shared" si="23"/>
        <v>7.575757575757576E-3</v>
      </c>
      <c r="K60" s="44">
        <f t="shared" si="23"/>
        <v>1.5151515151515152E-2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L58" zoomScale="60" workbookViewId="0">
      <selection activeCell="AD55" sqref="AD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5.425781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Kyankwanzi-bukomero'!C3:G3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'22.10 Kyankwanzi-bukomero'!G5:H5</f>
        <v>bukomero</v>
      </c>
      <c r="H5" s="64"/>
      <c r="I5" s="14"/>
      <c r="J5" s="2" t="s">
        <v>5</v>
      </c>
      <c r="K5" s="63" t="s">
        <v>177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Kyankwanzi-bukomero'!D6:E6</f>
        <v>kyankwanzi</v>
      </c>
      <c r="E6" s="64"/>
      <c r="F6" s="2" t="s">
        <v>2</v>
      </c>
      <c r="G6" s="63" t="str">
        <f>'17.10 Kyankwanzi-bukomero'!G6:H6</f>
        <v>bukomero</v>
      </c>
      <c r="H6" s="64"/>
      <c r="J6" s="2" t="s">
        <v>21</v>
      </c>
      <c r="K6" s="63" t="str">
        <f>'22.10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Kyankwanzi-bukomero'!C10,'18.10 Kyankwanzi-bukomero'!C10,'19.10 Kyankwanzi-bukomero-24h'!C10,'20.10 Kyankwanzi-bukomero'!C10,'21.10 Kyankwanzi-bukomero-24h'!C10,'22.10 Kyankwanzi-bukomero'!C10,'23.10 kyankwanzi-bukomero'!C10)</f>
        <v>0.14285714285714285</v>
      </c>
      <c r="D10" s="49">
        <f>AVERAGE('17.10 Kyankwanzi-bukomero'!D10,'18.10 Kyankwanzi-bukomero'!D10,'19.10 Kyankwanzi-bukomero-24h'!D10,'20.10 Kyankwanzi-bukomero'!D10,'21.10 Kyankwanzi-bukomero-24h'!D10,'22.10 Kyankwanzi-bukomero'!D10,'23.10 kyankwanzi-bukomero'!D10)</f>
        <v>0.14285714285714285</v>
      </c>
      <c r="E10" s="49">
        <f>AVERAGE('17.10 Kyankwanzi-bukomero'!E10,'18.10 Kyankwanzi-bukomero'!E10,'19.10 Kyankwanzi-bukomero-24h'!E10,'20.10 Kyankwanzi-bukomero'!E10,'21.10 Kyankwanzi-bukomero-24h'!E10,'22.10 Kyankwanzi-bukomero'!E10,'23.10 kyankwanzi-bukomero'!E10)</f>
        <v>0</v>
      </c>
      <c r="F10" s="49">
        <f>AVERAGE('17.10 Kyankwanzi-bukomero'!F10,'18.10 Kyankwanzi-bukomero'!F10,'19.10 Kyankwanzi-bukomero-24h'!F10,'20.10 Kyankwanzi-bukomero'!F10,'21.10 Kyankwanzi-bukomero-24h'!F10,'22.10 Kyankwanzi-bukomero'!F10,'23.10 kyankwanzi-bukomero'!F10)</f>
        <v>0</v>
      </c>
      <c r="G10" s="49">
        <f>AVERAGE('17.10 Kyankwanzi-bukomero'!G10,'18.10 Kyankwanzi-bukomero'!G10,'19.10 Kyankwanzi-bukomero-24h'!G10,'20.10 Kyankwanzi-bukomero'!G10,'21.10 Kyankwanzi-bukomero-24h'!G10,'22.10 Kyankwanzi-bukomero'!G10,'23.10 kyankwanzi-bukomero'!G10)</f>
        <v>0</v>
      </c>
      <c r="H10" s="49">
        <f>AVERAGE('17.10 Kyankwanzi-bukomero'!H10,'18.10 Kyankwanzi-bukomero'!H10,'19.10 Kyankwanzi-bukomero-24h'!H10,'20.10 Kyankwanzi-bukomero'!H10,'21.10 Kyankwanzi-bukomero-24h'!H10,'22.10 Kyankwanzi-bukomero'!H10,'23.10 kyankwanzi-bukomero'!H10)</f>
        <v>0</v>
      </c>
      <c r="I10" s="49">
        <f>AVERAGE('17.10 Kyankwanzi-bukomero'!I10,'18.10 Kyankwanzi-bukomero'!I10,'19.10 Kyankwanzi-bukomero-24h'!I10,'20.10 Kyankwanzi-bukomero'!I10,'21.10 Kyankwanzi-bukomero-24h'!I10,'22.10 Kyankwanzi-bukomero'!I10,'23.10 kyankwanzi-bukomero'!I10)</f>
        <v>0.14285714285714285</v>
      </c>
      <c r="J10" s="49">
        <f>AVERAGE('17.10 Kyankwanzi-bukomero'!J10,'18.10 Kyankwanzi-bukomero'!J10,'19.10 Kyankwanzi-bukomero-24h'!J10,'20.10 Kyankwanzi-bukomero'!J10,'21.10 Kyankwanzi-bukomero-24h'!J10,'22.10 Kyankwanzi-bukomero'!J10,'23.10 kyankwanzi-bukomero'!J10)</f>
        <v>0</v>
      </c>
      <c r="K10" s="49">
        <f>AVERAGE('17.10 Kyankwanzi-bukomero'!K10,'18.10 Kyankwanzi-bukomero'!K10,'19.10 Kyankwanzi-bukomero-24h'!K10,'20.10 Kyankwanzi-bukomero'!K10,'21.10 Kyankwanzi-bukomero-24h'!K10,'22.10 Kyankwanzi-bukomero'!K10,'23.10 kyankwanzi-bukomero'!K10)</f>
        <v>0</v>
      </c>
      <c r="L10" s="49">
        <f>AVERAGE('17.10 Kyankwanzi-bukomero'!L10,'18.10 Kyankwanzi-bukomero'!L10,'19.10 Kyankwanzi-bukomero-24h'!L10,'20.10 Kyankwanzi-bukomero'!L10,'21.10 Kyankwanzi-bukomero-24h'!L10,'22.10 Kyankwanzi-bukomero'!L10,'23.10 kyankwanzi-bukomero'!L10)</f>
        <v>0</v>
      </c>
      <c r="M10" s="49">
        <f>AVERAGE('17.10 Kyankwanzi-bukomero'!M10,'18.10 Kyankwanzi-bukomero'!M10,'19.10 Kyankwanzi-bukomero-24h'!M10,'20.10 Kyankwanzi-bukomero'!M10,'21.10 Kyankwanzi-bukomero-24h'!M10,'22.10 Kyankwanzi-bukomero'!M10,'23.10 kyankwanzi-bukomero'!M10)</f>
        <v>7.4285714285714288</v>
      </c>
      <c r="N10" s="49">
        <f>AVERAGE('17.10 Kyankwanzi-bukomero'!N10,'18.10 Kyankwanzi-bukomero'!N10,'19.10 Kyankwanzi-bukomero-24h'!N10,'20.10 Kyankwanzi-bukomero'!N10,'21.10 Kyankwanzi-bukomero-24h'!N10,'22.10 Kyankwanzi-bukomero'!N10,'23.10 kyankwanzi-bukomero'!N10)</f>
        <v>0</v>
      </c>
      <c r="O10" s="15">
        <f t="shared" ref="O10:O73" si="0">SUM(C10:L10,N10)</f>
        <v>0.42857142857142855</v>
      </c>
      <c r="P10" s="15">
        <f t="shared" ref="P10:P73" si="1">SUM(C10:N10)</f>
        <v>7.8571428571428577</v>
      </c>
      <c r="R10" s="1" t="s">
        <v>6</v>
      </c>
      <c r="S10" s="17">
        <f t="shared" ref="S10:AF10" si="2">SUM(C10:C13)</f>
        <v>1</v>
      </c>
      <c r="T10" s="17">
        <f t="shared" si="2"/>
        <v>0.42857142857142855</v>
      </c>
      <c r="U10" s="17">
        <f t="shared" si="2"/>
        <v>0.14285714285714285</v>
      </c>
      <c r="V10" s="17">
        <f t="shared" si="2"/>
        <v>0.14285714285714285</v>
      </c>
      <c r="W10" s="17">
        <f t="shared" si="2"/>
        <v>0</v>
      </c>
      <c r="X10" s="17">
        <f t="shared" si="2"/>
        <v>0</v>
      </c>
      <c r="Y10" s="17">
        <f t="shared" si="2"/>
        <v>0.42857142857142855</v>
      </c>
      <c r="Z10" s="17">
        <f t="shared" si="2"/>
        <v>0.2857142857142857</v>
      </c>
      <c r="AA10" s="17">
        <f t="shared" si="2"/>
        <v>0</v>
      </c>
      <c r="AB10" s="17">
        <f t="shared" si="2"/>
        <v>0</v>
      </c>
      <c r="AC10" s="17">
        <f t="shared" si="2"/>
        <v>35.571428571428577</v>
      </c>
      <c r="AD10" s="17">
        <f t="shared" si="2"/>
        <v>0</v>
      </c>
      <c r="AE10" s="31">
        <f t="shared" si="2"/>
        <v>2.4285714285714284</v>
      </c>
      <c r="AF10" s="31">
        <f t="shared" si="2"/>
        <v>38</v>
      </c>
    </row>
    <row r="11" spans="2:32" s="6" customFormat="1" ht="23.1" customHeight="1" x14ac:dyDescent="0.25">
      <c r="B11" s="23" t="s">
        <v>38</v>
      </c>
      <c r="C11" s="49">
        <f>AVERAGE('17.10 Kyankwanzi-bukomero'!C11,'18.10 Kyankwanzi-bukomero'!C11,'19.10 Kyankwanzi-bukomero-24h'!C11,'20.10 Kyankwanzi-bukomero'!C11,'21.10 Kyankwanzi-bukomero-24h'!C11,'22.10 Kyankwanzi-bukomero'!C11,'23.10 kyankwanzi-bukomero'!C11)</f>
        <v>0.42857142857142855</v>
      </c>
      <c r="D11" s="49">
        <f>AVERAGE('17.10 Kyankwanzi-bukomero'!D11,'18.10 Kyankwanzi-bukomero'!D11,'19.10 Kyankwanzi-bukomero-24h'!D11,'20.10 Kyankwanzi-bukomero'!D11,'21.10 Kyankwanzi-bukomero-24h'!D11,'22.10 Kyankwanzi-bukomero'!D11,'23.10 kyankwanzi-bukomero'!D11)</f>
        <v>0</v>
      </c>
      <c r="E11" s="49">
        <f>AVERAGE('17.10 Kyankwanzi-bukomero'!E11,'18.10 Kyankwanzi-bukomero'!E11,'19.10 Kyankwanzi-bukomero-24h'!E11,'20.10 Kyankwanzi-bukomero'!E11,'21.10 Kyankwanzi-bukomero-24h'!E11,'22.10 Kyankwanzi-bukomero'!E11,'23.10 kyankwanzi-bukomero'!E11)</f>
        <v>0.14285714285714285</v>
      </c>
      <c r="F11" s="49">
        <f>AVERAGE('17.10 Kyankwanzi-bukomero'!F11,'18.10 Kyankwanzi-bukomero'!F11,'19.10 Kyankwanzi-bukomero-24h'!F11,'20.10 Kyankwanzi-bukomero'!F11,'21.10 Kyankwanzi-bukomero-24h'!F11,'22.10 Kyankwanzi-bukomero'!F11,'23.10 kyankwanzi-bukomero'!F11)</f>
        <v>0.14285714285714285</v>
      </c>
      <c r="G11" s="49">
        <f>AVERAGE('17.10 Kyankwanzi-bukomero'!G11,'18.10 Kyankwanzi-bukomero'!G11,'19.10 Kyankwanzi-bukomero-24h'!G11,'20.10 Kyankwanzi-bukomero'!G11,'21.10 Kyankwanzi-bukomero-24h'!G11,'22.10 Kyankwanzi-bukomero'!G11,'23.10 kyankwanzi-bukomero'!G11)</f>
        <v>0</v>
      </c>
      <c r="H11" s="49">
        <f>AVERAGE('17.10 Kyankwanzi-bukomero'!H11,'18.10 Kyankwanzi-bukomero'!H11,'19.10 Kyankwanzi-bukomero-24h'!H11,'20.10 Kyankwanzi-bukomero'!H11,'21.10 Kyankwanzi-bukomero-24h'!H11,'22.10 Kyankwanzi-bukomero'!H11,'23.10 kyankwanzi-bukomero'!H11)</f>
        <v>0</v>
      </c>
      <c r="I11" s="49">
        <f>AVERAGE('17.10 Kyankwanzi-bukomero'!I11,'18.10 Kyankwanzi-bukomero'!I11,'19.10 Kyankwanzi-bukomero-24h'!I11,'20.10 Kyankwanzi-bukomero'!I11,'21.10 Kyankwanzi-bukomero-24h'!I11,'22.10 Kyankwanzi-bukomero'!I11,'23.10 kyankwanzi-bukomero'!I11)</f>
        <v>0.14285714285714285</v>
      </c>
      <c r="J11" s="49">
        <f>AVERAGE('17.10 Kyankwanzi-bukomero'!J11,'18.10 Kyankwanzi-bukomero'!J11,'19.10 Kyankwanzi-bukomero-24h'!J11,'20.10 Kyankwanzi-bukomero'!J11,'21.10 Kyankwanzi-bukomero-24h'!J11,'22.10 Kyankwanzi-bukomero'!J11,'23.10 kyankwanzi-bukomero'!J11)</f>
        <v>0.14285714285714285</v>
      </c>
      <c r="K11" s="49">
        <f>AVERAGE('17.10 Kyankwanzi-bukomero'!K11,'18.10 Kyankwanzi-bukomero'!K11,'19.10 Kyankwanzi-bukomero-24h'!K11,'20.10 Kyankwanzi-bukomero'!K11,'21.10 Kyankwanzi-bukomero-24h'!K11,'22.10 Kyankwanzi-bukomero'!K11,'23.10 kyankwanzi-bukomero'!K11)</f>
        <v>0</v>
      </c>
      <c r="L11" s="49">
        <f>AVERAGE('17.10 Kyankwanzi-bukomero'!L11,'18.10 Kyankwanzi-bukomero'!L11,'19.10 Kyankwanzi-bukomero-24h'!L11,'20.10 Kyankwanzi-bukomero'!L11,'21.10 Kyankwanzi-bukomero-24h'!L11,'22.10 Kyankwanzi-bukomero'!L11,'23.10 kyankwanzi-bukomero'!L11)</f>
        <v>0</v>
      </c>
      <c r="M11" s="49">
        <f>AVERAGE('17.10 Kyankwanzi-bukomero'!M11,'18.10 Kyankwanzi-bukomero'!M11,'19.10 Kyankwanzi-bukomero-24h'!M11,'20.10 Kyankwanzi-bukomero'!M11,'21.10 Kyankwanzi-bukomero-24h'!M11,'22.10 Kyankwanzi-bukomero'!M11,'23.10 kyankwanzi-bukomero'!M11)</f>
        <v>7.4285714285714288</v>
      </c>
      <c r="N11" s="49">
        <f>AVERAGE('17.10 Kyankwanzi-bukomero'!N11,'18.10 Kyankwanzi-bukomero'!N11,'19.10 Kyankwanzi-bukomero-24h'!N11,'20.10 Kyankwanzi-bukomero'!N11,'21.10 Kyankwanzi-bukomero-24h'!N11,'22.10 Kyankwanzi-bukomero'!N11,'23.10 kyankwanzi-bukomero'!N11)</f>
        <v>0</v>
      </c>
      <c r="O11" s="15">
        <f t="shared" si="0"/>
        <v>0.99999999999999978</v>
      </c>
      <c r="P11" s="15">
        <f t="shared" si="1"/>
        <v>8.4285714285714288</v>
      </c>
      <c r="R11" s="1" t="s">
        <v>7</v>
      </c>
      <c r="S11" s="17">
        <f t="shared" ref="S11:AF11" si="3">SUM(C14:C17)</f>
        <v>1.8571428571428572</v>
      </c>
      <c r="T11" s="17">
        <f t="shared" si="3"/>
        <v>0</v>
      </c>
      <c r="U11" s="17">
        <f t="shared" si="3"/>
        <v>0.2857142857142857</v>
      </c>
      <c r="V11" s="17">
        <f t="shared" si="3"/>
        <v>1.1428571428571428</v>
      </c>
      <c r="W11" s="17">
        <f t="shared" si="3"/>
        <v>0</v>
      </c>
      <c r="X11" s="17">
        <f t="shared" si="3"/>
        <v>0</v>
      </c>
      <c r="Y11" s="17">
        <f t="shared" si="3"/>
        <v>1.5714285714285714</v>
      </c>
      <c r="Z11" s="17">
        <f t="shared" si="3"/>
        <v>0.14285714285714285</v>
      </c>
      <c r="AA11" s="17">
        <f t="shared" si="3"/>
        <v>0</v>
      </c>
      <c r="AB11" s="17">
        <f t="shared" si="3"/>
        <v>0</v>
      </c>
      <c r="AC11" s="17">
        <f t="shared" si="3"/>
        <v>39.714285714285715</v>
      </c>
      <c r="AD11" s="17">
        <f t="shared" si="3"/>
        <v>0</v>
      </c>
      <c r="AE11" s="31">
        <f t="shared" si="3"/>
        <v>5</v>
      </c>
      <c r="AF11" s="31">
        <f t="shared" si="3"/>
        <v>44.714285714285722</v>
      </c>
    </row>
    <row r="12" spans="2:32" ht="23.1" customHeight="1" x14ac:dyDescent="0.25">
      <c r="B12" s="23" t="s">
        <v>39</v>
      </c>
      <c r="C12" s="49">
        <f>AVERAGE('17.10 Kyankwanzi-bukomero'!C12,'18.10 Kyankwanzi-bukomero'!C12,'19.10 Kyankwanzi-bukomero-24h'!C12,'20.10 Kyankwanzi-bukomero'!C12,'21.10 Kyankwanzi-bukomero-24h'!C12,'22.10 Kyankwanzi-bukomero'!C12,'23.10 kyankwanzi-bukomero'!C12)</f>
        <v>0.2857142857142857</v>
      </c>
      <c r="D12" s="49">
        <f>AVERAGE('17.10 Kyankwanzi-bukomero'!D12,'18.10 Kyankwanzi-bukomero'!D12,'19.10 Kyankwanzi-bukomero-24h'!D12,'20.10 Kyankwanzi-bukomero'!D12,'21.10 Kyankwanzi-bukomero-24h'!D12,'22.10 Kyankwanzi-bukomero'!D12,'23.10 kyankwanzi-bukomero'!D12)</f>
        <v>0.14285714285714285</v>
      </c>
      <c r="E12" s="49">
        <f>AVERAGE('17.10 Kyankwanzi-bukomero'!E12,'18.10 Kyankwanzi-bukomero'!E12,'19.10 Kyankwanzi-bukomero-24h'!E12,'20.10 Kyankwanzi-bukomero'!E12,'21.10 Kyankwanzi-bukomero-24h'!E12,'22.10 Kyankwanzi-bukomero'!E12,'23.10 kyankwanzi-bukomero'!E12)</f>
        <v>0</v>
      </c>
      <c r="F12" s="49">
        <f>AVERAGE('17.10 Kyankwanzi-bukomero'!F12,'18.10 Kyankwanzi-bukomero'!F12,'19.10 Kyankwanzi-bukomero-24h'!F12,'20.10 Kyankwanzi-bukomero'!F12,'21.10 Kyankwanzi-bukomero-24h'!F12,'22.10 Kyankwanzi-bukomero'!F12,'23.10 kyankwanzi-bukomero'!F12)</f>
        <v>0</v>
      </c>
      <c r="G12" s="49">
        <f>AVERAGE('17.10 Kyankwanzi-bukomero'!G12,'18.10 Kyankwanzi-bukomero'!G12,'19.10 Kyankwanzi-bukomero-24h'!G12,'20.10 Kyankwanzi-bukomero'!G12,'21.10 Kyankwanzi-bukomero-24h'!G12,'22.10 Kyankwanzi-bukomero'!G12,'23.10 kyankwanzi-bukomero'!G12)</f>
        <v>0</v>
      </c>
      <c r="H12" s="49">
        <f>AVERAGE('17.10 Kyankwanzi-bukomero'!H12,'18.10 Kyankwanzi-bukomero'!H12,'19.10 Kyankwanzi-bukomero-24h'!H12,'20.10 Kyankwanzi-bukomero'!H12,'21.10 Kyankwanzi-bukomero-24h'!H12,'22.10 Kyankwanzi-bukomero'!H12,'23.10 kyankwanzi-bukomero'!H12)</f>
        <v>0</v>
      </c>
      <c r="I12" s="49">
        <f>AVERAGE('17.10 Kyankwanzi-bukomero'!I12,'18.10 Kyankwanzi-bukomero'!I12,'19.10 Kyankwanzi-bukomero-24h'!I12,'20.10 Kyankwanzi-bukomero'!I12,'21.10 Kyankwanzi-bukomero-24h'!I12,'22.10 Kyankwanzi-bukomero'!I12,'23.10 kyankwanzi-bukomero'!I12)</f>
        <v>0</v>
      </c>
      <c r="J12" s="49">
        <f>AVERAGE('17.10 Kyankwanzi-bukomero'!J12,'18.10 Kyankwanzi-bukomero'!J12,'19.10 Kyankwanzi-bukomero-24h'!J12,'20.10 Kyankwanzi-bukomero'!J12,'21.10 Kyankwanzi-bukomero-24h'!J12,'22.10 Kyankwanzi-bukomero'!J12,'23.10 kyankwanzi-bukomero'!J12)</f>
        <v>0</v>
      </c>
      <c r="K12" s="49">
        <f>AVERAGE('17.10 Kyankwanzi-bukomero'!K12,'18.10 Kyankwanzi-bukomero'!K12,'19.10 Kyankwanzi-bukomero-24h'!K12,'20.10 Kyankwanzi-bukomero'!K12,'21.10 Kyankwanzi-bukomero-24h'!K12,'22.10 Kyankwanzi-bukomero'!K12,'23.10 kyankwanzi-bukomero'!K12)</f>
        <v>0</v>
      </c>
      <c r="L12" s="49">
        <f>AVERAGE('17.10 Kyankwanzi-bukomero'!L12,'18.10 Kyankwanzi-bukomero'!L12,'19.10 Kyankwanzi-bukomero-24h'!L12,'20.10 Kyankwanzi-bukomero'!L12,'21.10 Kyankwanzi-bukomero-24h'!L12,'22.10 Kyankwanzi-bukomero'!L12,'23.10 kyankwanzi-bukomero'!L12)</f>
        <v>0</v>
      </c>
      <c r="M12" s="49">
        <f>AVERAGE('17.10 Kyankwanzi-bukomero'!M12,'18.10 Kyankwanzi-bukomero'!M12,'19.10 Kyankwanzi-bukomero-24h'!M12,'20.10 Kyankwanzi-bukomero'!M12,'21.10 Kyankwanzi-bukomero-24h'!M12,'22.10 Kyankwanzi-bukomero'!M12,'23.10 kyankwanzi-bukomero'!M12)</f>
        <v>11.285714285714286</v>
      </c>
      <c r="N12" s="49">
        <f>AVERAGE('17.10 Kyankwanzi-bukomero'!N12,'18.10 Kyankwanzi-bukomero'!N12,'19.10 Kyankwanzi-bukomero-24h'!N12,'20.10 Kyankwanzi-bukomero'!N12,'21.10 Kyankwanzi-bukomero-24h'!N12,'22.10 Kyankwanzi-bukomero'!N12,'23.10 kyankwanzi-bukomero'!N12)</f>
        <v>0</v>
      </c>
      <c r="O12" s="15">
        <f t="shared" si="0"/>
        <v>0.42857142857142855</v>
      </c>
      <c r="P12" s="15">
        <f t="shared" si="1"/>
        <v>11.714285714285715</v>
      </c>
      <c r="R12" s="1" t="s">
        <v>8</v>
      </c>
      <c r="S12" s="17">
        <f t="shared" ref="S12:AF12" si="4">SUM(C18:C21)</f>
        <v>1.4285714285714284</v>
      </c>
      <c r="T12" s="17">
        <f t="shared" si="4"/>
        <v>0.2857142857142857</v>
      </c>
      <c r="U12" s="17">
        <f t="shared" si="4"/>
        <v>0.5714285714285714</v>
      </c>
      <c r="V12" s="17">
        <f t="shared" si="4"/>
        <v>0.5714285714285714</v>
      </c>
      <c r="W12" s="17">
        <f t="shared" si="4"/>
        <v>0</v>
      </c>
      <c r="X12" s="17">
        <f t="shared" si="4"/>
        <v>0</v>
      </c>
      <c r="Y12" s="17">
        <f t="shared" si="4"/>
        <v>2.714285714285714</v>
      </c>
      <c r="Z12" s="17">
        <f t="shared" si="4"/>
        <v>0.42857142857142855</v>
      </c>
      <c r="AA12" s="17">
        <f t="shared" si="4"/>
        <v>0</v>
      </c>
      <c r="AB12" s="17">
        <f t="shared" si="4"/>
        <v>0</v>
      </c>
      <c r="AC12" s="17">
        <f t="shared" si="4"/>
        <v>42</v>
      </c>
      <c r="AD12" s="17">
        <f t="shared" si="4"/>
        <v>0</v>
      </c>
      <c r="AE12" s="31">
        <f t="shared" si="4"/>
        <v>6</v>
      </c>
      <c r="AF12" s="31">
        <f t="shared" si="4"/>
        <v>48</v>
      </c>
    </row>
    <row r="13" spans="2:32" ht="23.1" customHeight="1" x14ac:dyDescent="0.25">
      <c r="B13" s="23" t="s">
        <v>40</v>
      </c>
      <c r="C13" s="49">
        <f>AVERAGE('17.10 Kyankwanzi-bukomero'!C13,'18.10 Kyankwanzi-bukomero'!C13,'19.10 Kyankwanzi-bukomero-24h'!C13,'20.10 Kyankwanzi-bukomero'!C13,'21.10 Kyankwanzi-bukomero-24h'!C13,'22.10 Kyankwanzi-bukomero'!C13,'23.10 kyankwanzi-bukomero'!C13)</f>
        <v>0.14285714285714285</v>
      </c>
      <c r="D13" s="49">
        <f>AVERAGE('17.10 Kyankwanzi-bukomero'!D13,'18.10 Kyankwanzi-bukomero'!D13,'19.10 Kyankwanzi-bukomero-24h'!D13,'20.10 Kyankwanzi-bukomero'!D13,'21.10 Kyankwanzi-bukomero-24h'!D13,'22.10 Kyankwanzi-bukomero'!D13,'23.10 kyankwanzi-bukomero'!D13)</f>
        <v>0.14285714285714285</v>
      </c>
      <c r="E13" s="49">
        <f>AVERAGE('17.10 Kyankwanzi-bukomero'!E13,'18.10 Kyankwanzi-bukomero'!E13,'19.10 Kyankwanzi-bukomero-24h'!E13,'20.10 Kyankwanzi-bukomero'!E13,'21.10 Kyankwanzi-bukomero-24h'!E13,'22.10 Kyankwanzi-bukomero'!E13,'23.10 kyankwanzi-bukomero'!E13)</f>
        <v>0</v>
      </c>
      <c r="F13" s="49">
        <f>AVERAGE('17.10 Kyankwanzi-bukomero'!F13,'18.10 Kyankwanzi-bukomero'!F13,'19.10 Kyankwanzi-bukomero-24h'!F13,'20.10 Kyankwanzi-bukomero'!F13,'21.10 Kyankwanzi-bukomero-24h'!F13,'22.10 Kyankwanzi-bukomero'!F13,'23.10 kyankwanzi-bukomero'!F13)</f>
        <v>0</v>
      </c>
      <c r="G13" s="49">
        <f>AVERAGE('17.10 Kyankwanzi-bukomero'!G13,'18.10 Kyankwanzi-bukomero'!G13,'19.10 Kyankwanzi-bukomero-24h'!G13,'20.10 Kyankwanzi-bukomero'!G13,'21.10 Kyankwanzi-bukomero-24h'!G13,'22.10 Kyankwanzi-bukomero'!G13,'23.10 kyankwanzi-bukomero'!G13)</f>
        <v>0</v>
      </c>
      <c r="H13" s="49">
        <f>AVERAGE('17.10 Kyankwanzi-bukomero'!H13,'18.10 Kyankwanzi-bukomero'!H13,'19.10 Kyankwanzi-bukomero-24h'!H13,'20.10 Kyankwanzi-bukomero'!H13,'21.10 Kyankwanzi-bukomero-24h'!H13,'22.10 Kyankwanzi-bukomero'!H13,'23.10 kyankwanzi-bukomero'!H13)</f>
        <v>0</v>
      </c>
      <c r="I13" s="49">
        <f>AVERAGE('17.10 Kyankwanzi-bukomero'!I13,'18.10 Kyankwanzi-bukomero'!I13,'19.10 Kyankwanzi-bukomero-24h'!I13,'20.10 Kyankwanzi-bukomero'!I13,'21.10 Kyankwanzi-bukomero-24h'!I13,'22.10 Kyankwanzi-bukomero'!I13,'23.10 kyankwanzi-bukomero'!I13)</f>
        <v>0.14285714285714285</v>
      </c>
      <c r="J13" s="49">
        <f>AVERAGE('17.10 Kyankwanzi-bukomero'!J13,'18.10 Kyankwanzi-bukomero'!J13,'19.10 Kyankwanzi-bukomero-24h'!J13,'20.10 Kyankwanzi-bukomero'!J13,'21.10 Kyankwanzi-bukomero-24h'!J13,'22.10 Kyankwanzi-bukomero'!J13,'23.10 kyankwanzi-bukomero'!J13)</f>
        <v>0.14285714285714285</v>
      </c>
      <c r="K13" s="49">
        <f>AVERAGE('17.10 Kyankwanzi-bukomero'!K13,'18.10 Kyankwanzi-bukomero'!K13,'19.10 Kyankwanzi-bukomero-24h'!K13,'20.10 Kyankwanzi-bukomero'!K13,'21.10 Kyankwanzi-bukomero-24h'!K13,'22.10 Kyankwanzi-bukomero'!K13,'23.10 kyankwanzi-bukomero'!K13)</f>
        <v>0</v>
      </c>
      <c r="L13" s="49">
        <f>AVERAGE('17.10 Kyankwanzi-bukomero'!L13,'18.10 Kyankwanzi-bukomero'!L13,'19.10 Kyankwanzi-bukomero-24h'!L13,'20.10 Kyankwanzi-bukomero'!L13,'21.10 Kyankwanzi-bukomero-24h'!L13,'22.10 Kyankwanzi-bukomero'!L13,'23.10 kyankwanzi-bukomero'!L13)</f>
        <v>0</v>
      </c>
      <c r="M13" s="49">
        <f>AVERAGE('17.10 Kyankwanzi-bukomero'!M13,'18.10 Kyankwanzi-bukomero'!M13,'19.10 Kyankwanzi-bukomero-24h'!M13,'20.10 Kyankwanzi-bukomero'!M13,'21.10 Kyankwanzi-bukomero-24h'!M13,'22.10 Kyankwanzi-bukomero'!M13,'23.10 kyankwanzi-bukomero'!M13)</f>
        <v>9.4285714285714288</v>
      </c>
      <c r="N13" s="49">
        <f>AVERAGE('17.10 Kyankwanzi-bukomero'!N13,'18.10 Kyankwanzi-bukomero'!N13,'19.10 Kyankwanzi-bukomero-24h'!N13,'20.10 Kyankwanzi-bukomero'!N13,'21.10 Kyankwanzi-bukomero-24h'!N13,'22.10 Kyankwanzi-bukomero'!N13,'23.10 kyankwanzi-bukomero'!N13)</f>
        <v>0</v>
      </c>
      <c r="O13" s="15">
        <f t="shared" si="0"/>
        <v>0.5714285714285714</v>
      </c>
      <c r="P13" s="15">
        <f t="shared" si="1"/>
        <v>10</v>
      </c>
      <c r="R13" s="1" t="s">
        <v>9</v>
      </c>
      <c r="S13" s="17">
        <f t="shared" ref="S13:AF13" si="5">SUM(C22:C25)</f>
        <v>0.85714285714285698</v>
      </c>
      <c r="T13" s="17">
        <f t="shared" si="5"/>
        <v>0.14285714285714285</v>
      </c>
      <c r="U13" s="17">
        <f t="shared" si="5"/>
        <v>0.14285714285714285</v>
      </c>
      <c r="V13" s="17">
        <f t="shared" si="5"/>
        <v>0.2857142857142857</v>
      </c>
      <c r="W13" s="17">
        <f t="shared" si="5"/>
        <v>0</v>
      </c>
      <c r="X13" s="17">
        <f t="shared" si="5"/>
        <v>0</v>
      </c>
      <c r="Y13" s="17">
        <f t="shared" si="5"/>
        <v>3.2857142857142856</v>
      </c>
      <c r="Z13" s="17">
        <f t="shared" si="5"/>
        <v>0.14285714285714285</v>
      </c>
      <c r="AA13" s="17">
        <f t="shared" si="5"/>
        <v>0</v>
      </c>
      <c r="AB13" s="17">
        <f t="shared" si="5"/>
        <v>0</v>
      </c>
      <c r="AC13" s="17">
        <f t="shared" si="5"/>
        <v>40.142857142857139</v>
      </c>
      <c r="AD13" s="17">
        <f t="shared" si="5"/>
        <v>0</v>
      </c>
      <c r="AE13" s="31">
        <f t="shared" si="5"/>
        <v>4.8571428571428568</v>
      </c>
      <c r="AF13" s="31">
        <f t="shared" si="5"/>
        <v>45</v>
      </c>
    </row>
    <row r="14" spans="2:32" ht="23.1" customHeight="1" x14ac:dyDescent="0.25">
      <c r="B14" s="23" t="s">
        <v>41</v>
      </c>
      <c r="C14" s="49">
        <f>AVERAGE('17.10 Kyankwanzi-bukomero'!C14,'18.10 Kyankwanzi-bukomero'!C14,'19.10 Kyankwanzi-bukomero-24h'!C14,'20.10 Kyankwanzi-bukomero'!C14,'21.10 Kyankwanzi-bukomero-24h'!C14,'22.10 Kyankwanzi-bukomero'!C14,'23.10 kyankwanzi-bukomero'!C14)</f>
        <v>0.42857142857142855</v>
      </c>
      <c r="D14" s="49">
        <f>AVERAGE('17.10 Kyankwanzi-bukomero'!D14,'18.10 Kyankwanzi-bukomero'!D14,'19.10 Kyankwanzi-bukomero-24h'!D14,'20.10 Kyankwanzi-bukomero'!D14,'21.10 Kyankwanzi-bukomero-24h'!D14,'22.10 Kyankwanzi-bukomero'!D14,'23.10 kyankwanzi-bukomero'!D14)</f>
        <v>0</v>
      </c>
      <c r="E14" s="49">
        <f>AVERAGE('17.10 Kyankwanzi-bukomero'!E14,'18.10 Kyankwanzi-bukomero'!E14,'19.10 Kyankwanzi-bukomero-24h'!E14,'20.10 Kyankwanzi-bukomero'!E14,'21.10 Kyankwanzi-bukomero-24h'!E14,'22.10 Kyankwanzi-bukomero'!E14,'23.10 kyankwanzi-bukomero'!E14)</f>
        <v>0</v>
      </c>
      <c r="F14" s="49">
        <f>AVERAGE('17.10 Kyankwanzi-bukomero'!F14,'18.10 Kyankwanzi-bukomero'!F14,'19.10 Kyankwanzi-bukomero-24h'!F14,'20.10 Kyankwanzi-bukomero'!F14,'21.10 Kyankwanzi-bukomero-24h'!F14,'22.10 Kyankwanzi-bukomero'!F14,'23.10 kyankwanzi-bukomero'!F14)</f>
        <v>0.5714285714285714</v>
      </c>
      <c r="G14" s="49">
        <f>AVERAGE('17.10 Kyankwanzi-bukomero'!G14,'18.10 Kyankwanzi-bukomero'!G14,'19.10 Kyankwanzi-bukomero-24h'!G14,'20.10 Kyankwanzi-bukomero'!G14,'21.10 Kyankwanzi-bukomero-24h'!G14,'22.10 Kyankwanzi-bukomero'!G14,'23.10 kyankwanzi-bukomero'!G14)</f>
        <v>0</v>
      </c>
      <c r="H14" s="49">
        <f>AVERAGE('17.10 Kyankwanzi-bukomero'!H14,'18.10 Kyankwanzi-bukomero'!H14,'19.10 Kyankwanzi-bukomero-24h'!H14,'20.10 Kyankwanzi-bukomero'!H14,'21.10 Kyankwanzi-bukomero-24h'!H14,'22.10 Kyankwanzi-bukomero'!H14,'23.10 kyankwanzi-bukomero'!H14)</f>
        <v>0</v>
      </c>
      <c r="I14" s="49">
        <f>AVERAGE('17.10 Kyankwanzi-bukomero'!I14,'18.10 Kyankwanzi-bukomero'!I14,'19.10 Kyankwanzi-bukomero-24h'!I14,'20.10 Kyankwanzi-bukomero'!I14,'21.10 Kyankwanzi-bukomero-24h'!I14,'22.10 Kyankwanzi-bukomero'!I14,'23.10 kyankwanzi-bukomero'!I14)</f>
        <v>0.2857142857142857</v>
      </c>
      <c r="J14" s="49">
        <f>AVERAGE('17.10 Kyankwanzi-bukomero'!J14,'18.10 Kyankwanzi-bukomero'!J14,'19.10 Kyankwanzi-bukomero-24h'!J14,'20.10 Kyankwanzi-bukomero'!J14,'21.10 Kyankwanzi-bukomero-24h'!J14,'22.10 Kyankwanzi-bukomero'!J14,'23.10 kyankwanzi-bukomero'!J14)</f>
        <v>0</v>
      </c>
      <c r="K14" s="49">
        <f>AVERAGE('17.10 Kyankwanzi-bukomero'!K14,'18.10 Kyankwanzi-bukomero'!K14,'19.10 Kyankwanzi-bukomero-24h'!K14,'20.10 Kyankwanzi-bukomero'!K14,'21.10 Kyankwanzi-bukomero-24h'!K14,'22.10 Kyankwanzi-bukomero'!K14,'23.10 kyankwanzi-bukomero'!K14)</f>
        <v>0</v>
      </c>
      <c r="L14" s="49">
        <f>AVERAGE('17.10 Kyankwanzi-bukomero'!L14,'18.10 Kyankwanzi-bukomero'!L14,'19.10 Kyankwanzi-bukomero-24h'!L14,'20.10 Kyankwanzi-bukomero'!L14,'21.10 Kyankwanzi-bukomero-24h'!L14,'22.10 Kyankwanzi-bukomero'!L14,'23.10 kyankwanzi-bukomero'!L14)</f>
        <v>0</v>
      </c>
      <c r="M14" s="49">
        <f>AVERAGE('17.10 Kyankwanzi-bukomero'!M14,'18.10 Kyankwanzi-bukomero'!M14,'19.10 Kyankwanzi-bukomero-24h'!M14,'20.10 Kyankwanzi-bukomero'!M14,'21.10 Kyankwanzi-bukomero-24h'!M14,'22.10 Kyankwanzi-bukomero'!M14,'23.10 kyankwanzi-bukomero'!M14)</f>
        <v>9.4285714285714288</v>
      </c>
      <c r="N14" s="49">
        <f>AVERAGE('17.10 Kyankwanzi-bukomero'!N14,'18.10 Kyankwanzi-bukomero'!N14,'19.10 Kyankwanzi-bukomero-24h'!N14,'20.10 Kyankwanzi-bukomero'!N14,'21.10 Kyankwanzi-bukomero-24h'!N14,'22.10 Kyankwanzi-bukomero'!N14,'23.10 kyankwanzi-bukomero'!N14)</f>
        <v>0</v>
      </c>
      <c r="O14" s="15">
        <f t="shared" si="0"/>
        <v>1.2857142857142856</v>
      </c>
      <c r="P14" s="15">
        <f t="shared" si="1"/>
        <v>10.714285714285715</v>
      </c>
      <c r="R14" s="1" t="s">
        <v>10</v>
      </c>
      <c r="S14" s="17">
        <f t="shared" ref="S14:AF14" si="6">SUM(C26:C29)</f>
        <v>2</v>
      </c>
      <c r="T14" s="17">
        <f t="shared" si="6"/>
        <v>0.2857142857142857</v>
      </c>
      <c r="U14" s="17">
        <f t="shared" si="6"/>
        <v>0.71428571428571419</v>
      </c>
      <c r="V14" s="17">
        <f t="shared" si="6"/>
        <v>0.14285714285714285</v>
      </c>
      <c r="W14" s="17">
        <f t="shared" si="6"/>
        <v>0</v>
      </c>
      <c r="X14" s="17">
        <f t="shared" si="6"/>
        <v>0</v>
      </c>
      <c r="Y14" s="17">
        <f t="shared" si="6"/>
        <v>2.5714285714285712</v>
      </c>
      <c r="Z14" s="17">
        <f t="shared" si="6"/>
        <v>0.5714285714285714</v>
      </c>
      <c r="AA14" s="17">
        <f t="shared" si="6"/>
        <v>0</v>
      </c>
      <c r="AB14" s="17">
        <f t="shared" si="6"/>
        <v>0.14285714285714285</v>
      </c>
      <c r="AC14" s="17">
        <f t="shared" si="6"/>
        <v>45.142857142857146</v>
      </c>
      <c r="AD14" s="17">
        <f t="shared" si="6"/>
        <v>0</v>
      </c>
      <c r="AE14" s="31">
        <f t="shared" si="6"/>
        <v>6.4285714285714288</v>
      </c>
      <c r="AF14" s="31">
        <f t="shared" si="6"/>
        <v>51.571428571428569</v>
      </c>
    </row>
    <row r="15" spans="2:32" ht="23.1" customHeight="1" x14ac:dyDescent="0.25">
      <c r="B15" s="23" t="s">
        <v>42</v>
      </c>
      <c r="C15" s="49">
        <f>AVERAGE('17.10 Kyankwanzi-bukomero'!C15,'18.10 Kyankwanzi-bukomero'!C15,'19.10 Kyankwanzi-bukomero-24h'!C15,'20.10 Kyankwanzi-bukomero'!C15,'21.10 Kyankwanzi-bukomero-24h'!C15,'22.10 Kyankwanzi-bukomero'!C15,'23.10 kyankwanzi-bukomero'!C15)</f>
        <v>0.42857142857142855</v>
      </c>
      <c r="D15" s="49">
        <f>AVERAGE('17.10 Kyankwanzi-bukomero'!D15,'18.10 Kyankwanzi-bukomero'!D15,'19.10 Kyankwanzi-bukomero-24h'!D15,'20.10 Kyankwanzi-bukomero'!D15,'21.10 Kyankwanzi-bukomero-24h'!D15,'22.10 Kyankwanzi-bukomero'!D15,'23.10 kyankwanzi-bukomero'!D15)</f>
        <v>0</v>
      </c>
      <c r="E15" s="49">
        <f>AVERAGE('17.10 Kyankwanzi-bukomero'!E15,'18.10 Kyankwanzi-bukomero'!E15,'19.10 Kyankwanzi-bukomero-24h'!E15,'20.10 Kyankwanzi-bukomero'!E15,'21.10 Kyankwanzi-bukomero-24h'!E15,'22.10 Kyankwanzi-bukomero'!E15,'23.10 kyankwanzi-bukomero'!E15)</f>
        <v>0.2857142857142857</v>
      </c>
      <c r="F15" s="49">
        <f>AVERAGE('17.10 Kyankwanzi-bukomero'!F15,'18.10 Kyankwanzi-bukomero'!F15,'19.10 Kyankwanzi-bukomero-24h'!F15,'20.10 Kyankwanzi-bukomero'!F15,'21.10 Kyankwanzi-bukomero-24h'!F15,'22.10 Kyankwanzi-bukomero'!F15,'23.10 kyankwanzi-bukomero'!F15)</f>
        <v>0.2857142857142857</v>
      </c>
      <c r="G15" s="49">
        <f>AVERAGE('17.10 Kyankwanzi-bukomero'!G15,'18.10 Kyankwanzi-bukomero'!G15,'19.10 Kyankwanzi-bukomero-24h'!G15,'20.10 Kyankwanzi-bukomero'!G15,'21.10 Kyankwanzi-bukomero-24h'!G15,'22.10 Kyankwanzi-bukomero'!G15,'23.10 kyankwanzi-bukomero'!G15)</f>
        <v>0</v>
      </c>
      <c r="H15" s="49">
        <f>AVERAGE('17.10 Kyankwanzi-bukomero'!H15,'18.10 Kyankwanzi-bukomero'!H15,'19.10 Kyankwanzi-bukomero-24h'!H15,'20.10 Kyankwanzi-bukomero'!H15,'21.10 Kyankwanzi-bukomero-24h'!H15,'22.10 Kyankwanzi-bukomero'!H15,'23.10 kyankwanzi-bukomero'!H15)</f>
        <v>0</v>
      </c>
      <c r="I15" s="49">
        <f>AVERAGE('17.10 Kyankwanzi-bukomero'!I15,'18.10 Kyankwanzi-bukomero'!I15,'19.10 Kyankwanzi-bukomero-24h'!I15,'20.10 Kyankwanzi-bukomero'!I15,'21.10 Kyankwanzi-bukomero-24h'!I15,'22.10 Kyankwanzi-bukomero'!I15,'23.10 kyankwanzi-bukomero'!I15)</f>
        <v>0.2857142857142857</v>
      </c>
      <c r="J15" s="49">
        <f>AVERAGE('17.10 Kyankwanzi-bukomero'!J15,'18.10 Kyankwanzi-bukomero'!J15,'19.10 Kyankwanzi-bukomero-24h'!J15,'20.10 Kyankwanzi-bukomero'!J15,'21.10 Kyankwanzi-bukomero-24h'!J15,'22.10 Kyankwanzi-bukomero'!J15,'23.10 kyankwanzi-bukomero'!J15)</f>
        <v>0</v>
      </c>
      <c r="K15" s="49">
        <f>AVERAGE('17.10 Kyankwanzi-bukomero'!K15,'18.10 Kyankwanzi-bukomero'!K15,'19.10 Kyankwanzi-bukomero-24h'!K15,'20.10 Kyankwanzi-bukomero'!K15,'21.10 Kyankwanzi-bukomero-24h'!K15,'22.10 Kyankwanzi-bukomero'!K15,'23.10 kyankwanzi-bukomero'!K15)</f>
        <v>0</v>
      </c>
      <c r="L15" s="49">
        <f>AVERAGE('17.10 Kyankwanzi-bukomero'!L15,'18.10 Kyankwanzi-bukomero'!L15,'19.10 Kyankwanzi-bukomero-24h'!L15,'20.10 Kyankwanzi-bukomero'!L15,'21.10 Kyankwanzi-bukomero-24h'!L15,'22.10 Kyankwanzi-bukomero'!L15,'23.10 kyankwanzi-bukomero'!L15)</f>
        <v>0</v>
      </c>
      <c r="M15" s="49">
        <f>AVERAGE('17.10 Kyankwanzi-bukomero'!M15,'18.10 Kyankwanzi-bukomero'!M15,'19.10 Kyankwanzi-bukomero-24h'!M15,'20.10 Kyankwanzi-bukomero'!M15,'21.10 Kyankwanzi-bukomero-24h'!M15,'22.10 Kyankwanzi-bukomero'!M15,'23.10 kyankwanzi-bukomero'!M15)</f>
        <v>9.4285714285714288</v>
      </c>
      <c r="N15" s="49">
        <f>AVERAGE('17.10 Kyankwanzi-bukomero'!N15,'18.10 Kyankwanzi-bukomero'!N15,'19.10 Kyankwanzi-bukomero-24h'!N15,'20.10 Kyankwanzi-bukomero'!N15,'21.10 Kyankwanzi-bukomero-24h'!N15,'22.10 Kyankwanzi-bukomero'!N15,'23.10 kyankwanzi-bukomero'!N15)</f>
        <v>0</v>
      </c>
      <c r="O15" s="15">
        <f t="shared" si="0"/>
        <v>1.2857142857142856</v>
      </c>
      <c r="P15" s="15">
        <f t="shared" si="1"/>
        <v>10.714285714285715</v>
      </c>
      <c r="R15" s="1" t="s">
        <v>11</v>
      </c>
      <c r="S15" s="17">
        <f t="shared" ref="S15:AF15" si="7">SUM(C30:C33)</f>
        <v>2.4285714285714288</v>
      </c>
      <c r="T15" s="17">
        <f t="shared" si="7"/>
        <v>0.71428571428571419</v>
      </c>
      <c r="U15" s="17">
        <f t="shared" si="7"/>
        <v>0.71428571428571419</v>
      </c>
      <c r="V15" s="17">
        <f t="shared" si="7"/>
        <v>0.14285714285714285</v>
      </c>
      <c r="W15" s="17">
        <f t="shared" si="7"/>
        <v>0</v>
      </c>
      <c r="X15" s="17">
        <f t="shared" si="7"/>
        <v>0</v>
      </c>
      <c r="Y15" s="17">
        <f t="shared" si="7"/>
        <v>2.4285714285714288</v>
      </c>
      <c r="Z15" s="17">
        <f t="shared" si="7"/>
        <v>0.42857142857142855</v>
      </c>
      <c r="AA15" s="17">
        <f t="shared" si="7"/>
        <v>0.14285714285714285</v>
      </c>
      <c r="AB15" s="17">
        <f t="shared" si="7"/>
        <v>0</v>
      </c>
      <c r="AC15" s="17">
        <f t="shared" si="7"/>
        <v>46.428571428571431</v>
      </c>
      <c r="AD15" s="17">
        <f t="shared" si="7"/>
        <v>0</v>
      </c>
      <c r="AE15" s="31">
        <f t="shared" si="7"/>
        <v>6.9999999999999991</v>
      </c>
      <c r="AF15" s="31">
        <f t="shared" si="7"/>
        <v>53.428571428571431</v>
      </c>
    </row>
    <row r="16" spans="2:32" ht="23.1" customHeight="1" x14ac:dyDescent="0.25">
      <c r="B16" s="23" t="s">
        <v>43</v>
      </c>
      <c r="C16" s="49">
        <f>AVERAGE('17.10 Kyankwanzi-bukomero'!C16,'18.10 Kyankwanzi-bukomero'!C16,'19.10 Kyankwanzi-bukomero-24h'!C16,'20.10 Kyankwanzi-bukomero'!C16,'21.10 Kyankwanzi-bukomero-24h'!C16,'22.10 Kyankwanzi-bukomero'!C16,'23.10 kyankwanzi-bukomero'!C16)</f>
        <v>0.2857142857142857</v>
      </c>
      <c r="D16" s="49">
        <f>AVERAGE('17.10 Kyankwanzi-bukomero'!D16,'18.10 Kyankwanzi-bukomero'!D16,'19.10 Kyankwanzi-bukomero-24h'!D16,'20.10 Kyankwanzi-bukomero'!D16,'21.10 Kyankwanzi-bukomero-24h'!D16,'22.10 Kyankwanzi-bukomero'!D16,'23.10 kyankwanzi-bukomero'!D16)</f>
        <v>0</v>
      </c>
      <c r="E16" s="49">
        <f>AVERAGE('17.10 Kyankwanzi-bukomero'!E16,'18.10 Kyankwanzi-bukomero'!E16,'19.10 Kyankwanzi-bukomero-24h'!E16,'20.10 Kyankwanzi-bukomero'!E16,'21.10 Kyankwanzi-bukomero-24h'!E16,'22.10 Kyankwanzi-bukomero'!E16,'23.10 kyankwanzi-bukomero'!E16)</f>
        <v>0</v>
      </c>
      <c r="F16" s="49">
        <f>AVERAGE('17.10 Kyankwanzi-bukomero'!F16,'18.10 Kyankwanzi-bukomero'!F16,'19.10 Kyankwanzi-bukomero-24h'!F16,'20.10 Kyankwanzi-bukomero'!F16,'21.10 Kyankwanzi-bukomero-24h'!F16,'22.10 Kyankwanzi-bukomero'!F16,'23.10 kyankwanzi-bukomero'!F16)</f>
        <v>0</v>
      </c>
      <c r="G16" s="49">
        <f>AVERAGE('17.10 Kyankwanzi-bukomero'!G16,'18.10 Kyankwanzi-bukomero'!G16,'19.10 Kyankwanzi-bukomero-24h'!G16,'20.10 Kyankwanzi-bukomero'!G16,'21.10 Kyankwanzi-bukomero-24h'!G16,'22.10 Kyankwanzi-bukomero'!G16,'23.10 kyankwanzi-bukomero'!G16)</f>
        <v>0</v>
      </c>
      <c r="H16" s="49">
        <f>AVERAGE('17.10 Kyankwanzi-bukomero'!H16,'18.10 Kyankwanzi-bukomero'!H16,'19.10 Kyankwanzi-bukomero-24h'!H16,'20.10 Kyankwanzi-bukomero'!H16,'21.10 Kyankwanzi-bukomero-24h'!H16,'22.10 Kyankwanzi-bukomero'!H16,'23.10 kyankwanzi-bukomero'!H16)</f>
        <v>0</v>
      </c>
      <c r="I16" s="49">
        <f>AVERAGE('17.10 Kyankwanzi-bukomero'!I16,'18.10 Kyankwanzi-bukomero'!I16,'19.10 Kyankwanzi-bukomero-24h'!I16,'20.10 Kyankwanzi-bukomero'!I16,'21.10 Kyankwanzi-bukomero-24h'!I16,'22.10 Kyankwanzi-bukomero'!I16,'23.10 kyankwanzi-bukomero'!I16)</f>
        <v>0.5714285714285714</v>
      </c>
      <c r="J16" s="49">
        <f>AVERAGE('17.10 Kyankwanzi-bukomero'!J16,'18.10 Kyankwanzi-bukomero'!J16,'19.10 Kyankwanzi-bukomero-24h'!J16,'20.10 Kyankwanzi-bukomero'!J16,'21.10 Kyankwanzi-bukomero-24h'!J16,'22.10 Kyankwanzi-bukomero'!J16,'23.10 kyankwanzi-bukomero'!J16)</f>
        <v>0</v>
      </c>
      <c r="K16" s="49">
        <f>AVERAGE('17.10 Kyankwanzi-bukomero'!K16,'18.10 Kyankwanzi-bukomero'!K16,'19.10 Kyankwanzi-bukomero-24h'!K16,'20.10 Kyankwanzi-bukomero'!K16,'21.10 Kyankwanzi-bukomero-24h'!K16,'22.10 Kyankwanzi-bukomero'!K16,'23.10 kyankwanzi-bukomero'!K16)</f>
        <v>0</v>
      </c>
      <c r="L16" s="49">
        <f>AVERAGE('17.10 Kyankwanzi-bukomero'!L16,'18.10 Kyankwanzi-bukomero'!L16,'19.10 Kyankwanzi-bukomero-24h'!L16,'20.10 Kyankwanzi-bukomero'!L16,'21.10 Kyankwanzi-bukomero-24h'!L16,'22.10 Kyankwanzi-bukomero'!L16,'23.10 kyankwanzi-bukomero'!L16)</f>
        <v>0</v>
      </c>
      <c r="M16" s="49">
        <f>AVERAGE('17.10 Kyankwanzi-bukomero'!M16,'18.10 Kyankwanzi-bukomero'!M16,'19.10 Kyankwanzi-bukomero-24h'!M16,'20.10 Kyankwanzi-bukomero'!M16,'21.10 Kyankwanzi-bukomero-24h'!M16,'22.10 Kyankwanzi-bukomero'!M16,'23.10 kyankwanzi-bukomero'!M16)</f>
        <v>10.285714285714286</v>
      </c>
      <c r="N16" s="49">
        <f>AVERAGE('17.10 Kyankwanzi-bukomero'!N16,'18.10 Kyankwanzi-bukomero'!N16,'19.10 Kyankwanzi-bukomero-24h'!N16,'20.10 Kyankwanzi-bukomero'!N16,'21.10 Kyankwanzi-bukomero-24h'!N16,'22.10 Kyankwanzi-bukomero'!N16,'23.10 kyankwanzi-bukomero'!N16)</f>
        <v>0</v>
      </c>
      <c r="O16" s="15">
        <f t="shared" si="0"/>
        <v>0.8571428571428571</v>
      </c>
      <c r="P16" s="15">
        <f t="shared" si="1"/>
        <v>11.142857142857144</v>
      </c>
      <c r="R16" s="1" t="s">
        <v>12</v>
      </c>
      <c r="S16" s="17">
        <f t="shared" ref="S16:AF16" si="8">SUM(C34:C37)</f>
        <v>2.1428571428571428</v>
      </c>
      <c r="T16" s="17">
        <f t="shared" si="8"/>
        <v>0.71428571428571419</v>
      </c>
      <c r="U16" s="17">
        <f t="shared" si="8"/>
        <v>0.14285714285714285</v>
      </c>
      <c r="V16" s="17">
        <f t="shared" si="8"/>
        <v>0.14285714285714285</v>
      </c>
      <c r="W16" s="17">
        <f t="shared" si="8"/>
        <v>0</v>
      </c>
      <c r="X16" s="17">
        <f t="shared" si="8"/>
        <v>0</v>
      </c>
      <c r="Y16" s="17">
        <f t="shared" si="8"/>
        <v>1.7142857142857144</v>
      </c>
      <c r="Z16" s="17">
        <f t="shared" si="8"/>
        <v>0.71428571428571419</v>
      </c>
      <c r="AA16" s="17">
        <f t="shared" si="8"/>
        <v>0.14285714285714285</v>
      </c>
      <c r="AB16" s="17">
        <f t="shared" si="8"/>
        <v>0</v>
      </c>
      <c r="AC16" s="17">
        <f t="shared" si="8"/>
        <v>51.285714285714278</v>
      </c>
      <c r="AD16" s="17">
        <f t="shared" si="8"/>
        <v>0</v>
      </c>
      <c r="AE16" s="31">
        <f t="shared" si="8"/>
        <v>5.7142857142857135</v>
      </c>
      <c r="AF16" s="31">
        <f t="shared" si="8"/>
        <v>57</v>
      </c>
    </row>
    <row r="17" spans="2:32" ht="23.1" customHeight="1" x14ac:dyDescent="0.25">
      <c r="B17" s="23" t="s">
        <v>44</v>
      </c>
      <c r="C17" s="49">
        <f>AVERAGE('17.10 Kyankwanzi-bukomero'!C17,'18.10 Kyankwanzi-bukomero'!C17,'19.10 Kyankwanzi-bukomero-24h'!C17,'20.10 Kyankwanzi-bukomero'!C17,'21.10 Kyankwanzi-bukomero-24h'!C17,'22.10 Kyankwanzi-bukomero'!C17,'23.10 kyankwanzi-bukomero'!C17)</f>
        <v>0.7142857142857143</v>
      </c>
      <c r="D17" s="49">
        <f>AVERAGE('17.10 Kyankwanzi-bukomero'!D17,'18.10 Kyankwanzi-bukomero'!D17,'19.10 Kyankwanzi-bukomero-24h'!D17,'20.10 Kyankwanzi-bukomero'!D17,'21.10 Kyankwanzi-bukomero-24h'!D17,'22.10 Kyankwanzi-bukomero'!D17,'23.10 kyankwanzi-bukomero'!D17)</f>
        <v>0</v>
      </c>
      <c r="E17" s="49">
        <f>AVERAGE('17.10 Kyankwanzi-bukomero'!E17,'18.10 Kyankwanzi-bukomero'!E17,'19.10 Kyankwanzi-bukomero-24h'!E17,'20.10 Kyankwanzi-bukomero'!E17,'21.10 Kyankwanzi-bukomero-24h'!E17,'22.10 Kyankwanzi-bukomero'!E17,'23.10 kyankwanzi-bukomero'!E17)</f>
        <v>0</v>
      </c>
      <c r="F17" s="49">
        <f>AVERAGE('17.10 Kyankwanzi-bukomero'!F17,'18.10 Kyankwanzi-bukomero'!F17,'19.10 Kyankwanzi-bukomero-24h'!F17,'20.10 Kyankwanzi-bukomero'!F17,'21.10 Kyankwanzi-bukomero-24h'!F17,'22.10 Kyankwanzi-bukomero'!F17,'23.10 kyankwanzi-bukomero'!F17)</f>
        <v>0.2857142857142857</v>
      </c>
      <c r="G17" s="49">
        <f>AVERAGE('17.10 Kyankwanzi-bukomero'!G17,'18.10 Kyankwanzi-bukomero'!G17,'19.10 Kyankwanzi-bukomero-24h'!G17,'20.10 Kyankwanzi-bukomero'!G17,'21.10 Kyankwanzi-bukomero-24h'!G17,'22.10 Kyankwanzi-bukomero'!G17,'23.10 kyankwanzi-bukomero'!G17)</f>
        <v>0</v>
      </c>
      <c r="H17" s="49">
        <f>AVERAGE('17.10 Kyankwanzi-bukomero'!H17,'18.10 Kyankwanzi-bukomero'!H17,'19.10 Kyankwanzi-bukomero-24h'!H17,'20.10 Kyankwanzi-bukomero'!H17,'21.10 Kyankwanzi-bukomero-24h'!H17,'22.10 Kyankwanzi-bukomero'!H17,'23.10 kyankwanzi-bukomero'!H17)</f>
        <v>0</v>
      </c>
      <c r="I17" s="49">
        <f>AVERAGE('17.10 Kyankwanzi-bukomero'!I17,'18.10 Kyankwanzi-bukomero'!I17,'19.10 Kyankwanzi-bukomero-24h'!I17,'20.10 Kyankwanzi-bukomero'!I17,'21.10 Kyankwanzi-bukomero-24h'!I17,'22.10 Kyankwanzi-bukomero'!I17,'23.10 kyankwanzi-bukomero'!I17)</f>
        <v>0.42857142857142855</v>
      </c>
      <c r="J17" s="49">
        <f>AVERAGE('17.10 Kyankwanzi-bukomero'!J17,'18.10 Kyankwanzi-bukomero'!J17,'19.10 Kyankwanzi-bukomero-24h'!J17,'20.10 Kyankwanzi-bukomero'!J17,'21.10 Kyankwanzi-bukomero-24h'!J17,'22.10 Kyankwanzi-bukomero'!J17,'23.10 kyankwanzi-bukomero'!J17)</f>
        <v>0.14285714285714285</v>
      </c>
      <c r="K17" s="49">
        <f>AVERAGE('17.10 Kyankwanzi-bukomero'!K17,'18.10 Kyankwanzi-bukomero'!K17,'19.10 Kyankwanzi-bukomero-24h'!K17,'20.10 Kyankwanzi-bukomero'!K17,'21.10 Kyankwanzi-bukomero-24h'!K17,'22.10 Kyankwanzi-bukomero'!K17,'23.10 kyankwanzi-bukomero'!K17)</f>
        <v>0</v>
      </c>
      <c r="L17" s="49">
        <f>AVERAGE('17.10 Kyankwanzi-bukomero'!L17,'18.10 Kyankwanzi-bukomero'!L17,'19.10 Kyankwanzi-bukomero-24h'!L17,'20.10 Kyankwanzi-bukomero'!L17,'21.10 Kyankwanzi-bukomero-24h'!L17,'22.10 Kyankwanzi-bukomero'!L17,'23.10 kyankwanzi-bukomero'!L17)</f>
        <v>0</v>
      </c>
      <c r="M17" s="49">
        <f>AVERAGE('17.10 Kyankwanzi-bukomero'!M17,'18.10 Kyankwanzi-bukomero'!M17,'19.10 Kyankwanzi-bukomero-24h'!M17,'20.10 Kyankwanzi-bukomero'!M17,'21.10 Kyankwanzi-bukomero-24h'!M17,'22.10 Kyankwanzi-bukomero'!M17,'23.10 kyankwanzi-bukomero'!M17)</f>
        <v>10.571428571428571</v>
      </c>
      <c r="N17" s="49">
        <f>AVERAGE('17.10 Kyankwanzi-bukomero'!N17,'18.10 Kyankwanzi-bukomero'!N17,'19.10 Kyankwanzi-bukomero-24h'!N17,'20.10 Kyankwanzi-bukomero'!N17,'21.10 Kyankwanzi-bukomero-24h'!N17,'22.10 Kyankwanzi-bukomero'!N17,'23.10 kyankwanzi-bukomero'!N17)</f>
        <v>0</v>
      </c>
      <c r="O17" s="15">
        <f t="shared" si="0"/>
        <v>1.5714285714285714</v>
      </c>
      <c r="P17" s="15">
        <f t="shared" si="1"/>
        <v>12.142857142857142</v>
      </c>
      <c r="R17" s="1" t="s">
        <v>13</v>
      </c>
      <c r="S17" s="17">
        <f t="shared" ref="S17:AF17" si="9">SUM(C38:C41)</f>
        <v>2.7142857142857144</v>
      </c>
      <c r="T17" s="17">
        <f t="shared" si="9"/>
        <v>0.71428571428571419</v>
      </c>
      <c r="U17" s="17">
        <f t="shared" si="9"/>
        <v>0.8571428571428571</v>
      </c>
      <c r="V17" s="17">
        <f t="shared" si="9"/>
        <v>0.42857142857142855</v>
      </c>
      <c r="W17" s="17">
        <f t="shared" si="9"/>
        <v>0</v>
      </c>
      <c r="X17" s="17">
        <f t="shared" si="9"/>
        <v>0</v>
      </c>
      <c r="Y17" s="17">
        <f t="shared" si="9"/>
        <v>3.5714285714285712</v>
      </c>
      <c r="Z17" s="17">
        <f t="shared" si="9"/>
        <v>0.8571428571428571</v>
      </c>
      <c r="AA17" s="17">
        <f t="shared" si="9"/>
        <v>0</v>
      </c>
      <c r="AB17" s="17">
        <f t="shared" si="9"/>
        <v>0</v>
      </c>
      <c r="AC17" s="17">
        <f t="shared" si="9"/>
        <v>52.857142857142854</v>
      </c>
      <c r="AD17" s="17">
        <f t="shared" si="9"/>
        <v>0</v>
      </c>
      <c r="AE17" s="31">
        <f t="shared" si="9"/>
        <v>9.1428571428571423</v>
      </c>
      <c r="AF17" s="31">
        <f t="shared" si="9"/>
        <v>62</v>
      </c>
    </row>
    <row r="18" spans="2:32" ht="23.1" customHeight="1" x14ac:dyDescent="0.25">
      <c r="B18" s="23" t="s">
        <v>45</v>
      </c>
      <c r="C18" s="49">
        <f>AVERAGE('17.10 Kyankwanzi-bukomero'!C18,'18.10 Kyankwanzi-bukomero'!C18,'19.10 Kyankwanzi-bukomero-24h'!C18,'20.10 Kyankwanzi-bukomero'!C18,'21.10 Kyankwanzi-bukomero-24h'!C18,'22.10 Kyankwanzi-bukomero'!C18,'23.10 kyankwanzi-bukomero'!C18)</f>
        <v>0.5714285714285714</v>
      </c>
      <c r="D18" s="49">
        <f>AVERAGE('17.10 Kyankwanzi-bukomero'!D18,'18.10 Kyankwanzi-bukomero'!D18,'19.10 Kyankwanzi-bukomero-24h'!D18,'20.10 Kyankwanzi-bukomero'!D18,'21.10 Kyankwanzi-bukomero-24h'!D18,'22.10 Kyankwanzi-bukomero'!D18,'23.10 kyankwanzi-bukomero'!D18)</f>
        <v>0.2857142857142857</v>
      </c>
      <c r="E18" s="49">
        <f>AVERAGE('17.10 Kyankwanzi-bukomero'!E18,'18.10 Kyankwanzi-bukomero'!E18,'19.10 Kyankwanzi-bukomero-24h'!E18,'20.10 Kyankwanzi-bukomero'!E18,'21.10 Kyankwanzi-bukomero-24h'!E18,'22.10 Kyankwanzi-bukomero'!E18,'23.10 kyankwanzi-bukomero'!E18)</f>
        <v>0.2857142857142857</v>
      </c>
      <c r="F18" s="49">
        <f>AVERAGE('17.10 Kyankwanzi-bukomero'!F18,'18.10 Kyankwanzi-bukomero'!F18,'19.10 Kyankwanzi-bukomero-24h'!F18,'20.10 Kyankwanzi-bukomero'!F18,'21.10 Kyankwanzi-bukomero-24h'!F18,'22.10 Kyankwanzi-bukomero'!F18,'23.10 kyankwanzi-bukomero'!F18)</f>
        <v>0.14285714285714285</v>
      </c>
      <c r="G18" s="49">
        <f>AVERAGE('17.10 Kyankwanzi-bukomero'!G18,'18.10 Kyankwanzi-bukomero'!G18,'19.10 Kyankwanzi-bukomero-24h'!G18,'20.10 Kyankwanzi-bukomero'!G18,'21.10 Kyankwanzi-bukomero-24h'!G18,'22.10 Kyankwanzi-bukomero'!G18,'23.10 kyankwanzi-bukomero'!G18)</f>
        <v>0</v>
      </c>
      <c r="H18" s="49">
        <f>AVERAGE('17.10 Kyankwanzi-bukomero'!H18,'18.10 Kyankwanzi-bukomero'!H18,'19.10 Kyankwanzi-bukomero-24h'!H18,'20.10 Kyankwanzi-bukomero'!H18,'21.10 Kyankwanzi-bukomero-24h'!H18,'22.10 Kyankwanzi-bukomero'!H18,'23.10 kyankwanzi-bukomero'!H18)</f>
        <v>0</v>
      </c>
      <c r="I18" s="49">
        <f>AVERAGE('17.10 Kyankwanzi-bukomero'!I18,'18.10 Kyankwanzi-bukomero'!I18,'19.10 Kyankwanzi-bukomero-24h'!I18,'20.10 Kyankwanzi-bukomero'!I18,'21.10 Kyankwanzi-bukomero-24h'!I18,'22.10 Kyankwanzi-bukomero'!I18,'23.10 kyankwanzi-bukomero'!I18)</f>
        <v>0.7142857142857143</v>
      </c>
      <c r="J18" s="49">
        <f>AVERAGE('17.10 Kyankwanzi-bukomero'!J18,'18.10 Kyankwanzi-bukomero'!J18,'19.10 Kyankwanzi-bukomero-24h'!J18,'20.10 Kyankwanzi-bukomero'!J18,'21.10 Kyankwanzi-bukomero-24h'!J18,'22.10 Kyankwanzi-bukomero'!J18,'23.10 kyankwanzi-bukomero'!J18)</f>
        <v>0.2857142857142857</v>
      </c>
      <c r="K18" s="49">
        <f>AVERAGE('17.10 Kyankwanzi-bukomero'!K18,'18.10 Kyankwanzi-bukomero'!K18,'19.10 Kyankwanzi-bukomero-24h'!K18,'20.10 Kyankwanzi-bukomero'!K18,'21.10 Kyankwanzi-bukomero-24h'!K18,'22.10 Kyankwanzi-bukomero'!K18,'23.10 kyankwanzi-bukomero'!K18)</f>
        <v>0</v>
      </c>
      <c r="L18" s="49">
        <f>AVERAGE('17.10 Kyankwanzi-bukomero'!L18,'18.10 Kyankwanzi-bukomero'!L18,'19.10 Kyankwanzi-bukomero-24h'!L18,'20.10 Kyankwanzi-bukomero'!L18,'21.10 Kyankwanzi-bukomero-24h'!L18,'22.10 Kyankwanzi-bukomero'!L18,'23.10 kyankwanzi-bukomero'!L18)</f>
        <v>0</v>
      </c>
      <c r="M18" s="49">
        <f>AVERAGE('17.10 Kyankwanzi-bukomero'!M18,'18.10 Kyankwanzi-bukomero'!M18,'19.10 Kyankwanzi-bukomero-24h'!M18,'20.10 Kyankwanzi-bukomero'!M18,'21.10 Kyankwanzi-bukomero-24h'!M18,'22.10 Kyankwanzi-bukomero'!M18,'23.10 kyankwanzi-bukomero'!M18)</f>
        <v>10.142857142857142</v>
      </c>
      <c r="N18" s="49">
        <f>AVERAGE('17.10 Kyankwanzi-bukomero'!N18,'18.10 Kyankwanzi-bukomero'!N18,'19.10 Kyankwanzi-bukomero-24h'!N18,'20.10 Kyankwanzi-bukomero'!N18,'21.10 Kyankwanzi-bukomero-24h'!N18,'22.10 Kyankwanzi-bukomero'!N18,'23.10 kyankwanzi-bukomero'!N18)</f>
        <v>0</v>
      </c>
      <c r="O18" s="15">
        <f t="shared" si="0"/>
        <v>2.2857142857142856</v>
      </c>
      <c r="P18" s="15">
        <f t="shared" si="1"/>
        <v>12.428571428571427</v>
      </c>
      <c r="R18" s="1" t="s">
        <v>14</v>
      </c>
      <c r="S18" s="17">
        <f t="shared" ref="S18:AF18" si="10">SUM(C42:C45)</f>
        <v>2.5714285714285712</v>
      </c>
      <c r="T18" s="17">
        <f t="shared" si="10"/>
        <v>0.71428571428571419</v>
      </c>
      <c r="U18" s="17">
        <f t="shared" si="10"/>
        <v>0.42857142857142855</v>
      </c>
      <c r="V18" s="17">
        <f t="shared" si="10"/>
        <v>0.2857142857142857</v>
      </c>
      <c r="W18" s="17">
        <f t="shared" si="10"/>
        <v>0</v>
      </c>
      <c r="X18" s="17">
        <f t="shared" si="10"/>
        <v>0</v>
      </c>
      <c r="Y18" s="17">
        <f t="shared" si="10"/>
        <v>3.4285714285714284</v>
      </c>
      <c r="Z18" s="17">
        <f t="shared" si="10"/>
        <v>0.42857142857142855</v>
      </c>
      <c r="AA18" s="17">
        <f t="shared" si="10"/>
        <v>0.2857142857142857</v>
      </c>
      <c r="AB18" s="17">
        <f t="shared" si="10"/>
        <v>0</v>
      </c>
      <c r="AC18" s="17">
        <f t="shared" si="10"/>
        <v>49</v>
      </c>
      <c r="AD18" s="17">
        <f t="shared" si="10"/>
        <v>0</v>
      </c>
      <c r="AE18" s="31">
        <f t="shared" si="10"/>
        <v>8.1428571428571423</v>
      </c>
      <c r="AF18" s="31">
        <f t="shared" si="10"/>
        <v>57.142857142857146</v>
      </c>
    </row>
    <row r="19" spans="2:32" ht="23.1" customHeight="1" x14ac:dyDescent="0.25">
      <c r="B19" s="23" t="s">
        <v>46</v>
      </c>
      <c r="C19" s="49">
        <f>AVERAGE('17.10 Kyankwanzi-bukomero'!C19,'18.10 Kyankwanzi-bukomero'!C19,'19.10 Kyankwanzi-bukomero-24h'!C19,'20.10 Kyankwanzi-bukomero'!C19,'21.10 Kyankwanzi-bukomero-24h'!C19,'22.10 Kyankwanzi-bukomero'!C19,'23.10 kyankwanzi-bukomero'!C19)</f>
        <v>0.2857142857142857</v>
      </c>
      <c r="D19" s="49">
        <f>AVERAGE('17.10 Kyankwanzi-bukomero'!D19,'18.10 Kyankwanzi-bukomero'!D19,'19.10 Kyankwanzi-bukomero-24h'!D19,'20.10 Kyankwanzi-bukomero'!D19,'21.10 Kyankwanzi-bukomero-24h'!D19,'22.10 Kyankwanzi-bukomero'!D19,'23.10 kyankwanzi-bukomero'!D19)</f>
        <v>0</v>
      </c>
      <c r="E19" s="49">
        <f>AVERAGE('17.10 Kyankwanzi-bukomero'!E19,'18.10 Kyankwanzi-bukomero'!E19,'19.10 Kyankwanzi-bukomero-24h'!E19,'20.10 Kyankwanzi-bukomero'!E19,'21.10 Kyankwanzi-bukomero-24h'!E19,'22.10 Kyankwanzi-bukomero'!E19,'23.10 kyankwanzi-bukomero'!E19)</f>
        <v>0</v>
      </c>
      <c r="F19" s="49">
        <f>AVERAGE('17.10 Kyankwanzi-bukomero'!F19,'18.10 Kyankwanzi-bukomero'!F19,'19.10 Kyankwanzi-bukomero-24h'!F19,'20.10 Kyankwanzi-bukomero'!F19,'21.10 Kyankwanzi-bukomero-24h'!F19,'22.10 Kyankwanzi-bukomero'!F19,'23.10 kyankwanzi-bukomero'!F19)</f>
        <v>0.14285714285714285</v>
      </c>
      <c r="G19" s="49">
        <f>AVERAGE('17.10 Kyankwanzi-bukomero'!G19,'18.10 Kyankwanzi-bukomero'!G19,'19.10 Kyankwanzi-bukomero-24h'!G19,'20.10 Kyankwanzi-bukomero'!G19,'21.10 Kyankwanzi-bukomero-24h'!G19,'22.10 Kyankwanzi-bukomero'!G19,'23.10 kyankwanzi-bukomero'!G19)</f>
        <v>0</v>
      </c>
      <c r="H19" s="49">
        <f>AVERAGE('17.10 Kyankwanzi-bukomero'!H19,'18.10 Kyankwanzi-bukomero'!H19,'19.10 Kyankwanzi-bukomero-24h'!H19,'20.10 Kyankwanzi-bukomero'!H19,'21.10 Kyankwanzi-bukomero-24h'!H19,'22.10 Kyankwanzi-bukomero'!H19,'23.10 kyankwanzi-bukomero'!H19)</f>
        <v>0</v>
      </c>
      <c r="I19" s="49">
        <f>AVERAGE('17.10 Kyankwanzi-bukomero'!I19,'18.10 Kyankwanzi-bukomero'!I19,'19.10 Kyankwanzi-bukomero-24h'!I19,'20.10 Kyankwanzi-bukomero'!I19,'21.10 Kyankwanzi-bukomero-24h'!I19,'22.10 Kyankwanzi-bukomero'!I19,'23.10 kyankwanzi-bukomero'!I19)</f>
        <v>0.7142857142857143</v>
      </c>
      <c r="J19" s="49">
        <f>AVERAGE('17.10 Kyankwanzi-bukomero'!J19,'18.10 Kyankwanzi-bukomero'!J19,'19.10 Kyankwanzi-bukomero-24h'!J19,'20.10 Kyankwanzi-bukomero'!J19,'21.10 Kyankwanzi-bukomero-24h'!J19,'22.10 Kyankwanzi-bukomero'!J19,'23.10 kyankwanzi-bukomero'!J19)</f>
        <v>0.14285714285714285</v>
      </c>
      <c r="K19" s="49">
        <f>AVERAGE('17.10 Kyankwanzi-bukomero'!K19,'18.10 Kyankwanzi-bukomero'!K19,'19.10 Kyankwanzi-bukomero-24h'!K19,'20.10 Kyankwanzi-bukomero'!K19,'21.10 Kyankwanzi-bukomero-24h'!K19,'22.10 Kyankwanzi-bukomero'!K19,'23.10 kyankwanzi-bukomero'!K19)</f>
        <v>0</v>
      </c>
      <c r="L19" s="49">
        <f>AVERAGE('17.10 Kyankwanzi-bukomero'!L19,'18.10 Kyankwanzi-bukomero'!L19,'19.10 Kyankwanzi-bukomero-24h'!L19,'20.10 Kyankwanzi-bukomero'!L19,'21.10 Kyankwanzi-bukomero-24h'!L19,'22.10 Kyankwanzi-bukomero'!L19,'23.10 kyankwanzi-bukomero'!L19)</f>
        <v>0</v>
      </c>
      <c r="M19" s="49">
        <f>AVERAGE('17.10 Kyankwanzi-bukomero'!M19,'18.10 Kyankwanzi-bukomero'!M19,'19.10 Kyankwanzi-bukomero-24h'!M19,'20.10 Kyankwanzi-bukomero'!M19,'21.10 Kyankwanzi-bukomero-24h'!M19,'22.10 Kyankwanzi-bukomero'!M19,'23.10 kyankwanzi-bukomero'!M19)</f>
        <v>10.428571428571429</v>
      </c>
      <c r="N19" s="49">
        <f>AVERAGE('17.10 Kyankwanzi-bukomero'!N19,'18.10 Kyankwanzi-bukomero'!N19,'19.10 Kyankwanzi-bukomero-24h'!N19,'20.10 Kyankwanzi-bukomero'!N19,'21.10 Kyankwanzi-bukomero-24h'!N19,'22.10 Kyankwanzi-bukomero'!N19,'23.10 kyankwanzi-bukomero'!N19)</f>
        <v>0</v>
      </c>
      <c r="O19" s="15">
        <f t="shared" si="0"/>
        <v>1.2857142857142856</v>
      </c>
      <c r="P19" s="15">
        <f t="shared" si="1"/>
        <v>11.714285714285715</v>
      </c>
      <c r="R19" s="1" t="s">
        <v>15</v>
      </c>
      <c r="S19" s="17">
        <f t="shared" ref="S19:AF19" si="11">SUM(C46:C49)</f>
        <v>2</v>
      </c>
      <c r="T19" s="17">
        <f t="shared" si="11"/>
        <v>1</v>
      </c>
      <c r="U19" s="17">
        <f t="shared" si="11"/>
        <v>0.8571428571428571</v>
      </c>
      <c r="V19" s="17">
        <f t="shared" si="11"/>
        <v>0.2857142857142857</v>
      </c>
      <c r="W19" s="17">
        <f t="shared" si="11"/>
        <v>0</v>
      </c>
      <c r="X19" s="17">
        <f t="shared" si="11"/>
        <v>0</v>
      </c>
      <c r="Y19" s="17">
        <f t="shared" si="11"/>
        <v>3.8571428571428572</v>
      </c>
      <c r="Z19" s="17">
        <f t="shared" si="11"/>
        <v>0.14285714285714285</v>
      </c>
      <c r="AA19" s="17">
        <f t="shared" si="11"/>
        <v>0</v>
      </c>
      <c r="AB19" s="17">
        <f t="shared" si="11"/>
        <v>0</v>
      </c>
      <c r="AC19" s="17">
        <f t="shared" si="11"/>
        <v>57.142857142857146</v>
      </c>
      <c r="AD19" s="17">
        <f t="shared" si="11"/>
        <v>0</v>
      </c>
      <c r="AE19" s="31">
        <f t="shared" si="11"/>
        <v>8.1428571428571423</v>
      </c>
      <c r="AF19" s="31">
        <f t="shared" si="11"/>
        <v>65.285714285714278</v>
      </c>
    </row>
    <row r="20" spans="2:32" ht="23.1" customHeight="1" x14ac:dyDescent="0.25">
      <c r="B20" s="23" t="s">
        <v>47</v>
      </c>
      <c r="C20" s="49">
        <f>AVERAGE('17.10 Kyankwanzi-bukomero'!C20,'18.10 Kyankwanzi-bukomero'!C20,'19.10 Kyankwanzi-bukomero-24h'!C20,'20.10 Kyankwanzi-bukomero'!C20,'21.10 Kyankwanzi-bukomero-24h'!C20,'22.10 Kyankwanzi-bukomero'!C20,'23.10 kyankwanzi-bukomero'!C20)</f>
        <v>0.2857142857142857</v>
      </c>
      <c r="D20" s="49">
        <f>AVERAGE('17.10 Kyankwanzi-bukomero'!D20,'18.10 Kyankwanzi-bukomero'!D20,'19.10 Kyankwanzi-bukomero-24h'!D20,'20.10 Kyankwanzi-bukomero'!D20,'21.10 Kyankwanzi-bukomero-24h'!D20,'22.10 Kyankwanzi-bukomero'!D20,'23.10 kyankwanzi-bukomero'!D20)</f>
        <v>0</v>
      </c>
      <c r="E20" s="49">
        <f>AVERAGE('17.10 Kyankwanzi-bukomero'!E20,'18.10 Kyankwanzi-bukomero'!E20,'19.10 Kyankwanzi-bukomero-24h'!E20,'20.10 Kyankwanzi-bukomero'!E20,'21.10 Kyankwanzi-bukomero-24h'!E20,'22.10 Kyankwanzi-bukomero'!E20,'23.10 kyankwanzi-bukomero'!E20)</f>
        <v>0.2857142857142857</v>
      </c>
      <c r="F20" s="49">
        <f>AVERAGE('17.10 Kyankwanzi-bukomero'!F20,'18.10 Kyankwanzi-bukomero'!F20,'19.10 Kyankwanzi-bukomero-24h'!F20,'20.10 Kyankwanzi-bukomero'!F20,'21.10 Kyankwanzi-bukomero-24h'!F20,'22.10 Kyankwanzi-bukomero'!F20,'23.10 kyankwanzi-bukomero'!F20)</f>
        <v>0</v>
      </c>
      <c r="G20" s="49">
        <f>AVERAGE('17.10 Kyankwanzi-bukomero'!G20,'18.10 Kyankwanzi-bukomero'!G20,'19.10 Kyankwanzi-bukomero-24h'!G20,'20.10 Kyankwanzi-bukomero'!G20,'21.10 Kyankwanzi-bukomero-24h'!G20,'22.10 Kyankwanzi-bukomero'!G20,'23.10 kyankwanzi-bukomero'!G20)</f>
        <v>0</v>
      </c>
      <c r="H20" s="49">
        <f>AVERAGE('17.10 Kyankwanzi-bukomero'!H20,'18.10 Kyankwanzi-bukomero'!H20,'19.10 Kyankwanzi-bukomero-24h'!H20,'20.10 Kyankwanzi-bukomero'!H20,'21.10 Kyankwanzi-bukomero-24h'!H20,'22.10 Kyankwanzi-bukomero'!H20,'23.10 kyankwanzi-bukomero'!H20)</f>
        <v>0</v>
      </c>
      <c r="I20" s="49">
        <f>AVERAGE('17.10 Kyankwanzi-bukomero'!I20,'18.10 Kyankwanzi-bukomero'!I20,'19.10 Kyankwanzi-bukomero-24h'!I20,'20.10 Kyankwanzi-bukomero'!I20,'21.10 Kyankwanzi-bukomero-24h'!I20,'22.10 Kyankwanzi-bukomero'!I20,'23.10 kyankwanzi-bukomero'!I20)</f>
        <v>0.8571428571428571</v>
      </c>
      <c r="J20" s="49">
        <f>AVERAGE('17.10 Kyankwanzi-bukomero'!J20,'18.10 Kyankwanzi-bukomero'!J20,'19.10 Kyankwanzi-bukomero-24h'!J20,'20.10 Kyankwanzi-bukomero'!J20,'21.10 Kyankwanzi-bukomero-24h'!J20,'22.10 Kyankwanzi-bukomero'!J20,'23.10 kyankwanzi-bukomero'!J20)</f>
        <v>0</v>
      </c>
      <c r="K20" s="49">
        <f>AVERAGE('17.10 Kyankwanzi-bukomero'!K20,'18.10 Kyankwanzi-bukomero'!K20,'19.10 Kyankwanzi-bukomero-24h'!K20,'20.10 Kyankwanzi-bukomero'!K20,'21.10 Kyankwanzi-bukomero-24h'!K20,'22.10 Kyankwanzi-bukomero'!K20,'23.10 kyankwanzi-bukomero'!K20)</f>
        <v>0</v>
      </c>
      <c r="L20" s="49">
        <f>AVERAGE('17.10 Kyankwanzi-bukomero'!L20,'18.10 Kyankwanzi-bukomero'!L20,'19.10 Kyankwanzi-bukomero-24h'!L20,'20.10 Kyankwanzi-bukomero'!L20,'21.10 Kyankwanzi-bukomero-24h'!L20,'22.10 Kyankwanzi-bukomero'!L20,'23.10 kyankwanzi-bukomero'!L20)</f>
        <v>0</v>
      </c>
      <c r="M20" s="49">
        <f>AVERAGE('17.10 Kyankwanzi-bukomero'!M20,'18.10 Kyankwanzi-bukomero'!M20,'19.10 Kyankwanzi-bukomero-24h'!M20,'20.10 Kyankwanzi-bukomero'!M20,'21.10 Kyankwanzi-bukomero-24h'!M20,'22.10 Kyankwanzi-bukomero'!M20,'23.10 kyankwanzi-bukomero'!M20)</f>
        <v>10.142857142857142</v>
      </c>
      <c r="N20" s="49">
        <f>AVERAGE('17.10 Kyankwanzi-bukomero'!N20,'18.10 Kyankwanzi-bukomero'!N20,'19.10 Kyankwanzi-bukomero-24h'!N20,'20.10 Kyankwanzi-bukomero'!N20,'21.10 Kyankwanzi-bukomero-24h'!N20,'22.10 Kyankwanzi-bukomero'!N20,'23.10 kyankwanzi-bukomero'!N20)</f>
        <v>0</v>
      </c>
      <c r="O20" s="15">
        <f t="shared" si="0"/>
        <v>1.4285714285714284</v>
      </c>
      <c r="P20" s="15">
        <f t="shared" si="1"/>
        <v>11.571428571428571</v>
      </c>
      <c r="R20" s="1" t="s">
        <v>16</v>
      </c>
      <c r="S20" s="17">
        <f t="shared" ref="S20:AF20" si="12">SUM(C50:C53)</f>
        <v>1.2857142857142856</v>
      </c>
      <c r="T20" s="17">
        <f t="shared" si="12"/>
        <v>0.99999999999999989</v>
      </c>
      <c r="U20" s="17">
        <f t="shared" si="12"/>
        <v>0.71428571428571419</v>
      </c>
      <c r="V20" s="17">
        <f t="shared" si="12"/>
        <v>1</v>
      </c>
      <c r="W20" s="17">
        <f t="shared" si="12"/>
        <v>0</v>
      </c>
      <c r="X20" s="17">
        <f t="shared" si="12"/>
        <v>0.2857142857142857</v>
      </c>
      <c r="Y20" s="17">
        <f t="shared" si="12"/>
        <v>3.2857142857142856</v>
      </c>
      <c r="Z20" s="17">
        <f t="shared" si="12"/>
        <v>0.2857142857142857</v>
      </c>
      <c r="AA20" s="17">
        <f t="shared" si="12"/>
        <v>0</v>
      </c>
      <c r="AB20" s="17">
        <f t="shared" si="12"/>
        <v>0.14285714285714285</v>
      </c>
      <c r="AC20" s="17">
        <f t="shared" si="12"/>
        <v>55.142857142857146</v>
      </c>
      <c r="AD20" s="17">
        <f t="shared" si="12"/>
        <v>0</v>
      </c>
      <c r="AE20" s="31">
        <f t="shared" si="12"/>
        <v>7.9999999999999991</v>
      </c>
      <c r="AF20" s="31">
        <f t="shared" si="12"/>
        <v>63.142857142857146</v>
      </c>
    </row>
    <row r="21" spans="2:32" ht="23.1" customHeight="1" x14ac:dyDescent="0.25">
      <c r="B21" s="23" t="s">
        <v>48</v>
      </c>
      <c r="C21" s="49">
        <f>AVERAGE('17.10 Kyankwanzi-bukomero'!C21,'18.10 Kyankwanzi-bukomero'!C21,'19.10 Kyankwanzi-bukomero-24h'!C21,'20.10 Kyankwanzi-bukomero'!C21,'21.10 Kyankwanzi-bukomero-24h'!C21,'22.10 Kyankwanzi-bukomero'!C21,'23.10 kyankwanzi-bukomero'!C21)</f>
        <v>0.2857142857142857</v>
      </c>
      <c r="D21" s="49">
        <f>AVERAGE('17.10 Kyankwanzi-bukomero'!D21,'18.10 Kyankwanzi-bukomero'!D21,'19.10 Kyankwanzi-bukomero-24h'!D21,'20.10 Kyankwanzi-bukomero'!D21,'21.10 Kyankwanzi-bukomero-24h'!D21,'22.10 Kyankwanzi-bukomero'!D21,'23.10 kyankwanzi-bukomero'!D21)</f>
        <v>0</v>
      </c>
      <c r="E21" s="49">
        <f>AVERAGE('17.10 Kyankwanzi-bukomero'!E21,'18.10 Kyankwanzi-bukomero'!E21,'19.10 Kyankwanzi-bukomero-24h'!E21,'20.10 Kyankwanzi-bukomero'!E21,'21.10 Kyankwanzi-bukomero-24h'!E21,'22.10 Kyankwanzi-bukomero'!E21,'23.10 kyankwanzi-bukomero'!E21)</f>
        <v>0</v>
      </c>
      <c r="F21" s="49">
        <f>AVERAGE('17.10 Kyankwanzi-bukomero'!F21,'18.10 Kyankwanzi-bukomero'!F21,'19.10 Kyankwanzi-bukomero-24h'!F21,'20.10 Kyankwanzi-bukomero'!F21,'21.10 Kyankwanzi-bukomero-24h'!F21,'22.10 Kyankwanzi-bukomero'!F21,'23.10 kyankwanzi-bukomero'!F21)</f>
        <v>0.2857142857142857</v>
      </c>
      <c r="G21" s="49">
        <f>AVERAGE('17.10 Kyankwanzi-bukomero'!G21,'18.10 Kyankwanzi-bukomero'!G21,'19.10 Kyankwanzi-bukomero-24h'!G21,'20.10 Kyankwanzi-bukomero'!G21,'21.10 Kyankwanzi-bukomero-24h'!G21,'22.10 Kyankwanzi-bukomero'!G21,'23.10 kyankwanzi-bukomero'!G21)</f>
        <v>0</v>
      </c>
      <c r="H21" s="49">
        <f>AVERAGE('17.10 Kyankwanzi-bukomero'!H21,'18.10 Kyankwanzi-bukomero'!H21,'19.10 Kyankwanzi-bukomero-24h'!H21,'20.10 Kyankwanzi-bukomero'!H21,'21.10 Kyankwanzi-bukomero-24h'!H21,'22.10 Kyankwanzi-bukomero'!H21,'23.10 kyankwanzi-bukomero'!H21)</f>
        <v>0</v>
      </c>
      <c r="I21" s="49">
        <f>AVERAGE('17.10 Kyankwanzi-bukomero'!I21,'18.10 Kyankwanzi-bukomero'!I21,'19.10 Kyankwanzi-bukomero-24h'!I21,'20.10 Kyankwanzi-bukomero'!I21,'21.10 Kyankwanzi-bukomero-24h'!I21,'22.10 Kyankwanzi-bukomero'!I21,'23.10 kyankwanzi-bukomero'!I21)</f>
        <v>0.42857142857142855</v>
      </c>
      <c r="J21" s="49">
        <f>AVERAGE('17.10 Kyankwanzi-bukomero'!J21,'18.10 Kyankwanzi-bukomero'!J21,'19.10 Kyankwanzi-bukomero-24h'!J21,'20.10 Kyankwanzi-bukomero'!J21,'21.10 Kyankwanzi-bukomero-24h'!J21,'22.10 Kyankwanzi-bukomero'!J21,'23.10 kyankwanzi-bukomero'!J21)</f>
        <v>0</v>
      </c>
      <c r="K21" s="49">
        <f>AVERAGE('17.10 Kyankwanzi-bukomero'!K21,'18.10 Kyankwanzi-bukomero'!K21,'19.10 Kyankwanzi-bukomero-24h'!K21,'20.10 Kyankwanzi-bukomero'!K21,'21.10 Kyankwanzi-bukomero-24h'!K21,'22.10 Kyankwanzi-bukomero'!K21,'23.10 kyankwanzi-bukomero'!K21)</f>
        <v>0</v>
      </c>
      <c r="L21" s="49">
        <f>AVERAGE('17.10 Kyankwanzi-bukomero'!L21,'18.10 Kyankwanzi-bukomero'!L21,'19.10 Kyankwanzi-bukomero-24h'!L21,'20.10 Kyankwanzi-bukomero'!L21,'21.10 Kyankwanzi-bukomero-24h'!L21,'22.10 Kyankwanzi-bukomero'!L21,'23.10 kyankwanzi-bukomero'!L21)</f>
        <v>0</v>
      </c>
      <c r="M21" s="49">
        <f>AVERAGE('17.10 Kyankwanzi-bukomero'!M21,'18.10 Kyankwanzi-bukomero'!M21,'19.10 Kyankwanzi-bukomero-24h'!M21,'20.10 Kyankwanzi-bukomero'!M21,'21.10 Kyankwanzi-bukomero-24h'!M21,'22.10 Kyankwanzi-bukomero'!M21,'23.10 kyankwanzi-bukomero'!M21)</f>
        <v>11.285714285714286</v>
      </c>
      <c r="N21" s="49">
        <f>AVERAGE('17.10 Kyankwanzi-bukomero'!N21,'18.10 Kyankwanzi-bukomero'!N21,'19.10 Kyankwanzi-bukomero-24h'!N21,'20.10 Kyankwanzi-bukomero'!N21,'21.10 Kyankwanzi-bukomero-24h'!N21,'22.10 Kyankwanzi-bukomero'!N21,'23.10 kyankwanzi-bukomero'!N21)</f>
        <v>0</v>
      </c>
      <c r="O21" s="15">
        <f t="shared" si="0"/>
        <v>1</v>
      </c>
      <c r="P21" s="15">
        <f t="shared" si="1"/>
        <v>12.285714285714286</v>
      </c>
      <c r="R21" s="36" t="s">
        <v>20</v>
      </c>
      <c r="S21" s="34">
        <f t="shared" ref="S21:AF21" si="13">SUM(C54:C57)</f>
        <v>2.5714285714285712</v>
      </c>
      <c r="T21" s="17">
        <f t="shared" si="13"/>
        <v>0.2857142857142857</v>
      </c>
      <c r="U21" s="17">
        <f t="shared" si="13"/>
        <v>0.42857142857142855</v>
      </c>
      <c r="V21" s="17">
        <f t="shared" si="13"/>
        <v>0.42857142857142855</v>
      </c>
      <c r="W21" s="17">
        <f t="shared" si="13"/>
        <v>0</v>
      </c>
      <c r="X21" s="17">
        <f t="shared" si="13"/>
        <v>0</v>
      </c>
      <c r="Y21" s="17">
        <f t="shared" si="13"/>
        <v>1.7142857142857142</v>
      </c>
      <c r="Z21" s="17">
        <f t="shared" si="13"/>
        <v>0.14285714285714285</v>
      </c>
      <c r="AA21" s="17">
        <f t="shared" si="13"/>
        <v>0</v>
      </c>
      <c r="AB21" s="17">
        <f t="shared" si="13"/>
        <v>0</v>
      </c>
      <c r="AC21" s="17">
        <f t="shared" si="13"/>
        <v>59.714285714285715</v>
      </c>
      <c r="AD21" s="17">
        <f t="shared" si="13"/>
        <v>0</v>
      </c>
      <c r="AE21" s="31">
        <f t="shared" si="13"/>
        <v>5.5714285714285712</v>
      </c>
      <c r="AF21" s="31">
        <f t="shared" si="13"/>
        <v>65.285714285714292</v>
      </c>
    </row>
    <row r="22" spans="2:32" ht="23.1" customHeight="1" x14ac:dyDescent="0.25">
      <c r="B22" s="23" t="s">
        <v>49</v>
      </c>
      <c r="C22" s="49">
        <f>AVERAGE('17.10 Kyankwanzi-bukomero'!C22,'18.10 Kyankwanzi-bukomero'!C22,'19.10 Kyankwanzi-bukomero-24h'!C22,'20.10 Kyankwanzi-bukomero'!C22,'21.10 Kyankwanzi-bukomero-24h'!C22,'22.10 Kyankwanzi-bukomero'!C22,'23.10 kyankwanzi-bukomero'!C22)</f>
        <v>0.2857142857142857</v>
      </c>
      <c r="D22" s="49">
        <f>AVERAGE('17.10 Kyankwanzi-bukomero'!D22,'18.10 Kyankwanzi-bukomero'!D22,'19.10 Kyankwanzi-bukomero-24h'!D22,'20.10 Kyankwanzi-bukomero'!D22,'21.10 Kyankwanzi-bukomero-24h'!D22,'22.10 Kyankwanzi-bukomero'!D22,'23.10 kyankwanzi-bukomero'!D22)</f>
        <v>0.14285714285714285</v>
      </c>
      <c r="E22" s="49">
        <f>AVERAGE('17.10 Kyankwanzi-bukomero'!E22,'18.10 Kyankwanzi-bukomero'!E22,'19.10 Kyankwanzi-bukomero-24h'!E22,'20.10 Kyankwanzi-bukomero'!E22,'21.10 Kyankwanzi-bukomero-24h'!E22,'22.10 Kyankwanzi-bukomero'!E22,'23.10 kyankwanzi-bukomero'!E22)</f>
        <v>0</v>
      </c>
      <c r="F22" s="49">
        <f>AVERAGE('17.10 Kyankwanzi-bukomero'!F22,'18.10 Kyankwanzi-bukomero'!F22,'19.10 Kyankwanzi-bukomero-24h'!F22,'20.10 Kyankwanzi-bukomero'!F22,'21.10 Kyankwanzi-bukomero-24h'!F22,'22.10 Kyankwanzi-bukomero'!F22,'23.10 kyankwanzi-bukomero'!F22)</f>
        <v>0.2857142857142857</v>
      </c>
      <c r="G22" s="49">
        <f>AVERAGE('17.10 Kyankwanzi-bukomero'!G22,'18.10 Kyankwanzi-bukomero'!G22,'19.10 Kyankwanzi-bukomero-24h'!G22,'20.10 Kyankwanzi-bukomero'!G22,'21.10 Kyankwanzi-bukomero-24h'!G22,'22.10 Kyankwanzi-bukomero'!G22,'23.10 kyankwanzi-bukomero'!G22)</f>
        <v>0</v>
      </c>
      <c r="H22" s="49">
        <f>AVERAGE('17.10 Kyankwanzi-bukomero'!H22,'18.10 Kyankwanzi-bukomero'!H22,'19.10 Kyankwanzi-bukomero-24h'!H22,'20.10 Kyankwanzi-bukomero'!H22,'21.10 Kyankwanzi-bukomero-24h'!H22,'22.10 Kyankwanzi-bukomero'!H22,'23.10 kyankwanzi-bukomero'!H22)</f>
        <v>0</v>
      </c>
      <c r="I22" s="49">
        <f>AVERAGE('17.10 Kyankwanzi-bukomero'!I22,'18.10 Kyankwanzi-bukomero'!I22,'19.10 Kyankwanzi-bukomero-24h'!I22,'20.10 Kyankwanzi-bukomero'!I22,'21.10 Kyankwanzi-bukomero-24h'!I22,'22.10 Kyankwanzi-bukomero'!I22,'23.10 kyankwanzi-bukomero'!I22)</f>
        <v>1.1428571428571428</v>
      </c>
      <c r="J22" s="49">
        <f>AVERAGE('17.10 Kyankwanzi-bukomero'!J22,'18.10 Kyankwanzi-bukomero'!J22,'19.10 Kyankwanzi-bukomero-24h'!J22,'20.10 Kyankwanzi-bukomero'!J22,'21.10 Kyankwanzi-bukomero-24h'!J22,'22.10 Kyankwanzi-bukomero'!J22,'23.10 kyankwanzi-bukomero'!J22)</f>
        <v>0</v>
      </c>
      <c r="K22" s="49">
        <f>AVERAGE('17.10 Kyankwanzi-bukomero'!K22,'18.10 Kyankwanzi-bukomero'!K22,'19.10 Kyankwanzi-bukomero-24h'!K22,'20.10 Kyankwanzi-bukomero'!K22,'21.10 Kyankwanzi-bukomero-24h'!K22,'22.10 Kyankwanzi-bukomero'!K22,'23.10 kyankwanzi-bukomero'!K22)</f>
        <v>0</v>
      </c>
      <c r="L22" s="49">
        <f>AVERAGE('17.10 Kyankwanzi-bukomero'!L22,'18.10 Kyankwanzi-bukomero'!L22,'19.10 Kyankwanzi-bukomero-24h'!L22,'20.10 Kyankwanzi-bukomero'!L22,'21.10 Kyankwanzi-bukomero-24h'!L22,'22.10 Kyankwanzi-bukomero'!L22,'23.10 kyankwanzi-bukomero'!L22)</f>
        <v>0</v>
      </c>
      <c r="M22" s="49">
        <f>AVERAGE('17.10 Kyankwanzi-bukomero'!M22,'18.10 Kyankwanzi-bukomero'!M22,'19.10 Kyankwanzi-bukomero-24h'!M22,'20.10 Kyankwanzi-bukomero'!M22,'21.10 Kyankwanzi-bukomero-24h'!M22,'22.10 Kyankwanzi-bukomero'!M22,'23.10 kyankwanzi-bukomero'!M22)</f>
        <v>9.8571428571428577</v>
      </c>
      <c r="N22" s="49">
        <f>AVERAGE('17.10 Kyankwanzi-bukomero'!N22,'18.10 Kyankwanzi-bukomero'!N22,'19.10 Kyankwanzi-bukomero-24h'!N22,'20.10 Kyankwanzi-bukomero'!N22,'21.10 Kyankwanzi-bukomero-24h'!N22,'22.10 Kyankwanzi-bukomero'!N22,'23.10 kyankwanzi-bukomero'!N22)</f>
        <v>0</v>
      </c>
      <c r="O22" s="15">
        <f t="shared" si="0"/>
        <v>1.857142857142857</v>
      </c>
      <c r="P22" s="15">
        <f t="shared" si="1"/>
        <v>11.714285714285715</v>
      </c>
      <c r="R22" s="1" t="s">
        <v>146</v>
      </c>
      <c r="S22" s="34">
        <f>SUM(C58:C61)</f>
        <v>0.5</v>
      </c>
      <c r="T22" s="34">
        <f t="shared" ref="T22:AF22" si="14">SUM(D58:D61)</f>
        <v>0</v>
      </c>
      <c r="U22" s="34">
        <f t="shared" si="14"/>
        <v>0.5</v>
      </c>
      <c r="V22" s="34">
        <f t="shared" si="14"/>
        <v>0.5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49</v>
      </c>
      <c r="AD22" s="34">
        <f t="shared" si="14"/>
        <v>0</v>
      </c>
      <c r="AE22" s="31">
        <f t="shared" si="14"/>
        <v>3.5</v>
      </c>
      <c r="AF22" s="31">
        <f t="shared" si="14"/>
        <v>52.5</v>
      </c>
    </row>
    <row r="23" spans="2:32" ht="23.1" customHeight="1" x14ac:dyDescent="0.25">
      <c r="B23" s="23" t="s">
        <v>50</v>
      </c>
      <c r="C23" s="49">
        <f>AVERAGE('17.10 Kyankwanzi-bukomero'!C23,'18.10 Kyankwanzi-bukomero'!C23,'19.10 Kyankwanzi-bukomero-24h'!C23,'20.10 Kyankwanzi-bukomero'!C23,'21.10 Kyankwanzi-bukomero-24h'!C23,'22.10 Kyankwanzi-bukomero'!C23,'23.10 kyankwanzi-bukomero'!C23)</f>
        <v>0.2857142857142857</v>
      </c>
      <c r="D23" s="49">
        <f>AVERAGE('17.10 Kyankwanzi-bukomero'!D23,'18.10 Kyankwanzi-bukomero'!D23,'19.10 Kyankwanzi-bukomero-24h'!D23,'20.10 Kyankwanzi-bukomero'!D23,'21.10 Kyankwanzi-bukomero-24h'!D23,'22.10 Kyankwanzi-bukomero'!D23,'23.10 kyankwanzi-bukomero'!D23)</f>
        <v>0</v>
      </c>
      <c r="E23" s="49">
        <f>AVERAGE('17.10 Kyankwanzi-bukomero'!E23,'18.10 Kyankwanzi-bukomero'!E23,'19.10 Kyankwanzi-bukomero-24h'!E23,'20.10 Kyankwanzi-bukomero'!E23,'21.10 Kyankwanzi-bukomero-24h'!E23,'22.10 Kyankwanzi-bukomero'!E23,'23.10 kyankwanzi-bukomero'!E23)</f>
        <v>0.14285714285714285</v>
      </c>
      <c r="F23" s="49">
        <f>AVERAGE('17.10 Kyankwanzi-bukomero'!F23,'18.10 Kyankwanzi-bukomero'!F23,'19.10 Kyankwanzi-bukomero-24h'!F23,'20.10 Kyankwanzi-bukomero'!F23,'21.10 Kyankwanzi-bukomero-24h'!F23,'22.10 Kyankwanzi-bukomero'!F23,'23.10 kyankwanzi-bukomero'!F23)</f>
        <v>0</v>
      </c>
      <c r="G23" s="49">
        <f>AVERAGE('17.10 Kyankwanzi-bukomero'!G23,'18.10 Kyankwanzi-bukomero'!G23,'19.10 Kyankwanzi-bukomero-24h'!G23,'20.10 Kyankwanzi-bukomero'!G23,'21.10 Kyankwanzi-bukomero-24h'!G23,'22.10 Kyankwanzi-bukomero'!G23,'23.10 kyankwanzi-bukomero'!G23)</f>
        <v>0</v>
      </c>
      <c r="H23" s="49">
        <f>AVERAGE('17.10 Kyankwanzi-bukomero'!H23,'18.10 Kyankwanzi-bukomero'!H23,'19.10 Kyankwanzi-bukomero-24h'!H23,'20.10 Kyankwanzi-bukomero'!H23,'21.10 Kyankwanzi-bukomero-24h'!H23,'22.10 Kyankwanzi-bukomero'!H23,'23.10 kyankwanzi-bukomero'!H23)</f>
        <v>0</v>
      </c>
      <c r="I23" s="49">
        <f>AVERAGE('17.10 Kyankwanzi-bukomero'!I23,'18.10 Kyankwanzi-bukomero'!I23,'19.10 Kyankwanzi-bukomero-24h'!I23,'20.10 Kyankwanzi-bukomero'!I23,'21.10 Kyankwanzi-bukomero-24h'!I23,'22.10 Kyankwanzi-bukomero'!I23,'23.10 kyankwanzi-bukomero'!I23)</f>
        <v>0.5714285714285714</v>
      </c>
      <c r="J23" s="49">
        <f>AVERAGE('17.10 Kyankwanzi-bukomero'!J23,'18.10 Kyankwanzi-bukomero'!J23,'19.10 Kyankwanzi-bukomero-24h'!J23,'20.10 Kyankwanzi-bukomero'!J23,'21.10 Kyankwanzi-bukomero-24h'!J23,'22.10 Kyankwanzi-bukomero'!J23,'23.10 kyankwanzi-bukomero'!J23)</f>
        <v>0</v>
      </c>
      <c r="K23" s="49">
        <f>AVERAGE('17.10 Kyankwanzi-bukomero'!K23,'18.10 Kyankwanzi-bukomero'!K23,'19.10 Kyankwanzi-bukomero-24h'!K23,'20.10 Kyankwanzi-bukomero'!K23,'21.10 Kyankwanzi-bukomero-24h'!K23,'22.10 Kyankwanzi-bukomero'!K23,'23.10 kyankwanzi-bukomero'!K23)</f>
        <v>0</v>
      </c>
      <c r="L23" s="49">
        <f>AVERAGE('17.10 Kyankwanzi-bukomero'!L23,'18.10 Kyankwanzi-bukomero'!L23,'19.10 Kyankwanzi-bukomero-24h'!L23,'20.10 Kyankwanzi-bukomero'!L23,'21.10 Kyankwanzi-bukomero-24h'!L23,'22.10 Kyankwanzi-bukomero'!L23,'23.10 kyankwanzi-bukomero'!L23)</f>
        <v>0</v>
      </c>
      <c r="M23" s="49">
        <f>AVERAGE('17.10 Kyankwanzi-bukomero'!M23,'18.10 Kyankwanzi-bukomero'!M23,'19.10 Kyankwanzi-bukomero-24h'!M23,'20.10 Kyankwanzi-bukomero'!M23,'21.10 Kyankwanzi-bukomero-24h'!M23,'22.10 Kyankwanzi-bukomero'!M23,'23.10 kyankwanzi-bukomero'!M23)</f>
        <v>9.7142857142857135</v>
      </c>
      <c r="N23" s="49">
        <f>AVERAGE('17.10 Kyankwanzi-bukomero'!N23,'18.10 Kyankwanzi-bukomero'!N23,'19.10 Kyankwanzi-bukomero-24h'!N23,'20.10 Kyankwanzi-bukomero'!N23,'21.10 Kyankwanzi-bukomero-24h'!N23,'22.10 Kyankwanzi-bukomero'!N23,'23.10 kyankwanzi-bukomero'!N23)</f>
        <v>0</v>
      </c>
      <c r="O23" s="15">
        <f t="shared" si="0"/>
        <v>1</v>
      </c>
      <c r="P23" s="15">
        <f t="shared" si="1"/>
        <v>10.714285714285714</v>
      </c>
      <c r="R23" s="1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0.5</v>
      </c>
      <c r="Z23" s="34">
        <f t="shared" si="15"/>
        <v>1.5</v>
      </c>
      <c r="AA23" s="34">
        <f t="shared" si="15"/>
        <v>0</v>
      </c>
      <c r="AB23" s="34">
        <f t="shared" si="15"/>
        <v>0</v>
      </c>
      <c r="AC23" s="34">
        <f t="shared" si="15"/>
        <v>41</v>
      </c>
      <c r="AD23" s="34">
        <f t="shared" si="15"/>
        <v>0</v>
      </c>
      <c r="AE23" s="31">
        <f t="shared" si="15"/>
        <v>3</v>
      </c>
      <c r="AF23" s="31">
        <f t="shared" si="15"/>
        <v>44</v>
      </c>
    </row>
    <row r="24" spans="2:32" ht="23.1" customHeight="1" x14ac:dyDescent="0.25">
      <c r="B24" s="23" t="s">
        <v>51</v>
      </c>
      <c r="C24" s="49">
        <f>AVERAGE('17.10 Kyankwanzi-bukomero'!C24,'18.10 Kyankwanzi-bukomero'!C24,'19.10 Kyankwanzi-bukomero-24h'!C24,'20.10 Kyankwanzi-bukomero'!C24,'21.10 Kyankwanzi-bukomero-24h'!C24,'22.10 Kyankwanzi-bukomero'!C24,'23.10 kyankwanzi-bukomero'!C24)</f>
        <v>0.14285714285714285</v>
      </c>
      <c r="D24" s="49">
        <f>AVERAGE('17.10 Kyankwanzi-bukomero'!D24,'18.10 Kyankwanzi-bukomero'!D24,'19.10 Kyankwanzi-bukomero-24h'!D24,'20.10 Kyankwanzi-bukomero'!D24,'21.10 Kyankwanzi-bukomero-24h'!D24,'22.10 Kyankwanzi-bukomero'!D24,'23.10 kyankwanzi-bukomero'!D24)</f>
        <v>0</v>
      </c>
      <c r="E24" s="49">
        <f>AVERAGE('17.10 Kyankwanzi-bukomero'!E24,'18.10 Kyankwanzi-bukomero'!E24,'19.10 Kyankwanzi-bukomero-24h'!E24,'20.10 Kyankwanzi-bukomero'!E24,'21.10 Kyankwanzi-bukomero-24h'!E24,'22.10 Kyankwanzi-bukomero'!E24,'23.10 kyankwanzi-bukomero'!E24)</f>
        <v>0</v>
      </c>
      <c r="F24" s="49">
        <f>AVERAGE('17.10 Kyankwanzi-bukomero'!F24,'18.10 Kyankwanzi-bukomero'!F24,'19.10 Kyankwanzi-bukomero-24h'!F24,'20.10 Kyankwanzi-bukomero'!F24,'21.10 Kyankwanzi-bukomero-24h'!F24,'22.10 Kyankwanzi-bukomero'!F24,'23.10 kyankwanzi-bukomero'!F24)</f>
        <v>0</v>
      </c>
      <c r="G24" s="49">
        <f>AVERAGE('17.10 Kyankwanzi-bukomero'!G24,'18.10 Kyankwanzi-bukomero'!G24,'19.10 Kyankwanzi-bukomero-24h'!G24,'20.10 Kyankwanzi-bukomero'!G24,'21.10 Kyankwanzi-bukomero-24h'!G24,'22.10 Kyankwanzi-bukomero'!G24,'23.10 kyankwanzi-bukomero'!G24)</f>
        <v>0</v>
      </c>
      <c r="H24" s="49">
        <f>AVERAGE('17.10 Kyankwanzi-bukomero'!H24,'18.10 Kyankwanzi-bukomero'!H24,'19.10 Kyankwanzi-bukomero-24h'!H24,'20.10 Kyankwanzi-bukomero'!H24,'21.10 Kyankwanzi-bukomero-24h'!H24,'22.10 Kyankwanzi-bukomero'!H24,'23.10 kyankwanzi-bukomero'!H24)</f>
        <v>0</v>
      </c>
      <c r="I24" s="49">
        <f>AVERAGE('17.10 Kyankwanzi-bukomero'!I24,'18.10 Kyankwanzi-bukomero'!I24,'19.10 Kyankwanzi-bukomero-24h'!I24,'20.10 Kyankwanzi-bukomero'!I24,'21.10 Kyankwanzi-bukomero-24h'!I24,'22.10 Kyankwanzi-bukomero'!I24,'23.10 kyankwanzi-bukomero'!I24)</f>
        <v>1</v>
      </c>
      <c r="J24" s="49">
        <f>AVERAGE('17.10 Kyankwanzi-bukomero'!J24,'18.10 Kyankwanzi-bukomero'!J24,'19.10 Kyankwanzi-bukomero-24h'!J24,'20.10 Kyankwanzi-bukomero'!J24,'21.10 Kyankwanzi-bukomero-24h'!J24,'22.10 Kyankwanzi-bukomero'!J24,'23.10 kyankwanzi-bukomero'!J24)</f>
        <v>0</v>
      </c>
      <c r="K24" s="49">
        <f>AVERAGE('17.10 Kyankwanzi-bukomero'!K24,'18.10 Kyankwanzi-bukomero'!K24,'19.10 Kyankwanzi-bukomero-24h'!K24,'20.10 Kyankwanzi-bukomero'!K24,'21.10 Kyankwanzi-bukomero-24h'!K24,'22.10 Kyankwanzi-bukomero'!K24,'23.10 kyankwanzi-bukomero'!K24)</f>
        <v>0</v>
      </c>
      <c r="L24" s="49">
        <f>AVERAGE('17.10 Kyankwanzi-bukomero'!L24,'18.10 Kyankwanzi-bukomero'!L24,'19.10 Kyankwanzi-bukomero-24h'!L24,'20.10 Kyankwanzi-bukomero'!L24,'21.10 Kyankwanzi-bukomero-24h'!L24,'22.10 Kyankwanzi-bukomero'!L24,'23.10 kyankwanzi-bukomero'!L24)</f>
        <v>0</v>
      </c>
      <c r="M24" s="49">
        <f>AVERAGE('17.10 Kyankwanzi-bukomero'!M24,'18.10 Kyankwanzi-bukomero'!M24,'19.10 Kyankwanzi-bukomero-24h'!M24,'20.10 Kyankwanzi-bukomero'!M24,'21.10 Kyankwanzi-bukomero-24h'!M24,'22.10 Kyankwanzi-bukomero'!M24,'23.10 kyankwanzi-bukomero'!M24)</f>
        <v>11</v>
      </c>
      <c r="N24" s="49">
        <f>AVERAGE('17.10 Kyankwanzi-bukomero'!N24,'18.10 Kyankwanzi-bukomero'!N24,'19.10 Kyankwanzi-bukomero-24h'!N24,'20.10 Kyankwanzi-bukomero'!N24,'21.10 Kyankwanzi-bukomero-24h'!N24,'22.10 Kyankwanzi-bukomero'!N24,'23.10 kyankwanzi-bukomero'!N24)</f>
        <v>0</v>
      </c>
      <c r="O24" s="15">
        <f t="shared" si="0"/>
        <v>1.1428571428571428</v>
      </c>
      <c r="P24" s="15">
        <f t="shared" si="1"/>
        <v>12.142857142857142</v>
      </c>
      <c r="R24" s="1" t="s">
        <v>148</v>
      </c>
      <c r="S24" s="34">
        <f>SUM(C66:C69)</f>
        <v>0.5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0.5</v>
      </c>
      <c r="AA24" s="34">
        <f t="shared" si="16"/>
        <v>0</v>
      </c>
      <c r="AB24" s="34">
        <f t="shared" si="16"/>
        <v>0</v>
      </c>
      <c r="AC24" s="34">
        <f t="shared" si="16"/>
        <v>26.5</v>
      </c>
      <c r="AD24" s="34">
        <f t="shared" si="16"/>
        <v>0</v>
      </c>
      <c r="AE24" s="31">
        <f t="shared" si="16"/>
        <v>4</v>
      </c>
      <c r="AF24" s="31">
        <f t="shared" si="16"/>
        <v>30.5</v>
      </c>
    </row>
    <row r="25" spans="2:32" ht="23.1" customHeight="1" x14ac:dyDescent="0.25">
      <c r="B25" s="23" t="s">
        <v>52</v>
      </c>
      <c r="C25" s="49">
        <f>AVERAGE('17.10 Kyankwanzi-bukomero'!C25,'18.10 Kyankwanzi-bukomero'!C25,'19.10 Kyankwanzi-bukomero-24h'!C25,'20.10 Kyankwanzi-bukomero'!C25,'21.10 Kyankwanzi-bukomero-24h'!C25,'22.10 Kyankwanzi-bukomero'!C25,'23.10 kyankwanzi-bukomero'!C25)</f>
        <v>0.14285714285714285</v>
      </c>
      <c r="D25" s="49">
        <f>AVERAGE('17.10 Kyankwanzi-bukomero'!D25,'18.10 Kyankwanzi-bukomero'!D25,'19.10 Kyankwanzi-bukomero-24h'!D25,'20.10 Kyankwanzi-bukomero'!D25,'21.10 Kyankwanzi-bukomero-24h'!D25,'22.10 Kyankwanzi-bukomero'!D25,'23.10 kyankwanzi-bukomero'!D25)</f>
        <v>0</v>
      </c>
      <c r="E25" s="49">
        <f>AVERAGE('17.10 Kyankwanzi-bukomero'!E25,'18.10 Kyankwanzi-bukomero'!E25,'19.10 Kyankwanzi-bukomero-24h'!E25,'20.10 Kyankwanzi-bukomero'!E25,'21.10 Kyankwanzi-bukomero-24h'!E25,'22.10 Kyankwanzi-bukomero'!E25,'23.10 kyankwanzi-bukomero'!E25)</f>
        <v>0</v>
      </c>
      <c r="F25" s="49">
        <f>AVERAGE('17.10 Kyankwanzi-bukomero'!F25,'18.10 Kyankwanzi-bukomero'!F25,'19.10 Kyankwanzi-bukomero-24h'!F25,'20.10 Kyankwanzi-bukomero'!F25,'21.10 Kyankwanzi-bukomero-24h'!F25,'22.10 Kyankwanzi-bukomero'!F25,'23.10 kyankwanzi-bukomero'!F25)</f>
        <v>0</v>
      </c>
      <c r="G25" s="49">
        <f>AVERAGE('17.10 Kyankwanzi-bukomero'!G25,'18.10 Kyankwanzi-bukomero'!G25,'19.10 Kyankwanzi-bukomero-24h'!G25,'20.10 Kyankwanzi-bukomero'!G25,'21.10 Kyankwanzi-bukomero-24h'!G25,'22.10 Kyankwanzi-bukomero'!G25,'23.10 kyankwanzi-bukomero'!G25)</f>
        <v>0</v>
      </c>
      <c r="H25" s="49">
        <f>AVERAGE('17.10 Kyankwanzi-bukomero'!H25,'18.10 Kyankwanzi-bukomero'!H25,'19.10 Kyankwanzi-bukomero-24h'!H25,'20.10 Kyankwanzi-bukomero'!H25,'21.10 Kyankwanzi-bukomero-24h'!H25,'22.10 Kyankwanzi-bukomero'!H25,'23.10 kyankwanzi-bukomero'!H25)</f>
        <v>0</v>
      </c>
      <c r="I25" s="49">
        <f>AVERAGE('17.10 Kyankwanzi-bukomero'!I25,'18.10 Kyankwanzi-bukomero'!I25,'19.10 Kyankwanzi-bukomero-24h'!I25,'20.10 Kyankwanzi-bukomero'!I25,'21.10 Kyankwanzi-bukomero-24h'!I25,'22.10 Kyankwanzi-bukomero'!I25,'23.10 kyankwanzi-bukomero'!I25)</f>
        <v>0.5714285714285714</v>
      </c>
      <c r="J25" s="49">
        <f>AVERAGE('17.10 Kyankwanzi-bukomero'!J25,'18.10 Kyankwanzi-bukomero'!J25,'19.10 Kyankwanzi-bukomero-24h'!J25,'20.10 Kyankwanzi-bukomero'!J25,'21.10 Kyankwanzi-bukomero-24h'!J25,'22.10 Kyankwanzi-bukomero'!J25,'23.10 kyankwanzi-bukomero'!J25)</f>
        <v>0.14285714285714285</v>
      </c>
      <c r="K25" s="49">
        <f>AVERAGE('17.10 Kyankwanzi-bukomero'!K25,'18.10 Kyankwanzi-bukomero'!K25,'19.10 Kyankwanzi-bukomero-24h'!K25,'20.10 Kyankwanzi-bukomero'!K25,'21.10 Kyankwanzi-bukomero-24h'!K25,'22.10 Kyankwanzi-bukomero'!K25,'23.10 kyankwanzi-bukomero'!K25)</f>
        <v>0</v>
      </c>
      <c r="L25" s="49">
        <f>AVERAGE('17.10 Kyankwanzi-bukomero'!L25,'18.10 Kyankwanzi-bukomero'!L25,'19.10 Kyankwanzi-bukomero-24h'!L25,'20.10 Kyankwanzi-bukomero'!L25,'21.10 Kyankwanzi-bukomero-24h'!L25,'22.10 Kyankwanzi-bukomero'!L25,'23.10 kyankwanzi-bukomero'!L25)</f>
        <v>0</v>
      </c>
      <c r="M25" s="49">
        <f>AVERAGE('17.10 Kyankwanzi-bukomero'!M25,'18.10 Kyankwanzi-bukomero'!M25,'19.10 Kyankwanzi-bukomero-24h'!M25,'20.10 Kyankwanzi-bukomero'!M25,'21.10 Kyankwanzi-bukomero-24h'!M25,'22.10 Kyankwanzi-bukomero'!M25,'23.10 kyankwanzi-bukomero'!M25)</f>
        <v>9.5714285714285712</v>
      </c>
      <c r="N25" s="49">
        <f>AVERAGE('17.10 Kyankwanzi-bukomero'!N25,'18.10 Kyankwanzi-bukomero'!N25,'19.10 Kyankwanzi-bukomero-24h'!N25,'20.10 Kyankwanzi-bukomero'!N25,'21.10 Kyankwanzi-bukomero-24h'!N25,'22.10 Kyankwanzi-bukomero'!N25,'23.10 kyankwanzi-bukomero'!N25)</f>
        <v>0</v>
      </c>
      <c r="O25" s="15">
        <f t="shared" si="0"/>
        <v>0.85714285714285698</v>
      </c>
      <c r="P25" s="15">
        <f t="shared" si="1"/>
        <v>10.428571428571429</v>
      </c>
      <c r="R25" s="1" t="s">
        <v>149</v>
      </c>
      <c r="S25" s="34">
        <f>SUM(C70:C73)</f>
        <v>1</v>
      </c>
      <c r="T25" s="34">
        <f t="shared" ref="T25:AF25" si="17">SUM(D70:D73)</f>
        <v>0.5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18</v>
      </c>
      <c r="AD25" s="34">
        <f t="shared" si="17"/>
        <v>0</v>
      </c>
      <c r="AE25" s="31">
        <f t="shared" si="17"/>
        <v>3.5</v>
      </c>
      <c r="AF25" s="31">
        <f t="shared" si="17"/>
        <v>21.5</v>
      </c>
    </row>
    <row r="26" spans="2:32" ht="23.1" customHeight="1" x14ac:dyDescent="0.25">
      <c r="B26" s="23" t="s">
        <v>53</v>
      </c>
      <c r="C26" s="49">
        <f>AVERAGE('17.10 Kyankwanzi-bukomero'!C26,'18.10 Kyankwanzi-bukomero'!C26,'19.10 Kyankwanzi-bukomero-24h'!C26,'20.10 Kyankwanzi-bukomero'!C26,'21.10 Kyankwanzi-bukomero-24h'!C26,'22.10 Kyankwanzi-bukomero'!C26,'23.10 kyankwanzi-bukomero'!C26)</f>
        <v>0.7142857142857143</v>
      </c>
      <c r="D26" s="49">
        <f>AVERAGE('17.10 Kyankwanzi-bukomero'!D26,'18.10 Kyankwanzi-bukomero'!D26,'19.10 Kyankwanzi-bukomero-24h'!D26,'20.10 Kyankwanzi-bukomero'!D26,'21.10 Kyankwanzi-bukomero-24h'!D26,'22.10 Kyankwanzi-bukomero'!D26,'23.10 kyankwanzi-bukomero'!D26)</f>
        <v>0</v>
      </c>
      <c r="E26" s="49">
        <f>AVERAGE('17.10 Kyankwanzi-bukomero'!E26,'18.10 Kyankwanzi-bukomero'!E26,'19.10 Kyankwanzi-bukomero-24h'!E26,'20.10 Kyankwanzi-bukomero'!E26,'21.10 Kyankwanzi-bukomero-24h'!E26,'22.10 Kyankwanzi-bukomero'!E26,'23.10 kyankwanzi-bukomero'!E26)</f>
        <v>0.14285714285714285</v>
      </c>
      <c r="F26" s="49">
        <f>AVERAGE('17.10 Kyankwanzi-bukomero'!F26,'18.10 Kyankwanzi-bukomero'!F26,'19.10 Kyankwanzi-bukomero-24h'!F26,'20.10 Kyankwanzi-bukomero'!F26,'21.10 Kyankwanzi-bukomero-24h'!F26,'22.10 Kyankwanzi-bukomero'!F26,'23.10 kyankwanzi-bukomero'!F26)</f>
        <v>0</v>
      </c>
      <c r="G26" s="49">
        <f>AVERAGE('17.10 Kyankwanzi-bukomero'!G26,'18.10 Kyankwanzi-bukomero'!G26,'19.10 Kyankwanzi-bukomero-24h'!G26,'20.10 Kyankwanzi-bukomero'!G26,'21.10 Kyankwanzi-bukomero-24h'!G26,'22.10 Kyankwanzi-bukomero'!G26,'23.10 kyankwanzi-bukomero'!G26)</f>
        <v>0</v>
      </c>
      <c r="H26" s="49">
        <f>AVERAGE('17.10 Kyankwanzi-bukomero'!H26,'18.10 Kyankwanzi-bukomero'!H26,'19.10 Kyankwanzi-bukomero-24h'!H26,'20.10 Kyankwanzi-bukomero'!H26,'21.10 Kyankwanzi-bukomero-24h'!H26,'22.10 Kyankwanzi-bukomero'!H26,'23.10 kyankwanzi-bukomero'!H26)</f>
        <v>0</v>
      </c>
      <c r="I26" s="49">
        <f>AVERAGE('17.10 Kyankwanzi-bukomero'!I26,'18.10 Kyankwanzi-bukomero'!I26,'19.10 Kyankwanzi-bukomero-24h'!I26,'20.10 Kyankwanzi-bukomero'!I26,'21.10 Kyankwanzi-bukomero-24h'!I26,'22.10 Kyankwanzi-bukomero'!I26,'23.10 kyankwanzi-bukomero'!I26)</f>
        <v>1</v>
      </c>
      <c r="J26" s="49">
        <f>AVERAGE('17.10 Kyankwanzi-bukomero'!J26,'18.10 Kyankwanzi-bukomero'!J26,'19.10 Kyankwanzi-bukomero-24h'!J26,'20.10 Kyankwanzi-bukomero'!J26,'21.10 Kyankwanzi-bukomero-24h'!J26,'22.10 Kyankwanzi-bukomero'!J26,'23.10 kyankwanzi-bukomero'!J26)</f>
        <v>0.14285714285714285</v>
      </c>
      <c r="K26" s="49">
        <f>AVERAGE('17.10 Kyankwanzi-bukomero'!K26,'18.10 Kyankwanzi-bukomero'!K26,'19.10 Kyankwanzi-bukomero-24h'!K26,'20.10 Kyankwanzi-bukomero'!K26,'21.10 Kyankwanzi-bukomero-24h'!K26,'22.10 Kyankwanzi-bukomero'!K26,'23.10 kyankwanzi-bukomero'!K26)</f>
        <v>0</v>
      </c>
      <c r="L26" s="49">
        <f>AVERAGE('17.10 Kyankwanzi-bukomero'!L26,'18.10 Kyankwanzi-bukomero'!L26,'19.10 Kyankwanzi-bukomero-24h'!L26,'20.10 Kyankwanzi-bukomero'!L26,'21.10 Kyankwanzi-bukomero-24h'!L26,'22.10 Kyankwanzi-bukomero'!L26,'23.10 kyankwanzi-bukomero'!L26)</f>
        <v>0</v>
      </c>
      <c r="M26" s="49">
        <f>AVERAGE('17.10 Kyankwanzi-bukomero'!M26,'18.10 Kyankwanzi-bukomero'!M26,'19.10 Kyankwanzi-bukomero-24h'!M26,'20.10 Kyankwanzi-bukomero'!M26,'21.10 Kyankwanzi-bukomero-24h'!M26,'22.10 Kyankwanzi-bukomero'!M26,'23.10 kyankwanzi-bukomero'!M26)</f>
        <v>11</v>
      </c>
      <c r="N26" s="49">
        <f>AVERAGE('17.10 Kyankwanzi-bukomero'!N26,'18.10 Kyankwanzi-bukomero'!N26,'19.10 Kyankwanzi-bukomero-24h'!N26,'20.10 Kyankwanzi-bukomero'!N26,'21.10 Kyankwanzi-bukomero-24h'!N26,'22.10 Kyankwanzi-bukomero'!N26,'23.10 kyankwanzi-bukomero'!N26)</f>
        <v>0</v>
      </c>
      <c r="O26" s="15">
        <f t="shared" si="0"/>
        <v>2</v>
      </c>
      <c r="P26" s="15">
        <f t="shared" si="1"/>
        <v>13</v>
      </c>
      <c r="R26" s="1" t="s">
        <v>150</v>
      </c>
      <c r="S26" s="34">
        <f>SUM(C74:C77)</f>
        <v>0</v>
      </c>
      <c r="T26" s="34">
        <f t="shared" ref="T26:AF26" si="18">SUM(D74:D77)</f>
        <v>0</v>
      </c>
      <c r="U26" s="34">
        <f t="shared" si="18"/>
        <v>0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17</v>
      </c>
      <c r="AD26" s="34">
        <f t="shared" si="18"/>
        <v>0</v>
      </c>
      <c r="AE26" s="31">
        <f t="shared" si="18"/>
        <v>0.5</v>
      </c>
      <c r="AF26" s="31">
        <f t="shared" si="18"/>
        <v>17.5</v>
      </c>
    </row>
    <row r="27" spans="2:32" ht="23.1" customHeight="1" x14ac:dyDescent="0.25">
      <c r="B27" s="23" t="s">
        <v>54</v>
      </c>
      <c r="C27" s="49">
        <f>AVERAGE('17.10 Kyankwanzi-bukomero'!C27,'18.10 Kyankwanzi-bukomero'!C27,'19.10 Kyankwanzi-bukomero-24h'!C27,'20.10 Kyankwanzi-bukomero'!C27,'21.10 Kyankwanzi-bukomero-24h'!C27,'22.10 Kyankwanzi-bukomero'!C27,'23.10 kyankwanzi-bukomero'!C27)</f>
        <v>0.7142857142857143</v>
      </c>
      <c r="D27" s="49">
        <f>AVERAGE('17.10 Kyankwanzi-bukomero'!D27,'18.10 Kyankwanzi-bukomero'!D27,'19.10 Kyankwanzi-bukomero-24h'!D27,'20.10 Kyankwanzi-bukomero'!D27,'21.10 Kyankwanzi-bukomero-24h'!D27,'22.10 Kyankwanzi-bukomero'!D27,'23.10 kyankwanzi-bukomero'!D27)</f>
        <v>0.14285714285714285</v>
      </c>
      <c r="E27" s="49">
        <f>AVERAGE('17.10 Kyankwanzi-bukomero'!E27,'18.10 Kyankwanzi-bukomero'!E27,'19.10 Kyankwanzi-bukomero-24h'!E27,'20.10 Kyankwanzi-bukomero'!E27,'21.10 Kyankwanzi-bukomero-24h'!E27,'22.10 Kyankwanzi-bukomero'!E27,'23.10 kyankwanzi-bukomero'!E27)</f>
        <v>0.14285714285714285</v>
      </c>
      <c r="F27" s="49">
        <f>AVERAGE('17.10 Kyankwanzi-bukomero'!F27,'18.10 Kyankwanzi-bukomero'!F27,'19.10 Kyankwanzi-bukomero-24h'!F27,'20.10 Kyankwanzi-bukomero'!F27,'21.10 Kyankwanzi-bukomero-24h'!F27,'22.10 Kyankwanzi-bukomero'!F27,'23.10 kyankwanzi-bukomero'!F27)</f>
        <v>0</v>
      </c>
      <c r="G27" s="49">
        <f>AVERAGE('17.10 Kyankwanzi-bukomero'!G27,'18.10 Kyankwanzi-bukomero'!G27,'19.10 Kyankwanzi-bukomero-24h'!G27,'20.10 Kyankwanzi-bukomero'!G27,'21.10 Kyankwanzi-bukomero-24h'!G27,'22.10 Kyankwanzi-bukomero'!G27,'23.10 kyankwanzi-bukomero'!G27)</f>
        <v>0</v>
      </c>
      <c r="H27" s="49">
        <f>AVERAGE('17.10 Kyankwanzi-bukomero'!H27,'18.10 Kyankwanzi-bukomero'!H27,'19.10 Kyankwanzi-bukomero-24h'!H27,'20.10 Kyankwanzi-bukomero'!H27,'21.10 Kyankwanzi-bukomero-24h'!H27,'22.10 Kyankwanzi-bukomero'!H27,'23.10 kyankwanzi-bukomero'!H27)</f>
        <v>0</v>
      </c>
      <c r="I27" s="49">
        <f>AVERAGE('17.10 Kyankwanzi-bukomero'!I27,'18.10 Kyankwanzi-bukomero'!I27,'19.10 Kyankwanzi-bukomero-24h'!I27,'20.10 Kyankwanzi-bukomero'!I27,'21.10 Kyankwanzi-bukomero-24h'!I27,'22.10 Kyankwanzi-bukomero'!I27,'23.10 kyankwanzi-bukomero'!I27)</f>
        <v>0.7142857142857143</v>
      </c>
      <c r="J27" s="49">
        <f>AVERAGE('17.10 Kyankwanzi-bukomero'!J27,'18.10 Kyankwanzi-bukomero'!J27,'19.10 Kyankwanzi-bukomero-24h'!J27,'20.10 Kyankwanzi-bukomero'!J27,'21.10 Kyankwanzi-bukomero-24h'!J27,'22.10 Kyankwanzi-bukomero'!J27,'23.10 kyankwanzi-bukomero'!J27)</f>
        <v>0</v>
      </c>
      <c r="K27" s="49">
        <f>AVERAGE('17.10 Kyankwanzi-bukomero'!K27,'18.10 Kyankwanzi-bukomero'!K27,'19.10 Kyankwanzi-bukomero-24h'!K27,'20.10 Kyankwanzi-bukomero'!K27,'21.10 Kyankwanzi-bukomero-24h'!K27,'22.10 Kyankwanzi-bukomero'!K27,'23.10 kyankwanzi-bukomero'!K27)</f>
        <v>0</v>
      </c>
      <c r="L27" s="49">
        <f>AVERAGE('17.10 Kyankwanzi-bukomero'!L27,'18.10 Kyankwanzi-bukomero'!L27,'19.10 Kyankwanzi-bukomero-24h'!L27,'20.10 Kyankwanzi-bukomero'!L27,'21.10 Kyankwanzi-bukomero-24h'!L27,'22.10 Kyankwanzi-bukomero'!L27,'23.10 kyankwanzi-bukomero'!L27)</f>
        <v>0.14285714285714285</v>
      </c>
      <c r="M27" s="49">
        <f>AVERAGE('17.10 Kyankwanzi-bukomero'!M27,'18.10 Kyankwanzi-bukomero'!M27,'19.10 Kyankwanzi-bukomero-24h'!M27,'20.10 Kyankwanzi-bukomero'!M27,'21.10 Kyankwanzi-bukomero-24h'!M27,'22.10 Kyankwanzi-bukomero'!M27,'23.10 kyankwanzi-bukomero'!M27)</f>
        <v>11.428571428571429</v>
      </c>
      <c r="N27" s="49">
        <f>AVERAGE('17.10 Kyankwanzi-bukomero'!N27,'18.10 Kyankwanzi-bukomero'!N27,'19.10 Kyankwanzi-bukomero-24h'!N27,'20.10 Kyankwanzi-bukomero'!N27,'21.10 Kyankwanzi-bukomero-24h'!N27,'22.10 Kyankwanzi-bukomero'!N27,'23.10 kyankwanzi-bukomero'!N27)</f>
        <v>0</v>
      </c>
      <c r="O27" s="15">
        <f t="shared" si="0"/>
        <v>1.8571428571428572</v>
      </c>
      <c r="P27" s="15">
        <f t="shared" si="1"/>
        <v>13.285714285714286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3.5</v>
      </c>
      <c r="AD27" s="34">
        <f t="shared" si="19"/>
        <v>0</v>
      </c>
      <c r="AE27" s="31">
        <f t="shared" si="19"/>
        <v>3.5</v>
      </c>
      <c r="AF27" s="31">
        <f t="shared" si="19"/>
        <v>7</v>
      </c>
    </row>
    <row r="28" spans="2:32" ht="23.1" customHeight="1" x14ac:dyDescent="0.25">
      <c r="B28" s="23" t="s">
        <v>55</v>
      </c>
      <c r="C28" s="49">
        <f>AVERAGE('17.10 Kyankwanzi-bukomero'!C28,'18.10 Kyankwanzi-bukomero'!C28,'19.10 Kyankwanzi-bukomero-24h'!C28,'20.10 Kyankwanzi-bukomero'!C28,'21.10 Kyankwanzi-bukomero-24h'!C28,'22.10 Kyankwanzi-bukomero'!C28,'23.10 kyankwanzi-bukomero'!C28)</f>
        <v>0.2857142857142857</v>
      </c>
      <c r="D28" s="49">
        <f>AVERAGE('17.10 Kyankwanzi-bukomero'!D28,'18.10 Kyankwanzi-bukomero'!D28,'19.10 Kyankwanzi-bukomero-24h'!D28,'20.10 Kyankwanzi-bukomero'!D28,'21.10 Kyankwanzi-bukomero-24h'!D28,'22.10 Kyankwanzi-bukomero'!D28,'23.10 kyankwanzi-bukomero'!D28)</f>
        <v>0.14285714285714285</v>
      </c>
      <c r="E28" s="49">
        <f>AVERAGE('17.10 Kyankwanzi-bukomero'!E28,'18.10 Kyankwanzi-bukomero'!E28,'19.10 Kyankwanzi-bukomero-24h'!E28,'20.10 Kyankwanzi-bukomero'!E28,'21.10 Kyankwanzi-bukomero-24h'!E28,'22.10 Kyankwanzi-bukomero'!E28,'23.10 kyankwanzi-bukomero'!E28)</f>
        <v>0.2857142857142857</v>
      </c>
      <c r="F28" s="49">
        <f>AVERAGE('17.10 Kyankwanzi-bukomero'!F28,'18.10 Kyankwanzi-bukomero'!F28,'19.10 Kyankwanzi-bukomero-24h'!F28,'20.10 Kyankwanzi-bukomero'!F28,'21.10 Kyankwanzi-bukomero-24h'!F28,'22.10 Kyankwanzi-bukomero'!F28,'23.10 kyankwanzi-bukomero'!F28)</f>
        <v>0</v>
      </c>
      <c r="G28" s="49">
        <f>AVERAGE('17.10 Kyankwanzi-bukomero'!G28,'18.10 Kyankwanzi-bukomero'!G28,'19.10 Kyankwanzi-bukomero-24h'!G28,'20.10 Kyankwanzi-bukomero'!G28,'21.10 Kyankwanzi-bukomero-24h'!G28,'22.10 Kyankwanzi-bukomero'!G28,'23.10 kyankwanzi-bukomero'!G28)</f>
        <v>0</v>
      </c>
      <c r="H28" s="49">
        <f>AVERAGE('17.10 Kyankwanzi-bukomero'!H28,'18.10 Kyankwanzi-bukomero'!H28,'19.10 Kyankwanzi-bukomero-24h'!H28,'20.10 Kyankwanzi-bukomero'!H28,'21.10 Kyankwanzi-bukomero-24h'!H28,'22.10 Kyankwanzi-bukomero'!H28,'23.10 kyankwanzi-bukomero'!H28)</f>
        <v>0</v>
      </c>
      <c r="I28" s="49">
        <f>AVERAGE('17.10 Kyankwanzi-bukomero'!I28,'18.10 Kyankwanzi-bukomero'!I28,'19.10 Kyankwanzi-bukomero-24h'!I28,'20.10 Kyankwanzi-bukomero'!I28,'21.10 Kyankwanzi-bukomero-24h'!I28,'22.10 Kyankwanzi-bukomero'!I28,'23.10 kyankwanzi-bukomero'!I28)</f>
        <v>0.42857142857142855</v>
      </c>
      <c r="J28" s="49">
        <f>AVERAGE('17.10 Kyankwanzi-bukomero'!J28,'18.10 Kyankwanzi-bukomero'!J28,'19.10 Kyankwanzi-bukomero-24h'!J28,'20.10 Kyankwanzi-bukomero'!J28,'21.10 Kyankwanzi-bukomero-24h'!J28,'22.10 Kyankwanzi-bukomero'!J28,'23.10 kyankwanzi-bukomero'!J28)</f>
        <v>0.2857142857142857</v>
      </c>
      <c r="K28" s="49">
        <f>AVERAGE('17.10 Kyankwanzi-bukomero'!K28,'18.10 Kyankwanzi-bukomero'!K28,'19.10 Kyankwanzi-bukomero-24h'!K28,'20.10 Kyankwanzi-bukomero'!K28,'21.10 Kyankwanzi-bukomero-24h'!K28,'22.10 Kyankwanzi-bukomero'!K28,'23.10 kyankwanzi-bukomero'!K28)</f>
        <v>0</v>
      </c>
      <c r="L28" s="49">
        <f>AVERAGE('17.10 Kyankwanzi-bukomero'!L28,'18.10 Kyankwanzi-bukomero'!L28,'19.10 Kyankwanzi-bukomero-24h'!L28,'20.10 Kyankwanzi-bukomero'!L28,'21.10 Kyankwanzi-bukomero-24h'!L28,'22.10 Kyankwanzi-bukomero'!L28,'23.10 kyankwanzi-bukomero'!L28)</f>
        <v>0</v>
      </c>
      <c r="M28" s="49">
        <f>AVERAGE('17.10 Kyankwanzi-bukomero'!M28,'18.10 Kyankwanzi-bukomero'!M28,'19.10 Kyankwanzi-bukomero-24h'!M28,'20.10 Kyankwanzi-bukomero'!M28,'21.10 Kyankwanzi-bukomero-24h'!M28,'22.10 Kyankwanzi-bukomero'!M28,'23.10 kyankwanzi-bukomero'!M28)</f>
        <v>10.714285714285714</v>
      </c>
      <c r="N28" s="49">
        <f>AVERAGE('17.10 Kyankwanzi-bukomero'!N28,'18.10 Kyankwanzi-bukomero'!N28,'19.10 Kyankwanzi-bukomero-24h'!N28,'20.10 Kyankwanzi-bukomero'!N28,'21.10 Kyankwanzi-bukomero-24h'!N28,'22.10 Kyankwanzi-bukomero'!N28,'23.10 kyankwanzi-bukomero'!N28)</f>
        <v>0</v>
      </c>
      <c r="O28" s="15">
        <f t="shared" si="0"/>
        <v>1.4285714285714284</v>
      </c>
      <c r="P28" s="15">
        <f t="shared" si="1"/>
        <v>12.142857142857142</v>
      </c>
      <c r="R28" s="1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6.5</v>
      </c>
      <c r="AF28" s="31">
        <f t="shared" si="20"/>
        <v>9.5</v>
      </c>
    </row>
    <row r="29" spans="2:32" ht="23.1" customHeight="1" x14ac:dyDescent="0.25">
      <c r="B29" s="23" t="s">
        <v>56</v>
      </c>
      <c r="C29" s="49">
        <f>AVERAGE('17.10 Kyankwanzi-bukomero'!C29,'18.10 Kyankwanzi-bukomero'!C29,'19.10 Kyankwanzi-bukomero-24h'!C29,'20.10 Kyankwanzi-bukomero'!C29,'21.10 Kyankwanzi-bukomero-24h'!C29,'22.10 Kyankwanzi-bukomero'!C29,'23.10 kyankwanzi-bukomero'!C29)</f>
        <v>0.2857142857142857</v>
      </c>
      <c r="D29" s="49">
        <f>AVERAGE('17.10 Kyankwanzi-bukomero'!D29,'18.10 Kyankwanzi-bukomero'!D29,'19.10 Kyankwanzi-bukomero-24h'!D29,'20.10 Kyankwanzi-bukomero'!D29,'21.10 Kyankwanzi-bukomero-24h'!D29,'22.10 Kyankwanzi-bukomero'!D29,'23.10 kyankwanzi-bukomero'!D29)</f>
        <v>0</v>
      </c>
      <c r="E29" s="49">
        <f>AVERAGE('17.10 Kyankwanzi-bukomero'!E29,'18.10 Kyankwanzi-bukomero'!E29,'19.10 Kyankwanzi-bukomero-24h'!E29,'20.10 Kyankwanzi-bukomero'!E29,'21.10 Kyankwanzi-bukomero-24h'!E29,'22.10 Kyankwanzi-bukomero'!E29,'23.10 kyankwanzi-bukomero'!E29)</f>
        <v>0.14285714285714285</v>
      </c>
      <c r="F29" s="49">
        <f>AVERAGE('17.10 Kyankwanzi-bukomero'!F29,'18.10 Kyankwanzi-bukomero'!F29,'19.10 Kyankwanzi-bukomero-24h'!F29,'20.10 Kyankwanzi-bukomero'!F29,'21.10 Kyankwanzi-bukomero-24h'!F29,'22.10 Kyankwanzi-bukomero'!F29,'23.10 kyankwanzi-bukomero'!F29)</f>
        <v>0.14285714285714285</v>
      </c>
      <c r="G29" s="49">
        <f>AVERAGE('17.10 Kyankwanzi-bukomero'!G29,'18.10 Kyankwanzi-bukomero'!G29,'19.10 Kyankwanzi-bukomero-24h'!G29,'20.10 Kyankwanzi-bukomero'!G29,'21.10 Kyankwanzi-bukomero-24h'!G29,'22.10 Kyankwanzi-bukomero'!G29,'23.10 kyankwanzi-bukomero'!G29)</f>
        <v>0</v>
      </c>
      <c r="H29" s="49">
        <f>AVERAGE('17.10 Kyankwanzi-bukomero'!H29,'18.10 Kyankwanzi-bukomero'!H29,'19.10 Kyankwanzi-bukomero-24h'!H29,'20.10 Kyankwanzi-bukomero'!H29,'21.10 Kyankwanzi-bukomero-24h'!H29,'22.10 Kyankwanzi-bukomero'!H29,'23.10 kyankwanzi-bukomero'!H29)</f>
        <v>0</v>
      </c>
      <c r="I29" s="49">
        <f>AVERAGE('17.10 Kyankwanzi-bukomero'!I29,'18.10 Kyankwanzi-bukomero'!I29,'19.10 Kyankwanzi-bukomero-24h'!I29,'20.10 Kyankwanzi-bukomero'!I29,'21.10 Kyankwanzi-bukomero-24h'!I29,'22.10 Kyankwanzi-bukomero'!I29,'23.10 kyankwanzi-bukomero'!I29)</f>
        <v>0.42857142857142855</v>
      </c>
      <c r="J29" s="49">
        <f>AVERAGE('17.10 Kyankwanzi-bukomero'!J29,'18.10 Kyankwanzi-bukomero'!J29,'19.10 Kyankwanzi-bukomero-24h'!J29,'20.10 Kyankwanzi-bukomero'!J29,'21.10 Kyankwanzi-bukomero-24h'!J29,'22.10 Kyankwanzi-bukomero'!J29,'23.10 kyankwanzi-bukomero'!J29)</f>
        <v>0.14285714285714285</v>
      </c>
      <c r="K29" s="49">
        <f>AVERAGE('17.10 Kyankwanzi-bukomero'!K29,'18.10 Kyankwanzi-bukomero'!K29,'19.10 Kyankwanzi-bukomero-24h'!K29,'20.10 Kyankwanzi-bukomero'!K29,'21.10 Kyankwanzi-bukomero-24h'!K29,'22.10 Kyankwanzi-bukomero'!K29,'23.10 kyankwanzi-bukomero'!K29)</f>
        <v>0</v>
      </c>
      <c r="L29" s="49">
        <f>AVERAGE('17.10 Kyankwanzi-bukomero'!L29,'18.10 Kyankwanzi-bukomero'!L29,'19.10 Kyankwanzi-bukomero-24h'!L29,'20.10 Kyankwanzi-bukomero'!L29,'21.10 Kyankwanzi-bukomero-24h'!L29,'22.10 Kyankwanzi-bukomero'!L29,'23.10 kyankwanzi-bukomero'!L29)</f>
        <v>0</v>
      </c>
      <c r="M29" s="49">
        <f>AVERAGE('17.10 Kyankwanzi-bukomero'!M29,'18.10 Kyankwanzi-bukomero'!M29,'19.10 Kyankwanzi-bukomero-24h'!M29,'20.10 Kyankwanzi-bukomero'!M29,'21.10 Kyankwanzi-bukomero-24h'!M29,'22.10 Kyankwanzi-bukomero'!M29,'23.10 kyankwanzi-bukomero'!M29)</f>
        <v>12</v>
      </c>
      <c r="N29" s="49">
        <f>AVERAGE('17.10 Kyankwanzi-bukomero'!N29,'18.10 Kyankwanzi-bukomero'!N29,'19.10 Kyankwanzi-bukomero-24h'!N29,'20.10 Kyankwanzi-bukomero'!N29,'21.10 Kyankwanzi-bukomero-24h'!N29,'22.10 Kyankwanzi-bukomero'!N29,'23.10 kyankwanzi-bukomero'!N29)</f>
        <v>0</v>
      </c>
      <c r="O29" s="15">
        <f t="shared" si="0"/>
        <v>1.1428571428571428</v>
      </c>
      <c r="P29" s="15">
        <f t="shared" si="1"/>
        <v>13.142857142857142</v>
      </c>
      <c r="R29" s="1" t="s">
        <v>153</v>
      </c>
      <c r="S29" s="34">
        <f>SUM(C86:C89)</f>
        <v>0.5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3</v>
      </c>
      <c r="AD29" s="34">
        <f t="shared" si="21"/>
        <v>0</v>
      </c>
      <c r="AE29" s="31">
        <f t="shared" si="21"/>
        <v>4</v>
      </c>
      <c r="AF29" s="31">
        <f t="shared" si="21"/>
        <v>7</v>
      </c>
    </row>
    <row r="30" spans="2:32" ht="23.1" customHeight="1" x14ac:dyDescent="0.25">
      <c r="B30" s="23" t="s">
        <v>57</v>
      </c>
      <c r="C30" s="49">
        <f>AVERAGE('17.10 Kyankwanzi-bukomero'!C30,'18.10 Kyankwanzi-bukomero'!C30,'19.10 Kyankwanzi-bukomero-24h'!C30,'20.10 Kyankwanzi-bukomero'!C30,'21.10 Kyankwanzi-bukomero-24h'!C30,'22.10 Kyankwanzi-bukomero'!C30,'23.10 kyankwanzi-bukomero'!C30)</f>
        <v>0.42857142857142855</v>
      </c>
      <c r="D30" s="49">
        <f>AVERAGE('17.10 Kyankwanzi-bukomero'!D30,'18.10 Kyankwanzi-bukomero'!D30,'19.10 Kyankwanzi-bukomero-24h'!D30,'20.10 Kyankwanzi-bukomero'!D30,'21.10 Kyankwanzi-bukomero-24h'!D30,'22.10 Kyankwanzi-bukomero'!D30,'23.10 kyankwanzi-bukomero'!D30)</f>
        <v>0</v>
      </c>
      <c r="E30" s="49">
        <f>AVERAGE('17.10 Kyankwanzi-bukomero'!E30,'18.10 Kyankwanzi-bukomero'!E30,'19.10 Kyankwanzi-bukomero-24h'!E30,'20.10 Kyankwanzi-bukomero'!E30,'21.10 Kyankwanzi-bukomero-24h'!E30,'22.10 Kyankwanzi-bukomero'!E30,'23.10 kyankwanzi-bukomero'!E30)</f>
        <v>0</v>
      </c>
      <c r="F30" s="49">
        <f>AVERAGE('17.10 Kyankwanzi-bukomero'!F30,'18.10 Kyankwanzi-bukomero'!F30,'19.10 Kyankwanzi-bukomero-24h'!F30,'20.10 Kyankwanzi-bukomero'!F30,'21.10 Kyankwanzi-bukomero-24h'!F30,'22.10 Kyankwanzi-bukomero'!F30,'23.10 kyankwanzi-bukomero'!F30)</f>
        <v>0</v>
      </c>
      <c r="G30" s="49">
        <f>AVERAGE('17.10 Kyankwanzi-bukomero'!G30,'18.10 Kyankwanzi-bukomero'!G30,'19.10 Kyankwanzi-bukomero-24h'!G30,'20.10 Kyankwanzi-bukomero'!G30,'21.10 Kyankwanzi-bukomero-24h'!G30,'22.10 Kyankwanzi-bukomero'!G30,'23.10 kyankwanzi-bukomero'!G30)</f>
        <v>0</v>
      </c>
      <c r="H30" s="49">
        <f>AVERAGE('17.10 Kyankwanzi-bukomero'!H30,'18.10 Kyankwanzi-bukomero'!H30,'19.10 Kyankwanzi-bukomero-24h'!H30,'20.10 Kyankwanzi-bukomero'!H30,'21.10 Kyankwanzi-bukomero-24h'!H30,'22.10 Kyankwanzi-bukomero'!H30,'23.10 kyankwanzi-bukomero'!H30)</f>
        <v>0</v>
      </c>
      <c r="I30" s="49">
        <f>AVERAGE('17.10 Kyankwanzi-bukomero'!I30,'18.10 Kyankwanzi-bukomero'!I30,'19.10 Kyankwanzi-bukomero-24h'!I30,'20.10 Kyankwanzi-bukomero'!I30,'21.10 Kyankwanzi-bukomero-24h'!I30,'22.10 Kyankwanzi-bukomero'!I30,'23.10 kyankwanzi-bukomero'!I30)</f>
        <v>0.5714285714285714</v>
      </c>
      <c r="J30" s="49">
        <f>AVERAGE('17.10 Kyankwanzi-bukomero'!J30,'18.10 Kyankwanzi-bukomero'!J30,'19.10 Kyankwanzi-bukomero-24h'!J30,'20.10 Kyankwanzi-bukomero'!J30,'21.10 Kyankwanzi-bukomero-24h'!J30,'22.10 Kyankwanzi-bukomero'!J30,'23.10 kyankwanzi-bukomero'!J30)</f>
        <v>0.2857142857142857</v>
      </c>
      <c r="K30" s="49">
        <f>AVERAGE('17.10 Kyankwanzi-bukomero'!K30,'18.10 Kyankwanzi-bukomero'!K30,'19.10 Kyankwanzi-bukomero-24h'!K30,'20.10 Kyankwanzi-bukomero'!K30,'21.10 Kyankwanzi-bukomero-24h'!K30,'22.10 Kyankwanzi-bukomero'!K30,'23.10 kyankwanzi-bukomero'!K30)</f>
        <v>0</v>
      </c>
      <c r="L30" s="49">
        <f>AVERAGE('17.10 Kyankwanzi-bukomero'!L30,'18.10 Kyankwanzi-bukomero'!L30,'19.10 Kyankwanzi-bukomero-24h'!L30,'20.10 Kyankwanzi-bukomero'!L30,'21.10 Kyankwanzi-bukomero-24h'!L30,'22.10 Kyankwanzi-bukomero'!L30,'23.10 kyankwanzi-bukomero'!L30)</f>
        <v>0</v>
      </c>
      <c r="M30" s="49">
        <f>AVERAGE('17.10 Kyankwanzi-bukomero'!M30,'18.10 Kyankwanzi-bukomero'!M30,'19.10 Kyankwanzi-bukomero-24h'!M30,'20.10 Kyankwanzi-bukomero'!M30,'21.10 Kyankwanzi-bukomero-24h'!M30,'22.10 Kyankwanzi-bukomero'!M30,'23.10 kyankwanzi-bukomero'!M30)</f>
        <v>10.428571428571429</v>
      </c>
      <c r="N30" s="49">
        <f>AVERAGE('17.10 Kyankwanzi-bukomero'!N30,'18.10 Kyankwanzi-bukomero'!N30,'19.10 Kyankwanzi-bukomero-24h'!N30,'20.10 Kyankwanzi-bukomero'!N30,'21.10 Kyankwanzi-bukomero-24h'!N30,'22.10 Kyankwanzi-bukomero'!N30,'23.10 kyankwanzi-bukomero'!N30)</f>
        <v>0</v>
      </c>
      <c r="O30" s="15">
        <f t="shared" si="0"/>
        <v>1.2857142857142856</v>
      </c>
      <c r="P30" s="15">
        <f t="shared" si="1"/>
        <v>11.714285714285715</v>
      </c>
      <c r="R30" s="1" t="s">
        <v>154</v>
      </c>
      <c r="S30" s="34">
        <f>SUM(C90:C93)</f>
        <v>0.5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5</v>
      </c>
      <c r="Z30" s="34">
        <f t="shared" si="22"/>
        <v>0.5</v>
      </c>
      <c r="AA30" s="34">
        <f t="shared" si="22"/>
        <v>0</v>
      </c>
      <c r="AB30" s="34">
        <f t="shared" si="22"/>
        <v>0</v>
      </c>
      <c r="AC30" s="34">
        <f t="shared" si="22"/>
        <v>1</v>
      </c>
      <c r="AD30" s="34">
        <f t="shared" si="22"/>
        <v>0</v>
      </c>
      <c r="AE30" s="31">
        <f t="shared" si="22"/>
        <v>7</v>
      </c>
      <c r="AF30" s="31">
        <f t="shared" si="22"/>
        <v>8</v>
      </c>
    </row>
    <row r="31" spans="2:32" ht="23.1" customHeight="1" x14ac:dyDescent="0.25">
      <c r="B31" s="24" t="s">
        <v>58</v>
      </c>
      <c r="C31" s="49">
        <f>AVERAGE('17.10 Kyankwanzi-bukomero'!C31,'18.10 Kyankwanzi-bukomero'!C31,'19.10 Kyankwanzi-bukomero-24h'!C31,'20.10 Kyankwanzi-bukomero'!C31,'21.10 Kyankwanzi-bukomero-24h'!C31,'22.10 Kyankwanzi-bukomero'!C31,'23.10 kyankwanzi-bukomero'!C31)</f>
        <v>1.1428571428571428</v>
      </c>
      <c r="D31" s="49">
        <f>AVERAGE('17.10 Kyankwanzi-bukomero'!D31,'18.10 Kyankwanzi-bukomero'!D31,'19.10 Kyankwanzi-bukomero-24h'!D31,'20.10 Kyankwanzi-bukomero'!D31,'21.10 Kyankwanzi-bukomero-24h'!D31,'22.10 Kyankwanzi-bukomero'!D31,'23.10 kyankwanzi-bukomero'!D31)</f>
        <v>0.14285714285714285</v>
      </c>
      <c r="E31" s="49">
        <f>AVERAGE('17.10 Kyankwanzi-bukomero'!E31,'18.10 Kyankwanzi-bukomero'!E31,'19.10 Kyankwanzi-bukomero-24h'!E31,'20.10 Kyankwanzi-bukomero'!E31,'21.10 Kyankwanzi-bukomero-24h'!E31,'22.10 Kyankwanzi-bukomero'!E31,'23.10 kyankwanzi-bukomero'!E31)</f>
        <v>0.14285714285714285</v>
      </c>
      <c r="F31" s="49">
        <f>AVERAGE('17.10 Kyankwanzi-bukomero'!F31,'18.10 Kyankwanzi-bukomero'!F31,'19.10 Kyankwanzi-bukomero-24h'!F31,'20.10 Kyankwanzi-bukomero'!F31,'21.10 Kyankwanzi-bukomero-24h'!F31,'22.10 Kyankwanzi-bukomero'!F31,'23.10 kyankwanzi-bukomero'!F31)</f>
        <v>0.14285714285714285</v>
      </c>
      <c r="G31" s="49">
        <f>AVERAGE('17.10 Kyankwanzi-bukomero'!G31,'18.10 Kyankwanzi-bukomero'!G31,'19.10 Kyankwanzi-bukomero-24h'!G31,'20.10 Kyankwanzi-bukomero'!G31,'21.10 Kyankwanzi-bukomero-24h'!G31,'22.10 Kyankwanzi-bukomero'!G31,'23.10 kyankwanzi-bukomero'!G31)</f>
        <v>0</v>
      </c>
      <c r="H31" s="49">
        <f>AVERAGE('17.10 Kyankwanzi-bukomero'!H31,'18.10 Kyankwanzi-bukomero'!H31,'19.10 Kyankwanzi-bukomero-24h'!H31,'20.10 Kyankwanzi-bukomero'!H31,'21.10 Kyankwanzi-bukomero-24h'!H31,'22.10 Kyankwanzi-bukomero'!H31,'23.10 kyankwanzi-bukomero'!H31)</f>
        <v>0</v>
      </c>
      <c r="I31" s="49">
        <f>AVERAGE('17.10 Kyankwanzi-bukomero'!I31,'18.10 Kyankwanzi-bukomero'!I31,'19.10 Kyankwanzi-bukomero-24h'!I31,'20.10 Kyankwanzi-bukomero'!I31,'21.10 Kyankwanzi-bukomero-24h'!I31,'22.10 Kyankwanzi-bukomero'!I31,'23.10 kyankwanzi-bukomero'!I31)</f>
        <v>0.42857142857142855</v>
      </c>
      <c r="J31" s="49">
        <f>AVERAGE('17.10 Kyankwanzi-bukomero'!J31,'18.10 Kyankwanzi-bukomero'!J31,'19.10 Kyankwanzi-bukomero-24h'!J31,'20.10 Kyankwanzi-bukomero'!J31,'21.10 Kyankwanzi-bukomero-24h'!J31,'22.10 Kyankwanzi-bukomero'!J31,'23.10 kyankwanzi-bukomero'!J31)</f>
        <v>0.14285714285714285</v>
      </c>
      <c r="K31" s="49">
        <f>AVERAGE('17.10 Kyankwanzi-bukomero'!K31,'18.10 Kyankwanzi-bukomero'!K31,'19.10 Kyankwanzi-bukomero-24h'!K31,'20.10 Kyankwanzi-bukomero'!K31,'21.10 Kyankwanzi-bukomero-24h'!K31,'22.10 Kyankwanzi-bukomero'!K31,'23.10 kyankwanzi-bukomero'!K31)</f>
        <v>0.14285714285714285</v>
      </c>
      <c r="L31" s="49">
        <f>AVERAGE('17.10 Kyankwanzi-bukomero'!L31,'18.10 Kyankwanzi-bukomero'!L31,'19.10 Kyankwanzi-bukomero-24h'!L31,'20.10 Kyankwanzi-bukomero'!L31,'21.10 Kyankwanzi-bukomero-24h'!L31,'22.10 Kyankwanzi-bukomero'!L31,'23.10 kyankwanzi-bukomero'!L31)</f>
        <v>0</v>
      </c>
      <c r="M31" s="49">
        <f>AVERAGE('17.10 Kyankwanzi-bukomero'!M31,'18.10 Kyankwanzi-bukomero'!M31,'19.10 Kyankwanzi-bukomero-24h'!M31,'20.10 Kyankwanzi-bukomero'!M31,'21.10 Kyankwanzi-bukomero-24h'!M31,'22.10 Kyankwanzi-bukomero'!M31,'23.10 kyankwanzi-bukomero'!M31)</f>
        <v>12.142857142857142</v>
      </c>
      <c r="N31" s="49">
        <f>AVERAGE('17.10 Kyankwanzi-bukomero'!N31,'18.10 Kyankwanzi-bukomero'!N31,'19.10 Kyankwanzi-bukomero-24h'!N31,'20.10 Kyankwanzi-bukomero'!N31,'21.10 Kyankwanzi-bukomero-24h'!N31,'22.10 Kyankwanzi-bukomero'!N31,'23.10 kyankwanzi-bukomero'!N31)</f>
        <v>0</v>
      </c>
      <c r="O31" s="15">
        <f t="shared" si="0"/>
        <v>2.2857142857142856</v>
      </c>
      <c r="P31" s="15">
        <f t="shared" si="1"/>
        <v>14.428571428571427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3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4.5</v>
      </c>
      <c r="AF31" s="31">
        <f t="shared" si="23"/>
        <v>5.5</v>
      </c>
    </row>
    <row r="32" spans="2:32" ht="23.1" customHeight="1" x14ac:dyDescent="0.25">
      <c r="B32" s="24" t="s">
        <v>59</v>
      </c>
      <c r="C32" s="49">
        <f>AVERAGE('17.10 Kyankwanzi-bukomero'!C32,'18.10 Kyankwanzi-bukomero'!C32,'19.10 Kyankwanzi-bukomero-24h'!C32,'20.10 Kyankwanzi-bukomero'!C32,'21.10 Kyankwanzi-bukomero-24h'!C32,'22.10 Kyankwanzi-bukomero'!C32,'23.10 kyankwanzi-bukomero'!C32)</f>
        <v>0.2857142857142857</v>
      </c>
      <c r="D32" s="49">
        <f>AVERAGE('17.10 Kyankwanzi-bukomero'!D32,'18.10 Kyankwanzi-bukomero'!D32,'19.10 Kyankwanzi-bukomero-24h'!D32,'20.10 Kyankwanzi-bukomero'!D32,'21.10 Kyankwanzi-bukomero-24h'!D32,'22.10 Kyankwanzi-bukomero'!D32,'23.10 kyankwanzi-bukomero'!D32)</f>
        <v>0.2857142857142857</v>
      </c>
      <c r="E32" s="49">
        <f>AVERAGE('17.10 Kyankwanzi-bukomero'!E32,'18.10 Kyankwanzi-bukomero'!E32,'19.10 Kyankwanzi-bukomero-24h'!E32,'20.10 Kyankwanzi-bukomero'!E32,'21.10 Kyankwanzi-bukomero-24h'!E32,'22.10 Kyankwanzi-bukomero'!E32,'23.10 kyankwanzi-bukomero'!E32)</f>
        <v>0.5714285714285714</v>
      </c>
      <c r="F32" s="49">
        <f>AVERAGE('17.10 Kyankwanzi-bukomero'!F32,'18.10 Kyankwanzi-bukomero'!F32,'19.10 Kyankwanzi-bukomero-24h'!F32,'20.10 Kyankwanzi-bukomero'!F32,'21.10 Kyankwanzi-bukomero-24h'!F32,'22.10 Kyankwanzi-bukomero'!F32,'23.10 kyankwanzi-bukomero'!F32)</f>
        <v>0</v>
      </c>
      <c r="G32" s="49">
        <f>AVERAGE('17.10 Kyankwanzi-bukomero'!G32,'18.10 Kyankwanzi-bukomero'!G32,'19.10 Kyankwanzi-bukomero-24h'!G32,'20.10 Kyankwanzi-bukomero'!G32,'21.10 Kyankwanzi-bukomero-24h'!G32,'22.10 Kyankwanzi-bukomero'!G32,'23.10 kyankwanzi-bukomero'!G32)</f>
        <v>0</v>
      </c>
      <c r="H32" s="49">
        <f>AVERAGE('17.10 Kyankwanzi-bukomero'!H32,'18.10 Kyankwanzi-bukomero'!H32,'19.10 Kyankwanzi-bukomero-24h'!H32,'20.10 Kyankwanzi-bukomero'!H32,'21.10 Kyankwanzi-bukomero-24h'!H32,'22.10 Kyankwanzi-bukomero'!H32,'23.10 kyankwanzi-bukomero'!H32)</f>
        <v>0</v>
      </c>
      <c r="I32" s="49">
        <f>AVERAGE('17.10 Kyankwanzi-bukomero'!I32,'18.10 Kyankwanzi-bukomero'!I32,'19.10 Kyankwanzi-bukomero-24h'!I32,'20.10 Kyankwanzi-bukomero'!I32,'21.10 Kyankwanzi-bukomero-24h'!I32,'22.10 Kyankwanzi-bukomero'!I32,'23.10 kyankwanzi-bukomero'!I32)</f>
        <v>1.4285714285714286</v>
      </c>
      <c r="J32" s="49">
        <f>AVERAGE('17.10 Kyankwanzi-bukomero'!J32,'18.10 Kyankwanzi-bukomero'!J32,'19.10 Kyankwanzi-bukomero-24h'!J32,'20.10 Kyankwanzi-bukomero'!J32,'21.10 Kyankwanzi-bukomero-24h'!J32,'22.10 Kyankwanzi-bukomero'!J32,'23.10 kyankwanzi-bukomero'!J32)</f>
        <v>0</v>
      </c>
      <c r="K32" s="49">
        <f>AVERAGE('17.10 Kyankwanzi-bukomero'!K32,'18.10 Kyankwanzi-bukomero'!K32,'19.10 Kyankwanzi-bukomero-24h'!K32,'20.10 Kyankwanzi-bukomero'!K32,'21.10 Kyankwanzi-bukomero-24h'!K32,'22.10 Kyankwanzi-bukomero'!K32,'23.10 kyankwanzi-bukomero'!K32)</f>
        <v>0</v>
      </c>
      <c r="L32" s="49">
        <f>AVERAGE('17.10 Kyankwanzi-bukomero'!L32,'18.10 Kyankwanzi-bukomero'!L32,'19.10 Kyankwanzi-bukomero-24h'!L32,'20.10 Kyankwanzi-bukomero'!L32,'21.10 Kyankwanzi-bukomero-24h'!L32,'22.10 Kyankwanzi-bukomero'!L32,'23.10 kyankwanzi-bukomero'!L32)</f>
        <v>0</v>
      </c>
      <c r="M32" s="49">
        <f>AVERAGE('17.10 Kyankwanzi-bukomero'!M32,'18.10 Kyankwanzi-bukomero'!M32,'19.10 Kyankwanzi-bukomero-24h'!M32,'20.10 Kyankwanzi-bukomero'!M32,'21.10 Kyankwanzi-bukomero-24h'!M32,'22.10 Kyankwanzi-bukomero'!M32,'23.10 kyankwanzi-bukomero'!M32)</f>
        <v>11</v>
      </c>
      <c r="N32" s="49">
        <f>AVERAGE('17.10 Kyankwanzi-bukomero'!N32,'18.10 Kyankwanzi-bukomero'!N32,'19.10 Kyankwanzi-bukomero-24h'!N32,'20.10 Kyankwanzi-bukomero'!N32,'21.10 Kyankwanzi-bukomero-24h'!N32,'22.10 Kyankwanzi-bukomero'!N32,'23.10 kyankwanzi-bukomero'!N32)</f>
        <v>0</v>
      </c>
      <c r="O32" s="15">
        <f t="shared" si="0"/>
        <v>2.5714285714285712</v>
      </c>
      <c r="P32" s="15">
        <f t="shared" si="1"/>
        <v>13.571428571428571</v>
      </c>
      <c r="R32" s="1" t="s">
        <v>156</v>
      </c>
      <c r="S32" s="34">
        <f>SUM(C98:C101)</f>
        <v>1.5</v>
      </c>
      <c r="T32" s="34">
        <f t="shared" ref="T32:AF32" si="24">SUM(D98:D101)</f>
        <v>0.5</v>
      </c>
      <c r="U32" s="34">
        <f t="shared" si="24"/>
        <v>0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5.5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3</v>
      </c>
      <c r="AD32" s="34">
        <f t="shared" si="24"/>
        <v>0</v>
      </c>
      <c r="AE32" s="31">
        <f t="shared" si="24"/>
        <v>10.5</v>
      </c>
      <c r="AF32" s="31">
        <f t="shared" si="24"/>
        <v>13.5</v>
      </c>
    </row>
    <row r="33" spans="2:32" ht="23.1" customHeight="1" x14ac:dyDescent="0.25">
      <c r="B33" s="23" t="s">
        <v>60</v>
      </c>
      <c r="C33" s="49">
        <f>AVERAGE('17.10 Kyankwanzi-bukomero'!C33,'18.10 Kyankwanzi-bukomero'!C33,'19.10 Kyankwanzi-bukomero-24h'!C33,'20.10 Kyankwanzi-bukomero'!C33,'21.10 Kyankwanzi-bukomero-24h'!C33,'22.10 Kyankwanzi-bukomero'!C33,'23.10 kyankwanzi-bukomero'!C33)</f>
        <v>0.5714285714285714</v>
      </c>
      <c r="D33" s="49">
        <f>AVERAGE('17.10 Kyankwanzi-bukomero'!D33,'18.10 Kyankwanzi-bukomero'!D33,'19.10 Kyankwanzi-bukomero-24h'!D33,'20.10 Kyankwanzi-bukomero'!D33,'21.10 Kyankwanzi-bukomero-24h'!D33,'22.10 Kyankwanzi-bukomero'!D33,'23.10 kyankwanzi-bukomero'!D33)</f>
        <v>0.2857142857142857</v>
      </c>
      <c r="E33" s="49">
        <f>AVERAGE('17.10 Kyankwanzi-bukomero'!E33,'18.10 Kyankwanzi-bukomero'!E33,'19.10 Kyankwanzi-bukomero-24h'!E33,'20.10 Kyankwanzi-bukomero'!E33,'21.10 Kyankwanzi-bukomero-24h'!E33,'22.10 Kyankwanzi-bukomero'!E33,'23.10 kyankwanzi-bukomero'!E33)</f>
        <v>0</v>
      </c>
      <c r="F33" s="49">
        <f>AVERAGE('17.10 Kyankwanzi-bukomero'!F33,'18.10 Kyankwanzi-bukomero'!F33,'19.10 Kyankwanzi-bukomero-24h'!F33,'20.10 Kyankwanzi-bukomero'!F33,'21.10 Kyankwanzi-bukomero-24h'!F33,'22.10 Kyankwanzi-bukomero'!F33,'23.10 kyankwanzi-bukomero'!F33)</f>
        <v>0</v>
      </c>
      <c r="G33" s="49">
        <f>AVERAGE('17.10 Kyankwanzi-bukomero'!G33,'18.10 Kyankwanzi-bukomero'!G33,'19.10 Kyankwanzi-bukomero-24h'!G33,'20.10 Kyankwanzi-bukomero'!G33,'21.10 Kyankwanzi-bukomero-24h'!G33,'22.10 Kyankwanzi-bukomero'!G33,'23.10 kyankwanzi-bukomero'!G33)</f>
        <v>0</v>
      </c>
      <c r="H33" s="49">
        <f>AVERAGE('17.10 Kyankwanzi-bukomero'!H33,'18.10 Kyankwanzi-bukomero'!H33,'19.10 Kyankwanzi-bukomero-24h'!H33,'20.10 Kyankwanzi-bukomero'!H33,'21.10 Kyankwanzi-bukomero-24h'!H33,'22.10 Kyankwanzi-bukomero'!H33,'23.10 kyankwanzi-bukomero'!H33)</f>
        <v>0</v>
      </c>
      <c r="I33" s="49">
        <f>AVERAGE('17.10 Kyankwanzi-bukomero'!I33,'18.10 Kyankwanzi-bukomero'!I33,'19.10 Kyankwanzi-bukomero-24h'!I33,'20.10 Kyankwanzi-bukomero'!I33,'21.10 Kyankwanzi-bukomero-24h'!I33,'22.10 Kyankwanzi-bukomero'!I33,'23.10 kyankwanzi-bukomero'!I33)</f>
        <v>0</v>
      </c>
      <c r="J33" s="49">
        <f>AVERAGE('17.10 Kyankwanzi-bukomero'!J33,'18.10 Kyankwanzi-bukomero'!J33,'19.10 Kyankwanzi-bukomero-24h'!J33,'20.10 Kyankwanzi-bukomero'!J33,'21.10 Kyankwanzi-bukomero-24h'!J33,'22.10 Kyankwanzi-bukomero'!J33,'23.10 kyankwanzi-bukomero'!J33)</f>
        <v>0</v>
      </c>
      <c r="K33" s="49">
        <f>AVERAGE('17.10 Kyankwanzi-bukomero'!K33,'18.10 Kyankwanzi-bukomero'!K33,'19.10 Kyankwanzi-bukomero-24h'!K33,'20.10 Kyankwanzi-bukomero'!K33,'21.10 Kyankwanzi-bukomero-24h'!K33,'22.10 Kyankwanzi-bukomero'!K33,'23.10 kyankwanzi-bukomero'!K33)</f>
        <v>0</v>
      </c>
      <c r="L33" s="49">
        <f>AVERAGE('17.10 Kyankwanzi-bukomero'!L33,'18.10 Kyankwanzi-bukomero'!L33,'19.10 Kyankwanzi-bukomero-24h'!L33,'20.10 Kyankwanzi-bukomero'!L33,'21.10 Kyankwanzi-bukomero-24h'!L33,'22.10 Kyankwanzi-bukomero'!L33,'23.10 kyankwanzi-bukomero'!L33)</f>
        <v>0</v>
      </c>
      <c r="M33" s="49">
        <f>AVERAGE('17.10 Kyankwanzi-bukomero'!M33,'18.10 Kyankwanzi-bukomero'!M33,'19.10 Kyankwanzi-bukomero-24h'!M33,'20.10 Kyankwanzi-bukomero'!M33,'21.10 Kyankwanzi-bukomero-24h'!M33,'22.10 Kyankwanzi-bukomero'!M33,'23.10 kyankwanzi-bukomero'!M33)</f>
        <v>12.857142857142858</v>
      </c>
      <c r="N33" s="49">
        <f>AVERAGE('17.10 Kyankwanzi-bukomero'!N33,'18.10 Kyankwanzi-bukomero'!N33,'19.10 Kyankwanzi-bukomero-24h'!N33,'20.10 Kyankwanzi-bukomero'!N33,'21.10 Kyankwanzi-bukomero-24h'!N33,'22.10 Kyankwanzi-bukomero'!N33,'23.10 kyankwanzi-bukomero'!N33)</f>
        <v>0</v>
      </c>
      <c r="O33" s="15">
        <f t="shared" si="0"/>
        <v>0.8571428571428571</v>
      </c>
      <c r="P33" s="15">
        <f t="shared" si="1"/>
        <v>13.714285714285715</v>
      </c>
      <c r="R33" s="1" t="s">
        <v>157</v>
      </c>
      <c r="S33" s="34">
        <f>SUM(C102:C105)</f>
        <v>0</v>
      </c>
      <c r="T33" s="34">
        <f t="shared" ref="T33:AF33" si="25">SUM(D102:D105)</f>
        <v>1</v>
      </c>
      <c r="U33" s="34">
        <f t="shared" si="25"/>
        <v>0.5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5</v>
      </c>
      <c r="Z33" s="34">
        <f t="shared" si="25"/>
        <v>0.5</v>
      </c>
      <c r="AA33" s="34">
        <f t="shared" si="25"/>
        <v>0</v>
      </c>
      <c r="AB33" s="34">
        <f t="shared" si="25"/>
        <v>0</v>
      </c>
      <c r="AC33" s="34">
        <f t="shared" si="25"/>
        <v>14.5</v>
      </c>
      <c r="AD33" s="34">
        <f t="shared" si="25"/>
        <v>0</v>
      </c>
      <c r="AE33" s="31">
        <f t="shared" si="25"/>
        <v>8</v>
      </c>
      <c r="AF33" s="31">
        <f t="shared" si="25"/>
        <v>22.5</v>
      </c>
    </row>
    <row r="34" spans="2:32" ht="23.1" customHeight="1" x14ac:dyDescent="0.25">
      <c r="B34" s="24" t="s">
        <v>61</v>
      </c>
      <c r="C34" s="49">
        <f>AVERAGE('17.10 Kyankwanzi-bukomero'!C34,'18.10 Kyankwanzi-bukomero'!C34,'19.10 Kyankwanzi-bukomero-24h'!C34,'20.10 Kyankwanzi-bukomero'!C34,'21.10 Kyankwanzi-bukomero-24h'!C34,'22.10 Kyankwanzi-bukomero'!C34,'23.10 kyankwanzi-bukomero'!C34)</f>
        <v>0.42857142857142855</v>
      </c>
      <c r="D34" s="49">
        <f>AVERAGE('17.10 Kyankwanzi-bukomero'!D34,'18.10 Kyankwanzi-bukomero'!D34,'19.10 Kyankwanzi-bukomero-24h'!D34,'20.10 Kyankwanzi-bukomero'!D34,'21.10 Kyankwanzi-bukomero-24h'!D34,'22.10 Kyankwanzi-bukomero'!D34,'23.10 kyankwanzi-bukomero'!D34)</f>
        <v>0.14285714285714285</v>
      </c>
      <c r="E34" s="49">
        <f>AVERAGE('17.10 Kyankwanzi-bukomero'!E34,'18.10 Kyankwanzi-bukomero'!E34,'19.10 Kyankwanzi-bukomero-24h'!E34,'20.10 Kyankwanzi-bukomero'!E34,'21.10 Kyankwanzi-bukomero-24h'!E34,'22.10 Kyankwanzi-bukomero'!E34,'23.10 kyankwanzi-bukomero'!E34)</f>
        <v>0.14285714285714285</v>
      </c>
      <c r="F34" s="49">
        <f>AVERAGE('17.10 Kyankwanzi-bukomero'!F34,'18.10 Kyankwanzi-bukomero'!F34,'19.10 Kyankwanzi-bukomero-24h'!F34,'20.10 Kyankwanzi-bukomero'!F34,'21.10 Kyankwanzi-bukomero-24h'!F34,'22.10 Kyankwanzi-bukomero'!F34,'23.10 kyankwanzi-bukomero'!F34)</f>
        <v>0</v>
      </c>
      <c r="G34" s="49">
        <f>AVERAGE('17.10 Kyankwanzi-bukomero'!G34,'18.10 Kyankwanzi-bukomero'!G34,'19.10 Kyankwanzi-bukomero-24h'!G34,'20.10 Kyankwanzi-bukomero'!G34,'21.10 Kyankwanzi-bukomero-24h'!G34,'22.10 Kyankwanzi-bukomero'!G34,'23.10 kyankwanzi-bukomero'!G34)</f>
        <v>0</v>
      </c>
      <c r="H34" s="49">
        <f>AVERAGE('17.10 Kyankwanzi-bukomero'!H34,'18.10 Kyankwanzi-bukomero'!H34,'19.10 Kyankwanzi-bukomero-24h'!H34,'20.10 Kyankwanzi-bukomero'!H34,'21.10 Kyankwanzi-bukomero-24h'!H34,'22.10 Kyankwanzi-bukomero'!H34,'23.10 kyankwanzi-bukomero'!H34)</f>
        <v>0</v>
      </c>
      <c r="I34" s="49">
        <f>AVERAGE('17.10 Kyankwanzi-bukomero'!I34,'18.10 Kyankwanzi-bukomero'!I34,'19.10 Kyankwanzi-bukomero-24h'!I34,'20.10 Kyankwanzi-bukomero'!I34,'21.10 Kyankwanzi-bukomero-24h'!I34,'22.10 Kyankwanzi-bukomero'!I34,'23.10 kyankwanzi-bukomero'!I34)</f>
        <v>0.2857142857142857</v>
      </c>
      <c r="J34" s="49">
        <f>AVERAGE('17.10 Kyankwanzi-bukomero'!J34,'18.10 Kyankwanzi-bukomero'!J34,'19.10 Kyankwanzi-bukomero-24h'!J34,'20.10 Kyankwanzi-bukomero'!J34,'21.10 Kyankwanzi-bukomero-24h'!J34,'22.10 Kyankwanzi-bukomero'!J34,'23.10 kyankwanzi-bukomero'!J34)</f>
        <v>0</v>
      </c>
      <c r="K34" s="49">
        <f>AVERAGE('17.10 Kyankwanzi-bukomero'!K34,'18.10 Kyankwanzi-bukomero'!K34,'19.10 Kyankwanzi-bukomero-24h'!K34,'20.10 Kyankwanzi-bukomero'!K34,'21.10 Kyankwanzi-bukomero-24h'!K34,'22.10 Kyankwanzi-bukomero'!K34,'23.10 kyankwanzi-bukomero'!K34)</f>
        <v>0</v>
      </c>
      <c r="L34" s="49">
        <f>AVERAGE('17.10 Kyankwanzi-bukomero'!L34,'18.10 Kyankwanzi-bukomero'!L34,'19.10 Kyankwanzi-bukomero-24h'!L34,'20.10 Kyankwanzi-bukomero'!L34,'21.10 Kyankwanzi-bukomero-24h'!L34,'22.10 Kyankwanzi-bukomero'!L34,'23.10 kyankwanzi-bukomero'!L34)</f>
        <v>0</v>
      </c>
      <c r="M34" s="49">
        <f>AVERAGE('17.10 Kyankwanzi-bukomero'!M34,'18.10 Kyankwanzi-bukomero'!M34,'19.10 Kyankwanzi-bukomero-24h'!M34,'20.10 Kyankwanzi-bukomero'!M34,'21.10 Kyankwanzi-bukomero-24h'!M34,'22.10 Kyankwanzi-bukomero'!M34,'23.10 kyankwanzi-bukomero'!M34)</f>
        <v>10.142857142857142</v>
      </c>
      <c r="N34" s="49">
        <f>AVERAGE('17.10 Kyankwanzi-bukomero'!N34,'18.10 Kyankwanzi-bukomero'!N34,'19.10 Kyankwanzi-bukomero-24h'!N34,'20.10 Kyankwanzi-bukomero'!N34,'21.10 Kyankwanzi-bukomero-24h'!N34,'22.10 Kyankwanzi-bukomero'!N34,'23.10 kyankwanzi-bukomero'!N34)</f>
        <v>0</v>
      </c>
      <c r="O34" s="15">
        <f t="shared" si="0"/>
        <v>0.99999999999999989</v>
      </c>
      <c r="P34" s="15">
        <f t="shared" si="1"/>
        <v>11.142857142857142</v>
      </c>
      <c r="R34" s="38" t="s">
        <v>90</v>
      </c>
      <c r="S34" s="39">
        <f t="shared" ref="S34:AF34" si="26">MAX(S10:S12)</f>
        <v>1.8571428571428572</v>
      </c>
      <c r="T34" s="39">
        <f t="shared" si="26"/>
        <v>0.42857142857142855</v>
      </c>
      <c r="U34" s="39">
        <f t="shared" si="26"/>
        <v>0.5714285714285714</v>
      </c>
      <c r="V34" s="39">
        <f t="shared" si="26"/>
        <v>1.1428571428571428</v>
      </c>
      <c r="W34" s="39">
        <f t="shared" si="26"/>
        <v>0</v>
      </c>
      <c r="X34" s="39">
        <f t="shared" si="26"/>
        <v>0</v>
      </c>
      <c r="Y34" s="39">
        <f t="shared" si="26"/>
        <v>2.714285714285714</v>
      </c>
      <c r="Z34" s="39">
        <f t="shared" si="26"/>
        <v>0.42857142857142855</v>
      </c>
      <c r="AA34" s="39">
        <f t="shared" si="26"/>
        <v>0</v>
      </c>
      <c r="AB34" s="39">
        <f t="shared" si="26"/>
        <v>0</v>
      </c>
      <c r="AC34" s="39">
        <f t="shared" si="26"/>
        <v>42</v>
      </c>
      <c r="AD34" s="39">
        <f t="shared" si="26"/>
        <v>0</v>
      </c>
      <c r="AE34" s="40">
        <f t="shared" si="26"/>
        <v>6</v>
      </c>
      <c r="AF34" s="40">
        <f t="shared" si="26"/>
        <v>48</v>
      </c>
    </row>
    <row r="35" spans="2:32" ht="23.1" customHeight="1" x14ac:dyDescent="0.25">
      <c r="B35" s="24" t="s">
        <v>62</v>
      </c>
      <c r="C35" s="49">
        <f>AVERAGE('17.10 Kyankwanzi-bukomero'!C35,'18.10 Kyankwanzi-bukomero'!C35,'19.10 Kyankwanzi-bukomero-24h'!C35,'20.10 Kyankwanzi-bukomero'!C35,'21.10 Kyankwanzi-bukomero-24h'!C35,'22.10 Kyankwanzi-bukomero'!C35,'23.10 kyankwanzi-bukomero'!C35)</f>
        <v>0.5714285714285714</v>
      </c>
      <c r="D35" s="49">
        <f>AVERAGE('17.10 Kyankwanzi-bukomero'!D35,'18.10 Kyankwanzi-bukomero'!D35,'19.10 Kyankwanzi-bukomero-24h'!D35,'20.10 Kyankwanzi-bukomero'!D35,'21.10 Kyankwanzi-bukomero-24h'!D35,'22.10 Kyankwanzi-bukomero'!D35,'23.10 kyankwanzi-bukomero'!D35)</f>
        <v>0.14285714285714285</v>
      </c>
      <c r="E35" s="49">
        <f>AVERAGE('17.10 Kyankwanzi-bukomero'!E35,'18.10 Kyankwanzi-bukomero'!E35,'19.10 Kyankwanzi-bukomero-24h'!E35,'20.10 Kyankwanzi-bukomero'!E35,'21.10 Kyankwanzi-bukomero-24h'!E35,'22.10 Kyankwanzi-bukomero'!E35,'23.10 kyankwanzi-bukomero'!E35)</f>
        <v>0</v>
      </c>
      <c r="F35" s="49">
        <f>AVERAGE('17.10 Kyankwanzi-bukomero'!F35,'18.10 Kyankwanzi-bukomero'!F35,'19.10 Kyankwanzi-bukomero-24h'!F35,'20.10 Kyankwanzi-bukomero'!F35,'21.10 Kyankwanzi-bukomero-24h'!F35,'22.10 Kyankwanzi-bukomero'!F35,'23.10 kyankwanzi-bukomero'!F35)</f>
        <v>0.14285714285714285</v>
      </c>
      <c r="G35" s="49">
        <f>AVERAGE('17.10 Kyankwanzi-bukomero'!G35,'18.10 Kyankwanzi-bukomero'!G35,'19.10 Kyankwanzi-bukomero-24h'!G35,'20.10 Kyankwanzi-bukomero'!G35,'21.10 Kyankwanzi-bukomero-24h'!G35,'22.10 Kyankwanzi-bukomero'!G35,'23.10 kyankwanzi-bukomero'!G35)</f>
        <v>0</v>
      </c>
      <c r="H35" s="49">
        <f>AVERAGE('17.10 Kyankwanzi-bukomero'!H35,'18.10 Kyankwanzi-bukomero'!H35,'19.10 Kyankwanzi-bukomero-24h'!H35,'20.10 Kyankwanzi-bukomero'!H35,'21.10 Kyankwanzi-bukomero-24h'!H35,'22.10 Kyankwanzi-bukomero'!H35,'23.10 kyankwanzi-bukomero'!H35)</f>
        <v>0</v>
      </c>
      <c r="I35" s="49">
        <f>AVERAGE('17.10 Kyankwanzi-bukomero'!I35,'18.10 Kyankwanzi-bukomero'!I35,'19.10 Kyankwanzi-bukomero-24h'!I35,'20.10 Kyankwanzi-bukomero'!I35,'21.10 Kyankwanzi-bukomero-24h'!I35,'22.10 Kyankwanzi-bukomero'!I35,'23.10 kyankwanzi-bukomero'!I35)</f>
        <v>0.7142857142857143</v>
      </c>
      <c r="J35" s="49">
        <f>AVERAGE('17.10 Kyankwanzi-bukomero'!J35,'18.10 Kyankwanzi-bukomero'!J35,'19.10 Kyankwanzi-bukomero-24h'!J35,'20.10 Kyankwanzi-bukomero'!J35,'21.10 Kyankwanzi-bukomero-24h'!J35,'22.10 Kyankwanzi-bukomero'!J35,'23.10 kyankwanzi-bukomero'!J35)</f>
        <v>0</v>
      </c>
      <c r="K35" s="49">
        <f>AVERAGE('17.10 Kyankwanzi-bukomero'!K35,'18.10 Kyankwanzi-bukomero'!K35,'19.10 Kyankwanzi-bukomero-24h'!K35,'20.10 Kyankwanzi-bukomero'!K35,'21.10 Kyankwanzi-bukomero-24h'!K35,'22.10 Kyankwanzi-bukomero'!K35,'23.10 kyankwanzi-bukomero'!K35)</f>
        <v>0</v>
      </c>
      <c r="L35" s="49">
        <f>AVERAGE('17.10 Kyankwanzi-bukomero'!L35,'18.10 Kyankwanzi-bukomero'!L35,'19.10 Kyankwanzi-bukomero-24h'!L35,'20.10 Kyankwanzi-bukomero'!L35,'21.10 Kyankwanzi-bukomero-24h'!L35,'22.10 Kyankwanzi-bukomero'!L35,'23.10 kyankwanzi-bukomero'!L35)</f>
        <v>0</v>
      </c>
      <c r="M35" s="49">
        <f>AVERAGE('17.10 Kyankwanzi-bukomero'!M35,'18.10 Kyankwanzi-bukomero'!M35,'19.10 Kyankwanzi-bukomero-24h'!M35,'20.10 Kyankwanzi-bukomero'!M35,'21.10 Kyankwanzi-bukomero-24h'!M35,'22.10 Kyankwanzi-bukomero'!M35,'23.10 kyankwanzi-bukomero'!M35)</f>
        <v>13.714285714285714</v>
      </c>
      <c r="N35" s="49">
        <f>AVERAGE('17.10 Kyankwanzi-bukomero'!N35,'18.10 Kyankwanzi-bukomero'!N35,'19.10 Kyankwanzi-bukomero-24h'!N35,'20.10 Kyankwanzi-bukomero'!N35,'21.10 Kyankwanzi-bukomero-24h'!N35,'22.10 Kyankwanzi-bukomero'!N35,'23.10 kyankwanzi-bukomero'!N35)</f>
        <v>0</v>
      </c>
      <c r="O35" s="15">
        <f t="shared" si="0"/>
        <v>1.5714285714285712</v>
      </c>
      <c r="P35" s="15">
        <f t="shared" si="1"/>
        <v>15.285714285714285</v>
      </c>
      <c r="R35" s="38" t="s">
        <v>91</v>
      </c>
      <c r="S35" s="39">
        <f t="shared" ref="S35:AF35" si="27">MAX(S13:S18)</f>
        <v>2.7142857142857144</v>
      </c>
      <c r="T35" s="39">
        <f t="shared" si="27"/>
        <v>0.71428571428571419</v>
      </c>
      <c r="U35" s="39">
        <f t="shared" si="27"/>
        <v>0.8571428571428571</v>
      </c>
      <c r="V35" s="39">
        <f t="shared" si="27"/>
        <v>0.42857142857142855</v>
      </c>
      <c r="W35" s="39">
        <f t="shared" si="27"/>
        <v>0</v>
      </c>
      <c r="X35" s="39">
        <f t="shared" si="27"/>
        <v>0</v>
      </c>
      <c r="Y35" s="39">
        <f t="shared" si="27"/>
        <v>3.5714285714285712</v>
      </c>
      <c r="Z35" s="39">
        <f t="shared" si="27"/>
        <v>0.8571428571428571</v>
      </c>
      <c r="AA35" s="39">
        <f t="shared" si="27"/>
        <v>0.2857142857142857</v>
      </c>
      <c r="AB35" s="39">
        <f t="shared" si="27"/>
        <v>0.14285714285714285</v>
      </c>
      <c r="AC35" s="39">
        <f t="shared" si="27"/>
        <v>52.857142857142854</v>
      </c>
      <c r="AD35" s="39">
        <f t="shared" si="27"/>
        <v>0</v>
      </c>
      <c r="AE35" s="40">
        <f t="shared" si="27"/>
        <v>9.1428571428571423</v>
      </c>
      <c r="AF35" s="40">
        <f t="shared" si="27"/>
        <v>62</v>
      </c>
    </row>
    <row r="36" spans="2:32" ht="23.1" customHeight="1" x14ac:dyDescent="0.25">
      <c r="B36" s="24" t="s">
        <v>63</v>
      </c>
      <c r="C36" s="49">
        <f>AVERAGE('17.10 Kyankwanzi-bukomero'!C36,'18.10 Kyankwanzi-bukomero'!C36,'19.10 Kyankwanzi-bukomero-24h'!C36,'20.10 Kyankwanzi-bukomero'!C36,'21.10 Kyankwanzi-bukomero-24h'!C36,'22.10 Kyankwanzi-bukomero'!C36,'23.10 kyankwanzi-bukomero'!C36)</f>
        <v>0.8571428571428571</v>
      </c>
      <c r="D36" s="49">
        <f>AVERAGE('17.10 Kyankwanzi-bukomero'!D36,'18.10 Kyankwanzi-bukomero'!D36,'19.10 Kyankwanzi-bukomero-24h'!D36,'20.10 Kyankwanzi-bukomero'!D36,'21.10 Kyankwanzi-bukomero-24h'!D36,'22.10 Kyankwanzi-bukomero'!D36,'23.10 kyankwanzi-bukomero'!D36)</f>
        <v>0.14285714285714285</v>
      </c>
      <c r="E36" s="49">
        <f>AVERAGE('17.10 Kyankwanzi-bukomero'!E36,'18.10 Kyankwanzi-bukomero'!E36,'19.10 Kyankwanzi-bukomero-24h'!E36,'20.10 Kyankwanzi-bukomero'!E36,'21.10 Kyankwanzi-bukomero-24h'!E36,'22.10 Kyankwanzi-bukomero'!E36,'23.10 kyankwanzi-bukomero'!E36)</f>
        <v>0</v>
      </c>
      <c r="F36" s="49">
        <f>AVERAGE('17.10 Kyankwanzi-bukomero'!F36,'18.10 Kyankwanzi-bukomero'!F36,'19.10 Kyankwanzi-bukomero-24h'!F36,'20.10 Kyankwanzi-bukomero'!F36,'21.10 Kyankwanzi-bukomero-24h'!F36,'22.10 Kyankwanzi-bukomero'!F36,'23.10 kyankwanzi-bukomero'!F36)</f>
        <v>0</v>
      </c>
      <c r="G36" s="49">
        <f>AVERAGE('17.10 Kyankwanzi-bukomero'!G36,'18.10 Kyankwanzi-bukomero'!G36,'19.10 Kyankwanzi-bukomero-24h'!G36,'20.10 Kyankwanzi-bukomero'!G36,'21.10 Kyankwanzi-bukomero-24h'!G36,'22.10 Kyankwanzi-bukomero'!G36,'23.10 kyankwanzi-bukomero'!G36)</f>
        <v>0</v>
      </c>
      <c r="H36" s="49">
        <f>AVERAGE('17.10 Kyankwanzi-bukomero'!H36,'18.10 Kyankwanzi-bukomero'!H36,'19.10 Kyankwanzi-bukomero-24h'!H36,'20.10 Kyankwanzi-bukomero'!H36,'21.10 Kyankwanzi-bukomero-24h'!H36,'22.10 Kyankwanzi-bukomero'!H36,'23.10 kyankwanzi-bukomero'!H36)</f>
        <v>0</v>
      </c>
      <c r="I36" s="49">
        <f>AVERAGE('17.10 Kyankwanzi-bukomero'!I36,'18.10 Kyankwanzi-bukomero'!I36,'19.10 Kyankwanzi-bukomero-24h'!I36,'20.10 Kyankwanzi-bukomero'!I36,'21.10 Kyankwanzi-bukomero-24h'!I36,'22.10 Kyankwanzi-bukomero'!I36,'23.10 kyankwanzi-bukomero'!I36)</f>
        <v>0.42857142857142855</v>
      </c>
      <c r="J36" s="49">
        <f>AVERAGE('17.10 Kyankwanzi-bukomero'!J36,'18.10 Kyankwanzi-bukomero'!J36,'19.10 Kyankwanzi-bukomero-24h'!J36,'20.10 Kyankwanzi-bukomero'!J36,'21.10 Kyankwanzi-bukomero-24h'!J36,'22.10 Kyankwanzi-bukomero'!J36,'23.10 kyankwanzi-bukomero'!J36)</f>
        <v>0.5714285714285714</v>
      </c>
      <c r="K36" s="49">
        <f>AVERAGE('17.10 Kyankwanzi-bukomero'!K36,'18.10 Kyankwanzi-bukomero'!K36,'19.10 Kyankwanzi-bukomero-24h'!K36,'20.10 Kyankwanzi-bukomero'!K36,'21.10 Kyankwanzi-bukomero-24h'!K36,'22.10 Kyankwanzi-bukomero'!K36,'23.10 kyankwanzi-bukomero'!K36)</f>
        <v>0</v>
      </c>
      <c r="L36" s="49">
        <f>AVERAGE('17.10 Kyankwanzi-bukomero'!L36,'18.10 Kyankwanzi-bukomero'!L36,'19.10 Kyankwanzi-bukomero-24h'!L36,'20.10 Kyankwanzi-bukomero'!L36,'21.10 Kyankwanzi-bukomero-24h'!L36,'22.10 Kyankwanzi-bukomero'!L36,'23.10 kyankwanzi-bukomero'!L36)</f>
        <v>0</v>
      </c>
      <c r="M36" s="49">
        <f>AVERAGE('17.10 Kyankwanzi-bukomero'!M36,'18.10 Kyankwanzi-bukomero'!M36,'19.10 Kyankwanzi-bukomero-24h'!M36,'20.10 Kyankwanzi-bukomero'!M36,'21.10 Kyankwanzi-bukomero-24h'!M36,'22.10 Kyankwanzi-bukomero'!M36,'23.10 kyankwanzi-bukomero'!M36)</f>
        <v>12.571428571428571</v>
      </c>
      <c r="N36" s="49">
        <f>AVERAGE('17.10 Kyankwanzi-bukomero'!N36,'18.10 Kyankwanzi-bukomero'!N36,'19.10 Kyankwanzi-bukomero-24h'!N36,'20.10 Kyankwanzi-bukomero'!N36,'21.10 Kyankwanzi-bukomero-24h'!N36,'22.10 Kyankwanzi-bukomero'!N36,'23.10 kyankwanzi-bukomero'!N36)</f>
        <v>0</v>
      </c>
      <c r="O36" s="15">
        <f t="shared" si="0"/>
        <v>2</v>
      </c>
      <c r="P36" s="15">
        <f t="shared" si="1"/>
        <v>14.571428571428571</v>
      </c>
      <c r="R36" s="38" t="s">
        <v>92</v>
      </c>
      <c r="S36" s="39">
        <f t="shared" ref="S36:AF36" si="28">MAX(S19:S21)</f>
        <v>2.5714285714285712</v>
      </c>
      <c r="T36" s="39">
        <f t="shared" si="28"/>
        <v>1</v>
      </c>
      <c r="U36" s="39">
        <f t="shared" si="28"/>
        <v>0.8571428571428571</v>
      </c>
      <c r="V36" s="39">
        <f t="shared" si="28"/>
        <v>1</v>
      </c>
      <c r="W36" s="39">
        <f t="shared" si="28"/>
        <v>0</v>
      </c>
      <c r="X36" s="39">
        <f t="shared" si="28"/>
        <v>0.2857142857142857</v>
      </c>
      <c r="Y36" s="39">
        <f t="shared" si="28"/>
        <v>3.8571428571428572</v>
      </c>
      <c r="Z36" s="39">
        <f t="shared" si="28"/>
        <v>0.2857142857142857</v>
      </c>
      <c r="AA36" s="39">
        <f t="shared" si="28"/>
        <v>0</v>
      </c>
      <c r="AB36" s="39">
        <f t="shared" si="28"/>
        <v>0.14285714285714285</v>
      </c>
      <c r="AC36" s="39">
        <f t="shared" si="28"/>
        <v>59.714285714285715</v>
      </c>
      <c r="AD36" s="39">
        <f t="shared" si="28"/>
        <v>0</v>
      </c>
      <c r="AE36" s="40">
        <f t="shared" si="28"/>
        <v>8.1428571428571423</v>
      </c>
      <c r="AF36" s="40">
        <f t="shared" si="28"/>
        <v>65.285714285714292</v>
      </c>
    </row>
    <row r="37" spans="2:32" ht="23.1" customHeight="1" x14ac:dyDescent="0.25">
      <c r="B37" s="23" t="s">
        <v>64</v>
      </c>
      <c r="C37" s="49">
        <f>AVERAGE('17.10 Kyankwanzi-bukomero'!C37,'18.10 Kyankwanzi-bukomero'!C37,'19.10 Kyankwanzi-bukomero-24h'!C37,'20.10 Kyankwanzi-bukomero'!C37,'21.10 Kyankwanzi-bukomero-24h'!C37,'22.10 Kyankwanzi-bukomero'!C37,'23.10 kyankwanzi-bukomero'!C37)</f>
        <v>0.2857142857142857</v>
      </c>
      <c r="D37" s="49">
        <f>AVERAGE('17.10 Kyankwanzi-bukomero'!D37,'18.10 Kyankwanzi-bukomero'!D37,'19.10 Kyankwanzi-bukomero-24h'!D37,'20.10 Kyankwanzi-bukomero'!D37,'21.10 Kyankwanzi-bukomero-24h'!D37,'22.10 Kyankwanzi-bukomero'!D37,'23.10 kyankwanzi-bukomero'!D37)</f>
        <v>0.2857142857142857</v>
      </c>
      <c r="E37" s="49">
        <f>AVERAGE('17.10 Kyankwanzi-bukomero'!E37,'18.10 Kyankwanzi-bukomero'!E37,'19.10 Kyankwanzi-bukomero-24h'!E37,'20.10 Kyankwanzi-bukomero'!E37,'21.10 Kyankwanzi-bukomero-24h'!E37,'22.10 Kyankwanzi-bukomero'!E37,'23.10 kyankwanzi-bukomero'!E37)</f>
        <v>0</v>
      </c>
      <c r="F37" s="49">
        <f>AVERAGE('17.10 Kyankwanzi-bukomero'!F37,'18.10 Kyankwanzi-bukomero'!F37,'19.10 Kyankwanzi-bukomero-24h'!F37,'20.10 Kyankwanzi-bukomero'!F37,'21.10 Kyankwanzi-bukomero-24h'!F37,'22.10 Kyankwanzi-bukomero'!F37,'23.10 kyankwanzi-bukomero'!F37)</f>
        <v>0</v>
      </c>
      <c r="G37" s="49">
        <f>AVERAGE('17.10 Kyankwanzi-bukomero'!G37,'18.10 Kyankwanzi-bukomero'!G37,'19.10 Kyankwanzi-bukomero-24h'!G37,'20.10 Kyankwanzi-bukomero'!G37,'21.10 Kyankwanzi-bukomero-24h'!G37,'22.10 Kyankwanzi-bukomero'!G37,'23.10 kyankwanzi-bukomero'!G37)</f>
        <v>0</v>
      </c>
      <c r="H37" s="49">
        <f>AVERAGE('17.10 Kyankwanzi-bukomero'!H37,'18.10 Kyankwanzi-bukomero'!H37,'19.10 Kyankwanzi-bukomero-24h'!H37,'20.10 Kyankwanzi-bukomero'!H37,'21.10 Kyankwanzi-bukomero-24h'!H37,'22.10 Kyankwanzi-bukomero'!H37,'23.10 kyankwanzi-bukomero'!H37)</f>
        <v>0</v>
      </c>
      <c r="I37" s="49">
        <f>AVERAGE('17.10 Kyankwanzi-bukomero'!I37,'18.10 Kyankwanzi-bukomero'!I37,'19.10 Kyankwanzi-bukomero-24h'!I37,'20.10 Kyankwanzi-bukomero'!I37,'21.10 Kyankwanzi-bukomero-24h'!I37,'22.10 Kyankwanzi-bukomero'!I37,'23.10 kyankwanzi-bukomero'!I37)</f>
        <v>0.2857142857142857</v>
      </c>
      <c r="J37" s="49">
        <f>AVERAGE('17.10 Kyankwanzi-bukomero'!J37,'18.10 Kyankwanzi-bukomero'!J37,'19.10 Kyankwanzi-bukomero-24h'!J37,'20.10 Kyankwanzi-bukomero'!J37,'21.10 Kyankwanzi-bukomero-24h'!J37,'22.10 Kyankwanzi-bukomero'!J37,'23.10 kyankwanzi-bukomero'!J37)</f>
        <v>0.14285714285714285</v>
      </c>
      <c r="K37" s="49">
        <f>AVERAGE('17.10 Kyankwanzi-bukomero'!K37,'18.10 Kyankwanzi-bukomero'!K37,'19.10 Kyankwanzi-bukomero-24h'!K37,'20.10 Kyankwanzi-bukomero'!K37,'21.10 Kyankwanzi-bukomero-24h'!K37,'22.10 Kyankwanzi-bukomero'!K37,'23.10 kyankwanzi-bukomero'!K37)</f>
        <v>0.14285714285714285</v>
      </c>
      <c r="L37" s="49">
        <f>AVERAGE('17.10 Kyankwanzi-bukomero'!L37,'18.10 Kyankwanzi-bukomero'!L37,'19.10 Kyankwanzi-bukomero-24h'!L37,'20.10 Kyankwanzi-bukomero'!L37,'21.10 Kyankwanzi-bukomero-24h'!L37,'22.10 Kyankwanzi-bukomero'!L37,'23.10 kyankwanzi-bukomero'!L37)</f>
        <v>0</v>
      </c>
      <c r="M37" s="49">
        <f>AVERAGE('17.10 Kyankwanzi-bukomero'!M37,'18.10 Kyankwanzi-bukomero'!M37,'19.10 Kyankwanzi-bukomero-24h'!M37,'20.10 Kyankwanzi-bukomero'!M37,'21.10 Kyankwanzi-bukomero-24h'!M37,'22.10 Kyankwanzi-bukomero'!M37,'23.10 kyankwanzi-bukomero'!M37)</f>
        <v>14.857142857142858</v>
      </c>
      <c r="N37" s="49">
        <f>AVERAGE('17.10 Kyankwanzi-bukomero'!N37,'18.10 Kyankwanzi-bukomero'!N37,'19.10 Kyankwanzi-bukomero-24h'!N37,'20.10 Kyankwanzi-bukomero'!N37,'21.10 Kyankwanzi-bukomero-24h'!N37,'22.10 Kyankwanzi-bukomero'!N37,'23.10 kyankwanzi-bukomero'!N37)</f>
        <v>0</v>
      </c>
      <c r="O37" s="15">
        <f t="shared" si="0"/>
        <v>1.1428571428571428</v>
      </c>
      <c r="P37" s="15">
        <f t="shared" si="1"/>
        <v>16</v>
      </c>
      <c r="R37" s="37" t="s">
        <v>85</v>
      </c>
      <c r="S37" s="35">
        <f t="shared" ref="S37:AF37" si="29">SUM(S10:S12)</f>
        <v>4.2857142857142856</v>
      </c>
      <c r="T37" s="16">
        <f t="shared" si="29"/>
        <v>0.71428571428571419</v>
      </c>
      <c r="U37" s="16">
        <f t="shared" si="29"/>
        <v>1</v>
      </c>
      <c r="V37" s="16">
        <f t="shared" si="29"/>
        <v>1.857142857142857</v>
      </c>
      <c r="W37" s="16">
        <f t="shared" si="29"/>
        <v>0</v>
      </c>
      <c r="X37" s="16">
        <f t="shared" si="29"/>
        <v>0</v>
      </c>
      <c r="Y37" s="16">
        <f t="shared" si="29"/>
        <v>4.7142857142857135</v>
      </c>
      <c r="Z37" s="16">
        <f t="shared" si="29"/>
        <v>0.8571428571428571</v>
      </c>
      <c r="AA37" s="16">
        <f t="shared" si="29"/>
        <v>0</v>
      </c>
      <c r="AB37" s="16">
        <f t="shared" si="29"/>
        <v>0</v>
      </c>
      <c r="AC37" s="16">
        <f t="shared" si="29"/>
        <v>117.28571428571429</v>
      </c>
      <c r="AD37" s="16">
        <f t="shared" si="29"/>
        <v>0</v>
      </c>
      <c r="AE37" s="32">
        <f t="shared" si="29"/>
        <v>13.428571428571429</v>
      </c>
      <c r="AF37" s="32">
        <f t="shared" si="29"/>
        <v>130.71428571428572</v>
      </c>
    </row>
    <row r="38" spans="2:32" ht="23.1" customHeight="1" x14ac:dyDescent="0.25">
      <c r="B38" s="24" t="s">
        <v>65</v>
      </c>
      <c r="C38" s="49">
        <f>AVERAGE('17.10 Kyankwanzi-bukomero'!C38,'18.10 Kyankwanzi-bukomero'!C38,'19.10 Kyankwanzi-bukomero-24h'!C38,'20.10 Kyankwanzi-bukomero'!C38,'21.10 Kyankwanzi-bukomero-24h'!C38,'22.10 Kyankwanzi-bukomero'!C38,'23.10 kyankwanzi-bukomero'!C38)</f>
        <v>0.8571428571428571</v>
      </c>
      <c r="D38" s="49">
        <f>AVERAGE('17.10 Kyankwanzi-bukomero'!D38,'18.10 Kyankwanzi-bukomero'!D38,'19.10 Kyankwanzi-bukomero-24h'!D38,'20.10 Kyankwanzi-bukomero'!D38,'21.10 Kyankwanzi-bukomero-24h'!D38,'22.10 Kyankwanzi-bukomero'!D38,'23.10 kyankwanzi-bukomero'!D38)</f>
        <v>0.14285714285714285</v>
      </c>
      <c r="E38" s="49">
        <f>AVERAGE('17.10 Kyankwanzi-bukomero'!E38,'18.10 Kyankwanzi-bukomero'!E38,'19.10 Kyankwanzi-bukomero-24h'!E38,'20.10 Kyankwanzi-bukomero'!E38,'21.10 Kyankwanzi-bukomero-24h'!E38,'22.10 Kyankwanzi-bukomero'!E38,'23.10 kyankwanzi-bukomero'!E38)</f>
        <v>0.2857142857142857</v>
      </c>
      <c r="F38" s="49">
        <f>AVERAGE('17.10 Kyankwanzi-bukomero'!F38,'18.10 Kyankwanzi-bukomero'!F38,'19.10 Kyankwanzi-bukomero-24h'!F38,'20.10 Kyankwanzi-bukomero'!F38,'21.10 Kyankwanzi-bukomero-24h'!F38,'22.10 Kyankwanzi-bukomero'!F38,'23.10 kyankwanzi-bukomero'!F38)</f>
        <v>0.2857142857142857</v>
      </c>
      <c r="G38" s="49">
        <f>AVERAGE('17.10 Kyankwanzi-bukomero'!G38,'18.10 Kyankwanzi-bukomero'!G38,'19.10 Kyankwanzi-bukomero-24h'!G38,'20.10 Kyankwanzi-bukomero'!G38,'21.10 Kyankwanzi-bukomero-24h'!G38,'22.10 Kyankwanzi-bukomero'!G38,'23.10 kyankwanzi-bukomero'!G38)</f>
        <v>0</v>
      </c>
      <c r="H38" s="49">
        <f>AVERAGE('17.10 Kyankwanzi-bukomero'!H38,'18.10 Kyankwanzi-bukomero'!H38,'19.10 Kyankwanzi-bukomero-24h'!H38,'20.10 Kyankwanzi-bukomero'!H38,'21.10 Kyankwanzi-bukomero-24h'!H38,'22.10 Kyankwanzi-bukomero'!H38,'23.10 kyankwanzi-bukomero'!H38)</f>
        <v>0</v>
      </c>
      <c r="I38" s="49">
        <f>AVERAGE('17.10 Kyankwanzi-bukomero'!I38,'18.10 Kyankwanzi-bukomero'!I38,'19.10 Kyankwanzi-bukomero-24h'!I38,'20.10 Kyankwanzi-bukomero'!I38,'21.10 Kyankwanzi-bukomero-24h'!I38,'22.10 Kyankwanzi-bukomero'!I38,'23.10 kyankwanzi-bukomero'!I38)</f>
        <v>0.5714285714285714</v>
      </c>
      <c r="J38" s="49">
        <f>AVERAGE('17.10 Kyankwanzi-bukomero'!J38,'18.10 Kyankwanzi-bukomero'!J38,'19.10 Kyankwanzi-bukomero-24h'!J38,'20.10 Kyankwanzi-bukomero'!J38,'21.10 Kyankwanzi-bukomero-24h'!J38,'22.10 Kyankwanzi-bukomero'!J38,'23.10 kyankwanzi-bukomero'!J38)</f>
        <v>0.2857142857142857</v>
      </c>
      <c r="K38" s="49">
        <f>AVERAGE('17.10 Kyankwanzi-bukomero'!K38,'18.10 Kyankwanzi-bukomero'!K38,'19.10 Kyankwanzi-bukomero-24h'!K38,'20.10 Kyankwanzi-bukomero'!K38,'21.10 Kyankwanzi-bukomero-24h'!K38,'22.10 Kyankwanzi-bukomero'!K38,'23.10 kyankwanzi-bukomero'!K38)</f>
        <v>0</v>
      </c>
      <c r="L38" s="49">
        <f>AVERAGE('17.10 Kyankwanzi-bukomero'!L38,'18.10 Kyankwanzi-bukomero'!L38,'19.10 Kyankwanzi-bukomero-24h'!L38,'20.10 Kyankwanzi-bukomero'!L38,'21.10 Kyankwanzi-bukomero-24h'!L38,'22.10 Kyankwanzi-bukomero'!L38,'23.10 kyankwanzi-bukomero'!L38)</f>
        <v>0</v>
      </c>
      <c r="M38" s="49">
        <f>AVERAGE('17.10 Kyankwanzi-bukomero'!M38,'18.10 Kyankwanzi-bukomero'!M38,'19.10 Kyankwanzi-bukomero-24h'!M38,'20.10 Kyankwanzi-bukomero'!M38,'21.10 Kyankwanzi-bukomero-24h'!M38,'22.10 Kyankwanzi-bukomero'!M38,'23.10 kyankwanzi-bukomero'!M38)</f>
        <v>12.857142857142858</v>
      </c>
      <c r="N38" s="49">
        <f>AVERAGE('17.10 Kyankwanzi-bukomero'!N38,'18.10 Kyankwanzi-bukomero'!N38,'19.10 Kyankwanzi-bukomero-24h'!N38,'20.10 Kyankwanzi-bukomero'!N38,'21.10 Kyankwanzi-bukomero-24h'!N38,'22.10 Kyankwanzi-bukomero'!N38,'23.10 kyankwanzi-bukomero'!N38)</f>
        <v>0</v>
      </c>
      <c r="O38" s="15">
        <f t="shared" si="0"/>
        <v>2.4285714285714279</v>
      </c>
      <c r="P38" s="15">
        <f t="shared" si="1"/>
        <v>15.285714285714285</v>
      </c>
      <c r="R38" s="28" t="s">
        <v>86</v>
      </c>
      <c r="S38" s="16">
        <f t="shared" ref="S38:AF38" si="30">SUM(S13:S18)</f>
        <v>12.714285714285714</v>
      </c>
      <c r="T38" s="16">
        <f t="shared" si="30"/>
        <v>3.2857142857142856</v>
      </c>
      <c r="U38" s="16">
        <f t="shared" si="30"/>
        <v>2.9999999999999996</v>
      </c>
      <c r="V38" s="16">
        <f t="shared" si="30"/>
        <v>1.4285714285714284</v>
      </c>
      <c r="W38" s="16">
        <f t="shared" si="30"/>
        <v>0</v>
      </c>
      <c r="X38" s="16">
        <f t="shared" si="30"/>
        <v>0</v>
      </c>
      <c r="Y38" s="16">
        <f t="shared" si="30"/>
        <v>17</v>
      </c>
      <c r="Z38" s="16">
        <f t="shared" si="30"/>
        <v>3.1428571428571423</v>
      </c>
      <c r="AA38" s="16">
        <f t="shared" si="30"/>
        <v>0.5714285714285714</v>
      </c>
      <c r="AB38" s="16">
        <f t="shared" si="30"/>
        <v>0.14285714285714285</v>
      </c>
      <c r="AC38" s="16">
        <f t="shared" si="30"/>
        <v>284.85714285714289</v>
      </c>
      <c r="AD38" s="16">
        <f t="shared" si="30"/>
        <v>0</v>
      </c>
      <c r="AE38" s="32">
        <f t="shared" si="30"/>
        <v>41.285714285714278</v>
      </c>
      <c r="AF38" s="32">
        <f t="shared" si="30"/>
        <v>326.14285714285717</v>
      </c>
    </row>
    <row r="39" spans="2:32" ht="23.1" customHeight="1" x14ac:dyDescent="0.25">
      <c r="B39" s="24" t="s">
        <v>66</v>
      </c>
      <c r="C39" s="49">
        <f>AVERAGE('17.10 Kyankwanzi-bukomero'!C39,'18.10 Kyankwanzi-bukomero'!C39,'19.10 Kyankwanzi-bukomero-24h'!C39,'20.10 Kyankwanzi-bukomero'!C39,'21.10 Kyankwanzi-bukomero-24h'!C39,'22.10 Kyankwanzi-bukomero'!C39,'23.10 kyankwanzi-bukomero'!C39)</f>
        <v>1</v>
      </c>
      <c r="D39" s="49">
        <f>AVERAGE('17.10 Kyankwanzi-bukomero'!D39,'18.10 Kyankwanzi-bukomero'!D39,'19.10 Kyankwanzi-bukomero-24h'!D39,'20.10 Kyankwanzi-bukomero'!D39,'21.10 Kyankwanzi-bukomero-24h'!D39,'22.10 Kyankwanzi-bukomero'!D39,'23.10 kyankwanzi-bukomero'!D39)</f>
        <v>0.2857142857142857</v>
      </c>
      <c r="E39" s="49">
        <f>AVERAGE('17.10 Kyankwanzi-bukomero'!E39,'18.10 Kyankwanzi-bukomero'!E39,'19.10 Kyankwanzi-bukomero-24h'!E39,'20.10 Kyankwanzi-bukomero'!E39,'21.10 Kyankwanzi-bukomero-24h'!E39,'22.10 Kyankwanzi-bukomero'!E39,'23.10 kyankwanzi-bukomero'!E39)</f>
        <v>0.14285714285714285</v>
      </c>
      <c r="F39" s="49">
        <f>AVERAGE('17.10 Kyankwanzi-bukomero'!F39,'18.10 Kyankwanzi-bukomero'!F39,'19.10 Kyankwanzi-bukomero-24h'!F39,'20.10 Kyankwanzi-bukomero'!F39,'21.10 Kyankwanzi-bukomero-24h'!F39,'22.10 Kyankwanzi-bukomero'!F39,'23.10 kyankwanzi-bukomero'!F39)</f>
        <v>0</v>
      </c>
      <c r="G39" s="49">
        <f>AVERAGE('17.10 Kyankwanzi-bukomero'!G39,'18.10 Kyankwanzi-bukomero'!G39,'19.10 Kyankwanzi-bukomero-24h'!G39,'20.10 Kyankwanzi-bukomero'!G39,'21.10 Kyankwanzi-bukomero-24h'!G39,'22.10 Kyankwanzi-bukomero'!G39,'23.10 kyankwanzi-bukomero'!G39)</f>
        <v>0</v>
      </c>
      <c r="H39" s="49">
        <f>AVERAGE('17.10 Kyankwanzi-bukomero'!H39,'18.10 Kyankwanzi-bukomero'!H39,'19.10 Kyankwanzi-bukomero-24h'!H39,'20.10 Kyankwanzi-bukomero'!H39,'21.10 Kyankwanzi-bukomero-24h'!H39,'22.10 Kyankwanzi-bukomero'!H39,'23.10 kyankwanzi-bukomero'!H39)</f>
        <v>0</v>
      </c>
      <c r="I39" s="49">
        <f>AVERAGE('17.10 Kyankwanzi-bukomero'!I39,'18.10 Kyankwanzi-bukomero'!I39,'19.10 Kyankwanzi-bukomero-24h'!I39,'20.10 Kyankwanzi-bukomero'!I39,'21.10 Kyankwanzi-bukomero-24h'!I39,'22.10 Kyankwanzi-bukomero'!I39,'23.10 kyankwanzi-bukomero'!I39)</f>
        <v>1.2857142857142858</v>
      </c>
      <c r="J39" s="49">
        <f>AVERAGE('17.10 Kyankwanzi-bukomero'!J39,'18.10 Kyankwanzi-bukomero'!J39,'19.10 Kyankwanzi-bukomero-24h'!J39,'20.10 Kyankwanzi-bukomero'!J39,'21.10 Kyankwanzi-bukomero-24h'!J39,'22.10 Kyankwanzi-bukomero'!J39,'23.10 kyankwanzi-bukomero'!J39)</f>
        <v>0</v>
      </c>
      <c r="K39" s="49">
        <f>AVERAGE('17.10 Kyankwanzi-bukomero'!K39,'18.10 Kyankwanzi-bukomero'!K39,'19.10 Kyankwanzi-bukomero-24h'!K39,'20.10 Kyankwanzi-bukomero'!K39,'21.10 Kyankwanzi-bukomero-24h'!K39,'22.10 Kyankwanzi-bukomero'!K39,'23.10 kyankwanzi-bukomero'!K39)</f>
        <v>0</v>
      </c>
      <c r="L39" s="49">
        <f>AVERAGE('17.10 Kyankwanzi-bukomero'!L39,'18.10 Kyankwanzi-bukomero'!L39,'19.10 Kyankwanzi-bukomero-24h'!L39,'20.10 Kyankwanzi-bukomero'!L39,'21.10 Kyankwanzi-bukomero-24h'!L39,'22.10 Kyankwanzi-bukomero'!L39,'23.10 kyankwanzi-bukomero'!L39)</f>
        <v>0</v>
      </c>
      <c r="M39" s="49">
        <f>AVERAGE('17.10 Kyankwanzi-bukomero'!M39,'18.10 Kyankwanzi-bukomero'!M39,'19.10 Kyankwanzi-bukomero-24h'!M39,'20.10 Kyankwanzi-bukomero'!M39,'21.10 Kyankwanzi-bukomero-24h'!M39,'22.10 Kyankwanzi-bukomero'!M39,'23.10 kyankwanzi-bukomero'!M39)</f>
        <v>12.142857142857142</v>
      </c>
      <c r="N39" s="49">
        <f>AVERAGE('17.10 Kyankwanzi-bukomero'!N39,'18.10 Kyankwanzi-bukomero'!N39,'19.10 Kyankwanzi-bukomero-24h'!N39,'20.10 Kyankwanzi-bukomero'!N39,'21.10 Kyankwanzi-bukomero-24h'!N39,'22.10 Kyankwanzi-bukomero'!N39,'23.10 kyankwanzi-bukomero'!N39)</f>
        <v>0</v>
      </c>
      <c r="O39" s="15">
        <f t="shared" si="0"/>
        <v>2.7142857142857144</v>
      </c>
      <c r="P39" s="15">
        <f t="shared" si="1"/>
        <v>14.857142857142858</v>
      </c>
      <c r="R39" s="29" t="s">
        <v>87</v>
      </c>
      <c r="S39" s="16">
        <f t="shared" ref="S39:AF39" si="31">SUM(S19:S21)</f>
        <v>5.8571428571428568</v>
      </c>
      <c r="T39" s="16">
        <f t="shared" si="31"/>
        <v>2.2857142857142856</v>
      </c>
      <c r="U39" s="16">
        <f t="shared" si="31"/>
        <v>1.9999999999999998</v>
      </c>
      <c r="V39" s="16">
        <f t="shared" si="31"/>
        <v>1.7142857142857142</v>
      </c>
      <c r="W39" s="16">
        <f t="shared" si="31"/>
        <v>0</v>
      </c>
      <c r="X39" s="16">
        <f t="shared" si="31"/>
        <v>0.2857142857142857</v>
      </c>
      <c r="Y39" s="16">
        <f t="shared" si="31"/>
        <v>8.8571428571428559</v>
      </c>
      <c r="Z39" s="16">
        <f t="shared" si="31"/>
        <v>0.5714285714285714</v>
      </c>
      <c r="AA39" s="16">
        <f t="shared" si="31"/>
        <v>0</v>
      </c>
      <c r="AB39" s="16">
        <f t="shared" si="31"/>
        <v>0.14285714285714285</v>
      </c>
      <c r="AC39" s="16">
        <f t="shared" si="31"/>
        <v>172</v>
      </c>
      <c r="AD39" s="16">
        <f t="shared" si="31"/>
        <v>0</v>
      </c>
      <c r="AE39" s="32">
        <f t="shared" si="31"/>
        <v>21.714285714285715</v>
      </c>
      <c r="AF39" s="32">
        <f t="shared" si="31"/>
        <v>193.71428571428572</v>
      </c>
    </row>
    <row r="40" spans="2:32" ht="23.1" customHeight="1" x14ac:dyDescent="0.25">
      <c r="B40" s="24" t="s">
        <v>67</v>
      </c>
      <c r="C40" s="49">
        <f>AVERAGE('17.10 Kyankwanzi-bukomero'!C40,'18.10 Kyankwanzi-bukomero'!C40,'19.10 Kyankwanzi-bukomero-24h'!C40,'20.10 Kyankwanzi-bukomero'!C40,'21.10 Kyankwanzi-bukomero-24h'!C40,'22.10 Kyankwanzi-bukomero'!C40,'23.10 kyankwanzi-bukomero'!C40)</f>
        <v>0.2857142857142857</v>
      </c>
      <c r="D40" s="49">
        <f>AVERAGE('17.10 Kyankwanzi-bukomero'!D40,'18.10 Kyankwanzi-bukomero'!D40,'19.10 Kyankwanzi-bukomero-24h'!D40,'20.10 Kyankwanzi-bukomero'!D40,'21.10 Kyankwanzi-bukomero-24h'!D40,'22.10 Kyankwanzi-bukomero'!D40,'23.10 kyankwanzi-bukomero'!D40)</f>
        <v>0.2857142857142857</v>
      </c>
      <c r="E40" s="49">
        <f>AVERAGE('17.10 Kyankwanzi-bukomero'!E40,'18.10 Kyankwanzi-bukomero'!E40,'19.10 Kyankwanzi-bukomero-24h'!E40,'20.10 Kyankwanzi-bukomero'!E40,'21.10 Kyankwanzi-bukomero-24h'!E40,'22.10 Kyankwanzi-bukomero'!E40,'23.10 kyankwanzi-bukomero'!E40)</f>
        <v>0.14285714285714285</v>
      </c>
      <c r="F40" s="49">
        <f>AVERAGE('17.10 Kyankwanzi-bukomero'!F40,'18.10 Kyankwanzi-bukomero'!F40,'19.10 Kyankwanzi-bukomero-24h'!F40,'20.10 Kyankwanzi-bukomero'!F40,'21.10 Kyankwanzi-bukomero-24h'!F40,'22.10 Kyankwanzi-bukomero'!F40,'23.10 kyankwanzi-bukomero'!F40)</f>
        <v>0</v>
      </c>
      <c r="G40" s="49">
        <f>AVERAGE('17.10 Kyankwanzi-bukomero'!G40,'18.10 Kyankwanzi-bukomero'!G40,'19.10 Kyankwanzi-bukomero-24h'!G40,'20.10 Kyankwanzi-bukomero'!G40,'21.10 Kyankwanzi-bukomero-24h'!G40,'22.10 Kyankwanzi-bukomero'!G40,'23.10 kyankwanzi-bukomero'!G40)</f>
        <v>0</v>
      </c>
      <c r="H40" s="49">
        <f>AVERAGE('17.10 Kyankwanzi-bukomero'!H40,'18.10 Kyankwanzi-bukomero'!H40,'19.10 Kyankwanzi-bukomero-24h'!H40,'20.10 Kyankwanzi-bukomero'!H40,'21.10 Kyankwanzi-bukomero-24h'!H40,'22.10 Kyankwanzi-bukomero'!H40,'23.10 kyankwanzi-bukomero'!H40)</f>
        <v>0</v>
      </c>
      <c r="I40" s="49">
        <f>AVERAGE('17.10 Kyankwanzi-bukomero'!I40,'18.10 Kyankwanzi-bukomero'!I40,'19.10 Kyankwanzi-bukomero-24h'!I40,'20.10 Kyankwanzi-bukomero'!I40,'21.10 Kyankwanzi-bukomero-24h'!I40,'22.10 Kyankwanzi-bukomero'!I40,'23.10 kyankwanzi-bukomero'!I40)</f>
        <v>1.4285714285714286</v>
      </c>
      <c r="J40" s="49">
        <f>AVERAGE('17.10 Kyankwanzi-bukomero'!J40,'18.10 Kyankwanzi-bukomero'!J40,'19.10 Kyankwanzi-bukomero-24h'!J40,'20.10 Kyankwanzi-bukomero'!J40,'21.10 Kyankwanzi-bukomero-24h'!J40,'22.10 Kyankwanzi-bukomero'!J40,'23.10 kyankwanzi-bukomero'!J40)</f>
        <v>0.2857142857142857</v>
      </c>
      <c r="K40" s="49">
        <f>AVERAGE('17.10 Kyankwanzi-bukomero'!K40,'18.10 Kyankwanzi-bukomero'!K40,'19.10 Kyankwanzi-bukomero-24h'!K40,'20.10 Kyankwanzi-bukomero'!K40,'21.10 Kyankwanzi-bukomero-24h'!K40,'22.10 Kyankwanzi-bukomero'!K40,'23.10 kyankwanzi-bukomero'!K40)</f>
        <v>0</v>
      </c>
      <c r="L40" s="49">
        <f>AVERAGE('17.10 Kyankwanzi-bukomero'!L40,'18.10 Kyankwanzi-bukomero'!L40,'19.10 Kyankwanzi-bukomero-24h'!L40,'20.10 Kyankwanzi-bukomero'!L40,'21.10 Kyankwanzi-bukomero-24h'!L40,'22.10 Kyankwanzi-bukomero'!L40,'23.10 kyankwanzi-bukomero'!L40)</f>
        <v>0</v>
      </c>
      <c r="M40" s="49">
        <f>AVERAGE('17.10 Kyankwanzi-bukomero'!M40,'18.10 Kyankwanzi-bukomero'!M40,'19.10 Kyankwanzi-bukomero-24h'!M40,'20.10 Kyankwanzi-bukomero'!M40,'21.10 Kyankwanzi-bukomero-24h'!M40,'22.10 Kyankwanzi-bukomero'!M40,'23.10 kyankwanzi-bukomero'!M40)</f>
        <v>13.571428571428571</v>
      </c>
      <c r="N40" s="49">
        <f>AVERAGE('17.10 Kyankwanzi-bukomero'!N40,'18.10 Kyankwanzi-bukomero'!N40,'19.10 Kyankwanzi-bukomero-24h'!N40,'20.10 Kyankwanzi-bukomero'!N40,'21.10 Kyankwanzi-bukomero-24h'!N40,'22.10 Kyankwanzi-bukomero'!N40,'23.10 kyankwanzi-bukomero'!N40)</f>
        <v>0</v>
      </c>
      <c r="O40" s="15">
        <f t="shared" si="0"/>
        <v>2.4285714285714284</v>
      </c>
      <c r="P40" s="15">
        <f t="shared" si="1"/>
        <v>16</v>
      </c>
      <c r="R40" s="5" t="s">
        <v>17</v>
      </c>
      <c r="S40" s="16">
        <f t="shared" ref="S40:AF40" si="32">SUM(S10:S21)</f>
        <v>22.857142857142854</v>
      </c>
      <c r="T40" s="16">
        <f t="shared" si="32"/>
        <v>6.2857142857142856</v>
      </c>
      <c r="U40" s="16">
        <f t="shared" si="32"/>
        <v>6</v>
      </c>
      <c r="V40" s="16">
        <f t="shared" si="32"/>
        <v>5</v>
      </c>
      <c r="W40" s="16">
        <f t="shared" si="32"/>
        <v>0</v>
      </c>
      <c r="X40" s="16">
        <f t="shared" si="32"/>
        <v>0.2857142857142857</v>
      </c>
      <c r="Y40" s="16">
        <f t="shared" si="32"/>
        <v>30.571428571428569</v>
      </c>
      <c r="Z40" s="16">
        <f t="shared" si="32"/>
        <v>4.5714285714285721</v>
      </c>
      <c r="AA40" s="16">
        <f t="shared" si="32"/>
        <v>0.5714285714285714</v>
      </c>
      <c r="AB40" s="16">
        <f t="shared" si="32"/>
        <v>0.2857142857142857</v>
      </c>
      <c r="AC40" s="16">
        <f t="shared" si="32"/>
        <v>574.14285714285711</v>
      </c>
      <c r="AD40" s="16">
        <f t="shared" si="32"/>
        <v>0</v>
      </c>
      <c r="AE40" s="32">
        <f t="shared" si="32"/>
        <v>76.428571428571416</v>
      </c>
      <c r="AF40" s="32">
        <f t="shared" si="32"/>
        <v>650.57142857142856</v>
      </c>
    </row>
    <row r="41" spans="2:32" ht="23.1" customHeight="1" x14ac:dyDescent="0.25">
      <c r="B41" s="23" t="s">
        <v>68</v>
      </c>
      <c r="C41" s="49">
        <f>AVERAGE('17.10 Kyankwanzi-bukomero'!C41,'18.10 Kyankwanzi-bukomero'!C41,'19.10 Kyankwanzi-bukomero-24h'!C41,'20.10 Kyankwanzi-bukomero'!C41,'21.10 Kyankwanzi-bukomero-24h'!C41,'22.10 Kyankwanzi-bukomero'!C41,'23.10 kyankwanzi-bukomero'!C41)</f>
        <v>0.5714285714285714</v>
      </c>
      <c r="D41" s="49">
        <f>AVERAGE('17.10 Kyankwanzi-bukomero'!D41,'18.10 Kyankwanzi-bukomero'!D41,'19.10 Kyankwanzi-bukomero-24h'!D41,'20.10 Kyankwanzi-bukomero'!D41,'21.10 Kyankwanzi-bukomero-24h'!D41,'22.10 Kyankwanzi-bukomero'!D41,'23.10 kyankwanzi-bukomero'!D41)</f>
        <v>0</v>
      </c>
      <c r="E41" s="49">
        <f>AVERAGE('17.10 Kyankwanzi-bukomero'!E41,'18.10 Kyankwanzi-bukomero'!E41,'19.10 Kyankwanzi-bukomero-24h'!E41,'20.10 Kyankwanzi-bukomero'!E41,'21.10 Kyankwanzi-bukomero-24h'!E41,'22.10 Kyankwanzi-bukomero'!E41,'23.10 kyankwanzi-bukomero'!E41)</f>
        <v>0.2857142857142857</v>
      </c>
      <c r="F41" s="49">
        <f>AVERAGE('17.10 Kyankwanzi-bukomero'!F41,'18.10 Kyankwanzi-bukomero'!F41,'19.10 Kyankwanzi-bukomero-24h'!F41,'20.10 Kyankwanzi-bukomero'!F41,'21.10 Kyankwanzi-bukomero-24h'!F41,'22.10 Kyankwanzi-bukomero'!F41,'23.10 kyankwanzi-bukomero'!F41)</f>
        <v>0.14285714285714285</v>
      </c>
      <c r="G41" s="49">
        <f>AVERAGE('17.10 Kyankwanzi-bukomero'!G41,'18.10 Kyankwanzi-bukomero'!G41,'19.10 Kyankwanzi-bukomero-24h'!G41,'20.10 Kyankwanzi-bukomero'!G41,'21.10 Kyankwanzi-bukomero-24h'!G41,'22.10 Kyankwanzi-bukomero'!G41,'23.10 kyankwanzi-bukomero'!G41)</f>
        <v>0</v>
      </c>
      <c r="H41" s="49">
        <f>AVERAGE('17.10 Kyankwanzi-bukomero'!H41,'18.10 Kyankwanzi-bukomero'!H41,'19.10 Kyankwanzi-bukomero-24h'!H41,'20.10 Kyankwanzi-bukomero'!H41,'21.10 Kyankwanzi-bukomero-24h'!H41,'22.10 Kyankwanzi-bukomero'!H41,'23.10 kyankwanzi-bukomero'!H41)</f>
        <v>0</v>
      </c>
      <c r="I41" s="49">
        <f>AVERAGE('17.10 Kyankwanzi-bukomero'!I41,'18.10 Kyankwanzi-bukomero'!I41,'19.10 Kyankwanzi-bukomero-24h'!I41,'20.10 Kyankwanzi-bukomero'!I41,'21.10 Kyankwanzi-bukomero-24h'!I41,'22.10 Kyankwanzi-bukomero'!I41,'23.10 kyankwanzi-bukomero'!I41)</f>
        <v>0.2857142857142857</v>
      </c>
      <c r="J41" s="49">
        <f>AVERAGE('17.10 Kyankwanzi-bukomero'!J41,'18.10 Kyankwanzi-bukomero'!J41,'19.10 Kyankwanzi-bukomero-24h'!J41,'20.10 Kyankwanzi-bukomero'!J41,'21.10 Kyankwanzi-bukomero-24h'!J41,'22.10 Kyankwanzi-bukomero'!J41,'23.10 kyankwanzi-bukomero'!J41)</f>
        <v>0.2857142857142857</v>
      </c>
      <c r="K41" s="49">
        <f>AVERAGE('17.10 Kyankwanzi-bukomero'!K41,'18.10 Kyankwanzi-bukomero'!K41,'19.10 Kyankwanzi-bukomero-24h'!K41,'20.10 Kyankwanzi-bukomero'!K41,'21.10 Kyankwanzi-bukomero-24h'!K41,'22.10 Kyankwanzi-bukomero'!K41,'23.10 kyankwanzi-bukomero'!K41)</f>
        <v>0</v>
      </c>
      <c r="L41" s="49">
        <f>AVERAGE('17.10 Kyankwanzi-bukomero'!L41,'18.10 Kyankwanzi-bukomero'!L41,'19.10 Kyankwanzi-bukomero-24h'!L41,'20.10 Kyankwanzi-bukomero'!L41,'21.10 Kyankwanzi-bukomero-24h'!L41,'22.10 Kyankwanzi-bukomero'!L41,'23.10 kyankwanzi-bukomero'!L41)</f>
        <v>0</v>
      </c>
      <c r="M41" s="49">
        <f>AVERAGE('17.10 Kyankwanzi-bukomero'!M41,'18.10 Kyankwanzi-bukomero'!M41,'19.10 Kyankwanzi-bukomero-24h'!M41,'20.10 Kyankwanzi-bukomero'!M41,'21.10 Kyankwanzi-bukomero-24h'!M41,'22.10 Kyankwanzi-bukomero'!M41,'23.10 kyankwanzi-bukomero'!M41)</f>
        <v>14.285714285714286</v>
      </c>
      <c r="N41" s="49">
        <f>AVERAGE('17.10 Kyankwanzi-bukomero'!N41,'18.10 Kyankwanzi-bukomero'!N41,'19.10 Kyankwanzi-bukomero-24h'!N41,'20.10 Kyankwanzi-bukomero'!N41,'21.10 Kyankwanzi-bukomero-24h'!N41,'22.10 Kyankwanzi-bukomero'!N41,'23.10 kyankwanzi-bukomero'!N41)</f>
        <v>0</v>
      </c>
      <c r="O41" s="15">
        <f t="shared" si="0"/>
        <v>1.5714285714285712</v>
      </c>
      <c r="P41" s="15">
        <f t="shared" si="1"/>
        <v>15.857142857142858</v>
      </c>
      <c r="R41" s="5" t="s">
        <v>178</v>
      </c>
      <c r="S41" s="16">
        <f>SUM(S10:S33)</f>
        <v>30.357142857142854</v>
      </c>
      <c r="T41" s="16">
        <f t="shared" ref="T41:AD41" si="33">SUM(T10:T33)</f>
        <v>9.2857142857142847</v>
      </c>
      <c r="U41" s="16">
        <f t="shared" si="33"/>
        <v>7</v>
      </c>
      <c r="V41" s="16">
        <f t="shared" si="33"/>
        <v>10.5</v>
      </c>
      <c r="W41" s="16">
        <f t="shared" si="33"/>
        <v>0</v>
      </c>
      <c r="X41" s="16">
        <f t="shared" si="33"/>
        <v>0.2857142857142857</v>
      </c>
      <c r="Y41" s="16">
        <f t="shared" si="33"/>
        <v>62.071428571428569</v>
      </c>
      <c r="Z41" s="16">
        <f t="shared" si="33"/>
        <v>14.571428571428573</v>
      </c>
      <c r="AA41" s="16">
        <f t="shared" si="33"/>
        <v>0.5714285714285714</v>
      </c>
      <c r="AB41" s="16">
        <f t="shared" si="33"/>
        <v>0.2857142857142857</v>
      </c>
      <c r="AC41" s="16">
        <f t="shared" si="33"/>
        <v>754.64285714285711</v>
      </c>
      <c r="AD41" s="16">
        <f t="shared" si="33"/>
        <v>0</v>
      </c>
      <c r="AE41" s="32">
        <f>SUM(AE10:AE33)</f>
        <v>134.92857142857142</v>
      </c>
      <c r="AF41" s="32">
        <f>SUM(AF10:AF33)</f>
        <v>889.57142857142856</v>
      </c>
    </row>
    <row r="42" spans="2:32" ht="23.1" customHeight="1" x14ac:dyDescent="0.25">
      <c r="B42" s="24" t="s">
        <v>69</v>
      </c>
      <c r="C42" s="49">
        <f>AVERAGE('17.10 Kyankwanzi-bukomero'!C42,'18.10 Kyankwanzi-bukomero'!C42,'19.10 Kyankwanzi-bukomero-24h'!C42,'20.10 Kyankwanzi-bukomero'!C42,'21.10 Kyankwanzi-bukomero-24h'!C42,'22.10 Kyankwanzi-bukomero'!C42,'23.10 kyankwanzi-bukomero'!C42)</f>
        <v>1</v>
      </c>
      <c r="D42" s="49">
        <f>AVERAGE('17.10 Kyankwanzi-bukomero'!D42,'18.10 Kyankwanzi-bukomero'!D42,'19.10 Kyankwanzi-bukomero-24h'!D42,'20.10 Kyankwanzi-bukomero'!D42,'21.10 Kyankwanzi-bukomero-24h'!D42,'22.10 Kyankwanzi-bukomero'!D42,'23.10 kyankwanzi-bukomero'!D42)</f>
        <v>0.14285714285714285</v>
      </c>
      <c r="E42" s="49">
        <f>AVERAGE('17.10 Kyankwanzi-bukomero'!E42,'18.10 Kyankwanzi-bukomero'!E42,'19.10 Kyankwanzi-bukomero-24h'!E42,'20.10 Kyankwanzi-bukomero'!E42,'21.10 Kyankwanzi-bukomero-24h'!E42,'22.10 Kyankwanzi-bukomero'!E42,'23.10 kyankwanzi-bukomero'!E42)</f>
        <v>0</v>
      </c>
      <c r="F42" s="49">
        <f>AVERAGE('17.10 Kyankwanzi-bukomero'!F42,'18.10 Kyankwanzi-bukomero'!F42,'19.10 Kyankwanzi-bukomero-24h'!F42,'20.10 Kyankwanzi-bukomero'!F42,'21.10 Kyankwanzi-bukomero-24h'!F42,'22.10 Kyankwanzi-bukomero'!F42,'23.10 kyankwanzi-bukomero'!F42)</f>
        <v>0</v>
      </c>
      <c r="G42" s="49">
        <f>AVERAGE('17.10 Kyankwanzi-bukomero'!G42,'18.10 Kyankwanzi-bukomero'!G42,'19.10 Kyankwanzi-bukomero-24h'!G42,'20.10 Kyankwanzi-bukomero'!G42,'21.10 Kyankwanzi-bukomero-24h'!G42,'22.10 Kyankwanzi-bukomero'!G42,'23.10 kyankwanzi-bukomero'!G42)</f>
        <v>0</v>
      </c>
      <c r="H42" s="49">
        <f>AVERAGE('17.10 Kyankwanzi-bukomero'!H42,'18.10 Kyankwanzi-bukomero'!H42,'19.10 Kyankwanzi-bukomero-24h'!H42,'20.10 Kyankwanzi-bukomero'!H42,'21.10 Kyankwanzi-bukomero-24h'!H42,'22.10 Kyankwanzi-bukomero'!H42,'23.10 kyankwanzi-bukomero'!H42)</f>
        <v>0</v>
      </c>
      <c r="I42" s="49">
        <f>AVERAGE('17.10 Kyankwanzi-bukomero'!I42,'18.10 Kyankwanzi-bukomero'!I42,'19.10 Kyankwanzi-bukomero-24h'!I42,'20.10 Kyankwanzi-bukomero'!I42,'21.10 Kyankwanzi-bukomero-24h'!I42,'22.10 Kyankwanzi-bukomero'!I42,'23.10 kyankwanzi-bukomero'!I42)</f>
        <v>0.5714285714285714</v>
      </c>
      <c r="J42" s="49">
        <f>AVERAGE('17.10 Kyankwanzi-bukomero'!J42,'18.10 Kyankwanzi-bukomero'!J42,'19.10 Kyankwanzi-bukomero-24h'!J42,'20.10 Kyankwanzi-bukomero'!J42,'21.10 Kyankwanzi-bukomero-24h'!J42,'22.10 Kyankwanzi-bukomero'!J42,'23.10 kyankwanzi-bukomero'!J42)</f>
        <v>0.14285714285714285</v>
      </c>
      <c r="K42" s="49">
        <f>AVERAGE('17.10 Kyankwanzi-bukomero'!K42,'18.10 Kyankwanzi-bukomero'!K42,'19.10 Kyankwanzi-bukomero-24h'!K42,'20.10 Kyankwanzi-bukomero'!K42,'21.10 Kyankwanzi-bukomero-24h'!K42,'22.10 Kyankwanzi-bukomero'!K42,'23.10 kyankwanzi-bukomero'!K42)</f>
        <v>0.14285714285714285</v>
      </c>
      <c r="L42" s="49">
        <f>AVERAGE('17.10 Kyankwanzi-bukomero'!L42,'18.10 Kyankwanzi-bukomero'!L42,'19.10 Kyankwanzi-bukomero-24h'!L42,'20.10 Kyankwanzi-bukomero'!L42,'21.10 Kyankwanzi-bukomero-24h'!L42,'22.10 Kyankwanzi-bukomero'!L42,'23.10 kyankwanzi-bukomero'!L42)</f>
        <v>0</v>
      </c>
      <c r="M42" s="49">
        <f>AVERAGE('17.10 Kyankwanzi-bukomero'!M42,'18.10 Kyankwanzi-bukomero'!M42,'19.10 Kyankwanzi-bukomero-24h'!M42,'20.10 Kyankwanzi-bukomero'!M42,'21.10 Kyankwanzi-bukomero-24h'!M42,'22.10 Kyankwanzi-bukomero'!M42,'23.10 kyankwanzi-bukomero'!M42)</f>
        <v>13.714285714285714</v>
      </c>
      <c r="N42" s="49">
        <f>AVERAGE('17.10 Kyankwanzi-bukomero'!N42,'18.10 Kyankwanzi-bukomero'!N42,'19.10 Kyankwanzi-bukomero-24h'!N42,'20.10 Kyankwanzi-bukomero'!N42,'21.10 Kyankwanzi-bukomero-24h'!N42,'22.10 Kyankwanzi-bukomero'!N42,'23.10 kyankwanzi-bukomero'!N42)</f>
        <v>0</v>
      </c>
      <c r="O42" s="15">
        <f t="shared" si="0"/>
        <v>1.9999999999999998</v>
      </c>
      <c r="P42" s="15">
        <f t="shared" si="1"/>
        <v>15.714285714285714</v>
      </c>
      <c r="R42" s="5" t="s">
        <v>160</v>
      </c>
      <c r="S42" s="48">
        <f>S41/S40</f>
        <v>1.328125</v>
      </c>
      <c r="T42" s="48">
        <f t="shared" ref="T42:AF42" si="34">T41/T40</f>
        <v>1.4772727272727271</v>
      </c>
      <c r="U42" s="48">
        <f t="shared" si="34"/>
        <v>1.1666666666666667</v>
      </c>
      <c r="V42" s="48">
        <f t="shared" si="34"/>
        <v>2.1</v>
      </c>
      <c r="W42" s="48" t="e">
        <f t="shared" si="34"/>
        <v>#DIV/0!</v>
      </c>
      <c r="X42" s="48">
        <f t="shared" si="34"/>
        <v>1</v>
      </c>
      <c r="Y42" s="48">
        <f t="shared" si="34"/>
        <v>2.0303738317757012</v>
      </c>
      <c r="Z42" s="48">
        <f t="shared" si="34"/>
        <v>3.1875</v>
      </c>
      <c r="AA42" s="48">
        <f t="shared" si="34"/>
        <v>1</v>
      </c>
      <c r="AB42" s="48">
        <f t="shared" si="34"/>
        <v>1</v>
      </c>
      <c r="AC42" s="48">
        <f t="shared" si="34"/>
        <v>1.3143816869868126</v>
      </c>
      <c r="AD42" s="48" t="e">
        <f t="shared" si="34"/>
        <v>#DIV/0!</v>
      </c>
      <c r="AE42" s="51">
        <f t="shared" si="34"/>
        <v>1.7654205607476636</v>
      </c>
      <c r="AF42" s="51">
        <f t="shared" si="34"/>
        <v>1.3673693456302152</v>
      </c>
    </row>
    <row r="43" spans="2:32" ht="23.1" customHeight="1" x14ac:dyDescent="0.25">
      <c r="B43" s="23" t="s">
        <v>70</v>
      </c>
      <c r="C43" s="49">
        <f>AVERAGE('17.10 Kyankwanzi-bukomero'!C43,'18.10 Kyankwanzi-bukomero'!C43,'19.10 Kyankwanzi-bukomero-24h'!C43,'20.10 Kyankwanzi-bukomero'!C43,'21.10 Kyankwanzi-bukomero-24h'!C43,'22.10 Kyankwanzi-bukomero'!C43,'23.10 kyankwanzi-bukomero'!C43)</f>
        <v>0.42857142857142855</v>
      </c>
      <c r="D43" s="49">
        <f>AVERAGE('17.10 Kyankwanzi-bukomero'!D43,'18.10 Kyankwanzi-bukomero'!D43,'19.10 Kyankwanzi-bukomero-24h'!D43,'20.10 Kyankwanzi-bukomero'!D43,'21.10 Kyankwanzi-bukomero-24h'!D43,'22.10 Kyankwanzi-bukomero'!D43,'23.10 kyankwanzi-bukomero'!D43)</f>
        <v>0.14285714285714285</v>
      </c>
      <c r="E43" s="49">
        <f>AVERAGE('17.10 Kyankwanzi-bukomero'!E43,'18.10 Kyankwanzi-bukomero'!E43,'19.10 Kyankwanzi-bukomero-24h'!E43,'20.10 Kyankwanzi-bukomero'!E43,'21.10 Kyankwanzi-bukomero-24h'!E43,'22.10 Kyankwanzi-bukomero'!E43,'23.10 kyankwanzi-bukomero'!E43)</f>
        <v>0</v>
      </c>
      <c r="F43" s="49">
        <f>AVERAGE('17.10 Kyankwanzi-bukomero'!F43,'18.10 Kyankwanzi-bukomero'!F43,'19.10 Kyankwanzi-bukomero-24h'!F43,'20.10 Kyankwanzi-bukomero'!F43,'21.10 Kyankwanzi-bukomero-24h'!F43,'22.10 Kyankwanzi-bukomero'!F43,'23.10 kyankwanzi-bukomero'!F43)</f>
        <v>0.14285714285714285</v>
      </c>
      <c r="G43" s="49">
        <f>AVERAGE('17.10 Kyankwanzi-bukomero'!G43,'18.10 Kyankwanzi-bukomero'!G43,'19.10 Kyankwanzi-bukomero-24h'!G43,'20.10 Kyankwanzi-bukomero'!G43,'21.10 Kyankwanzi-bukomero-24h'!G43,'22.10 Kyankwanzi-bukomero'!G43,'23.10 kyankwanzi-bukomero'!G43)</f>
        <v>0</v>
      </c>
      <c r="H43" s="49">
        <f>AVERAGE('17.10 Kyankwanzi-bukomero'!H43,'18.10 Kyankwanzi-bukomero'!H43,'19.10 Kyankwanzi-bukomero-24h'!H43,'20.10 Kyankwanzi-bukomero'!H43,'21.10 Kyankwanzi-bukomero-24h'!H43,'22.10 Kyankwanzi-bukomero'!H43,'23.10 kyankwanzi-bukomero'!H43)</f>
        <v>0</v>
      </c>
      <c r="I43" s="49">
        <f>AVERAGE('17.10 Kyankwanzi-bukomero'!I43,'18.10 Kyankwanzi-bukomero'!I43,'19.10 Kyankwanzi-bukomero-24h'!I43,'20.10 Kyankwanzi-bukomero'!I43,'21.10 Kyankwanzi-bukomero-24h'!I43,'22.10 Kyankwanzi-bukomero'!I43,'23.10 kyankwanzi-bukomero'!I43)</f>
        <v>1</v>
      </c>
      <c r="J43" s="49">
        <f>AVERAGE('17.10 Kyankwanzi-bukomero'!J43,'18.10 Kyankwanzi-bukomero'!J43,'19.10 Kyankwanzi-bukomero-24h'!J43,'20.10 Kyankwanzi-bukomero'!J43,'21.10 Kyankwanzi-bukomero-24h'!J43,'22.10 Kyankwanzi-bukomero'!J43,'23.10 kyankwanzi-bukomero'!J43)</f>
        <v>0.14285714285714285</v>
      </c>
      <c r="K43" s="49">
        <f>AVERAGE('17.10 Kyankwanzi-bukomero'!K43,'18.10 Kyankwanzi-bukomero'!K43,'19.10 Kyankwanzi-bukomero-24h'!K43,'20.10 Kyankwanzi-bukomero'!K43,'21.10 Kyankwanzi-bukomero-24h'!K43,'22.10 Kyankwanzi-bukomero'!K43,'23.10 kyankwanzi-bukomero'!K43)</f>
        <v>0</v>
      </c>
      <c r="L43" s="49">
        <f>AVERAGE('17.10 Kyankwanzi-bukomero'!L43,'18.10 Kyankwanzi-bukomero'!L43,'19.10 Kyankwanzi-bukomero-24h'!L43,'20.10 Kyankwanzi-bukomero'!L43,'21.10 Kyankwanzi-bukomero-24h'!L43,'22.10 Kyankwanzi-bukomero'!L43,'23.10 kyankwanzi-bukomero'!L43)</f>
        <v>0</v>
      </c>
      <c r="M43" s="49">
        <f>AVERAGE('17.10 Kyankwanzi-bukomero'!M43,'18.10 Kyankwanzi-bukomero'!M43,'19.10 Kyankwanzi-bukomero-24h'!M43,'20.10 Kyankwanzi-bukomero'!M43,'21.10 Kyankwanzi-bukomero-24h'!M43,'22.10 Kyankwanzi-bukomero'!M43,'23.10 kyankwanzi-bukomero'!M43)</f>
        <v>13.285714285714286</v>
      </c>
      <c r="N43" s="49">
        <f>AVERAGE('17.10 Kyankwanzi-bukomero'!N43,'18.10 Kyankwanzi-bukomero'!N43,'19.10 Kyankwanzi-bukomero-24h'!N43,'20.10 Kyankwanzi-bukomero'!N43,'21.10 Kyankwanzi-bukomero-24h'!N43,'22.10 Kyankwanzi-bukomero'!N43,'23.10 kyankwanzi-bukomero'!N43)</f>
        <v>0</v>
      </c>
      <c r="O43" s="15">
        <f t="shared" si="0"/>
        <v>1.857142857142857</v>
      </c>
      <c r="P43" s="15">
        <f t="shared" si="1"/>
        <v>15.142857142857144</v>
      </c>
    </row>
    <row r="44" spans="2:32" ht="23.1" customHeight="1" x14ac:dyDescent="0.25">
      <c r="B44" s="25" t="s">
        <v>71</v>
      </c>
      <c r="C44" s="49">
        <f>AVERAGE('17.10 Kyankwanzi-bukomero'!C44,'18.10 Kyankwanzi-bukomero'!C44,'19.10 Kyankwanzi-bukomero-24h'!C44,'20.10 Kyankwanzi-bukomero'!C44,'21.10 Kyankwanzi-bukomero-24h'!C44,'22.10 Kyankwanzi-bukomero'!C44,'23.10 kyankwanzi-bukomero'!C44)</f>
        <v>0.5714285714285714</v>
      </c>
      <c r="D44" s="49">
        <f>AVERAGE('17.10 Kyankwanzi-bukomero'!D44,'18.10 Kyankwanzi-bukomero'!D44,'19.10 Kyankwanzi-bukomero-24h'!D44,'20.10 Kyankwanzi-bukomero'!D44,'21.10 Kyankwanzi-bukomero-24h'!D44,'22.10 Kyankwanzi-bukomero'!D44,'23.10 kyankwanzi-bukomero'!D44)</f>
        <v>0.2857142857142857</v>
      </c>
      <c r="E44" s="49">
        <f>AVERAGE('17.10 Kyankwanzi-bukomero'!E44,'18.10 Kyankwanzi-bukomero'!E44,'19.10 Kyankwanzi-bukomero-24h'!E44,'20.10 Kyankwanzi-bukomero'!E44,'21.10 Kyankwanzi-bukomero-24h'!E44,'22.10 Kyankwanzi-bukomero'!E44,'23.10 kyankwanzi-bukomero'!E44)</f>
        <v>0.14285714285714285</v>
      </c>
      <c r="F44" s="49">
        <f>AVERAGE('17.10 Kyankwanzi-bukomero'!F44,'18.10 Kyankwanzi-bukomero'!F44,'19.10 Kyankwanzi-bukomero-24h'!F44,'20.10 Kyankwanzi-bukomero'!F44,'21.10 Kyankwanzi-bukomero-24h'!F44,'22.10 Kyankwanzi-bukomero'!F44,'23.10 kyankwanzi-bukomero'!F44)</f>
        <v>0.14285714285714285</v>
      </c>
      <c r="G44" s="49">
        <f>AVERAGE('17.10 Kyankwanzi-bukomero'!G44,'18.10 Kyankwanzi-bukomero'!G44,'19.10 Kyankwanzi-bukomero-24h'!G44,'20.10 Kyankwanzi-bukomero'!G44,'21.10 Kyankwanzi-bukomero-24h'!G44,'22.10 Kyankwanzi-bukomero'!G44,'23.10 kyankwanzi-bukomero'!G44)</f>
        <v>0</v>
      </c>
      <c r="H44" s="49">
        <f>AVERAGE('17.10 Kyankwanzi-bukomero'!H44,'18.10 Kyankwanzi-bukomero'!H44,'19.10 Kyankwanzi-bukomero-24h'!H44,'20.10 Kyankwanzi-bukomero'!H44,'21.10 Kyankwanzi-bukomero-24h'!H44,'22.10 Kyankwanzi-bukomero'!H44,'23.10 kyankwanzi-bukomero'!H44)</f>
        <v>0</v>
      </c>
      <c r="I44" s="49">
        <f>AVERAGE('17.10 Kyankwanzi-bukomero'!I44,'18.10 Kyankwanzi-bukomero'!I44,'19.10 Kyankwanzi-bukomero-24h'!I44,'20.10 Kyankwanzi-bukomero'!I44,'21.10 Kyankwanzi-bukomero-24h'!I44,'22.10 Kyankwanzi-bukomero'!I44,'23.10 kyankwanzi-bukomero'!I44)</f>
        <v>0.7142857142857143</v>
      </c>
      <c r="J44" s="49">
        <f>AVERAGE('17.10 Kyankwanzi-bukomero'!J44,'18.10 Kyankwanzi-bukomero'!J44,'19.10 Kyankwanzi-bukomero-24h'!J44,'20.10 Kyankwanzi-bukomero'!J44,'21.10 Kyankwanzi-bukomero-24h'!J44,'22.10 Kyankwanzi-bukomero'!J44,'23.10 kyankwanzi-bukomero'!J44)</f>
        <v>0</v>
      </c>
      <c r="K44" s="49">
        <f>AVERAGE('17.10 Kyankwanzi-bukomero'!K44,'18.10 Kyankwanzi-bukomero'!K44,'19.10 Kyankwanzi-bukomero-24h'!K44,'20.10 Kyankwanzi-bukomero'!K44,'21.10 Kyankwanzi-bukomero-24h'!K44,'22.10 Kyankwanzi-bukomero'!K44,'23.10 kyankwanzi-bukomero'!K44)</f>
        <v>0</v>
      </c>
      <c r="L44" s="49">
        <f>AVERAGE('17.10 Kyankwanzi-bukomero'!L44,'18.10 Kyankwanzi-bukomero'!L44,'19.10 Kyankwanzi-bukomero-24h'!L44,'20.10 Kyankwanzi-bukomero'!L44,'21.10 Kyankwanzi-bukomero-24h'!L44,'22.10 Kyankwanzi-bukomero'!L44,'23.10 kyankwanzi-bukomero'!L44)</f>
        <v>0</v>
      </c>
      <c r="M44" s="49">
        <f>AVERAGE('17.10 Kyankwanzi-bukomero'!M44,'18.10 Kyankwanzi-bukomero'!M44,'19.10 Kyankwanzi-bukomero-24h'!M44,'20.10 Kyankwanzi-bukomero'!M44,'21.10 Kyankwanzi-bukomero-24h'!M44,'22.10 Kyankwanzi-bukomero'!M44,'23.10 kyankwanzi-bukomero'!M44)</f>
        <v>10.142857142857142</v>
      </c>
      <c r="N44" s="49">
        <f>AVERAGE('17.10 Kyankwanzi-bukomero'!N44,'18.10 Kyankwanzi-bukomero'!N44,'19.10 Kyankwanzi-bukomero-24h'!N44,'20.10 Kyankwanzi-bukomero'!N44,'21.10 Kyankwanzi-bukomero-24h'!N44,'22.10 Kyankwanzi-bukomero'!N44,'23.10 kyankwanzi-bukomero'!N44)</f>
        <v>0</v>
      </c>
      <c r="O44" s="15">
        <f t="shared" si="0"/>
        <v>1.8571428571428572</v>
      </c>
      <c r="P44" s="15">
        <f t="shared" si="1"/>
        <v>12</v>
      </c>
    </row>
    <row r="45" spans="2:32" ht="23.1" customHeight="1" x14ac:dyDescent="0.25">
      <c r="B45" s="23" t="s">
        <v>72</v>
      </c>
      <c r="C45" s="49">
        <f>AVERAGE('17.10 Kyankwanzi-bukomero'!C45,'18.10 Kyankwanzi-bukomero'!C45,'19.10 Kyankwanzi-bukomero-24h'!C45,'20.10 Kyankwanzi-bukomero'!C45,'21.10 Kyankwanzi-bukomero-24h'!C45,'22.10 Kyankwanzi-bukomero'!C45,'23.10 kyankwanzi-bukomero'!C45)</f>
        <v>0.5714285714285714</v>
      </c>
      <c r="D45" s="49">
        <f>AVERAGE('17.10 Kyankwanzi-bukomero'!D45,'18.10 Kyankwanzi-bukomero'!D45,'19.10 Kyankwanzi-bukomero-24h'!D45,'20.10 Kyankwanzi-bukomero'!D45,'21.10 Kyankwanzi-bukomero-24h'!D45,'22.10 Kyankwanzi-bukomero'!D45,'23.10 kyankwanzi-bukomero'!D45)</f>
        <v>0.14285714285714285</v>
      </c>
      <c r="E45" s="49">
        <f>AVERAGE('17.10 Kyankwanzi-bukomero'!E45,'18.10 Kyankwanzi-bukomero'!E45,'19.10 Kyankwanzi-bukomero-24h'!E45,'20.10 Kyankwanzi-bukomero'!E45,'21.10 Kyankwanzi-bukomero-24h'!E45,'22.10 Kyankwanzi-bukomero'!E45,'23.10 kyankwanzi-bukomero'!E45)</f>
        <v>0.2857142857142857</v>
      </c>
      <c r="F45" s="49">
        <f>AVERAGE('17.10 Kyankwanzi-bukomero'!F45,'18.10 Kyankwanzi-bukomero'!F45,'19.10 Kyankwanzi-bukomero-24h'!F45,'20.10 Kyankwanzi-bukomero'!F45,'21.10 Kyankwanzi-bukomero-24h'!F45,'22.10 Kyankwanzi-bukomero'!F45,'23.10 kyankwanzi-bukomero'!F45)</f>
        <v>0</v>
      </c>
      <c r="G45" s="49">
        <f>AVERAGE('17.10 Kyankwanzi-bukomero'!G45,'18.10 Kyankwanzi-bukomero'!G45,'19.10 Kyankwanzi-bukomero-24h'!G45,'20.10 Kyankwanzi-bukomero'!G45,'21.10 Kyankwanzi-bukomero-24h'!G45,'22.10 Kyankwanzi-bukomero'!G45,'23.10 kyankwanzi-bukomero'!G45)</f>
        <v>0</v>
      </c>
      <c r="H45" s="49">
        <f>AVERAGE('17.10 Kyankwanzi-bukomero'!H45,'18.10 Kyankwanzi-bukomero'!H45,'19.10 Kyankwanzi-bukomero-24h'!H45,'20.10 Kyankwanzi-bukomero'!H45,'21.10 Kyankwanzi-bukomero-24h'!H45,'22.10 Kyankwanzi-bukomero'!H45,'23.10 kyankwanzi-bukomero'!H45)</f>
        <v>0</v>
      </c>
      <c r="I45" s="49">
        <f>AVERAGE('17.10 Kyankwanzi-bukomero'!I45,'18.10 Kyankwanzi-bukomero'!I45,'19.10 Kyankwanzi-bukomero-24h'!I45,'20.10 Kyankwanzi-bukomero'!I45,'21.10 Kyankwanzi-bukomero-24h'!I45,'22.10 Kyankwanzi-bukomero'!I45,'23.10 kyankwanzi-bukomero'!I45)</f>
        <v>1.1428571428571428</v>
      </c>
      <c r="J45" s="49">
        <f>AVERAGE('17.10 Kyankwanzi-bukomero'!J45,'18.10 Kyankwanzi-bukomero'!J45,'19.10 Kyankwanzi-bukomero-24h'!J45,'20.10 Kyankwanzi-bukomero'!J45,'21.10 Kyankwanzi-bukomero-24h'!J45,'22.10 Kyankwanzi-bukomero'!J45,'23.10 kyankwanzi-bukomero'!J45)</f>
        <v>0.14285714285714285</v>
      </c>
      <c r="K45" s="49">
        <f>AVERAGE('17.10 Kyankwanzi-bukomero'!K45,'18.10 Kyankwanzi-bukomero'!K45,'19.10 Kyankwanzi-bukomero-24h'!K45,'20.10 Kyankwanzi-bukomero'!K45,'21.10 Kyankwanzi-bukomero-24h'!K45,'22.10 Kyankwanzi-bukomero'!K45,'23.10 kyankwanzi-bukomero'!K45)</f>
        <v>0.14285714285714285</v>
      </c>
      <c r="L45" s="49">
        <f>AVERAGE('17.10 Kyankwanzi-bukomero'!L45,'18.10 Kyankwanzi-bukomero'!L45,'19.10 Kyankwanzi-bukomero-24h'!L45,'20.10 Kyankwanzi-bukomero'!L45,'21.10 Kyankwanzi-bukomero-24h'!L45,'22.10 Kyankwanzi-bukomero'!L45,'23.10 kyankwanzi-bukomero'!L45)</f>
        <v>0</v>
      </c>
      <c r="M45" s="49">
        <f>AVERAGE('17.10 Kyankwanzi-bukomero'!M45,'18.10 Kyankwanzi-bukomero'!M45,'19.10 Kyankwanzi-bukomero-24h'!M45,'20.10 Kyankwanzi-bukomero'!M45,'21.10 Kyankwanzi-bukomero-24h'!M45,'22.10 Kyankwanzi-bukomero'!M45,'23.10 kyankwanzi-bukomero'!M45)</f>
        <v>11.857142857142858</v>
      </c>
      <c r="N45" s="49">
        <f>AVERAGE('17.10 Kyankwanzi-bukomero'!N45,'18.10 Kyankwanzi-bukomero'!N45,'19.10 Kyankwanzi-bukomero-24h'!N45,'20.10 Kyankwanzi-bukomero'!N45,'21.10 Kyankwanzi-bukomero-24h'!N45,'22.10 Kyankwanzi-bukomero'!N45,'23.10 kyankwanzi-bukomero'!N45)</f>
        <v>0</v>
      </c>
      <c r="O45" s="15">
        <f t="shared" si="0"/>
        <v>2.4285714285714284</v>
      </c>
      <c r="P45" s="15">
        <f t="shared" si="1"/>
        <v>14.285714285714286</v>
      </c>
    </row>
    <row r="46" spans="2:32" ht="23.1" customHeight="1" x14ac:dyDescent="0.25">
      <c r="B46" s="24" t="s">
        <v>73</v>
      </c>
      <c r="C46" s="49">
        <f>AVERAGE('17.10 Kyankwanzi-bukomero'!C46,'18.10 Kyankwanzi-bukomero'!C46,'19.10 Kyankwanzi-bukomero-24h'!C46,'20.10 Kyankwanzi-bukomero'!C46,'21.10 Kyankwanzi-bukomero-24h'!C46,'22.10 Kyankwanzi-bukomero'!C46,'23.10 kyankwanzi-bukomero'!C46)</f>
        <v>0.5714285714285714</v>
      </c>
      <c r="D46" s="49">
        <f>AVERAGE('17.10 Kyankwanzi-bukomero'!D46,'18.10 Kyankwanzi-bukomero'!D46,'19.10 Kyankwanzi-bukomero-24h'!D46,'20.10 Kyankwanzi-bukomero'!D46,'21.10 Kyankwanzi-bukomero-24h'!D46,'22.10 Kyankwanzi-bukomero'!D46,'23.10 kyankwanzi-bukomero'!D46)</f>
        <v>0.42857142857142855</v>
      </c>
      <c r="E46" s="49">
        <f>AVERAGE('17.10 Kyankwanzi-bukomero'!E46,'18.10 Kyankwanzi-bukomero'!E46,'19.10 Kyankwanzi-bukomero-24h'!E46,'20.10 Kyankwanzi-bukomero'!E46,'21.10 Kyankwanzi-bukomero-24h'!E46,'22.10 Kyankwanzi-bukomero'!E46,'23.10 kyankwanzi-bukomero'!E46)</f>
        <v>0.14285714285714285</v>
      </c>
      <c r="F46" s="49">
        <f>AVERAGE('17.10 Kyankwanzi-bukomero'!F46,'18.10 Kyankwanzi-bukomero'!F46,'19.10 Kyankwanzi-bukomero-24h'!F46,'20.10 Kyankwanzi-bukomero'!F46,'21.10 Kyankwanzi-bukomero-24h'!F46,'22.10 Kyankwanzi-bukomero'!F46,'23.10 kyankwanzi-bukomero'!F46)</f>
        <v>0.14285714285714285</v>
      </c>
      <c r="G46" s="49">
        <f>AVERAGE('17.10 Kyankwanzi-bukomero'!G46,'18.10 Kyankwanzi-bukomero'!G46,'19.10 Kyankwanzi-bukomero-24h'!G46,'20.10 Kyankwanzi-bukomero'!G46,'21.10 Kyankwanzi-bukomero-24h'!G46,'22.10 Kyankwanzi-bukomero'!G46,'23.10 kyankwanzi-bukomero'!G46)</f>
        <v>0</v>
      </c>
      <c r="H46" s="49">
        <f>AVERAGE('17.10 Kyankwanzi-bukomero'!H46,'18.10 Kyankwanzi-bukomero'!H46,'19.10 Kyankwanzi-bukomero-24h'!H46,'20.10 Kyankwanzi-bukomero'!H46,'21.10 Kyankwanzi-bukomero-24h'!H46,'22.10 Kyankwanzi-bukomero'!H46,'23.10 kyankwanzi-bukomero'!H46)</f>
        <v>0</v>
      </c>
      <c r="I46" s="49">
        <f>AVERAGE('17.10 Kyankwanzi-bukomero'!I46,'18.10 Kyankwanzi-bukomero'!I46,'19.10 Kyankwanzi-bukomero-24h'!I46,'20.10 Kyankwanzi-bukomero'!I46,'21.10 Kyankwanzi-bukomero-24h'!I46,'22.10 Kyankwanzi-bukomero'!I46,'23.10 kyankwanzi-bukomero'!I46)</f>
        <v>0.42857142857142855</v>
      </c>
      <c r="J46" s="49">
        <f>AVERAGE('17.10 Kyankwanzi-bukomero'!J46,'18.10 Kyankwanzi-bukomero'!J46,'19.10 Kyankwanzi-bukomero-24h'!J46,'20.10 Kyankwanzi-bukomero'!J46,'21.10 Kyankwanzi-bukomero-24h'!J46,'22.10 Kyankwanzi-bukomero'!J46,'23.10 kyankwanzi-bukomero'!J46)</f>
        <v>0.14285714285714285</v>
      </c>
      <c r="K46" s="49">
        <f>AVERAGE('17.10 Kyankwanzi-bukomero'!K46,'18.10 Kyankwanzi-bukomero'!K46,'19.10 Kyankwanzi-bukomero-24h'!K46,'20.10 Kyankwanzi-bukomero'!K46,'21.10 Kyankwanzi-bukomero-24h'!K46,'22.10 Kyankwanzi-bukomero'!K46,'23.10 kyankwanzi-bukomero'!K46)</f>
        <v>0</v>
      </c>
      <c r="L46" s="49">
        <f>AVERAGE('17.10 Kyankwanzi-bukomero'!L46,'18.10 Kyankwanzi-bukomero'!L46,'19.10 Kyankwanzi-bukomero-24h'!L46,'20.10 Kyankwanzi-bukomero'!L46,'21.10 Kyankwanzi-bukomero-24h'!L46,'22.10 Kyankwanzi-bukomero'!L46,'23.10 kyankwanzi-bukomero'!L46)</f>
        <v>0</v>
      </c>
      <c r="M46" s="49">
        <f>AVERAGE('17.10 Kyankwanzi-bukomero'!M46,'18.10 Kyankwanzi-bukomero'!M46,'19.10 Kyankwanzi-bukomero-24h'!M46,'20.10 Kyankwanzi-bukomero'!M46,'21.10 Kyankwanzi-bukomero-24h'!M46,'22.10 Kyankwanzi-bukomero'!M46,'23.10 kyankwanzi-bukomero'!M46)</f>
        <v>15.571428571428571</v>
      </c>
      <c r="N46" s="49">
        <f>AVERAGE('17.10 Kyankwanzi-bukomero'!N46,'18.10 Kyankwanzi-bukomero'!N46,'19.10 Kyankwanzi-bukomero-24h'!N46,'20.10 Kyankwanzi-bukomero'!N46,'21.10 Kyankwanzi-bukomero-24h'!N46,'22.10 Kyankwanzi-bukomero'!N46,'23.10 kyankwanzi-bukomero'!N46)</f>
        <v>0</v>
      </c>
      <c r="O46" s="15">
        <f t="shared" si="0"/>
        <v>1.857142857142857</v>
      </c>
      <c r="P46" s="15">
        <f t="shared" si="1"/>
        <v>17.428571428571427</v>
      </c>
      <c r="R46" s="8"/>
      <c r="T46"/>
    </row>
    <row r="47" spans="2:32" ht="23.1" customHeight="1" x14ac:dyDescent="0.25">
      <c r="B47" s="24" t="s">
        <v>74</v>
      </c>
      <c r="C47" s="49">
        <f>AVERAGE('17.10 Kyankwanzi-bukomero'!C47,'18.10 Kyankwanzi-bukomero'!C47,'19.10 Kyankwanzi-bukomero-24h'!C47,'20.10 Kyankwanzi-bukomero'!C47,'21.10 Kyankwanzi-bukomero-24h'!C47,'22.10 Kyankwanzi-bukomero'!C47,'23.10 kyankwanzi-bukomero'!C47)</f>
        <v>0.42857142857142855</v>
      </c>
      <c r="D47" s="49">
        <f>AVERAGE('17.10 Kyankwanzi-bukomero'!D47,'18.10 Kyankwanzi-bukomero'!D47,'19.10 Kyankwanzi-bukomero-24h'!D47,'20.10 Kyankwanzi-bukomero'!D47,'21.10 Kyankwanzi-bukomero-24h'!D47,'22.10 Kyankwanzi-bukomero'!D47,'23.10 kyankwanzi-bukomero'!D47)</f>
        <v>0</v>
      </c>
      <c r="E47" s="49">
        <f>AVERAGE('17.10 Kyankwanzi-bukomero'!E47,'18.10 Kyankwanzi-bukomero'!E47,'19.10 Kyankwanzi-bukomero-24h'!E47,'20.10 Kyankwanzi-bukomero'!E47,'21.10 Kyankwanzi-bukomero-24h'!E47,'22.10 Kyankwanzi-bukomero'!E47,'23.10 kyankwanzi-bukomero'!E47)</f>
        <v>0.2857142857142857</v>
      </c>
      <c r="F47" s="49">
        <f>AVERAGE('17.10 Kyankwanzi-bukomero'!F47,'18.10 Kyankwanzi-bukomero'!F47,'19.10 Kyankwanzi-bukomero-24h'!F47,'20.10 Kyankwanzi-bukomero'!F47,'21.10 Kyankwanzi-bukomero-24h'!F47,'22.10 Kyankwanzi-bukomero'!F47,'23.10 kyankwanzi-bukomero'!F47)</f>
        <v>0</v>
      </c>
      <c r="G47" s="49">
        <f>AVERAGE('17.10 Kyankwanzi-bukomero'!G47,'18.10 Kyankwanzi-bukomero'!G47,'19.10 Kyankwanzi-bukomero-24h'!G47,'20.10 Kyankwanzi-bukomero'!G47,'21.10 Kyankwanzi-bukomero-24h'!G47,'22.10 Kyankwanzi-bukomero'!G47,'23.10 kyankwanzi-bukomero'!G47)</f>
        <v>0</v>
      </c>
      <c r="H47" s="49">
        <f>AVERAGE('17.10 Kyankwanzi-bukomero'!H47,'18.10 Kyankwanzi-bukomero'!H47,'19.10 Kyankwanzi-bukomero-24h'!H47,'20.10 Kyankwanzi-bukomero'!H47,'21.10 Kyankwanzi-bukomero-24h'!H47,'22.10 Kyankwanzi-bukomero'!H47,'23.10 kyankwanzi-bukomero'!H47)</f>
        <v>0</v>
      </c>
      <c r="I47" s="49">
        <f>AVERAGE('17.10 Kyankwanzi-bukomero'!I47,'18.10 Kyankwanzi-bukomero'!I47,'19.10 Kyankwanzi-bukomero-24h'!I47,'20.10 Kyankwanzi-bukomero'!I47,'21.10 Kyankwanzi-bukomero-24h'!I47,'22.10 Kyankwanzi-bukomero'!I47,'23.10 kyankwanzi-bukomero'!I47)</f>
        <v>0.7142857142857143</v>
      </c>
      <c r="J47" s="49">
        <f>AVERAGE('17.10 Kyankwanzi-bukomero'!J47,'18.10 Kyankwanzi-bukomero'!J47,'19.10 Kyankwanzi-bukomero-24h'!J47,'20.10 Kyankwanzi-bukomero'!J47,'21.10 Kyankwanzi-bukomero-24h'!J47,'22.10 Kyankwanzi-bukomero'!J47,'23.10 kyankwanzi-bukomero'!J47)</f>
        <v>0</v>
      </c>
      <c r="K47" s="49">
        <f>AVERAGE('17.10 Kyankwanzi-bukomero'!K47,'18.10 Kyankwanzi-bukomero'!K47,'19.10 Kyankwanzi-bukomero-24h'!K47,'20.10 Kyankwanzi-bukomero'!K47,'21.10 Kyankwanzi-bukomero-24h'!K47,'22.10 Kyankwanzi-bukomero'!K47,'23.10 kyankwanzi-bukomero'!K47)</f>
        <v>0</v>
      </c>
      <c r="L47" s="49">
        <f>AVERAGE('17.10 Kyankwanzi-bukomero'!L47,'18.10 Kyankwanzi-bukomero'!L47,'19.10 Kyankwanzi-bukomero-24h'!L47,'20.10 Kyankwanzi-bukomero'!L47,'21.10 Kyankwanzi-bukomero-24h'!L47,'22.10 Kyankwanzi-bukomero'!L47,'23.10 kyankwanzi-bukomero'!L47)</f>
        <v>0</v>
      </c>
      <c r="M47" s="49">
        <f>AVERAGE('17.10 Kyankwanzi-bukomero'!M47,'18.10 Kyankwanzi-bukomero'!M47,'19.10 Kyankwanzi-bukomero-24h'!M47,'20.10 Kyankwanzi-bukomero'!M47,'21.10 Kyankwanzi-bukomero-24h'!M47,'22.10 Kyankwanzi-bukomero'!M47,'23.10 kyankwanzi-bukomero'!M47)</f>
        <v>14.428571428571429</v>
      </c>
      <c r="N47" s="49">
        <f>AVERAGE('17.10 Kyankwanzi-bukomero'!N47,'18.10 Kyankwanzi-bukomero'!N47,'19.10 Kyankwanzi-bukomero-24h'!N47,'20.10 Kyankwanzi-bukomero'!N47,'21.10 Kyankwanzi-bukomero-24h'!N47,'22.10 Kyankwanzi-bukomero'!N47,'23.10 kyankwanzi-bukomero'!N47)</f>
        <v>0</v>
      </c>
      <c r="O47" s="15">
        <f t="shared" si="0"/>
        <v>1.4285714285714284</v>
      </c>
      <c r="P47" s="15">
        <f t="shared" si="1"/>
        <v>15.857142857142858</v>
      </c>
      <c r="R47" s="8"/>
      <c r="T47"/>
    </row>
    <row r="48" spans="2:32" ht="23.1" customHeight="1" x14ac:dyDescent="0.25">
      <c r="B48" s="24" t="s">
        <v>75</v>
      </c>
      <c r="C48" s="49">
        <f>AVERAGE('17.10 Kyankwanzi-bukomero'!C48,'18.10 Kyankwanzi-bukomero'!C48,'19.10 Kyankwanzi-bukomero-24h'!C48,'20.10 Kyankwanzi-bukomero'!C48,'21.10 Kyankwanzi-bukomero-24h'!C48,'22.10 Kyankwanzi-bukomero'!C48,'23.10 kyankwanzi-bukomero'!C48)</f>
        <v>0.5714285714285714</v>
      </c>
      <c r="D48" s="49">
        <f>AVERAGE('17.10 Kyankwanzi-bukomero'!D48,'18.10 Kyankwanzi-bukomero'!D48,'19.10 Kyankwanzi-bukomero-24h'!D48,'20.10 Kyankwanzi-bukomero'!D48,'21.10 Kyankwanzi-bukomero-24h'!D48,'22.10 Kyankwanzi-bukomero'!D48,'23.10 kyankwanzi-bukomero'!D48)</f>
        <v>0.42857142857142855</v>
      </c>
      <c r="E48" s="49">
        <f>AVERAGE('17.10 Kyankwanzi-bukomero'!E48,'18.10 Kyankwanzi-bukomero'!E48,'19.10 Kyankwanzi-bukomero-24h'!E48,'20.10 Kyankwanzi-bukomero'!E48,'21.10 Kyankwanzi-bukomero-24h'!E48,'22.10 Kyankwanzi-bukomero'!E48,'23.10 kyankwanzi-bukomero'!E48)</f>
        <v>0.42857142857142855</v>
      </c>
      <c r="F48" s="49">
        <f>AVERAGE('17.10 Kyankwanzi-bukomero'!F48,'18.10 Kyankwanzi-bukomero'!F48,'19.10 Kyankwanzi-bukomero-24h'!F48,'20.10 Kyankwanzi-bukomero'!F48,'21.10 Kyankwanzi-bukomero-24h'!F48,'22.10 Kyankwanzi-bukomero'!F48,'23.10 kyankwanzi-bukomero'!F48)</f>
        <v>0.14285714285714285</v>
      </c>
      <c r="G48" s="49">
        <f>AVERAGE('17.10 Kyankwanzi-bukomero'!G48,'18.10 Kyankwanzi-bukomero'!G48,'19.10 Kyankwanzi-bukomero-24h'!G48,'20.10 Kyankwanzi-bukomero'!G48,'21.10 Kyankwanzi-bukomero-24h'!G48,'22.10 Kyankwanzi-bukomero'!G48,'23.10 kyankwanzi-bukomero'!G48)</f>
        <v>0</v>
      </c>
      <c r="H48" s="49">
        <f>AVERAGE('17.10 Kyankwanzi-bukomero'!H48,'18.10 Kyankwanzi-bukomero'!H48,'19.10 Kyankwanzi-bukomero-24h'!H48,'20.10 Kyankwanzi-bukomero'!H48,'21.10 Kyankwanzi-bukomero-24h'!H48,'22.10 Kyankwanzi-bukomero'!H48,'23.10 kyankwanzi-bukomero'!H48)</f>
        <v>0</v>
      </c>
      <c r="I48" s="49">
        <f>AVERAGE('17.10 Kyankwanzi-bukomero'!I48,'18.10 Kyankwanzi-bukomero'!I48,'19.10 Kyankwanzi-bukomero-24h'!I48,'20.10 Kyankwanzi-bukomero'!I48,'21.10 Kyankwanzi-bukomero-24h'!I48,'22.10 Kyankwanzi-bukomero'!I48,'23.10 kyankwanzi-bukomero'!I48)</f>
        <v>1.5714285714285714</v>
      </c>
      <c r="J48" s="49">
        <f>AVERAGE('17.10 Kyankwanzi-bukomero'!J48,'18.10 Kyankwanzi-bukomero'!J48,'19.10 Kyankwanzi-bukomero-24h'!J48,'20.10 Kyankwanzi-bukomero'!J48,'21.10 Kyankwanzi-bukomero-24h'!J48,'22.10 Kyankwanzi-bukomero'!J48,'23.10 kyankwanzi-bukomero'!J48)</f>
        <v>0</v>
      </c>
      <c r="K48" s="49">
        <f>AVERAGE('17.10 Kyankwanzi-bukomero'!K48,'18.10 Kyankwanzi-bukomero'!K48,'19.10 Kyankwanzi-bukomero-24h'!K48,'20.10 Kyankwanzi-bukomero'!K48,'21.10 Kyankwanzi-bukomero-24h'!K48,'22.10 Kyankwanzi-bukomero'!K48,'23.10 kyankwanzi-bukomero'!K48)</f>
        <v>0</v>
      </c>
      <c r="L48" s="49">
        <f>AVERAGE('17.10 Kyankwanzi-bukomero'!L48,'18.10 Kyankwanzi-bukomero'!L48,'19.10 Kyankwanzi-bukomero-24h'!L48,'20.10 Kyankwanzi-bukomero'!L48,'21.10 Kyankwanzi-bukomero-24h'!L48,'22.10 Kyankwanzi-bukomero'!L48,'23.10 kyankwanzi-bukomero'!L48)</f>
        <v>0</v>
      </c>
      <c r="M48" s="49">
        <f>AVERAGE('17.10 Kyankwanzi-bukomero'!M48,'18.10 Kyankwanzi-bukomero'!M48,'19.10 Kyankwanzi-bukomero-24h'!M48,'20.10 Kyankwanzi-bukomero'!M48,'21.10 Kyankwanzi-bukomero-24h'!M48,'22.10 Kyankwanzi-bukomero'!M48,'23.10 kyankwanzi-bukomero'!M48)</f>
        <v>14.857142857142858</v>
      </c>
      <c r="N48" s="49">
        <f>AVERAGE('17.10 Kyankwanzi-bukomero'!N48,'18.10 Kyankwanzi-bukomero'!N48,'19.10 Kyankwanzi-bukomero-24h'!N48,'20.10 Kyankwanzi-bukomero'!N48,'21.10 Kyankwanzi-bukomero-24h'!N48,'22.10 Kyankwanzi-bukomero'!N48,'23.10 kyankwanzi-bukomero'!N48)</f>
        <v>0</v>
      </c>
      <c r="O48" s="15">
        <f t="shared" si="0"/>
        <v>3.1428571428571428</v>
      </c>
      <c r="P48" s="15">
        <f t="shared" si="1"/>
        <v>18</v>
      </c>
      <c r="R48" s="8"/>
      <c r="T48"/>
    </row>
    <row r="49" spans="2:20" ht="23.1" customHeight="1" x14ac:dyDescent="0.25">
      <c r="B49" s="23" t="s">
        <v>76</v>
      </c>
      <c r="C49" s="49">
        <f>AVERAGE('17.10 Kyankwanzi-bukomero'!C49,'18.10 Kyankwanzi-bukomero'!C49,'19.10 Kyankwanzi-bukomero-24h'!C49,'20.10 Kyankwanzi-bukomero'!C49,'21.10 Kyankwanzi-bukomero-24h'!C49,'22.10 Kyankwanzi-bukomero'!C49,'23.10 kyankwanzi-bukomero'!C49)</f>
        <v>0.42857142857142855</v>
      </c>
      <c r="D49" s="49">
        <f>AVERAGE('17.10 Kyankwanzi-bukomero'!D49,'18.10 Kyankwanzi-bukomero'!D49,'19.10 Kyankwanzi-bukomero-24h'!D49,'20.10 Kyankwanzi-bukomero'!D49,'21.10 Kyankwanzi-bukomero-24h'!D49,'22.10 Kyankwanzi-bukomero'!D49,'23.10 kyankwanzi-bukomero'!D49)</f>
        <v>0.14285714285714285</v>
      </c>
      <c r="E49" s="49">
        <f>AVERAGE('17.10 Kyankwanzi-bukomero'!E49,'18.10 Kyankwanzi-bukomero'!E49,'19.10 Kyankwanzi-bukomero-24h'!E49,'20.10 Kyankwanzi-bukomero'!E49,'21.10 Kyankwanzi-bukomero-24h'!E49,'22.10 Kyankwanzi-bukomero'!E49,'23.10 kyankwanzi-bukomero'!E49)</f>
        <v>0</v>
      </c>
      <c r="F49" s="49">
        <f>AVERAGE('17.10 Kyankwanzi-bukomero'!F49,'18.10 Kyankwanzi-bukomero'!F49,'19.10 Kyankwanzi-bukomero-24h'!F49,'20.10 Kyankwanzi-bukomero'!F49,'21.10 Kyankwanzi-bukomero-24h'!F49,'22.10 Kyankwanzi-bukomero'!F49,'23.10 kyankwanzi-bukomero'!F49)</f>
        <v>0</v>
      </c>
      <c r="G49" s="49">
        <f>AVERAGE('17.10 Kyankwanzi-bukomero'!G49,'18.10 Kyankwanzi-bukomero'!G49,'19.10 Kyankwanzi-bukomero-24h'!G49,'20.10 Kyankwanzi-bukomero'!G49,'21.10 Kyankwanzi-bukomero-24h'!G49,'22.10 Kyankwanzi-bukomero'!G49,'23.10 kyankwanzi-bukomero'!G49)</f>
        <v>0</v>
      </c>
      <c r="H49" s="49">
        <f>AVERAGE('17.10 Kyankwanzi-bukomero'!H49,'18.10 Kyankwanzi-bukomero'!H49,'19.10 Kyankwanzi-bukomero-24h'!H49,'20.10 Kyankwanzi-bukomero'!H49,'21.10 Kyankwanzi-bukomero-24h'!H49,'22.10 Kyankwanzi-bukomero'!H49,'23.10 kyankwanzi-bukomero'!H49)</f>
        <v>0</v>
      </c>
      <c r="I49" s="49">
        <f>AVERAGE('17.10 Kyankwanzi-bukomero'!I49,'18.10 Kyankwanzi-bukomero'!I49,'19.10 Kyankwanzi-bukomero-24h'!I49,'20.10 Kyankwanzi-bukomero'!I49,'21.10 Kyankwanzi-bukomero-24h'!I49,'22.10 Kyankwanzi-bukomero'!I49,'23.10 kyankwanzi-bukomero'!I49)</f>
        <v>1.1428571428571428</v>
      </c>
      <c r="J49" s="49">
        <f>AVERAGE('17.10 Kyankwanzi-bukomero'!J49,'18.10 Kyankwanzi-bukomero'!J49,'19.10 Kyankwanzi-bukomero-24h'!J49,'20.10 Kyankwanzi-bukomero'!J49,'21.10 Kyankwanzi-bukomero-24h'!J49,'22.10 Kyankwanzi-bukomero'!J49,'23.10 kyankwanzi-bukomero'!J49)</f>
        <v>0</v>
      </c>
      <c r="K49" s="49">
        <f>AVERAGE('17.10 Kyankwanzi-bukomero'!K49,'18.10 Kyankwanzi-bukomero'!K49,'19.10 Kyankwanzi-bukomero-24h'!K49,'20.10 Kyankwanzi-bukomero'!K49,'21.10 Kyankwanzi-bukomero-24h'!K49,'22.10 Kyankwanzi-bukomero'!K49,'23.10 kyankwanzi-bukomero'!K49)</f>
        <v>0</v>
      </c>
      <c r="L49" s="49">
        <f>AVERAGE('17.10 Kyankwanzi-bukomero'!L49,'18.10 Kyankwanzi-bukomero'!L49,'19.10 Kyankwanzi-bukomero-24h'!L49,'20.10 Kyankwanzi-bukomero'!L49,'21.10 Kyankwanzi-bukomero-24h'!L49,'22.10 Kyankwanzi-bukomero'!L49,'23.10 kyankwanzi-bukomero'!L49)</f>
        <v>0</v>
      </c>
      <c r="M49" s="49">
        <f>AVERAGE('17.10 Kyankwanzi-bukomero'!M49,'18.10 Kyankwanzi-bukomero'!M49,'19.10 Kyankwanzi-bukomero-24h'!M49,'20.10 Kyankwanzi-bukomero'!M49,'21.10 Kyankwanzi-bukomero-24h'!M49,'22.10 Kyankwanzi-bukomero'!M49,'23.10 kyankwanzi-bukomero'!M49)</f>
        <v>12.285714285714286</v>
      </c>
      <c r="N49" s="49">
        <f>AVERAGE('17.10 Kyankwanzi-bukomero'!N49,'18.10 Kyankwanzi-bukomero'!N49,'19.10 Kyankwanzi-bukomero-24h'!N49,'20.10 Kyankwanzi-bukomero'!N49,'21.10 Kyankwanzi-bukomero-24h'!N49,'22.10 Kyankwanzi-bukomero'!N49,'23.10 kyankwanzi-bukomero'!N49)</f>
        <v>0</v>
      </c>
      <c r="O49" s="15">
        <f t="shared" si="0"/>
        <v>1.7142857142857142</v>
      </c>
      <c r="P49" s="15">
        <f t="shared" si="1"/>
        <v>14</v>
      </c>
      <c r="R49" s="8"/>
      <c r="T49"/>
    </row>
    <row r="50" spans="2:20" ht="23.1" customHeight="1" x14ac:dyDescent="0.25">
      <c r="B50" s="24" t="s">
        <v>77</v>
      </c>
      <c r="C50" s="49">
        <f>AVERAGE('17.10 Kyankwanzi-bukomero'!C50,'18.10 Kyankwanzi-bukomero'!C50,'19.10 Kyankwanzi-bukomero-24h'!C50,'20.10 Kyankwanzi-bukomero'!C50,'21.10 Kyankwanzi-bukomero-24h'!C50,'22.10 Kyankwanzi-bukomero'!C50,'23.10 kyankwanzi-bukomero'!C50)</f>
        <v>0.42857142857142855</v>
      </c>
      <c r="D50" s="49">
        <f>AVERAGE('17.10 Kyankwanzi-bukomero'!D50,'18.10 Kyankwanzi-bukomero'!D50,'19.10 Kyankwanzi-bukomero-24h'!D50,'20.10 Kyankwanzi-bukomero'!D50,'21.10 Kyankwanzi-bukomero-24h'!D50,'22.10 Kyankwanzi-bukomero'!D50,'23.10 kyankwanzi-bukomero'!D50)</f>
        <v>0.14285714285714285</v>
      </c>
      <c r="E50" s="49">
        <f>AVERAGE('17.10 Kyankwanzi-bukomero'!E50,'18.10 Kyankwanzi-bukomero'!E50,'19.10 Kyankwanzi-bukomero-24h'!E50,'20.10 Kyankwanzi-bukomero'!E50,'21.10 Kyankwanzi-bukomero-24h'!E50,'22.10 Kyankwanzi-bukomero'!E50,'23.10 kyankwanzi-bukomero'!E50)</f>
        <v>0</v>
      </c>
      <c r="F50" s="49">
        <f>AVERAGE('17.10 Kyankwanzi-bukomero'!F50,'18.10 Kyankwanzi-bukomero'!F50,'19.10 Kyankwanzi-bukomero-24h'!F50,'20.10 Kyankwanzi-bukomero'!F50,'21.10 Kyankwanzi-bukomero-24h'!F50,'22.10 Kyankwanzi-bukomero'!F50,'23.10 kyankwanzi-bukomero'!F50)</f>
        <v>0.2857142857142857</v>
      </c>
      <c r="G50" s="49">
        <f>AVERAGE('17.10 Kyankwanzi-bukomero'!G50,'18.10 Kyankwanzi-bukomero'!G50,'19.10 Kyankwanzi-bukomero-24h'!G50,'20.10 Kyankwanzi-bukomero'!G50,'21.10 Kyankwanzi-bukomero-24h'!G50,'22.10 Kyankwanzi-bukomero'!G50,'23.10 kyankwanzi-bukomero'!G50)</f>
        <v>0</v>
      </c>
      <c r="H50" s="49">
        <f>AVERAGE('17.10 Kyankwanzi-bukomero'!H50,'18.10 Kyankwanzi-bukomero'!H50,'19.10 Kyankwanzi-bukomero-24h'!H50,'20.10 Kyankwanzi-bukomero'!H50,'21.10 Kyankwanzi-bukomero-24h'!H50,'22.10 Kyankwanzi-bukomero'!H50,'23.10 kyankwanzi-bukomero'!H50)</f>
        <v>0</v>
      </c>
      <c r="I50" s="49">
        <f>AVERAGE('17.10 Kyankwanzi-bukomero'!I50,'18.10 Kyankwanzi-bukomero'!I50,'19.10 Kyankwanzi-bukomero-24h'!I50,'20.10 Kyankwanzi-bukomero'!I50,'21.10 Kyankwanzi-bukomero-24h'!I50,'22.10 Kyankwanzi-bukomero'!I50,'23.10 kyankwanzi-bukomero'!I50)</f>
        <v>1</v>
      </c>
      <c r="J50" s="49">
        <f>AVERAGE('17.10 Kyankwanzi-bukomero'!J50,'18.10 Kyankwanzi-bukomero'!J50,'19.10 Kyankwanzi-bukomero-24h'!J50,'20.10 Kyankwanzi-bukomero'!J50,'21.10 Kyankwanzi-bukomero-24h'!J50,'22.10 Kyankwanzi-bukomero'!J50,'23.10 kyankwanzi-bukomero'!J50)</f>
        <v>0.14285714285714285</v>
      </c>
      <c r="K50" s="49">
        <f>AVERAGE('17.10 Kyankwanzi-bukomero'!K50,'18.10 Kyankwanzi-bukomero'!K50,'19.10 Kyankwanzi-bukomero-24h'!K50,'20.10 Kyankwanzi-bukomero'!K50,'21.10 Kyankwanzi-bukomero-24h'!K50,'22.10 Kyankwanzi-bukomero'!K50,'23.10 kyankwanzi-bukomero'!K50)</f>
        <v>0</v>
      </c>
      <c r="L50" s="49">
        <f>AVERAGE('17.10 Kyankwanzi-bukomero'!L50,'18.10 Kyankwanzi-bukomero'!L50,'19.10 Kyankwanzi-bukomero-24h'!L50,'20.10 Kyankwanzi-bukomero'!L50,'21.10 Kyankwanzi-bukomero-24h'!L50,'22.10 Kyankwanzi-bukomero'!L50,'23.10 kyankwanzi-bukomero'!L50)</f>
        <v>0.14285714285714285</v>
      </c>
      <c r="M50" s="49">
        <f>AVERAGE('17.10 Kyankwanzi-bukomero'!M50,'18.10 Kyankwanzi-bukomero'!M50,'19.10 Kyankwanzi-bukomero-24h'!M50,'20.10 Kyankwanzi-bukomero'!M50,'21.10 Kyankwanzi-bukomero-24h'!M50,'22.10 Kyankwanzi-bukomero'!M50,'23.10 kyankwanzi-bukomero'!M50)</f>
        <v>14.571428571428571</v>
      </c>
      <c r="N50" s="49">
        <f>AVERAGE('17.10 Kyankwanzi-bukomero'!N50,'18.10 Kyankwanzi-bukomero'!N50,'19.10 Kyankwanzi-bukomero-24h'!N50,'20.10 Kyankwanzi-bukomero'!N50,'21.10 Kyankwanzi-bukomero-24h'!N50,'22.10 Kyankwanzi-bukomero'!N50,'23.10 kyankwanzi-bukomero'!N50)</f>
        <v>0</v>
      </c>
      <c r="O50" s="15">
        <f t="shared" si="0"/>
        <v>2.1428571428571428</v>
      </c>
      <c r="P50" s="15">
        <f t="shared" si="1"/>
        <v>16.714285714285715</v>
      </c>
      <c r="R50" s="8"/>
      <c r="T50"/>
    </row>
    <row r="51" spans="2:20" ht="23.1" customHeight="1" x14ac:dyDescent="0.25">
      <c r="B51" s="24" t="s">
        <v>78</v>
      </c>
      <c r="C51" s="49">
        <f>AVERAGE('17.10 Kyankwanzi-bukomero'!C51,'18.10 Kyankwanzi-bukomero'!C51,'19.10 Kyankwanzi-bukomero-24h'!C51,'20.10 Kyankwanzi-bukomero'!C51,'21.10 Kyankwanzi-bukomero-24h'!C51,'22.10 Kyankwanzi-bukomero'!C51,'23.10 kyankwanzi-bukomero'!C51)</f>
        <v>0.42857142857142855</v>
      </c>
      <c r="D51" s="49">
        <f>AVERAGE('17.10 Kyankwanzi-bukomero'!D51,'18.10 Kyankwanzi-bukomero'!D51,'19.10 Kyankwanzi-bukomero-24h'!D51,'20.10 Kyankwanzi-bukomero'!D51,'21.10 Kyankwanzi-bukomero-24h'!D51,'22.10 Kyankwanzi-bukomero'!D51,'23.10 kyankwanzi-bukomero'!D51)</f>
        <v>0.2857142857142857</v>
      </c>
      <c r="E51" s="49">
        <f>AVERAGE('17.10 Kyankwanzi-bukomero'!E51,'18.10 Kyankwanzi-bukomero'!E51,'19.10 Kyankwanzi-bukomero-24h'!E51,'20.10 Kyankwanzi-bukomero'!E51,'21.10 Kyankwanzi-bukomero-24h'!E51,'22.10 Kyankwanzi-bukomero'!E51,'23.10 kyankwanzi-bukomero'!E51)</f>
        <v>0.14285714285714285</v>
      </c>
      <c r="F51" s="49">
        <f>AVERAGE('17.10 Kyankwanzi-bukomero'!F51,'18.10 Kyankwanzi-bukomero'!F51,'19.10 Kyankwanzi-bukomero-24h'!F51,'20.10 Kyankwanzi-bukomero'!F51,'21.10 Kyankwanzi-bukomero-24h'!F51,'22.10 Kyankwanzi-bukomero'!F51,'23.10 kyankwanzi-bukomero'!F51)</f>
        <v>0.14285714285714285</v>
      </c>
      <c r="G51" s="49">
        <f>AVERAGE('17.10 Kyankwanzi-bukomero'!G51,'18.10 Kyankwanzi-bukomero'!G51,'19.10 Kyankwanzi-bukomero-24h'!G51,'20.10 Kyankwanzi-bukomero'!G51,'21.10 Kyankwanzi-bukomero-24h'!G51,'22.10 Kyankwanzi-bukomero'!G51,'23.10 kyankwanzi-bukomero'!G51)</f>
        <v>0</v>
      </c>
      <c r="H51" s="49">
        <f>AVERAGE('17.10 Kyankwanzi-bukomero'!H51,'18.10 Kyankwanzi-bukomero'!H51,'19.10 Kyankwanzi-bukomero-24h'!H51,'20.10 Kyankwanzi-bukomero'!H51,'21.10 Kyankwanzi-bukomero-24h'!H51,'22.10 Kyankwanzi-bukomero'!H51,'23.10 kyankwanzi-bukomero'!H51)</f>
        <v>0</v>
      </c>
      <c r="I51" s="49">
        <f>AVERAGE('17.10 Kyankwanzi-bukomero'!I51,'18.10 Kyankwanzi-bukomero'!I51,'19.10 Kyankwanzi-bukomero-24h'!I51,'20.10 Kyankwanzi-bukomero'!I51,'21.10 Kyankwanzi-bukomero-24h'!I51,'22.10 Kyankwanzi-bukomero'!I51,'23.10 kyankwanzi-bukomero'!I51)</f>
        <v>0.8571428571428571</v>
      </c>
      <c r="J51" s="49">
        <f>AVERAGE('17.10 Kyankwanzi-bukomero'!J51,'18.10 Kyankwanzi-bukomero'!J51,'19.10 Kyankwanzi-bukomero-24h'!J51,'20.10 Kyankwanzi-bukomero'!J51,'21.10 Kyankwanzi-bukomero-24h'!J51,'22.10 Kyankwanzi-bukomero'!J51,'23.10 kyankwanzi-bukomero'!J51)</f>
        <v>0</v>
      </c>
      <c r="K51" s="49">
        <f>AVERAGE('17.10 Kyankwanzi-bukomero'!K51,'18.10 Kyankwanzi-bukomero'!K51,'19.10 Kyankwanzi-bukomero-24h'!K51,'20.10 Kyankwanzi-bukomero'!K51,'21.10 Kyankwanzi-bukomero-24h'!K51,'22.10 Kyankwanzi-bukomero'!K51,'23.10 kyankwanzi-bukomero'!K51)</f>
        <v>0</v>
      </c>
      <c r="L51" s="49">
        <f>AVERAGE('17.10 Kyankwanzi-bukomero'!L51,'18.10 Kyankwanzi-bukomero'!L51,'19.10 Kyankwanzi-bukomero-24h'!L51,'20.10 Kyankwanzi-bukomero'!L51,'21.10 Kyankwanzi-bukomero-24h'!L51,'22.10 Kyankwanzi-bukomero'!L51,'23.10 kyankwanzi-bukomero'!L51)</f>
        <v>0</v>
      </c>
      <c r="M51" s="49">
        <f>AVERAGE('17.10 Kyankwanzi-bukomero'!M51,'18.10 Kyankwanzi-bukomero'!M51,'19.10 Kyankwanzi-bukomero-24h'!M51,'20.10 Kyankwanzi-bukomero'!M51,'21.10 Kyankwanzi-bukomero-24h'!M51,'22.10 Kyankwanzi-bukomero'!M51,'23.10 kyankwanzi-bukomero'!M51)</f>
        <v>12.857142857142858</v>
      </c>
      <c r="N51" s="49">
        <f>AVERAGE('17.10 Kyankwanzi-bukomero'!N51,'18.10 Kyankwanzi-bukomero'!N51,'19.10 Kyankwanzi-bukomero-24h'!N51,'20.10 Kyankwanzi-bukomero'!N51,'21.10 Kyankwanzi-bukomero-24h'!N51,'22.10 Kyankwanzi-bukomero'!N51,'23.10 kyankwanzi-bukomero'!N51)</f>
        <v>0</v>
      </c>
      <c r="O51" s="15">
        <f t="shared" si="0"/>
        <v>1.8571428571428568</v>
      </c>
      <c r="P51" s="15">
        <f t="shared" si="1"/>
        <v>14.714285714285715</v>
      </c>
      <c r="R51" s="8"/>
      <c r="T51"/>
    </row>
    <row r="52" spans="2:20" ht="23.1" customHeight="1" x14ac:dyDescent="0.25">
      <c r="B52" s="24" t="s">
        <v>79</v>
      </c>
      <c r="C52" s="49">
        <f>AVERAGE('17.10 Kyankwanzi-bukomero'!C52,'18.10 Kyankwanzi-bukomero'!C52,'19.10 Kyankwanzi-bukomero-24h'!C52,'20.10 Kyankwanzi-bukomero'!C52,'21.10 Kyankwanzi-bukomero-24h'!C52,'22.10 Kyankwanzi-bukomero'!C52,'23.10 kyankwanzi-bukomero'!C52)</f>
        <v>0.14285714285714285</v>
      </c>
      <c r="D52" s="49">
        <f>AVERAGE('17.10 Kyankwanzi-bukomero'!D52,'18.10 Kyankwanzi-bukomero'!D52,'19.10 Kyankwanzi-bukomero-24h'!D52,'20.10 Kyankwanzi-bukomero'!D52,'21.10 Kyankwanzi-bukomero-24h'!D52,'22.10 Kyankwanzi-bukomero'!D52,'23.10 kyankwanzi-bukomero'!D52)</f>
        <v>0.2857142857142857</v>
      </c>
      <c r="E52" s="49">
        <f>AVERAGE('17.10 Kyankwanzi-bukomero'!E52,'18.10 Kyankwanzi-bukomero'!E52,'19.10 Kyankwanzi-bukomero-24h'!E52,'20.10 Kyankwanzi-bukomero'!E52,'21.10 Kyankwanzi-bukomero-24h'!E52,'22.10 Kyankwanzi-bukomero'!E52,'23.10 kyankwanzi-bukomero'!E52)</f>
        <v>0.14285714285714285</v>
      </c>
      <c r="F52" s="49">
        <f>AVERAGE('17.10 Kyankwanzi-bukomero'!F52,'18.10 Kyankwanzi-bukomero'!F52,'19.10 Kyankwanzi-bukomero-24h'!F52,'20.10 Kyankwanzi-bukomero'!F52,'21.10 Kyankwanzi-bukomero-24h'!F52,'22.10 Kyankwanzi-bukomero'!F52,'23.10 kyankwanzi-bukomero'!F52)</f>
        <v>0.14285714285714285</v>
      </c>
      <c r="G52" s="49">
        <f>AVERAGE('17.10 Kyankwanzi-bukomero'!G52,'18.10 Kyankwanzi-bukomero'!G52,'19.10 Kyankwanzi-bukomero-24h'!G52,'20.10 Kyankwanzi-bukomero'!G52,'21.10 Kyankwanzi-bukomero-24h'!G52,'22.10 Kyankwanzi-bukomero'!G52,'23.10 kyankwanzi-bukomero'!G52)</f>
        <v>0</v>
      </c>
      <c r="H52" s="49">
        <f>AVERAGE('17.10 Kyankwanzi-bukomero'!H52,'18.10 Kyankwanzi-bukomero'!H52,'19.10 Kyankwanzi-bukomero-24h'!H52,'20.10 Kyankwanzi-bukomero'!H52,'21.10 Kyankwanzi-bukomero-24h'!H52,'22.10 Kyankwanzi-bukomero'!H52,'23.10 kyankwanzi-bukomero'!H52)</f>
        <v>0.14285714285714285</v>
      </c>
      <c r="I52" s="49">
        <f>AVERAGE('17.10 Kyankwanzi-bukomero'!I52,'18.10 Kyankwanzi-bukomero'!I52,'19.10 Kyankwanzi-bukomero-24h'!I52,'20.10 Kyankwanzi-bukomero'!I52,'21.10 Kyankwanzi-bukomero-24h'!I52,'22.10 Kyankwanzi-bukomero'!I52,'23.10 kyankwanzi-bukomero'!I52)</f>
        <v>0.8571428571428571</v>
      </c>
      <c r="J52" s="49">
        <f>AVERAGE('17.10 Kyankwanzi-bukomero'!J52,'18.10 Kyankwanzi-bukomero'!J52,'19.10 Kyankwanzi-bukomero-24h'!J52,'20.10 Kyankwanzi-bukomero'!J52,'21.10 Kyankwanzi-bukomero-24h'!J52,'22.10 Kyankwanzi-bukomero'!J52,'23.10 kyankwanzi-bukomero'!J52)</f>
        <v>0</v>
      </c>
      <c r="K52" s="49">
        <f>AVERAGE('17.10 Kyankwanzi-bukomero'!K52,'18.10 Kyankwanzi-bukomero'!K52,'19.10 Kyankwanzi-bukomero-24h'!K52,'20.10 Kyankwanzi-bukomero'!K52,'21.10 Kyankwanzi-bukomero-24h'!K52,'22.10 Kyankwanzi-bukomero'!K52,'23.10 kyankwanzi-bukomero'!K52)</f>
        <v>0</v>
      </c>
      <c r="L52" s="49">
        <f>AVERAGE('17.10 Kyankwanzi-bukomero'!L52,'18.10 Kyankwanzi-bukomero'!L52,'19.10 Kyankwanzi-bukomero-24h'!L52,'20.10 Kyankwanzi-bukomero'!L52,'21.10 Kyankwanzi-bukomero-24h'!L52,'22.10 Kyankwanzi-bukomero'!L52,'23.10 kyankwanzi-bukomero'!L52)</f>
        <v>0</v>
      </c>
      <c r="M52" s="49">
        <f>AVERAGE('17.10 Kyankwanzi-bukomero'!M52,'18.10 Kyankwanzi-bukomero'!M52,'19.10 Kyankwanzi-bukomero-24h'!M52,'20.10 Kyankwanzi-bukomero'!M52,'21.10 Kyankwanzi-bukomero-24h'!M52,'22.10 Kyankwanzi-bukomero'!M52,'23.10 kyankwanzi-bukomero'!M52)</f>
        <v>11.714285714285714</v>
      </c>
      <c r="N52" s="49">
        <f>AVERAGE('17.10 Kyankwanzi-bukomero'!N52,'18.10 Kyankwanzi-bukomero'!N52,'19.10 Kyankwanzi-bukomero-24h'!N52,'20.10 Kyankwanzi-bukomero'!N52,'21.10 Kyankwanzi-bukomero-24h'!N52,'22.10 Kyankwanzi-bukomero'!N52,'23.10 kyankwanzi-bukomero'!N52)</f>
        <v>0</v>
      </c>
      <c r="O52" s="15">
        <f t="shared" si="0"/>
        <v>1.714285714285714</v>
      </c>
      <c r="P52" s="15">
        <f t="shared" si="1"/>
        <v>13.428571428571427</v>
      </c>
      <c r="R52" s="8"/>
      <c r="T52"/>
    </row>
    <row r="53" spans="2:20" ht="23.1" customHeight="1" x14ac:dyDescent="0.25">
      <c r="B53" s="23" t="s">
        <v>80</v>
      </c>
      <c r="C53" s="49">
        <f>AVERAGE('17.10 Kyankwanzi-bukomero'!C53,'18.10 Kyankwanzi-bukomero'!C53,'19.10 Kyankwanzi-bukomero-24h'!C53,'20.10 Kyankwanzi-bukomero'!C53,'21.10 Kyankwanzi-bukomero-24h'!C53,'22.10 Kyankwanzi-bukomero'!C53,'23.10 kyankwanzi-bukomero'!C53)</f>
        <v>0.2857142857142857</v>
      </c>
      <c r="D53" s="49">
        <f>AVERAGE('17.10 Kyankwanzi-bukomero'!D53,'18.10 Kyankwanzi-bukomero'!D53,'19.10 Kyankwanzi-bukomero-24h'!D53,'20.10 Kyankwanzi-bukomero'!D53,'21.10 Kyankwanzi-bukomero-24h'!D53,'22.10 Kyankwanzi-bukomero'!D53,'23.10 kyankwanzi-bukomero'!D53)</f>
        <v>0.2857142857142857</v>
      </c>
      <c r="E53" s="49">
        <f>AVERAGE('17.10 Kyankwanzi-bukomero'!E53,'18.10 Kyankwanzi-bukomero'!E53,'19.10 Kyankwanzi-bukomero-24h'!E53,'20.10 Kyankwanzi-bukomero'!E53,'21.10 Kyankwanzi-bukomero-24h'!E53,'22.10 Kyankwanzi-bukomero'!E53,'23.10 kyankwanzi-bukomero'!E53)</f>
        <v>0.42857142857142855</v>
      </c>
      <c r="F53" s="49">
        <f>AVERAGE('17.10 Kyankwanzi-bukomero'!F53,'18.10 Kyankwanzi-bukomero'!F53,'19.10 Kyankwanzi-bukomero-24h'!F53,'20.10 Kyankwanzi-bukomero'!F53,'21.10 Kyankwanzi-bukomero-24h'!F53,'22.10 Kyankwanzi-bukomero'!F53,'23.10 kyankwanzi-bukomero'!F53)</f>
        <v>0.42857142857142855</v>
      </c>
      <c r="G53" s="49">
        <f>AVERAGE('17.10 Kyankwanzi-bukomero'!G53,'18.10 Kyankwanzi-bukomero'!G53,'19.10 Kyankwanzi-bukomero-24h'!G53,'20.10 Kyankwanzi-bukomero'!G53,'21.10 Kyankwanzi-bukomero-24h'!G53,'22.10 Kyankwanzi-bukomero'!G53,'23.10 kyankwanzi-bukomero'!G53)</f>
        <v>0</v>
      </c>
      <c r="H53" s="49">
        <f>AVERAGE('17.10 Kyankwanzi-bukomero'!H53,'18.10 Kyankwanzi-bukomero'!H53,'19.10 Kyankwanzi-bukomero-24h'!H53,'20.10 Kyankwanzi-bukomero'!H53,'21.10 Kyankwanzi-bukomero-24h'!H53,'22.10 Kyankwanzi-bukomero'!H53,'23.10 kyankwanzi-bukomero'!H53)</f>
        <v>0.14285714285714285</v>
      </c>
      <c r="I53" s="49">
        <f>AVERAGE('17.10 Kyankwanzi-bukomero'!I53,'18.10 Kyankwanzi-bukomero'!I53,'19.10 Kyankwanzi-bukomero-24h'!I53,'20.10 Kyankwanzi-bukomero'!I53,'21.10 Kyankwanzi-bukomero-24h'!I53,'22.10 Kyankwanzi-bukomero'!I53,'23.10 kyankwanzi-bukomero'!I53)</f>
        <v>0.5714285714285714</v>
      </c>
      <c r="J53" s="49">
        <f>AVERAGE('17.10 Kyankwanzi-bukomero'!J53,'18.10 Kyankwanzi-bukomero'!J53,'19.10 Kyankwanzi-bukomero-24h'!J53,'20.10 Kyankwanzi-bukomero'!J53,'21.10 Kyankwanzi-bukomero-24h'!J53,'22.10 Kyankwanzi-bukomero'!J53,'23.10 kyankwanzi-bukomero'!J53)</f>
        <v>0.14285714285714285</v>
      </c>
      <c r="K53" s="49">
        <f>AVERAGE('17.10 Kyankwanzi-bukomero'!K53,'18.10 Kyankwanzi-bukomero'!K53,'19.10 Kyankwanzi-bukomero-24h'!K53,'20.10 Kyankwanzi-bukomero'!K53,'21.10 Kyankwanzi-bukomero-24h'!K53,'22.10 Kyankwanzi-bukomero'!K53,'23.10 kyankwanzi-bukomero'!K53)</f>
        <v>0</v>
      </c>
      <c r="L53" s="49">
        <f>AVERAGE('17.10 Kyankwanzi-bukomero'!L53,'18.10 Kyankwanzi-bukomero'!L53,'19.10 Kyankwanzi-bukomero-24h'!L53,'20.10 Kyankwanzi-bukomero'!L53,'21.10 Kyankwanzi-bukomero-24h'!L53,'22.10 Kyankwanzi-bukomero'!L53,'23.10 kyankwanzi-bukomero'!L53)</f>
        <v>0</v>
      </c>
      <c r="M53" s="49">
        <f>AVERAGE('17.10 Kyankwanzi-bukomero'!M53,'18.10 Kyankwanzi-bukomero'!M53,'19.10 Kyankwanzi-bukomero-24h'!M53,'20.10 Kyankwanzi-bukomero'!M53,'21.10 Kyankwanzi-bukomero-24h'!M53,'22.10 Kyankwanzi-bukomero'!M53,'23.10 kyankwanzi-bukomero'!M53)</f>
        <v>16</v>
      </c>
      <c r="N53" s="49">
        <f>AVERAGE('17.10 Kyankwanzi-bukomero'!N53,'18.10 Kyankwanzi-bukomero'!N53,'19.10 Kyankwanzi-bukomero-24h'!N53,'20.10 Kyankwanzi-bukomero'!N53,'21.10 Kyankwanzi-bukomero-24h'!N53,'22.10 Kyankwanzi-bukomero'!N53,'23.10 kyankwanzi-bukomero'!N53)</f>
        <v>0</v>
      </c>
      <c r="O53" s="15">
        <f t="shared" si="0"/>
        <v>2.2857142857142856</v>
      </c>
      <c r="P53" s="15">
        <f t="shared" si="1"/>
        <v>18.285714285714285</v>
      </c>
      <c r="R53" s="8"/>
      <c r="T53"/>
    </row>
    <row r="54" spans="2:20" ht="23.1" customHeight="1" x14ac:dyDescent="0.25">
      <c r="B54" s="23" t="s">
        <v>81</v>
      </c>
      <c r="C54" s="49">
        <f>AVERAGE('17.10 Kyankwanzi-bukomero'!C54,'18.10 Kyankwanzi-bukomero'!C54,'19.10 Kyankwanzi-bukomero-24h'!C54,'20.10 Kyankwanzi-bukomero'!C54,'21.10 Kyankwanzi-bukomero-24h'!C54,'22.10 Kyankwanzi-bukomero'!C54,'23.10 kyankwanzi-bukomero'!C54)</f>
        <v>0.7142857142857143</v>
      </c>
      <c r="D54" s="49">
        <f>AVERAGE('17.10 Kyankwanzi-bukomero'!D54,'18.10 Kyankwanzi-bukomero'!D54,'19.10 Kyankwanzi-bukomero-24h'!D54,'20.10 Kyankwanzi-bukomero'!D54,'21.10 Kyankwanzi-bukomero-24h'!D54,'22.10 Kyankwanzi-bukomero'!D54,'23.10 kyankwanzi-bukomero'!D54)</f>
        <v>0</v>
      </c>
      <c r="E54" s="49">
        <f>AVERAGE('17.10 Kyankwanzi-bukomero'!E54,'18.10 Kyankwanzi-bukomero'!E54,'19.10 Kyankwanzi-bukomero-24h'!E54,'20.10 Kyankwanzi-bukomero'!E54,'21.10 Kyankwanzi-bukomero-24h'!E54,'22.10 Kyankwanzi-bukomero'!E54,'23.10 kyankwanzi-bukomero'!E54)</f>
        <v>0.14285714285714285</v>
      </c>
      <c r="F54" s="49">
        <f>AVERAGE('17.10 Kyankwanzi-bukomero'!F54,'18.10 Kyankwanzi-bukomero'!F54,'19.10 Kyankwanzi-bukomero-24h'!F54,'20.10 Kyankwanzi-bukomero'!F54,'21.10 Kyankwanzi-bukomero-24h'!F54,'22.10 Kyankwanzi-bukomero'!F54,'23.10 kyankwanzi-bukomero'!F54)</f>
        <v>0.2857142857142857</v>
      </c>
      <c r="G54" s="49">
        <f>AVERAGE('17.10 Kyankwanzi-bukomero'!G54,'18.10 Kyankwanzi-bukomero'!G54,'19.10 Kyankwanzi-bukomero-24h'!G54,'20.10 Kyankwanzi-bukomero'!G54,'21.10 Kyankwanzi-bukomero-24h'!G54,'22.10 Kyankwanzi-bukomero'!G54,'23.10 kyankwanzi-bukomero'!G54)</f>
        <v>0</v>
      </c>
      <c r="H54" s="49">
        <f>AVERAGE('17.10 Kyankwanzi-bukomero'!H54,'18.10 Kyankwanzi-bukomero'!H54,'19.10 Kyankwanzi-bukomero-24h'!H54,'20.10 Kyankwanzi-bukomero'!H54,'21.10 Kyankwanzi-bukomero-24h'!H54,'22.10 Kyankwanzi-bukomero'!H54,'23.10 kyankwanzi-bukomero'!H54)</f>
        <v>0</v>
      </c>
      <c r="I54" s="49">
        <f>AVERAGE('17.10 Kyankwanzi-bukomero'!I54,'18.10 Kyankwanzi-bukomero'!I54,'19.10 Kyankwanzi-bukomero-24h'!I54,'20.10 Kyankwanzi-bukomero'!I54,'21.10 Kyankwanzi-bukomero-24h'!I54,'22.10 Kyankwanzi-bukomero'!I54,'23.10 kyankwanzi-bukomero'!I54)</f>
        <v>0</v>
      </c>
      <c r="J54" s="49">
        <f>AVERAGE('17.10 Kyankwanzi-bukomero'!J54,'18.10 Kyankwanzi-bukomero'!J54,'19.10 Kyankwanzi-bukomero-24h'!J54,'20.10 Kyankwanzi-bukomero'!J54,'21.10 Kyankwanzi-bukomero-24h'!J54,'22.10 Kyankwanzi-bukomero'!J54,'23.10 kyankwanzi-bukomero'!J54)</f>
        <v>0</v>
      </c>
      <c r="K54" s="49">
        <f>AVERAGE('17.10 Kyankwanzi-bukomero'!K54,'18.10 Kyankwanzi-bukomero'!K54,'19.10 Kyankwanzi-bukomero-24h'!K54,'20.10 Kyankwanzi-bukomero'!K54,'21.10 Kyankwanzi-bukomero-24h'!K54,'22.10 Kyankwanzi-bukomero'!K54,'23.10 kyankwanzi-bukomero'!K54)</f>
        <v>0</v>
      </c>
      <c r="L54" s="49">
        <f>AVERAGE('17.10 Kyankwanzi-bukomero'!L54,'18.10 Kyankwanzi-bukomero'!L54,'19.10 Kyankwanzi-bukomero-24h'!L54,'20.10 Kyankwanzi-bukomero'!L54,'21.10 Kyankwanzi-bukomero-24h'!L54,'22.10 Kyankwanzi-bukomero'!L54,'23.10 kyankwanzi-bukomero'!L54)</f>
        <v>0</v>
      </c>
      <c r="M54" s="49">
        <f>AVERAGE('17.10 Kyankwanzi-bukomero'!M54,'18.10 Kyankwanzi-bukomero'!M54,'19.10 Kyankwanzi-bukomero-24h'!M54,'20.10 Kyankwanzi-bukomero'!M54,'21.10 Kyankwanzi-bukomero-24h'!M54,'22.10 Kyankwanzi-bukomero'!M54,'23.10 kyankwanzi-bukomero'!M54)</f>
        <v>15.571428571428571</v>
      </c>
      <c r="N54" s="49">
        <f>AVERAGE('17.10 Kyankwanzi-bukomero'!N54,'18.10 Kyankwanzi-bukomero'!N54,'19.10 Kyankwanzi-bukomero-24h'!N54,'20.10 Kyankwanzi-bukomero'!N54,'21.10 Kyankwanzi-bukomero-24h'!N54,'22.10 Kyankwanzi-bukomero'!N54,'23.10 kyankwanzi-bukomero'!N54)</f>
        <v>0</v>
      </c>
      <c r="O54" s="15">
        <f t="shared" si="0"/>
        <v>1.1428571428571428</v>
      </c>
      <c r="P54" s="15">
        <f t="shared" si="1"/>
        <v>16.714285714285715</v>
      </c>
      <c r="R54" s="8"/>
      <c r="T54"/>
    </row>
    <row r="55" spans="2:20" ht="23.1" customHeight="1" x14ac:dyDescent="0.25">
      <c r="B55" s="23" t="s">
        <v>82</v>
      </c>
      <c r="C55" s="49">
        <f>AVERAGE('17.10 Kyankwanzi-bukomero'!C55,'18.10 Kyankwanzi-bukomero'!C55,'19.10 Kyankwanzi-bukomero-24h'!C55,'20.10 Kyankwanzi-bukomero'!C55,'21.10 Kyankwanzi-bukomero-24h'!C55,'22.10 Kyankwanzi-bukomero'!C55,'23.10 kyankwanzi-bukomero'!C55)</f>
        <v>1.1428571428571428</v>
      </c>
      <c r="D55" s="49">
        <f>AVERAGE('17.10 Kyankwanzi-bukomero'!D55,'18.10 Kyankwanzi-bukomero'!D55,'19.10 Kyankwanzi-bukomero-24h'!D55,'20.10 Kyankwanzi-bukomero'!D55,'21.10 Kyankwanzi-bukomero-24h'!D55,'22.10 Kyankwanzi-bukomero'!D55,'23.10 kyankwanzi-bukomero'!D55)</f>
        <v>0.14285714285714285</v>
      </c>
      <c r="E55" s="49">
        <f>AVERAGE('17.10 Kyankwanzi-bukomero'!E55,'18.10 Kyankwanzi-bukomero'!E55,'19.10 Kyankwanzi-bukomero-24h'!E55,'20.10 Kyankwanzi-bukomero'!E55,'21.10 Kyankwanzi-bukomero-24h'!E55,'22.10 Kyankwanzi-bukomero'!E55,'23.10 kyankwanzi-bukomero'!E55)</f>
        <v>0</v>
      </c>
      <c r="F55" s="49">
        <f>AVERAGE('17.10 Kyankwanzi-bukomero'!F55,'18.10 Kyankwanzi-bukomero'!F55,'19.10 Kyankwanzi-bukomero-24h'!F55,'20.10 Kyankwanzi-bukomero'!F55,'21.10 Kyankwanzi-bukomero-24h'!F55,'22.10 Kyankwanzi-bukomero'!F55,'23.10 kyankwanzi-bukomero'!F55)</f>
        <v>0.14285714285714285</v>
      </c>
      <c r="G55" s="49">
        <f>AVERAGE('17.10 Kyankwanzi-bukomero'!G55,'18.10 Kyankwanzi-bukomero'!G55,'19.10 Kyankwanzi-bukomero-24h'!G55,'20.10 Kyankwanzi-bukomero'!G55,'21.10 Kyankwanzi-bukomero-24h'!G55,'22.10 Kyankwanzi-bukomero'!G55,'23.10 kyankwanzi-bukomero'!G55)</f>
        <v>0</v>
      </c>
      <c r="H55" s="49">
        <f>AVERAGE('17.10 Kyankwanzi-bukomero'!H55,'18.10 Kyankwanzi-bukomero'!H55,'19.10 Kyankwanzi-bukomero-24h'!H55,'20.10 Kyankwanzi-bukomero'!H55,'21.10 Kyankwanzi-bukomero-24h'!H55,'22.10 Kyankwanzi-bukomero'!H55,'23.10 kyankwanzi-bukomero'!H55)</f>
        <v>0</v>
      </c>
      <c r="I55" s="49">
        <f>AVERAGE('17.10 Kyankwanzi-bukomero'!I55,'18.10 Kyankwanzi-bukomero'!I55,'19.10 Kyankwanzi-bukomero-24h'!I55,'20.10 Kyankwanzi-bukomero'!I55,'21.10 Kyankwanzi-bukomero-24h'!I55,'22.10 Kyankwanzi-bukomero'!I55,'23.10 kyankwanzi-bukomero'!I55)</f>
        <v>1.4285714285714286</v>
      </c>
      <c r="J55" s="49">
        <f>AVERAGE('17.10 Kyankwanzi-bukomero'!J55,'18.10 Kyankwanzi-bukomero'!J55,'19.10 Kyankwanzi-bukomero-24h'!J55,'20.10 Kyankwanzi-bukomero'!J55,'21.10 Kyankwanzi-bukomero-24h'!J55,'22.10 Kyankwanzi-bukomero'!J55,'23.10 kyankwanzi-bukomero'!J55)</f>
        <v>0</v>
      </c>
      <c r="K55" s="49">
        <f>AVERAGE('17.10 Kyankwanzi-bukomero'!K55,'18.10 Kyankwanzi-bukomero'!K55,'19.10 Kyankwanzi-bukomero-24h'!K55,'20.10 Kyankwanzi-bukomero'!K55,'21.10 Kyankwanzi-bukomero-24h'!K55,'22.10 Kyankwanzi-bukomero'!K55,'23.10 kyankwanzi-bukomero'!K55)</f>
        <v>0</v>
      </c>
      <c r="L55" s="49">
        <f>AVERAGE('17.10 Kyankwanzi-bukomero'!L55,'18.10 Kyankwanzi-bukomero'!L55,'19.10 Kyankwanzi-bukomero-24h'!L55,'20.10 Kyankwanzi-bukomero'!L55,'21.10 Kyankwanzi-bukomero-24h'!L55,'22.10 Kyankwanzi-bukomero'!L55,'23.10 kyankwanzi-bukomero'!L55)</f>
        <v>0</v>
      </c>
      <c r="M55" s="49">
        <f>AVERAGE('17.10 Kyankwanzi-bukomero'!M55,'18.10 Kyankwanzi-bukomero'!M55,'19.10 Kyankwanzi-bukomero-24h'!M55,'20.10 Kyankwanzi-bukomero'!M55,'21.10 Kyankwanzi-bukomero-24h'!M55,'22.10 Kyankwanzi-bukomero'!M55,'23.10 kyankwanzi-bukomero'!M55)</f>
        <v>15.285714285714286</v>
      </c>
      <c r="N55" s="49">
        <f>AVERAGE('17.10 Kyankwanzi-bukomero'!N55,'18.10 Kyankwanzi-bukomero'!N55,'19.10 Kyankwanzi-bukomero-24h'!N55,'20.10 Kyankwanzi-bukomero'!N55,'21.10 Kyankwanzi-bukomero-24h'!N55,'22.10 Kyankwanzi-bukomero'!N55,'23.10 kyankwanzi-bukomero'!N55)</f>
        <v>0</v>
      </c>
      <c r="O55" s="15">
        <f t="shared" si="0"/>
        <v>2.8571428571428568</v>
      </c>
      <c r="P55" s="15">
        <f t="shared" si="1"/>
        <v>18.142857142857142</v>
      </c>
      <c r="R55" s="8"/>
      <c r="T55"/>
    </row>
    <row r="56" spans="2:20" ht="23.1" customHeight="1" x14ac:dyDescent="0.25">
      <c r="B56" s="23" t="s">
        <v>83</v>
      </c>
      <c r="C56" s="49">
        <f>AVERAGE('17.10 Kyankwanzi-bukomero'!C56,'18.10 Kyankwanzi-bukomero'!C56,'19.10 Kyankwanzi-bukomero-24h'!C56,'20.10 Kyankwanzi-bukomero'!C56,'21.10 Kyankwanzi-bukomero-24h'!C56,'22.10 Kyankwanzi-bukomero'!C56,'23.10 kyankwanzi-bukomero'!C56)</f>
        <v>0.2857142857142857</v>
      </c>
      <c r="D56" s="49">
        <f>AVERAGE('17.10 Kyankwanzi-bukomero'!D56,'18.10 Kyankwanzi-bukomero'!D56,'19.10 Kyankwanzi-bukomero-24h'!D56,'20.10 Kyankwanzi-bukomero'!D56,'21.10 Kyankwanzi-bukomero-24h'!D56,'22.10 Kyankwanzi-bukomero'!D56,'23.10 kyankwanzi-bukomero'!D56)</f>
        <v>0</v>
      </c>
      <c r="E56" s="49">
        <f>AVERAGE('17.10 Kyankwanzi-bukomero'!E56,'18.10 Kyankwanzi-bukomero'!E56,'19.10 Kyankwanzi-bukomero-24h'!E56,'20.10 Kyankwanzi-bukomero'!E56,'21.10 Kyankwanzi-bukomero-24h'!E56,'22.10 Kyankwanzi-bukomero'!E56,'23.10 kyankwanzi-bukomero'!E56)</f>
        <v>0</v>
      </c>
      <c r="F56" s="49">
        <f>AVERAGE('17.10 Kyankwanzi-bukomero'!F56,'18.10 Kyankwanzi-bukomero'!F56,'19.10 Kyankwanzi-bukomero-24h'!F56,'20.10 Kyankwanzi-bukomero'!F56,'21.10 Kyankwanzi-bukomero-24h'!F56,'22.10 Kyankwanzi-bukomero'!F56,'23.10 kyankwanzi-bukomero'!F56)</f>
        <v>0</v>
      </c>
      <c r="G56" s="49">
        <f>AVERAGE('17.10 Kyankwanzi-bukomero'!G56,'18.10 Kyankwanzi-bukomero'!G56,'19.10 Kyankwanzi-bukomero-24h'!G56,'20.10 Kyankwanzi-bukomero'!G56,'21.10 Kyankwanzi-bukomero-24h'!G56,'22.10 Kyankwanzi-bukomero'!G56,'23.10 kyankwanzi-bukomero'!G56)</f>
        <v>0</v>
      </c>
      <c r="H56" s="49">
        <f>AVERAGE('17.10 Kyankwanzi-bukomero'!H56,'18.10 Kyankwanzi-bukomero'!H56,'19.10 Kyankwanzi-bukomero-24h'!H56,'20.10 Kyankwanzi-bukomero'!H56,'21.10 Kyankwanzi-bukomero-24h'!H56,'22.10 Kyankwanzi-bukomero'!H56,'23.10 kyankwanzi-bukomero'!H56)</f>
        <v>0</v>
      </c>
      <c r="I56" s="49">
        <f>AVERAGE('17.10 Kyankwanzi-bukomero'!I56,'18.10 Kyankwanzi-bukomero'!I56,'19.10 Kyankwanzi-bukomero-24h'!I56,'20.10 Kyankwanzi-bukomero'!I56,'21.10 Kyankwanzi-bukomero-24h'!I56,'22.10 Kyankwanzi-bukomero'!I56,'23.10 kyankwanzi-bukomero'!I56)</f>
        <v>0.14285714285714285</v>
      </c>
      <c r="J56" s="49">
        <f>AVERAGE('17.10 Kyankwanzi-bukomero'!J56,'18.10 Kyankwanzi-bukomero'!J56,'19.10 Kyankwanzi-bukomero-24h'!J56,'20.10 Kyankwanzi-bukomero'!J56,'21.10 Kyankwanzi-bukomero-24h'!J56,'22.10 Kyankwanzi-bukomero'!J56,'23.10 kyankwanzi-bukomero'!J56)</f>
        <v>0.14285714285714285</v>
      </c>
      <c r="K56" s="49">
        <f>AVERAGE('17.10 Kyankwanzi-bukomero'!K56,'18.10 Kyankwanzi-bukomero'!K56,'19.10 Kyankwanzi-bukomero-24h'!K56,'20.10 Kyankwanzi-bukomero'!K56,'21.10 Kyankwanzi-bukomero-24h'!K56,'22.10 Kyankwanzi-bukomero'!K56,'23.10 kyankwanzi-bukomero'!K56)</f>
        <v>0</v>
      </c>
      <c r="L56" s="49">
        <f>AVERAGE('17.10 Kyankwanzi-bukomero'!L56,'18.10 Kyankwanzi-bukomero'!L56,'19.10 Kyankwanzi-bukomero-24h'!L56,'20.10 Kyankwanzi-bukomero'!L56,'21.10 Kyankwanzi-bukomero-24h'!L56,'22.10 Kyankwanzi-bukomero'!L56,'23.10 kyankwanzi-bukomero'!L56)</f>
        <v>0</v>
      </c>
      <c r="M56" s="49">
        <f>AVERAGE('17.10 Kyankwanzi-bukomero'!M56,'18.10 Kyankwanzi-bukomero'!M56,'19.10 Kyankwanzi-bukomero-24h'!M56,'20.10 Kyankwanzi-bukomero'!M56,'21.10 Kyankwanzi-bukomero-24h'!M56,'22.10 Kyankwanzi-bukomero'!M56,'23.10 kyankwanzi-bukomero'!M56)</f>
        <v>14.857142857142858</v>
      </c>
      <c r="N56" s="49">
        <f>AVERAGE('17.10 Kyankwanzi-bukomero'!N56,'18.10 Kyankwanzi-bukomero'!N56,'19.10 Kyankwanzi-bukomero-24h'!N56,'20.10 Kyankwanzi-bukomero'!N56,'21.10 Kyankwanzi-bukomero-24h'!N56,'22.10 Kyankwanzi-bukomero'!N56,'23.10 kyankwanzi-bukomero'!N56)</f>
        <v>0</v>
      </c>
      <c r="O56" s="15">
        <f t="shared" si="0"/>
        <v>0.5714285714285714</v>
      </c>
      <c r="P56" s="15">
        <f t="shared" si="1"/>
        <v>15.428571428571429</v>
      </c>
      <c r="R56" s="8"/>
      <c r="T56"/>
    </row>
    <row r="57" spans="2:20" ht="23.1" customHeight="1" x14ac:dyDescent="0.25">
      <c r="B57" s="23" t="s">
        <v>84</v>
      </c>
      <c r="C57" s="49">
        <f>AVERAGE('17.10 Kyankwanzi-bukomero'!C57,'18.10 Kyankwanzi-bukomero'!C57,'19.10 Kyankwanzi-bukomero-24h'!C57,'20.10 Kyankwanzi-bukomero'!C57,'21.10 Kyankwanzi-bukomero-24h'!C57,'22.10 Kyankwanzi-bukomero'!C57,'23.10 kyankwanzi-bukomero'!C57)</f>
        <v>0.42857142857142855</v>
      </c>
      <c r="D57" s="49">
        <f>AVERAGE('17.10 Kyankwanzi-bukomero'!D57,'18.10 Kyankwanzi-bukomero'!D57,'19.10 Kyankwanzi-bukomero-24h'!D57,'20.10 Kyankwanzi-bukomero'!D57,'21.10 Kyankwanzi-bukomero-24h'!D57,'22.10 Kyankwanzi-bukomero'!D57,'23.10 kyankwanzi-bukomero'!D57)</f>
        <v>0.14285714285714285</v>
      </c>
      <c r="E57" s="49">
        <f>AVERAGE('17.10 Kyankwanzi-bukomero'!E57,'18.10 Kyankwanzi-bukomero'!E57,'19.10 Kyankwanzi-bukomero-24h'!E57,'20.10 Kyankwanzi-bukomero'!E57,'21.10 Kyankwanzi-bukomero-24h'!E57,'22.10 Kyankwanzi-bukomero'!E57,'23.10 kyankwanzi-bukomero'!E57)</f>
        <v>0.2857142857142857</v>
      </c>
      <c r="F57" s="49">
        <f>AVERAGE('17.10 Kyankwanzi-bukomero'!F57,'18.10 Kyankwanzi-bukomero'!F57,'19.10 Kyankwanzi-bukomero-24h'!F57,'20.10 Kyankwanzi-bukomero'!F57,'21.10 Kyankwanzi-bukomero-24h'!F57,'22.10 Kyankwanzi-bukomero'!F57,'23.10 kyankwanzi-bukomero'!F57)</f>
        <v>0</v>
      </c>
      <c r="G57" s="49">
        <f>AVERAGE('17.10 Kyankwanzi-bukomero'!G57,'18.10 Kyankwanzi-bukomero'!G57,'19.10 Kyankwanzi-bukomero-24h'!G57,'20.10 Kyankwanzi-bukomero'!G57,'21.10 Kyankwanzi-bukomero-24h'!G57,'22.10 Kyankwanzi-bukomero'!G57,'23.10 kyankwanzi-bukomero'!G57)</f>
        <v>0</v>
      </c>
      <c r="H57" s="49">
        <f>AVERAGE('17.10 Kyankwanzi-bukomero'!H57,'18.10 Kyankwanzi-bukomero'!H57,'19.10 Kyankwanzi-bukomero-24h'!H57,'20.10 Kyankwanzi-bukomero'!H57,'21.10 Kyankwanzi-bukomero-24h'!H57,'22.10 Kyankwanzi-bukomero'!H57,'23.10 kyankwanzi-bukomero'!H57)</f>
        <v>0</v>
      </c>
      <c r="I57" s="49">
        <f>AVERAGE('17.10 Kyankwanzi-bukomero'!I57,'18.10 Kyankwanzi-bukomero'!I57,'19.10 Kyankwanzi-bukomero-24h'!I57,'20.10 Kyankwanzi-bukomero'!I57,'21.10 Kyankwanzi-bukomero-24h'!I57,'22.10 Kyankwanzi-bukomero'!I57,'23.10 kyankwanzi-bukomero'!I57)</f>
        <v>0.14285714285714285</v>
      </c>
      <c r="J57" s="49">
        <f>AVERAGE('17.10 Kyankwanzi-bukomero'!J57,'18.10 Kyankwanzi-bukomero'!J57,'19.10 Kyankwanzi-bukomero-24h'!J57,'20.10 Kyankwanzi-bukomero'!J57,'21.10 Kyankwanzi-bukomero-24h'!J57,'22.10 Kyankwanzi-bukomero'!J57,'23.10 kyankwanzi-bukomero'!J57)</f>
        <v>0</v>
      </c>
      <c r="K57" s="49">
        <f>AVERAGE('17.10 Kyankwanzi-bukomero'!K57,'18.10 Kyankwanzi-bukomero'!K57,'19.10 Kyankwanzi-bukomero-24h'!K57,'20.10 Kyankwanzi-bukomero'!K57,'21.10 Kyankwanzi-bukomero-24h'!K57,'22.10 Kyankwanzi-bukomero'!K57,'23.10 kyankwanzi-bukomero'!K57)</f>
        <v>0</v>
      </c>
      <c r="L57" s="49">
        <f>AVERAGE('17.10 Kyankwanzi-bukomero'!L57,'18.10 Kyankwanzi-bukomero'!L57,'19.10 Kyankwanzi-bukomero-24h'!L57,'20.10 Kyankwanzi-bukomero'!L57,'21.10 Kyankwanzi-bukomero-24h'!L57,'22.10 Kyankwanzi-bukomero'!L57,'23.10 kyankwanzi-bukomero'!L57)</f>
        <v>0</v>
      </c>
      <c r="M57" s="49">
        <f>AVERAGE('17.10 Kyankwanzi-bukomero'!M57,'18.10 Kyankwanzi-bukomero'!M57,'19.10 Kyankwanzi-bukomero-24h'!M57,'20.10 Kyankwanzi-bukomero'!M57,'21.10 Kyankwanzi-bukomero-24h'!M57,'22.10 Kyankwanzi-bukomero'!M57,'23.10 kyankwanzi-bukomero'!M57)</f>
        <v>14</v>
      </c>
      <c r="N57" s="49">
        <f>AVERAGE('17.10 Kyankwanzi-bukomero'!N57,'18.10 Kyankwanzi-bukomero'!N57,'19.10 Kyankwanzi-bukomero-24h'!N57,'20.10 Kyankwanzi-bukomero'!N57,'21.10 Kyankwanzi-bukomero-24h'!N57,'22.10 Kyankwanzi-bukomero'!N57,'23.10 kyankwanzi-bukomero'!N57)</f>
        <v>0</v>
      </c>
      <c r="O57" s="15">
        <f t="shared" si="0"/>
        <v>1</v>
      </c>
      <c r="P57" s="15">
        <f t="shared" si="1"/>
        <v>15</v>
      </c>
      <c r="R57" s="8"/>
      <c r="T57"/>
    </row>
    <row r="58" spans="2:20" ht="23.1" customHeight="1" x14ac:dyDescent="0.25">
      <c r="B58" s="23" t="s">
        <v>99</v>
      </c>
      <c r="C58" s="49">
        <f>AVERAGE('19.10 Kyankwanzi-bukomero-24h'!C58,'21.10 Kyankwanzi-bukomero-24h'!C58)</f>
        <v>0</v>
      </c>
      <c r="D58" s="49">
        <f>AVERAGE('19.10 Kyankwanzi-bukomero-24h'!D58,'21.10 Kyankwanzi-bukomero-24h'!D58)</f>
        <v>0</v>
      </c>
      <c r="E58" s="49">
        <f>AVERAGE('19.10 Kyankwanzi-bukomero-24h'!E58,'21.10 Kyankwanzi-bukomero-24h'!E58)</f>
        <v>0</v>
      </c>
      <c r="F58" s="49">
        <f>AVERAGE('19.10 Kyankwanzi-bukomero-24h'!F58,'21.10 Kyankwanzi-bukomero-24h'!F58)</f>
        <v>0.5</v>
      </c>
      <c r="G58" s="49">
        <f>AVERAGE('19.10 Kyankwanzi-bukomero-24h'!G58,'21.10 Kyankwanzi-bukomero-24h'!G58)</f>
        <v>0</v>
      </c>
      <c r="H58" s="49">
        <f>AVERAGE('19.10 Kyankwanzi-bukomero-24h'!H58,'21.10 Kyankwanzi-bukomero-24h'!H58)</f>
        <v>0</v>
      </c>
      <c r="I58" s="49">
        <f>AVERAGE('19.10 Kyankwanzi-bukomero-24h'!I58,'21.10 Kyankwanzi-bukomero-24h'!I58)</f>
        <v>0</v>
      </c>
      <c r="J58" s="49">
        <f>AVERAGE('19.10 Kyankwanzi-bukomero-24h'!J58,'21.10 Kyankwanzi-bukomero-24h'!J58)</f>
        <v>0</v>
      </c>
      <c r="K58" s="49">
        <f>AVERAGE('19.10 Kyankwanzi-bukomero-24h'!K58,'21.10 Kyankwanzi-bukomero-24h'!K58)</f>
        <v>0</v>
      </c>
      <c r="L58" s="49">
        <f>AVERAGE('19.10 Kyankwanzi-bukomero-24h'!L58,'21.10 Kyankwanzi-bukomero-24h'!L58)</f>
        <v>0</v>
      </c>
      <c r="M58" s="49">
        <f>AVERAGE('19.10 Kyankwanzi-bukomero-24h'!M58,'21.10 Kyankwanzi-bukomero-24h'!M58)</f>
        <v>15.5</v>
      </c>
      <c r="N58" s="49">
        <f>AVERAGE('19.10 Kyankwanzi-bukomero-24h'!N58,'21.10 Kyankwanzi-bukomero-24h'!N58)</f>
        <v>0</v>
      </c>
      <c r="O58" s="15">
        <f t="shared" si="0"/>
        <v>0.5</v>
      </c>
      <c r="P58" s="15">
        <f t="shared" si="1"/>
        <v>16</v>
      </c>
      <c r="R58" s="8"/>
      <c r="T58"/>
    </row>
    <row r="59" spans="2:20" ht="23.1" customHeight="1" x14ac:dyDescent="0.25">
      <c r="B59" s="23" t="s">
        <v>100</v>
      </c>
      <c r="C59" s="49">
        <f>AVERAGE('19.10 Kyankwanzi-bukomero-24h'!C59,'21.10 Kyankwanzi-bukomero-24h'!C59)</f>
        <v>0</v>
      </c>
      <c r="D59" s="49">
        <f>AVERAGE('19.10 Kyankwanzi-bukomero-24h'!D59,'21.10 Kyankwanzi-bukomero-24h'!D59)</f>
        <v>0</v>
      </c>
      <c r="E59" s="49">
        <f>AVERAGE('19.10 Kyankwanzi-bukomero-24h'!E59,'21.10 Kyankwanzi-bukomero-24h'!E59)</f>
        <v>0</v>
      </c>
      <c r="F59" s="49">
        <f>AVERAGE('19.10 Kyankwanzi-bukomero-24h'!F59,'21.10 Kyankwanzi-bukomero-24h'!F59)</f>
        <v>0</v>
      </c>
      <c r="G59" s="49">
        <f>AVERAGE('19.10 Kyankwanzi-bukomero-24h'!G59,'21.10 Kyankwanzi-bukomero-24h'!G59)</f>
        <v>0</v>
      </c>
      <c r="H59" s="49">
        <f>AVERAGE('19.10 Kyankwanzi-bukomero-24h'!H59,'21.10 Kyankwanzi-bukomero-24h'!H59)</f>
        <v>0</v>
      </c>
      <c r="I59" s="49">
        <f>AVERAGE('19.10 Kyankwanzi-bukomero-24h'!I59,'21.10 Kyankwanzi-bukomero-24h'!I59)</f>
        <v>1</v>
      </c>
      <c r="J59" s="49">
        <f>AVERAGE('19.10 Kyankwanzi-bukomero-24h'!J59,'21.10 Kyankwanzi-bukomero-24h'!J59)</f>
        <v>0.5</v>
      </c>
      <c r="K59" s="49">
        <f>AVERAGE('19.10 Kyankwanzi-bukomero-24h'!K59,'21.10 Kyankwanzi-bukomero-24h'!K59)</f>
        <v>0</v>
      </c>
      <c r="L59" s="49">
        <f>AVERAGE('19.10 Kyankwanzi-bukomero-24h'!L59,'21.10 Kyankwanzi-bukomero-24h'!L59)</f>
        <v>0</v>
      </c>
      <c r="M59" s="49">
        <f>AVERAGE('19.10 Kyankwanzi-bukomero-24h'!M59,'21.10 Kyankwanzi-bukomero-24h'!M59)</f>
        <v>13</v>
      </c>
      <c r="N59" s="49">
        <f>AVERAGE('19.10 Kyankwanzi-bukomero-24h'!N59,'21.10 Kyankwanzi-bukomero-24h'!N59)</f>
        <v>0</v>
      </c>
      <c r="O59" s="15">
        <f t="shared" si="0"/>
        <v>1.5</v>
      </c>
      <c r="P59" s="15">
        <f t="shared" si="1"/>
        <v>14.5</v>
      </c>
      <c r="R59" s="8"/>
      <c r="T59"/>
    </row>
    <row r="60" spans="2:20" ht="23.1" customHeight="1" x14ac:dyDescent="0.25">
      <c r="B60" s="23" t="s">
        <v>101</v>
      </c>
      <c r="C60" s="49">
        <f>AVERAGE('19.10 Kyankwanzi-bukomero-24h'!C60,'21.10 Kyankwanzi-bukomero-24h'!C60)</f>
        <v>0</v>
      </c>
      <c r="D60" s="49">
        <f>AVERAGE('19.10 Kyankwanzi-bukomero-24h'!D60,'21.10 Kyankwanzi-bukomero-24h'!D60)</f>
        <v>0</v>
      </c>
      <c r="E60" s="49">
        <f>AVERAGE('19.10 Kyankwanzi-bukomero-24h'!E60,'21.10 Kyankwanzi-bukomero-24h'!E60)</f>
        <v>0</v>
      </c>
      <c r="F60" s="49">
        <f>AVERAGE('19.10 Kyankwanzi-bukomero-24h'!F60,'21.10 Kyankwanzi-bukomero-24h'!F60)</f>
        <v>0</v>
      </c>
      <c r="G60" s="49">
        <f>AVERAGE('19.10 Kyankwanzi-bukomero-24h'!G60,'21.10 Kyankwanzi-bukomero-24h'!G60)</f>
        <v>0</v>
      </c>
      <c r="H60" s="49">
        <f>AVERAGE('19.10 Kyankwanzi-bukomero-24h'!H60,'21.10 Kyankwanzi-bukomero-24h'!H60)</f>
        <v>0</v>
      </c>
      <c r="I60" s="49">
        <f>AVERAGE('19.10 Kyankwanzi-bukomero-24h'!I60,'21.10 Kyankwanzi-bukomero-24h'!I60)</f>
        <v>0</v>
      </c>
      <c r="J60" s="49">
        <f>AVERAGE('19.10 Kyankwanzi-bukomero-24h'!J60,'21.10 Kyankwanzi-bukomero-24h'!J60)</f>
        <v>0.5</v>
      </c>
      <c r="K60" s="49">
        <f>AVERAGE('19.10 Kyankwanzi-bukomero-24h'!K60,'21.10 Kyankwanzi-bukomero-24h'!K60)</f>
        <v>0</v>
      </c>
      <c r="L60" s="49">
        <f>AVERAGE('19.10 Kyankwanzi-bukomero-24h'!L60,'21.10 Kyankwanzi-bukomero-24h'!L60)</f>
        <v>0</v>
      </c>
      <c r="M60" s="49">
        <f>AVERAGE('19.10 Kyankwanzi-bukomero-24h'!M60,'21.10 Kyankwanzi-bukomero-24h'!M60)</f>
        <v>13</v>
      </c>
      <c r="N60" s="49">
        <f>AVERAGE('19.10 Kyankwanzi-bukomero-24h'!N60,'21.10 Kyankwanzi-bukomero-24h'!N60)</f>
        <v>0</v>
      </c>
      <c r="O60" s="15">
        <f t="shared" si="0"/>
        <v>0.5</v>
      </c>
      <c r="P60" s="15">
        <f t="shared" si="1"/>
        <v>13.5</v>
      </c>
      <c r="R60" s="8"/>
      <c r="T60"/>
    </row>
    <row r="61" spans="2:20" ht="23.1" customHeight="1" x14ac:dyDescent="0.25">
      <c r="B61" s="23" t="s">
        <v>102</v>
      </c>
      <c r="C61" s="49">
        <f>AVERAGE('19.10 Kyankwanzi-bukomero-24h'!C61,'21.10 Kyankwanzi-bukomero-24h'!C61)</f>
        <v>0.5</v>
      </c>
      <c r="D61" s="49">
        <f>AVERAGE('19.10 Kyankwanzi-bukomero-24h'!D61,'21.10 Kyankwanzi-bukomero-24h'!D61)</f>
        <v>0</v>
      </c>
      <c r="E61" s="49">
        <f>AVERAGE('19.10 Kyankwanzi-bukomero-24h'!E61,'21.10 Kyankwanzi-bukomero-24h'!E61)</f>
        <v>0.5</v>
      </c>
      <c r="F61" s="49">
        <f>AVERAGE('19.10 Kyankwanzi-bukomero-24h'!F61,'21.10 Kyankwanzi-bukomero-24h'!F61)</f>
        <v>0</v>
      </c>
      <c r="G61" s="49">
        <f>AVERAGE('19.10 Kyankwanzi-bukomero-24h'!G61,'21.10 Kyankwanzi-bukomero-24h'!G61)</f>
        <v>0</v>
      </c>
      <c r="H61" s="49">
        <f>AVERAGE('19.10 Kyankwanzi-bukomero-24h'!H61,'21.10 Kyankwanzi-bukomero-24h'!H61)</f>
        <v>0</v>
      </c>
      <c r="I61" s="49">
        <f>AVERAGE('19.10 Kyankwanzi-bukomero-24h'!I61,'21.10 Kyankwanzi-bukomero-24h'!I61)</f>
        <v>0</v>
      </c>
      <c r="J61" s="49">
        <f>AVERAGE('19.10 Kyankwanzi-bukomero-24h'!J61,'21.10 Kyankwanzi-bukomero-24h'!J61)</f>
        <v>0</v>
      </c>
      <c r="K61" s="49">
        <f>AVERAGE('19.10 Kyankwanzi-bukomero-24h'!K61,'21.10 Kyankwanzi-bukomero-24h'!K61)</f>
        <v>0</v>
      </c>
      <c r="L61" s="49">
        <f>AVERAGE('19.10 Kyankwanzi-bukomero-24h'!L61,'21.10 Kyankwanzi-bukomero-24h'!L61)</f>
        <v>0</v>
      </c>
      <c r="M61" s="49">
        <f>AVERAGE('19.10 Kyankwanzi-bukomero-24h'!M61,'21.10 Kyankwanzi-bukomero-24h'!M61)</f>
        <v>7.5</v>
      </c>
      <c r="N61" s="49">
        <f>AVERAGE('19.10 Kyankwanzi-bukomero-24h'!N61,'21.10 Kyankwanzi-bukomero-24h'!N61)</f>
        <v>0</v>
      </c>
      <c r="O61" s="15">
        <f t="shared" si="0"/>
        <v>1</v>
      </c>
      <c r="P61" s="15">
        <f t="shared" si="1"/>
        <v>8.5</v>
      </c>
      <c r="R61" s="8"/>
      <c r="T61"/>
    </row>
    <row r="62" spans="2:20" ht="23.1" customHeight="1" x14ac:dyDescent="0.25">
      <c r="B62" s="23" t="s">
        <v>107</v>
      </c>
      <c r="C62" s="49">
        <f>AVERAGE('19.10 Kyankwanzi-bukomero-24h'!C62,'21.10 Kyankwanzi-bukomero-24h'!C62)</f>
        <v>0</v>
      </c>
      <c r="D62" s="49">
        <f>AVERAGE('19.10 Kyankwanzi-bukomero-24h'!D62,'21.10 Kyankwanzi-bukomero-24h'!D62)</f>
        <v>0</v>
      </c>
      <c r="E62" s="49">
        <f>AVERAGE('19.10 Kyankwanzi-bukomero-24h'!E62,'21.10 Kyankwanzi-bukomero-24h'!E62)</f>
        <v>0</v>
      </c>
      <c r="F62" s="49">
        <f>AVERAGE('19.10 Kyankwanzi-bukomero-24h'!F62,'21.10 Kyankwanzi-bukomero-24h'!F62)</f>
        <v>0</v>
      </c>
      <c r="G62" s="49">
        <f>AVERAGE('19.10 Kyankwanzi-bukomero-24h'!G62,'21.10 Kyankwanzi-bukomero-24h'!G62)</f>
        <v>0</v>
      </c>
      <c r="H62" s="49">
        <f>AVERAGE('19.10 Kyankwanzi-bukomero-24h'!H62,'21.10 Kyankwanzi-bukomero-24h'!H62)</f>
        <v>0</v>
      </c>
      <c r="I62" s="49">
        <f>AVERAGE('19.10 Kyankwanzi-bukomero-24h'!I62,'21.10 Kyankwanzi-bukomero-24h'!I62)</f>
        <v>0</v>
      </c>
      <c r="J62" s="49">
        <f>AVERAGE('19.10 Kyankwanzi-bukomero-24h'!J62,'21.10 Kyankwanzi-bukomero-24h'!J62)</f>
        <v>0</v>
      </c>
      <c r="K62" s="49">
        <f>AVERAGE('19.10 Kyankwanzi-bukomero-24h'!K62,'21.10 Kyankwanzi-bukomero-24h'!K62)</f>
        <v>0</v>
      </c>
      <c r="L62" s="49">
        <f>AVERAGE('19.10 Kyankwanzi-bukomero-24h'!L62,'21.10 Kyankwanzi-bukomero-24h'!L62)</f>
        <v>0</v>
      </c>
      <c r="M62" s="49">
        <f>AVERAGE('19.10 Kyankwanzi-bukomero-24h'!M62,'21.10 Kyankwanzi-bukomero-24h'!M62)</f>
        <v>11.5</v>
      </c>
      <c r="N62" s="49">
        <f>AVERAGE('19.10 Kyankwanzi-bukomero-24h'!N62,'21.10 Kyankwanzi-bukomero-24h'!N62)</f>
        <v>0</v>
      </c>
      <c r="O62" s="15">
        <f t="shared" si="0"/>
        <v>0</v>
      </c>
      <c r="P62" s="15">
        <f t="shared" si="1"/>
        <v>11.5</v>
      </c>
      <c r="R62" s="8"/>
      <c r="T62"/>
    </row>
    <row r="63" spans="2:20" ht="23.1" customHeight="1" x14ac:dyDescent="0.25">
      <c r="B63" s="23" t="s">
        <v>108</v>
      </c>
      <c r="C63" s="49">
        <f>AVERAGE('19.10 Kyankwanzi-bukomero-24h'!C63,'21.10 Kyankwanzi-bukomero-24h'!C63)</f>
        <v>0</v>
      </c>
      <c r="D63" s="49">
        <f>AVERAGE('19.10 Kyankwanzi-bukomero-24h'!D63,'21.10 Kyankwanzi-bukomero-24h'!D63)</f>
        <v>0</v>
      </c>
      <c r="E63" s="49">
        <f>AVERAGE('19.10 Kyankwanzi-bukomero-24h'!E63,'21.10 Kyankwanzi-bukomero-24h'!E63)</f>
        <v>0</v>
      </c>
      <c r="F63" s="49">
        <f>AVERAGE('19.10 Kyankwanzi-bukomero-24h'!F63,'21.10 Kyankwanzi-bukomero-24h'!F63)</f>
        <v>0</v>
      </c>
      <c r="G63" s="49">
        <f>AVERAGE('19.10 Kyankwanzi-bukomero-24h'!G63,'21.10 Kyankwanzi-bukomero-24h'!G63)</f>
        <v>0</v>
      </c>
      <c r="H63" s="49">
        <f>AVERAGE('19.10 Kyankwanzi-bukomero-24h'!H63,'21.10 Kyankwanzi-bukomero-24h'!H63)</f>
        <v>0</v>
      </c>
      <c r="I63" s="49">
        <f>AVERAGE('19.10 Kyankwanzi-bukomero-24h'!I63,'21.10 Kyankwanzi-bukomero-24h'!I63)</f>
        <v>0.5</v>
      </c>
      <c r="J63" s="49">
        <f>AVERAGE('19.10 Kyankwanzi-bukomero-24h'!J63,'21.10 Kyankwanzi-bukomero-24h'!J63)</f>
        <v>0.5</v>
      </c>
      <c r="K63" s="49">
        <f>AVERAGE('19.10 Kyankwanzi-bukomero-24h'!K63,'21.10 Kyankwanzi-bukomero-24h'!K63)</f>
        <v>0</v>
      </c>
      <c r="L63" s="49">
        <f>AVERAGE('19.10 Kyankwanzi-bukomero-24h'!L63,'21.10 Kyankwanzi-bukomero-24h'!L63)</f>
        <v>0</v>
      </c>
      <c r="M63" s="49">
        <f>AVERAGE('19.10 Kyankwanzi-bukomero-24h'!M63,'21.10 Kyankwanzi-bukomero-24h'!M63)</f>
        <v>10.5</v>
      </c>
      <c r="N63" s="49">
        <f>AVERAGE('19.10 Kyankwanzi-bukomero-24h'!N63,'21.10 Kyankwanzi-bukomero-24h'!N63)</f>
        <v>0</v>
      </c>
      <c r="O63" s="15">
        <f t="shared" si="0"/>
        <v>1</v>
      </c>
      <c r="P63" s="15">
        <f t="shared" si="1"/>
        <v>11.5</v>
      </c>
      <c r="R63" s="8"/>
      <c r="T63"/>
    </row>
    <row r="64" spans="2:20" ht="23.1" customHeight="1" x14ac:dyDescent="0.25">
      <c r="B64" s="23" t="s">
        <v>109</v>
      </c>
      <c r="C64" s="49">
        <f>AVERAGE('19.10 Kyankwanzi-bukomero-24h'!C64,'21.10 Kyankwanzi-bukomero-24h'!C64)</f>
        <v>1</v>
      </c>
      <c r="D64" s="49">
        <f>AVERAGE('19.10 Kyankwanzi-bukomero-24h'!D64,'21.10 Kyankwanzi-bukomero-24h'!D64)</f>
        <v>0</v>
      </c>
      <c r="E64" s="49">
        <f>AVERAGE('19.10 Kyankwanzi-bukomero-24h'!E64,'21.10 Kyankwanzi-bukomero-24h'!E64)</f>
        <v>0</v>
      </c>
      <c r="F64" s="49">
        <f>AVERAGE('19.10 Kyankwanzi-bukomero-24h'!F64,'21.10 Kyankwanzi-bukomero-24h'!F64)</f>
        <v>0</v>
      </c>
      <c r="G64" s="49">
        <f>AVERAGE('19.10 Kyankwanzi-bukomero-24h'!G64,'21.10 Kyankwanzi-bukomero-24h'!G64)</f>
        <v>0</v>
      </c>
      <c r="H64" s="49">
        <f>AVERAGE('19.10 Kyankwanzi-bukomero-24h'!H64,'21.10 Kyankwanzi-bukomero-24h'!H64)</f>
        <v>0</v>
      </c>
      <c r="I64" s="49">
        <f>AVERAGE('19.10 Kyankwanzi-bukomero-24h'!I64,'21.10 Kyankwanzi-bukomero-24h'!I64)</f>
        <v>0</v>
      </c>
      <c r="J64" s="49">
        <f>AVERAGE('19.10 Kyankwanzi-bukomero-24h'!J64,'21.10 Kyankwanzi-bukomero-24h'!J64)</f>
        <v>0.5</v>
      </c>
      <c r="K64" s="49">
        <f>AVERAGE('19.10 Kyankwanzi-bukomero-24h'!K64,'21.10 Kyankwanzi-bukomero-24h'!K64)</f>
        <v>0</v>
      </c>
      <c r="L64" s="49">
        <f>AVERAGE('19.10 Kyankwanzi-bukomero-24h'!L64,'21.10 Kyankwanzi-bukomero-24h'!L64)</f>
        <v>0</v>
      </c>
      <c r="M64" s="49">
        <f>AVERAGE('19.10 Kyankwanzi-bukomero-24h'!M64,'21.10 Kyankwanzi-bukomero-24h'!M64)</f>
        <v>12</v>
      </c>
      <c r="N64" s="49">
        <f>AVERAGE('19.10 Kyankwanzi-bukomero-24h'!N64,'21.10 Kyankwanzi-bukomero-24h'!N64)</f>
        <v>0</v>
      </c>
      <c r="O64" s="15">
        <f t="shared" si="0"/>
        <v>1.5</v>
      </c>
      <c r="P64" s="15">
        <f t="shared" si="1"/>
        <v>13.5</v>
      </c>
      <c r="R64" s="8"/>
      <c r="T64"/>
    </row>
    <row r="65" spans="2:20" ht="23.1" customHeight="1" x14ac:dyDescent="0.25">
      <c r="B65" s="23" t="s">
        <v>158</v>
      </c>
      <c r="C65" s="49">
        <f>AVERAGE('19.10 Kyankwanzi-bukomero-24h'!C65,'21.10 Kyankwanzi-bukomero-24h'!C65)</f>
        <v>0</v>
      </c>
      <c r="D65" s="49">
        <f>AVERAGE('19.10 Kyankwanzi-bukomero-24h'!D65,'21.10 Kyankwanzi-bukomero-24h'!D65)</f>
        <v>0</v>
      </c>
      <c r="E65" s="49">
        <f>AVERAGE('19.10 Kyankwanzi-bukomero-24h'!E65,'21.10 Kyankwanzi-bukomero-24h'!E65)</f>
        <v>0</v>
      </c>
      <c r="F65" s="49">
        <f>AVERAGE('19.10 Kyankwanzi-bukomero-24h'!F65,'21.10 Kyankwanzi-bukomero-24h'!F65)</f>
        <v>0</v>
      </c>
      <c r="G65" s="49">
        <f>AVERAGE('19.10 Kyankwanzi-bukomero-24h'!G65,'21.10 Kyankwanzi-bukomero-24h'!G65)</f>
        <v>0</v>
      </c>
      <c r="H65" s="49">
        <f>AVERAGE('19.10 Kyankwanzi-bukomero-24h'!H65,'21.10 Kyankwanzi-bukomero-24h'!H65)</f>
        <v>0</v>
      </c>
      <c r="I65" s="49">
        <f>AVERAGE('19.10 Kyankwanzi-bukomero-24h'!I65,'21.10 Kyankwanzi-bukomero-24h'!I65)</f>
        <v>0</v>
      </c>
      <c r="J65" s="49">
        <f>AVERAGE('19.10 Kyankwanzi-bukomero-24h'!J65,'21.10 Kyankwanzi-bukomero-24h'!J65)</f>
        <v>0.5</v>
      </c>
      <c r="K65" s="49">
        <f>AVERAGE('19.10 Kyankwanzi-bukomero-24h'!K65,'21.10 Kyankwanzi-bukomero-24h'!K65)</f>
        <v>0</v>
      </c>
      <c r="L65" s="49">
        <f>AVERAGE('19.10 Kyankwanzi-bukomero-24h'!L65,'21.10 Kyankwanzi-bukomero-24h'!L65)</f>
        <v>0</v>
      </c>
      <c r="M65" s="49">
        <f>AVERAGE('19.10 Kyankwanzi-bukomero-24h'!M65,'21.10 Kyankwanzi-bukomero-24h'!M65)</f>
        <v>7</v>
      </c>
      <c r="N65" s="49">
        <f>AVERAGE('19.10 Kyankwanzi-bukomero-24h'!N65,'21.10 Kyankwanzi-bukomero-24h'!N65)</f>
        <v>0</v>
      </c>
      <c r="O65" s="15">
        <f t="shared" si="0"/>
        <v>0.5</v>
      </c>
      <c r="P65" s="15">
        <f t="shared" si="1"/>
        <v>7.5</v>
      </c>
      <c r="R65" s="8"/>
      <c r="T65"/>
    </row>
    <row r="66" spans="2:20" ht="23.1" customHeight="1" x14ac:dyDescent="0.25">
      <c r="B66" s="23" t="s">
        <v>103</v>
      </c>
      <c r="C66" s="49">
        <f>AVERAGE('19.10 Kyankwanzi-bukomero-24h'!C66,'21.10 Kyankwanzi-bukomero-24h'!C66)</f>
        <v>0</v>
      </c>
      <c r="D66" s="49">
        <f>AVERAGE('19.10 Kyankwanzi-bukomero-24h'!D66,'21.10 Kyankwanzi-bukomero-24h'!D66)</f>
        <v>0</v>
      </c>
      <c r="E66" s="49">
        <f>AVERAGE('19.10 Kyankwanzi-bukomero-24h'!E66,'21.10 Kyankwanzi-bukomero-24h'!E66)</f>
        <v>0</v>
      </c>
      <c r="F66" s="49">
        <f>AVERAGE('19.10 Kyankwanzi-bukomero-24h'!F66,'21.10 Kyankwanzi-bukomero-24h'!F66)</f>
        <v>0.5</v>
      </c>
      <c r="G66" s="49">
        <f>AVERAGE('19.10 Kyankwanzi-bukomero-24h'!G66,'21.10 Kyankwanzi-bukomero-24h'!G66)</f>
        <v>0</v>
      </c>
      <c r="H66" s="49">
        <f>AVERAGE('19.10 Kyankwanzi-bukomero-24h'!H66,'21.10 Kyankwanzi-bukomero-24h'!H66)</f>
        <v>0</v>
      </c>
      <c r="I66" s="49">
        <f>AVERAGE('19.10 Kyankwanzi-bukomero-24h'!I66,'21.10 Kyankwanzi-bukomero-24h'!I66)</f>
        <v>0.5</v>
      </c>
      <c r="J66" s="49">
        <f>AVERAGE('19.10 Kyankwanzi-bukomero-24h'!J66,'21.10 Kyankwanzi-bukomero-24h'!J66)</f>
        <v>0</v>
      </c>
      <c r="K66" s="49">
        <f>AVERAGE('19.10 Kyankwanzi-bukomero-24h'!K66,'21.10 Kyankwanzi-bukomero-24h'!K66)</f>
        <v>0</v>
      </c>
      <c r="L66" s="49">
        <f>AVERAGE('19.10 Kyankwanzi-bukomero-24h'!L66,'21.10 Kyankwanzi-bukomero-24h'!L66)</f>
        <v>0</v>
      </c>
      <c r="M66" s="49">
        <f>AVERAGE('19.10 Kyankwanzi-bukomero-24h'!M66,'21.10 Kyankwanzi-bukomero-24h'!M66)</f>
        <v>10</v>
      </c>
      <c r="N66" s="49">
        <f>AVERAGE('19.10 Kyankwanzi-bukomero-24h'!N66,'21.10 Kyankwanzi-bukomero-24h'!N66)</f>
        <v>0</v>
      </c>
      <c r="O66" s="15">
        <f t="shared" si="0"/>
        <v>1</v>
      </c>
      <c r="P66" s="15">
        <f t="shared" si="1"/>
        <v>11</v>
      </c>
      <c r="R66" s="8"/>
      <c r="T66"/>
    </row>
    <row r="67" spans="2:20" ht="23.1" customHeight="1" x14ac:dyDescent="0.25">
      <c r="B67" s="23" t="s">
        <v>104</v>
      </c>
      <c r="C67" s="49">
        <f>AVERAGE('19.10 Kyankwanzi-bukomero-24h'!C67,'21.10 Kyankwanzi-bukomero-24h'!C67)</f>
        <v>0.5</v>
      </c>
      <c r="D67" s="49">
        <f>AVERAGE('19.10 Kyankwanzi-bukomero-24h'!D67,'21.10 Kyankwanzi-bukomero-24h'!D67)</f>
        <v>0</v>
      </c>
      <c r="E67" s="49">
        <f>AVERAGE('19.10 Kyankwanzi-bukomero-24h'!E67,'21.10 Kyankwanzi-bukomero-24h'!E67)</f>
        <v>0</v>
      </c>
      <c r="F67" s="49">
        <f>AVERAGE('19.10 Kyankwanzi-bukomero-24h'!F67,'21.10 Kyankwanzi-bukomero-24h'!F67)</f>
        <v>0.5</v>
      </c>
      <c r="G67" s="49">
        <f>AVERAGE('19.10 Kyankwanzi-bukomero-24h'!G67,'21.10 Kyankwanzi-bukomero-24h'!G67)</f>
        <v>0</v>
      </c>
      <c r="H67" s="49">
        <f>AVERAGE('19.10 Kyankwanzi-bukomero-24h'!H67,'21.10 Kyankwanzi-bukomero-24h'!H67)</f>
        <v>0</v>
      </c>
      <c r="I67" s="49">
        <f>AVERAGE('19.10 Kyankwanzi-bukomero-24h'!I67,'21.10 Kyankwanzi-bukomero-24h'!I67)</f>
        <v>0.5</v>
      </c>
      <c r="J67" s="49">
        <f>AVERAGE('19.10 Kyankwanzi-bukomero-24h'!J67,'21.10 Kyankwanzi-bukomero-24h'!J67)</f>
        <v>0</v>
      </c>
      <c r="K67" s="49">
        <f>AVERAGE('19.10 Kyankwanzi-bukomero-24h'!K67,'21.10 Kyankwanzi-bukomero-24h'!K67)</f>
        <v>0</v>
      </c>
      <c r="L67" s="49">
        <f>AVERAGE('19.10 Kyankwanzi-bukomero-24h'!L67,'21.10 Kyankwanzi-bukomero-24h'!L67)</f>
        <v>0</v>
      </c>
      <c r="M67" s="49">
        <f>AVERAGE('19.10 Kyankwanzi-bukomero-24h'!M67,'21.10 Kyankwanzi-bukomero-24h'!M67)</f>
        <v>5.5</v>
      </c>
      <c r="N67" s="49">
        <f>AVERAGE('19.10 Kyankwanzi-bukomero-24h'!N67,'21.10 Kyankwanzi-bukomero-24h'!N67)</f>
        <v>0</v>
      </c>
      <c r="O67" s="15">
        <f t="shared" si="0"/>
        <v>1.5</v>
      </c>
      <c r="P67" s="15">
        <f t="shared" si="1"/>
        <v>7</v>
      </c>
      <c r="R67" s="8"/>
      <c r="T67"/>
    </row>
    <row r="68" spans="2:20" ht="23.1" customHeight="1" x14ac:dyDescent="0.25">
      <c r="B68" s="23" t="s">
        <v>105</v>
      </c>
      <c r="C68" s="49">
        <f>AVERAGE('19.10 Kyankwanzi-bukomero-24h'!C68,'21.10 Kyankwanzi-bukomero-24h'!C68)</f>
        <v>0</v>
      </c>
      <c r="D68" s="49">
        <f>AVERAGE('19.10 Kyankwanzi-bukomero-24h'!D68,'21.10 Kyankwanzi-bukomero-24h'!D68)</f>
        <v>0</v>
      </c>
      <c r="E68" s="49">
        <f>AVERAGE('19.10 Kyankwanzi-bukomero-24h'!E68,'21.10 Kyankwanzi-bukomero-24h'!E68)</f>
        <v>0</v>
      </c>
      <c r="F68" s="49">
        <f>AVERAGE('19.10 Kyankwanzi-bukomero-24h'!F68,'21.10 Kyankwanzi-bukomero-24h'!F68)</f>
        <v>0.5</v>
      </c>
      <c r="G68" s="49">
        <f>AVERAGE('19.10 Kyankwanzi-bukomero-24h'!G68,'21.10 Kyankwanzi-bukomero-24h'!G68)</f>
        <v>0</v>
      </c>
      <c r="H68" s="49">
        <f>AVERAGE('19.10 Kyankwanzi-bukomero-24h'!H68,'21.10 Kyankwanzi-bukomero-24h'!H68)</f>
        <v>0</v>
      </c>
      <c r="I68" s="49">
        <f>AVERAGE('19.10 Kyankwanzi-bukomero-24h'!I68,'21.10 Kyankwanzi-bukomero-24h'!I68)</f>
        <v>0</v>
      </c>
      <c r="J68" s="49">
        <f>AVERAGE('19.10 Kyankwanzi-bukomero-24h'!J68,'21.10 Kyankwanzi-bukomero-24h'!J68)</f>
        <v>0</v>
      </c>
      <c r="K68" s="49">
        <f>AVERAGE('19.10 Kyankwanzi-bukomero-24h'!K68,'21.10 Kyankwanzi-bukomero-24h'!K68)</f>
        <v>0</v>
      </c>
      <c r="L68" s="49">
        <f>AVERAGE('19.10 Kyankwanzi-bukomero-24h'!L68,'21.10 Kyankwanzi-bukomero-24h'!L68)</f>
        <v>0</v>
      </c>
      <c r="M68" s="49">
        <f>AVERAGE('19.10 Kyankwanzi-bukomero-24h'!M68,'21.10 Kyankwanzi-bukomero-24h'!M68)</f>
        <v>4.5</v>
      </c>
      <c r="N68" s="49">
        <f>AVERAGE('19.10 Kyankwanzi-bukomero-24h'!N68,'21.10 Kyankwanzi-bukomero-24h'!N68)</f>
        <v>0</v>
      </c>
      <c r="O68" s="15">
        <f t="shared" si="0"/>
        <v>0.5</v>
      </c>
      <c r="P68" s="15">
        <f t="shared" si="1"/>
        <v>5</v>
      </c>
      <c r="R68" s="8"/>
      <c r="T68"/>
    </row>
    <row r="69" spans="2:20" ht="23.1" customHeight="1" x14ac:dyDescent="0.25">
      <c r="B69" s="23" t="s">
        <v>106</v>
      </c>
      <c r="C69" s="49">
        <f>AVERAGE('19.10 Kyankwanzi-bukomero-24h'!C69,'21.10 Kyankwanzi-bukomero-24h'!C69)</f>
        <v>0</v>
      </c>
      <c r="D69" s="49">
        <f>AVERAGE('19.10 Kyankwanzi-bukomero-24h'!D69,'21.10 Kyankwanzi-bukomero-24h'!D69)</f>
        <v>0</v>
      </c>
      <c r="E69" s="49">
        <f>AVERAGE('19.10 Kyankwanzi-bukomero-24h'!E69,'21.10 Kyankwanzi-bukomero-24h'!E69)</f>
        <v>0</v>
      </c>
      <c r="F69" s="49">
        <f>AVERAGE('19.10 Kyankwanzi-bukomero-24h'!F69,'21.10 Kyankwanzi-bukomero-24h'!F69)</f>
        <v>0.5</v>
      </c>
      <c r="G69" s="49">
        <f>AVERAGE('19.10 Kyankwanzi-bukomero-24h'!G69,'21.10 Kyankwanzi-bukomero-24h'!G69)</f>
        <v>0</v>
      </c>
      <c r="H69" s="49">
        <f>AVERAGE('19.10 Kyankwanzi-bukomero-24h'!H69,'21.10 Kyankwanzi-bukomero-24h'!H69)</f>
        <v>0</v>
      </c>
      <c r="I69" s="49">
        <f>AVERAGE('19.10 Kyankwanzi-bukomero-24h'!I69,'21.10 Kyankwanzi-bukomero-24h'!I69)</f>
        <v>0</v>
      </c>
      <c r="J69" s="49">
        <f>AVERAGE('19.10 Kyankwanzi-bukomero-24h'!J69,'21.10 Kyankwanzi-bukomero-24h'!J69)</f>
        <v>0.5</v>
      </c>
      <c r="K69" s="49">
        <f>AVERAGE('19.10 Kyankwanzi-bukomero-24h'!K69,'21.10 Kyankwanzi-bukomero-24h'!K69)</f>
        <v>0</v>
      </c>
      <c r="L69" s="49">
        <f>AVERAGE('19.10 Kyankwanzi-bukomero-24h'!L69,'21.10 Kyankwanzi-bukomero-24h'!L69)</f>
        <v>0</v>
      </c>
      <c r="M69" s="49">
        <f>AVERAGE('19.10 Kyankwanzi-bukomero-24h'!M69,'21.10 Kyankwanzi-bukomero-24h'!M69)</f>
        <v>6.5</v>
      </c>
      <c r="N69" s="49">
        <f>AVERAGE('19.10 Kyankwanzi-bukomero-24h'!N69,'21.10 Kyankwanzi-bukomero-24h'!N69)</f>
        <v>0</v>
      </c>
      <c r="O69" s="15">
        <f t="shared" si="0"/>
        <v>1</v>
      </c>
      <c r="P69" s="15">
        <f t="shared" si="1"/>
        <v>7.5</v>
      </c>
      <c r="R69" s="8"/>
      <c r="T69"/>
    </row>
    <row r="70" spans="2:20" ht="23.1" customHeight="1" x14ac:dyDescent="0.25">
      <c r="B70" s="23" t="s">
        <v>110</v>
      </c>
      <c r="C70" s="49">
        <f>AVERAGE('19.10 Kyankwanzi-bukomero-24h'!C70,'21.10 Kyankwanzi-bukomero-24h'!C70)</f>
        <v>1</v>
      </c>
      <c r="D70" s="49">
        <f>AVERAGE('19.10 Kyankwanzi-bukomero-24h'!D70,'21.10 Kyankwanzi-bukomero-24h'!D70)</f>
        <v>0</v>
      </c>
      <c r="E70" s="49">
        <f>AVERAGE('19.10 Kyankwanzi-bukomero-24h'!E70,'21.10 Kyankwanzi-bukomero-24h'!E70)</f>
        <v>0</v>
      </c>
      <c r="F70" s="49">
        <f>AVERAGE('19.10 Kyankwanzi-bukomero-24h'!F70,'21.10 Kyankwanzi-bukomero-24h'!F70)</f>
        <v>0</v>
      </c>
      <c r="G70" s="49">
        <f>AVERAGE('19.10 Kyankwanzi-bukomero-24h'!G70,'21.10 Kyankwanzi-bukomero-24h'!G70)</f>
        <v>0</v>
      </c>
      <c r="H70" s="49">
        <f>AVERAGE('19.10 Kyankwanzi-bukomero-24h'!H70,'21.10 Kyankwanzi-bukomero-24h'!H70)</f>
        <v>0</v>
      </c>
      <c r="I70" s="49">
        <f>AVERAGE('19.10 Kyankwanzi-bukomero-24h'!I70,'21.10 Kyankwanzi-bukomero-24h'!I70)</f>
        <v>0.5</v>
      </c>
      <c r="J70" s="49">
        <f>AVERAGE('19.10 Kyankwanzi-bukomero-24h'!J70,'21.10 Kyankwanzi-bukomero-24h'!J70)</f>
        <v>0.5</v>
      </c>
      <c r="K70" s="49">
        <f>AVERAGE('19.10 Kyankwanzi-bukomero-24h'!K70,'21.10 Kyankwanzi-bukomero-24h'!K70)</f>
        <v>0</v>
      </c>
      <c r="L70" s="49">
        <f>AVERAGE('19.10 Kyankwanzi-bukomero-24h'!L70,'21.10 Kyankwanzi-bukomero-24h'!L70)</f>
        <v>0</v>
      </c>
      <c r="M70" s="49">
        <f>AVERAGE('19.10 Kyankwanzi-bukomero-24h'!M70,'21.10 Kyankwanzi-bukomero-24h'!M70)</f>
        <v>7.5</v>
      </c>
      <c r="N70" s="49">
        <f>AVERAGE('19.10 Kyankwanzi-bukomero-24h'!N70,'21.10 Kyankwanzi-bukomero-24h'!N70)</f>
        <v>0</v>
      </c>
      <c r="O70" s="15">
        <f t="shared" si="0"/>
        <v>2</v>
      </c>
      <c r="P70" s="15">
        <f t="shared" si="1"/>
        <v>9.5</v>
      </c>
      <c r="R70" s="8"/>
      <c r="T70"/>
    </row>
    <row r="71" spans="2:20" ht="23.1" customHeight="1" x14ac:dyDescent="0.25">
      <c r="B71" s="23" t="s">
        <v>111</v>
      </c>
      <c r="C71" s="49">
        <f>AVERAGE('19.10 Kyankwanzi-bukomero-24h'!C71,'21.10 Kyankwanzi-bukomero-24h'!C71)</f>
        <v>0</v>
      </c>
      <c r="D71" s="49">
        <f>AVERAGE('19.10 Kyankwanzi-bukomero-24h'!D71,'21.10 Kyankwanzi-bukomero-24h'!D71)</f>
        <v>0</v>
      </c>
      <c r="E71" s="49">
        <f>AVERAGE('19.10 Kyankwanzi-bukomero-24h'!E71,'21.10 Kyankwanzi-bukomero-24h'!E71)</f>
        <v>0</v>
      </c>
      <c r="F71" s="49">
        <f>AVERAGE('19.10 Kyankwanzi-bukomero-24h'!F71,'21.10 Kyankwanzi-bukomero-24h'!F71)</f>
        <v>0</v>
      </c>
      <c r="G71" s="49">
        <f>AVERAGE('19.10 Kyankwanzi-bukomero-24h'!G71,'21.10 Kyankwanzi-bukomero-24h'!G71)</f>
        <v>0</v>
      </c>
      <c r="H71" s="49">
        <f>AVERAGE('19.10 Kyankwanzi-bukomero-24h'!H71,'21.10 Kyankwanzi-bukomero-24h'!H71)</f>
        <v>0</v>
      </c>
      <c r="I71" s="49">
        <f>AVERAGE('19.10 Kyankwanzi-bukomero-24h'!I71,'21.10 Kyankwanzi-bukomero-24h'!I71)</f>
        <v>0</v>
      </c>
      <c r="J71" s="49">
        <f>AVERAGE('19.10 Kyankwanzi-bukomero-24h'!J71,'21.10 Kyankwanzi-bukomero-24h'!J71)</f>
        <v>0.5</v>
      </c>
      <c r="K71" s="49">
        <f>AVERAGE('19.10 Kyankwanzi-bukomero-24h'!K71,'21.10 Kyankwanzi-bukomero-24h'!K71)</f>
        <v>0</v>
      </c>
      <c r="L71" s="49">
        <f>AVERAGE('19.10 Kyankwanzi-bukomero-24h'!L71,'21.10 Kyankwanzi-bukomero-24h'!L71)</f>
        <v>0</v>
      </c>
      <c r="M71" s="49">
        <f>AVERAGE('19.10 Kyankwanzi-bukomero-24h'!M71,'21.10 Kyankwanzi-bukomero-24h'!M71)</f>
        <v>3.5</v>
      </c>
      <c r="N71" s="49">
        <f>AVERAGE('19.10 Kyankwanzi-bukomero-24h'!N71,'21.10 Kyankwanzi-bukomero-24h'!N71)</f>
        <v>0</v>
      </c>
      <c r="O71" s="15">
        <f t="shared" si="0"/>
        <v>0.5</v>
      </c>
      <c r="P71" s="15">
        <f t="shared" si="1"/>
        <v>4</v>
      </c>
      <c r="R71" s="8"/>
      <c r="T71"/>
    </row>
    <row r="72" spans="2:20" ht="23.1" customHeight="1" x14ac:dyDescent="0.25">
      <c r="B72" s="23" t="s">
        <v>112</v>
      </c>
      <c r="C72" s="49">
        <f>AVERAGE('19.10 Kyankwanzi-bukomero-24h'!C72,'21.10 Kyankwanzi-bukomero-24h'!C72)</f>
        <v>0</v>
      </c>
      <c r="D72" s="49">
        <f>AVERAGE('19.10 Kyankwanzi-bukomero-24h'!D72,'21.10 Kyankwanzi-bukomero-24h'!D72)</f>
        <v>0</v>
      </c>
      <c r="E72" s="49">
        <f>AVERAGE('19.10 Kyankwanzi-bukomero-24h'!E72,'21.10 Kyankwanzi-bukomero-24h'!E72)</f>
        <v>0</v>
      </c>
      <c r="F72" s="49">
        <f>AVERAGE('19.10 Kyankwanzi-bukomero-24h'!F72,'21.10 Kyankwanzi-bukomero-24h'!F72)</f>
        <v>0</v>
      </c>
      <c r="G72" s="49">
        <f>AVERAGE('19.10 Kyankwanzi-bukomero-24h'!G72,'21.10 Kyankwanzi-bukomero-24h'!G72)</f>
        <v>0</v>
      </c>
      <c r="H72" s="49">
        <f>AVERAGE('19.10 Kyankwanzi-bukomero-24h'!H72,'21.10 Kyankwanzi-bukomero-24h'!H72)</f>
        <v>0</v>
      </c>
      <c r="I72" s="49">
        <f>AVERAGE('19.10 Kyankwanzi-bukomero-24h'!I72,'21.10 Kyankwanzi-bukomero-24h'!I72)</f>
        <v>0</v>
      </c>
      <c r="J72" s="49">
        <f>AVERAGE('19.10 Kyankwanzi-bukomero-24h'!J72,'21.10 Kyankwanzi-bukomero-24h'!J72)</f>
        <v>0</v>
      </c>
      <c r="K72" s="49">
        <f>AVERAGE('19.10 Kyankwanzi-bukomero-24h'!K72,'21.10 Kyankwanzi-bukomero-24h'!K72)</f>
        <v>0</v>
      </c>
      <c r="L72" s="49">
        <f>AVERAGE('19.10 Kyankwanzi-bukomero-24h'!L72,'21.10 Kyankwanzi-bukomero-24h'!L72)</f>
        <v>0</v>
      </c>
      <c r="M72" s="49">
        <f>AVERAGE('19.10 Kyankwanzi-bukomero-24h'!M72,'21.10 Kyankwanzi-bukomero-24h'!M72)</f>
        <v>4</v>
      </c>
      <c r="N72" s="49">
        <f>AVERAGE('19.10 Kyankwanzi-bukomero-24h'!N72,'21.10 Kyankwanzi-bukomero-24h'!N72)</f>
        <v>0</v>
      </c>
      <c r="O72" s="15">
        <f t="shared" si="0"/>
        <v>0</v>
      </c>
      <c r="P72" s="15">
        <f t="shared" si="1"/>
        <v>4</v>
      </c>
      <c r="R72" s="8"/>
      <c r="T72"/>
    </row>
    <row r="73" spans="2:20" ht="23.1" customHeight="1" x14ac:dyDescent="0.25">
      <c r="B73" s="23" t="s">
        <v>113</v>
      </c>
      <c r="C73" s="49">
        <f>AVERAGE('19.10 Kyankwanzi-bukomero-24h'!C73,'21.10 Kyankwanzi-bukomero-24h'!C73)</f>
        <v>0</v>
      </c>
      <c r="D73" s="49">
        <f>AVERAGE('19.10 Kyankwanzi-bukomero-24h'!D73,'21.10 Kyankwanzi-bukomero-24h'!D73)</f>
        <v>0.5</v>
      </c>
      <c r="E73" s="49">
        <f>AVERAGE('19.10 Kyankwanzi-bukomero-24h'!E73,'21.10 Kyankwanzi-bukomero-24h'!E73)</f>
        <v>0</v>
      </c>
      <c r="F73" s="49">
        <f>AVERAGE('19.10 Kyankwanzi-bukomero-24h'!F73,'21.10 Kyankwanzi-bukomero-24h'!F73)</f>
        <v>0</v>
      </c>
      <c r="G73" s="49">
        <f>AVERAGE('19.10 Kyankwanzi-bukomero-24h'!G73,'21.10 Kyankwanzi-bukomero-24h'!G73)</f>
        <v>0</v>
      </c>
      <c r="H73" s="49">
        <f>AVERAGE('19.10 Kyankwanzi-bukomero-24h'!H73,'21.10 Kyankwanzi-bukomero-24h'!H73)</f>
        <v>0</v>
      </c>
      <c r="I73" s="49">
        <f>AVERAGE('19.10 Kyankwanzi-bukomero-24h'!I73,'21.10 Kyankwanzi-bukomero-24h'!I73)</f>
        <v>0.5</v>
      </c>
      <c r="J73" s="49">
        <f>AVERAGE('19.10 Kyankwanzi-bukomero-24h'!J73,'21.10 Kyankwanzi-bukomero-24h'!J73)</f>
        <v>0</v>
      </c>
      <c r="K73" s="49">
        <f>AVERAGE('19.10 Kyankwanzi-bukomero-24h'!K73,'21.10 Kyankwanzi-bukomero-24h'!K73)</f>
        <v>0</v>
      </c>
      <c r="L73" s="49">
        <f>AVERAGE('19.10 Kyankwanzi-bukomero-24h'!L73,'21.10 Kyankwanzi-bukomero-24h'!L73)</f>
        <v>0</v>
      </c>
      <c r="M73" s="49">
        <f>AVERAGE('19.10 Kyankwanzi-bukomero-24h'!M73,'21.10 Kyankwanzi-bukomero-24h'!M73)</f>
        <v>3</v>
      </c>
      <c r="N73" s="49">
        <f>AVERAGE('19.10 Kyankwanzi-bukomero-24h'!N73,'21.10 Kyankwanzi-bukomero-24h'!N73)</f>
        <v>0</v>
      </c>
      <c r="O73" s="15">
        <f t="shared" si="0"/>
        <v>1</v>
      </c>
      <c r="P73" s="15">
        <f t="shared" si="1"/>
        <v>4</v>
      </c>
      <c r="R73" s="8"/>
      <c r="T73"/>
    </row>
    <row r="74" spans="2:20" ht="23.1" customHeight="1" x14ac:dyDescent="0.25">
      <c r="B74" s="23" t="s">
        <v>114</v>
      </c>
      <c r="C74" s="49">
        <f>AVERAGE('19.10 Kyankwanzi-bukomero-24h'!C74,'21.10 Kyankwanzi-bukomero-24h'!C74)</f>
        <v>0</v>
      </c>
      <c r="D74" s="49">
        <f>AVERAGE('19.10 Kyankwanzi-bukomero-24h'!D74,'21.10 Kyankwanzi-bukomero-24h'!D74)</f>
        <v>0</v>
      </c>
      <c r="E74" s="49">
        <f>AVERAGE('19.10 Kyankwanzi-bukomero-24h'!E74,'21.10 Kyankwanzi-bukomero-24h'!E74)</f>
        <v>0</v>
      </c>
      <c r="F74" s="49">
        <f>AVERAGE('19.10 Kyankwanzi-bukomero-24h'!F74,'21.10 Kyankwanzi-bukomero-24h'!F74)</f>
        <v>0</v>
      </c>
      <c r="G74" s="49">
        <f>AVERAGE('19.10 Kyankwanzi-bukomero-24h'!G74,'21.10 Kyankwanzi-bukomero-24h'!G74)</f>
        <v>0</v>
      </c>
      <c r="H74" s="49">
        <f>AVERAGE('19.10 Kyankwanzi-bukomero-24h'!H74,'21.10 Kyankwanzi-bukomero-24h'!H74)</f>
        <v>0</v>
      </c>
      <c r="I74" s="49">
        <f>AVERAGE('19.10 Kyankwanzi-bukomero-24h'!I74,'21.10 Kyankwanzi-bukomero-24h'!I74)</f>
        <v>0</v>
      </c>
      <c r="J74" s="49">
        <f>AVERAGE('19.10 Kyankwanzi-bukomero-24h'!J74,'21.10 Kyankwanzi-bukomero-24h'!J74)</f>
        <v>0</v>
      </c>
      <c r="K74" s="49">
        <f>AVERAGE('19.10 Kyankwanzi-bukomero-24h'!K74,'21.10 Kyankwanzi-bukomero-24h'!K74)</f>
        <v>0</v>
      </c>
      <c r="L74" s="49">
        <f>AVERAGE('19.10 Kyankwanzi-bukomero-24h'!L74,'21.10 Kyankwanzi-bukomero-24h'!L74)</f>
        <v>0</v>
      </c>
      <c r="M74" s="49">
        <f>AVERAGE('19.10 Kyankwanzi-bukomero-24h'!M74,'21.10 Kyankwanzi-bukomero-24h'!M74)</f>
        <v>3</v>
      </c>
      <c r="N74" s="49">
        <f>AVERAGE('19.10 Kyankwanzi-bukomero-24h'!N74,'21.10 Kyankwanzi-bukomero-24h'!N74)</f>
        <v>0</v>
      </c>
      <c r="O74" s="15">
        <f t="shared" ref="O74:O105" si="35">SUM(C74:L74,N74)</f>
        <v>0</v>
      </c>
      <c r="P74" s="15">
        <f t="shared" ref="P74:P105" si="36">SUM(C74:N74)</f>
        <v>3</v>
      </c>
      <c r="R74" s="8"/>
      <c r="T74"/>
    </row>
    <row r="75" spans="2:20" ht="23.1" customHeight="1" x14ac:dyDescent="0.25">
      <c r="B75" s="23" t="s">
        <v>115</v>
      </c>
      <c r="C75" s="49">
        <f>AVERAGE('19.10 Kyankwanzi-bukomero-24h'!C75,'21.10 Kyankwanzi-bukomero-24h'!C75)</f>
        <v>0</v>
      </c>
      <c r="D75" s="49">
        <f>AVERAGE('19.10 Kyankwanzi-bukomero-24h'!D75,'21.10 Kyankwanzi-bukomero-24h'!D75)</f>
        <v>0</v>
      </c>
      <c r="E75" s="49">
        <f>AVERAGE('19.10 Kyankwanzi-bukomero-24h'!E75,'21.10 Kyankwanzi-bukomero-24h'!E75)</f>
        <v>0</v>
      </c>
      <c r="F75" s="49">
        <f>AVERAGE('19.10 Kyankwanzi-bukomero-24h'!F75,'21.10 Kyankwanzi-bukomero-24h'!F75)</f>
        <v>0</v>
      </c>
      <c r="G75" s="49">
        <f>AVERAGE('19.10 Kyankwanzi-bukomero-24h'!G75,'21.10 Kyankwanzi-bukomero-24h'!G75)</f>
        <v>0</v>
      </c>
      <c r="H75" s="49">
        <f>AVERAGE('19.10 Kyankwanzi-bukomero-24h'!H75,'21.10 Kyankwanzi-bukomero-24h'!H75)</f>
        <v>0</v>
      </c>
      <c r="I75" s="49">
        <f>AVERAGE('19.10 Kyankwanzi-bukomero-24h'!I75,'21.10 Kyankwanzi-bukomero-24h'!I75)</f>
        <v>0</v>
      </c>
      <c r="J75" s="49">
        <f>AVERAGE('19.10 Kyankwanzi-bukomero-24h'!J75,'21.10 Kyankwanzi-bukomero-24h'!J75)</f>
        <v>0</v>
      </c>
      <c r="K75" s="49">
        <f>AVERAGE('19.10 Kyankwanzi-bukomero-24h'!K75,'21.10 Kyankwanzi-bukomero-24h'!K75)</f>
        <v>0</v>
      </c>
      <c r="L75" s="49">
        <f>AVERAGE('19.10 Kyankwanzi-bukomero-24h'!L75,'21.10 Kyankwanzi-bukomero-24h'!L75)</f>
        <v>0</v>
      </c>
      <c r="M75" s="49">
        <f>AVERAGE('19.10 Kyankwanzi-bukomero-24h'!M75,'21.10 Kyankwanzi-bukomero-24h'!M75)</f>
        <v>4</v>
      </c>
      <c r="N75" s="49">
        <f>AVERAGE('19.10 Kyankwanzi-bukomero-24h'!N75,'21.10 Kyankwanzi-bukomero-24h'!N75)</f>
        <v>0</v>
      </c>
      <c r="O75" s="15">
        <f t="shared" si="35"/>
        <v>0</v>
      </c>
      <c r="P75" s="15">
        <f t="shared" si="36"/>
        <v>4</v>
      </c>
      <c r="R75" s="8"/>
      <c r="T75"/>
    </row>
    <row r="76" spans="2:20" ht="23.1" customHeight="1" x14ac:dyDescent="0.25">
      <c r="B76" s="23" t="s">
        <v>116</v>
      </c>
      <c r="C76" s="49">
        <f>AVERAGE('19.10 Kyankwanzi-bukomero-24h'!C76,'21.10 Kyankwanzi-bukomero-24h'!C76)</f>
        <v>0</v>
      </c>
      <c r="D76" s="49">
        <f>AVERAGE('19.10 Kyankwanzi-bukomero-24h'!D76,'21.10 Kyankwanzi-bukomero-24h'!D76)</f>
        <v>0</v>
      </c>
      <c r="E76" s="49">
        <f>AVERAGE('19.10 Kyankwanzi-bukomero-24h'!E76,'21.10 Kyankwanzi-bukomero-24h'!E76)</f>
        <v>0</v>
      </c>
      <c r="F76" s="49">
        <f>AVERAGE('19.10 Kyankwanzi-bukomero-24h'!F76,'21.10 Kyankwanzi-bukomero-24h'!F76)</f>
        <v>0</v>
      </c>
      <c r="G76" s="49">
        <f>AVERAGE('19.10 Kyankwanzi-bukomero-24h'!G76,'21.10 Kyankwanzi-bukomero-24h'!G76)</f>
        <v>0</v>
      </c>
      <c r="H76" s="49">
        <f>AVERAGE('19.10 Kyankwanzi-bukomero-24h'!H76,'21.10 Kyankwanzi-bukomero-24h'!H76)</f>
        <v>0</v>
      </c>
      <c r="I76" s="49">
        <f>AVERAGE('19.10 Kyankwanzi-bukomero-24h'!I76,'21.10 Kyankwanzi-bukomero-24h'!I76)</f>
        <v>0</v>
      </c>
      <c r="J76" s="49">
        <f>AVERAGE('19.10 Kyankwanzi-bukomero-24h'!J76,'21.10 Kyankwanzi-bukomero-24h'!J76)</f>
        <v>0</v>
      </c>
      <c r="K76" s="49">
        <f>AVERAGE('19.10 Kyankwanzi-bukomero-24h'!K76,'21.10 Kyankwanzi-bukomero-24h'!K76)</f>
        <v>0</v>
      </c>
      <c r="L76" s="49">
        <f>AVERAGE('19.10 Kyankwanzi-bukomero-24h'!L76,'21.10 Kyankwanzi-bukomero-24h'!L76)</f>
        <v>0</v>
      </c>
      <c r="M76" s="49">
        <f>AVERAGE('19.10 Kyankwanzi-bukomero-24h'!M76,'21.10 Kyankwanzi-bukomero-24h'!M76)</f>
        <v>3</v>
      </c>
      <c r="N76" s="49">
        <f>AVERAGE('19.10 Kyankwanzi-bukomero-24h'!N76,'21.10 Kyankwanzi-bukomero-24h'!N76)</f>
        <v>0</v>
      </c>
      <c r="O76" s="15">
        <f t="shared" si="35"/>
        <v>0</v>
      </c>
      <c r="P76" s="15">
        <f t="shared" si="36"/>
        <v>3</v>
      </c>
      <c r="R76" s="8"/>
      <c r="T76"/>
    </row>
    <row r="77" spans="2:20" ht="23.1" customHeight="1" x14ac:dyDescent="0.25">
      <c r="B77" s="23" t="s">
        <v>117</v>
      </c>
      <c r="C77" s="49">
        <f>AVERAGE('19.10 Kyankwanzi-bukomero-24h'!C77,'21.10 Kyankwanzi-bukomero-24h'!C77)</f>
        <v>0</v>
      </c>
      <c r="D77" s="49">
        <f>AVERAGE('19.10 Kyankwanzi-bukomero-24h'!D77,'21.10 Kyankwanzi-bukomero-24h'!D77)</f>
        <v>0</v>
      </c>
      <c r="E77" s="49">
        <f>AVERAGE('19.10 Kyankwanzi-bukomero-24h'!E77,'21.10 Kyankwanzi-bukomero-24h'!E77)</f>
        <v>0</v>
      </c>
      <c r="F77" s="49">
        <f>AVERAGE('19.10 Kyankwanzi-bukomero-24h'!F77,'21.10 Kyankwanzi-bukomero-24h'!F77)</f>
        <v>0</v>
      </c>
      <c r="G77" s="49">
        <f>AVERAGE('19.10 Kyankwanzi-bukomero-24h'!G77,'21.10 Kyankwanzi-bukomero-24h'!G77)</f>
        <v>0</v>
      </c>
      <c r="H77" s="49">
        <f>AVERAGE('19.10 Kyankwanzi-bukomero-24h'!H77,'21.10 Kyankwanzi-bukomero-24h'!H77)</f>
        <v>0</v>
      </c>
      <c r="I77" s="49">
        <f>AVERAGE('19.10 Kyankwanzi-bukomero-24h'!I77,'21.10 Kyankwanzi-bukomero-24h'!I77)</f>
        <v>0.5</v>
      </c>
      <c r="J77" s="49">
        <f>AVERAGE('19.10 Kyankwanzi-bukomero-24h'!J77,'21.10 Kyankwanzi-bukomero-24h'!J77)</f>
        <v>0</v>
      </c>
      <c r="K77" s="49">
        <f>AVERAGE('19.10 Kyankwanzi-bukomero-24h'!K77,'21.10 Kyankwanzi-bukomero-24h'!K77)</f>
        <v>0</v>
      </c>
      <c r="L77" s="49">
        <f>AVERAGE('19.10 Kyankwanzi-bukomero-24h'!L77,'21.10 Kyankwanzi-bukomero-24h'!L77)</f>
        <v>0</v>
      </c>
      <c r="M77" s="49">
        <f>AVERAGE('19.10 Kyankwanzi-bukomero-24h'!M77,'21.10 Kyankwanzi-bukomero-24h'!M77)</f>
        <v>7</v>
      </c>
      <c r="N77" s="49">
        <f>AVERAGE('19.10 Kyankwanzi-bukomero-24h'!N77,'21.10 Kyankwanzi-bukomero-24h'!N77)</f>
        <v>0</v>
      </c>
      <c r="O77" s="15">
        <f t="shared" si="35"/>
        <v>0.5</v>
      </c>
      <c r="P77" s="15">
        <f t="shared" si="36"/>
        <v>7.5</v>
      </c>
      <c r="R77" s="8"/>
      <c r="T77"/>
    </row>
    <row r="78" spans="2:20" ht="23.1" customHeight="1" x14ac:dyDescent="0.25">
      <c r="B78" s="24" t="s">
        <v>118</v>
      </c>
      <c r="C78" s="49">
        <f>AVERAGE('19.10 Kyankwanzi-bukomero-24h'!C78,'21.10 Kyankwanzi-bukomero-24h'!C78)</f>
        <v>0</v>
      </c>
      <c r="D78" s="49">
        <f>AVERAGE('19.10 Kyankwanzi-bukomero-24h'!D78,'21.10 Kyankwanzi-bukomero-24h'!D78)</f>
        <v>0</v>
      </c>
      <c r="E78" s="49">
        <f>AVERAGE('19.10 Kyankwanzi-bukomero-24h'!E78,'21.10 Kyankwanzi-bukomero-24h'!E78)</f>
        <v>0</v>
      </c>
      <c r="F78" s="49">
        <f>AVERAGE('19.10 Kyankwanzi-bukomero-24h'!F78,'21.10 Kyankwanzi-bukomero-24h'!F78)</f>
        <v>0</v>
      </c>
      <c r="G78" s="49">
        <f>AVERAGE('19.10 Kyankwanzi-bukomero-24h'!G78,'21.10 Kyankwanzi-bukomero-24h'!G78)</f>
        <v>0</v>
      </c>
      <c r="H78" s="49">
        <f>AVERAGE('19.10 Kyankwanzi-bukomero-24h'!H78,'21.10 Kyankwanzi-bukomero-24h'!H78)</f>
        <v>0</v>
      </c>
      <c r="I78" s="49">
        <f>AVERAGE('19.10 Kyankwanzi-bukomero-24h'!I78,'21.10 Kyankwanzi-bukomero-24h'!I78)</f>
        <v>1.5</v>
      </c>
      <c r="J78" s="49">
        <f>AVERAGE('19.10 Kyankwanzi-bukomero-24h'!J78,'21.10 Kyankwanzi-bukomero-24h'!J78)</f>
        <v>0</v>
      </c>
      <c r="K78" s="49">
        <f>AVERAGE('19.10 Kyankwanzi-bukomero-24h'!K78,'21.10 Kyankwanzi-bukomero-24h'!K78)</f>
        <v>0</v>
      </c>
      <c r="L78" s="49">
        <f>AVERAGE('19.10 Kyankwanzi-bukomero-24h'!L78,'21.10 Kyankwanzi-bukomero-24h'!L78)</f>
        <v>0</v>
      </c>
      <c r="M78" s="49">
        <f>AVERAGE('19.10 Kyankwanzi-bukomero-24h'!M78,'21.10 Kyankwanzi-bukomero-24h'!M78)</f>
        <v>2</v>
      </c>
      <c r="N78" s="49">
        <f>AVERAGE('19.10 Kyankwanzi-bukomero-24h'!N78,'21.10 Kyankwanzi-bukomero-24h'!N78)</f>
        <v>0</v>
      </c>
      <c r="O78" s="15">
        <f t="shared" si="35"/>
        <v>1.5</v>
      </c>
      <c r="P78" s="15">
        <f t="shared" si="36"/>
        <v>3.5</v>
      </c>
      <c r="R78" s="8"/>
      <c r="T78"/>
    </row>
    <row r="79" spans="2:20" ht="23.1" customHeight="1" x14ac:dyDescent="0.25">
      <c r="B79" s="23" t="s">
        <v>119</v>
      </c>
      <c r="C79" s="49">
        <f>AVERAGE('19.10 Kyankwanzi-bukomero-24h'!C79,'21.10 Kyankwanzi-bukomero-24h'!C79)</f>
        <v>0</v>
      </c>
      <c r="D79" s="49">
        <f>AVERAGE('19.10 Kyankwanzi-bukomero-24h'!D79,'21.10 Kyankwanzi-bukomero-24h'!D79)</f>
        <v>0</v>
      </c>
      <c r="E79" s="49">
        <f>AVERAGE('19.10 Kyankwanzi-bukomero-24h'!E79,'21.10 Kyankwanzi-bukomero-24h'!E79)</f>
        <v>0</v>
      </c>
      <c r="F79" s="49">
        <f>AVERAGE('19.10 Kyankwanzi-bukomero-24h'!F79,'21.10 Kyankwanzi-bukomero-24h'!F79)</f>
        <v>0</v>
      </c>
      <c r="G79" s="49">
        <f>AVERAGE('19.10 Kyankwanzi-bukomero-24h'!G79,'21.10 Kyankwanzi-bukomero-24h'!G79)</f>
        <v>0</v>
      </c>
      <c r="H79" s="49">
        <f>AVERAGE('19.10 Kyankwanzi-bukomero-24h'!H79,'21.10 Kyankwanzi-bukomero-24h'!H79)</f>
        <v>0</v>
      </c>
      <c r="I79" s="49">
        <f>AVERAGE('19.10 Kyankwanzi-bukomero-24h'!I79,'21.10 Kyankwanzi-bukomero-24h'!I79)</f>
        <v>0</v>
      </c>
      <c r="J79" s="49">
        <f>AVERAGE('19.10 Kyankwanzi-bukomero-24h'!J79,'21.10 Kyankwanzi-bukomero-24h'!J79)</f>
        <v>0</v>
      </c>
      <c r="K79" s="49">
        <f>AVERAGE('19.10 Kyankwanzi-bukomero-24h'!K79,'21.10 Kyankwanzi-bukomero-24h'!K79)</f>
        <v>0</v>
      </c>
      <c r="L79" s="49">
        <f>AVERAGE('19.10 Kyankwanzi-bukomero-24h'!L79,'21.10 Kyankwanzi-bukomero-24h'!L79)</f>
        <v>0</v>
      </c>
      <c r="M79" s="49">
        <f>AVERAGE('19.10 Kyankwanzi-bukomero-24h'!M79,'21.10 Kyankwanzi-bukomero-24h'!M79)</f>
        <v>0</v>
      </c>
      <c r="N79" s="49">
        <f>AVERAGE('19.10 Kyankwanzi-bukomero-24h'!N79,'21.10 Kyankwanzi-bukomero-24h'!N79)</f>
        <v>0</v>
      </c>
      <c r="O79" s="15">
        <f t="shared" si="35"/>
        <v>0</v>
      </c>
      <c r="P79" s="15">
        <f t="shared" si="36"/>
        <v>0</v>
      </c>
      <c r="R79" s="8"/>
      <c r="T79"/>
    </row>
    <row r="80" spans="2:20" ht="23.1" customHeight="1" x14ac:dyDescent="0.25">
      <c r="B80" s="25" t="s">
        <v>120</v>
      </c>
      <c r="C80" s="49">
        <f>AVERAGE('19.10 Kyankwanzi-bukomero-24h'!C80,'21.10 Kyankwanzi-bukomero-24h'!C80)</f>
        <v>0</v>
      </c>
      <c r="D80" s="49">
        <f>AVERAGE('19.10 Kyankwanzi-bukomero-24h'!D80,'21.10 Kyankwanzi-bukomero-24h'!D80)</f>
        <v>0</v>
      </c>
      <c r="E80" s="49">
        <f>AVERAGE('19.10 Kyankwanzi-bukomero-24h'!E80,'21.10 Kyankwanzi-bukomero-24h'!E80)</f>
        <v>0</v>
      </c>
      <c r="F80" s="49">
        <f>AVERAGE('19.10 Kyankwanzi-bukomero-24h'!F80,'21.10 Kyankwanzi-bukomero-24h'!F80)</f>
        <v>0.5</v>
      </c>
      <c r="G80" s="49">
        <f>AVERAGE('19.10 Kyankwanzi-bukomero-24h'!G80,'21.10 Kyankwanzi-bukomero-24h'!G80)</f>
        <v>0</v>
      </c>
      <c r="H80" s="49">
        <f>AVERAGE('19.10 Kyankwanzi-bukomero-24h'!H80,'21.10 Kyankwanzi-bukomero-24h'!H80)</f>
        <v>0</v>
      </c>
      <c r="I80" s="49">
        <f>AVERAGE('19.10 Kyankwanzi-bukomero-24h'!I80,'21.10 Kyankwanzi-bukomero-24h'!I80)</f>
        <v>0</v>
      </c>
      <c r="J80" s="49">
        <f>AVERAGE('19.10 Kyankwanzi-bukomero-24h'!J80,'21.10 Kyankwanzi-bukomero-24h'!J80)</f>
        <v>0.5</v>
      </c>
      <c r="K80" s="49">
        <f>AVERAGE('19.10 Kyankwanzi-bukomero-24h'!K80,'21.10 Kyankwanzi-bukomero-24h'!K80)</f>
        <v>0</v>
      </c>
      <c r="L80" s="49">
        <f>AVERAGE('19.10 Kyankwanzi-bukomero-24h'!L80,'21.10 Kyankwanzi-bukomero-24h'!L80)</f>
        <v>0</v>
      </c>
      <c r="M80" s="49">
        <f>AVERAGE('19.10 Kyankwanzi-bukomero-24h'!M80,'21.10 Kyankwanzi-bukomero-24h'!M80)</f>
        <v>0.5</v>
      </c>
      <c r="N80" s="49">
        <f>AVERAGE('19.10 Kyankwanzi-bukomero-24h'!N80,'21.10 Kyankwanzi-bukomero-24h'!N80)</f>
        <v>0</v>
      </c>
      <c r="O80" s="15">
        <f t="shared" si="35"/>
        <v>1</v>
      </c>
      <c r="P80" s="15">
        <f t="shared" si="36"/>
        <v>1.5</v>
      </c>
      <c r="R80" s="8"/>
      <c r="T80"/>
    </row>
    <row r="81" spans="2:20" ht="23.1" customHeight="1" x14ac:dyDescent="0.25">
      <c r="B81" s="23" t="s">
        <v>121</v>
      </c>
      <c r="C81" s="49">
        <f>AVERAGE('19.10 Kyankwanzi-bukomero-24h'!C81,'21.10 Kyankwanzi-bukomero-24h'!C81)</f>
        <v>0</v>
      </c>
      <c r="D81" s="49">
        <f>AVERAGE('19.10 Kyankwanzi-bukomero-24h'!D81,'21.10 Kyankwanzi-bukomero-24h'!D81)</f>
        <v>0</v>
      </c>
      <c r="E81" s="49">
        <f>AVERAGE('19.10 Kyankwanzi-bukomero-24h'!E81,'21.10 Kyankwanzi-bukomero-24h'!E81)</f>
        <v>0</v>
      </c>
      <c r="F81" s="49">
        <f>AVERAGE('19.10 Kyankwanzi-bukomero-24h'!F81,'21.10 Kyankwanzi-bukomero-24h'!F81)</f>
        <v>0</v>
      </c>
      <c r="G81" s="49">
        <f>AVERAGE('19.10 Kyankwanzi-bukomero-24h'!G81,'21.10 Kyankwanzi-bukomero-24h'!G81)</f>
        <v>0</v>
      </c>
      <c r="H81" s="49">
        <f>AVERAGE('19.10 Kyankwanzi-bukomero-24h'!H81,'21.10 Kyankwanzi-bukomero-24h'!H81)</f>
        <v>0</v>
      </c>
      <c r="I81" s="49">
        <f>AVERAGE('19.10 Kyankwanzi-bukomero-24h'!I81,'21.10 Kyankwanzi-bukomero-24h'!I81)</f>
        <v>0.5</v>
      </c>
      <c r="J81" s="49">
        <f>AVERAGE('19.10 Kyankwanzi-bukomero-24h'!J81,'21.10 Kyankwanzi-bukomero-24h'!J81)</f>
        <v>0.5</v>
      </c>
      <c r="K81" s="49">
        <f>AVERAGE('19.10 Kyankwanzi-bukomero-24h'!K81,'21.10 Kyankwanzi-bukomero-24h'!K81)</f>
        <v>0</v>
      </c>
      <c r="L81" s="49">
        <f>AVERAGE('19.10 Kyankwanzi-bukomero-24h'!L81,'21.10 Kyankwanzi-bukomero-24h'!L81)</f>
        <v>0</v>
      </c>
      <c r="M81" s="49">
        <f>AVERAGE('19.10 Kyankwanzi-bukomero-24h'!M81,'21.10 Kyankwanzi-bukomero-24h'!M81)</f>
        <v>1</v>
      </c>
      <c r="N81" s="49">
        <f>AVERAGE('19.10 Kyankwanzi-bukomero-24h'!N81,'21.10 Kyankwanzi-bukomero-24h'!N81)</f>
        <v>0</v>
      </c>
      <c r="O81" s="15">
        <f t="shared" si="35"/>
        <v>1</v>
      </c>
      <c r="P81" s="15">
        <f t="shared" si="36"/>
        <v>2</v>
      </c>
      <c r="R81" s="8"/>
      <c r="T81"/>
    </row>
    <row r="82" spans="2:20" ht="23.1" customHeight="1" x14ac:dyDescent="0.25">
      <c r="B82" s="24" t="s">
        <v>122</v>
      </c>
      <c r="C82" s="49">
        <f>AVERAGE('19.10 Kyankwanzi-bukomero-24h'!C82,'21.10 Kyankwanzi-bukomero-24h'!C82)</f>
        <v>1</v>
      </c>
      <c r="D82" s="49">
        <f>AVERAGE('19.10 Kyankwanzi-bukomero-24h'!D82,'21.10 Kyankwanzi-bukomero-24h'!D82)</f>
        <v>0</v>
      </c>
      <c r="E82" s="49">
        <f>AVERAGE('19.10 Kyankwanzi-bukomero-24h'!E82,'21.10 Kyankwanzi-bukomero-24h'!E82)</f>
        <v>0</v>
      </c>
      <c r="F82" s="49">
        <f>AVERAGE('19.10 Kyankwanzi-bukomero-24h'!F82,'21.10 Kyankwanzi-bukomero-24h'!F82)</f>
        <v>0</v>
      </c>
      <c r="G82" s="49">
        <f>AVERAGE('19.10 Kyankwanzi-bukomero-24h'!G82,'21.10 Kyankwanzi-bukomero-24h'!G82)</f>
        <v>0</v>
      </c>
      <c r="H82" s="49">
        <f>AVERAGE('19.10 Kyankwanzi-bukomero-24h'!H82,'21.10 Kyankwanzi-bukomero-24h'!H82)</f>
        <v>0</v>
      </c>
      <c r="I82" s="49">
        <f>AVERAGE('19.10 Kyankwanzi-bukomero-24h'!I82,'21.10 Kyankwanzi-bukomero-24h'!I82)</f>
        <v>2</v>
      </c>
      <c r="J82" s="49">
        <f>AVERAGE('19.10 Kyankwanzi-bukomero-24h'!J82,'21.10 Kyankwanzi-bukomero-24h'!J82)</f>
        <v>0</v>
      </c>
      <c r="K82" s="49">
        <f>AVERAGE('19.10 Kyankwanzi-bukomero-24h'!K82,'21.10 Kyankwanzi-bukomero-24h'!K82)</f>
        <v>0</v>
      </c>
      <c r="L82" s="49">
        <f>AVERAGE('19.10 Kyankwanzi-bukomero-24h'!L82,'21.10 Kyankwanzi-bukomero-24h'!L82)</f>
        <v>0</v>
      </c>
      <c r="M82" s="49">
        <f>AVERAGE('19.10 Kyankwanzi-bukomero-24h'!M82,'21.10 Kyankwanzi-bukomero-24h'!M82)</f>
        <v>0</v>
      </c>
      <c r="N82" s="49">
        <f>AVERAGE('19.10 Kyankwanzi-bukomero-24h'!N82,'21.10 Kyankwanzi-bukomero-24h'!N82)</f>
        <v>0</v>
      </c>
      <c r="O82" s="15">
        <f t="shared" si="35"/>
        <v>3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AVERAGE('19.10 Kyankwanzi-bukomero-24h'!C83,'21.10 Kyankwanzi-bukomero-24h'!C83)</f>
        <v>1</v>
      </c>
      <c r="D83" s="49">
        <f>AVERAGE('19.10 Kyankwanzi-bukomero-24h'!D83,'21.10 Kyankwanzi-bukomero-24h'!D83)</f>
        <v>0</v>
      </c>
      <c r="E83" s="49">
        <f>AVERAGE('19.10 Kyankwanzi-bukomero-24h'!E83,'21.10 Kyankwanzi-bukomero-24h'!E83)</f>
        <v>0</v>
      </c>
      <c r="F83" s="49">
        <f>AVERAGE('19.10 Kyankwanzi-bukomero-24h'!F83,'21.10 Kyankwanzi-bukomero-24h'!F83)</f>
        <v>0</v>
      </c>
      <c r="G83" s="49">
        <f>AVERAGE('19.10 Kyankwanzi-bukomero-24h'!G83,'21.10 Kyankwanzi-bukomero-24h'!G83)</f>
        <v>0</v>
      </c>
      <c r="H83" s="49">
        <f>AVERAGE('19.10 Kyankwanzi-bukomero-24h'!H83,'21.10 Kyankwanzi-bukomero-24h'!H83)</f>
        <v>0</v>
      </c>
      <c r="I83" s="49">
        <f>AVERAGE('19.10 Kyankwanzi-bukomero-24h'!I83,'21.10 Kyankwanzi-bukomero-24h'!I83)</f>
        <v>0</v>
      </c>
      <c r="J83" s="49">
        <f>AVERAGE('19.10 Kyankwanzi-bukomero-24h'!J83,'21.10 Kyankwanzi-bukomero-24h'!J83)</f>
        <v>0.5</v>
      </c>
      <c r="K83" s="49">
        <f>AVERAGE('19.10 Kyankwanzi-bukomero-24h'!K83,'21.10 Kyankwanzi-bukomero-24h'!K83)</f>
        <v>0</v>
      </c>
      <c r="L83" s="49">
        <f>AVERAGE('19.10 Kyankwanzi-bukomero-24h'!L83,'21.10 Kyankwanzi-bukomero-24h'!L83)</f>
        <v>0</v>
      </c>
      <c r="M83" s="49">
        <f>AVERAGE('19.10 Kyankwanzi-bukomero-24h'!M83,'21.10 Kyankwanzi-bukomero-24h'!M83)</f>
        <v>1</v>
      </c>
      <c r="N83" s="49">
        <f>AVERAGE('19.10 Kyankwanzi-bukomero-24h'!N83,'21.10 Kyankwanzi-bukomero-24h'!N83)</f>
        <v>0</v>
      </c>
      <c r="O83" s="15">
        <f t="shared" si="35"/>
        <v>1.5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AVERAGE('19.10 Kyankwanzi-bukomero-24h'!C84,'21.10 Kyankwanzi-bukomero-24h'!C84)</f>
        <v>0</v>
      </c>
      <c r="D84" s="49">
        <f>AVERAGE('19.10 Kyankwanzi-bukomero-24h'!D84,'21.10 Kyankwanzi-bukomero-24h'!D84)</f>
        <v>0</v>
      </c>
      <c r="E84" s="49">
        <f>AVERAGE('19.10 Kyankwanzi-bukomero-24h'!E84,'21.10 Kyankwanzi-bukomero-24h'!E84)</f>
        <v>0</v>
      </c>
      <c r="F84" s="49">
        <f>AVERAGE('19.10 Kyankwanzi-bukomero-24h'!F84,'21.10 Kyankwanzi-bukomero-24h'!F84)</f>
        <v>0</v>
      </c>
      <c r="G84" s="49">
        <f>AVERAGE('19.10 Kyankwanzi-bukomero-24h'!G84,'21.10 Kyankwanzi-bukomero-24h'!G84)</f>
        <v>0</v>
      </c>
      <c r="H84" s="49">
        <f>AVERAGE('19.10 Kyankwanzi-bukomero-24h'!H84,'21.10 Kyankwanzi-bukomero-24h'!H84)</f>
        <v>0</v>
      </c>
      <c r="I84" s="49">
        <f>AVERAGE('19.10 Kyankwanzi-bukomero-24h'!I84,'21.10 Kyankwanzi-bukomero-24h'!I84)</f>
        <v>1.5</v>
      </c>
      <c r="J84" s="49">
        <f>AVERAGE('19.10 Kyankwanzi-bukomero-24h'!J84,'21.10 Kyankwanzi-bukomero-24h'!J84)</f>
        <v>0</v>
      </c>
      <c r="K84" s="49">
        <f>AVERAGE('19.10 Kyankwanzi-bukomero-24h'!K84,'21.10 Kyankwanzi-bukomero-24h'!K84)</f>
        <v>0</v>
      </c>
      <c r="L84" s="49">
        <f>AVERAGE('19.10 Kyankwanzi-bukomero-24h'!L84,'21.10 Kyankwanzi-bukomero-24h'!L84)</f>
        <v>0</v>
      </c>
      <c r="M84" s="49">
        <f>AVERAGE('19.10 Kyankwanzi-bukomero-24h'!M84,'21.10 Kyankwanzi-bukomero-24h'!M84)</f>
        <v>0</v>
      </c>
      <c r="N84" s="49">
        <f>AVERAGE('19.10 Kyankwanzi-bukomero-24h'!N84,'21.10 Kyankwanzi-bukomero-24h'!N84)</f>
        <v>0</v>
      </c>
      <c r="O84" s="15">
        <f t="shared" si="35"/>
        <v>1.5</v>
      </c>
      <c r="P84" s="15">
        <f t="shared" si="36"/>
        <v>1.5</v>
      </c>
      <c r="R84" s="8"/>
      <c r="T84"/>
    </row>
    <row r="85" spans="2:20" ht="23.1" customHeight="1" x14ac:dyDescent="0.25">
      <c r="B85" s="23" t="s">
        <v>125</v>
      </c>
      <c r="C85" s="49">
        <f>AVERAGE('19.10 Kyankwanzi-bukomero-24h'!C85,'21.10 Kyankwanzi-bukomero-24h'!C85)</f>
        <v>0</v>
      </c>
      <c r="D85" s="49">
        <f>AVERAGE('19.10 Kyankwanzi-bukomero-24h'!D85,'21.10 Kyankwanzi-bukomero-24h'!D85)</f>
        <v>0</v>
      </c>
      <c r="E85" s="49">
        <f>AVERAGE('19.10 Kyankwanzi-bukomero-24h'!E85,'21.10 Kyankwanzi-bukomero-24h'!E85)</f>
        <v>0</v>
      </c>
      <c r="F85" s="49">
        <f>AVERAGE('19.10 Kyankwanzi-bukomero-24h'!F85,'21.10 Kyankwanzi-bukomero-24h'!F85)</f>
        <v>0</v>
      </c>
      <c r="G85" s="49">
        <f>AVERAGE('19.10 Kyankwanzi-bukomero-24h'!G85,'21.10 Kyankwanzi-bukomero-24h'!G85)</f>
        <v>0</v>
      </c>
      <c r="H85" s="49">
        <f>AVERAGE('19.10 Kyankwanzi-bukomero-24h'!H85,'21.10 Kyankwanzi-bukomero-24h'!H85)</f>
        <v>0</v>
      </c>
      <c r="I85" s="49">
        <f>AVERAGE('19.10 Kyankwanzi-bukomero-24h'!I85,'21.10 Kyankwanzi-bukomero-24h'!I85)</f>
        <v>0.5</v>
      </c>
      <c r="J85" s="49">
        <f>AVERAGE('19.10 Kyankwanzi-bukomero-24h'!J85,'21.10 Kyankwanzi-bukomero-24h'!J85)</f>
        <v>0</v>
      </c>
      <c r="K85" s="49">
        <f>AVERAGE('19.10 Kyankwanzi-bukomero-24h'!K85,'21.10 Kyankwanzi-bukomero-24h'!K85)</f>
        <v>0</v>
      </c>
      <c r="L85" s="49">
        <f>AVERAGE('19.10 Kyankwanzi-bukomero-24h'!L85,'21.10 Kyankwanzi-bukomero-24h'!L85)</f>
        <v>0</v>
      </c>
      <c r="M85" s="49">
        <f>AVERAGE('19.10 Kyankwanzi-bukomero-24h'!M85,'21.10 Kyankwanzi-bukomero-24h'!M85)</f>
        <v>2</v>
      </c>
      <c r="N85" s="49">
        <f>AVERAGE('19.10 Kyankwanzi-bukomero-24h'!N85,'21.10 Kyankwanzi-bukomero-24h'!N85)</f>
        <v>0</v>
      </c>
      <c r="O85" s="15">
        <f t="shared" si="35"/>
        <v>0.5</v>
      </c>
      <c r="P85" s="15">
        <f t="shared" si="36"/>
        <v>2.5</v>
      </c>
      <c r="R85" s="8"/>
      <c r="T85"/>
    </row>
    <row r="86" spans="2:20" ht="23.1" customHeight="1" x14ac:dyDescent="0.25">
      <c r="B86" s="24" t="s">
        <v>126</v>
      </c>
      <c r="C86" s="49">
        <f>AVERAGE('19.10 Kyankwanzi-bukomero-24h'!C86,'21.10 Kyankwanzi-bukomero-24h'!C86)</f>
        <v>0.5</v>
      </c>
      <c r="D86" s="49">
        <f>AVERAGE('19.10 Kyankwanzi-bukomero-24h'!D86,'21.10 Kyankwanzi-bukomero-24h'!D86)</f>
        <v>0</v>
      </c>
      <c r="E86" s="49">
        <f>AVERAGE('19.10 Kyankwanzi-bukomero-24h'!E86,'21.10 Kyankwanzi-bukomero-24h'!E86)</f>
        <v>0</v>
      </c>
      <c r="F86" s="49">
        <f>AVERAGE('19.10 Kyankwanzi-bukomero-24h'!F86,'21.10 Kyankwanzi-bukomero-24h'!F86)</f>
        <v>0</v>
      </c>
      <c r="G86" s="49">
        <f>AVERAGE('19.10 Kyankwanzi-bukomero-24h'!G86,'21.10 Kyankwanzi-bukomero-24h'!G86)</f>
        <v>0</v>
      </c>
      <c r="H86" s="49">
        <f>AVERAGE('19.10 Kyankwanzi-bukomero-24h'!H86,'21.10 Kyankwanzi-bukomero-24h'!H86)</f>
        <v>0</v>
      </c>
      <c r="I86" s="49">
        <f>AVERAGE('19.10 Kyankwanzi-bukomero-24h'!I86,'21.10 Kyankwanzi-bukomero-24h'!I86)</f>
        <v>1</v>
      </c>
      <c r="J86" s="49">
        <f>AVERAGE('19.10 Kyankwanzi-bukomero-24h'!J86,'21.10 Kyankwanzi-bukomero-24h'!J86)</f>
        <v>0.5</v>
      </c>
      <c r="K86" s="49">
        <f>AVERAGE('19.10 Kyankwanzi-bukomero-24h'!K86,'21.10 Kyankwanzi-bukomero-24h'!K86)</f>
        <v>0</v>
      </c>
      <c r="L86" s="49">
        <f>AVERAGE('19.10 Kyankwanzi-bukomero-24h'!L86,'21.10 Kyankwanzi-bukomero-24h'!L86)</f>
        <v>0</v>
      </c>
      <c r="M86" s="49">
        <f>AVERAGE('19.10 Kyankwanzi-bukomero-24h'!M86,'21.10 Kyankwanzi-bukomero-24h'!M86)</f>
        <v>0</v>
      </c>
      <c r="N86" s="49">
        <f>AVERAGE('19.10 Kyankwanzi-bukomero-24h'!N86,'21.10 Kyankwanzi-bukomero-24h'!N86)</f>
        <v>0</v>
      </c>
      <c r="O86" s="15">
        <f t="shared" si="35"/>
        <v>2</v>
      </c>
      <c r="P86" s="15">
        <f t="shared" si="36"/>
        <v>2</v>
      </c>
      <c r="R86" s="8"/>
      <c r="T86"/>
    </row>
    <row r="87" spans="2:20" ht="23.1" customHeight="1" x14ac:dyDescent="0.25">
      <c r="B87" s="23" t="s">
        <v>127</v>
      </c>
      <c r="C87" s="49">
        <f>AVERAGE('19.10 Kyankwanzi-bukomero-24h'!C87,'21.10 Kyankwanzi-bukomero-24h'!C87)</f>
        <v>0</v>
      </c>
      <c r="D87" s="49">
        <f>AVERAGE('19.10 Kyankwanzi-bukomero-24h'!D87,'21.10 Kyankwanzi-bukomero-24h'!D87)</f>
        <v>0</v>
      </c>
      <c r="E87" s="49">
        <f>AVERAGE('19.10 Kyankwanzi-bukomero-24h'!E87,'21.10 Kyankwanzi-bukomero-24h'!E87)</f>
        <v>0</v>
      </c>
      <c r="F87" s="49">
        <f>AVERAGE('19.10 Kyankwanzi-bukomero-24h'!F87,'21.10 Kyankwanzi-bukomero-24h'!F87)</f>
        <v>0</v>
      </c>
      <c r="G87" s="49">
        <f>AVERAGE('19.10 Kyankwanzi-bukomero-24h'!G87,'21.10 Kyankwanzi-bukomero-24h'!G87)</f>
        <v>0</v>
      </c>
      <c r="H87" s="49">
        <f>AVERAGE('19.10 Kyankwanzi-bukomero-24h'!H87,'21.10 Kyankwanzi-bukomero-24h'!H87)</f>
        <v>0</v>
      </c>
      <c r="I87" s="49">
        <f>AVERAGE('19.10 Kyankwanzi-bukomero-24h'!I87,'21.10 Kyankwanzi-bukomero-24h'!I87)</f>
        <v>0</v>
      </c>
      <c r="J87" s="49">
        <f>AVERAGE('19.10 Kyankwanzi-bukomero-24h'!J87,'21.10 Kyankwanzi-bukomero-24h'!J87)</f>
        <v>0</v>
      </c>
      <c r="K87" s="49">
        <f>AVERAGE('19.10 Kyankwanzi-bukomero-24h'!K87,'21.10 Kyankwanzi-bukomero-24h'!K87)</f>
        <v>0</v>
      </c>
      <c r="L87" s="49">
        <f>AVERAGE('19.10 Kyankwanzi-bukomero-24h'!L87,'21.10 Kyankwanzi-bukomero-24h'!L87)</f>
        <v>0</v>
      </c>
      <c r="M87" s="49">
        <f>AVERAGE('19.10 Kyankwanzi-bukomero-24h'!M87,'21.10 Kyankwanzi-bukomero-24h'!M87)</f>
        <v>2.5</v>
      </c>
      <c r="N87" s="49">
        <f>AVERAGE('19.10 Kyankwanzi-bukomero-24h'!N87,'21.10 Kyankwanzi-bukomero-24h'!N87)</f>
        <v>0</v>
      </c>
      <c r="O87" s="15">
        <f t="shared" si="35"/>
        <v>0</v>
      </c>
      <c r="P87" s="15">
        <f t="shared" si="36"/>
        <v>2.5</v>
      </c>
      <c r="R87" s="8"/>
      <c r="T87"/>
    </row>
    <row r="88" spans="2:20" ht="23.1" customHeight="1" x14ac:dyDescent="0.25">
      <c r="B88" s="25" t="s">
        <v>128</v>
      </c>
      <c r="C88" s="49">
        <f>AVERAGE('19.10 Kyankwanzi-bukomero-24h'!C88,'21.10 Kyankwanzi-bukomero-24h'!C88)</f>
        <v>0</v>
      </c>
      <c r="D88" s="49">
        <f>AVERAGE('19.10 Kyankwanzi-bukomero-24h'!D88,'21.10 Kyankwanzi-bukomero-24h'!D88)</f>
        <v>0</v>
      </c>
      <c r="E88" s="49">
        <f>AVERAGE('19.10 Kyankwanzi-bukomero-24h'!E88,'21.10 Kyankwanzi-bukomero-24h'!E88)</f>
        <v>0</v>
      </c>
      <c r="F88" s="49">
        <f>AVERAGE('19.10 Kyankwanzi-bukomero-24h'!F88,'21.10 Kyankwanzi-bukomero-24h'!F88)</f>
        <v>0</v>
      </c>
      <c r="G88" s="49">
        <f>AVERAGE('19.10 Kyankwanzi-bukomero-24h'!G88,'21.10 Kyankwanzi-bukomero-24h'!G88)</f>
        <v>0</v>
      </c>
      <c r="H88" s="49">
        <f>AVERAGE('19.10 Kyankwanzi-bukomero-24h'!H88,'21.10 Kyankwanzi-bukomero-24h'!H88)</f>
        <v>0</v>
      </c>
      <c r="I88" s="49">
        <f>AVERAGE('19.10 Kyankwanzi-bukomero-24h'!I88,'21.10 Kyankwanzi-bukomero-24h'!I88)</f>
        <v>2</v>
      </c>
      <c r="J88" s="49">
        <f>AVERAGE('19.10 Kyankwanzi-bukomero-24h'!J88,'21.10 Kyankwanzi-bukomero-24h'!J88)</f>
        <v>0</v>
      </c>
      <c r="K88" s="49">
        <f>AVERAGE('19.10 Kyankwanzi-bukomero-24h'!K88,'21.10 Kyankwanzi-bukomero-24h'!K88)</f>
        <v>0</v>
      </c>
      <c r="L88" s="49">
        <f>AVERAGE('19.10 Kyankwanzi-bukomero-24h'!L88,'21.10 Kyankwanzi-bukomero-24h'!L88)</f>
        <v>0</v>
      </c>
      <c r="M88" s="49">
        <f>AVERAGE('19.10 Kyankwanzi-bukomero-24h'!M88,'21.10 Kyankwanzi-bukomero-24h'!M88)</f>
        <v>0</v>
      </c>
      <c r="N88" s="49">
        <f>AVERAGE('19.10 Kyankwanzi-bukomero-24h'!N88,'21.10 Kyankwanzi-bukomero-24h'!N88)</f>
        <v>0</v>
      </c>
      <c r="O88" s="15">
        <f t="shared" si="35"/>
        <v>2</v>
      </c>
      <c r="P88" s="15">
        <f t="shared" si="36"/>
        <v>2</v>
      </c>
      <c r="R88" s="8"/>
      <c r="T88"/>
    </row>
    <row r="89" spans="2:20" ht="23.1" customHeight="1" x14ac:dyDescent="0.25">
      <c r="B89" s="23" t="s">
        <v>129</v>
      </c>
      <c r="C89" s="49">
        <f>AVERAGE('19.10 Kyankwanzi-bukomero-24h'!C89,'21.10 Kyankwanzi-bukomero-24h'!C89)</f>
        <v>0</v>
      </c>
      <c r="D89" s="49">
        <f>AVERAGE('19.10 Kyankwanzi-bukomero-24h'!D89,'21.10 Kyankwanzi-bukomero-24h'!D89)</f>
        <v>0</v>
      </c>
      <c r="E89" s="49">
        <f>AVERAGE('19.10 Kyankwanzi-bukomero-24h'!E89,'21.10 Kyankwanzi-bukomero-24h'!E89)</f>
        <v>0</v>
      </c>
      <c r="F89" s="49">
        <f>AVERAGE('19.10 Kyankwanzi-bukomero-24h'!F89,'21.10 Kyankwanzi-bukomero-24h'!F89)</f>
        <v>0</v>
      </c>
      <c r="G89" s="49">
        <f>AVERAGE('19.10 Kyankwanzi-bukomero-24h'!G89,'21.10 Kyankwanzi-bukomero-24h'!G89)</f>
        <v>0</v>
      </c>
      <c r="H89" s="49">
        <f>AVERAGE('19.10 Kyankwanzi-bukomero-24h'!H89,'21.10 Kyankwanzi-bukomero-24h'!H89)</f>
        <v>0</v>
      </c>
      <c r="I89" s="49">
        <f>AVERAGE('19.10 Kyankwanzi-bukomero-24h'!I89,'21.10 Kyankwanzi-bukomero-24h'!I89)</f>
        <v>0</v>
      </c>
      <c r="J89" s="49">
        <f>AVERAGE('19.10 Kyankwanzi-bukomero-24h'!J89,'21.10 Kyankwanzi-bukomero-24h'!J89)</f>
        <v>0</v>
      </c>
      <c r="K89" s="49">
        <f>AVERAGE('19.10 Kyankwanzi-bukomero-24h'!K89,'21.10 Kyankwanzi-bukomero-24h'!K89)</f>
        <v>0</v>
      </c>
      <c r="L89" s="49">
        <f>AVERAGE('19.10 Kyankwanzi-bukomero-24h'!L89,'21.10 Kyankwanzi-bukomero-24h'!L89)</f>
        <v>0</v>
      </c>
      <c r="M89" s="49">
        <f>AVERAGE('19.10 Kyankwanzi-bukomero-24h'!M89,'21.10 Kyankwanzi-bukomero-24h'!M89)</f>
        <v>0.5</v>
      </c>
      <c r="N89" s="49">
        <f>AVERAGE('19.10 Kyankwanzi-bukomero-24h'!N89,'21.10 Kyankwanzi-bukomero-24h'!N89)</f>
        <v>0</v>
      </c>
      <c r="O89" s="15">
        <f t="shared" si="35"/>
        <v>0</v>
      </c>
      <c r="P89" s="15">
        <f t="shared" si="36"/>
        <v>0.5</v>
      </c>
      <c r="R89" s="8"/>
      <c r="T89"/>
    </row>
    <row r="90" spans="2:20" ht="23.1" customHeight="1" x14ac:dyDescent="0.25">
      <c r="B90" s="24" t="s">
        <v>130</v>
      </c>
      <c r="C90" s="49">
        <f>AVERAGE('19.10 Kyankwanzi-bukomero-24h'!C90,'21.10 Kyankwanzi-bukomero-24h'!C90)</f>
        <v>0.5</v>
      </c>
      <c r="D90" s="49">
        <f>AVERAGE('19.10 Kyankwanzi-bukomero-24h'!D90,'21.10 Kyankwanzi-bukomero-24h'!D90)</f>
        <v>0</v>
      </c>
      <c r="E90" s="49">
        <f>AVERAGE('19.10 Kyankwanzi-bukomero-24h'!E90,'21.10 Kyankwanzi-bukomero-24h'!E90)</f>
        <v>0</v>
      </c>
      <c r="F90" s="49">
        <f>AVERAGE('19.10 Kyankwanzi-bukomero-24h'!F90,'21.10 Kyankwanzi-bukomero-24h'!F90)</f>
        <v>0</v>
      </c>
      <c r="G90" s="49">
        <f>AVERAGE('19.10 Kyankwanzi-bukomero-24h'!G90,'21.10 Kyankwanzi-bukomero-24h'!G90)</f>
        <v>0</v>
      </c>
      <c r="H90" s="49">
        <f>AVERAGE('19.10 Kyankwanzi-bukomero-24h'!H90,'21.10 Kyankwanzi-bukomero-24h'!H90)</f>
        <v>0</v>
      </c>
      <c r="I90" s="49">
        <f>AVERAGE('19.10 Kyankwanzi-bukomero-24h'!I90,'21.10 Kyankwanzi-bukomero-24h'!I90)</f>
        <v>1.5</v>
      </c>
      <c r="J90" s="49">
        <f>AVERAGE('19.10 Kyankwanzi-bukomero-24h'!J90,'21.10 Kyankwanzi-bukomero-24h'!J90)</f>
        <v>0</v>
      </c>
      <c r="K90" s="49">
        <f>AVERAGE('19.10 Kyankwanzi-bukomero-24h'!K90,'21.10 Kyankwanzi-bukomero-24h'!K90)</f>
        <v>0</v>
      </c>
      <c r="L90" s="49">
        <f>AVERAGE('19.10 Kyankwanzi-bukomero-24h'!L90,'21.10 Kyankwanzi-bukomero-24h'!L90)</f>
        <v>0</v>
      </c>
      <c r="M90" s="49">
        <f>AVERAGE('19.10 Kyankwanzi-bukomero-24h'!M90,'21.10 Kyankwanzi-bukomero-24h'!M90)</f>
        <v>0.5</v>
      </c>
      <c r="N90" s="49">
        <f>AVERAGE('19.10 Kyankwanzi-bukomero-24h'!N90,'21.10 Kyankwanzi-bukomero-24h'!N90)</f>
        <v>0</v>
      </c>
      <c r="O90" s="15">
        <f t="shared" si="35"/>
        <v>2</v>
      </c>
      <c r="P90" s="15">
        <f t="shared" si="36"/>
        <v>2.5</v>
      </c>
      <c r="R90" s="8"/>
      <c r="T90"/>
    </row>
    <row r="91" spans="2:20" ht="23.1" customHeight="1" x14ac:dyDescent="0.25">
      <c r="B91" s="23" t="s">
        <v>131</v>
      </c>
      <c r="C91" s="49">
        <f>AVERAGE('19.10 Kyankwanzi-bukomero-24h'!C91,'21.10 Kyankwanzi-bukomero-24h'!C91)</f>
        <v>0</v>
      </c>
      <c r="D91" s="49">
        <f>AVERAGE('19.10 Kyankwanzi-bukomero-24h'!D91,'21.10 Kyankwanzi-bukomero-24h'!D91)</f>
        <v>0</v>
      </c>
      <c r="E91" s="49">
        <f>AVERAGE('19.10 Kyankwanzi-bukomero-24h'!E91,'21.10 Kyankwanzi-bukomero-24h'!E91)</f>
        <v>0</v>
      </c>
      <c r="F91" s="49">
        <f>AVERAGE('19.10 Kyankwanzi-bukomero-24h'!F91,'21.10 Kyankwanzi-bukomero-24h'!F91)</f>
        <v>0</v>
      </c>
      <c r="G91" s="49">
        <f>AVERAGE('19.10 Kyankwanzi-bukomero-24h'!G91,'21.10 Kyankwanzi-bukomero-24h'!G91)</f>
        <v>0</v>
      </c>
      <c r="H91" s="49">
        <f>AVERAGE('19.10 Kyankwanzi-bukomero-24h'!H91,'21.10 Kyankwanzi-bukomero-24h'!H91)</f>
        <v>0</v>
      </c>
      <c r="I91" s="49">
        <f>AVERAGE('19.10 Kyankwanzi-bukomero-24h'!I91,'21.10 Kyankwanzi-bukomero-24h'!I91)</f>
        <v>0</v>
      </c>
      <c r="J91" s="49">
        <f>AVERAGE('19.10 Kyankwanzi-bukomero-24h'!J91,'21.10 Kyankwanzi-bukomero-24h'!J91)</f>
        <v>0</v>
      </c>
      <c r="K91" s="49">
        <f>AVERAGE('19.10 Kyankwanzi-bukomero-24h'!K91,'21.10 Kyankwanzi-bukomero-24h'!K91)</f>
        <v>0</v>
      </c>
      <c r="L91" s="49">
        <f>AVERAGE('19.10 Kyankwanzi-bukomero-24h'!L91,'21.10 Kyankwanzi-bukomero-24h'!L91)</f>
        <v>0</v>
      </c>
      <c r="M91" s="49">
        <f>AVERAGE('19.10 Kyankwanzi-bukomero-24h'!M91,'21.10 Kyankwanzi-bukomero-24h'!M91)</f>
        <v>0.5</v>
      </c>
      <c r="N91" s="49">
        <f>AVERAGE('19.10 Kyankwanzi-bukomero-24h'!N91,'21.10 Kyankwanzi-bukomero-24h'!N91)</f>
        <v>0</v>
      </c>
      <c r="O91" s="15">
        <f t="shared" si="35"/>
        <v>0</v>
      </c>
      <c r="P91" s="15">
        <f t="shared" si="36"/>
        <v>0.5</v>
      </c>
      <c r="R91" s="8"/>
      <c r="T91"/>
    </row>
    <row r="92" spans="2:20" ht="23.1" customHeight="1" x14ac:dyDescent="0.25">
      <c r="B92" s="25" t="s">
        <v>132</v>
      </c>
      <c r="C92" s="49">
        <f>AVERAGE('19.10 Kyankwanzi-bukomero-24h'!C92,'21.10 Kyankwanzi-bukomero-24h'!C92)</f>
        <v>0</v>
      </c>
      <c r="D92" s="49">
        <f>AVERAGE('19.10 Kyankwanzi-bukomero-24h'!D92,'21.10 Kyankwanzi-bukomero-24h'!D92)</f>
        <v>0</v>
      </c>
      <c r="E92" s="49">
        <f>AVERAGE('19.10 Kyankwanzi-bukomero-24h'!E92,'21.10 Kyankwanzi-bukomero-24h'!E92)</f>
        <v>0</v>
      </c>
      <c r="F92" s="49">
        <f>AVERAGE('19.10 Kyankwanzi-bukomero-24h'!F92,'21.10 Kyankwanzi-bukomero-24h'!F92)</f>
        <v>0</v>
      </c>
      <c r="G92" s="49">
        <f>AVERAGE('19.10 Kyankwanzi-bukomero-24h'!G92,'21.10 Kyankwanzi-bukomero-24h'!G92)</f>
        <v>0</v>
      </c>
      <c r="H92" s="49">
        <f>AVERAGE('19.10 Kyankwanzi-bukomero-24h'!H92,'21.10 Kyankwanzi-bukomero-24h'!H92)</f>
        <v>0</v>
      </c>
      <c r="I92" s="49">
        <f>AVERAGE('19.10 Kyankwanzi-bukomero-24h'!I92,'21.10 Kyankwanzi-bukomero-24h'!I92)</f>
        <v>0</v>
      </c>
      <c r="J92" s="49">
        <f>AVERAGE('19.10 Kyankwanzi-bukomero-24h'!J92,'21.10 Kyankwanzi-bukomero-24h'!J92)</f>
        <v>0</v>
      </c>
      <c r="K92" s="49">
        <f>AVERAGE('19.10 Kyankwanzi-bukomero-24h'!K92,'21.10 Kyankwanzi-bukomero-24h'!K92)</f>
        <v>0</v>
      </c>
      <c r="L92" s="49">
        <f>AVERAGE('19.10 Kyankwanzi-bukomero-24h'!L92,'21.10 Kyankwanzi-bukomero-24h'!L92)</f>
        <v>0</v>
      </c>
      <c r="M92" s="49">
        <f>AVERAGE('19.10 Kyankwanzi-bukomero-24h'!M92,'21.10 Kyankwanzi-bukomero-24h'!M92)</f>
        <v>0</v>
      </c>
      <c r="N92" s="49">
        <f>AVERAGE('19.10 Kyankwanzi-bukomero-24h'!N92,'21.10 Kyankwanzi-bukomero-24h'!N92)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AVERAGE('19.10 Kyankwanzi-bukomero-24h'!C93,'21.10 Kyankwanzi-bukomero-24h'!C93)</f>
        <v>0</v>
      </c>
      <c r="D93" s="49">
        <f>AVERAGE('19.10 Kyankwanzi-bukomero-24h'!D93,'21.10 Kyankwanzi-bukomero-24h'!D93)</f>
        <v>1</v>
      </c>
      <c r="E93" s="49">
        <f>AVERAGE('19.10 Kyankwanzi-bukomero-24h'!E93,'21.10 Kyankwanzi-bukomero-24h'!E93)</f>
        <v>0</v>
      </c>
      <c r="F93" s="49">
        <f>AVERAGE('19.10 Kyankwanzi-bukomero-24h'!F93,'21.10 Kyankwanzi-bukomero-24h'!F93)</f>
        <v>0</v>
      </c>
      <c r="G93" s="49">
        <f>AVERAGE('19.10 Kyankwanzi-bukomero-24h'!G93,'21.10 Kyankwanzi-bukomero-24h'!G93)</f>
        <v>0</v>
      </c>
      <c r="H93" s="49">
        <f>AVERAGE('19.10 Kyankwanzi-bukomero-24h'!H93,'21.10 Kyankwanzi-bukomero-24h'!H93)</f>
        <v>0</v>
      </c>
      <c r="I93" s="49">
        <f>AVERAGE('19.10 Kyankwanzi-bukomero-24h'!I93,'21.10 Kyankwanzi-bukomero-24h'!I93)</f>
        <v>3.5</v>
      </c>
      <c r="J93" s="49">
        <f>AVERAGE('19.10 Kyankwanzi-bukomero-24h'!J93,'21.10 Kyankwanzi-bukomero-24h'!J93)</f>
        <v>0.5</v>
      </c>
      <c r="K93" s="49">
        <f>AVERAGE('19.10 Kyankwanzi-bukomero-24h'!K93,'21.10 Kyankwanzi-bukomero-24h'!K93)</f>
        <v>0</v>
      </c>
      <c r="L93" s="49">
        <f>AVERAGE('19.10 Kyankwanzi-bukomero-24h'!L93,'21.10 Kyankwanzi-bukomero-24h'!L93)</f>
        <v>0</v>
      </c>
      <c r="M93" s="49">
        <f>AVERAGE('19.10 Kyankwanzi-bukomero-24h'!M93,'21.10 Kyankwanzi-bukomero-24h'!M93)</f>
        <v>0</v>
      </c>
      <c r="N93" s="49">
        <f>AVERAGE('19.10 Kyankwanzi-bukomero-24h'!N93,'21.10 Kyankwanzi-bukomero-24h'!N93)</f>
        <v>0</v>
      </c>
      <c r="O93" s="15">
        <f t="shared" si="35"/>
        <v>5</v>
      </c>
      <c r="P93" s="15">
        <f t="shared" si="36"/>
        <v>5</v>
      </c>
      <c r="R93" s="8"/>
      <c r="T93"/>
    </row>
    <row r="94" spans="2:20" ht="23.1" customHeight="1" x14ac:dyDescent="0.25">
      <c r="B94" s="24" t="s">
        <v>134</v>
      </c>
      <c r="C94" s="49">
        <f>AVERAGE('19.10 Kyankwanzi-bukomero-24h'!C94,'21.10 Kyankwanzi-bukomero-24h'!C94)</f>
        <v>0</v>
      </c>
      <c r="D94" s="49">
        <f>AVERAGE('19.10 Kyankwanzi-bukomero-24h'!D94,'21.10 Kyankwanzi-bukomero-24h'!D94)</f>
        <v>0</v>
      </c>
      <c r="E94" s="49">
        <f>AVERAGE('19.10 Kyankwanzi-bukomero-24h'!E94,'21.10 Kyankwanzi-bukomero-24h'!E94)</f>
        <v>0</v>
      </c>
      <c r="F94" s="49">
        <f>AVERAGE('19.10 Kyankwanzi-bukomero-24h'!F94,'21.10 Kyankwanzi-bukomero-24h'!F94)</f>
        <v>0</v>
      </c>
      <c r="G94" s="49">
        <f>AVERAGE('19.10 Kyankwanzi-bukomero-24h'!G94,'21.10 Kyankwanzi-bukomero-24h'!G94)</f>
        <v>0</v>
      </c>
      <c r="H94" s="49">
        <f>AVERAGE('19.10 Kyankwanzi-bukomero-24h'!H94,'21.10 Kyankwanzi-bukomero-24h'!H94)</f>
        <v>0</v>
      </c>
      <c r="I94" s="49">
        <f>AVERAGE('19.10 Kyankwanzi-bukomero-24h'!I94,'21.10 Kyankwanzi-bukomero-24h'!I94)</f>
        <v>0</v>
      </c>
      <c r="J94" s="49">
        <f>AVERAGE('19.10 Kyankwanzi-bukomero-24h'!J94,'21.10 Kyankwanzi-bukomero-24h'!J94)</f>
        <v>0</v>
      </c>
      <c r="K94" s="49">
        <f>AVERAGE('19.10 Kyankwanzi-bukomero-24h'!K94,'21.10 Kyankwanzi-bukomero-24h'!K94)</f>
        <v>0</v>
      </c>
      <c r="L94" s="49">
        <f>AVERAGE('19.10 Kyankwanzi-bukomero-24h'!L94,'21.10 Kyankwanzi-bukomero-24h'!L94)</f>
        <v>0</v>
      </c>
      <c r="M94" s="49">
        <f>AVERAGE('19.10 Kyankwanzi-bukomero-24h'!M94,'21.10 Kyankwanzi-bukomero-24h'!M94)</f>
        <v>0.5</v>
      </c>
      <c r="N94" s="49">
        <f>AVERAGE('19.10 Kyankwanzi-bukomero-24h'!N94,'21.10 Kyankwanzi-bukomero-24h'!N94)</f>
        <v>0</v>
      </c>
      <c r="O94" s="15">
        <f t="shared" si="35"/>
        <v>0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AVERAGE('19.10 Kyankwanzi-bukomero-24h'!C95,'21.10 Kyankwanzi-bukomero-24h'!C95)</f>
        <v>0</v>
      </c>
      <c r="D95" s="49">
        <f>AVERAGE('19.10 Kyankwanzi-bukomero-24h'!D95,'21.10 Kyankwanzi-bukomero-24h'!D95)</f>
        <v>0</v>
      </c>
      <c r="E95" s="49">
        <f>AVERAGE('19.10 Kyankwanzi-bukomero-24h'!E95,'21.10 Kyankwanzi-bukomero-24h'!E95)</f>
        <v>0</v>
      </c>
      <c r="F95" s="49">
        <f>AVERAGE('19.10 Kyankwanzi-bukomero-24h'!F95,'21.10 Kyankwanzi-bukomero-24h'!F95)</f>
        <v>0</v>
      </c>
      <c r="G95" s="49">
        <f>AVERAGE('19.10 Kyankwanzi-bukomero-24h'!G95,'21.10 Kyankwanzi-bukomero-24h'!G95)</f>
        <v>0</v>
      </c>
      <c r="H95" s="49">
        <f>AVERAGE('19.10 Kyankwanzi-bukomero-24h'!H95,'21.10 Kyankwanzi-bukomero-24h'!H95)</f>
        <v>0</v>
      </c>
      <c r="I95" s="49">
        <f>AVERAGE('19.10 Kyankwanzi-bukomero-24h'!I95,'21.10 Kyankwanzi-bukomero-24h'!I95)</f>
        <v>1</v>
      </c>
      <c r="J95" s="49">
        <f>AVERAGE('19.10 Kyankwanzi-bukomero-24h'!J95,'21.10 Kyankwanzi-bukomero-24h'!J95)</f>
        <v>1</v>
      </c>
      <c r="K95" s="49">
        <f>AVERAGE('19.10 Kyankwanzi-bukomero-24h'!K95,'21.10 Kyankwanzi-bukomero-24h'!K95)</f>
        <v>0</v>
      </c>
      <c r="L95" s="49">
        <f>AVERAGE('19.10 Kyankwanzi-bukomero-24h'!L95,'21.10 Kyankwanzi-bukomero-24h'!L95)</f>
        <v>0</v>
      </c>
      <c r="M95" s="49">
        <f>AVERAGE('19.10 Kyankwanzi-bukomero-24h'!M95,'21.10 Kyankwanzi-bukomero-24h'!M95)</f>
        <v>0.5</v>
      </c>
      <c r="N95" s="49">
        <f>AVERAGE('19.10 Kyankwanzi-bukomero-24h'!N95,'21.10 Kyankwanzi-bukomero-24h'!N95)</f>
        <v>0</v>
      </c>
      <c r="O95" s="15">
        <f t="shared" si="35"/>
        <v>2</v>
      </c>
      <c r="P95" s="15">
        <f t="shared" si="36"/>
        <v>2.5</v>
      </c>
      <c r="R95" s="8"/>
      <c r="T95"/>
    </row>
    <row r="96" spans="2:20" ht="23.1" customHeight="1" x14ac:dyDescent="0.25">
      <c r="B96" s="25" t="s">
        <v>136</v>
      </c>
      <c r="C96" s="49">
        <f>AVERAGE('19.10 Kyankwanzi-bukomero-24h'!C96,'21.10 Kyankwanzi-bukomero-24h'!C96)</f>
        <v>0</v>
      </c>
      <c r="D96" s="49">
        <f>AVERAGE('19.10 Kyankwanzi-bukomero-24h'!D96,'21.10 Kyankwanzi-bukomero-24h'!D96)</f>
        <v>0</v>
      </c>
      <c r="E96" s="49">
        <f>AVERAGE('19.10 Kyankwanzi-bukomero-24h'!E96,'21.10 Kyankwanzi-bukomero-24h'!E96)</f>
        <v>0</v>
      </c>
      <c r="F96" s="49">
        <f>AVERAGE('19.10 Kyankwanzi-bukomero-24h'!F96,'21.10 Kyankwanzi-bukomero-24h'!F96)</f>
        <v>0.5</v>
      </c>
      <c r="G96" s="49">
        <f>AVERAGE('19.10 Kyankwanzi-bukomero-24h'!G96,'21.10 Kyankwanzi-bukomero-24h'!G96)</f>
        <v>0</v>
      </c>
      <c r="H96" s="49">
        <f>AVERAGE('19.10 Kyankwanzi-bukomero-24h'!H96,'21.10 Kyankwanzi-bukomero-24h'!H96)</f>
        <v>0</v>
      </c>
      <c r="I96" s="49">
        <f>AVERAGE('19.10 Kyankwanzi-bukomero-24h'!I96,'21.10 Kyankwanzi-bukomero-24h'!I96)</f>
        <v>2</v>
      </c>
      <c r="J96" s="49">
        <f>AVERAGE('19.10 Kyankwanzi-bukomero-24h'!J96,'21.10 Kyankwanzi-bukomero-24h'!J96)</f>
        <v>0</v>
      </c>
      <c r="K96" s="49">
        <f>AVERAGE('19.10 Kyankwanzi-bukomero-24h'!K96,'21.10 Kyankwanzi-bukomero-24h'!K96)</f>
        <v>0</v>
      </c>
      <c r="L96" s="49">
        <f>AVERAGE('19.10 Kyankwanzi-bukomero-24h'!L96,'21.10 Kyankwanzi-bukomero-24h'!L96)</f>
        <v>0</v>
      </c>
      <c r="M96" s="49">
        <f>AVERAGE('19.10 Kyankwanzi-bukomero-24h'!M96,'21.10 Kyankwanzi-bukomero-24h'!M96)</f>
        <v>0</v>
      </c>
      <c r="N96" s="49">
        <f>AVERAGE('19.10 Kyankwanzi-bukomero-24h'!N96,'21.10 Kyankwanzi-bukomero-24h'!N96)</f>
        <v>0</v>
      </c>
      <c r="O96" s="15">
        <f t="shared" si="35"/>
        <v>2.5</v>
      </c>
      <c r="P96" s="15">
        <f t="shared" si="36"/>
        <v>2.5</v>
      </c>
      <c r="R96" s="8"/>
      <c r="T96"/>
    </row>
    <row r="97" spans="2:20" ht="23.1" customHeight="1" x14ac:dyDescent="0.25">
      <c r="B97" s="23" t="s">
        <v>137</v>
      </c>
      <c r="C97" s="49">
        <f>AVERAGE('19.10 Kyankwanzi-bukomero-24h'!C97,'21.10 Kyankwanzi-bukomero-24h'!C97)</f>
        <v>0</v>
      </c>
      <c r="D97" s="49">
        <f>AVERAGE('19.10 Kyankwanzi-bukomero-24h'!D97,'21.10 Kyankwanzi-bukomero-24h'!D97)</f>
        <v>0</v>
      </c>
      <c r="E97" s="49">
        <f>AVERAGE('19.10 Kyankwanzi-bukomero-24h'!E97,'21.10 Kyankwanzi-bukomero-24h'!E97)</f>
        <v>0</v>
      </c>
      <c r="F97" s="49">
        <f>AVERAGE('19.10 Kyankwanzi-bukomero-24h'!F97,'21.10 Kyankwanzi-bukomero-24h'!F97)</f>
        <v>0</v>
      </c>
      <c r="G97" s="49">
        <f>AVERAGE('19.10 Kyankwanzi-bukomero-24h'!G97,'21.10 Kyankwanzi-bukomero-24h'!G97)</f>
        <v>0</v>
      </c>
      <c r="H97" s="49">
        <f>AVERAGE('19.10 Kyankwanzi-bukomero-24h'!H97,'21.10 Kyankwanzi-bukomero-24h'!H97)</f>
        <v>0</v>
      </c>
      <c r="I97" s="49">
        <f>AVERAGE('19.10 Kyankwanzi-bukomero-24h'!I97,'21.10 Kyankwanzi-bukomero-24h'!I97)</f>
        <v>0</v>
      </c>
      <c r="J97" s="49">
        <f>AVERAGE('19.10 Kyankwanzi-bukomero-24h'!J97,'21.10 Kyankwanzi-bukomero-24h'!J97)</f>
        <v>0</v>
      </c>
      <c r="K97" s="49">
        <f>AVERAGE('19.10 Kyankwanzi-bukomero-24h'!K97,'21.10 Kyankwanzi-bukomero-24h'!K97)</f>
        <v>0</v>
      </c>
      <c r="L97" s="49">
        <f>AVERAGE('19.10 Kyankwanzi-bukomero-24h'!L97,'21.10 Kyankwanzi-bukomero-24h'!L97)</f>
        <v>0</v>
      </c>
      <c r="M97" s="49">
        <f>AVERAGE('19.10 Kyankwanzi-bukomero-24h'!M97,'21.10 Kyankwanzi-bukomero-24h'!M97)</f>
        <v>0</v>
      </c>
      <c r="N97" s="49">
        <f>AVERAGE('19.10 Kyankwanzi-bukomero-24h'!N97,'21.10 Kyankwanzi-bukomero-24h'!N97)</f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24" t="s">
        <v>138</v>
      </c>
      <c r="C98" s="49">
        <f>AVERAGE('19.10 Kyankwanzi-bukomero-24h'!C98,'21.10 Kyankwanzi-bukomero-24h'!C98)</f>
        <v>1</v>
      </c>
      <c r="D98" s="49">
        <f>AVERAGE('19.10 Kyankwanzi-bukomero-24h'!D98,'21.10 Kyankwanzi-bukomero-24h'!D98)</f>
        <v>0</v>
      </c>
      <c r="E98" s="49">
        <f>AVERAGE('19.10 Kyankwanzi-bukomero-24h'!E98,'21.10 Kyankwanzi-bukomero-24h'!E98)</f>
        <v>0</v>
      </c>
      <c r="F98" s="49">
        <f>AVERAGE('19.10 Kyankwanzi-bukomero-24h'!F98,'21.10 Kyankwanzi-bukomero-24h'!F98)</f>
        <v>1</v>
      </c>
      <c r="G98" s="49">
        <f>AVERAGE('19.10 Kyankwanzi-bukomero-24h'!G98,'21.10 Kyankwanzi-bukomero-24h'!G98)</f>
        <v>0</v>
      </c>
      <c r="H98" s="49">
        <f>AVERAGE('19.10 Kyankwanzi-bukomero-24h'!H98,'21.10 Kyankwanzi-bukomero-24h'!H98)</f>
        <v>0</v>
      </c>
      <c r="I98" s="49">
        <f>AVERAGE('19.10 Kyankwanzi-bukomero-24h'!I98,'21.10 Kyankwanzi-bukomero-24h'!I98)</f>
        <v>3</v>
      </c>
      <c r="J98" s="49">
        <f>AVERAGE('19.10 Kyankwanzi-bukomero-24h'!J98,'21.10 Kyankwanzi-bukomero-24h'!J98)</f>
        <v>0.5</v>
      </c>
      <c r="K98" s="49">
        <f>AVERAGE('19.10 Kyankwanzi-bukomero-24h'!K98,'21.10 Kyankwanzi-bukomero-24h'!K98)</f>
        <v>0</v>
      </c>
      <c r="L98" s="49">
        <f>AVERAGE('19.10 Kyankwanzi-bukomero-24h'!L98,'21.10 Kyankwanzi-bukomero-24h'!L98)</f>
        <v>0</v>
      </c>
      <c r="M98" s="49">
        <f>AVERAGE('19.10 Kyankwanzi-bukomero-24h'!M98,'21.10 Kyankwanzi-bukomero-24h'!M98)</f>
        <v>1.5</v>
      </c>
      <c r="N98" s="49">
        <f>AVERAGE('19.10 Kyankwanzi-bukomero-24h'!N98,'21.10 Kyankwanzi-bukomero-24h'!N98)</f>
        <v>0</v>
      </c>
      <c r="O98" s="15">
        <f t="shared" si="35"/>
        <v>5.5</v>
      </c>
      <c r="P98" s="15">
        <f t="shared" si="36"/>
        <v>7</v>
      </c>
      <c r="R98" s="8"/>
      <c r="T98"/>
    </row>
    <row r="99" spans="2:20" ht="23.1" customHeight="1" x14ac:dyDescent="0.25">
      <c r="B99" s="23" t="s">
        <v>139</v>
      </c>
      <c r="C99" s="49">
        <f>AVERAGE('19.10 Kyankwanzi-bukomero-24h'!C99,'21.10 Kyankwanzi-bukomero-24h'!C99)</f>
        <v>0.5</v>
      </c>
      <c r="D99" s="49">
        <f>AVERAGE('19.10 Kyankwanzi-bukomero-24h'!D99,'21.10 Kyankwanzi-bukomero-24h'!D99)</f>
        <v>0</v>
      </c>
      <c r="E99" s="49">
        <f>AVERAGE('19.10 Kyankwanzi-bukomero-24h'!E99,'21.10 Kyankwanzi-bukomero-24h'!E99)</f>
        <v>0</v>
      </c>
      <c r="F99" s="49">
        <f>AVERAGE('19.10 Kyankwanzi-bukomero-24h'!F99,'21.10 Kyankwanzi-bukomero-24h'!F99)</f>
        <v>0</v>
      </c>
      <c r="G99" s="49">
        <f>AVERAGE('19.10 Kyankwanzi-bukomero-24h'!G99,'21.10 Kyankwanzi-bukomero-24h'!G99)</f>
        <v>0</v>
      </c>
      <c r="H99" s="49">
        <f>AVERAGE('19.10 Kyankwanzi-bukomero-24h'!H99,'21.10 Kyankwanzi-bukomero-24h'!H99)</f>
        <v>0</v>
      </c>
      <c r="I99" s="49">
        <f>AVERAGE('19.10 Kyankwanzi-bukomero-24h'!I99,'21.10 Kyankwanzi-bukomero-24h'!I99)</f>
        <v>0</v>
      </c>
      <c r="J99" s="49">
        <f>AVERAGE('19.10 Kyankwanzi-bukomero-24h'!J99,'21.10 Kyankwanzi-bukomero-24h'!J99)</f>
        <v>0</v>
      </c>
      <c r="K99" s="49">
        <f>AVERAGE('19.10 Kyankwanzi-bukomero-24h'!K99,'21.10 Kyankwanzi-bukomero-24h'!K99)</f>
        <v>0</v>
      </c>
      <c r="L99" s="49">
        <f>AVERAGE('19.10 Kyankwanzi-bukomero-24h'!L99,'21.10 Kyankwanzi-bukomero-24h'!L99)</f>
        <v>0</v>
      </c>
      <c r="M99" s="49">
        <f>AVERAGE('19.10 Kyankwanzi-bukomero-24h'!M99,'21.10 Kyankwanzi-bukomero-24h'!M99)</f>
        <v>1.5</v>
      </c>
      <c r="N99" s="49">
        <f>AVERAGE('19.10 Kyankwanzi-bukomero-24h'!N99,'21.10 Kyankwanzi-bukomero-24h'!N99)</f>
        <v>0</v>
      </c>
      <c r="O99" s="15">
        <f t="shared" si="35"/>
        <v>0.5</v>
      </c>
      <c r="P99" s="15">
        <f t="shared" si="36"/>
        <v>2</v>
      </c>
      <c r="R99" s="8"/>
      <c r="T99"/>
    </row>
    <row r="100" spans="2:20" ht="23.1" customHeight="1" x14ac:dyDescent="0.25">
      <c r="B100" s="25" t="s">
        <v>140</v>
      </c>
      <c r="C100" s="49">
        <f>AVERAGE('19.10 Kyankwanzi-bukomero-24h'!C100,'21.10 Kyankwanzi-bukomero-24h'!C100)</f>
        <v>0</v>
      </c>
      <c r="D100" s="49">
        <f>AVERAGE('19.10 Kyankwanzi-bukomero-24h'!D100,'21.10 Kyankwanzi-bukomero-24h'!D100)</f>
        <v>0</v>
      </c>
      <c r="E100" s="49">
        <f>AVERAGE('19.10 Kyankwanzi-bukomero-24h'!E100,'21.10 Kyankwanzi-bukomero-24h'!E100)</f>
        <v>0</v>
      </c>
      <c r="F100" s="49">
        <f>AVERAGE('19.10 Kyankwanzi-bukomero-24h'!F100,'21.10 Kyankwanzi-bukomero-24h'!F100)</f>
        <v>0</v>
      </c>
      <c r="G100" s="49">
        <f>AVERAGE('19.10 Kyankwanzi-bukomero-24h'!G100,'21.10 Kyankwanzi-bukomero-24h'!G100)</f>
        <v>0</v>
      </c>
      <c r="H100" s="49">
        <f>AVERAGE('19.10 Kyankwanzi-bukomero-24h'!H100,'21.10 Kyankwanzi-bukomero-24h'!H100)</f>
        <v>0</v>
      </c>
      <c r="I100" s="49">
        <f>AVERAGE('19.10 Kyankwanzi-bukomero-24h'!I100,'21.10 Kyankwanzi-bukomero-24h'!I100)</f>
        <v>0</v>
      </c>
      <c r="J100" s="49">
        <f>AVERAGE('19.10 Kyankwanzi-bukomero-24h'!J100,'21.10 Kyankwanzi-bukomero-24h'!J100)</f>
        <v>1.5</v>
      </c>
      <c r="K100" s="49">
        <f>AVERAGE('19.10 Kyankwanzi-bukomero-24h'!K100,'21.10 Kyankwanzi-bukomero-24h'!K100)</f>
        <v>0</v>
      </c>
      <c r="L100" s="49">
        <f>AVERAGE('19.10 Kyankwanzi-bukomero-24h'!L100,'21.10 Kyankwanzi-bukomero-24h'!L100)</f>
        <v>0</v>
      </c>
      <c r="M100" s="49">
        <f>AVERAGE('19.10 Kyankwanzi-bukomero-24h'!M100,'21.10 Kyankwanzi-bukomero-24h'!M100)</f>
        <v>0</v>
      </c>
      <c r="N100" s="49">
        <f>AVERAGE('19.10 Kyankwanzi-bukomero-24h'!N100,'21.10 Kyankwanzi-bukomero-24h'!N100)</f>
        <v>0</v>
      </c>
      <c r="O100" s="15">
        <f t="shared" si="35"/>
        <v>1.5</v>
      </c>
      <c r="P100" s="15">
        <f t="shared" si="36"/>
        <v>1.5</v>
      </c>
      <c r="R100" s="8"/>
      <c r="T100"/>
    </row>
    <row r="101" spans="2:20" ht="23.1" customHeight="1" x14ac:dyDescent="0.25">
      <c r="B101" s="23" t="s">
        <v>141</v>
      </c>
      <c r="C101" s="49">
        <f>AVERAGE('19.10 Kyankwanzi-bukomero-24h'!C101,'21.10 Kyankwanzi-bukomero-24h'!C101)</f>
        <v>0</v>
      </c>
      <c r="D101" s="49">
        <f>AVERAGE('19.10 Kyankwanzi-bukomero-24h'!D101,'21.10 Kyankwanzi-bukomero-24h'!D101)</f>
        <v>0.5</v>
      </c>
      <c r="E101" s="49">
        <f>AVERAGE('19.10 Kyankwanzi-bukomero-24h'!E101,'21.10 Kyankwanzi-bukomero-24h'!E101)</f>
        <v>0</v>
      </c>
      <c r="F101" s="49">
        <f>AVERAGE('19.10 Kyankwanzi-bukomero-24h'!F101,'21.10 Kyankwanzi-bukomero-24h'!F101)</f>
        <v>0</v>
      </c>
      <c r="G101" s="49">
        <f>AVERAGE('19.10 Kyankwanzi-bukomero-24h'!G101,'21.10 Kyankwanzi-bukomero-24h'!G101)</f>
        <v>0</v>
      </c>
      <c r="H101" s="49">
        <f>AVERAGE('19.10 Kyankwanzi-bukomero-24h'!H101,'21.10 Kyankwanzi-bukomero-24h'!H101)</f>
        <v>0</v>
      </c>
      <c r="I101" s="49">
        <f>AVERAGE('19.10 Kyankwanzi-bukomero-24h'!I101,'21.10 Kyankwanzi-bukomero-24h'!I101)</f>
        <v>2.5</v>
      </c>
      <c r="J101" s="49">
        <f>AVERAGE('19.10 Kyankwanzi-bukomero-24h'!J101,'21.10 Kyankwanzi-bukomero-24h'!J101)</f>
        <v>0</v>
      </c>
      <c r="K101" s="49">
        <f>AVERAGE('19.10 Kyankwanzi-bukomero-24h'!K101,'21.10 Kyankwanzi-bukomero-24h'!K101)</f>
        <v>0</v>
      </c>
      <c r="L101" s="49">
        <f>AVERAGE('19.10 Kyankwanzi-bukomero-24h'!L101,'21.10 Kyankwanzi-bukomero-24h'!L101)</f>
        <v>0</v>
      </c>
      <c r="M101" s="49">
        <f>AVERAGE('19.10 Kyankwanzi-bukomero-24h'!M101,'21.10 Kyankwanzi-bukomero-24h'!M101)</f>
        <v>0</v>
      </c>
      <c r="N101" s="49">
        <f>AVERAGE('19.10 Kyankwanzi-bukomero-24h'!N101,'21.10 Kyankwanzi-bukomero-24h'!N101)</f>
        <v>0</v>
      </c>
      <c r="O101" s="15">
        <f t="shared" si="35"/>
        <v>3</v>
      </c>
      <c r="P101" s="15">
        <f t="shared" si="36"/>
        <v>3</v>
      </c>
      <c r="R101" s="8"/>
      <c r="T101"/>
    </row>
    <row r="102" spans="2:20" ht="23.1" customHeight="1" x14ac:dyDescent="0.25">
      <c r="B102" s="24" t="s">
        <v>142</v>
      </c>
      <c r="C102" s="49">
        <f>AVERAGE('19.10 Kyankwanzi-bukomero-24h'!C102,'21.10 Kyankwanzi-bukomero-24h'!C102)</f>
        <v>0</v>
      </c>
      <c r="D102" s="49">
        <f>AVERAGE('19.10 Kyankwanzi-bukomero-24h'!D102,'21.10 Kyankwanzi-bukomero-24h'!D102)</f>
        <v>0</v>
      </c>
      <c r="E102" s="49">
        <f>AVERAGE('19.10 Kyankwanzi-bukomero-24h'!E102,'21.10 Kyankwanzi-bukomero-24h'!E102)</f>
        <v>0</v>
      </c>
      <c r="F102" s="49">
        <f>AVERAGE('19.10 Kyankwanzi-bukomero-24h'!F102,'21.10 Kyankwanzi-bukomero-24h'!F102)</f>
        <v>0.5</v>
      </c>
      <c r="G102" s="49">
        <f>AVERAGE('19.10 Kyankwanzi-bukomero-24h'!G102,'21.10 Kyankwanzi-bukomero-24h'!G102)</f>
        <v>0</v>
      </c>
      <c r="H102" s="49">
        <f>AVERAGE('19.10 Kyankwanzi-bukomero-24h'!H102,'21.10 Kyankwanzi-bukomero-24h'!H102)</f>
        <v>0</v>
      </c>
      <c r="I102" s="49">
        <f>AVERAGE('19.10 Kyankwanzi-bukomero-24h'!I102,'21.10 Kyankwanzi-bukomero-24h'!I102)</f>
        <v>2</v>
      </c>
      <c r="J102" s="49">
        <f>AVERAGE('19.10 Kyankwanzi-bukomero-24h'!J102,'21.10 Kyankwanzi-bukomero-24h'!J102)</f>
        <v>0.5</v>
      </c>
      <c r="K102" s="49">
        <f>AVERAGE('19.10 Kyankwanzi-bukomero-24h'!K102,'21.10 Kyankwanzi-bukomero-24h'!K102)</f>
        <v>0</v>
      </c>
      <c r="L102" s="49">
        <f>AVERAGE('19.10 Kyankwanzi-bukomero-24h'!L102,'21.10 Kyankwanzi-bukomero-24h'!L102)</f>
        <v>0</v>
      </c>
      <c r="M102" s="49">
        <f>AVERAGE('19.10 Kyankwanzi-bukomero-24h'!M102,'21.10 Kyankwanzi-bukomero-24h'!M102)</f>
        <v>5.5</v>
      </c>
      <c r="N102" s="49">
        <f>AVERAGE('19.10 Kyankwanzi-bukomero-24h'!N102,'21.10 Kyankwanzi-bukomero-24h'!N102)</f>
        <v>0</v>
      </c>
      <c r="O102" s="15">
        <f t="shared" si="35"/>
        <v>3</v>
      </c>
      <c r="P102" s="15">
        <f t="shared" si="36"/>
        <v>8.5</v>
      </c>
      <c r="R102" s="8"/>
      <c r="T102"/>
    </row>
    <row r="103" spans="2:20" ht="23.1" customHeight="1" x14ac:dyDescent="0.25">
      <c r="B103" s="23" t="s">
        <v>143</v>
      </c>
      <c r="C103" s="49">
        <f>AVERAGE('19.10 Kyankwanzi-bukomero-24h'!C103,'21.10 Kyankwanzi-bukomero-24h'!C103)</f>
        <v>0</v>
      </c>
      <c r="D103" s="49">
        <f>AVERAGE('19.10 Kyankwanzi-bukomero-24h'!D103,'21.10 Kyankwanzi-bukomero-24h'!D103)</f>
        <v>0.5</v>
      </c>
      <c r="E103" s="49">
        <f>AVERAGE('19.10 Kyankwanzi-bukomero-24h'!E103,'21.10 Kyankwanzi-bukomero-24h'!E103)</f>
        <v>0</v>
      </c>
      <c r="F103" s="49">
        <f>AVERAGE('19.10 Kyankwanzi-bukomero-24h'!F103,'21.10 Kyankwanzi-bukomero-24h'!F103)</f>
        <v>0</v>
      </c>
      <c r="G103" s="49">
        <f>AVERAGE('19.10 Kyankwanzi-bukomero-24h'!G103,'21.10 Kyankwanzi-bukomero-24h'!G103)</f>
        <v>0</v>
      </c>
      <c r="H103" s="49">
        <f>AVERAGE('19.10 Kyankwanzi-bukomero-24h'!H103,'21.10 Kyankwanzi-bukomero-24h'!H103)</f>
        <v>0</v>
      </c>
      <c r="I103" s="49">
        <f>AVERAGE('19.10 Kyankwanzi-bukomero-24h'!I103,'21.10 Kyankwanzi-bukomero-24h'!I103)</f>
        <v>2.5</v>
      </c>
      <c r="J103" s="49">
        <f>AVERAGE('19.10 Kyankwanzi-bukomero-24h'!J103,'21.10 Kyankwanzi-bukomero-24h'!J103)</f>
        <v>0</v>
      </c>
      <c r="K103" s="49">
        <f>AVERAGE('19.10 Kyankwanzi-bukomero-24h'!K103,'21.10 Kyankwanzi-bukomero-24h'!K103)</f>
        <v>0</v>
      </c>
      <c r="L103" s="49">
        <f>AVERAGE('19.10 Kyankwanzi-bukomero-24h'!L103,'21.10 Kyankwanzi-bukomero-24h'!L103)</f>
        <v>0</v>
      </c>
      <c r="M103" s="49">
        <f>AVERAGE('19.10 Kyankwanzi-bukomero-24h'!M103,'21.10 Kyankwanzi-bukomero-24h'!M103)</f>
        <v>1</v>
      </c>
      <c r="N103" s="49">
        <f>AVERAGE('19.10 Kyankwanzi-bukomero-24h'!N103,'21.10 Kyankwanzi-bukomero-24h'!N103)</f>
        <v>0</v>
      </c>
      <c r="O103" s="15">
        <f t="shared" si="35"/>
        <v>3</v>
      </c>
      <c r="P103" s="15">
        <f t="shared" si="36"/>
        <v>4</v>
      </c>
      <c r="R103" s="8"/>
      <c r="T103"/>
    </row>
    <row r="104" spans="2:20" ht="23.1" customHeight="1" x14ac:dyDescent="0.25">
      <c r="B104" s="25" t="s">
        <v>144</v>
      </c>
      <c r="C104" s="49">
        <f>AVERAGE('19.10 Kyankwanzi-bukomero-24h'!C104,'21.10 Kyankwanzi-bukomero-24h'!C104)</f>
        <v>0</v>
      </c>
      <c r="D104" s="49">
        <f>AVERAGE('19.10 Kyankwanzi-bukomero-24h'!D104,'21.10 Kyankwanzi-bukomero-24h'!D104)</f>
        <v>0</v>
      </c>
      <c r="E104" s="49">
        <f>AVERAGE('19.10 Kyankwanzi-bukomero-24h'!E104,'21.10 Kyankwanzi-bukomero-24h'!E104)</f>
        <v>0</v>
      </c>
      <c r="F104" s="49">
        <f>AVERAGE('19.10 Kyankwanzi-bukomero-24h'!F104,'21.10 Kyankwanzi-bukomero-24h'!F104)</f>
        <v>0</v>
      </c>
      <c r="G104" s="49">
        <f>AVERAGE('19.10 Kyankwanzi-bukomero-24h'!G104,'21.10 Kyankwanzi-bukomero-24h'!G104)</f>
        <v>0</v>
      </c>
      <c r="H104" s="49">
        <f>AVERAGE('19.10 Kyankwanzi-bukomero-24h'!H104,'21.10 Kyankwanzi-bukomero-24h'!H104)</f>
        <v>0</v>
      </c>
      <c r="I104" s="49">
        <f>AVERAGE('19.10 Kyankwanzi-bukomero-24h'!I104,'21.10 Kyankwanzi-bukomero-24h'!I104)</f>
        <v>0</v>
      </c>
      <c r="J104" s="49">
        <f>AVERAGE('19.10 Kyankwanzi-bukomero-24h'!J104,'21.10 Kyankwanzi-bukomero-24h'!J104)</f>
        <v>0</v>
      </c>
      <c r="K104" s="49">
        <f>AVERAGE('19.10 Kyankwanzi-bukomero-24h'!K104,'21.10 Kyankwanzi-bukomero-24h'!K104)</f>
        <v>0</v>
      </c>
      <c r="L104" s="49">
        <f>AVERAGE('19.10 Kyankwanzi-bukomero-24h'!L104,'21.10 Kyankwanzi-bukomero-24h'!L104)</f>
        <v>0</v>
      </c>
      <c r="M104" s="49">
        <f>AVERAGE('19.10 Kyankwanzi-bukomero-24h'!M104,'21.10 Kyankwanzi-bukomero-24h'!M104)</f>
        <v>2</v>
      </c>
      <c r="N104" s="49">
        <f>AVERAGE('19.10 Kyankwanzi-bukomero-24h'!N104,'21.10 Kyankwanzi-bukomero-24h'!N104)</f>
        <v>0</v>
      </c>
      <c r="O104" s="15">
        <f t="shared" si="35"/>
        <v>0</v>
      </c>
      <c r="P104" s="15">
        <f t="shared" si="36"/>
        <v>2</v>
      </c>
      <c r="R104" s="8"/>
      <c r="T104"/>
    </row>
    <row r="105" spans="2:20" ht="23.1" customHeight="1" x14ac:dyDescent="0.25">
      <c r="B105" s="23" t="s">
        <v>145</v>
      </c>
      <c r="C105" s="49">
        <f>AVERAGE('19.10 Kyankwanzi-bukomero-24h'!C105,'21.10 Kyankwanzi-bukomero-24h'!C105)</f>
        <v>0</v>
      </c>
      <c r="D105" s="49">
        <f>AVERAGE('19.10 Kyankwanzi-bukomero-24h'!D105,'21.10 Kyankwanzi-bukomero-24h'!D105)</f>
        <v>0.5</v>
      </c>
      <c r="E105" s="49">
        <f>AVERAGE('19.10 Kyankwanzi-bukomero-24h'!E105,'21.10 Kyankwanzi-bukomero-24h'!E105)</f>
        <v>0.5</v>
      </c>
      <c r="F105" s="49">
        <f>AVERAGE('19.10 Kyankwanzi-bukomero-24h'!F105,'21.10 Kyankwanzi-bukomero-24h'!F105)</f>
        <v>0.5</v>
      </c>
      <c r="G105" s="49">
        <f>AVERAGE('19.10 Kyankwanzi-bukomero-24h'!G105,'21.10 Kyankwanzi-bukomero-24h'!G105)</f>
        <v>0</v>
      </c>
      <c r="H105" s="49">
        <f>AVERAGE('19.10 Kyankwanzi-bukomero-24h'!H105,'21.10 Kyankwanzi-bukomero-24h'!H105)</f>
        <v>0</v>
      </c>
      <c r="I105" s="49">
        <f>AVERAGE('19.10 Kyankwanzi-bukomero-24h'!I105,'21.10 Kyankwanzi-bukomero-24h'!I105)</f>
        <v>0.5</v>
      </c>
      <c r="J105" s="49">
        <f>AVERAGE('19.10 Kyankwanzi-bukomero-24h'!J105,'21.10 Kyankwanzi-bukomero-24h'!J105)</f>
        <v>0</v>
      </c>
      <c r="K105" s="49">
        <f>AVERAGE('19.10 Kyankwanzi-bukomero-24h'!K105,'21.10 Kyankwanzi-bukomero-24h'!K105)</f>
        <v>0</v>
      </c>
      <c r="L105" s="49">
        <f>AVERAGE('19.10 Kyankwanzi-bukomero-24h'!L105,'21.10 Kyankwanzi-bukomero-24h'!L105)</f>
        <v>0</v>
      </c>
      <c r="M105" s="49">
        <f>AVERAGE('19.10 Kyankwanzi-bukomero-24h'!M105,'21.10 Kyankwanzi-bukomero-24h'!M105)</f>
        <v>6</v>
      </c>
      <c r="N105" s="49">
        <f>AVERAGE('19.10 Kyankwanzi-bukomero-24h'!N105,'21.10 Kyankwanzi-bukomero-24h'!N105)</f>
        <v>0</v>
      </c>
      <c r="O105" s="15">
        <f t="shared" si="35"/>
        <v>2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30.357142857142858</v>
      </c>
      <c r="D106" s="16">
        <f t="shared" ref="D106:P106" si="37">SUM(D10:D105)</f>
        <v>9.2857142857142847</v>
      </c>
      <c r="E106" s="16">
        <f t="shared" si="37"/>
        <v>7.0000000000000009</v>
      </c>
      <c r="F106" s="16">
        <f t="shared" si="37"/>
        <v>10.5</v>
      </c>
      <c r="G106" s="16">
        <f t="shared" si="37"/>
        <v>0</v>
      </c>
      <c r="H106" s="16">
        <f t="shared" si="37"/>
        <v>0.2857142857142857</v>
      </c>
      <c r="I106" s="16">
        <f t="shared" si="37"/>
        <v>62.071428571428569</v>
      </c>
      <c r="J106" s="16">
        <f t="shared" si="37"/>
        <v>14.571428571428573</v>
      </c>
      <c r="K106" s="16">
        <f t="shared" si="37"/>
        <v>0.5714285714285714</v>
      </c>
      <c r="L106" s="16">
        <f t="shared" si="37"/>
        <v>0.2857142857142857</v>
      </c>
      <c r="M106" s="16">
        <f t="shared" si="37"/>
        <v>754.64285714285711</v>
      </c>
      <c r="N106" s="16">
        <f t="shared" si="37"/>
        <v>0</v>
      </c>
      <c r="O106" s="16">
        <f t="shared" si="37"/>
        <v>134.92857142857144</v>
      </c>
      <c r="P106" s="16">
        <f t="shared" si="37"/>
        <v>889.57142857142844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3.412558214228361E-2</v>
      </c>
      <c r="D107" s="43">
        <f t="shared" si="38"/>
        <v>1.0438413361169102E-2</v>
      </c>
      <c r="E107" s="43">
        <f t="shared" si="38"/>
        <v>7.8689577645736329E-3</v>
      </c>
      <c r="F107" s="43">
        <f t="shared" si="38"/>
        <v>1.1803436646860448E-2</v>
      </c>
      <c r="G107" s="43">
        <f t="shared" si="38"/>
        <v>0</v>
      </c>
      <c r="H107" s="43">
        <f t="shared" si="38"/>
        <v>3.2118194957443392E-4</v>
      </c>
      <c r="I107" s="43">
        <f t="shared" si="38"/>
        <v>6.977677854504577E-2</v>
      </c>
      <c r="J107" s="43">
        <f t="shared" si="38"/>
        <v>1.6380279428296132E-2</v>
      </c>
      <c r="K107" s="43">
        <f t="shared" si="38"/>
        <v>6.4236389914886784E-4</v>
      </c>
      <c r="L107" s="43">
        <f t="shared" si="38"/>
        <v>3.2118194957443392E-4</v>
      </c>
      <c r="M107" s="43">
        <f t="shared" si="38"/>
        <v>0.84832182431347369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0.22498676548438326</v>
      </c>
      <c r="D108" s="44">
        <f t="shared" ref="D108:N108" si="39">D106/$O$106</f>
        <v>6.8819481206987804E-2</v>
      </c>
      <c r="E108" s="44">
        <f t="shared" si="39"/>
        <v>5.1879301217575439E-2</v>
      </c>
      <c r="F108" s="44">
        <f t="shared" si="39"/>
        <v>7.7818951826363142E-2</v>
      </c>
      <c r="G108" s="44">
        <f t="shared" si="39"/>
        <v>0</v>
      </c>
      <c r="H108" s="44">
        <f t="shared" si="39"/>
        <v>2.1175224986765481E-3</v>
      </c>
      <c r="I108" s="44">
        <f t="shared" si="39"/>
        <v>0.4600317628374801</v>
      </c>
      <c r="J108" s="44">
        <f t="shared" si="39"/>
        <v>0.10799364743250398</v>
      </c>
      <c r="K108" s="44">
        <f t="shared" si="39"/>
        <v>4.2350449973530963E-3</v>
      </c>
      <c r="L108" s="44">
        <f t="shared" si="39"/>
        <v>2.1175224986765481E-3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L61" zoomScale="60" workbookViewId="0">
      <selection activeCell="AC57" sqref="AC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3.425781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bukomero-Kyankwanzi'!C3:G3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'22.10 Kyankwanzi-bukomero'!G5:H5</f>
        <v>bukomero</v>
      </c>
      <c r="H5" s="64"/>
      <c r="I5" s="14"/>
      <c r="J5" s="2" t="s">
        <v>5</v>
      </c>
      <c r="K5" s="63" t="s">
        <v>177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'17.10 bukomero-Kyankwanzi'!D6:E6</f>
        <v>bukomero</v>
      </c>
      <c r="E6" s="64"/>
      <c r="F6" s="2" t="s">
        <v>2</v>
      </c>
      <c r="G6" s="63" t="str">
        <f>'17.10 bukomero-Kyankwanzi'!G6:H6</f>
        <v>kyankwanzi</v>
      </c>
      <c r="H6" s="64"/>
      <c r="J6" s="2" t="s">
        <v>21</v>
      </c>
      <c r="K6" s="63" t="str">
        <f>'22.10 Kyankwanzi-bukomero'!K6:L6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AVERAGE('17.10 bukomero-Kyankwanzi'!C10,'18.10 bukomero-Kyankwanzi'!C10,'19.10 bukomero-Kyankwanzi-24h'!C10,'20.10 bukomero-Kyankwanzi'!C10,'21.10 bukomero-Kyankwanzi-24h'!C10,'22.10 bukomero-Kyankwanzi'!C10,'23.10 bukomero-Kyankwanzi'!C10)</f>
        <v>0.14285714285714285</v>
      </c>
      <c r="D10" s="49">
        <f>AVERAGE('17.10 bukomero-Kyankwanzi'!D10,'18.10 bukomero-Kyankwanzi'!D10,'19.10 bukomero-Kyankwanzi-24h'!D10,'20.10 bukomero-Kyankwanzi'!D10,'21.10 bukomero-Kyankwanzi-24h'!D10,'22.10 bukomero-Kyankwanzi'!D10,'23.10 bukomero-Kyankwanzi'!D10)</f>
        <v>0.14285714285714285</v>
      </c>
      <c r="E10" s="49">
        <f>AVERAGE('17.10 bukomero-Kyankwanzi'!E10,'18.10 bukomero-Kyankwanzi'!E10,'19.10 bukomero-Kyankwanzi-24h'!E10,'20.10 bukomero-Kyankwanzi'!E10,'21.10 bukomero-Kyankwanzi-24h'!E10,'22.10 bukomero-Kyankwanzi'!E10,'23.10 bukomero-Kyankwanzi'!E10)</f>
        <v>0</v>
      </c>
      <c r="F10" s="49">
        <f>AVERAGE('17.10 bukomero-Kyankwanzi'!F10,'18.10 bukomero-Kyankwanzi'!F10,'19.10 bukomero-Kyankwanzi-24h'!F10,'20.10 bukomero-Kyankwanzi'!F10,'21.10 bukomero-Kyankwanzi-24h'!F10,'22.10 bukomero-Kyankwanzi'!F10,'23.10 bukomero-Kyankwanzi'!F10)</f>
        <v>0</v>
      </c>
      <c r="G10" s="49">
        <f>AVERAGE('17.10 bukomero-Kyankwanzi'!G10,'18.10 bukomero-Kyankwanzi'!G10,'19.10 bukomero-Kyankwanzi-24h'!G10,'20.10 bukomero-Kyankwanzi'!G10,'21.10 bukomero-Kyankwanzi-24h'!G10,'22.10 bukomero-Kyankwanzi'!G10,'23.10 bukomero-Kyankwanzi'!G10)</f>
        <v>0</v>
      </c>
      <c r="H10" s="49">
        <f>AVERAGE('17.10 bukomero-Kyankwanzi'!H10,'18.10 bukomero-Kyankwanzi'!H10,'19.10 bukomero-Kyankwanzi-24h'!H10,'20.10 bukomero-Kyankwanzi'!H10,'21.10 bukomero-Kyankwanzi-24h'!H10,'22.10 bukomero-Kyankwanzi'!H10,'23.10 bukomero-Kyankwanzi'!H10)</f>
        <v>0</v>
      </c>
      <c r="I10" s="49">
        <f>AVERAGE('17.10 bukomero-Kyankwanzi'!I10,'18.10 bukomero-Kyankwanzi'!I10,'19.10 bukomero-Kyankwanzi-24h'!I10,'20.10 bukomero-Kyankwanzi'!I10,'21.10 bukomero-Kyankwanzi-24h'!I10,'22.10 bukomero-Kyankwanzi'!I10,'23.10 bukomero-Kyankwanzi'!I10)</f>
        <v>0.8571428571428571</v>
      </c>
      <c r="J10" s="49">
        <f>AVERAGE('17.10 bukomero-Kyankwanzi'!J10,'18.10 bukomero-Kyankwanzi'!J10,'19.10 bukomero-Kyankwanzi-24h'!J10,'20.10 bukomero-Kyankwanzi'!J10,'21.10 bukomero-Kyankwanzi-24h'!J10,'22.10 bukomero-Kyankwanzi'!J10,'23.10 bukomero-Kyankwanzi'!J10)</f>
        <v>0</v>
      </c>
      <c r="K10" s="49">
        <f>AVERAGE('17.10 bukomero-Kyankwanzi'!K10,'18.10 bukomero-Kyankwanzi'!K10,'19.10 bukomero-Kyankwanzi-24h'!K10,'20.10 bukomero-Kyankwanzi'!K10,'21.10 bukomero-Kyankwanzi-24h'!K10,'22.10 bukomero-Kyankwanzi'!K10,'23.10 bukomero-Kyankwanzi'!K10)</f>
        <v>0</v>
      </c>
      <c r="L10" s="49">
        <f>AVERAGE('17.10 bukomero-Kyankwanzi'!L10,'18.10 bukomero-Kyankwanzi'!L10,'19.10 bukomero-Kyankwanzi-24h'!L10,'20.10 bukomero-Kyankwanzi'!L10,'21.10 bukomero-Kyankwanzi-24h'!L10,'22.10 bukomero-Kyankwanzi'!L10,'23.10 bukomero-Kyankwanzi'!L10)</f>
        <v>0</v>
      </c>
      <c r="M10" s="49">
        <f>AVERAGE('17.10 bukomero-Kyankwanzi'!M10,'18.10 bukomero-Kyankwanzi'!M10,'19.10 bukomero-Kyankwanzi-24h'!M10,'20.10 bukomero-Kyankwanzi'!M10,'21.10 bukomero-Kyankwanzi-24h'!M10,'22.10 bukomero-Kyankwanzi'!M10,'23.10 bukomero-Kyankwanzi'!M10)</f>
        <v>7.4285714285714288</v>
      </c>
      <c r="N10" s="49">
        <f>AVERAGE('17.10 bukomero-Kyankwanzi'!N10,'18.10 bukomero-Kyankwanzi'!N10,'19.10 bukomero-Kyankwanzi-24h'!N10,'20.10 bukomero-Kyankwanzi'!N10,'21.10 bukomero-Kyankwanzi-24h'!N10,'22.10 bukomero-Kyankwanzi'!N10,'23.10 bukomero-Kyankwanzi'!N10)</f>
        <v>0</v>
      </c>
      <c r="O10" s="15">
        <f t="shared" ref="O10:O73" si="0">SUM(C10:L10,N10)</f>
        <v>1.1428571428571428</v>
      </c>
      <c r="P10" s="15">
        <f t="shared" ref="P10:P73" si="1">SUM(C10:N10)</f>
        <v>8.5714285714285712</v>
      </c>
      <c r="R10" s="1" t="s">
        <v>6</v>
      </c>
      <c r="S10" s="17">
        <f t="shared" ref="S10:AF10" si="2">SUM(C10:C13)</f>
        <v>1.2857142857142856</v>
      </c>
      <c r="T10" s="17">
        <f t="shared" si="2"/>
        <v>0.14285714285714285</v>
      </c>
      <c r="U10" s="17">
        <f t="shared" si="2"/>
        <v>0.14285714285714285</v>
      </c>
      <c r="V10" s="17">
        <f t="shared" si="2"/>
        <v>0.14285714285714285</v>
      </c>
      <c r="W10" s="17">
        <f t="shared" si="2"/>
        <v>0</v>
      </c>
      <c r="X10" s="17">
        <f t="shared" si="2"/>
        <v>0</v>
      </c>
      <c r="Y10" s="17">
        <f t="shared" si="2"/>
        <v>2.7142857142857144</v>
      </c>
      <c r="Z10" s="17">
        <f t="shared" si="2"/>
        <v>0.14285714285714285</v>
      </c>
      <c r="AA10" s="17">
        <f t="shared" si="2"/>
        <v>0</v>
      </c>
      <c r="AB10" s="17">
        <f t="shared" si="2"/>
        <v>0</v>
      </c>
      <c r="AC10" s="17">
        <f t="shared" si="2"/>
        <v>32.142857142857139</v>
      </c>
      <c r="AD10" s="17">
        <f t="shared" si="2"/>
        <v>0</v>
      </c>
      <c r="AE10" s="31">
        <f t="shared" si="2"/>
        <v>4.5714285714285712</v>
      </c>
      <c r="AF10" s="31">
        <f t="shared" si="2"/>
        <v>36.714285714285715</v>
      </c>
    </row>
    <row r="11" spans="2:32" s="6" customFormat="1" ht="23.1" customHeight="1" x14ac:dyDescent="0.25">
      <c r="B11" s="23" t="s">
        <v>38</v>
      </c>
      <c r="C11" s="49">
        <f>AVERAGE('17.10 bukomero-Kyankwanzi'!C11,'18.10 bukomero-Kyankwanzi'!C11,'19.10 bukomero-Kyankwanzi-24h'!C11,'20.10 bukomero-Kyankwanzi'!C11,'21.10 bukomero-Kyankwanzi-24h'!C11,'22.10 bukomero-Kyankwanzi'!C11,'23.10 bukomero-Kyankwanzi'!C11)</f>
        <v>0.42857142857142855</v>
      </c>
      <c r="D11" s="49">
        <f>AVERAGE('17.10 bukomero-Kyankwanzi'!D11,'18.10 bukomero-Kyankwanzi'!D11,'19.10 bukomero-Kyankwanzi-24h'!D11,'20.10 bukomero-Kyankwanzi'!D11,'21.10 bukomero-Kyankwanzi-24h'!D11,'22.10 bukomero-Kyankwanzi'!D11,'23.10 bukomero-Kyankwanzi'!D11)</f>
        <v>0</v>
      </c>
      <c r="E11" s="49">
        <f>AVERAGE('17.10 bukomero-Kyankwanzi'!E11,'18.10 bukomero-Kyankwanzi'!E11,'19.10 bukomero-Kyankwanzi-24h'!E11,'20.10 bukomero-Kyankwanzi'!E11,'21.10 bukomero-Kyankwanzi-24h'!E11,'22.10 bukomero-Kyankwanzi'!E11,'23.10 bukomero-Kyankwanzi'!E11)</f>
        <v>0</v>
      </c>
      <c r="F11" s="49">
        <f>AVERAGE('17.10 bukomero-Kyankwanzi'!F11,'18.10 bukomero-Kyankwanzi'!F11,'19.10 bukomero-Kyankwanzi-24h'!F11,'20.10 bukomero-Kyankwanzi'!F11,'21.10 bukomero-Kyankwanzi-24h'!F11,'22.10 bukomero-Kyankwanzi'!F11,'23.10 bukomero-Kyankwanzi'!F11)</f>
        <v>0</v>
      </c>
      <c r="G11" s="49">
        <f>AVERAGE('17.10 bukomero-Kyankwanzi'!G11,'18.10 bukomero-Kyankwanzi'!G11,'19.10 bukomero-Kyankwanzi-24h'!G11,'20.10 bukomero-Kyankwanzi'!G11,'21.10 bukomero-Kyankwanzi-24h'!G11,'22.10 bukomero-Kyankwanzi'!G11,'23.10 bukomero-Kyankwanzi'!G11)</f>
        <v>0</v>
      </c>
      <c r="H11" s="49">
        <f>AVERAGE('17.10 bukomero-Kyankwanzi'!H11,'18.10 bukomero-Kyankwanzi'!H11,'19.10 bukomero-Kyankwanzi-24h'!H11,'20.10 bukomero-Kyankwanzi'!H11,'21.10 bukomero-Kyankwanzi-24h'!H11,'22.10 bukomero-Kyankwanzi'!H11,'23.10 bukomero-Kyankwanzi'!H11)</f>
        <v>0</v>
      </c>
      <c r="I11" s="49">
        <f>AVERAGE('17.10 bukomero-Kyankwanzi'!I11,'18.10 bukomero-Kyankwanzi'!I11,'19.10 bukomero-Kyankwanzi-24h'!I11,'20.10 bukomero-Kyankwanzi'!I11,'21.10 bukomero-Kyankwanzi-24h'!I11,'22.10 bukomero-Kyankwanzi'!I11,'23.10 bukomero-Kyankwanzi'!I11)</f>
        <v>0.5714285714285714</v>
      </c>
      <c r="J11" s="49">
        <f>AVERAGE('17.10 bukomero-Kyankwanzi'!J11,'18.10 bukomero-Kyankwanzi'!J11,'19.10 bukomero-Kyankwanzi-24h'!J11,'20.10 bukomero-Kyankwanzi'!J11,'21.10 bukomero-Kyankwanzi-24h'!J11,'22.10 bukomero-Kyankwanzi'!J11,'23.10 bukomero-Kyankwanzi'!J11)</f>
        <v>0</v>
      </c>
      <c r="K11" s="49">
        <f>AVERAGE('17.10 bukomero-Kyankwanzi'!K11,'18.10 bukomero-Kyankwanzi'!K11,'19.10 bukomero-Kyankwanzi-24h'!K11,'20.10 bukomero-Kyankwanzi'!K11,'21.10 bukomero-Kyankwanzi-24h'!K11,'22.10 bukomero-Kyankwanzi'!K11,'23.10 bukomero-Kyankwanzi'!K11)</f>
        <v>0</v>
      </c>
      <c r="L11" s="49">
        <f>AVERAGE('17.10 bukomero-Kyankwanzi'!L11,'18.10 bukomero-Kyankwanzi'!L11,'19.10 bukomero-Kyankwanzi-24h'!L11,'20.10 bukomero-Kyankwanzi'!L11,'21.10 bukomero-Kyankwanzi-24h'!L11,'22.10 bukomero-Kyankwanzi'!L11,'23.10 bukomero-Kyankwanzi'!L11)</f>
        <v>0</v>
      </c>
      <c r="M11" s="49">
        <f>AVERAGE('17.10 bukomero-Kyankwanzi'!M11,'18.10 bukomero-Kyankwanzi'!M11,'19.10 bukomero-Kyankwanzi-24h'!M11,'20.10 bukomero-Kyankwanzi'!M11,'21.10 bukomero-Kyankwanzi-24h'!M11,'22.10 bukomero-Kyankwanzi'!M11,'23.10 bukomero-Kyankwanzi'!M11)</f>
        <v>8.1428571428571423</v>
      </c>
      <c r="N11" s="49">
        <f>AVERAGE('17.10 bukomero-Kyankwanzi'!N11,'18.10 bukomero-Kyankwanzi'!N11,'19.10 bukomero-Kyankwanzi-24h'!N11,'20.10 bukomero-Kyankwanzi'!N11,'21.10 bukomero-Kyankwanzi-24h'!N11,'22.10 bukomero-Kyankwanzi'!N11,'23.10 bukomero-Kyankwanzi'!N11)</f>
        <v>0</v>
      </c>
      <c r="O11" s="15">
        <f t="shared" si="0"/>
        <v>1</v>
      </c>
      <c r="P11" s="15">
        <f t="shared" si="1"/>
        <v>9.1428571428571423</v>
      </c>
      <c r="R11" s="1" t="s">
        <v>7</v>
      </c>
      <c r="S11" s="17">
        <f t="shared" ref="S11:AF11" si="3">SUM(C14:C17)</f>
        <v>2.4285714285714284</v>
      </c>
      <c r="T11" s="17">
        <f t="shared" si="3"/>
        <v>0.2857142857142857</v>
      </c>
      <c r="U11" s="17">
        <f t="shared" si="3"/>
        <v>0.5714285714285714</v>
      </c>
      <c r="V11" s="17">
        <f t="shared" si="3"/>
        <v>2.5714285714285712</v>
      </c>
      <c r="W11" s="17">
        <f t="shared" si="3"/>
        <v>0.2857142857142857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0.14285714285714285</v>
      </c>
      <c r="AB11" s="17">
        <f t="shared" si="3"/>
        <v>0</v>
      </c>
      <c r="AC11" s="17">
        <f t="shared" si="3"/>
        <v>36.857142857142854</v>
      </c>
      <c r="AD11" s="17">
        <f t="shared" si="3"/>
        <v>0.14285714285714285</v>
      </c>
      <c r="AE11" s="31">
        <f t="shared" si="3"/>
        <v>8.4285714285714288</v>
      </c>
      <c r="AF11" s="31">
        <f t="shared" si="3"/>
        <v>45.285714285714292</v>
      </c>
    </row>
    <row r="12" spans="2:32" ht="23.1" customHeight="1" x14ac:dyDescent="0.25">
      <c r="B12" s="23" t="s">
        <v>39</v>
      </c>
      <c r="C12" s="49">
        <f>AVERAGE('17.10 bukomero-Kyankwanzi'!C12,'18.10 bukomero-Kyankwanzi'!C12,'19.10 bukomero-Kyankwanzi-24h'!C12,'20.10 bukomero-Kyankwanzi'!C12,'21.10 bukomero-Kyankwanzi-24h'!C12,'22.10 bukomero-Kyankwanzi'!C12,'23.10 bukomero-Kyankwanzi'!C12)</f>
        <v>0.2857142857142857</v>
      </c>
      <c r="D12" s="49">
        <f>AVERAGE('17.10 bukomero-Kyankwanzi'!D12,'18.10 bukomero-Kyankwanzi'!D12,'19.10 bukomero-Kyankwanzi-24h'!D12,'20.10 bukomero-Kyankwanzi'!D12,'21.10 bukomero-Kyankwanzi-24h'!D12,'22.10 bukomero-Kyankwanzi'!D12,'23.10 bukomero-Kyankwanzi'!D12)</f>
        <v>0</v>
      </c>
      <c r="E12" s="49">
        <f>AVERAGE('17.10 bukomero-Kyankwanzi'!E12,'18.10 bukomero-Kyankwanzi'!E12,'19.10 bukomero-Kyankwanzi-24h'!E12,'20.10 bukomero-Kyankwanzi'!E12,'21.10 bukomero-Kyankwanzi-24h'!E12,'22.10 bukomero-Kyankwanzi'!E12,'23.10 bukomero-Kyankwanzi'!E12)</f>
        <v>0</v>
      </c>
      <c r="F12" s="49">
        <f>AVERAGE('17.10 bukomero-Kyankwanzi'!F12,'18.10 bukomero-Kyankwanzi'!F12,'19.10 bukomero-Kyankwanzi-24h'!F12,'20.10 bukomero-Kyankwanzi'!F12,'21.10 bukomero-Kyankwanzi-24h'!F12,'22.10 bukomero-Kyankwanzi'!F12,'23.10 bukomero-Kyankwanzi'!F12)</f>
        <v>0.14285714285714285</v>
      </c>
      <c r="G12" s="49">
        <f>AVERAGE('17.10 bukomero-Kyankwanzi'!G12,'18.10 bukomero-Kyankwanzi'!G12,'19.10 bukomero-Kyankwanzi-24h'!G12,'20.10 bukomero-Kyankwanzi'!G12,'21.10 bukomero-Kyankwanzi-24h'!G12,'22.10 bukomero-Kyankwanzi'!G12,'23.10 bukomero-Kyankwanzi'!G12)</f>
        <v>0</v>
      </c>
      <c r="H12" s="49">
        <f>AVERAGE('17.10 bukomero-Kyankwanzi'!H12,'18.10 bukomero-Kyankwanzi'!H12,'19.10 bukomero-Kyankwanzi-24h'!H12,'20.10 bukomero-Kyankwanzi'!H12,'21.10 bukomero-Kyankwanzi-24h'!H12,'22.10 bukomero-Kyankwanzi'!H12,'23.10 bukomero-Kyankwanzi'!H12)</f>
        <v>0</v>
      </c>
      <c r="I12" s="49">
        <f>AVERAGE('17.10 bukomero-Kyankwanzi'!I12,'18.10 bukomero-Kyankwanzi'!I12,'19.10 bukomero-Kyankwanzi-24h'!I12,'20.10 bukomero-Kyankwanzi'!I12,'21.10 bukomero-Kyankwanzi-24h'!I12,'22.10 bukomero-Kyankwanzi'!I12,'23.10 bukomero-Kyankwanzi'!I12)</f>
        <v>0.7142857142857143</v>
      </c>
      <c r="J12" s="49">
        <f>AVERAGE('17.10 bukomero-Kyankwanzi'!J12,'18.10 bukomero-Kyankwanzi'!J12,'19.10 bukomero-Kyankwanzi-24h'!J12,'20.10 bukomero-Kyankwanzi'!J12,'21.10 bukomero-Kyankwanzi-24h'!J12,'22.10 bukomero-Kyankwanzi'!J12,'23.10 bukomero-Kyankwanzi'!J12)</f>
        <v>0.14285714285714285</v>
      </c>
      <c r="K12" s="49">
        <f>AVERAGE('17.10 bukomero-Kyankwanzi'!K12,'18.10 bukomero-Kyankwanzi'!K12,'19.10 bukomero-Kyankwanzi-24h'!K12,'20.10 bukomero-Kyankwanzi'!K12,'21.10 bukomero-Kyankwanzi-24h'!K12,'22.10 bukomero-Kyankwanzi'!K12,'23.10 bukomero-Kyankwanzi'!K12)</f>
        <v>0</v>
      </c>
      <c r="L12" s="49">
        <f>AVERAGE('17.10 bukomero-Kyankwanzi'!L12,'18.10 bukomero-Kyankwanzi'!L12,'19.10 bukomero-Kyankwanzi-24h'!L12,'20.10 bukomero-Kyankwanzi'!L12,'21.10 bukomero-Kyankwanzi-24h'!L12,'22.10 bukomero-Kyankwanzi'!L12,'23.10 bukomero-Kyankwanzi'!L12)</f>
        <v>0</v>
      </c>
      <c r="M12" s="49">
        <f>AVERAGE('17.10 bukomero-Kyankwanzi'!M12,'18.10 bukomero-Kyankwanzi'!M12,'19.10 bukomero-Kyankwanzi-24h'!M12,'20.10 bukomero-Kyankwanzi'!M12,'21.10 bukomero-Kyankwanzi-24h'!M12,'22.10 bukomero-Kyankwanzi'!M12,'23.10 bukomero-Kyankwanzi'!M12)</f>
        <v>7.8571428571428568</v>
      </c>
      <c r="N12" s="49">
        <f>AVERAGE('17.10 bukomero-Kyankwanzi'!N12,'18.10 bukomero-Kyankwanzi'!N12,'19.10 bukomero-Kyankwanzi-24h'!N12,'20.10 bukomero-Kyankwanzi'!N12,'21.10 bukomero-Kyankwanzi-24h'!N12,'22.10 bukomero-Kyankwanzi'!N12,'23.10 bukomero-Kyankwanzi'!N12)</f>
        <v>0</v>
      </c>
      <c r="O12" s="15">
        <f t="shared" si="0"/>
        <v>1.2857142857142856</v>
      </c>
      <c r="P12" s="15">
        <f t="shared" si="1"/>
        <v>9.1428571428571423</v>
      </c>
      <c r="R12" s="1" t="s">
        <v>8</v>
      </c>
      <c r="S12" s="17">
        <f t="shared" ref="S12:AF12" si="4">SUM(C18:C21)</f>
        <v>1.2857142857142856</v>
      </c>
      <c r="T12" s="17">
        <f t="shared" si="4"/>
        <v>0.42857142857142855</v>
      </c>
      <c r="U12" s="17">
        <f t="shared" si="4"/>
        <v>1</v>
      </c>
      <c r="V12" s="17">
        <f t="shared" si="4"/>
        <v>0.8571428571428571</v>
      </c>
      <c r="W12" s="17">
        <f t="shared" si="4"/>
        <v>0</v>
      </c>
      <c r="X12" s="17">
        <f t="shared" si="4"/>
        <v>0</v>
      </c>
      <c r="Y12" s="17">
        <f t="shared" si="4"/>
        <v>3.7142857142857144</v>
      </c>
      <c r="Z12" s="17">
        <f t="shared" si="4"/>
        <v>0.14285714285714285</v>
      </c>
      <c r="AA12" s="17">
        <f t="shared" si="4"/>
        <v>0</v>
      </c>
      <c r="AB12" s="17">
        <f t="shared" si="4"/>
        <v>0</v>
      </c>
      <c r="AC12" s="17">
        <f t="shared" si="4"/>
        <v>38.714285714285715</v>
      </c>
      <c r="AD12" s="17">
        <f t="shared" si="4"/>
        <v>0</v>
      </c>
      <c r="AE12" s="31">
        <f t="shared" si="4"/>
        <v>7.4285714285714279</v>
      </c>
      <c r="AF12" s="31">
        <f t="shared" si="4"/>
        <v>46.142857142857139</v>
      </c>
    </row>
    <row r="13" spans="2:32" ht="23.1" customHeight="1" x14ac:dyDescent="0.25">
      <c r="B13" s="23" t="s">
        <v>40</v>
      </c>
      <c r="C13" s="49">
        <f>AVERAGE('17.10 bukomero-Kyankwanzi'!C13,'18.10 bukomero-Kyankwanzi'!C13,'19.10 bukomero-Kyankwanzi-24h'!C13,'20.10 bukomero-Kyankwanzi'!C13,'21.10 bukomero-Kyankwanzi-24h'!C13,'22.10 bukomero-Kyankwanzi'!C13,'23.10 bukomero-Kyankwanzi'!C13)</f>
        <v>0.42857142857142855</v>
      </c>
      <c r="D13" s="49">
        <f>AVERAGE('17.10 bukomero-Kyankwanzi'!D13,'18.10 bukomero-Kyankwanzi'!D13,'19.10 bukomero-Kyankwanzi-24h'!D13,'20.10 bukomero-Kyankwanzi'!D13,'21.10 bukomero-Kyankwanzi-24h'!D13,'22.10 bukomero-Kyankwanzi'!D13,'23.10 bukomero-Kyankwanzi'!D13)</f>
        <v>0</v>
      </c>
      <c r="E13" s="49">
        <f>AVERAGE('17.10 bukomero-Kyankwanzi'!E13,'18.10 bukomero-Kyankwanzi'!E13,'19.10 bukomero-Kyankwanzi-24h'!E13,'20.10 bukomero-Kyankwanzi'!E13,'21.10 bukomero-Kyankwanzi-24h'!E13,'22.10 bukomero-Kyankwanzi'!E13,'23.10 bukomero-Kyankwanzi'!E13)</f>
        <v>0.14285714285714285</v>
      </c>
      <c r="F13" s="49">
        <f>AVERAGE('17.10 bukomero-Kyankwanzi'!F13,'18.10 bukomero-Kyankwanzi'!F13,'19.10 bukomero-Kyankwanzi-24h'!F13,'20.10 bukomero-Kyankwanzi'!F13,'21.10 bukomero-Kyankwanzi-24h'!F13,'22.10 bukomero-Kyankwanzi'!F13,'23.10 bukomero-Kyankwanzi'!F13)</f>
        <v>0</v>
      </c>
      <c r="G13" s="49">
        <f>AVERAGE('17.10 bukomero-Kyankwanzi'!G13,'18.10 bukomero-Kyankwanzi'!G13,'19.10 bukomero-Kyankwanzi-24h'!G13,'20.10 bukomero-Kyankwanzi'!G13,'21.10 bukomero-Kyankwanzi-24h'!G13,'22.10 bukomero-Kyankwanzi'!G13,'23.10 bukomero-Kyankwanzi'!G13)</f>
        <v>0</v>
      </c>
      <c r="H13" s="49">
        <f>AVERAGE('17.10 bukomero-Kyankwanzi'!H13,'18.10 bukomero-Kyankwanzi'!H13,'19.10 bukomero-Kyankwanzi-24h'!H13,'20.10 bukomero-Kyankwanzi'!H13,'21.10 bukomero-Kyankwanzi-24h'!H13,'22.10 bukomero-Kyankwanzi'!H13,'23.10 bukomero-Kyankwanzi'!H13)</f>
        <v>0</v>
      </c>
      <c r="I13" s="49">
        <f>AVERAGE('17.10 bukomero-Kyankwanzi'!I13,'18.10 bukomero-Kyankwanzi'!I13,'19.10 bukomero-Kyankwanzi-24h'!I13,'20.10 bukomero-Kyankwanzi'!I13,'21.10 bukomero-Kyankwanzi-24h'!I13,'22.10 bukomero-Kyankwanzi'!I13,'23.10 bukomero-Kyankwanzi'!I13)</f>
        <v>0.5714285714285714</v>
      </c>
      <c r="J13" s="49">
        <f>AVERAGE('17.10 bukomero-Kyankwanzi'!J13,'18.10 bukomero-Kyankwanzi'!J13,'19.10 bukomero-Kyankwanzi-24h'!J13,'20.10 bukomero-Kyankwanzi'!J13,'21.10 bukomero-Kyankwanzi-24h'!J13,'22.10 bukomero-Kyankwanzi'!J13,'23.10 bukomero-Kyankwanzi'!J13)</f>
        <v>0</v>
      </c>
      <c r="K13" s="49">
        <f>AVERAGE('17.10 bukomero-Kyankwanzi'!K13,'18.10 bukomero-Kyankwanzi'!K13,'19.10 bukomero-Kyankwanzi-24h'!K13,'20.10 bukomero-Kyankwanzi'!K13,'21.10 bukomero-Kyankwanzi-24h'!K13,'22.10 bukomero-Kyankwanzi'!K13,'23.10 bukomero-Kyankwanzi'!K13)</f>
        <v>0</v>
      </c>
      <c r="L13" s="49">
        <f>AVERAGE('17.10 bukomero-Kyankwanzi'!L13,'18.10 bukomero-Kyankwanzi'!L13,'19.10 bukomero-Kyankwanzi-24h'!L13,'20.10 bukomero-Kyankwanzi'!L13,'21.10 bukomero-Kyankwanzi-24h'!L13,'22.10 bukomero-Kyankwanzi'!L13,'23.10 bukomero-Kyankwanzi'!L13)</f>
        <v>0</v>
      </c>
      <c r="M13" s="49">
        <f>AVERAGE('17.10 bukomero-Kyankwanzi'!M13,'18.10 bukomero-Kyankwanzi'!M13,'19.10 bukomero-Kyankwanzi-24h'!M13,'20.10 bukomero-Kyankwanzi'!M13,'21.10 bukomero-Kyankwanzi-24h'!M13,'22.10 bukomero-Kyankwanzi'!M13,'23.10 bukomero-Kyankwanzi'!M13)</f>
        <v>8.7142857142857135</v>
      </c>
      <c r="N13" s="49">
        <f>AVERAGE('17.10 bukomero-Kyankwanzi'!N13,'18.10 bukomero-Kyankwanzi'!N13,'19.10 bukomero-Kyankwanzi-24h'!N13,'20.10 bukomero-Kyankwanzi'!N13,'21.10 bukomero-Kyankwanzi-24h'!N13,'22.10 bukomero-Kyankwanzi'!N13,'23.10 bukomero-Kyankwanzi'!N13)</f>
        <v>0</v>
      </c>
      <c r="O13" s="15">
        <f t="shared" si="0"/>
        <v>1.1428571428571428</v>
      </c>
      <c r="P13" s="15">
        <f t="shared" si="1"/>
        <v>9.8571428571428559</v>
      </c>
      <c r="R13" s="1" t="s">
        <v>9</v>
      </c>
      <c r="S13" s="17">
        <f t="shared" ref="S13:AF13" si="5">SUM(C22:C25)</f>
        <v>1</v>
      </c>
      <c r="T13" s="17">
        <f t="shared" si="5"/>
        <v>1.1428571428571428</v>
      </c>
      <c r="U13" s="17">
        <f t="shared" si="5"/>
        <v>0.42857142857142855</v>
      </c>
      <c r="V13" s="17">
        <f t="shared" si="5"/>
        <v>0.14285714285714285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0.42857142857142855</v>
      </c>
      <c r="AA13" s="17">
        <f t="shared" si="5"/>
        <v>0</v>
      </c>
      <c r="AB13" s="17">
        <f t="shared" si="5"/>
        <v>0</v>
      </c>
      <c r="AC13" s="17">
        <f t="shared" si="5"/>
        <v>41.571428571428569</v>
      </c>
      <c r="AD13" s="17">
        <f t="shared" si="5"/>
        <v>0</v>
      </c>
      <c r="AE13" s="31">
        <f t="shared" si="5"/>
        <v>6.1428571428571423</v>
      </c>
      <c r="AF13" s="31">
        <f t="shared" si="5"/>
        <v>47.714285714285715</v>
      </c>
    </row>
    <row r="14" spans="2:32" ht="23.1" customHeight="1" x14ac:dyDescent="0.25">
      <c r="B14" s="23" t="s">
        <v>41</v>
      </c>
      <c r="C14" s="49">
        <f>AVERAGE('17.10 bukomero-Kyankwanzi'!C14,'18.10 bukomero-Kyankwanzi'!C14,'19.10 bukomero-Kyankwanzi-24h'!C14,'20.10 bukomero-Kyankwanzi'!C14,'21.10 bukomero-Kyankwanzi-24h'!C14,'22.10 bukomero-Kyankwanzi'!C14,'23.10 bukomero-Kyankwanzi'!C14)</f>
        <v>0.7142857142857143</v>
      </c>
      <c r="D14" s="49">
        <f>AVERAGE('17.10 bukomero-Kyankwanzi'!D14,'18.10 bukomero-Kyankwanzi'!D14,'19.10 bukomero-Kyankwanzi-24h'!D14,'20.10 bukomero-Kyankwanzi'!D14,'21.10 bukomero-Kyankwanzi-24h'!D14,'22.10 bukomero-Kyankwanzi'!D14,'23.10 bukomero-Kyankwanzi'!D14)</f>
        <v>0</v>
      </c>
      <c r="E14" s="49">
        <f>AVERAGE('17.10 bukomero-Kyankwanzi'!E14,'18.10 bukomero-Kyankwanzi'!E14,'19.10 bukomero-Kyankwanzi-24h'!E14,'20.10 bukomero-Kyankwanzi'!E14,'21.10 bukomero-Kyankwanzi-24h'!E14,'22.10 bukomero-Kyankwanzi'!E14,'23.10 bukomero-Kyankwanzi'!E14)</f>
        <v>0.14285714285714285</v>
      </c>
      <c r="F14" s="49">
        <f>AVERAGE('17.10 bukomero-Kyankwanzi'!F14,'18.10 bukomero-Kyankwanzi'!F14,'19.10 bukomero-Kyankwanzi-24h'!F14,'20.10 bukomero-Kyankwanzi'!F14,'21.10 bukomero-Kyankwanzi-24h'!F14,'22.10 bukomero-Kyankwanzi'!F14,'23.10 bukomero-Kyankwanzi'!F14)</f>
        <v>0.5714285714285714</v>
      </c>
      <c r="G14" s="49">
        <f>AVERAGE('17.10 bukomero-Kyankwanzi'!G14,'18.10 bukomero-Kyankwanzi'!G14,'19.10 bukomero-Kyankwanzi-24h'!G14,'20.10 bukomero-Kyankwanzi'!G14,'21.10 bukomero-Kyankwanzi-24h'!G14,'22.10 bukomero-Kyankwanzi'!G14,'23.10 bukomero-Kyankwanzi'!G14)</f>
        <v>0</v>
      </c>
      <c r="H14" s="49">
        <f>AVERAGE('17.10 bukomero-Kyankwanzi'!H14,'18.10 bukomero-Kyankwanzi'!H14,'19.10 bukomero-Kyankwanzi-24h'!H14,'20.10 bukomero-Kyankwanzi'!H14,'21.10 bukomero-Kyankwanzi-24h'!H14,'22.10 bukomero-Kyankwanzi'!H14,'23.10 bukomero-Kyankwanzi'!H14)</f>
        <v>0</v>
      </c>
      <c r="I14" s="49">
        <f>AVERAGE('17.10 bukomero-Kyankwanzi'!I14,'18.10 bukomero-Kyankwanzi'!I14,'19.10 bukomero-Kyankwanzi-24h'!I14,'20.10 bukomero-Kyankwanzi'!I14,'21.10 bukomero-Kyankwanzi-24h'!I14,'22.10 bukomero-Kyankwanzi'!I14,'23.10 bukomero-Kyankwanzi'!I14)</f>
        <v>0.2857142857142857</v>
      </c>
      <c r="J14" s="49">
        <f>AVERAGE('17.10 bukomero-Kyankwanzi'!J14,'18.10 bukomero-Kyankwanzi'!J14,'19.10 bukomero-Kyankwanzi-24h'!J14,'20.10 bukomero-Kyankwanzi'!J14,'21.10 bukomero-Kyankwanzi-24h'!J14,'22.10 bukomero-Kyankwanzi'!J14,'23.10 bukomero-Kyankwanzi'!J14)</f>
        <v>0</v>
      </c>
      <c r="K14" s="49">
        <f>AVERAGE('17.10 bukomero-Kyankwanzi'!K14,'18.10 bukomero-Kyankwanzi'!K14,'19.10 bukomero-Kyankwanzi-24h'!K14,'20.10 bukomero-Kyankwanzi'!K14,'21.10 bukomero-Kyankwanzi-24h'!K14,'22.10 bukomero-Kyankwanzi'!K14,'23.10 bukomero-Kyankwanzi'!K14)</f>
        <v>0</v>
      </c>
      <c r="L14" s="49">
        <f>AVERAGE('17.10 bukomero-Kyankwanzi'!L14,'18.10 bukomero-Kyankwanzi'!L14,'19.10 bukomero-Kyankwanzi-24h'!L14,'20.10 bukomero-Kyankwanzi'!L14,'21.10 bukomero-Kyankwanzi-24h'!L14,'22.10 bukomero-Kyankwanzi'!L14,'23.10 bukomero-Kyankwanzi'!L14)</f>
        <v>0</v>
      </c>
      <c r="M14" s="49">
        <f>AVERAGE('17.10 bukomero-Kyankwanzi'!M14,'18.10 bukomero-Kyankwanzi'!M14,'19.10 bukomero-Kyankwanzi-24h'!M14,'20.10 bukomero-Kyankwanzi'!M14,'21.10 bukomero-Kyankwanzi-24h'!M14,'22.10 bukomero-Kyankwanzi'!M14,'23.10 bukomero-Kyankwanzi'!M14)</f>
        <v>8.4285714285714288</v>
      </c>
      <c r="N14" s="49">
        <f>AVERAGE('17.10 bukomero-Kyankwanzi'!N14,'18.10 bukomero-Kyankwanzi'!N14,'19.10 bukomero-Kyankwanzi-24h'!N14,'20.10 bukomero-Kyankwanzi'!N14,'21.10 bukomero-Kyankwanzi-24h'!N14,'22.10 bukomero-Kyankwanzi'!N14,'23.10 bukomero-Kyankwanzi'!N14)</f>
        <v>0</v>
      </c>
      <c r="O14" s="15">
        <f t="shared" si="0"/>
        <v>1.7142857142857144</v>
      </c>
      <c r="P14" s="15">
        <f t="shared" si="1"/>
        <v>10.142857142857142</v>
      </c>
      <c r="R14" s="1" t="s">
        <v>10</v>
      </c>
      <c r="S14" s="17">
        <f t="shared" ref="S14:AF14" si="6">SUM(C26:C29)</f>
        <v>1.1428571428571428</v>
      </c>
      <c r="T14" s="17">
        <f t="shared" si="6"/>
        <v>0.5714285714285714</v>
      </c>
      <c r="U14" s="17">
        <f t="shared" si="6"/>
        <v>0.42857142857142855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2.4285714285714284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44.142857142857146</v>
      </c>
      <c r="AD14" s="17">
        <f t="shared" si="6"/>
        <v>0</v>
      </c>
      <c r="AE14" s="31">
        <f t="shared" si="6"/>
        <v>4.5714285714285712</v>
      </c>
      <c r="AF14" s="31">
        <f t="shared" si="6"/>
        <v>48.714285714285708</v>
      </c>
    </row>
    <row r="15" spans="2:32" ht="23.1" customHeight="1" x14ac:dyDescent="0.25">
      <c r="B15" s="23" t="s">
        <v>42</v>
      </c>
      <c r="C15" s="49">
        <f>AVERAGE('17.10 bukomero-Kyankwanzi'!C15,'18.10 bukomero-Kyankwanzi'!C15,'19.10 bukomero-Kyankwanzi-24h'!C15,'20.10 bukomero-Kyankwanzi'!C15,'21.10 bukomero-Kyankwanzi-24h'!C15,'22.10 bukomero-Kyankwanzi'!C15,'23.10 bukomero-Kyankwanzi'!C15)</f>
        <v>0.5714285714285714</v>
      </c>
      <c r="D15" s="49">
        <f>AVERAGE('17.10 bukomero-Kyankwanzi'!D15,'18.10 bukomero-Kyankwanzi'!D15,'19.10 bukomero-Kyankwanzi-24h'!D15,'20.10 bukomero-Kyankwanzi'!D15,'21.10 bukomero-Kyankwanzi-24h'!D15,'22.10 bukomero-Kyankwanzi'!D15,'23.10 bukomero-Kyankwanzi'!D15)</f>
        <v>0</v>
      </c>
      <c r="E15" s="49">
        <f>AVERAGE('17.10 bukomero-Kyankwanzi'!E15,'18.10 bukomero-Kyankwanzi'!E15,'19.10 bukomero-Kyankwanzi-24h'!E15,'20.10 bukomero-Kyankwanzi'!E15,'21.10 bukomero-Kyankwanzi-24h'!E15,'22.10 bukomero-Kyankwanzi'!E15,'23.10 bukomero-Kyankwanzi'!E15)</f>
        <v>0.2857142857142857</v>
      </c>
      <c r="F15" s="49">
        <f>AVERAGE('17.10 bukomero-Kyankwanzi'!F15,'18.10 bukomero-Kyankwanzi'!F15,'19.10 bukomero-Kyankwanzi-24h'!F15,'20.10 bukomero-Kyankwanzi'!F15,'21.10 bukomero-Kyankwanzi-24h'!F15,'22.10 bukomero-Kyankwanzi'!F15,'23.10 bukomero-Kyankwanzi'!F15)</f>
        <v>0.7142857142857143</v>
      </c>
      <c r="G15" s="49">
        <f>AVERAGE('17.10 bukomero-Kyankwanzi'!G15,'18.10 bukomero-Kyankwanzi'!G15,'19.10 bukomero-Kyankwanzi-24h'!G15,'20.10 bukomero-Kyankwanzi'!G15,'21.10 bukomero-Kyankwanzi-24h'!G15,'22.10 bukomero-Kyankwanzi'!G15,'23.10 bukomero-Kyankwanzi'!G15)</f>
        <v>0</v>
      </c>
      <c r="H15" s="49">
        <f>AVERAGE('17.10 bukomero-Kyankwanzi'!H15,'18.10 bukomero-Kyankwanzi'!H15,'19.10 bukomero-Kyankwanzi-24h'!H15,'20.10 bukomero-Kyankwanzi'!H15,'21.10 bukomero-Kyankwanzi-24h'!H15,'22.10 bukomero-Kyankwanzi'!H15,'23.10 bukomero-Kyankwanzi'!H15)</f>
        <v>0</v>
      </c>
      <c r="I15" s="49">
        <f>AVERAGE('17.10 bukomero-Kyankwanzi'!I15,'18.10 bukomero-Kyankwanzi'!I15,'19.10 bukomero-Kyankwanzi-24h'!I15,'20.10 bukomero-Kyankwanzi'!I15,'21.10 bukomero-Kyankwanzi-24h'!I15,'22.10 bukomero-Kyankwanzi'!I15,'23.10 bukomero-Kyankwanzi'!I15)</f>
        <v>0.2857142857142857</v>
      </c>
      <c r="J15" s="49">
        <f>AVERAGE('17.10 bukomero-Kyankwanzi'!J15,'18.10 bukomero-Kyankwanzi'!J15,'19.10 bukomero-Kyankwanzi-24h'!J15,'20.10 bukomero-Kyankwanzi'!J15,'21.10 bukomero-Kyankwanzi-24h'!J15,'22.10 bukomero-Kyankwanzi'!J15,'23.10 bukomero-Kyankwanzi'!J15)</f>
        <v>0</v>
      </c>
      <c r="K15" s="49">
        <f>AVERAGE('17.10 bukomero-Kyankwanzi'!K15,'18.10 bukomero-Kyankwanzi'!K15,'19.10 bukomero-Kyankwanzi-24h'!K15,'20.10 bukomero-Kyankwanzi'!K15,'21.10 bukomero-Kyankwanzi-24h'!K15,'22.10 bukomero-Kyankwanzi'!K15,'23.10 bukomero-Kyankwanzi'!K15)</f>
        <v>0</v>
      </c>
      <c r="L15" s="49">
        <f>AVERAGE('17.10 bukomero-Kyankwanzi'!L15,'18.10 bukomero-Kyankwanzi'!L15,'19.10 bukomero-Kyankwanzi-24h'!L15,'20.10 bukomero-Kyankwanzi'!L15,'21.10 bukomero-Kyankwanzi-24h'!L15,'22.10 bukomero-Kyankwanzi'!L15,'23.10 bukomero-Kyankwanzi'!L15)</f>
        <v>0</v>
      </c>
      <c r="M15" s="49">
        <f>AVERAGE('17.10 bukomero-Kyankwanzi'!M15,'18.10 bukomero-Kyankwanzi'!M15,'19.10 bukomero-Kyankwanzi-24h'!M15,'20.10 bukomero-Kyankwanzi'!M15,'21.10 bukomero-Kyankwanzi-24h'!M15,'22.10 bukomero-Kyankwanzi'!M15,'23.10 bukomero-Kyankwanzi'!M15)</f>
        <v>9.7142857142857135</v>
      </c>
      <c r="N15" s="49">
        <f>AVERAGE('17.10 bukomero-Kyankwanzi'!N15,'18.10 bukomero-Kyankwanzi'!N15,'19.10 bukomero-Kyankwanzi-24h'!N15,'20.10 bukomero-Kyankwanzi'!N15,'21.10 bukomero-Kyankwanzi-24h'!N15,'22.10 bukomero-Kyankwanzi'!N15,'23.10 bukomero-Kyankwanzi'!N15)</f>
        <v>0</v>
      </c>
      <c r="O15" s="15">
        <f t="shared" si="0"/>
        <v>1.8571428571428572</v>
      </c>
      <c r="P15" s="15">
        <f t="shared" si="1"/>
        <v>11.571428571428571</v>
      </c>
      <c r="R15" s="1" t="s">
        <v>11</v>
      </c>
      <c r="S15" s="17">
        <f t="shared" ref="S15:AF15" si="7">SUM(C30:C33)</f>
        <v>1.5714285714285714</v>
      </c>
      <c r="T15" s="17">
        <f t="shared" si="7"/>
        <v>0.71428571428571419</v>
      </c>
      <c r="U15" s="17">
        <f t="shared" si="7"/>
        <v>0.14285714285714285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3.2857142857142856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42.142857142857139</v>
      </c>
      <c r="AD15" s="17">
        <f t="shared" si="7"/>
        <v>0</v>
      </c>
      <c r="AE15" s="31">
        <f t="shared" si="7"/>
        <v>5.7142857142857135</v>
      </c>
      <c r="AF15" s="31">
        <f t="shared" si="7"/>
        <v>47.857142857142854</v>
      </c>
    </row>
    <row r="16" spans="2:32" ht="23.1" customHeight="1" x14ac:dyDescent="0.25">
      <c r="B16" s="23" t="s">
        <v>43</v>
      </c>
      <c r="C16" s="49">
        <f>AVERAGE('17.10 bukomero-Kyankwanzi'!C16,'18.10 bukomero-Kyankwanzi'!C16,'19.10 bukomero-Kyankwanzi-24h'!C16,'20.10 bukomero-Kyankwanzi'!C16,'21.10 bukomero-Kyankwanzi-24h'!C16,'22.10 bukomero-Kyankwanzi'!C16,'23.10 bukomero-Kyankwanzi'!C16)</f>
        <v>0.42857142857142855</v>
      </c>
      <c r="D16" s="49">
        <f>AVERAGE('17.10 bukomero-Kyankwanzi'!D16,'18.10 bukomero-Kyankwanzi'!D16,'19.10 bukomero-Kyankwanzi-24h'!D16,'20.10 bukomero-Kyankwanzi'!D16,'21.10 bukomero-Kyankwanzi-24h'!D16,'22.10 bukomero-Kyankwanzi'!D16,'23.10 bukomero-Kyankwanzi'!D16)</f>
        <v>0</v>
      </c>
      <c r="E16" s="49">
        <f>AVERAGE('17.10 bukomero-Kyankwanzi'!E16,'18.10 bukomero-Kyankwanzi'!E16,'19.10 bukomero-Kyankwanzi-24h'!E16,'20.10 bukomero-Kyankwanzi'!E16,'21.10 bukomero-Kyankwanzi-24h'!E16,'22.10 bukomero-Kyankwanzi'!E16,'23.10 bukomero-Kyankwanzi'!E16)</f>
        <v>0.14285714285714285</v>
      </c>
      <c r="F16" s="49">
        <f>AVERAGE('17.10 bukomero-Kyankwanzi'!F16,'18.10 bukomero-Kyankwanzi'!F16,'19.10 bukomero-Kyankwanzi-24h'!F16,'20.10 bukomero-Kyankwanzi'!F16,'21.10 bukomero-Kyankwanzi-24h'!F16,'22.10 bukomero-Kyankwanzi'!F16,'23.10 bukomero-Kyankwanzi'!F16)</f>
        <v>0.7142857142857143</v>
      </c>
      <c r="G16" s="49">
        <f>AVERAGE('17.10 bukomero-Kyankwanzi'!G16,'18.10 bukomero-Kyankwanzi'!G16,'19.10 bukomero-Kyankwanzi-24h'!G16,'20.10 bukomero-Kyankwanzi'!G16,'21.10 bukomero-Kyankwanzi-24h'!G16,'22.10 bukomero-Kyankwanzi'!G16,'23.10 bukomero-Kyankwanzi'!G16)</f>
        <v>0.14285714285714285</v>
      </c>
      <c r="H16" s="49">
        <f>AVERAGE('17.10 bukomero-Kyankwanzi'!H16,'18.10 bukomero-Kyankwanzi'!H16,'19.10 bukomero-Kyankwanzi-24h'!H16,'20.10 bukomero-Kyankwanzi'!H16,'21.10 bukomero-Kyankwanzi-24h'!H16,'22.10 bukomero-Kyankwanzi'!H16,'23.10 bukomero-Kyankwanzi'!H16)</f>
        <v>0</v>
      </c>
      <c r="I16" s="49">
        <f>AVERAGE('17.10 bukomero-Kyankwanzi'!I16,'18.10 bukomero-Kyankwanzi'!I16,'19.10 bukomero-Kyankwanzi-24h'!I16,'20.10 bukomero-Kyankwanzi'!I16,'21.10 bukomero-Kyankwanzi-24h'!I16,'22.10 bukomero-Kyankwanzi'!I16,'23.10 bukomero-Kyankwanzi'!I16)</f>
        <v>0.7142857142857143</v>
      </c>
      <c r="J16" s="49">
        <f>AVERAGE('17.10 bukomero-Kyankwanzi'!J16,'18.10 bukomero-Kyankwanzi'!J16,'19.10 bukomero-Kyankwanzi-24h'!J16,'20.10 bukomero-Kyankwanzi'!J16,'21.10 bukomero-Kyankwanzi-24h'!J16,'22.10 bukomero-Kyankwanzi'!J16,'23.10 bukomero-Kyankwanzi'!J16)</f>
        <v>0</v>
      </c>
      <c r="K16" s="49">
        <f>AVERAGE('17.10 bukomero-Kyankwanzi'!K16,'18.10 bukomero-Kyankwanzi'!K16,'19.10 bukomero-Kyankwanzi-24h'!K16,'20.10 bukomero-Kyankwanzi'!K16,'21.10 bukomero-Kyankwanzi-24h'!K16,'22.10 bukomero-Kyankwanzi'!K16,'23.10 bukomero-Kyankwanzi'!K16)</f>
        <v>0</v>
      </c>
      <c r="L16" s="49">
        <f>AVERAGE('17.10 bukomero-Kyankwanzi'!L16,'18.10 bukomero-Kyankwanzi'!L16,'19.10 bukomero-Kyankwanzi-24h'!L16,'20.10 bukomero-Kyankwanzi'!L16,'21.10 bukomero-Kyankwanzi-24h'!L16,'22.10 bukomero-Kyankwanzi'!L16,'23.10 bukomero-Kyankwanzi'!L16)</f>
        <v>0</v>
      </c>
      <c r="M16" s="49">
        <f>AVERAGE('17.10 bukomero-Kyankwanzi'!M16,'18.10 bukomero-Kyankwanzi'!M16,'19.10 bukomero-Kyankwanzi-24h'!M16,'20.10 bukomero-Kyankwanzi'!M16,'21.10 bukomero-Kyankwanzi-24h'!M16,'22.10 bukomero-Kyankwanzi'!M16,'23.10 bukomero-Kyankwanzi'!M16)</f>
        <v>9</v>
      </c>
      <c r="N16" s="49">
        <f>AVERAGE('17.10 bukomero-Kyankwanzi'!N16,'18.10 bukomero-Kyankwanzi'!N16,'19.10 bukomero-Kyankwanzi-24h'!N16,'20.10 bukomero-Kyankwanzi'!N16,'21.10 bukomero-Kyankwanzi-24h'!N16,'22.10 bukomero-Kyankwanzi'!N16,'23.10 bukomero-Kyankwanzi'!N16)</f>
        <v>0</v>
      </c>
      <c r="O16" s="15">
        <f t="shared" si="0"/>
        <v>2.1428571428571428</v>
      </c>
      <c r="P16" s="15">
        <f t="shared" si="1"/>
        <v>11.142857142857142</v>
      </c>
      <c r="R16" s="1" t="s">
        <v>12</v>
      </c>
      <c r="S16" s="17">
        <f t="shared" ref="S16:AF16" si="8">SUM(C34:C37)</f>
        <v>1.4285714285714284</v>
      </c>
      <c r="T16" s="17">
        <f t="shared" si="8"/>
        <v>0.5714285714285714</v>
      </c>
      <c r="U16" s="17">
        <f t="shared" si="8"/>
        <v>0.71428571428571419</v>
      </c>
      <c r="V16" s="17">
        <f t="shared" si="8"/>
        <v>0.2857142857142857</v>
      </c>
      <c r="W16" s="17">
        <f t="shared" si="8"/>
        <v>0</v>
      </c>
      <c r="X16" s="17">
        <f t="shared" si="8"/>
        <v>0</v>
      </c>
      <c r="Y16" s="17">
        <f t="shared" si="8"/>
        <v>1.7142857142857142</v>
      </c>
      <c r="Z16" s="17">
        <f t="shared" si="8"/>
        <v>0.42857142857142855</v>
      </c>
      <c r="AA16" s="17">
        <f t="shared" si="8"/>
        <v>0.2857142857142857</v>
      </c>
      <c r="AB16" s="17">
        <f t="shared" si="8"/>
        <v>0</v>
      </c>
      <c r="AC16" s="17">
        <f t="shared" si="8"/>
        <v>45.285714285714292</v>
      </c>
      <c r="AD16" s="17">
        <f t="shared" si="8"/>
        <v>0</v>
      </c>
      <c r="AE16" s="31">
        <f t="shared" si="8"/>
        <v>5.428571428571427</v>
      </c>
      <c r="AF16" s="31">
        <f t="shared" si="8"/>
        <v>50.714285714285715</v>
      </c>
    </row>
    <row r="17" spans="2:32" ht="23.1" customHeight="1" x14ac:dyDescent="0.25">
      <c r="B17" s="23" t="s">
        <v>44</v>
      </c>
      <c r="C17" s="49">
        <f>AVERAGE('17.10 bukomero-Kyankwanzi'!C17,'18.10 bukomero-Kyankwanzi'!C17,'19.10 bukomero-Kyankwanzi-24h'!C17,'20.10 bukomero-Kyankwanzi'!C17,'21.10 bukomero-Kyankwanzi-24h'!C17,'22.10 bukomero-Kyankwanzi'!C17,'23.10 bukomero-Kyankwanzi'!C17)</f>
        <v>0.7142857142857143</v>
      </c>
      <c r="D17" s="49">
        <f>AVERAGE('17.10 bukomero-Kyankwanzi'!D17,'18.10 bukomero-Kyankwanzi'!D17,'19.10 bukomero-Kyankwanzi-24h'!D17,'20.10 bukomero-Kyankwanzi'!D17,'21.10 bukomero-Kyankwanzi-24h'!D17,'22.10 bukomero-Kyankwanzi'!D17,'23.10 bukomero-Kyankwanzi'!D17)</f>
        <v>0.2857142857142857</v>
      </c>
      <c r="E17" s="49">
        <f>AVERAGE('17.10 bukomero-Kyankwanzi'!E17,'18.10 bukomero-Kyankwanzi'!E17,'19.10 bukomero-Kyankwanzi-24h'!E17,'20.10 bukomero-Kyankwanzi'!E17,'21.10 bukomero-Kyankwanzi-24h'!E17,'22.10 bukomero-Kyankwanzi'!E17,'23.10 bukomero-Kyankwanzi'!E17)</f>
        <v>0</v>
      </c>
      <c r="F17" s="49">
        <f>AVERAGE('17.10 bukomero-Kyankwanzi'!F17,'18.10 bukomero-Kyankwanzi'!F17,'19.10 bukomero-Kyankwanzi-24h'!F17,'20.10 bukomero-Kyankwanzi'!F17,'21.10 bukomero-Kyankwanzi-24h'!F17,'22.10 bukomero-Kyankwanzi'!F17,'23.10 bukomero-Kyankwanzi'!F17)</f>
        <v>0.5714285714285714</v>
      </c>
      <c r="G17" s="49">
        <f>AVERAGE('17.10 bukomero-Kyankwanzi'!G17,'18.10 bukomero-Kyankwanzi'!G17,'19.10 bukomero-Kyankwanzi-24h'!G17,'20.10 bukomero-Kyankwanzi'!G17,'21.10 bukomero-Kyankwanzi-24h'!G17,'22.10 bukomero-Kyankwanzi'!G17,'23.10 bukomero-Kyankwanzi'!G17)</f>
        <v>0.14285714285714285</v>
      </c>
      <c r="H17" s="49">
        <f>AVERAGE('17.10 bukomero-Kyankwanzi'!H17,'18.10 bukomero-Kyankwanzi'!H17,'19.10 bukomero-Kyankwanzi-24h'!H17,'20.10 bukomero-Kyankwanzi'!H17,'21.10 bukomero-Kyankwanzi-24h'!H17,'22.10 bukomero-Kyankwanzi'!H17,'23.10 bukomero-Kyankwanzi'!H17)</f>
        <v>0</v>
      </c>
      <c r="I17" s="49">
        <f>AVERAGE('17.10 bukomero-Kyankwanzi'!I17,'18.10 bukomero-Kyankwanzi'!I17,'19.10 bukomero-Kyankwanzi-24h'!I17,'20.10 bukomero-Kyankwanzi'!I17,'21.10 bukomero-Kyankwanzi-24h'!I17,'22.10 bukomero-Kyankwanzi'!I17,'23.10 bukomero-Kyankwanzi'!I17)</f>
        <v>0.7142857142857143</v>
      </c>
      <c r="J17" s="49">
        <f>AVERAGE('17.10 bukomero-Kyankwanzi'!J17,'18.10 bukomero-Kyankwanzi'!J17,'19.10 bukomero-Kyankwanzi-24h'!J17,'20.10 bukomero-Kyankwanzi'!J17,'21.10 bukomero-Kyankwanzi-24h'!J17,'22.10 bukomero-Kyankwanzi'!J17,'23.10 bukomero-Kyankwanzi'!J17)</f>
        <v>0</v>
      </c>
      <c r="K17" s="49">
        <f>AVERAGE('17.10 bukomero-Kyankwanzi'!K17,'18.10 bukomero-Kyankwanzi'!K17,'19.10 bukomero-Kyankwanzi-24h'!K17,'20.10 bukomero-Kyankwanzi'!K17,'21.10 bukomero-Kyankwanzi-24h'!K17,'22.10 bukomero-Kyankwanzi'!K17,'23.10 bukomero-Kyankwanzi'!K17)</f>
        <v>0.14285714285714285</v>
      </c>
      <c r="L17" s="49">
        <f>AVERAGE('17.10 bukomero-Kyankwanzi'!L17,'18.10 bukomero-Kyankwanzi'!L17,'19.10 bukomero-Kyankwanzi-24h'!L17,'20.10 bukomero-Kyankwanzi'!L17,'21.10 bukomero-Kyankwanzi-24h'!L17,'22.10 bukomero-Kyankwanzi'!L17,'23.10 bukomero-Kyankwanzi'!L17)</f>
        <v>0</v>
      </c>
      <c r="M17" s="49">
        <f>AVERAGE('17.10 bukomero-Kyankwanzi'!M17,'18.10 bukomero-Kyankwanzi'!M17,'19.10 bukomero-Kyankwanzi-24h'!M17,'20.10 bukomero-Kyankwanzi'!M17,'21.10 bukomero-Kyankwanzi-24h'!M17,'22.10 bukomero-Kyankwanzi'!M17,'23.10 bukomero-Kyankwanzi'!M17)</f>
        <v>9.7142857142857135</v>
      </c>
      <c r="N17" s="49">
        <f>AVERAGE('17.10 bukomero-Kyankwanzi'!N17,'18.10 bukomero-Kyankwanzi'!N17,'19.10 bukomero-Kyankwanzi-24h'!N17,'20.10 bukomero-Kyankwanzi'!N17,'21.10 bukomero-Kyankwanzi-24h'!N17,'22.10 bukomero-Kyankwanzi'!N17,'23.10 bukomero-Kyankwanzi'!N17)</f>
        <v>0.14285714285714285</v>
      </c>
      <c r="O17" s="15">
        <f t="shared" si="0"/>
        <v>2.714285714285714</v>
      </c>
      <c r="P17" s="15">
        <f t="shared" si="1"/>
        <v>12.428571428571427</v>
      </c>
      <c r="R17" s="1" t="s">
        <v>13</v>
      </c>
      <c r="S17" s="17">
        <f t="shared" ref="S17:AF17" si="9">SUM(C38:C41)</f>
        <v>1.1428571428571428</v>
      </c>
      <c r="T17" s="17">
        <f t="shared" si="9"/>
        <v>0.42857142857142855</v>
      </c>
      <c r="U17" s="17">
        <f t="shared" si="9"/>
        <v>0.5714285714285714</v>
      </c>
      <c r="V17" s="17">
        <f t="shared" si="9"/>
        <v>0.14285714285714285</v>
      </c>
      <c r="W17" s="17">
        <f t="shared" si="9"/>
        <v>0</v>
      </c>
      <c r="X17" s="17">
        <f t="shared" si="9"/>
        <v>0</v>
      </c>
      <c r="Y17" s="17">
        <f t="shared" si="9"/>
        <v>4.4285714285714288</v>
      </c>
      <c r="Z17" s="17">
        <f t="shared" si="9"/>
        <v>0.5714285714285714</v>
      </c>
      <c r="AA17" s="17">
        <f t="shared" si="9"/>
        <v>0.14285714285714285</v>
      </c>
      <c r="AB17" s="17">
        <f t="shared" si="9"/>
        <v>0</v>
      </c>
      <c r="AC17" s="17">
        <f t="shared" si="9"/>
        <v>50.857142857142861</v>
      </c>
      <c r="AD17" s="17">
        <f t="shared" si="9"/>
        <v>0</v>
      </c>
      <c r="AE17" s="31">
        <f t="shared" si="9"/>
        <v>7.4285714285714288</v>
      </c>
      <c r="AF17" s="31">
        <f t="shared" si="9"/>
        <v>58.285714285714292</v>
      </c>
    </row>
    <row r="18" spans="2:32" ht="23.1" customHeight="1" x14ac:dyDescent="0.25">
      <c r="B18" s="23" t="s">
        <v>45</v>
      </c>
      <c r="C18" s="49">
        <f>AVERAGE('17.10 bukomero-Kyankwanzi'!C18,'18.10 bukomero-Kyankwanzi'!C18,'19.10 bukomero-Kyankwanzi-24h'!C18,'20.10 bukomero-Kyankwanzi'!C18,'21.10 bukomero-Kyankwanzi-24h'!C18,'22.10 bukomero-Kyankwanzi'!C18,'23.10 bukomero-Kyankwanzi'!C18)</f>
        <v>0.14285714285714285</v>
      </c>
      <c r="D18" s="49">
        <f>AVERAGE('17.10 bukomero-Kyankwanzi'!D18,'18.10 bukomero-Kyankwanzi'!D18,'19.10 bukomero-Kyankwanzi-24h'!D18,'20.10 bukomero-Kyankwanzi'!D18,'21.10 bukomero-Kyankwanzi-24h'!D18,'22.10 bukomero-Kyankwanzi'!D18,'23.10 bukomero-Kyankwanzi'!D18)</f>
        <v>0.2857142857142857</v>
      </c>
      <c r="E18" s="49">
        <f>AVERAGE('17.10 bukomero-Kyankwanzi'!E18,'18.10 bukomero-Kyankwanzi'!E18,'19.10 bukomero-Kyankwanzi-24h'!E18,'20.10 bukomero-Kyankwanzi'!E18,'21.10 bukomero-Kyankwanzi-24h'!E18,'22.10 bukomero-Kyankwanzi'!E18,'23.10 bukomero-Kyankwanzi'!E18)</f>
        <v>0.42857142857142855</v>
      </c>
      <c r="F18" s="49">
        <f>AVERAGE('17.10 bukomero-Kyankwanzi'!F18,'18.10 bukomero-Kyankwanzi'!F18,'19.10 bukomero-Kyankwanzi-24h'!F18,'20.10 bukomero-Kyankwanzi'!F18,'21.10 bukomero-Kyankwanzi-24h'!F18,'22.10 bukomero-Kyankwanzi'!F18,'23.10 bukomero-Kyankwanzi'!F18)</f>
        <v>0.2857142857142857</v>
      </c>
      <c r="G18" s="49">
        <f>AVERAGE('17.10 bukomero-Kyankwanzi'!G18,'18.10 bukomero-Kyankwanzi'!G18,'19.10 bukomero-Kyankwanzi-24h'!G18,'20.10 bukomero-Kyankwanzi'!G18,'21.10 bukomero-Kyankwanzi-24h'!G18,'22.10 bukomero-Kyankwanzi'!G18,'23.10 bukomero-Kyankwanzi'!G18)</f>
        <v>0</v>
      </c>
      <c r="H18" s="49">
        <f>AVERAGE('17.10 bukomero-Kyankwanzi'!H18,'18.10 bukomero-Kyankwanzi'!H18,'19.10 bukomero-Kyankwanzi-24h'!H18,'20.10 bukomero-Kyankwanzi'!H18,'21.10 bukomero-Kyankwanzi-24h'!H18,'22.10 bukomero-Kyankwanzi'!H18,'23.10 bukomero-Kyankwanzi'!H18)</f>
        <v>0</v>
      </c>
      <c r="I18" s="49">
        <f>AVERAGE('17.10 bukomero-Kyankwanzi'!I18,'18.10 bukomero-Kyankwanzi'!I18,'19.10 bukomero-Kyankwanzi-24h'!I18,'20.10 bukomero-Kyankwanzi'!I18,'21.10 bukomero-Kyankwanzi-24h'!I18,'22.10 bukomero-Kyankwanzi'!I18,'23.10 bukomero-Kyankwanzi'!I18)</f>
        <v>1.4285714285714286</v>
      </c>
      <c r="J18" s="49">
        <f>AVERAGE('17.10 bukomero-Kyankwanzi'!J18,'18.10 bukomero-Kyankwanzi'!J18,'19.10 bukomero-Kyankwanzi-24h'!J18,'20.10 bukomero-Kyankwanzi'!J18,'21.10 bukomero-Kyankwanzi-24h'!J18,'22.10 bukomero-Kyankwanzi'!J18,'23.10 bukomero-Kyankwanzi'!J18)</f>
        <v>0</v>
      </c>
      <c r="K18" s="49">
        <f>AVERAGE('17.10 bukomero-Kyankwanzi'!K18,'18.10 bukomero-Kyankwanzi'!K18,'19.10 bukomero-Kyankwanzi-24h'!K18,'20.10 bukomero-Kyankwanzi'!K18,'21.10 bukomero-Kyankwanzi-24h'!K18,'22.10 bukomero-Kyankwanzi'!K18,'23.10 bukomero-Kyankwanzi'!K18)</f>
        <v>0</v>
      </c>
      <c r="L18" s="49">
        <f>AVERAGE('17.10 bukomero-Kyankwanzi'!L18,'18.10 bukomero-Kyankwanzi'!L18,'19.10 bukomero-Kyankwanzi-24h'!L18,'20.10 bukomero-Kyankwanzi'!L18,'21.10 bukomero-Kyankwanzi-24h'!L18,'22.10 bukomero-Kyankwanzi'!L18,'23.10 bukomero-Kyankwanzi'!L18)</f>
        <v>0</v>
      </c>
      <c r="M18" s="49">
        <f>AVERAGE('17.10 bukomero-Kyankwanzi'!M18,'18.10 bukomero-Kyankwanzi'!M18,'19.10 bukomero-Kyankwanzi-24h'!M18,'20.10 bukomero-Kyankwanzi'!M18,'21.10 bukomero-Kyankwanzi-24h'!M18,'22.10 bukomero-Kyankwanzi'!M18,'23.10 bukomero-Kyankwanzi'!M18)</f>
        <v>9.1428571428571423</v>
      </c>
      <c r="N18" s="49">
        <f>AVERAGE('17.10 bukomero-Kyankwanzi'!N18,'18.10 bukomero-Kyankwanzi'!N18,'19.10 bukomero-Kyankwanzi-24h'!N18,'20.10 bukomero-Kyankwanzi'!N18,'21.10 bukomero-Kyankwanzi-24h'!N18,'22.10 bukomero-Kyankwanzi'!N18,'23.10 bukomero-Kyankwanzi'!N18)</f>
        <v>0</v>
      </c>
      <c r="O18" s="15">
        <f t="shared" si="0"/>
        <v>2.5714285714285712</v>
      </c>
      <c r="P18" s="15">
        <f t="shared" si="1"/>
        <v>11.714285714285714</v>
      </c>
      <c r="R18" s="1" t="s">
        <v>14</v>
      </c>
      <c r="S18" s="17">
        <f t="shared" ref="S18:AF18" si="10">SUM(C42:C45)</f>
        <v>1.857142857142857</v>
      </c>
      <c r="T18" s="17">
        <f t="shared" si="10"/>
        <v>0.42857142857142855</v>
      </c>
      <c r="U18" s="17">
        <f t="shared" si="10"/>
        <v>0.42857142857142855</v>
      </c>
      <c r="V18" s="17">
        <f t="shared" si="10"/>
        <v>0.2857142857142857</v>
      </c>
      <c r="W18" s="17">
        <f t="shared" si="10"/>
        <v>0</v>
      </c>
      <c r="X18" s="17">
        <f t="shared" si="10"/>
        <v>0</v>
      </c>
      <c r="Y18" s="17">
        <f t="shared" si="10"/>
        <v>3.1428571428571428</v>
      </c>
      <c r="Z18" s="17">
        <f t="shared" si="10"/>
        <v>0.5714285714285714</v>
      </c>
      <c r="AA18" s="17">
        <f t="shared" si="10"/>
        <v>0</v>
      </c>
      <c r="AB18" s="17">
        <f t="shared" si="10"/>
        <v>0</v>
      </c>
      <c r="AC18" s="17">
        <f t="shared" si="10"/>
        <v>47.571428571428569</v>
      </c>
      <c r="AD18" s="17">
        <f t="shared" si="10"/>
        <v>0</v>
      </c>
      <c r="AE18" s="31">
        <f t="shared" si="10"/>
        <v>6.7142857142857135</v>
      </c>
      <c r="AF18" s="31">
        <f t="shared" si="10"/>
        <v>54.285714285714285</v>
      </c>
    </row>
    <row r="19" spans="2:32" ht="23.1" customHeight="1" x14ac:dyDescent="0.25">
      <c r="B19" s="23" t="s">
        <v>46</v>
      </c>
      <c r="C19" s="49">
        <f>AVERAGE('17.10 bukomero-Kyankwanzi'!C19,'18.10 bukomero-Kyankwanzi'!C19,'19.10 bukomero-Kyankwanzi-24h'!C19,'20.10 bukomero-Kyankwanzi'!C19,'21.10 bukomero-Kyankwanzi-24h'!C19,'22.10 bukomero-Kyankwanzi'!C19,'23.10 bukomero-Kyankwanzi'!C19)</f>
        <v>0.14285714285714285</v>
      </c>
      <c r="D19" s="49">
        <f>AVERAGE('17.10 bukomero-Kyankwanzi'!D19,'18.10 bukomero-Kyankwanzi'!D19,'19.10 bukomero-Kyankwanzi-24h'!D19,'20.10 bukomero-Kyankwanzi'!D19,'21.10 bukomero-Kyankwanzi-24h'!D19,'22.10 bukomero-Kyankwanzi'!D19,'23.10 bukomero-Kyankwanzi'!D19)</f>
        <v>0.14285714285714285</v>
      </c>
      <c r="E19" s="49">
        <f>AVERAGE('17.10 bukomero-Kyankwanzi'!E19,'18.10 bukomero-Kyankwanzi'!E19,'19.10 bukomero-Kyankwanzi-24h'!E19,'20.10 bukomero-Kyankwanzi'!E19,'21.10 bukomero-Kyankwanzi-24h'!E19,'22.10 bukomero-Kyankwanzi'!E19,'23.10 bukomero-Kyankwanzi'!E19)</f>
        <v>0.42857142857142855</v>
      </c>
      <c r="F19" s="49">
        <f>AVERAGE('17.10 bukomero-Kyankwanzi'!F19,'18.10 bukomero-Kyankwanzi'!F19,'19.10 bukomero-Kyankwanzi-24h'!F19,'20.10 bukomero-Kyankwanzi'!F19,'21.10 bukomero-Kyankwanzi-24h'!F19,'22.10 bukomero-Kyankwanzi'!F19,'23.10 bukomero-Kyankwanzi'!F19)</f>
        <v>0</v>
      </c>
      <c r="G19" s="49">
        <f>AVERAGE('17.10 bukomero-Kyankwanzi'!G19,'18.10 bukomero-Kyankwanzi'!G19,'19.10 bukomero-Kyankwanzi-24h'!G19,'20.10 bukomero-Kyankwanzi'!G19,'21.10 bukomero-Kyankwanzi-24h'!G19,'22.10 bukomero-Kyankwanzi'!G19,'23.10 bukomero-Kyankwanzi'!G19)</f>
        <v>0</v>
      </c>
      <c r="H19" s="49">
        <f>AVERAGE('17.10 bukomero-Kyankwanzi'!H19,'18.10 bukomero-Kyankwanzi'!H19,'19.10 bukomero-Kyankwanzi-24h'!H19,'20.10 bukomero-Kyankwanzi'!H19,'21.10 bukomero-Kyankwanzi-24h'!H19,'22.10 bukomero-Kyankwanzi'!H19,'23.10 bukomero-Kyankwanzi'!H19)</f>
        <v>0</v>
      </c>
      <c r="I19" s="49">
        <f>AVERAGE('17.10 bukomero-Kyankwanzi'!I19,'18.10 bukomero-Kyankwanzi'!I19,'19.10 bukomero-Kyankwanzi-24h'!I19,'20.10 bukomero-Kyankwanzi'!I19,'21.10 bukomero-Kyankwanzi-24h'!I19,'22.10 bukomero-Kyankwanzi'!I19,'23.10 bukomero-Kyankwanzi'!I19)</f>
        <v>1</v>
      </c>
      <c r="J19" s="49">
        <f>AVERAGE('17.10 bukomero-Kyankwanzi'!J19,'18.10 bukomero-Kyankwanzi'!J19,'19.10 bukomero-Kyankwanzi-24h'!J19,'20.10 bukomero-Kyankwanzi'!J19,'21.10 bukomero-Kyankwanzi-24h'!J19,'22.10 bukomero-Kyankwanzi'!J19,'23.10 bukomero-Kyankwanzi'!J19)</f>
        <v>0.14285714285714285</v>
      </c>
      <c r="K19" s="49">
        <f>AVERAGE('17.10 bukomero-Kyankwanzi'!K19,'18.10 bukomero-Kyankwanzi'!K19,'19.10 bukomero-Kyankwanzi-24h'!K19,'20.10 bukomero-Kyankwanzi'!K19,'21.10 bukomero-Kyankwanzi-24h'!K19,'22.10 bukomero-Kyankwanzi'!K19,'23.10 bukomero-Kyankwanzi'!K19)</f>
        <v>0</v>
      </c>
      <c r="L19" s="49">
        <f>AVERAGE('17.10 bukomero-Kyankwanzi'!L19,'18.10 bukomero-Kyankwanzi'!L19,'19.10 bukomero-Kyankwanzi-24h'!L19,'20.10 bukomero-Kyankwanzi'!L19,'21.10 bukomero-Kyankwanzi-24h'!L19,'22.10 bukomero-Kyankwanzi'!L19,'23.10 bukomero-Kyankwanzi'!L19)</f>
        <v>0</v>
      </c>
      <c r="M19" s="49">
        <f>AVERAGE('17.10 bukomero-Kyankwanzi'!M19,'18.10 bukomero-Kyankwanzi'!M19,'19.10 bukomero-Kyankwanzi-24h'!M19,'20.10 bukomero-Kyankwanzi'!M19,'21.10 bukomero-Kyankwanzi-24h'!M19,'22.10 bukomero-Kyankwanzi'!M19,'23.10 bukomero-Kyankwanzi'!M19)</f>
        <v>11.714285714285714</v>
      </c>
      <c r="N19" s="49">
        <f>AVERAGE('17.10 bukomero-Kyankwanzi'!N19,'18.10 bukomero-Kyankwanzi'!N19,'19.10 bukomero-Kyankwanzi-24h'!N19,'20.10 bukomero-Kyankwanzi'!N19,'21.10 bukomero-Kyankwanzi-24h'!N19,'22.10 bukomero-Kyankwanzi'!N19,'23.10 bukomero-Kyankwanzi'!N19)</f>
        <v>0</v>
      </c>
      <c r="O19" s="15">
        <f t="shared" si="0"/>
        <v>1.857142857142857</v>
      </c>
      <c r="P19" s="15">
        <f t="shared" si="1"/>
        <v>13.571428571428571</v>
      </c>
      <c r="R19" s="1" t="s">
        <v>15</v>
      </c>
      <c r="S19" s="17">
        <f t="shared" ref="S19:AF19" si="11">SUM(C46:C49)</f>
        <v>1.857142857142857</v>
      </c>
      <c r="T19" s="17">
        <f t="shared" si="11"/>
        <v>0.2857142857142857</v>
      </c>
      <c r="U19" s="17">
        <f t="shared" si="11"/>
        <v>1.4285714285714286</v>
      </c>
      <c r="V19" s="17">
        <f t="shared" si="11"/>
        <v>0.5714285714285714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0.14285714285714285</v>
      </c>
      <c r="AA19" s="17">
        <f t="shared" si="11"/>
        <v>0.14285714285714285</v>
      </c>
      <c r="AB19" s="17">
        <f t="shared" si="11"/>
        <v>0</v>
      </c>
      <c r="AC19" s="17">
        <f t="shared" si="11"/>
        <v>55.428571428571431</v>
      </c>
      <c r="AD19" s="17">
        <f t="shared" si="11"/>
        <v>0</v>
      </c>
      <c r="AE19" s="31">
        <f t="shared" si="11"/>
        <v>7.4285714285714288</v>
      </c>
      <c r="AF19" s="31">
        <f t="shared" si="11"/>
        <v>62.857142857142861</v>
      </c>
    </row>
    <row r="20" spans="2:32" ht="23.1" customHeight="1" x14ac:dyDescent="0.25">
      <c r="B20" s="23" t="s">
        <v>47</v>
      </c>
      <c r="C20" s="49">
        <f>AVERAGE('17.10 bukomero-Kyankwanzi'!C20,'18.10 bukomero-Kyankwanzi'!C20,'19.10 bukomero-Kyankwanzi-24h'!C20,'20.10 bukomero-Kyankwanzi'!C20,'21.10 bukomero-Kyankwanzi-24h'!C20,'22.10 bukomero-Kyankwanzi'!C20,'23.10 bukomero-Kyankwanzi'!C20)</f>
        <v>0.14285714285714285</v>
      </c>
      <c r="D20" s="49">
        <f>AVERAGE('17.10 bukomero-Kyankwanzi'!D20,'18.10 bukomero-Kyankwanzi'!D20,'19.10 bukomero-Kyankwanzi-24h'!D20,'20.10 bukomero-Kyankwanzi'!D20,'21.10 bukomero-Kyankwanzi-24h'!D20,'22.10 bukomero-Kyankwanzi'!D20,'23.10 bukomero-Kyankwanzi'!D20)</f>
        <v>0</v>
      </c>
      <c r="E20" s="49">
        <f>AVERAGE('17.10 bukomero-Kyankwanzi'!E20,'18.10 bukomero-Kyankwanzi'!E20,'19.10 bukomero-Kyankwanzi-24h'!E20,'20.10 bukomero-Kyankwanzi'!E20,'21.10 bukomero-Kyankwanzi-24h'!E20,'22.10 bukomero-Kyankwanzi'!E20,'23.10 bukomero-Kyankwanzi'!E20)</f>
        <v>0.14285714285714285</v>
      </c>
      <c r="F20" s="49">
        <f>AVERAGE('17.10 bukomero-Kyankwanzi'!F20,'18.10 bukomero-Kyankwanzi'!F20,'19.10 bukomero-Kyankwanzi-24h'!F20,'20.10 bukomero-Kyankwanzi'!F20,'21.10 bukomero-Kyankwanzi-24h'!F20,'22.10 bukomero-Kyankwanzi'!F20,'23.10 bukomero-Kyankwanzi'!F20)</f>
        <v>0.14285714285714285</v>
      </c>
      <c r="G20" s="49">
        <f>AVERAGE('17.10 bukomero-Kyankwanzi'!G20,'18.10 bukomero-Kyankwanzi'!G20,'19.10 bukomero-Kyankwanzi-24h'!G20,'20.10 bukomero-Kyankwanzi'!G20,'21.10 bukomero-Kyankwanzi-24h'!G20,'22.10 bukomero-Kyankwanzi'!G20,'23.10 bukomero-Kyankwanzi'!G20)</f>
        <v>0</v>
      </c>
      <c r="H20" s="49">
        <f>AVERAGE('17.10 bukomero-Kyankwanzi'!H20,'18.10 bukomero-Kyankwanzi'!H20,'19.10 bukomero-Kyankwanzi-24h'!H20,'20.10 bukomero-Kyankwanzi'!H20,'21.10 bukomero-Kyankwanzi-24h'!H20,'22.10 bukomero-Kyankwanzi'!H20,'23.10 bukomero-Kyankwanzi'!H20)</f>
        <v>0</v>
      </c>
      <c r="I20" s="49">
        <f>AVERAGE('17.10 bukomero-Kyankwanzi'!I20,'18.10 bukomero-Kyankwanzi'!I20,'19.10 bukomero-Kyankwanzi-24h'!I20,'20.10 bukomero-Kyankwanzi'!I20,'21.10 bukomero-Kyankwanzi-24h'!I20,'22.10 bukomero-Kyankwanzi'!I20,'23.10 bukomero-Kyankwanzi'!I20)</f>
        <v>0.8571428571428571</v>
      </c>
      <c r="J20" s="49">
        <f>AVERAGE('17.10 bukomero-Kyankwanzi'!J20,'18.10 bukomero-Kyankwanzi'!J20,'19.10 bukomero-Kyankwanzi-24h'!J20,'20.10 bukomero-Kyankwanzi'!J20,'21.10 bukomero-Kyankwanzi-24h'!J20,'22.10 bukomero-Kyankwanzi'!J20,'23.10 bukomero-Kyankwanzi'!J20)</f>
        <v>0</v>
      </c>
      <c r="K20" s="49">
        <f>AVERAGE('17.10 bukomero-Kyankwanzi'!K20,'18.10 bukomero-Kyankwanzi'!K20,'19.10 bukomero-Kyankwanzi-24h'!K20,'20.10 bukomero-Kyankwanzi'!K20,'21.10 bukomero-Kyankwanzi-24h'!K20,'22.10 bukomero-Kyankwanzi'!K20,'23.10 bukomero-Kyankwanzi'!K20)</f>
        <v>0</v>
      </c>
      <c r="L20" s="49">
        <f>AVERAGE('17.10 bukomero-Kyankwanzi'!L20,'18.10 bukomero-Kyankwanzi'!L20,'19.10 bukomero-Kyankwanzi-24h'!L20,'20.10 bukomero-Kyankwanzi'!L20,'21.10 bukomero-Kyankwanzi-24h'!L20,'22.10 bukomero-Kyankwanzi'!L20,'23.10 bukomero-Kyankwanzi'!L20)</f>
        <v>0</v>
      </c>
      <c r="M20" s="49">
        <f>AVERAGE('17.10 bukomero-Kyankwanzi'!M20,'18.10 bukomero-Kyankwanzi'!M20,'19.10 bukomero-Kyankwanzi-24h'!M20,'20.10 bukomero-Kyankwanzi'!M20,'21.10 bukomero-Kyankwanzi-24h'!M20,'22.10 bukomero-Kyankwanzi'!M20,'23.10 bukomero-Kyankwanzi'!M20)</f>
        <v>8.4285714285714288</v>
      </c>
      <c r="N20" s="49">
        <f>AVERAGE('17.10 bukomero-Kyankwanzi'!N20,'18.10 bukomero-Kyankwanzi'!N20,'19.10 bukomero-Kyankwanzi-24h'!N20,'20.10 bukomero-Kyankwanzi'!N20,'21.10 bukomero-Kyankwanzi-24h'!N20,'22.10 bukomero-Kyankwanzi'!N20,'23.10 bukomero-Kyankwanzi'!N20)</f>
        <v>0</v>
      </c>
      <c r="O20" s="15">
        <f t="shared" si="0"/>
        <v>1.2857142857142856</v>
      </c>
      <c r="P20" s="15">
        <f t="shared" si="1"/>
        <v>9.7142857142857153</v>
      </c>
      <c r="R20" s="1" t="s">
        <v>16</v>
      </c>
      <c r="S20" s="17">
        <f t="shared" ref="S20:AF20" si="12">SUM(C50:C53)</f>
        <v>1.4285714285714284</v>
      </c>
      <c r="T20" s="17">
        <f t="shared" si="12"/>
        <v>0.5714285714285714</v>
      </c>
      <c r="U20" s="17">
        <f t="shared" si="12"/>
        <v>0.8571428571428571</v>
      </c>
      <c r="V20" s="17">
        <f t="shared" si="12"/>
        <v>0.5714285714285714</v>
      </c>
      <c r="W20" s="17">
        <f t="shared" si="12"/>
        <v>0</v>
      </c>
      <c r="X20" s="17">
        <f t="shared" si="12"/>
        <v>0</v>
      </c>
      <c r="Y20" s="17">
        <f t="shared" si="12"/>
        <v>2.5714285714285712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56.857142857142861</v>
      </c>
      <c r="AD20" s="17">
        <f t="shared" si="12"/>
        <v>0</v>
      </c>
      <c r="AE20" s="31">
        <f t="shared" si="12"/>
        <v>6</v>
      </c>
      <c r="AF20" s="31">
        <f t="shared" si="12"/>
        <v>62.857142857142861</v>
      </c>
    </row>
    <row r="21" spans="2:32" ht="23.1" customHeight="1" x14ac:dyDescent="0.25">
      <c r="B21" s="23" t="s">
        <v>48</v>
      </c>
      <c r="C21" s="49">
        <f>AVERAGE('17.10 bukomero-Kyankwanzi'!C21,'18.10 bukomero-Kyankwanzi'!C21,'19.10 bukomero-Kyankwanzi-24h'!C21,'20.10 bukomero-Kyankwanzi'!C21,'21.10 bukomero-Kyankwanzi-24h'!C21,'22.10 bukomero-Kyankwanzi'!C21,'23.10 bukomero-Kyankwanzi'!C21)</f>
        <v>0.8571428571428571</v>
      </c>
      <c r="D21" s="49">
        <f>AVERAGE('17.10 bukomero-Kyankwanzi'!D21,'18.10 bukomero-Kyankwanzi'!D21,'19.10 bukomero-Kyankwanzi-24h'!D21,'20.10 bukomero-Kyankwanzi'!D21,'21.10 bukomero-Kyankwanzi-24h'!D21,'22.10 bukomero-Kyankwanzi'!D21,'23.10 bukomero-Kyankwanzi'!D21)</f>
        <v>0</v>
      </c>
      <c r="E21" s="49">
        <f>AVERAGE('17.10 bukomero-Kyankwanzi'!E21,'18.10 bukomero-Kyankwanzi'!E21,'19.10 bukomero-Kyankwanzi-24h'!E21,'20.10 bukomero-Kyankwanzi'!E21,'21.10 bukomero-Kyankwanzi-24h'!E21,'22.10 bukomero-Kyankwanzi'!E21,'23.10 bukomero-Kyankwanzi'!E21)</f>
        <v>0</v>
      </c>
      <c r="F21" s="49">
        <f>AVERAGE('17.10 bukomero-Kyankwanzi'!F21,'18.10 bukomero-Kyankwanzi'!F21,'19.10 bukomero-Kyankwanzi-24h'!F21,'20.10 bukomero-Kyankwanzi'!F21,'21.10 bukomero-Kyankwanzi-24h'!F21,'22.10 bukomero-Kyankwanzi'!F21,'23.10 bukomero-Kyankwanzi'!F21)</f>
        <v>0.42857142857142855</v>
      </c>
      <c r="G21" s="49">
        <f>AVERAGE('17.10 bukomero-Kyankwanzi'!G21,'18.10 bukomero-Kyankwanzi'!G21,'19.10 bukomero-Kyankwanzi-24h'!G21,'20.10 bukomero-Kyankwanzi'!G21,'21.10 bukomero-Kyankwanzi-24h'!G21,'22.10 bukomero-Kyankwanzi'!G21,'23.10 bukomero-Kyankwanzi'!G21)</f>
        <v>0</v>
      </c>
      <c r="H21" s="49">
        <f>AVERAGE('17.10 bukomero-Kyankwanzi'!H21,'18.10 bukomero-Kyankwanzi'!H21,'19.10 bukomero-Kyankwanzi-24h'!H21,'20.10 bukomero-Kyankwanzi'!H21,'21.10 bukomero-Kyankwanzi-24h'!H21,'22.10 bukomero-Kyankwanzi'!H21,'23.10 bukomero-Kyankwanzi'!H21)</f>
        <v>0</v>
      </c>
      <c r="I21" s="49">
        <f>AVERAGE('17.10 bukomero-Kyankwanzi'!I21,'18.10 bukomero-Kyankwanzi'!I21,'19.10 bukomero-Kyankwanzi-24h'!I21,'20.10 bukomero-Kyankwanzi'!I21,'21.10 bukomero-Kyankwanzi-24h'!I21,'22.10 bukomero-Kyankwanzi'!I21,'23.10 bukomero-Kyankwanzi'!I21)</f>
        <v>0.42857142857142855</v>
      </c>
      <c r="J21" s="49">
        <f>AVERAGE('17.10 bukomero-Kyankwanzi'!J21,'18.10 bukomero-Kyankwanzi'!J21,'19.10 bukomero-Kyankwanzi-24h'!J21,'20.10 bukomero-Kyankwanzi'!J21,'21.10 bukomero-Kyankwanzi-24h'!J21,'22.10 bukomero-Kyankwanzi'!J21,'23.10 bukomero-Kyankwanzi'!J21)</f>
        <v>0</v>
      </c>
      <c r="K21" s="49">
        <f>AVERAGE('17.10 bukomero-Kyankwanzi'!K21,'18.10 bukomero-Kyankwanzi'!K21,'19.10 bukomero-Kyankwanzi-24h'!K21,'20.10 bukomero-Kyankwanzi'!K21,'21.10 bukomero-Kyankwanzi-24h'!K21,'22.10 bukomero-Kyankwanzi'!K21,'23.10 bukomero-Kyankwanzi'!K21)</f>
        <v>0</v>
      </c>
      <c r="L21" s="49">
        <f>AVERAGE('17.10 bukomero-Kyankwanzi'!L21,'18.10 bukomero-Kyankwanzi'!L21,'19.10 bukomero-Kyankwanzi-24h'!L21,'20.10 bukomero-Kyankwanzi'!L21,'21.10 bukomero-Kyankwanzi-24h'!L21,'22.10 bukomero-Kyankwanzi'!L21,'23.10 bukomero-Kyankwanzi'!L21)</f>
        <v>0</v>
      </c>
      <c r="M21" s="49">
        <f>AVERAGE('17.10 bukomero-Kyankwanzi'!M21,'18.10 bukomero-Kyankwanzi'!M21,'19.10 bukomero-Kyankwanzi-24h'!M21,'20.10 bukomero-Kyankwanzi'!M21,'21.10 bukomero-Kyankwanzi-24h'!M21,'22.10 bukomero-Kyankwanzi'!M21,'23.10 bukomero-Kyankwanzi'!M21)</f>
        <v>9.4285714285714288</v>
      </c>
      <c r="N21" s="49">
        <f>AVERAGE('17.10 bukomero-Kyankwanzi'!N21,'18.10 bukomero-Kyankwanzi'!N21,'19.10 bukomero-Kyankwanzi-24h'!N21,'20.10 bukomero-Kyankwanzi'!N21,'21.10 bukomero-Kyankwanzi-24h'!N21,'22.10 bukomero-Kyankwanzi'!N21,'23.10 bukomero-Kyankwanzi'!N21)</f>
        <v>0</v>
      </c>
      <c r="O21" s="15">
        <f t="shared" si="0"/>
        <v>1.7142857142857142</v>
      </c>
      <c r="P21" s="15">
        <f t="shared" si="1"/>
        <v>11.142857142857142</v>
      </c>
      <c r="R21" s="36" t="s">
        <v>20</v>
      </c>
      <c r="S21" s="34">
        <f t="shared" ref="S21:AF21" si="13">SUM(C54:C57)</f>
        <v>2.4285714285714284</v>
      </c>
      <c r="T21" s="17">
        <f t="shared" si="13"/>
        <v>0.42857142857142855</v>
      </c>
      <c r="U21" s="17">
        <f t="shared" si="13"/>
        <v>0.99999999999999978</v>
      </c>
      <c r="V21" s="17">
        <f t="shared" si="13"/>
        <v>0.2857142857142857</v>
      </c>
      <c r="W21" s="17">
        <f t="shared" si="13"/>
        <v>0</v>
      </c>
      <c r="X21" s="17">
        <f t="shared" si="13"/>
        <v>0</v>
      </c>
      <c r="Y21" s="17">
        <f t="shared" si="13"/>
        <v>2.4285714285714284</v>
      </c>
      <c r="Z21" s="17">
        <f t="shared" si="13"/>
        <v>1.4285714285714284</v>
      </c>
      <c r="AA21" s="17">
        <f t="shared" si="13"/>
        <v>0.14285714285714285</v>
      </c>
      <c r="AB21" s="17">
        <f t="shared" si="13"/>
        <v>0</v>
      </c>
      <c r="AC21" s="17">
        <f t="shared" si="13"/>
        <v>59.142857142857139</v>
      </c>
      <c r="AD21" s="17">
        <f t="shared" si="13"/>
        <v>0</v>
      </c>
      <c r="AE21" s="31">
        <f t="shared" si="13"/>
        <v>8.1428571428571423</v>
      </c>
      <c r="AF21" s="31">
        <f t="shared" si="13"/>
        <v>67.285714285714292</v>
      </c>
    </row>
    <row r="22" spans="2:32" ht="23.1" customHeight="1" x14ac:dyDescent="0.25">
      <c r="B22" s="23" t="s">
        <v>49</v>
      </c>
      <c r="C22" s="49">
        <f>AVERAGE('17.10 bukomero-Kyankwanzi'!C22,'18.10 bukomero-Kyankwanzi'!C22,'19.10 bukomero-Kyankwanzi-24h'!C22,'20.10 bukomero-Kyankwanzi'!C22,'21.10 bukomero-Kyankwanzi-24h'!C22,'22.10 bukomero-Kyankwanzi'!C22,'23.10 bukomero-Kyankwanzi'!C22)</f>
        <v>0</v>
      </c>
      <c r="D22" s="49">
        <f>AVERAGE('17.10 bukomero-Kyankwanzi'!D22,'18.10 bukomero-Kyankwanzi'!D22,'19.10 bukomero-Kyankwanzi-24h'!D22,'20.10 bukomero-Kyankwanzi'!D22,'21.10 bukomero-Kyankwanzi-24h'!D22,'22.10 bukomero-Kyankwanzi'!D22,'23.10 bukomero-Kyankwanzi'!D22)</f>
        <v>0.5714285714285714</v>
      </c>
      <c r="E22" s="49">
        <f>AVERAGE('17.10 bukomero-Kyankwanzi'!E22,'18.10 bukomero-Kyankwanzi'!E22,'19.10 bukomero-Kyankwanzi-24h'!E22,'20.10 bukomero-Kyankwanzi'!E22,'21.10 bukomero-Kyankwanzi-24h'!E22,'22.10 bukomero-Kyankwanzi'!E22,'23.10 bukomero-Kyankwanzi'!E22)</f>
        <v>0</v>
      </c>
      <c r="F22" s="49">
        <f>AVERAGE('17.10 bukomero-Kyankwanzi'!F22,'18.10 bukomero-Kyankwanzi'!F22,'19.10 bukomero-Kyankwanzi-24h'!F22,'20.10 bukomero-Kyankwanzi'!F22,'21.10 bukomero-Kyankwanzi-24h'!F22,'22.10 bukomero-Kyankwanzi'!F22,'23.10 bukomero-Kyankwanzi'!F22)</f>
        <v>0</v>
      </c>
      <c r="G22" s="49">
        <f>AVERAGE('17.10 bukomero-Kyankwanzi'!G22,'18.10 bukomero-Kyankwanzi'!G22,'19.10 bukomero-Kyankwanzi-24h'!G22,'20.10 bukomero-Kyankwanzi'!G22,'21.10 bukomero-Kyankwanzi-24h'!G22,'22.10 bukomero-Kyankwanzi'!G22,'23.10 bukomero-Kyankwanzi'!G22)</f>
        <v>0</v>
      </c>
      <c r="H22" s="49">
        <f>AVERAGE('17.10 bukomero-Kyankwanzi'!H22,'18.10 bukomero-Kyankwanzi'!H22,'19.10 bukomero-Kyankwanzi-24h'!H22,'20.10 bukomero-Kyankwanzi'!H22,'21.10 bukomero-Kyankwanzi-24h'!H22,'22.10 bukomero-Kyankwanzi'!H22,'23.10 bukomero-Kyankwanzi'!H22)</f>
        <v>0</v>
      </c>
      <c r="I22" s="49">
        <f>AVERAGE('17.10 bukomero-Kyankwanzi'!I22,'18.10 bukomero-Kyankwanzi'!I22,'19.10 bukomero-Kyankwanzi-24h'!I22,'20.10 bukomero-Kyankwanzi'!I22,'21.10 bukomero-Kyankwanzi-24h'!I22,'22.10 bukomero-Kyankwanzi'!I22,'23.10 bukomero-Kyankwanzi'!I22)</f>
        <v>0.42857142857142855</v>
      </c>
      <c r="J22" s="49">
        <f>AVERAGE('17.10 bukomero-Kyankwanzi'!J22,'18.10 bukomero-Kyankwanzi'!J22,'19.10 bukomero-Kyankwanzi-24h'!J22,'20.10 bukomero-Kyankwanzi'!J22,'21.10 bukomero-Kyankwanzi-24h'!J22,'22.10 bukomero-Kyankwanzi'!J22,'23.10 bukomero-Kyankwanzi'!J22)</f>
        <v>0.14285714285714285</v>
      </c>
      <c r="K22" s="49">
        <f>AVERAGE('17.10 bukomero-Kyankwanzi'!K22,'18.10 bukomero-Kyankwanzi'!K22,'19.10 bukomero-Kyankwanzi-24h'!K22,'20.10 bukomero-Kyankwanzi'!K22,'21.10 bukomero-Kyankwanzi-24h'!K22,'22.10 bukomero-Kyankwanzi'!K22,'23.10 bukomero-Kyankwanzi'!K22)</f>
        <v>0</v>
      </c>
      <c r="L22" s="49">
        <f>AVERAGE('17.10 bukomero-Kyankwanzi'!L22,'18.10 bukomero-Kyankwanzi'!L22,'19.10 bukomero-Kyankwanzi-24h'!L22,'20.10 bukomero-Kyankwanzi'!L22,'21.10 bukomero-Kyankwanzi-24h'!L22,'22.10 bukomero-Kyankwanzi'!L22,'23.10 bukomero-Kyankwanzi'!L22)</f>
        <v>0</v>
      </c>
      <c r="M22" s="49">
        <f>AVERAGE('17.10 bukomero-Kyankwanzi'!M22,'18.10 bukomero-Kyankwanzi'!M22,'19.10 bukomero-Kyankwanzi-24h'!M22,'20.10 bukomero-Kyankwanzi'!M22,'21.10 bukomero-Kyankwanzi-24h'!M22,'22.10 bukomero-Kyankwanzi'!M22,'23.10 bukomero-Kyankwanzi'!M22)</f>
        <v>9.5714285714285712</v>
      </c>
      <c r="N22" s="49">
        <f>AVERAGE('17.10 bukomero-Kyankwanzi'!N22,'18.10 bukomero-Kyankwanzi'!N22,'19.10 bukomero-Kyankwanzi-24h'!N22,'20.10 bukomero-Kyankwanzi'!N22,'21.10 bukomero-Kyankwanzi-24h'!N22,'22.10 bukomero-Kyankwanzi'!N22,'23.10 bukomero-Kyankwanzi'!N22)</f>
        <v>0</v>
      </c>
      <c r="O22" s="15">
        <f t="shared" si="0"/>
        <v>1.1428571428571428</v>
      </c>
      <c r="P22" s="15">
        <f t="shared" si="1"/>
        <v>10.714285714285714</v>
      </c>
      <c r="R22" s="1" t="s">
        <v>146</v>
      </c>
      <c r="S22" s="34">
        <f>SUM(C58:C61)</f>
        <v>3</v>
      </c>
      <c r="T22" s="34">
        <f t="shared" ref="T22:AF22" si="14">SUM(D58:D61)</f>
        <v>0</v>
      </c>
      <c r="U22" s="34">
        <f t="shared" si="14"/>
        <v>0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1</v>
      </c>
      <c r="AA22" s="34">
        <f t="shared" si="14"/>
        <v>0</v>
      </c>
      <c r="AB22" s="34">
        <f t="shared" si="14"/>
        <v>0</v>
      </c>
      <c r="AC22" s="34">
        <f t="shared" si="14"/>
        <v>48.5</v>
      </c>
      <c r="AD22" s="34">
        <f t="shared" si="14"/>
        <v>0</v>
      </c>
      <c r="AE22" s="31">
        <f t="shared" si="14"/>
        <v>5</v>
      </c>
      <c r="AF22" s="31">
        <f t="shared" si="14"/>
        <v>53.5</v>
      </c>
    </row>
    <row r="23" spans="2:32" ht="23.1" customHeight="1" x14ac:dyDescent="0.25">
      <c r="B23" s="23" t="s">
        <v>50</v>
      </c>
      <c r="C23" s="49">
        <f>AVERAGE('17.10 bukomero-Kyankwanzi'!C23,'18.10 bukomero-Kyankwanzi'!C23,'19.10 bukomero-Kyankwanzi-24h'!C23,'20.10 bukomero-Kyankwanzi'!C23,'21.10 bukomero-Kyankwanzi-24h'!C23,'22.10 bukomero-Kyankwanzi'!C23,'23.10 bukomero-Kyankwanzi'!C23)</f>
        <v>0.14285714285714285</v>
      </c>
      <c r="D23" s="49">
        <f>AVERAGE('17.10 bukomero-Kyankwanzi'!D23,'18.10 bukomero-Kyankwanzi'!D23,'19.10 bukomero-Kyankwanzi-24h'!D23,'20.10 bukomero-Kyankwanzi'!D23,'21.10 bukomero-Kyankwanzi-24h'!D23,'22.10 bukomero-Kyankwanzi'!D23,'23.10 bukomero-Kyankwanzi'!D23)</f>
        <v>0</v>
      </c>
      <c r="E23" s="49">
        <f>AVERAGE('17.10 bukomero-Kyankwanzi'!E23,'18.10 bukomero-Kyankwanzi'!E23,'19.10 bukomero-Kyankwanzi-24h'!E23,'20.10 bukomero-Kyankwanzi'!E23,'21.10 bukomero-Kyankwanzi-24h'!E23,'22.10 bukomero-Kyankwanzi'!E23,'23.10 bukomero-Kyankwanzi'!E23)</f>
        <v>0.2857142857142857</v>
      </c>
      <c r="F23" s="49">
        <f>AVERAGE('17.10 bukomero-Kyankwanzi'!F23,'18.10 bukomero-Kyankwanzi'!F23,'19.10 bukomero-Kyankwanzi-24h'!F23,'20.10 bukomero-Kyankwanzi'!F23,'21.10 bukomero-Kyankwanzi-24h'!F23,'22.10 bukomero-Kyankwanzi'!F23,'23.10 bukomero-Kyankwanzi'!F23)</f>
        <v>0.14285714285714285</v>
      </c>
      <c r="G23" s="49">
        <f>AVERAGE('17.10 bukomero-Kyankwanzi'!G23,'18.10 bukomero-Kyankwanzi'!G23,'19.10 bukomero-Kyankwanzi-24h'!G23,'20.10 bukomero-Kyankwanzi'!G23,'21.10 bukomero-Kyankwanzi-24h'!G23,'22.10 bukomero-Kyankwanzi'!G23,'23.10 bukomero-Kyankwanzi'!G23)</f>
        <v>0</v>
      </c>
      <c r="H23" s="49">
        <f>AVERAGE('17.10 bukomero-Kyankwanzi'!H23,'18.10 bukomero-Kyankwanzi'!H23,'19.10 bukomero-Kyankwanzi-24h'!H23,'20.10 bukomero-Kyankwanzi'!H23,'21.10 bukomero-Kyankwanzi-24h'!H23,'22.10 bukomero-Kyankwanzi'!H23,'23.10 bukomero-Kyankwanzi'!H23)</f>
        <v>0</v>
      </c>
      <c r="I23" s="49">
        <f>AVERAGE('17.10 bukomero-Kyankwanzi'!I23,'18.10 bukomero-Kyankwanzi'!I23,'19.10 bukomero-Kyankwanzi-24h'!I23,'20.10 bukomero-Kyankwanzi'!I23,'21.10 bukomero-Kyankwanzi-24h'!I23,'22.10 bukomero-Kyankwanzi'!I23,'23.10 bukomero-Kyankwanzi'!I23)</f>
        <v>1</v>
      </c>
      <c r="J23" s="49">
        <f>AVERAGE('17.10 bukomero-Kyankwanzi'!J23,'18.10 bukomero-Kyankwanzi'!J23,'19.10 bukomero-Kyankwanzi-24h'!J23,'20.10 bukomero-Kyankwanzi'!J23,'21.10 bukomero-Kyankwanzi-24h'!J23,'22.10 bukomero-Kyankwanzi'!J23,'23.10 bukomero-Kyankwanzi'!J23)</f>
        <v>0.14285714285714285</v>
      </c>
      <c r="K23" s="49">
        <f>AVERAGE('17.10 bukomero-Kyankwanzi'!K23,'18.10 bukomero-Kyankwanzi'!K23,'19.10 bukomero-Kyankwanzi-24h'!K23,'20.10 bukomero-Kyankwanzi'!K23,'21.10 bukomero-Kyankwanzi-24h'!K23,'22.10 bukomero-Kyankwanzi'!K23,'23.10 bukomero-Kyankwanzi'!K23)</f>
        <v>0</v>
      </c>
      <c r="L23" s="49">
        <f>AVERAGE('17.10 bukomero-Kyankwanzi'!L23,'18.10 bukomero-Kyankwanzi'!L23,'19.10 bukomero-Kyankwanzi-24h'!L23,'20.10 bukomero-Kyankwanzi'!L23,'21.10 bukomero-Kyankwanzi-24h'!L23,'22.10 bukomero-Kyankwanzi'!L23,'23.10 bukomero-Kyankwanzi'!L23)</f>
        <v>0</v>
      </c>
      <c r="M23" s="49">
        <f>AVERAGE('17.10 bukomero-Kyankwanzi'!M23,'18.10 bukomero-Kyankwanzi'!M23,'19.10 bukomero-Kyankwanzi-24h'!M23,'20.10 bukomero-Kyankwanzi'!M23,'21.10 bukomero-Kyankwanzi-24h'!M23,'22.10 bukomero-Kyankwanzi'!M23,'23.10 bukomero-Kyankwanzi'!M23)</f>
        <v>10.142857142857142</v>
      </c>
      <c r="N23" s="49">
        <f>AVERAGE('17.10 bukomero-Kyankwanzi'!N23,'18.10 bukomero-Kyankwanzi'!N23,'19.10 bukomero-Kyankwanzi-24h'!N23,'20.10 bukomero-Kyankwanzi'!N23,'21.10 bukomero-Kyankwanzi-24h'!N23,'22.10 bukomero-Kyankwanzi'!N23,'23.10 bukomero-Kyankwanzi'!N23)</f>
        <v>0</v>
      </c>
      <c r="O23" s="15">
        <f t="shared" si="0"/>
        <v>1.7142857142857142</v>
      </c>
      <c r="P23" s="15">
        <f t="shared" si="1"/>
        <v>11.857142857142856</v>
      </c>
      <c r="R23" s="1" t="s">
        <v>147</v>
      </c>
      <c r="S23" s="34">
        <f>SUM(C62:C65)</f>
        <v>1.5</v>
      </c>
      <c r="T23" s="34">
        <f t="shared" ref="T23:AF23" si="15">SUM(D62:D65)</f>
        <v>0.5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1.5</v>
      </c>
      <c r="Z23" s="34">
        <f t="shared" si="15"/>
        <v>0.5</v>
      </c>
      <c r="AA23" s="34">
        <f t="shared" si="15"/>
        <v>0</v>
      </c>
      <c r="AB23" s="34">
        <f t="shared" si="15"/>
        <v>0</v>
      </c>
      <c r="AC23" s="34">
        <f t="shared" si="15"/>
        <v>29</v>
      </c>
      <c r="AD23" s="34">
        <f t="shared" si="15"/>
        <v>0</v>
      </c>
      <c r="AE23" s="31">
        <f t="shared" si="15"/>
        <v>4</v>
      </c>
      <c r="AF23" s="31">
        <f t="shared" si="15"/>
        <v>33</v>
      </c>
    </row>
    <row r="24" spans="2:32" ht="23.1" customHeight="1" x14ac:dyDescent="0.25">
      <c r="B24" s="23" t="s">
        <v>51</v>
      </c>
      <c r="C24" s="49">
        <f>AVERAGE('17.10 bukomero-Kyankwanzi'!C24,'18.10 bukomero-Kyankwanzi'!C24,'19.10 bukomero-Kyankwanzi-24h'!C24,'20.10 bukomero-Kyankwanzi'!C24,'21.10 bukomero-Kyankwanzi-24h'!C24,'22.10 bukomero-Kyankwanzi'!C24,'23.10 bukomero-Kyankwanzi'!C24)</f>
        <v>0.7142857142857143</v>
      </c>
      <c r="D24" s="49">
        <f>AVERAGE('17.10 bukomero-Kyankwanzi'!D24,'18.10 bukomero-Kyankwanzi'!D24,'19.10 bukomero-Kyankwanzi-24h'!D24,'20.10 bukomero-Kyankwanzi'!D24,'21.10 bukomero-Kyankwanzi-24h'!D24,'22.10 bukomero-Kyankwanzi'!D24,'23.10 bukomero-Kyankwanzi'!D24)</f>
        <v>0.42857142857142855</v>
      </c>
      <c r="E24" s="49">
        <f>AVERAGE('17.10 bukomero-Kyankwanzi'!E24,'18.10 bukomero-Kyankwanzi'!E24,'19.10 bukomero-Kyankwanzi-24h'!E24,'20.10 bukomero-Kyankwanzi'!E24,'21.10 bukomero-Kyankwanzi-24h'!E24,'22.10 bukomero-Kyankwanzi'!E24,'23.10 bukomero-Kyankwanzi'!E24)</f>
        <v>0</v>
      </c>
      <c r="F24" s="49">
        <f>AVERAGE('17.10 bukomero-Kyankwanzi'!F24,'18.10 bukomero-Kyankwanzi'!F24,'19.10 bukomero-Kyankwanzi-24h'!F24,'20.10 bukomero-Kyankwanzi'!F24,'21.10 bukomero-Kyankwanzi-24h'!F24,'22.10 bukomero-Kyankwanzi'!F24,'23.10 bukomero-Kyankwanzi'!F24)</f>
        <v>0</v>
      </c>
      <c r="G24" s="49">
        <f>AVERAGE('17.10 bukomero-Kyankwanzi'!G24,'18.10 bukomero-Kyankwanzi'!G24,'19.10 bukomero-Kyankwanzi-24h'!G24,'20.10 bukomero-Kyankwanzi'!G24,'21.10 bukomero-Kyankwanzi-24h'!G24,'22.10 bukomero-Kyankwanzi'!G24,'23.10 bukomero-Kyankwanzi'!G24)</f>
        <v>0</v>
      </c>
      <c r="H24" s="49">
        <f>AVERAGE('17.10 bukomero-Kyankwanzi'!H24,'18.10 bukomero-Kyankwanzi'!H24,'19.10 bukomero-Kyankwanzi-24h'!H24,'20.10 bukomero-Kyankwanzi'!H24,'21.10 bukomero-Kyankwanzi-24h'!H24,'22.10 bukomero-Kyankwanzi'!H24,'23.10 bukomero-Kyankwanzi'!H24)</f>
        <v>0</v>
      </c>
      <c r="I24" s="49">
        <f>AVERAGE('17.10 bukomero-Kyankwanzi'!I24,'18.10 bukomero-Kyankwanzi'!I24,'19.10 bukomero-Kyankwanzi-24h'!I24,'20.10 bukomero-Kyankwanzi'!I24,'21.10 bukomero-Kyankwanzi-24h'!I24,'22.10 bukomero-Kyankwanzi'!I24,'23.10 bukomero-Kyankwanzi'!I24)</f>
        <v>0.7142857142857143</v>
      </c>
      <c r="J24" s="49">
        <f>AVERAGE('17.10 bukomero-Kyankwanzi'!J24,'18.10 bukomero-Kyankwanzi'!J24,'19.10 bukomero-Kyankwanzi-24h'!J24,'20.10 bukomero-Kyankwanzi'!J24,'21.10 bukomero-Kyankwanzi-24h'!J24,'22.10 bukomero-Kyankwanzi'!J24,'23.10 bukomero-Kyankwanzi'!J24)</f>
        <v>0</v>
      </c>
      <c r="K24" s="49">
        <f>AVERAGE('17.10 bukomero-Kyankwanzi'!K24,'18.10 bukomero-Kyankwanzi'!K24,'19.10 bukomero-Kyankwanzi-24h'!K24,'20.10 bukomero-Kyankwanzi'!K24,'21.10 bukomero-Kyankwanzi-24h'!K24,'22.10 bukomero-Kyankwanzi'!K24,'23.10 bukomero-Kyankwanzi'!K24)</f>
        <v>0</v>
      </c>
      <c r="L24" s="49">
        <f>AVERAGE('17.10 bukomero-Kyankwanzi'!L24,'18.10 bukomero-Kyankwanzi'!L24,'19.10 bukomero-Kyankwanzi-24h'!L24,'20.10 bukomero-Kyankwanzi'!L24,'21.10 bukomero-Kyankwanzi-24h'!L24,'22.10 bukomero-Kyankwanzi'!L24,'23.10 bukomero-Kyankwanzi'!L24)</f>
        <v>0</v>
      </c>
      <c r="M24" s="49">
        <f>AVERAGE('17.10 bukomero-Kyankwanzi'!M24,'18.10 bukomero-Kyankwanzi'!M24,'19.10 bukomero-Kyankwanzi-24h'!M24,'20.10 bukomero-Kyankwanzi'!M24,'21.10 bukomero-Kyankwanzi-24h'!M24,'22.10 bukomero-Kyankwanzi'!M24,'23.10 bukomero-Kyankwanzi'!M24)</f>
        <v>11.285714285714286</v>
      </c>
      <c r="N24" s="49">
        <f>AVERAGE('17.10 bukomero-Kyankwanzi'!N24,'18.10 bukomero-Kyankwanzi'!N24,'19.10 bukomero-Kyankwanzi-24h'!N24,'20.10 bukomero-Kyankwanzi'!N24,'21.10 bukomero-Kyankwanzi-24h'!N24,'22.10 bukomero-Kyankwanzi'!N24,'23.10 bukomero-Kyankwanzi'!N24)</f>
        <v>0</v>
      </c>
      <c r="O24" s="15">
        <f t="shared" si="0"/>
        <v>1.8571428571428572</v>
      </c>
      <c r="P24" s="15">
        <f t="shared" si="1"/>
        <v>13.142857142857144</v>
      </c>
      <c r="R24" s="1" t="s">
        <v>148</v>
      </c>
      <c r="S24" s="34">
        <f>SUM(C66:C69)</f>
        <v>0.5</v>
      </c>
      <c r="T24" s="34">
        <f t="shared" ref="T24:AF24" si="16">SUM(D66:D69)</f>
        <v>0</v>
      </c>
      <c r="U24" s="34">
        <f t="shared" si="16"/>
        <v>0.5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1.5</v>
      </c>
      <c r="Z24" s="34">
        <f t="shared" si="16"/>
        <v>0.5</v>
      </c>
      <c r="AA24" s="34">
        <f t="shared" si="16"/>
        <v>0.5</v>
      </c>
      <c r="AB24" s="34">
        <f t="shared" si="16"/>
        <v>0</v>
      </c>
      <c r="AC24" s="34">
        <f t="shared" si="16"/>
        <v>20</v>
      </c>
      <c r="AD24" s="34">
        <f t="shared" si="16"/>
        <v>0</v>
      </c>
      <c r="AE24" s="31">
        <f t="shared" si="16"/>
        <v>3.5</v>
      </c>
      <c r="AF24" s="31">
        <f t="shared" si="16"/>
        <v>23.5</v>
      </c>
    </row>
    <row r="25" spans="2:32" ht="23.1" customHeight="1" x14ac:dyDescent="0.25">
      <c r="B25" s="23" t="s">
        <v>52</v>
      </c>
      <c r="C25" s="49">
        <f>AVERAGE('17.10 bukomero-Kyankwanzi'!C25,'18.10 bukomero-Kyankwanzi'!C25,'19.10 bukomero-Kyankwanzi-24h'!C25,'20.10 bukomero-Kyankwanzi'!C25,'21.10 bukomero-Kyankwanzi-24h'!C25,'22.10 bukomero-Kyankwanzi'!C25,'23.10 bukomero-Kyankwanzi'!C25)</f>
        <v>0.14285714285714285</v>
      </c>
      <c r="D25" s="49">
        <f>AVERAGE('17.10 bukomero-Kyankwanzi'!D25,'18.10 bukomero-Kyankwanzi'!D25,'19.10 bukomero-Kyankwanzi-24h'!D25,'20.10 bukomero-Kyankwanzi'!D25,'21.10 bukomero-Kyankwanzi-24h'!D25,'22.10 bukomero-Kyankwanzi'!D25,'23.10 bukomero-Kyankwanzi'!D25)</f>
        <v>0.14285714285714285</v>
      </c>
      <c r="E25" s="49">
        <f>AVERAGE('17.10 bukomero-Kyankwanzi'!E25,'18.10 bukomero-Kyankwanzi'!E25,'19.10 bukomero-Kyankwanzi-24h'!E25,'20.10 bukomero-Kyankwanzi'!E25,'21.10 bukomero-Kyankwanzi-24h'!E25,'22.10 bukomero-Kyankwanzi'!E25,'23.10 bukomero-Kyankwanzi'!E25)</f>
        <v>0.14285714285714285</v>
      </c>
      <c r="F25" s="49">
        <f>AVERAGE('17.10 bukomero-Kyankwanzi'!F25,'18.10 bukomero-Kyankwanzi'!F25,'19.10 bukomero-Kyankwanzi-24h'!F25,'20.10 bukomero-Kyankwanzi'!F25,'21.10 bukomero-Kyankwanzi-24h'!F25,'22.10 bukomero-Kyankwanzi'!F25,'23.10 bukomero-Kyankwanzi'!F25)</f>
        <v>0</v>
      </c>
      <c r="G25" s="49">
        <f>AVERAGE('17.10 bukomero-Kyankwanzi'!G25,'18.10 bukomero-Kyankwanzi'!G25,'19.10 bukomero-Kyankwanzi-24h'!G25,'20.10 bukomero-Kyankwanzi'!G25,'21.10 bukomero-Kyankwanzi-24h'!G25,'22.10 bukomero-Kyankwanzi'!G25,'23.10 bukomero-Kyankwanzi'!G25)</f>
        <v>0</v>
      </c>
      <c r="H25" s="49">
        <f>AVERAGE('17.10 bukomero-Kyankwanzi'!H25,'18.10 bukomero-Kyankwanzi'!H25,'19.10 bukomero-Kyankwanzi-24h'!H25,'20.10 bukomero-Kyankwanzi'!H25,'21.10 bukomero-Kyankwanzi-24h'!H25,'22.10 bukomero-Kyankwanzi'!H25,'23.10 bukomero-Kyankwanzi'!H25)</f>
        <v>0</v>
      </c>
      <c r="I25" s="49">
        <f>AVERAGE('17.10 bukomero-Kyankwanzi'!I25,'18.10 bukomero-Kyankwanzi'!I25,'19.10 bukomero-Kyankwanzi-24h'!I25,'20.10 bukomero-Kyankwanzi'!I25,'21.10 bukomero-Kyankwanzi-24h'!I25,'22.10 bukomero-Kyankwanzi'!I25,'23.10 bukomero-Kyankwanzi'!I25)</f>
        <v>0.8571428571428571</v>
      </c>
      <c r="J25" s="49">
        <f>AVERAGE('17.10 bukomero-Kyankwanzi'!J25,'18.10 bukomero-Kyankwanzi'!J25,'19.10 bukomero-Kyankwanzi-24h'!J25,'20.10 bukomero-Kyankwanzi'!J25,'21.10 bukomero-Kyankwanzi-24h'!J25,'22.10 bukomero-Kyankwanzi'!J25,'23.10 bukomero-Kyankwanzi'!J25)</f>
        <v>0.14285714285714285</v>
      </c>
      <c r="K25" s="49">
        <f>AVERAGE('17.10 bukomero-Kyankwanzi'!K25,'18.10 bukomero-Kyankwanzi'!K25,'19.10 bukomero-Kyankwanzi-24h'!K25,'20.10 bukomero-Kyankwanzi'!K25,'21.10 bukomero-Kyankwanzi-24h'!K25,'22.10 bukomero-Kyankwanzi'!K25,'23.10 bukomero-Kyankwanzi'!K25)</f>
        <v>0</v>
      </c>
      <c r="L25" s="49">
        <f>AVERAGE('17.10 bukomero-Kyankwanzi'!L25,'18.10 bukomero-Kyankwanzi'!L25,'19.10 bukomero-Kyankwanzi-24h'!L25,'20.10 bukomero-Kyankwanzi'!L25,'21.10 bukomero-Kyankwanzi-24h'!L25,'22.10 bukomero-Kyankwanzi'!L25,'23.10 bukomero-Kyankwanzi'!L25)</f>
        <v>0</v>
      </c>
      <c r="M25" s="49">
        <f>AVERAGE('17.10 bukomero-Kyankwanzi'!M25,'18.10 bukomero-Kyankwanzi'!M25,'19.10 bukomero-Kyankwanzi-24h'!M25,'20.10 bukomero-Kyankwanzi'!M25,'21.10 bukomero-Kyankwanzi-24h'!M25,'22.10 bukomero-Kyankwanzi'!M25,'23.10 bukomero-Kyankwanzi'!M25)</f>
        <v>10.571428571428571</v>
      </c>
      <c r="N25" s="49">
        <f>AVERAGE('17.10 bukomero-Kyankwanzi'!N25,'18.10 bukomero-Kyankwanzi'!N25,'19.10 bukomero-Kyankwanzi-24h'!N25,'20.10 bukomero-Kyankwanzi'!N25,'21.10 bukomero-Kyankwanzi-24h'!N25,'22.10 bukomero-Kyankwanzi'!N25,'23.10 bukomero-Kyankwanzi'!N25)</f>
        <v>0</v>
      </c>
      <c r="O25" s="15">
        <f t="shared" si="0"/>
        <v>1.4285714285714284</v>
      </c>
      <c r="P25" s="15">
        <f t="shared" si="1"/>
        <v>12</v>
      </c>
      <c r="R25" s="1" t="s">
        <v>149</v>
      </c>
      <c r="S25" s="34">
        <f>SUM(C70:C73)</f>
        <v>0.5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2.5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16</v>
      </c>
      <c r="AD25" s="34">
        <f t="shared" si="17"/>
        <v>0</v>
      </c>
      <c r="AE25" s="31">
        <f t="shared" si="17"/>
        <v>3.5</v>
      </c>
      <c r="AF25" s="31">
        <f t="shared" si="17"/>
        <v>19.5</v>
      </c>
    </row>
    <row r="26" spans="2:32" ht="23.1" customHeight="1" x14ac:dyDescent="0.25">
      <c r="B26" s="23" t="s">
        <v>53</v>
      </c>
      <c r="C26" s="49">
        <f>AVERAGE('17.10 bukomero-Kyankwanzi'!C26,'18.10 bukomero-Kyankwanzi'!C26,'19.10 bukomero-Kyankwanzi-24h'!C26,'20.10 bukomero-Kyankwanzi'!C26,'21.10 bukomero-Kyankwanzi-24h'!C26,'22.10 bukomero-Kyankwanzi'!C26,'23.10 bukomero-Kyankwanzi'!C26)</f>
        <v>0</v>
      </c>
      <c r="D26" s="49">
        <f>AVERAGE('17.10 bukomero-Kyankwanzi'!D26,'18.10 bukomero-Kyankwanzi'!D26,'19.10 bukomero-Kyankwanzi-24h'!D26,'20.10 bukomero-Kyankwanzi'!D26,'21.10 bukomero-Kyankwanzi-24h'!D26,'22.10 bukomero-Kyankwanzi'!D26,'23.10 bukomero-Kyankwanzi'!D26)</f>
        <v>0.2857142857142857</v>
      </c>
      <c r="E26" s="49">
        <f>AVERAGE('17.10 bukomero-Kyankwanzi'!E26,'18.10 bukomero-Kyankwanzi'!E26,'19.10 bukomero-Kyankwanzi-24h'!E26,'20.10 bukomero-Kyankwanzi'!E26,'21.10 bukomero-Kyankwanzi-24h'!E26,'22.10 bukomero-Kyankwanzi'!E26,'23.10 bukomero-Kyankwanzi'!E26)</f>
        <v>0.2857142857142857</v>
      </c>
      <c r="F26" s="49">
        <f>AVERAGE('17.10 bukomero-Kyankwanzi'!F26,'18.10 bukomero-Kyankwanzi'!F26,'19.10 bukomero-Kyankwanzi-24h'!F26,'20.10 bukomero-Kyankwanzi'!F26,'21.10 bukomero-Kyankwanzi-24h'!F26,'22.10 bukomero-Kyankwanzi'!F26,'23.10 bukomero-Kyankwanzi'!F26)</f>
        <v>0</v>
      </c>
      <c r="G26" s="49">
        <f>AVERAGE('17.10 bukomero-Kyankwanzi'!G26,'18.10 bukomero-Kyankwanzi'!G26,'19.10 bukomero-Kyankwanzi-24h'!G26,'20.10 bukomero-Kyankwanzi'!G26,'21.10 bukomero-Kyankwanzi-24h'!G26,'22.10 bukomero-Kyankwanzi'!G26,'23.10 bukomero-Kyankwanzi'!G26)</f>
        <v>0</v>
      </c>
      <c r="H26" s="49">
        <f>AVERAGE('17.10 bukomero-Kyankwanzi'!H26,'18.10 bukomero-Kyankwanzi'!H26,'19.10 bukomero-Kyankwanzi-24h'!H26,'20.10 bukomero-Kyankwanzi'!H26,'21.10 bukomero-Kyankwanzi-24h'!H26,'22.10 bukomero-Kyankwanzi'!H26,'23.10 bukomero-Kyankwanzi'!H26)</f>
        <v>0</v>
      </c>
      <c r="I26" s="49">
        <f>AVERAGE('17.10 bukomero-Kyankwanzi'!I26,'18.10 bukomero-Kyankwanzi'!I26,'19.10 bukomero-Kyankwanzi-24h'!I26,'20.10 bukomero-Kyankwanzi'!I26,'21.10 bukomero-Kyankwanzi-24h'!I26,'22.10 bukomero-Kyankwanzi'!I26,'23.10 bukomero-Kyankwanzi'!I26)</f>
        <v>0.5714285714285714</v>
      </c>
      <c r="J26" s="49">
        <f>AVERAGE('17.10 bukomero-Kyankwanzi'!J26,'18.10 bukomero-Kyankwanzi'!J26,'19.10 bukomero-Kyankwanzi-24h'!J26,'20.10 bukomero-Kyankwanzi'!J26,'21.10 bukomero-Kyankwanzi-24h'!J26,'22.10 bukomero-Kyankwanzi'!J26,'23.10 bukomero-Kyankwanzi'!J26)</f>
        <v>0</v>
      </c>
      <c r="K26" s="49">
        <f>AVERAGE('17.10 bukomero-Kyankwanzi'!K26,'18.10 bukomero-Kyankwanzi'!K26,'19.10 bukomero-Kyankwanzi-24h'!K26,'20.10 bukomero-Kyankwanzi'!K26,'21.10 bukomero-Kyankwanzi-24h'!K26,'22.10 bukomero-Kyankwanzi'!K26,'23.10 bukomero-Kyankwanzi'!K26)</f>
        <v>0</v>
      </c>
      <c r="L26" s="49">
        <f>AVERAGE('17.10 bukomero-Kyankwanzi'!L26,'18.10 bukomero-Kyankwanzi'!L26,'19.10 bukomero-Kyankwanzi-24h'!L26,'20.10 bukomero-Kyankwanzi'!L26,'21.10 bukomero-Kyankwanzi-24h'!L26,'22.10 bukomero-Kyankwanzi'!L26,'23.10 bukomero-Kyankwanzi'!L26)</f>
        <v>0</v>
      </c>
      <c r="M26" s="49">
        <f>AVERAGE('17.10 bukomero-Kyankwanzi'!M26,'18.10 bukomero-Kyankwanzi'!M26,'19.10 bukomero-Kyankwanzi-24h'!M26,'20.10 bukomero-Kyankwanzi'!M26,'21.10 bukomero-Kyankwanzi-24h'!M26,'22.10 bukomero-Kyankwanzi'!M26,'23.10 bukomero-Kyankwanzi'!M26)</f>
        <v>10.714285714285714</v>
      </c>
      <c r="N26" s="49">
        <f>AVERAGE('17.10 bukomero-Kyankwanzi'!N26,'18.10 bukomero-Kyankwanzi'!N26,'19.10 bukomero-Kyankwanzi-24h'!N26,'20.10 bukomero-Kyankwanzi'!N26,'21.10 bukomero-Kyankwanzi-24h'!N26,'22.10 bukomero-Kyankwanzi'!N26,'23.10 bukomero-Kyankwanzi'!N26)</f>
        <v>0</v>
      </c>
      <c r="O26" s="15">
        <f t="shared" si="0"/>
        <v>1.1428571428571428</v>
      </c>
      <c r="P26" s="15">
        <f t="shared" si="1"/>
        <v>11.857142857142856</v>
      </c>
      <c r="R26" s="1" t="s">
        <v>150</v>
      </c>
      <c r="S26" s="34">
        <f>SUM(C74:C77)</f>
        <v>0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0.5</v>
      </c>
      <c r="W26" s="34">
        <f t="shared" si="18"/>
        <v>0</v>
      </c>
      <c r="X26" s="34">
        <f t="shared" si="18"/>
        <v>0</v>
      </c>
      <c r="Y26" s="34">
        <f t="shared" si="18"/>
        <v>1.5</v>
      </c>
      <c r="Z26" s="34">
        <f t="shared" si="18"/>
        <v>0</v>
      </c>
      <c r="AA26" s="34">
        <f t="shared" si="18"/>
        <v>0.5</v>
      </c>
      <c r="AB26" s="34">
        <f t="shared" si="18"/>
        <v>0</v>
      </c>
      <c r="AC26" s="34">
        <f t="shared" si="18"/>
        <v>7.5</v>
      </c>
      <c r="AD26" s="34">
        <f t="shared" si="18"/>
        <v>0</v>
      </c>
      <c r="AE26" s="31">
        <f t="shared" si="18"/>
        <v>3</v>
      </c>
      <c r="AF26" s="31">
        <f t="shared" si="18"/>
        <v>10.5</v>
      </c>
    </row>
    <row r="27" spans="2:32" ht="23.1" customHeight="1" x14ac:dyDescent="0.25">
      <c r="B27" s="23" t="s">
        <v>54</v>
      </c>
      <c r="C27" s="49">
        <f>AVERAGE('17.10 bukomero-Kyankwanzi'!C27,'18.10 bukomero-Kyankwanzi'!C27,'19.10 bukomero-Kyankwanzi-24h'!C27,'20.10 bukomero-Kyankwanzi'!C27,'21.10 bukomero-Kyankwanzi-24h'!C27,'22.10 bukomero-Kyankwanzi'!C27,'23.10 bukomero-Kyankwanzi'!C27)</f>
        <v>0.14285714285714285</v>
      </c>
      <c r="D27" s="49">
        <f>AVERAGE('17.10 bukomero-Kyankwanzi'!D27,'18.10 bukomero-Kyankwanzi'!D27,'19.10 bukomero-Kyankwanzi-24h'!D27,'20.10 bukomero-Kyankwanzi'!D27,'21.10 bukomero-Kyankwanzi-24h'!D27,'22.10 bukomero-Kyankwanzi'!D27,'23.10 bukomero-Kyankwanzi'!D27)</f>
        <v>0.14285714285714285</v>
      </c>
      <c r="E27" s="49">
        <f>AVERAGE('17.10 bukomero-Kyankwanzi'!E27,'18.10 bukomero-Kyankwanzi'!E27,'19.10 bukomero-Kyankwanzi-24h'!E27,'20.10 bukomero-Kyankwanzi'!E27,'21.10 bukomero-Kyankwanzi-24h'!E27,'22.10 bukomero-Kyankwanzi'!E27,'23.10 bukomero-Kyankwanzi'!E27)</f>
        <v>0</v>
      </c>
      <c r="F27" s="49">
        <f>AVERAGE('17.10 bukomero-Kyankwanzi'!F27,'18.10 bukomero-Kyankwanzi'!F27,'19.10 bukomero-Kyankwanzi-24h'!F27,'20.10 bukomero-Kyankwanzi'!F27,'21.10 bukomero-Kyankwanzi-24h'!F27,'22.10 bukomero-Kyankwanzi'!F27,'23.10 bukomero-Kyankwanzi'!F27)</f>
        <v>0</v>
      </c>
      <c r="G27" s="49">
        <f>AVERAGE('17.10 bukomero-Kyankwanzi'!G27,'18.10 bukomero-Kyankwanzi'!G27,'19.10 bukomero-Kyankwanzi-24h'!G27,'20.10 bukomero-Kyankwanzi'!G27,'21.10 bukomero-Kyankwanzi-24h'!G27,'22.10 bukomero-Kyankwanzi'!G27,'23.10 bukomero-Kyankwanzi'!G27)</f>
        <v>0</v>
      </c>
      <c r="H27" s="49">
        <f>AVERAGE('17.10 bukomero-Kyankwanzi'!H27,'18.10 bukomero-Kyankwanzi'!H27,'19.10 bukomero-Kyankwanzi-24h'!H27,'20.10 bukomero-Kyankwanzi'!H27,'21.10 bukomero-Kyankwanzi-24h'!H27,'22.10 bukomero-Kyankwanzi'!H27,'23.10 bukomero-Kyankwanzi'!H27)</f>
        <v>0</v>
      </c>
      <c r="I27" s="49">
        <f>AVERAGE('17.10 bukomero-Kyankwanzi'!I27,'18.10 bukomero-Kyankwanzi'!I27,'19.10 bukomero-Kyankwanzi-24h'!I27,'20.10 bukomero-Kyankwanzi'!I27,'21.10 bukomero-Kyankwanzi-24h'!I27,'22.10 bukomero-Kyankwanzi'!I27,'23.10 bukomero-Kyankwanzi'!I27)</f>
        <v>0.7142857142857143</v>
      </c>
      <c r="J27" s="49">
        <f>AVERAGE('17.10 bukomero-Kyankwanzi'!J27,'18.10 bukomero-Kyankwanzi'!J27,'19.10 bukomero-Kyankwanzi-24h'!J27,'20.10 bukomero-Kyankwanzi'!J27,'21.10 bukomero-Kyankwanzi-24h'!J27,'22.10 bukomero-Kyankwanzi'!J27,'23.10 bukomero-Kyankwanzi'!J27)</f>
        <v>0</v>
      </c>
      <c r="K27" s="49">
        <f>AVERAGE('17.10 bukomero-Kyankwanzi'!K27,'18.10 bukomero-Kyankwanzi'!K27,'19.10 bukomero-Kyankwanzi-24h'!K27,'20.10 bukomero-Kyankwanzi'!K27,'21.10 bukomero-Kyankwanzi-24h'!K27,'22.10 bukomero-Kyankwanzi'!K27,'23.10 bukomero-Kyankwanzi'!K27)</f>
        <v>0</v>
      </c>
      <c r="L27" s="49">
        <f>AVERAGE('17.10 bukomero-Kyankwanzi'!L27,'18.10 bukomero-Kyankwanzi'!L27,'19.10 bukomero-Kyankwanzi-24h'!L27,'20.10 bukomero-Kyankwanzi'!L27,'21.10 bukomero-Kyankwanzi-24h'!L27,'22.10 bukomero-Kyankwanzi'!L27,'23.10 bukomero-Kyankwanzi'!L27)</f>
        <v>0</v>
      </c>
      <c r="M27" s="49">
        <f>AVERAGE('17.10 bukomero-Kyankwanzi'!M27,'18.10 bukomero-Kyankwanzi'!M27,'19.10 bukomero-Kyankwanzi-24h'!M27,'20.10 bukomero-Kyankwanzi'!M27,'21.10 bukomero-Kyankwanzi-24h'!M27,'22.10 bukomero-Kyankwanzi'!M27,'23.10 bukomero-Kyankwanzi'!M27)</f>
        <v>9</v>
      </c>
      <c r="N27" s="49">
        <f>AVERAGE('17.10 bukomero-Kyankwanzi'!N27,'18.10 bukomero-Kyankwanzi'!N27,'19.10 bukomero-Kyankwanzi-24h'!N27,'20.10 bukomero-Kyankwanzi'!N27,'21.10 bukomero-Kyankwanzi-24h'!N27,'22.10 bukomero-Kyankwanzi'!N27,'23.10 bukomero-Kyankwanzi'!N27)</f>
        <v>0</v>
      </c>
      <c r="O27" s="15">
        <f t="shared" si="0"/>
        <v>1</v>
      </c>
      <c r="P27" s="15">
        <f t="shared" si="1"/>
        <v>10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1.5</v>
      </c>
      <c r="Z27" s="34">
        <f t="shared" si="19"/>
        <v>0.5</v>
      </c>
      <c r="AA27" s="34">
        <f t="shared" si="19"/>
        <v>0</v>
      </c>
      <c r="AB27" s="34">
        <f t="shared" si="19"/>
        <v>0</v>
      </c>
      <c r="AC27" s="34">
        <f t="shared" si="19"/>
        <v>4</v>
      </c>
      <c r="AD27" s="34">
        <f t="shared" si="19"/>
        <v>0</v>
      </c>
      <c r="AE27" s="31">
        <f t="shared" si="19"/>
        <v>2</v>
      </c>
      <c r="AF27" s="31">
        <f t="shared" si="19"/>
        <v>6</v>
      </c>
    </row>
    <row r="28" spans="2:32" ht="23.1" customHeight="1" x14ac:dyDescent="0.25">
      <c r="B28" s="23" t="s">
        <v>55</v>
      </c>
      <c r="C28" s="49">
        <f>AVERAGE('17.10 bukomero-Kyankwanzi'!C28,'18.10 bukomero-Kyankwanzi'!C28,'19.10 bukomero-Kyankwanzi-24h'!C28,'20.10 bukomero-Kyankwanzi'!C28,'21.10 bukomero-Kyankwanzi-24h'!C28,'22.10 bukomero-Kyankwanzi'!C28,'23.10 bukomero-Kyankwanzi'!C28)</f>
        <v>0.42857142857142855</v>
      </c>
      <c r="D28" s="49">
        <f>AVERAGE('17.10 bukomero-Kyankwanzi'!D28,'18.10 bukomero-Kyankwanzi'!D28,'19.10 bukomero-Kyankwanzi-24h'!D28,'20.10 bukomero-Kyankwanzi'!D28,'21.10 bukomero-Kyankwanzi-24h'!D28,'22.10 bukomero-Kyankwanzi'!D28,'23.10 bukomero-Kyankwanzi'!D28)</f>
        <v>0.14285714285714285</v>
      </c>
      <c r="E28" s="49">
        <f>AVERAGE('17.10 bukomero-Kyankwanzi'!E28,'18.10 bukomero-Kyankwanzi'!E28,'19.10 bukomero-Kyankwanzi-24h'!E28,'20.10 bukomero-Kyankwanzi'!E28,'21.10 bukomero-Kyankwanzi-24h'!E28,'22.10 bukomero-Kyankwanzi'!E28,'23.10 bukomero-Kyankwanzi'!E28)</f>
        <v>0.14285714285714285</v>
      </c>
      <c r="F28" s="49">
        <f>AVERAGE('17.10 bukomero-Kyankwanzi'!F28,'18.10 bukomero-Kyankwanzi'!F28,'19.10 bukomero-Kyankwanzi-24h'!F28,'20.10 bukomero-Kyankwanzi'!F28,'21.10 bukomero-Kyankwanzi-24h'!F28,'22.10 bukomero-Kyankwanzi'!F28,'23.10 bukomero-Kyankwanzi'!F28)</f>
        <v>0</v>
      </c>
      <c r="G28" s="49">
        <f>AVERAGE('17.10 bukomero-Kyankwanzi'!G28,'18.10 bukomero-Kyankwanzi'!G28,'19.10 bukomero-Kyankwanzi-24h'!G28,'20.10 bukomero-Kyankwanzi'!G28,'21.10 bukomero-Kyankwanzi-24h'!G28,'22.10 bukomero-Kyankwanzi'!G28,'23.10 bukomero-Kyankwanzi'!G28)</f>
        <v>0</v>
      </c>
      <c r="H28" s="49">
        <f>AVERAGE('17.10 bukomero-Kyankwanzi'!H28,'18.10 bukomero-Kyankwanzi'!H28,'19.10 bukomero-Kyankwanzi-24h'!H28,'20.10 bukomero-Kyankwanzi'!H28,'21.10 bukomero-Kyankwanzi-24h'!H28,'22.10 bukomero-Kyankwanzi'!H28,'23.10 bukomero-Kyankwanzi'!H28)</f>
        <v>0</v>
      </c>
      <c r="I28" s="49">
        <f>AVERAGE('17.10 bukomero-Kyankwanzi'!I28,'18.10 bukomero-Kyankwanzi'!I28,'19.10 bukomero-Kyankwanzi-24h'!I28,'20.10 bukomero-Kyankwanzi'!I28,'21.10 bukomero-Kyankwanzi-24h'!I28,'22.10 bukomero-Kyankwanzi'!I28,'23.10 bukomero-Kyankwanzi'!I28)</f>
        <v>0.42857142857142855</v>
      </c>
      <c r="J28" s="49">
        <f>AVERAGE('17.10 bukomero-Kyankwanzi'!J28,'18.10 bukomero-Kyankwanzi'!J28,'19.10 bukomero-Kyankwanzi-24h'!J28,'20.10 bukomero-Kyankwanzi'!J28,'21.10 bukomero-Kyankwanzi-24h'!J28,'22.10 bukomero-Kyankwanzi'!J28,'23.10 bukomero-Kyankwanzi'!J28)</f>
        <v>0</v>
      </c>
      <c r="K28" s="49">
        <f>AVERAGE('17.10 bukomero-Kyankwanzi'!K28,'18.10 bukomero-Kyankwanzi'!K28,'19.10 bukomero-Kyankwanzi-24h'!K28,'20.10 bukomero-Kyankwanzi'!K28,'21.10 bukomero-Kyankwanzi-24h'!K28,'22.10 bukomero-Kyankwanzi'!K28,'23.10 bukomero-Kyankwanzi'!K28)</f>
        <v>0</v>
      </c>
      <c r="L28" s="49">
        <f>AVERAGE('17.10 bukomero-Kyankwanzi'!L28,'18.10 bukomero-Kyankwanzi'!L28,'19.10 bukomero-Kyankwanzi-24h'!L28,'20.10 bukomero-Kyankwanzi'!L28,'21.10 bukomero-Kyankwanzi-24h'!L28,'22.10 bukomero-Kyankwanzi'!L28,'23.10 bukomero-Kyankwanzi'!L28)</f>
        <v>0</v>
      </c>
      <c r="M28" s="49">
        <f>AVERAGE('17.10 bukomero-Kyankwanzi'!M28,'18.10 bukomero-Kyankwanzi'!M28,'19.10 bukomero-Kyankwanzi-24h'!M28,'20.10 bukomero-Kyankwanzi'!M28,'21.10 bukomero-Kyankwanzi-24h'!M28,'22.10 bukomero-Kyankwanzi'!M28,'23.10 bukomero-Kyankwanzi'!M28)</f>
        <v>10.142857142857142</v>
      </c>
      <c r="N28" s="49">
        <f>AVERAGE('17.10 bukomero-Kyankwanzi'!N28,'18.10 bukomero-Kyankwanzi'!N28,'19.10 bukomero-Kyankwanzi-24h'!N28,'20.10 bukomero-Kyankwanzi'!N28,'21.10 bukomero-Kyankwanzi-24h'!N28,'22.10 bukomero-Kyankwanzi'!N28,'23.10 bukomero-Kyankwanzi'!N28)</f>
        <v>0</v>
      </c>
      <c r="O28" s="15">
        <f t="shared" si="0"/>
        <v>1.1428571428571428</v>
      </c>
      <c r="P28" s="15">
        <f t="shared" si="1"/>
        <v>11.285714285714285</v>
      </c>
      <c r="R28" s="1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3</v>
      </c>
      <c r="AD28" s="34">
        <f t="shared" si="20"/>
        <v>0</v>
      </c>
      <c r="AE28" s="31">
        <f t="shared" si="20"/>
        <v>2.5</v>
      </c>
      <c r="AF28" s="31">
        <f t="shared" si="20"/>
        <v>5.5</v>
      </c>
    </row>
    <row r="29" spans="2:32" ht="23.1" customHeight="1" x14ac:dyDescent="0.25">
      <c r="B29" s="23" t="s">
        <v>56</v>
      </c>
      <c r="C29" s="49">
        <f>AVERAGE('17.10 bukomero-Kyankwanzi'!C29,'18.10 bukomero-Kyankwanzi'!C29,'19.10 bukomero-Kyankwanzi-24h'!C29,'20.10 bukomero-Kyankwanzi'!C29,'21.10 bukomero-Kyankwanzi-24h'!C29,'22.10 bukomero-Kyankwanzi'!C29,'23.10 bukomero-Kyankwanzi'!C29)</f>
        <v>0.5714285714285714</v>
      </c>
      <c r="D29" s="49">
        <f>AVERAGE('17.10 bukomero-Kyankwanzi'!D29,'18.10 bukomero-Kyankwanzi'!D29,'19.10 bukomero-Kyankwanzi-24h'!D29,'20.10 bukomero-Kyankwanzi'!D29,'21.10 bukomero-Kyankwanzi-24h'!D29,'22.10 bukomero-Kyankwanzi'!D29,'23.10 bukomero-Kyankwanzi'!D29)</f>
        <v>0</v>
      </c>
      <c r="E29" s="49">
        <f>AVERAGE('17.10 bukomero-Kyankwanzi'!E29,'18.10 bukomero-Kyankwanzi'!E29,'19.10 bukomero-Kyankwanzi-24h'!E29,'20.10 bukomero-Kyankwanzi'!E29,'21.10 bukomero-Kyankwanzi-24h'!E29,'22.10 bukomero-Kyankwanzi'!E29,'23.10 bukomero-Kyankwanzi'!E29)</f>
        <v>0</v>
      </c>
      <c r="F29" s="49">
        <f>AVERAGE('17.10 bukomero-Kyankwanzi'!F29,'18.10 bukomero-Kyankwanzi'!F29,'19.10 bukomero-Kyankwanzi-24h'!F29,'20.10 bukomero-Kyankwanzi'!F29,'21.10 bukomero-Kyankwanzi-24h'!F29,'22.10 bukomero-Kyankwanzi'!F29,'23.10 bukomero-Kyankwanzi'!F29)</f>
        <v>0</v>
      </c>
      <c r="G29" s="49">
        <f>AVERAGE('17.10 bukomero-Kyankwanzi'!G29,'18.10 bukomero-Kyankwanzi'!G29,'19.10 bukomero-Kyankwanzi-24h'!G29,'20.10 bukomero-Kyankwanzi'!G29,'21.10 bukomero-Kyankwanzi-24h'!G29,'22.10 bukomero-Kyankwanzi'!G29,'23.10 bukomero-Kyankwanzi'!G29)</f>
        <v>0</v>
      </c>
      <c r="H29" s="49">
        <f>AVERAGE('17.10 bukomero-Kyankwanzi'!H29,'18.10 bukomero-Kyankwanzi'!H29,'19.10 bukomero-Kyankwanzi-24h'!H29,'20.10 bukomero-Kyankwanzi'!H29,'21.10 bukomero-Kyankwanzi-24h'!H29,'22.10 bukomero-Kyankwanzi'!H29,'23.10 bukomero-Kyankwanzi'!H29)</f>
        <v>0</v>
      </c>
      <c r="I29" s="49">
        <f>AVERAGE('17.10 bukomero-Kyankwanzi'!I29,'18.10 bukomero-Kyankwanzi'!I29,'19.10 bukomero-Kyankwanzi-24h'!I29,'20.10 bukomero-Kyankwanzi'!I29,'21.10 bukomero-Kyankwanzi-24h'!I29,'22.10 bukomero-Kyankwanzi'!I29,'23.10 bukomero-Kyankwanzi'!I29)</f>
        <v>0.7142857142857143</v>
      </c>
      <c r="J29" s="49">
        <f>AVERAGE('17.10 bukomero-Kyankwanzi'!J29,'18.10 bukomero-Kyankwanzi'!J29,'19.10 bukomero-Kyankwanzi-24h'!J29,'20.10 bukomero-Kyankwanzi'!J29,'21.10 bukomero-Kyankwanzi-24h'!J29,'22.10 bukomero-Kyankwanzi'!J29,'23.10 bukomero-Kyankwanzi'!J29)</f>
        <v>0</v>
      </c>
      <c r="K29" s="49">
        <f>AVERAGE('17.10 bukomero-Kyankwanzi'!K29,'18.10 bukomero-Kyankwanzi'!K29,'19.10 bukomero-Kyankwanzi-24h'!K29,'20.10 bukomero-Kyankwanzi'!K29,'21.10 bukomero-Kyankwanzi-24h'!K29,'22.10 bukomero-Kyankwanzi'!K29,'23.10 bukomero-Kyankwanzi'!K29)</f>
        <v>0</v>
      </c>
      <c r="L29" s="49">
        <f>AVERAGE('17.10 bukomero-Kyankwanzi'!L29,'18.10 bukomero-Kyankwanzi'!L29,'19.10 bukomero-Kyankwanzi-24h'!L29,'20.10 bukomero-Kyankwanzi'!L29,'21.10 bukomero-Kyankwanzi-24h'!L29,'22.10 bukomero-Kyankwanzi'!L29,'23.10 bukomero-Kyankwanzi'!L29)</f>
        <v>0</v>
      </c>
      <c r="M29" s="49">
        <f>AVERAGE('17.10 bukomero-Kyankwanzi'!M29,'18.10 bukomero-Kyankwanzi'!M29,'19.10 bukomero-Kyankwanzi-24h'!M29,'20.10 bukomero-Kyankwanzi'!M29,'21.10 bukomero-Kyankwanzi-24h'!M29,'22.10 bukomero-Kyankwanzi'!M29,'23.10 bukomero-Kyankwanzi'!M29)</f>
        <v>14.285714285714286</v>
      </c>
      <c r="N29" s="49">
        <f>AVERAGE('17.10 bukomero-Kyankwanzi'!N29,'18.10 bukomero-Kyankwanzi'!N29,'19.10 bukomero-Kyankwanzi-24h'!N29,'20.10 bukomero-Kyankwanzi'!N29,'21.10 bukomero-Kyankwanzi-24h'!N29,'22.10 bukomero-Kyankwanzi'!N29,'23.10 bukomero-Kyankwanzi'!N29)</f>
        <v>0</v>
      </c>
      <c r="O29" s="15">
        <f t="shared" si="0"/>
        <v>1.2857142857142856</v>
      </c>
      <c r="P29" s="15">
        <f t="shared" si="1"/>
        <v>15.571428571428573</v>
      </c>
      <c r="R29" s="1" t="s">
        <v>153</v>
      </c>
      <c r="S29" s="34">
        <f>SUM(C86:C89)</f>
        <v>0.5</v>
      </c>
      <c r="T29" s="34">
        <f t="shared" ref="T29:AF29" si="21">SUM(D86:D89)</f>
        <v>0.5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4</v>
      </c>
      <c r="AF29" s="31">
        <f t="shared" si="21"/>
        <v>4</v>
      </c>
    </row>
    <row r="30" spans="2:32" ht="23.1" customHeight="1" x14ac:dyDescent="0.25">
      <c r="B30" s="23" t="s">
        <v>57</v>
      </c>
      <c r="C30" s="49">
        <f>AVERAGE('17.10 bukomero-Kyankwanzi'!C30,'18.10 bukomero-Kyankwanzi'!C30,'19.10 bukomero-Kyankwanzi-24h'!C30,'20.10 bukomero-Kyankwanzi'!C30,'21.10 bukomero-Kyankwanzi-24h'!C30,'22.10 bukomero-Kyankwanzi'!C30,'23.10 bukomero-Kyankwanzi'!C30)</f>
        <v>0</v>
      </c>
      <c r="D30" s="49">
        <f>AVERAGE('17.10 bukomero-Kyankwanzi'!D30,'18.10 bukomero-Kyankwanzi'!D30,'19.10 bukomero-Kyankwanzi-24h'!D30,'20.10 bukomero-Kyankwanzi'!D30,'21.10 bukomero-Kyankwanzi-24h'!D30,'22.10 bukomero-Kyankwanzi'!D30,'23.10 bukomero-Kyankwanzi'!D30)</f>
        <v>0.14285714285714285</v>
      </c>
      <c r="E30" s="49">
        <f>AVERAGE('17.10 bukomero-Kyankwanzi'!E30,'18.10 bukomero-Kyankwanzi'!E30,'19.10 bukomero-Kyankwanzi-24h'!E30,'20.10 bukomero-Kyankwanzi'!E30,'21.10 bukomero-Kyankwanzi-24h'!E30,'22.10 bukomero-Kyankwanzi'!E30,'23.10 bukomero-Kyankwanzi'!E30)</f>
        <v>0</v>
      </c>
      <c r="F30" s="49">
        <f>AVERAGE('17.10 bukomero-Kyankwanzi'!F30,'18.10 bukomero-Kyankwanzi'!F30,'19.10 bukomero-Kyankwanzi-24h'!F30,'20.10 bukomero-Kyankwanzi'!F30,'21.10 bukomero-Kyankwanzi-24h'!F30,'22.10 bukomero-Kyankwanzi'!F30,'23.10 bukomero-Kyankwanzi'!F30)</f>
        <v>0</v>
      </c>
      <c r="G30" s="49">
        <f>AVERAGE('17.10 bukomero-Kyankwanzi'!G30,'18.10 bukomero-Kyankwanzi'!G30,'19.10 bukomero-Kyankwanzi-24h'!G30,'20.10 bukomero-Kyankwanzi'!G30,'21.10 bukomero-Kyankwanzi-24h'!G30,'22.10 bukomero-Kyankwanzi'!G30,'23.10 bukomero-Kyankwanzi'!G30)</f>
        <v>0</v>
      </c>
      <c r="H30" s="49">
        <f>AVERAGE('17.10 bukomero-Kyankwanzi'!H30,'18.10 bukomero-Kyankwanzi'!H30,'19.10 bukomero-Kyankwanzi-24h'!H30,'20.10 bukomero-Kyankwanzi'!H30,'21.10 bukomero-Kyankwanzi-24h'!H30,'22.10 bukomero-Kyankwanzi'!H30,'23.10 bukomero-Kyankwanzi'!H30)</f>
        <v>0</v>
      </c>
      <c r="I30" s="49">
        <f>AVERAGE('17.10 bukomero-Kyankwanzi'!I30,'18.10 bukomero-Kyankwanzi'!I30,'19.10 bukomero-Kyankwanzi-24h'!I30,'20.10 bukomero-Kyankwanzi'!I30,'21.10 bukomero-Kyankwanzi-24h'!I30,'22.10 bukomero-Kyankwanzi'!I30,'23.10 bukomero-Kyankwanzi'!I30)</f>
        <v>0.42857142857142855</v>
      </c>
      <c r="J30" s="49">
        <f>AVERAGE('17.10 bukomero-Kyankwanzi'!J30,'18.10 bukomero-Kyankwanzi'!J30,'19.10 bukomero-Kyankwanzi-24h'!J30,'20.10 bukomero-Kyankwanzi'!J30,'21.10 bukomero-Kyankwanzi-24h'!J30,'22.10 bukomero-Kyankwanzi'!J30,'23.10 bukomero-Kyankwanzi'!J30)</f>
        <v>0</v>
      </c>
      <c r="K30" s="49">
        <f>AVERAGE('17.10 bukomero-Kyankwanzi'!K30,'18.10 bukomero-Kyankwanzi'!K30,'19.10 bukomero-Kyankwanzi-24h'!K30,'20.10 bukomero-Kyankwanzi'!K30,'21.10 bukomero-Kyankwanzi-24h'!K30,'22.10 bukomero-Kyankwanzi'!K30,'23.10 bukomero-Kyankwanzi'!K30)</f>
        <v>0</v>
      </c>
      <c r="L30" s="49">
        <f>AVERAGE('17.10 bukomero-Kyankwanzi'!L30,'18.10 bukomero-Kyankwanzi'!L30,'19.10 bukomero-Kyankwanzi-24h'!L30,'20.10 bukomero-Kyankwanzi'!L30,'21.10 bukomero-Kyankwanzi-24h'!L30,'22.10 bukomero-Kyankwanzi'!L30,'23.10 bukomero-Kyankwanzi'!L30)</f>
        <v>0</v>
      </c>
      <c r="M30" s="49">
        <f>AVERAGE('17.10 bukomero-Kyankwanzi'!M30,'18.10 bukomero-Kyankwanzi'!M30,'19.10 bukomero-Kyankwanzi-24h'!M30,'20.10 bukomero-Kyankwanzi'!M30,'21.10 bukomero-Kyankwanzi-24h'!M30,'22.10 bukomero-Kyankwanzi'!M30,'23.10 bukomero-Kyankwanzi'!M30)</f>
        <v>11.142857142857142</v>
      </c>
      <c r="N30" s="49">
        <f>AVERAGE('17.10 bukomero-Kyankwanzi'!N30,'18.10 bukomero-Kyankwanzi'!N30,'19.10 bukomero-Kyankwanzi-24h'!N30,'20.10 bukomero-Kyankwanzi'!N30,'21.10 bukomero-Kyankwanzi-24h'!N30,'22.10 bukomero-Kyankwanzi'!N30,'23.10 bukomero-Kyankwanzi'!N30)</f>
        <v>0</v>
      </c>
      <c r="O30" s="15">
        <f t="shared" si="0"/>
        <v>0.5714285714285714</v>
      </c>
      <c r="P30" s="15">
        <f t="shared" si="1"/>
        <v>11.714285714285714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2.5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2.5</v>
      </c>
      <c r="AD30" s="34">
        <f t="shared" si="22"/>
        <v>2</v>
      </c>
      <c r="AE30" s="31">
        <f t="shared" si="22"/>
        <v>6</v>
      </c>
      <c r="AF30" s="31">
        <f t="shared" si="22"/>
        <v>8.5</v>
      </c>
    </row>
    <row r="31" spans="2:32" ht="23.1" customHeight="1" x14ac:dyDescent="0.25">
      <c r="B31" s="24" t="s">
        <v>58</v>
      </c>
      <c r="C31" s="49">
        <f>AVERAGE('17.10 bukomero-Kyankwanzi'!C31,'18.10 bukomero-Kyankwanzi'!C31,'19.10 bukomero-Kyankwanzi-24h'!C31,'20.10 bukomero-Kyankwanzi'!C31,'21.10 bukomero-Kyankwanzi-24h'!C31,'22.10 bukomero-Kyankwanzi'!C31,'23.10 bukomero-Kyankwanzi'!C31)</f>
        <v>0.5714285714285714</v>
      </c>
      <c r="D31" s="49">
        <f>AVERAGE('17.10 bukomero-Kyankwanzi'!D31,'18.10 bukomero-Kyankwanzi'!D31,'19.10 bukomero-Kyankwanzi-24h'!D31,'20.10 bukomero-Kyankwanzi'!D31,'21.10 bukomero-Kyankwanzi-24h'!D31,'22.10 bukomero-Kyankwanzi'!D31,'23.10 bukomero-Kyankwanzi'!D31)</f>
        <v>0.2857142857142857</v>
      </c>
      <c r="E31" s="49">
        <f>AVERAGE('17.10 bukomero-Kyankwanzi'!E31,'18.10 bukomero-Kyankwanzi'!E31,'19.10 bukomero-Kyankwanzi-24h'!E31,'20.10 bukomero-Kyankwanzi'!E31,'21.10 bukomero-Kyankwanzi-24h'!E31,'22.10 bukomero-Kyankwanzi'!E31,'23.10 bukomero-Kyankwanzi'!E31)</f>
        <v>0</v>
      </c>
      <c r="F31" s="49">
        <f>AVERAGE('17.10 bukomero-Kyankwanzi'!F31,'18.10 bukomero-Kyankwanzi'!F31,'19.10 bukomero-Kyankwanzi-24h'!F31,'20.10 bukomero-Kyankwanzi'!F31,'21.10 bukomero-Kyankwanzi-24h'!F31,'22.10 bukomero-Kyankwanzi'!F31,'23.10 bukomero-Kyankwanzi'!F31)</f>
        <v>0</v>
      </c>
      <c r="G31" s="49">
        <f>AVERAGE('17.10 bukomero-Kyankwanzi'!G31,'18.10 bukomero-Kyankwanzi'!G31,'19.10 bukomero-Kyankwanzi-24h'!G31,'20.10 bukomero-Kyankwanzi'!G31,'21.10 bukomero-Kyankwanzi-24h'!G31,'22.10 bukomero-Kyankwanzi'!G31,'23.10 bukomero-Kyankwanzi'!G31)</f>
        <v>0</v>
      </c>
      <c r="H31" s="49">
        <f>AVERAGE('17.10 bukomero-Kyankwanzi'!H31,'18.10 bukomero-Kyankwanzi'!H31,'19.10 bukomero-Kyankwanzi-24h'!H31,'20.10 bukomero-Kyankwanzi'!H31,'21.10 bukomero-Kyankwanzi-24h'!H31,'22.10 bukomero-Kyankwanzi'!H31,'23.10 bukomero-Kyankwanzi'!H31)</f>
        <v>0</v>
      </c>
      <c r="I31" s="49">
        <f>AVERAGE('17.10 bukomero-Kyankwanzi'!I31,'18.10 bukomero-Kyankwanzi'!I31,'19.10 bukomero-Kyankwanzi-24h'!I31,'20.10 bukomero-Kyankwanzi'!I31,'21.10 bukomero-Kyankwanzi-24h'!I31,'22.10 bukomero-Kyankwanzi'!I31,'23.10 bukomero-Kyankwanzi'!I31)</f>
        <v>0.8571428571428571</v>
      </c>
      <c r="J31" s="49">
        <f>AVERAGE('17.10 bukomero-Kyankwanzi'!J31,'18.10 bukomero-Kyankwanzi'!J31,'19.10 bukomero-Kyankwanzi-24h'!J31,'20.10 bukomero-Kyankwanzi'!J31,'21.10 bukomero-Kyankwanzi-24h'!J31,'22.10 bukomero-Kyankwanzi'!J31,'23.10 bukomero-Kyankwanzi'!J31)</f>
        <v>0</v>
      </c>
      <c r="K31" s="49">
        <f>AVERAGE('17.10 bukomero-Kyankwanzi'!K31,'18.10 bukomero-Kyankwanzi'!K31,'19.10 bukomero-Kyankwanzi-24h'!K31,'20.10 bukomero-Kyankwanzi'!K31,'21.10 bukomero-Kyankwanzi-24h'!K31,'22.10 bukomero-Kyankwanzi'!K31,'23.10 bukomero-Kyankwanzi'!K31)</f>
        <v>0</v>
      </c>
      <c r="L31" s="49">
        <f>AVERAGE('17.10 bukomero-Kyankwanzi'!L31,'18.10 bukomero-Kyankwanzi'!L31,'19.10 bukomero-Kyankwanzi-24h'!L31,'20.10 bukomero-Kyankwanzi'!L31,'21.10 bukomero-Kyankwanzi-24h'!L31,'22.10 bukomero-Kyankwanzi'!L31,'23.10 bukomero-Kyankwanzi'!L31)</f>
        <v>0</v>
      </c>
      <c r="M31" s="49">
        <f>AVERAGE('17.10 bukomero-Kyankwanzi'!M31,'18.10 bukomero-Kyankwanzi'!M31,'19.10 bukomero-Kyankwanzi-24h'!M31,'20.10 bukomero-Kyankwanzi'!M31,'21.10 bukomero-Kyankwanzi-24h'!M31,'22.10 bukomero-Kyankwanzi'!M31,'23.10 bukomero-Kyankwanzi'!M31)</f>
        <v>9.4285714285714288</v>
      </c>
      <c r="N31" s="49">
        <f>AVERAGE('17.10 bukomero-Kyankwanzi'!N31,'18.10 bukomero-Kyankwanzi'!N31,'19.10 bukomero-Kyankwanzi-24h'!N31,'20.10 bukomero-Kyankwanzi'!N31,'21.10 bukomero-Kyankwanzi-24h'!N31,'22.10 bukomero-Kyankwanzi'!N31,'23.10 bukomero-Kyankwanzi'!N31)</f>
        <v>0</v>
      </c>
      <c r="O31" s="15">
        <f t="shared" si="0"/>
        <v>1.7142857142857142</v>
      </c>
      <c r="P31" s="15">
        <f t="shared" si="1"/>
        <v>11.142857142857142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1.5</v>
      </c>
      <c r="Z31" s="34">
        <f t="shared" si="23"/>
        <v>1.5</v>
      </c>
      <c r="AA31" s="34">
        <f t="shared" si="23"/>
        <v>0</v>
      </c>
      <c r="AB31" s="34">
        <f t="shared" si="23"/>
        <v>0</v>
      </c>
      <c r="AC31" s="34">
        <f t="shared" si="23"/>
        <v>0</v>
      </c>
      <c r="AD31" s="34">
        <f t="shared" si="23"/>
        <v>0</v>
      </c>
      <c r="AE31" s="31">
        <f t="shared" si="23"/>
        <v>3</v>
      </c>
      <c r="AF31" s="31">
        <f t="shared" si="23"/>
        <v>3</v>
      </c>
    </row>
    <row r="32" spans="2:32" ht="23.1" customHeight="1" x14ac:dyDescent="0.25">
      <c r="B32" s="24" t="s">
        <v>59</v>
      </c>
      <c r="C32" s="49">
        <f>AVERAGE('17.10 bukomero-Kyankwanzi'!C32,'18.10 bukomero-Kyankwanzi'!C32,'19.10 bukomero-Kyankwanzi-24h'!C32,'20.10 bukomero-Kyankwanzi'!C32,'21.10 bukomero-Kyankwanzi-24h'!C32,'22.10 bukomero-Kyankwanzi'!C32,'23.10 bukomero-Kyankwanzi'!C32)</f>
        <v>0.42857142857142855</v>
      </c>
      <c r="D32" s="49">
        <f>AVERAGE('17.10 bukomero-Kyankwanzi'!D32,'18.10 bukomero-Kyankwanzi'!D32,'19.10 bukomero-Kyankwanzi-24h'!D32,'20.10 bukomero-Kyankwanzi'!D32,'21.10 bukomero-Kyankwanzi-24h'!D32,'22.10 bukomero-Kyankwanzi'!D32,'23.10 bukomero-Kyankwanzi'!D32)</f>
        <v>0.14285714285714285</v>
      </c>
      <c r="E32" s="49">
        <f>AVERAGE('17.10 bukomero-Kyankwanzi'!E32,'18.10 bukomero-Kyankwanzi'!E32,'19.10 bukomero-Kyankwanzi-24h'!E32,'20.10 bukomero-Kyankwanzi'!E32,'21.10 bukomero-Kyankwanzi-24h'!E32,'22.10 bukomero-Kyankwanzi'!E32,'23.10 bukomero-Kyankwanzi'!E32)</f>
        <v>0</v>
      </c>
      <c r="F32" s="49">
        <f>AVERAGE('17.10 bukomero-Kyankwanzi'!F32,'18.10 bukomero-Kyankwanzi'!F32,'19.10 bukomero-Kyankwanzi-24h'!F32,'20.10 bukomero-Kyankwanzi'!F32,'21.10 bukomero-Kyankwanzi-24h'!F32,'22.10 bukomero-Kyankwanzi'!F32,'23.10 bukomero-Kyankwanzi'!F32)</f>
        <v>0</v>
      </c>
      <c r="G32" s="49">
        <f>AVERAGE('17.10 bukomero-Kyankwanzi'!G32,'18.10 bukomero-Kyankwanzi'!G32,'19.10 bukomero-Kyankwanzi-24h'!G32,'20.10 bukomero-Kyankwanzi'!G32,'21.10 bukomero-Kyankwanzi-24h'!G32,'22.10 bukomero-Kyankwanzi'!G32,'23.10 bukomero-Kyankwanzi'!G32)</f>
        <v>0</v>
      </c>
      <c r="H32" s="49">
        <f>AVERAGE('17.10 bukomero-Kyankwanzi'!H32,'18.10 bukomero-Kyankwanzi'!H32,'19.10 bukomero-Kyankwanzi-24h'!H32,'20.10 bukomero-Kyankwanzi'!H32,'21.10 bukomero-Kyankwanzi-24h'!H32,'22.10 bukomero-Kyankwanzi'!H32,'23.10 bukomero-Kyankwanzi'!H32)</f>
        <v>0</v>
      </c>
      <c r="I32" s="49">
        <f>AVERAGE('17.10 bukomero-Kyankwanzi'!I32,'18.10 bukomero-Kyankwanzi'!I32,'19.10 bukomero-Kyankwanzi-24h'!I32,'20.10 bukomero-Kyankwanzi'!I32,'21.10 bukomero-Kyankwanzi-24h'!I32,'22.10 bukomero-Kyankwanzi'!I32,'23.10 bukomero-Kyankwanzi'!I32)</f>
        <v>1.4285714285714286</v>
      </c>
      <c r="J32" s="49">
        <f>AVERAGE('17.10 bukomero-Kyankwanzi'!J32,'18.10 bukomero-Kyankwanzi'!J32,'19.10 bukomero-Kyankwanzi-24h'!J32,'20.10 bukomero-Kyankwanzi'!J32,'21.10 bukomero-Kyankwanzi-24h'!J32,'22.10 bukomero-Kyankwanzi'!J32,'23.10 bukomero-Kyankwanzi'!J32)</f>
        <v>0</v>
      </c>
      <c r="K32" s="49">
        <f>AVERAGE('17.10 bukomero-Kyankwanzi'!K32,'18.10 bukomero-Kyankwanzi'!K32,'19.10 bukomero-Kyankwanzi-24h'!K32,'20.10 bukomero-Kyankwanzi'!K32,'21.10 bukomero-Kyankwanzi-24h'!K32,'22.10 bukomero-Kyankwanzi'!K32,'23.10 bukomero-Kyankwanzi'!K32)</f>
        <v>0</v>
      </c>
      <c r="L32" s="49">
        <f>AVERAGE('17.10 bukomero-Kyankwanzi'!L32,'18.10 bukomero-Kyankwanzi'!L32,'19.10 bukomero-Kyankwanzi-24h'!L32,'20.10 bukomero-Kyankwanzi'!L32,'21.10 bukomero-Kyankwanzi-24h'!L32,'22.10 bukomero-Kyankwanzi'!L32,'23.10 bukomero-Kyankwanzi'!L32)</f>
        <v>0</v>
      </c>
      <c r="M32" s="49">
        <f>AVERAGE('17.10 bukomero-Kyankwanzi'!M32,'18.10 bukomero-Kyankwanzi'!M32,'19.10 bukomero-Kyankwanzi-24h'!M32,'20.10 bukomero-Kyankwanzi'!M32,'21.10 bukomero-Kyankwanzi-24h'!M32,'22.10 bukomero-Kyankwanzi'!M32,'23.10 bukomero-Kyankwanzi'!M32)</f>
        <v>12.428571428571429</v>
      </c>
      <c r="N32" s="49">
        <f>AVERAGE('17.10 bukomero-Kyankwanzi'!N32,'18.10 bukomero-Kyankwanzi'!N32,'19.10 bukomero-Kyankwanzi-24h'!N32,'20.10 bukomero-Kyankwanzi'!N32,'21.10 bukomero-Kyankwanzi-24h'!N32,'22.10 bukomero-Kyankwanzi'!N32,'23.10 bukomero-Kyankwanzi'!N32)</f>
        <v>0</v>
      </c>
      <c r="O32" s="15">
        <f t="shared" si="0"/>
        <v>2</v>
      </c>
      <c r="P32" s="15">
        <f t="shared" si="1"/>
        <v>14.428571428571429</v>
      </c>
      <c r="R32" s="1" t="s">
        <v>156</v>
      </c>
      <c r="S32" s="34">
        <f>SUM(C98:C101)</f>
        <v>0.5</v>
      </c>
      <c r="T32" s="34">
        <f t="shared" ref="T32:AF32" si="24">SUM(D98:D101)</f>
        <v>0.5</v>
      </c>
      <c r="U32" s="34">
        <f t="shared" si="24"/>
        <v>0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2.5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9.5</v>
      </c>
      <c r="AD32" s="34">
        <f t="shared" si="24"/>
        <v>0</v>
      </c>
      <c r="AE32" s="31">
        <f t="shared" si="24"/>
        <v>4</v>
      </c>
      <c r="AF32" s="31">
        <f t="shared" si="24"/>
        <v>13.5</v>
      </c>
    </row>
    <row r="33" spans="2:32" ht="23.1" customHeight="1" x14ac:dyDescent="0.25">
      <c r="B33" s="23" t="s">
        <v>60</v>
      </c>
      <c r="C33" s="49">
        <f>AVERAGE('17.10 bukomero-Kyankwanzi'!C33,'18.10 bukomero-Kyankwanzi'!C33,'19.10 bukomero-Kyankwanzi-24h'!C33,'20.10 bukomero-Kyankwanzi'!C33,'21.10 bukomero-Kyankwanzi-24h'!C33,'22.10 bukomero-Kyankwanzi'!C33,'23.10 bukomero-Kyankwanzi'!C33)</f>
        <v>0.5714285714285714</v>
      </c>
      <c r="D33" s="49">
        <f>AVERAGE('17.10 bukomero-Kyankwanzi'!D33,'18.10 bukomero-Kyankwanzi'!D33,'19.10 bukomero-Kyankwanzi-24h'!D33,'20.10 bukomero-Kyankwanzi'!D33,'21.10 bukomero-Kyankwanzi-24h'!D33,'22.10 bukomero-Kyankwanzi'!D33,'23.10 bukomero-Kyankwanzi'!D33)</f>
        <v>0.14285714285714285</v>
      </c>
      <c r="E33" s="49">
        <f>AVERAGE('17.10 bukomero-Kyankwanzi'!E33,'18.10 bukomero-Kyankwanzi'!E33,'19.10 bukomero-Kyankwanzi-24h'!E33,'20.10 bukomero-Kyankwanzi'!E33,'21.10 bukomero-Kyankwanzi-24h'!E33,'22.10 bukomero-Kyankwanzi'!E33,'23.10 bukomero-Kyankwanzi'!E33)</f>
        <v>0.14285714285714285</v>
      </c>
      <c r="F33" s="49">
        <f>AVERAGE('17.10 bukomero-Kyankwanzi'!F33,'18.10 bukomero-Kyankwanzi'!F33,'19.10 bukomero-Kyankwanzi-24h'!F33,'20.10 bukomero-Kyankwanzi'!F33,'21.10 bukomero-Kyankwanzi-24h'!F33,'22.10 bukomero-Kyankwanzi'!F33,'23.10 bukomero-Kyankwanzi'!F33)</f>
        <v>0</v>
      </c>
      <c r="G33" s="49">
        <f>AVERAGE('17.10 bukomero-Kyankwanzi'!G33,'18.10 bukomero-Kyankwanzi'!G33,'19.10 bukomero-Kyankwanzi-24h'!G33,'20.10 bukomero-Kyankwanzi'!G33,'21.10 bukomero-Kyankwanzi-24h'!G33,'22.10 bukomero-Kyankwanzi'!G33,'23.10 bukomero-Kyankwanzi'!G33)</f>
        <v>0</v>
      </c>
      <c r="H33" s="49">
        <f>AVERAGE('17.10 bukomero-Kyankwanzi'!H33,'18.10 bukomero-Kyankwanzi'!H33,'19.10 bukomero-Kyankwanzi-24h'!H33,'20.10 bukomero-Kyankwanzi'!H33,'21.10 bukomero-Kyankwanzi-24h'!H33,'22.10 bukomero-Kyankwanzi'!H33,'23.10 bukomero-Kyankwanzi'!H33)</f>
        <v>0</v>
      </c>
      <c r="I33" s="49">
        <f>AVERAGE('17.10 bukomero-Kyankwanzi'!I33,'18.10 bukomero-Kyankwanzi'!I33,'19.10 bukomero-Kyankwanzi-24h'!I33,'20.10 bukomero-Kyankwanzi'!I33,'21.10 bukomero-Kyankwanzi-24h'!I33,'22.10 bukomero-Kyankwanzi'!I33,'23.10 bukomero-Kyankwanzi'!I33)</f>
        <v>0.5714285714285714</v>
      </c>
      <c r="J33" s="49">
        <f>AVERAGE('17.10 bukomero-Kyankwanzi'!J33,'18.10 bukomero-Kyankwanzi'!J33,'19.10 bukomero-Kyankwanzi-24h'!J33,'20.10 bukomero-Kyankwanzi'!J33,'21.10 bukomero-Kyankwanzi-24h'!J33,'22.10 bukomero-Kyankwanzi'!J33,'23.10 bukomero-Kyankwanzi'!J33)</f>
        <v>0</v>
      </c>
      <c r="K33" s="49">
        <f>AVERAGE('17.10 bukomero-Kyankwanzi'!K33,'18.10 bukomero-Kyankwanzi'!K33,'19.10 bukomero-Kyankwanzi-24h'!K33,'20.10 bukomero-Kyankwanzi'!K33,'21.10 bukomero-Kyankwanzi-24h'!K33,'22.10 bukomero-Kyankwanzi'!K33,'23.10 bukomero-Kyankwanzi'!K33)</f>
        <v>0</v>
      </c>
      <c r="L33" s="49">
        <f>AVERAGE('17.10 bukomero-Kyankwanzi'!L33,'18.10 bukomero-Kyankwanzi'!L33,'19.10 bukomero-Kyankwanzi-24h'!L33,'20.10 bukomero-Kyankwanzi'!L33,'21.10 bukomero-Kyankwanzi-24h'!L33,'22.10 bukomero-Kyankwanzi'!L33,'23.10 bukomero-Kyankwanzi'!L33)</f>
        <v>0</v>
      </c>
      <c r="M33" s="49">
        <f>AVERAGE('17.10 bukomero-Kyankwanzi'!M33,'18.10 bukomero-Kyankwanzi'!M33,'19.10 bukomero-Kyankwanzi-24h'!M33,'20.10 bukomero-Kyankwanzi'!M33,'21.10 bukomero-Kyankwanzi-24h'!M33,'22.10 bukomero-Kyankwanzi'!M33,'23.10 bukomero-Kyankwanzi'!M33)</f>
        <v>9.1428571428571423</v>
      </c>
      <c r="N33" s="49">
        <f>AVERAGE('17.10 bukomero-Kyankwanzi'!N33,'18.10 bukomero-Kyankwanzi'!N33,'19.10 bukomero-Kyankwanzi-24h'!N33,'20.10 bukomero-Kyankwanzi'!N33,'21.10 bukomero-Kyankwanzi-24h'!N33,'22.10 bukomero-Kyankwanzi'!N33,'23.10 bukomero-Kyankwanzi'!N33)</f>
        <v>0</v>
      </c>
      <c r="O33" s="15">
        <f t="shared" si="0"/>
        <v>1.4285714285714284</v>
      </c>
      <c r="P33" s="15">
        <f t="shared" si="1"/>
        <v>10.571428571428571</v>
      </c>
      <c r="R33" s="1" t="s">
        <v>157</v>
      </c>
      <c r="S33" s="34">
        <f>SUM(C102:C105)</f>
        <v>1.5</v>
      </c>
      <c r="T33" s="34">
        <f t="shared" ref="T33:AF33" si="25">SUM(D102:D105)</f>
        <v>0.5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5.5</v>
      </c>
      <c r="Z33" s="34">
        <f t="shared" si="25"/>
        <v>1.5</v>
      </c>
      <c r="AA33" s="34">
        <f t="shared" si="25"/>
        <v>0</v>
      </c>
      <c r="AB33" s="34">
        <f t="shared" si="25"/>
        <v>0</v>
      </c>
      <c r="AC33" s="34">
        <f t="shared" si="25"/>
        <v>26</v>
      </c>
      <c r="AD33" s="34">
        <f t="shared" si="25"/>
        <v>0</v>
      </c>
      <c r="AE33" s="31">
        <f t="shared" si="25"/>
        <v>9</v>
      </c>
      <c r="AF33" s="31">
        <f t="shared" si="25"/>
        <v>35</v>
      </c>
    </row>
    <row r="34" spans="2:32" ht="23.1" customHeight="1" x14ac:dyDescent="0.25">
      <c r="B34" s="24" t="s">
        <v>61</v>
      </c>
      <c r="C34" s="49">
        <f>AVERAGE('17.10 bukomero-Kyankwanzi'!C34,'18.10 bukomero-Kyankwanzi'!C34,'19.10 bukomero-Kyankwanzi-24h'!C34,'20.10 bukomero-Kyankwanzi'!C34,'21.10 bukomero-Kyankwanzi-24h'!C34,'22.10 bukomero-Kyankwanzi'!C34,'23.10 bukomero-Kyankwanzi'!C34)</f>
        <v>0.2857142857142857</v>
      </c>
      <c r="D34" s="49">
        <f>AVERAGE('17.10 bukomero-Kyankwanzi'!D34,'18.10 bukomero-Kyankwanzi'!D34,'19.10 bukomero-Kyankwanzi-24h'!D34,'20.10 bukomero-Kyankwanzi'!D34,'21.10 bukomero-Kyankwanzi-24h'!D34,'22.10 bukomero-Kyankwanzi'!D34,'23.10 bukomero-Kyankwanzi'!D34)</f>
        <v>0.5714285714285714</v>
      </c>
      <c r="E34" s="49">
        <f>AVERAGE('17.10 bukomero-Kyankwanzi'!E34,'18.10 bukomero-Kyankwanzi'!E34,'19.10 bukomero-Kyankwanzi-24h'!E34,'20.10 bukomero-Kyankwanzi'!E34,'21.10 bukomero-Kyankwanzi-24h'!E34,'22.10 bukomero-Kyankwanzi'!E34,'23.10 bukomero-Kyankwanzi'!E34)</f>
        <v>0</v>
      </c>
      <c r="F34" s="49">
        <f>AVERAGE('17.10 bukomero-Kyankwanzi'!F34,'18.10 bukomero-Kyankwanzi'!F34,'19.10 bukomero-Kyankwanzi-24h'!F34,'20.10 bukomero-Kyankwanzi'!F34,'21.10 bukomero-Kyankwanzi-24h'!F34,'22.10 bukomero-Kyankwanzi'!F34,'23.10 bukomero-Kyankwanzi'!F34)</f>
        <v>0</v>
      </c>
      <c r="G34" s="49">
        <f>AVERAGE('17.10 bukomero-Kyankwanzi'!G34,'18.10 bukomero-Kyankwanzi'!G34,'19.10 bukomero-Kyankwanzi-24h'!G34,'20.10 bukomero-Kyankwanzi'!G34,'21.10 bukomero-Kyankwanzi-24h'!G34,'22.10 bukomero-Kyankwanzi'!G34,'23.10 bukomero-Kyankwanzi'!G34)</f>
        <v>0</v>
      </c>
      <c r="H34" s="49">
        <f>AVERAGE('17.10 bukomero-Kyankwanzi'!H34,'18.10 bukomero-Kyankwanzi'!H34,'19.10 bukomero-Kyankwanzi-24h'!H34,'20.10 bukomero-Kyankwanzi'!H34,'21.10 bukomero-Kyankwanzi-24h'!H34,'22.10 bukomero-Kyankwanzi'!H34,'23.10 bukomero-Kyankwanzi'!H34)</f>
        <v>0</v>
      </c>
      <c r="I34" s="49">
        <f>AVERAGE('17.10 bukomero-Kyankwanzi'!I34,'18.10 bukomero-Kyankwanzi'!I34,'19.10 bukomero-Kyankwanzi-24h'!I34,'20.10 bukomero-Kyankwanzi'!I34,'21.10 bukomero-Kyankwanzi-24h'!I34,'22.10 bukomero-Kyankwanzi'!I34,'23.10 bukomero-Kyankwanzi'!I34)</f>
        <v>0.2857142857142857</v>
      </c>
      <c r="J34" s="49">
        <f>AVERAGE('17.10 bukomero-Kyankwanzi'!J34,'18.10 bukomero-Kyankwanzi'!J34,'19.10 bukomero-Kyankwanzi-24h'!J34,'20.10 bukomero-Kyankwanzi'!J34,'21.10 bukomero-Kyankwanzi-24h'!J34,'22.10 bukomero-Kyankwanzi'!J34,'23.10 bukomero-Kyankwanzi'!J34)</f>
        <v>0</v>
      </c>
      <c r="K34" s="49">
        <f>AVERAGE('17.10 bukomero-Kyankwanzi'!K34,'18.10 bukomero-Kyankwanzi'!K34,'19.10 bukomero-Kyankwanzi-24h'!K34,'20.10 bukomero-Kyankwanzi'!K34,'21.10 bukomero-Kyankwanzi-24h'!K34,'22.10 bukomero-Kyankwanzi'!K34,'23.10 bukomero-Kyankwanzi'!K34)</f>
        <v>0.14285714285714285</v>
      </c>
      <c r="L34" s="49">
        <f>AVERAGE('17.10 bukomero-Kyankwanzi'!L34,'18.10 bukomero-Kyankwanzi'!L34,'19.10 bukomero-Kyankwanzi-24h'!L34,'20.10 bukomero-Kyankwanzi'!L34,'21.10 bukomero-Kyankwanzi-24h'!L34,'22.10 bukomero-Kyankwanzi'!L34,'23.10 bukomero-Kyankwanzi'!L34)</f>
        <v>0</v>
      </c>
      <c r="M34" s="49">
        <f>AVERAGE('17.10 bukomero-Kyankwanzi'!M34,'18.10 bukomero-Kyankwanzi'!M34,'19.10 bukomero-Kyankwanzi-24h'!M34,'20.10 bukomero-Kyankwanzi'!M34,'21.10 bukomero-Kyankwanzi-24h'!M34,'22.10 bukomero-Kyankwanzi'!M34,'23.10 bukomero-Kyankwanzi'!M34)</f>
        <v>10.428571428571429</v>
      </c>
      <c r="N34" s="49">
        <f>AVERAGE('17.10 bukomero-Kyankwanzi'!N34,'18.10 bukomero-Kyankwanzi'!N34,'19.10 bukomero-Kyankwanzi-24h'!N34,'20.10 bukomero-Kyankwanzi'!N34,'21.10 bukomero-Kyankwanzi-24h'!N34,'22.10 bukomero-Kyankwanzi'!N34,'23.10 bukomero-Kyankwanzi'!N34)</f>
        <v>0</v>
      </c>
      <c r="O34" s="15">
        <f t="shared" si="0"/>
        <v>1.2857142857142856</v>
      </c>
      <c r="P34" s="15">
        <f t="shared" si="1"/>
        <v>11.714285714285715</v>
      </c>
      <c r="R34" s="38" t="s">
        <v>90</v>
      </c>
      <c r="S34" s="39">
        <f t="shared" ref="S34:AF34" si="26">MAX(S10:S12)</f>
        <v>2.4285714285714284</v>
      </c>
      <c r="T34" s="39">
        <f t="shared" si="26"/>
        <v>0.42857142857142855</v>
      </c>
      <c r="U34" s="39">
        <f t="shared" si="26"/>
        <v>1</v>
      </c>
      <c r="V34" s="39">
        <f t="shared" si="26"/>
        <v>2.5714285714285712</v>
      </c>
      <c r="W34" s="39">
        <f t="shared" si="26"/>
        <v>0.2857142857142857</v>
      </c>
      <c r="X34" s="39">
        <f t="shared" si="26"/>
        <v>0</v>
      </c>
      <c r="Y34" s="39">
        <f t="shared" si="26"/>
        <v>3.7142857142857144</v>
      </c>
      <c r="Z34" s="39">
        <f t="shared" si="26"/>
        <v>0.14285714285714285</v>
      </c>
      <c r="AA34" s="39">
        <f t="shared" si="26"/>
        <v>0.14285714285714285</v>
      </c>
      <c r="AB34" s="39">
        <f t="shared" si="26"/>
        <v>0</v>
      </c>
      <c r="AC34" s="39">
        <f t="shared" si="26"/>
        <v>38.714285714285715</v>
      </c>
      <c r="AD34" s="39">
        <f t="shared" si="26"/>
        <v>0.14285714285714285</v>
      </c>
      <c r="AE34" s="40">
        <f t="shared" si="26"/>
        <v>8.4285714285714288</v>
      </c>
      <c r="AF34" s="40">
        <f t="shared" si="26"/>
        <v>46.142857142857139</v>
      </c>
    </row>
    <row r="35" spans="2:32" ht="23.1" customHeight="1" x14ac:dyDescent="0.25">
      <c r="B35" s="24" t="s">
        <v>62</v>
      </c>
      <c r="C35" s="49">
        <f>AVERAGE('17.10 bukomero-Kyankwanzi'!C35,'18.10 bukomero-Kyankwanzi'!C35,'19.10 bukomero-Kyankwanzi-24h'!C35,'20.10 bukomero-Kyankwanzi'!C35,'21.10 bukomero-Kyankwanzi-24h'!C35,'22.10 bukomero-Kyankwanzi'!C35,'23.10 bukomero-Kyankwanzi'!C35)</f>
        <v>0.2857142857142857</v>
      </c>
      <c r="D35" s="49">
        <f>AVERAGE('17.10 bukomero-Kyankwanzi'!D35,'18.10 bukomero-Kyankwanzi'!D35,'19.10 bukomero-Kyankwanzi-24h'!D35,'20.10 bukomero-Kyankwanzi'!D35,'21.10 bukomero-Kyankwanzi-24h'!D35,'22.10 bukomero-Kyankwanzi'!D35,'23.10 bukomero-Kyankwanzi'!D35)</f>
        <v>0</v>
      </c>
      <c r="E35" s="49">
        <f>AVERAGE('17.10 bukomero-Kyankwanzi'!E35,'18.10 bukomero-Kyankwanzi'!E35,'19.10 bukomero-Kyankwanzi-24h'!E35,'20.10 bukomero-Kyankwanzi'!E35,'21.10 bukomero-Kyankwanzi-24h'!E35,'22.10 bukomero-Kyankwanzi'!E35,'23.10 bukomero-Kyankwanzi'!E35)</f>
        <v>0.42857142857142855</v>
      </c>
      <c r="F35" s="49">
        <f>AVERAGE('17.10 bukomero-Kyankwanzi'!F35,'18.10 bukomero-Kyankwanzi'!F35,'19.10 bukomero-Kyankwanzi-24h'!F35,'20.10 bukomero-Kyankwanzi'!F35,'21.10 bukomero-Kyankwanzi-24h'!F35,'22.10 bukomero-Kyankwanzi'!F35,'23.10 bukomero-Kyankwanzi'!F35)</f>
        <v>0.14285714285714285</v>
      </c>
      <c r="G35" s="49">
        <f>AVERAGE('17.10 bukomero-Kyankwanzi'!G35,'18.10 bukomero-Kyankwanzi'!G35,'19.10 bukomero-Kyankwanzi-24h'!G35,'20.10 bukomero-Kyankwanzi'!G35,'21.10 bukomero-Kyankwanzi-24h'!G35,'22.10 bukomero-Kyankwanzi'!G35,'23.10 bukomero-Kyankwanzi'!G35)</f>
        <v>0</v>
      </c>
      <c r="H35" s="49">
        <f>AVERAGE('17.10 bukomero-Kyankwanzi'!H35,'18.10 bukomero-Kyankwanzi'!H35,'19.10 bukomero-Kyankwanzi-24h'!H35,'20.10 bukomero-Kyankwanzi'!H35,'21.10 bukomero-Kyankwanzi-24h'!H35,'22.10 bukomero-Kyankwanzi'!H35,'23.10 bukomero-Kyankwanzi'!H35)</f>
        <v>0</v>
      </c>
      <c r="I35" s="49">
        <f>AVERAGE('17.10 bukomero-Kyankwanzi'!I35,'18.10 bukomero-Kyankwanzi'!I35,'19.10 bukomero-Kyankwanzi-24h'!I35,'20.10 bukomero-Kyankwanzi'!I35,'21.10 bukomero-Kyankwanzi-24h'!I35,'22.10 bukomero-Kyankwanzi'!I35,'23.10 bukomero-Kyankwanzi'!I35)</f>
        <v>0.42857142857142855</v>
      </c>
      <c r="J35" s="49">
        <f>AVERAGE('17.10 bukomero-Kyankwanzi'!J35,'18.10 bukomero-Kyankwanzi'!J35,'19.10 bukomero-Kyankwanzi-24h'!J35,'20.10 bukomero-Kyankwanzi'!J35,'21.10 bukomero-Kyankwanzi-24h'!J35,'22.10 bukomero-Kyankwanzi'!J35,'23.10 bukomero-Kyankwanzi'!J35)</f>
        <v>0.2857142857142857</v>
      </c>
      <c r="K35" s="49">
        <f>AVERAGE('17.10 bukomero-Kyankwanzi'!K35,'18.10 bukomero-Kyankwanzi'!K35,'19.10 bukomero-Kyankwanzi-24h'!K35,'20.10 bukomero-Kyankwanzi'!K35,'21.10 bukomero-Kyankwanzi-24h'!K35,'22.10 bukomero-Kyankwanzi'!K35,'23.10 bukomero-Kyankwanzi'!K35)</f>
        <v>0</v>
      </c>
      <c r="L35" s="49">
        <f>AVERAGE('17.10 bukomero-Kyankwanzi'!L35,'18.10 bukomero-Kyankwanzi'!L35,'19.10 bukomero-Kyankwanzi-24h'!L35,'20.10 bukomero-Kyankwanzi'!L35,'21.10 bukomero-Kyankwanzi-24h'!L35,'22.10 bukomero-Kyankwanzi'!L35,'23.10 bukomero-Kyankwanzi'!L35)</f>
        <v>0</v>
      </c>
      <c r="M35" s="49">
        <f>AVERAGE('17.10 bukomero-Kyankwanzi'!M35,'18.10 bukomero-Kyankwanzi'!M35,'19.10 bukomero-Kyankwanzi-24h'!M35,'20.10 bukomero-Kyankwanzi'!M35,'21.10 bukomero-Kyankwanzi-24h'!M35,'22.10 bukomero-Kyankwanzi'!M35,'23.10 bukomero-Kyankwanzi'!M35)</f>
        <v>10.714285714285714</v>
      </c>
      <c r="N35" s="49">
        <f>AVERAGE('17.10 bukomero-Kyankwanzi'!N35,'18.10 bukomero-Kyankwanzi'!N35,'19.10 bukomero-Kyankwanzi-24h'!N35,'20.10 bukomero-Kyankwanzi'!N35,'21.10 bukomero-Kyankwanzi-24h'!N35,'22.10 bukomero-Kyankwanzi'!N35,'23.10 bukomero-Kyankwanzi'!N35)</f>
        <v>0</v>
      </c>
      <c r="O35" s="15">
        <f t="shared" si="0"/>
        <v>1.5714285714285712</v>
      </c>
      <c r="P35" s="15">
        <f t="shared" si="1"/>
        <v>12.285714285714285</v>
      </c>
      <c r="R35" s="38" t="s">
        <v>91</v>
      </c>
      <c r="S35" s="39">
        <f t="shared" ref="S35:AF35" si="27">MAX(S13:S18)</f>
        <v>1.857142857142857</v>
      </c>
      <c r="T35" s="39">
        <f t="shared" si="27"/>
        <v>1.1428571428571428</v>
      </c>
      <c r="U35" s="39">
        <f t="shared" si="27"/>
        <v>0.71428571428571419</v>
      </c>
      <c r="V35" s="39">
        <f t="shared" si="27"/>
        <v>0.2857142857142857</v>
      </c>
      <c r="W35" s="39">
        <f t="shared" si="27"/>
        <v>0</v>
      </c>
      <c r="X35" s="39">
        <f t="shared" si="27"/>
        <v>0</v>
      </c>
      <c r="Y35" s="39">
        <f t="shared" si="27"/>
        <v>4.4285714285714288</v>
      </c>
      <c r="Z35" s="39">
        <f t="shared" si="27"/>
        <v>0.5714285714285714</v>
      </c>
      <c r="AA35" s="39">
        <f t="shared" si="27"/>
        <v>0.2857142857142857</v>
      </c>
      <c r="AB35" s="39">
        <f t="shared" si="27"/>
        <v>0</v>
      </c>
      <c r="AC35" s="39">
        <f t="shared" si="27"/>
        <v>50.857142857142861</v>
      </c>
      <c r="AD35" s="39">
        <f t="shared" si="27"/>
        <v>0</v>
      </c>
      <c r="AE35" s="40">
        <f t="shared" si="27"/>
        <v>7.4285714285714288</v>
      </c>
      <c r="AF35" s="40">
        <f t="shared" si="27"/>
        <v>58.285714285714292</v>
      </c>
    </row>
    <row r="36" spans="2:32" ht="23.1" customHeight="1" x14ac:dyDescent="0.25">
      <c r="B36" s="24" t="s">
        <v>63</v>
      </c>
      <c r="C36" s="49">
        <f>AVERAGE('17.10 bukomero-Kyankwanzi'!C36,'18.10 bukomero-Kyankwanzi'!C36,'19.10 bukomero-Kyankwanzi-24h'!C36,'20.10 bukomero-Kyankwanzi'!C36,'21.10 bukomero-Kyankwanzi-24h'!C36,'22.10 bukomero-Kyankwanzi'!C36,'23.10 bukomero-Kyankwanzi'!C36)</f>
        <v>0.5714285714285714</v>
      </c>
      <c r="D36" s="49">
        <f>AVERAGE('17.10 bukomero-Kyankwanzi'!D36,'18.10 bukomero-Kyankwanzi'!D36,'19.10 bukomero-Kyankwanzi-24h'!D36,'20.10 bukomero-Kyankwanzi'!D36,'21.10 bukomero-Kyankwanzi-24h'!D36,'22.10 bukomero-Kyankwanzi'!D36,'23.10 bukomero-Kyankwanzi'!D36)</f>
        <v>0</v>
      </c>
      <c r="E36" s="49">
        <f>AVERAGE('17.10 bukomero-Kyankwanzi'!E36,'18.10 bukomero-Kyankwanzi'!E36,'19.10 bukomero-Kyankwanzi-24h'!E36,'20.10 bukomero-Kyankwanzi'!E36,'21.10 bukomero-Kyankwanzi-24h'!E36,'22.10 bukomero-Kyankwanzi'!E36,'23.10 bukomero-Kyankwanzi'!E36)</f>
        <v>0.14285714285714285</v>
      </c>
      <c r="F36" s="49">
        <f>AVERAGE('17.10 bukomero-Kyankwanzi'!F36,'18.10 bukomero-Kyankwanzi'!F36,'19.10 bukomero-Kyankwanzi-24h'!F36,'20.10 bukomero-Kyankwanzi'!F36,'21.10 bukomero-Kyankwanzi-24h'!F36,'22.10 bukomero-Kyankwanzi'!F36,'23.10 bukomero-Kyankwanzi'!F36)</f>
        <v>0</v>
      </c>
      <c r="G36" s="49">
        <f>AVERAGE('17.10 bukomero-Kyankwanzi'!G36,'18.10 bukomero-Kyankwanzi'!G36,'19.10 bukomero-Kyankwanzi-24h'!G36,'20.10 bukomero-Kyankwanzi'!G36,'21.10 bukomero-Kyankwanzi-24h'!G36,'22.10 bukomero-Kyankwanzi'!G36,'23.10 bukomero-Kyankwanzi'!G36)</f>
        <v>0</v>
      </c>
      <c r="H36" s="49">
        <f>AVERAGE('17.10 bukomero-Kyankwanzi'!H36,'18.10 bukomero-Kyankwanzi'!H36,'19.10 bukomero-Kyankwanzi-24h'!H36,'20.10 bukomero-Kyankwanzi'!H36,'21.10 bukomero-Kyankwanzi-24h'!H36,'22.10 bukomero-Kyankwanzi'!H36,'23.10 bukomero-Kyankwanzi'!H36)</f>
        <v>0</v>
      </c>
      <c r="I36" s="49">
        <f>AVERAGE('17.10 bukomero-Kyankwanzi'!I36,'18.10 bukomero-Kyankwanzi'!I36,'19.10 bukomero-Kyankwanzi-24h'!I36,'20.10 bukomero-Kyankwanzi'!I36,'21.10 bukomero-Kyankwanzi-24h'!I36,'22.10 bukomero-Kyankwanzi'!I36,'23.10 bukomero-Kyankwanzi'!I36)</f>
        <v>0.42857142857142855</v>
      </c>
      <c r="J36" s="49">
        <f>AVERAGE('17.10 bukomero-Kyankwanzi'!J36,'18.10 bukomero-Kyankwanzi'!J36,'19.10 bukomero-Kyankwanzi-24h'!J36,'20.10 bukomero-Kyankwanzi'!J36,'21.10 bukomero-Kyankwanzi-24h'!J36,'22.10 bukomero-Kyankwanzi'!J36,'23.10 bukomero-Kyankwanzi'!J36)</f>
        <v>0.14285714285714285</v>
      </c>
      <c r="K36" s="49">
        <f>AVERAGE('17.10 bukomero-Kyankwanzi'!K36,'18.10 bukomero-Kyankwanzi'!K36,'19.10 bukomero-Kyankwanzi-24h'!K36,'20.10 bukomero-Kyankwanzi'!K36,'21.10 bukomero-Kyankwanzi-24h'!K36,'22.10 bukomero-Kyankwanzi'!K36,'23.10 bukomero-Kyankwanzi'!K36)</f>
        <v>0.14285714285714285</v>
      </c>
      <c r="L36" s="49">
        <f>AVERAGE('17.10 bukomero-Kyankwanzi'!L36,'18.10 bukomero-Kyankwanzi'!L36,'19.10 bukomero-Kyankwanzi-24h'!L36,'20.10 bukomero-Kyankwanzi'!L36,'21.10 bukomero-Kyankwanzi-24h'!L36,'22.10 bukomero-Kyankwanzi'!L36,'23.10 bukomero-Kyankwanzi'!L36)</f>
        <v>0</v>
      </c>
      <c r="M36" s="49">
        <f>AVERAGE('17.10 bukomero-Kyankwanzi'!M36,'18.10 bukomero-Kyankwanzi'!M36,'19.10 bukomero-Kyankwanzi-24h'!M36,'20.10 bukomero-Kyankwanzi'!M36,'21.10 bukomero-Kyankwanzi-24h'!M36,'22.10 bukomero-Kyankwanzi'!M36,'23.10 bukomero-Kyankwanzi'!M36)</f>
        <v>11.285714285714286</v>
      </c>
      <c r="N36" s="49">
        <f>AVERAGE('17.10 bukomero-Kyankwanzi'!N36,'18.10 bukomero-Kyankwanzi'!N36,'19.10 bukomero-Kyankwanzi-24h'!N36,'20.10 bukomero-Kyankwanzi'!N36,'21.10 bukomero-Kyankwanzi-24h'!N36,'22.10 bukomero-Kyankwanzi'!N36,'23.10 bukomero-Kyankwanzi'!N36)</f>
        <v>0</v>
      </c>
      <c r="O36" s="15">
        <f t="shared" si="0"/>
        <v>1.4285714285714284</v>
      </c>
      <c r="P36" s="15">
        <f t="shared" si="1"/>
        <v>12.714285714285715</v>
      </c>
      <c r="R36" s="38" t="s">
        <v>92</v>
      </c>
      <c r="S36" s="39">
        <f t="shared" ref="S36:AF36" si="28">MAX(S19:S21)</f>
        <v>2.4285714285714284</v>
      </c>
      <c r="T36" s="39">
        <f t="shared" si="28"/>
        <v>0.5714285714285714</v>
      </c>
      <c r="U36" s="39">
        <f t="shared" si="28"/>
        <v>1.4285714285714286</v>
      </c>
      <c r="V36" s="39">
        <f t="shared" si="28"/>
        <v>0.5714285714285714</v>
      </c>
      <c r="W36" s="39">
        <f t="shared" si="28"/>
        <v>0</v>
      </c>
      <c r="X36" s="39">
        <f t="shared" si="28"/>
        <v>0</v>
      </c>
      <c r="Y36" s="39">
        <f t="shared" si="28"/>
        <v>3</v>
      </c>
      <c r="Z36" s="39">
        <f t="shared" si="28"/>
        <v>1.4285714285714284</v>
      </c>
      <c r="AA36" s="39">
        <f t="shared" si="28"/>
        <v>0.14285714285714285</v>
      </c>
      <c r="AB36" s="39">
        <f t="shared" si="28"/>
        <v>0</v>
      </c>
      <c r="AC36" s="39">
        <f t="shared" si="28"/>
        <v>59.142857142857139</v>
      </c>
      <c r="AD36" s="39">
        <f t="shared" si="28"/>
        <v>0</v>
      </c>
      <c r="AE36" s="40">
        <f t="shared" si="28"/>
        <v>8.1428571428571423</v>
      </c>
      <c r="AF36" s="40">
        <f t="shared" si="28"/>
        <v>67.285714285714292</v>
      </c>
    </row>
    <row r="37" spans="2:32" ht="23.1" customHeight="1" x14ac:dyDescent="0.25">
      <c r="B37" s="23" t="s">
        <v>64</v>
      </c>
      <c r="C37" s="49">
        <f>AVERAGE('17.10 bukomero-Kyankwanzi'!C37,'18.10 bukomero-Kyankwanzi'!C37,'19.10 bukomero-Kyankwanzi-24h'!C37,'20.10 bukomero-Kyankwanzi'!C37,'21.10 bukomero-Kyankwanzi-24h'!C37,'22.10 bukomero-Kyankwanzi'!C37,'23.10 bukomero-Kyankwanzi'!C37)</f>
        <v>0.2857142857142857</v>
      </c>
      <c r="D37" s="49">
        <f>AVERAGE('17.10 bukomero-Kyankwanzi'!D37,'18.10 bukomero-Kyankwanzi'!D37,'19.10 bukomero-Kyankwanzi-24h'!D37,'20.10 bukomero-Kyankwanzi'!D37,'21.10 bukomero-Kyankwanzi-24h'!D37,'22.10 bukomero-Kyankwanzi'!D37,'23.10 bukomero-Kyankwanzi'!D37)</f>
        <v>0</v>
      </c>
      <c r="E37" s="49">
        <f>AVERAGE('17.10 bukomero-Kyankwanzi'!E37,'18.10 bukomero-Kyankwanzi'!E37,'19.10 bukomero-Kyankwanzi-24h'!E37,'20.10 bukomero-Kyankwanzi'!E37,'21.10 bukomero-Kyankwanzi-24h'!E37,'22.10 bukomero-Kyankwanzi'!E37,'23.10 bukomero-Kyankwanzi'!E37)</f>
        <v>0.14285714285714285</v>
      </c>
      <c r="F37" s="49">
        <f>AVERAGE('17.10 bukomero-Kyankwanzi'!F37,'18.10 bukomero-Kyankwanzi'!F37,'19.10 bukomero-Kyankwanzi-24h'!F37,'20.10 bukomero-Kyankwanzi'!F37,'21.10 bukomero-Kyankwanzi-24h'!F37,'22.10 bukomero-Kyankwanzi'!F37,'23.10 bukomero-Kyankwanzi'!F37)</f>
        <v>0.14285714285714285</v>
      </c>
      <c r="G37" s="49">
        <f>AVERAGE('17.10 bukomero-Kyankwanzi'!G37,'18.10 bukomero-Kyankwanzi'!G37,'19.10 bukomero-Kyankwanzi-24h'!G37,'20.10 bukomero-Kyankwanzi'!G37,'21.10 bukomero-Kyankwanzi-24h'!G37,'22.10 bukomero-Kyankwanzi'!G37,'23.10 bukomero-Kyankwanzi'!G37)</f>
        <v>0</v>
      </c>
      <c r="H37" s="49">
        <f>AVERAGE('17.10 bukomero-Kyankwanzi'!H37,'18.10 bukomero-Kyankwanzi'!H37,'19.10 bukomero-Kyankwanzi-24h'!H37,'20.10 bukomero-Kyankwanzi'!H37,'21.10 bukomero-Kyankwanzi-24h'!H37,'22.10 bukomero-Kyankwanzi'!H37,'23.10 bukomero-Kyankwanzi'!H37)</f>
        <v>0</v>
      </c>
      <c r="I37" s="49">
        <f>AVERAGE('17.10 bukomero-Kyankwanzi'!I37,'18.10 bukomero-Kyankwanzi'!I37,'19.10 bukomero-Kyankwanzi-24h'!I37,'20.10 bukomero-Kyankwanzi'!I37,'21.10 bukomero-Kyankwanzi-24h'!I37,'22.10 bukomero-Kyankwanzi'!I37,'23.10 bukomero-Kyankwanzi'!I37)</f>
        <v>0.5714285714285714</v>
      </c>
      <c r="J37" s="49">
        <f>AVERAGE('17.10 bukomero-Kyankwanzi'!J37,'18.10 bukomero-Kyankwanzi'!J37,'19.10 bukomero-Kyankwanzi-24h'!J37,'20.10 bukomero-Kyankwanzi'!J37,'21.10 bukomero-Kyankwanzi-24h'!J37,'22.10 bukomero-Kyankwanzi'!J37,'23.10 bukomero-Kyankwanzi'!J37)</f>
        <v>0</v>
      </c>
      <c r="K37" s="49">
        <f>AVERAGE('17.10 bukomero-Kyankwanzi'!K37,'18.10 bukomero-Kyankwanzi'!K37,'19.10 bukomero-Kyankwanzi-24h'!K37,'20.10 bukomero-Kyankwanzi'!K37,'21.10 bukomero-Kyankwanzi-24h'!K37,'22.10 bukomero-Kyankwanzi'!K37,'23.10 bukomero-Kyankwanzi'!K37)</f>
        <v>0</v>
      </c>
      <c r="L37" s="49">
        <f>AVERAGE('17.10 bukomero-Kyankwanzi'!L37,'18.10 bukomero-Kyankwanzi'!L37,'19.10 bukomero-Kyankwanzi-24h'!L37,'20.10 bukomero-Kyankwanzi'!L37,'21.10 bukomero-Kyankwanzi-24h'!L37,'22.10 bukomero-Kyankwanzi'!L37,'23.10 bukomero-Kyankwanzi'!L37)</f>
        <v>0</v>
      </c>
      <c r="M37" s="49">
        <f>AVERAGE('17.10 bukomero-Kyankwanzi'!M37,'18.10 bukomero-Kyankwanzi'!M37,'19.10 bukomero-Kyankwanzi-24h'!M37,'20.10 bukomero-Kyankwanzi'!M37,'21.10 bukomero-Kyankwanzi-24h'!M37,'22.10 bukomero-Kyankwanzi'!M37,'23.10 bukomero-Kyankwanzi'!M37)</f>
        <v>12.857142857142858</v>
      </c>
      <c r="N37" s="49">
        <f>AVERAGE('17.10 bukomero-Kyankwanzi'!N37,'18.10 bukomero-Kyankwanzi'!N37,'19.10 bukomero-Kyankwanzi-24h'!N37,'20.10 bukomero-Kyankwanzi'!N37,'21.10 bukomero-Kyankwanzi-24h'!N37,'22.10 bukomero-Kyankwanzi'!N37,'23.10 bukomero-Kyankwanzi'!N37)</f>
        <v>0</v>
      </c>
      <c r="O37" s="15">
        <f t="shared" si="0"/>
        <v>1.1428571428571428</v>
      </c>
      <c r="P37" s="15">
        <f t="shared" si="1"/>
        <v>14</v>
      </c>
      <c r="R37" s="37" t="s">
        <v>85</v>
      </c>
      <c r="S37" s="35">
        <f t="shared" ref="S37:AF37" si="29">SUM(S10:S12)</f>
        <v>5</v>
      </c>
      <c r="T37" s="16">
        <f t="shared" si="29"/>
        <v>0.8571428571428571</v>
      </c>
      <c r="U37" s="16">
        <f t="shared" si="29"/>
        <v>1.7142857142857142</v>
      </c>
      <c r="V37" s="16">
        <f t="shared" si="29"/>
        <v>3.5714285714285712</v>
      </c>
      <c r="W37" s="16">
        <f t="shared" si="29"/>
        <v>0.2857142857142857</v>
      </c>
      <c r="X37" s="16">
        <f t="shared" si="29"/>
        <v>0</v>
      </c>
      <c r="Y37" s="16">
        <f t="shared" si="29"/>
        <v>8.4285714285714288</v>
      </c>
      <c r="Z37" s="16">
        <f t="shared" si="29"/>
        <v>0.2857142857142857</v>
      </c>
      <c r="AA37" s="16">
        <f t="shared" si="29"/>
        <v>0.14285714285714285</v>
      </c>
      <c r="AB37" s="16">
        <f t="shared" si="29"/>
        <v>0</v>
      </c>
      <c r="AC37" s="16">
        <f t="shared" si="29"/>
        <v>107.71428571428572</v>
      </c>
      <c r="AD37" s="16">
        <f t="shared" si="29"/>
        <v>0.14285714285714285</v>
      </c>
      <c r="AE37" s="32">
        <f t="shared" si="29"/>
        <v>20.428571428571427</v>
      </c>
      <c r="AF37" s="32">
        <f t="shared" si="29"/>
        <v>128.14285714285714</v>
      </c>
    </row>
    <row r="38" spans="2:32" ht="23.1" customHeight="1" x14ac:dyDescent="0.25">
      <c r="B38" s="24" t="s">
        <v>65</v>
      </c>
      <c r="C38" s="49">
        <f>AVERAGE('17.10 bukomero-Kyankwanzi'!C38,'18.10 bukomero-Kyankwanzi'!C38,'19.10 bukomero-Kyankwanzi-24h'!C38,'20.10 bukomero-Kyankwanzi'!C38,'21.10 bukomero-Kyankwanzi-24h'!C38,'22.10 bukomero-Kyankwanzi'!C38,'23.10 bukomero-Kyankwanzi'!C38)</f>
        <v>0</v>
      </c>
      <c r="D38" s="49">
        <f>AVERAGE('17.10 bukomero-Kyankwanzi'!D38,'18.10 bukomero-Kyankwanzi'!D38,'19.10 bukomero-Kyankwanzi-24h'!D38,'20.10 bukomero-Kyankwanzi'!D38,'21.10 bukomero-Kyankwanzi-24h'!D38,'22.10 bukomero-Kyankwanzi'!D38,'23.10 bukomero-Kyankwanzi'!D38)</f>
        <v>0</v>
      </c>
      <c r="E38" s="49">
        <f>AVERAGE('17.10 bukomero-Kyankwanzi'!E38,'18.10 bukomero-Kyankwanzi'!E38,'19.10 bukomero-Kyankwanzi-24h'!E38,'20.10 bukomero-Kyankwanzi'!E38,'21.10 bukomero-Kyankwanzi-24h'!E38,'22.10 bukomero-Kyankwanzi'!E38,'23.10 bukomero-Kyankwanzi'!E38)</f>
        <v>0.2857142857142857</v>
      </c>
      <c r="F38" s="49">
        <f>AVERAGE('17.10 bukomero-Kyankwanzi'!F38,'18.10 bukomero-Kyankwanzi'!F38,'19.10 bukomero-Kyankwanzi-24h'!F38,'20.10 bukomero-Kyankwanzi'!F38,'21.10 bukomero-Kyankwanzi-24h'!F38,'22.10 bukomero-Kyankwanzi'!F38,'23.10 bukomero-Kyankwanzi'!F38)</f>
        <v>0</v>
      </c>
      <c r="G38" s="49">
        <f>AVERAGE('17.10 bukomero-Kyankwanzi'!G38,'18.10 bukomero-Kyankwanzi'!G38,'19.10 bukomero-Kyankwanzi-24h'!G38,'20.10 bukomero-Kyankwanzi'!G38,'21.10 bukomero-Kyankwanzi-24h'!G38,'22.10 bukomero-Kyankwanzi'!G38,'23.10 bukomero-Kyankwanzi'!G38)</f>
        <v>0</v>
      </c>
      <c r="H38" s="49">
        <f>AVERAGE('17.10 bukomero-Kyankwanzi'!H38,'18.10 bukomero-Kyankwanzi'!H38,'19.10 bukomero-Kyankwanzi-24h'!H38,'20.10 bukomero-Kyankwanzi'!H38,'21.10 bukomero-Kyankwanzi-24h'!H38,'22.10 bukomero-Kyankwanzi'!H38,'23.10 bukomero-Kyankwanzi'!H38)</f>
        <v>0</v>
      </c>
      <c r="I38" s="49">
        <f>AVERAGE('17.10 bukomero-Kyankwanzi'!I38,'18.10 bukomero-Kyankwanzi'!I38,'19.10 bukomero-Kyankwanzi-24h'!I38,'20.10 bukomero-Kyankwanzi'!I38,'21.10 bukomero-Kyankwanzi-24h'!I38,'22.10 bukomero-Kyankwanzi'!I38,'23.10 bukomero-Kyankwanzi'!I38)</f>
        <v>1.2857142857142858</v>
      </c>
      <c r="J38" s="49">
        <f>AVERAGE('17.10 bukomero-Kyankwanzi'!J38,'18.10 bukomero-Kyankwanzi'!J38,'19.10 bukomero-Kyankwanzi-24h'!J38,'20.10 bukomero-Kyankwanzi'!J38,'21.10 bukomero-Kyankwanzi-24h'!J38,'22.10 bukomero-Kyankwanzi'!J38,'23.10 bukomero-Kyankwanzi'!J38)</f>
        <v>0</v>
      </c>
      <c r="K38" s="49">
        <f>AVERAGE('17.10 bukomero-Kyankwanzi'!K38,'18.10 bukomero-Kyankwanzi'!K38,'19.10 bukomero-Kyankwanzi-24h'!K38,'20.10 bukomero-Kyankwanzi'!K38,'21.10 bukomero-Kyankwanzi-24h'!K38,'22.10 bukomero-Kyankwanzi'!K38,'23.10 bukomero-Kyankwanzi'!K38)</f>
        <v>0</v>
      </c>
      <c r="L38" s="49">
        <f>AVERAGE('17.10 bukomero-Kyankwanzi'!L38,'18.10 bukomero-Kyankwanzi'!L38,'19.10 bukomero-Kyankwanzi-24h'!L38,'20.10 bukomero-Kyankwanzi'!L38,'21.10 bukomero-Kyankwanzi-24h'!L38,'22.10 bukomero-Kyankwanzi'!L38,'23.10 bukomero-Kyankwanzi'!L38)</f>
        <v>0</v>
      </c>
      <c r="M38" s="49">
        <f>AVERAGE('17.10 bukomero-Kyankwanzi'!M38,'18.10 bukomero-Kyankwanzi'!M38,'19.10 bukomero-Kyankwanzi-24h'!M38,'20.10 bukomero-Kyankwanzi'!M38,'21.10 bukomero-Kyankwanzi-24h'!M38,'22.10 bukomero-Kyankwanzi'!M38,'23.10 bukomero-Kyankwanzi'!M38)</f>
        <v>12.857142857142858</v>
      </c>
      <c r="N38" s="49">
        <f>AVERAGE('17.10 bukomero-Kyankwanzi'!N38,'18.10 bukomero-Kyankwanzi'!N38,'19.10 bukomero-Kyankwanzi-24h'!N38,'20.10 bukomero-Kyankwanzi'!N38,'21.10 bukomero-Kyankwanzi-24h'!N38,'22.10 bukomero-Kyankwanzi'!N38,'23.10 bukomero-Kyankwanzi'!N38)</f>
        <v>0</v>
      </c>
      <c r="O38" s="15">
        <f t="shared" si="0"/>
        <v>1.5714285714285716</v>
      </c>
      <c r="P38" s="15">
        <f t="shared" si="1"/>
        <v>14.428571428571429</v>
      </c>
      <c r="R38" s="28" t="s">
        <v>86</v>
      </c>
      <c r="S38" s="16">
        <f t="shared" ref="S38:AF38" si="30">SUM(S13:S18)</f>
        <v>8.1428571428571423</v>
      </c>
      <c r="T38" s="16">
        <f t="shared" si="30"/>
        <v>3.8571428571428568</v>
      </c>
      <c r="U38" s="16">
        <f t="shared" si="30"/>
        <v>2.714285714285714</v>
      </c>
      <c r="V38" s="16">
        <f t="shared" si="30"/>
        <v>0.8571428571428571</v>
      </c>
      <c r="W38" s="16">
        <f t="shared" si="30"/>
        <v>0</v>
      </c>
      <c r="X38" s="16">
        <f t="shared" si="30"/>
        <v>0</v>
      </c>
      <c r="Y38" s="16">
        <f t="shared" si="30"/>
        <v>18</v>
      </c>
      <c r="Z38" s="16">
        <f t="shared" si="30"/>
        <v>1.9999999999999998</v>
      </c>
      <c r="AA38" s="16">
        <f t="shared" si="30"/>
        <v>0.42857142857142855</v>
      </c>
      <c r="AB38" s="16">
        <f t="shared" si="30"/>
        <v>0</v>
      </c>
      <c r="AC38" s="16">
        <f t="shared" si="30"/>
        <v>271.57142857142861</v>
      </c>
      <c r="AD38" s="16">
        <f t="shared" si="30"/>
        <v>0</v>
      </c>
      <c r="AE38" s="32">
        <f t="shared" si="30"/>
        <v>36</v>
      </c>
      <c r="AF38" s="32">
        <f t="shared" si="30"/>
        <v>307.57142857142856</v>
      </c>
    </row>
    <row r="39" spans="2:32" ht="23.1" customHeight="1" x14ac:dyDescent="0.25">
      <c r="B39" s="24" t="s">
        <v>66</v>
      </c>
      <c r="C39" s="49">
        <f>AVERAGE('17.10 bukomero-Kyankwanzi'!C39,'18.10 bukomero-Kyankwanzi'!C39,'19.10 bukomero-Kyankwanzi-24h'!C39,'20.10 bukomero-Kyankwanzi'!C39,'21.10 bukomero-Kyankwanzi-24h'!C39,'22.10 bukomero-Kyankwanzi'!C39,'23.10 bukomero-Kyankwanzi'!C39)</f>
        <v>0.14285714285714285</v>
      </c>
      <c r="D39" s="49">
        <f>AVERAGE('17.10 bukomero-Kyankwanzi'!D39,'18.10 bukomero-Kyankwanzi'!D39,'19.10 bukomero-Kyankwanzi-24h'!D39,'20.10 bukomero-Kyankwanzi'!D39,'21.10 bukomero-Kyankwanzi-24h'!D39,'22.10 bukomero-Kyankwanzi'!D39,'23.10 bukomero-Kyankwanzi'!D39)</f>
        <v>0.14285714285714285</v>
      </c>
      <c r="E39" s="49">
        <f>AVERAGE('17.10 bukomero-Kyankwanzi'!E39,'18.10 bukomero-Kyankwanzi'!E39,'19.10 bukomero-Kyankwanzi-24h'!E39,'20.10 bukomero-Kyankwanzi'!E39,'21.10 bukomero-Kyankwanzi-24h'!E39,'22.10 bukomero-Kyankwanzi'!E39,'23.10 bukomero-Kyankwanzi'!E39)</f>
        <v>0</v>
      </c>
      <c r="F39" s="49">
        <f>AVERAGE('17.10 bukomero-Kyankwanzi'!F39,'18.10 bukomero-Kyankwanzi'!F39,'19.10 bukomero-Kyankwanzi-24h'!F39,'20.10 bukomero-Kyankwanzi'!F39,'21.10 bukomero-Kyankwanzi-24h'!F39,'22.10 bukomero-Kyankwanzi'!F39,'23.10 bukomero-Kyankwanzi'!F39)</f>
        <v>0.14285714285714285</v>
      </c>
      <c r="G39" s="49">
        <f>AVERAGE('17.10 bukomero-Kyankwanzi'!G39,'18.10 bukomero-Kyankwanzi'!G39,'19.10 bukomero-Kyankwanzi-24h'!G39,'20.10 bukomero-Kyankwanzi'!G39,'21.10 bukomero-Kyankwanzi-24h'!G39,'22.10 bukomero-Kyankwanzi'!G39,'23.10 bukomero-Kyankwanzi'!G39)</f>
        <v>0</v>
      </c>
      <c r="H39" s="49">
        <f>AVERAGE('17.10 bukomero-Kyankwanzi'!H39,'18.10 bukomero-Kyankwanzi'!H39,'19.10 bukomero-Kyankwanzi-24h'!H39,'20.10 bukomero-Kyankwanzi'!H39,'21.10 bukomero-Kyankwanzi-24h'!H39,'22.10 bukomero-Kyankwanzi'!H39,'23.10 bukomero-Kyankwanzi'!H39)</f>
        <v>0</v>
      </c>
      <c r="I39" s="49">
        <f>AVERAGE('17.10 bukomero-Kyankwanzi'!I39,'18.10 bukomero-Kyankwanzi'!I39,'19.10 bukomero-Kyankwanzi-24h'!I39,'20.10 bukomero-Kyankwanzi'!I39,'21.10 bukomero-Kyankwanzi-24h'!I39,'22.10 bukomero-Kyankwanzi'!I39,'23.10 bukomero-Kyankwanzi'!I39)</f>
        <v>1</v>
      </c>
      <c r="J39" s="49">
        <f>AVERAGE('17.10 bukomero-Kyankwanzi'!J39,'18.10 bukomero-Kyankwanzi'!J39,'19.10 bukomero-Kyankwanzi-24h'!J39,'20.10 bukomero-Kyankwanzi'!J39,'21.10 bukomero-Kyankwanzi-24h'!J39,'22.10 bukomero-Kyankwanzi'!J39,'23.10 bukomero-Kyankwanzi'!J39)</f>
        <v>0.42857142857142855</v>
      </c>
      <c r="K39" s="49">
        <f>AVERAGE('17.10 bukomero-Kyankwanzi'!K39,'18.10 bukomero-Kyankwanzi'!K39,'19.10 bukomero-Kyankwanzi-24h'!K39,'20.10 bukomero-Kyankwanzi'!K39,'21.10 bukomero-Kyankwanzi-24h'!K39,'22.10 bukomero-Kyankwanzi'!K39,'23.10 bukomero-Kyankwanzi'!K39)</f>
        <v>0</v>
      </c>
      <c r="L39" s="49">
        <f>AVERAGE('17.10 bukomero-Kyankwanzi'!L39,'18.10 bukomero-Kyankwanzi'!L39,'19.10 bukomero-Kyankwanzi-24h'!L39,'20.10 bukomero-Kyankwanzi'!L39,'21.10 bukomero-Kyankwanzi-24h'!L39,'22.10 bukomero-Kyankwanzi'!L39,'23.10 bukomero-Kyankwanzi'!L39)</f>
        <v>0</v>
      </c>
      <c r="M39" s="49">
        <f>AVERAGE('17.10 bukomero-Kyankwanzi'!M39,'18.10 bukomero-Kyankwanzi'!M39,'19.10 bukomero-Kyankwanzi-24h'!M39,'20.10 bukomero-Kyankwanzi'!M39,'21.10 bukomero-Kyankwanzi-24h'!M39,'22.10 bukomero-Kyankwanzi'!M39,'23.10 bukomero-Kyankwanzi'!M39)</f>
        <v>13.285714285714286</v>
      </c>
      <c r="N39" s="49">
        <f>AVERAGE('17.10 bukomero-Kyankwanzi'!N39,'18.10 bukomero-Kyankwanzi'!N39,'19.10 bukomero-Kyankwanzi-24h'!N39,'20.10 bukomero-Kyankwanzi'!N39,'21.10 bukomero-Kyankwanzi-24h'!N39,'22.10 bukomero-Kyankwanzi'!N39,'23.10 bukomero-Kyankwanzi'!N39)</f>
        <v>0</v>
      </c>
      <c r="O39" s="15">
        <f t="shared" si="0"/>
        <v>1.8571428571428572</v>
      </c>
      <c r="P39" s="15">
        <f t="shared" si="1"/>
        <v>15.142857142857144</v>
      </c>
      <c r="R39" s="29" t="s">
        <v>87</v>
      </c>
      <c r="S39" s="16">
        <f t="shared" ref="S39:AF39" si="31">SUM(S19:S21)</f>
        <v>5.7142857142857135</v>
      </c>
      <c r="T39" s="16">
        <f t="shared" si="31"/>
        <v>1.2857142857142856</v>
      </c>
      <c r="U39" s="16">
        <f t="shared" si="31"/>
        <v>3.2857142857142856</v>
      </c>
      <c r="V39" s="16">
        <f t="shared" si="31"/>
        <v>1.4285714285714284</v>
      </c>
      <c r="W39" s="16">
        <f t="shared" si="31"/>
        <v>0</v>
      </c>
      <c r="X39" s="16">
        <f t="shared" si="31"/>
        <v>0</v>
      </c>
      <c r="Y39" s="16">
        <f t="shared" si="31"/>
        <v>8</v>
      </c>
      <c r="Z39" s="16">
        <f t="shared" si="31"/>
        <v>1.5714285714285712</v>
      </c>
      <c r="AA39" s="16">
        <f t="shared" si="31"/>
        <v>0.2857142857142857</v>
      </c>
      <c r="AB39" s="16">
        <f t="shared" si="31"/>
        <v>0</v>
      </c>
      <c r="AC39" s="16">
        <f t="shared" si="31"/>
        <v>171.42857142857144</v>
      </c>
      <c r="AD39" s="16">
        <f t="shared" si="31"/>
        <v>0</v>
      </c>
      <c r="AE39" s="32">
        <f t="shared" si="31"/>
        <v>21.571428571428569</v>
      </c>
      <c r="AF39" s="32">
        <f t="shared" si="31"/>
        <v>193</v>
      </c>
    </row>
    <row r="40" spans="2:32" ht="23.1" customHeight="1" x14ac:dyDescent="0.25">
      <c r="B40" s="24" t="s">
        <v>67</v>
      </c>
      <c r="C40" s="49">
        <f>AVERAGE('17.10 bukomero-Kyankwanzi'!C40,'18.10 bukomero-Kyankwanzi'!C40,'19.10 bukomero-Kyankwanzi-24h'!C40,'20.10 bukomero-Kyankwanzi'!C40,'21.10 bukomero-Kyankwanzi-24h'!C40,'22.10 bukomero-Kyankwanzi'!C40,'23.10 bukomero-Kyankwanzi'!C40)</f>
        <v>0.42857142857142855</v>
      </c>
      <c r="D40" s="49">
        <f>AVERAGE('17.10 bukomero-Kyankwanzi'!D40,'18.10 bukomero-Kyankwanzi'!D40,'19.10 bukomero-Kyankwanzi-24h'!D40,'20.10 bukomero-Kyankwanzi'!D40,'21.10 bukomero-Kyankwanzi-24h'!D40,'22.10 bukomero-Kyankwanzi'!D40,'23.10 bukomero-Kyankwanzi'!D40)</f>
        <v>0.2857142857142857</v>
      </c>
      <c r="E40" s="49">
        <f>AVERAGE('17.10 bukomero-Kyankwanzi'!E40,'18.10 bukomero-Kyankwanzi'!E40,'19.10 bukomero-Kyankwanzi-24h'!E40,'20.10 bukomero-Kyankwanzi'!E40,'21.10 bukomero-Kyankwanzi-24h'!E40,'22.10 bukomero-Kyankwanzi'!E40,'23.10 bukomero-Kyankwanzi'!E40)</f>
        <v>0.2857142857142857</v>
      </c>
      <c r="F40" s="49">
        <f>AVERAGE('17.10 bukomero-Kyankwanzi'!F40,'18.10 bukomero-Kyankwanzi'!F40,'19.10 bukomero-Kyankwanzi-24h'!F40,'20.10 bukomero-Kyankwanzi'!F40,'21.10 bukomero-Kyankwanzi-24h'!F40,'22.10 bukomero-Kyankwanzi'!F40,'23.10 bukomero-Kyankwanzi'!F40)</f>
        <v>0</v>
      </c>
      <c r="G40" s="49">
        <f>AVERAGE('17.10 bukomero-Kyankwanzi'!G40,'18.10 bukomero-Kyankwanzi'!G40,'19.10 bukomero-Kyankwanzi-24h'!G40,'20.10 bukomero-Kyankwanzi'!G40,'21.10 bukomero-Kyankwanzi-24h'!G40,'22.10 bukomero-Kyankwanzi'!G40,'23.10 bukomero-Kyankwanzi'!G40)</f>
        <v>0</v>
      </c>
      <c r="H40" s="49">
        <f>AVERAGE('17.10 bukomero-Kyankwanzi'!H40,'18.10 bukomero-Kyankwanzi'!H40,'19.10 bukomero-Kyankwanzi-24h'!H40,'20.10 bukomero-Kyankwanzi'!H40,'21.10 bukomero-Kyankwanzi-24h'!H40,'22.10 bukomero-Kyankwanzi'!H40,'23.10 bukomero-Kyankwanzi'!H40)</f>
        <v>0</v>
      </c>
      <c r="I40" s="49">
        <f>AVERAGE('17.10 bukomero-Kyankwanzi'!I40,'18.10 bukomero-Kyankwanzi'!I40,'19.10 bukomero-Kyankwanzi-24h'!I40,'20.10 bukomero-Kyankwanzi'!I40,'21.10 bukomero-Kyankwanzi-24h'!I40,'22.10 bukomero-Kyankwanzi'!I40,'23.10 bukomero-Kyankwanzi'!I40)</f>
        <v>1.1428571428571428</v>
      </c>
      <c r="J40" s="49">
        <f>AVERAGE('17.10 bukomero-Kyankwanzi'!J40,'18.10 bukomero-Kyankwanzi'!J40,'19.10 bukomero-Kyankwanzi-24h'!J40,'20.10 bukomero-Kyankwanzi'!J40,'21.10 bukomero-Kyankwanzi-24h'!J40,'22.10 bukomero-Kyankwanzi'!J40,'23.10 bukomero-Kyankwanzi'!J40)</f>
        <v>0</v>
      </c>
      <c r="K40" s="49">
        <f>AVERAGE('17.10 bukomero-Kyankwanzi'!K40,'18.10 bukomero-Kyankwanzi'!K40,'19.10 bukomero-Kyankwanzi-24h'!K40,'20.10 bukomero-Kyankwanzi'!K40,'21.10 bukomero-Kyankwanzi-24h'!K40,'22.10 bukomero-Kyankwanzi'!K40,'23.10 bukomero-Kyankwanzi'!K40)</f>
        <v>0.14285714285714285</v>
      </c>
      <c r="L40" s="49">
        <f>AVERAGE('17.10 bukomero-Kyankwanzi'!L40,'18.10 bukomero-Kyankwanzi'!L40,'19.10 bukomero-Kyankwanzi-24h'!L40,'20.10 bukomero-Kyankwanzi'!L40,'21.10 bukomero-Kyankwanzi-24h'!L40,'22.10 bukomero-Kyankwanzi'!L40,'23.10 bukomero-Kyankwanzi'!L40)</f>
        <v>0</v>
      </c>
      <c r="M40" s="49">
        <f>AVERAGE('17.10 bukomero-Kyankwanzi'!M40,'18.10 bukomero-Kyankwanzi'!M40,'19.10 bukomero-Kyankwanzi-24h'!M40,'20.10 bukomero-Kyankwanzi'!M40,'21.10 bukomero-Kyankwanzi-24h'!M40,'22.10 bukomero-Kyankwanzi'!M40,'23.10 bukomero-Kyankwanzi'!M40)</f>
        <v>12.428571428571429</v>
      </c>
      <c r="N40" s="49">
        <f>AVERAGE('17.10 bukomero-Kyankwanzi'!N40,'18.10 bukomero-Kyankwanzi'!N40,'19.10 bukomero-Kyankwanzi-24h'!N40,'20.10 bukomero-Kyankwanzi'!N40,'21.10 bukomero-Kyankwanzi-24h'!N40,'22.10 bukomero-Kyankwanzi'!N40,'23.10 bukomero-Kyankwanzi'!N40)</f>
        <v>0</v>
      </c>
      <c r="O40" s="15">
        <f t="shared" si="0"/>
        <v>2.2857142857142856</v>
      </c>
      <c r="P40" s="15">
        <f t="shared" si="1"/>
        <v>14.714285714285715</v>
      </c>
      <c r="R40" s="5" t="s">
        <v>17</v>
      </c>
      <c r="S40" s="16">
        <f t="shared" ref="S40:AF40" si="32">SUM(S10:S21)</f>
        <v>18.857142857142854</v>
      </c>
      <c r="T40" s="16">
        <f t="shared" si="32"/>
        <v>6</v>
      </c>
      <c r="U40" s="16">
        <f t="shared" si="32"/>
        <v>7.7142857142857135</v>
      </c>
      <c r="V40" s="16">
        <f t="shared" si="32"/>
        <v>5.8571428571428559</v>
      </c>
      <c r="W40" s="16">
        <f t="shared" si="32"/>
        <v>0.2857142857142857</v>
      </c>
      <c r="X40" s="16">
        <f t="shared" si="32"/>
        <v>0</v>
      </c>
      <c r="Y40" s="16">
        <f t="shared" si="32"/>
        <v>34.428571428571431</v>
      </c>
      <c r="Z40" s="16">
        <f t="shared" si="32"/>
        <v>3.8571428571428568</v>
      </c>
      <c r="AA40" s="16">
        <f t="shared" si="32"/>
        <v>0.85714285714285698</v>
      </c>
      <c r="AB40" s="16">
        <f t="shared" si="32"/>
        <v>0</v>
      </c>
      <c r="AC40" s="16">
        <f t="shared" si="32"/>
        <v>550.71428571428567</v>
      </c>
      <c r="AD40" s="16">
        <f t="shared" si="32"/>
        <v>0.14285714285714285</v>
      </c>
      <c r="AE40" s="32">
        <f t="shared" si="32"/>
        <v>78</v>
      </c>
      <c r="AF40" s="32">
        <f t="shared" si="32"/>
        <v>628.71428571428578</v>
      </c>
    </row>
    <row r="41" spans="2:32" ht="23.1" customHeight="1" x14ac:dyDescent="0.25">
      <c r="B41" s="23" t="s">
        <v>68</v>
      </c>
      <c r="C41" s="49">
        <f>AVERAGE('17.10 bukomero-Kyankwanzi'!C41,'18.10 bukomero-Kyankwanzi'!C41,'19.10 bukomero-Kyankwanzi-24h'!C41,'20.10 bukomero-Kyankwanzi'!C41,'21.10 bukomero-Kyankwanzi-24h'!C41,'22.10 bukomero-Kyankwanzi'!C41,'23.10 bukomero-Kyankwanzi'!C41)</f>
        <v>0.5714285714285714</v>
      </c>
      <c r="D41" s="49">
        <f>AVERAGE('17.10 bukomero-Kyankwanzi'!D41,'18.10 bukomero-Kyankwanzi'!D41,'19.10 bukomero-Kyankwanzi-24h'!D41,'20.10 bukomero-Kyankwanzi'!D41,'21.10 bukomero-Kyankwanzi-24h'!D41,'22.10 bukomero-Kyankwanzi'!D41,'23.10 bukomero-Kyankwanzi'!D41)</f>
        <v>0</v>
      </c>
      <c r="E41" s="49">
        <f>AVERAGE('17.10 bukomero-Kyankwanzi'!E41,'18.10 bukomero-Kyankwanzi'!E41,'19.10 bukomero-Kyankwanzi-24h'!E41,'20.10 bukomero-Kyankwanzi'!E41,'21.10 bukomero-Kyankwanzi-24h'!E41,'22.10 bukomero-Kyankwanzi'!E41,'23.10 bukomero-Kyankwanzi'!E41)</f>
        <v>0</v>
      </c>
      <c r="F41" s="49">
        <f>AVERAGE('17.10 bukomero-Kyankwanzi'!F41,'18.10 bukomero-Kyankwanzi'!F41,'19.10 bukomero-Kyankwanzi-24h'!F41,'20.10 bukomero-Kyankwanzi'!F41,'21.10 bukomero-Kyankwanzi-24h'!F41,'22.10 bukomero-Kyankwanzi'!F41,'23.10 bukomero-Kyankwanzi'!F41)</f>
        <v>0</v>
      </c>
      <c r="G41" s="49">
        <f>AVERAGE('17.10 bukomero-Kyankwanzi'!G41,'18.10 bukomero-Kyankwanzi'!G41,'19.10 bukomero-Kyankwanzi-24h'!G41,'20.10 bukomero-Kyankwanzi'!G41,'21.10 bukomero-Kyankwanzi-24h'!G41,'22.10 bukomero-Kyankwanzi'!G41,'23.10 bukomero-Kyankwanzi'!G41)</f>
        <v>0</v>
      </c>
      <c r="H41" s="49">
        <f>AVERAGE('17.10 bukomero-Kyankwanzi'!H41,'18.10 bukomero-Kyankwanzi'!H41,'19.10 bukomero-Kyankwanzi-24h'!H41,'20.10 bukomero-Kyankwanzi'!H41,'21.10 bukomero-Kyankwanzi-24h'!H41,'22.10 bukomero-Kyankwanzi'!H41,'23.10 bukomero-Kyankwanzi'!H41)</f>
        <v>0</v>
      </c>
      <c r="I41" s="49">
        <f>AVERAGE('17.10 bukomero-Kyankwanzi'!I41,'18.10 bukomero-Kyankwanzi'!I41,'19.10 bukomero-Kyankwanzi-24h'!I41,'20.10 bukomero-Kyankwanzi'!I41,'21.10 bukomero-Kyankwanzi-24h'!I41,'22.10 bukomero-Kyankwanzi'!I41,'23.10 bukomero-Kyankwanzi'!I41)</f>
        <v>1</v>
      </c>
      <c r="J41" s="49">
        <f>AVERAGE('17.10 bukomero-Kyankwanzi'!J41,'18.10 bukomero-Kyankwanzi'!J41,'19.10 bukomero-Kyankwanzi-24h'!J41,'20.10 bukomero-Kyankwanzi'!J41,'21.10 bukomero-Kyankwanzi-24h'!J41,'22.10 bukomero-Kyankwanzi'!J41,'23.10 bukomero-Kyankwanzi'!J41)</f>
        <v>0.14285714285714285</v>
      </c>
      <c r="K41" s="49">
        <f>AVERAGE('17.10 bukomero-Kyankwanzi'!K41,'18.10 bukomero-Kyankwanzi'!K41,'19.10 bukomero-Kyankwanzi-24h'!K41,'20.10 bukomero-Kyankwanzi'!K41,'21.10 bukomero-Kyankwanzi-24h'!K41,'22.10 bukomero-Kyankwanzi'!K41,'23.10 bukomero-Kyankwanzi'!K41)</f>
        <v>0</v>
      </c>
      <c r="L41" s="49">
        <f>AVERAGE('17.10 bukomero-Kyankwanzi'!L41,'18.10 bukomero-Kyankwanzi'!L41,'19.10 bukomero-Kyankwanzi-24h'!L41,'20.10 bukomero-Kyankwanzi'!L41,'21.10 bukomero-Kyankwanzi-24h'!L41,'22.10 bukomero-Kyankwanzi'!L41,'23.10 bukomero-Kyankwanzi'!L41)</f>
        <v>0</v>
      </c>
      <c r="M41" s="49">
        <f>AVERAGE('17.10 bukomero-Kyankwanzi'!M41,'18.10 bukomero-Kyankwanzi'!M41,'19.10 bukomero-Kyankwanzi-24h'!M41,'20.10 bukomero-Kyankwanzi'!M41,'21.10 bukomero-Kyankwanzi-24h'!M41,'22.10 bukomero-Kyankwanzi'!M41,'23.10 bukomero-Kyankwanzi'!M41)</f>
        <v>12.285714285714286</v>
      </c>
      <c r="N41" s="49">
        <f>AVERAGE('17.10 bukomero-Kyankwanzi'!N41,'18.10 bukomero-Kyankwanzi'!N41,'19.10 bukomero-Kyankwanzi-24h'!N41,'20.10 bukomero-Kyankwanzi'!N41,'21.10 bukomero-Kyankwanzi-24h'!N41,'22.10 bukomero-Kyankwanzi'!N41,'23.10 bukomero-Kyankwanzi'!N41)</f>
        <v>0</v>
      </c>
      <c r="O41" s="15">
        <f t="shared" si="0"/>
        <v>1.7142857142857142</v>
      </c>
      <c r="P41" s="15">
        <f t="shared" si="1"/>
        <v>14</v>
      </c>
      <c r="R41" s="5" t="s">
        <v>178</v>
      </c>
      <c r="S41" s="52">
        <f>SUM(S10:S33)</f>
        <v>27.857142857142854</v>
      </c>
      <c r="T41" s="52">
        <f t="shared" ref="T41:AD41" si="33">SUM(T10:T33)</f>
        <v>8.5</v>
      </c>
      <c r="U41" s="52">
        <f t="shared" si="33"/>
        <v>8.2142857142857135</v>
      </c>
      <c r="V41" s="52">
        <f t="shared" si="33"/>
        <v>7.8571428571428559</v>
      </c>
      <c r="W41" s="52">
        <f t="shared" si="33"/>
        <v>0.2857142857142857</v>
      </c>
      <c r="X41" s="52">
        <f t="shared" si="33"/>
        <v>0</v>
      </c>
      <c r="Y41" s="52">
        <f t="shared" si="33"/>
        <v>60.428571428571431</v>
      </c>
      <c r="Z41" s="52">
        <f t="shared" si="33"/>
        <v>10.357142857142858</v>
      </c>
      <c r="AA41" s="52">
        <f t="shared" si="33"/>
        <v>1.857142857142857</v>
      </c>
      <c r="AB41" s="52">
        <f t="shared" si="33"/>
        <v>0</v>
      </c>
      <c r="AC41" s="52">
        <f t="shared" si="33"/>
        <v>716.71428571428567</v>
      </c>
      <c r="AD41" s="52">
        <f t="shared" si="33"/>
        <v>2.1428571428571428</v>
      </c>
      <c r="AE41" s="53">
        <f>SUM(AE10:AE33)</f>
        <v>127.5</v>
      </c>
      <c r="AF41" s="53">
        <f>SUM(AF10:AF33)</f>
        <v>844.21428571428578</v>
      </c>
    </row>
    <row r="42" spans="2:32" ht="23.1" customHeight="1" x14ac:dyDescent="0.25">
      <c r="B42" s="24" t="s">
        <v>69</v>
      </c>
      <c r="C42" s="49">
        <f>AVERAGE('17.10 bukomero-Kyankwanzi'!C42,'18.10 bukomero-Kyankwanzi'!C42,'19.10 bukomero-Kyankwanzi-24h'!C42,'20.10 bukomero-Kyankwanzi'!C42,'21.10 bukomero-Kyankwanzi-24h'!C42,'22.10 bukomero-Kyankwanzi'!C42,'23.10 bukomero-Kyankwanzi'!C42)</f>
        <v>0.42857142857142855</v>
      </c>
      <c r="D42" s="49">
        <f>AVERAGE('17.10 bukomero-Kyankwanzi'!D42,'18.10 bukomero-Kyankwanzi'!D42,'19.10 bukomero-Kyankwanzi-24h'!D42,'20.10 bukomero-Kyankwanzi'!D42,'21.10 bukomero-Kyankwanzi-24h'!D42,'22.10 bukomero-Kyankwanzi'!D42,'23.10 bukomero-Kyankwanzi'!D42)</f>
        <v>0.2857142857142857</v>
      </c>
      <c r="E42" s="49">
        <f>AVERAGE('17.10 bukomero-Kyankwanzi'!E42,'18.10 bukomero-Kyankwanzi'!E42,'19.10 bukomero-Kyankwanzi-24h'!E42,'20.10 bukomero-Kyankwanzi'!E42,'21.10 bukomero-Kyankwanzi-24h'!E42,'22.10 bukomero-Kyankwanzi'!E42,'23.10 bukomero-Kyankwanzi'!E42)</f>
        <v>0.14285714285714285</v>
      </c>
      <c r="F42" s="49">
        <f>AVERAGE('17.10 bukomero-Kyankwanzi'!F42,'18.10 bukomero-Kyankwanzi'!F42,'19.10 bukomero-Kyankwanzi-24h'!F42,'20.10 bukomero-Kyankwanzi'!F42,'21.10 bukomero-Kyankwanzi-24h'!F42,'22.10 bukomero-Kyankwanzi'!F42,'23.10 bukomero-Kyankwanzi'!F42)</f>
        <v>0</v>
      </c>
      <c r="G42" s="49">
        <f>AVERAGE('17.10 bukomero-Kyankwanzi'!G42,'18.10 bukomero-Kyankwanzi'!G42,'19.10 bukomero-Kyankwanzi-24h'!G42,'20.10 bukomero-Kyankwanzi'!G42,'21.10 bukomero-Kyankwanzi-24h'!G42,'22.10 bukomero-Kyankwanzi'!G42,'23.10 bukomero-Kyankwanzi'!G42)</f>
        <v>0</v>
      </c>
      <c r="H42" s="49">
        <f>AVERAGE('17.10 bukomero-Kyankwanzi'!H42,'18.10 bukomero-Kyankwanzi'!H42,'19.10 bukomero-Kyankwanzi-24h'!H42,'20.10 bukomero-Kyankwanzi'!H42,'21.10 bukomero-Kyankwanzi-24h'!H42,'22.10 bukomero-Kyankwanzi'!H42,'23.10 bukomero-Kyankwanzi'!H42)</f>
        <v>0</v>
      </c>
      <c r="I42" s="49">
        <f>AVERAGE('17.10 bukomero-Kyankwanzi'!I42,'18.10 bukomero-Kyankwanzi'!I42,'19.10 bukomero-Kyankwanzi-24h'!I42,'20.10 bukomero-Kyankwanzi'!I42,'21.10 bukomero-Kyankwanzi-24h'!I42,'22.10 bukomero-Kyankwanzi'!I42,'23.10 bukomero-Kyankwanzi'!I42)</f>
        <v>0.7142857142857143</v>
      </c>
      <c r="J42" s="49">
        <f>AVERAGE('17.10 bukomero-Kyankwanzi'!J42,'18.10 bukomero-Kyankwanzi'!J42,'19.10 bukomero-Kyankwanzi-24h'!J42,'20.10 bukomero-Kyankwanzi'!J42,'21.10 bukomero-Kyankwanzi-24h'!J42,'22.10 bukomero-Kyankwanzi'!J42,'23.10 bukomero-Kyankwanzi'!J42)</f>
        <v>0.2857142857142857</v>
      </c>
      <c r="K42" s="49">
        <f>AVERAGE('17.10 bukomero-Kyankwanzi'!K42,'18.10 bukomero-Kyankwanzi'!K42,'19.10 bukomero-Kyankwanzi-24h'!K42,'20.10 bukomero-Kyankwanzi'!K42,'21.10 bukomero-Kyankwanzi-24h'!K42,'22.10 bukomero-Kyankwanzi'!K42,'23.10 bukomero-Kyankwanzi'!K42)</f>
        <v>0</v>
      </c>
      <c r="L42" s="49">
        <f>AVERAGE('17.10 bukomero-Kyankwanzi'!L42,'18.10 bukomero-Kyankwanzi'!L42,'19.10 bukomero-Kyankwanzi-24h'!L42,'20.10 bukomero-Kyankwanzi'!L42,'21.10 bukomero-Kyankwanzi-24h'!L42,'22.10 bukomero-Kyankwanzi'!L42,'23.10 bukomero-Kyankwanzi'!L42)</f>
        <v>0</v>
      </c>
      <c r="M42" s="49">
        <f>AVERAGE('17.10 bukomero-Kyankwanzi'!M42,'18.10 bukomero-Kyankwanzi'!M42,'19.10 bukomero-Kyankwanzi-24h'!M42,'20.10 bukomero-Kyankwanzi'!M42,'21.10 bukomero-Kyankwanzi-24h'!M42,'22.10 bukomero-Kyankwanzi'!M42,'23.10 bukomero-Kyankwanzi'!M42)</f>
        <v>12.142857142857142</v>
      </c>
      <c r="N42" s="49">
        <f>AVERAGE('17.10 bukomero-Kyankwanzi'!N42,'18.10 bukomero-Kyankwanzi'!N42,'19.10 bukomero-Kyankwanzi-24h'!N42,'20.10 bukomero-Kyankwanzi'!N42,'21.10 bukomero-Kyankwanzi-24h'!N42,'22.10 bukomero-Kyankwanzi'!N42,'23.10 bukomero-Kyankwanzi'!N42)</f>
        <v>0</v>
      </c>
      <c r="O42" s="15">
        <f t="shared" si="0"/>
        <v>1.8571428571428568</v>
      </c>
      <c r="P42" s="15">
        <f t="shared" si="1"/>
        <v>14</v>
      </c>
      <c r="R42" s="5" t="s">
        <v>160</v>
      </c>
      <c r="S42" s="48">
        <f>S41/S40</f>
        <v>1.4772727272727273</v>
      </c>
      <c r="T42" s="48">
        <f t="shared" ref="T42:AF42" si="34">T41/T40</f>
        <v>1.4166666666666667</v>
      </c>
      <c r="U42" s="48">
        <f t="shared" si="34"/>
        <v>1.0648148148148149</v>
      </c>
      <c r="V42" s="48">
        <f t="shared" si="34"/>
        <v>1.3414634146341464</v>
      </c>
      <c r="W42" s="48">
        <f t="shared" si="34"/>
        <v>1</v>
      </c>
      <c r="X42" s="48">
        <v>0</v>
      </c>
      <c r="Y42" s="48">
        <f t="shared" si="34"/>
        <v>1.7551867219917012</v>
      </c>
      <c r="Z42" s="48">
        <f t="shared" si="34"/>
        <v>2.6851851851851856</v>
      </c>
      <c r="AA42" s="48">
        <f t="shared" si="34"/>
        <v>2.166666666666667</v>
      </c>
      <c r="AB42" s="48">
        <v>0</v>
      </c>
      <c r="AC42" s="48">
        <f t="shared" si="34"/>
        <v>1.3014267185473412</v>
      </c>
      <c r="AD42" s="48">
        <f t="shared" si="34"/>
        <v>15</v>
      </c>
      <c r="AE42" s="51">
        <f t="shared" si="34"/>
        <v>1.6346153846153846</v>
      </c>
      <c r="AF42" s="51">
        <f t="shared" si="34"/>
        <v>1.3427630084071802</v>
      </c>
    </row>
    <row r="43" spans="2:32" ht="23.1" customHeight="1" x14ac:dyDescent="0.25">
      <c r="B43" s="23" t="s">
        <v>70</v>
      </c>
      <c r="C43" s="49">
        <f>AVERAGE('17.10 bukomero-Kyankwanzi'!C43,'18.10 bukomero-Kyankwanzi'!C43,'19.10 bukomero-Kyankwanzi-24h'!C43,'20.10 bukomero-Kyankwanzi'!C43,'21.10 bukomero-Kyankwanzi-24h'!C43,'22.10 bukomero-Kyankwanzi'!C43,'23.10 bukomero-Kyankwanzi'!C43)</f>
        <v>0.14285714285714285</v>
      </c>
      <c r="D43" s="49">
        <f>AVERAGE('17.10 bukomero-Kyankwanzi'!D43,'18.10 bukomero-Kyankwanzi'!D43,'19.10 bukomero-Kyankwanzi-24h'!D43,'20.10 bukomero-Kyankwanzi'!D43,'21.10 bukomero-Kyankwanzi-24h'!D43,'22.10 bukomero-Kyankwanzi'!D43,'23.10 bukomero-Kyankwanzi'!D43)</f>
        <v>0.14285714285714285</v>
      </c>
      <c r="E43" s="49">
        <f>AVERAGE('17.10 bukomero-Kyankwanzi'!E43,'18.10 bukomero-Kyankwanzi'!E43,'19.10 bukomero-Kyankwanzi-24h'!E43,'20.10 bukomero-Kyankwanzi'!E43,'21.10 bukomero-Kyankwanzi-24h'!E43,'22.10 bukomero-Kyankwanzi'!E43,'23.10 bukomero-Kyankwanzi'!E43)</f>
        <v>0.14285714285714285</v>
      </c>
      <c r="F43" s="49">
        <f>AVERAGE('17.10 bukomero-Kyankwanzi'!F43,'18.10 bukomero-Kyankwanzi'!F43,'19.10 bukomero-Kyankwanzi-24h'!F43,'20.10 bukomero-Kyankwanzi'!F43,'21.10 bukomero-Kyankwanzi-24h'!F43,'22.10 bukomero-Kyankwanzi'!F43,'23.10 bukomero-Kyankwanzi'!F43)</f>
        <v>0.14285714285714285</v>
      </c>
      <c r="G43" s="49">
        <f>AVERAGE('17.10 bukomero-Kyankwanzi'!G43,'18.10 bukomero-Kyankwanzi'!G43,'19.10 bukomero-Kyankwanzi-24h'!G43,'20.10 bukomero-Kyankwanzi'!G43,'21.10 bukomero-Kyankwanzi-24h'!G43,'22.10 bukomero-Kyankwanzi'!G43,'23.10 bukomero-Kyankwanzi'!G43)</f>
        <v>0</v>
      </c>
      <c r="H43" s="49">
        <f>AVERAGE('17.10 bukomero-Kyankwanzi'!H43,'18.10 bukomero-Kyankwanzi'!H43,'19.10 bukomero-Kyankwanzi-24h'!H43,'20.10 bukomero-Kyankwanzi'!H43,'21.10 bukomero-Kyankwanzi-24h'!H43,'22.10 bukomero-Kyankwanzi'!H43,'23.10 bukomero-Kyankwanzi'!H43)</f>
        <v>0</v>
      </c>
      <c r="I43" s="49">
        <f>AVERAGE('17.10 bukomero-Kyankwanzi'!I43,'18.10 bukomero-Kyankwanzi'!I43,'19.10 bukomero-Kyankwanzi-24h'!I43,'20.10 bukomero-Kyankwanzi'!I43,'21.10 bukomero-Kyankwanzi-24h'!I43,'22.10 bukomero-Kyankwanzi'!I43,'23.10 bukomero-Kyankwanzi'!I43)</f>
        <v>0.7142857142857143</v>
      </c>
      <c r="J43" s="49">
        <f>AVERAGE('17.10 bukomero-Kyankwanzi'!J43,'18.10 bukomero-Kyankwanzi'!J43,'19.10 bukomero-Kyankwanzi-24h'!J43,'20.10 bukomero-Kyankwanzi'!J43,'21.10 bukomero-Kyankwanzi-24h'!J43,'22.10 bukomero-Kyankwanzi'!J43,'23.10 bukomero-Kyankwanzi'!J43)</f>
        <v>0.14285714285714285</v>
      </c>
      <c r="K43" s="49">
        <f>AVERAGE('17.10 bukomero-Kyankwanzi'!K43,'18.10 bukomero-Kyankwanzi'!K43,'19.10 bukomero-Kyankwanzi-24h'!K43,'20.10 bukomero-Kyankwanzi'!K43,'21.10 bukomero-Kyankwanzi-24h'!K43,'22.10 bukomero-Kyankwanzi'!K43,'23.10 bukomero-Kyankwanzi'!K43)</f>
        <v>0</v>
      </c>
      <c r="L43" s="49">
        <f>AVERAGE('17.10 bukomero-Kyankwanzi'!L43,'18.10 bukomero-Kyankwanzi'!L43,'19.10 bukomero-Kyankwanzi-24h'!L43,'20.10 bukomero-Kyankwanzi'!L43,'21.10 bukomero-Kyankwanzi-24h'!L43,'22.10 bukomero-Kyankwanzi'!L43,'23.10 bukomero-Kyankwanzi'!L43)</f>
        <v>0</v>
      </c>
      <c r="M43" s="49">
        <f>AVERAGE('17.10 bukomero-Kyankwanzi'!M43,'18.10 bukomero-Kyankwanzi'!M43,'19.10 bukomero-Kyankwanzi-24h'!M43,'20.10 bukomero-Kyankwanzi'!M43,'21.10 bukomero-Kyankwanzi-24h'!M43,'22.10 bukomero-Kyankwanzi'!M43,'23.10 bukomero-Kyankwanzi'!M43)</f>
        <v>11.142857142857142</v>
      </c>
      <c r="N43" s="49">
        <f>AVERAGE('17.10 bukomero-Kyankwanzi'!N43,'18.10 bukomero-Kyankwanzi'!N43,'19.10 bukomero-Kyankwanzi-24h'!N43,'20.10 bukomero-Kyankwanzi'!N43,'21.10 bukomero-Kyankwanzi-24h'!N43,'22.10 bukomero-Kyankwanzi'!N43,'23.10 bukomero-Kyankwanzi'!N43)</f>
        <v>0</v>
      </c>
      <c r="O43" s="15">
        <f t="shared" si="0"/>
        <v>1.4285714285714284</v>
      </c>
      <c r="P43" s="15">
        <f t="shared" si="1"/>
        <v>12.571428571428571</v>
      </c>
    </row>
    <row r="44" spans="2:32" ht="23.1" customHeight="1" x14ac:dyDescent="0.25">
      <c r="B44" s="25" t="s">
        <v>71</v>
      </c>
      <c r="C44" s="49">
        <f>AVERAGE('17.10 bukomero-Kyankwanzi'!C44,'18.10 bukomero-Kyankwanzi'!C44,'19.10 bukomero-Kyankwanzi-24h'!C44,'20.10 bukomero-Kyankwanzi'!C44,'21.10 bukomero-Kyankwanzi-24h'!C44,'22.10 bukomero-Kyankwanzi'!C44,'23.10 bukomero-Kyankwanzi'!C44)</f>
        <v>0.7142857142857143</v>
      </c>
      <c r="D44" s="49">
        <f>AVERAGE('17.10 bukomero-Kyankwanzi'!D44,'18.10 bukomero-Kyankwanzi'!D44,'19.10 bukomero-Kyankwanzi-24h'!D44,'20.10 bukomero-Kyankwanzi'!D44,'21.10 bukomero-Kyankwanzi-24h'!D44,'22.10 bukomero-Kyankwanzi'!D44,'23.10 bukomero-Kyankwanzi'!D44)</f>
        <v>0</v>
      </c>
      <c r="E44" s="49">
        <f>AVERAGE('17.10 bukomero-Kyankwanzi'!E44,'18.10 bukomero-Kyankwanzi'!E44,'19.10 bukomero-Kyankwanzi-24h'!E44,'20.10 bukomero-Kyankwanzi'!E44,'21.10 bukomero-Kyankwanzi-24h'!E44,'22.10 bukomero-Kyankwanzi'!E44,'23.10 bukomero-Kyankwanzi'!E44)</f>
        <v>0.14285714285714285</v>
      </c>
      <c r="F44" s="49">
        <f>AVERAGE('17.10 bukomero-Kyankwanzi'!F44,'18.10 bukomero-Kyankwanzi'!F44,'19.10 bukomero-Kyankwanzi-24h'!F44,'20.10 bukomero-Kyankwanzi'!F44,'21.10 bukomero-Kyankwanzi-24h'!F44,'22.10 bukomero-Kyankwanzi'!F44,'23.10 bukomero-Kyankwanzi'!F44)</f>
        <v>0</v>
      </c>
      <c r="G44" s="49">
        <f>AVERAGE('17.10 bukomero-Kyankwanzi'!G44,'18.10 bukomero-Kyankwanzi'!G44,'19.10 bukomero-Kyankwanzi-24h'!G44,'20.10 bukomero-Kyankwanzi'!G44,'21.10 bukomero-Kyankwanzi-24h'!G44,'22.10 bukomero-Kyankwanzi'!G44,'23.10 bukomero-Kyankwanzi'!G44)</f>
        <v>0</v>
      </c>
      <c r="H44" s="49">
        <f>AVERAGE('17.10 bukomero-Kyankwanzi'!H44,'18.10 bukomero-Kyankwanzi'!H44,'19.10 bukomero-Kyankwanzi-24h'!H44,'20.10 bukomero-Kyankwanzi'!H44,'21.10 bukomero-Kyankwanzi-24h'!H44,'22.10 bukomero-Kyankwanzi'!H44,'23.10 bukomero-Kyankwanzi'!H44)</f>
        <v>0</v>
      </c>
      <c r="I44" s="49">
        <f>AVERAGE('17.10 bukomero-Kyankwanzi'!I44,'18.10 bukomero-Kyankwanzi'!I44,'19.10 bukomero-Kyankwanzi-24h'!I44,'20.10 bukomero-Kyankwanzi'!I44,'21.10 bukomero-Kyankwanzi-24h'!I44,'22.10 bukomero-Kyankwanzi'!I44,'23.10 bukomero-Kyankwanzi'!I44)</f>
        <v>0.8571428571428571</v>
      </c>
      <c r="J44" s="49">
        <f>AVERAGE('17.10 bukomero-Kyankwanzi'!J44,'18.10 bukomero-Kyankwanzi'!J44,'19.10 bukomero-Kyankwanzi-24h'!J44,'20.10 bukomero-Kyankwanzi'!J44,'21.10 bukomero-Kyankwanzi-24h'!J44,'22.10 bukomero-Kyankwanzi'!J44,'23.10 bukomero-Kyankwanzi'!J44)</f>
        <v>0.14285714285714285</v>
      </c>
      <c r="K44" s="49">
        <f>AVERAGE('17.10 bukomero-Kyankwanzi'!K44,'18.10 bukomero-Kyankwanzi'!K44,'19.10 bukomero-Kyankwanzi-24h'!K44,'20.10 bukomero-Kyankwanzi'!K44,'21.10 bukomero-Kyankwanzi-24h'!K44,'22.10 bukomero-Kyankwanzi'!K44,'23.10 bukomero-Kyankwanzi'!K44)</f>
        <v>0</v>
      </c>
      <c r="L44" s="49">
        <f>AVERAGE('17.10 bukomero-Kyankwanzi'!L44,'18.10 bukomero-Kyankwanzi'!L44,'19.10 bukomero-Kyankwanzi-24h'!L44,'20.10 bukomero-Kyankwanzi'!L44,'21.10 bukomero-Kyankwanzi-24h'!L44,'22.10 bukomero-Kyankwanzi'!L44,'23.10 bukomero-Kyankwanzi'!L44)</f>
        <v>0</v>
      </c>
      <c r="M44" s="49">
        <f>AVERAGE('17.10 bukomero-Kyankwanzi'!M44,'18.10 bukomero-Kyankwanzi'!M44,'19.10 bukomero-Kyankwanzi-24h'!M44,'20.10 bukomero-Kyankwanzi'!M44,'21.10 bukomero-Kyankwanzi-24h'!M44,'22.10 bukomero-Kyankwanzi'!M44,'23.10 bukomero-Kyankwanzi'!M44)</f>
        <v>11.571428571428571</v>
      </c>
      <c r="N44" s="49">
        <f>AVERAGE('17.10 bukomero-Kyankwanzi'!N44,'18.10 bukomero-Kyankwanzi'!N44,'19.10 bukomero-Kyankwanzi-24h'!N44,'20.10 bukomero-Kyankwanzi'!N44,'21.10 bukomero-Kyankwanzi-24h'!N44,'22.10 bukomero-Kyankwanzi'!N44,'23.10 bukomero-Kyankwanzi'!N44)</f>
        <v>0</v>
      </c>
      <c r="O44" s="15">
        <f t="shared" si="0"/>
        <v>1.8571428571428572</v>
      </c>
      <c r="P44" s="15">
        <f t="shared" si="1"/>
        <v>13.428571428571429</v>
      </c>
    </row>
    <row r="45" spans="2:32" ht="23.1" customHeight="1" x14ac:dyDescent="0.25">
      <c r="B45" s="23" t="s">
        <v>72</v>
      </c>
      <c r="C45" s="49">
        <f>AVERAGE('17.10 bukomero-Kyankwanzi'!C45,'18.10 bukomero-Kyankwanzi'!C45,'19.10 bukomero-Kyankwanzi-24h'!C45,'20.10 bukomero-Kyankwanzi'!C45,'21.10 bukomero-Kyankwanzi-24h'!C45,'22.10 bukomero-Kyankwanzi'!C45,'23.10 bukomero-Kyankwanzi'!C45)</f>
        <v>0.5714285714285714</v>
      </c>
      <c r="D45" s="49">
        <f>AVERAGE('17.10 bukomero-Kyankwanzi'!D45,'18.10 bukomero-Kyankwanzi'!D45,'19.10 bukomero-Kyankwanzi-24h'!D45,'20.10 bukomero-Kyankwanzi'!D45,'21.10 bukomero-Kyankwanzi-24h'!D45,'22.10 bukomero-Kyankwanzi'!D45,'23.10 bukomero-Kyankwanzi'!D45)</f>
        <v>0</v>
      </c>
      <c r="E45" s="49">
        <f>AVERAGE('17.10 bukomero-Kyankwanzi'!E45,'18.10 bukomero-Kyankwanzi'!E45,'19.10 bukomero-Kyankwanzi-24h'!E45,'20.10 bukomero-Kyankwanzi'!E45,'21.10 bukomero-Kyankwanzi-24h'!E45,'22.10 bukomero-Kyankwanzi'!E45,'23.10 bukomero-Kyankwanzi'!E45)</f>
        <v>0</v>
      </c>
      <c r="F45" s="49">
        <f>AVERAGE('17.10 bukomero-Kyankwanzi'!F45,'18.10 bukomero-Kyankwanzi'!F45,'19.10 bukomero-Kyankwanzi-24h'!F45,'20.10 bukomero-Kyankwanzi'!F45,'21.10 bukomero-Kyankwanzi-24h'!F45,'22.10 bukomero-Kyankwanzi'!F45,'23.10 bukomero-Kyankwanzi'!F45)</f>
        <v>0.14285714285714285</v>
      </c>
      <c r="G45" s="49">
        <f>AVERAGE('17.10 bukomero-Kyankwanzi'!G45,'18.10 bukomero-Kyankwanzi'!G45,'19.10 bukomero-Kyankwanzi-24h'!G45,'20.10 bukomero-Kyankwanzi'!G45,'21.10 bukomero-Kyankwanzi-24h'!G45,'22.10 bukomero-Kyankwanzi'!G45,'23.10 bukomero-Kyankwanzi'!G45)</f>
        <v>0</v>
      </c>
      <c r="H45" s="49">
        <f>AVERAGE('17.10 bukomero-Kyankwanzi'!H45,'18.10 bukomero-Kyankwanzi'!H45,'19.10 bukomero-Kyankwanzi-24h'!H45,'20.10 bukomero-Kyankwanzi'!H45,'21.10 bukomero-Kyankwanzi-24h'!H45,'22.10 bukomero-Kyankwanzi'!H45,'23.10 bukomero-Kyankwanzi'!H45)</f>
        <v>0</v>
      </c>
      <c r="I45" s="49">
        <f>AVERAGE('17.10 bukomero-Kyankwanzi'!I45,'18.10 bukomero-Kyankwanzi'!I45,'19.10 bukomero-Kyankwanzi-24h'!I45,'20.10 bukomero-Kyankwanzi'!I45,'21.10 bukomero-Kyankwanzi-24h'!I45,'22.10 bukomero-Kyankwanzi'!I45,'23.10 bukomero-Kyankwanzi'!I45)</f>
        <v>0.8571428571428571</v>
      </c>
      <c r="J45" s="49">
        <f>AVERAGE('17.10 bukomero-Kyankwanzi'!J45,'18.10 bukomero-Kyankwanzi'!J45,'19.10 bukomero-Kyankwanzi-24h'!J45,'20.10 bukomero-Kyankwanzi'!J45,'21.10 bukomero-Kyankwanzi-24h'!J45,'22.10 bukomero-Kyankwanzi'!J45,'23.10 bukomero-Kyankwanzi'!J45)</f>
        <v>0</v>
      </c>
      <c r="K45" s="49">
        <f>AVERAGE('17.10 bukomero-Kyankwanzi'!K45,'18.10 bukomero-Kyankwanzi'!K45,'19.10 bukomero-Kyankwanzi-24h'!K45,'20.10 bukomero-Kyankwanzi'!K45,'21.10 bukomero-Kyankwanzi-24h'!K45,'22.10 bukomero-Kyankwanzi'!K45,'23.10 bukomero-Kyankwanzi'!K45)</f>
        <v>0</v>
      </c>
      <c r="L45" s="49">
        <f>AVERAGE('17.10 bukomero-Kyankwanzi'!L45,'18.10 bukomero-Kyankwanzi'!L45,'19.10 bukomero-Kyankwanzi-24h'!L45,'20.10 bukomero-Kyankwanzi'!L45,'21.10 bukomero-Kyankwanzi-24h'!L45,'22.10 bukomero-Kyankwanzi'!L45,'23.10 bukomero-Kyankwanzi'!L45)</f>
        <v>0</v>
      </c>
      <c r="M45" s="49">
        <f>AVERAGE('17.10 bukomero-Kyankwanzi'!M45,'18.10 bukomero-Kyankwanzi'!M45,'19.10 bukomero-Kyankwanzi-24h'!M45,'20.10 bukomero-Kyankwanzi'!M45,'21.10 bukomero-Kyankwanzi-24h'!M45,'22.10 bukomero-Kyankwanzi'!M45,'23.10 bukomero-Kyankwanzi'!M45)</f>
        <v>12.714285714285714</v>
      </c>
      <c r="N45" s="49">
        <f>AVERAGE('17.10 bukomero-Kyankwanzi'!N45,'18.10 bukomero-Kyankwanzi'!N45,'19.10 bukomero-Kyankwanzi-24h'!N45,'20.10 bukomero-Kyankwanzi'!N45,'21.10 bukomero-Kyankwanzi-24h'!N45,'22.10 bukomero-Kyankwanzi'!N45,'23.10 bukomero-Kyankwanzi'!N45)</f>
        <v>0</v>
      </c>
      <c r="O45" s="15">
        <f t="shared" si="0"/>
        <v>1.5714285714285712</v>
      </c>
      <c r="P45" s="15">
        <f t="shared" si="1"/>
        <v>14.285714285714285</v>
      </c>
    </row>
    <row r="46" spans="2:32" ht="23.1" customHeight="1" x14ac:dyDescent="0.25">
      <c r="B46" s="24" t="s">
        <v>73</v>
      </c>
      <c r="C46" s="49">
        <f>AVERAGE('17.10 bukomero-Kyankwanzi'!C46,'18.10 bukomero-Kyankwanzi'!C46,'19.10 bukomero-Kyankwanzi-24h'!C46,'20.10 bukomero-Kyankwanzi'!C46,'21.10 bukomero-Kyankwanzi-24h'!C46,'22.10 bukomero-Kyankwanzi'!C46,'23.10 bukomero-Kyankwanzi'!C46)</f>
        <v>0.14285714285714285</v>
      </c>
      <c r="D46" s="49">
        <f>AVERAGE('17.10 bukomero-Kyankwanzi'!D46,'18.10 bukomero-Kyankwanzi'!D46,'19.10 bukomero-Kyankwanzi-24h'!D46,'20.10 bukomero-Kyankwanzi'!D46,'21.10 bukomero-Kyankwanzi-24h'!D46,'22.10 bukomero-Kyankwanzi'!D46,'23.10 bukomero-Kyankwanzi'!D46)</f>
        <v>0.14285714285714285</v>
      </c>
      <c r="E46" s="49">
        <f>AVERAGE('17.10 bukomero-Kyankwanzi'!E46,'18.10 bukomero-Kyankwanzi'!E46,'19.10 bukomero-Kyankwanzi-24h'!E46,'20.10 bukomero-Kyankwanzi'!E46,'21.10 bukomero-Kyankwanzi-24h'!E46,'22.10 bukomero-Kyankwanzi'!E46,'23.10 bukomero-Kyankwanzi'!E46)</f>
        <v>0.14285714285714285</v>
      </c>
      <c r="F46" s="49">
        <f>AVERAGE('17.10 bukomero-Kyankwanzi'!F46,'18.10 bukomero-Kyankwanzi'!F46,'19.10 bukomero-Kyankwanzi-24h'!F46,'20.10 bukomero-Kyankwanzi'!F46,'21.10 bukomero-Kyankwanzi-24h'!F46,'22.10 bukomero-Kyankwanzi'!F46,'23.10 bukomero-Kyankwanzi'!F46)</f>
        <v>0</v>
      </c>
      <c r="G46" s="49">
        <f>AVERAGE('17.10 bukomero-Kyankwanzi'!G46,'18.10 bukomero-Kyankwanzi'!G46,'19.10 bukomero-Kyankwanzi-24h'!G46,'20.10 bukomero-Kyankwanzi'!G46,'21.10 bukomero-Kyankwanzi-24h'!G46,'22.10 bukomero-Kyankwanzi'!G46,'23.10 bukomero-Kyankwanzi'!G46)</f>
        <v>0</v>
      </c>
      <c r="H46" s="49">
        <f>AVERAGE('17.10 bukomero-Kyankwanzi'!H46,'18.10 bukomero-Kyankwanzi'!H46,'19.10 bukomero-Kyankwanzi-24h'!H46,'20.10 bukomero-Kyankwanzi'!H46,'21.10 bukomero-Kyankwanzi-24h'!H46,'22.10 bukomero-Kyankwanzi'!H46,'23.10 bukomero-Kyankwanzi'!H46)</f>
        <v>0</v>
      </c>
      <c r="I46" s="49">
        <f>AVERAGE('17.10 bukomero-Kyankwanzi'!I46,'18.10 bukomero-Kyankwanzi'!I46,'19.10 bukomero-Kyankwanzi-24h'!I46,'20.10 bukomero-Kyankwanzi'!I46,'21.10 bukomero-Kyankwanzi-24h'!I46,'22.10 bukomero-Kyankwanzi'!I46,'23.10 bukomero-Kyankwanzi'!I46)</f>
        <v>0.7142857142857143</v>
      </c>
      <c r="J46" s="49">
        <f>AVERAGE('17.10 bukomero-Kyankwanzi'!J46,'18.10 bukomero-Kyankwanzi'!J46,'19.10 bukomero-Kyankwanzi-24h'!J46,'20.10 bukomero-Kyankwanzi'!J46,'21.10 bukomero-Kyankwanzi-24h'!J46,'22.10 bukomero-Kyankwanzi'!J46,'23.10 bukomero-Kyankwanzi'!J46)</f>
        <v>0</v>
      </c>
      <c r="K46" s="49">
        <f>AVERAGE('17.10 bukomero-Kyankwanzi'!K46,'18.10 bukomero-Kyankwanzi'!K46,'19.10 bukomero-Kyankwanzi-24h'!K46,'20.10 bukomero-Kyankwanzi'!K46,'21.10 bukomero-Kyankwanzi-24h'!K46,'22.10 bukomero-Kyankwanzi'!K46,'23.10 bukomero-Kyankwanzi'!K46)</f>
        <v>0.14285714285714285</v>
      </c>
      <c r="L46" s="49">
        <f>AVERAGE('17.10 bukomero-Kyankwanzi'!L46,'18.10 bukomero-Kyankwanzi'!L46,'19.10 bukomero-Kyankwanzi-24h'!L46,'20.10 bukomero-Kyankwanzi'!L46,'21.10 bukomero-Kyankwanzi-24h'!L46,'22.10 bukomero-Kyankwanzi'!L46,'23.10 bukomero-Kyankwanzi'!L46)</f>
        <v>0</v>
      </c>
      <c r="M46" s="49">
        <f>AVERAGE('17.10 bukomero-Kyankwanzi'!M46,'18.10 bukomero-Kyankwanzi'!M46,'19.10 bukomero-Kyankwanzi-24h'!M46,'20.10 bukomero-Kyankwanzi'!M46,'21.10 bukomero-Kyankwanzi-24h'!M46,'22.10 bukomero-Kyankwanzi'!M46,'23.10 bukomero-Kyankwanzi'!M46)</f>
        <v>15.857142857142858</v>
      </c>
      <c r="N46" s="49">
        <f>AVERAGE('17.10 bukomero-Kyankwanzi'!N46,'18.10 bukomero-Kyankwanzi'!N46,'19.10 bukomero-Kyankwanzi-24h'!N46,'20.10 bukomero-Kyankwanzi'!N46,'21.10 bukomero-Kyankwanzi-24h'!N46,'22.10 bukomero-Kyankwanzi'!N46,'23.10 bukomero-Kyankwanzi'!N46)</f>
        <v>0</v>
      </c>
      <c r="O46" s="15">
        <f t="shared" si="0"/>
        <v>1.2857142857142856</v>
      </c>
      <c r="P46" s="15">
        <f t="shared" si="1"/>
        <v>17.142857142857142</v>
      </c>
      <c r="R46" s="8"/>
      <c r="T46"/>
    </row>
    <row r="47" spans="2:32" ht="23.1" customHeight="1" x14ac:dyDescent="0.25">
      <c r="B47" s="24" t="s">
        <v>74</v>
      </c>
      <c r="C47" s="49">
        <f>AVERAGE('17.10 bukomero-Kyankwanzi'!C47,'18.10 bukomero-Kyankwanzi'!C47,'19.10 bukomero-Kyankwanzi-24h'!C47,'20.10 bukomero-Kyankwanzi'!C47,'21.10 bukomero-Kyankwanzi-24h'!C47,'22.10 bukomero-Kyankwanzi'!C47,'23.10 bukomero-Kyankwanzi'!C47)</f>
        <v>0.5714285714285714</v>
      </c>
      <c r="D47" s="49">
        <f>AVERAGE('17.10 bukomero-Kyankwanzi'!D47,'18.10 bukomero-Kyankwanzi'!D47,'19.10 bukomero-Kyankwanzi-24h'!D47,'20.10 bukomero-Kyankwanzi'!D47,'21.10 bukomero-Kyankwanzi-24h'!D47,'22.10 bukomero-Kyankwanzi'!D47,'23.10 bukomero-Kyankwanzi'!D47)</f>
        <v>0</v>
      </c>
      <c r="E47" s="49">
        <f>AVERAGE('17.10 bukomero-Kyankwanzi'!E47,'18.10 bukomero-Kyankwanzi'!E47,'19.10 bukomero-Kyankwanzi-24h'!E47,'20.10 bukomero-Kyankwanzi'!E47,'21.10 bukomero-Kyankwanzi-24h'!E47,'22.10 bukomero-Kyankwanzi'!E47,'23.10 bukomero-Kyankwanzi'!E47)</f>
        <v>0.42857142857142855</v>
      </c>
      <c r="F47" s="49">
        <f>AVERAGE('17.10 bukomero-Kyankwanzi'!F47,'18.10 bukomero-Kyankwanzi'!F47,'19.10 bukomero-Kyankwanzi-24h'!F47,'20.10 bukomero-Kyankwanzi'!F47,'21.10 bukomero-Kyankwanzi-24h'!F47,'22.10 bukomero-Kyankwanzi'!F47,'23.10 bukomero-Kyankwanzi'!F47)</f>
        <v>0.14285714285714285</v>
      </c>
      <c r="G47" s="49">
        <f>AVERAGE('17.10 bukomero-Kyankwanzi'!G47,'18.10 bukomero-Kyankwanzi'!G47,'19.10 bukomero-Kyankwanzi-24h'!G47,'20.10 bukomero-Kyankwanzi'!G47,'21.10 bukomero-Kyankwanzi-24h'!G47,'22.10 bukomero-Kyankwanzi'!G47,'23.10 bukomero-Kyankwanzi'!G47)</f>
        <v>0</v>
      </c>
      <c r="H47" s="49">
        <f>AVERAGE('17.10 bukomero-Kyankwanzi'!H47,'18.10 bukomero-Kyankwanzi'!H47,'19.10 bukomero-Kyankwanzi-24h'!H47,'20.10 bukomero-Kyankwanzi'!H47,'21.10 bukomero-Kyankwanzi-24h'!H47,'22.10 bukomero-Kyankwanzi'!H47,'23.10 bukomero-Kyankwanzi'!H47)</f>
        <v>0</v>
      </c>
      <c r="I47" s="49">
        <f>AVERAGE('17.10 bukomero-Kyankwanzi'!I47,'18.10 bukomero-Kyankwanzi'!I47,'19.10 bukomero-Kyankwanzi-24h'!I47,'20.10 bukomero-Kyankwanzi'!I47,'21.10 bukomero-Kyankwanzi-24h'!I47,'22.10 bukomero-Kyankwanzi'!I47,'23.10 bukomero-Kyankwanzi'!I47)</f>
        <v>1.1428571428571428</v>
      </c>
      <c r="J47" s="49">
        <f>AVERAGE('17.10 bukomero-Kyankwanzi'!J47,'18.10 bukomero-Kyankwanzi'!J47,'19.10 bukomero-Kyankwanzi-24h'!J47,'20.10 bukomero-Kyankwanzi'!J47,'21.10 bukomero-Kyankwanzi-24h'!J47,'22.10 bukomero-Kyankwanzi'!J47,'23.10 bukomero-Kyankwanzi'!J47)</f>
        <v>0.14285714285714285</v>
      </c>
      <c r="K47" s="49">
        <f>AVERAGE('17.10 bukomero-Kyankwanzi'!K47,'18.10 bukomero-Kyankwanzi'!K47,'19.10 bukomero-Kyankwanzi-24h'!K47,'20.10 bukomero-Kyankwanzi'!K47,'21.10 bukomero-Kyankwanzi-24h'!K47,'22.10 bukomero-Kyankwanzi'!K47,'23.10 bukomero-Kyankwanzi'!K47)</f>
        <v>0</v>
      </c>
      <c r="L47" s="49">
        <f>AVERAGE('17.10 bukomero-Kyankwanzi'!L47,'18.10 bukomero-Kyankwanzi'!L47,'19.10 bukomero-Kyankwanzi-24h'!L47,'20.10 bukomero-Kyankwanzi'!L47,'21.10 bukomero-Kyankwanzi-24h'!L47,'22.10 bukomero-Kyankwanzi'!L47,'23.10 bukomero-Kyankwanzi'!L47)</f>
        <v>0</v>
      </c>
      <c r="M47" s="49">
        <f>AVERAGE('17.10 bukomero-Kyankwanzi'!M47,'18.10 bukomero-Kyankwanzi'!M47,'19.10 bukomero-Kyankwanzi-24h'!M47,'20.10 bukomero-Kyankwanzi'!M47,'21.10 bukomero-Kyankwanzi-24h'!M47,'22.10 bukomero-Kyankwanzi'!M47,'23.10 bukomero-Kyankwanzi'!M47)</f>
        <v>13.142857142857142</v>
      </c>
      <c r="N47" s="49">
        <f>AVERAGE('17.10 bukomero-Kyankwanzi'!N47,'18.10 bukomero-Kyankwanzi'!N47,'19.10 bukomero-Kyankwanzi-24h'!N47,'20.10 bukomero-Kyankwanzi'!N47,'21.10 bukomero-Kyankwanzi-24h'!N47,'22.10 bukomero-Kyankwanzi'!N47,'23.10 bukomero-Kyankwanzi'!N47)</f>
        <v>0</v>
      </c>
      <c r="O47" s="15">
        <f t="shared" si="0"/>
        <v>2.4285714285714284</v>
      </c>
      <c r="P47" s="15">
        <f t="shared" si="1"/>
        <v>15.571428571428571</v>
      </c>
      <c r="R47" s="8"/>
      <c r="T47"/>
    </row>
    <row r="48" spans="2:32" ht="23.1" customHeight="1" x14ac:dyDescent="0.25">
      <c r="B48" s="24" t="s">
        <v>75</v>
      </c>
      <c r="C48" s="49">
        <f>AVERAGE('17.10 bukomero-Kyankwanzi'!C48,'18.10 bukomero-Kyankwanzi'!C48,'19.10 bukomero-Kyankwanzi-24h'!C48,'20.10 bukomero-Kyankwanzi'!C48,'21.10 bukomero-Kyankwanzi-24h'!C48,'22.10 bukomero-Kyankwanzi'!C48,'23.10 bukomero-Kyankwanzi'!C48)</f>
        <v>0.2857142857142857</v>
      </c>
      <c r="D48" s="49">
        <f>AVERAGE('17.10 bukomero-Kyankwanzi'!D48,'18.10 bukomero-Kyankwanzi'!D48,'19.10 bukomero-Kyankwanzi-24h'!D48,'20.10 bukomero-Kyankwanzi'!D48,'21.10 bukomero-Kyankwanzi-24h'!D48,'22.10 bukomero-Kyankwanzi'!D48,'23.10 bukomero-Kyankwanzi'!D48)</f>
        <v>0</v>
      </c>
      <c r="E48" s="49">
        <f>AVERAGE('17.10 bukomero-Kyankwanzi'!E48,'18.10 bukomero-Kyankwanzi'!E48,'19.10 bukomero-Kyankwanzi-24h'!E48,'20.10 bukomero-Kyankwanzi'!E48,'21.10 bukomero-Kyankwanzi-24h'!E48,'22.10 bukomero-Kyankwanzi'!E48,'23.10 bukomero-Kyankwanzi'!E48)</f>
        <v>0.42857142857142855</v>
      </c>
      <c r="F48" s="49">
        <f>AVERAGE('17.10 bukomero-Kyankwanzi'!F48,'18.10 bukomero-Kyankwanzi'!F48,'19.10 bukomero-Kyankwanzi-24h'!F48,'20.10 bukomero-Kyankwanzi'!F48,'21.10 bukomero-Kyankwanzi-24h'!F48,'22.10 bukomero-Kyankwanzi'!F48,'23.10 bukomero-Kyankwanzi'!F48)</f>
        <v>0.2857142857142857</v>
      </c>
      <c r="G48" s="49">
        <f>AVERAGE('17.10 bukomero-Kyankwanzi'!G48,'18.10 bukomero-Kyankwanzi'!G48,'19.10 bukomero-Kyankwanzi-24h'!G48,'20.10 bukomero-Kyankwanzi'!G48,'21.10 bukomero-Kyankwanzi-24h'!G48,'22.10 bukomero-Kyankwanzi'!G48,'23.10 bukomero-Kyankwanzi'!G48)</f>
        <v>0</v>
      </c>
      <c r="H48" s="49">
        <f>AVERAGE('17.10 bukomero-Kyankwanzi'!H48,'18.10 bukomero-Kyankwanzi'!H48,'19.10 bukomero-Kyankwanzi-24h'!H48,'20.10 bukomero-Kyankwanzi'!H48,'21.10 bukomero-Kyankwanzi-24h'!H48,'22.10 bukomero-Kyankwanzi'!H48,'23.10 bukomero-Kyankwanzi'!H48)</f>
        <v>0</v>
      </c>
      <c r="I48" s="49">
        <f>AVERAGE('17.10 bukomero-Kyankwanzi'!I48,'18.10 bukomero-Kyankwanzi'!I48,'19.10 bukomero-Kyankwanzi-24h'!I48,'20.10 bukomero-Kyankwanzi'!I48,'21.10 bukomero-Kyankwanzi-24h'!I48,'22.10 bukomero-Kyankwanzi'!I48,'23.10 bukomero-Kyankwanzi'!I48)</f>
        <v>0.2857142857142857</v>
      </c>
      <c r="J48" s="49">
        <f>AVERAGE('17.10 bukomero-Kyankwanzi'!J48,'18.10 bukomero-Kyankwanzi'!J48,'19.10 bukomero-Kyankwanzi-24h'!J48,'20.10 bukomero-Kyankwanzi'!J48,'21.10 bukomero-Kyankwanzi-24h'!J48,'22.10 bukomero-Kyankwanzi'!J48,'23.10 bukomero-Kyankwanzi'!J48)</f>
        <v>0</v>
      </c>
      <c r="K48" s="49">
        <f>AVERAGE('17.10 bukomero-Kyankwanzi'!K48,'18.10 bukomero-Kyankwanzi'!K48,'19.10 bukomero-Kyankwanzi-24h'!K48,'20.10 bukomero-Kyankwanzi'!K48,'21.10 bukomero-Kyankwanzi-24h'!K48,'22.10 bukomero-Kyankwanzi'!K48,'23.10 bukomero-Kyankwanzi'!K48)</f>
        <v>0</v>
      </c>
      <c r="L48" s="49">
        <f>AVERAGE('17.10 bukomero-Kyankwanzi'!L48,'18.10 bukomero-Kyankwanzi'!L48,'19.10 bukomero-Kyankwanzi-24h'!L48,'20.10 bukomero-Kyankwanzi'!L48,'21.10 bukomero-Kyankwanzi-24h'!L48,'22.10 bukomero-Kyankwanzi'!L48,'23.10 bukomero-Kyankwanzi'!L48)</f>
        <v>0</v>
      </c>
      <c r="M48" s="49">
        <f>AVERAGE('17.10 bukomero-Kyankwanzi'!M48,'18.10 bukomero-Kyankwanzi'!M48,'19.10 bukomero-Kyankwanzi-24h'!M48,'20.10 bukomero-Kyankwanzi'!M48,'21.10 bukomero-Kyankwanzi-24h'!M48,'22.10 bukomero-Kyankwanzi'!M48,'23.10 bukomero-Kyankwanzi'!M48)</f>
        <v>13.857142857142858</v>
      </c>
      <c r="N48" s="49">
        <f>AVERAGE('17.10 bukomero-Kyankwanzi'!N48,'18.10 bukomero-Kyankwanzi'!N48,'19.10 bukomero-Kyankwanzi-24h'!N48,'20.10 bukomero-Kyankwanzi'!N48,'21.10 bukomero-Kyankwanzi-24h'!N48,'22.10 bukomero-Kyankwanzi'!N48,'23.10 bukomero-Kyankwanzi'!N48)</f>
        <v>0</v>
      </c>
      <c r="O48" s="15">
        <f t="shared" si="0"/>
        <v>1.2857142857142856</v>
      </c>
      <c r="P48" s="15">
        <f t="shared" si="1"/>
        <v>15.142857142857142</v>
      </c>
      <c r="R48" s="8"/>
      <c r="T48"/>
    </row>
    <row r="49" spans="2:20" ht="23.1" customHeight="1" x14ac:dyDescent="0.25">
      <c r="B49" s="23" t="s">
        <v>76</v>
      </c>
      <c r="C49" s="49">
        <f>AVERAGE('17.10 bukomero-Kyankwanzi'!C49,'18.10 bukomero-Kyankwanzi'!C49,'19.10 bukomero-Kyankwanzi-24h'!C49,'20.10 bukomero-Kyankwanzi'!C49,'21.10 bukomero-Kyankwanzi-24h'!C49,'22.10 bukomero-Kyankwanzi'!C49,'23.10 bukomero-Kyankwanzi'!C49)</f>
        <v>0.8571428571428571</v>
      </c>
      <c r="D49" s="49">
        <f>AVERAGE('17.10 bukomero-Kyankwanzi'!D49,'18.10 bukomero-Kyankwanzi'!D49,'19.10 bukomero-Kyankwanzi-24h'!D49,'20.10 bukomero-Kyankwanzi'!D49,'21.10 bukomero-Kyankwanzi-24h'!D49,'22.10 bukomero-Kyankwanzi'!D49,'23.10 bukomero-Kyankwanzi'!D49)</f>
        <v>0.14285714285714285</v>
      </c>
      <c r="E49" s="49">
        <f>AVERAGE('17.10 bukomero-Kyankwanzi'!E49,'18.10 bukomero-Kyankwanzi'!E49,'19.10 bukomero-Kyankwanzi-24h'!E49,'20.10 bukomero-Kyankwanzi'!E49,'21.10 bukomero-Kyankwanzi-24h'!E49,'22.10 bukomero-Kyankwanzi'!E49,'23.10 bukomero-Kyankwanzi'!E49)</f>
        <v>0.42857142857142855</v>
      </c>
      <c r="F49" s="49">
        <f>AVERAGE('17.10 bukomero-Kyankwanzi'!F49,'18.10 bukomero-Kyankwanzi'!F49,'19.10 bukomero-Kyankwanzi-24h'!F49,'20.10 bukomero-Kyankwanzi'!F49,'21.10 bukomero-Kyankwanzi-24h'!F49,'22.10 bukomero-Kyankwanzi'!F49,'23.10 bukomero-Kyankwanzi'!F49)</f>
        <v>0.14285714285714285</v>
      </c>
      <c r="G49" s="49">
        <f>AVERAGE('17.10 bukomero-Kyankwanzi'!G49,'18.10 bukomero-Kyankwanzi'!G49,'19.10 bukomero-Kyankwanzi-24h'!G49,'20.10 bukomero-Kyankwanzi'!G49,'21.10 bukomero-Kyankwanzi-24h'!G49,'22.10 bukomero-Kyankwanzi'!G49,'23.10 bukomero-Kyankwanzi'!G49)</f>
        <v>0</v>
      </c>
      <c r="H49" s="49">
        <f>AVERAGE('17.10 bukomero-Kyankwanzi'!H49,'18.10 bukomero-Kyankwanzi'!H49,'19.10 bukomero-Kyankwanzi-24h'!H49,'20.10 bukomero-Kyankwanzi'!H49,'21.10 bukomero-Kyankwanzi-24h'!H49,'22.10 bukomero-Kyankwanzi'!H49,'23.10 bukomero-Kyankwanzi'!H49)</f>
        <v>0</v>
      </c>
      <c r="I49" s="49">
        <f>AVERAGE('17.10 bukomero-Kyankwanzi'!I49,'18.10 bukomero-Kyankwanzi'!I49,'19.10 bukomero-Kyankwanzi-24h'!I49,'20.10 bukomero-Kyankwanzi'!I49,'21.10 bukomero-Kyankwanzi-24h'!I49,'22.10 bukomero-Kyankwanzi'!I49,'23.10 bukomero-Kyankwanzi'!I49)</f>
        <v>0.8571428571428571</v>
      </c>
      <c r="J49" s="49">
        <f>AVERAGE('17.10 bukomero-Kyankwanzi'!J49,'18.10 bukomero-Kyankwanzi'!J49,'19.10 bukomero-Kyankwanzi-24h'!J49,'20.10 bukomero-Kyankwanzi'!J49,'21.10 bukomero-Kyankwanzi-24h'!J49,'22.10 bukomero-Kyankwanzi'!J49,'23.10 bukomero-Kyankwanzi'!J49)</f>
        <v>0</v>
      </c>
      <c r="K49" s="49">
        <f>AVERAGE('17.10 bukomero-Kyankwanzi'!K49,'18.10 bukomero-Kyankwanzi'!K49,'19.10 bukomero-Kyankwanzi-24h'!K49,'20.10 bukomero-Kyankwanzi'!K49,'21.10 bukomero-Kyankwanzi-24h'!K49,'22.10 bukomero-Kyankwanzi'!K49,'23.10 bukomero-Kyankwanzi'!K49)</f>
        <v>0</v>
      </c>
      <c r="L49" s="49">
        <f>AVERAGE('17.10 bukomero-Kyankwanzi'!L49,'18.10 bukomero-Kyankwanzi'!L49,'19.10 bukomero-Kyankwanzi-24h'!L49,'20.10 bukomero-Kyankwanzi'!L49,'21.10 bukomero-Kyankwanzi-24h'!L49,'22.10 bukomero-Kyankwanzi'!L49,'23.10 bukomero-Kyankwanzi'!L49)</f>
        <v>0</v>
      </c>
      <c r="M49" s="49">
        <f>AVERAGE('17.10 bukomero-Kyankwanzi'!M49,'18.10 bukomero-Kyankwanzi'!M49,'19.10 bukomero-Kyankwanzi-24h'!M49,'20.10 bukomero-Kyankwanzi'!M49,'21.10 bukomero-Kyankwanzi-24h'!M49,'22.10 bukomero-Kyankwanzi'!M49,'23.10 bukomero-Kyankwanzi'!M49)</f>
        <v>12.571428571428571</v>
      </c>
      <c r="N49" s="49">
        <f>AVERAGE('17.10 bukomero-Kyankwanzi'!N49,'18.10 bukomero-Kyankwanzi'!N49,'19.10 bukomero-Kyankwanzi-24h'!N49,'20.10 bukomero-Kyankwanzi'!N49,'21.10 bukomero-Kyankwanzi-24h'!N49,'22.10 bukomero-Kyankwanzi'!N49,'23.10 bukomero-Kyankwanzi'!N49)</f>
        <v>0</v>
      </c>
      <c r="O49" s="15">
        <f t="shared" si="0"/>
        <v>2.4285714285714284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49">
        <f>AVERAGE('17.10 bukomero-Kyankwanzi'!C50,'18.10 bukomero-Kyankwanzi'!C50,'19.10 bukomero-Kyankwanzi-24h'!C50,'20.10 bukomero-Kyankwanzi'!C50,'21.10 bukomero-Kyankwanzi-24h'!C50,'22.10 bukomero-Kyankwanzi'!C50,'23.10 bukomero-Kyankwanzi'!C50)</f>
        <v>0.5714285714285714</v>
      </c>
      <c r="D50" s="49">
        <f>AVERAGE('17.10 bukomero-Kyankwanzi'!D50,'18.10 bukomero-Kyankwanzi'!D50,'19.10 bukomero-Kyankwanzi-24h'!D50,'20.10 bukomero-Kyankwanzi'!D50,'21.10 bukomero-Kyankwanzi-24h'!D50,'22.10 bukomero-Kyankwanzi'!D50,'23.10 bukomero-Kyankwanzi'!D50)</f>
        <v>0</v>
      </c>
      <c r="E50" s="49">
        <f>AVERAGE('17.10 bukomero-Kyankwanzi'!E50,'18.10 bukomero-Kyankwanzi'!E50,'19.10 bukomero-Kyankwanzi-24h'!E50,'20.10 bukomero-Kyankwanzi'!E50,'21.10 bukomero-Kyankwanzi-24h'!E50,'22.10 bukomero-Kyankwanzi'!E50,'23.10 bukomero-Kyankwanzi'!E50)</f>
        <v>0</v>
      </c>
      <c r="F50" s="49">
        <f>AVERAGE('17.10 bukomero-Kyankwanzi'!F50,'18.10 bukomero-Kyankwanzi'!F50,'19.10 bukomero-Kyankwanzi-24h'!F50,'20.10 bukomero-Kyankwanzi'!F50,'21.10 bukomero-Kyankwanzi-24h'!F50,'22.10 bukomero-Kyankwanzi'!F50,'23.10 bukomero-Kyankwanzi'!F50)</f>
        <v>0.14285714285714285</v>
      </c>
      <c r="G50" s="49">
        <f>AVERAGE('17.10 bukomero-Kyankwanzi'!G50,'18.10 bukomero-Kyankwanzi'!G50,'19.10 bukomero-Kyankwanzi-24h'!G50,'20.10 bukomero-Kyankwanzi'!G50,'21.10 bukomero-Kyankwanzi-24h'!G50,'22.10 bukomero-Kyankwanzi'!G50,'23.10 bukomero-Kyankwanzi'!G50)</f>
        <v>0</v>
      </c>
      <c r="H50" s="49">
        <f>AVERAGE('17.10 bukomero-Kyankwanzi'!H50,'18.10 bukomero-Kyankwanzi'!H50,'19.10 bukomero-Kyankwanzi-24h'!H50,'20.10 bukomero-Kyankwanzi'!H50,'21.10 bukomero-Kyankwanzi-24h'!H50,'22.10 bukomero-Kyankwanzi'!H50,'23.10 bukomero-Kyankwanzi'!H50)</f>
        <v>0</v>
      </c>
      <c r="I50" s="49">
        <f>AVERAGE('17.10 bukomero-Kyankwanzi'!I50,'18.10 bukomero-Kyankwanzi'!I50,'19.10 bukomero-Kyankwanzi-24h'!I50,'20.10 bukomero-Kyankwanzi'!I50,'21.10 bukomero-Kyankwanzi-24h'!I50,'22.10 bukomero-Kyankwanzi'!I50,'23.10 bukomero-Kyankwanzi'!I50)</f>
        <v>0.7142857142857143</v>
      </c>
      <c r="J50" s="49">
        <f>AVERAGE('17.10 bukomero-Kyankwanzi'!J50,'18.10 bukomero-Kyankwanzi'!J50,'19.10 bukomero-Kyankwanzi-24h'!J50,'20.10 bukomero-Kyankwanzi'!J50,'21.10 bukomero-Kyankwanzi-24h'!J50,'22.10 bukomero-Kyankwanzi'!J50,'23.10 bukomero-Kyankwanzi'!J50)</f>
        <v>0</v>
      </c>
      <c r="K50" s="49">
        <f>AVERAGE('17.10 bukomero-Kyankwanzi'!K50,'18.10 bukomero-Kyankwanzi'!K50,'19.10 bukomero-Kyankwanzi-24h'!K50,'20.10 bukomero-Kyankwanzi'!K50,'21.10 bukomero-Kyankwanzi-24h'!K50,'22.10 bukomero-Kyankwanzi'!K50,'23.10 bukomero-Kyankwanzi'!K50)</f>
        <v>0</v>
      </c>
      <c r="L50" s="49">
        <f>AVERAGE('17.10 bukomero-Kyankwanzi'!L50,'18.10 bukomero-Kyankwanzi'!L50,'19.10 bukomero-Kyankwanzi-24h'!L50,'20.10 bukomero-Kyankwanzi'!L50,'21.10 bukomero-Kyankwanzi-24h'!L50,'22.10 bukomero-Kyankwanzi'!L50,'23.10 bukomero-Kyankwanzi'!L50)</f>
        <v>0</v>
      </c>
      <c r="M50" s="49">
        <f>AVERAGE('17.10 bukomero-Kyankwanzi'!M50,'18.10 bukomero-Kyankwanzi'!M50,'19.10 bukomero-Kyankwanzi-24h'!M50,'20.10 bukomero-Kyankwanzi'!M50,'21.10 bukomero-Kyankwanzi-24h'!M50,'22.10 bukomero-Kyankwanzi'!M50,'23.10 bukomero-Kyankwanzi'!M50)</f>
        <v>14.857142857142858</v>
      </c>
      <c r="N50" s="49">
        <f>AVERAGE('17.10 bukomero-Kyankwanzi'!N50,'18.10 bukomero-Kyankwanzi'!N50,'19.10 bukomero-Kyankwanzi-24h'!N50,'20.10 bukomero-Kyankwanzi'!N50,'21.10 bukomero-Kyankwanzi-24h'!N50,'22.10 bukomero-Kyankwanzi'!N50,'23.10 bukomero-Kyankwanzi'!N50)</f>
        <v>0</v>
      </c>
      <c r="O50" s="15">
        <f t="shared" si="0"/>
        <v>1.4285714285714284</v>
      </c>
      <c r="P50" s="15">
        <f t="shared" si="1"/>
        <v>16.285714285714285</v>
      </c>
      <c r="R50" s="8"/>
      <c r="T50"/>
    </row>
    <row r="51" spans="2:20" ht="23.1" customHeight="1" x14ac:dyDescent="0.25">
      <c r="B51" s="24" t="s">
        <v>78</v>
      </c>
      <c r="C51" s="49">
        <f>AVERAGE('17.10 bukomero-Kyankwanzi'!C51,'18.10 bukomero-Kyankwanzi'!C51,'19.10 bukomero-Kyankwanzi-24h'!C51,'20.10 bukomero-Kyankwanzi'!C51,'21.10 bukomero-Kyankwanzi-24h'!C51,'22.10 bukomero-Kyankwanzi'!C51,'23.10 bukomero-Kyankwanzi'!C51)</f>
        <v>0.2857142857142857</v>
      </c>
      <c r="D51" s="49">
        <f>AVERAGE('17.10 bukomero-Kyankwanzi'!D51,'18.10 bukomero-Kyankwanzi'!D51,'19.10 bukomero-Kyankwanzi-24h'!D51,'20.10 bukomero-Kyankwanzi'!D51,'21.10 bukomero-Kyankwanzi-24h'!D51,'22.10 bukomero-Kyankwanzi'!D51,'23.10 bukomero-Kyankwanzi'!D51)</f>
        <v>0</v>
      </c>
      <c r="E51" s="49">
        <f>AVERAGE('17.10 bukomero-Kyankwanzi'!E51,'18.10 bukomero-Kyankwanzi'!E51,'19.10 bukomero-Kyankwanzi-24h'!E51,'20.10 bukomero-Kyankwanzi'!E51,'21.10 bukomero-Kyankwanzi-24h'!E51,'22.10 bukomero-Kyankwanzi'!E51,'23.10 bukomero-Kyankwanzi'!E51)</f>
        <v>0.14285714285714285</v>
      </c>
      <c r="F51" s="49">
        <f>AVERAGE('17.10 bukomero-Kyankwanzi'!F51,'18.10 bukomero-Kyankwanzi'!F51,'19.10 bukomero-Kyankwanzi-24h'!F51,'20.10 bukomero-Kyankwanzi'!F51,'21.10 bukomero-Kyankwanzi-24h'!F51,'22.10 bukomero-Kyankwanzi'!F51,'23.10 bukomero-Kyankwanzi'!F51)</f>
        <v>0</v>
      </c>
      <c r="G51" s="49">
        <f>AVERAGE('17.10 bukomero-Kyankwanzi'!G51,'18.10 bukomero-Kyankwanzi'!G51,'19.10 bukomero-Kyankwanzi-24h'!G51,'20.10 bukomero-Kyankwanzi'!G51,'21.10 bukomero-Kyankwanzi-24h'!G51,'22.10 bukomero-Kyankwanzi'!G51,'23.10 bukomero-Kyankwanzi'!G51)</f>
        <v>0</v>
      </c>
      <c r="H51" s="49">
        <f>AVERAGE('17.10 bukomero-Kyankwanzi'!H51,'18.10 bukomero-Kyankwanzi'!H51,'19.10 bukomero-Kyankwanzi-24h'!H51,'20.10 bukomero-Kyankwanzi'!H51,'21.10 bukomero-Kyankwanzi-24h'!H51,'22.10 bukomero-Kyankwanzi'!H51,'23.10 bukomero-Kyankwanzi'!H51)</f>
        <v>0</v>
      </c>
      <c r="I51" s="49">
        <f>AVERAGE('17.10 bukomero-Kyankwanzi'!I51,'18.10 bukomero-Kyankwanzi'!I51,'19.10 bukomero-Kyankwanzi-24h'!I51,'20.10 bukomero-Kyankwanzi'!I51,'21.10 bukomero-Kyankwanzi-24h'!I51,'22.10 bukomero-Kyankwanzi'!I51,'23.10 bukomero-Kyankwanzi'!I51)</f>
        <v>0.42857142857142855</v>
      </c>
      <c r="J51" s="49">
        <f>AVERAGE('17.10 bukomero-Kyankwanzi'!J51,'18.10 bukomero-Kyankwanzi'!J51,'19.10 bukomero-Kyankwanzi-24h'!J51,'20.10 bukomero-Kyankwanzi'!J51,'21.10 bukomero-Kyankwanzi-24h'!J51,'22.10 bukomero-Kyankwanzi'!J51,'23.10 bukomero-Kyankwanzi'!J51)</f>
        <v>0</v>
      </c>
      <c r="K51" s="49">
        <f>AVERAGE('17.10 bukomero-Kyankwanzi'!K51,'18.10 bukomero-Kyankwanzi'!K51,'19.10 bukomero-Kyankwanzi-24h'!K51,'20.10 bukomero-Kyankwanzi'!K51,'21.10 bukomero-Kyankwanzi-24h'!K51,'22.10 bukomero-Kyankwanzi'!K51,'23.10 bukomero-Kyankwanzi'!K51)</f>
        <v>0</v>
      </c>
      <c r="L51" s="49">
        <f>AVERAGE('17.10 bukomero-Kyankwanzi'!L51,'18.10 bukomero-Kyankwanzi'!L51,'19.10 bukomero-Kyankwanzi-24h'!L51,'20.10 bukomero-Kyankwanzi'!L51,'21.10 bukomero-Kyankwanzi-24h'!L51,'22.10 bukomero-Kyankwanzi'!L51,'23.10 bukomero-Kyankwanzi'!L51)</f>
        <v>0</v>
      </c>
      <c r="M51" s="49">
        <f>AVERAGE('17.10 bukomero-Kyankwanzi'!M51,'18.10 bukomero-Kyankwanzi'!M51,'19.10 bukomero-Kyankwanzi-24h'!M51,'20.10 bukomero-Kyankwanzi'!M51,'21.10 bukomero-Kyankwanzi-24h'!M51,'22.10 bukomero-Kyankwanzi'!M51,'23.10 bukomero-Kyankwanzi'!M51)</f>
        <v>12.285714285714286</v>
      </c>
      <c r="N51" s="49">
        <f>AVERAGE('17.10 bukomero-Kyankwanzi'!N51,'18.10 bukomero-Kyankwanzi'!N51,'19.10 bukomero-Kyankwanzi-24h'!N51,'20.10 bukomero-Kyankwanzi'!N51,'21.10 bukomero-Kyankwanzi-24h'!N51,'22.10 bukomero-Kyankwanzi'!N51,'23.10 bukomero-Kyankwanzi'!N51)</f>
        <v>0</v>
      </c>
      <c r="O51" s="15">
        <f t="shared" si="0"/>
        <v>0.8571428571428571</v>
      </c>
      <c r="P51" s="15">
        <f t="shared" si="1"/>
        <v>13.142857142857144</v>
      </c>
      <c r="R51" s="8"/>
      <c r="T51"/>
    </row>
    <row r="52" spans="2:20" ht="23.1" customHeight="1" x14ac:dyDescent="0.25">
      <c r="B52" s="24" t="s">
        <v>79</v>
      </c>
      <c r="C52" s="49">
        <f>AVERAGE('17.10 bukomero-Kyankwanzi'!C52,'18.10 bukomero-Kyankwanzi'!C52,'19.10 bukomero-Kyankwanzi-24h'!C52,'20.10 bukomero-Kyankwanzi'!C52,'21.10 bukomero-Kyankwanzi-24h'!C52,'22.10 bukomero-Kyankwanzi'!C52,'23.10 bukomero-Kyankwanzi'!C52)</f>
        <v>0.2857142857142857</v>
      </c>
      <c r="D52" s="49">
        <f>AVERAGE('17.10 bukomero-Kyankwanzi'!D52,'18.10 bukomero-Kyankwanzi'!D52,'19.10 bukomero-Kyankwanzi-24h'!D52,'20.10 bukomero-Kyankwanzi'!D52,'21.10 bukomero-Kyankwanzi-24h'!D52,'22.10 bukomero-Kyankwanzi'!D52,'23.10 bukomero-Kyankwanzi'!D52)</f>
        <v>0.42857142857142855</v>
      </c>
      <c r="E52" s="49">
        <f>AVERAGE('17.10 bukomero-Kyankwanzi'!E52,'18.10 bukomero-Kyankwanzi'!E52,'19.10 bukomero-Kyankwanzi-24h'!E52,'20.10 bukomero-Kyankwanzi'!E52,'21.10 bukomero-Kyankwanzi-24h'!E52,'22.10 bukomero-Kyankwanzi'!E52,'23.10 bukomero-Kyankwanzi'!E52)</f>
        <v>0.2857142857142857</v>
      </c>
      <c r="F52" s="49">
        <f>AVERAGE('17.10 bukomero-Kyankwanzi'!F52,'18.10 bukomero-Kyankwanzi'!F52,'19.10 bukomero-Kyankwanzi-24h'!F52,'20.10 bukomero-Kyankwanzi'!F52,'21.10 bukomero-Kyankwanzi-24h'!F52,'22.10 bukomero-Kyankwanzi'!F52,'23.10 bukomero-Kyankwanzi'!F52)</f>
        <v>0.14285714285714285</v>
      </c>
      <c r="G52" s="49">
        <f>AVERAGE('17.10 bukomero-Kyankwanzi'!G52,'18.10 bukomero-Kyankwanzi'!G52,'19.10 bukomero-Kyankwanzi-24h'!G52,'20.10 bukomero-Kyankwanzi'!G52,'21.10 bukomero-Kyankwanzi-24h'!G52,'22.10 bukomero-Kyankwanzi'!G52,'23.10 bukomero-Kyankwanzi'!G52)</f>
        <v>0</v>
      </c>
      <c r="H52" s="49">
        <f>AVERAGE('17.10 bukomero-Kyankwanzi'!H52,'18.10 bukomero-Kyankwanzi'!H52,'19.10 bukomero-Kyankwanzi-24h'!H52,'20.10 bukomero-Kyankwanzi'!H52,'21.10 bukomero-Kyankwanzi-24h'!H52,'22.10 bukomero-Kyankwanzi'!H52,'23.10 bukomero-Kyankwanzi'!H52)</f>
        <v>0</v>
      </c>
      <c r="I52" s="49">
        <f>AVERAGE('17.10 bukomero-Kyankwanzi'!I52,'18.10 bukomero-Kyankwanzi'!I52,'19.10 bukomero-Kyankwanzi-24h'!I52,'20.10 bukomero-Kyankwanzi'!I52,'21.10 bukomero-Kyankwanzi-24h'!I52,'22.10 bukomero-Kyankwanzi'!I52,'23.10 bukomero-Kyankwanzi'!I52)</f>
        <v>1.1428571428571428</v>
      </c>
      <c r="J52" s="49">
        <f>AVERAGE('17.10 bukomero-Kyankwanzi'!J52,'18.10 bukomero-Kyankwanzi'!J52,'19.10 bukomero-Kyankwanzi-24h'!J52,'20.10 bukomero-Kyankwanzi'!J52,'21.10 bukomero-Kyankwanzi-24h'!J52,'22.10 bukomero-Kyankwanzi'!J52,'23.10 bukomero-Kyankwanzi'!J52)</f>
        <v>0</v>
      </c>
      <c r="K52" s="49">
        <f>AVERAGE('17.10 bukomero-Kyankwanzi'!K52,'18.10 bukomero-Kyankwanzi'!K52,'19.10 bukomero-Kyankwanzi-24h'!K52,'20.10 bukomero-Kyankwanzi'!K52,'21.10 bukomero-Kyankwanzi-24h'!K52,'22.10 bukomero-Kyankwanzi'!K52,'23.10 bukomero-Kyankwanzi'!K52)</f>
        <v>0</v>
      </c>
      <c r="L52" s="49">
        <f>AVERAGE('17.10 bukomero-Kyankwanzi'!L52,'18.10 bukomero-Kyankwanzi'!L52,'19.10 bukomero-Kyankwanzi-24h'!L52,'20.10 bukomero-Kyankwanzi'!L52,'21.10 bukomero-Kyankwanzi-24h'!L52,'22.10 bukomero-Kyankwanzi'!L52,'23.10 bukomero-Kyankwanzi'!L52)</f>
        <v>0</v>
      </c>
      <c r="M52" s="49">
        <f>AVERAGE('17.10 bukomero-Kyankwanzi'!M52,'18.10 bukomero-Kyankwanzi'!M52,'19.10 bukomero-Kyankwanzi-24h'!M52,'20.10 bukomero-Kyankwanzi'!M52,'21.10 bukomero-Kyankwanzi-24h'!M52,'22.10 bukomero-Kyankwanzi'!M52,'23.10 bukomero-Kyankwanzi'!M52)</f>
        <v>13.428571428571429</v>
      </c>
      <c r="N52" s="49">
        <f>AVERAGE('17.10 bukomero-Kyankwanzi'!N52,'18.10 bukomero-Kyankwanzi'!N52,'19.10 bukomero-Kyankwanzi-24h'!N52,'20.10 bukomero-Kyankwanzi'!N52,'21.10 bukomero-Kyankwanzi-24h'!N52,'22.10 bukomero-Kyankwanzi'!N52,'23.10 bukomero-Kyankwanzi'!N52)</f>
        <v>0</v>
      </c>
      <c r="O52" s="15">
        <f t="shared" si="0"/>
        <v>2.2857142857142856</v>
      </c>
      <c r="P52" s="15">
        <f t="shared" si="1"/>
        <v>15.714285714285715</v>
      </c>
      <c r="R52" s="8"/>
      <c r="T52"/>
    </row>
    <row r="53" spans="2:20" ht="23.1" customHeight="1" x14ac:dyDescent="0.25">
      <c r="B53" s="23" t="s">
        <v>80</v>
      </c>
      <c r="C53" s="49">
        <f>AVERAGE('17.10 bukomero-Kyankwanzi'!C53,'18.10 bukomero-Kyankwanzi'!C53,'19.10 bukomero-Kyankwanzi-24h'!C53,'20.10 bukomero-Kyankwanzi'!C53,'21.10 bukomero-Kyankwanzi-24h'!C53,'22.10 bukomero-Kyankwanzi'!C53,'23.10 bukomero-Kyankwanzi'!C53)</f>
        <v>0.2857142857142857</v>
      </c>
      <c r="D53" s="49">
        <f>AVERAGE('17.10 bukomero-Kyankwanzi'!D53,'18.10 bukomero-Kyankwanzi'!D53,'19.10 bukomero-Kyankwanzi-24h'!D53,'20.10 bukomero-Kyankwanzi'!D53,'21.10 bukomero-Kyankwanzi-24h'!D53,'22.10 bukomero-Kyankwanzi'!D53,'23.10 bukomero-Kyankwanzi'!D53)</f>
        <v>0.14285714285714285</v>
      </c>
      <c r="E53" s="49">
        <f>AVERAGE('17.10 bukomero-Kyankwanzi'!E53,'18.10 bukomero-Kyankwanzi'!E53,'19.10 bukomero-Kyankwanzi-24h'!E53,'20.10 bukomero-Kyankwanzi'!E53,'21.10 bukomero-Kyankwanzi-24h'!E53,'22.10 bukomero-Kyankwanzi'!E53,'23.10 bukomero-Kyankwanzi'!E53)</f>
        <v>0.42857142857142855</v>
      </c>
      <c r="F53" s="49">
        <f>AVERAGE('17.10 bukomero-Kyankwanzi'!F53,'18.10 bukomero-Kyankwanzi'!F53,'19.10 bukomero-Kyankwanzi-24h'!F53,'20.10 bukomero-Kyankwanzi'!F53,'21.10 bukomero-Kyankwanzi-24h'!F53,'22.10 bukomero-Kyankwanzi'!F53,'23.10 bukomero-Kyankwanzi'!F53)</f>
        <v>0.2857142857142857</v>
      </c>
      <c r="G53" s="49">
        <f>AVERAGE('17.10 bukomero-Kyankwanzi'!G53,'18.10 bukomero-Kyankwanzi'!G53,'19.10 bukomero-Kyankwanzi-24h'!G53,'20.10 bukomero-Kyankwanzi'!G53,'21.10 bukomero-Kyankwanzi-24h'!G53,'22.10 bukomero-Kyankwanzi'!G53,'23.10 bukomero-Kyankwanzi'!G53)</f>
        <v>0</v>
      </c>
      <c r="H53" s="49">
        <f>AVERAGE('17.10 bukomero-Kyankwanzi'!H53,'18.10 bukomero-Kyankwanzi'!H53,'19.10 bukomero-Kyankwanzi-24h'!H53,'20.10 bukomero-Kyankwanzi'!H53,'21.10 bukomero-Kyankwanzi-24h'!H53,'22.10 bukomero-Kyankwanzi'!H53,'23.10 bukomero-Kyankwanzi'!H53)</f>
        <v>0</v>
      </c>
      <c r="I53" s="49">
        <f>AVERAGE('17.10 bukomero-Kyankwanzi'!I53,'18.10 bukomero-Kyankwanzi'!I53,'19.10 bukomero-Kyankwanzi-24h'!I53,'20.10 bukomero-Kyankwanzi'!I53,'21.10 bukomero-Kyankwanzi-24h'!I53,'22.10 bukomero-Kyankwanzi'!I53,'23.10 bukomero-Kyankwanzi'!I53)</f>
        <v>0.2857142857142857</v>
      </c>
      <c r="J53" s="49">
        <f>AVERAGE('17.10 bukomero-Kyankwanzi'!J53,'18.10 bukomero-Kyankwanzi'!J53,'19.10 bukomero-Kyankwanzi-24h'!J53,'20.10 bukomero-Kyankwanzi'!J53,'21.10 bukomero-Kyankwanzi-24h'!J53,'22.10 bukomero-Kyankwanzi'!J53,'23.10 bukomero-Kyankwanzi'!J53)</f>
        <v>0</v>
      </c>
      <c r="K53" s="49">
        <f>AVERAGE('17.10 bukomero-Kyankwanzi'!K53,'18.10 bukomero-Kyankwanzi'!K53,'19.10 bukomero-Kyankwanzi-24h'!K53,'20.10 bukomero-Kyankwanzi'!K53,'21.10 bukomero-Kyankwanzi-24h'!K53,'22.10 bukomero-Kyankwanzi'!K53,'23.10 bukomero-Kyankwanzi'!K53)</f>
        <v>0</v>
      </c>
      <c r="L53" s="49">
        <f>AVERAGE('17.10 bukomero-Kyankwanzi'!L53,'18.10 bukomero-Kyankwanzi'!L53,'19.10 bukomero-Kyankwanzi-24h'!L53,'20.10 bukomero-Kyankwanzi'!L53,'21.10 bukomero-Kyankwanzi-24h'!L53,'22.10 bukomero-Kyankwanzi'!L53,'23.10 bukomero-Kyankwanzi'!L53)</f>
        <v>0</v>
      </c>
      <c r="M53" s="49">
        <f>AVERAGE('17.10 bukomero-Kyankwanzi'!M53,'18.10 bukomero-Kyankwanzi'!M53,'19.10 bukomero-Kyankwanzi-24h'!M53,'20.10 bukomero-Kyankwanzi'!M53,'21.10 bukomero-Kyankwanzi-24h'!M53,'22.10 bukomero-Kyankwanzi'!M53,'23.10 bukomero-Kyankwanzi'!M53)</f>
        <v>16.285714285714285</v>
      </c>
      <c r="N53" s="49">
        <f>AVERAGE('17.10 bukomero-Kyankwanzi'!N53,'18.10 bukomero-Kyankwanzi'!N53,'19.10 bukomero-Kyankwanzi-24h'!N53,'20.10 bukomero-Kyankwanzi'!N53,'21.10 bukomero-Kyankwanzi-24h'!N53,'22.10 bukomero-Kyankwanzi'!N53,'23.10 bukomero-Kyankwanzi'!N53)</f>
        <v>0</v>
      </c>
      <c r="O53" s="15">
        <f t="shared" si="0"/>
        <v>1.4285714285714284</v>
      </c>
      <c r="P53" s="15">
        <f t="shared" si="1"/>
        <v>17.714285714285712</v>
      </c>
      <c r="R53" s="8"/>
      <c r="T53"/>
    </row>
    <row r="54" spans="2:20" ht="23.1" customHeight="1" x14ac:dyDescent="0.25">
      <c r="B54" s="23" t="s">
        <v>81</v>
      </c>
      <c r="C54" s="49">
        <f>AVERAGE('17.10 bukomero-Kyankwanzi'!C54,'18.10 bukomero-Kyankwanzi'!C54,'19.10 bukomero-Kyankwanzi-24h'!C54,'20.10 bukomero-Kyankwanzi'!C54,'21.10 bukomero-Kyankwanzi-24h'!C54,'22.10 bukomero-Kyankwanzi'!C54,'23.10 bukomero-Kyankwanzi'!C54)</f>
        <v>0.42857142857142855</v>
      </c>
      <c r="D54" s="49">
        <f>AVERAGE('17.10 bukomero-Kyankwanzi'!D54,'18.10 bukomero-Kyankwanzi'!D54,'19.10 bukomero-Kyankwanzi-24h'!D54,'20.10 bukomero-Kyankwanzi'!D54,'21.10 bukomero-Kyankwanzi-24h'!D54,'22.10 bukomero-Kyankwanzi'!D54,'23.10 bukomero-Kyankwanzi'!D54)</f>
        <v>0.2857142857142857</v>
      </c>
      <c r="E54" s="49">
        <f>AVERAGE('17.10 bukomero-Kyankwanzi'!E54,'18.10 bukomero-Kyankwanzi'!E54,'19.10 bukomero-Kyankwanzi-24h'!E54,'20.10 bukomero-Kyankwanzi'!E54,'21.10 bukomero-Kyankwanzi-24h'!E54,'22.10 bukomero-Kyankwanzi'!E54,'23.10 bukomero-Kyankwanzi'!E54)</f>
        <v>0.42857142857142855</v>
      </c>
      <c r="F54" s="49">
        <f>AVERAGE('17.10 bukomero-Kyankwanzi'!F54,'18.10 bukomero-Kyankwanzi'!F54,'19.10 bukomero-Kyankwanzi-24h'!F54,'20.10 bukomero-Kyankwanzi'!F54,'21.10 bukomero-Kyankwanzi-24h'!F54,'22.10 bukomero-Kyankwanzi'!F54,'23.10 bukomero-Kyankwanzi'!F54)</f>
        <v>0.14285714285714285</v>
      </c>
      <c r="G54" s="49">
        <f>AVERAGE('17.10 bukomero-Kyankwanzi'!G54,'18.10 bukomero-Kyankwanzi'!G54,'19.10 bukomero-Kyankwanzi-24h'!G54,'20.10 bukomero-Kyankwanzi'!G54,'21.10 bukomero-Kyankwanzi-24h'!G54,'22.10 bukomero-Kyankwanzi'!G54,'23.10 bukomero-Kyankwanzi'!G54)</f>
        <v>0</v>
      </c>
      <c r="H54" s="49">
        <f>AVERAGE('17.10 bukomero-Kyankwanzi'!H54,'18.10 bukomero-Kyankwanzi'!H54,'19.10 bukomero-Kyankwanzi-24h'!H54,'20.10 bukomero-Kyankwanzi'!H54,'21.10 bukomero-Kyankwanzi-24h'!H54,'22.10 bukomero-Kyankwanzi'!H54,'23.10 bukomero-Kyankwanzi'!H54)</f>
        <v>0</v>
      </c>
      <c r="I54" s="49">
        <f>AVERAGE('17.10 bukomero-Kyankwanzi'!I54,'18.10 bukomero-Kyankwanzi'!I54,'19.10 bukomero-Kyankwanzi-24h'!I54,'20.10 bukomero-Kyankwanzi'!I54,'21.10 bukomero-Kyankwanzi-24h'!I54,'22.10 bukomero-Kyankwanzi'!I54,'23.10 bukomero-Kyankwanzi'!I54)</f>
        <v>0.7142857142857143</v>
      </c>
      <c r="J54" s="49">
        <f>AVERAGE('17.10 bukomero-Kyankwanzi'!J54,'18.10 bukomero-Kyankwanzi'!J54,'19.10 bukomero-Kyankwanzi-24h'!J54,'20.10 bukomero-Kyankwanzi'!J54,'21.10 bukomero-Kyankwanzi-24h'!J54,'22.10 bukomero-Kyankwanzi'!J54,'23.10 bukomero-Kyankwanzi'!J54)</f>
        <v>0.2857142857142857</v>
      </c>
      <c r="K54" s="49">
        <f>AVERAGE('17.10 bukomero-Kyankwanzi'!K54,'18.10 bukomero-Kyankwanzi'!K54,'19.10 bukomero-Kyankwanzi-24h'!K54,'20.10 bukomero-Kyankwanzi'!K54,'21.10 bukomero-Kyankwanzi-24h'!K54,'22.10 bukomero-Kyankwanzi'!K54,'23.10 bukomero-Kyankwanzi'!K54)</f>
        <v>0</v>
      </c>
      <c r="L54" s="49">
        <f>AVERAGE('17.10 bukomero-Kyankwanzi'!L54,'18.10 bukomero-Kyankwanzi'!L54,'19.10 bukomero-Kyankwanzi-24h'!L54,'20.10 bukomero-Kyankwanzi'!L54,'21.10 bukomero-Kyankwanzi-24h'!L54,'22.10 bukomero-Kyankwanzi'!L54,'23.10 bukomero-Kyankwanzi'!L54)</f>
        <v>0</v>
      </c>
      <c r="M54" s="49">
        <f>AVERAGE('17.10 bukomero-Kyankwanzi'!M54,'18.10 bukomero-Kyankwanzi'!M54,'19.10 bukomero-Kyankwanzi-24h'!M54,'20.10 bukomero-Kyankwanzi'!M54,'21.10 bukomero-Kyankwanzi-24h'!M54,'22.10 bukomero-Kyankwanzi'!M54,'23.10 bukomero-Kyankwanzi'!M54)</f>
        <v>12.857142857142858</v>
      </c>
      <c r="N54" s="49">
        <f>AVERAGE('17.10 bukomero-Kyankwanzi'!N54,'18.10 bukomero-Kyankwanzi'!N54,'19.10 bukomero-Kyankwanzi-24h'!N54,'20.10 bukomero-Kyankwanzi'!N54,'21.10 bukomero-Kyankwanzi-24h'!N54,'22.10 bukomero-Kyankwanzi'!N54,'23.10 bukomero-Kyankwanzi'!N54)</f>
        <v>0</v>
      </c>
      <c r="O54" s="15">
        <f t="shared" si="0"/>
        <v>2.2857142857142856</v>
      </c>
      <c r="P54" s="15">
        <f t="shared" si="1"/>
        <v>15.142857142857142</v>
      </c>
      <c r="R54" s="8"/>
      <c r="T54"/>
    </row>
    <row r="55" spans="2:20" ht="23.1" customHeight="1" x14ac:dyDescent="0.25">
      <c r="B55" s="23" t="s">
        <v>82</v>
      </c>
      <c r="C55" s="49">
        <f>AVERAGE('17.10 bukomero-Kyankwanzi'!C55,'18.10 bukomero-Kyankwanzi'!C55,'19.10 bukomero-Kyankwanzi-24h'!C55,'20.10 bukomero-Kyankwanzi'!C55,'21.10 bukomero-Kyankwanzi-24h'!C55,'22.10 bukomero-Kyankwanzi'!C55,'23.10 bukomero-Kyankwanzi'!C55)</f>
        <v>0.42857142857142855</v>
      </c>
      <c r="D55" s="49">
        <f>AVERAGE('17.10 bukomero-Kyankwanzi'!D55,'18.10 bukomero-Kyankwanzi'!D55,'19.10 bukomero-Kyankwanzi-24h'!D55,'20.10 bukomero-Kyankwanzi'!D55,'21.10 bukomero-Kyankwanzi-24h'!D55,'22.10 bukomero-Kyankwanzi'!D55,'23.10 bukomero-Kyankwanzi'!D55)</f>
        <v>0.14285714285714285</v>
      </c>
      <c r="E55" s="49">
        <f>AVERAGE('17.10 bukomero-Kyankwanzi'!E55,'18.10 bukomero-Kyankwanzi'!E55,'19.10 bukomero-Kyankwanzi-24h'!E55,'20.10 bukomero-Kyankwanzi'!E55,'21.10 bukomero-Kyankwanzi-24h'!E55,'22.10 bukomero-Kyankwanzi'!E55,'23.10 bukomero-Kyankwanzi'!E55)</f>
        <v>0.2857142857142857</v>
      </c>
      <c r="F55" s="49">
        <f>AVERAGE('17.10 bukomero-Kyankwanzi'!F55,'18.10 bukomero-Kyankwanzi'!F55,'19.10 bukomero-Kyankwanzi-24h'!F55,'20.10 bukomero-Kyankwanzi'!F55,'21.10 bukomero-Kyankwanzi-24h'!F55,'22.10 bukomero-Kyankwanzi'!F55,'23.10 bukomero-Kyankwanzi'!F55)</f>
        <v>0</v>
      </c>
      <c r="G55" s="49">
        <f>AVERAGE('17.10 bukomero-Kyankwanzi'!G55,'18.10 bukomero-Kyankwanzi'!G55,'19.10 bukomero-Kyankwanzi-24h'!G55,'20.10 bukomero-Kyankwanzi'!G55,'21.10 bukomero-Kyankwanzi-24h'!G55,'22.10 bukomero-Kyankwanzi'!G55,'23.10 bukomero-Kyankwanzi'!G55)</f>
        <v>0</v>
      </c>
      <c r="H55" s="49">
        <f>AVERAGE('17.10 bukomero-Kyankwanzi'!H55,'18.10 bukomero-Kyankwanzi'!H55,'19.10 bukomero-Kyankwanzi-24h'!H55,'20.10 bukomero-Kyankwanzi'!H55,'21.10 bukomero-Kyankwanzi-24h'!H55,'22.10 bukomero-Kyankwanzi'!H55,'23.10 bukomero-Kyankwanzi'!H55)</f>
        <v>0</v>
      </c>
      <c r="I55" s="49">
        <f>AVERAGE('17.10 bukomero-Kyankwanzi'!I55,'18.10 bukomero-Kyankwanzi'!I55,'19.10 bukomero-Kyankwanzi-24h'!I55,'20.10 bukomero-Kyankwanzi'!I55,'21.10 bukomero-Kyankwanzi-24h'!I55,'22.10 bukomero-Kyankwanzi'!I55,'23.10 bukomero-Kyankwanzi'!I55)</f>
        <v>0.42857142857142855</v>
      </c>
      <c r="J55" s="49">
        <f>AVERAGE('17.10 bukomero-Kyankwanzi'!J55,'18.10 bukomero-Kyankwanzi'!J55,'19.10 bukomero-Kyankwanzi-24h'!J55,'20.10 bukomero-Kyankwanzi'!J55,'21.10 bukomero-Kyankwanzi-24h'!J55,'22.10 bukomero-Kyankwanzi'!J55,'23.10 bukomero-Kyankwanzi'!J55)</f>
        <v>0.42857142857142855</v>
      </c>
      <c r="K55" s="49">
        <f>AVERAGE('17.10 bukomero-Kyankwanzi'!K55,'18.10 bukomero-Kyankwanzi'!K55,'19.10 bukomero-Kyankwanzi-24h'!K55,'20.10 bukomero-Kyankwanzi'!K55,'21.10 bukomero-Kyankwanzi-24h'!K55,'22.10 bukomero-Kyankwanzi'!K55,'23.10 bukomero-Kyankwanzi'!K55)</f>
        <v>0.14285714285714285</v>
      </c>
      <c r="L55" s="49">
        <f>AVERAGE('17.10 bukomero-Kyankwanzi'!L55,'18.10 bukomero-Kyankwanzi'!L55,'19.10 bukomero-Kyankwanzi-24h'!L55,'20.10 bukomero-Kyankwanzi'!L55,'21.10 bukomero-Kyankwanzi-24h'!L55,'22.10 bukomero-Kyankwanzi'!L55,'23.10 bukomero-Kyankwanzi'!L55)</f>
        <v>0</v>
      </c>
      <c r="M55" s="49">
        <f>AVERAGE('17.10 bukomero-Kyankwanzi'!M55,'18.10 bukomero-Kyankwanzi'!M55,'19.10 bukomero-Kyankwanzi-24h'!M55,'20.10 bukomero-Kyankwanzi'!M55,'21.10 bukomero-Kyankwanzi-24h'!M55,'22.10 bukomero-Kyankwanzi'!M55,'23.10 bukomero-Kyankwanzi'!M55)</f>
        <v>16.428571428571427</v>
      </c>
      <c r="N55" s="49">
        <f>AVERAGE('17.10 bukomero-Kyankwanzi'!N55,'18.10 bukomero-Kyankwanzi'!N55,'19.10 bukomero-Kyankwanzi-24h'!N55,'20.10 bukomero-Kyankwanzi'!N55,'21.10 bukomero-Kyankwanzi-24h'!N55,'22.10 bukomero-Kyankwanzi'!N55,'23.10 bukomero-Kyankwanzi'!N55)</f>
        <v>0</v>
      </c>
      <c r="O55" s="15">
        <f t="shared" si="0"/>
        <v>1.857142857142857</v>
      </c>
      <c r="P55" s="15">
        <f t="shared" si="1"/>
        <v>18.285714285714285</v>
      </c>
      <c r="R55" s="8"/>
      <c r="T55"/>
    </row>
    <row r="56" spans="2:20" ht="23.1" customHeight="1" x14ac:dyDescent="0.25">
      <c r="B56" s="23" t="s">
        <v>83</v>
      </c>
      <c r="C56" s="49">
        <f>AVERAGE('17.10 bukomero-Kyankwanzi'!C56,'18.10 bukomero-Kyankwanzi'!C56,'19.10 bukomero-Kyankwanzi-24h'!C56,'20.10 bukomero-Kyankwanzi'!C56,'21.10 bukomero-Kyankwanzi-24h'!C56,'22.10 bukomero-Kyankwanzi'!C56,'23.10 bukomero-Kyankwanzi'!C56)</f>
        <v>0.5714285714285714</v>
      </c>
      <c r="D56" s="49">
        <f>AVERAGE('17.10 bukomero-Kyankwanzi'!D56,'18.10 bukomero-Kyankwanzi'!D56,'19.10 bukomero-Kyankwanzi-24h'!D56,'20.10 bukomero-Kyankwanzi'!D56,'21.10 bukomero-Kyankwanzi-24h'!D56,'22.10 bukomero-Kyankwanzi'!D56,'23.10 bukomero-Kyankwanzi'!D56)</f>
        <v>0</v>
      </c>
      <c r="E56" s="49">
        <f>AVERAGE('17.10 bukomero-Kyankwanzi'!E56,'18.10 bukomero-Kyankwanzi'!E56,'19.10 bukomero-Kyankwanzi-24h'!E56,'20.10 bukomero-Kyankwanzi'!E56,'21.10 bukomero-Kyankwanzi-24h'!E56,'22.10 bukomero-Kyankwanzi'!E56,'23.10 bukomero-Kyankwanzi'!E56)</f>
        <v>0.14285714285714285</v>
      </c>
      <c r="F56" s="49">
        <f>AVERAGE('17.10 bukomero-Kyankwanzi'!F56,'18.10 bukomero-Kyankwanzi'!F56,'19.10 bukomero-Kyankwanzi-24h'!F56,'20.10 bukomero-Kyankwanzi'!F56,'21.10 bukomero-Kyankwanzi-24h'!F56,'22.10 bukomero-Kyankwanzi'!F56,'23.10 bukomero-Kyankwanzi'!F56)</f>
        <v>0.14285714285714285</v>
      </c>
      <c r="G56" s="49">
        <f>AVERAGE('17.10 bukomero-Kyankwanzi'!G56,'18.10 bukomero-Kyankwanzi'!G56,'19.10 bukomero-Kyankwanzi-24h'!G56,'20.10 bukomero-Kyankwanzi'!G56,'21.10 bukomero-Kyankwanzi-24h'!G56,'22.10 bukomero-Kyankwanzi'!G56,'23.10 bukomero-Kyankwanzi'!G56)</f>
        <v>0</v>
      </c>
      <c r="H56" s="49">
        <f>AVERAGE('17.10 bukomero-Kyankwanzi'!H56,'18.10 bukomero-Kyankwanzi'!H56,'19.10 bukomero-Kyankwanzi-24h'!H56,'20.10 bukomero-Kyankwanzi'!H56,'21.10 bukomero-Kyankwanzi-24h'!H56,'22.10 bukomero-Kyankwanzi'!H56,'23.10 bukomero-Kyankwanzi'!H56)</f>
        <v>0</v>
      </c>
      <c r="I56" s="49">
        <f>AVERAGE('17.10 bukomero-Kyankwanzi'!I56,'18.10 bukomero-Kyankwanzi'!I56,'19.10 bukomero-Kyankwanzi-24h'!I56,'20.10 bukomero-Kyankwanzi'!I56,'21.10 bukomero-Kyankwanzi-24h'!I56,'22.10 bukomero-Kyankwanzi'!I56,'23.10 bukomero-Kyankwanzi'!I56)</f>
        <v>0.5714285714285714</v>
      </c>
      <c r="J56" s="49">
        <f>AVERAGE('17.10 bukomero-Kyankwanzi'!J56,'18.10 bukomero-Kyankwanzi'!J56,'19.10 bukomero-Kyankwanzi-24h'!J56,'20.10 bukomero-Kyankwanzi'!J56,'21.10 bukomero-Kyankwanzi-24h'!J56,'22.10 bukomero-Kyankwanzi'!J56,'23.10 bukomero-Kyankwanzi'!J56)</f>
        <v>0.2857142857142857</v>
      </c>
      <c r="K56" s="49">
        <f>AVERAGE('17.10 bukomero-Kyankwanzi'!K56,'18.10 bukomero-Kyankwanzi'!K56,'19.10 bukomero-Kyankwanzi-24h'!K56,'20.10 bukomero-Kyankwanzi'!K56,'21.10 bukomero-Kyankwanzi-24h'!K56,'22.10 bukomero-Kyankwanzi'!K56,'23.10 bukomero-Kyankwanzi'!K56)</f>
        <v>0</v>
      </c>
      <c r="L56" s="49">
        <f>AVERAGE('17.10 bukomero-Kyankwanzi'!L56,'18.10 bukomero-Kyankwanzi'!L56,'19.10 bukomero-Kyankwanzi-24h'!L56,'20.10 bukomero-Kyankwanzi'!L56,'21.10 bukomero-Kyankwanzi-24h'!L56,'22.10 bukomero-Kyankwanzi'!L56,'23.10 bukomero-Kyankwanzi'!L56)</f>
        <v>0</v>
      </c>
      <c r="M56" s="49">
        <f>AVERAGE('17.10 bukomero-Kyankwanzi'!M56,'18.10 bukomero-Kyankwanzi'!M56,'19.10 bukomero-Kyankwanzi-24h'!M56,'20.10 bukomero-Kyankwanzi'!M56,'21.10 bukomero-Kyankwanzi-24h'!M56,'22.10 bukomero-Kyankwanzi'!M56,'23.10 bukomero-Kyankwanzi'!M56)</f>
        <v>15</v>
      </c>
      <c r="N56" s="49">
        <f>AVERAGE('17.10 bukomero-Kyankwanzi'!N56,'18.10 bukomero-Kyankwanzi'!N56,'19.10 bukomero-Kyankwanzi-24h'!N56,'20.10 bukomero-Kyankwanzi'!N56,'21.10 bukomero-Kyankwanzi-24h'!N56,'22.10 bukomero-Kyankwanzi'!N56,'23.10 bukomero-Kyankwanzi'!N56)</f>
        <v>0</v>
      </c>
      <c r="O56" s="15">
        <f t="shared" si="0"/>
        <v>1.714285714285714</v>
      </c>
      <c r="P56" s="15">
        <f t="shared" si="1"/>
        <v>16.714285714285715</v>
      </c>
      <c r="R56" s="8"/>
      <c r="T56"/>
    </row>
    <row r="57" spans="2:20" ht="23.1" customHeight="1" x14ac:dyDescent="0.25">
      <c r="B57" s="23" t="s">
        <v>84</v>
      </c>
      <c r="C57" s="49">
        <f>AVERAGE('17.10 bukomero-Kyankwanzi'!C57,'18.10 bukomero-Kyankwanzi'!C57,'19.10 bukomero-Kyankwanzi-24h'!C57,'20.10 bukomero-Kyankwanzi'!C57,'21.10 bukomero-Kyankwanzi-24h'!C57,'22.10 bukomero-Kyankwanzi'!C57,'23.10 bukomero-Kyankwanzi'!C57)</f>
        <v>1</v>
      </c>
      <c r="D57" s="49">
        <f>AVERAGE('17.10 bukomero-Kyankwanzi'!D57,'18.10 bukomero-Kyankwanzi'!D57,'19.10 bukomero-Kyankwanzi-24h'!D57,'20.10 bukomero-Kyankwanzi'!D57,'21.10 bukomero-Kyankwanzi-24h'!D57,'22.10 bukomero-Kyankwanzi'!D57,'23.10 bukomero-Kyankwanzi'!D57)</f>
        <v>0</v>
      </c>
      <c r="E57" s="49">
        <f>AVERAGE('17.10 bukomero-Kyankwanzi'!E57,'18.10 bukomero-Kyankwanzi'!E57,'19.10 bukomero-Kyankwanzi-24h'!E57,'20.10 bukomero-Kyankwanzi'!E57,'21.10 bukomero-Kyankwanzi-24h'!E57,'22.10 bukomero-Kyankwanzi'!E57,'23.10 bukomero-Kyankwanzi'!E57)</f>
        <v>0.14285714285714285</v>
      </c>
      <c r="F57" s="49">
        <f>AVERAGE('17.10 bukomero-Kyankwanzi'!F57,'18.10 bukomero-Kyankwanzi'!F57,'19.10 bukomero-Kyankwanzi-24h'!F57,'20.10 bukomero-Kyankwanzi'!F57,'21.10 bukomero-Kyankwanzi-24h'!F57,'22.10 bukomero-Kyankwanzi'!F57,'23.10 bukomero-Kyankwanzi'!F57)</f>
        <v>0</v>
      </c>
      <c r="G57" s="49">
        <f>AVERAGE('17.10 bukomero-Kyankwanzi'!G57,'18.10 bukomero-Kyankwanzi'!G57,'19.10 bukomero-Kyankwanzi-24h'!G57,'20.10 bukomero-Kyankwanzi'!G57,'21.10 bukomero-Kyankwanzi-24h'!G57,'22.10 bukomero-Kyankwanzi'!G57,'23.10 bukomero-Kyankwanzi'!G57)</f>
        <v>0</v>
      </c>
      <c r="H57" s="49">
        <f>AVERAGE('17.10 bukomero-Kyankwanzi'!H57,'18.10 bukomero-Kyankwanzi'!H57,'19.10 bukomero-Kyankwanzi-24h'!H57,'20.10 bukomero-Kyankwanzi'!H57,'21.10 bukomero-Kyankwanzi-24h'!H57,'22.10 bukomero-Kyankwanzi'!H57,'23.10 bukomero-Kyankwanzi'!H57)</f>
        <v>0</v>
      </c>
      <c r="I57" s="49">
        <f>AVERAGE('17.10 bukomero-Kyankwanzi'!I57,'18.10 bukomero-Kyankwanzi'!I57,'19.10 bukomero-Kyankwanzi-24h'!I57,'20.10 bukomero-Kyankwanzi'!I57,'21.10 bukomero-Kyankwanzi-24h'!I57,'22.10 bukomero-Kyankwanzi'!I57,'23.10 bukomero-Kyankwanzi'!I57)</f>
        <v>0.7142857142857143</v>
      </c>
      <c r="J57" s="49">
        <f>AVERAGE('17.10 bukomero-Kyankwanzi'!J57,'18.10 bukomero-Kyankwanzi'!J57,'19.10 bukomero-Kyankwanzi-24h'!J57,'20.10 bukomero-Kyankwanzi'!J57,'21.10 bukomero-Kyankwanzi-24h'!J57,'22.10 bukomero-Kyankwanzi'!J57,'23.10 bukomero-Kyankwanzi'!J57)</f>
        <v>0.42857142857142855</v>
      </c>
      <c r="K57" s="49">
        <f>AVERAGE('17.10 bukomero-Kyankwanzi'!K57,'18.10 bukomero-Kyankwanzi'!K57,'19.10 bukomero-Kyankwanzi-24h'!K57,'20.10 bukomero-Kyankwanzi'!K57,'21.10 bukomero-Kyankwanzi-24h'!K57,'22.10 bukomero-Kyankwanzi'!K57,'23.10 bukomero-Kyankwanzi'!K57)</f>
        <v>0</v>
      </c>
      <c r="L57" s="49">
        <f>AVERAGE('17.10 bukomero-Kyankwanzi'!L57,'18.10 bukomero-Kyankwanzi'!L57,'19.10 bukomero-Kyankwanzi-24h'!L57,'20.10 bukomero-Kyankwanzi'!L57,'21.10 bukomero-Kyankwanzi-24h'!L57,'22.10 bukomero-Kyankwanzi'!L57,'23.10 bukomero-Kyankwanzi'!L57)</f>
        <v>0</v>
      </c>
      <c r="M57" s="49">
        <f>AVERAGE('17.10 bukomero-Kyankwanzi'!M57,'18.10 bukomero-Kyankwanzi'!M57,'19.10 bukomero-Kyankwanzi-24h'!M57,'20.10 bukomero-Kyankwanzi'!M57,'21.10 bukomero-Kyankwanzi-24h'!M57,'22.10 bukomero-Kyankwanzi'!M57,'23.10 bukomero-Kyankwanzi'!M57)</f>
        <v>14.857142857142858</v>
      </c>
      <c r="N57" s="49">
        <f>AVERAGE('17.10 bukomero-Kyankwanzi'!N57,'18.10 bukomero-Kyankwanzi'!N57,'19.10 bukomero-Kyankwanzi-24h'!N57,'20.10 bukomero-Kyankwanzi'!N57,'21.10 bukomero-Kyankwanzi-24h'!N57,'22.10 bukomero-Kyankwanzi'!N57,'23.10 bukomero-Kyankwanzi'!N57)</f>
        <v>0</v>
      </c>
      <c r="O57" s="15">
        <f t="shared" si="0"/>
        <v>2.2857142857142856</v>
      </c>
      <c r="P57" s="15">
        <f t="shared" si="1"/>
        <v>17.142857142857142</v>
      </c>
      <c r="R57" s="8"/>
      <c r="T57"/>
    </row>
    <row r="58" spans="2:20" ht="23.1" customHeight="1" x14ac:dyDescent="0.25">
      <c r="B58" s="23" t="s">
        <v>99</v>
      </c>
      <c r="C58" s="49">
        <f>AVERAGE('19.10 bukomero-Kyankwanzi-24h'!C58,'21.10 bukomero-Kyankwanzi-24h'!C58)</f>
        <v>1.5</v>
      </c>
      <c r="D58" s="49">
        <f>AVERAGE('19.10 bukomero-Kyankwanzi-24h'!D58,'21.10 bukomero-Kyankwanzi-24h'!D58)</f>
        <v>0</v>
      </c>
      <c r="E58" s="49">
        <f>AVERAGE('19.10 bukomero-Kyankwanzi-24h'!E58,'21.10 bukomero-Kyankwanzi-24h'!E58)</f>
        <v>0</v>
      </c>
      <c r="F58" s="49">
        <f>AVERAGE('19.10 bukomero-Kyankwanzi-24h'!F58,'21.10 bukomero-Kyankwanzi-24h'!F58)</f>
        <v>0</v>
      </c>
      <c r="G58" s="49">
        <f>AVERAGE('19.10 bukomero-Kyankwanzi-24h'!G58,'21.10 bukomero-Kyankwanzi-24h'!G58)</f>
        <v>0</v>
      </c>
      <c r="H58" s="49">
        <f>AVERAGE('19.10 bukomero-Kyankwanzi-24h'!H58,'21.10 bukomero-Kyankwanzi-24h'!H58)</f>
        <v>0</v>
      </c>
      <c r="I58" s="49">
        <f>AVERAGE('19.10 bukomero-Kyankwanzi-24h'!I58,'21.10 bukomero-Kyankwanzi-24h'!I58)</f>
        <v>0.5</v>
      </c>
      <c r="J58" s="49">
        <f>AVERAGE('19.10 bukomero-Kyankwanzi-24h'!J58,'21.10 bukomero-Kyankwanzi-24h'!J58)</f>
        <v>0</v>
      </c>
      <c r="K58" s="49">
        <f>AVERAGE('19.10 bukomero-Kyankwanzi-24h'!K58,'21.10 bukomero-Kyankwanzi-24h'!K58)</f>
        <v>0</v>
      </c>
      <c r="L58" s="49">
        <f>AVERAGE('19.10 bukomero-Kyankwanzi-24h'!L58,'21.10 bukomero-Kyankwanzi-24h'!L58)</f>
        <v>0</v>
      </c>
      <c r="M58" s="49">
        <f>AVERAGE('19.10 bukomero-Kyankwanzi-24h'!M58,'21.10 bukomero-Kyankwanzi-24h'!M58)</f>
        <v>14.5</v>
      </c>
      <c r="N58" s="49">
        <f>AVERAGE('19.10 bukomero-Kyankwanzi-24h'!N58,'21.10 bukomero-Kyankwanzi-24h'!N58)</f>
        <v>0</v>
      </c>
      <c r="O58" s="15">
        <f t="shared" si="0"/>
        <v>2</v>
      </c>
      <c r="P58" s="15">
        <f t="shared" si="1"/>
        <v>16.5</v>
      </c>
      <c r="R58" s="8"/>
      <c r="T58"/>
    </row>
    <row r="59" spans="2:20" ht="23.1" customHeight="1" x14ac:dyDescent="0.25">
      <c r="B59" s="23" t="s">
        <v>100</v>
      </c>
      <c r="C59" s="49">
        <f>AVERAGE('19.10 bukomero-Kyankwanzi-24h'!C59,'21.10 bukomero-Kyankwanzi-24h'!C59)</f>
        <v>0.5</v>
      </c>
      <c r="D59" s="49">
        <f>AVERAGE('19.10 bukomero-Kyankwanzi-24h'!D59,'21.10 bukomero-Kyankwanzi-24h'!D59)</f>
        <v>0</v>
      </c>
      <c r="E59" s="49">
        <f>AVERAGE('19.10 bukomero-Kyankwanzi-24h'!E59,'21.10 bukomero-Kyankwanzi-24h'!E59)</f>
        <v>0</v>
      </c>
      <c r="F59" s="49">
        <f>AVERAGE('19.10 bukomero-Kyankwanzi-24h'!F59,'21.10 bukomero-Kyankwanzi-24h'!F59)</f>
        <v>0</v>
      </c>
      <c r="G59" s="49">
        <f>AVERAGE('19.10 bukomero-Kyankwanzi-24h'!G59,'21.10 bukomero-Kyankwanzi-24h'!G59)</f>
        <v>0</v>
      </c>
      <c r="H59" s="49">
        <f>AVERAGE('19.10 bukomero-Kyankwanzi-24h'!H59,'21.10 bukomero-Kyankwanzi-24h'!H59)</f>
        <v>0</v>
      </c>
      <c r="I59" s="49">
        <f>AVERAGE('19.10 bukomero-Kyankwanzi-24h'!I59,'21.10 bukomero-Kyankwanzi-24h'!I59)</f>
        <v>0</v>
      </c>
      <c r="J59" s="49">
        <f>AVERAGE('19.10 bukomero-Kyankwanzi-24h'!J59,'21.10 bukomero-Kyankwanzi-24h'!J59)</f>
        <v>0</v>
      </c>
      <c r="K59" s="49">
        <f>AVERAGE('19.10 bukomero-Kyankwanzi-24h'!K59,'21.10 bukomero-Kyankwanzi-24h'!K59)</f>
        <v>0</v>
      </c>
      <c r="L59" s="49">
        <f>AVERAGE('19.10 bukomero-Kyankwanzi-24h'!L59,'21.10 bukomero-Kyankwanzi-24h'!L59)</f>
        <v>0</v>
      </c>
      <c r="M59" s="49">
        <f>AVERAGE('19.10 bukomero-Kyankwanzi-24h'!M59,'21.10 bukomero-Kyankwanzi-24h'!M59)</f>
        <v>12</v>
      </c>
      <c r="N59" s="49">
        <f>AVERAGE('19.10 bukomero-Kyankwanzi-24h'!N59,'21.10 bukomero-Kyankwanzi-24h'!N59)</f>
        <v>0</v>
      </c>
      <c r="O59" s="15">
        <f t="shared" si="0"/>
        <v>0.5</v>
      </c>
      <c r="P59" s="15">
        <f t="shared" si="1"/>
        <v>12.5</v>
      </c>
      <c r="R59" s="8"/>
      <c r="T59"/>
    </row>
    <row r="60" spans="2:20" ht="23.1" customHeight="1" x14ac:dyDescent="0.25">
      <c r="B60" s="23" t="s">
        <v>101</v>
      </c>
      <c r="C60" s="49">
        <f>AVERAGE('19.10 bukomero-Kyankwanzi-24h'!C60,'21.10 bukomero-Kyankwanzi-24h'!C60)</f>
        <v>0</v>
      </c>
      <c r="D60" s="49">
        <f>AVERAGE('19.10 bukomero-Kyankwanzi-24h'!D60,'21.10 bukomero-Kyankwanzi-24h'!D60)</f>
        <v>0</v>
      </c>
      <c r="E60" s="49">
        <f>AVERAGE('19.10 bukomero-Kyankwanzi-24h'!E60,'21.10 bukomero-Kyankwanzi-24h'!E60)</f>
        <v>0</v>
      </c>
      <c r="F60" s="49">
        <f>AVERAGE('19.10 bukomero-Kyankwanzi-24h'!F60,'21.10 bukomero-Kyankwanzi-24h'!F60)</f>
        <v>0</v>
      </c>
      <c r="G60" s="49">
        <f>AVERAGE('19.10 bukomero-Kyankwanzi-24h'!G60,'21.10 bukomero-Kyankwanzi-24h'!G60)</f>
        <v>0</v>
      </c>
      <c r="H60" s="49">
        <f>AVERAGE('19.10 bukomero-Kyankwanzi-24h'!H60,'21.10 bukomero-Kyankwanzi-24h'!H60)</f>
        <v>0</v>
      </c>
      <c r="I60" s="49">
        <f>AVERAGE('19.10 bukomero-Kyankwanzi-24h'!I60,'21.10 bukomero-Kyankwanzi-24h'!I60)</f>
        <v>0.5</v>
      </c>
      <c r="J60" s="49">
        <f>AVERAGE('19.10 bukomero-Kyankwanzi-24h'!J60,'21.10 bukomero-Kyankwanzi-24h'!J60)</f>
        <v>1</v>
      </c>
      <c r="K60" s="49">
        <f>AVERAGE('19.10 bukomero-Kyankwanzi-24h'!K60,'21.10 bukomero-Kyankwanzi-24h'!K60)</f>
        <v>0</v>
      </c>
      <c r="L60" s="49">
        <f>AVERAGE('19.10 bukomero-Kyankwanzi-24h'!L60,'21.10 bukomero-Kyankwanzi-24h'!L60)</f>
        <v>0</v>
      </c>
      <c r="M60" s="49">
        <f>AVERAGE('19.10 bukomero-Kyankwanzi-24h'!M60,'21.10 bukomero-Kyankwanzi-24h'!M60)</f>
        <v>9</v>
      </c>
      <c r="N60" s="49">
        <f>AVERAGE('19.10 bukomero-Kyankwanzi-24h'!N60,'21.10 bukomero-Kyankwanzi-24h'!N60)</f>
        <v>0</v>
      </c>
      <c r="O60" s="15">
        <f t="shared" si="0"/>
        <v>1.5</v>
      </c>
      <c r="P60" s="15">
        <f t="shared" si="1"/>
        <v>10.5</v>
      </c>
      <c r="R60" s="8"/>
      <c r="T60"/>
    </row>
    <row r="61" spans="2:20" ht="23.1" customHeight="1" x14ac:dyDescent="0.25">
      <c r="B61" s="23" t="s">
        <v>102</v>
      </c>
      <c r="C61" s="49">
        <f>AVERAGE('19.10 bukomero-Kyankwanzi-24h'!C61,'21.10 bukomero-Kyankwanzi-24h'!C61)</f>
        <v>1</v>
      </c>
      <c r="D61" s="49">
        <f>AVERAGE('19.10 bukomero-Kyankwanzi-24h'!D61,'21.10 bukomero-Kyankwanzi-24h'!D61)</f>
        <v>0</v>
      </c>
      <c r="E61" s="49">
        <f>AVERAGE('19.10 bukomero-Kyankwanzi-24h'!E61,'21.10 bukomero-Kyankwanzi-24h'!E61)</f>
        <v>0</v>
      </c>
      <c r="F61" s="49">
        <f>AVERAGE('19.10 bukomero-Kyankwanzi-24h'!F61,'21.10 bukomero-Kyankwanzi-24h'!F61)</f>
        <v>0</v>
      </c>
      <c r="G61" s="49">
        <f>AVERAGE('19.10 bukomero-Kyankwanzi-24h'!G61,'21.10 bukomero-Kyankwanzi-24h'!G61)</f>
        <v>0</v>
      </c>
      <c r="H61" s="49">
        <f>AVERAGE('19.10 bukomero-Kyankwanzi-24h'!H61,'21.10 bukomero-Kyankwanzi-24h'!H61)</f>
        <v>0</v>
      </c>
      <c r="I61" s="49">
        <f>AVERAGE('19.10 bukomero-Kyankwanzi-24h'!I61,'21.10 bukomero-Kyankwanzi-24h'!I61)</f>
        <v>0</v>
      </c>
      <c r="J61" s="49">
        <f>AVERAGE('19.10 bukomero-Kyankwanzi-24h'!J61,'21.10 bukomero-Kyankwanzi-24h'!J61)</f>
        <v>0</v>
      </c>
      <c r="K61" s="49">
        <f>AVERAGE('19.10 bukomero-Kyankwanzi-24h'!K61,'21.10 bukomero-Kyankwanzi-24h'!K61)</f>
        <v>0</v>
      </c>
      <c r="L61" s="49">
        <f>AVERAGE('19.10 bukomero-Kyankwanzi-24h'!L61,'21.10 bukomero-Kyankwanzi-24h'!L61)</f>
        <v>0</v>
      </c>
      <c r="M61" s="49">
        <f>AVERAGE('19.10 bukomero-Kyankwanzi-24h'!M61,'21.10 bukomero-Kyankwanzi-24h'!M61)</f>
        <v>13</v>
      </c>
      <c r="N61" s="49">
        <f>AVERAGE('19.10 bukomero-Kyankwanzi-24h'!N61,'21.10 bukomero-Kyankwanzi-24h'!N61)</f>
        <v>0</v>
      </c>
      <c r="O61" s="15">
        <f t="shared" si="0"/>
        <v>1</v>
      </c>
      <c r="P61" s="15">
        <f t="shared" si="1"/>
        <v>14</v>
      </c>
      <c r="R61" s="8"/>
      <c r="T61"/>
    </row>
    <row r="62" spans="2:20" ht="23.1" customHeight="1" x14ac:dyDescent="0.25">
      <c r="B62" s="23" t="s">
        <v>107</v>
      </c>
      <c r="C62" s="49">
        <f>AVERAGE('19.10 bukomero-Kyankwanzi-24h'!C62,'21.10 bukomero-Kyankwanzi-24h'!C62)</f>
        <v>0</v>
      </c>
      <c r="D62" s="49">
        <f>AVERAGE('19.10 bukomero-Kyankwanzi-24h'!D62,'21.10 bukomero-Kyankwanzi-24h'!D62)</f>
        <v>0</v>
      </c>
      <c r="E62" s="49">
        <f>AVERAGE('19.10 bukomero-Kyankwanzi-24h'!E62,'21.10 bukomero-Kyankwanzi-24h'!E62)</f>
        <v>0</v>
      </c>
      <c r="F62" s="49">
        <f>AVERAGE('19.10 bukomero-Kyankwanzi-24h'!F62,'21.10 bukomero-Kyankwanzi-24h'!F62)</f>
        <v>0</v>
      </c>
      <c r="G62" s="49">
        <f>AVERAGE('19.10 bukomero-Kyankwanzi-24h'!G62,'21.10 bukomero-Kyankwanzi-24h'!G62)</f>
        <v>0</v>
      </c>
      <c r="H62" s="49">
        <f>AVERAGE('19.10 bukomero-Kyankwanzi-24h'!H62,'21.10 bukomero-Kyankwanzi-24h'!H62)</f>
        <v>0</v>
      </c>
      <c r="I62" s="49">
        <f>AVERAGE('19.10 bukomero-Kyankwanzi-24h'!I62,'21.10 bukomero-Kyankwanzi-24h'!I62)</f>
        <v>0.5</v>
      </c>
      <c r="J62" s="49">
        <f>AVERAGE('19.10 bukomero-Kyankwanzi-24h'!J62,'21.10 bukomero-Kyankwanzi-24h'!J62)</f>
        <v>0</v>
      </c>
      <c r="K62" s="49">
        <f>AVERAGE('19.10 bukomero-Kyankwanzi-24h'!K62,'21.10 bukomero-Kyankwanzi-24h'!K62)</f>
        <v>0</v>
      </c>
      <c r="L62" s="49">
        <f>AVERAGE('19.10 bukomero-Kyankwanzi-24h'!L62,'21.10 bukomero-Kyankwanzi-24h'!L62)</f>
        <v>0</v>
      </c>
      <c r="M62" s="49">
        <f>AVERAGE('19.10 bukomero-Kyankwanzi-24h'!M62,'21.10 bukomero-Kyankwanzi-24h'!M62)</f>
        <v>8</v>
      </c>
      <c r="N62" s="49">
        <f>AVERAGE('19.10 bukomero-Kyankwanzi-24h'!N62,'21.10 bukomero-Kyankwanzi-24h'!N62)</f>
        <v>0</v>
      </c>
      <c r="O62" s="15">
        <f t="shared" si="0"/>
        <v>0.5</v>
      </c>
      <c r="P62" s="15">
        <f t="shared" si="1"/>
        <v>8.5</v>
      </c>
      <c r="R62" s="8"/>
      <c r="T62"/>
    </row>
    <row r="63" spans="2:20" ht="23.1" customHeight="1" x14ac:dyDescent="0.25">
      <c r="B63" s="23" t="s">
        <v>108</v>
      </c>
      <c r="C63" s="49">
        <f>AVERAGE('19.10 bukomero-Kyankwanzi-24h'!C63,'21.10 bukomero-Kyankwanzi-24h'!C63)</f>
        <v>1</v>
      </c>
      <c r="D63" s="49">
        <f>AVERAGE('19.10 bukomero-Kyankwanzi-24h'!D63,'21.10 bukomero-Kyankwanzi-24h'!D63)</f>
        <v>0.5</v>
      </c>
      <c r="E63" s="49">
        <f>AVERAGE('19.10 bukomero-Kyankwanzi-24h'!E63,'21.10 bukomero-Kyankwanzi-24h'!E63)</f>
        <v>0</v>
      </c>
      <c r="F63" s="49">
        <f>AVERAGE('19.10 bukomero-Kyankwanzi-24h'!F63,'21.10 bukomero-Kyankwanzi-24h'!F63)</f>
        <v>0</v>
      </c>
      <c r="G63" s="49">
        <f>AVERAGE('19.10 bukomero-Kyankwanzi-24h'!G63,'21.10 bukomero-Kyankwanzi-24h'!G63)</f>
        <v>0</v>
      </c>
      <c r="H63" s="49">
        <f>AVERAGE('19.10 bukomero-Kyankwanzi-24h'!H63,'21.10 bukomero-Kyankwanzi-24h'!H63)</f>
        <v>0</v>
      </c>
      <c r="I63" s="49">
        <f>AVERAGE('19.10 bukomero-Kyankwanzi-24h'!I63,'21.10 bukomero-Kyankwanzi-24h'!I63)</f>
        <v>0.5</v>
      </c>
      <c r="J63" s="49">
        <f>AVERAGE('19.10 bukomero-Kyankwanzi-24h'!J63,'21.10 bukomero-Kyankwanzi-24h'!J63)</f>
        <v>0</v>
      </c>
      <c r="K63" s="49">
        <f>AVERAGE('19.10 bukomero-Kyankwanzi-24h'!K63,'21.10 bukomero-Kyankwanzi-24h'!K63)</f>
        <v>0</v>
      </c>
      <c r="L63" s="49">
        <f>AVERAGE('19.10 bukomero-Kyankwanzi-24h'!L63,'21.10 bukomero-Kyankwanzi-24h'!L63)</f>
        <v>0</v>
      </c>
      <c r="M63" s="49">
        <f>AVERAGE('19.10 bukomero-Kyankwanzi-24h'!M63,'21.10 bukomero-Kyankwanzi-24h'!M63)</f>
        <v>6.5</v>
      </c>
      <c r="N63" s="49">
        <f>AVERAGE('19.10 bukomero-Kyankwanzi-24h'!N63,'21.10 bukomero-Kyankwanzi-24h'!N63)</f>
        <v>0</v>
      </c>
      <c r="O63" s="15">
        <f t="shared" si="0"/>
        <v>2</v>
      </c>
      <c r="P63" s="15">
        <f t="shared" si="1"/>
        <v>8.5</v>
      </c>
      <c r="R63" s="8"/>
      <c r="T63"/>
    </row>
    <row r="64" spans="2:20" ht="23.1" customHeight="1" x14ac:dyDescent="0.25">
      <c r="B64" s="23" t="s">
        <v>109</v>
      </c>
      <c r="C64" s="49">
        <f>AVERAGE('19.10 bukomero-Kyankwanzi-24h'!C64,'21.10 bukomero-Kyankwanzi-24h'!C64)</f>
        <v>0</v>
      </c>
      <c r="D64" s="49">
        <f>AVERAGE('19.10 bukomero-Kyankwanzi-24h'!D64,'21.10 bukomero-Kyankwanzi-24h'!D64)</f>
        <v>0</v>
      </c>
      <c r="E64" s="49">
        <f>AVERAGE('19.10 bukomero-Kyankwanzi-24h'!E64,'21.10 bukomero-Kyankwanzi-24h'!E64)</f>
        <v>0</v>
      </c>
      <c r="F64" s="49">
        <f>AVERAGE('19.10 bukomero-Kyankwanzi-24h'!F64,'21.10 bukomero-Kyankwanzi-24h'!F64)</f>
        <v>0</v>
      </c>
      <c r="G64" s="49">
        <f>AVERAGE('19.10 bukomero-Kyankwanzi-24h'!G64,'21.10 bukomero-Kyankwanzi-24h'!G64)</f>
        <v>0</v>
      </c>
      <c r="H64" s="49">
        <f>AVERAGE('19.10 bukomero-Kyankwanzi-24h'!H64,'21.10 bukomero-Kyankwanzi-24h'!H64)</f>
        <v>0</v>
      </c>
      <c r="I64" s="49">
        <f>AVERAGE('19.10 bukomero-Kyankwanzi-24h'!I64,'21.10 bukomero-Kyankwanzi-24h'!I64)</f>
        <v>0</v>
      </c>
      <c r="J64" s="49">
        <f>AVERAGE('19.10 bukomero-Kyankwanzi-24h'!J64,'21.10 bukomero-Kyankwanzi-24h'!J64)</f>
        <v>0</v>
      </c>
      <c r="K64" s="49">
        <f>AVERAGE('19.10 bukomero-Kyankwanzi-24h'!K64,'21.10 bukomero-Kyankwanzi-24h'!K64)</f>
        <v>0</v>
      </c>
      <c r="L64" s="49">
        <f>AVERAGE('19.10 bukomero-Kyankwanzi-24h'!L64,'21.10 bukomero-Kyankwanzi-24h'!L64)</f>
        <v>0</v>
      </c>
      <c r="M64" s="49">
        <f>AVERAGE('19.10 bukomero-Kyankwanzi-24h'!M64,'21.10 bukomero-Kyankwanzi-24h'!M64)</f>
        <v>8.5</v>
      </c>
      <c r="N64" s="49">
        <f>AVERAGE('19.10 bukomero-Kyankwanzi-24h'!N64,'21.10 bukomero-Kyankwanzi-24h'!N64)</f>
        <v>0</v>
      </c>
      <c r="O64" s="15">
        <f t="shared" si="0"/>
        <v>0</v>
      </c>
      <c r="P64" s="15">
        <f t="shared" si="1"/>
        <v>8.5</v>
      </c>
      <c r="R64" s="8"/>
      <c r="T64"/>
    </row>
    <row r="65" spans="2:20" ht="23.1" customHeight="1" x14ac:dyDescent="0.25">
      <c r="B65" s="23" t="s">
        <v>158</v>
      </c>
      <c r="C65" s="49">
        <f>AVERAGE('19.10 bukomero-Kyankwanzi-24h'!C65,'21.10 bukomero-Kyankwanzi-24h'!C65)</f>
        <v>0.5</v>
      </c>
      <c r="D65" s="49">
        <f>AVERAGE('19.10 bukomero-Kyankwanzi-24h'!D65,'21.10 bukomero-Kyankwanzi-24h'!D65)</f>
        <v>0</v>
      </c>
      <c r="E65" s="49">
        <f>AVERAGE('19.10 bukomero-Kyankwanzi-24h'!E65,'21.10 bukomero-Kyankwanzi-24h'!E65)</f>
        <v>0</v>
      </c>
      <c r="F65" s="49">
        <f>AVERAGE('19.10 bukomero-Kyankwanzi-24h'!F65,'21.10 bukomero-Kyankwanzi-24h'!F65)</f>
        <v>0</v>
      </c>
      <c r="G65" s="49">
        <f>AVERAGE('19.10 bukomero-Kyankwanzi-24h'!G65,'21.10 bukomero-Kyankwanzi-24h'!G65)</f>
        <v>0</v>
      </c>
      <c r="H65" s="49">
        <f>AVERAGE('19.10 bukomero-Kyankwanzi-24h'!H65,'21.10 bukomero-Kyankwanzi-24h'!H65)</f>
        <v>0</v>
      </c>
      <c r="I65" s="49">
        <f>AVERAGE('19.10 bukomero-Kyankwanzi-24h'!I65,'21.10 bukomero-Kyankwanzi-24h'!I65)</f>
        <v>0.5</v>
      </c>
      <c r="J65" s="49">
        <f>AVERAGE('19.10 bukomero-Kyankwanzi-24h'!J65,'21.10 bukomero-Kyankwanzi-24h'!J65)</f>
        <v>0.5</v>
      </c>
      <c r="K65" s="49">
        <f>AVERAGE('19.10 bukomero-Kyankwanzi-24h'!K65,'21.10 bukomero-Kyankwanzi-24h'!K65)</f>
        <v>0</v>
      </c>
      <c r="L65" s="49">
        <f>AVERAGE('19.10 bukomero-Kyankwanzi-24h'!L65,'21.10 bukomero-Kyankwanzi-24h'!L65)</f>
        <v>0</v>
      </c>
      <c r="M65" s="49">
        <f>AVERAGE('19.10 bukomero-Kyankwanzi-24h'!M65,'21.10 bukomero-Kyankwanzi-24h'!M65)</f>
        <v>6</v>
      </c>
      <c r="N65" s="49">
        <f>AVERAGE('19.10 bukomero-Kyankwanzi-24h'!N65,'21.10 bukomero-Kyankwanzi-24h'!N65)</f>
        <v>0</v>
      </c>
      <c r="O65" s="15">
        <f t="shared" si="0"/>
        <v>1.5</v>
      </c>
      <c r="P65" s="15">
        <f t="shared" si="1"/>
        <v>7.5</v>
      </c>
      <c r="R65" s="8"/>
      <c r="T65"/>
    </row>
    <row r="66" spans="2:20" ht="23.1" customHeight="1" x14ac:dyDescent="0.25">
      <c r="B66" s="23" t="s">
        <v>103</v>
      </c>
      <c r="C66" s="49">
        <f>AVERAGE('19.10 bukomero-Kyankwanzi-24h'!C66,'21.10 bukomero-Kyankwanzi-24h'!C66)</f>
        <v>0</v>
      </c>
      <c r="D66" s="49">
        <f>AVERAGE('19.10 bukomero-Kyankwanzi-24h'!D66,'21.10 bukomero-Kyankwanzi-24h'!D66)</f>
        <v>0</v>
      </c>
      <c r="E66" s="49">
        <f>AVERAGE('19.10 bukomero-Kyankwanzi-24h'!E66,'21.10 bukomero-Kyankwanzi-24h'!E66)</f>
        <v>0.5</v>
      </c>
      <c r="F66" s="49">
        <f>AVERAGE('19.10 bukomero-Kyankwanzi-24h'!F66,'21.10 bukomero-Kyankwanzi-24h'!F66)</f>
        <v>0</v>
      </c>
      <c r="G66" s="49">
        <f>AVERAGE('19.10 bukomero-Kyankwanzi-24h'!G66,'21.10 bukomero-Kyankwanzi-24h'!G66)</f>
        <v>0</v>
      </c>
      <c r="H66" s="49">
        <f>AVERAGE('19.10 bukomero-Kyankwanzi-24h'!H66,'21.10 bukomero-Kyankwanzi-24h'!H66)</f>
        <v>0</v>
      </c>
      <c r="I66" s="49">
        <f>AVERAGE('19.10 bukomero-Kyankwanzi-24h'!I66,'21.10 bukomero-Kyankwanzi-24h'!I66)</f>
        <v>0</v>
      </c>
      <c r="J66" s="49">
        <f>AVERAGE('19.10 bukomero-Kyankwanzi-24h'!J66,'21.10 bukomero-Kyankwanzi-24h'!J66)</f>
        <v>0.5</v>
      </c>
      <c r="K66" s="49">
        <f>AVERAGE('19.10 bukomero-Kyankwanzi-24h'!K66,'21.10 bukomero-Kyankwanzi-24h'!K66)</f>
        <v>0</v>
      </c>
      <c r="L66" s="49">
        <f>AVERAGE('19.10 bukomero-Kyankwanzi-24h'!L66,'21.10 bukomero-Kyankwanzi-24h'!L66)</f>
        <v>0</v>
      </c>
      <c r="M66" s="49">
        <f>AVERAGE('19.10 bukomero-Kyankwanzi-24h'!M66,'21.10 bukomero-Kyankwanzi-24h'!M66)</f>
        <v>11</v>
      </c>
      <c r="N66" s="49">
        <f>AVERAGE('19.10 bukomero-Kyankwanzi-24h'!N66,'21.10 bukomero-Kyankwanzi-24h'!N66)</f>
        <v>0</v>
      </c>
      <c r="O66" s="15">
        <f t="shared" si="0"/>
        <v>1</v>
      </c>
      <c r="P66" s="15">
        <f t="shared" si="1"/>
        <v>12</v>
      </c>
      <c r="R66" s="8"/>
      <c r="T66"/>
    </row>
    <row r="67" spans="2:20" ht="23.1" customHeight="1" x14ac:dyDescent="0.25">
      <c r="B67" s="23" t="s">
        <v>104</v>
      </c>
      <c r="C67" s="49">
        <f>AVERAGE('19.10 bukomero-Kyankwanzi-24h'!C67,'21.10 bukomero-Kyankwanzi-24h'!C67)</f>
        <v>0</v>
      </c>
      <c r="D67" s="49">
        <f>AVERAGE('19.10 bukomero-Kyankwanzi-24h'!D67,'21.10 bukomero-Kyankwanzi-24h'!D67)</f>
        <v>0</v>
      </c>
      <c r="E67" s="49">
        <f>AVERAGE('19.10 bukomero-Kyankwanzi-24h'!E67,'21.10 bukomero-Kyankwanzi-24h'!E67)</f>
        <v>0</v>
      </c>
      <c r="F67" s="49">
        <f>AVERAGE('19.10 bukomero-Kyankwanzi-24h'!F67,'21.10 bukomero-Kyankwanzi-24h'!F67)</f>
        <v>0</v>
      </c>
      <c r="G67" s="49">
        <f>AVERAGE('19.10 bukomero-Kyankwanzi-24h'!G67,'21.10 bukomero-Kyankwanzi-24h'!G67)</f>
        <v>0</v>
      </c>
      <c r="H67" s="49">
        <f>AVERAGE('19.10 bukomero-Kyankwanzi-24h'!H67,'21.10 bukomero-Kyankwanzi-24h'!H67)</f>
        <v>0</v>
      </c>
      <c r="I67" s="49">
        <f>AVERAGE('19.10 bukomero-Kyankwanzi-24h'!I67,'21.10 bukomero-Kyankwanzi-24h'!I67)</f>
        <v>0.5</v>
      </c>
      <c r="J67" s="49">
        <f>AVERAGE('19.10 bukomero-Kyankwanzi-24h'!J67,'21.10 bukomero-Kyankwanzi-24h'!J67)</f>
        <v>0</v>
      </c>
      <c r="K67" s="49">
        <f>AVERAGE('19.10 bukomero-Kyankwanzi-24h'!K67,'21.10 bukomero-Kyankwanzi-24h'!K67)</f>
        <v>0.5</v>
      </c>
      <c r="L67" s="49">
        <f>AVERAGE('19.10 bukomero-Kyankwanzi-24h'!L67,'21.10 bukomero-Kyankwanzi-24h'!L67)</f>
        <v>0</v>
      </c>
      <c r="M67" s="49">
        <f>AVERAGE('19.10 bukomero-Kyankwanzi-24h'!M67,'21.10 bukomero-Kyankwanzi-24h'!M67)</f>
        <v>3</v>
      </c>
      <c r="N67" s="49">
        <f>AVERAGE('19.10 bukomero-Kyankwanzi-24h'!N67,'21.10 bukomero-Kyankwanzi-24h'!N67)</f>
        <v>0</v>
      </c>
      <c r="O67" s="15">
        <f t="shared" si="0"/>
        <v>1</v>
      </c>
      <c r="P67" s="15">
        <f t="shared" si="1"/>
        <v>4</v>
      </c>
      <c r="R67" s="8"/>
      <c r="T67"/>
    </row>
    <row r="68" spans="2:20" ht="23.1" customHeight="1" x14ac:dyDescent="0.25">
      <c r="B68" s="23" t="s">
        <v>105</v>
      </c>
      <c r="C68" s="49">
        <f>AVERAGE('19.10 bukomero-Kyankwanzi-24h'!C68,'21.10 bukomero-Kyankwanzi-24h'!C68)</f>
        <v>0</v>
      </c>
      <c r="D68" s="49">
        <f>AVERAGE('19.10 bukomero-Kyankwanzi-24h'!D68,'21.10 bukomero-Kyankwanzi-24h'!D68)</f>
        <v>0</v>
      </c>
      <c r="E68" s="49">
        <f>AVERAGE('19.10 bukomero-Kyankwanzi-24h'!E68,'21.10 bukomero-Kyankwanzi-24h'!E68)</f>
        <v>0</v>
      </c>
      <c r="F68" s="49">
        <f>AVERAGE('19.10 bukomero-Kyankwanzi-24h'!F68,'21.10 bukomero-Kyankwanzi-24h'!F68)</f>
        <v>0</v>
      </c>
      <c r="G68" s="49">
        <f>AVERAGE('19.10 bukomero-Kyankwanzi-24h'!G68,'21.10 bukomero-Kyankwanzi-24h'!G68)</f>
        <v>0</v>
      </c>
      <c r="H68" s="49">
        <f>AVERAGE('19.10 bukomero-Kyankwanzi-24h'!H68,'21.10 bukomero-Kyankwanzi-24h'!H68)</f>
        <v>0</v>
      </c>
      <c r="I68" s="49">
        <f>AVERAGE('19.10 bukomero-Kyankwanzi-24h'!I68,'21.10 bukomero-Kyankwanzi-24h'!I68)</f>
        <v>0.5</v>
      </c>
      <c r="J68" s="49">
        <f>AVERAGE('19.10 bukomero-Kyankwanzi-24h'!J68,'21.10 bukomero-Kyankwanzi-24h'!J68)</f>
        <v>0</v>
      </c>
      <c r="K68" s="49">
        <f>AVERAGE('19.10 bukomero-Kyankwanzi-24h'!K68,'21.10 bukomero-Kyankwanzi-24h'!K68)</f>
        <v>0</v>
      </c>
      <c r="L68" s="49">
        <f>AVERAGE('19.10 bukomero-Kyankwanzi-24h'!L68,'21.10 bukomero-Kyankwanzi-24h'!L68)</f>
        <v>0</v>
      </c>
      <c r="M68" s="49">
        <f>AVERAGE('19.10 bukomero-Kyankwanzi-24h'!M68,'21.10 bukomero-Kyankwanzi-24h'!M68)</f>
        <v>2.5</v>
      </c>
      <c r="N68" s="49">
        <f>AVERAGE('19.10 bukomero-Kyankwanzi-24h'!N68,'21.10 bukomero-Kyankwanzi-24h'!N68)</f>
        <v>0</v>
      </c>
      <c r="O68" s="15">
        <f t="shared" si="0"/>
        <v>0.5</v>
      </c>
      <c r="P68" s="15">
        <f t="shared" si="1"/>
        <v>3</v>
      </c>
      <c r="R68" s="8"/>
      <c r="T68"/>
    </row>
    <row r="69" spans="2:20" ht="23.1" customHeight="1" x14ac:dyDescent="0.25">
      <c r="B69" s="23" t="s">
        <v>106</v>
      </c>
      <c r="C69" s="49">
        <f>AVERAGE('19.10 bukomero-Kyankwanzi-24h'!C69,'21.10 bukomero-Kyankwanzi-24h'!C69)</f>
        <v>0.5</v>
      </c>
      <c r="D69" s="49">
        <f>AVERAGE('19.10 bukomero-Kyankwanzi-24h'!D69,'21.10 bukomero-Kyankwanzi-24h'!D69)</f>
        <v>0</v>
      </c>
      <c r="E69" s="49">
        <f>AVERAGE('19.10 bukomero-Kyankwanzi-24h'!E69,'21.10 bukomero-Kyankwanzi-24h'!E69)</f>
        <v>0</v>
      </c>
      <c r="F69" s="49">
        <f>AVERAGE('19.10 bukomero-Kyankwanzi-24h'!F69,'21.10 bukomero-Kyankwanzi-24h'!F69)</f>
        <v>0</v>
      </c>
      <c r="G69" s="49">
        <f>AVERAGE('19.10 bukomero-Kyankwanzi-24h'!G69,'21.10 bukomero-Kyankwanzi-24h'!G69)</f>
        <v>0</v>
      </c>
      <c r="H69" s="49">
        <f>AVERAGE('19.10 bukomero-Kyankwanzi-24h'!H69,'21.10 bukomero-Kyankwanzi-24h'!H69)</f>
        <v>0</v>
      </c>
      <c r="I69" s="49">
        <f>AVERAGE('19.10 bukomero-Kyankwanzi-24h'!I69,'21.10 bukomero-Kyankwanzi-24h'!I69)</f>
        <v>0.5</v>
      </c>
      <c r="J69" s="49">
        <f>AVERAGE('19.10 bukomero-Kyankwanzi-24h'!J69,'21.10 bukomero-Kyankwanzi-24h'!J69)</f>
        <v>0</v>
      </c>
      <c r="K69" s="49">
        <f>AVERAGE('19.10 bukomero-Kyankwanzi-24h'!K69,'21.10 bukomero-Kyankwanzi-24h'!K69)</f>
        <v>0</v>
      </c>
      <c r="L69" s="49">
        <f>AVERAGE('19.10 bukomero-Kyankwanzi-24h'!L69,'21.10 bukomero-Kyankwanzi-24h'!L69)</f>
        <v>0</v>
      </c>
      <c r="M69" s="49">
        <f>AVERAGE('19.10 bukomero-Kyankwanzi-24h'!M69,'21.10 bukomero-Kyankwanzi-24h'!M69)</f>
        <v>3.5</v>
      </c>
      <c r="N69" s="49">
        <f>AVERAGE('19.10 bukomero-Kyankwanzi-24h'!N69,'21.10 bukomero-Kyankwanzi-24h'!N69)</f>
        <v>0</v>
      </c>
      <c r="O69" s="15">
        <f t="shared" si="0"/>
        <v>1</v>
      </c>
      <c r="P69" s="15">
        <f t="shared" si="1"/>
        <v>4.5</v>
      </c>
      <c r="R69" s="8"/>
      <c r="T69"/>
    </row>
    <row r="70" spans="2:20" ht="23.1" customHeight="1" x14ac:dyDescent="0.25">
      <c r="B70" s="23" t="s">
        <v>110</v>
      </c>
      <c r="C70" s="49">
        <f>AVERAGE('19.10 bukomero-Kyankwanzi-24h'!C70,'21.10 bukomero-Kyankwanzi-24h'!C70)</f>
        <v>0</v>
      </c>
      <c r="D70" s="49">
        <f>AVERAGE('19.10 bukomero-Kyankwanzi-24h'!D70,'21.10 bukomero-Kyankwanzi-24h'!D70)</f>
        <v>0</v>
      </c>
      <c r="E70" s="49">
        <f>AVERAGE('19.10 bukomero-Kyankwanzi-24h'!E70,'21.10 bukomero-Kyankwanzi-24h'!E70)</f>
        <v>0</v>
      </c>
      <c r="F70" s="49">
        <f>AVERAGE('19.10 bukomero-Kyankwanzi-24h'!F70,'21.10 bukomero-Kyankwanzi-24h'!F70)</f>
        <v>0</v>
      </c>
      <c r="G70" s="49">
        <f>AVERAGE('19.10 bukomero-Kyankwanzi-24h'!G70,'21.10 bukomero-Kyankwanzi-24h'!G70)</f>
        <v>0</v>
      </c>
      <c r="H70" s="49">
        <f>AVERAGE('19.10 bukomero-Kyankwanzi-24h'!H70,'21.10 bukomero-Kyankwanzi-24h'!H70)</f>
        <v>0</v>
      </c>
      <c r="I70" s="49">
        <f>AVERAGE('19.10 bukomero-Kyankwanzi-24h'!I70,'21.10 bukomero-Kyankwanzi-24h'!I70)</f>
        <v>1</v>
      </c>
      <c r="J70" s="49">
        <f>AVERAGE('19.10 bukomero-Kyankwanzi-24h'!J70,'21.10 bukomero-Kyankwanzi-24h'!J70)</f>
        <v>0</v>
      </c>
      <c r="K70" s="49">
        <f>AVERAGE('19.10 bukomero-Kyankwanzi-24h'!K70,'21.10 bukomero-Kyankwanzi-24h'!K70)</f>
        <v>0</v>
      </c>
      <c r="L70" s="49">
        <f>AVERAGE('19.10 bukomero-Kyankwanzi-24h'!L70,'21.10 bukomero-Kyankwanzi-24h'!L70)</f>
        <v>0</v>
      </c>
      <c r="M70" s="49">
        <f>AVERAGE('19.10 bukomero-Kyankwanzi-24h'!M70,'21.10 bukomero-Kyankwanzi-24h'!M70)</f>
        <v>5.5</v>
      </c>
      <c r="N70" s="49">
        <f>AVERAGE('19.10 bukomero-Kyankwanzi-24h'!N70,'21.10 bukomero-Kyankwanzi-24h'!N70)</f>
        <v>0</v>
      </c>
      <c r="O70" s="15">
        <f t="shared" si="0"/>
        <v>1</v>
      </c>
      <c r="P70" s="15">
        <f t="shared" si="1"/>
        <v>6.5</v>
      </c>
      <c r="R70" s="8"/>
      <c r="T70"/>
    </row>
    <row r="71" spans="2:20" ht="23.1" customHeight="1" x14ac:dyDescent="0.25">
      <c r="B71" s="23" t="s">
        <v>111</v>
      </c>
      <c r="C71" s="49">
        <f>AVERAGE('19.10 bukomero-Kyankwanzi-24h'!C71,'21.10 bukomero-Kyankwanzi-24h'!C71)</f>
        <v>0</v>
      </c>
      <c r="D71" s="49">
        <f>AVERAGE('19.10 bukomero-Kyankwanzi-24h'!D71,'21.10 bukomero-Kyankwanzi-24h'!D71)</f>
        <v>0</v>
      </c>
      <c r="E71" s="49">
        <f>AVERAGE('19.10 bukomero-Kyankwanzi-24h'!E71,'21.10 bukomero-Kyankwanzi-24h'!E71)</f>
        <v>0</v>
      </c>
      <c r="F71" s="49">
        <f>AVERAGE('19.10 bukomero-Kyankwanzi-24h'!F71,'21.10 bukomero-Kyankwanzi-24h'!F71)</f>
        <v>0</v>
      </c>
      <c r="G71" s="49">
        <f>AVERAGE('19.10 bukomero-Kyankwanzi-24h'!G71,'21.10 bukomero-Kyankwanzi-24h'!G71)</f>
        <v>0</v>
      </c>
      <c r="H71" s="49">
        <f>AVERAGE('19.10 bukomero-Kyankwanzi-24h'!H71,'21.10 bukomero-Kyankwanzi-24h'!H71)</f>
        <v>0</v>
      </c>
      <c r="I71" s="49">
        <f>AVERAGE('19.10 bukomero-Kyankwanzi-24h'!I71,'21.10 bukomero-Kyankwanzi-24h'!I71)</f>
        <v>0</v>
      </c>
      <c r="J71" s="49">
        <f>AVERAGE('19.10 bukomero-Kyankwanzi-24h'!J71,'21.10 bukomero-Kyankwanzi-24h'!J71)</f>
        <v>0</v>
      </c>
      <c r="K71" s="49">
        <f>AVERAGE('19.10 bukomero-Kyankwanzi-24h'!K71,'21.10 bukomero-Kyankwanzi-24h'!K71)</f>
        <v>0</v>
      </c>
      <c r="L71" s="49">
        <f>AVERAGE('19.10 bukomero-Kyankwanzi-24h'!L71,'21.10 bukomero-Kyankwanzi-24h'!L71)</f>
        <v>0</v>
      </c>
      <c r="M71" s="49">
        <f>AVERAGE('19.10 bukomero-Kyankwanzi-24h'!M71,'21.10 bukomero-Kyankwanzi-24h'!M71)</f>
        <v>4.5</v>
      </c>
      <c r="N71" s="49">
        <f>AVERAGE('19.10 bukomero-Kyankwanzi-24h'!N71,'21.10 bukomero-Kyankwanzi-24h'!N71)</f>
        <v>0</v>
      </c>
      <c r="O71" s="15">
        <f t="shared" si="0"/>
        <v>0</v>
      </c>
      <c r="P71" s="15">
        <f t="shared" si="1"/>
        <v>4.5</v>
      </c>
      <c r="R71" s="8"/>
      <c r="T71"/>
    </row>
    <row r="72" spans="2:20" ht="23.1" customHeight="1" x14ac:dyDescent="0.25">
      <c r="B72" s="23" t="s">
        <v>112</v>
      </c>
      <c r="C72" s="49">
        <f>AVERAGE('19.10 bukomero-Kyankwanzi-24h'!C72,'21.10 bukomero-Kyankwanzi-24h'!C72)</f>
        <v>0</v>
      </c>
      <c r="D72" s="49">
        <f>AVERAGE('19.10 bukomero-Kyankwanzi-24h'!D72,'21.10 bukomero-Kyankwanzi-24h'!D72)</f>
        <v>0</v>
      </c>
      <c r="E72" s="49">
        <f>AVERAGE('19.10 bukomero-Kyankwanzi-24h'!E72,'21.10 bukomero-Kyankwanzi-24h'!E72)</f>
        <v>0</v>
      </c>
      <c r="F72" s="49">
        <f>AVERAGE('19.10 bukomero-Kyankwanzi-24h'!F72,'21.10 bukomero-Kyankwanzi-24h'!F72)</f>
        <v>0</v>
      </c>
      <c r="G72" s="49">
        <f>AVERAGE('19.10 bukomero-Kyankwanzi-24h'!G72,'21.10 bukomero-Kyankwanzi-24h'!G72)</f>
        <v>0</v>
      </c>
      <c r="H72" s="49">
        <f>AVERAGE('19.10 bukomero-Kyankwanzi-24h'!H72,'21.10 bukomero-Kyankwanzi-24h'!H72)</f>
        <v>0</v>
      </c>
      <c r="I72" s="49">
        <f>AVERAGE('19.10 bukomero-Kyankwanzi-24h'!I72,'21.10 bukomero-Kyankwanzi-24h'!I72)</f>
        <v>0</v>
      </c>
      <c r="J72" s="49">
        <f>AVERAGE('19.10 bukomero-Kyankwanzi-24h'!J72,'21.10 bukomero-Kyankwanzi-24h'!J72)</f>
        <v>0</v>
      </c>
      <c r="K72" s="49">
        <f>AVERAGE('19.10 bukomero-Kyankwanzi-24h'!K72,'21.10 bukomero-Kyankwanzi-24h'!K72)</f>
        <v>0</v>
      </c>
      <c r="L72" s="49">
        <f>AVERAGE('19.10 bukomero-Kyankwanzi-24h'!L72,'21.10 bukomero-Kyankwanzi-24h'!L72)</f>
        <v>0</v>
      </c>
      <c r="M72" s="49">
        <f>AVERAGE('19.10 bukomero-Kyankwanzi-24h'!M72,'21.10 bukomero-Kyankwanzi-24h'!M72)</f>
        <v>3.5</v>
      </c>
      <c r="N72" s="49">
        <f>AVERAGE('19.10 bukomero-Kyankwanzi-24h'!N72,'21.10 bukomero-Kyankwanzi-24h'!N72)</f>
        <v>0</v>
      </c>
      <c r="O72" s="15">
        <f t="shared" si="0"/>
        <v>0</v>
      </c>
      <c r="P72" s="15">
        <f t="shared" si="1"/>
        <v>3.5</v>
      </c>
      <c r="R72" s="8"/>
      <c r="T72"/>
    </row>
    <row r="73" spans="2:20" ht="23.1" customHeight="1" x14ac:dyDescent="0.25">
      <c r="B73" s="23" t="s">
        <v>113</v>
      </c>
      <c r="C73" s="49">
        <f>AVERAGE('19.10 bukomero-Kyankwanzi-24h'!C73,'21.10 bukomero-Kyankwanzi-24h'!C73)</f>
        <v>0.5</v>
      </c>
      <c r="D73" s="49">
        <f>AVERAGE('19.10 bukomero-Kyankwanzi-24h'!D73,'21.10 bukomero-Kyankwanzi-24h'!D73)</f>
        <v>0</v>
      </c>
      <c r="E73" s="49">
        <f>AVERAGE('19.10 bukomero-Kyankwanzi-24h'!E73,'21.10 bukomero-Kyankwanzi-24h'!E73)</f>
        <v>0</v>
      </c>
      <c r="F73" s="49">
        <f>AVERAGE('19.10 bukomero-Kyankwanzi-24h'!F73,'21.10 bukomero-Kyankwanzi-24h'!F73)</f>
        <v>0.5</v>
      </c>
      <c r="G73" s="49">
        <f>AVERAGE('19.10 bukomero-Kyankwanzi-24h'!G73,'21.10 bukomero-Kyankwanzi-24h'!G73)</f>
        <v>0</v>
      </c>
      <c r="H73" s="49">
        <f>AVERAGE('19.10 bukomero-Kyankwanzi-24h'!H73,'21.10 bukomero-Kyankwanzi-24h'!H73)</f>
        <v>0</v>
      </c>
      <c r="I73" s="49">
        <f>AVERAGE('19.10 bukomero-Kyankwanzi-24h'!I73,'21.10 bukomero-Kyankwanzi-24h'!I73)</f>
        <v>1.5</v>
      </c>
      <c r="J73" s="49">
        <f>AVERAGE('19.10 bukomero-Kyankwanzi-24h'!J73,'21.10 bukomero-Kyankwanzi-24h'!J73)</f>
        <v>0</v>
      </c>
      <c r="K73" s="49">
        <f>AVERAGE('19.10 bukomero-Kyankwanzi-24h'!K73,'21.10 bukomero-Kyankwanzi-24h'!K73)</f>
        <v>0</v>
      </c>
      <c r="L73" s="49">
        <f>AVERAGE('19.10 bukomero-Kyankwanzi-24h'!L73,'21.10 bukomero-Kyankwanzi-24h'!L73)</f>
        <v>0</v>
      </c>
      <c r="M73" s="49">
        <f>AVERAGE('19.10 bukomero-Kyankwanzi-24h'!M73,'21.10 bukomero-Kyankwanzi-24h'!M73)</f>
        <v>2.5</v>
      </c>
      <c r="N73" s="49">
        <f>AVERAGE('19.10 bukomero-Kyankwanzi-24h'!N73,'21.10 bukomero-Kyankwanzi-24h'!N73)</f>
        <v>0</v>
      </c>
      <c r="O73" s="15">
        <f t="shared" si="0"/>
        <v>2.5</v>
      </c>
      <c r="P73" s="15">
        <f t="shared" si="1"/>
        <v>5</v>
      </c>
      <c r="R73" s="8"/>
      <c r="T73"/>
    </row>
    <row r="74" spans="2:20" ht="23.1" customHeight="1" x14ac:dyDescent="0.25">
      <c r="B74" s="23" t="s">
        <v>114</v>
      </c>
      <c r="C74" s="49">
        <f>AVERAGE('19.10 bukomero-Kyankwanzi-24h'!C74,'21.10 bukomero-Kyankwanzi-24h'!C74)</f>
        <v>0</v>
      </c>
      <c r="D74" s="49">
        <f>AVERAGE('19.10 bukomero-Kyankwanzi-24h'!D74,'21.10 bukomero-Kyankwanzi-24h'!D74)</f>
        <v>0.5</v>
      </c>
      <c r="E74" s="49">
        <f>AVERAGE('19.10 bukomero-Kyankwanzi-24h'!E74,'21.10 bukomero-Kyankwanzi-24h'!E74)</f>
        <v>0</v>
      </c>
      <c r="F74" s="49">
        <f>AVERAGE('19.10 bukomero-Kyankwanzi-24h'!F74,'21.10 bukomero-Kyankwanzi-24h'!F74)</f>
        <v>0</v>
      </c>
      <c r="G74" s="49">
        <f>AVERAGE('19.10 bukomero-Kyankwanzi-24h'!G74,'21.10 bukomero-Kyankwanzi-24h'!G74)</f>
        <v>0</v>
      </c>
      <c r="H74" s="49">
        <f>AVERAGE('19.10 bukomero-Kyankwanzi-24h'!H74,'21.10 bukomero-Kyankwanzi-24h'!H74)</f>
        <v>0</v>
      </c>
      <c r="I74" s="49">
        <f>AVERAGE('19.10 bukomero-Kyankwanzi-24h'!I74,'21.10 bukomero-Kyankwanzi-24h'!I74)</f>
        <v>0</v>
      </c>
      <c r="J74" s="49">
        <f>AVERAGE('19.10 bukomero-Kyankwanzi-24h'!J74,'21.10 bukomero-Kyankwanzi-24h'!J74)</f>
        <v>0</v>
      </c>
      <c r="K74" s="49">
        <f>AVERAGE('19.10 bukomero-Kyankwanzi-24h'!K74,'21.10 bukomero-Kyankwanzi-24h'!K74)</f>
        <v>0</v>
      </c>
      <c r="L74" s="49">
        <f>AVERAGE('19.10 bukomero-Kyankwanzi-24h'!L74,'21.10 bukomero-Kyankwanzi-24h'!L74)</f>
        <v>0</v>
      </c>
      <c r="M74" s="49">
        <f>AVERAGE('19.10 bukomero-Kyankwanzi-24h'!M74,'21.10 bukomero-Kyankwanzi-24h'!M74)</f>
        <v>1</v>
      </c>
      <c r="N74" s="49">
        <f>AVERAGE('19.10 bukomero-Kyankwanzi-24h'!N74,'21.10 bukomero-Kyankwanzi-24h'!N74)</f>
        <v>0</v>
      </c>
      <c r="O74" s="15">
        <f t="shared" ref="O74:O105" si="35">SUM(C74:L74,N74)</f>
        <v>0.5</v>
      </c>
      <c r="P74" s="15">
        <f t="shared" ref="P74:P105" si="36">SUM(C74:N74)</f>
        <v>1.5</v>
      </c>
      <c r="R74" s="8"/>
      <c r="T74"/>
    </row>
    <row r="75" spans="2:20" ht="23.1" customHeight="1" x14ac:dyDescent="0.25">
      <c r="B75" s="23" t="s">
        <v>115</v>
      </c>
      <c r="C75" s="49">
        <f>AVERAGE('19.10 bukomero-Kyankwanzi-24h'!C75,'21.10 bukomero-Kyankwanzi-24h'!C75)</f>
        <v>0</v>
      </c>
      <c r="D75" s="49">
        <f>AVERAGE('19.10 bukomero-Kyankwanzi-24h'!D75,'21.10 bukomero-Kyankwanzi-24h'!D75)</f>
        <v>0</v>
      </c>
      <c r="E75" s="49">
        <f>AVERAGE('19.10 bukomero-Kyankwanzi-24h'!E75,'21.10 bukomero-Kyankwanzi-24h'!E75)</f>
        <v>0</v>
      </c>
      <c r="F75" s="49">
        <f>AVERAGE('19.10 bukomero-Kyankwanzi-24h'!F75,'21.10 bukomero-Kyankwanzi-24h'!F75)</f>
        <v>0</v>
      </c>
      <c r="G75" s="49">
        <f>AVERAGE('19.10 bukomero-Kyankwanzi-24h'!G75,'21.10 bukomero-Kyankwanzi-24h'!G75)</f>
        <v>0</v>
      </c>
      <c r="H75" s="49">
        <f>AVERAGE('19.10 bukomero-Kyankwanzi-24h'!H75,'21.10 bukomero-Kyankwanzi-24h'!H75)</f>
        <v>0</v>
      </c>
      <c r="I75" s="49">
        <f>AVERAGE('19.10 bukomero-Kyankwanzi-24h'!I75,'21.10 bukomero-Kyankwanzi-24h'!I75)</f>
        <v>1</v>
      </c>
      <c r="J75" s="49">
        <f>AVERAGE('19.10 bukomero-Kyankwanzi-24h'!J75,'21.10 bukomero-Kyankwanzi-24h'!J75)</f>
        <v>0</v>
      </c>
      <c r="K75" s="49">
        <f>AVERAGE('19.10 bukomero-Kyankwanzi-24h'!K75,'21.10 bukomero-Kyankwanzi-24h'!K75)</f>
        <v>0</v>
      </c>
      <c r="L75" s="49">
        <f>AVERAGE('19.10 bukomero-Kyankwanzi-24h'!L75,'21.10 bukomero-Kyankwanzi-24h'!L75)</f>
        <v>0</v>
      </c>
      <c r="M75" s="49">
        <f>AVERAGE('19.10 bukomero-Kyankwanzi-24h'!M75,'21.10 bukomero-Kyankwanzi-24h'!M75)</f>
        <v>2.5</v>
      </c>
      <c r="N75" s="49">
        <f>AVERAGE('19.10 bukomero-Kyankwanzi-24h'!N75,'21.10 bukomero-Kyankwanzi-24h'!N75)</f>
        <v>0</v>
      </c>
      <c r="O75" s="15">
        <f t="shared" si="35"/>
        <v>1</v>
      </c>
      <c r="P75" s="15">
        <f t="shared" si="36"/>
        <v>3.5</v>
      </c>
      <c r="R75" s="8"/>
      <c r="T75"/>
    </row>
    <row r="76" spans="2:20" ht="23.1" customHeight="1" x14ac:dyDescent="0.25">
      <c r="B76" s="23" t="s">
        <v>116</v>
      </c>
      <c r="C76" s="49">
        <f>AVERAGE('19.10 bukomero-Kyankwanzi-24h'!C76,'21.10 bukomero-Kyankwanzi-24h'!C76)</f>
        <v>0</v>
      </c>
      <c r="D76" s="49">
        <f>AVERAGE('19.10 bukomero-Kyankwanzi-24h'!D76,'21.10 bukomero-Kyankwanzi-24h'!D76)</f>
        <v>0</v>
      </c>
      <c r="E76" s="49">
        <f>AVERAGE('19.10 bukomero-Kyankwanzi-24h'!E76,'21.10 bukomero-Kyankwanzi-24h'!E76)</f>
        <v>0</v>
      </c>
      <c r="F76" s="49">
        <f>AVERAGE('19.10 bukomero-Kyankwanzi-24h'!F76,'21.10 bukomero-Kyankwanzi-24h'!F76)</f>
        <v>0.5</v>
      </c>
      <c r="G76" s="49">
        <f>AVERAGE('19.10 bukomero-Kyankwanzi-24h'!G76,'21.10 bukomero-Kyankwanzi-24h'!G76)</f>
        <v>0</v>
      </c>
      <c r="H76" s="49">
        <f>AVERAGE('19.10 bukomero-Kyankwanzi-24h'!H76,'21.10 bukomero-Kyankwanzi-24h'!H76)</f>
        <v>0</v>
      </c>
      <c r="I76" s="49">
        <f>AVERAGE('19.10 bukomero-Kyankwanzi-24h'!I76,'21.10 bukomero-Kyankwanzi-24h'!I76)</f>
        <v>0.5</v>
      </c>
      <c r="J76" s="49">
        <f>AVERAGE('19.10 bukomero-Kyankwanzi-24h'!J76,'21.10 bukomero-Kyankwanzi-24h'!J76)</f>
        <v>0</v>
      </c>
      <c r="K76" s="49">
        <f>AVERAGE('19.10 bukomero-Kyankwanzi-24h'!K76,'21.10 bukomero-Kyankwanzi-24h'!K76)</f>
        <v>0.5</v>
      </c>
      <c r="L76" s="49">
        <f>AVERAGE('19.10 bukomero-Kyankwanzi-24h'!L76,'21.10 bukomero-Kyankwanzi-24h'!L76)</f>
        <v>0</v>
      </c>
      <c r="M76" s="49">
        <f>AVERAGE('19.10 bukomero-Kyankwanzi-24h'!M76,'21.10 bukomero-Kyankwanzi-24h'!M76)</f>
        <v>2</v>
      </c>
      <c r="N76" s="49">
        <f>AVERAGE('19.10 bukomero-Kyankwanzi-24h'!N76,'21.10 bukomero-Kyankwanzi-24h'!N76)</f>
        <v>0</v>
      </c>
      <c r="O76" s="15">
        <f t="shared" si="35"/>
        <v>1.5</v>
      </c>
      <c r="P76" s="15">
        <f t="shared" si="36"/>
        <v>3.5</v>
      </c>
      <c r="R76" s="8"/>
      <c r="T76"/>
    </row>
    <row r="77" spans="2:20" ht="23.1" customHeight="1" x14ac:dyDescent="0.25">
      <c r="B77" s="23" t="s">
        <v>117</v>
      </c>
      <c r="C77" s="49">
        <f>AVERAGE('19.10 bukomero-Kyankwanzi-24h'!C77,'21.10 bukomero-Kyankwanzi-24h'!C77)</f>
        <v>0</v>
      </c>
      <c r="D77" s="49">
        <f>AVERAGE('19.10 bukomero-Kyankwanzi-24h'!D77,'21.10 bukomero-Kyankwanzi-24h'!D77)</f>
        <v>0</v>
      </c>
      <c r="E77" s="49">
        <f>AVERAGE('19.10 bukomero-Kyankwanzi-24h'!E77,'21.10 bukomero-Kyankwanzi-24h'!E77)</f>
        <v>0</v>
      </c>
      <c r="F77" s="49">
        <f>AVERAGE('19.10 bukomero-Kyankwanzi-24h'!F77,'21.10 bukomero-Kyankwanzi-24h'!F77)</f>
        <v>0</v>
      </c>
      <c r="G77" s="49">
        <f>AVERAGE('19.10 bukomero-Kyankwanzi-24h'!G77,'21.10 bukomero-Kyankwanzi-24h'!G77)</f>
        <v>0</v>
      </c>
      <c r="H77" s="49">
        <f>AVERAGE('19.10 bukomero-Kyankwanzi-24h'!H77,'21.10 bukomero-Kyankwanzi-24h'!H77)</f>
        <v>0</v>
      </c>
      <c r="I77" s="49">
        <f>AVERAGE('19.10 bukomero-Kyankwanzi-24h'!I77,'21.10 bukomero-Kyankwanzi-24h'!I77)</f>
        <v>0</v>
      </c>
      <c r="J77" s="49">
        <f>AVERAGE('19.10 bukomero-Kyankwanzi-24h'!J77,'21.10 bukomero-Kyankwanzi-24h'!J77)</f>
        <v>0</v>
      </c>
      <c r="K77" s="49">
        <f>AVERAGE('19.10 bukomero-Kyankwanzi-24h'!K77,'21.10 bukomero-Kyankwanzi-24h'!K77)</f>
        <v>0</v>
      </c>
      <c r="L77" s="49">
        <f>AVERAGE('19.10 bukomero-Kyankwanzi-24h'!L77,'21.10 bukomero-Kyankwanzi-24h'!L77)</f>
        <v>0</v>
      </c>
      <c r="M77" s="49">
        <f>AVERAGE('19.10 bukomero-Kyankwanzi-24h'!M77,'21.10 bukomero-Kyankwanzi-24h'!M77)</f>
        <v>2</v>
      </c>
      <c r="N77" s="49">
        <f>AVERAGE('19.10 bukomero-Kyankwanzi-24h'!N77,'21.10 bukomero-Kyankwanzi-24h'!N77)</f>
        <v>0</v>
      </c>
      <c r="O77" s="15">
        <f t="shared" si="35"/>
        <v>0</v>
      </c>
      <c r="P77" s="15">
        <f t="shared" si="36"/>
        <v>2</v>
      </c>
      <c r="R77" s="8"/>
      <c r="T77"/>
    </row>
    <row r="78" spans="2:20" ht="23.1" customHeight="1" x14ac:dyDescent="0.25">
      <c r="B78" s="24" t="s">
        <v>118</v>
      </c>
      <c r="C78" s="49">
        <f>AVERAGE('19.10 bukomero-Kyankwanzi-24h'!C78,'21.10 bukomero-Kyankwanzi-24h'!C78)</f>
        <v>0</v>
      </c>
      <c r="D78" s="49">
        <f>AVERAGE('19.10 bukomero-Kyankwanzi-24h'!D78,'21.10 bukomero-Kyankwanzi-24h'!D78)</f>
        <v>0</v>
      </c>
      <c r="E78" s="49">
        <f>AVERAGE('19.10 bukomero-Kyankwanzi-24h'!E78,'21.10 bukomero-Kyankwanzi-24h'!E78)</f>
        <v>0</v>
      </c>
      <c r="F78" s="49">
        <f>AVERAGE('19.10 bukomero-Kyankwanzi-24h'!F78,'21.10 bukomero-Kyankwanzi-24h'!F78)</f>
        <v>0</v>
      </c>
      <c r="G78" s="49">
        <f>AVERAGE('19.10 bukomero-Kyankwanzi-24h'!G78,'21.10 bukomero-Kyankwanzi-24h'!G78)</f>
        <v>0</v>
      </c>
      <c r="H78" s="49">
        <f>AVERAGE('19.10 bukomero-Kyankwanzi-24h'!H78,'21.10 bukomero-Kyankwanzi-24h'!H78)</f>
        <v>0</v>
      </c>
      <c r="I78" s="49">
        <f>AVERAGE('19.10 bukomero-Kyankwanzi-24h'!I78,'21.10 bukomero-Kyankwanzi-24h'!I78)</f>
        <v>0</v>
      </c>
      <c r="J78" s="49">
        <f>AVERAGE('19.10 bukomero-Kyankwanzi-24h'!J78,'21.10 bukomero-Kyankwanzi-24h'!J78)</f>
        <v>0</v>
      </c>
      <c r="K78" s="49">
        <f>AVERAGE('19.10 bukomero-Kyankwanzi-24h'!K78,'21.10 bukomero-Kyankwanzi-24h'!K78)</f>
        <v>0</v>
      </c>
      <c r="L78" s="49">
        <f>AVERAGE('19.10 bukomero-Kyankwanzi-24h'!L78,'21.10 bukomero-Kyankwanzi-24h'!L78)</f>
        <v>0</v>
      </c>
      <c r="M78" s="49">
        <f>AVERAGE('19.10 bukomero-Kyankwanzi-24h'!M78,'21.10 bukomero-Kyankwanzi-24h'!M78)</f>
        <v>1.5</v>
      </c>
      <c r="N78" s="49">
        <f>AVERAGE('19.10 bukomero-Kyankwanzi-24h'!N78,'21.10 bukomero-Kyankwanzi-24h'!N78)</f>
        <v>0</v>
      </c>
      <c r="O78" s="15">
        <f t="shared" si="35"/>
        <v>0</v>
      </c>
      <c r="P78" s="15">
        <f t="shared" si="36"/>
        <v>1.5</v>
      </c>
      <c r="R78" s="8"/>
      <c r="T78"/>
    </row>
    <row r="79" spans="2:20" ht="23.1" customHeight="1" x14ac:dyDescent="0.25">
      <c r="B79" s="23" t="s">
        <v>119</v>
      </c>
      <c r="C79" s="49">
        <f>AVERAGE('19.10 bukomero-Kyankwanzi-24h'!C79,'21.10 bukomero-Kyankwanzi-24h'!C79)</f>
        <v>0</v>
      </c>
      <c r="D79" s="49">
        <f>AVERAGE('19.10 bukomero-Kyankwanzi-24h'!D79,'21.10 bukomero-Kyankwanzi-24h'!D79)</f>
        <v>0</v>
      </c>
      <c r="E79" s="49">
        <f>AVERAGE('19.10 bukomero-Kyankwanzi-24h'!E79,'21.10 bukomero-Kyankwanzi-24h'!E79)</f>
        <v>0</v>
      </c>
      <c r="F79" s="49">
        <f>AVERAGE('19.10 bukomero-Kyankwanzi-24h'!F79,'21.10 bukomero-Kyankwanzi-24h'!F79)</f>
        <v>0</v>
      </c>
      <c r="G79" s="49">
        <f>AVERAGE('19.10 bukomero-Kyankwanzi-24h'!G79,'21.10 bukomero-Kyankwanzi-24h'!G79)</f>
        <v>0</v>
      </c>
      <c r="H79" s="49">
        <f>AVERAGE('19.10 bukomero-Kyankwanzi-24h'!H79,'21.10 bukomero-Kyankwanzi-24h'!H79)</f>
        <v>0</v>
      </c>
      <c r="I79" s="49">
        <f>AVERAGE('19.10 bukomero-Kyankwanzi-24h'!I79,'21.10 bukomero-Kyankwanzi-24h'!I79)</f>
        <v>1</v>
      </c>
      <c r="J79" s="49">
        <f>AVERAGE('19.10 bukomero-Kyankwanzi-24h'!J79,'21.10 bukomero-Kyankwanzi-24h'!J79)</f>
        <v>0.5</v>
      </c>
      <c r="K79" s="49">
        <f>AVERAGE('19.10 bukomero-Kyankwanzi-24h'!K79,'21.10 bukomero-Kyankwanzi-24h'!K79)</f>
        <v>0</v>
      </c>
      <c r="L79" s="49">
        <f>AVERAGE('19.10 bukomero-Kyankwanzi-24h'!L79,'21.10 bukomero-Kyankwanzi-24h'!L79)</f>
        <v>0</v>
      </c>
      <c r="M79" s="49">
        <f>AVERAGE('19.10 bukomero-Kyankwanzi-24h'!M79,'21.10 bukomero-Kyankwanzi-24h'!M79)</f>
        <v>0.5</v>
      </c>
      <c r="N79" s="49">
        <f>AVERAGE('19.10 bukomero-Kyankwanzi-24h'!N79,'21.10 bukomero-Kyankwanzi-24h'!N79)</f>
        <v>0</v>
      </c>
      <c r="O79" s="15">
        <f t="shared" si="35"/>
        <v>1.5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AVERAGE('19.10 bukomero-Kyankwanzi-24h'!C80,'21.10 bukomero-Kyankwanzi-24h'!C80)</f>
        <v>0</v>
      </c>
      <c r="D80" s="49">
        <f>AVERAGE('19.10 bukomero-Kyankwanzi-24h'!D80,'21.10 bukomero-Kyankwanzi-24h'!D80)</f>
        <v>0</v>
      </c>
      <c r="E80" s="49">
        <f>AVERAGE('19.10 bukomero-Kyankwanzi-24h'!E80,'21.10 bukomero-Kyankwanzi-24h'!E80)</f>
        <v>0</v>
      </c>
      <c r="F80" s="49">
        <f>AVERAGE('19.10 bukomero-Kyankwanzi-24h'!F80,'21.10 bukomero-Kyankwanzi-24h'!F80)</f>
        <v>0</v>
      </c>
      <c r="G80" s="49">
        <f>AVERAGE('19.10 bukomero-Kyankwanzi-24h'!G80,'21.10 bukomero-Kyankwanzi-24h'!G80)</f>
        <v>0</v>
      </c>
      <c r="H80" s="49">
        <f>AVERAGE('19.10 bukomero-Kyankwanzi-24h'!H80,'21.10 bukomero-Kyankwanzi-24h'!H80)</f>
        <v>0</v>
      </c>
      <c r="I80" s="49">
        <f>AVERAGE('19.10 bukomero-Kyankwanzi-24h'!I80,'21.10 bukomero-Kyankwanzi-24h'!I80)</f>
        <v>0.5</v>
      </c>
      <c r="J80" s="49">
        <f>AVERAGE('19.10 bukomero-Kyankwanzi-24h'!J80,'21.10 bukomero-Kyankwanzi-24h'!J80)</f>
        <v>0</v>
      </c>
      <c r="K80" s="49">
        <f>AVERAGE('19.10 bukomero-Kyankwanzi-24h'!K80,'21.10 bukomero-Kyankwanzi-24h'!K80)</f>
        <v>0</v>
      </c>
      <c r="L80" s="49">
        <f>AVERAGE('19.10 bukomero-Kyankwanzi-24h'!L80,'21.10 bukomero-Kyankwanzi-24h'!L80)</f>
        <v>0</v>
      </c>
      <c r="M80" s="49">
        <f>AVERAGE('19.10 bukomero-Kyankwanzi-24h'!M80,'21.10 bukomero-Kyankwanzi-24h'!M80)</f>
        <v>1</v>
      </c>
      <c r="N80" s="49">
        <f>AVERAGE('19.10 bukomero-Kyankwanzi-24h'!N80,'21.10 bukomero-Kyankwanzi-24h'!N80)</f>
        <v>0</v>
      </c>
      <c r="O80" s="15">
        <f t="shared" si="35"/>
        <v>0.5</v>
      </c>
      <c r="P80" s="15">
        <f t="shared" si="36"/>
        <v>1.5</v>
      </c>
      <c r="R80" s="8"/>
      <c r="T80"/>
    </row>
    <row r="81" spans="2:20" ht="23.1" customHeight="1" x14ac:dyDescent="0.25">
      <c r="B81" s="23" t="s">
        <v>121</v>
      </c>
      <c r="C81" s="49">
        <f>AVERAGE('19.10 bukomero-Kyankwanzi-24h'!C81,'21.10 bukomero-Kyankwanzi-24h'!C81)</f>
        <v>0</v>
      </c>
      <c r="D81" s="49">
        <f>AVERAGE('19.10 bukomero-Kyankwanzi-24h'!D81,'21.10 bukomero-Kyankwanzi-24h'!D81)</f>
        <v>0</v>
      </c>
      <c r="E81" s="49">
        <f>AVERAGE('19.10 bukomero-Kyankwanzi-24h'!E81,'21.10 bukomero-Kyankwanzi-24h'!E81)</f>
        <v>0</v>
      </c>
      <c r="F81" s="49">
        <f>AVERAGE('19.10 bukomero-Kyankwanzi-24h'!F81,'21.10 bukomero-Kyankwanzi-24h'!F81)</f>
        <v>0</v>
      </c>
      <c r="G81" s="49">
        <f>AVERAGE('19.10 bukomero-Kyankwanzi-24h'!G81,'21.10 bukomero-Kyankwanzi-24h'!G81)</f>
        <v>0</v>
      </c>
      <c r="H81" s="49">
        <f>AVERAGE('19.10 bukomero-Kyankwanzi-24h'!H81,'21.10 bukomero-Kyankwanzi-24h'!H81)</f>
        <v>0</v>
      </c>
      <c r="I81" s="49">
        <f>AVERAGE('19.10 bukomero-Kyankwanzi-24h'!I81,'21.10 bukomero-Kyankwanzi-24h'!I81)</f>
        <v>0</v>
      </c>
      <c r="J81" s="49">
        <f>AVERAGE('19.10 bukomero-Kyankwanzi-24h'!J81,'21.10 bukomero-Kyankwanzi-24h'!J81)</f>
        <v>0</v>
      </c>
      <c r="K81" s="49">
        <f>AVERAGE('19.10 bukomero-Kyankwanzi-24h'!K81,'21.10 bukomero-Kyankwanzi-24h'!K81)</f>
        <v>0</v>
      </c>
      <c r="L81" s="49">
        <f>AVERAGE('19.10 bukomero-Kyankwanzi-24h'!L81,'21.10 bukomero-Kyankwanzi-24h'!L81)</f>
        <v>0</v>
      </c>
      <c r="M81" s="49">
        <f>AVERAGE('19.10 bukomero-Kyankwanzi-24h'!M81,'21.10 bukomero-Kyankwanzi-24h'!M81)</f>
        <v>1</v>
      </c>
      <c r="N81" s="49">
        <f>AVERAGE('19.10 bukomero-Kyankwanzi-24h'!N81,'21.10 bukomero-Kyankwanzi-24h'!N81)</f>
        <v>0</v>
      </c>
      <c r="O81" s="15">
        <f t="shared" si="35"/>
        <v>0</v>
      </c>
      <c r="P81" s="15">
        <f t="shared" si="36"/>
        <v>1</v>
      </c>
      <c r="R81" s="8"/>
      <c r="T81"/>
    </row>
    <row r="82" spans="2:20" ht="23.1" customHeight="1" x14ac:dyDescent="0.25">
      <c r="B82" s="24" t="s">
        <v>122</v>
      </c>
      <c r="C82" s="49">
        <f>AVERAGE('19.10 bukomero-Kyankwanzi-24h'!C82,'21.10 bukomero-Kyankwanzi-24h'!C82)</f>
        <v>0</v>
      </c>
      <c r="D82" s="49">
        <f>AVERAGE('19.10 bukomero-Kyankwanzi-24h'!D82,'21.10 bukomero-Kyankwanzi-24h'!D82)</f>
        <v>0</v>
      </c>
      <c r="E82" s="49">
        <f>AVERAGE('19.10 bukomero-Kyankwanzi-24h'!E82,'21.10 bukomero-Kyankwanzi-24h'!E82)</f>
        <v>0</v>
      </c>
      <c r="F82" s="49">
        <f>AVERAGE('19.10 bukomero-Kyankwanzi-24h'!F82,'21.10 bukomero-Kyankwanzi-24h'!F82)</f>
        <v>0</v>
      </c>
      <c r="G82" s="49">
        <f>AVERAGE('19.10 bukomero-Kyankwanzi-24h'!G82,'21.10 bukomero-Kyankwanzi-24h'!G82)</f>
        <v>0</v>
      </c>
      <c r="H82" s="49">
        <f>AVERAGE('19.10 bukomero-Kyankwanzi-24h'!H82,'21.10 bukomero-Kyankwanzi-24h'!H82)</f>
        <v>0</v>
      </c>
      <c r="I82" s="49">
        <f>AVERAGE('19.10 bukomero-Kyankwanzi-24h'!I82,'21.10 bukomero-Kyankwanzi-24h'!I82)</f>
        <v>0</v>
      </c>
      <c r="J82" s="49">
        <f>AVERAGE('19.10 bukomero-Kyankwanzi-24h'!J82,'21.10 bukomero-Kyankwanzi-24h'!J82)</f>
        <v>0</v>
      </c>
      <c r="K82" s="49">
        <f>AVERAGE('19.10 bukomero-Kyankwanzi-24h'!K82,'21.10 bukomero-Kyankwanzi-24h'!K82)</f>
        <v>0</v>
      </c>
      <c r="L82" s="49">
        <f>AVERAGE('19.10 bukomero-Kyankwanzi-24h'!L82,'21.10 bukomero-Kyankwanzi-24h'!L82)</f>
        <v>0</v>
      </c>
      <c r="M82" s="49">
        <f>AVERAGE('19.10 bukomero-Kyankwanzi-24h'!M82,'21.10 bukomero-Kyankwanzi-24h'!M82)</f>
        <v>2</v>
      </c>
      <c r="N82" s="49">
        <f>AVERAGE('19.10 bukomero-Kyankwanzi-24h'!N82,'21.10 bukomero-Kyankwanzi-24h'!N82)</f>
        <v>0</v>
      </c>
      <c r="O82" s="15">
        <f t="shared" si="35"/>
        <v>0</v>
      </c>
      <c r="P82" s="15">
        <f t="shared" si="36"/>
        <v>2</v>
      </c>
      <c r="R82" s="8"/>
      <c r="T82"/>
    </row>
    <row r="83" spans="2:20" ht="23.1" customHeight="1" x14ac:dyDescent="0.25">
      <c r="B83" s="23" t="s">
        <v>123</v>
      </c>
      <c r="C83" s="49">
        <f>AVERAGE('19.10 bukomero-Kyankwanzi-24h'!C83,'21.10 bukomero-Kyankwanzi-24h'!C83)</f>
        <v>0.5</v>
      </c>
      <c r="D83" s="49">
        <f>AVERAGE('19.10 bukomero-Kyankwanzi-24h'!D83,'21.10 bukomero-Kyankwanzi-24h'!D83)</f>
        <v>0</v>
      </c>
      <c r="E83" s="49">
        <f>AVERAGE('19.10 bukomero-Kyankwanzi-24h'!E83,'21.10 bukomero-Kyankwanzi-24h'!E83)</f>
        <v>0</v>
      </c>
      <c r="F83" s="49">
        <f>AVERAGE('19.10 bukomero-Kyankwanzi-24h'!F83,'21.10 bukomero-Kyankwanzi-24h'!F83)</f>
        <v>0</v>
      </c>
      <c r="G83" s="49">
        <f>AVERAGE('19.10 bukomero-Kyankwanzi-24h'!G83,'21.10 bukomero-Kyankwanzi-24h'!G83)</f>
        <v>0</v>
      </c>
      <c r="H83" s="49">
        <f>AVERAGE('19.10 bukomero-Kyankwanzi-24h'!H83,'21.10 bukomero-Kyankwanzi-24h'!H83)</f>
        <v>0</v>
      </c>
      <c r="I83" s="49">
        <f>AVERAGE('19.10 bukomero-Kyankwanzi-24h'!I83,'21.10 bukomero-Kyankwanzi-24h'!I83)</f>
        <v>1</v>
      </c>
      <c r="J83" s="49">
        <f>AVERAGE('19.10 bukomero-Kyankwanzi-24h'!J83,'21.10 bukomero-Kyankwanzi-24h'!J83)</f>
        <v>0</v>
      </c>
      <c r="K83" s="49">
        <f>AVERAGE('19.10 bukomero-Kyankwanzi-24h'!K83,'21.10 bukomero-Kyankwanzi-24h'!K83)</f>
        <v>0</v>
      </c>
      <c r="L83" s="49">
        <f>AVERAGE('19.10 bukomero-Kyankwanzi-24h'!L83,'21.10 bukomero-Kyankwanzi-24h'!L83)</f>
        <v>0</v>
      </c>
      <c r="M83" s="49">
        <f>AVERAGE('19.10 bukomero-Kyankwanzi-24h'!M83,'21.10 bukomero-Kyankwanzi-24h'!M83)</f>
        <v>0.5</v>
      </c>
      <c r="N83" s="49">
        <f>AVERAGE('19.10 bukomero-Kyankwanzi-24h'!N83,'21.10 bukomero-Kyankwanzi-24h'!N83)</f>
        <v>0</v>
      </c>
      <c r="O83" s="15">
        <f t="shared" si="35"/>
        <v>1.5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AVERAGE('19.10 bukomero-Kyankwanzi-24h'!C84,'21.10 bukomero-Kyankwanzi-24h'!C84)</f>
        <v>0</v>
      </c>
      <c r="D84" s="49">
        <f>AVERAGE('19.10 bukomero-Kyankwanzi-24h'!D84,'21.10 bukomero-Kyankwanzi-24h'!D84)</f>
        <v>0</v>
      </c>
      <c r="E84" s="49">
        <f>AVERAGE('19.10 bukomero-Kyankwanzi-24h'!E84,'21.10 bukomero-Kyankwanzi-24h'!E84)</f>
        <v>0</v>
      </c>
      <c r="F84" s="49">
        <f>AVERAGE('19.10 bukomero-Kyankwanzi-24h'!F84,'21.10 bukomero-Kyankwanzi-24h'!F84)</f>
        <v>0</v>
      </c>
      <c r="G84" s="49">
        <f>AVERAGE('19.10 bukomero-Kyankwanzi-24h'!G84,'21.10 bukomero-Kyankwanzi-24h'!G84)</f>
        <v>0</v>
      </c>
      <c r="H84" s="49">
        <f>AVERAGE('19.10 bukomero-Kyankwanzi-24h'!H84,'21.10 bukomero-Kyankwanzi-24h'!H84)</f>
        <v>0</v>
      </c>
      <c r="I84" s="49">
        <f>AVERAGE('19.10 bukomero-Kyankwanzi-24h'!I84,'21.10 bukomero-Kyankwanzi-24h'!I84)</f>
        <v>0</v>
      </c>
      <c r="J84" s="49">
        <f>AVERAGE('19.10 bukomero-Kyankwanzi-24h'!J84,'21.10 bukomero-Kyankwanzi-24h'!J84)</f>
        <v>0</v>
      </c>
      <c r="K84" s="49">
        <f>AVERAGE('19.10 bukomero-Kyankwanzi-24h'!K84,'21.10 bukomero-Kyankwanzi-24h'!K84)</f>
        <v>0</v>
      </c>
      <c r="L84" s="49">
        <f>AVERAGE('19.10 bukomero-Kyankwanzi-24h'!L84,'21.10 bukomero-Kyankwanzi-24h'!L84)</f>
        <v>0</v>
      </c>
      <c r="M84" s="49">
        <f>AVERAGE('19.10 bukomero-Kyankwanzi-24h'!M84,'21.10 bukomero-Kyankwanzi-24h'!M84)</f>
        <v>0.5</v>
      </c>
      <c r="N84" s="49">
        <f>AVERAGE('19.10 bukomero-Kyankwanzi-24h'!N84,'21.10 bukomero-Kyankwanzi-24h'!N84)</f>
        <v>0</v>
      </c>
      <c r="O84" s="15">
        <f t="shared" si="35"/>
        <v>0</v>
      </c>
      <c r="P84" s="15">
        <f t="shared" si="36"/>
        <v>0.5</v>
      </c>
      <c r="R84" s="8"/>
      <c r="T84"/>
    </row>
    <row r="85" spans="2:20" ht="23.1" customHeight="1" x14ac:dyDescent="0.25">
      <c r="B85" s="23" t="s">
        <v>125</v>
      </c>
      <c r="C85" s="49">
        <f>AVERAGE('19.10 bukomero-Kyankwanzi-24h'!C85,'21.10 bukomero-Kyankwanzi-24h'!C85)</f>
        <v>0.5</v>
      </c>
      <c r="D85" s="49">
        <f>AVERAGE('19.10 bukomero-Kyankwanzi-24h'!D85,'21.10 bukomero-Kyankwanzi-24h'!D85)</f>
        <v>0</v>
      </c>
      <c r="E85" s="49">
        <f>AVERAGE('19.10 bukomero-Kyankwanzi-24h'!E85,'21.10 bukomero-Kyankwanzi-24h'!E85)</f>
        <v>0</v>
      </c>
      <c r="F85" s="49">
        <f>AVERAGE('19.10 bukomero-Kyankwanzi-24h'!F85,'21.10 bukomero-Kyankwanzi-24h'!F85)</f>
        <v>0</v>
      </c>
      <c r="G85" s="49">
        <f>AVERAGE('19.10 bukomero-Kyankwanzi-24h'!G85,'21.10 bukomero-Kyankwanzi-24h'!G85)</f>
        <v>0</v>
      </c>
      <c r="H85" s="49">
        <f>AVERAGE('19.10 bukomero-Kyankwanzi-24h'!H85,'21.10 bukomero-Kyankwanzi-24h'!H85)</f>
        <v>0</v>
      </c>
      <c r="I85" s="49">
        <f>AVERAGE('19.10 bukomero-Kyankwanzi-24h'!I85,'21.10 bukomero-Kyankwanzi-24h'!I85)</f>
        <v>0.5</v>
      </c>
      <c r="J85" s="49">
        <f>AVERAGE('19.10 bukomero-Kyankwanzi-24h'!J85,'21.10 bukomero-Kyankwanzi-24h'!J85)</f>
        <v>0</v>
      </c>
      <c r="K85" s="49">
        <f>AVERAGE('19.10 bukomero-Kyankwanzi-24h'!K85,'21.10 bukomero-Kyankwanzi-24h'!K85)</f>
        <v>0</v>
      </c>
      <c r="L85" s="49">
        <f>AVERAGE('19.10 bukomero-Kyankwanzi-24h'!L85,'21.10 bukomero-Kyankwanzi-24h'!L85)</f>
        <v>0</v>
      </c>
      <c r="M85" s="49">
        <f>AVERAGE('19.10 bukomero-Kyankwanzi-24h'!M85,'21.10 bukomero-Kyankwanzi-24h'!M85)</f>
        <v>0</v>
      </c>
      <c r="N85" s="49">
        <f>AVERAGE('19.10 bukomero-Kyankwanzi-24h'!N85,'21.10 bukomero-Kyankwanzi-24h'!N85)</f>
        <v>0</v>
      </c>
      <c r="O85" s="15">
        <f t="shared" si="35"/>
        <v>1</v>
      </c>
      <c r="P85" s="15">
        <f t="shared" si="36"/>
        <v>1</v>
      </c>
      <c r="R85" s="8"/>
      <c r="T85"/>
    </row>
    <row r="86" spans="2:20" ht="23.1" customHeight="1" x14ac:dyDescent="0.25">
      <c r="B86" s="24" t="s">
        <v>126</v>
      </c>
      <c r="C86" s="49">
        <f>AVERAGE('19.10 bukomero-Kyankwanzi-24h'!C86,'21.10 bukomero-Kyankwanzi-24h'!C86)</f>
        <v>0</v>
      </c>
      <c r="D86" s="49">
        <f>AVERAGE('19.10 bukomero-Kyankwanzi-24h'!D86,'21.10 bukomero-Kyankwanzi-24h'!D86)</f>
        <v>0.5</v>
      </c>
      <c r="E86" s="49">
        <f>AVERAGE('19.10 bukomero-Kyankwanzi-24h'!E86,'21.10 bukomero-Kyankwanzi-24h'!E86)</f>
        <v>0</v>
      </c>
      <c r="F86" s="49">
        <f>AVERAGE('19.10 bukomero-Kyankwanzi-24h'!F86,'21.10 bukomero-Kyankwanzi-24h'!F86)</f>
        <v>0</v>
      </c>
      <c r="G86" s="49">
        <f>AVERAGE('19.10 bukomero-Kyankwanzi-24h'!G86,'21.10 bukomero-Kyankwanzi-24h'!G86)</f>
        <v>0</v>
      </c>
      <c r="H86" s="49">
        <f>AVERAGE('19.10 bukomero-Kyankwanzi-24h'!H86,'21.10 bukomero-Kyankwanzi-24h'!H86)</f>
        <v>0</v>
      </c>
      <c r="I86" s="49">
        <f>AVERAGE('19.10 bukomero-Kyankwanzi-24h'!I86,'21.10 bukomero-Kyankwanzi-24h'!I86)</f>
        <v>0.5</v>
      </c>
      <c r="J86" s="49">
        <f>AVERAGE('19.10 bukomero-Kyankwanzi-24h'!J86,'21.10 bukomero-Kyankwanzi-24h'!J86)</f>
        <v>0</v>
      </c>
      <c r="K86" s="49">
        <f>AVERAGE('19.10 bukomero-Kyankwanzi-24h'!K86,'21.10 bukomero-Kyankwanzi-24h'!K86)</f>
        <v>0</v>
      </c>
      <c r="L86" s="49">
        <f>AVERAGE('19.10 bukomero-Kyankwanzi-24h'!L86,'21.10 bukomero-Kyankwanzi-24h'!L86)</f>
        <v>0</v>
      </c>
      <c r="M86" s="49">
        <f>AVERAGE('19.10 bukomero-Kyankwanzi-24h'!M86,'21.10 bukomero-Kyankwanzi-24h'!M86)</f>
        <v>0</v>
      </c>
      <c r="N86" s="49">
        <f>AVERAGE('19.10 bukomero-Kyankwanzi-24h'!N86,'21.10 bukomero-Kyankwanzi-24h'!N86)</f>
        <v>0</v>
      </c>
      <c r="O86" s="15">
        <f t="shared" si="35"/>
        <v>1</v>
      </c>
      <c r="P86" s="15">
        <f t="shared" si="36"/>
        <v>1</v>
      </c>
      <c r="R86" s="8"/>
      <c r="T86"/>
    </row>
    <row r="87" spans="2:20" ht="23.1" customHeight="1" x14ac:dyDescent="0.25">
      <c r="B87" s="23" t="s">
        <v>127</v>
      </c>
      <c r="C87" s="49">
        <f>AVERAGE('19.10 bukomero-Kyankwanzi-24h'!C87,'21.10 bukomero-Kyankwanzi-24h'!C87)</f>
        <v>0.5</v>
      </c>
      <c r="D87" s="49">
        <f>AVERAGE('19.10 bukomero-Kyankwanzi-24h'!D87,'21.10 bukomero-Kyankwanzi-24h'!D87)</f>
        <v>0</v>
      </c>
      <c r="E87" s="49">
        <f>AVERAGE('19.10 bukomero-Kyankwanzi-24h'!E87,'21.10 bukomero-Kyankwanzi-24h'!E87)</f>
        <v>0</v>
      </c>
      <c r="F87" s="49">
        <f>AVERAGE('19.10 bukomero-Kyankwanzi-24h'!F87,'21.10 bukomero-Kyankwanzi-24h'!F87)</f>
        <v>0</v>
      </c>
      <c r="G87" s="49">
        <f>AVERAGE('19.10 bukomero-Kyankwanzi-24h'!G87,'21.10 bukomero-Kyankwanzi-24h'!G87)</f>
        <v>0</v>
      </c>
      <c r="H87" s="49">
        <f>AVERAGE('19.10 bukomero-Kyankwanzi-24h'!H87,'21.10 bukomero-Kyankwanzi-24h'!H87)</f>
        <v>0</v>
      </c>
      <c r="I87" s="49">
        <f>AVERAGE('19.10 bukomero-Kyankwanzi-24h'!I87,'21.10 bukomero-Kyankwanzi-24h'!I87)</f>
        <v>0</v>
      </c>
      <c r="J87" s="49">
        <f>AVERAGE('19.10 bukomero-Kyankwanzi-24h'!J87,'21.10 bukomero-Kyankwanzi-24h'!J87)</f>
        <v>0</v>
      </c>
      <c r="K87" s="49">
        <f>AVERAGE('19.10 bukomero-Kyankwanzi-24h'!K87,'21.10 bukomero-Kyankwanzi-24h'!K87)</f>
        <v>0</v>
      </c>
      <c r="L87" s="49">
        <f>AVERAGE('19.10 bukomero-Kyankwanzi-24h'!L87,'21.10 bukomero-Kyankwanzi-24h'!L87)</f>
        <v>0</v>
      </c>
      <c r="M87" s="49">
        <f>AVERAGE('19.10 bukomero-Kyankwanzi-24h'!M87,'21.10 bukomero-Kyankwanzi-24h'!M87)</f>
        <v>0</v>
      </c>
      <c r="N87" s="49">
        <f>AVERAGE('19.10 bukomero-Kyankwanzi-24h'!N87,'21.10 bukomero-Kyankwanzi-24h'!N87)</f>
        <v>0</v>
      </c>
      <c r="O87" s="15">
        <f t="shared" si="35"/>
        <v>0.5</v>
      </c>
      <c r="P87" s="15">
        <f t="shared" si="36"/>
        <v>0.5</v>
      </c>
      <c r="R87" s="8"/>
      <c r="T87"/>
    </row>
    <row r="88" spans="2:20" ht="23.1" customHeight="1" x14ac:dyDescent="0.25">
      <c r="B88" s="25" t="s">
        <v>128</v>
      </c>
      <c r="C88" s="49">
        <f>AVERAGE('19.10 bukomero-Kyankwanzi-24h'!C88,'21.10 bukomero-Kyankwanzi-24h'!C88)</f>
        <v>0</v>
      </c>
      <c r="D88" s="49">
        <f>AVERAGE('19.10 bukomero-Kyankwanzi-24h'!D88,'21.10 bukomero-Kyankwanzi-24h'!D88)</f>
        <v>0</v>
      </c>
      <c r="E88" s="49">
        <f>AVERAGE('19.10 bukomero-Kyankwanzi-24h'!E88,'21.10 bukomero-Kyankwanzi-24h'!E88)</f>
        <v>0</v>
      </c>
      <c r="F88" s="49">
        <f>AVERAGE('19.10 bukomero-Kyankwanzi-24h'!F88,'21.10 bukomero-Kyankwanzi-24h'!F88)</f>
        <v>0</v>
      </c>
      <c r="G88" s="49">
        <f>AVERAGE('19.10 bukomero-Kyankwanzi-24h'!G88,'21.10 bukomero-Kyankwanzi-24h'!G88)</f>
        <v>0</v>
      </c>
      <c r="H88" s="49">
        <f>AVERAGE('19.10 bukomero-Kyankwanzi-24h'!H88,'21.10 bukomero-Kyankwanzi-24h'!H88)</f>
        <v>0</v>
      </c>
      <c r="I88" s="49">
        <f>AVERAGE('19.10 bukomero-Kyankwanzi-24h'!I88,'21.10 bukomero-Kyankwanzi-24h'!I88)</f>
        <v>1</v>
      </c>
      <c r="J88" s="49">
        <f>AVERAGE('19.10 bukomero-Kyankwanzi-24h'!J88,'21.10 bukomero-Kyankwanzi-24h'!J88)</f>
        <v>0</v>
      </c>
      <c r="K88" s="49">
        <f>AVERAGE('19.10 bukomero-Kyankwanzi-24h'!K88,'21.10 bukomero-Kyankwanzi-24h'!K88)</f>
        <v>0</v>
      </c>
      <c r="L88" s="49">
        <f>AVERAGE('19.10 bukomero-Kyankwanzi-24h'!L88,'21.10 bukomero-Kyankwanzi-24h'!L88)</f>
        <v>0</v>
      </c>
      <c r="M88" s="49">
        <f>AVERAGE('19.10 bukomero-Kyankwanzi-24h'!M88,'21.10 bukomero-Kyankwanzi-24h'!M88)</f>
        <v>0</v>
      </c>
      <c r="N88" s="49">
        <f>AVERAGE('19.10 bukomero-Kyankwanzi-24h'!N88,'21.10 bukomero-Kyankwanzi-24h'!N88)</f>
        <v>0</v>
      </c>
      <c r="O88" s="15">
        <f t="shared" si="35"/>
        <v>1</v>
      </c>
      <c r="P88" s="15">
        <f t="shared" si="36"/>
        <v>1</v>
      </c>
      <c r="R88" s="8"/>
      <c r="T88"/>
    </row>
    <row r="89" spans="2:20" ht="23.1" customHeight="1" x14ac:dyDescent="0.25">
      <c r="B89" s="23" t="s">
        <v>129</v>
      </c>
      <c r="C89" s="49">
        <f>AVERAGE('19.10 bukomero-Kyankwanzi-24h'!C89,'21.10 bukomero-Kyankwanzi-24h'!C89)</f>
        <v>0</v>
      </c>
      <c r="D89" s="49">
        <f>AVERAGE('19.10 bukomero-Kyankwanzi-24h'!D89,'21.10 bukomero-Kyankwanzi-24h'!D89)</f>
        <v>0</v>
      </c>
      <c r="E89" s="49">
        <f>AVERAGE('19.10 bukomero-Kyankwanzi-24h'!E89,'21.10 bukomero-Kyankwanzi-24h'!E89)</f>
        <v>0</v>
      </c>
      <c r="F89" s="49">
        <f>AVERAGE('19.10 bukomero-Kyankwanzi-24h'!F89,'21.10 bukomero-Kyankwanzi-24h'!F89)</f>
        <v>0</v>
      </c>
      <c r="G89" s="49">
        <f>AVERAGE('19.10 bukomero-Kyankwanzi-24h'!G89,'21.10 bukomero-Kyankwanzi-24h'!G89)</f>
        <v>0</v>
      </c>
      <c r="H89" s="49">
        <f>AVERAGE('19.10 bukomero-Kyankwanzi-24h'!H89,'21.10 bukomero-Kyankwanzi-24h'!H89)</f>
        <v>0</v>
      </c>
      <c r="I89" s="49">
        <f>AVERAGE('19.10 bukomero-Kyankwanzi-24h'!I89,'21.10 bukomero-Kyankwanzi-24h'!I89)</f>
        <v>1.5</v>
      </c>
      <c r="J89" s="49">
        <f>AVERAGE('19.10 bukomero-Kyankwanzi-24h'!J89,'21.10 bukomero-Kyankwanzi-24h'!J89)</f>
        <v>0</v>
      </c>
      <c r="K89" s="49">
        <f>AVERAGE('19.10 bukomero-Kyankwanzi-24h'!K89,'21.10 bukomero-Kyankwanzi-24h'!K89)</f>
        <v>0</v>
      </c>
      <c r="L89" s="49">
        <f>AVERAGE('19.10 bukomero-Kyankwanzi-24h'!L89,'21.10 bukomero-Kyankwanzi-24h'!L89)</f>
        <v>0</v>
      </c>
      <c r="M89" s="49">
        <f>AVERAGE('19.10 bukomero-Kyankwanzi-24h'!M89,'21.10 bukomero-Kyankwanzi-24h'!M89)</f>
        <v>0</v>
      </c>
      <c r="N89" s="49">
        <f>AVERAGE('19.10 bukomero-Kyankwanzi-24h'!N89,'21.10 bukomero-Kyankwanzi-24h'!N89)</f>
        <v>0</v>
      </c>
      <c r="O89" s="15">
        <f t="shared" si="35"/>
        <v>1.5</v>
      </c>
      <c r="P89" s="15">
        <f t="shared" si="36"/>
        <v>1.5</v>
      </c>
      <c r="R89" s="8"/>
      <c r="T89"/>
    </row>
    <row r="90" spans="2:20" ht="23.1" customHeight="1" x14ac:dyDescent="0.25">
      <c r="B90" s="24" t="s">
        <v>130</v>
      </c>
      <c r="C90" s="49">
        <f>AVERAGE('19.10 bukomero-Kyankwanzi-24h'!C90,'21.10 bukomero-Kyankwanzi-24h'!C90)</f>
        <v>0</v>
      </c>
      <c r="D90" s="49">
        <f>AVERAGE('19.10 bukomero-Kyankwanzi-24h'!D90,'21.10 bukomero-Kyankwanzi-24h'!D90)</f>
        <v>0</v>
      </c>
      <c r="E90" s="49">
        <f>AVERAGE('19.10 bukomero-Kyankwanzi-24h'!E90,'21.10 bukomero-Kyankwanzi-24h'!E90)</f>
        <v>0</v>
      </c>
      <c r="F90" s="49">
        <f>AVERAGE('19.10 bukomero-Kyankwanzi-24h'!F90,'21.10 bukomero-Kyankwanzi-24h'!F90)</f>
        <v>0.5</v>
      </c>
      <c r="G90" s="49">
        <f>AVERAGE('19.10 bukomero-Kyankwanzi-24h'!G90,'21.10 bukomero-Kyankwanzi-24h'!G90)</f>
        <v>0</v>
      </c>
      <c r="H90" s="49">
        <f>AVERAGE('19.10 bukomero-Kyankwanzi-24h'!H90,'21.10 bukomero-Kyankwanzi-24h'!H90)</f>
        <v>0</v>
      </c>
      <c r="I90" s="49">
        <f>AVERAGE('19.10 bukomero-Kyankwanzi-24h'!I90,'21.10 bukomero-Kyankwanzi-24h'!I90)</f>
        <v>0.5</v>
      </c>
      <c r="J90" s="49">
        <f>AVERAGE('19.10 bukomero-Kyankwanzi-24h'!J90,'21.10 bukomero-Kyankwanzi-24h'!J90)</f>
        <v>1</v>
      </c>
      <c r="K90" s="49">
        <f>AVERAGE('19.10 bukomero-Kyankwanzi-24h'!K90,'21.10 bukomero-Kyankwanzi-24h'!K90)</f>
        <v>0</v>
      </c>
      <c r="L90" s="49">
        <f>AVERAGE('19.10 bukomero-Kyankwanzi-24h'!L90,'21.10 bukomero-Kyankwanzi-24h'!L90)</f>
        <v>0</v>
      </c>
      <c r="M90" s="49">
        <f>AVERAGE('19.10 bukomero-Kyankwanzi-24h'!M90,'21.10 bukomero-Kyankwanzi-24h'!M90)</f>
        <v>0.5</v>
      </c>
      <c r="N90" s="49">
        <f>AVERAGE('19.10 bukomero-Kyankwanzi-24h'!N90,'21.10 bukomero-Kyankwanzi-24h'!N90)</f>
        <v>1</v>
      </c>
      <c r="O90" s="15">
        <f t="shared" si="35"/>
        <v>3</v>
      </c>
      <c r="P90" s="15">
        <f t="shared" si="36"/>
        <v>3.5</v>
      </c>
      <c r="R90" s="8"/>
      <c r="T90"/>
    </row>
    <row r="91" spans="2:20" ht="23.1" customHeight="1" x14ac:dyDescent="0.25">
      <c r="B91" s="23" t="s">
        <v>131</v>
      </c>
      <c r="C91" s="49">
        <f>AVERAGE('19.10 bukomero-Kyankwanzi-24h'!C91,'21.10 bukomero-Kyankwanzi-24h'!C91)</f>
        <v>0</v>
      </c>
      <c r="D91" s="49">
        <f>AVERAGE('19.10 bukomero-Kyankwanzi-24h'!D91,'21.10 bukomero-Kyankwanzi-24h'!D91)</f>
        <v>0</v>
      </c>
      <c r="E91" s="49">
        <f>AVERAGE('19.10 bukomero-Kyankwanzi-24h'!E91,'21.10 bukomero-Kyankwanzi-24h'!E91)</f>
        <v>0</v>
      </c>
      <c r="F91" s="49">
        <f>AVERAGE('19.10 bukomero-Kyankwanzi-24h'!F91,'21.10 bukomero-Kyankwanzi-24h'!F91)</f>
        <v>0</v>
      </c>
      <c r="G91" s="49">
        <f>AVERAGE('19.10 bukomero-Kyankwanzi-24h'!G91,'21.10 bukomero-Kyankwanzi-24h'!G91)</f>
        <v>0</v>
      </c>
      <c r="H91" s="49">
        <f>AVERAGE('19.10 bukomero-Kyankwanzi-24h'!H91,'21.10 bukomero-Kyankwanzi-24h'!H91)</f>
        <v>0</v>
      </c>
      <c r="I91" s="49">
        <f>AVERAGE('19.10 bukomero-Kyankwanzi-24h'!I91,'21.10 bukomero-Kyankwanzi-24h'!I91)</f>
        <v>1</v>
      </c>
      <c r="J91" s="49">
        <f>AVERAGE('19.10 bukomero-Kyankwanzi-24h'!J91,'21.10 bukomero-Kyankwanzi-24h'!J91)</f>
        <v>0</v>
      </c>
      <c r="K91" s="49">
        <f>AVERAGE('19.10 bukomero-Kyankwanzi-24h'!K91,'21.10 bukomero-Kyankwanzi-24h'!K91)</f>
        <v>0</v>
      </c>
      <c r="L91" s="49">
        <f>AVERAGE('19.10 bukomero-Kyankwanzi-24h'!L91,'21.10 bukomero-Kyankwanzi-24h'!L91)</f>
        <v>0</v>
      </c>
      <c r="M91" s="49">
        <f>AVERAGE('19.10 bukomero-Kyankwanzi-24h'!M91,'21.10 bukomero-Kyankwanzi-24h'!M91)</f>
        <v>0</v>
      </c>
      <c r="N91" s="49">
        <f>AVERAGE('19.10 bukomero-Kyankwanzi-24h'!N91,'21.10 bukomero-Kyankwanzi-24h'!N91)</f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25" t="s">
        <v>132</v>
      </c>
      <c r="C92" s="49">
        <f>AVERAGE('19.10 bukomero-Kyankwanzi-24h'!C92,'21.10 bukomero-Kyankwanzi-24h'!C92)</f>
        <v>0</v>
      </c>
      <c r="D92" s="49">
        <f>AVERAGE('19.10 bukomero-Kyankwanzi-24h'!D92,'21.10 bukomero-Kyankwanzi-24h'!D92)</f>
        <v>0</v>
      </c>
      <c r="E92" s="49">
        <f>AVERAGE('19.10 bukomero-Kyankwanzi-24h'!E92,'21.10 bukomero-Kyankwanzi-24h'!E92)</f>
        <v>0</v>
      </c>
      <c r="F92" s="49">
        <f>AVERAGE('19.10 bukomero-Kyankwanzi-24h'!F92,'21.10 bukomero-Kyankwanzi-24h'!F92)</f>
        <v>0</v>
      </c>
      <c r="G92" s="49">
        <f>AVERAGE('19.10 bukomero-Kyankwanzi-24h'!G92,'21.10 bukomero-Kyankwanzi-24h'!G92)</f>
        <v>0</v>
      </c>
      <c r="H92" s="49">
        <f>AVERAGE('19.10 bukomero-Kyankwanzi-24h'!H92,'21.10 bukomero-Kyankwanzi-24h'!H92)</f>
        <v>0</v>
      </c>
      <c r="I92" s="49">
        <f>AVERAGE('19.10 bukomero-Kyankwanzi-24h'!I92,'21.10 bukomero-Kyankwanzi-24h'!I92)</f>
        <v>0</v>
      </c>
      <c r="J92" s="49">
        <f>AVERAGE('19.10 bukomero-Kyankwanzi-24h'!J92,'21.10 bukomero-Kyankwanzi-24h'!J92)</f>
        <v>0</v>
      </c>
      <c r="K92" s="49">
        <f>AVERAGE('19.10 bukomero-Kyankwanzi-24h'!K92,'21.10 bukomero-Kyankwanzi-24h'!K92)</f>
        <v>0</v>
      </c>
      <c r="L92" s="49">
        <f>AVERAGE('19.10 bukomero-Kyankwanzi-24h'!L92,'21.10 bukomero-Kyankwanzi-24h'!L92)</f>
        <v>0</v>
      </c>
      <c r="M92" s="49">
        <f>AVERAGE('19.10 bukomero-Kyankwanzi-24h'!M92,'21.10 bukomero-Kyankwanzi-24h'!M92)</f>
        <v>0</v>
      </c>
      <c r="N92" s="49">
        <f>AVERAGE('19.10 bukomero-Kyankwanzi-24h'!N92,'21.10 bukomero-Kyankwanzi-24h'!N92)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AVERAGE('19.10 bukomero-Kyankwanzi-24h'!C93,'21.10 bukomero-Kyankwanzi-24h'!C93)</f>
        <v>0</v>
      </c>
      <c r="D93" s="49">
        <f>AVERAGE('19.10 bukomero-Kyankwanzi-24h'!D93,'21.10 bukomero-Kyankwanzi-24h'!D93)</f>
        <v>0</v>
      </c>
      <c r="E93" s="49">
        <f>AVERAGE('19.10 bukomero-Kyankwanzi-24h'!E93,'21.10 bukomero-Kyankwanzi-24h'!E93)</f>
        <v>0</v>
      </c>
      <c r="F93" s="49">
        <f>AVERAGE('19.10 bukomero-Kyankwanzi-24h'!F93,'21.10 bukomero-Kyankwanzi-24h'!F93)</f>
        <v>0</v>
      </c>
      <c r="G93" s="49">
        <f>AVERAGE('19.10 bukomero-Kyankwanzi-24h'!G93,'21.10 bukomero-Kyankwanzi-24h'!G93)</f>
        <v>0</v>
      </c>
      <c r="H93" s="49">
        <f>AVERAGE('19.10 bukomero-Kyankwanzi-24h'!H93,'21.10 bukomero-Kyankwanzi-24h'!H93)</f>
        <v>0</v>
      </c>
      <c r="I93" s="49">
        <f>AVERAGE('19.10 bukomero-Kyankwanzi-24h'!I93,'21.10 bukomero-Kyankwanzi-24h'!I93)</f>
        <v>1</v>
      </c>
      <c r="J93" s="49">
        <f>AVERAGE('19.10 bukomero-Kyankwanzi-24h'!J93,'21.10 bukomero-Kyankwanzi-24h'!J93)</f>
        <v>0</v>
      </c>
      <c r="K93" s="49">
        <f>AVERAGE('19.10 bukomero-Kyankwanzi-24h'!K93,'21.10 bukomero-Kyankwanzi-24h'!K93)</f>
        <v>0</v>
      </c>
      <c r="L93" s="49">
        <f>AVERAGE('19.10 bukomero-Kyankwanzi-24h'!L93,'21.10 bukomero-Kyankwanzi-24h'!L93)</f>
        <v>0</v>
      </c>
      <c r="M93" s="49">
        <f>AVERAGE('19.10 bukomero-Kyankwanzi-24h'!M93,'21.10 bukomero-Kyankwanzi-24h'!M93)</f>
        <v>2</v>
      </c>
      <c r="N93" s="49">
        <f>AVERAGE('19.10 bukomero-Kyankwanzi-24h'!N93,'21.10 bukomero-Kyankwanzi-24h'!N93)</f>
        <v>1</v>
      </c>
      <c r="O93" s="15">
        <f t="shared" si="35"/>
        <v>2</v>
      </c>
      <c r="P93" s="15">
        <f t="shared" si="36"/>
        <v>4</v>
      </c>
      <c r="R93" s="8"/>
      <c r="T93"/>
    </row>
    <row r="94" spans="2:20" ht="23.1" customHeight="1" x14ac:dyDescent="0.25">
      <c r="B94" s="24" t="s">
        <v>134</v>
      </c>
      <c r="C94" s="49">
        <f>AVERAGE('19.10 bukomero-Kyankwanzi-24h'!C94,'21.10 bukomero-Kyankwanzi-24h'!C94)</f>
        <v>0</v>
      </c>
      <c r="D94" s="49">
        <f>AVERAGE('19.10 bukomero-Kyankwanzi-24h'!D94,'21.10 bukomero-Kyankwanzi-24h'!D94)</f>
        <v>0</v>
      </c>
      <c r="E94" s="49">
        <f>AVERAGE('19.10 bukomero-Kyankwanzi-24h'!E94,'21.10 bukomero-Kyankwanzi-24h'!E94)</f>
        <v>0</v>
      </c>
      <c r="F94" s="49">
        <f>AVERAGE('19.10 bukomero-Kyankwanzi-24h'!F94,'21.10 bukomero-Kyankwanzi-24h'!F94)</f>
        <v>0</v>
      </c>
      <c r="G94" s="49">
        <f>AVERAGE('19.10 bukomero-Kyankwanzi-24h'!G94,'21.10 bukomero-Kyankwanzi-24h'!G94)</f>
        <v>0</v>
      </c>
      <c r="H94" s="49">
        <f>AVERAGE('19.10 bukomero-Kyankwanzi-24h'!H94,'21.10 bukomero-Kyankwanzi-24h'!H94)</f>
        <v>0</v>
      </c>
      <c r="I94" s="49">
        <f>AVERAGE('19.10 bukomero-Kyankwanzi-24h'!I94,'21.10 bukomero-Kyankwanzi-24h'!I94)</f>
        <v>0.5</v>
      </c>
      <c r="J94" s="49">
        <f>AVERAGE('19.10 bukomero-Kyankwanzi-24h'!J94,'21.10 bukomero-Kyankwanzi-24h'!J94)</f>
        <v>0</v>
      </c>
      <c r="K94" s="49">
        <f>AVERAGE('19.10 bukomero-Kyankwanzi-24h'!K94,'21.10 bukomero-Kyankwanzi-24h'!K94)</f>
        <v>0</v>
      </c>
      <c r="L94" s="49">
        <f>AVERAGE('19.10 bukomero-Kyankwanzi-24h'!L94,'21.10 bukomero-Kyankwanzi-24h'!L94)</f>
        <v>0</v>
      </c>
      <c r="M94" s="49">
        <f>AVERAGE('19.10 bukomero-Kyankwanzi-24h'!M94,'21.10 bukomero-Kyankwanzi-24h'!M94)</f>
        <v>0</v>
      </c>
      <c r="N94" s="49">
        <f>AVERAGE('19.10 bukomero-Kyankwanzi-24h'!N94,'21.10 bukomero-Kyankwanzi-24h'!N94)</f>
        <v>0</v>
      </c>
      <c r="O94" s="15">
        <f t="shared" si="35"/>
        <v>0.5</v>
      </c>
      <c r="P94" s="15">
        <f t="shared" si="36"/>
        <v>0.5</v>
      </c>
      <c r="R94" s="8"/>
      <c r="T94"/>
    </row>
    <row r="95" spans="2:20" ht="23.1" customHeight="1" x14ac:dyDescent="0.25">
      <c r="B95" s="23" t="s">
        <v>135</v>
      </c>
      <c r="C95" s="49">
        <f>AVERAGE('19.10 bukomero-Kyankwanzi-24h'!C95,'21.10 bukomero-Kyankwanzi-24h'!C95)</f>
        <v>0</v>
      </c>
      <c r="D95" s="49">
        <f>AVERAGE('19.10 bukomero-Kyankwanzi-24h'!D95,'21.10 bukomero-Kyankwanzi-24h'!D95)</f>
        <v>0</v>
      </c>
      <c r="E95" s="49">
        <f>AVERAGE('19.10 bukomero-Kyankwanzi-24h'!E95,'21.10 bukomero-Kyankwanzi-24h'!E95)</f>
        <v>0</v>
      </c>
      <c r="F95" s="49">
        <f>AVERAGE('19.10 bukomero-Kyankwanzi-24h'!F95,'21.10 bukomero-Kyankwanzi-24h'!F95)</f>
        <v>0</v>
      </c>
      <c r="G95" s="49">
        <f>AVERAGE('19.10 bukomero-Kyankwanzi-24h'!G95,'21.10 bukomero-Kyankwanzi-24h'!G95)</f>
        <v>0</v>
      </c>
      <c r="H95" s="49">
        <f>AVERAGE('19.10 bukomero-Kyankwanzi-24h'!H95,'21.10 bukomero-Kyankwanzi-24h'!H95)</f>
        <v>0</v>
      </c>
      <c r="I95" s="49">
        <f>AVERAGE('19.10 bukomero-Kyankwanzi-24h'!I95,'21.10 bukomero-Kyankwanzi-24h'!I95)</f>
        <v>0.5</v>
      </c>
      <c r="J95" s="49">
        <f>AVERAGE('19.10 bukomero-Kyankwanzi-24h'!J95,'21.10 bukomero-Kyankwanzi-24h'!J95)</f>
        <v>0</v>
      </c>
      <c r="K95" s="49">
        <f>AVERAGE('19.10 bukomero-Kyankwanzi-24h'!K95,'21.10 bukomero-Kyankwanzi-24h'!K95)</f>
        <v>0</v>
      </c>
      <c r="L95" s="49">
        <f>AVERAGE('19.10 bukomero-Kyankwanzi-24h'!L95,'21.10 bukomero-Kyankwanzi-24h'!L95)</f>
        <v>0</v>
      </c>
      <c r="M95" s="49">
        <f>AVERAGE('19.10 bukomero-Kyankwanzi-24h'!M95,'21.10 bukomero-Kyankwanzi-24h'!M95)</f>
        <v>0</v>
      </c>
      <c r="N95" s="49">
        <f>AVERAGE('19.10 bukomero-Kyankwanzi-24h'!N95,'21.10 bukomero-Kyankwanzi-24h'!N95)</f>
        <v>0</v>
      </c>
      <c r="O95" s="15">
        <f t="shared" si="35"/>
        <v>0.5</v>
      </c>
      <c r="P95" s="15">
        <f t="shared" si="36"/>
        <v>0.5</v>
      </c>
      <c r="R95" s="8"/>
      <c r="T95"/>
    </row>
    <row r="96" spans="2:20" ht="23.1" customHeight="1" x14ac:dyDescent="0.25">
      <c r="B96" s="25" t="s">
        <v>136</v>
      </c>
      <c r="C96" s="49">
        <f>AVERAGE('19.10 bukomero-Kyankwanzi-24h'!C96,'21.10 bukomero-Kyankwanzi-24h'!C96)</f>
        <v>0</v>
      </c>
      <c r="D96" s="49">
        <f>AVERAGE('19.10 bukomero-Kyankwanzi-24h'!D96,'21.10 bukomero-Kyankwanzi-24h'!D96)</f>
        <v>0</v>
      </c>
      <c r="E96" s="49">
        <f>AVERAGE('19.10 bukomero-Kyankwanzi-24h'!E96,'21.10 bukomero-Kyankwanzi-24h'!E96)</f>
        <v>0</v>
      </c>
      <c r="F96" s="49">
        <f>AVERAGE('19.10 bukomero-Kyankwanzi-24h'!F96,'21.10 bukomero-Kyankwanzi-24h'!F96)</f>
        <v>0</v>
      </c>
      <c r="G96" s="49">
        <f>AVERAGE('19.10 bukomero-Kyankwanzi-24h'!G96,'21.10 bukomero-Kyankwanzi-24h'!G96)</f>
        <v>0</v>
      </c>
      <c r="H96" s="49">
        <f>AVERAGE('19.10 bukomero-Kyankwanzi-24h'!H96,'21.10 bukomero-Kyankwanzi-24h'!H96)</f>
        <v>0</v>
      </c>
      <c r="I96" s="49">
        <f>AVERAGE('19.10 bukomero-Kyankwanzi-24h'!I96,'21.10 bukomero-Kyankwanzi-24h'!I96)</f>
        <v>0.5</v>
      </c>
      <c r="J96" s="49">
        <f>AVERAGE('19.10 bukomero-Kyankwanzi-24h'!J96,'21.10 bukomero-Kyankwanzi-24h'!J96)</f>
        <v>0.5</v>
      </c>
      <c r="K96" s="49">
        <f>AVERAGE('19.10 bukomero-Kyankwanzi-24h'!K96,'21.10 bukomero-Kyankwanzi-24h'!K96)</f>
        <v>0</v>
      </c>
      <c r="L96" s="49">
        <f>AVERAGE('19.10 bukomero-Kyankwanzi-24h'!L96,'21.10 bukomero-Kyankwanzi-24h'!L96)</f>
        <v>0</v>
      </c>
      <c r="M96" s="49">
        <f>AVERAGE('19.10 bukomero-Kyankwanzi-24h'!M96,'21.10 bukomero-Kyankwanzi-24h'!M96)</f>
        <v>0</v>
      </c>
      <c r="N96" s="49">
        <f>AVERAGE('19.10 bukomero-Kyankwanzi-24h'!N96,'21.10 bukomero-Kyankwanzi-24h'!N96)</f>
        <v>0</v>
      </c>
      <c r="O96" s="15">
        <f t="shared" si="35"/>
        <v>1</v>
      </c>
      <c r="P96" s="15">
        <f t="shared" si="36"/>
        <v>1</v>
      </c>
      <c r="R96" s="8"/>
      <c r="T96"/>
    </row>
    <row r="97" spans="2:20" ht="23.1" customHeight="1" x14ac:dyDescent="0.25">
      <c r="B97" s="23" t="s">
        <v>137</v>
      </c>
      <c r="C97" s="49">
        <f>AVERAGE('19.10 bukomero-Kyankwanzi-24h'!C97,'21.10 bukomero-Kyankwanzi-24h'!C97)</f>
        <v>0</v>
      </c>
      <c r="D97" s="49">
        <f>AVERAGE('19.10 bukomero-Kyankwanzi-24h'!D97,'21.10 bukomero-Kyankwanzi-24h'!D97)</f>
        <v>0</v>
      </c>
      <c r="E97" s="49">
        <f>AVERAGE('19.10 bukomero-Kyankwanzi-24h'!E97,'21.10 bukomero-Kyankwanzi-24h'!E97)</f>
        <v>0</v>
      </c>
      <c r="F97" s="49">
        <f>AVERAGE('19.10 bukomero-Kyankwanzi-24h'!F97,'21.10 bukomero-Kyankwanzi-24h'!F97)</f>
        <v>0</v>
      </c>
      <c r="G97" s="49">
        <f>AVERAGE('19.10 bukomero-Kyankwanzi-24h'!G97,'21.10 bukomero-Kyankwanzi-24h'!G97)</f>
        <v>0</v>
      </c>
      <c r="H97" s="49">
        <f>AVERAGE('19.10 bukomero-Kyankwanzi-24h'!H97,'21.10 bukomero-Kyankwanzi-24h'!H97)</f>
        <v>0</v>
      </c>
      <c r="I97" s="49">
        <f>AVERAGE('19.10 bukomero-Kyankwanzi-24h'!I97,'21.10 bukomero-Kyankwanzi-24h'!I97)</f>
        <v>0</v>
      </c>
      <c r="J97" s="49">
        <f>AVERAGE('19.10 bukomero-Kyankwanzi-24h'!J97,'21.10 bukomero-Kyankwanzi-24h'!J97)</f>
        <v>1</v>
      </c>
      <c r="K97" s="49">
        <f>AVERAGE('19.10 bukomero-Kyankwanzi-24h'!K97,'21.10 bukomero-Kyankwanzi-24h'!K97)</f>
        <v>0</v>
      </c>
      <c r="L97" s="49">
        <f>AVERAGE('19.10 bukomero-Kyankwanzi-24h'!L97,'21.10 bukomero-Kyankwanzi-24h'!L97)</f>
        <v>0</v>
      </c>
      <c r="M97" s="49">
        <f>AVERAGE('19.10 bukomero-Kyankwanzi-24h'!M97,'21.10 bukomero-Kyankwanzi-24h'!M97)</f>
        <v>0</v>
      </c>
      <c r="N97" s="49">
        <f>AVERAGE('19.10 bukomero-Kyankwanzi-24h'!N97,'21.10 bukomero-Kyankwanzi-24h'!N97)</f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AVERAGE('19.10 bukomero-Kyankwanzi-24h'!C98,'21.10 bukomero-Kyankwanzi-24h'!C98)</f>
        <v>0</v>
      </c>
      <c r="D98" s="49">
        <f>AVERAGE('19.10 bukomero-Kyankwanzi-24h'!D98,'21.10 bukomero-Kyankwanzi-24h'!D98)</f>
        <v>0</v>
      </c>
      <c r="E98" s="49">
        <f>AVERAGE('19.10 bukomero-Kyankwanzi-24h'!E98,'21.10 bukomero-Kyankwanzi-24h'!E98)</f>
        <v>0</v>
      </c>
      <c r="F98" s="49">
        <f>AVERAGE('19.10 bukomero-Kyankwanzi-24h'!F98,'21.10 bukomero-Kyankwanzi-24h'!F98)</f>
        <v>0.5</v>
      </c>
      <c r="G98" s="49">
        <f>AVERAGE('19.10 bukomero-Kyankwanzi-24h'!G98,'21.10 bukomero-Kyankwanzi-24h'!G98)</f>
        <v>0</v>
      </c>
      <c r="H98" s="49">
        <f>AVERAGE('19.10 bukomero-Kyankwanzi-24h'!H98,'21.10 bukomero-Kyankwanzi-24h'!H98)</f>
        <v>0</v>
      </c>
      <c r="I98" s="49">
        <f>AVERAGE('19.10 bukomero-Kyankwanzi-24h'!I98,'21.10 bukomero-Kyankwanzi-24h'!I98)</f>
        <v>2</v>
      </c>
      <c r="J98" s="49">
        <f>AVERAGE('19.10 bukomero-Kyankwanzi-24h'!J98,'21.10 bukomero-Kyankwanzi-24h'!J98)</f>
        <v>0</v>
      </c>
      <c r="K98" s="49">
        <f>AVERAGE('19.10 bukomero-Kyankwanzi-24h'!K98,'21.10 bukomero-Kyankwanzi-24h'!K98)</f>
        <v>0</v>
      </c>
      <c r="L98" s="49">
        <f>AVERAGE('19.10 bukomero-Kyankwanzi-24h'!L98,'21.10 bukomero-Kyankwanzi-24h'!L98)</f>
        <v>0</v>
      </c>
      <c r="M98" s="49">
        <f>AVERAGE('19.10 bukomero-Kyankwanzi-24h'!M98,'21.10 bukomero-Kyankwanzi-24h'!M98)</f>
        <v>3</v>
      </c>
      <c r="N98" s="49">
        <f>AVERAGE('19.10 bukomero-Kyankwanzi-24h'!N98,'21.10 bukomero-Kyankwanzi-24h'!N98)</f>
        <v>0</v>
      </c>
      <c r="O98" s="15">
        <f t="shared" si="35"/>
        <v>2.5</v>
      </c>
      <c r="P98" s="15">
        <f t="shared" si="36"/>
        <v>5.5</v>
      </c>
      <c r="R98" s="8"/>
      <c r="T98"/>
    </row>
    <row r="99" spans="2:20" ht="23.1" customHeight="1" x14ac:dyDescent="0.25">
      <c r="B99" s="23" t="s">
        <v>139</v>
      </c>
      <c r="C99" s="49">
        <f>AVERAGE('19.10 bukomero-Kyankwanzi-24h'!C99,'21.10 bukomero-Kyankwanzi-24h'!C99)</f>
        <v>0.5</v>
      </c>
      <c r="D99" s="49">
        <f>AVERAGE('19.10 bukomero-Kyankwanzi-24h'!D99,'21.10 bukomero-Kyankwanzi-24h'!D99)</f>
        <v>0</v>
      </c>
      <c r="E99" s="49">
        <f>AVERAGE('19.10 bukomero-Kyankwanzi-24h'!E99,'21.10 bukomero-Kyankwanzi-24h'!E99)</f>
        <v>0</v>
      </c>
      <c r="F99" s="49">
        <f>AVERAGE('19.10 bukomero-Kyankwanzi-24h'!F99,'21.10 bukomero-Kyankwanzi-24h'!F99)</f>
        <v>0</v>
      </c>
      <c r="G99" s="49">
        <f>AVERAGE('19.10 bukomero-Kyankwanzi-24h'!G99,'21.10 bukomero-Kyankwanzi-24h'!G99)</f>
        <v>0</v>
      </c>
      <c r="H99" s="49">
        <f>AVERAGE('19.10 bukomero-Kyankwanzi-24h'!H99,'21.10 bukomero-Kyankwanzi-24h'!H99)</f>
        <v>0</v>
      </c>
      <c r="I99" s="49">
        <f>AVERAGE('19.10 bukomero-Kyankwanzi-24h'!I99,'21.10 bukomero-Kyankwanzi-24h'!I99)</f>
        <v>0</v>
      </c>
      <c r="J99" s="49">
        <f>AVERAGE('19.10 bukomero-Kyankwanzi-24h'!J99,'21.10 bukomero-Kyankwanzi-24h'!J99)</f>
        <v>0</v>
      </c>
      <c r="K99" s="49">
        <f>AVERAGE('19.10 bukomero-Kyankwanzi-24h'!K99,'21.10 bukomero-Kyankwanzi-24h'!K99)</f>
        <v>0</v>
      </c>
      <c r="L99" s="49">
        <f>AVERAGE('19.10 bukomero-Kyankwanzi-24h'!L99,'21.10 bukomero-Kyankwanzi-24h'!L99)</f>
        <v>0</v>
      </c>
      <c r="M99" s="49">
        <f>AVERAGE('19.10 bukomero-Kyankwanzi-24h'!M99,'21.10 bukomero-Kyankwanzi-24h'!M99)</f>
        <v>0.5</v>
      </c>
      <c r="N99" s="49">
        <f>AVERAGE('19.10 bukomero-Kyankwanzi-24h'!N99,'21.10 bukomero-Kyankwanzi-24h'!N99)</f>
        <v>0</v>
      </c>
      <c r="O99" s="15">
        <f t="shared" si="35"/>
        <v>0.5</v>
      </c>
      <c r="P99" s="15">
        <f t="shared" si="36"/>
        <v>1</v>
      </c>
      <c r="R99" s="8"/>
      <c r="T99"/>
    </row>
    <row r="100" spans="2:20" ht="23.1" customHeight="1" x14ac:dyDescent="0.25">
      <c r="B100" s="25" t="s">
        <v>140</v>
      </c>
      <c r="C100" s="49">
        <f>AVERAGE('19.10 bukomero-Kyankwanzi-24h'!C100,'21.10 bukomero-Kyankwanzi-24h'!C100)</f>
        <v>0</v>
      </c>
      <c r="D100" s="49">
        <f>AVERAGE('19.10 bukomero-Kyankwanzi-24h'!D100,'21.10 bukomero-Kyankwanzi-24h'!D100)</f>
        <v>0</v>
      </c>
      <c r="E100" s="49">
        <f>AVERAGE('19.10 bukomero-Kyankwanzi-24h'!E100,'21.10 bukomero-Kyankwanzi-24h'!E100)</f>
        <v>0</v>
      </c>
      <c r="F100" s="49">
        <f>AVERAGE('19.10 bukomero-Kyankwanzi-24h'!F100,'21.10 bukomero-Kyankwanzi-24h'!F100)</f>
        <v>0</v>
      </c>
      <c r="G100" s="49">
        <f>AVERAGE('19.10 bukomero-Kyankwanzi-24h'!G100,'21.10 bukomero-Kyankwanzi-24h'!G100)</f>
        <v>0</v>
      </c>
      <c r="H100" s="49">
        <f>AVERAGE('19.10 bukomero-Kyankwanzi-24h'!H100,'21.10 bukomero-Kyankwanzi-24h'!H100)</f>
        <v>0</v>
      </c>
      <c r="I100" s="49">
        <f>AVERAGE('19.10 bukomero-Kyankwanzi-24h'!I100,'21.10 bukomero-Kyankwanzi-24h'!I100)</f>
        <v>0.5</v>
      </c>
      <c r="J100" s="49">
        <f>AVERAGE('19.10 bukomero-Kyankwanzi-24h'!J100,'21.10 bukomero-Kyankwanzi-24h'!J100)</f>
        <v>0</v>
      </c>
      <c r="K100" s="49">
        <f>AVERAGE('19.10 bukomero-Kyankwanzi-24h'!K100,'21.10 bukomero-Kyankwanzi-24h'!K100)</f>
        <v>0</v>
      </c>
      <c r="L100" s="49">
        <f>AVERAGE('19.10 bukomero-Kyankwanzi-24h'!L100,'21.10 bukomero-Kyankwanzi-24h'!L100)</f>
        <v>0</v>
      </c>
      <c r="M100" s="49">
        <f>AVERAGE('19.10 bukomero-Kyankwanzi-24h'!M100,'21.10 bukomero-Kyankwanzi-24h'!M100)</f>
        <v>1</v>
      </c>
      <c r="N100" s="49">
        <f>AVERAGE('19.10 bukomero-Kyankwanzi-24h'!N100,'21.10 bukomero-Kyankwanzi-24h'!N100)</f>
        <v>0</v>
      </c>
      <c r="O100" s="15">
        <f t="shared" si="35"/>
        <v>0.5</v>
      </c>
      <c r="P100" s="15">
        <f t="shared" si="36"/>
        <v>1.5</v>
      </c>
      <c r="R100" s="8"/>
      <c r="T100"/>
    </row>
    <row r="101" spans="2:20" ht="23.1" customHeight="1" x14ac:dyDescent="0.25">
      <c r="B101" s="23" t="s">
        <v>141</v>
      </c>
      <c r="C101" s="49">
        <f>AVERAGE('19.10 bukomero-Kyankwanzi-24h'!C101,'21.10 bukomero-Kyankwanzi-24h'!C101)</f>
        <v>0</v>
      </c>
      <c r="D101" s="49">
        <f>AVERAGE('19.10 bukomero-Kyankwanzi-24h'!D101,'21.10 bukomero-Kyankwanzi-24h'!D101)</f>
        <v>0.5</v>
      </c>
      <c r="E101" s="49">
        <f>AVERAGE('19.10 bukomero-Kyankwanzi-24h'!E101,'21.10 bukomero-Kyankwanzi-24h'!E101)</f>
        <v>0</v>
      </c>
      <c r="F101" s="49">
        <f>AVERAGE('19.10 bukomero-Kyankwanzi-24h'!F101,'21.10 bukomero-Kyankwanzi-24h'!F101)</f>
        <v>0</v>
      </c>
      <c r="G101" s="49">
        <f>AVERAGE('19.10 bukomero-Kyankwanzi-24h'!G101,'21.10 bukomero-Kyankwanzi-24h'!G101)</f>
        <v>0</v>
      </c>
      <c r="H101" s="49">
        <f>AVERAGE('19.10 bukomero-Kyankwanzi-24h'!H101,'21.10 bukomero-Kyankwanzi-24h'!H101)</f>
        <v>0</v>
      </c>
      <c r="I101" s="49">
        <f>AVERAGE('19.10 bukomero-Kyankwanzi-24h'!I101,'21.10 bukomero-Kyankwanzi-24h'!I101)</f>
        <v>0</v>
      </c>
      <c r="J101" s="49">
        <f>AVERAGE('19.10 bukomero-Kyankwanzi-24h'!J101,'21.10 bukomero-Kyankwanzi-24h'!J101)</f>
        <v>0</v>
      </c>
      <c r="K101" s="49">
        <f>AVERAGE('19.10 bukomero-Kyankwanzi-24h'!K101,'21.10 bukomero-Kyankwanzi-24h'!K101)</f>
        <v>0</v>
      </c>
      <c r="L101" s="49">
        <f>AVERAGE('19.10 bukomero-Kyankwanzi-24h'!L101,'21.10 bukomero-Kyankwanzi-24h'!L101)</f>
        <v>0</v>
      </c>
      <c r="M101" s="49">
        <f>AVERAGE('19.10 bukomero-Kyankwanzi-24h'!M101,'21.10 bukomero-Kyankwanzi-24h'!M101)</f>
        <v>5</v>
      </c>
      <c r="N101" s="49">
        <f>AVERAGE('19.10 bukomero-Kyankwanzi-24h'!N101,'21.10 bukomero-Kyankwanzi-24h'!N101)</f>
        <v>0</v>
      </c>
      <c r="O101" s="15">
        <f t="shared" si="35"/>
        <v>0.5</v>
      </c>
      <c r="P101" s="15">
        <f t="shared" si="36"/>
        <v>5.5</v>
      </c>
      <c r="R101" s="8"/>
      <c r="T101"/>
    </row>
    <row r="102" spans="2:20" ht="23.1" customHeight="1" x14ac:dyDescent="0.25">
      <c r="B102" s="24" t="s">
        <v>142</v>
      </c>
      <c r="C102" s="49">
        <f>AVERAGE('19.10 bukomero-Kyankwanzi-24h'!C102,'21.10 bukomero-Kyankwanzi-24h'!C102)</f>
        <v>0</v>
      </c>
      <c r="D102" s="49">
        <f>AVERAGE('19.10 bukomero-Kyankwanzi-24h'!D102,'21.10 bukomero-Kyankwanzi-24h'!D102)</f>
        <v>0.5</v>
      </c>
      <c r="E102" s="49">
        <f>AVERAGE('19.10 bukomero-Kyankwanzi-24h'!E102,'21.10 bukomero-Kyankwanzi-24h'!E102)</f>
        <v>0</v>
      </c>
      <c r="F102" s="49">
        <f>AVERAGE('19.10 bukomero-Kyankwanzi-24h'!F102,'21.10 bukomero-Kyankwanzi-24h'!F102)</f>
        <v>0</v>
      </c>
      <c r="G102" s="49">
        <f>AVERAGE('19.10 bukomero-Kyankwanzi-24h'!G102,'21.10 bukomero-Kyankwanzi-24h'!G102)</f>
        <v>0</v>
      </c>
      <c r="H102" s="49">
        <f>AVERAGE('19.10 bukomero-Kyankwanzi-24h'!H102,'21.10 bukomero-Kyankwanzi-24h'!H102)</f>
        <v>0</v>
      </c>
      <c r="I102" s="49">
        <f>AVERAGE('19.10 bukomero-Kyankwanzi-24h'!I102,'21.10 bukomero-Kyankwanzi-24h'!I102)</f>
        <v>1.5</v>
      </c>
      <c r="J102" s="49">
        <f>AVERAGE('19.10 bukomero-Kyankwanzi-24h'!J102,'21.10 bukomero-Kyankwanzi-24h'!J102)</f>
        <v>0.5</v>
      </c>
      <c r="K102" s="49">
        <f>AVERAGE('19.10 bukomero-Kyankwanzi-24h'!K102,'21.10 bukomero-Kyankwanzi-24h'!K102)</f>
        <v>0</v>
      </c>
      <c r="L102" s="49">
        <f>AVERAGE('19.10 bukomero-Kyankwanzi-24h'!L102,'21.10 bukomero-Kyankwanzi-24h'!L102)</f>
        <v>0</v>
      </c>
      <c r="M102" s="49">
        <f>AVERAGE('19.10 bukomero-Kyankwanzi-24h'!M102,'21.10 bukomero-Kyankwanzi-24h'!M102)</f>
        <v>4</v>
      </c>
      <c r="N102" s="49">
        <f>AVERAGE('19.10 bukomero-Kyankwanzi-24h'!N102,'21.10 bukomero-Kyankwanzi-24h'!N102)</f>
        <v>0</v>
      </c>
      <c r="O102" s="15">
        <f t="shared" si="35"/>
        <v>2.5</v>
      </c>
      <c r="P102" s="15">
        <f t="shared" si="36"/>
        <v>6.5</v>
      </c>
      <c r="R102" s="8"/>
      <c r="T102"/>
    </row>
    <row r="103" spans="2:20" ht="23.1" customHeight="1" x14ac:dyDescent="0.25">
      <c r="B103" s="23" t="s">
        <v>143</v>
      </c>
      <c r="C103" s="49">
        <f>AVERAGE('19.10 bukomero-Kyankwanzi-24h'!C103,'21.10 bukomero-Kyankwanzi-24h'!C103)</f>
        <v>0</v>
      </c>
      <c r="D103" s="49">
        <f>AVERAGE('19.10 bukomero-Kyankwanzi-24h'!D103,'21.10 bukomero-Kyankwanzi-24h'!D103)</f>
        <v>0</v>
      </c>
      <c r="E103" s="49">
        <f>AVERAGE('19.10 bukomero-Kyankwanzi-24h'!E103,'21.10 bukomero-Kyankwanzi-24h'!E103)</f>
        <v>0</v>
      </c>
      <c r="F103" s="49">
        <f>AVERAGE('19.10 bukomero-Kyankwanzi-24h'!F103,'21.10 bukomero-Kyankwanzi-24h'!F103)</f>
        <v>0</v>
      </c>
      <c r="G103" s="49">
        <f>AVERAGE('19.10 bukomero-Kyankwanzi-24h'!G103,'21.10 bukomero-Kyankwanzi-24h'!G103)</f>
        <v>0</v>
      </c>
      <c r="H103" s="49">
        <f>AVERAGE('19.10 bukomero-Kyankwanzi-24h'!H103,'21.10 bukomero-Kyankwanzi-24h'!H103)</f>
        <v>0</v>
      </c>
      <c r="I103" s="49">
        <f>AVERAGE('19.10 bukomero-Kyankwanzi-24h'!I103,'21.10 bukomero-Kyankwanzi-24h'!I103)</f>
        <v>0.5</v>
      </c>
      <c r="J103" s="49">
        <f>AVERAGE('19.10 bukomero-Kyankwanzi-24h'!J103,'21.10 bukomero-Kyankwanzi-24h'!J103)</f>
        <v>0</v>
      </c>
      <c r="K103" s="49">
        <f>AVERAGE('19.10 bukomero-Kyankwanzi-24h'!K103,'21.10 bukomero-Kyankwanzi-24h'!K103)</f>
        <v>0</v>
      </c>
      <c r="L103" s="49">
        <f>AVERAGE('19.10 bukomero-Kyankwanzi-24h'!L103,'21.10 bukomero-Kyankwanzi-24h'!L103)</f>
        <v>0</v>
      </c>
      <c r="M103" s="49">
        <f>AVERAGE('19.10 bukomero-Kyankwanzi-24h'!M103,'21.10 bukomero-Kyankwanzi-24h'!M103)</f>
        <v>5</v>
      </c>
      <c r="N103" s="49">
        <f>AVERAGE('19.10 bukomero-Kyankwanzi-24h'!N103,'21.10 bukomero-Kyankwanzi-24h'!N103)</f>
        <v>0</v>
      </c>
      <c r="O103" s="15">
        <f t="shared" si="35"/>
        <v>0.5</v>
      </c>
      <c r="P103" s="15">
        <f t="shared" si="36"/>
        <v>5.5</v>
      </c>
      <c r="R103" s="8"/>
      <c r="T103"/>
    </row>
    <row r="104" spans="2:20" ht="23.1" customHeight="1" x14ac:dyDescent="0.25">
      <c r="B104" s="25" t="s">
        <v>144</v>
      </c>
      <c r="C104" s="49">
        <f>AVERAGE('19.10 bukomero-Kyankwanzi-24h'!C104,'21.10 bukomero-Kyankwanzi-24h'!C104)</f>
        <v>0</v>
      </c>
      <c r="D104" s="49">
        <f>AVERAGE('19.10 bukomero-Kyankwanzi-24h'!D104,'21.10 bukomero-Kyankwanzi-24h'!D104)</f>
        <v>0</v>
      </c>
      <c r="E104" s="49">
        <f>AVERAGE('19.10 bukomero-Kyankwanzi-24h'!E104,'21.10 bukomero-Kyankwanzi-24h'!E104)</f>
        <v>0</v>
      </c>
      <c r="F104" s="49">
        <f>AVERAGE('19.10 bukomero-Kyankwanzi-24h'!F104,'21.10 bukomero-Kyankwanzi-24h'!F104)</f>
        <v>0</v>
      </c>
      <c r="G104" s="49">
        <f>AVERAGE('19.10 bukomero-Kyankwanzi-24h'!G104,'21.10 bukomero-Kyankwanzi-24h'!G104)</f>
        <v>0</v>
      </c>
      <c r="H104" s="49">
        <f>AVERAGE('19.10 bukomero-Kyankwanzi-24h'!H104,'21.10 bukomero-Kyankwanzi-24h'!H104)</f>
        <v>0</v>
      </c>
      <c r="I104" s="49">
        <f>AVERAGE('19.10 bukomero-Kyankwanzi-24h'!I104,'21.10 bukomero-Kyankwanzi-24h'!I104)</f>
        <v>0</v>
      </c>
      <c r="J104" s="49">
        <f>AVERAGE('19.10 bukomero-Kyankwanzi-24h'!J104,'21.10 bukomero-Kyankwanzi-24h'!J104)</f>
        <v>1</v>
      </c>
      <c r="K104" s="49">
        <f>AVERAGE('19.10 bukomero-Kyankwanzi-24h'!K104,'21.10 bukomero-Kyankwanzi-24h'!K104)</f>
        <v>0</v>
      </c>
      <c r="L104" s="49">
        <f>AVERAGE('19.10 bukomero-Kyankwanzi-24h'!L104,'21.10 bukomero-Kyankwanzi-24h'!L104)</f>
        <v>0</v>
      </c>
      <c r="M104" s="49">
        <f>AVERAGE('19.10 bukomero-Kyankwanzi-24h'!M104,'21.10 bukomero-Kyankwanzi-24h'!M104)</f>
        <v>8.5</v>
      </c>
      <c r="N104" s="49">
        <f>AVERAGE('19.10 bukomero-Kyankwanzi-24h'!N104,'21.10 bukomero-Kyankwanzi-24h'!N104)</f>
        <v>0</v>
      </c>
      <c r="O104" s="15">
        <f t="shared" si="35"/>
        <v>1</v>
      </c>
      <c r="P104" s="15">
        <f t="shared" si="36"/>
        <v>9.5</v>
      </c>
      <c r="R104" s="8"/>
      <c r="T104"/>
    </row>
    <row r="105" spans="2:20" ht="23.1" customHeight="1" x14ac:dyDescent="0.25">
      <c r="B105" s="23" t="s">
        <v>145</v>
      </c>
      <c r="C105" s="49">
        <f>AVERAGE('19.10 bukomero-Kyankwanzi-24h'!C105,'21.10 bukomero-Kyankwanzi-24h'!C105)</f>
        <v>1.5</v>
      </c>
      <c r="D105" s="49">
        <f>AVERAGE('19.10 bukomero-Kyankwanzi-24h'!D105,'21.10 bukomero-Kyankwanzi-24h'!D105)</f>
        <v>0</v>
      </c>
      <c r="E105" s="49">
        <f>AVERAGE('19.10 bukomero-Kyankwanzi-24h'!E105,'21.10 bukomero-Kyankwanzi-24h'!E105)</f>
        <v>0</v>
      </c>
      <c r="F105" s="49">
        <f>AVERAGE('19.10 bukomero-Kyankwanzi-24h'!F105,'21.10 bukomero-Kyankwanzi-24h'!F105)</f>
        <v>0</v>
      </c>
      <c r="G105" s="49">
        <f>AVERAGE('19.10 bukomero-Kyankwanzi-24h'!G105,'21.10 bukomero-Kyankwanzi-24h'!G105)</f>
        <v>0</v>
      </c>
      <c r="H105" s="49">
        <f>AVERAGE('19.10 bukomero-Kyankwanzi-24h'!H105,'21.10 bukomero-Kyankwanzi-24h'!H105)</f>
        <v>0</v>
      </c>
      <c r="I105" s="49">
        <f>AVERAGE('19.10 bukomero-Kyankwanzi-24h'!I105,'21.10 bukomero-Kyankwanzi-24h'!I105)</f>
        <v>3.5</v>
      </c>
      <c r="J105" s="49">
        <f>AVERAGE('19.10 bukomero-Kyankwanzi-24h'!J105,'21.10 bukomero-Kyankwanzi-24h'!J105)</f>
        <v>0</v>
      </c>
      <c r="K105" s="49">
        <f>AVERAGE('19.10 bukomero-Kyankwanzi-24h'!K105,'21.10 bukomero-Kyankwanzi-24h'!K105)</f>
        <v>0</v>
      </c>
      <c r="L105" s="49">
        <f>AVERAGE('19.10 bukomero-Kyankwanzi-24h'!L105,'21.10 bukomero-Kyankwanzi-24h'!L105)</f>
        <v>0</v>
      </c>
      <c r="M105" s="49">
        <f>AVERAGE('19.10 bukomero-Kyankwanzi-24h'!M105,'21.10 bukomero-Kyankwanzi-24h'!M105)</f>
        <v>8.5</v>
      </c>
      <c r="N105" s="49">
        <f>AVERAGE('19.10 bukomero-Kyankwanzi-24h'!N105,'21.10 bukomero-Kyankwanzi-24h'!N105)</f>
        <v>0</v>
      </c>
      <c r="O105" s="15">
        <f t="shared" si="35"/>
        <v>5</v>
      </c>
      <c r="P105" s="15">
        <f t="shared" si="36"/>
        <v>13.5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27.857142857142854</v>
      </c>
      <c r="D106" s="16">
        <f t="shared" ref="D106:P106" si="37">SUM(D10:D105)</f>
        <v>8.5000000000000018</v>
      </c>
      <c r="E106" s="16">
        <f t="shared" si="37"/>
        <v>8.2142857142857171</v>
      </c>
      <c r="F106" s="16">
        <f t="shared" si="37"/>
        <v>7.8571428571428594</v>
      </c>
      <c r="G106" s="16">
        <f t="shared" si="37"/>
        <v>0.2857142857142857</v>
      </c>
      <c r="H106" s="16">
        <f t="shared" si="37"/>
        <v>0</v>
      </c>
      <c r="I106" s="16">
        <f t="shared" si="37"/>
        <v>60.428571428571423</v>
      </c>
      <c r="J106" s="16">
        <f t="shared" si="37"/>
        <v>10.357142857142856</v>
      </c>
      <c r="K106" s="16">
        <f t="shared" si="37"/>
        <v>1.857142857142857</v>
      </c>
      <c r="L106" s="16">
        <f t="shared" si="37"/>
        <v>0</v>
      </c>
      <c r="M106" s="16">
        <f t="shared" si="37"/>
        <v>716.71428571428555</v>
      </c>
      <c r="N106" s="16">
        <f t="shared" si="37"/>
        <v>2.1428571428571428</v>
      </c>
      <c r="O106" s="16">
        <f t="shared" si="37"/>
        <v>127.50000000000001</v>
      </c>
      <c r="P106" s="16">
        <f t="shared" si="37"/>
        <v>844.21428571428567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3.2997715542770117E-2</v>
      </c>
      <c r="D107" s="43">
        <f t="shared" si="38"/>
        <v>1.0068533716896526E-2</v>
      </c>
      <c r="E107" s="43">
        <f t="shared" si="38"/>
        <v>9.7300956087655512E-3</v>
      </c>
      <c r="F107" s="43">
        <f t="shared" si="38"/>
        <v>9.3070479736018299E-3</v>
      </c>
      <c r="G107" s="43">
        <f t="shared" si="38"/>
        <v>3.3843810813097557E-4</v>
      </c>
      <c r="H107" s="43">
        <f t="shared" si="38"/>
        <v>0</v>
      </c>
      <c r="I107" s="43">
        <f t="shared" si="38"/>
        <v>7.1579659869701329E-2</v>
      </c>
      <c r="J107" s="43">
        <f t="shared" si="38"/>
        <v>1.2268381419747863E-2</v>
      </c>
      <c r="K107" s="43">
        <f t="shared" si="38"/>
        <v>2.1998477028513409E-3</v>
      </c>
      <c r="L107" s="43">
        <f t="shared" si="38"/>
        <v>0</v>
      </c>
      <c r="M107" s="43">
        <f t="shared" si="38"/>
        <v>0.84897199424655201</v>
      </c>
      <c r="N107" s="43">
        <f t="shared" si="38"/>
        <v>2.5382858109823168E-3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0.21848739495798314</v>
      </c>
      <c r="D108" s="44">
        <f t="shared" ref="D108:N108" si="39">D106/$O$106</f>
        <v>6.666666666666668E-2</v>
      </c>
      <c r="E108" s="44">
        <f t="shared" si="39"/>
        <v>6.442577030812327E-2</v>
      </c>
      <c r="F108" s="44">
        <f t="shared" si="39"/>
        <v>6.1624649859943988E-2</v>
      </c>
      <c r="G108" s="44">
        <f t="shared" si="39"/>
        <v>2.2408963585434168E-3</v>
      </c>
      <c r="H108" s="44">
        <f t="shared" si="39"/>
        <v>0</v>
      </c>
      <c r="I108" s="44">
        <f t="shared" si="39"/>
        <v>0.4739495798319327</v>
      </c>
      <c r="J108" s="44">
        <f t="shared" si="39"/>
        <v>8.1232492997198855E-2</v>
      </c>
      <c r="K108" s="44">
        <f t="shared" si="39"/>
        <v>1.456582633053221E-2</v>
      </c>
      <c r="L108" s="44">
        <f t="shared" si="39"/>
        <v>0</v>
      </c>
      <c r="M108" s="44"/>
      <c r="N108" s="44">
        <f t="shared" si="39"/>
        <v>1.680672268907563E-2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L67" zoomScale="60" workbookViewId="0">
      <selection activeCell="AF73" sqref="AF7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'17.10 bukomero-Kyankwanzi'!C3:G3</f>
        <v>MCC - C4 - STN110 - Bukomero Kyankwanzi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'Avg Week Bukomero-Kyankwanzi'!G5:H5</f>
        <v>bukomero</v>
      </c>
      <c r="H5" s="64"/>
      <c r="I5" s="14"/>
      <c r="J5" s="2" t="s">
        <v>5</v>
      </c>
      <c r="K5" s="63" t="str">
        <f>'Avg Week Bukomero-Kyankwanzi'!K5:L5</f>
        <v>XXXXX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Bukomero-Kyankwanzi'!K6:L6</f>
        <v>mbabazi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Kyankwanzi-Bukomero'!C10+'Avg Week Bukomero-Kyankwanzi'!C10</f>
        <v>0.2857142857142857</v>
      </c>
      <c r="D10" s="49">
        <f>'Avg Week Kyankwanzi-Bukomero'!D10+'Avg Week Bukomero-Kyankwanzi'!D10</f>
        <v>0.2857142857142857</v>
      </c>
      <c r="E10" s="49">
        <f>'Avg Week Kyankwanzi-Bukomero'!E10+'Avg Week Bukomero-Kyankwanzi'!E10</f>
        <v>0</v>
      </c>
      <c r="F10" s="49">
        <f>'Avg Week Kyankwanzi-Bukomero'!F10+'Avg Week Bukomero-Kyankwanzi'!F10</f>
        <v>0</v>
      </c>
      <c r="G10" s="49">
        <f>'Avg Week Kyankwanzi-Bukomero'!G10+'Avg Week Bukomero-Kyankwanzi'!G10</f>
        <v>0</v>
      </c>
      <c r="H10" s="49">
        <f>'Avg Week Kyankwanzi-Bukomero'!H10+'Avg Week Bukomero-Kyankwanzi'!H10</f>
        <v>0</v>
      </c>
      <c r="I10" s="49">
        <f>'Avg Week Kyankwanzi-Bukomero'!I10+'Avg Week Bukomero-Kyankwanzi'!I10</f>
        <v>1</v>
      </c>
      <c r="J10" s="49">
        <f>'Avg Week Kyankwanzi-Bukomero'!J10+'Avg Week Bukomero-Kyankwanzi'!J10</f>
        <v>0</v>
      </c>
      <c r="K10" s="49">
        <f>'Avg Week Kyankwanzi-Bukomero'!K10+'Avg Week Bukomero-Kyankwanzi'!K10</f>
        <v>0</v>
      </c>
      <c r="L10" s="49">
        <f>'Avg Week Kyankwanzi-Bukomero'!L10+'Avg Week Bukomero-Kyankwanzi'!L10</f>
        <v>0</v>
      </c>
      <c r="M10" s="49">
        <f>'Avg Week Kyankwanzi-Bukomero'!M10+'Avg Week Bukomero-Kyankwanzi'!M10</f>
        <v>14.857142857142858</v>
      </c>
      <c r="N10" s="49">
        <f>'Avg Week Kyankwanzi-Bukomero'!N10+'Avg Week Bukomero-Kyankwanzi'!N10</f>
        <v>0</v>
      </c>
      <c r="O10" s="15">
        <f t="shared" ref="O10:O73" si="0">SUM(C10:L10,N10)</f>
        <v>1.5714285714285714</v>
      </c>
      <c r="P10" s="15">
        <f t="shared" ref="P10:P73" si="1">SUM(C10:N10)</f>
        <v>16.428571428571431</v>
      </c>
      <c r="R10" s="1" t="s">
        <v>6</v>
      </c>
      <c r="S10" s="17">
        <f t="shared" ref="S10:AF10" si="2">SUM(C10:C13)</f>
        <v>2.2857142857142856</v>
      </c>
      <c r="T10" s="17">
        <f t="shared" si="2"/>
        <v>0.5714285714285714</v>
      </c>
      <c r="U10" s="17">
        <f t="shared" si="2"/>
        <v>0.2857142857142857</v>
      </c>
      <c r="V10" s="17">
        <f t="shared" si="2"/>
        <v>0.2857142857142857</v>
      </c>
      <c r="W10" s="17">
        <f t="shared" si="2"/>
        <v>0</v>
      </c>
      <c r="X10" s="17">
        <f t="shared" si="2"/>
        <v>0</v>
      </c>
      <c r="Y10" s="17">
        <f t="shared" si="2"/>
        <v>3.1428571428571423</v>
      </c>
      <c r="Z10" s="17">
        <f t="shared" si="2"/>
        <v>0.42857142857142855</v>
      </c>
      <c r="AA10" s="17">
        <f t="shared" si="2"/>
        <v>0</v>
      </c>
      <c r="AB10" s="17">
        <f t="shared" si="2"/>
        <v>0</v>
      </c>
      <c r="AC10" s="17">
        <f t="shared" si="2"/>
        <v>67.714285714285708</v>
      </c>
      <c r="AD10" s="17">
        <f t="shared" si="2"/>
        <v>0</v>
      </c>
      <c r="AE10" s="31">
        <f t="shared" si="2"/>
        <v>6.9999999999999982</v>
      </c>
      <c r="AF10" s="31">
        <f t="shared" si="2"/>
        <v>74.714285714285722</v>
      </c>
    </row>
    <row r="11" spans="2:32" s="6" customFormat="1" ht="23.1" customHeight="1" x14ac:dyDescent="0.25">
      <c r="B11" s="23" t="s">
        <v>38</v>
      </c>
      <c r="C11" s="49">
        <f>'Avg Week Kyankwanzi-Bukomero'!C11+'Avg Week Bukomero-Kyankwanzi'!C11</f>
        <v>0.8571428571428571</v>
      </c>
      <c r="D11" s="49">
        <f>'Avg Week Kyankwanzi-Bukomero'!D11+'Avg Week Bukomero-Kyankwanzi'!D11</f>
        <v>0</v>
      </c>
      <c r="E11" s="49">
        <f>'Avg Week Kyankwanzi-Bukomero'!E11+'Avg Week Bukomero-Kyankwanzi'!E11</f>
        <v>0.14285714285714285</v>
      </c>
      <c r="F11" s="49">
        <f>'Avg Week Kyankwanzi-Bukomero'!F11+'Avg Week Bukomero-Kyankwanzi'!F11</f>
        <v>0.14285714285714285</v>
      </c>
      <c r="G11" s="49">
        <f>'Avg Week Kyankwanzi-Bukomero'!G11+'Avg Week Bukomero-Kyankwanzi'!G11</f>
        <v>0</v>
      </c>
      <c r="H11" s="49">
        <f>'Avg Week Kyankwanzi-Bukomero'!H11+'Avg Week Bukomero-Kyankwanzi'!H11</f>
        <v>0</v>
      </c>
      <c r="I11" s="49">
        <f>'Avg Week Kyankwanzi-Bukomero'!I11+'Avg Week Bukomero-Kyankwanzi'!I11</f>
        <v>0.71428571428571419</v>
      </c>
      <c r="J11" s="49">
        <f>'Avg Week Kyankwanzi-Bukomero'!J11+'Avg Week Bukomero-Kyankwanzi'!J11</f>
        <v>0.14285714285714285</v>
      </c>
      <c r="K11" s="49">
        <f>'Avg Week Kyankwanzi-Bukomero'!K11+'Avg Week Bukomero-Kyankwanzi'!K11</f>
        <v>0</v>
      </c>
      <c r="L11" s="49">
        <f>'Avg Week Kyankwanzi-Bukomero'!L11+'Avg Week Bukomero-Kyankwanzi'!L11</f>
        <v>0</v>
      </c>
      <c r="M11" s="49">
        <f>'Avg Week Kyankwanzi-Bukomero'!M11+'Avg Week Bukomero-Kyankwanzi'!M11</f>
        <v>15.571428571428571</v>
      </c>
      <c r="N11" s="49">
        <f>'Avg Week Kyankwanzi-Bukomero'!N11+'Avg Week Bukomero-Kyankwanzi'!N11</f>
        <v>0</v>
      </c>
      <c r="O11" s="15">
        <f t="shared" si="0"/>
        <v>1.9999999999999998</v>
      </c>
      <c r="P11" s="15">
        <f t="shared" si="1"/>
        <v>17.571428571428569</v>
      </c>
      <c r="R11" s="1" t="s">
        <v>7</v>
      </c>
      <c r="S11" s="17">
        <f t="shared" ref="S11:AF11" si="3">SUM(C14:C17)</f>
        <v>4.2857142857142856</v>
      </c>
      <c r="T11" s="17">
        <f t="shared" si="3"/>
        <v>0.2857142857142857</v>
      </c>
      <c r="U11" s="17">
        <f t="shared" si="3"/>
        <v>0.85714285714285698</v>
      </c>
      <c r="V11" s="17">
        <f t="shared" si="3"/>
        <v>3.7142857142857144</v>
      </c>
      <c r="W11" s="17">
        <f t="shared" si="3"/>
        <v>0.2857142857142857</v>
      </c>
      <c r="X11" s="17">
        <f t="shared" si="3"/>
        <v>0</v>
      </c>
      <c r="Y11" s="17">
        <f t="shared" si="3"/>
        <v>3.5714285714285712</v>
      </c>
      <c r="Z11" s="17">
        <f t="shared" si="3"/>
        <v>0.14285714285714285</v>
      </c>
      <c r="AA11" s="17">
        <f t="shared" si="3"/>
        <v>0.14285714285714285</v>
      </c>
      <c r="AB11" s="17">
        <f t="shared" si="3"/>
        <v>0</v>
      </c>
      <c r="AC11" s="17">
        <f t="shared" si="3"/>
        <v>76.571428571428569</v>
      </c>
      <c r="AD11" s="17">
        <f t="shared" si="3"/>
        <v>0.14285714285714285</v>
      </c>
      <c r="AE11" s="31">
        <f t="shared" si="3"/>
        <v>13.428571428571429</v>
      </c>
      <c r="AF11" s="31">
        <f t="shared" si="3"/>
        <v>89.999999999999986</v>
      </c>
    </row>
    <row r="12" spans="2:32" ht="23.1" customHeight="1" x14ac:dyDescent="0.25">
      <c r="B12" s="23" t="s">
        <v>39</v>
      </c>
      <c r="C12" s="49">
        <f>'Avg Week Kyankwanzi-Bukomero'!C12+'Avg Week Bukomero-Kyankwanzi'!C12</f>
        <v>0.5714285714285714</v>
      </c>
      <c r="D12" s="49">
        <f>'Avg Week Kyankwanzi-Bukomero'!D12+'Avg Week Bukomero-Kyankwanzi'!D12</f>
        <v>0.14285714285714285</v>
      </c>
      <c r="E12" s="49">
        <f>'Avg Week Kyankwanzi-Bukomero'!E12+'Avg Week Bukomero-Kyankwanzi'!E12</f>
        <v>0</v>
      </c>
      <c r="F12" s="49">
        <f>'Avg Week Kyankwanzi-Bukomero'!F12+'Avg Week Bukomero-Kyankwanzi'!F12</f>
        <v>0.14285714285714285</v>
      </c>
      <c r="G12" s="49">
        <f>'Avg Week Kyankwanzi-Bukomero'!G12+'Avg Week Bukomero-Kyankwanzi'!G12</f>
        <v>0</v>
      </c>
      <c r="H12" s="49">
        <f>'Avg Week Kyankwanzi-Bukomero'!H12+'Avg Week Bukomero-Kyankwanzi'!H12</f>
        <v>0</v>
      </c>
      <c r="I12" s="49">
        <f>'Avg Week Kyankwanzi-Bukomero'!I12+'Avg Week Bukomero-Kyankwanzi'!I12</f>
        <v>0.7142857142857143</v>
      </c>
      <c r="J12" s="49">
        <f>'Avg Week Kyankwanzi-Bukomero'!J12+'Avg Week Bukomero-Kyankwanzi'!J12</f>
        <v>0.14285714285714285</v>
      </c>
      <c r="K12" s="49">
        <f>'Avg Week Kyankwanzi-Bukomero'!K12+'Avg Week Bukomero-Kyankwanzi'!K12</f>
        <v>0</v>
      </c>
      <c r="L12" s="49">
        <f>'Avg Week Kyankwanzi-Bukomero'!L12+'Avg Week Bukomero-Kyankwanzi'!L12</f>
        <v>0</v>
      </c>
      <c r="M12" s="49">
        <f>'Avg Week Kyankwanzi-Bukomero'!M12+'Avg Week Bukomero-Kyankwanzi'!M12</f>
        <v>19.142857142857142</v>
      </c>
      <c r="N12" s="49">
        <f>'Avg Week Kyankwanzi-Bukomero'!N12+'Avg Week Bukomero-Kyankwanzi'!N12</f>
        <v>0</v>
      </c>
      <c r="O12" s="15">
        <f t="shared" si="0"/>
        <v>1.714285714285714</v>
      </c>
      <c r="P12" s="15">
        <f t="shared" si="1"/>
        <v>20.857142857142858</v>
      </c>
      <c r="R12" s="1" t="s">
        <v>8</v>
      </c>
      <c r="S12" s="17">
        <f t="shared" ref="S12:AF12" si="4">SUM(C18:C21)</f>
        <v>2.7142857142857144</v>
      </c>
      <c r="T12" s="17">
        <f t="shared" si="4"/>
        <v>0.71428571428571419</v>
      </c>
      <c r="U12" s="17">
        <f t="shared" si="4"/>
        <v>1.5714285714285714</v>
      </c>
      <c r="V12" s="17">
        <f t="shared" si="4"/>
        <v>1.4285714285714284</v>
      </c>
      <c r="W12" s="17">
        <f t="shared" si="4"/>
        <v>0</v>
      </c>
      <c r="X12" s="17">
        <f t="shared" si="4"/>
        <v>0</v>
      </c>
      <c r="Y12" s="17">
        <f t="shared" si="4"/>
        <v>6.4285714285714279</v>
      </c>
      <c r="Z12" s="17">
        <f t="shared" si="4"/>
        <v>0.5714285714285714</v>
      </c>
      <c r="AA12" s="17">
        <f t="shared" si="4"/>
        <v>0</v>
      </c>
      <c r="AB12" s="17">
        <f t="shared" si="4"/>
        <v>0</v>
      </c>
      <c r="AC12" s="17">
        <f t="shared" si="4"/>
        <v>80.714285714285722</v>
      </c>
      <c r="AD12" s="17">
        <f t="shared" si="4"/>
        <v>0</v>
      </c>
      <c r="AE12" s="31">
        <f t="shared" si="4"/>
        <v>13.428571428571429</v>
      </c>
      <c r="AF12" s="31">
        <f t="shared" si="4"/>
        <v>94.142857142857153</v>
      </c>
    </row>
    <row r="13" spans="2:32" ht="23.1" customHeight="1" x14ac:dyDescent="0.25">
      <c r="B13" s="23" t="s">
        <v>40</v>
      </c>
      <c r="C13" s="49">
        <f>'Avg Week Kyankwanzi-Bukomero'!C13+'Avg Week Bukomero-Kyankwanzi'!C13</f>
        <v>0.5714285714285714</v>
      </c>
      <c r="D13" s="49">
        <f>'Avg Week Kyankwanzi-Bukomero'!D13+'Avg Week Bukomero-Kyankwanzi'!D13</f>
        <v>0.14285714285714285</v>
      </c>
      <c r="E13" s="49">
        <f>'Avg Week Kyankwanzi-Bukomero'!E13+'Avg Week Bukomero-Kyankwanzi'!E13</f>
        <v>0.14285714285714285</v>
      </c>
      <c r="F13" s="49">
        <f>'Avg Week Kyankwanzi-Bukomero'!F13+'Avg Week Bukomero-Kyankwanzi'!F13</f>
        <v>0</v>
      </c>
      <c r="G13" s="49">
        <f>'Avg Week Kyankwanzi-Bukomero'!G13+'Avg Week Bukomero-Kyankwanzi'!G13</f>
        <v>0</v>
      </c>
      <c r="H13" s="49">
        <f>'Avg Week Kyankwanzi-Bukomero'!H13+'Avg Week Bukomero-Kyankwanzi'!H13</f>
        <v>0</v>
      </c>
      <c r="I13" s="49">
        <f>'Avg Week Kyankwanzi-Bukomero'!I13+'Avg Week Bukomero-Kyankwanzi'!I13</f>
        <v>0.71428571428571419</v>
      </c>
      <c r="J13" s="49">
        <f>'Avg Week Kyankwanzi-Bukomero'!J13+'Avg Week Bukomero-Kyankwanzi'!J13</f>
        <v>0.14285714285714285</v>
      </c>
      <c r="K13" s="49">
        <f>'Avg Week Kyankwanzi-Bukomero'!K13+'Avg Week Bukomero-Kyankwanzi'!K13</f>
        <v>0</v>
      </c>
      <c r="L13" s="49">
        <f>'Avg Week Kyankwanzi-Bukomero'!L13+'Avg Week Bukomero-Kyankwanzi'!L13</f>
        <v>0</v>
      </c>
      <c r="M13" s="49">
        <f>'Avg Week Kyankwanzi-Bukomero'!M13+'Avg Week Bukomero-Kyankwanzi'!M13</f>
        <v>18.142857142857142</v>
      </c>
      <c r="N13" s="49">
        <f>'Avg Week Kyankwanzi-Bukomero'!N13+'Avg Week Bukomero-Kyankwanzi'!N13</f>
        <v>0</v>
      </c>
      <c r="O13" s="15">
        <f t="shared" si="0"/>
        <v>1.714285714285714</v>
      </c>
      <c r="P13" s="15">
        <f t="shared" si="1"/>
        <v>19.857142857142858</v>
      </c>
      <c r="R13" s="1" t="s">
        <v>9</v>
      </c>
      <c r="S13" s="17">
        <f t="shared" ref="S13:AF13" si="5">SUM(C22:C25)</f>
        <v>1.8571428571428572</v>
      </c>
      <c r="T13" s="17">
        <f t="shared" si="5"/>
        <v>1.2857142857142856</v>
      </c>
      <c r="U13" s="17">
        <f t="shared" si="5"/>
        <v>0.5714285714285714</v>
      </c>
      <c r="V13" s="17">
        <f t="shared" si="5"/>
        <v>0.42857142857142855</v>
      </c>
      <c r="W13" s="17">
        <f t="shared" si="5"/>
        <v>0</v>
      </c>
      <c r="X13" s="17">
        <f t="shared" si="5"/>
        <v>0</v>
      </c>
      <c r="Y13" s="17">
        <f t="shared" si="5"/>
        <v>6.2857142857142865</v>
      </c>
      <c r="Z13" s="17">
        <f t="shared" si="5"/>
        <v>0.5714285714285714</v>
      </c>
      <c r="AA13" s="17">
        <f t="shared" si="5"/>
        <v>0</v>
      </c>
      <c r="AB13" s="17">
        <f t="shared" si="5"/>
        <v>0</v>
      </c>
      <c r="AC13" s="17">
        <f t="shared" si="5"/>
        <v>81.714285714285708</v>
      </c>
      <c r="AD13" s="17">
        <f t="shared" si="5"/>
        <v>0</v>
      </c>
      <c r="AE13" s="31">
        <f t="shared" si="5"/>
        <v>11</v>
      </c>
      <c r="AF13" s="31">
        <f t="shared" si="5"/>
        <v>92.714285714285708</v>
      </c>
    </row>
    <row r="14" spans="2:32" ht="23.1" customHeight="1" x14ac:dyDescent="0.25">
      <c r="B14" s="23" t="s">
        <v>41</v>
      </c>
      <c r="C14" s="49">
        <f>'Avg Week Kyankwanzi-Bukomero'!C14+'Avg Week Bukomero-Kyankwanzi'!C14</f>
        <v>1.1428571428571428</v>
      </c>
      <c r="D14" s="49">
        <f>'Avg Week Kyankwanzi-Bukomero'!D14+'Avg Week Bukomero-Kyankwanzi'!D14</f>
        <v>0</v>
      </c>
      <c r="E14" s="49">
        <f>'Avg Week Kyankwanzi-Bukomero'!E14+'Avg Week Bukomero-Kyankwanzi'!E14</f>
        <v>0.14285714285714285</v>
      </c>
      <c r="F14" s="49">
        <f>'Avg Week Kyankwanzi-Bukomero'!F14+'Avg Week Bukomero-Kyankwanzi'!F14</f>
        <v>1.1428571428571428</v>
      </c>
      <c r="G14" s="49">
        <f>'Avg Week Kyankwanzi-Bukomero'!G14+'Avg Week Bukomero-Kyankwanzi'!G14</f>
        <v>0</v>
      </c>
      <c r="H14" s="49">
        <f>'Avg Week Kyankwanzi-Bukomero'!H14+'Avg Week Bukomero-Kyankwanzi'!H14</f>
        <v>0</v>
      </c>
      <c r="I14" s="49">
        <f>'Avg Week Kyankwanzi-Bukomero'!I14+'Avg Week Bukomero-Kyankwanzi'!I14</f>
        <v>0.5714285714285714</v>
      </c>
      <c r="J14" s="49">
        <f>'Avg Week Kyankwanzi-Bukomero'!J14+'Avg Week Bukomero-Kyankwanzi'!J14</f>
        <v>0</v>
      </c>
      <c r="K14" s="49">
        <f>'Avg Week Kyankwanzi-Bukomero'!K14+'Avg Week Bukomero-Kyankwanzi'!K14</f>
        <v>0</v>
      </c>
      <c r="L14" s="49">
        <f>'Avg Week Kyankwanzi-Bukomero'!L14+'Avg Week Bukomero-Kyankwanzi'!L14</f>
        <v>0</v>
      </c>
      <c r="M14" s="49">
        <f>'Avg Week Kyankwanzi-Bukomero'!M14+'Avg Week Bukomero-Kyankwanzi'!M14</f>
        <v>17.857142857142858</v>
      </c>
      <c r="N14" s="49">
        <f>'Avg Week Kyankwanzi-Bukomero'!N14+'Avg Week Bukomero-Kyankwanzi'!N14</f>
        <v>0</v>
      </c>
      <c r="O14" s="15">
        <f t="shared" si="0"/>
        <v>3</v>
      </c>
      <c r="P14" s="15">
        <f t="shared" si="1"/>
        <v>20.857142857142858</v>
      </c>
      <c r="R14" s="1" t="s">
        <v>10</v>
      </c>
      <c r="S14" s="17">
        <f t="shared" ref="S14:AF14" si="6">SUM(C26:C29)</f>
        <v>3.1428571428571428</v>
      </c>
      <c r="T14" s="17">
        <f t="shared" si="6"/>
        <v>0.8571428571428571</v>
      </c>
      <c r="U14" s="17">
        <f t="shared" si="6"/>
        <v>1.1428571428571428</v>
      </c>
      <c r="V14" s="17">
        <f t="shared" si="6"/>
        <v>0.14285714285714285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0.5714285714285714</v>
      </c>
      <c r="AA14" s="17">
        <f t="shared" si="6"/>
        <v>0</v>
      </c>
      <c r="AB14" s="17">
        <f t="shared" si="6"/>
        <v>0.14285714285714285</v>
      </c>
      <c r="AC14" s="17">
        <f t="shared" si="6"/>
        <v>89.285714285714278</v>
      </c>
      <c r="AD14" s="17">
        <f t="shared" si="6"/>
        <v>0</v>
      </c>
      <c r="AE14" s="31">
        <f t="shared" si="6"/>
        <v>11</v>
      </c>
      <c r="AF14" s="31">
        <f t="shared" si="6"/>
        <v>100.28571428571428</v>
      </c>
    </row>
    <row r="15" spans="2:32" ht="23.1" customHeight="1" x14ac:dyDescent="0.25">
      <c r="B15" s="23" t="s">
        <v>42</v>
      </c>
      <c r="C15" s="49">
        <f>'Avg Week Kyankwanzi-Bukomero'!C15+'Avg Week Bukomero-Kyankwanzi'!C15</f>
        <v>1</v>
      </c>
      <c r="D15" s="49">
        <f>'Avg Week Kyankwanzi-Bukomero'!D15+'Avg Week Bukomero-Kyankwanzi'!D15</f>
        <v>0</v>
      </c>
      <c r="E15" s="49">
        <f>'Avg Week Kyankwanzi-Bukomero'!E15+'Avg Week Bukomero-Kyankwanzi'!E15</f>
        <v>0.5714285714285714</v>
      </c>
      <c r="F15" s="49">
        <f>'Avg Week Kyankwanzi-Bukomero'!F15+'Avg Week Bukomero-Kyankwanzi'!F15</f>
        <v>1</v>
      </c>
      <c r="G15" s="49">
        <f>'Avg Week Kyankwanzi-Bukomero'!G15+'Avg Week Bukomero-Kyankwanzi'!G15</f>
        <v>0</v>
      </c>
      <c r="H15" s="49">
        <f>'Avg Week Kyankwanzi-Bukomero'!H15+'Avg Week Bukomero-Kyankwanzi'!H15</f>
        <v>0</v>
      </c>
      <c r="I15" s="49">
        <f>'Avg Week Kyankwanzi-Bukomero'!I15+'Avg Week Bukomero-Kyankwanzi'!I15</f>
        <v>0.5714285714285714</v>
      </c>
      <c r="J15" s="49">
        <f>'Avg Week Kyankwanzi-Bukomero'!J15+'Avg Week Bukomero-Kyankwanzi'!J15</f>
        <v>0</v>
      </c>
      <c r="K15" s="49">
        <f>'Avg Week Kyankwanzi-Bukomero'!K15+'Avg Week Bukomero-Kyankwanzi'!K15</f>
        <v>0</v>
      </c>
      <c r="L15" s="49">
        <f>'Avg Week Kyankwanzi-Bukomero'!L15+'Avg Week Bukomero-Kyankwanzi'!L15</f>
        <v>0</v>
      </c>
      <c r="M15" s="49">
        <f>'Avg Week Kyankwanzi-Bukomero'!M15+'Avg Week Bukomero-Kyankwanzi'!M15</f>
        <v>19.142857142857142</v>
      </c>
      <c r="N15" s="49">
        <f>'Avg Week Kyankwanzi-Bukomero'!N15+'Avg Week Bukomero-Kyankwanzi'!N15</f>
        <v>0</v>
      </c>
      <c r="O15" s="15">
        <f t="shared" si="0"/>
        <v>3.1428571428571423</v>
      </c>
      <c r="P15" s="15">
        <f t="shared" si="1"/>
        <v>22.285714285714285</v>
      </c>
      <c r="R15" s="1" t="s">
        <v>11</v>
      </c>
      <c r="S15" s="17">
        <f t="shared" ref="S15:AF15" si="7">SUM(C30:C33)</f>
        <v>3.9999999999999996</v>
      </c>
      <c r="T15" s="17">
        <f t="shared" si="7"/>
        <v>1.4285714285714286</v>
      </c>
      <c r="U15" s="17">
        <f t="shared" si="7"/>
        <v>0.85714285714285698</v>
      </c>
      <c r="V15" s="17">
        <f t="shared" si="7"/>
        <v>0.14285714285714285</v>
      </c>
      <c r="W15" s="17">
        <f t="shared" si="7"/>
        <v>0</v>
      </c>
      <c r="X15" s="17">
        <f t="shared" si="7"/>
        <v>0</v>
      </c>
      <c r="Y15" s="17">
        <f t="shared" si="7"/>
        <v>5.7142857142857135</v>
      </c>
      <c r="Z15" s="17">
        <f t="shared" si="7"/>
        <v>0.42857142857142855</v>
      </c>
      <c r="AA15" s="17">
        <f t="shared" si="7"/>
        <v>0.14285714285714285</v>
      </c>
      <c r="AB15" s="17">
        <f t="shared" si="7"/>
        <v>0</v>
      </c>
      <c r="AC15" s="17">
        <f t="shared" si="7"/>
        <v>88.571428571428569</v>
      </c>
      <c r="AD15" s="17">
        <f t="shared" si="7"/>
        <v>0</v>
      </c>
      <c r="AE15" s="31">
        <f t="shared" si="7"/>
        <v>12.714285714285712</v>
      </c>
      <c r="AF15" s="31">
        <f t="shared" si="7"/>
        <v>101.28571428571428</v>
      </c>
    </row>
    <row r="16" spans="2:32" ht="23.1" customHeight="1" x14ac:dyDescent="0.25">
      <c r="B16" s="23" t="s">
        <v>43</v>
      </c>
      <c r="C16" s="49">
        <f>'Avg Week Kyankwanzi-Bukomero'!C16+'Avg Week Bukomero-Kyankwanzi'!C16</f>
        <v>0.71428571428571419</v>
      </c>
      <c r="D16" s="49">
        <f>'Avg Week Kyankwanzi-Bukomero'!D16+'Avg Week Bukomero-Kyankwanzi'!D16</f>
        <v>0</v>
      </c>
      <c r="E16" s="49">
        <f>'Avg Week Kyankwanzi-Bukomero'!E16+'Avg Week Bukomero-Kyankwanzi'!E16</f>
        <v>0.14285714285714285</v>
      </c>
      <c r="F16" s="49">
        <f>'Avg Week Kyankwanzi-Bukomero'!F16+'Avg Week Bukomero-Kyankwanzi'!F16</f>
        <v>0.7142857142857143</v>
      </c>
      <c r="G16" s="49">
        <f>'Avg Week Kyankwanzi-Bukomero'!G16+'Avg Week Bukomero-Kyankwanzi'!G16</f>
        <v>0.14285714285714285</v>
      </c>
      <c r="H16" s="49">
        <f>'Avg Week Kyankwanzi-Bukomero'!H16+'Avg Week Bukomero-Kyankwanzi'!H16</f>
        <v>0</v>
      </c>
      <c r="I16" s="49">
        <f>'Avg Week Kyankwanzi-Bukomero'!I16+'Avg Week Bukomero-Kyankwanzi'!I16</f>
        <v>1.2857142857142856</v>
      </c>
      <c r="J16" s="49">
        <f>'Avg Week Kyankwanzi-Bukomero'!J16+'Avg Week Bukomero-Kyankwanzi'!J16</f>
        <v>0</v>
      </c>
      <c r="K16" s="49">
        <f>'Avg Week Kyankwanzi-Bukomero'!K16+'Avg Week Bukomero-Kyankwanzi'!K16</f>
        <v>0</v>
      </c>
      <c r="L16" s="49">
        <f>'Avg Week Kyankwanzi-Bukomero'!L16+'Avg Week Bukomero-Kyankwanzi'!L16</f>
        <v>0</v>
      </c>
      <c r="M16" s="49">
        <f>'Avg Week Kyankwanzi-Bukomero'!M16+'Avg Week Bukomero-Kyankwanzi'!M16</f>
        <v>19.285714285714285</v>
      </c>
      <c r="N16" s="49">
        <f>'Avg Week Kyankwanzi-Bukomero'!N16+'Avg Week Bukomero-Kyankwanzi'!N16</f>
        <v>0</v>
      </c>
      <c r="O16" s="15">
        <f t="shared" si="0"/>
        <v>2.9999999999999996</v>
      </c>
      <c r="P16" s="15">
        <f t="shared" si="1"/>
        <v>22.285714285714285</v>
      </c>
      <c r="R16" s="1" t="s">
        <v>12</v>
      </c>
      <c r="S16" s="17">
        <f t="shared" ref="S16:AF16" si="8">SUM(C34:C37)</f>
        <v>3.5714285714285712</v>
      </c>
      <c r="T16" s="17">
        <f t="shared" si="8"/>
        <v>1.2857142857142856</v>
      </c>
      <c r="U16" s="17">
        <f t="shared" si="8"/>
        <v>0.85714285714285698</v>
      </c>
      <c r="V16" s="17">
        <f t="shared" si="8"/>
        <v>0.42857142857142855</v>
      </c>
      <c r="W16" s="17">
        <f t="shared" si="8"/>
        <v>0</v>
      </c>
      <c r="X16" s="17">
        <f t="shared" si="8"/>
        <v>0</v>
      </c>
      <c r="Y16" s="17">
        <f t="shared" si="8"/>
        <v>3.4285714285714284</v>
      </c>
      <c r="Z16" s="17">
        <f t="shared" si="8"/>
        <v>1.1428571428571428</v>
      </c>
      <c r="AA16" s="17">
        <f t="shared" si="8"/>
        <v>0.42857142857142855</v>
      </c>
      <c r="AB16" s="17">
        <f t="shared" si="8"/>
        <v>0</v>
      </c>
      <c r="AC16" s="17">
        <f t="shared" si="8"/>
        <v>96.571428571428584</v>
      </c>
      <c r="AD16" s="17">
        <f t="shared" si="8"/>
        <v>0</v>
      </c>
      <c r="AE16" s="31">
        <f t="shared" si="8"/>
        <v>11.142857142857142</v>
      </c>
      <c r="AF16" s="31">
        <f t="shared" si="8"/>
        <v>107.71428571428571</v>
      </c>
    </row>
    <row r="17" spans="2:32" ht="23.1" customHeight="1" x14ac:dyDescent="0.25">
      <c r="B17" s="23" t="s">
        <v>44</v>
      </c>
      <c r="C17" s="49">
        <f>'Avg Week Kyankwanzi-Bukomero'!C17+'Avg Week Bukomero-Kyankwanzi'!C17</f>
        <v>1.4285714285714286</v>
      </c>
      <c r="D17" s="49">
        <f>'Avg Week Kyankwanzi-Bukomero'!D17+'Avg Week Bukomero-Kyankwanzi'!D17</f>
        <v>0.2857142857142857</v>
      </c>
      <c r="E17" s="49">
        <f>'Avg Week Kyankwanzi-Bukomero'!E17+'Avg Week Bukomero-Kyankwanzi'!E17</f>
        <v>0</v>
      </c>
      <c r="F17" s="49">
        <f>'Avg Week Kyankwanzi-Bukomero'!F17+'Avg Week Bukomero-Kyankwanzi'!F17</f>
        <v>0.8571428571428571</v>
      </c>
      <c r="G17" s="49">
        <f>'Avg Week Kyankwanzi-Bukomero'!G17+'Avg Week Bukomero-Kyankwanzi'!G17</f>
        <v>0.14285714285714285</v>
      </c>
      <c r="H17" s="49">
        <f>'Avg Week Kyankwanzi-Bukomero'!H17+'Avg Week Bukomero-Kyankwanzi'!H17</f>
        <v>0</v>
      </c>
      <c r="I17" s="49">
        <f>'Avg Week Kyankwanzi-Bukomero'!I17+'Avg Week Bukomero-Kyankwanzi'!I17</f>
        <v>1.1428571428571428</v>
      </c>
      <c r="J17" s="49">
        <f>'Avg Week Kyankwanzi-Bukomero'!J17+'Avg Week Bukomero-Kyankwanzi'!J17</f>
        <v>0.14285714285714285</v>
      </c>
      <c r="K17" s="49">
        <f>'Avg Week Kyankwanzi-Bukomero'!K17+'Avg Week Bukomero-Kyankwanzi'!K17</f>
        <v>0.14285714285714285</v>
      </c>
      <c r="L17" s="49">
        <f>'Avg Week Kyankwanzi-Bukomero'!L17+'Avg Week Bukomero-Kyankwanzi'!L17</f>
        <v>0</v>
      </c>
      <c r="M17" s="49">
        <f>'Avg Week Kyankwanzi-Bukomero'!M17+'Avg Week Bukomero-Kyankwanzi'!M17</f>
        <v>20.285714285714285</v>
      </c>
      <c r="N17" s="49">
        <f>'Avg Week Kyankwanzi-Bukomero'!N17+'Avg Week Bukomero-Kyankwanzi'!N17</f>
        <v>0.14285714285714285</v>
      </c>
      <c r="O17" s="15">
        <f t="shared" si="0"/>
        <v>4.2857142857142865</v>
      </c>
      <c r="P17" s="15">
        <f t="shared" si="1"/>
        <v>24.571428571428569</v>
      </c>
      <c r="R17" s="1" t="s">
        <v>13</v>
      </c>
      <c r="S17" s="17">
        <f t="shared" ref="S17:AF17" si="9">SUM(C38:C41)</f>
        <v>3.8571428571428572</v>
      </c>
      <c r="T17" s="17">
        <f t="shared" si="9"/>
        <v>1.1428571428571428</v>
      </c>
      <c r="U17" s="17">
        <f t="shared" si="9"/>
        <v>1.4285714285714284</v>
      </c>
      <c r="V17" s="17">
        <f t="shared" si="9"/>
        <v>0.5714285714285714</v>
      </c>
      <c r="W17" s="17">
        <f t="shared" si="9"/>
        <v>0</v>
      </c>
      <c r="X17" s="17">
        <f t="shared" si="9"/>
        <v>0</v>
      </c>
      <c r="Y17" s="17">
        <f t="shared" si="9"/>
        <v>7.9999999999999991</v>
      </c>
      <c r="Z17" s="17">
        <f t="shared" si="9"/>
        <v>1.4285714285714284</v>
      </c>
      <c r="AA17" s="17">
        <f t="shared" si="9"/>
        <v>0.14285714285714285</v>
      </c>
      <c r="AB17" s="17">
        <f t="shared" si="9"/>
        <v>0</v>
      </c>
      <c r="AC17" s="17">
        <f t="shared" si="9"/>
        <v>103.71428571428571</v>
      </c>
      <c r="AD17" s="17">
        <f t="shared" si="9"/>
        <v>0</v>
      </c>
      <c r="AE17" s="31">
        <f t="shared" si="9"/>
        <v>16.571428571428569</v>
      </c>
      <c r="AF17" s="31">
        <f t="shared" si="9"/>
        <v>120.28571428571429</v>
      </c>
    </row>
    <row r="18" spans="2:32" ht="23.1" customHeight="1" x14ac:dyDescent="0.25">
      <c r="B18" s="23" t="s">
        <v>45</v>
      </c>
      <c r="C18" s="49">
        <f>'Avg Week Kyankwanzi-Bukomero'!C18+'Avg Week Bukomero-Kyankwanzi'!C18</f>
        <v>0.71428571428571419</v>
      </c>
      <c r="D18" s="49">
        <f>'Avg Week Kyankwanzi-Bukomero'!D18+'Avg Week Bukomero-Kyankwanzi'!D18</f>
        <v>0.5714285714285714</v>
      </c>
      <c r="E18" s="49">
        <f>'Avg Week Kyankwanzi-Bukomero'!E18+'Avg Week Bukomero-Kyankwanzi'!E18</f>
        <v>0.71428571428571419</v>
      </c>
      <c r="F18" s="49">
        <f>'Avg Week Kyankwanzi-Bukomero'!F18+'Avg Week Bukomero-Kyankwanzi'!F18</f>
        <v>0.42857142857142855</v>
      </c>
      <c r="G18" s="49">
        <f>'Avg Week Kyankwanzi-Bukomero'!G18+'Avg Week Bukomero-Kyankwanzi'!G18</f>
        <v>0</v>
      </c>
      <c r="H18" s="49">
        <f>'Avg Week Kyankwanzi-Bukomero'!H18+'Avg Week Bukomero-Kyankwanzi'!H18</f>
        <v>0</v>
      </c>
      <c r="I18" s="49">
        <f>'Avg Week Kyankwanzi-Bukomero'!I18+'Avg Week Bukomero-Kyankwanzi'!I18</f>
        <v>2.1428571428571428</v>
      </c>
      <c r="J18" s="49">
        <f>'Avg Week Kyankwanzi-Bukomero'!J18+'Avg Week Bukomero-Kyankwanzi'!J18</f>
        <v>0.2857142857142857</v>
      </c>
      <c r="K18" s="49">
        <f>'Avg Week Kyankwanzi-Bukomero'!K18+'Avg Week Bukomero-Kyankwanzi'!K18</f>
        <v>0</v>
      </c>
      <c r="L18" s="49">
        <f>'Avg Week Kyankwanzi-Bukomero'!L18+'Avg Week Bukomero-Kyankwanzi'!L18</f>
        <v>0</v>
      </c>
      <c r="M18" s="49">
        <f>'Avg Week Kyankwanzi-Bukomero'!M18+'Avg Week Bukomero-Kyankwanzi'!M18</f>
        <v>19.285714285714285</v>
      </c>
      <c r="N18" s="49">
        <f>'Avg Week Kyankwanzi-Bukomero'!N18+'Avg Week Bukomero-Kyankwanzi'!N18</f>
        <v>0</v>
      </c>
      <c r="O18" s="15">
        <f t="shared" si="0"/>
        <v>4.8571428571428568</v>
      </c>
      <c r="P18" s="15">
        <f t="shared" si="1"/>
        <v>24.142857142857142</v>
      </c>
      <c r="R18" s="1" t="s">
        <v>14</v>
      </c>
      <c r="S18" s="17">
        <f t="shared" ref="S18:AF18" si="10">SUM(C42:C45)</f>
        <v>4.4285714285714288</v>
      </c>
      <c r="T18" s="17">
        <f t="shared" si="10"/>
        <v>1.1428571428571428</v>
      </c>
      <c r="U18" s="17">
        <f t="shared" si="10"/>
        <v>0.8571428571428571</v>
      </c>
      <c r="V18" s="17">
        <f t="shared" si="10"/>
        <v>0.5714285714285714</v>
      </c>
      <c r="W18" s="17">
        <f t="shared" si="10"/>
        <v>0</v>
      </c>
      <c r="X18" s="17">
        <f t="shared" si="10"/>
        <v>0</v>
      </c>
      <c r="Y18" s="17">
        <f t="shared" si="10"/>
        <v>6.5714285714285712</v>
      </c>
      <c r="Z18" s="17">
        <f t="shared" si="10"/>
        <v>0.99999999999999978</v>
      </c>
      <c r="AA18" s="17">
        <f t="shared" si="10"/>
        <v>0.2857142857142857</v>
      </c>
      <c r="AB18" s="17">
        <f t="shared" si="10"/>
        <v>0</v>
      </c>
      <c r="AC18" s="17">
        <f t="shared" si="10"/>
        <v>96.571428571428569</v>
      </c>
      <c r="AD18" s="17">
        <f t="shared" si="10"/>
        <v>0</v>
      </c>
      <c r="AE18" s="31">
        <f t="shared" si="10"/>
        <v>14.857142857142856</v>
      </c>
      <c r="AF18" s="31">
        <f t="shared" si="10"/>
        <v>111.42857142857143</v>
      </c>
    </row>
    <row r="19" spans="2:32" ht="23.1" customHeight="1" x14ac:dyDescent="0.25">
      <c r="B19" s="23" t="s">
        <v>46</v>
      </c>
      <c r="C19" s="49">
        <f>'Avg Week Kyankwanzi-Bukomero'!C19+'Avg Week Bukomero-Kyankwanzi'!C19</f>
        <v>0.42857142857142855</v>
      </c>
      <c r="D19" s="49">
        <f>'Avg Week Kyankwanzi-Bukomero'!D19+'Avg Week Bukomero-Kyankwanzi'!D19</f>
        <v>0.14285714285714285</v>
      </c>
      <c r="E19" s="49">
        <f>'Avg Week Kyankwanzi-Bukomero'!E19+'Avg Week Bukomero-Kyankwanzi'!E19</f>
        <v>0.42857142857142855</v>
      </c>
      <c r="F19" s="49">
        <f>'Avg Week Kyankwanzi-Bukomero'!F19+'Avg Week Bukomero-Kyankwanzi'!F19</f>
        <v>0.14285714285714285</v>
      </c>
      <c r="G19" s="49">
        <f>'Avg Week Kyankwanzi-Bukomero'!G19+'Avg Week Bukomero-Kyankwanzi'!G19</f>
        <v>0</v>
      </c>
      <c r="H19" s="49">
        <f>'Avg Week Kyankwanzi-Bukomero'!H19+'Avg Week Bukomero-Kyankwanzi'!H19</f>
        <v>0</v>
      </c>
      <c r="I19" s="49">
        <f>'Avg Week Kyankwanzi-Bukomero'!I19+'Avg Week Bukomero-Kyankwanzi'!I19</f>
        <v>1.7142857142857144</v>
      </c>
      <c r="J19" s="49">
        <f>'Avg Week Kyankwanzi-Bukomero'!J19+'Avg Week Bukomero-Kyankwanzi'!J19</f>
        <v>0.2857142857142857</v>
      </c>
      <c r="K19" s="49">
        <f>'Avg Week Kyankwanzi-Bukomero'!K19+'Avg Week Bukomero-Kyankwanzi'!K19</f>
        <v>0</v>
      </c>
      <c r="L19" s="49">
        <f>'Avg Week Kyankwanzi-Bukomero'!L19+'Avg Week Bukomero-Kyankwanzi'!L19</f>
        <v>0</v>
      </c>
      <c r="M19" s="49">
        <f>'Avg Week Kyankwanzi-Bukomero'!M19+'Avg Week Bukomero-Kyankwanzi'!M19</f>
        <v>22.142857142857142</v>
      </c>
      <c r="N19" s="49">
        <f>'Avg Week Kyankwanzi-Bukomero'!N19+'Avg Week Bukomero-Kyankwanzi'!N19</f>
        <v>0</v>
      </c>
      <c r="O19" s="15">
        <f t="shared" si="0"/>
        <v>3.1428571428571428</v>
      </c>
      <c r="P19" s="15">
        <f t="shared" si="1"/>
        <v>25.285714285714285</v>
      </c>
      <c r="R19" s="1" t="s">
        <v>15</v>
      </c>
      <c r="S19" s="17">
        <f t="shared" ref="S19:AF19" si="11">SUM(C46:C49)</f>
        <v>3.8571428571428568</v>
      </c>
      <c r="T19" s="17">
        <f t="shared" si="11"/>
        <v>1.2857142857142856</v>
      </c>
      <c r="U19" s="17">
        <f t="shared" si="11"/>
        <v>2.2857142857142856</v>
      </c>
      <c r="V19" s="17">
        <f t="shared" si="11"/>
        <v>0.85714285714285698</v>
      </c>
      <c r="W19" s="17">
        <f t="shared" si="11"/>
        <v>0</v>
      </c>
      <c r="X19" s="17">
        <f t="shared" si="11"/>
        <v>0</v>
      </c>
      <c r="Y19" s="17">
        <f t="shared" si="11"/>
        <v>6.8571428571428577</v>
      </c>
      <c r="Z19" s="17">
        <f t="shared" si="11"/>
        <v>0.2857142857142857</v>
      </c>
      <c r="AA19" s="17">
        <f t="shared" si="11"/>
        <v>0.14285714285714285</v>
      </c>
      <c r="AB19" s="17">
        <f t="shared" si="11"/>
        <v>0</v>
      </c>
      <c r="AC19" s="17">
        <f t="shared" si="11"/>
        <v>112.57142857142858</v>
      </c>
      <c r="AD19" s="17">
        <f t="shared" si="11"/>
        <v>0</v>
      </c>
      <c r="AE19" s="31">
        <f t="shared" si="11"/>
        <v>15.571428571428571</v>
      </c>
      <c r="AF19" s="31">
        <f t="shared" si="11"/>
        <v>128.14285714285714</v>
      </c>
    </row>
    <row r="20" spans="2:32" ht="23.1" customHeight="1" x14ac:dyDescent="0.25">
      <c r="B20" s="23" t="s">
        <v>47</v>
      </c>
      <c r="C20" s="49">
        <f>'Avg Week Kyankwanzi-Bukomero'!C20+'Avg Week Bukomero-Kyankwanzi'!C20</f>
        <v>0.42857142857142855</v>
      </c>
      <c r="D20" s="49">
        <f>'Avg Week Kyankwanzi-Bukomero'!D20+'Avg Week Bukomero-Kyankwanzi'!D20</f>
        <v>0</v>
      </c>
      <c r="E20" s="49">
        <f>'Avg Week Kyankwanzi-Bukomero'!E20+'Avg Week Bukomero-Kyankwanzi'!E20</f>
        <v>0.42857142857142855</v>
      </c>
      <c r="F20" s="49">
        <f>'Avg Week Kyankwanzi-Bukomero'!F20+'Avg Week Bukomero-Kyankwanzi'!F20</f>
        <v>0.14285714285714285</v>
      </c>
      <c r="G20" s="49">
        <f>'Avg Week Kyankwanzi-Bukomero'!G20+'Avg Week Bukomero-Kyankwanzi'!G20</f>
        <v>0</v>
      </c>
      <c r="H20" s="49">
        <f>'Avg Week Kyankwanzi-Bukomero'!H20+'Avg Week Bukomero-Kyankwanzi'!H20</f>
        <v>0</v>
      </c>
      <c r="I20" s="49">
        <f>'Avg Week Kyankwanzi-Bukomero'!I20+'Avg Week Bukomero-Kyankwanzi'!I20</f>
        <v>1.7142857142857142</v>
      </c>
      <c r="J20" s="49">
        <f>'Avg Week Kyankwanzi-Bukomero'!J20+'Avg Week Bukomero-Kyankwanzi'!J20</f>
        <v>0</v>
      </c>
      <c r="K20" s="49">
        <f>'Avg Week Kyankwanzi-Bukomero'!K20+'Avg Week Bukomero-Kyankwanzi'!K20</f>
        <v>0</v>
      </c>
      <c r="L20" s="49">
        <f>'Avg Week Kyankwanzi-Bukomero'!L20+'Avg Week Bukomero-Kyankwanzi'!L20</f>
        <v>0</v>
      </c>
      <c r="M20" s="49">
        <f>'Avg Week Kyankwanzi-Bukomero'!M20+'Avg Week Bukomero-Kyankwanzi'!M20</f>
        <v>18.571428571428569</v>
      </c>
      <c r="N20" s="49">
        <f>'Avg Week Kyankwanzi-Bukomero'!N20+'Avg Week Bukomero-Kyankwanzi'!N20</f>
        <v>0</v>
      </c>
      <c r="O20" s="15">
        <f t="shared" si="0"/>
        <v>2.7142857142857144</v>
      </c>
      <c r="P20" s="15">
        <f t="shared" si="1"/>
        <v>21.285714285714285</v>
      </c>
      <c r="R20" s="1" t="s">
        <v>16</v>
      </c>
      <c r="S20" s="17">
        <f t="shared" ref="S20:AF20" si="12">SUM(C50:C53)</f>
        <v>2.7142857142857144</v>
      </c>
      <c r="T20" s="17">
        <f t="shared" si="12"/>
        <v>1.5714285714285714</v>
      </c>
      <c r="U20" s="17">
        <f t="shared" si="12"/>
        <v>1.5714285714285712</v>
      </c>
      <c r="V20" s="17">
        <f t="shared" si="12"/>
        <v>1.5714285714285712</v>
      </c>
      <c r="W20" s="17">
        <f t="shared" si="12"/>
        <v>0</v>
      </c>
      <c r="X20" s="17">
        <f t="shared" si="12"/>
        <v>0.2857142857142857</v>
      </c>
      <c r="Y20" s="17">
        <f t="shared" si="12"/>
        <v>5.8571428571428568</v>
      </c>
      <c r="Z20" s="17">
        <f t="shared" si="12"/>
        <v>0.2857142857142857</v>
      </c>
      <c r="AA20" s="17">
        <f t="shared" si="12"/>
        <v>0</v>
      </c>
      <c r="AB20" s="17">
        <f t="shared" si="12"/>
        <v>0.14285714285714285</v>
      </c>
      <c r="AC20" s="17">
        <f t="shared" si="12"/>
        <v>112</v>
      </c>
      <c r="AD20" s="17">
        <f t="shared" si="12"/>
        <v>0</v>
      </c>
      <c r="AE20" s="31">
        <f t="shared" si="12"/>
        <v>13.999999999999998</v>
      </c>
      <c r="AF20" s="31">
        <f t="shared" si="12"/>
        <v>126</v>
      </c>
    </row>
    <row r="21" spans="2:32" ht="23.1" customHeight="1" x14ac:dyDescent="0.25">
      <c r="B21" s="23" t="s">
        <v>48</v>
      </c>
      <c r="C21" s="49">
        <f>'Avg Week Kyankwanzi-Bukomero'!C21+'Avg Week Bukomero-Kyankwanzi'!C21</f>
        <v>1.1428571428571428</v>
      </c>
      <c r="D21" s="49">
        <f>'Avg Week Kyankwanzi-Bukomero'!D21+'Avg Week Bukomero-Kyankwanzi'!D21</f>
        <v>0</v>
      </c>
      <c r="E21" s="49">
        <f>'Avg Week Kyankwanzi-Bukomero'!E21+'Avg Week Bukomero-Kyankwanzi'!E21</f>
        <v>0</v>
      </c>
      <c r="F21" s="49">
        <f>'Avg Week Kyankwanzi-Bukomero'!F21+'Avg Week Bukomero-Kyankwanzi'!F21</f>
        <v>0.71428571428571419</v>
      </c>
      <c r="G21" s="49">
        <f>'Avg Week Kyankwanzi-Bukomero'!G21+'Avg Week Bukomero-Kyankwanzi'!G21</f>
        <v>0</v>
      </c>
      <c r="H21" s="49">
        <f>'Avg Week Kyankwanzi-Bukomero'!H21+'Avg Week Bukomero-Kyankwanzi'!H21</f>
        <v>0</v>
      </c>
      <c r="I21" s="49">
        <f>'Avg Week Kyankwanzi-Bukomero'!I21+'Avg Week Bukomero-Kyankwanzi'!I21</f>
        <v>0.8571428571428571</v>
      </c>
      <c r="J21" s="49">
        <f>'Avg Week Kyankwanzi-Bukomero'!J21+'Avg Week Bukomero-Kyankwanzi'!J21</f>
        <v>0</v>
      </c>
      <c r="K21" s="49">
        <f>'Avg Week Kyankwanzi-Bukomero'!K21+'Avg Week Bukomero-Kyankwanzi'!K21</f>
        <v>0</v>
      </c>
      <c r="L21" s="49">
        <f>'Avg Week Kyankwanzi-Bukomero'!L21+'Avg Week Bukomero-Kyankwanzi'!L21</f>
        <v>0</v>
      </c>
      <c r="M21" s="49">
        <f>'Avg Week Kyankwanzi-Bukomero'!M21+'Avg Week Bukomero-Kyankwanzi'!M21</f>
        <v>20.714285714285715</v>
      </c>
      <c r="N21" s="49">
        <f>'Avg Week Kyankwanzi-Bukomero'!N21+'Avg Week Bukomero-Kyankwanzi'!N21</f>
        <v>0</v>
      </c>
      <c r="O21" s="15">
        <f t="shared" si="0"/>
        <v>2.714285714285714</v>
      </c>
      <c r="P21" s="15">
        <f t="shared" si="1"/>
        <v>23.428571428571431</v>
      </c>
      <c r="R21" s="36" t="s">
        <v>20</v>
      </c>
      <c r="S21" s="34">
        <f t="shared" ref="S21:AF21" si="13">SUM(C54:C57)</f>
        <v>5</v>
      </c>
      <c r="T21" s="17">
        <f t="shared" si="13"/>
        <v>0.71428571428571419</v>
      </c>
      <c r="U21" s="17">
        <f t="shared" si="13"/>
        <v>1.4285714285714286</v>
      </c>
      <c r="V21" s="17">
        <f t="shared" si="13"/>
        <v>0.71428571428571419</v>
      </c>
      <c r="W21" s="17">
        <f t="shared" si="13"/>
        <v>0</v>
      </c>
      <c r="X21" s="17">
        <f t="shared" si="13"/>
        <v>0</v>
      </c>
      <c r="Y21" s="17">
        <f t="shared" si="13"/>
        <v>4.1428571428571423</v>
      </c>
      <c r="Z21" s="17">
        <f t="shared" si="13"/>
        <v>1.5714285714285714</v>
      </c>
      <c r="AA21" s="17">
        <f t="shared" si="13"/>
        <v>0.14285714285714285</v>
      </c>
      <c r="AB21" s="17">
        <f t="shared" si="13"/>
        <v>0</v>
      </c>
      <c r="AC21" s="17">
        <f t="shared" si="13"/>
        <v>118.85714285714286</v>
      </c>
      <c r="AD21" s="17">
        <f t="shared" si="13"/>
        <v>0</v>
      </c>
      <c r="AE21" s="31">
        <f t="shared" si="13"/>
        <v>13.714285714285712</v>
      </c>
      <c r="AF21" s="31">
        <f t="shared" si="13"/>
        <v>132.57142857142858</v>
      </c>
    </row>
    <row r="22" spans="2:32" ht="23.1" customHeight="1" x14ac:dyDescent="0.25">
      <c r="B22" s="23" t="s">
        <v>49</v>
      </c>
      <c r="C22" s="49">
        <f>'Avg Week Kyankwanzi-Bukomero'!C22+'Avg Week Bukomero-Kyankwanzi'!C22</f>
        <v>0.2857142857142857</v>
      </c>
      <c r="D22" s="49">
        <f>'Avg Week Kyankwanzi-Bukomero'!D22+'Avg Week Bukomero-Kyankwanzi'!D22</f>
        <v>0.71428571428571419</v>
      </c>
      <c r="E22" s="49">
        <f>'Avg Week Kyankwanzi-Bukomero'!E22+'Avg Week Bukomero-Kyankwanzi'!E22</f>
        <v>0</v>
      </c>
      <c r="F22" s="49">
        <f>'Avg Week Kyankwanzi-Bukomero'!F22+'Avg Week Bukomero-Kyankwanzi'!F22</f>
        <v>0.2857142857142857</v>
      </c>
      <c r="G22" s="49">
        <f>'Avg Week Kyankwanzi-Bukomero'!G22+'Avg Week Bukomero-Kyankwanzi'!G22</f>
        <v>0</v>
      </c>
      <c r="H22" s="49">
        <f>'Avg Week Kyankwanzi-Bukomero'!H22+'Avg Week Bukomero-Kyankwanzi'!H22</f>
        <v>0</v>
      </c>
      <c r="I22" s="49">
        <f>'Avg Week Kyankwanzi-Bukomero'!I22+'Avg Week Bukomero-Kyankwanzi'!I22</f>
        <v>1.5714285714285714</v>
      </c>
      <c r="J22" s="49">
        <f>'Avg Week Kyankwanzi-Bukomero'!J22+'Avg Week Bukomero-Kyankwanzi'!J22</f>
        <v>0.14285714285714285</v>
      </c>
      <c r="K22" s="49">
        <f>'Avg Week Kyankwanzi-Bukomero'!K22+'Avg Week Bukomero-Kyankwanzi'!K22</f>
        <v>0</v>
      </c>
      <c r="L22" s="49">
        <f>'Avg Week Kyankwanzi-Bukomero'!L22+'Avg Week Bukomero-Kyankwanzi'!L22</f>
        <v>0</v>
      </c>
      <c r="M22" s="49">
        <f>'Avg Week Kyankwanzi-Bukomero'!M22+'Avg Week Bukomero-Kyankwanzi'!M22</f>
        <v>19.428571428571431</v>
      </c>
      <c r="N22" s="49">
        <f>'Avg Week Kyankwanzi-Bukomero'!N22+'Avg Week Bukomero-Kyankwanzi'!N22</f>
        <v>0</v>
      </c>
      <c r="O22" s="15">
        <f t="shared" si="0"/>
        <v>2.9999999999999996</v>
      </c>
      <c r="P22" s="15">
        <f t="shared" si="1"/>
        <v>22.428571428571431</v>
      </c>
      <c r="R22" s="1" t="s">
        <v>146</v>
      </c>
      <c r="S22" s="34">
        <f>SUM(C58:C61)</f>
        <v>3.5</v>
      </c>
      <c r="T22" s="34">
        <f t="shared" ref="T22:AF22" si="14">SUM(D58:D61)</f>
        <v>0</v>
      </c>
      <c r="U22" s="34">
        <f t="shared" si="14"/>
        <v>0.5</v>
      </c>
      <c r="V22" s="34">
        <f t="shared" si="14"/>
        <v>0.5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97.5</v>
      </c>
      <c r="AD22" s="34">
        <f t="shared" si="14"/>
        <v>0</v>
      </c>
      <c r="AE22" s="31">
        <f t="shared" si="14"/>
        <v>8.5</v>
      </c>
      <c r="AF22" s="31">
        <f t="shared" si="14"/>
        <v>106</v>
      </c>
    </row>
    <row r="23" spans="2:32" ht="23.1" customHeight="1" x14ac:dyDescent="0.25">
      <c r="B23" s="23" t="s">
        <v>50</v>
      </c>
      <c r="C23" s="49">
        <f>'Avg Week Kyankwanzi-Bukomero'!C23+'Avg Week Bukomero-Kyankwanzi'!C23</f>
        <v>0.42857142857142855</v>
      </c>
      <c r="D23" s="49">
        <f>'Avg Week Kyankwanzi-Bukomero'!D23+'Avg Week Bukomero-Kyankwanzi'!D23</f>
        <v>0</v>
      </c>
      <c r="E23" s="49">
        <f>'Avg Week Kyankwanzi-Bukomero'!E23+'Avg Week Bukomero-Kyankwanzi'!E23</f>
        <v>0.42857142857142855</v>
      </c>
      <c r="F23" s="49">
        <f>'Avg Week Kyankwanzi-Bukomero'!F23+'Avg Week Bukomero-Kyankwanzi'!F23</f>
        <v>0.14285714285714285</v>
      </c>
      <c r="G23" s="49">
        <f>'Avg Week Kyankwanzi-Bukomero'!G23+'Avg Week Bukomero-Kyankwanzi'!G23</f>
        <v>0</v>
      </c>
      <c r="H23" s="49">
        <f>'Avg Week Kyankwanzi-Bukomero'!H23+'Avg Week Bukomero-Kyankwanzi'!H23</f>
        <v>0</v>
      </c>
      <c r="I23" s="49">
        <f>'Avg Week Kyankwanzi-Bukomero'!I23+'Avg Week Bukomero-Kyankwanzi'!I23</f>
        <v>1.5714285714285714</v>
      </c>
      <c r="J23" s="49">
        <f>'Avg Week Kyankwanzi-Bukomero'!J23+'Avg Week Bukomero-Kyankwanzi'!J23</f>
        <v>0.14285714285714285</v>
      </c>
      <c r="K23" s="49">
        <f>'Avg Week Kyankwanzi-Bukomero'!K23+'Avg Week Bukomero-Kyankwanzi'!K23</f>
        <v>0</v>
      </c>
      <c r="L23" s="49">
        <f>'Avg Week Kyankwanzi-Bukomero'!L23+'Avg Week Bukomero-Kyankwanzi'!L23</f>
        <v>0</v>
      </c>
      <c r="M23" s="49">
        <f>'Avg Week Kyankwanzi-Bukomero'!M23+'Avg Week Bukomero-Kyankwanzi'!M23</f>
        <v>19.857142857142854</v>
      </c>
      <c r="N23" s="49">
        <f>'Avg Week Kyankwanzi-Bukomero'!N23+'Avg Week Bukomero-Kyankwanzi'!N23</f>
        <v>0</v>
      </c>
      <c r="O23" s="15">
        <f t="shared" si="0"/>
        <v>2.714285714285714</v>
      </c>
      <c r="P23" s="15">
        <f t="shared" si="1"/>
        <v>22.571428571428569</v>
      </c>
      <c r="R23" s="1" t="s">
        <v>147</v>
      </c>
      <c r="S23" s="34">
        <f>SUM(C62:C65)</f>
        <v>2.5</v>
      </c>
      <c r="T23" s="34">
        <f t="shared" ref="T23:AF23" si="15">SUM(D62:D65)</f>
        <v>0.5</v>
      </c>
      <c r="U23" s="34">
        <f t="shared" si="15"/>
        <v>0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70</v>
      </c>
      <c r="AD23" s="34">
        <f t="shared" si="15"/>
        <v>0</v>
      </c>
      <c r="AE23" s="31">
        <f t="shared" si="15"/>
        <v>7</v>
      </c>
      <c r="AF23" s="31">
        <f t="shared" si="15"/>
        <v>77</v>
      </c>
    </row>
    <row r="24" spans="2:32" ht="23.1" customHeight="1" x14ac:dyDescent="0.25">
      <c r="B24" s="23" t="s">
        <v>51</v>
      </c>
      <c r="C24" s="49">
        <f>'Avg Week Kyankwanzi-Bukomero'!C24+'Avg Week Bukomero-Kyankwanzi'!C24</f>
        <v>0.85714285714285721</v>
      </c>
      <c r="D24" s="49">
        <f>'Avg Week Kyankwanzi-Bukomero'!D24+'Avg Week Bukomero-Kyankwanzi'!D24</f>
        <v>0.42857142857142855</v>
      </c>
      <c r="E24" s="49">
        <f>'Avg Week Kyankwanzi-Bukomero'!E24+'Avg Week Bukomero-Kyankwanzi'!E24</f>
        <v>0</v>
      </c>
      <c r="F24" s="49">
        <f>'Avg Week Kyankwanzi-Bukomero'!F24+'Avg Week Bukomero-Kyankwanzi'!F24</f>
        <v>0</v>
      </c>
      <c r="G24" s="49">
        <f>'Avg Week Kyankwanzi-Bukomero'!G24+'Avg Week Bukomero-Kyankwanzi'!G24</f>
        <v>0</v>
      </c>
      <c r="H24" s="49">
        <f>'Avg Week Kyankwanzi-Bukomero'!H24+'Avg Week Bukomero-Kyankwanzi'!H24</f>
        <v>0</v>
      </c>
      <c r="I24" s="49">
        <f>'Avg Week Kyankwanzi-Bukomero'!I24+'Avg Week Bukomero-Kyankwanzi'!I24</f>
        <v>1.7142857142857144</v>
      </c>
      <c r="J24" s="49">
        <f>'Avg Week Kyankwanzi-Bukomero'!J24+'Avg Week Bukomero-Kyankwanzi'!J24</f>
        <v>0</v>
      </c>
      <c r="K24" s="49">
        <f>'Avg Week Kyankwanzi-Bukomero'!K24+'Avg Week Bukomero-Kyankwanzi'!K24</f>
        <v>0</v>
      </c>
      <c r="L24" s="49">
        <f>'Avg Week Kyankwanzi-Bukomero'!L24+'Avg Week Bukomero-Kyankwanzi'!L24</f>
        <v>0</v>
      </c>
      <c r="M24" s="49">
        <f>'Avg Week Kyankwanzi-Bukomero'!M24+'Avg Week Bukomero-Kyankwanzi'!M24</f>
        <v>22.285714285714285</v>
      </c>
      <c r="N24" s="49">
        <f>'Avg Week Kyankwanzi-Bukomero'!N24+'Avg Week Bukomero-Kyankwanzi'!N24</f>
        <v>0</v>
      </c>
      <c r="O24" s="15">
        <f t="shared" si="0"/>
        <v>3</v>
      </c>
      <c r="P24" s="15">
        <f t="shared" si="1"/>
        <v>25.285714285714285</v>
      </c>
      <c r="R24" s="1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0.5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2.5</v>
      </c>
      <c r="Z24" s="34">
        <f t="shared" si="16"/>
        <v>1</v>
      </c>
      <c r="AA24" s="34">
        <f t="shared" si="16"/>
        <v>0.5</v>
      </c>
      <c r="AB24" s="34">
        <f t="shared" si="16"/>
        <v>0</v>
      </c>
      <c r="AC24" s="34">
        <f t="shared" si="16"/>
        <v>46.5</v>
      </c>
      <c r="AD24" s="34">
        <f t="shared" si="16"/>
        <v>0</v>
      </c>
      <c r="AE24" s="31">
        <f t="shared" si="16"/>
        <v>7.5</v>
      </c>
      <c r="AF24" s="31">
        <f t="shared" si="16"/>
        <v>54</v>
      </c>
    </row>
    <row r="25" spans="2:32" ht="23.1" customHeight="1" x14ac:dyDescent="0.25">
      <c r="B25" s="23" t="s">
        <v>52</v>
      </c>
      <c r="C25" s="49">
        <f>'Avg Week Kyankwanzi-Bukomero'!C25+'Avg Week Bukomero-Kyankwanzi'!C25</f>
        <v>0.2857142857142857</v>
      </c>
      <c r="D25" s="49">
        <f>'Avg Week Kyankwanzi-Bukomero'!D25+'Avg Week Bukomero-Kyankwanzi'!D25</f>
        <v>0.14285714285714285</v>
      </c>
      <c r="E25" s="49">
        <f>'Avg Week Kyankwanzi-Bukomero'!E25+'Avg Week Bukomero-Kyankwanzi'!E25</f>
        <v>0.14285714285714285</v>
      </c>
      <c r="F25" s="49">
        <f>'Avg Week Kyankwanzi-Bukomero'!F25+'Avg Week Bukomero-Kyankwanzi'!F25</f>
        <v>0</v>
      </c>
      <c r="G25" s="49">
        <f>'Avg Week Kyankwanzi-Bukomero'!G25+'Avg Week Bukomero-Kyankwanzi'!G25</f>
        <v>0</v>
      </c>
      <c r="H25" s="49">
        <f>'Avg Week Kyankwanzi-Bukomero'!H25+'Avg Week Bukomero-Kyankwanzi'!H25</f>
        <v>0</v>
      </c>
      <c r="I25" s="49">
        <f>'Avg Week Kyankwanzi-Bukomero'!I25+'Avg Week Bukomero-Kyankwanzi'!I25</f>
        <v>1.4285714285714284</v>
      </c>
      <c r="J25" s="49">
        <f>'Avg Week Kyankwanzi-Bukomero'!J25+'Avg Week Bukomero-Kyankwanzi'!J25</f>
        <v>0.2857142857142857</v>
      </c>
      <c r="K25" s="49">
        <f>'Avg Week Kyankwanzi-Bukomero'!K25+'Avg Week Bukomero-Kyankwanzi'!K25</f>
        <v>0</v>
      </c>
      <c r="L25" s="49">
        <f>'Avg Week Kyankwanzi-Bukomero'!L25+'Avg Week Bukomero-Kyankwanzi'!L25</f>
        <v>0</v>
      </c>
      <c r="M25" s="49">
        <f>'Avg Week Kyankwanzi-Bukomero'!M25+'Avg Week Bukomero-Kyankwanzi'!M25</f>
        <v>20.142857142857142</v>
      </c>
      <c r="N25" s="49">
        <f>'Avg Week Kyankwanzi-Bukomero'!N25+'Avg Week Bukomero-Kyankwanzi'!N25</f>
        <v>0</v>
      </c>
      <c r="O25" s="15">
        <f t="shared" si="0"/>
        <v>2.2857142857142856</v>
      </c>
      <c r="P25" s="15">
        <f t="shared" si="1"/>
        <v>22.428571428571427</v>
      </c>
      <c r="R25" s="1" t="s">
        <v>149</v>
      </c>
      <c r="S25" s="34">
        <f>SUM(C70:C73)</f>
        <v>1.5</v>
      </c>
      <c r="T25" s="34">
        <f t="shared" ref="T25:AF25" si="17">SUM(D70:D73)</f>
        <v>0.5</v>
      </c>
      <c r="U25" s="34">
        <f t="shared" si="17"/>
        <v>0</v>
      </c>
      <c r="V25" s="34">
        <f t="shared" si="17"/>
        <v>0.5</v>
      </c>
      <c r="W25" s="34">
        <f t="shared" si="17"/>
        <v>0</v>
      </c>
      <c r="X25" s="34">
        <f t="shared" si="17"/>
        <v>0</v>
      </c>
      <c r="Y25" s="34">
        <f t="shared" si="17"/>
        <v>3.5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34</v>
      </c>
      <c r="AD25" s="34">
        <f t="shared" si="17"/>
        <v>0</v>
      </c>
      <c r="AE25" s="31">
        <f t="shared" si="17"/>
        <v>7</v>
      </c>
      <c r="AF25" s="31">
        <f t="shared" si="17"/>
        <v>41</v>
      </c>
    </row>
    <row r="26" spans="2:32" ht="23.1" customHeight="1" x14ac:dyDescent="0.25">
      <c r="B26" s="23" t="s">
        <v>53</v>
      </c>
      <c r="C26" s="49">
        <f>'Avg Week Kyankwanzi-Bukomero'!C26+'Avg Week Bukomero-Kyankwanzi'!C26</f>
        <v>0.7142857142857143</v>
      </c>
      <c r="D26" s="49">
        <f>'Avg Week Kyankwanzi-Bukomero'!D26+'Avg Week Bukomero-Kyankwanzi'!D26</f>
        <v>0.2857142857142857</v>
      </c>
      <c r="E26" s="49">
        <f>'Avg Week Kyankwanzi-Bukomero'!E26+'Avg Week Bukomero-Kyankwanzi'!E26</f>
        <v>0.42857142857142855</v>
      </c>
      <c r="F26" s="49">
        <f>'Avg Week Kyankwanzi-Bukomero'!F26+'Avg Week Bukomero-Kyankwanzi'!F26</f>
        <v>0</v>
      </c>
      <c r="G26" s="49">
        <f>'Avg Week Kyankwanzi-Bukomero'!G26+'Avg Week Bukomero-Kyankwanzi'!G26</f>
        <v>0</v>
      </c>
      <c r="H26" s="49">
        <f>'Avg Week Kyankwanzi-Bukomero'!H26+'Avg Week Bukomero-Kyankwanzi'!H26</f>
        <v>0</v>
      </c>
      <c r="I26" s="49">
        <f>'Avg Week Kyankwanzi-Bukomero'!I26+'Avg Week Bukomero-Kyankwanzi'!I26</f>
        <v>1.5714285714285714</v>
      </c>
      <c r="J26" s="49">
        <f>'Avg Week Kyankwanzi-Bukomero'!J26+'Avg Week Bukomero-Kyankwanzi'!J26</f>
        <v>0.14285714285714285</v>
      </c>
      <c r="K26" s="49">
        <f>'Avg Week Kyankwanzi-Bukomero'!K26+'Avg Week Bukomero-Kyankwanzi'!K26</f>
        <v>0</v>
      </c>
      <c r="L26" s="49">
        <f>'Avg Week Kyankwanzi-Bukomero'!L26+'Avg Week Bukomero-Kyankwanzi'!L26</f>
        <v>0</v>
      </c>
      <c r="M26" s="49">
        <f>'Avg Week Kyankwanzi-Bukomero'!M26+'Avg Week Bukomero-Kyankwanzi'!M26</f>
        <v>21.714285714285715</v>
      </c>
      <c r="N26" s="49">
        <f>'Avg Week Kyankwanzi-Bukomero'!N26+'Avg Week Bukomero-Kyankwanzi'!N26</f>
        <v>0</v>
      </c>
      <c r="O26" s="15">
        <f t="shared" si="0"/>
        <v>3.1428571428571428</v>
      </c>
      <c r="P26" s="15">
        <f t="shared" si="1"/>
        <v>24.857142857142858</v>
      </c>
      <c r="R26" s="1" t="s">
        <v>150</v>
      </c>
      <c r="S26" s="34">
        <f>SUM(C74:C77)</f>
        <v>0</v>
      </c>
      <c r="T26" s="34">
        <f t="shared" ref="T26:AF26" si="18">SUM(D74:D77)</f>
        <v>0.5</v>
      </c>
      <c r="U26" s="34">
        <f t="shared" si="18"/>
        <v>0</v>
      </c>
      <c r="V26" s="34">
        <f t="shared" si="18"/>
        <v>0.5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0.5</v>
      </c>
      <c r="AB26" s="34">
        <f t="shared" si="18"/>
        <v>0</v>
      </c>
      <c r="AC26" s="34">
        <f t="shared" si="18"/>
        <v>24.5</v>
      </c>
      <c r="AD26" s="34">
        <f t="shared" si="18"/>
        <v>0</v>
      </c>
      <c r="AE26" s="31">
        <f t="shared" si="18"/>
        <v>3.5</v>
      </c>
      <c r="AF26" s="31">
        <f t="shared" si="18"/>
        <v>28</v>
      </c>
    </row>
    <row r="27" spans="2:32" ht="23.1" customHeight="1" x14ac:dyDescent="0.25">
      <c r="B27" s="23" t="s">
        <v>54</v>
      </c>
      <c r="C27" s="49">
        <f>'Avg Week Kyankwanzi-Bukomero'!C27+'Avg Week Bukomero-Kyankwanzi'!C27</f>
        <v>0.85714285714285721</v>
      </c>
      <c r="D27" s="49">
        <f>'Avg Week Kyankwanzi-Bukomero'!D27+'Avg Week Bukomero-Kyankwanzi'!D27</f>
        <v>0.2857142857142857</v>
      </c>
      <c r="E27" s="49">
        <f>'Avg Week Kyankwanzi-Bukomero'!E27+'Avg Week Bukomero-Kyankwanzi'!E27</f>
        <v>0.14285714285714285</v>
      </c>
      <c r="F27" s="49">
        <f>'Avg Week Kyankwanzi-Bukomero'!F27+'Avg Week Bukomero-Kyankwanzi'!F27</f>
        <v>0</v>
      </c>
      <c r="G27" s="49">
        <f>'Avg Week Kyankwanzi-Bukomero'!G27+'Avg Week Bukomero-Kyankwanzi'!G27</f>
        <v>0</v>
      </c>
      <c r="H27" s="49">
        <f>'Avg Week Kyankwanzi-Bukomero'!H27+'Avg Week Bukomero-Kyankwanzi'!H27</f>
        <v>0</v>
      </c>
      <c r="I27" s="49">
        <f>'Avg Week Kyankwanzi-Bukomero'!I27+'Avg Week Bukomero-Kyankwanzi'!I27</f>
        <v>1.4285714285714286</v>
      </c>
      <c r="J27" s="49">
        <f>'Avg Week Kyankwanzi-Bukomero'!J27+'Avg Week Bukomero-Kyankwanzi'!J27</f>
        <v>0</v>
      </c>
      <c r="K27" s="49">
        <f>'Avg Week Kyankwanzi-Bukomero'!K27+'Avg Week Bukomero-Kyankwanzi'!K27</f>
        <v>0</v>
      </c>
      <c r="L27" s="49">
        <f>'Avg Week Kyankwanzi-Bukomero'!L27+'Avg Week Bukomero-Kyankwanzi'!L27</f>
        <v>0.14285714285714285</v>
      </c>
      <c r="M27" s="49">
        <f>'Avg Week Kyankwanzi-Bukomero'!M27+'Avg Week Bukomero-Kyankwanzi'!M27</f>
        <v>20.428571428571431</v>
      </c>
      <c r="N27" s="49">
        <f>'Avg Week Kyankwanzi-Bukomero'!N27+'Avg Week Bukomero-Kyankwanzi'!N27</f>
        <v>0</v>
      </c>
      <c r="O27" s="15">
        <f t="shared" si="0"/>
        <v>2.8571428571428572</v>
      </c>
      <c r="P27" s="15">
        <f t="shared" si="1"/>
        <v>23.285714285714288</v>
      </c>
      <c r="R27" s="1" t="s">
        <v>151</v>
      </c>
      <c r="S27" s="34">
        <f>SUM(C78:C81)</f>
        <v>0</v>
      </c>
      <c r="T27" s="34">
        <f t="shared" ref="T27:AF27" si="19">SUM(D78:D81)</f>
        <v>0</v>
      </c>
      <c r="U27" s="34">
        <f t="shared" si="19"/>
        <v>0</v>
      </c>
      <c r="V27" s="34">
        <f t="shared" si="19"/>
        <v>0.5</v>
      </c>
      <c r="W27" s="34">
        <f t="shared" si="19"/>
        <v>0</v>
      </c>
      <c r="X27" s="34">
        <f t="shared" si="19"/>
        <v>0</v>
      </c>
      <c r="Y27" s="34">
        <f t="shared" si="19"/>
        <v>3.5</v>
      </c>
      <c r="Z27" s="34">
        <f t="shared" si="19"/>
        <v>1.5</v>
      </c>
      <c r="AA27" s="34">
        <f t="shared" si="19"/>
        <v>0</v>
      </c>
      <c r="AB27" s="34">
        <f t="shared" si="19"/>
        <v>0</v>
      </c>
      <c r="AC27" s="34">
        <f t="shared" si="19"/>
        <v>7.5</v>
      </c>
      <c r="AD27" s="34">
        <f t="shared" si="19"/>
        <v>0</v>
      </c>
      <c r="AE27" s="31">
        <f t="shared" si="19"/>
        <v>5.5</v>
      </c>
      <c r="AF27" s="31">
        <f t="shared" si="19"/>
        <v>13</v>
      </c>
    </row>
    <row r="28" spans="2:32" ht="23.1" customHeight="1" x14ac:dyDescent="0.25">
      <c r="B28" s="23" t="s">
        <v>55</v>
      </c>
      <c r="C28" s="49">
        <f>'Avg Week Kyankwanzi-Bukomero'!C28+'Avg Week Bukomero-Kyankwanzi'!C28</f>
        <v>0.71428571428571419</v>
      </c>
      <c r="D28" s="49">
        <f>'Avg Week Kyankwanzi-Bukomero'!D28+'Avg Week Bukomero-Kyankwanzi'!D28</f>
        <v>0.2857142857142857</v>
      </c>
      <c r="E28" s="49">
        <f>'Avg Week Kyankwanzi-Bukomero'!E28+'Avg Week Bukomero-Kyankwanzi'!E28</f>
        <v>0.42857142857142855</v>
      </c>
      <c r="F28" s="49">
        <f>'Avg Week Kyankwanzi-Bukomero'!F28+'Avg Week Bukomero-Kyankwanzi'!F28</f>
        <v>0</v>
      </c>
      <c r="G28" s="49">
        <f>'Avg Week Kyankwanzi-Bukomero'!G28+'Avg Week Bukomero-Kyankwanzi'!G28</f>
        <v>0</v>
      </c>
      <c r="H28" s="49">
        <f>'Avg Week Kyankwanzi-Bukomero'!H28+'Avg Week Bukomero-Kyankwanzi'!H28</f>
        <v>0</v>
      </c>
      <c r="I28" s="49">
        <f>'Avg Week Kyankwanzi-Bukomero'!I28+'Avg Week Bukomero-Kyankwanzi'!I28</f>
        <v>0.8571428571428571</v>
      </c>
      <c r="J28" s="49">
        <f>'Avg Week Kyankwanzi-Bukomero'!J28+'Avg Week Bukomero-Kyankwanzi'!J28</f>
        <v>0.2857142857142857</v>
      </c>
      <c r="K28" s="49">
        <f>'Avg Week Kyankwanzi-Bukomero'!K28+'Avg Week Bukomero-Kyankwanzi'!K28</f>
        <v>0</v>
      </c>
      <c r="L28" s="49">
        <f>'Avg Week Kyankwanzi-Bukomero'!L28+'Avg Week Bukomero-Kyankwanzi'!L28</f>
        <v>0</v>
      </c>
      <c r="M28" s="49">
        <f>'Avg Week Kyankwanzi-Bukomero'!M28+'Avg Week Bukomero-Kyankwanzi'!M28</f>
        <v>20.857142857142854</v>
      </c>
      <c r="N28" s="49">
        <f>'Avg Week Kyankwanzi-Bukomero'!N28+'Avg Week Bukomero-Kyankwanzi'!N28</f>
        <v>0</v>
      </c>
      <c r="O28" s="15">
        <f t="shared" si="0"/>
        <v>2.5714285714285712</v>
      </c>
      <c r="P28" s="15">
        <f t="shared" si="1"/>
        <v>23.428571428571423</v>
      </c>
      <c r="R28" s="1" t="s">
        <v>152</v>
      </c>
      <c r="S28" s="34">
        <f>SUM(C82:C85)</f>
        <v>3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5.5</v>
      </c>
      <c r="Z28" s="34">
        <f t="shared" si="20"/>
        <v>0.5</v>
      </c>
      <c r="AA28" s="34">
        <f t="shared" si="20"/>
        <v>0</v>
      </c>
      <c r="AB28" s="34">
        <f t="shared" si="20"/>
        <v>0</v>
      </c>
      <c r="AC28" s="34">
        <f t="shared" si="20"/>
        <v>6</v>
      </c>
      <c r="AD28" s="34">
        <f t="shared" si="20"/>
        <v>0</v>
      </c>
      <c r="AE28" s="31">
        <f t="shared" si="20"/>
        <v>9</v>
      </c>
      <c r="AF28" s="31">
        <f t="shared" si="20"/>
        <v>15</v>
      </c>
    </row>
    <row r="29" spans="2:32" ht="23.1" customHeight="1" x14ac:dyDescent="0.25">
      <c r="B29" s="23" t="s">
        <v>56</v>
      </c>
      <c r="C29" s="49">
        <f>'Avg Week Kyankwanzi-Bukomero'!C29+'Avg Week Bukomero-Kyankwanzi'!C29</f>
        <v>0.8571428571428571</v>
      </c>
      <c r="D29" s="49">
        <f>'Avg Week Kyankwanzi-Bukomero'!D29+'Avg Week Bukomero-Kyankwanzi'!D29</f>
        <v>0</v>
      </c>
      <c r="E29" s="49">
        <f>'Avg Week Kyankwanzi-Bukomero'!E29+'Avg Week Bukomero-Kyankwanzi'!E29</f>
        <v>0.14285714285714285</v>
      </c>
      <c r="F29" s="49">
        <f>'Avg Week Kyankwanzi-Bukomero'!F29+'Avg Week Bukomero-Kyankwanzi'!F29</f>
        <v>0.14285714285714285</v>
      </c>
      <c r="G29" s="49">
        <f>'Avg Week Kyankwanzi-Bukomero'!G29+'Avg Week Bukomero-Kyankwanzi'!G29</f>
        <v>0</v>
      </c>
      <c r="H29" s="49">
        <f>'Avg Week Kyankwanzi-Bukomero'!H29+'Avg Week Bukomero-Kyankwanzi'!H29</f>
        <v>0</v>
      </c>
      <c r="I29" s="49">
        <f>'Avg Week Kyankwanzi-Bukomero'!I29+'Avg Week Bukomero-Kyankwanzi'!I29</f>
        <v>1.1428571428571428</v>
      </c>
      <c r="J29" s="49">
        <f>'Avg Week Kyankwanzi-Bukomero'!J29+'Avg Week Bukomero-Kyankwanzi'!J29</f>
        <v>0.14285714285714285</v>
      </c>
      <c r="K29" s="49">
        <f>'Avg Week Kyankwanzi-Bukomero'!K29+'Avg Week Bukomero-Kyankwanzi'!K29</f>
        <v>0</v>
      </c>
      <c r="L29" s="49">
        <f>'Avg Week Kyankwanzi-Bukomero'!L29+'Avg Week Bukomero-Kyankwanzi'!L29</f>
        <v>0</v>
      </c>
      <c r="M29" s="49">
        <f>'Avg Week Kyankwanzi-Bukomero'!M29+'Avg Week Bukomero-Kyankwanzi'!M29</f>
        <v>26.285714285714285</v>
      </c>
      <c r="N29" s="49">
        <f>'Avg Week Kyankwanzi-Bukomero'!N29+'Avg Week Bukomero-Kyankwanzi'!N29</f>
        <v>0</v>
      </c>
      <c r="O29" s="15">
        <f t="shared" si="0"/>
        <v>2.4285714285714284</v>
      </c>
      <c r="P29" s="15">
        <f t="shared" si="1"/>
        <v>28.714285714285712</v>
      </c>
      <c r="R29" s="1" t="s">
        <v>153</v>
      </c>
      <c r="S29" s="34">
        <f>SUM(C86:C89)</f>
        <v>1</v>
      </c>
      <c r="T29" s="34">
        <f t="shared" ref="T29:AF29" si="21">SUM(D86:D89)</f>
        <v>0.5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6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3</v>
      </c>
      <c r="AD29" s="34">
        <f t="shared" si="21"/>
        <v>0</v>
      </c>
      <c r="AE29" s="31">
        <f t="shared" si="21"/>
        <v>8</v>
      </c>
      <c r="AF29" s="31">
        <f t="shared" si="21"/>
        <v>11</v>
      </c>
    </row>
    <row r="30" spans="2:32" ht="23.1" customHeight="1" x14ac:dyDescent="0.25">
      <c r="B30" s="23" t="s">
        <v>57</v>
      </c>
      <c r="C30" s="49">
        <f>'Avg Week Kyankwanzi-Bukomero'!C30+'Avg Week Bukomero-Kyankwanzi'!C30</f>
        <v>0.42857142857142855</v>
      </c>
      <c r="D30" s="49">
        <f>'Avg Week Kyankwanzi-Bukomero'!D30+'Avg Week Bukomero-Kyankwanzi'!D30</f>
        <v>0.14285714285714285</v>
      </c>
      <c r="E30" s="49">
        <f>'Avg Week Kyankwanzi-Bukomero'!E30+'Avg Week Bukomero-Kyankwanzi'!E30</f>
        <v>0</v>
      </c>
      <c r="F30" s="49">
        <f>'Avg Week Kyankwanzi-Bukomero'!F30+'Avg Week Bukomero-Kyankwanzi'!F30</f>
        <v>0</v>
      </c>
      <c r="G30" s="49">
        <f>'Avg Week Kyankwanzi-Bukomero'!G30+'Avg Week Bukomero-Kyankwanzi'!G30</f>
        <v>0</v>
      </c>
      <c r="H30" s="49">
        <f>'Avg Week Kyankwanzi-Bukomero'!H30+'Avg Week Bukomero-Kyankwanzi'!H30</f>
        <v>0</v>
      </c>
      <c r="I30" s="49">
        <f>'Avg Week Kyankwanzi-Bukomero'!I30+'Avg Week Bukomero-Kyankwanzi'!I30</f>
        <v>1</v>
      </c>
      <c r="J30" s="49">
        <f>'Avg Week Kyankwanzi-Bukomero'!J30+'Avg Week Bukomero-Kyankwanzi'!J30</f>
        <v>0.2857142857142857</v>
      </c>
      <c r="K30" s="49">
        <f>'Avg Week Kyankwanzi-Bukomero'!K30+'Avg Week Bukomero-Kyankwanzi'!K30</f>
        <v>0</v>
      </c>
      <c r="L30" s="49">
        <f>'Avg Week Kyankwanzi-Bukomero'!L30+'Avg Week Bukomero-Kyankwanzi'!L30</f>
        <v>0</v>
      </c>
      <c r="M30" s="49">
        <f>'Avg Week Kyankwanzi-Bukomero'!M30+'Avg Week Bukomero-Kyankwanzi'!M30</f>
        <v>21.571428571428569</v>
      </c>
      <c r="N30" s="49">
        <f>'Avg Week Kyankwanzi-Bukomero'!N30+'Avg Week Bukomero-Kyankwanzi'!N30</f>
        <v>0</v>
      </c>
      <c r="O30" s="15">
        <f t="shared" si="0"/>
        <v>1.8571428571428572</v>
      </c>
      <c r="P30" s="15">
        <f t="shared" si="1"/>
        <v>23.428571428571427</v>
      </c>
      <c r="R30" s="1" t="s">
        <v>154</v>
      </c>
      <c r="S30" s="34">
        <f>SUM(C90:C93)</f>
        <v>0.5</v>
      </c>
      <c r="T30" s="34">
        <f t="shared" ref="T30:AF30" si="22">SUM(D90:D93)</f>
        <v>1</v>
      </c>
      <c r="U30" s="34">
        <f t="shared" si="22"/>
        <v>0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7.5</v>
      </c>
      <c r="Z30" s="34">
        <f t="shared" si="22"/>
        <v>1.5</v>
      </c>
      <c r="AA30" s="34">
        <f t="shared" si="22"/>
        <v>0</v>
      </c>
      <c r="AB30" s="34">
        <f t="shared" si="22"/>
        <v>0</v>
      </c>
      <c r="AC30" s="34">
        <f t="shared" si="22"/>
        <v>3.5</v>
      </c>
      <c r="AD30" s="34">
        <f t="shared" si="22"/>
        <v>2</v>
      </c>
      <c r="AE30" s="31">
        <f t="shared" si="22"/>
        <v>13</v>
      </c>
      <c r="AF30" s="31">
        <f t="shared" si="22"/>
        <v>16.5</v>
      </c>
    </row>
    <row r="31" spans="2:32" ht="23.1" customHeight="1" x14ac:dyDescent="0.25">
      <c r="B31" s="24" t="s">
        <v>58</v>
      </c>
      <c r="C31" s="49">
        <f>'Avg Week Kyankwanzi-Bukomero'!C31+'Avg Week Bukomero-Kyankwanzi'!C31</f>
        <v>1.7142857142857142</v>
      </c>
      <c r="D31" s="49">
        <f>'Avg Week Kyankwanzi-Bukomero'!D31+'Avg Week Bukomero-Kyankwanzi'!D31</f>
        <v>0.42857142857142855</v>
      </c>
      <c r="E31" s="49">
        <f>'Avg Week Kyankwanzi-Bukomero'!E31+'Avg Week Bukomero-Kyankwanzi'!E31</f>
        <v>0.14285714285714285</v>
      </c>
      <c r="F31" s="49">
        <f>'Avg Week Kyankwanzi-Bukomero'!F31+'Avg Week Bukomero-Kyankwanzi'!F31</f>
        <v>0.14285714285714285</v>
      </c>
      <c r="G31" s="49">
        <f>'Avg Week Kyankwanzi-Bukomero'!G31+'Avg Week Bukomero-Kyankwanzi'!G31</f>
        <v>0</v>
      </c>
      <c r="H31" s="49">
        <f>'Avg Week Kyankwanzi-Bukomero'!H31+'Avg Week Bukomero-Kyankwanzi'!H31</f>
        <v>0</v>
      </c>
      <c r="I31" s="49">
        <f>'Avg Week Kyankwanzi-Bukomero'!I31+'Avg Week Bukomero-Kyankwanzi'!I31</f>
        <v>1.2857142857142856</v>
      </c>
      <c r="J31" s="49">
        <f>'Avg Week Kyankwanzi-Bukomero'!J31+'Avg Week Bukomero-Kyankwanzi'!J31</f>
        <v>0.14285714285714285</v>
      </c>
      <c r="K31" s="49">
        <f>'Avg Week Kyankwanzi-Bukomero'!K31+'Avg Week Bukomero-Kyankwanzi'!K31</f>
        <v>0.14285714285714285</v>
      </c>
      <c r="L31" s="49">
        <f>'Avg Week Kyankwanzi-Bukomero'!L31+'Avg Week Bukomero-Kyankwanzi'!L31</f>
        <v>0</v>
      </c>
      <c r="M31" s="49">
        <f>'Avg Week Kyankwanzi-Bukomero'!M31+'Avg Week Bukomero-Kyankwanzi'!M31</f>
        <v>21.571428571428569</v>
      </c>
      <c r="N31" s="49">
        <f>'Avg Week Kyankwanzi-Bukomero'!N31+'Avg Week Bukomero-Kyankwanzi'!N31</f>
        <v>0</v>
      </c>
      <c r="O31" s="15">
        <f t="shared" si="0"/>
        <v>3.9999999999999996</v>
      </c>
      <c r="P31" s="15">
        <f t="shared" si="1"/>
        <v>25.571428571428569</v>
      </c>
      <c r="R31" s="1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4.5</v>
      </c>
      <c r="Z31" s="34">
        <f t="shared" si="23"/>
        <v>2.5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>SUM(O94:O97)</f>
        <v>7.5</v>
      </c>
      <c r="AF31" s="31">
        <f t="shared" si="23"/>
        <v>8.5</v>
      </c>
    </row>
    <row r="32" spans="2:32" ht="23.1" customHeight="1" x14ac:dyDescent="0.25">
      <c r="B32" s="24" t="s">
        <v>59</v>
      </c>
      <c r="C32" s="49">
        <f>'Avg Week Kyankwanzi-Bukomero'!C32+'Avg Week Bukomero-Kyankwanzi'!C32</f>
        <v>0.71428571428571419</v>
      </c>
      <c r="D32" s="49">
        <f>'Avg Week Kyankwanzi-Bukomero'!D32+'Avg Week Bukomero-Kyankwanzi'!D32</f>
        <v>0.42857142857142855</v>
      </c>
      <c r="E32" s="49">
        <f>'Avg Week Kyankwanzi-Bukomero'!E32+'Avg Week Bukomero-Kyankwanzi'!E32</f>
        <v>0.5714285714285714</v>
      </c>
      <c r="F32" s="49">
        <f>'Avg Week Kyankwanzi-Bukomero'!F32+'Avg Week Bukomero-Kyankwanzi'!F32</f>
        <v>0</v>
      </c>
      <c r="G32" s="49">
        <f>'Avg Week Kyankwanzi-Bukomero'!G32+'Avg Week Bukomero-Kyankwanzi'!G32</f>
        <v>0</v>
      </c>
      <c r="H32" s="49">
        <f>'Avg Week Kyankwanzi-Bukomero'!H32+'Avg Week Bukomero-Kyankwanzi'!H32</f>
        <v>0</v>
      </c>
      <c r="I32" s="49">
        <f>'Avg Week Kyankwanzi-Bukomero'!I32+'Avg Week Bukomero-Kyankwanzi'!I32</f>
        <v>2.8571428571428572</v>
      </c>
      <c r="J32" s="49">
        <f>'Avg Week Kyankwanzi-Bukomero'!J32+'Avg Week Bukomero-Kyankwanzi'!J32</f>
        <v>0</v>
      </c>
      <c r="K32" s="49">
        <f>'Avg Week Kyankwanzi-Bukomero'!K32+'Avg Week Bukomero-Kyankwanzi'!K32</f>
        <v>0</v>
      </c>
      <c r="L32" s="49">
        <f>'Avg Week Kyankwanzi-Bukomero'!L32+'Avg Week Bukomero-Kyankwanzi'!L32</f>
        <v>0</v>
      </c>
      <c r="M32" s="49">
        <f>'Avg Week Kyankwanzi-Bukomero'!M32+'Avg Week Bukomero-Kyankwanzi'!M32</f>
        <v>23.428571428571431</v>
      </c>
      <c r="N32" s="49">
        <f>'Avg Week Kyankwanzi-Bukomero'!N32+'Avg Week Bukomero-Kyankwanzi'!N32</f>
        <v>0</v>
      </c>
      <c r="O32" s="15">
        <f t="shared" si="0"/>
        <v>4.5714285714285712</v>
      </c>
      <c r="P32" s="15">
        <f t="shared" si="1"/>
        <v>28</v>
      </c>
      <c r="R32" s="1" t="s">
        <v>156</v>
      </c>
      <c r="S32" s="34">
        <f>SUM(C98:C101)</f>
        <v>2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1.5</v>
      </c>
      <c r="W32" s="34">
        <f t="shared" si="24"/>
        <v>0</v>
      </c>
      <c r="X32" s="34">
        <f t="shared" si="24"/>
        <v>0</v>
      </c>
      <c r="Y32" s="34">
        <f t="shared" si="24"/>
        <v>8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12.5</v>
      </c>
      <c r="AD32" s="34">
        <f t="shared" si="24"/>
        <v>0</v>
      </c>
      <c r="AE32" s="31">
        <f t="shared" si="24"/>
        <v>14.5</v>
      </c>
      <c r="AF32" s="31">
        <f t="shared" si="24"/>
        <v>27</v>
      </c>
    </row>
    <row r="33" spans="2:32" ht="23.1" customHeight="1" x14ac:dyDescent="0.25">
      <c r="B33" s="23" t="s">
        <v>60</v>
      </c>
      <c r="C33" s="49">
        <f>'Avg Week Kyankwanzi-Bukomero'!C33+'Avg Week Bukomero-Kyankwanzi'!C33</f>
        <v>1.1428571428571428</v>
      </c>
      <c r="D33" s="49">
        <f>'Avg Week Kyankwanzi-Bukomero'!D33+'Avg Week Bukomero-Kyankwanzi'!D33</f>
        <v>0.42857142857142855</v>
      </c>
      <c r="E33" s="49">
        <f>'Avg Week Kyankwanzi-Bukomero'!E33+'Avg Week Bukomero-Kyankwanzi'!E33</f>
        <v>0.14285714285714285</v>
      </c>
      <c r="F33" s="49">
        <f>'Avg Week Kyankwanzi-Bukomero'!F33+'Avg Week Bukomero-Kyankwanzi'!F33</f>
        <v>0</v>
      </c>
      <c r="G33" s="49">
        <f>'Avg Week Kyankwanzi-Bukomero'!G33+'Avg Week Bukomero-Kyankwanzi'!G33</f>
        <v>0</v>
      </c>
      <c r="H33" s="49">
        <f>'Avg Week Kyankwanzi-Bukomero'!H33+'Avg Week Bukomero-Kyankwanzi'!H33</f>
        <v>0</v>
      </c>
      <c r="I33" s="49">
        <f>'Avg Week Kyankwanzi-Bukomero'!I33+'Avg Week Bukomero-Kyankwanzi'!I33</f>
        <v>0.5714285714285714</v>
      </c>
      <c r="J33" s="49">
        <f>'Avg Week Kyankwanzi-Bukomero'!J33+'Avg Week Bukomero-Kyankwanzi'!J33</f>
        <v>0</v>
      </c>
      <c r="K33" s="49">
        <f>'Avg Week Kyankwanzi-Bukomero'!K33+'Avg Week Bukomero-Kyankwanzi'!K33</f>
        <v>0</v>
      </c>
      <c r="L33" s="49">
        <f>'Avg Week Kyankwanzi-Bukomero'!L33+'Avg Week Bukomero-Kyankwanzi'!L33</f>
        <v>0</v>
      </c>
      <c r="M33" s="49">
        <f>'Avg Week Kyankwanzi-Bukomero'!M33+'Avg Week Bukomero-Kyankwanzi'!M33</f>
        <v>22</v>
      </c>
      <c r="N33" s="49">
        <f>'Avg Week Kyankwanzi-Bukomero'!N33+'Avg Week Bukomero-Kyankwanzi'!N33</f>
        <v>0</v>
      </c>
      <c r="O33" s="15">
        <f t="shared" si="0"/>
        <v>2.2857142857142856</v>
      </c>
      <c r="P33" s="15">
        <f t="shared" si="1"/>
        <v>24.285714285714285</v>
      </c>
      <c r="R33" s="1" t="s">
        <v>157</v>
      </c>
      <c r="S33" s="34">
        <f>SUM(C102:C105)</f>
        <v>1.5</v>
      </c>
      <c r="T33" s="34">
        <f t="shared" ref="T33:AF33" si="25">SUM(D102:D105)</f>
        <v>1.5</v>
      </c>
      <c r="U33" s="34">
        <f t="shared" si="25"/>
        <v>0.5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10.5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40.5</v>
      </c>
      <c r="AD33" s="34">
        <f t="shared" si="25"/>
        <v>0</v>
      </c>
      <c r="AE33" s="31">
        <f t="shared" si="25"/>
        <v>17</v>
      </c>
      <c r="AF33" s="31">
        <f t="shared" si="25"/>
        <v>57.5</v>
      </c>
    </row>
    <row r="34" spans="2:32" ht="23.1" customHeight="1" x14ac:dyDescent="0.25">
      <c r="B34" s="24" t="s">
        <v>61</v>
      </c>
      <c r="C34" s="49">
        <f>'Avg Week Kyankwanzi-Bukomero'!C34+'Avg Week Bukomero-Kyankwanzi'!C34</f>
        <v>0.71428571428571419</v>
      </c>
      <c r="D34" s="49">
        <f>'Avg Week Kyankwanzi-Bukomero'!D34+'Avg Week Bukomero-Kyankwanzi'!D34</f>
        <v>0.71428571428571419</v>
      </c>
      <c r="E34" s="49">
        <f>'Avg Week Kyankwanzi-Bukomero'!E34+'Avg Week Bukomero-Kyankwanzi'!E34</f>
        <v>0.14285714285714285</v>
      </c>
      <c r="F34" s="49">
        <f>'Avg Week Kyankwanzi-Bukomero'!F34+'Avg Week Bukomero-Kyankwanzi'!F34</f>
        <v>0</v>
      </c>
      <c r="G34" s="49">
        <f>'Avg Week Kyankwanzi-Bukomero'!G34+'Avg Week Bukomero-Kyankwanzi'!G34</f>
        <v>0</v>
      </c>
      <c r="H34" s="49">
        <f>'Avg Week Kyankwanzi-Bukomero'!H34+'Avg Week Bukomero-Kyankwanzi'!H34</f>
        <v>0</v>
      </c>
      <c r="I34" s="49">
        <f>'Avg Week Kyankwanzi-Bukomero'!I34+'Avg Week Bukomero-Kyankwanzi'!I34</f>
        <v>0.5714285714285714</v>
      </c>
      <c r="J34" s="49">
        <f>'Avg Week Kyankwanzi-Bukomero'!J34+'Avg Week Bukomero-Kyankwanzi'!J34</f>
        <v>0</v>
      </c>
      <c r="K34" s="49">
        <f>'Avg Week Kyankwanzi-Bukomero'!K34+'Avg Week Bukomero-Kyankwanzi'!K34</f>
        <v>0.14285714285714285</v>
      </c>
      <c r="L34" s="49">
        <f>'Avg Week Kyankwanzi-Bukomero'!L34+'Avg Week Bukomero-Kyankwanzi'!L34</f>
        <v>0</v>
      </c>
      <c r="M34" s="49">
        <f>'Avg Week Kyankwanzi-Bukomero'!M34+'Avg Week Bukomero-Kyankwanzi'!M34</f>
        <v>20.571428571428569</v>
      </c>
      <c r="N34" s="49">
        <f>'Avg Week Kyankwanzi-Bukomero'!N34+'Avg Week Bukomero-Kyankwanzi'!N34</f>
        <v>0</v>
      </c>
      <c r="O34" s="15">
        <f t="shared" si="0"/>
        <v>2.2857142857142851</v>
      </c>
      <c r="P34" s="15">
        <f t="shared" si="1"/>
        <v>22.857142857142854</v>
      </c>
      <c r="R34" s="38" t="s">
        <v>90</v>
      </c>
      <c r="S34" s="39">
        <f t="shared" ref="S34:AF34" si="26">MAX(S10:S12)</f>
        <v>4.2857142857142856</v>
      </c>
      <c r="T34" s="39">
        <f t="shared" si="26"/>
        <v>0.71428571428571419</v>
      </c>
      <c r="U34" s="39">
        <f t="shared" si="26"/>
        <v>1.5714285714285714</v>
      </c>
      <c r="V34" s="39">
        <f t="shared" si="26"/>
        <v>3.7142857142857144</v>
      </c>
      <c r="W34" s="39">
        <f t="shared" si="26"/>
        <v>0.2857142857142857</v>
      </c>
      <c r="X34" s="39">
        <f t="shared" si="26"/>
        <v>0</v>
      </c>
      <c r="Y34" s="39">
        <f t="shared" si="26"/>
        <v>6.4285714285714279</v>
      </c>
      <c r="Z34" s="39">
        <f t="shared" si="26"/>
        <v>0.5714285714285714</v>
      </c>
      <c r="AA34" s="39">
        <f t="shared" si="26"/>
        <v>0.14285714285714285</v>
      </c>
      <c r="AB34" s="39">
        <f t="shared" si="26"/>
        <v>0</v>
      </c>
      <c r="AC34" s="39">
        <f t="shared" si="26"/>
        <v>80.714285714285722</v>
      </c>
      <c r="AD34" s="39">
        <f t="shared" si="26"/>
        <v>0.14285714285714285</v>
      </c>
      <c r="AE34" s="40">
        <f t="shared" si="26"/>
        <v>13.428571428571429</v>
      </c>
      <c r="AF34" s="40">
        <f t="shared" si="26"/>
        <v>94.142857142857153</v>
      </c>
    </row>
    <row r="35" spans="2:32" ht="23.1" customHeight="1" x14ac:dyDescent="0.25">
      <c r="B35" s="24" t="s">
        <v>62</v>
      </c>
      <c r="C35" s="49">
        <f>'Avg Week Kyankwanzi-Bukomero'!C35+'Avg Week Bukomero-Kyankwanzi'!C35</f>
        <v>0.8571428571428571</v>
      </c>
      <c r="D35" s="49">
        <f>'Avg Week Kyankwanzi-Bukomero'!D35+'Avg Week Bukomero-Kyankwanzi'!D35</f>
        <v>0.14285714285714285</v>
      </c>
      <c r="E35" s="49">
        <f>'Avg Week Kyankwanzi-Bukomero'!E35+'Avg Week Bukomero-Kyankwanzi'!E35</f>
        <v>0.42857142857142855</v>
      </c>
      <c r="F35" s="49">
        <f>'Avg Week Kyankwanzi-Bukomero'!F35+'Avg Week Bukomero-Kyankwanzi'!F35</f>
        <v>0.2857142857142857</v>
      </c>
      <c r="G35" s="49">
        <f>'Avg Week Kyankwanzi-Bukomero'!G35+'Avg Week Bukomero-Kyankwanzi'!G35</f>
        <v>0</v>
      </c>
      <c r="H35" s="49">
        <f>'Avg Week Kyankwanzi-Bukomero'!H35+'Avg Week Bukomero-Kyankwanzi'!H35</f>
        <v>0</v>
      </c>
      <c r="I35" s="49">
        <f>'Avg Week Kyankwanzi-Bukomero'!I35+'Avg Week Bukomero-Kyankwanzi'!I35</f>
        <v>1.1428571428571428</v>
      </c>
      <c r="J35" s="49">
        <f>'Avg Week Kyankwanzi-Bukomero'!J35+'Avg Week Bukomero-Kyankwanzi'!J35</f>
        <v>0.2857142857142857</v>
      </c>
      <c r="K35" s="49">
        <f>'Avg Week Kyankwanzi-Bukomero'!K35+'Avg Week Bukomero-Kyankwanzi'!K35</f>
        <v>0</v>
      </c>
      <c r="L35" s="49">
        <f>'Avg Week Kyankwanzi-Bukomero'!L35+'Avg Week Bukomero-Kyankwanzi'!L35</f>
        <v>0</v>
      </c>
      <c r="M35" s="49">
        <f>'Avg Week Kyankwanzi-Bukomero'!M35+'Avg Week Bukomero-Kyankwanzi'!M35</f>
        <v>24.428571428571427</v>
      </c>
      <c r="N35" s="49">
        <f>'Avg Week Kyankwanzi-Bukomero'!N35+'Avg Week Bukomero-Kyankwanzi'!N35</f>
        <v>0</v>
      </c>
      <c r="O35" s="15">
        <f t="shared" si="0"/>
        <v>3.1428571428571428</v>
      </c>
      <c r="P35" s="15">
        <f t="shared" si="1"/>
        <v>27.571428571428569</v>
      </c>
      <c r="R35" s="38" t="s">
        <v>91</v>
      </c>
      <c r="S35" s="39">
        <f t="shared" ref="S35:AF35" si="27">MAX(S13:S18)</f>
        <v>4.4285714285714288</v>
      </c>
      <c r="T35" s="39">
        <f t="shared" si="27"/>
        <v>1.4285714285714286</v>
      </c>
      <c r="U35" s="39">
        <f t="shared" si="27"/>
        <v>1.4285714285714284</v>
      </c>
      <c r="V35" s="39">
        <f t="shared" si="27"/>
        <v>0.5714285714285714</v>
      </c>
      <c r="W35" s="39">
        <f t="shared" si="27"/>
        <v>0</v>
      </c>
      <c r="X35" s="39">
        <f t="shared" si="27"/>
        <v>0</v>
      </c>
      <c r="Y35" s="39">
        <f t="shared" si="27"/>
        <v>7.9999999999999991</v>
      </c>
      <c r="Z35" s="39">
        <f t="shared" si="27"/>
        <v>1.4285714285714284</v>
      </c>
      <c r="AA35" s="39">
        <f t="shared" si="27"/>
        <v>0.42857142857142855</v>
      </c>
      <c r="AB35" s="39">
        <f t="shared" si="27"/>
        <v>0.14285714285714285</v>
      </c>
      <c r="AC35" s="39">
        <f t="shared" si="27"/>
        <v>103.71428571428571</v>
      </c>
      <c r="AD35" s="39">
        <f t="shared" si="27"/>
        <v>0</v>
      </c>
      <c r="AE35" s="40">
        <f t="shared" si="27"/>
        <v>16.571428571428569</v>
      </c>
      <c r="AF35" s="40">
        <f t="shared" si="27"/>
        <v>120.28571428571429</v>
      </c>
    </row>
    <row r="36" spans="2:32" ht="23.1" customHeight="1" x14ac:dyDescent="0.25">
      <c r="B36" s="24" t="s">
        <v>63</v>
      </c>
      <c r="C36" s="49">
        <f>'Avg Week Kyankwanzi-Bukomero'!C36+'Avg Week Bukomero-Kyankwanzi'!C36</f>
        <v>1.4285714285714284</v>
      </c>
      <c r="D36" s="49">
        <f>'Avg Week Kyankwanzi-Bukomero'!D36+'Avg Week Bukomero-Kyankwanzi'!D36</f>
        <v>0.14285714285714285</v>
      </c>
      <c r="E36" s="49">
        <f>'Avg Week Kyankwanzi-Bukomero'!E36+'Avg Week Bukomero-Kyankwanzi'!E36</f>
        <v>0.14285714285714285</v>
      </c>
      <c r="F36" s="49">
        <f>'Avg Week Kyankwanzi-Bukomero'!F36+'Avg Week Bukomero-Kyankwanzi'!F36</f>
        <v>0</v>
      </c>
      <c r="G36" s="49">
        <f>'Avg Week Kyankwanzi-Bukomero'!G36+'Avg Week Bukomero-Kyankwanzi'!G36</f>
        <v>0</v>
      </c>
      <c r="H36" s="49">
        <f>'Avg Week Kyankwanzi-Bukomero'!H36+'Avg Week Bukomero-Kyankwanzi'!H36</f>
        <v>0</v>
      </c>
      <c r="I36" s="49">
        <f>'Avg Week Kyankwanzi-Bukomero'!I36+'Avg Week Bukomero-Kyankwanzi'!I36</f>
        <v>0.8571428571428571</v>
      </c>
      <c r="J36" s="49">
        <f>'Avg Week Kyankwanzi-Bukomero'!J36+'Avg Week Bukomero-Kyankwanzi'!J36</f>
        <v>0.71428571428571419</v>
      </c>
      <c r="K36" s="49">
        <f>'Avg Week Kyankwanzi-Bukomero'!K36+'Avg Week Bukomero-Kyankwanzi'!K36</f>
        <v>0.14285714285714285</v>
      </c>
      <c r="L36" s="49">
        <f>'Avg Week Kyankwanzi-Bukomero'!L36+'Avg Week Bukomero-Kyankwanzi'!L36</f>
        <v>0</v>
      </c>
      <c r="M36" s="49">
        <f>'Avg Week Kyankwanzi-Bukomero'!M36+'Avg Week Bukomero-Kyankwanzi'!M36</f>
        <v>23.857142857142858</v>
      </c>
      <c r="N36" s="49">
        <f>'Avg Week Kyankwanzi-Bukomero'!N36+'Avg Week Bukomero-Kyankwanzi'!N36</f>
        <v>0</v>
      </c>
      <c r="O36" s="15">
        <f t="shared" si="0"/>
        <v>3.4285714285714284</v>
      </c>
      <c r="P36" s="15">
        <f t="shared" si="1"/>
        <v>27.285714285714285</v>
      </c>
      <c r="R36" s="38" t="s">
        <v>92</v>
      </c>
      <c r="S36" s="39">
        <f t="shared" ref="S36:AF36" si="28">MAX(S19:S21)</f>
        <v>5</v>
      </c>
      <c r="T36" s="39">
        <f t="shared" si="28"/>
        <v>1.5714285714285714</v>
      </c>
      <c r="U36" s="39">
        <f t="shared" si="28"/>
        <v>2.2857142857142856</v>
      </c>
      <c r="V36" s="39">
        <f t="shared" si="28"/>
        <v>1.5714285714285712</v>
      </c>
      <c r="W36" s="39">
        <f t="shared" si="28"/>
        <v>0</v>
      </c>
      <c r="X36" s="39">
        <f t="shared" si="28"/>
        <v>0.2857142857142857</v>
      </c>
      <c r="Y36" s="39">
        <f t="shared" si="28"/>
        <v>6.8571428571428577</v>
      </c>
      <c r="Z36" s="39">
        <f t="shared" si="28"/>
        <v>1.5714285714285714</v>
      </c>
      <c r="AA36" s="39">
        <f t="shared" si="28"/>
        <v>0.14285714285714285</v>
      </c>
      <c r="AB36" s="39">
        <f t="shared" si="28"/>
        <v>0.14285714285714285</v>
      </c>
      <c r="AC36" s="39">
        <f t="shared" si="28"/>
        <v>118.85714285714286</v>
      </c>
      <c r="AD36" s="39">
        <f t="shared" si="28"/>
        <v>0</v>
      </c>
      <c r="AE36" s="40">
        <f t="shared" si="28"/>
        <v>15.571428571428571</v>
      </c>
      <c r="AF36" s="40">
        <f t="shared" si="28"/>
        <v>132.57142857142858</v>
      </c>
    </row>
    <row r="37" spans="2:32" ht="23.1" customHeight="1" x14ac:dyDescent="0.25">
      <c r="B37" s="23" t="s">
        <v>64</v>
      </c>
      <c r="C37" s="49">
        <f>'Avg Week Kyankwanzi-Bukomero'!C37+'Avg Week Bukomero-Kyankwanzi'!C37</f>
        <v>0.5714285714285714</v>
      </c>
      <c r="D37" s="49">
        <f>'Avg Week Kyankwanzi-Bukomero'!D37+'Avg Week Bukomero-Kyankwanzi'!D37</f>
        <v>0.2857142857142857</v>
      </c>
      <c r="E37" s="49">
        <f>'Avg Week Kyankwanzi-Bukomero'!E37+'Avg Week Bukomero-Kyankwanzi'!E37</f>
        <v>0.14285714285714285</v>
      </c>
      <c r="F37" s="49">
        <f>'Avg Week Kyankwanzi-Bukomero'!F37+'Avg Week Bukomero-Kyankwanzi'!F37</f>
        <v>0.14285714285714285</v>
      </c>
      <c r="G37" s="49">
        <f>'Avg Week Kyankwanzi-Bukomero'!G37+'Avg Week Bukomero-Kyankwanzi'!G37</f>
        <v>0</v>
      </c>
      <c r="H37" s="49">
        <f>'Avg Week Kyankwanzi-Bukomero'!H37+'Avg Week Bukomero-Kyankwanzi'!H37</f>
        <v>0</v>
      </c>
      <c r="I37" s="49">
        <f>'Avg Week Kyankwanzi-Bukomero'!I37+'Avg Week Bukomero-Kyankwanzi'!I37</f>
        <v>0.8571428571428571</v>
      </c>
      <c r="J37" s="49">
        <f>'Avg Week Kyankwanzi-Bukomero'!J37+'Avg Week Bukomero-Kyankwanzi'!J37</f>
        <v>0.14285714285714285</v>
      </c>
      <c r="K37" s="49">
        <f>'Avg Week Kyankwanzi-Bukomero'!K37+'Avg Week Bukomero-Kyankwanzi'!K37</f>
        <v>0.14285714285714285</v>
      </c>
      <c r="L37" s="49">
        <f>'Avg Week Kyankwanzi-Bukomero'!L37+'Avg Week Bukomero-Kyankwanzi'!L37</f>
        <v>0</v>
      </c>
      <c r="M37" s="49">
        <f>'Avg Week Kyankwanzi-Bukomero'!M37+'Avg Week Bukomero-Kyankwanzi'!M37</f>
        <v>27.714285714285715</v>
      </c>
      <c r="N37" s="49">
        <f>'Avg Week Kyankwanzi-Bukomero'!N37+'Avg Week Bukomero-Kyankwanzi'!N37</f>
        <v>0</v>
      </c>
      <c r="O37" s="15">
        <f t="shared" si="0"/>
        <v>2.2857142857142856</v>
      </c>
      <c r="P37" s="15">
        <f t="shared" si="1"/>
        <v>30</v>
      </c>
      <c r="R37" s="37" t="s">
        <v>85</v>
      </c>
      <c r="S37" s="35">
        <f t="shared" ref="S37:AF37" si="29">SUM(S10:S12)</f>
        <v>9.2857142857142847</v>
      </c>
      <c r="T37" s="16">
        <f t="shared" si="29"/>
        <v>1.5714285714285712</v>
      </c>
      <c r="U37" s="16">
        <f t="shared" si="29"/>
        <v>2.7142857142857144</v>
      </c>
      <c r="V37" s="16">
        <f t="shared" si="29"/>
        <v>5.4285714285714288</v>
      </c>
      <c r="W37" s="16">
        <f t="shared" si="29"/>
        <v>0.2857142857142857</v>
      </c>
      <c r="X37" s="16">
        <f t="shared" si="29"/>
        <v>0</v>
      </c>
      <c r="Y37" s="16">
        <f t="shared" si="29"/>
        <v>13.142857142857142</v>
      </c>
      <c r="Z37" s="16">
        <f t="shared" si="29"/>
        <v>1.1428571428571428</v>
      </c>
      <c r="AA37" s="16">
        <f t="shared" si="29"/>
        <v>0.14285714285714285</v>
      </c>
      <c r="AB37" s="16">
        <f t="shared" si="29"/>
        <v>0</v>
      </c>
      <c r="AC37" s="16">
        <f t="shared" si="29"/>
        <v>225</v>
      </c>
      <c r="AD37" s="16">
        <f t="shared" si="29"/>
        <v>0.14285714285714285</v>
      </c>
      <c r="AE37" s="32">
        <f t="shared" si="29"/>
        <v>33.857142857142854</v>
      </c>
      <c r="AF37" s="32">
        <f t="shared" si="29"/>
        <v>258.85714285714289</v>
      </c>
    </row>
    <row r="38" spans="2:32" ht="23.1" customHeight="1" x14ac:dyDescent="0.25">
      <c r="B38" s="24" t="s">
        <v>65</v>
      </c>
      <c r="C38" s="49">
        <f>'Avg Week Kyankwanzi-Bukomero'!C38+'Avg Week Bukomero-Kyankwanzi'!C38</f>
        <v>0.8571428571428571</v>
      </c>
      <c r="D38" s="49">
        <f>'Avg Week Kyankwanzi-Bukomero'!D38+'Avg Week Bukomero-Kyankwanzi'!D38</f>
        <v>0.14285714285714285</v>
      </c>
      <c r="E38" s="49">
        <f>'Avg Week Kyankwanzi-Bukomero'!E38+'Avg Week Bukomero-Kyankwanzi'!E38</f>
        <v>0.5714285714285714</v>
      </c>
      <c r="F38" s="49">
        <f>'Avg Week Kyankwanzi-Bukomero'!F38+'Avg Week Bukomero-Kyankwanzi'!F38</f>
        <v>0.2857142857142857</v>
      </c>
      <c r="G38" s="49">
        <f>'Avg Week Kyankwanzi-Bukomero'!G38+'Avg Week Bukomero-Kyankwanzi'!G38</f>
        <v>0</v>
      </c>
      <c r="H38" s="49">
        <f>'Avg Week Kyankwanzi-Bukomero'!H38+'Avg Week Bukomero-Kyankwanzi'!H38</f>
        <v>0</v>
      </c>
      <c r="I38" s="49">
        <f>'Avg Week Kyankwanzi-Bukomero'!I38+'Avg Week Bukomero-Kyankwanzi'!I38</f>
        <v>1.8571428571428572</v>
      </c>
      <c r="J38" s="49">
        <f>'Avg Week Kyankwanzi-Bukomero'!J38+'Avg Week Bukomero-Kyankwanzi'!J38</f>
        <v>0.2857142857142857</v>
      </c>
      <c r="K38" s="49">
        <f>'Avg Week Kyankwanzi-Bukomero'!K38+'Avg Week Bukomero-Kyankwanzi'!K38</f>
        <v>0</v>
      </c>
      <c r="L38" s="49">
        <f>'Avg Week Kyankwanzi-Bukomero'!L38+'Avg Week Bukomero-Kyankwanzi'!L38</f>
        <v>0</v>
      </c>
      <c r="M38" s="49">
        <f>'Avg Week Kyankwanzi-Bukomero'!M38+'Avg Week Bukomero-Kyankwanzi'!M38</f>
        <v>25.714285714285715</v>
      </c>
      <c r="N38" s="49">
        <f>'Avg Week Kyankwanzi-Bukomero'!N38+'Avg Week Bukomero-Kyankwanzi'!N38</f>
        <v>0</v>
      </c>
      <c r="O38" s="15">
        <f t="shared" si="0"/>
        <v>4</v>
      </c>
      <c r="P38" s="15">
        <f t="shared" si="1"/>
        <v>29.714285714285715</v>
      </c>
      <c r="R38" s="28" t="s">
        <v>86</v>
      </c>
      <c r="S38" s="16">
        <f t="shared" ref="S38:AF38" si="30">SUM(S13:S18)</f>
        <v>20.857142857142854</v>
      </c>
      <c r="T38" s="16">
        <f t="shared" si="30"/>
        <v>7.1428571428571423</v>
      </c>
      <c r="U38" s="16">
        <f t="shared" si="30"/>
        <v>5.7142857142857126</v>
      </c>
      <c r="V38" s="16">
        <f t="shared" si="30"/>
        <v>2.2857142857142856</v>
      </c>
      <c r="W38" s="16">
        <f t="shared" si="30"/>
        <v>0</v>
      </c>
      <c r="X38" s="16">
        <f t="shared" si="30"/>
        <v>0</v>
      </c>
      <c r="Y38" s="16">
        <f t="shared" si="30"/>
        <v>35</v>
      </c>
      <c r="Z38" s="16">
        <f t="shared" si="30"/>
        <v>5.1428571428571423</v>
      </c>
      <c r="AA38" s="16">
        <f t="shared" si="30"/>
        <v>0.99999999999999989</v>
      </c>
      <c r="AB38" s="16">
        <f t="shared" si="30"/>
        <v>0.14285714285714285</v>
      </c>
      <c r="AC38" s="16">
        <f t="shared" si="30"/>
        <v>556.42857142857144</v>
      </c>
      <c r="AD38" s="16">
        <f t="shared" si="30"/>
        <v>0</v>
      </c>
      <c r="AE38" s="32">
        <f t="shared" si="30"/>
        <v>77.285714285714278</v>
      </c>
      <c r="AF38" s="32">
        <f t="shared" si="30"/>
        <v>633.71428571428578</v>
      </c>
    </row>
    <row r="39" spans="2:32" ht="23.1" customHeight="1" x14ac:dyDescent="0.25">
      <c r="B39" s="24" t="s">
        <v>66</v>
      </c>
      <c r="C39" s="49">
        <f>'Avg Week Kyankwanzi-Bukomero'!C39+'Avg Week Bukomero-Kyankwanzi'!C39</f>
        <v>1.1428571428571428</v>
      </c>
      <c r="D39" s="49">
        <f>'Avg Week Kyankwanzi-Bukomero'!D39+'Avg Week Bukomero-Kyankwanzi'!D39</f>
        <v>0.42857142857142855</v>
      </c>
      <c r="E39" s="49">
        <f>'Avg Week Kyankwanzi-Bukomero'!E39+'Avg Week Bukomero-Kyankwanzi'!E39</f>
        <v>0.14285714285714285</v>
      </c>
      <c r="F39" s="49">
        <f>'Avg Week Kyankwanzi-Bukomero'!F39+'Avg Week Bukomero-Kyankwanzi'!F39</f>
        <v>0.14285714285714285</v>
      </c>
      <c r="G39" s="49">
        <f>'Avg Week Kyankwanzi-Bukomero'!G39+'Avg Week Bukomero-Kyankwanzi'!G39</f>
        <v>0</v>
      </c>
      <c r="H39" s="49">
        <f>'Avg Week Kyankwanzi-Bukomero'!H39+'Avg Week Bukomero-Kyankwanzi'!H39</f>
        <v>0</v>
      </c>
      <c r="I39" s="49">
        <f>'Avg Week Kyankwanzi-Bukomero'!I39+'Avg Week Bukomero-Kyankwanzi'!I39</f>
        <v>2.2857142857142856</v>
      </c>
      <c r="J39" s="49">
        <f>'Avg Week Kyankwanzi-Bukomero'!J39+'Avg Week Bukomero-Kyankwanzi'!J39</f>
        <v>0.42857142857142855</v>
      </c>
      <c r="K39" s="49">
        <f>'Avg Week Kyankwanzi-Bukomero'!K39+'Avg Week Bukomero-Kyankwanzi'!K39</f>
        <v>0</v>
      </c>
      <c r="L39" s="49">
        <f>'Avg Week Kyankwanzi-Bukomero'!L39+'Avg Week Bukomero-Kyankwanzi'!L39</f>
        <v>0</v>
      </c>
      <c r="M39" s="49">
        <f>'Avg Week Kyankwanzi-Bukomero'!M39+'Avg Week Bukomero-Kyankwanzi'!M39</f>
        <v>25.428571428571431</v>
      </c>
      <c r="N39" s="49">
        <f>'Avg Week Kyankwanzi-Bukomero'!N39+'Avg Week Bukomero-Kyankwanzi'!N39</f>
        <v>0</v>
      </c>
      <c r="O39" s="15">
        <f t="shared" si="0"/>
        <v>4.5714285714285712</v>
      </c>
      <c r="P39" s="15">
        <f t="shared" si="1"/>
        <v>30</v>
      </c>
      <c r="R39" s="29" t="s">
        <v>87</v>
      </c>
      <c r="S39" s="16">
        <f t="shared" ref="S39:AF39" si="31">SUM(S19:S21)</f>
        <v>11.571428571428571</v>
      </c>
      <c r="T39" s="16">
        <f t="shared" si="31"/>
        <v>3.5714285714285712</v>
      </c>
      <c r="U39" s="16">
        <f t="shared" si="31"/>
        <v>5.2857142857142856</v>
      </c>
      <c r="V39" s="16">
        <f t="shared" si="31"/>
        <v>3.1428571428571423</v>
      </c>
      <c r="W39" s="16">
        <f t="shared" si="31"/>
        <v>0</v>
      </c>
      <c r="X39" s="16">
        <f t="shared" si="31"/>
        <v>0.2857142857142857</v>
      </c>
      <c r="Y39" s="16">
        <f t="shared" si="31"/>
        <v>16.857142857142858</v>
      </c>
      <c r="Z39" s="16">
        <f t="shared" si="31"/>
        <v>2.1428571428571428</v>
      </c>
      <c r="AA39" s="16">
        <f t="shared" si="31"/>
        <v>0.2857142857142857</v>
      </c>
      <c r="AB39" s="16">
        <f t="shared" si="31"/>
        <v>0.14285714285714285</v>
      </c>
      <c r="AC39" s="16">
        <f t="shared" si="31"/>
        <v>343.42857142857144</v>
      </c>
      <c r="AD39" s="16">
        <f t="shared" si="31"/>
        <v>0</v>
      </c>
      <c r="AE39" s="32">
        <f t="shared" si="31"/>
        <v>43.285714285714278</v>
      </c>
      <c r="AF39" s="32">
        <f t="shared" si="31"/>
        <v>386.71428571428572</v>
      </c>
    </row>
    <row r="40" spans="2:32" ht="23.1" customHeight="1" x14ac:dyDescent="0.25">
      <c r="B40" s="24" t="s">
        <v>67</v>
      </c>
      <c r="C40" s="49">
        <f>'Avg Week Kyankwanzi-Bukomero'!C40+'Avg Week Bukomero-Kyankwanzi'!C40</f>
        <v>0.71428571428571419</v>
      </c>
      <c r="D40" s="49">
        <f>'Avg Week Kyankwanzi-Bukomero'!D40+'Avg Week Bukomero-Kyankwanzi'!D40</f>
        <v>0.5714285714285714</v>
      </c>
      <c r="E40" s="49">
        <f>'Avg Week Kyankwanzi-Bukomero'!E40+'Avg Week Bukomero-Kyankwanzi'!E40</f>
        <v>0.42857142857142855</v>
      </c>
      <c r="F40" s="49">
        <f>'Avg Week Kyankwanzi-Bukomero'!F40+'Avg Week Bukomero-Kyankwanzi'!F40</f>
        <v>0</v>
      </c>
      <c r="G40" s="49">
        <f>'Avg Week Kyankwanzi-Bukomero'!G40+'Avg Week Bukomero-Kyankwanzi'!G40</f>
        <v>0</v>
      </c>
      <c r="H40" s="49">
        <f>'Avg Week Kyankwanzi-Bukomero'!H40+'Avg Week Bukomero-Kyankwanzi'!H40</f>
        <v>0</v>
      </c>
      <c r="I40" s="49">
        <f>'Avg Week Kyankwanzi-Bukomero'!I40+'Avg Week Bukomero-Kyankwanzi'!I40</f>
        <v>2.5714285714285712</v>
      </c>
      <c r="J40" s="49">
        <f>'Avg Week Kyankwanzi-Bukomero'!J40+'Avg Week Bukomero-Kyankwanzi'!J40</f>
        <v>0.2857142857142857</v>
      </c>
      <c r="K40" s="49">
        <f>'Avg Week Kyankwanzi-Bukomero'!K40+'Avg Week Bukomero-Kyankwanzi'!K40</f>
        <v>0.14285714285714285</v>
      </c>
      <c r="L40" s="49">
        <f>'Avg Week Kyankwanzi-Bukomero'!L40+'Avg Week Bukomero-Kyankwanzi'!L40</f>
        <v>0</v>
      </c>
      <c r="M40" s="49">
        <f>'Avg Week Kyankwanzi-Bukomero'!M40+'Avg Week Bukomero-Kyankwanzi'!M40</f>
        <v>26</v>
      </c>
      <c r="N40" s="49">
        <f>'Avg Week Kyankwanzi-Bukomero'!N40+'Avg Week Bukomero-Kyankwanzi'!N40</f>
        <v>0</v>
      </c>
      <c r="O40" s="15">
        <f t="shared" si="0"/>
        <v>4.7142857142857144</v>
      </c>
      <c r="P40" s="15">
        <f t="shared" si="1"/>
        <v>30.714285714285715</v>
      </c>
      <c r="R40" s="5" t="s">
        <v>17</v>
      </c>
      <c r="S40" s="16">
        <f t="shared" ref="S40:AF40" si="32">SUM(S10:S21)</f>
        <v>41.714285714285708</v>
      </c>
      <c r="T40" s="16">
        <f t="shared" si="32"/>
        <v>12.285714285714285</v>
      </c>
      <c r="U40" s="16">
        <f t="shared" si="32"/>
        <v>13.714285714285715</v>
      </c>
      <c r="V40" s="16">
        <f t="shared" si="32"/>
        <v>10.857142857142858</v>
      </c>
      <c r="W40" s="16">
        <f t="shared" si="32"/>
        <v>0.2857142857142857</v>
      </c>
      <c r="X40" s="16">
        <f t="shared" si="32"/>
        <v>0.2857142857142857</v>
      </c>
      <c r="Y40" s="16">
        <f t="shared" si="32"/>
        <v>65</v>
      </c>
      <c r="Z40" s="16">
        <f t="shared" si="32"/>
        <v>8.428571428571427</v>
      </c>
      <c r="AA40" s="16">
        <f t="shared" si="32"/>
        <v>1.4285714285714284</v>
      </c>
      <c r="AB40" s="16">
        <f t="shared" si="32"/>
        <v>0.2857142857142857</v>
      </c>
      <c r="AC40" s="16">
        <f t="shared" si="32"/>
        <v>1124.8571428571427</v>
      </c>
      <c r="AD40" s="16">
        <f t="shared" si="32"/>
        <v>0.14285714285714285</v>
      </c>
      <c r="AE40" s="32">
        <f t="shared" si="32"/>
        <v>154.42857142857142</v>
      </c>
      <c r="AF40" s="32">
        <f t="shared" si="32"/>
        <v>1279.2857142857144</v>
      </c>
    </row>
    <row r="41" spans="2:32" ht="23.1" customHeight="1" x14ac:dyDescent="0.25">
      <c r="B41" s="23" t="s">
        <v>68</v>
      </c>
      <c r="C41" s="49">
        <f>'Avg Week Kyankwanzi-Bukomero'!C41+'Avg Week Bukomero-Kyankwanzi'!C41</f>
        <v>1.1428571428571428</v>
      </c>
      <c r="D41" s="49">
        <f>'Avg Week Kyankwanzi-Bukomero'!D41+'Avg Week Bukomero-Kyankwanzi'!D41</f>
        <v>0</v>
      </c>
      <c r="E41" s="49">
        <f>'Avg Week Kyankwanzi-Bukomero'!E41+'Avg Week Bukomero-Kyankwanzi'!E41</f>
        <v>0.2857142857142857</v>
      </c>
      <c r="F41" s="49">
        <f>'Avg Week Kyankwanzi-Bukomero'!F41+'Avg Week Bukomero-Kyankwanzi'!F41</f>
        <v>0.14285714285714285</v>
      </c>
      <c r="G41" s="49">
        <f>'Avg Week Kyankwanzi-Bukomero'!G41+'Avg Week Bukomero-Kyankwanzi'!G41</f>
        <v>0</v>
      </c>
      <c r="H41" s="49">
        <f>'Avg Week Kyankwanzi-Bukomero'!H41+'Avg Week Bukomero-Kyankwanzi'!H41</f>
        <v>0</v>
      </c>
      <c r="I41" s="49">
        <f>'Avg Week Kyankwanzi-Bukomero'!I41+'Avg Week Bukomero-Kyankwanzi'!I41</f>
        <v>1.2857142857142856</v>
      </c>
      <c r="J41" s="49">
        <f>'Avg Week Kyankwanzi-Bukomero'!J41+'Avg Week Bukomero-Kyankwanzi'!J41</f>
        <v>0.42857142857142855</v>
      </c>
      <c r="K41" s="49">
        <f>'Avg Week Kyankwanzi-Bukomero'!K41+'Avg Week Bukomero-Kyankwanzi'!K41</f>
        <v>0</v>
      </c>
      <c r="L41" s="49">
        <f>'Avg Week Kyankwanzi-Bukomero'!L41+'Avg Week Bukomero-Kyankwanzi'!L41</f>
        <v>0</v>
      </c>
      <c r="M41" s="49">
        <f>'Avg Week Kyankwanzi-Bukomero'!M41+'Avg Week Bukomero-Kyankwanzi'!M41</f>
        <v>26.571428571428573</v>
      </c>
      <c r="N41" s="49">
        <f>'Avg Week Kyankwanzi-Bukomero'!N41+'Avg Week Bukomero-Kyankwanzi'!N41</f>
        <v>0</v>
      </c>
      <c r="O41" s="15">
        <f t="shared" si="0"/>
        <v>3.2857142857142851</v>
      </c>
      <c r="P41" s="15">
        <f t="shared" si="1"/>
        <v>29.857142857142858</v>
      </c>
      <c r="R41" s="5" t="s">
        <v>178</v>
      </c>
      <c r="S41" s="52">
        <f>SUM(S10:S33)</f>
        <v>58.214285714285708</v>
      </c>
      <c r="T41" s="52">
        <f t="shared" ref="T41:AD41" si="33">SUM(T10:T33)</f>
        <v>17.785714285714285</v>
      </c>
      <c r="U41" s="52">
        <f t="shared" si="33"/>
        <v>15.214285714285715</v>
      </c>
      <c r="V41" s="52">
        <f t="shared" si="33"/>
        <v>18.357142857142858</v>
      </c>
      <c r="W41" s="52">
        <f t="shared" si="33"/>
        <v>0.2857142857142857</v>
      </c>
      <c r="X41" s="52">
        <f t="shared" si="33"/>
        <v>0.2857142857142857</v>
      </c>
      <c r="Y41" s="52">
        <f t="shared" si="33"/>
        <v>122.5</v>
      </c>
      <c r="Z41" s="52">
        <f t="shared" si="33"/>
        <v>24.928571428571427</v>
      </c>
      <c r="AA41" s="52">
        <f t="shared" si="33"/>
        <v>2.4285714285714284</v>
      </c>
      <c r="AB41" s="52">
        <f t="shared" si="33"/>
        <v>0.2857142857142857</v>
      </c>
      <c r="AC41" s="52">
        <f t="shared" si="33"/>
        <v>1471.3571428571427</v>
      </c>
      <c r="AD41" s="52">
        <f t="shared" si="33"/>
        <v>2.1428571428571428</v>
      </c>
      <c r="AE41" s="53">
        <f>SUM(AE10:AE33)</f>
        <v>262.42857142857144</v>
      </c>
      <c r="AF41" s="53">
        <f>SUM(AF10:AF33)</f>
        <v>1733.7857142857144</v>
      </c>
    </row>
    <row r="42" spans="2:32" ht="23.1" customHeight="1" x14ac:dyDescent="0.25">
      <c r="B42" s="24" t="s">
        <v>69</v>
      </c>
      <c r="C42" s="49">
        <f>'Avg Week Kyankwanzi-Bukomero'!C42+'Avg Week Bukomero-Kyankwanzi'!C42</f>
        <v>1.4285714285714286</v>
      </c>
      <c r="D42" s="49">
        <f>'Avg Week Kyankwanzi-Bukomero'!D42+'Avg Week Bukomero-Kyankwanzi'!D42</f>
        <v>0.42857142857142855</v>
      </c>
      <c r="E42" s="49">
        <f>'Avg Week Kyankwanzi-Bukomero'!E42+'Avg Week Bukomero-Kyankwanzi'!E42</f>
        <v>0.14285714285714285</v>
      </c>
      <c r="F42" s="49">
        <f>'Avg Week Kyankwanzi-Bukomero'!F42+'Avg Week Bukomero-Kyankwanzi'!F42</f>
        <v>0</v>
      </c>
      <c r="G42" s="49">
        <f>'Avg Week Kyankwanzi-Bukomero'!G42+'Avg Week Bukomero-Kyankwanzi'!G42</f>
        <v>0</v>
      </c>
      <c r="H42" s="49">
        <f>'Avg Week Kyankwanzi-Bukomero'!H42+'Avg Week Bukomero-Kyankwanzi'!H42</f>
        <v>0</v>
      </c>
      <c r="I42" s="49">
        <f>'Avg Week Kyankwanzi-Bukomero'!I42+'Avg Week Bukomero-Kyankwanzi'!I42</f>
        <v>1.2857142857142856</v>
      </c>
      <c r="J42" s="49">
        <f>'Avg Week Kyankwanzi-Bukomero'!J42+'Avg Week Bukomero-Kyankwanzi'!J42</f>
        <v>0.42857142857142855</v>
      </c>
      <c r="K42" s="49">
        <f>'Avg Week Kyankwanzi-Bukomero'!K42+'Avg Week Bukomero-Kyankwanzi'!K42</f>
        <v>0.14285714285714285</v>
      </c>
      <c r="L42" s="49">
        <f>'Avg Week Kyankwanzi-Bukomero'!L42+'Avg Week Bukomero-Kyankwanzi'!L42</f>
        <v>0</v>
      </c>
      <c r="M42" s="49">
        <f>'Avg Week Kyankwanzi-Bukomero'!M42+'Avg Week Bukomero-Kyankwanzi'!M42</f>
        <v>25.857142857142854</v>
      </c>
      <c r="N42" s="49">
        <f>'Avg Week Kyankwanzi-Bukomero'!N42+'Avg Week Bukomero-Kyankwanzi'!N42</f>
        <v>0</v>
      </c>
      <c r="O42" s="15">
        <f t="shared" si="0"/>
        <v>3.8571428571428568</v>
      </c>
      <c r="P42" s="15">
        <f t="shared" si="1"/>
        <v>29.714285714285712</v>
      </c>
      <c r="R42" s="5" t="s">
        <v>160</v>
      </c>
      <c r="S42" s="48">
        <f>S41/S40</f>
        <v>1.3955479452054795</v>
      </c>
      <c r="T42" s="48">
        <f t="shared" ref="T42:AF42" si="34">T41/T40</f>
        <v>1.4476744186046513</v>
      </c>
      <c r="U42" s="48">
        <f t="shared" si="34"/>
        <v>1.109375</v>
      </c>
      <c r="V42" s="48">
        <f t="shared" si="34"/>
        <v>1.6907894736842104</v>
      </c>
      <c r="W42" s="48">
        <f t="shared" si="34"/>
        <v>1</v>
      </c>
      <c r="X42" s="48">
        <f t="shared" si="34"/>
        <v>1</v>
      </c>
      <c r="Y42" s="48">
        <f t="shared" si="34"/>
        <v>1.8846153846153846</v>
      </c>
      <c r="Z42" s="48">
        <f t="shared" si="34"/>
        <v>2.9576271186440684</v>
      </c>
      <c r="AA42" s="48">
        <f t="shared" si="34"/>
        <v>1.7000000000000002</v>
      </c>
      <c r="AB42" s="48">
        <f t="shared" si="34"/>
        <v>1</v>
      </c>
      <c r="AC42" s="48">
        <f t="shared" si="34"/>
        <v>1.3080391160782323</v>
      </c>
      <c r="AD42" s="48">
        <f t="shared" si="34"/>
        <v>15</v>
      </c>
      <c r="AE42" s="51">
        <f t="shared" si="34"/>
        <v>1.6993524514338578</v>
      </c>
      <c r="AF42" s="51">
        <f t="shared" si="34"/>
        <v>1.3552763819095477</v>
      </c>
    </row>
    <row r="43" spans="2:32" ht="23.1" customHeight="1" x14ac:dyDescent="0.25">
      <c r="B43" s="23" t="s">
        <v>70</v>
      </c>
      <c r="C43" s="49">
        <f>'Avg Week Kyankwanzi-Bukomero'!C43+'Avg Week Bukomero-Kyankwanzi'!C43</f>
        <v>0.5714285714285714</v>
      </c>
      <c r="D43" s="49">
        <f>'Avg Week Kyankwanzi-Bukomero'!D43+'Avg Week Bukomero-Kyankwanzi'!D43</f>
        <v>0.2857142857142857</v>
      </c>
      <c r="E43" s="49">
        <f>'Avg Week Kyankwanzi-Bukomero'!E43+'Avg Week Bukomero-Kyankwanzi'!E43</f>
        <v>0.14285714285714285</v>
      </c>
      <c r="F43" s="49">
        <f>'Avg Week Kyankwanzi-Bukomero'!F43+'Avg Week Bukomero-Kyankwanzi'!F43</f>
        <v>0.2857142857142857</v>
      </c>
      <c r="G43" s="49">
        <f>'Avg Week Kyankwanzi-Bukomero'!G43+'Avg Week Bukomero-Kyankwanzi'!G43</f>
        <v>0</v>
      </c>
      <c r="H43" s="49">
        <f>'Avg Week Kyankwanzi-Bukomero'!H43+'Avg Week Bukomero-Kyankwanzi'!H43</f>
        <v>0</v>
      </c>
      <c r="I43" s="49">
        <f>'Avg Week Kyankwanzi-Bukomero'!I43+'Avg Week Bukomero-Kyankwanzi'!I43</f>
        <v>1.7142857142857144</v>
      </c>
      <c r="J43" s="49">
        <f>'Avg Week Kyankwanzi-Bukomero'!J43+'Avg Week Bukomero-Kyankwanzi'!J43</f>
        <v>0.2857142857142857</v>
      </c>
      <c r="K43" s="49">
        <f>'Avg Week Kyankwanzi-Bukomero'!K43+'Avg Week Bukomero-Kyankwanzi'!K43</f>
        <v>0</v>
      </c>
      <c r="L43" s="49">
        <f>'Avg Week Kyankwanzi-Bukomero'!L43+'Avg Week Bukomero-Kyankwanzi'!L43</f>
        <v>0</v>
      </c>
      <c r="M43" s="49">
        <f>'Avg Week Kyankwanzi-Bukomero'!M43+'Avg Week Bukomero-Kyankwanzi'!M43</f>
        <v>24.428571428571431</v>
      </c>
      <c r="N43" s="49">
        <f>'Avg Week Kyankwanzi-Bukomero'!N43+'Avg Week Bukomero-Kyankwanzi'!N43</f>
        <v>0</v>
      </c>
      <c r="O43" s="15">
        <f t="shared" si="0"/>
        <v>3.2857142857142856</v>
      </c>
      <c r="P43" s="15">
        <f t="shared" si="1"/>
        <v>27.714285714285715</v>
      </c>
    </row>
    <row r="44" spans="2:32" ht="23.1" customHeight="1" x14ac:dyDescent="0.25">
      <c r="B44" s="25" t="s">
        <v>71</v>
      </c>
      <c r="C44" s="49">
        <f>'Avg Week Kyankwanzi-Bukomero'!C44+'Avg Week Bukomero-Kyankwanzi'!C44</f>
        <v>1.2857142857142856</v>
      </c>
      <c r="D44" s="49">
        <f>'Avg Week Kyankwanzi-Bukomero'!D44+'Avg Week Bukomero-Kyankwanzi'!D44</f>
        <v>0.2857142857142857</v>
      </c>
      <c r="E44" s="49">
        <f>'Avg Week Kyankwanzi-Bukomero'!E44+'Avg Week Bukomero-Kyankwanzi'!E44</f>
        <v>0.2857142857142857</v>
      </c>
      <c r="F44" s="49">
        <f>'Avg Week Kyankwanzi-Bukomero'!F44+'Avg Week Bukomero-Kyankwanzi'!F44</f>
        <v>0.14285714285714285</v>
      </c>
      <c r="G44" s="49">
        <f>'Avg Week Kyankwanzi-Bukomero'!G44+'Avg Week Bukomero-Kyankwanzi'!G44</f>
        <v>0</v>
      </c>
      <c r="H44" s="49">
        <f>'Avg Week Kyankwanzi-Bukomero'!H44+'Avg Week Bukomero-Kyankwanzi'!H44</f>
        <v>0</v>
      </c>
      <c r="I44" s="49">
        <f>'Avg Week Kyankwanzi-Bukomero'!I44+'Avg Week Bukomero-Kyankwanzi'!I44</f>
        <v>1.5714285714285714</v>
      </c>
      <c r="J44" s="49">
        <f>'Avg Week Kyankwanzi-Bukomero'!J44+'Avg Week Bukomero-Kyankwanzi'!J44</f>
        <v>0.14285714285714285</v>
      </c>
      <c r="K44" s="49">
        <f>'Avg Week Kyankwanzi-Bukomero'!K44+'Avg Week Bukomero-Kyankwanzi'!K44</f>
        <v>0</v>
      </c>
      <c r="L44" s="49">
        <f>'Avg Week Kyankwanzi-Bukomero'!L44+'Avg Week Bukomero-Kyankwanzi'!L44</f>
        <v>0</v>
      </c>
      <c r="M44" s="49">
        <f>'Avg Week Kyankwanzi-Bukomero'!M44+'Avg Week Bukomero-Kyankwanzi'!M44</f>
        <v>21.714285714285715</v>
      </c>
      <c r="N44" s="49">
        <f>'Avg Week Kyankwanzi-Bukomero'!N44+'Avg Week Bukomero-Kyankwanzi'!N44</f>
        <v>0</v>
      </c>
      <c r="O44" s="15">
        <f t="shared" si="0"/>
        <v>3.714285714285714</v>
      </c>
      <c r="P44" s="15">
        <f t="shared" si="1"/>
        <v>25.428571428571431</v>
      </c>
    </row>
    <row r="45" spans="2:32" ht="23.1" customHeight="1" x14ac:dyDescent="0.25">
      <c r="B45" s="23" t="s">
        <v>72</v>
      </c>
      <c r="C45" s="49">
        <f>'Avg Week Kyankwanzi-Bukomero'!C45+'Avg Week Bukomero-Kyankwanzi'!C45</f>
        <v>1.1428571428571428</v>
      </c>
      <c r="D45" s="49">
        <f>'Avg Week Kyankwanzi-Bukomero'!D45+'Avg Week Bukomero-Kyankwanzi'!D45</f>
        <v>0.14285714285714285</v>
      </c>
      <c r="E45" s="49">
        <f>'Avg Week Kyankwanzi-Bukomero'!E45+'Avg Week Bukomero-Kyankwanzi'!E45</f>
        <v>0.2857142857142857</v>
      </c>
      <c r="F45" s="49">
        <f>'Avg Week Kyankwanzi-Bukomero'!F45+'Avg Week Bukomero-Kyankwanzi'!F45</f>
        <v>0.14285714285714285</v>
      </c>
      <c r="G45" s="49">
        <f>'Avg Week Kyankwanzi-Bukomero'!G45+'Avg Week Bukomero-Kyankwanzi'!G45</f>
        <v>0</v>
      </c>
      <c r="H45" s="49">
        <f>'Avg Week Kyankwanzi-Bukomero'!H45+'Avg Week Bukomero-Kyankwanzi'!H45</f>
        <v>0</v>
      </c>
      <c r="I45" s="49">
        <f>'Avg Week Kyankwanzi-Bukomero'!I45+'Avg Week Bukomero-Kyankwanzi'!I45</f>
        <v>2</v>
      </c>
      <c r="J45" s="49">
        <f>'Avg Week Kyankwanzi-Bukomero'!J45+'Avg Week Bukomero-Kyankwanzi'!J45</f>
        <v>0.14285714285714285</v>
      </c>
      <c r="K45" s="49">
        <f>'Avg Week Kyankwanzi-Bukomero'!K45+'Avg Week Bukomero-Kyankwanzi'!K45</f>
        <v>0.14285714285714285</v>
      </c>
      <c r="L45" s="49">
        <f>'Avg Week Kyankwanzi-Bukomero'!L45+'Avg Week Bukomero-Kyankwanzi'!L45</f>
        <v>0</v>
      </c>
      <c r="M45" s="49">
        <f>'Avg Week Kyankwanzi-Bukomero'!M45+'Avg Week Bukomero-Kyankwanzi'!M45</f>
        <v>24.571428571428569</v>
      </c>
      <c r="N45" s="49">
        <f>'Avg Week Kyankwanzi-Bukomero'!N45+'Avg Week Bukomero-Kyankwanzi'!N45</f>
        <v>0</v>
      </c>
      <c r="O45" s="15">
        <f t="shared" si="0"/>
        <v>3.9999999999999996</v>
      </c>
      <c r="P45" s="15">
        <f t="shared" si="1"/>
        <v>28.571428571428569</v>
      </c>
    </row>
    <row r="46" spans="2:32" ht="23.1" customHeight="1" x14ac:dyDescent="0.25">
      <c r="B46" s="24" t="s">
        <v>73</v>
      </c>
      <c r="C46" s="49">
        <f>'Avg Week Kyankwanzi-Bukomero'!C46+'Avg Week Bukomero-Kyankwanzi'!C46</f>
        <v>0.71428571428571419</v>
      </c>
      <c r="D46" s="49">
        <f>'Avg Week Kyankwanzi-Bukomero'!D46+'Avg Week Bukomero-Kyankwanzi'!D46</f>
        <v>0.5714285714285714</v>
      </c>
      <c r="E46" s="49">
        <f>'Avg Week Kyankwanzi-Bukomero'!E46+'Avg Week Bukomero-Kyankwanzi'!E46</f>
        <v>0.2857142857142857</v>
      </c>
      <c r="F46" s="49">
        <f>'Avg Week Kyankwanzi-Bukomero'!F46+'Avg Week Bukomero-Kyankwanzi'!F46</f>
        <v>0.14285714285714285</v>
      </c>
      <c r="G46" s="49">
        <f>'Avg Week Kyankwanzi-Bukomero'!G46+'Avg Week Bukomero-Kyankwanzi'!G46</f>
        <v>0</v>
      </c>
      <c r="H46" s="49">
        <f>'Avg Week Kyankwanzi-Bukomero'!H46+'Avg Week Bukomero-Kyankwanzi'!H46</f>
        <v>0</v>
      </c>
      <c r="I46" s="49">
        <f>'Avg Week Kyankwanzi-Bukomero'!I46+'Avg Week Bukomero-Kyankwanzi'!I46</f>
        <v>1.1428571428571428</v>
      </c>
      <c r="J46" s="49">
        <f>'Avg Week Kyankwanzi-Bukomero'!J46+'Avg Week Bukomero-Kyankwanzi'!J46</f>
        <v>0.14285714285714285</v>
      </c>
      <c r="K46" s="49">
        <f>'Avg Week Kyankwanzi-Bukomero'!K46+'Avg Week Bukomero-Kyankwanzi'!K46</f>
        <v>0.14285714285714285</v>
      </c>
      <c r="L46" s="49">
        <f>'Avg Week Kyankwanzi-Bukomero'!L46+'Avg Week Bukomero-Kyankwanzi'!L46</f>
        <v>0</v>
      </c>
      <c r="M46" s="49">
        <f>'Avg Week Kyankwanzi-Bukomero'!M46+'Avg Week Bukomero-Kyankwanzi'!M46</f>
        <v>31.428571428571431</v>
      </c>
      <c r="N46" s="49">
        <f>'Avg Week Kyankwanzi-Bukomero'!N46+'Avg Week Bukomero-Kyankwanzi'!N46</f>
        <v>0</v>
      </c>
      <c r="O46" s="15">
        <f t="shared" si="0"/>
        <v>3.1428571428571423</v>
      </c>
      <c r="P46" s="15">
        <f t="shared" si="1"/>
        <v>34.571428571428569</v>
      </c>
      <c r="R46" s="8"/>
      <c r="T46"/>
    </row>
    <row r="47" spans="2:32" ht="23.1" customHeight="1" x14ac:dyDescent="0.25">
      <c r="B47" s="24" t="s">
        <v>74</v>
      </c>
      <c r="C47" s="49">
        <f>'Avg Week Kyankwanzi-Bukomero'!C47+'Avg Week Bukomero-Kyankwanzi'!C47</f>
        <v>1</v>
      </c>
      <c r="D47" s="49">
        <f>'Avg Week Kyankwanzi-Bukomero'!D47+'Avg Week Bukomero-Kyankwanzi'!D47</f>
        <v>0</v>
      </c>
      <c r="E47" s="49">
        <f>'Avg Week Kyankwanzi-Bukomero'!E47+'Avg Week Bukomero-Kyankwanzi'!E47</f>
        <v>0.71428571428571419</v>
      </c>
      <c r="F47" s="49">
        <f>'Avg Week Kyankwanzi-Bukomero'!F47+'Avg Week Bukomero-Kyankwanzi'!F47</f>
        <v>0.14285714285714285</v>
      </c>
      <c r="G47" s="49">
        <f>'Avg Week Kyankwanzi-Bukomero'!G47+'Avg Week Bukomero-Kyankwanzi'!G47</f>
        <v>0</v>
      </c>
      <c r="H47" s="49">
        <f>'Avg Week Kyankwanzi-Bukomero'!H47+'Avg Week Bukomero-Kyankwanzi'!H47</f>
        <v>0</v>
      </c>
      <c r="I47" s="49">
        <f>'Avg Week Kyankwanzi-Bukomero'!I47+'Avg Week Bukomero-Kyankwanzi'!I47</f>
        <v>1.8571428571428572</v>
      </c>
      <c r="J47" s="49">
        <f>'Avg Week Kyankwanzi-Bukomero'!J47+'Avg Week Bukomero-Kyankwanzi'!J47</f>
        <v>0.14285714285714285</v>
      </c>
      <c r="K47" s="49">
        <f>'Avg Week Kyankwanzi-Bukomero'!K47+'Avg Week Bukomero-Kyankwanzi'!K47</f>
        <v>0</v>
      </c>
      <c r="L47" s="49">
        <f>'Avg Week Kyankwanzi-Bukomero'!L47+'Avg Week Bukomero-Kyankwanzi'!L47</f>
        <v>0</v>
      </c>
      <c r="M47" s="49">
        <f>'Avg Week Kyankwanzi-Bukomero'!M47+'Avg Week Bukomero-Kyankwanzi'!M47</f>
        <v>27.571428571428569</v>
      </c>
      <c r="N47" s="49">
        <f>'Avg Week Kyankwanzi-Bukomero'!N47+'Avg Week Bukomero-Kyankwanzi'!N47</f>
        <v>0</v>
      </c>
      <c r="O47" s="15">
        <f t="shared" si="0"/>
        <v>3.8571428571428572</v>
      </c>
      <c r="P47" s="15">
        <f t="shared" si="1"/>
        <v>31.428571428571427</v>
      </c>
      <c r="R47" s="8"/>
      <c r="T47"/>
    </row>
    <row r="48" spans="2:32" ht="23.1" customHeight="1" x14ac:dyDescent="0.25">
      <c r="B48" s="24" t="s">
        <v>75</v>
      </c>
      <c r="C48" s="49">
        <f>'Avg Week Kyankwanzi-Bukomero'!C48+'Avg Week Bukomero-Kyankwanzi'!C48</f>
        <v>0.8571428571428571</v>
      </c>
      <c r="D48" s="49">
        <f>'Avg Week Kyankwanzi-Bukomero'!D48+'Avg Week Bukomero-Kyankwanzi'!D48</f>
        <v>0.42857142857142855</v>
      </c>
      <c r="E48" s="49">
        <f>'Avg Week Kyankwanzi-Bukomero'!E48+'Avg Week Bukomero-Kyankwanzi'!E48</f>
        <v>0.8571428571428571</v>
      </c>
      <c r="F48" s="49">
        <f>'Avg Week Kyankwanzi-Bukomero'!F48+'Avg Week Bukomero-Kyankwanzi'!F48</f>
        <v>0.42857142857142855</v>
      </c>
      <c r="G48" s="49">
        <f>'Avg Week Kyankwanzi-Bukomero'!G48+'Avg Week Bukomero-Kyankwanzi'!G48</f>
        <v>0</v>
      </c>
      <c r="H48" s="49">
        <f>'Avg Week Kyankwanzi-Bukomero'!H48+'Avg Week Bukomero-Kyankwanzi'!H48</f>
        <v>0</v>
      </c>
      <c r="I48" s="49">
        <f>'Avg Week Kyankwanzi-Bukomero'!I48+'Avg Week Bukomero-Kyankwanzi'!I48</f>
        <v>1.8571428571428572</v>
      </c>
      <c r="J48" s="49">
        <f>'Avg Week Kyankwanzi-Bukomero'!J48+'Avg Week Bukomero-Kyankwanzi'!J48</f>
        <v>0</v>
      </c>
      <c r="K48" s="49">
        <f>'Avg Week Kyankwanzi-Bukomero'!K48+'Avg Week Bukomero-Kyankwanzi'!K48</f>
        <v>0</v>
      </c>
      <c r="L48" s="49">
        <f>'Avg Week Kyankwanzi-Bukomero'!L48+'Avg Week Bukomero-Kyankwanzi'!L48</f>
        <v>0</v>
      </c>
      <c r="M48" s="49">
        <f>'Avg Week Kyankwanzi-Bukomero'!M48+'Avg Week Bukomero-Kyankwanzi'!M48</f>
        <v>28.714285714285715</v>
      </c>
      <c r="N48" s="49">
        <f>'Avg Week Kyankwanzi-Bukomero'!N48+'Avg Week Bukomero-Kyankwanzi'!N48</f>
        <v>0</v>
      </c>
      <c r="O48" s="15">
        <f t="shared" si="0"/>
        <v>4.4285714285714288</v>
      </c>
      <c r="P48" s="15">
        <f t="shared" si="1"/>
        <v>33.142857142857146</v>
      </c>
      <c r="R48" s="8"/>
      <c r="T48"/>
    </row>
    <row r="49" spans="2:20" ht="23.1" customHeight="1" x14ac:dyDescent="0.25">
      <c r="B49" s="23" t="s">
        <v>76</v>
      </c>
      <c r="C49" s="49">
        <f>'Avg Week Kyankwanzi-Bukomero'!C49+'Avg Week Bukomero-Kyankwanzi'!C49</f>
        <v>1.2857142857142856</v>
      </c>
      <c r="D49" s="49">
        <f>'Avg Week Kyankwanzi-Bukomero'!D49+'Avg Week Bukomero-Kyankwanzi'!D49</f>
        <v>0.2857142857142857</v>
      </c>
      <c r="E49" s="49">
        <f>'Avg Week Kyankwanzi-Bukomero'!E49+'Avg Week Bukomero-Kyankwanzi'!E49</f>
        <v>0.42857142857142855</v>
      </c>
      <c r="F49" s="49">
        <f>'Avg Week Kyankwanzi-Bukomero'!F49+'Avg Week Bukomero-Kyankwanzi'!F49</f>
        <v>0.14285714285714285</v>
      </c>
      <c r="G49" s="49">
        <f>'Avg Week Kyankwanzi-Bukomero'!G49+'Avg Week Bukomero-Kyankwanzi'!G49</f>
        <v>0</v>
      </c>
      <c r="H49" s="49">
        <f>'Avg Week Kyankwanzi-Bukomero'!H49+'Avg Week Bukomero-Kyankwanzi'!H49</f>
        <v>0</v>
      </c>
      <c r="I49" s="49">
        <f>'Avg Week Kyankwanzi-Bukomero'!I49+'Avg Week Bukomero-Kyankwanzi'!I49</f>
        <v>2</v>
      </c>
      <c r="J49" s="49">
        <f>'Avg Week Kyankwanzi-Bukomero'!J49+'Avg Week Bukomero-Kyankwanzi'!J49</f>
        <v>0</v>
      </c>
      <c r="K49" s="49">
        <f>'Avg Week Kyankwanzi-Bukomero'!K49+'Avg Week Bukomero-Kyankwanzi'!K49</f>
        <v>0</v>
      </c>
      <c r="L49" s="49">
        <f>'Avg Week Kyankwanzi-Bukomero'!L49+'Avg Week Bukomero-Kyankwanzi'!L49</f>
        <v>0</v>
      </c>
      <c r="M49" s="49">
        <f>'Avg Week Kyankwanzi-Bukomero'!M49+'Avg Week Bukomero-Kyankwanzi'!M49</f>
        <v>24.857142857142858</v>
      </c>
      <c r="N49" s="49">
        <f>'Avg Week Kyankwanzi-Bukomero'!N49+'Avg Week Bukomero-Kyankwanzi'!N49</f>
        <v>0</v>
      </c>
      <c r="O49" s="15">
        <f t="shared" si="0"/>
        <v>4.1428571428571423</v>
      </c>
      <c r="P49" s="15">
        <f t="shared" si="1"/>
        <v>29</v>
      </c>
      <c r="R49" s="8"/>
      <c r="T49"/>
    </row>
    <row r="50" spans="2:20" ht="23.1" customHeight="1" x14ac:dyDescent="0.25">
      <c r="B50" s="24" t="s">
        <v>77</v>
      </c>
      <c r="C50" s="49">
        <f>'Avg Week Kyankwanzi-Bukomero'!C50+'Avg Week Bukomero-Kyankwanzi'!C50</f>
        <v>1</v>
      </c>
      <c r="D50" s="49">
        <f>'Avg Week Kyankwanzi-Bukomero'!D50+'Avg Week Bukomero-Kyankwanzi'!D50</f>
        <v>0.14285714285714285</v>
      </c>
      <c r="E50" s="49">
        <f>'Avg Week Kyankwanzi-Bukomero'!E50+'Avg Week Bukomero-Kyankwanzi'!E50</f>
        <v>0</v>
      </c>
      <c r="F50" s="49">
        <f>'Avg Week Kyankwanzi-Bukomero'!F50+'Avg Week Bukomero-Kyankwanzi'!F50</f>
        <v>0.42857142857142855</v>
      </c>
      <c r="G50" s="49">
        <f>'Avg Week Kyankwanzi-Bukomero'!G50+'Avg Week Bukomero-Kyankwanzi'!G50</f>
        <v>0</v>
      </c>
      <c r="H50" s="49">
        <f>'Avg Week Kyankwanzi-Bukomero'!H50+'Avg Week Bukomero-Kyankwanzi'!H50</f>
        <v>0</v>
      </c>
      <c r="I50" s="49">
        <f>'Avg Week Kyankwanzi-Bukomero'!I50+'Avg Week Bukomero-Kyankwanzi'!I50</f>
        <v>1.7142857142857144</v>
      </c>
      <c r="J50" s="49">
        <f>'Avg Week Kyankwanzi-Bukomero'!J50+'Avg Week Bukomero-Kyankwanzi'!J50</f>
        <v>0.14285714285714285</v>
      </c>
      <c r="K50" s="49">
        <f>'Avg Week Kyankwanzi-Bukomero'!K50+'Avg Week Bukomero-Kyankwanzi'!K50</f>
        <v>0</v>
      </c>
      <c r="L50" s="49">
        <f>'Avg Week Kyankwanzi-Bukomero'!L50+'Avg Week Bukomero-Kyankwanzi'!L50</f>
        <v>0.14285714285714285</v>
      </c>
      <c r="M50" s="49">
        <f>'Avg Week Kyankwanzi-Bukomero'!M50+'Avg Week Bukomero-Kyankwanzi'!M50</f>
        <v>29.428571428571431</v>
      </c>
      <c r="N50" s="49">
        <f>'Avg Week Kyankwanzi-Bukomero'!N50+'Avg Week Bukomero-Kyankwanzi'!N50</f>
        <v>0</v>
      </c>
      <c r="O50" s="15">
        <f t="shared" si="0"/>
        <v>3.5714285714285712</v>
      </c>
      <c r="P50" s="15">
        <f t="shared" si="1"/>
        <v>33</v>
      </c>
      <c r="R50" s="8"/>
      <c r="T50"/>
    </row>
    <row r="51" spans="2:20" ht="23.1" customHeight="1" x14ac:dyDescent="0.25">
      <c r="B51" s="24" t="s">
        <v>78</v>
      </c>
      <c r="C51" s="49">
        <f>'Avg Week Kyankwanzi-Bukomero'!C51+'Avg Week Bukomero-Kyankwanzi'!C51</f>
        <v>0.71428571428571419</v>
      </c>
      <c r="D51" s="49">
        <f>'Avg Week Kyankwanzi-Bukomero'!D51+'Avg Week Bukomero-Kyankwanzi'!D51</f>
        <v>0.2857142857142857</v>
      </c>
      <c r="E51" s="49">
        <f>'Avg Week Kyankwanzi-Bukomero'!E51+'Avg Week Bukomero-Kyankwanzi'!E51</f>
        <v>0.2857142857142857</v>
      </c>
      <c r="F51" s="49">
        <f>'Avg Week Kyankwanzi-Bukomero'!F51+'Avg Week Bukomero-Kyankwanzi'!F51</f>
        <v>0.14285714285714285</v>
      </c>
      <c r="G51" s="49">
        <f>'Avg Week Kyankwanzi-Bukomero'!G51+'Avg Week Bukomero-Kyankwanzi'!G51</f>
        <v>0</v>
      </c>
      <c r="H51" s="49">
        <f>'Avg Week Kyankwanzi-Bukomero'!H51+'Avg Week Bukomero-Kyankwanzi'!H51</f>
        <v>0</v>
      </c>
      <c r="I51" s="49">
        <f>'Avg Week Kyankwanzi-Bukomero'!I51+'Avg Week Bukomero-Kyankwanzi'!I51</f>
        <v>1.2857142857142856</v>
      </c>
      <c r="J51" s="49">
        <f>'Avg Week Kyankwanzi-Bukomero'!J51+'Avg Week Bukomero-Kyankwanzi'!J51</f>
        <v>0</v>
      </c>
      <c r="K51" s="49">
        <f>'Avg Week Kyankwanzi-Bukomero'!K51+'Avg Week Bukomero-Kyankwanzi'!K51</f>
        <v>0</v>
      </c>
      <c r="L51" s="49">
        <f>'Avg Week Kyankwanzi-Bukomero'!L51+'Avg Week Bukomero-Kyankwanzi'!L51</f>
        <v>0</v>
      </c>
      <c r="M51" s="49">
        <f>'Avg Week Kyankwanzi-Bukomero'!M51+'Avg Week Bukomero-Kyankwanzi'!M51</f>
        <v>25.142857142857146</v>
      </c>
      <c r="N51" s="49">
        <f>'Avg Week Kyankwanzi-Bukomero'!N51+'Avg Week Bukomero-Kyankwanzi'!N51</f>
        <v>0</v>
      </c>
      <c r="O51" s="15">
        <f t="shared" si="0"/>
        <v>2.714285714285714</v>
      </c>
      <c r="P51" s="15">
        <f t="shared" si="1"/>
        <v>27.857142857142861</v>
      </c>
      <c r="R51" s="8"/>
      <c r="T51"/>
    </row>
    <row r="52" spans="2:20" ht="23.1" customHeight="1" x14ac:dyDescent="0.25">
      <c r="B52" s="24" t="s">
        <v>79</v>
      </c>
      <c r="C52" s="49">
        <f>'Avg Week Kyankwanzi-Bukomero'!C52+'Avg Week Bukomero-Kyankwanzi'!C52</f>
        <v>0.42857142857142855</v>
      </c>
      <c r="D52" s="49">
        <f>'Avg Week Kyankwanzi-Bukomero'!D52+'Avg Week Bukomero-Kyankwanzi'!D52</f>
        <v>0.71428571428571419</v>
      </c>
      <c r="E52" s="49">
        <f>'Avg Week Kyankwanzi-Bukomero'!E52+'Avg Week Bukomero-Kyankwanzi'!E52</f>
        <v>0.42857142857142855</v>
      </c>
      <c r="F52" s="49">
        <f>'Avg Week Kyankwanzi-Bukomero'!F52+'Avg Week Bukomero-Kyankwanzi'!F52</f>
        <v>0.2857142857142857</v>
      </c>
      <c r="G52" s="49">
        <f>'Avg Week Kyankwanzi-Bukomero'!G52+'Avg Week Bukomero-Kyankwanzi'!G52</f>
        <v>0</v>
      </c>
      <c r="H52" s="49">
        <f>'Avg Week Kyankwanzi-Bukomero'!H52+'Avg Week Bukomero-Kyankwanzi'!H52</f>
        <v>0.14285714285714285</v>
      </c>
      <c r="I52" s="49">
        <f>'Avg Week Kyankwanzi-Bukomero'!I52+'Avg Week Bukomero-Kyankwanzi'!I52</f>
        <v>2</v>
      </c>
      <c r="J52" s="49">
        <f>'Avg Week Kyankwanzi-Bukomero'!J52+'Avg Week Bukomero-Kyankwanzi'!J52</f>
        <v>0</v>
      </c>
      <c r="K52" s="49">
        <f>'Avg Week Kyankwanzi-Bukomero'!K52+'Avg Week Bukomero-Kyankwanzi'!K52</f>
        <v>0</v>
      </c>
      <c r="L52" s="49">
        <f>'Avg Week Kyankwanzi-Bukomero'!L52+'Avg Week Bukomero-Kyankwanzi'!L52</f>
        <v>0</v>
      </c>
      <c r="M52" s="49">
        <f>'Avg Week Kyankwanzi-Bukomero'!M52+'Avg Week Bukomero-Kyankwanzi'!M52</f>
        <v>25.142857142857142</v>
      </c>
      <c r="N52" s="49">
        <f>'Avg Week Kyankwanzi-Bukomero'!N52+'Avg Week Bukomero-Kyankwanzi'!N52</f>
        <v>0</v>
      </c>
      <c r="O52" s="15">
        <f t="shared" si="0"/>
        <v>4</v>
      </c>
      <c r="P52" s="15">
        <f t="shared" si="1"/>
        <v>29.142857142857142</v>
      </c>
      <c r="R52" s="8"/>
      <c r="T52"/>
    </row>
    <row r="53" spans="2:20" ht="23.1" customHeight="1" x14ac:dyDescent="0.25">
      <c r="B53" s="23" t="s">
        <v>80</v>
      </c>
      <c r="C53" s="49">
        <f>'Avg Week Kyankwanzi-Bukomero'!C53+'Avg Week Bukomero-Kyankwanzi'!C53</f>
        <v>0.5714285714285714</v>
      </c>
      <c r="D53" s="49">
        <f>'Avg Week Kyankwanzi-Bukomero'!D53+'Avg Week Bukomero-Kyankwanzi'!D53</f>
        <v>0.42857142857142855</v>
      </c>
      <c r="E53" s="49">
        <f>'Avg Week Kyankwanzi-Bukomero'!E53+'Avg Week Bukomero-Kyankwanzi'!E53</f>
        <v>0.8571428571428571</v>
      </c>
      <c r="F53" s="49">
        <f>'Avg Week Kyankwanzi-Bukomero'!F53+'Avg Week Bukomero-Kyankwanzi'!F53</f>
        <v>0.71428571428571419</v>
      </c>
      <c r="G53" s="49">
        <f>'Avg Week Kyankwanzi-Bukomero'!G53+'Avg Week Bukomero-Kyankwanzi'!G53</f>
        <v>0</v>
      </c>
      <c r="H53" s="49">
        <f>'Avg Week Kyankwanzi-Bukomero'!H53+'Avg Week Bukomero-Kyankwanzi'!H53</f>
        <v>0.14285714285714285</v>
      </c>
      <c r="I53" s="49">
        <f>'Avg Week Kyankwanzi-Bukomero'!I53+'Avg Week Bukomero-Kyankwanzi'!I53</f>
        <v>0.8571428571428571</v>
      </c>
      <c r="J53" s="49">
        <f>'Avg Week Kyankwanzi-Bukomero'!J53+'Avg Week Bukomero-Kyankwanzi'!J53</f>
        <v>0.14285714285714285</v>
      </c>
      <c r="K53" s="49">
        <f>'Avg Week Kyankwanzi-Bukomero'!K53+'Avg Week Bukomero-Kyankwanzi'!K53</f>
        <v>0</v>
      </c>
      <c r="L53" s="49">
        <f>'Avg Week Kyankwanzi-Bukomero'!L53+'Avg Week Bukomero-Kyankwanzi'!L53</f>
        <v>0</v>
      </c>
      <c r="M53" s="49">
        <f>'Avg Week Kyankwanzi-Bukomero'!M53+'Avg Week Bukomero-Kyankwanzi'!M53</f>
        <v>32.285714285714285</v>
      </c>
      <c r="N53" s="49">
        <f>'Avg Week Kyankwanzi-Bukomero'!N53+'Avg Week Bukomero-Kyankwanzi'!N53</f>
        <v>0</v>
      </c>
      <c r="O53" s="15">
        <f t="shared" si="0"/>
        <v>3.714285714285714</v>
      </c>
      <c r="P53" s="15">
        <f t="shared" si="1"/>
        <v>36</v>
      </c>
      <c r="R53" s="8"/>
      <c r="T53"/>
    </row>
    <row r="54" spans="2:20" ht="23.1" customHeight="1" x14ac:dyDescent="0.25">
      <c r="B54" s="23" t="s">
        <v>81</v>
      </c>
      <c r="C54" s="49">
        <f>'Avg Week Kyankwanzi-Bukomero'!C54+'Avg Week Bukomero-Kyankwanzi'!C54</f>
        <v>1.1428571428571428</v>
      </c>
      <c r="D54" s="49">
        <f>'Avg Week Kyankwanzi-Bukomero'!D54+'Avg Week Bukomero-Kyankwanzi'!D54</f>
        <v>0.2857142857142857</v>
      </c>
      <c r="E54" s="49">
        <f>'Avg Week Kyankwanzi-Bukomero'!E54+'Avg Week Bukomero-Kyankwanzi'!E54</f>
        <v>0.5714285714285714</v>
      </c>
      <c r="F54" s="49">
        <f>'Avg Week Kyankwanzi-Bukomero'!F54+'Avg Week Bukomero-Kyankwanzi'!F54</f>
        <v>0.42857142857142855</v>
      </c>
      <c r="G54" s="49">
        <f>'Avg Week Kyankwanzi-Bukomero'!G54+'Avg Week Bukomero-Kyankwanzi'!G54</f>
        <v>0</v>
      </c>
      <c r="H54" s="49">
        <f>'Avg Week Kyankwanzi-Bukomero'!H54+'Avg Week Bukomero-Kyankwanzi'!H54</f>
        <v>0</v>
      </c>
      <c r="I54" s="49">
        <f>'Avg Week Kyankwanzi-Bukomero'!I54+'Avg Week Bukomero-Kyankwanzi'!I54</f>
        <v>0.7142857142857143</v>
      </c>
      <c r="J54" s="49">
        <f>'Avg Week Kyankwanzi-Bukomero'!J54+'Avg Week Bukomero-Kyankwanzi'!J54</f>
        <v>0.2857142857142857</v>
      </c>
      <c r="K54" s="49">
        <f>'Avg Week Kyankwanzi-Bukomero'!K54+'Avg Week Bukomero-Kyankwanzi'!K54</f>
        <v>0</v>
      </c>
      <c r="L54" s="49">
        <f>'Avg Week Kyankwanzi-Bukomero'!L54+'Avg Week Bukomero-Kyankwanzi'!L54</f>
        <v>0</v>
      </c>
      <c r="M54" s="49">
        <f>'Avg Week Kyankwanzi-Bukomero'!M54+'Avg Week Bukomero-Kyankwanzi'!M54</f>
        <v>28.428571428571431</v>
      </c>
      <c r="N54" s="49">
        <f>'Avg Week Kyankwanzi-Bukomero'!N54+'Avg Week Bukomero-Kyankwanzi'!N54</f>
        <v>0</v>
      </c>
      <c r="O54" s="15">
        <f t="shared" si="0"/>
        <v>3.4285714285714284</v>
      </c>
      <c r="P54" s="15">
        <f t="shared" si="1"/>
        <v>31.857142857142858</v>
      </c>
      <c r="R54" s="8"/>
      <c r="T54"/>
    </row>
    <row r="55" spans="2:20" ht="23.1" customHeight="1" x14ac:dyDescent="0.25">
      <c r="B55" s="23" t="s">
        <v>82</v>
      </c>
      <c r="C55" s="49">
        <f>'Avg Week Kyankwanzi-Bukomero'!C55+'Avg Week Bukomero-Kyankwanzi'!C55</f>
        <v>1.5714285714285714</v>
      </c>
      <c r="D55" s="49">
        <f>'Avg Week Kyankwanzi-Bukomero'!D55+'Avg Week Bukomero-Kyankwanzi'!D55</f>
        <v>0.2857142857142857</v>
      </c>
      <c r="E55" s="49">
        <f>'Avg Week Kyankwanzi-Bukomero'!E55+'Avg Week Bukomero-Kyankwanzi'!E55</f>
        <v>0.2857142857142857</v>
      </c>
      <c r="F55" s="49">
        <f>'Avg Week Kyankwanzi-Bukomero'!F55+'Avg Week Bukomero-Kyankwanzi'!F55</f>
        <v>0.14285714285714285</v>
      </c>
      <c r="G55" s="49">
        <f>'Avg Week Kyankwanzi-Bukomero'!G55+'Avg Week Bukomero-Kyankwanzi'!G55</f>
        <v>0</v>
      </c>
      <c r="H55" s="49">
        <f>'Avg Week Kyankwanzi-Bukomero'!H55+'Avg Week Bukomero-Kyankwanzi'!H55</f>
        <v>0</v>
      </c>
      <c r="I55" s="49">
        <f>'Avg Week Kyankwanzi-Bukomero'!I55+'Avg Week Bukomero-Kyankwanzi'!I55</f>
        <v>1.8571428571428572</v>
      </c>
      <c r="J55" s="49">
        <f>'Avg Week Kyankwanzi-Bukomero'!J55+'Avg Week Bukomero-Kyankwanzi'!J55</f>
        <v>0.42857142857142855</v>
      </c>
      <c r="K55" s="49">
        <f>'Avg Week Kyankwanzi-Bukomero'!K55+'Avg Week Bukomero-Kyankwanzi'!K55</f>
        <v>0.14285714285714285</v>
      </c>
      <c r="L55" s="49">
        <f>'Avg Week Kyankwanzi-Bukomero'!L55+'Avg Week Bukomero-Kyankwanzi'!L55</f>
        <v>0</v>
      </c>
      <c r="M55" s="49">
        <f>'Avg Week Kyankwanzi-Bukomero'!M55+'Avg Week Bukomero-Kyankwanzi'!M55</f>
        <v>31.714285714285715</v>
      </c>
      <c r="N55" s="49">
        <f>'Avg Week Kyankwanzi-Bukomero'!N55+'Avg Week Bukomero-Kyankwanzi'!N55</f>
        <v>0</v>
      </c>
      <c r="O55" s="15">
        <f t="shared" si="0"/>
        <v>4.7142857142857144</v>
      </c>
      <c r="P55" s="15">
        <f t="shared" si="1"/>
        <v>36.428571428571431</v>
      </c>
      <c r="R55" s="8"/>
      <c r="T55"/>
    </row>
    <row r="56" spans="2:20" ht="23.1" customHeight="1" x14ac:dyDescent="0.25">
      <c r="B56" s="23" t="s">
        <v>83</v>
      </c>
      <c r="C56" s="49">
        <f>'Avg Week Kyankwanzi-Bukomero'!C56+'Avg Week Bukomero-Kyankwanzi'!C56</f>
        <v>0.8571428571428571</v>
      </c>
      <c r="D56" s="49">
        <f>'Avg Week Kyankwanzi-Bukomero'!D56+'Avg Week Bukomero-Kyankwanzi'!D56</f>
        <v>0</v>
      </c>
      <c r="E56" s="49">
        <f>'Avg Week Kyankwanzi-Bukomero'!E56+'Avg Week Bukomero-Kyankwanzi'!E56</f>
        <v>0.14285714285714285</v>
      </c>
      <c r="F56" s="49">
        <f>'Avg Week Kyankwanzi-Bukomero'!F56+'Avg Week Bukomero-Kyankwanzi'!F56</f>
        <v>0.14285714285714285</v>
      </c>
      <c r="G56" s="49">
        <f>'Avg Week Kyankwanzi-Bukomero'!G56+'Avg Week Bukomero-Kyankwanzi'!G56</f>
        <v>0</v>
      </c>
      <c r="H56" s="49">
        <f>'Avg Week Kyankwanzi-Bukomero'!H56+'Avg Week Bukomero-Kyankwanzi'!H56</f>
        <v>0</v>
      </c>
      <c r="I56" s="49">
        <f>'Avg Week Kyankwanzi-Bukomero'!I56+'Avg Week Bukomero-Kyankwanzi'!I56</f>
        <v>0.71428571428571419</v>
      </c>
      <c r="J56" s="49">
        <f>'Avg Week Kyankwanzi-Bukomero'!J56+'Avg Week Bukomero-Kyankwanzi'!J56</f>
        <v>0.42857142857142855</v>
      </c>
      <c r="K56" s="49">
        <f>'Avg Week Kyankwanzi-Bukomero'!K56+'Avg Week Bukomero-Kyankwanzi'!K56</f>
        <v>0</v>
      </c>
      <c r="L56" s="49">
        <f>'Avg Week Kyankwanzi-Bukomero'!L56+'Avg Week Bukomero-Kyankwanzi'!L56</f>
        <v>0</v>
      </c>
      <c r="M56" s="49">
        <f>'Avg Week Kyankwanzi-Bukomero'!M56+'Avg Week Bukomero-Kyankwanzi'!M56</f>
        <v>29.857142857142858</v>
      </c>
      <c r="N56" s="49">
        <f>'Avg Week Kyankwanzi-Bukomero'!N56+'Avg Week Bukomero-Kyankwanzi'!N56</f>
        <v>0</v>
      </c>
      <c r="O56" s="15">
        <f t="shared" si="0"/>
        <v>2.2857142857142856</v>
      </c>
      <c r="P56" s="15">
        <f t="shared" si="1"/>
        <v>32.142857142857146</v>
      </c>
      <c r="R56" s="8"/>
      <c r="T56"/>
    </row>
    <row r="57" spans="2:20" ht="23.1" customHeight="1" x14ac:dyDescent="0.25">
      <c r="B57" s="23" t="s">
        <v>84</v>
      </c>
      <c r="C57" s="49">
        <f>'Avg Week Kyankwanzi-Bukomero'!C57+'Avg Week Bukomero-Kyankwanzi'!C57</f>
        <v>1.4285714285714286</v>
      </c>
      <c r="D57" s="49">
        <f>'Avg Week Kyankwanzi-Bukomero'!D57+'Avg Week Bukomero-Kyankwanzi'!D57</f>
        <v>0.14285714285714285</v>
      </c>
      <c r="E57" s="49">
        <f>'Avg Week Kyankwanzi-Bukomero'!E57+'Avg Week Bukomero-Kyankwanzi'!E57</f>
        <v>0.42857142857142855</v>
      </c>
      <c r="F57" s="49">
        <f>'Avg Week Kyankwanzi-Bukomero'!F57+'Avg Week Bukomero-Kyankwanzi'!F57</f>
        <v>0</v>
      </c>
      <c r="G57" s="49">
        <f>'Avg Week Kyankwanzi-Bukomero'!G57+'Avg Week Bukomero-Kyankwanzi'!G57</f>
        <v>0</v>
      </c>
      <c r="H57" s="49">
        <f>'Avg Week Kyankwanzi-Bukomero'!H57+'Avg Week Bukomero-Kyankwanzi'!H57</f>
        <v>0</v>
      </c>
      <c r="I57" s="49">
        <f>'Avg Week Kyankwanzi-Bukomero'!I57+'Avg Week Bukomero-Kyankwanzi'!I57</f>
        <v>0.85714285714285721</v>
      </c>
      <c r="J57" s="49">
        <f>'Avg Week Kyankwanzi-Bukomero'!J57+'Avg Week Bukomero-Kyankwanzi'!J57</f>
        <v>0.42857142857142855</v>
      </c>
      <c r="K57" s="49">
        <f>'Avg Week Kyankwanzi-Bukomero'!K57+'Avg Week Bukomero-Kyankwanzi'!K57</f>
        <v>0</v>
      </c>
      <c r="L57" s="49">
        <f>'Avg Week Kyankwanzi-Bukomero'!L57+'Avg Week Bukomero-Kyankwanzi'!L57</f>
        <v>0</v>
      </c>
      <c r="M57" s="49">
        <f>'Avg Week Kyankwanzi-Bukomero'!M57+'Avg Week Bukomero-Kyankwanzi'!M57</f>
        <v>28.857142857142858</v>
      </c>
      <c r="N57" s="49">
        <f>'Avg Week Kyankwanzi-Bukomero'!N57+'Avg Week Bukomero-Kyankwanzi'!N57</f>
        <v>0</v>
      </c>
      <c r="O57" s="15">
        <f t="shared" si="0"/>
        <v>3.2857142857142856</v>
      </c>
      <c r="P57" s="15">
        <f t="shared" si="1"/>
        <v>32.142857142857146</v>
      </c>
      <c r="R57" s="8"/>
      <c r="T57"/>
    </row>
    <row r="58" spans="2:20" ht="23.1" customHeight="1" x14ac:dyDescent="0.25">
      <c r="B58" s="23" t="s">
        <v>99</v>
      </c>
      <c r="C58" s="49">
        <f>'Avg Week Kyankwanzi-Bukomero'!C58+'Avg Week Bukomero-Kyankwanzi'!C58</f>
        <v>1.5</v>
      </c>
      <c r="D58" s="49">
        <f>'Avg Week Kyankwanzi-Bukomero'!D58+'Avg Week Bukomero-Kyankwanzi'!D58</f>
        <v>0</v>
      </c>
      <c r="E58" s="49">
        <f>'Avg Week Kyankwanzi-Bukomero'!E58+'Avg Week Bukomero-Kyankwanzi'!E58</f>
        <v>0</v>
      </c>
      <c r="F58" s="49">
        <f>'Avg Week Kyankwanzi-Bukomero'!F58+'Avg Week Bukomero-Kyankwanzi'!F58</f>
        <v>0.5</v>
      </c>
      <c r="G58" s="49">
        <f>'Avg Week Kyankwanzi-Bukomero'!G58+'Avg Week Bukomero-Kyankwanzi'!G58</f>
        <v>0</v>
      </c>
      <c r="H58" s="49">
        <f>'Avg Week Kyankwanzi-Bukomero'!H58+'Avg Week Bukomero-Kyankwanzi'!H58</f>
        <v>0</v>
      </c>
      <c r="I58" s="49">
        <f>'Avg Week Kyankwanzi-Bukomero'!I58+'Avg Week Bukomero-Kyankwanzi'!I58</f>
        <v>0.5</v>
      </c>
      <c r="J58" s="49">
        <f>'Avg Week Kyankwanzi-Bukomero'!J58+'Avg Week Bukomero-Kyankwanzi'!J58</f>
        <v>0</v>
      </c>
      <c r="K58" s="49">
        <f>'Avg Week Kyankwanzi-Bukomero'!K58+'Avg Week Bukomero-Kyankwanzi'!K58</f>
        <v>0</v>
      </c>
      <c r="L58" s="49">
        <f>'Avg Week Kyankwanzi-Bukomero'!L58+'Avg Week Bukomero-Kyankwanzi'!L58</f>
        <v>0</v>
      </c>
      <c r="M58" s="49">
        <f>'Avg Week Kyankwanzi-Bukomero'!M58+'Avg Week Bukomero-Kyankwanzi'!M58</f>
        <v>30</v>
      </c>
      <c r="N58" s="49">
        <f>'Avg Week Kyankwanzi-Bukomero'!N58+'Avg Week Bukomero-Kyankwanzi'!N58</f>
        <v>0</v>
      </c>
      <c r="O58" s="15">
        <f t="shared" si="0"/>
        <v>2.5</v>
      </c>
      <c r="P58" s="15">
        <f t="shared" si="1"/>
        <v>32.5</v>
      </c>
      <c r="R58" s="8"/>
      <c r="T58"/>
    </row>
    <row r="59" spans="2:20" ht="23.1" customHeight="1" x14ac:dyDescent="0.25">
      <c r="B59" s="23" t="s">
        <v>100</v>
      </c>
      <c r="C59" s="49">
        <f>'Avg Week Kyankwanzi-Bukomero'!C59+'Avg Week Bukomero-Kyankwanzi'!C59</f>
        <v>0.5</v>
      </c>
      <c r="D59" s="49">
        <f>'Avg Week Kyankwanzi-Bukomero'!D59+'Avg Week Bukomero-Kyankwanzi'!D59</f>
        <v>0</v>
      </c>
      <c r="E59" s="49">
        <f>'Avg Week Kyankwanzi-Bukomero'!E59+'Avg Week Bukomero-Kyankwanzi'!E59</f>
        <v>0</v>
      </c>
      <c r="F59" s="49">
        <f>'Avg Week Kyankwanzi-Bukomero'!F59+'Avg Week Bukomero-Kyankwanzi'!F59</f>
        <v>0</v>
      </c>
      <c r="G59" s="49">
        <f>'Avg Week Kyankwanzi-Bukomero'!G59+'Avg Week Bukomero-Kyankwanzi'!G59</f>
        <v>0</v>
      </c>
      <c r="H59" s="49">
        <f>'Avg Week Kyankwanzi-Bukomero'!H59+'Avg Week Bukomero-Kyankwanzi'!H59</f>
        <v>0</v>
      </c>
      <c r="I59" s="49">
        <f>'Avg Week Kyankwanzi-Bukomero'!I59+'Avg Week Bukomero-Kyankwanzi'!I59</f>
        <v>1</v>
      </c>
      <c r="J59" s="49">
        <f>'Avg Week Kyankwanzi-Bukomero'!J59+'Avg Week Bukomero-Kyankwanzi'!J59</f>
        <v>0.5</v>
      </c>
      <c r="K59" s="49">
        <f>'Avg Week Kyankwanzi-Bukomero'!K59+'Avg Week Bukomero-Kyankwanzi'!K59</f>
        <v>0</v>
      </c>
      <c r="L59" s="49">
        <f>'Avg Week Kyankwanzi-Bukomero'!L59+'Avg Week Bukomero-Kyankwanzi'!L59</f>
        <v>0</v>
      </c>
      <c r="M59" s="49">
        <f>'Avg Week Kyankwanzi-Bukomero'!M59+'Avg Week Bukomero-Kyankwanzi'!M59</f>
        <v>25</v>
      </c>
      <c r="N59" s="49">
        <f>'Avg Week Kyankwanzi-Bukomero'!N59+'Avg Week Bukomero-Kyankwanzi'!N59</f>
        <v>0</v>
      </c>
      <c r="O59" s="15">
        <f t="shared" si="0"/>
        <v>2</v>
      </c>
      <c r="P59" s="15">
        <f t="shared" si="1"/>
        <v>27</v>
      </c>
      <c r="R59" s="8"/>
      <c r="T59"/>
    </row>
    <row r="60" spans="2:20" ht="23.1" customHeight="1" x14ac:dyDescent="0.25">
      <c r="B60" s="23" t="s">
        <v>101</v>
      </c>
      <c r="C60" s="49">
        <f>'Avg Week Kyankwanzi-Bukomero'!C60+'Avg Week Bukomero-Kyankwanzi'!C60</f>
        <v>0</v>
      </c>
      <c r="D60" s="49">
        <f>'Avg Week Kyankwanzi-Bukomero'!D60+'Avg Week Bukomero-Kyankwanzi'!D60</f>
        <v>0</v>
      </c>
      <c r="E60" s="49">
        <f>'Avg Week Kyankwanzi-Bukomero'!E60+'Avg Week Bukomero-Kyankwanzi'!E60</f>
        <v>0</v>
      </c>
      <c r="F60" s="49">
        <f>'Avg Week Kyankwanzi-Bukomero'!F60+'Avg Week Bukomero-Kyankwanzi'!F60</f>
        <v>0</v>
      </c>
      <c r="G60" s="49">
        <f>'Avg Week Kyankwanzi-Bukomero'!G60+'Avg Week Bukomero-Kyankwanzi'!G60</f>
        <v>0</v>
      </c>
      <c r="H60" s="49">
        <f>'Avg Week Kyankwanzi-Bukomero'!H60+'Avg Week Bukomero-Kyankwanzi'!H60</f>
        <v>0</v>
      </c>
      <c r="I60" s="49">
        <f>'Avg Week Kyankwanzi-Bukomero'!I60+'Avg Week Bukomero-Kyankwanzi'!I60</f>
        <v>0.5</v>
      </c>
      <c r="J60" s="49">
        <f>'Avg Week Kyankwanzi-Bukomero'!J60+'Avg Week Bukomero-Kyankwanzi'!J60</f>
        <v>1.5</v>
      </c>
      <c r="K60" s="49">
        <f>'Avg Week Kyankwanzi-Bukomero'!K60+'Avg Week Bukomero-Kyankwanzi'!K60</f>
        <v>0</v>
      </c>
      <c r="L60" s="49">
        <f>'Avg Week Kyankwanzi-Bukomero'!L60+'Avg Week Bukomero-Kyankwanzi'!L60</f>
        <v>0</v>
      </c>
      <c r="M60" s="49">
        <f>'Avg Week Kyankwanzi-Bukomero'!M60+'Avg Week Bukomero-Kyankwanzi'!M60</f>
        <v>22</v>
      </c>
      <c r="N60" s="49">
        <f>'Avg Week Kyankwanzi-Bukomero'!N60+'Avg Week Bukomero-Kyankwanzi'!N60</f>
        <v>0</v>
      </c>
      <c r="O60" s="15">
        <f t="shared" si="0"/>
        <v>2</v>
      </c>
      <c r="P60" s="15">
        <f t="shared" si="1"/>
        <v>24</v>
      </c>
      <c r="R60" s="8"/>
      <c r="T60"/>
    </row>
    <row r="61" spans="2:20" ht="23.1" customHeight="1" x14ac:dyDescent="0.25">
      <c r="B61" s="23" t="s">
        <v>102</v>
      </c>
      <c r="C61" s="49">
        <f>'Avg Week Kyankwanzi-Bukomero'!C61+'Avg Week Bukomero-Kyankwanzi'!C61</f>
        <v>1.5</v>
      </c>
      <c r="D61" s="49">
        <f>'Avg Week Kyankwanzi-Bukomero'!D61+'Avg Week Bukomero-Kyankwanzi'!D61</f>
        <v>0</v>
      </c>
      <c r="E61" s="49">
        <f>'Avg Week Kyankwanzi-Bukomero'!E61+'Avg Week Bukomero-Kyankwanzi'!E61</f>
        <v>0.5</v>
      </c>
      <c r="F61" s="49">
        <f>'Avg Week Kyankwanzi-Bukomero'!F61+'Avg Week Bukomero-Kyankwanzi'!F61</f>
        <v>0</v>
      </c>
      <c r="G61" s="49">
        <f>'Avg Week Kyankwanzi-Bukomero'!G61+'Avg Week Bukomero-Kyankwanzi'!G61</f>
        <v>0</v>
      </c>
      <c r="H61" s="49">
        <f>'Avg Week Kyankwanzi-Bukomero'!H61+'Avg Week Bukomero-Kyankwanzi'!H61</f>
        <v>0</v>
      </c>
      <c r="I61" s="49">
        <f>'Avg Week Kyankwanzi-Bukomero'!I61+'Avg Week Bukomero-Kyankwanzi'!I61</f>
        <v>0</v>
      </c>
      <c r="J61" s="49">
        <f>'Avg Week Kyankwanzi-Bukomero'!J61+'Avg Week Bukomero-Kyankwanzi'!J61</f>
        <v>0</v>
      </c>
      <c r="K61" s="49">
        <f>'Avg Week Kyankwanzi-Bukomero'!K61+'Avg Week Bukomero-Kyankwanzi'!K61</f>
        <v>0</v>
      </c>
      <c r="L61" s="49">
        <f>'Avg Week Kyankwanzi-Bukomero'!L61+'Avg Week Bukomero-Kyankwanzi'!L61</f>
        <v>0</v>
      </c>
      <c r="M61" s="49">
        <f>'Avg Week Kyankwanzi-Bukomero'!M61+'Avg Week Bukomero-Kyankwanzi'!M61</f>
        <v>20.5</v>
      </c>
      <c r="N61" s="49">
        <f>'Avg Week Kyankwanzi-Bukomero'!N61+'Avg Week Bukomero-Kyankwanzi'!N61</f>
        <v>0</v>
      </c>
      <c r="O61" s="15">
        <f t="shared" si="0"/>
        <v>2</v>
      </c>
      <c r="P61" s="15">
        <f t="shared" si="1"/>
        <v>22.5</v>
      </c>
      <c r="R61" s="8"/>
      <c r="T61"/>
    </row>
    <row r="62" spans="2:20" ht="23.1" customHeight="1" x14ac:dyDescent="0.25">
      <c r="B62" s="23" t="s">
        <v>107</v>
      </c>
      <c r="C62" s="49">
        <f>'Avg Week Kyankwanzi-Bukomero'!C62+'Avg Week Bukomero-Kyankwanzi'!C62</f>
        <v>0</v>
      </c>
      <c r="D62" s="49">
        <f>'Avg Week Kyankwanzi-Bukomero'!D62+'Avg Week Bukomero-Kyankwanzi'!D62</f>
        <v>0</v>
      </c>
      <c r="E62" s="49">
        <f>'Avg Week Kyankwanzi-Bukomero'!E62+'Avg Week Bukomero-Kyankwanzi'!E62</f>
        <v>0</v>
      </c>
      <c r="F62" s="49">
        <f>'Avg Week Kyankwanzi-Bukomero'!F62+'Avg Week Bukomero-Kyankwanzi'!F62</f>
        <v>0</v>
      </c>
      <c r="G62" s="49">
        <f>'Avg Week Kyankwanzi-Bukomero'!G62+'Avg Week Bukomero-Kyankwanzi'!G62</f>
        <v>0</v>
      </c>
      <c r="H62" s="49">
        <f>'Avg Week Kyankwanzi-Bukomero'!H62+'Avg Week Bukomero-Kyankwanzi'!H62</f>
        <v>0</v>
      </c>
      <c r="I62" s="49">
        <f>'Avg Week Kyankwanzi-Bukomero'!I62+'Avg Week Bukomero-Kyankwanzi'!I62</f>
        <v>0.5</v>
      </c>
      <c r="J62" s="49">
        <f>'Avg Week Kyankwanzi-Bukomero'!J62+'Avg Week Bukomero-Kyankwanzi'!J62</f>
        <v>0</v>
      </c>
      <c r="K62" s="49">
        <f>'Avg Week Kyankwanzi-Bukomero'!K62+'Avg Week Bukomero-Kyankwanzi'!K62</f>
        <v>0</v>
      </c>
      <c r="L62" s="49">
        <f>'Avg Week Kyankwanzi-Bukomero'!L62+'Avg Week Bukomero-Kyankwanzi'!L62</f>
        <v>0</v>
      </c>
      <c r="M62" s="49">
        <f>'Avg Week Kyankwanzi-Bukomero'!M62+'Avg Week Bukomero-Kyankwanzi'!M62</f>
        <v>19.5</v>
      </c>
      <c r="N62" s="49">
        <f>'Avg Week Kyankwanzi-Bukomero'!N62+'Avg Week Bukomero-Kyankwanzi'!N62</f>
        <v>0</v>
      </c>
      <c r="O62" s="15">
        <f t="shared" si="0"/>
        <v>0.5</v>
      </c>
      <c r="P62" s="15">
        <f t="shared" si="1"/>
        <v>20</v>
      </c>
      <c r="R62" s="8"/>
      <c r="T62"/>
    </row>
    <row r="63" spans="2:20" ht="23.1" customHeight="1" x14ac:dyDescent="0.25">
      <c r="B63" s="23" t="s">
        <v>108</v>
      </c>
      <c r="C63" s="49">
        <f>'Avg Week Kyankwanzi-Bukomero'!C63+'Avg Week Bukomero-Kyankwanzi'!C63</f>
        <v>1</v>
      </c>
      <c r="D63" s="49">
        <f>'Avg Week Kyankwanzi-Bukomero'!D63+'Avg Week Bukomero-Kyankwanzi'!D63</f>
        <v>0.5</v>
      </c>
      <c r="E63" s="49">
        <f>'Avg Week Kyankwanzi-Bukomero'!E63+'Avg Week Bukomero-Kyankwanzi'!E63</f>
        <v>0</v>
      </c>
      <c r="F63" s="49">
        <f>'Avg Week Kyankwanzi-Bukomero'!F63+'Avg Week Bukomero-Kyankwanzi'!F63</f>
        <v>0</v>
      </c>
      <c r="G63" s="49">
        <f>'Avg Week Kyankwanzi-Bukomero'!G63+'Avg Week Bukomero-Kyankwanzi'!G63</f>
        <v>0</v>
      </c>
      <c r="H63" s="49">
        <f>'Avg Week Kyankwanzi-Bukomero'!H63+'Avg Week Bukomero-Kyankwanzi'!H63</f>
        <v>0</v>
      </c>
      <c r="I63" s="49">
        <f>'Avg Week Kyankwanzi-Bukomero'!I63+'Avg Week Bukomero-Kyankwanzi'!I63</f>
        <v>1</v>
      </c>
      <c r="J63" s="49">
        <f>'Avg Week Kyankwanzi-Bukomero'!J63+'Avg Week Bukomero-Kyankwanzi'!J63</f>
        <v>0.5</v>
      </c>
      <c r="K63" s="49">
        <f>'Avg Week Kyankwanzi-Bukomero'!K63+'Avg Week Bukomero-Kyankwanzi'!K63</f>
        <v>0</v>
      </c>
      <c r="L63" s="49">
        <f>'Avg Week Kyankwanzi-Bukomero'!L63+'Avg Week Bukomero-Kyankwanzi'!L63</f>
        <v>0</v>
      </c>
      <c r="M63" s="49">
        <f>'Avg Week Kyankwanzi-Bukomero'!M63+'Avg Week Bukomero-Kyankwanzi'!M63</f>
        <v>17</v>
      </c>
      <c r="N63" s="49">
        <f>'Avg Week Kyankwanzi-Bukomero'!N63+'Avg Week Bukomero-Kyankwanzi'!N63</f>
        <v>0</v>
      </c>
      <c r="O63" s="15">
        <f t="shared" si="0"/>
        <v>3</v>
      </c>
      <c r="P63" s="15">
        <f t="shared" si="1"/>
        <v>20</v>
      </c>
      <c r="R63" s="8"/>
      <c r="T63"/>
    </row>
    <row r="64" spans="2:20" ht="23.1" customHeight="1" x14ac:dyDescent="0.25">
      <c r="B64" s="23" t="s">
        <v>109</v>
      </c>
      <c r="C64" s="49">
        <f>'Avg Week Kyankwanzi-Bukomero'!C64+'Avg Week Bukomero-Kyankwanzi'!C64</f>
        <v>1</v>
      </c>
      <c r="D64" s="49">
        <f>'Avg Week Kyankwanzi-Bukomero'!D64+'Avg Week Bukomero-Kyankwanzi'!D64</f>
        <v>0</v>
      </c>
      <c r="E64" s="49">
        <f>'Avg Week Kyankwanzi-Bukomero'!E64+'Avg Week Bukomero-Kyankwanzi'!E64</f>
        <v>0</v>
      </c>
      <c r="F64" s="49">
        <f>'Avg Week Kyankwanzi-Bukomero'!F64+'Avg Week Bukomero-Kyankwanzi'!F64</f>
        <v>0</v>
      </c>
      <c r="G64" s="49">
        <f>'Avg Week Kyankwanzi-Bukomero'!G64+'Avg Week Bukomero-Kyankwanzi'!G64</f>
        <v>0</v>
      </c>
      <c r="H64" s="49">
        <f>'Avg Week Kyankwanzi-Bukomero'!H64+'Avg Week Bukomero-Kyankwanzi'!H64</f>
        <v>0</v>
      </c>
      <c r="I64" s="49">
        <f>'Avg Week Kyankwanzi-Bukomero'!I64+'Avg Week Bukomero-Kyankwanzi'!I64</f>
        <v>0</v>
      </c>
      <c r="J64" s="49">
        <f>'Avg Week Kyankwanzi-Bukomero'!J64+'Avg Week Bukomero-Kyankwanzi'!J64</f>
        <v>0.5</v>
      </c>
      <c r="K64" s="49">
        <f>'Avg Week Kyankwanzi-Bukomero'!K64+'Avg Week Bukomero-Kyankwanzi'!K64</f>
        <v>0</v>
      </c>
      <c r="L64" s="49">
        <f>'Avg Week Kyankwanzi-Bukomero'!L64+'Avg Week Bukomero-Kyankwanzi'!L64</f>
        <v>0</v>
      </c>
      <c r="M64" s="49">
        <f>'Avg Week Kyankwanzi-Bukomero'!M64+'Avg Week Bukomero-Kyankwanzi'!M64</f>
        <v>20.5</v>
      </c>
      <c r="N64" s="49">
        <f>'Avg Week Kyankwanzi-Bukomero'!N64+'Avg Week Bukomero-Kyankwanzi'!N64</f>
        <v>0</v>
      </c>
      <c r="O64" s="15">
        <f t="shared" si="0"/>
        <v>1.5</v>
      </c>
      <c r="P64" s="15">
        <f t="shared" si="1"/>
        <v>22</v>
      </c>
      <c r="R64" s="8"/>
      <c r="T64"/>
    </row>
    <row r="65" spans="2:20" ht="23.1" customHeight="1" x14ac:dyDescent="0.25">
      <c r="B65" s="23" t="s">
        <v>158</v>
      </c>
      <c r="C65" s="49">
        <f>'Avg Week Kyankwanzi-Bukomero'!C65+'Avg Week Bukomero-Kyankwanzi'!C65</f>
        <v>0.5</v>
      </c>
      <c r="D65" s="49">
        <f>'Avg Week Kyankwanzi-Bukomero'!D65+'Avg Week Bukomero-Kyankwanzi'!D65</f>
        <v>0</v>
      </c>
      <c r="E65" s="49">
        <f>'Avg Week Kyankwanzi-Bukomero'!E65+'Avg Week Bukomero-Kyankwanzi'!E65</f>
        <v>0</v>
      </c>
      <c r="F65" s="49">
        <f>'Avg Week Kyankwanzi-Bukomero'!F65+'Avg Week Bukomero-Kyankwanzi'!F65</f>
        <v>0</v>
      </c>
      <c r="G65" s="49">
        <f>'Avg Week Kyankwanzi-Bukomero'!G65+'Avg Week Bukomero-Kyankwanzi'!G65</f>
        <v>0</v>
      </c>
      <c r="H65" s="49">
        <f>'Avg Week Kyankwanzi-Bukomero'!H65+'Avg Week Bukomero-Kyankwanzi'!H65</f>
        <v>0</v>
      </c>
      <c r="I65" s="49">
        <f>'Avg Week Kyankwanzi-Bukomero'!I65+'Avg Week Bukomero-Kyankwanzi'!I65</f>
        <v>0.5</v>
      </c>
      <c r="J65" s="49">
        <f>'Avg Week Kyankwanzi-Bukomero'!J65+'Avg Week Bukomero-Kyankwanzi'!J65</f>
        <v>1</v>
      </c>
      <c r="K65" s="49">
        <f>'Avg Week Kyankwanzi-Bukomero'!K65+'Avg Week Bukomero-Kyankwanzi'!K65</f>
        <v>0</v>
      </c>
      <c r="L65" s="49">
        <f>'Avg Week Kyankwanzi-Bukomero'!L65+'Avg Week Bukomero-Kyankwanzi'!L65</f>
        <v>0</v>
      </c>
      <c r="M65" s="49">
        <f>'Avg Week Kyankwanzi-Bukomero'!M65+'Avg Week Bukomero-Kyankwanzi'!M65</f>
        <v>13</v>
      </c>
      <c r="N65" s="49">
        <f>'Avg Week Kyankwanzi-Bukomero'!N65+'Avg Week Bukomero-Kyankwanzi'!N65</f>
        <v>0</v>
      </c>
      <c r="O65" s="15">
        <f t="shared" si="0"/>
        <v>2</v>
      </c>
      <c r="P65" s="15">
        <f t="shared" si="1"/>
        <v>15</v>
      </c>
      <c r="R65" s="8"/>
      <c r="T65"/>
    </row>
    <row r="66" spans="2:20" ht="23.1" customHeight="1" x14ac:dyDescent="0.25">
      <c r="B66" s="23" t="s">
        <v>103</v>
      </c>
      <c r="C66" s="49">
        <f>'Avg Week Kyankwanzi-Bukomero'!C66+'Avg Week Bukomero-Kyankwanzi'!C66</f>
        <v>0</v>
      </c>
      <c r="D66" s="49">
        <f>'Avg Week Kyankwanzi-Bukomero'!D66+'Avg Week Bukomero-Kyankwanzi'!D66</f>
        <v>0</v>
      </c>
      <c r="E66" s="49">
        <f>'Avg Week Kyankwanzi-Bukomero'!E66+'Avg Week Bukomero-Kyankwanzi'!E66</f>
        <v>0.5</v>
      </c>
      <c r="F66" s="49">
        <f>'Avg Week Kyankwanzi-Bukomero'!F66+'Avg Week Bukomero-Kyankwanzi'!F66</f>
        <v>0.5</v>
      </c>
      <c r="G66" s="49">
        <f>'Avg Week Kyankwanzi-Bukomero'!G66+'Avg Week Bukomero-Kyankwanzi'!G66</f>
        <v>0</v>
      </c>
      <c r="H66" s="49">
        <f>'Avg Week Kyankwanzi-Bukomero'!H66+'Avg Week Bukomero-Kyankwanzi'!H66</f>
        <v>0</v>
      </c>
      <c r="I66" s="49">
        <f>'Avg Week Kyankwanzi-Bukomero'!I66+'Avg Week Bukomero-Kyankwanzi'!I66</f>
        <v>0.5</v>
      </c>
      <c r="J66" s="49">
        <f>'Avg Week Kyankwanzi-Bukomero'!J66+'Avg Week Bukomero-Kyankwanzi'!J66</f>
        <v>0.5</v>
      </c>
      <c r="K66" s="49">
        <f>'Avg Week Kyankwanzi-Bukomero'!K66+'Avg Week Bukomero-Kyankwanzi'!K66</f>
        <v>0</v>
      </c>
      <c r="L66" s="49">
        <f>'Avg Week Kyankwanzi-Bukomero'!L66+'Avg Week Bukomero-Kyankwanzi'!L66</f>
        <v>0</v>
      </c>
      <c r="M66" s="49">
        <f>'Avg Week Kyankwanzi-Bukomero'!M66+'Avg Week Bukomero-Kyankwanzi'!M66</f>
        <v>21</v>
      </c>
      <c r="N66" s="49">
        <f>'Avg Week Kyankwanzi-Bukomero'!N66+'Avg Week Bukomero-Kyankwanzi'!N66</f>
        <v>0</v>
      </c>
      <c r="O66" s="15">
        <f t="shared" si="0"/>
        <v>2</v>
      </c>
      <c r="P66" s="15">
        <f t="shared" si="1"/>
        <v>23</v>
      </c>
      <c r="R66" s="8"/>
      <c r="T66"/>
    </row>
    <row r="67" spans="2:20" ht="23.1" customHeight="1" x14ac:dyDescent="0.25">
      <c r="B67" s="23" t="s">
        <v>104</v>
      </c>
      <c r="C67" s="49">
        <f>'Avg Week Kyankwanzi-Bukomero'!C67+'Avg Week Bukomero-Kyankwanzi'!C67</f>
        <v>0.5</v>
      </c>
      <c r="D67" s="49">
        <f>'Avg Week Kyankwanzi-Bukomero'!D67+'Avg Week Bukomero-Kyankwanzi'!D67</f>
        <v>0</v>
      </c>
      <c r="E67" s="49">
        <f>'Avg Week Kyankwanzi-Bukomero'!E67+'Avg Week Bukomero-Kyankwanzi'!E67</f>
        <v>0</v>
      </c>
      <c r="F67" s="49">
        <f>'Avg Week Kyankwanzi-Bukomero'!F67+'Avg Week Bukomero-Kyankwanzi'!F67</f>
        <v>0.5</v>
      </c>
      <c r="G67" s="49">
        <f>'Avg Week Kyankwanzi-Bukomero'!G67+'Avg Week Bukomero-Kyankwanzi'!G67</f>
        <v>0</v>
      </c>
      <c r="H67" s="49">
        <f>'Avg Week Kyankwanzi-Bukomero'!H67+'Avg Week Bukomero-Kyankwanzi'!H67</f>
        <v>0</v>
      </c>
      <c r="I67" s="49">
        <f>'Avg Week Kyankwanzi-Bukomero'!I67+'Avg Week Bukomero-Kyankwanzi'!I67</f>
        <v>1</v>
      </c>
      <c r="J67" s="49">
        <f>'Avg Week Kyankwanzi-Bukomero'!J67+'Avg Week Bukomero-Kyankwanzi'!J67</f>
        <v>0</v>
      </c>
      <c r="K67" s="49">
        <f>'Avg Week Kyankwanzi-Bukomero'!K67+'Avg Week Bukomero-Kyankwanzi'!K67</f>
        <v>0.5</v>
      </c>
      <c r="L67" s="49">
        <f>'Avg Week Kyankwanzi-Bukomero'!L67+'Avg Week Bukomero-Kyankwanzi'!L67</f>
        <v>0</v>
      </c>
      <c r="M67" s="49">
        <f>'Avg Week Kyankwanzi-Bukomero'!M67+'Avg Week Bukomero-Kyankwanzi'!M67</f>
        <v>8.5</v>
      </c>
      <c r="N67" s="49">
        <f>'Avg Week Kyankwanzi-Bukomero'!N67+'Avg Week Bukomero-Kyankwanzi'!N67</f>
        <v>0</v>
      </c>
      <c r="O67" s="15">
        <f t="shared" si="0"/>
        <v>2.5</v>
      </c>
      <c r="P67" s="15">
        <f t="shared" si="1"/>
        <v>11</v>
      </c>
      <c r="R67" s="8"/>
      <c r="T67"/>
    </row>
    <row r="68" spans="2:20" ht="23.1" customHeight="1" x14ac:dyDescent="0.25">
      <c r="B68" s="23" t="s">
        <v>105</v>
      </c>
      <c r="C68" s="49">
        <f>'Avg Week Kyankwanzi-Bukomero'!C68+'Avg Week Bukomero-Kyankwanzi'!C68</f>
        <v>0</v>
      </c>
      <c r="D68" s="49">
        <f>'Avg Week Kyankwanzi-Bukomero'!D68+'Avg Week Bukomero-Kyankwanzi'!D68</f>
        <v>0</v>
      </c>
      <c r="E68" s="49">
        <f>'Avg Week Kyankwanzi-Bukomero'!E68+'Avg Week Bukomero-Kyankwanzi'!E68</f>
        <v>0</v>
      </c>
      <c r="F68" s="49">
        <f>'Avg Week Kyankwanzi-Bukomero'!F68+'Avg Week Bukomero-Kyankwanzi'!F68</f>
        <v>0.5</v>
      </c>
      <c r="G68" s="49">
        <f>'Avg Week Kyankwanzi-Bukomero'!G68+'Avg Week Bukomero-Kyankwanzi'!G68</f>
        <v>0</v>
      </c>
      <c r="H68" s="49">
        <f>'Avg Week Kyankwanzi-Bukomero'!H68+'Avg Week Bukomero-Kyankwanzi'!H68</f>
        <v>0</v>
      </c>
      <c r="I68" s="49">
        <f>'Avg Week Kyankwanzi-Bukomero'!I68+'Avg Week Bukomero-Kyankwanzi'!I68</f>
        <v>0.5</v>
      </c>
      <c r="J68" s="49">
        <f>'Avg Week Kyankwanzi-Bukomero'!J68+'Avg Week Bukomero-Kyankwanzi'!J68</f>
        <v>0</v>
      </c>
      <c r="K68" s="49">
        <f>'Avg Week Kyankwanzi-Bukomero'!K68+'Avg Week Bukomero-Kyankwanzi'!K68</f>
        <v>0</v>
      </c>
      <c r="L68" s="49">
        <f>'Avg Week Kyankwanzi-Bukomero'!L68+'Avg Week Bukomero-Kyankwanzi'!L68</f>
        <v>0</v>
      </c>
      <c r="M68" s="49">
        <f>'Avg Week Kyankwanzi-Bukomero'!M68+'Avg Week Bukomero-Kyankwanzi'!M68</f>
        <v>7</v>
      </c>
      <c r="N68" s="49">
        <f>'Avg Week Kyankwanzi-Bukomero'!N68+'Avg Week Bukomero-Kyankwanzi'!N68</f>
        <v>0</v>
      </c>
      <c r="O68" s="15">
        <f t="shared" si="0"/>
        <v>1</v>
      </c>
      <c r="P68" s="15">
        <f t="shared" si="1"/>
        <v>8</v>
      </c>
      <c r="R68" s="8"/>
      <c r="T68"/>
    </row>
    <row r="69" spans="2:20" ht="23.1" customHeight="1" x14ac:dyDescent="0.25">
      <c r="B69" s="23" t="s">
        <v>106</v>
      </c>
      <c r="C69" s="49">
        <f>'Avg Week Kyankwanzi-Bukomero'!C69+'Avg Week Bukomero-Kyankwanzi'!C69</f>
        <v>0.5</v>
      </c>
      <c r="D69" s="49">
        <f>'Avg Week Kyankwanzi-Bukomero'!D69+'Avg Week Bukomero-Kyankwanzi'!D69</f>
        <v>0</v>
      </c>
      <c r="E69" s="49">
        <f>'Avg Week Kyankwanzi-Bukomero'!E69+'Avg Week Bukomero-Kyankwanzi'!E69</f>
        <v>0</v>
      </c>
      <c r="F69" s="49">
        <f>'Avg Week Kyankwanzi-Bukomero'!F69+'Avg Week Bukomero-Kyankwanzi'!F69</f>
        <v>0.5</v>
      </c>
      <c r="G69" s="49">
        <f>'Avg Week Kyankwanzi-Bukomero'!G69+'Avg Week Bukomero-Kyankwanzi'!G69</f>
        <v>0</v>
      </c>
      <c r="H69" s="49">
        <f>'Avg Week Kyankwanzi-Bukomero'!H69+'Avg Week Bukomero-Kyankwanzi'!H69</f>
        <v>0</v>
      </c>
      <c r="I69" s="49">
        <f>'Avg Week Kyankwanzi-Bukomero'!I69+'Avg Week Bukomero-Kyankwanzi'!I69</f>
        <v>0.5</v>
      </c>
      <c r="J69" s="49">
        <f>'Avg Week Kyankwanzi-Bukomero'!J69+'Avg Week Bukomero-Kyankwanzi'!J69</f>
        <v>0.5</v>
      </c>
      <c r="K69" s="49">
        <f>'Avg Week Kyankwanzi-Bukomero'!K69+'Avg Week Bukomero-Kyankwanzi'!K69</f>
        <v>0</v>
      </c>
      <c r="L69" s="49">
        <f>'Avg Week Kyankwanzi-Bukomero'!L69+'Avg Week Bukomero-Kyankwanzi'!L69</f>
        <v>0</v>
      </c>
      <c r="M69" s="49">
        <f>'Avg Week Kyankwanzi-Bukomero'!M69+'Avg Week Bukomero-Kyankwanzi'!M69</f>
        <v>10</v>
      </c>
      <c r="N69" s="49">
        <f>'Avg Week Kyankwanzi-Bukomero'!N69+'Avg Week Bukomero-Kyankwanzi'!N69</f>
        <v>0</v>
      </c>
      <c r="O69" s="15">
        <f t="shared" si="0"/>
        <v>2</v>
      </c>
      <c r="P69" s="15">
        <f t="shared" si="1"/>
        <v>12</v>
      </c>
      <c r="R69" s="8"/>
      <c r="T69"/>
    </row>
    <row r="70" spans="2:20" ht="23.1" customHeight="1" x14ac:dyDescent="0.25">
      <c r="B70" s="23" t="s">
        <v>110</v>
      </c>
      <c r="C70" s="49">
        <f>'Avg Week Kyankwanzi-Bukomero'!C70+'Avg Week Bukomero-Kyankwanzi'!C70</f>
        <v>1</v>
      </c>
      <c r="D70" s="49">
        <f>'Avg Week Kyankwanzi-Bukomero'!D70+'Avg Week Bukomero-Kyankwanzi'!D70</f>
        <v>0</v>
      </c>
      <c r="E70" s="49">
        <f>'Avg Week Kyankwanzi-Bukomero'!E70+'Avg Week Bukomero-Kyankwanzi'!E70</f>
        <v>0</v>
      </c>
      <c r="F70" s="49">
        <f>'Avg Week Kyankwanzi-Bukomero'!F70+'Avg Week Bukomero-Kyankwanzi'!F70</f>
        <v>0</v>
      </c>
      <c r="G70" s="49">
        <f>'Avg Week Kyankwanzi-Bukomero'!G70+'Avg Week Bukomero-Kyankwanzi'!G70</f>
        <v>0</v>
      </c>
      <c r="H70" s="49">
        <f>'Avg Week Kyankwanzi-Bukomero'!H70+'Avg Week Bukomero-Kyankwanzi'!H70</f>
        <v>0</v>
      </c>
      <c r="I70" s="49">
        <f>'Avg Week Kyankwanzi-Bukomero'!I70+'Avg Week Bukomero-Kyankwanzi'!I70</f>
        <v>1.5</v>
      </c>
      <c r="J70" s="49">
        <f>'Avg Week Kyankwanzi-Bukomero'!J70+'Avg Week Bukomero-Kyankwanzi'!J70</f>
        <v>0.5</v>
      </c>
      <c r="K70" s="49">
        <f>'Avg Week Kyankwanzi-Bukomero'!K70+'Avg Week Bukomero-Kyankwanzi'!K70</f>
        <v>0</v>
      </c>
      <c r="L70" s="49">
        <f>'Avg Week Kyankwanzi-Bukomero'!L70+'Avg Week Bukomero-Kyankwanzi'!L70</f>
        <v>0</v>
      </c>
      <c r="M70" s="49">
        <f>'Avg Week Kyankwanzi-Bukomero'!M70+'Avg Week Bukomero-Kyankwanzi'!M70</f>
        <v>13</v>
      </c>
      <c r="N70" s="49">
        <f>'Avg Week Kyankwanzi-Bukomero'!N70+'Avg Week Bukomero-Kyankwanzi'!N70</f>
        <v>0</v>
      </c>
      <c r="O70" s="15">
        <f t="shared" si="0"/>
        <v>3</v>
      </c>
      <c r="P70" s="15">
        <f t="shared" si="1"/>
        <v>16</v>
      </c>
      <c r="R70" s="8"/>
      <c r="T70"/>
    </row>
    <row r="71" spans="2:20" ht="23.1" customHeight="1" x14ac:dyDescent="0.25">
      <c r="B71" s="23" t="s">
        <v>111</v>
      </c>
      <c r="C71" s="49">
        <f>'Avg Week Kyankwanzi-Bukomero'!C71+'Avg Week Bukomero-Kyankwanzi'!C71</f>
        <v>0</v>
      </c>
      <c r="D71" s="49">
        <f>'Avg Week Kyankwanzi-Bukomero'!D71+'Avg Week Bukomero-Kyankwanzi'!D71</f>
        <v>0</v>
      </c>
      <c r="E71" s="49">
        <f>'Avg Week Kyankwanzi-Bukomero'!E71+'Avg Week Bukomero-Kyankwanzi'!E71</f>
        <v>0</v>
      </c>
      <c r="F71" s="49">
        <f>'Avg Week Kyankwanzi-Bukomero'!F71+'Avg Week Bukomero-Kyankwanzi'!F71</f>
        <v>0</v>
      </c>
      <c r="G71" s="49">
        <f>'Avg Week Kyankwanzi-Bukomero'!G71+'Avg Week Bukomero-Kyankwanzi'!G71</f>
        <v>0</v>
      </c>
      <c r="H71" s="49">
        <f>'Avg Week Kyankwanzi-Bukomero'!H71+'Avg Week Bukomero-Kyankwanzi'!H71</f>
        <v>0</v>
      </c>
      <c r="I71" s="49">
        <f>'Avg Week Kyankwanzi-Bukomero'!I71+'Avg Week Bukomero-Kyankwanzi'!I71</f>
        <v>0</v>
      </c>
      <c r="J71" s="49">
        <f>'Avg Week Kyankwanzi-Bukomero'!J71+'Avg Week Bukomero-Kyankwanzi'!J71</f>
        <v>0.5</v>
      </c>
      <c r="K71" s="49">
        <f>'Avg Week Kyankwanzi-Bukomero'!K71+'Avg Week Bukomero-Kyankwanzi'!K71</f>
        <v>0</v>
      </c>
      <c r="L71" s="49">
        <f>'Avg Week Kyankwanzi-Bukomero'!L71+'Avg Week Bukomero-Kyankwanzi'!L71</f>
        <v>0</v>
      </c>
      <c r="M71" s="49">
        <f>'Avg Week Kyankwanzi-Bukomero'!M71+'Avg Week Bukomero-Kyankwanzi'!M71</f>
        <v>8</v>
      </c>
      <c r="N71" s="49">
        <f>'Avg Week Kyankwanzi-Bukomero'!N71+'Avg Week Bukomero-Kyankwanzi'!N71</f>
        <v>0</v>
      </c>
      <c r="O71" s="15">
        <f t="shared" si="0"/>
        <v>0.5</v>
      </c>
      <c r="P71" s="15">
        <f t="shared" si="1"/>
        <v>8.5</v>
      </c>
      <c r="R71" s="8"/>
      <c r="T71"/>
    </row>
    <row r="72" spans="2:20" ht="23.1" customHeight="1" x14ac:dyDescent="0.25">
      <c r="B72" s="23" t="s">
        <v>112</v>
      </c>
      <c r="C72" s="49">
        <f>'Avg Week Kyankwanzi-Bukomero'!C72+'Avg Week Bukomero-Kyankwanzi'!C72</f>
        <v>0</v>
      </c>
      <c r="D72" s="49">
        <f>'Avg Week Kyankwanzi-Bukomero'!D72+'Avg Week Bukomero-Kyankwanzi'!D72</f>
        <v>0</v>
      </c>
      <c r="E72" s="49">
        <f>'Avg Week Kyankwanzi-Bukomero'!E72+'Avg Week Bukomero-Kyankwanzi'!E72</f>
        <v>0</v>
      </c>
      <c r="F72" s="49">
        <f>'Avg Week Kyankwanzi-Bukomero'!F72+'Avg Week Bukomero-Kyankwanzi'!F72</f>
        <v>0</v>
      </c>
      <c r="G72" s="49">
        <f>'Avg Week Kyankwanzi-Bukomero'!G72+'Avg Week Bukomero-Kyankwanzi'!G72</f>
        <v>0</v>
      </c>
      <c r="H72" s="49">
        <f>'Avg Week Kyankwanzi-Bukomero'!H72+'Avg Week Bukomero-Kyankwanzi'!H72</f>
        <v>0</v>
      </c>
      <c r="I72" s="49">
        <f>'Avg Week Kyankwanzi-Bukomero'!I72+'Avg Week Bukomero-Kyankwanzi'!I72</f>
        <v>0</v>
      </c>
      <c r="J72" s="49">
        <f>'Avg Week Kyankwanzi-Bukomero'!J72+'Avg Week Bukomero-Kyankwanzi'!J72</f>
        <v>0</v>
      </c>
      <c r="K72" s="49">
        <f>'Avg Week Kyankwanzi-Bukomero'!K72+'Avg Week Bukomero-Kyankwanzi'!K72</f>
        <v>0</v>
      </c>
      <c r="L72" s="49">
        <f>'Avg Week Kyankwanzi-Bukomero'!L72+'Avg Week Bukomero-Kyankwanzi'!L72</f>
        <v>0</v>
      </c>
      <c r="M72" s="49">
        <f>'Avg Week Kyankwanzi-Bukomero'!M72+'Avg Week Bukomero-Kyankwanzi'!M72</f>
        <v>7.5</v>
      </c>
      <c r="N72" s="49">
        <f>'Avg Week Kyankwanzi-Bukomero'!N72+'Avg Week Bukomero-Kyankwanzi'!N72</f>
        <v>0</v>
      </c>
      <c r="O72" s="15">
        <f t="shared" si="0"/>
        <v>0</v>
      </c>
      <c r="P72" s="15">
        <f t="shared" si="1"/>
        <v>7.5</v>
      </c>
      <c r="R72" s="8"/>
      <c r="T72"/>
    </row>
    <row r="73" spans="2:20" ht="23.1" customHeight="1" x14ac:dyDescent="0.25">
      <c r="B73" s="23" t="s">
        <v>113</v>
      </c>
      <c r="C73" s="49">
        <f>'Avg Week Kyankwanzi-Bukomero'!C73+'Avg Week Bukomero-Kyankwanzi'!C73</f>
        <v>0.5</v>
      </c>
      <c r="D73" s="49">
        <f>'Avg Week Kyankwanzi-Bukomero'!D73+'Avg Week Bukomero-Kyankwanzi'!D73</f>
        <v>0.5</v>
      </c>
      <c r="E73" s="49">
        <f>'Avg Week Kyankwanzi-Bukomero'!E73+'Avg Week Bukomero-Kyankwanzi'!E73</f>
        <v>0</v>
      </c>
      <c r="F73" s="49">
        <f>'Avg Week Kyankwanzi-Bukomero'!F73+'Avg Week Bukomero-Kyankwanzi'!F73</f>
        <v>0.5</v>
      </c>
      <c r="G73" s="49">
        <f>'Avg Week Kyankwanzi-Bukomero'!G73+'Avg Week Bukomero-Kyankwanzi'!G73</f>
        <v>0</v>
      </c>
      <c r="H73" s="49">
        <f>'Avg Week Kyankwanzi-Bukomero'!H73+'Avg Week Bukomero-Kyankwanzi'!H73</f>
        <v>0</v>
      </c>
      <c r="I73" s="49">
        <f>'Avg Week Kyankwanzi-Bukomero'!I73+'Avg Week Bukomero-Kyankwanzi'!I73</f>
        <v>2</v>
      </c>
      <c r="J73" s="49">
        <f>'Avg Week Kyankwanzi-Bukomero'!J73+'Avg Week Bukomero-Kyankwanzi'!J73</f>
        <v>0</v>
      </c>
      <c r="K73" s="49">
        <f>'Avg Week Kyankwanzi-Bukomero'!K73+'Avg Week Bukomero-Kyankwanzi'!K73</f>
        <v>0</v>
      </c>
      <c r="L73" s="49">
        <f>'Avg Week Kyankwanzi-Bukomero'!L73+'Avg Week Bukomero-Kyankwanzi'!L73</f>
        <v>0</v>
      </c>
      <c r="M73" s="49">
        <f>'Avg Week Kyankwanzi-Bukomero'!M73+'Avg Week Bukomero-Kyankwanzi'!M73</f>
        <v>5.5</v>
      </c>
      <c r="N73" s="49">
        <f>'Avg Week Kyankwanzi-Bukomero'!N73+'Avg Week Bukomero-Kyankwanzi'!N73</f>
        <v>0</v>
      </c>
      <c r="O73" s="15">
        <f t="shared" si="0"/>
        <v>3.5</v>
      </c>
      <c r="P73" s="15">
        <f t="shared" si="1"/>
        <v>9</v>
      </c>
      <c r="R73" s="8"/>
      <c r="T73"/>
    </row>
    <row r="74" spans="2:20" ht="23.1" customHeight="1" x14ac:dyDescent="0.25">
      <c r="B74" s="23" t="s">
        <v>114</v>
      </c>
      <c r="C74" s="49">
        <f>'Avg Week Kyankwanzi-Bukomero'!C74+'Avg Week Bukomero-Kyankwanzi'!C74</f>
        <v>0</v>
      </c>
      <c r="D74" s="49">
        <f>'Avg Week Kyankwanzi-Bukomero'!D74+'Avg Week Bukomero-Kyankwanzi'!D74</f>
        <v>0.5</v>
      </c>
      <c r="E74" s="49">
        <f>'Avg Week Kyankwanzi-Bukomero'!E74+'Avg Week Bukomero-Kyankwanzi'!E74</f>
        <v>0</v>
      </c>
      <c r="F74" s="49">
        <f>'Avg Week Kyankwanzi-Bukomero'!F74+'Avg Week Bukomero-Kyankwanzi'!F74</f>
        <v>0</v>
      </c>
      <c r="G74" s="49">
        <f>'Avg Week Kyankwanzi-Bukomero'!G74+'Avg Week Bukomero-Kyankwanzi'!G74</f>
        <v>0</v>
      </c>
      <c r="H74" s="49">
        <f>'Avg Week Kyankwanzi-Bukomero'!H74+'Avg Week Bukomero-Kyankwanzi'!H74</f>
        <v>0</v>
      </c>
      <c r="I74" s="49">
        <f>'Avg Week Kyankwanzi-Bukomero'!I74+'Avg Week Bukomero-Kyankwanzi'!I74</f>
        <v>0</v>
      </c>
      <c r="J74" s="49">
        <f>'Avg Week Kyankwanzi-Bukomero'!J74+'Avg Week Bukomero-Kyankwanzi'!J74</f>
        <v>0</v>
      </c>
      <c r="K74" s="49">
        <f>'Avg Week Kyankwanzi-Bukomero'!K74+'Avg Week Bukomero-Kyankwanzi'!K74</f>
        <v>0</v>
      </c>
      <c r="L74" s="49">
        <f>'Avg Week Kyankwanzi-Bukomero'!L74+'Avg Week Bukomero-Kyankwanzi'!L74</f>
        <v>0</v>
      </c>
      <c r="M74" s="49">
        <f>'Avg Week Kyankwanzi-Bukomero'!M74+'Avg Week Bukomero-Kyankwanzi'!M74</f>
        <v>4</v>
      </c>
      <c r="N74" s="49">
        <f>'Avg Week Kyankwanzi-Bukomero'!N74+'Avg Week Bukomero-Kyankwanzi'!N74</f>
        <v>0</v>
      </c>
      <c r="O74" s="15">
        <f t="shared" ref="O74:O105" si="35">SUM(C74:L74,N74)</f>
        <v>0.5</v>
      </c>
      <c r="P74" s="15">
        <f t="shared" ref="P74:P105" si="36">SUM(C74:N74)</f>
        <v>4.5</v>
      </c>
      <c r="R74" s="8"/>
      <c r="T74"/>
    </row>
    <row r="75" spans="2:20" ht="23.1" customHeight="1" x14ac:dyDescent="0.25">
      <c r="B75" s="23" t="s">
        <v>115</v>
      </c>
      <c r="C75" s="49">
        <f>'Avg Week Kyankwanzi-Bukomero'!C75+'Avg Week Bukomero-Kyankwanzi'!C75</f>
        <v>0</v>
      </c>
      <c r="D75" s="49">
        <f>'Avg Week Kyankwanzi-Bukomero'!D75+'Avg Week Bukomero-Kyankwanzi'!D75</f>
        <v>0</v>
      </c>
      <c r="E75" s="49">
        <f>'Avg Week Kyankwanzi-Bukomero'!E75+'Avg Week Bukomero-Kyankwanzi'!E75</f>
        <v>0</v>
      </c>
      <c r="F75" s="49">
        <f>'Avg Week Kyankwanzi-Bukomero'!F75+'Avg Week Bukomero-Kyankwanzi'!F75</f>
        <v>0</v>
      </c>
      <c r="G75" s="49">
        <f>'Avg Week Kyankwanzi-Bukomero'!G75+'Avg Week Bukomero-Kyankwanzi'!G75</f>
        <v>0</v>
      </c>
      <c r="H75" s="49">
        <f>'Avg Week Kyankwanzi-Bukomero'!H75+'Avg Week Bukomero-Kyankwanzi'!H75</f>
        <v>0</v>
      </c>
      <c r="I75" s="49">
        <f>'Avg Week Kyankwanzi-Bukomero'!I75+'Avg Week Bukomero-Kyankwanzi'!I75</f>
        <v>1</v>
      </c>
      <c r="J75" s="49">
        <f>'Avg Week Kyankwanzi-Bukomero'!J75+'Avg Week Bukomero-Kyankwanzi'!J75</f>
        <v>0</v>
      </c>
      <c r="K75" s="49">
        <f>'Avg Week Kyankwanzi-Bukomero'!K75+'Avg Week Bukomero-Kyankwanzi'!K75</f>
        <v>0</v>
      </c>
      <c r="L75" s="49">
        <f>'Avg Week Kyankwanzi-Bukomero'!L75+'Avg Week Bukomero-Kyankwanzi'!L75</f>
        <v>0</v>
      </c>
      <c r="M75" s="49">
        <f>'Avg Week Kyankwanzi-Bukomero'!M75+'Avg Week Bukomero-Kyankwanzi'!M75</f>
        <v>6.5</v>
      </c>
      <c r="N75" s="49">
        <f>'Avg Week Kyankwanzi-Bukomero'!N75+'Avg Week Bukomero-Kyankwanzi'!N75</f>
        <v>0</v>
      </c>
      <c r="O75" s="15">
        <f t="shared" si="35"/>
        <v>1</v>
      </c>
      <c r="P75" s="15">
        <f t="shared" si="36"/>
        <v>7.5</v>
      </c>
      <c r="R75" s="8"/>
      <c r="T75"/>
    </row>
    <row r="76" spans="2:20" ht="23.1" customHeight="1" x14ac:dyDescent="0.25">
      <c r="B76" s="23" t="s">
        <v>116</v>
      </c>
      <c r="C76" s="49">
        <f>'Avg Week Kyankwanzi-Bukomero'!C76+'Avg Week Bukomero-Kyankwanzi'!C76</f>
        <v>0</v>
      </c>
      <c r="D76" s="49">
        <f>'Avg Week Kyankwanzi-Bukomero'!D76+'Avg Week Bukomero-Kyankwanzi'!D76</f>
        <v>0</v>
      </c>
      <c r="E76" s="49">
        <f>'Avg Week Kyankwanzi-Bukomero'!E76+'Avg Week Bukomero-Kyankwanzi'!E76</f>
        <v>0</v>
      </c>
      <c r="F76" s="49">
        <f>'Avg Week Kyankwanzi-Bukomero'!F76+'Avg Week Bukomero-Kyankwanzi'!F76</f>
        <v>0.5</v>
      </c>
      <c r="G76" s="49">
        <f>'Avg Week Kyankwanzi-Bukomero'!G76+'Avg Week Bukomero-Kyankwanzi'!G76</f>
        <v>0</v>
      </c>
      <c r="H76" s="49">
        <f>'Avg Week Kyankwanzi-Bukomero'!H76+'Avg Week Bukomero-Kyankwanzi'!H76</f>
        <v>0</v>
      </c>
      <c r="I76" s="49">
        <f>'Avg Week Kyankwanzi-Bukomero'!I76+'Avg Week Bukomero-Kyankwanzi'!I76</f>
        <v>0.5</v>
      </c>
      <c r="J76" s="49">
        <f>'Avg Week Kyankwanzi-Bukomero'!J76+'Avg Week Bukomero-Kyankwanzi'!J76</f>
        <v>0</v>
      </c>
      <c r="K76" s="49">
        <f>'Avg Week Kyankwanzi-Bukomero'!K76+'Avg Week Bukomero-Kyankwanzi'!K76</f>
        <v>0.5</v>
      </c>
      <c r="L76" s="49">
        <f>'Avg Week Kyankwanzi-Bukomero'!L76+'Avg Week Bukomero-Kyankwanzi'!L76</f>
        <v>0</v>
      </c>
      <c r="M76" s="49">
        <f>'Avg Week Kyankwanzi-Bukomero'!M76+'Avg Week Bukomero-Kyankwanzi'!M76</f>
        <v>5</v>
      </c>
      <c r="N76" s="49">
        <f>'Avg Week Kyankwanzi-Bukomero'!N76+'Avg Week Bukomero-Kyankwanzi'!N76</f>
        <v>0</v>
      </c>
      <c r="O76" s="15">
        <f t="shared" si="35"/>
        <v>1.5</v>
      </c>
      <c r="P76" s="15">
        <f t="shared" si="36"/>
        <v>6.5</v>
      </c>
      <c r="R76" s="8"/>
      <c r="T76"/>
    </row>
    <row r="77" spans="2:20" ht="23.1" customHeight="1" x14ac:dyDescent="0.25">
      <c r="B77" s="23" t="s">
        <v>117</v>
      </c>
      <c r="C77" s="49">
        <f>'Avg Week Kyankwanzi-Bukomero'!C77+'Avg Week Bukomero-Kyankwanzi'!C77</f>
        <v>0</v>
      </c>
      <c r="D77" s="49">
        <f>'Avg Week Kyankwanzi-Bukomero'!D77+'Avg Week Bukomero-Kyankwanzi'!D77</f>
        <v>0</v>
      </c>
      <c r="E77" s="49">
        <f>'Avg Week Kyankwanzi-Bukomero'!E77+'Avg Week Bukomero-Kyankwanzi'!E77</f>
        <v>0</v>
      </c>
      <c r="F77" s="49">
        <f>'Avg Week Kyankwanzi-Bukomero'!F77+'Avg Week Bukomero-Kyankwanzi'!F77</f>
        <v>0</v>
      </c>
      <c r="G77" s="49">
        <f>'Avg Week Kyankwanzi-Bukomero'!G77+'Avg Week Bukomero-Kyankwanzi'!G77</f>
        <v>0</v>
      </c>
      <c r="H77" s="49">
        <f>'Avg Week Kyankwanzi-Bukomero'!H77+'Avg Week Bukomero-Kyankwanzi'!H77</f>
        <v>0</v>
      </c>
      <c r="I77" s="49">
        <f>'Avg Week Kyankwanzi-Bukomero'!I77+'Avg Week Bukomero-Kyankwanzi'!I77</f>
        <v>0.5</v>
      </c>
      <c r="J77" s="49">
        <f>'Avg Week Kyankwanzi-Bukomero'!J77+'Avg Week Bukomero-Kyankwanzi'!J77</f>
        <v>0</v>
      </c>
      <c r="K77" s="49">
        <f>'Avg Week Kyankwanzi-Bukomero'!K77+'Avg Week Bukomero-Kyankwanzi'!K77</f>
        <v>0</v>
      </c>
      <c r="L77" s="49">
        <f>'Avg Week Kyankwanzi-Bukomero'!L77+'Avg Week Bukomero-Kyankwanzi'!L77</f>
        <v>0</v>
      </c>
      <c r="M77" s="49">
        <f>'Avg Week Kyankwanzi-Bukomero'!M77+'Avg Week Bukomero-Kyankwanzi'!M77</f>
        <v>9</v>
      </c>
      <c r="N77" s="49">
        <f>'Avg Week Kyankwanzi-Bukomero'!N77+'Avg Week Bukomero-Kyankwanzi'!N77</f>
        <v>0</v>
      </c>
      <c r="O77" s="15">
        <f t="shared" si="35"/>
        <v>0.5</v>
      </c>
      <c r="P77" s="15">
        <f t="shared" si="36"/>
        <v>9.5</v>
      </c>
      <c r="R77" s="8"/>
      <c r="T77"/>
    </row>
    <row r="78" spans="2:20" ht="23.1" customHeight="1" x14ac:dyDescent="0.25">
      <c r="B78" s="24" t="s">
        <v>118</v>
      </c>
      <c r="C78" s="49">
        <f>'Avg Week Kyankwanzi-Bukomero'!C78+'Avg Week Bukomero-Kyankwanzi'!C78</f>
        <v>0</v>
      </c>
      <c r="D78" s="49">
        <f>'Avg Week Kyankwanzi-Bukomero'!D78+'Avg Week Bukomero-Kyankwanzi'!D78</f>
        <v>0</v>
      </c>
      <c r="E78" s="49">
        <f>'Avg Week Kyankwanzi-Bukomero'!E78+'Avg Week Bukomero-Kyankwanzi'!E78</f>
        <v>0</v>
      </c>
      <c r="F78" s="49">
        <f>'Avg Week Kyankwanzi-Bukomero'!F78+'Avg Week Bukomero-Kyankwanzi'!F78</f>
        <v>0</v>
      </c>
      <c r="G78" s="49">
        <f>'Avg Week Kyankwanzi-Bukomero'!G78+'Avg Week Bukomero-Kyankwanzi'!G78</f>
        <v>0</v>
      </c>
      <c r="H78" s="49">
        <f>'Avg Week Kyankwanzi-Bukomero'!H78+'Avg Week Bukomero-Kyankwanzi'!H78</f>
        <v>0</v>
      </c>
      <c r="I78" s="49">
        <f>'Avg Week Kyankwanzi-Bukomero'!I78+'Avg Week Bukomero-Kyankwanzi'!I78</f>
        <v>1.5</v>
      </c>
      <c r="J78" s="49">
        <f>'Avg Week Kyankwanzi-Bukomero'!J78+'Avg Week Bukomero-Kyankwanzi'!J78</f>
        <v>0</v>
      </c>
      <c r="K78" s="49">
        <f>'Avg Week Kyankwanzi-Bukomero'!K78+'Avg Week Bukomero-Kyankwanzi'!K78</f>
        <v>0</v>
      </c>
      <c r="L78" s="49">
        <f>'Avg Week Kyankwanzi-Bukomero'!L78+'Avg Week Bukomero-Kyankwanzi'!L78</f>
        <v>0</v>
      </c>
      <c r="M78" s="49">
        <f>'Avg Week Kyankwanzi-Bukomero'!M78+'Avg Week Bukomero-Kyankwanzi'!M78</f>
        <v>3.5</v>
      </c>
      <c r="N78" s="49">
        <f>'Avg Week Kyankwanzi-Bukomero'!N78+'Avg Week Bukomero-Kyankwanzi'!N78</f>
        <v>0</v>
      </c>
      <c r="O78" s="15">
        <f t="shared" si="35"/>
        <v>1.5</v>
      </c>
      <c r="P78" s="15">
        <f t="shared" si="36"/>
        <v>5</v>
      </c>
      <c r="R78" s="8"/>
      <c r="T78"/>
    </row>
    <row r="79" spans="2:20" ht="23.1" customHeight="1" x14ac:dyDescent="0.25">
      <c r="B79" s="23" t="s">
        <v>119</v>
      </c>
      <c r="C79" s="49">
        <f>'Avg Week Kyankwanzi-Bukomero'!C79+'Avg Week Bukomero-Kyankwanzi'!C79</f>
        <v>0</v>
      </c>
      <c r="D79" s="49">
        <f>'Avg Week Kyankwanzi-Bukomero'!D79+'Avg Week Bukomero-Kyankwanzi'!D79</f>
        <v>0</v>
      </c>
      <c r="E79" s="49">
        <f>'Avg Week Kyankwanzi-Bukomero'!E79+'Avg Week Bukomero-Kyankwanzi'!E79</f>
        <v>0</v>
      </c>
      <c r="F79" s="49">
        <f>'Avg Week Kyankwanzi-Bukomero'!F79+'Avg Week Bukomero-Kyankwanzi'!F79</f>
        <v>0</v>
      </c>
      <c r="G79" s="49">
        <f>'Avg Week Kyankwanzi-Bukomero'!G79+'Avg Week Bukomero-Kyankwanzi'!G79</f>
        <v>0</v>
      </c>
      <c r="H79" s="49">
        <f>'Avg Week Kyankwanzi-Bukomero'!H79+'Avg Week Bukomero-Kyankwanzi'!H79</f>
        <v>0</v>
      </c>
      <c r="I79" s="49">
        <f>'Avg Week Kyankwanzi-Bukomero'!I79+'Avg Week Bukomero-Kyankwanzi'!I79</f>
        <v>1</v>
      </c>
      <c r="J79" s="49">
        <f>'Avg Week Kyankwanzi-Bukomero'!J79+'Avg Week Bukomero-Kyankwanzi'!J79</f>
        <v>0.5</v>
      </c>
      <c r="K79" s="49">
        <f>'Avg Week Kyankwanzi-Bukomero'!K79+'Avg Week Bukomero-Kyankwanzi'!K79</f>
        <v>0</v>
      </c>
      <c r="L79" s="49">
        <f>'Avg Week Kyankwanzi-Bukomero'!L79+'Avg Week Bukomero-Kyankwanzi'!L79</f>
        <v>0</v>
      </c>
      <c r="M79" s="49">
        <f>'Avg Week Kyankwanzi-Bukomero'!M79+'Avg Week Bukomero-Kyankwanzi'!M79</f>
        <v>0.5</v>
      </c>
      <c r="N79" s="49">
        <f>'Avg Week Kyankwanzi-Bukomero'!N79+'Avg Week Bukomero-Kyankwanzi'!N79</f>
        <v>0</v>
      </c>
      <c r="O79" s="15">
        <f t="shared" si="35"/>
        <v>1.5</v>
      </c>
      <c r="P79" s="15">
        <f t="shared" si="36"/>
        <v>2</v>
      </c>
      <c r="R79" s="8"/>
      <c r="T79"/>
    </row>
    <row r="80" spans="2:20" ht="23.1" customHeight="1" x14ac:dyDescent="0.25">
      <c r="B80" s="25" t="s">
        <v>120</v>
      </c>
      <c r="C80" s="49">
        <f>'Avg Week Kyankwanzi-Bukomero'!C80+'Avg Week Bukomero-Kyankwanzi'!C80</f>
        <v>0</v>
      </c>
      <c r="D80" s="49">
        <f>'Avg Week Kyankwanzi-Bukomero'!D80+'Avg Week Bukomero-Kyankwanzi'!D80</f>
        <v>0</v>
      </c>
      <c r="E80" s="49">
        <f>'Avg Week Kyankwanzi-Bukomero'!E80+'Avg Week Bukomero-Kyankwanzi'!E80</f>
        <v>0</v>
      </c>
      <c r="F80" s="49">
        <f>'Avg Week Kyankwanzi-Bukomero'!F80+'Avg Week Bukomero-Kyankwanzi'!F80</f>
        <v>0.5</v>
      </c>
      <c r="G80" s="49">
        <f>'Avg Week Kyankwanzi-Bukomero'!G80+'Avg Week Bukomero-Kyankwanzi'!G80</f>
        <v>0</v>
      </c>
      <c r="H80" s="49">
        <f>'Avg Week Kyankwanzi-Bukomero'!H80+'Avg Week Bukomero-Kyankwanzi'!H80</f>
        <v>0</v>
      </c>
      <c r="I80" s="49">
        <f>'Avg Week Kyankwanzi-Bukomero'!I80+'Avg Week Bukomero-Kyankwanzi'!I80</f>
        <v>0.5</v>
      </c>
      <c r="J80" s="49">
        <f>'Avg Week Kyankwanzi-Bukomero'!J80+'Avg Week Bukomero-Kyankwanzi'!J80</f>
        <v>0.5</v>
      </c>
      <c r="K80" s="49">
        <f>'Avg Week Kyankwanzi-Bukomero'!K80+'Avg Week Bukomero-Kyankwanzi'!K80</f>
        <v>0</v>
      </c>
      <c r="L80" s="49">
        <f>'Avg Week Kyankwanzi-Bukomero'!L80+'Avg Week Bukomero-Kyankwanzi'!L80</f>
        <v>0</v>
      </c>
      <c r="M80" s="49">
        <f>'Avg Week Kyankwanzi-Bukomero'!M80+'Avg Week Bukomero-Kyankwanzi'!M80</f>
        <v>1.5</v>
      </c>
      <c r="N80" s="49">
        <f>'Avg Week Kyankwanzi-Bukomero'!N80+'Avg Week Bukomero-Kyankwanzi'!N80</f>
        <v>0</v>
      </c>
      <c r="O80" s="15">
        <f t="shared" si="35"/>
        <v>1.5</v>
      </c>
      <c r="P80" s="15">
        <f t="shared" si="36"/>
        <v>3</v>
      </c>
      <c r="R80" s="8"/>
      <c r="T80"/>
    </row>
    <row r="81" spans="2:20" ht="23.1" customHeight="1" x14ac:dyDescent="0.25">
      <c r="B81" s="23" t="s">
        <v>121</v>
      </c>
      <c r="C81" s="49">
        <f>'Avg Week Kyankwanzi-Bukomero'!C81+'Avg Week Bukomero-Kyankwanzi'!C81</f>
        <v>0</v>
      </c>
      <c r="D81" s="49">
        <f>'Avg Week Kyankwanzi-Bukomero'!D81+'Avg Week Bukomero-Kyankwanzi'!D81</f>
        <v>0</v>
      </c>
      <c r="E81" s="49">
        <f>'Avg Week Kyankwanzi-Bukomero'!E81+'Avg Week Bukomero-Kyankwanzi'!E81</f>
        <v>0</v>
      </c>
      <c r="F81" s="49">
        <f>'Avg Week Kyankwanzi-Bukomero'!F81+'Avg Week Bukomero-Kyankwanzi'!F81</f>
        <v>0</v>
      </c>
      <c r="G81" s="49">
        <f>'Avg Week Kyankwanzi-Bukomero'!G81+'Avg Week Bukomero-Kyankwanzi'!G81</f>
        <v>0</v>
      </c>
      <c r="H81" s="49">
        <f>'Avg Week Kyankwanzi-Bukomero'!H81+'Avg Week Bukomero-Kyankwanzi'!H81</f>
        <v>0</v>
      </c>
      <c r="I81" s="49">
        <f>'Avg Week Kyankwanzi-Bukomero'!I81+'Avg Week Bukomero-Kyankwanzi'!I81</f>
        <v>0.5</v>
      </c>
      <c r="J81" s="49">
        <f>'Avg Week Kyankwanzi-Bukomero'!J81+'Avg Week Bukomero-Kyankwanzi'!J81</f>
        <v>0.5</v>
      </c>
      <c r="K81" s="49">
        <f>'Avg Week Kyankwanzi-Bukomero'!K81+'Avg Week Bukomero-Kyankwanzi'!K81</f>
        <v>0</v>
      </c>
      <c r="L81" s="49">
        <f>'Avg Week Kyankwanzi-Bukomero'!L81+'Avg Week Bukomero-Kyankwanzi'!L81</f>
        <v>0</v>
      </c>
      <c r="M81" s="49">
        <f>'Avg Week Kyankwanzi-Bukomero'!M81+'Avg Week Bukomero-Kyankwanzi'!M81</f>
        <v>2</v>
      </c>
      <c r="N81" s="49">
        <f>'Avg Week Kyankwanzi-Bukomero'!N81+'Avg Week Bukomero-Kyankwanzi'!N81</f>
        <v>0</v>
      </c>
      <c r="O81" s="15">
        <f t="shared" si="35"/>
        <v>1</v>
      </c>
      <c r="P81" s="15">
        <f t="shared" si="36"/>
        <v>3</v>
      </c>
      <c r="R81" s="8"/>
      <c r="T81"/>
    </row>
    <row r="82" spans="2:20" ht="23.1" customHeight="1" x14ac:dyDescent="0.25">
      <c r="B82" s="24" t="s">
        <v>122</v>
      </c>
      <c r="C82" s="49">
        <f>'Avg Week Kyankwanzi-Bukomero'!C82+'Avg Week Bukomero-Kyankwanzi'!C82</f>
        <v>1</v>
      </c>
      <c r="D82" s="49">
        <f>'Avg Week Kyankwanzi-Bukomero'!D82+'Avg Week Bukomero-Kyankwanzi'!D82</f>
        <v>0</v>
      </c>
      <c r="E82" s="49">
        <f>'Avg Week Kyankwanzi-Bukomero'!E82+'Avg Week Bukomero-Kyankwanzi'!E82</f>
        <v>0</v>
      </c>
      <c r="F82" s="49">
        <f>'Avg Week Kyankwanzi-Bukomero'!F82+'Avg Week Bukomero-Kyankwanzi'!F82</f>
        <v>0</v>
      </c>
      <c r="G82" s="49">
        <f>'Avg Week Kyankwanzi-Bukomero'!G82+'Avg Week Bukomero-Kyankwanzi'!G82</f>
        <v>0</v>
      </c>
      <c r="H82" s="49">
        <f>'Avg Week Kyankwanzi-Bukomero'!H82+'Avg Week Bukomero-Kyankwanzi'!H82</f>
        <v>0</v>
      </c>
      <c r="I82" s="49">
        <f>'Avg Week Kyankwanzi-Bukomero'!I82+'Avg Week Bukomero-Kyankwanzi'!I82</f>
        <v>2</v>
      </c>
      <c r="J82" s="49">
        <f>'Avg Week Kyankwanzi-Bukomero'!J82+'Avg Week Bukomero-Kyankwanzi'!J82</f>
        <v>0</v>
      </c>
      <c r="K82" s="49">
        <f>'Avg Week Kyankwanzi-Bukomero'!K82+'Avg Week Bukomero-Kyankwanzi'!K82</f>
        <v>0</v>
      </c>
      <c r="L82" s="49">
        <f>'Avg Week Kyankwanzi-Bukomero'!L82+'Avg Week Bukomero-Kyankwanzi'!L82</f>
        <v>0</v>
      </c>
      <c r="M82" s="49">
        <f>'Avg Week Kyankwanzi-Bukomero'!M82+'Avg Week Bukomero-Kyankwanzi'!M82</f>
        <v>2</v>
      </c>
      <c r="N82" s="49">
        <f>'Avg Week Kyankwanzi-Bukomero'!N82+'Avg Week Bukomero-Kyankwanzi'!N82</f>
        <v>0</v>
      </c>
      <c r="O82" s="15">
        <f t="shared" si="35"/>
        <v>3</v>
      </c>
      <c r="P82" s="15">
        <f t="shared" si="36"/>
        <v>5</v>
      </c>
      <c r="R82" s="8"/>
      <c r="T82"/>
    </row>
    <row r="83" spans="2:20" ht="23.1" customHeight="1" x14ac:dyDescent="0.25">
      <c r="B83" s="23" t="s">
        <v>123</v>
      </c>
      <c r="C83" s="49">
        <f>'Avg Week Kyankwanzi-Bukomero'!C83+'Avg Week Bukomero-Kyankwanzi'!C83</f>
        <v>1.5</v>
      </c>
      <c r="D83" s="49">
        <f>'Avg Week Kyankwanzi-Bukomero'!D83+'Avg Week Bukomero-Kyankwanzi'!D83</f>
        <v>0</v>
      </c>
      <c r="E83" s="49">
        <f>'Avg Week Kyankwanzi-Bukomero'!E83+'Avg Week Bukomero-Kyankwanzi'!E83</f>
        <v>0</v>
      </c>
      <c r="F83" s="49">
        <f>'Avg Week Kyankwanzi-Bukomero'!F83+'Avg Week Bukomero-Kyankwanzi'!F83</f>
        <v>0</v>
      </c>
      <c r="G83" s="49">
        <f>'Avg Week Kyankwanzi-Bukomero'!G83+'Avg Week Bukomero-Kyankwanzi'!G83</f>
        <v>0</v>
      </c>
      <c r="H83" s="49">
        <f>'Avg Week Kyankwanzi-Bukomero'!H83+'Avg Week Bukomero-Kyankwanzi'!H83</f>
        <v>0</v>
      </c>
      <c r="I83" s="49">
        <f>'Avg Week Kyankwanzi-Bukomero'!I83+'Avg Week Bukomero-Kyankwanzi'!I83</f>
        <v>1</v>
      </c>
      <c r="J83" s="49">
        <f>'Avg Week Kyankwanzi-Bukomero'!J83+'Avg Week Bukomero-Kyankwanzi'!J83</f>
        <v>0.5</v>
      </c>
      <c r="K83" s="49">
        <f>'Avg Week Kyankwanzi-Bukomero'!K83+'Avg Week Bukomero-Kyankwanzi'!K83</f>
        <v>0</v>
      </c>
      <c r="L83" s="49">
        <f>'Avg Week Kyankwanzi-Bukomero'!L83+'Avg Week Bukomero-Kyankwanzi'!L83</f>
        <v>0</v>
      </c>
      <c r="M83" s="49">
        <f>'Avg Week Kyankwanzi-Bukomero'!M83+'Avg Week Bukomero-Kyankwanzi'!M83</f>
        <v>1.5</v>
      </c>
      <c r="N83" s="49">
        <f>'Avg Week Kyankwanzi-Bukomero'!N83+'Avg Week Bukomero-Kyankwanzi'!N83</f>
        <v>0</v>
      </c>
      <c r="O83" s="15">
        <f t="shared" si="35"/>
        <v>3</v>
      </c>
      <c r="P83" s="15">
        <f t="shared" si="36"/>
        <v>4.5</v>
      </c>
      <c r="R83" s="8"/>
      <c r="T83"/>
    </row>
    <row r="84" spans="2:20" ht="23.1" customHeight="1" x14ac:dyDescent="0.25">
      <c r="B84" s="25" t="s">
        <v>124</v>
      </c>
      <c r="C84" s="49">
        <f>'Avg Week Kyankwanzi-Bukomero'!C84+'Avg Week Bukomero-Kyankwanzi'!C84</f>
        <v>0</v>
      </c>
      <c r="D84" s="49">
        <f>'Avg Week Kyankwanzi-Bukomero'!D84+'Avg Week Bukomero-Kyankwanzi'!D84</f>
        <v>0</v>
      </c>
      <c r="E84" s="49">
        <f>'Avg Week Kyankwanzi-Bukomero'!E84+'Avg Week Bukomero-Kyankwanzi'!E84</f>
        <v>0</v>
      </c>
      <c r="F84" s="49">
        <f>'Avg Week Kyankwanzi-Bukomero'!F84+'Avg Week Bukomero-Kyankwanzi'!F84</f>
        <v>0</v>
      </c>
      <c r="G84" s="49">
        <f>'Avg Week Kyankwanzi-Bukomero'!G84+'Avg Week Bukomero-Kyankwanzi'!G84</f>
        <v>0</v>
      </c>
      <c r="H84" s="49">
        <f>'Avg Week Kyankwanzi-Bukomero'!H84+'Avg Week Bukomero-Kyankwanzi'!H84</f>
        <v>0</v>
      </c>
      <c r="I84" s="49">
        <f>'Avg Week Kyankwanzi-Bukomero'!I84+'Avg Week Bukomero-Kyankwanzi'!I84</f>
        <v>1.5</v>
      </c>
      <c r="J84" s="49">
        <f>'Avg Week Kyankwanzi-Bukomero'!J84+'Avg Week Bukomero-Kyankwanzi'!J84</f>
        <v>0</v>
      </c>
      <c r="K84" s="49">
        <f>'Avg Week Kyankwanzi-Bukomero'!K84+'Avg Week Bukomero-Kyankwanzi'!K84</f>
        <v>0</v>
      </c>
      <c r="L84" s="49">
        <f>'Avg Week Kyankwanzi-Bukomero'!L84+'Avg Week Bukomero-Kyankwanzi'!L84</f>
        <v>0</v>
      </c>
      <c r="M84" s="49">
        <f>'Avg Week Kyankwanzi-Bukomero'!M84+'Avg Week Bukomero-Kyankwanzi'!M84</f>
        <v>0.5</v>
      </c>
      <c r="N84" s="49">
        <f>'Avg Week Kyankwanzi-Bukomero'!N84+'Avg Week Bukomero-Kyankwanzi'!N84</f>
        <v>0</v>
      </c>
      <c r="O84" s="15">
        <f t="shared" si="35"/>
        <v>1.5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'Avg Week Kyankwanzi-Bukomero'!C85+'Avg Week Bukomero-Kyankwanzi'!C85</f>
        <v>0.5</v>
      </c>
      <c r="D85" s="49">
        <f>'Avg Week Kyankwanzi-Bukomero'!D85+'Avg Week Bukomero-Kyankwanzi'!D85</f>
        <v>0</v>
      </c>
      <c r="E85" s="49">
        <f>'Avg Week Kyankwanzi-Bukomero'!E85+'Avg Week Bukomero-Kyankwanzi'!E85</f>
        <v>0</v>
      </c>
      <c r="F85" s="49">
        <f>'Avg Week Kyankwanzi-Bukomero'!F85+'Avg Week Bukomero-Kyankwanzi'!F85</f>
        <v>0</v>
      </c>
      <c r="G85" s="49">
        <f>'Avg Week Kyankwanzi-Bukomero'!G85+'Avg Week Bukomero-Kyankwanzi'!G85</f>
        <v>0</v>
      </c>
      <c r="H85" s="49">
        <f>'Avg Week Kyankwanzi-Bukomero'!H85+'Avg Week Bukomero-Kyankwanzi'!H85</f>
        <v>0</v>
      </c>
      <c r="I85" s="49">
        <f>'Avg Week Kyankwanzi-Bukomero'!I85+'Avg Week Bukomero-Kyankwanzi'!I85</f>
        <v>1</v>
      </c>
      <c r="J85" s="49">
        <f>'Avg Week Kyankwanzi-Bukomero'!J85+'Avg Week Bukomero-Kyankwanzi'!J85</f>
        <v>0</v>
      </c>
      <c r="K85" s="49">
        <f>'Avg Week Kyankwanzi-Bukomero'!K85+'Avg Week Bukomero-Kyankwanzi'!K85</f>
        <v>0</v>
      </c>
      <c r="L85" s="49">
        <f>'Avg Week Kyankwanzi-Bukomero'!L85+'Avg Week Bukomero-Kyankwanzi'!L85</f>
        <v>0</v>
      </c>
      <c r="M85" s="49">
        <f>'Avg Week Kyankwanzi-Bukomero'!M85+'Avg Week Bukomero-Kyankwanzi'!M85</f>
        <v>2</v>
      </c>
      <c r="N85" s="49">
        <f>'Avg Week Kyankwanzi-Bukomero'!N85+'Avg Week Bukomero-Kyankwanzi'!N85</f>
        <v>0</v>
      </c>
      <c r="O85" s="15">
        <f t="shared" si="35"/>
        <v>1.5</v>
      </c>
      <c r="P85" s="15">
        <f t="shared" si="36"/>
        <v>3.5</v>
      </c>
      <c r="R85" s="8"/>
      <c r="T85"/>
    </row>
    <row r="86" spans="2:20" ht="23.1" customHeight="1" x14ac:dyDescent="0.25">
      <c r="B86" s="24" t="s">
        <v>126</v>
      </c>
      <c r="C86" s="49">
        <f>'Avg Week Kyankwanzi-Bukomero'!C86+'Avg Week Bukomero-Kyankwanzi'!C86</f>
        <v>0.5</v>
      </c>
      <c r="D86" s="49">
        <f>'Avg Week Kyankwanzi-Bukomero'!D86+'Avg Week Bukomero-Kyankwanzi'!D86</f>
        <v>0.5</v>
      </c>
      <c r="E86" s="49">
        <f>'Avg Week Kyankwanzi-Bukomero'!E86+'Avg Week Bukomero-Kyankwanzi'!E86</f>
        <v>0</v>
      </c>
      <c r="F86" s="49">
        <f>'Avg Week Kyankwanzi-Bukomero'!F86+'Avg Week Bukomero-Kyankwanzi'!F86</f>
        <v>0</v>
      </c>
      <c r="G86" s="49">
        <f>'Avg Week Kyankwanzi-Bukomero'!G86+'Avg Week Bukomero-Kyankwanzi'!G86</f>
        <v>0</v>
      </c>
      <c r="H86" s="49">
        <f>'Avg Week Kyankwanzi-Bukomero'!H86+'Avg Week Bukomero-Kyankwanzi'!H86</f>
        <v>0</v>
      </c>
      <c r="I86" s="49">
        <f>'Avg Week Kyankwanzi-Bukomero'!I86+'Avg Week Bukomero-Kyankwanzi'!I86</f>
        <v>1.5</v>
      </c>
      <c r="J86" s="49">
        <f>'Avg Week Kyankwanzi-Bukomero'!J86+'Avg Week Bukomero-Kyankwanzi'!J86</f>
        <v>0.5</v>
      </c>
      <c r="K86" s="49">
        <f>'Avg Week Kyankwanzi-Bukomero'!K86+'Avg Week Bukomero-Kyankwanzi'!K86</f>
        <v>0</v>
      </c>
      <c r="L86" s="49">
        <f>'Avg Week Kyankwanzi-Bukomero'!L86+'Avg Week Bukomero-Kyankwanzi'!L86</f>
        <v>0</v>
      </c>
      <c r="M86" s="49">
        <f>'Avg Week Kyankwanzi-Bukomero'!M86+'Avg Week Bukomero-Kyankwanzi'!M86</f>
        <v>0</v>
      </c>
      <c r="N86" s="49">
        <f>'Avg Week Kyankwanzi-Bukomero'!N86+'Avg Week Bukomero-Kyankwanzi'!N86</f>
        <v>0</v>
      </c>
      <c r="O86" s="15">
        <f t="shared" si="35"/>
        <v>3</v>
      </c>
      <c r="P86" s="15">
        <f t="shared" si="36"/>
        <v>3</v>
      </c>
      <c r="R86" s="8"/>
      <c r="T86"/>
    </row>
    <row r="87" spans="2:20" ht="23.1" customHeight="1" x14ac:dyDescent="0.25">
      <c r="B87" s="23" t="s">
        <v>127</v>
      </c>
      <c r="C87" s="49">
        <f>'Avg Week Kyankwanzi-Bukomero'!C87+'Avg Week Bukomero-Kyankwanzi'!C87</f>
        <v>0.5</v>
      </c>
      <c r="D87" s="49">
        <f>'Avg Week Kyankwanzi-Bukomero'!D87+'Avg Week Bukomero-Kyankwanzi'!D87</f>
        <v>0</v>
      </c>
      <c r="E87" s="49">
        <f>'Avg Week Kyankwanzi-Bukomero'!E87+'Avg Week Bukomero-Kyankwanzi'!E87</f>
        <v>0</v>
      </c>
      <c r="F87" s="49">
        <f>'Avg Week Kyankwanzi-Bukomero'!F87+'Avg Week Bukomero-Kyankwanzi'!F87</f>
        <v>0</v>
      </c>
      <c r="G87" s="49">
        <f>'Avg Week Kyankwanzi-Bukomero'!G87+'Avg Week Bukomero-Kyankwanzi'!G87</f>
        <v>0</v>
      </c>
      <c r="H87" s="49">
        <f>'Avg Week Kyankwanzi-Bukomero'!H87+'Avg Week Bukomero-Kyankwanzi'!H87</f>
        <v>0</v>
      </c>
      <c r="I87" s="49">
        <f>'Avg Week Kyankwanzi-Bukomero'!I87+'Avg Week Bukomero-Kyankwanzi'!I87</f>
        <v>0</v>
      </c>
      <c r="J87" s="49">
        <f>'Avg Week Kyankwanzi-Bukomero'!J87+'Avg Week Bukomero-Kyankwanzi'!J87</f>
        <v>0</v>
      </c>
      <c r="K87" s="49">
        <f>'Avg Week Kyankwanzi-Bukomero'!K87+'Avg Week Bukomero-Kyankwanzi'!K87</f>
        <v>0</v>
      </c>
      <c r="L87" s="49">
        <f>'Avg Week Kyankwanzi-Bukomero'!L87+'Avg Week Bukomero-Kyankwanzi'!L87</f>
        <v>0</v>
      </c>
      <c r="M87" s="49">
        <f>'Avg Week Kyankwanzi-Bukomero'!M87+'Avg Week Bukomero-Kyankwanzi'!M87</f>
        <v>2.5</v>
      </c>
      <c r="N87" s="49">
        <f>'Avg Week Kyankwanzi-Bukomero'!N87+'Avg Week Bukomero-Kyankwanzi'!N87</f>
        <v>0</v>
      </c>
      <c r="O87" s="15">
        <f t="shared" si="35"/>
        <v>0.5</v>
      </c>
      <c r="P87" s="15">
        <f t="shared" si="36"/>
        <v>3</v>
      </c>
      <c r="R87" s="8"/>
      <c r="T87"/>
    </row>
    <row r="88" spans="2:20" ht="23.1" customHeight="1" x14ac:dyDescent="0.25">
      <c r="B88" s="25" t="s">
        <v>128</v>
      </c>
      <c r="C88" s="49">
        <f>'Avg Week Kyankwanzi-Bukomero'!C88+'Avg Week Bukomero-Kyankwanzi'!C88</f>
        <v>0</v>
      </c>
      <c r="D88" s="49">
        <f>'Avg Week Kyankwanzi-Bukomero'!D88+'Avg Week Bukomero-Kyankwanzi'!D88</f>
        <v>0</v>
      </c>
      <c r="E88" s="49">
        <f>'Avg Week Kyankwanzi-Bukomero'!E88+'Avg Week Bukomero-Kyankwanzi'!E88</f>
        <v>0</v>
      </c>
      <c r="F88" s="49">
        <f>'Avg Week Kyankwanzi-Bukomero'!F88+'Avg Week Bukomero-Kyankwanzi'!F88</f>
        <v>0</v>
      </c>
      <c r="G88" s="49">
        <f>'Avg Week Kyankwanzi-Bukomero'!G88+'Avg Week Bukomero-Kyankwanzi'!G88</f>
        <v>0</v>
      </c>
      <c r="H88" s="49">
        <f>'Avg Week Kyankwanzi-Bukomero'!H88+'Avg Week Bukomero-Kyankwanzi'!H88</f>
        <v>0</v>
      </c>
      <c r="I88" s="49">
        <f>'Avg Week Kyankwanzi-Bukomero'!I88+'Avg Week Bukomero-Kyankwanzi'!I88</f>
        <v>3</v>
      </c>
      <c r="J88" s="49">
        <f>'Avg Week Kyankwanzi-Bukomero'!J88+'Avg Week Bukomero-Kyankwanzi'!J88</f>
        <v>0</v>
      </c>
      <c r="K88" s="49">
        <f>'Avg Week Kyankwanzi-Bukomero'!K88+'Avg Week Bukomero-Kyankwanzi'!K88</f>
        <v>0</v>
      </c>
      <c r="L88" s="49">
        <f>'Avg Week Kyankwanzi-Bukomero'!L88+'Avg Week Bukomero-Kyankwanzi'!L88</f>
        <v>0</v>
      </c>
      <c r="M88" s="49">
        <f>'Avg Week Kyankwanzi-Bukomero'!M88+'Avg Week Bukomero-Kyankwanzi'!M88</f>
        <v>0</v>
      </c>
      <c r="N88" s="49">
        <f>'Avg Week Kyankwanzi-Bukomero'!N88+'Avg Week Bukomero-Kyankwanzi'!N88</f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'Avg Week Kyankwanzi-Bukomero'!C89+'Avg Week Bukomero-Kyankwanzi'!C89</f>
        <v>0</v>
      </c>
      <c r="D89" s="49">
        <f>'Avg Week Kyankwanzi-Bukomero'!D89+'Avg Week Bukomero-Kyankwanzi'!D89</f>
        <v>0</v>
      </c>
      <c r="E89" s="49">
        <f>'Avg Week Kyankwanzi-Bukomero'!E89+'Avg Week Bukomero-Kyankwanzi'!E89</f>
        <v>0</v>
      </c>
      <c r="F89" s="49">
        <f>'Avg Week Kyankwanzi-Bukomero'!F89+'Avg Week Bukomero-Kyankwanzi'!F89</f>
        <v>0</v>
      </c>
      <c r="G89" s="49">
        <f>'Avg Week Kyankwanzi-Bukomero'!G89+'Avg Week Bukomero-Kyankwanzi'!G89</f>
        <v>0</v>
      </c>
      <c r="H89" s="49">
        <f>'Avg Week Kyankwanzi-Bukomero'!H89+'Avg Week Bukomero-Kyankwanzi'!H89</f>
        <v>0</v>
      </c>
      <c r="I89" s="49">
        <f>'Avg Week Kyankwanzi-Bukomero'!I89+'Avg Week Bukomero-Kyankwanzi'!I89</f>
        <v>1.5</v>
      </c>
      <c r="J89" s="49">
        <f>'Avg Week Kyankwanzi-Bukomero'!J89+'Avg Week Bukomero-Kyankwanzi'!J89</f>
        <v>0</v>
      </c>
      <c r="K89" s="49">
        <f>'Avg Week Kyankwanzi-Bukomero'!K89+'Avg Week Bukomero-Kyankwanzi'!K89</f>
        <v>0</v>
      </c>
      <c r="L89" s="49">
        <f>'Avg Week Kyankwanzi-Bukomero'!L89+'Avg Week Bukomero-Kyankwanzi'!L89</f>
        <v>0</v>
      </c>
      <c r="M89" s="49">
        <f>'Avg Week Kyankwanzi-Bukomero'!M89+'Avg Week Bukomero-Kyankwanzi'!M89</f>
        <v>0.5</v>
      </c>
      <c r="N89" s="49">
        <f>'Avg Week Kyankwanzi-Bukomero'!N89+'Avg Week Bukomero-Kyankwanzi'!N89</f>
        <v>0</v>
      </c>
      <c r="O89" s="15">
        <f t="shared" si="35"/>
        <v>1.5</v>
      </c>
      <c r="P89" s="15">
        <f t="shared" si="36"/>
        <v>2</v>
      </c>
      <c r="R89" s="8"/>
      <c r="T89"/>
    </row>
    <row r="90" spans="2:20" ht="23.1" customHeight="1" x14ac:dyDescent="0.25">
      <c r="B90" s="24" t="s">
        <v>130</v>
      </c>
      <c r="C90" s="49">
        <f>'Avg Week Kyankwanzi-Bukomero'!C90+'Avg Week Bukomero-Kyankwanzi'!C90</f>
        <v>0.5</v>
      </c>
      <c r="D90" s="49">
        <f>'Avg Week Kyankwanzi-Bukomero'!D90+'Avg Week Bukomero-Kyankwanzi'!D90</f>
        <v>0</v>
      </c>
      <c r="E90" s="49">
        <f>'Avg Week Kyankwanzi-Bukomero'!E90+'Avg Week Bukomero-Kyankwanzi'!E90</f>
        <v>0</v>
      </c>
      <c r="F90" s="49">
        <f>'Avg Week Kyankwanzi-Bukomero'!F90+'Avg Week Bukomero-Kyankwanzi'!F90</f>
        <v>0.5</v>
      </c>
      <c r="G90" s="49">
        <f>'Avg Week Kyankwanzi-Bukomero'!G90+'Avg Week Bukomero-Kyankwanzi'!G90</f>
        <v>0</v>
      </c>
      <c r="H90" s="49">
        <f>'Avg Week Kyankwanzi-Bukomero'!H90+'Avg Week Bukomero-Kyankwanzi'!H90</f>
        <v>0</v>
      </c>
      <c r="I90" s="49">
        <f>'Avg Week Kyankwanzi-Bukomero'!I90+'Avg Week Bukomero-Kyankwanzi'!I90</f>
        <v>2</v>
      </c>
      <c r="J90" s="49">
        <f>'Avg Week Kyankwanzi-Bukomero'!J90+'Avg Week Bukomero-Kyankwanzi'!J90</f>
        <v>1</v>
      </c>
      <c r="K90" s="49">
        <f>'Avg Week Kyankwanzi-Bukomero'!K90+'Avg Week Bukomero-Kyankwanzi'!K90</f>
        <v>0</v>
      </c>
      <c r="L90" s="49">
        <f>'Avg Week Kyankwanzi-Bukomero'!L90+'Avg Week Bukomero-Kyankwanzi'!L90</f>
        <v>0</v>
      </c>
      <c r="M90" s="49">
        <f>'Avg Week Kyankwanzi-Bukomero'!M90+'Avg Week Bukomero-Kyankwanzi'!M90</f>
        <v>1</v>
      </c>
      <c r="N90" s="49">
        <f>'Avg Week Kyankwanzi-Bukomero'!N90+'Avg Week Bukomero-Kyankwanzi'!N90</f>
        <v>1</v>
      </c>
      <c r="O90" s="15">
        <f t="shared" si="35"/>
        <v>5</v>
      </c>
      <c r="P90" s="15">
        <f t="shared" si="36"/>
        <v>6</v>
      </c>
      <c r="R90" s="8"/>
      <c r="T90"/>
    </row>
    <row r="91" spans="2:20" ht="23.1" customHeight="1" x14ac:dyDescent="0.25">
      <c r="B91" s="23" t="s">
        <v>131</v>
      </c>
      <c r="C91" s="49">
        <f>'Avg Week Kyankwanzi-Bukomero'!C91+'Avg Week Bukomero-Kyankwanzi'!C91</f>
        <v>0</v>
      </c>
      <c r="D91" s="49">
        <f>'Avg Week Kyankwanzi-Bukomero'!D91+'Avg Week Bukomero-Kyankwanzi'!D91</f>
        <v>0</v>
      </c>
      <c r="E91" s="49">
        <f>'Avg Week Kyankwanzi-Bukomero'!E91+'Avg Week Bukomero-Kyankwanzi'!E91</f>
        <v>0</v>
      </c>
      <c r="F91" s="49">
        <f>'Avg Week Kyankwanzi-Bukomero'!F91+'Avg Week Bukomero-Kyankwanzi'!F91</f>
        <v>0</v>
      </c>
      <c r="G91" s="49">
        <f>'Avg Week Kyankwanzi-Bukomero'!G91+'Avg Week Bukomero-Kyankwanzi'!G91</f>
        <v>0</v>
      </c>
      <c r="H91" s="49">
        <f>'Avg Week Kyankwanzi-Bukomero'!H91+'Avg Week Bukomero-Kyankwanzi'!H91</f>
        <v>0</v>
      </c>
      <c r="I91" s="49">
        <f>'Avg Week Kyankwanzi-Bukomero'!I91+'Avg Week Bukomero-Kyankwanzi'!I91</f>
        <v>1</v>
      </c>
      <c r="J91" s="49">
        <f>'Avg Week Kyankwanzi-Bukomero'!J91+'Avg Week Bukomero-Kyankwanzi'!J91</f>
        <v>0</v>
      </c>
      <c r="K91" s="49">
        <f>'Avg Week Kyankwanzi-Bukomero'!K91+'Avg Week Bukomero-Kyankwanzi'!K91</f>
        <v>0</v>
      </c>
      <c r="L91" s="49">
        <f>'Avg Week Kyankwanzi-Bukomero'!L91+'Avg Week Bukomero-Kyankwanzi'!L91</f>
        <v>0</v>
      </c>
      <c r="M91" s="49">
        <f>'Avg Week Kyankwanzi-Bukomero'!M91+'Avg Week Bukomero-Kyankwanzi'!M91</f>
        <v>0.5</v>
      </c>
      <c r="N91" s="49">
        <f>'Avg Week Kyankwanzi-Bukomero'!N91+'Avg Week Bukomero-Kyankwanzi'!N91</f>
        <v>0</v>
      </c>
      <c r="O91" s="15">
        <f t="shared" si="35"/>
        <v>1</v>
      </c>
      <c r="P91" s="15">
        <f t="shared" si="36"/>
        <v>1.5</v>
      </c>
      <c r="R91" s="8"/>
      <c r="T91"/>
    </row>
    <row r="92" spans="2:20" ht="23.1" customHeight="1" x14ac:dyDescent="0.25">
      <c r="B92" s="25" t="s">
        <v>132</v>
      </c>
      <c r="C92" s="49">
        <f>'Avg Week Kyankwanzi-Bukomero'!C92+'Avg Week Bukomero-Kyankwanzi'!C92</f>
        <v>0</v>
      </c>
      <c r="D92" s="49">
        <f>'Avg Week Kyankwanzi-Bukomero'!D92+'Avg Week Bukomero-Kyankwanzi'!D92</f>
        <v>0</v>
      </c>
      <c r="E92" s="49">
        <f>'Avg Week Kyankwanzi-Bukomero'!E92+'Avg Week Bukomero-Kyankwanzi'!E92</f>
        <v>0</v>
      </c>
      <c r="F92" s="49">
        <f>'Avg Week Kyankwanzi-Bukomero'!F92+'Avg Week Bukomero-Kyankwanzi'!F92</f>
        <v>0</v>
      </c>
      <c r="G92" s="49">
        <f>'Avg Week Kyankwanzi-Bukomero'!G92+'Avg Week Bukomero-Kyankwanzi'!G92</f>
        <v>0</v>
      </c>
      <c r="H92" s="49">
        <f>'Avg Week Kyankwanzi-Bukomero'!H92+'Avg Week Bukomero-Kyankwanzi'!H92</f>
        <v>0</v>
      </c>
      <c r="I92" s="49">
        <f>'Avg Week Kyankwanzi-Bukomero'!I92+'Avg Week Bukomero-Kyankwanzi'!I92</f>
        <v>0</v>
      </c>
      <c r="J92" s="49">
        <f>'Avg Week Kyankwanzi-Bukomero'!J92+'Avg Week Bukomero-Kyankwanzi'!J92</f>
        <v>0</v>
      </c>
      <c r="K92" s="49">
        <f>'Avg Week Kyankwanzi-Bukomero'!K92+'Avg Week Bukomero-Kyankwanzi'!K92</f>
        <v>0</v>
      </c>
      <c r="L92" s="49">
        <f>'Avg Week Kyankwanzi-Bukomero'!L92+'Avg Week Bukomero-Kyankwanzi'!L92</f>
        <v>0</v>
      </c>
      <c r="M92" s="49">
        <f>'Avg Week Kyankwanzi-Bukomero'!M92+'Avg Week Bukomero-Kyankwanzi'!M92</f>
        <v>0</v>
      </c>
      <c r="N92" s="49">
        <f>'Avg Week Kyankwanzi-Bukomero'!N92+'Avg Week Bukomero-Kyankwanzi'!N92</f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23" t="s">
        <v>133</v>
      </c>
      <c r="C93" s="49">
        <f>'Avg Week Kyankwanzi-Bukomero'!C93+'Avg Week Bukomero-Kyankwanzi'!C93</f>
        <v>0</v>
      </c>
      <c r="D93" s="49">
        <f>'Avg Week Kyankwanzi-Bukomero'!D93+'Avg Week Bukomero-Kyankwanzi'!D93</f>
        <v>1</v>
      </c>
      <c r="E93" s="49">
        <f>'Avg Week Kyankwanzi-Bukomero'!E93+'Avg Week Bukomero-Kyankwanzi'!E93</f>
        <v>0</v>
      </c>
      <c r="F93" s="49">
        <f>'Avg Week Kyankwanzi-Bukomero'!F93+'Avg Week Bukomero-Kyankwanzi'!F93</f>
        <v>0</v>
      </c>
      <c r="G93" s="49">
        <f>'Avg Week Kyankwanzi-Bukomero'!G93+'Avg Week Bukomero-Kyankwanzi'!G93</f>
        <v>0</v>
      </c>
      <c r="H93" s="49">
        <f>'Avg Week Kyankwanzi-Bukomero'!H93+'Avg Week Bukomero-Kyankwanzi'!H93</f>
        <v>0</v>
      </c>
      <c r="I93" s="49">
        <f>'Avg Week Kyankwanzi-Bukomero'!I93+'Avg Week Bukomero-Kyankwanzi'!I93</f>
        <v>4.5</v>
      </c>
      <c r="J93" s="49">
        <f>'Avg Week Kyankwanzi-Bukomero'!J93+'Avg Week Bukomero-Kyankwanzi'!J93</f>
        <v>0.5</v>
      </c>
      <c r="K93" s="49">
        <f>'Avg Week Kyankwanzi-Bukomero'!K93+'Avg Week Bukomero-Kyankwanzi'!K93</f>
        <v>0</v>
      </c>
      <c r="L93" s="49">
        <f>'Avg Week Kyankwanzi-Bukomero'!L93+'Avg Week Bukomero-Kyankwanzi'!L93</f>
        <v>0</v>
      </c>
      <c r="M93" s="49">
        <f>'Avg Week Kyankwanzi-Bukomero'!M93+'Avg Week Bukomero-Kyankwanzi'!M93</f>
        <v>2</v>
      </c>
      <c r="N93" s="49">
        <f>'Avg Week Kyankwanzi-Bukomero'!N93+'Avg Week Bukomero-Kyankwanzi'!N93</f>
        <v>1</v>
      </c>
      <c r="O93" s="15">
        <f t="shared" si="35"/>
        <v>7</v>
      </c>
      <c r="P93" s="15">
        <f t="shared" si="36"/>
        <v>9</v>
      </c>
      <c r="R93" s="8"/>
      <c r="T93"/>
    </row>
    <row r="94" spans="2:20" ht="23.1" customHeight="1" x14ac:dyDescent="0.25">
      <c r="B94" s="24" t="s">
        <v>134</v>
      </c>
      <c r="C94" s="49">
        <f>'Avg Week Kyankwanzi-Bukomero'!C94+'Avg Week Bukomero-Kyankwanzi'!C94</f>
        <v>0</v>
      </c>
      <c r="D94" s="49">
        <f>'Avg Week Kyankwanzi-Bukomero'!D94+'Avg Week Bukomero-Kyankwanzi'!D94</f>
        <v>0</v>
      </c>
      <c r="E94" s="49">
        <f>'Avg Week Kyankwanzi-Bukomero'!E94+'Avg Week Bukomero-Kyankwanzi'!E94</f>
        <v>0</v>
      </c>
      <c r="F94" s="49">
        <f>'Avg Week Kyankwanzi-Bukomero'!F94+'Avg Week Bukomero-Kyankwanzi'!F94</f>
        <v>0</v>
      </c>
      <c r="G94" s="49">
        <f>'Avg Week Kyankwanzi-Bukomero'!G94+'Avg Week Bukomero-Kyankwanzi'!G94</f>
        <v>0</v>
      </c>
      <c r="H94" s="49">
        <f>'Avg Week Kyankwanzi-Bukomero'!H94+'Avg Week Bukomero-Kyankwanzi'!H94</f>
        <v>0</v>
      </c>
      <c r="I94" s="49">
        <f>'Avg Week Kyankwanzi-Bukomero'!I94+'Avg Week Bukomero-Kyankwanzi'!I94</f>
        <v>0.5</v>
      </c>
      <c r="J94" s="49">
        <f>'Avg Week Kyankwanzi-Bukomero'!J94+'Avg Week Bukomero-Kyankwanzi'!J94</f>
        <v>0</v>
      </c>
      <c r="K94" s="49">
        <f>'Avg Week Kyankwanzi-Bukomero'!K94+'Avg Week Bukomero-Kyankwanzi'!K94</f>
        <v>0</v>
      </c>
      <c r="L94" s="49">
        <f>'Avg Week Kyankwanzi-Bukomero'!L94+'Avg Week Bukomero-Kyankwanzi'!L94</f>
        <v>0</v>
      </c>
      <c r="M94" s="49">
        <f>'Avg Week Kyankwanzi-Bukomero'!M94+'Avg Week Bukomero-Kyankwanzi'!M94</f>
        <v>0.5</v>
      </c>
      <c r="N94" s="49">
        <f>'Avg Week Kyankwanzi-Bukomero'!N94+'Avg Week Bukomero-Kyankwanzi'!N94</f>
        <v>0</v>
      </c>
      <c r="O94" s="15">
        <f t="shared" si="35"/>
        <v>0.5</v>
      </c>
      <c r="P94" s="15">
        <f t="shared" si="36"/>
        <v>1</v>
      </c>
      <c r="R94" s="8"/>
      <c r="T94"/>
    </row>
    <row r="95" spans="2:20" ht="23.1" customHeight="1" x14ac:dyDescent="0.25">
      <c r="B95" s="23" t="s">
        <v>135</v>
      </c>
      <c r="C95" s="49">
        <f>'Avg Week Kyankwanzi-Bukomero'!C95+'Avg Week Bukomero-Kyankwanzi'!C95</f>
        <v>0</v>
      </c>
      <c r="D95" s="49">
        <f>'Avg Week Kyankwanzi-Bukomero'!D95+'Avg Week Bukomero-Kyankwanzi'!D95</f>
        <v>0</v>
      </c>
      <c r="E95" s="49">
        <f>'Avg Week Kyankwanzi-Bukomero'!E95+'Avg Week Bukomero-Kyankwanzi'!E95</f>
        <v>0</v>
      </c>
      <c r="F95" s="49">
        <f>'Avg Week Kyankwanzi-Bukomero'!F95+'Avg Week Bukomero-Kyankwanzi'!F95</f>
        <v>0</v>
      </c>
      <c r="G95" s="49">
        <f>'Avg Week Kyankwanzi-Bukomero'!G95+'Avg Week Bukomero-Kyankwanzi'!G95</f>
        <v>0</v>
      </c>
      <c r="H95" s="49">
        <f>'Avg Week Kyankwanzi-Bukomero'!H95+'Avg Week Bukomero-Kyankwanzi'!H95</f>
        <v>0</v>
      </c>
      <c r="I95" s="49">
        <f>'Avg Week Kyankwanzi-Bukomero'!I95+'Avg Week Bukomero-Kyankwanzi'!I95</f>
        <v>1.5</v>
      </c>
      <c r="J95" s="49">
        <f>'Avg Week Kyankwanzi-Bukomero'!J95+'Avg Week Bukomero-Kyankwanzi'!J95</f>
        <v>1</v>
      </c>
      <c r="K95" s="49">
        <f>'Avg Week Kyankwanzi-Bukomero'!K95+'Avg Week Bukomero-Kyankwanzi'!K95</f>
        <v>0</v>
      </c>
      <c r="L95" s="49">
        <f>'Avg Week Kyankwanzi-Bukomero'!L95+'Avg Week Bukomero-Kyankwanzi'!L95</f>
        <v>0</v>
      </c>
      <c r="M95" s="49">
        <f>'Avg Week Kyankwanzi-Bukomero'!M95+'Avg Week Bukomero-Kyankwanzi'!M95</f>
        <v>0.5</v>
      </c>
      <c r="N95" s="49">
        <f>'Avg Week Kyankwanzi-Bukomero'!N95+'Avg Week Bukomero-Kyankwanzi'!N95</f>
        <v>0</v>
      </c>
      <c r="O95" s="15">
        <f t="shared" si="35"/>
        <v>2.5</v>
      </c>
      <c r="P95" s="15">
        <f t="shared" si="36"/>
        <v>3</v>
      </c>
      <c r="R95" s="8"/>
      <c r="T95"/>
    </row>
    <row r="96" spans="2:20" ht="23.1" customHeight="1" x14ac:dyDescent="0.25">
      <c r="B96" s="25" t="s">
        <v>136</v>
      </c>
      <c r="C96" s="49">
        <f>'Avg Week Kyankwanzi-Bukomero'!C96+'Avg Week Bukomero-Kyankwanzi'!C96</f>
        <v>0</v>
      </c>
      <c r="D96" s="49">
        <f>'Avg Week Kyankwanzi-Bukomero'!D96+'Avg Week Bukomero-Kyankwanzi'!D96</f>
        <v>0</v>
      </c>
      <c r="E96" s="49">
        <f>'Avg Week Kyankwanzi-Bukomero'!E96+'Avg Week Bukomero-Kyankwanzi'!E96</f>
        <v>0</v>
      </c>
      <c r="F96" s="49">
        <f>'Avg Week Kyankwanzi-Bukomero'!F96+'Avg Week Bukomero-Kyankwanzi'!F96</f>
        <v>0.5</v>
      </c>
      <c r="G96" s="49">
        <f>'Avg Week Kyankwanzi-Bukomero'!G96+'Avg Week Bukomero-Kyankwanzi'!G96</f>
        <v>0</v>
      </c>
      <c r="H96" s="49">
        <f>'Avg Week Kyankwanzi-Bukomero'!H96+'Avg Week Bukomero-Kyankwanzi'!H96</f>
        <v>0</v>
      </c>
      <c r="I96" s="49">
        <f>'Avg Week Kyankwanzi-Bukomero'!I96+'Avg Week Bukomero-Kyankwanzi'!I96</f>
        <v>2.5</v>
      </c>
      <c r="J96" s="49">
        <f>'Avg Week Kyankwanzi-Bukomero'!J96+'Avg Week Bukomero-Kyankwanzi'!J96</f>
        <v>0.5</v>
      </c>
      <c r="K96" s="49">
        <f>'Avg Week Kyankwanzi-Bukomero'!K96+'Avg Week Bukomero-Kyankwanzi'!K96</f>
        <v>0</v>
      </c>
      <c r="L96" s="49">
        <f>'Avg Week Kyankwanzi-Bukomero'!L96+'Avg Week Bukomero-Kyankwanzi'!L96</f>
        <v>0</v>
      </c>
      <c r="M96" s="49">
        <f>'Avg Week Kyankwanzi-Bukomero'!M96+'Avg Week Bukomero-Kyankwanzi'!M96</f>
        <v>0</v>
      </c>
      <c r="N96" s="49">
        <f>'Avg Week Kyankwanzi-Bukomero'!N96+'Avg Week Bukomero-Kyankwanzi'!N96</f>
        <v>0</v>
      </c>
      <c r="O96" s="15">
        <f t="shared" si="35"/>
        <v>3.5</v>
      </c>
      <c r="P96" s="15">
        <f t="shared" si="36"/>
        <v>3.5</v>
      </c>
      <c r="R96" s="8"/>
      <c r="T96"/>
    </row>
    <row r="97" spans="2:20" ht="23.1" customHeight="1" x14ac:dyDescent="0.25">
      <c r="B97" s="23" t="s">
        <v>137</v>
      </c>
      <c r="C97" s="49">
        <f>'Avg Week Kyankwanzi-Bukomero'!C97+'Avg Week Bukomero-Kyankwanzi'!C97</f>
        <v>0</v>
      </c>
      <c r="D97" s="49">
        <f>'Avg Week Kyankwanzi-Bukomero'!D97+'Avg Week Bukomero-Kyankwanzi'!D97</f>
        <v>0</v>
      </c>
      <c r="E97" s="49">
        <f>'Avg Week Kyankwanzi-Bukomero'!E97+'Avg Week Bukomero-Kyankwanzi'!E97</f>
        <v>0</v>
      </c>
      <c r="F97" s="49">
        <f>'Avg Week Kyankwanzi-Bukomero'!F97+'Avg Week Bukomero-Kyankwanzi'!F97</f>
        <v>0</v>
      </c>
      <c r="G97" s="49">
        <f>'Avg Week Kyankwanzi-Bukomero'!G97+'Avg Week Bukomero-Kyankwanzi'!G97</f>
        <v>0</v>
      </c>
      <c r="H97" s="49">
        <f>'Avg Week Kyankwanzi-Bukomero'!H97+'Avg Week Bukomero-Kyankwanzi'!H97</f>
        <v>0</v>
      </c>
      <c r="I97" s="49">
        <f>'Avg Week Kyankwanzi-Bukomero'!I97+'Avg Week Bukomero-Kyankwanzi'!I97</f>
        <v>0</v>
      </c>
      <c r="J97" s="49">
        <f>'Avg Week Kyankwanzi-Bukomero'!J97+'Avg Week Bukomero-Kyankwanzi'!J97</f>
        <v>1</v>
      </c>
      <c r="K97" s="49">
        <f>'Avg Week Kyankwanzi-Bukomero'!K97+'Avg Week Bukomero-Kyankwanzi'!K97</f>
        <v>0</v>
      </c>
      <c r="L97" s="49">
        <f>'Avg Week Kyankwanzi-Bukomero'!L97+'Avg Week Bukomero-Kyankwanzi'!L97</f>
        <v>0</v>
      </c>
      <c r="M97" s="49">
        <f>'Avg Week Kyankwanzi-Bukomero'!M97+'Avg Week Bukomero-Kyankwanzi'!M97</f>
        <v>0</v>
      </c>
      <c r="N97" s="49">
        <f>'Avg Week Kyankwanzi-Bukomero'!N97+'Avg Week Bukomero-Kyankwanzi'!N97</f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24" t="s">
        <v>138</v>
      </c>
      <c r="C98" s="49">
        <f>'Avg Week Kyankwanzi-Bukomero'!C98+'Avg Week Bukomero-Kyankwanzi'!C98</f>
        <v>1</v>
      </c>
      <c r="D98" s="49">
        <f>'Avg Week Kyankwanzi-Bukomero'!D98+'Avg Week Bukomero-Kyankwanzi'!D98</f>
        <v>0</v>
      </c>
      <c r="E98" s="49">
        <f>'Avg Week Kyankwanzi-Bukomero'!E98+'Avg Week Bukomero-Kyankwanzi'!E98</f>
        <v>0</v>
      </c>
      <c r="F98" s="49">
        <f>'Avg Week Kyankwanzi-Bukomero'!F98+'Avg Week Bukomero-Kyankwanzi'!F98</f>
        <v>1.5</v>
      </c>
      <c r="G98" s="49">
        <f>'Avg Week Kyankwanzi-Bukomero'!G98+'Avg Week Bukomero-Kyankwanzi'!G98</f>
        <v>0</v>
      </c>
      <c r="H98" s="49">
        <f>'Avg Week Kyankwanzi-Bukomero'!H98+'Avg Week Bukomero-Kyankwanzi'!H98</f>
        <v>0</v>
      </c>
      <c r="I98" s="49">
        <f>'Avg Week Kyankwanzi-Bukomero'!I98+'Avg Week Bukomero-Kyankwanzi'!I98</f>
        <v>5</v>
      </c>
      <c r="J98" s="49">
        <f>'Avg Week Kyankwanzi-Bukomero'!J98+'Avg Week Bukomero-Kyankwanzi'!J98</f>
        <v>0.5</v>
      </c>
      <c r="K98" s="49">
        <f>'Avg Week Kyankwanzi-Bukomero'!K98+'Avg Week Bukomero-Kyankwanzi'!K98</f>
        <v>0</v>
      </c>
      <c r="L98" s="49">
        <f>'Avg Week Kyankwanzi-Bukomero'!L98+'Avg Week Bukomero-Kyankwanzi'!L98</f>
        <v>0</v>
      </c>
      <c r="M98" s="49">
        <f>'Avg Week Kyankwanzi-Bukomero'!M98+'Avg Week Bukomero-Kyankwanzi'!M98</f>
        <v>4.5</v>
      </c>
      <c r="N98" s="49">
        <f>'Avg Week Kyankwanzi-Bukomero'!N98+'Avg Week Bukomero-Kyankwanzi'!N98</f>
        <v>0</v>
      </c>
      <c r="O98" s="15">
        <f t="shared" si="35"/>
        <v>8</v>
      </c>
      <c r="P98" s="15">
        <f t="shared" si="36"/>
        <v>12.5</v>
      </c>
      <c r="R98" s="8"/>
      <c r="T98"/>
    </row>
    <row r="99" spans="2:20" ht="23.1" customHeight="1" x14ac:dyDescent="0.25">
      <c r="B99" s="23" t="s">
        <v>139</v>
      </c>
      <c r="C99" s="49">
        <f>'Avg Week Kyankwanzi-Bukomero'!C99+'Avg Week Bukomero-Kyankwanzi'!C99</f>
        <v>1</v>
      </c>
      <c r="D99" s="49">
        <f>'Avg Week Kyankwanzi-Bukomero'!D99+'Avg Week Bukomero-Kyankwanzi'!D99</f>
        <v>0</v>
      </c>
      <c r="E99" s="49">
        <f>'Avg Week Kyankwanzi-Bukomero'!E99+'Avg Week Bukomero-Kyankwanzi'!E99</f>
        <v>0</v>
      </c>
      <c r="F99" s="49">
        <f>'Avg Week Kyankwanzi-Bukomero'!F99+'Avg Week Bukomero-Kyankwanzi'!F99</f>
        <v>0</v>
      </c>
      <c r="G99" s="49">
        <f>'Avg Week Kyankwanzi-Bukomero'!G99+'Avg Week Bukomero-Kyankwanzi'!G99</f>
        <v>0</v>
      </c>
      <c r="H99" s="49">
        <f>'Avg Week Kyankwanzi-Bukomero'!H99+'Avg Week Bukomero-Kyankwanzi'!H99</f>
        <v>0</v>
      </c>
      <c r="I99" s="49">
        <f>'Avg Week Kyankwanzi-Bukomero'!I99+'Avg Week Bukomero-Kyankwanzi'!I99</f>
        <v>0</v>
      </c>
      <c r="J99" s="49">
        <f>'Avg Week Kyankwanzi-Bukomero'!J99+'Avg Week Bukomero-Kyankwanzi'!J99</f>
        <v>0</v>
      </c>
      <c r="K99" s="49">
        <f>'Avg Week Kyankwanzi-Bukomero'!K99+'Avg Week Bukomero-Kyankwanzi'!K99</f>
        <v>0</v>
      </c>
      <c r="L99" s="49">
        <f>'Avg Week Kyankwanzi-Bukomero'!L99+'Avg Week Bukomero-Kyankwanzi'!L99</f>
        <v>0</v>
      </c>
      <c r="M99" s="49">
        <f>'Avg Week Kyankwanzi-Bukomero'!M99+'Avg Week Bukomero-Kyankwanzi'!M99</f>
        <v>2</v>
      </c>
      <c r="N99" s="49">
        <f>'Avg Week Kyankwanzi-Bukomero'!N99+'Avg Week Bukomero-Kyankwanzi'!N99</f>
        <v>0</v>
      </c>
      <c r="O99" s="15">
        <f t="shared" si="35"/>
        <v>1</v>
      </c>
      <c r="P99" s="15">
        <f t="shared" si="36"/>
        <v>3</v>
      </c>
      <c r="R99" s="8"/>
      <c r="T99"/>
    </row>
    <row r="100" spans="2:20" ht="23.1" customHeight="1" x14ac:dyDescent="0.25">
      <c r="B100" s="25" t="s">
        <v>140</v>
      </c>
      <c r="C100" s="49">
        <f>'Avg Week Kyankwanzi-Bukomero'!C100+'Avg Week Bukomero-Kyankwanzi'!C100</f>
        <v>0</v>
      </c>
      <c r="D100" s="49">
        <f>'Avg Week Kyankwanzi-Bukomero'!D100+'Avg Week Bukomero-Kyankwanzi'!D100</f>
        <v>0</v>
      </c>
      <c r="E100" s="49">
        <f>'Avg Week Kyankwanzi-Bukomero'!E100+'Avg Week Bukomero-Kyankwanzi'!E100</f>
        <v>0</v>
      </c>
      <c r="F100" s="49">
        <f>'Avg Week Kyankwanzi-Bukomero'!F100+'Avg Week Bukomero-Kyankwanzi'!F100</f>
        <v>0</v>
      </c>
      <c r="G100" s="49">
        <f>'Avg Week Kyankwanzi-Bukomero'!G100+'Avg Week Bukomero-Kyankwanzi'!G100</f>
        <v>0</v>
      </c>
      <c r="H100" s="49">
        <f>'Avg Week Kyankwanzi-Bukomero'!H100+'Avg Week Bukomero-Kyankwanzi'!H100</f>
        <v>0</v>
      </c>
      <c r="I100" s="49">
        <f>'Avg Week Kyankwanzi-Bukomero'!I100+'Avg Week Bukomero-Kyankwanzi'!I100</f>
        <v>0.5</v>
      </c>
      <c r="J100" s="49">
        <f>'Avg Week Kyankwanzi-Bukomero'!J100+'Avg Week Bukomero-Kyankwanzi'!J100</f>
        <v>1.5</v>
      </c>
      <c r="K100" s="49">
        <f>'Avg Week Kyankwanzi-Bukomero'!K100+'Avg Week Bukomero-Kyankwanzi'!K100</f>
        <v>0</v>
      </c>
      <c r="L100" s="49">
        <f>'Avg Week Kyankwanzi-Bukomero'!L100+'Avg Week Bukomero-Kyankwanzi'!L100</f>
        <v>0</v>
      </c>
      <c r="M100" s="49">
        <f>'Avg Week Kyankwanzi-Bukomero'!M100+'Avg Week Bukomero-Kyankwanzi'!M100</f>
        <v>1</v>
      </c>
      <c r="N100" s="49">
        <f>'Avg Week Kyankwanzi-Bukomero'!N100+'Avg Week Bukomero-Kyankwanzi'!N100</f>
        <v>0</v>
      </c>
      <c r="O100" s="15">
        <f t="shared" si="35"/>
        <v>2</v>
      </c>
      <c r="P100" s="15">
        <f t="shared" si="36"/>
        <v>3</v>
      </c>
      <c r="R100" s="8"/>
      <c r="T100"/>
    </row>
    <row r="101" spans="2:20" ht="23.1" customHeight="1" x14ac:dyDescent="0.25">
      <c r="B101" s="23" t="s">
        <v>141</v>
      </c>
      <c r="C101" s="49">
        <f>'Avg Week Kyankwanzi-Bukomero'!C101+'Avg Week Bukomero-Kyankwanzi'!C101</f>
        <v>0</v>
      </c>
      <c r="D101" s="49">
        <f>'Avg Week Kyankwanzi-Bukomero'!D101+'Avg Week Bukomero-Kyankwanzi'!D101</f>
        <v>1</v>
      </c>
      <c r="E101" s="49">
        <f>'Avg Week Kyankwanzi-Bukomero'!E101+'Avg Week Bukomero-Kyankwanzi'!E101</f>
        <v>0</v>
      </c>
      <c r="F101" s="49">
        <f>'Avg Week Kyankwanzi-Bukomero'!F101+'Avg Week Bukomero-Kyankwanzi'!F101</f>
        <v>0</v>
      </c>
      <c r="G101" s="49">
        <f>'Avg Week Kyankwanzi-Bukomero'!G101+'Avg Week Bukomero-Kyankwanzi'!G101</f>
        <v>0</v>
      </c>
      <c r="H101" s="49">
        <f>'Avg Week Kyankwanzi-Bukomero'!H101+'Avg Week Bukomero-Kyankwanzi'!H101</f>
        <v>0</v>
      </c>
      <c r="I101" s="49">
        <f>'Avg Week Kyankwanzi-Bukomero'!I101+'Avg Week Bukomero-Kyankwanzi'!I101</f>
        <v>2.5</v>
      </c>
      <c r="J101" s="49">
        <f>'Avg Week Kyankwanzi-Bukomero'!J101+'Avg Week Bukomero-Kyankwanzi'!J101</f>
        <v>0</v>
      </c>
      <c r="K101" s="49">
        <f>'Avg Week Kyankwanzi-Bukomero'!K101+'Avg Week Bukomero-Kyankwanzi'!K101</f>
        <v>0</v>
      </c>
      <c r="L101" s="49">
        <f>'Avg Week Kyankwanzi-Bukomero'!L101+'Avg Week Bukomero-Kyankwanzi'!L101</f>
        <v>0</v>
      </c>
      <c r="M101" s="49">
        <f>'Avg Week Kyankwanzi-Bukomero'!M101+'Avg Week Bukomero-Kyankwanzi'!M101</f>
        <v>5</v>
      </c>
      <c r="N101" s="49">
        <f>'Avg Week Kyankwanzi-Bukomero'!N101+'Avg Week Bukomero-Kyankwanzi'!N101</f>
        <v>0</v>
      </c>
      <c r="O101" s="15">
        <f t="shared" si="35"/>
        <v>3.5</v>
      </c>
      <c r="P101" s="15">
        <f t="shared" si="36"/>
        <v>8.5</v>
      </c>
      <c r="R101" s="8"/>
      <c r="T101"/>
    </row>
    <row r="102" spans="2:20" ht="23.1" customHeight="1" x14ac:dyDescent="0.25">
      <c r="B102" s="24" t="s">
        <v>142</v>
      </c>
      <c r="C102" s="49">
        <f>'Avg Week Kyankwanzi-Bukomero'!C102+'Avg Week Bukomero-Kyankwanzi'!C102</f>
        <v>0</v>
      </c>
      <c r="D102" s="49">
        <f>'Avg Week Kyankwanzi-Bukomero'!D102+'Avg Week Bukomero-Kyankwanzi'!D102</f>
        <v>0.5</v>
      </c>
      <c r="E102" s="49">
        <f>'Avg Week Kyankwanzi-Bukomero'!E102+'Avg Week Bukomero-Kyankwanzi'!E102</f>
        <v>0</v>
      </c>
      <c r="F102" s="49">
        <f>'Avg Week Kyankwanzi-Bukomero'!F102+'Avg Week Bukomero-Kyankwanzi'!F102</f>
        <v>0.5</v>
      </c>
      <c r="G102" s="49">
        <f>'Avg Week Kyankwanzi-Bukomero'!G102+'Avg Week Bukomero-Kyankwanzi'!G102</f>
        <v>0</v>
      </c>
      <c r="H102" s="49">
        <f>'Avg Week Kyankwanzi-Bukomero'!H102+'Avg Week Bukomero-Kyankwanzi'!H102</f>
        <v>0</v>
      </c>
      <c r="I102" s="49">
        <f>'Avg Week Kyankwanzi-Bukomero'!I102+'Avg Week Bukomero-Kyankwanzi'!I102</f>
        <v>3.5</v>
      </c>
      <c r="J102" s="49">
        <f>'Avg Week Kyankwanzi-Bukomero'!J102+'Avg Week Bukomero-Kyankwanzi'!J102</f>
        <v>1</v>
      </c>
      <c r="K102" s="49">
        <f>'Avg Week Kyankwanzi-Bukomero'!K102+'Avg Week Bukomero-Kyankwanzi'!K102</f>
        <v>0</v>
      </c>
      <c r="L102" s="49">
        <f>'Avg Week Kyankwanzi-Bukomero'!L102+'Avg Week Bukomero-Kyankwanzi'!L102</f>
        <v>0</v>
      </c>
      <c r="M102" s="49">
        <f>'Avg Week Kyankwanzi-Bukomero'!M102+'Avg Week Bukomero-Kyankwanzi'!M102</f>
        <v>9.5</v>
      </c>
      <c r="N102" s="49">
        <f>'Avg Week Kyankwanzi-Bukomero'!N102+'Avg Week Bukomero-Kyankwanzi'!N102</f>
        <v>0</v>
      </c>
      <c r="O102" s="15">
        <f t="shared" si="35"/>
        <v>5.5</v>
      </c>
      <c r="P102" s="15">
        <f t="shared" si="36"/>
        <v>15</v>
      </c>
      <c r="R102" s="8"/>
      <c r="T102"/>
    </row>
    <row r="103" spans="2:20" ht="23.1" customHeight="1" x14ac:dyDescent="0.25">
      <c r="B103" s="23" t="s">
        <v>143</v>
      </c>
      <c r="C103" s="49">
        <f>'Avg Week Kyankwanzi-Bukomero'!C103+'Avg Week Bukomero-Kyankwanzi'!C103</f>
        <v>0</v>
      </c>
      <c r="D103" s="49">
        <f>'Avg Week Kyankwanzi-Bukomero'!D103+'Avg Week Bukomero-Kyankwanzi'!D103</f>
        <v>0.5</v>
      </c>
      <c r="E103" s="49">
        <f>'Avg Week Kyankwanzi-Bukomero'!E103+'Avg Week Bukomero-Kyankwanzi'!E103</f>
        <v>0</v>
      </c>
      <c r="F103" s="49">
        <f>'Avg Week Kyankwanzi-Bukomero'!F103+'Avg Week Bukomero-Kyankwanzi'!F103</f>
        <v>0</v>
      </c>
      <c r="G103" s="49">
        <f>'Avg Week Kyankwanzi-Bukomero'!G103+'Avg Week Bukomero-Kyankwanzi'!G103</f>
        <v>0</v>
      </c>
      <c r="H103" s="49">
        <f>'Avg Week Kyankwanzi-Bukomero'!H103+'Avg Week Bukomero-Kyankwanzi'!H103</f>
        <v>0</v>
      </c>
      <c r="I103" s="49">
        <f>'Avg Week Kyankwanzi-Bukomero'!I103+'Avg Week Bukomero-Kyankwanzi'!I103</f>
        <v>3</v>
      </c>
      <c r="J103" s="49">
        <f>'Avg Week Kyankwanzi-Bukomero'!J103+'Avg Week Bukomero-Kyankwanzi'!J103</f>
        <v>0</v>
      </c>
      <c r="K103" s="49">
        <f>'Avg Week Kyankwanzi-Bukomero'!K103+'Avg Week Bukomero-Kyankwanzi'!K103</f>
        <v>0</v>
      </c>
      <c r="L103" s="49">
        <f>'Avg Week Kyankwanzi-Bukomero'!L103+'Avg Week Bukomero-Kyankwanzi'!L103</f>
        <v>0</v>
      </c>
      <c r="M103" s="49">
        <f>'Avg Week Kyankwanzi-Bukomero'!M103+'Avg Week Bukomero-Kyankwanzi'!M103</f>
        <v>6</v>
      </c>
      <c r="N103" s="49">
        <f>'Avg Week Kyankwanzi-Bukomero'!N103+'Avg Week Bukomero-Kyankwanzi'!N103</f>
        <v>0</v>
      </c>
      <c r="O103" s="15">
        <f t="shared" si="35"/>
        <v>3.5</v>
      </c>
      <c r="P103" s="15">
        <f t="shared" si="36"/>
        <v>9.5</v>
      </c>
      <c r="R103" s="8"/>
      <c r="T103"/>
    </row>
    <row r="104" spans="2:20" ht="23.1" customHeight="1" x14ac:dyDescent="0.25">
      <c r="B104" s="25" t="s">
        <v>144</v>
      </c>
      <c r="C104" s="49">
        <f>'Avg Week Kyankwanzi-Bukomero'!C104+'Avg Week Bukomero-Kyankwanzi'!C104</f>
        <v>0</v>
      </c>
      <c r="D104" s="49">
        <f>'Avg Week Kyankwanzi-Bukomero'!D104+'Avg Week Bukomero-Kyankwanzi'!D104</f>
        <v>0</v>
      </c>
      <c r="E104" s="49">
        <f>'Avg Week Kyankwanzi-Bukomero'!E104+'Avg Week Bukomero-Kyankwanzi'!E104</f>
        <v>0</v>
      </c>
      <c r="F104" s="49">
        <f>'Avg Week Kyankwanzi-Bukomero'!F104+'Avg Week Bukomero-Kyankwanzi'!F104</f>
        <v>0</v>
      </c>
      <c r="G104" s="49">
        <f>'Avg Week Kyankwanzi-Bukomero'!G104+'Avg Week Bukomero-Kyankwanzi'!G104</f>
        <v>0</v>
      </c>
      <c r="H104" s="49">
        <f>'Avg Week Kyankwanzi-Bukomero'!H104+'Avg Week Bukomero-Kyankwanzi'!H104</f>
        <v>0</v>
      </c>
      <c r="I104" s="49">
        <f>'Avg Week Kyankwanzi-Bukomero'!I104+'Avg Week Bukomero-Kyankwanzi'!I104</f>
        <v>0</v>
      </c>
      <c r="J104" s="49">
        <f>'Avg Week Kyankwanzi-Bukomero'!J104+'Avg Week Bukomero-Kyankwanzi'!J104</f>
        <v>1</v>
      </c>
      <c r="K104" s="49">
        <f>'Avg Week Kyankwanzi-Bukomero'!K104+'Avg Week Bukomero-Kyankwanzi'!K104</f>
        <v>0</v>
      </c>
      <c r="L104" s="49">
        <f>'Avg Week Kyankwanzi-Bukomero'!L104+'Avg Week Bukomero-Kyankwanzi'!L104</f>
        <v>0</v>
      </c>
      <c r="M104" s="49">
        <f>'Avg Week Kyankwanzi-Bukomero'!M104+'Avg Week Bukomero-Kyankwanzi'!M104</f>
        <v>10.5</v>
      </c>
      <c r="N104" s="49">
        <f>'Avg Week Kyankwanzi-Bukomero'!N104+'Avg Week Bukomero-Kyankwanzi'!N104</f>
        <v>0</v>
      </c>
      <c r="O104" s="15">
        <f t="shared" si="35"/>
        <v>1</v>
      </c>
      <c r="P104" s="15">
        <f t="shared" si="36"/>
        <v>11.5</v>
      </c>
      <c r="R104" s="8"/>
      <c r="T104"/>
    </row>
    <row r="105" spans="2:20" ht="23.1" customHeight="1" x14ac:dyDescent="0.25">
      <c r="B105" s="23" t="s">
        <v>145</v>
      </c>
      <c r="C105" s="49">
        <f>'Avg Week Kyankwanzi-Bukomero'!C105+'Avg Week Bukomero-Kyankwanzi'!C105</f>
        <v>1.5</v>
      </c>
      <c r="D105" s="49">
        <f>'Avg Week Kyankwanzi-Bukomero'!D105+'Avg Week Bukomero-Kyankwanzi'!D105</f>
        <v>0.5</v>
      </c>
      <c r="E105" s="49">
        <f>'Avg Week Kyankwanzi-Bukomero'!E105+'Avg Week Bukomero-Kyankwanzi'!E105</f>
        <v>0.5</v>
      </c>
      <c r="F105" s="49">
        <f>'Avg Week Kyankwanzi-Bukomero'!F105+'Avg Week Bukomero-Kyankwanzi'!F105</f>
        <v>0.5</v>
      </c>
      <c r="G105" s="49">
        <f>'Avg Week Kyankwanzi-Bukomero'!G105+'Avg Week Bukomero-Kyankwanzi'!G105</f>
        <v>0</v>
      </c>
      <c r="H105" s="49">
        <f>'Avg Week Kyankwanzi-Bukomero'!H105+'Avg Week Bukomero-Kyankwanzi'!H105</f>
        <v>0</v>
      </c>
      <c r="I105" s="49">
        <f>'Avg Week Kyankwanzi-Bukomero'!I105+'Avg Week Bukomero-Kyankwanzi'!I105</f>
        <v>4</v>
      </c>
      <c r="J105" s="49">
        <f>'Avg Week Kyankwanzi-Bukomero'!J105+'Avg Week Bukomero-Kyankwanzi'!J105</f>
        <v>0</v>
      </c>
      <c r="K105" s="49">
        <f>'Avg Week Kyankwanzi-Bukomero'!K105+'Avg Week Bukomero-Kyankwanzi'!K105</f>
        <v>0</v>
      </c>
      <c r="L105" s="49">
        <f>'Avg Week Kyankwanzi-Bukomero'!L105+'Avg Week Bukomero-Kyankwanzi'!L105</f>
        <v>0</v>
      </c>
      <c r="M105" s="49">
        <f>'Avg Week Kyankwanzi-Bukomero'!M105+'Avg Week Bukomero-Kyankwanzi'!M105</f>
        <v>14.5</v>
      </c>
      <c r="N105" s="49">
        <f>'Avg Week Kyankwanzi-Bukomero'!N105+'Avg Week Bukomero-Kyankwanzi'!N105</f>
        <v>0</v>
      </c>
      <c r="O105" s="15">
        <f t="shared" si="35"/>
        <v>7</v>
      </c>
      <c r="P105" s="15">
        <f t="shared" si="36"/>
        <v>21.5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58.214285714285715</v>
      </c>
      <c r="D106" s="16">
        <f t="shared" ref="D106:P106" si="37">SUM(D10:D105)</f>
        <v>17.785714285714288</v>
      </c>
      <c r="E106" s="16">
        <f t="shared" si="37"/>
        <v>15.214285714285721</v>
      </c>
      <c r="F106" s="16">
        <f t="shared" si="37"/>
        <v>18.357142857142861</v>
      </c>
      <c r="G106" s="16">
        <f t="shared" si="37"/>
        <v>0.2857142857142857</v>
      </c>
      <c r="H106" s="16">
        <f t="shared" si="37"/>
        <v>0.2857142857142857</v>
      </c>
      <c r="I106" s="16">
        <f t="shared" si="37"/>
        <v>122.49999999999999</v>
      </c>
      <c r="J106" s="16">
        <f t="shared" si="37"/>
        <v>24.928571428571431</v>
      </c>
      <c r="K106" s="16">
        <f t="shared" si="37"/>
        <v>2.4285714285714279</v>
      </c>
      <c r="L106" s="16">
        <f t="shared" si="37"/>
        <v>0.2857142857142857</v>
      </c>
      <c r="M106" s="16">
        <f t="shared" si="37"/>
        <v>1471.3571428571429</v>
      </c>
      <c r="N106" s="16">
        <f t="shared" si="37"/>
        <v>2.1428571428571428</v>
      </c>
      <c r="O106" s="16">
        <f t="shared" si="37"/>
        <v>262.42857142857144</v>
      </c>
      <c r="P106" s="16">
        <f t="shared" si="37"/>
        <v>1733.7857142857142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3.3576401763276073E-2</v>
      </c>
      <c r="D107" s="43">
        <f t="shared" si="38"/>
        <v>1.0258311704362874E-2</v>
      </c>
      <c r="E107" s="43">
        <f t="shared" si="38"/>
        <v>8.7751823013224612E-3</v>
      </c>
      <c r="F107" s="43">
        <f t="shared" si="38"/>
        <v>1.0587896016149635E-2</v>
      </c>
      <c r="G107" s="43">
        <f t="shared" si="38"/>
        <v>1.6479215589337948E-4</v>
      </c>
      <c r="H107" s="43">
        <f t="shared" si="38"/>
        <v>1.6479215589337948E-4</v>
      </c>
      <c r="I107" s="43">
        <f t="shared" si="38"/>
        <v>7.0654636839286439E-2</v>
      </c>
      <c r="J107" s="43">
        <f t="shared" si="38"/>
        <v>1.4378115601697361E-2</v>
      </c>
      <c r="K107" s="43">
        <f t="shared" si="38"/>
        <v>1.4007333250937253E-3</v>
      </c>
      <c r="L107" s="43">
        <f t="shared" si="38"/>
        <v>1.6479215589337948E-4</v>
      </c>
      <c r="M107" s="43">
        <f t="shared" si="38"/>
        <v>0.84863840481193098</v>
      </c>
      <c r="N107" s="43">
        <f t="shared" si="38"/>
        <v>1.2359411692003462E-3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0.22182906913445835</v>
      </c>
      <c r="D108" s="44">
        <f t="shared" ref="D108:N108" si="39">D106/$O$106</f>
        <v>6.7773543821448012E-2</v>
      </c>
      <c r="E108" s="44">
        <f t="shared" si="39"/>
        <v>5.7974959172563983E-2</v>
      </c>
      <c r="F108" s="44">
        <f t="shared" si="39"/>
        <v>6.9951007076755597E-2</v>
      </c>
      <c r="G108" s="44">
        <f t="shared" si="39"/>
        <v>1.0887316276537832E-3</v>
      </c>
      <c r="H108" s="44">
        <f t="shared" si="39"/>
        <v>1.0887316276537832E-3</v>
      </c>
      <c r="I108" s="44">
        <f t="shared" si="39"/>
        <v>0.46679368535655952</v>
      </c>
      <c r="J108" s="44">
        <f t="shared" si="39"/>
        <v>9.4991834512792597E-2</v>
      </c>
      <c r="K108" s="44">
        <f t="shared" si="39"/>
        <v>9.2542188350571552E-3</v>
      </c>
      <c r="L108" s="44">
        <f t="shared" si="39"/>
        <v>1.0887316276537832E-3</v>
      </c>
      <c r="M108" s="44"/>
      <c r="N108" s="44">
        <f t="shared" si="39"/>
        <v>8.1654872074033748E-3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17.10 Kyankwanzi-bukomero</vt:lpstr>
      <vt:lpstr>17.10 bukomero-Kyankwanzi</vt:lpstr>
      <vt:lpstr>18.10 Kyankwanzi-bukomero</vt:lpstr>
      <vt:lpstr>18.10 bukomero-Kyankwanzi</vt:lpstr>
      <vt:lpstr>19.10 Kyankwanzi-bukomero-24h</vt:lpstr>
      <vt:lpstr>19.10 bukomero-Kyankwanzi-24h</vt:lpstr>
      <vt:lpstr>20.10 Kyankwanzi-bukomero</vt:lpstr>
      <vt:lpstr>20.10 bukomero-Kyankwanzi</vt:lpstr>
      <vt:lpstr>21.10 Kyankwanzi-bukomero-24h</vt:lpstr>
      <vt:lpstr>21.10 bukomero-Kyankwanzi-24h</vt:lpstr>
      <vt:lpstr>22.10 Kyankwanzi-bukomero</vt:lpstr>
      <vt:lpstr>22.10 bukomero-Kyankwanzi</vt:lpstr>
      <vt:lpstr>23.10 kyankwanzi-bukomero</vt:lpstr>
      <vt:lpstr>23.10 bukomero-Kyankwanzi</vt:lpstr>
      <vt:lpstr>Avg Week Kyankwanzi-Bukomero</vt:lpstr>
      <vt:lpstr>Avg Week Bukomero-Kyankwanzi</vt:lpstr>
      <vt:lpstr>Avg Week Kyankwanzi-Bukome-2Dir</vt:lpstr>
      <vt:lpstr>'17.10 bukomero-Kyankwanzi'!Print_Area</vt:lpstr>
      <vt:lpstr>'17.10 Kyankwanzi-bukomero'!Print_Area</vt:lpstr>
      <vt:lpstr>'18.10 bukomero-Kyankwanzi'!Print_Area</vt:lpstr>
      <vt:lpstr>'18.10 Kyankwanzi-bukomero'!Print_Area</vt:lpstr>
      <vt:lpstr>'19.10 bukomero-Kyankwanzi-24h'!Print_Area</vt:lpstr>
      <vt:lpstr>'19.10 Kyankwanzi-bukomero-24h'!Print_Area</vt:lpstr>
      <vt:lpstr>'20.10 bukomero-Kyankwanzi'!Print_Area</vt:lpstr>
      <vt:lpstr>'20.10 Kyankwanzi-bukomero'!Print_Area</vt:lpstr>
      <vt:lpstr>'21.10 bukomero-Kyankwanzi-24h'!Print_Area</vt:lpstr>
      <vt:lpstr>'21.10 Kyankwanzi-bukomero-24h'!Print_Area</vt:lpstr>
      <vt:lpstr>'22.10 bukomero-Kyankwanzi'!Print_Area</vt:lpstr>
      <vt:lpstr>'22.10 Kyankwanzi-bukomero'!Print_Area</vt:lpstr>
      <vt:lpstr>'23.10 bukomero-Kyankwanzi'!Print_Area</vt:lpstr>
      <vt:lpstr>'23.10 kyankwanzi-bukomero'!Print_Area</vt:lpstr>
      <vt:lpstr>'Avg Week Bukomero-Kyankwanzi'!Print_Area</vt:lpstr>
      <vt:lpstr>'Avg Week Kyankwanzi-Bukome-2Dir'!Print_Area</vt:lpstr>
      <vt:lpstr>'Avg Week Kyankwanzi-Bukomero'!Print_Area</vt:lpstr>
      <vt:lpstr>'17.10 bukomero-Kyankwanzi'!Print_Titles</vt:lpstr>
      <vt:lpstr>'17.10 Kyankwanzi-bukomero'!Print_Titles</vt:lpstr>
      <vt:lpstr>'18.10 bukomero-Kyankwanzi'!Print_Titles</vt:lpstr>
      <vt:lpstr>'18.10 Kyankwanzi-bukomero'!Print_Titles</vt:lpstr>
      <vt:lpstr>'19.10 bukomero-Kyankwanzi-24h'!Print_Titles</vt:lpstr>
      <vt:lpstr>'19.10 Kyankwanzi-bukomero-24h'!Print_Titles</vt:lpstr>
      <vt:lpstr>'20.10 bukomero-Kyankwanzi'!Print_Titles</vt:lpstr>
      <vt:lpstr>'20.10 Kyankwanzi-bukomero'!Print_Titles</vt:lpstr>
      <vt:lpstr>'21.10 bukomero-Kyankwanzi-24h'!Print_Titles</vt:lpstr>
      <vt:lpstr>'21.10 Kyankwanzi-bukomero-24h'!Print_Titles</vt:lpstr>
      <vt:lpstr>'22.10 bukomero-Kyankwanzi'!Print_Titles</vt:lpstr>
      <vt:lpstr>'22.10 Kyankwanzi-bukomero'!Print_Titles</vt:lpstr>
      <vt:lpstr>'23.10 bukomero-Kyankwanzi'!Print_Titles</vt:lpstr>
      <vt:lpstr>'23.10 kyankwanzi-bukomero'!Print_Titles</vt:lpstr>
      <vt:lpstr>'Avg Week Bukomero-Kyankwanzi'!Print_Titles</vt:lpstr>
      <vt:lpstr>'Avg Week Kyankwanzi-Bukome-2Dir'!Print_Titles</vt:lpstr>
      <vt:lpstr>'Avg Week Kyankwanzi-Bukomero'!Print_Titles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2020-01-15T13:41:21Z</dcterms:modified>
</cp:coreProperties>
</file>