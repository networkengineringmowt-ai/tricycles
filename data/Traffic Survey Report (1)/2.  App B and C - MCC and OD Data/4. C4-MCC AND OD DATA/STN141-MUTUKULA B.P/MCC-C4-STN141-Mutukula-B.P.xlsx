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C-4 Analysis Complete-Benard\STN141-MUTUKULA B.P\"/>
    </mc:Choice>
  </mc:AlternateContent>
  <bookViews>
    <workbookView xWindow="-120" yWindow="-120" windowWidth="20730" windowHeight="11160" tabRatio="940" firstSheet="6" activeTab="8"/>
  </bookViews>
  <sheets>
    <sheet name="25.05 Kampala-Mutukula-24h" sheetId="114" r:id="rId1"/>
    <sheet name="25.05 Mutukula-Kampala-24h" sheetId="109" r:id="rId2"/>
    <sheet name="26.05 Kampala-Mutukula-24h" sheetId="105" r:id="rId3"/>
    <sheet name="26.05 Mutukula-Kampala-24h" sheetId="110" r:id="rId4"/>
    <sheet name="27.05 Kampala-Mutukula-24h" sheetId="112" r:id="rId5"/>
    <sheet name="27.05 Mutukula-Kampala-24h " sheetId="113" r:id="rId6"/>
    <sheet name="Avg Week Kampala-Mutukula" sheetId="108" r:id="rId7"/>
    <sheet name="Avg Week Mutukula-Kampala" sheetId="107" r:id="rId8"/>
    <sheet name="Avg Week Mutukula-Kampala-2Dir" sheetId="111" r:id="rId9"/>
  </sheets>
  <definedNames>
    <definedName name="_xlnm.Print_Area" localSheetId="0">'25.05 Kampala-Mutukula-24h'!$A$1:$AF$108</definedName>
    <definedName name="_xlnm.Print_Area" localSheetId="1">'25.05 Mutukula-Kampala-24h'!$A$1:$AF$108</definedName>
    <definedName name="_xlnm.Print_Area" localSheetId="2">'26.05 Kampala-Mutukula-24h'!$A$1:$AF$108</definedName>
    <definedName name="_xlnm.Print_Area" localSheetId="3">'26.05 Mutukula-Kampala-24h'!$A$1:$AF$108</definedName>
    <definedName name="_xlnm.Print_Area" localSheetId="4">'27.05 Kampala-Mutukula-24h'!$A$1:$AF$108</definedName>
    <definedName name="_xlnm.Print_Area" localSheetId="5">'27.05 Mutukula-Kampala-24h '!$A$1:$AF$108</definedName>
    <definedName name="_xlnm.Print_Area" localSheetId="6">'Avg Week Kampala-Mutukula'!$A$1:$AF$108</definedName>
    <definedName name="_xlnm.Print_Area" localSheetId="7">'Avg Week Mutukula-Kampala'!$A$1:$AF$108</definedName>
    <definedName name="_xlnm.Print_Area" localSheetId="8">'Avg Week Mutukula-Kampala-2Dir'!$A$1:$AF$108</definedName>
    <definedName name="_xlnm.Print_Titles" localSheetId="0">'25.05 Kampala-Mutukula-24h'!$1:$8</definedName>
    <definedName name="_xlnm.Print_Titles" localSheetId="1">'25.05 Mutukula-Kampala-24h'!$1:$8</definedName>
    <definedName name="_xlnm.Print_Titles" localSheetId="2">'26.05 Kampala-Mutukula-24h'!$1:$8</definedName>
    <definedName name="_xlnm.Print_Titles" localSheetId="3">'26.05 Mutukula-Kampala-24h'!$1:$8</definedName>
    <definedName name="_xlnm.Print_Titles" localSheetId="4">'27.05 Kampala-Mutukula-24h'!$1:$8</definedName>
    <definedName name="_xlnm.Print_Titles" localSheetId="5">'27.05 Mutukula-Kampala-24h '!$1:$8</definedName>
    <definedName name="_xlnm.Print_Titles" localSheetId="6">'Avg Week Kampala-Mutukula'!$1:$8</definedName>
    <definedName name="_xlnm.Print_Titles" localSheetId="7">'Avg Week Mutukula-Kampala'!$1:$8</definedName>
    <definedName name="_xlnm.Print_Titles" localSheetId="8">'Avg Week Mutukula-Kampala-2Dir'!$1:$8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08" i="108" l="1"/>
  <c r="L108" i="108"/>
  <c r="K108" i="108"/>
  <c r="J108" i="108"/>
  <c r="I108" i="108"/>
  <c r="H108" i="108"/>
  <c r="G108" i="108"/>
  <c r="F108" i="108"/>
  <c r="E108" i="108"/>
  <c r="D108" i="108"/>
  <c r="C108" i="108"/>
  <c r="N107" i="108"/>
  <c r="M107" i="108"/>
  <c r="L107" i="108"/>
  <c r="K107" i="108"/>
  <c r="J107" i="108"/>
  <c r="I107" i="108"/>
  <c r="H107" i="108"/>
  <c r="G107" i="108"/>
  <c r="F107" i="108"/>
  <c r="E107" i="108"/>
  <c r="D107" i="108"/>
  <c r="C107" i="108"/>
  <c r="N108" i="107"/>
  <c r="L108" i="107"/>
  <c r="K108" i="107"/>
  <c r="J108" i="107"/>
  <c r="I108" i="107"/>
  <c r="H108" i="107"/>
  <c r="G108" i="107"/>
  <c r="F108" i="107"/>
  <c r="E108" i="107"/>
  <c r="D108" i="107"/>
  <c r="C108" i="107"/>
  <c r="N107" i="107"/>
  <c r="M107" i="107"/>
  <c r="L107" i="107"/>
  <c r="K107" i="107"/>
  <c r="J107" i="107"/>
  <c r="I107" i="107"/>
  <c r="H107" i="107"/>
  <c r="G107" i="107"/>
  <c r="F107" i="107"/>
  <c r="E107" i="107"/>
  <c r="D107" i="107"/>
  <c r="C107" i="107"/>
  <c r="P58" i="107" l="1"/>
  <c r="P59" i="107"/>
  <c r="AF22" i="107" s="1"/>
  <c r="P60" i="107"/>
  <c r="P61" i="107"/>
  <c r="P62" i="107"/>
  <c r="AF23" i="107" s="1"/>
  <c r="P63" i="107"/>
  <c r="P106" i="107" s="1"/>
  <c r="P64" i="107"/>
  <c r="P65" i="107"/>
  <c r="P66" i="107"/>
  <c r="P67" i="107"/>
  <c r="AF24" i="107" s="1"/>
  <c r="P68" i="107"/>
  <c r="P69" i="107"/>
  <c r="P70" i="107"/>
  <c r="P71" i="107"/>
  <c r="AF25" i="107" s="1"/>
  <c r="P72" i="107"/>
  <c r="P73" i="107"/>
  <c r="P74" i="107"/>
  <c r="P75" i="107"/>
  <c r="P76" i="107"/>
  <c r="P77" i="107"/>
  <c r="P78" i="107"/>
  <c r="AF27" i="107" s="1"/>
  <c r="P79" i="107"/>
  <c r="P80" i="107"/>
  <c r="P81" i="107"/>
  <c r="P82" i="107"/>
  <c r="P83" i="107"/>
  <c r="AF28" i="107" s="1"/>
  <c r="P84" i="107"/>
  <c r="P85" i="107"/>
  <c r="P86" i="107"/>
  <c r="AF29" i="107" s="1"/>
  <c r="P87" i="107"/>
  <c r="P88" i="107"/>
  <c r="P89" i="107"/>
  <c r="P90" i="107"/>
  <c r="P91" i="107"/>
  <c r="AF30" i="107" s="1"/>
  <c r="P92" i="107"/>
  <c r="P93" i="107"/>
  <c r="P94" i="107"/>
  <c r="AF31" i="107" s="1"/>
  <c r="P95" i="107"/>
  <c r="P96" i="107"/>
  <c r="P97" i="107"/>
  <c r="P98" i="107"/>
  <c r="P99" i="107"/>
  <c r="AF32" i="107" s="1"/>
  <c r="P100" i="107"/>
  <c r="P101" i="107"/>
  <c r="P102" i="107"/>
  <c r="P103" i="107"/>
  <c r="P104" i="107"/>
  <c r="P105" i="107"/>
  <c r="O58" i="107"/>
  <c r="O59" i="107"/>
  <c r="O60" i="107"/>
  <c r="O61" i="107"/>
  <c r="O62" i="107"/>
  <c r="O63" i="107"/>
  <c r="AE23" i="107" s="1"/>
  <c r="O64" i="107"/>
  <c r="O65" i="107"/>
  <c r="O66" i="107"/>
  <c r="O67" i="107"/>
  <c r="O68" i="107"/>
  <c r="O69" i="107"/>
  <c r="O70" i="107"/>
  <c r="O71" i="107"/>
  <c r="AE25" i="107" s="1"/>
  <c r="O72" i="107"/>
  <c r="O73" i="107"/>
  <c r="O74" i="107"/>
  <c r="O75" i="107"/>
  <c r="O76" i="107"/>
  <c r="O77" i="107"/>
  <c r="O78" i="107"/>
  <c r="O79" i="107"/>
  <c r="O80" i="107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O93" i="107"/>
  <c r="O94" i="107"/>
  <c r="O95" i="107"/>
  <c r="O96" i="107"/>
  <c r="O97" i="107"/>
  <c r="O98" i="107"/>
  <c r="O99" i="107"/>
  <c r="O100" i="107"/>
  <c r="O101" i="107"/>
  <c r="O102" i="107"/>
  <c r="O103" i="107"/>
  <c r="AE33" i="107" s="1"/>
  <c r="O104" i="107"/>
  <c r="O105" i="107"/>
  <c r="D58" i="107"/>
  <c r="E58" i="107"/>
  <c r="F58" i="107"/>
  <c r="G58" i="107"/>
  <c r="H58" i="107"/>
  <c r="I58" i="107"/>
  <c r="J58" i="107"/>
  <c r="K58" i="107"/>
  <c r="K58" i="111" s="1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D106" i="107" s="1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H67" i="111" s="1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E76" i="111" s="1"/>
  <c r="F76" i="107"/>
  <c r="G76" i="107"/>
  <c r="H76" i="107"/>
  <c r="I76" i="107"/>
  <c r="J76" i="107"/>
  <c r="K76" i="107"/>
  <c r="L76" i="107"/>
  <c r="M76" i="107"/>
  <c r="M76" i="111" s="1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G78" i="111" s="1"/>
  <c r="W27" i="111" s="1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J85" i="111" s="1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D87" i="111" s="1"/>
  <c r="P87" i="111" s="1"/>
  <c r="E87" i="107"/>
  <c r="F87" i="107"/>
  <c r="G87" i="107"/>
  <c r="H87" i="107"/>
  <c r="I87" i="107"/>
  <c r="J87" i="107"/>
  <c r="K87" i="107"/>
  <c r="L87" i="107"/>
  <c r="L87" i="111" s="1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I96" i="111" s="1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Z33" i="107" s="1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F105" i="111" s="1"/>
  <c r="G105" i="107"/>
  <c r="H105" i="107"/>
  <c r="I105" i="107"/>
  <c r="J105" i="107"/>
  <c r="K105" i="107"/>
  <c r="AA33" i="107" s="1"/>
  <c r="L105" i="107"/>
  <c r="M105" i="107"/>
  <c r="N105" i="107"/>
  <c r="N105" i="111" s="1"/>
  <c r="C59" i="107"/>
  <c r="C60" i="107"/>
  <c r="C61" i="107"/>
  <c r="C62" i="107"/>
  <c r="C63" i="107"/>
  <c r="C64" i="107"/>
  <c r="C65" i="107"/>
  <c r="C66" i="107"/>
  <c r="S24" i="107" s="1"/>
  <c r="C67" i="107"/>
  <c r="C68" i="107"/>
  <c r="C69" i="107"/>
  <c r="C70" i="107"/>
  <c r="C71" i="107"/>
  <c r="C72" i="107"/>
  <c r="C73" i="107"/>
  <c r="C74" i="107"/>
  <c r="S26" i="107" s="1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7" i="107"/>
  <c r="C88" i="107"/>
  <c r="C89" i="107"/>
  <c r="C90" i="107"/>
  <c r="S30" i="107" s="1"/>
  <c r="C91" i="107"/>
  <c r="C92" i="107"/>
  <c r="C93" i="107"/>
  <c r="C94" i="107"/>
  <c r="C95" i="107"/>
  <c r="C96" i="107"/>
  <c r="C97" i="107"/>
  <c r="C98" i="107"/>
  <c r="S32" i="107" s="1"/>
  <c r="C99" i="107"/>
  <c r="C100" i="107"/>
  <c r="C101" i="107"/>
  <c r="C102" i="107"/>
  <c r="C103" i="107"/>
  <c r="C104" i="107"/>
  <c r="C105" i="107"/>
  <c r="C58" i="107"/>
  <c r="P58" i="108"/>
  <c r="P59" i="108"/>
  <c r="P60" i="108"/>
  <c r="P61" i="108"/>
  <c r="P62" i="108"/>
  <c r="P106" i="108" s="1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AF27" i="108" s="1"/>
  <c r="P79" i="108"/>
  <c r="P80" i="108"/>
  <c r="P81" i="108"/>
  <c r="P82" i="108"/>
  <c r="P83" i="108"/>
  <c r="P84" i="108"/>
  <c r="P85" i="108"/>
  <c r="P86" i="108"/>
  <c r="AF29" i="108" s="1"/>
  <c r="P87" i="108"/>
  <c r="P88" i="108"/>
  <c r="P89" i="108"/>
  <c r="P90" i="108"/>
  <c r="P91" i="108"/>
  <c r="P92" i="108"/>
  <c r="P93" i="108"/>
  <c r="P94" i="108"/>
  <c r="P95" i="108"/>
  <c r="P96" i="108"/>
  <c r="P97" i="108"/>
  <c r="P98" i="108"/>
  <c r="P99" i="108"/>
  <c r="P100" i="108"/>
  <c r="P101" i="108"/>
  <c r="P102" i="108"/>
  <c r="AF33" i="108" s="1"/>
  <c r="P103" i="108"/>
  <c r="P104" i="108"/>
  <c r="P105" i="108"/>
  <c r="O58" i="108"/>
  <c r="O59" i="108"/>
  <c r="O60" i="108"/>
  <c r="O61" i="108"/>
  <c r="O62" i="108"/>
  <c r="AE23" i="108" s="1"/>
  <c r="O63" i="108"/>
  <c r="O64" i="108"/>
  <c r="O65" i="108"/>
  <c r="O106" i="108" s="1"/>
  <c r="O66" i="108"/>
  <c r="AE24" i="108" s="1"/>
  <c r="O67" i="108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O81" i="108"/>
  <c r="AE27" i="108" s="1"/>
  <c r="O82" i="108"/>
  <c r="O83" i="108"/>
  <c r="O84" i="108"/>
  <c r="O85" i="108"/>
  <c r="O86" i="108"/>
  <c r="O87" i="108"/>
  <c r="O88" i="108"/>
  <c r="O89" i="108"/>
  <c r="AE29" i="108" s="1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AE33" i="108" s="1"/>
  <c r="O103" i="108"/>
  <c r="O104" i="108"/>
  <c r="O105" i="108"/>
  <c r="D58" i="108"/>
  <c r="E58" i="108"/>
  <c r="F58" i="108"/>
  <c r="G58" i="108"/>
  <c r="H58" i="108"/>
  <c r="I58" i="108"/>
  <c r="J58" i="108"/>
  <c r="K58" i="108"/>
  <c r="K106" i="108" s="1"/>
  <c r="L58" i="108"/>
  <c r="M58" i="108"/>
  <c r="N58" i="108"/>
  <c r="D59" i="108"/>
  <c r="E59" i="108"/>
  <c r="F59" i="108"/>
  <c r="G59" i="108"/>
  <c r="H59" i="108"/>
  <c r="H106" i="108" s="1"/>
  <c r="I59" i="108"/>
  <c r="J59" i="108"/>
  <c r="K59" i="108"/>
  <c r="L59" i="108"/>
  <c r="M59" i="108"/>
  <c r="N59" i="108"/>
  <c r="D60" i="108"/>
  <c r="E60" i="108"/>
  <c r="U22" i="108" s="1"/>
  <c r="F60" i="108"/>
  <c r="G60" i="108"/>
  <c r="H60" i="108"/>
  <c r="I60" i="108"/>
  <c r="J60" i="108"/>
  <c r="K60" i="108"/>
  <c r="L60" i="108"/>
  <c r="M60" i="108"/>
  <c r="AC22" i="108" s="1"/>
  <c r="N60" i="108"/>
  <c r="D61" i="108"/>
  <c r="E61" i="108"/>
  <c r="F61" i="108"/>
  <c r="G61" i="108"/>
  <c r="H61" i="108"/>
  <c r="I61" i="108"/>
  <c r="J61" i="108"/>
  <c r="J106" i="108" s="1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T23" i="108" s="1"/>
  <c r="E63" i="108"/>
  <c r="F63" i="108"/>
  <c r="G63" i="108"/>
  <c r="H63" i="108"/>
  <c r="I63" i="108"/>
  <c r="J63" i="108"/>
  <c r="K63" i="108"/>
  <c r="L63" i="108"/>
  <c r="AB23" i="108" s="1"/>
  <c r="M63" i="108"/>
  <c r="N63" i="108"/>
  <c r="D64" i="108"/>
  <c r="E64" i="108"/>
  <c r="F64" i="108"/>
  <c r="G64" i="108"/>
  <c r="H64" i="108"/>
  <c r="I64" i="108"/>
  <c r="I106" i="108" s="1"/>
  <c r="J64" i="108"/>
  <c r="K64" i="108"/>
  <c r="L64" i="108"/>
  <c r="M64" i="108"/>
  <c r="N64" i="108"/>
  <c r="D65" i="108"/>
  <c r="E65" i="108"/>
  <c r="F65" i="108"/>
  <c r="V23" i="108" s="1"/>
  <c r="G65" i="108"/>
  <c r="H65" i="108"/>
  <c r="I65" i="108"/>
  <c r="J65" i="108"/>
  <c r="K65" i="108"/>
  <c r="L65" i="108"/>
  <c r="M65" i="108"/>
  <c r="N65" i="108"/>
  <c r="AD23" i="108" s="1"/>
  <c r="D66" i="108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X24" i="108" s="1"/>
  <c r="I67" i="108"/>
  <c r="J67" i="108"/>
  <c r="K67" i="108"/>
  <c r="L67" i="108"/>
  <c r="M67" i="108"/>
  <c r="N67" i="108"/>
  <c r="D68" i="108"/>
  <c r="E68" i="108"/>
  <c r="U24" i="108" s="1"/>
  <c r="F68" i="108"/>
  <c r="G68" i="108"/>
  <c r="H68" i="108"/>
  <c r="I68" i="108"/>
  <c r="J68" i="108"/>
  <c r="K68" i="108"/>
  <c r="L68" i="108"/>
  <c r="M68" i="108"/>
  <c r="AC24" i="108" s="1"/>
  <c r="N68" i="108"/>
  <c r="D69" i="108"/>
  <c r="E69" i="108"/>
  <c r="F69" i="108"/>
  <c r="G69" i="108"/>
  <c r="H69" i="108"/>
  <c r="I69" i="108"/>
  <c r="J69" i="108"/>
  <c r="Z24" i="108" s="1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L70" i="108"/>
  <c r="M70" i="108"/>
  <c r="N70" i="108"/>
  <c r="D71" i="108"/>
  <c r="T25" i="108" s="1"/>
  <c r="E71" i="108"/>
  <c r="F71" i="108"/>
  <c r="G71" i="108"/>
  <c r="H71" i="108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Y25" i="108" s="1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X26" i="108" s="1"/>
  <c r="I75" i="108"/>
  <c r="J75" i="108"/>
  <c r="K75" i="108"/>
  <c r="L75" i="108"/>
  <c r="M75" i="108"/>
  <c r="N75" i="108"/>
  <c r="D76" i="108"/>
  <c r="E76" i="108"/>
  <c r="U26" i="108" s="1"/>
  <c r="F76" i="108"/>
  <c r="G76" i="108"/>
  <c r="H76" i="108"/>
  <c r="I76" i="108"/>
  <c r="J76" i="108"/>
  <c r="K76" i="108"/>
  <c r="L76" i="108"/>
  <c r="M76" i="108"/>
  <c r="AC26" i="108" s="1"/>
  <c r="N76" i="108"/>
  <c r="D77" i="108"/>
  <c r="E77" i="108"/>
  <c r="F77" i="108"/>
  <c r="G77" i="108"/>
  <c r="H77" i="108"/>
  <c r="I77" i="108"/>
  <c r="J77" i="108"/>
  <c r="Z26" i="108" s="1"/>
  <c r="K77" i="108"/>
  <c r="L77" i="108"/>
  <c r="M77" i="108"/>
  <c r="N77" i="108"/>
  <c r="D78" i="108"/>
  <c r="E78" i="108"/>
  <c r="F78" i="108"/>
  <c r="G78" i="108"/>
  <c r="W27" i="108" s="1"/>
  <c r="H78" i="108"/>
  <c r="I78" i="108"/>
  <c r="J78" i="108"/>
  <c r="K78" i="108"/>
  <c r="L78" i="108"/>
  <c r="M78" i="108"/>
  <c r="N78" i="108"/>
  <c r="D79" i="108"/>
  <c r="T27" i="108" s="1"/>
  <c r="E79" i="108"/>
  <c r="F79" i="108"/>
  <c r="G79" i="108"/>
  <c r="H79" i="108"/>
  <c r="I79" i="108"/>
  <c r="J79" i="108"/>
  <c r="K79" i="108"/>
  <c r="L79" i="108"/>
  <c r="AB27" i="108" s="1"/>
  <c r="M79" i="108"/>
  <c r="N79" i="108"/>
  <c r="D80" i="108"/>
  <c r="E80" i="108"/>
  <c r="F80" i="108"/>
  <c r="G80" i="108"/>
  <c r="H80" i="108"/>
  <c r="I80" i="108"/>
  <c r="Y27" i="108" s="1"/>
  <c r="J80" i="108"/>
  <c r="K80" i="108"/>
  <c r="L80" i="108"/>
  <c r="M80" i="108"/>
  <c r="N80" i="108"/>
  <c r="D81" i="108"/>
  <c r="E81" i="108"/>
  <c r="F81" i="108"/>
  <c r="V27" i="108" s="1"/>
  <c r="G81" i="108"/>
  <c r="H81" i="108"/>
  <c r="I81" i="108"/>
  <c r="J81" i="108"/>
  <c r="K81" i="108"/>
  <c r="L81" i="108"/>
  <c r="M81" i="108"/>
  <c r="N81" i="108"/>
  <c r="AD27" i="108" s="1"/>
  <c r="D82" i="108"/>
  <c r="E82" i="108"/>
  <c r="F82" i="108"/>
  <c r="G82" i="108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X28" i="108" s="1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J84" i="108"/>
  <c r="K84" i="108"/>
  <c r="L84" i="108"/>
  <c r="M84" i="108"/>
  <c r="AC28" i="108" s="1"/>
  <c r="N84" i="108"/>
  <c r="D85" i="108"/>
  <c r="E85" i="108"/>
  <c r="F85" i="108"/>
  <c r="G85" i="108"/>
  <c r="H85" i="108"/>
  <c r="I85" i="108"/>
  <c r="J85" i="108"/>
  <c r="Z28" i="108" s="1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I87" i="108"/>
  <c r="J87" i="108"/>
  <c r="K87" i="108"/>
  <c r="L87" i="108"/>
  <c r="AB29" i="108" s="1"/>
  <c r="M87" i="108"/>
  <c r="N87" i="108"/>
  <c r="D88" i="108"/>
  <c r="E88" i="108"/>
  <c r="F88" i="108"/>
  <c r="G88" i="108"/>
  <c r="H88" i="108"/>
  <c r="I88" i="108"/>
  <c r="Y29" i="108" s="1"/>
  <c r="J88" i="108"/>
  <c r="K88" i="108"/>
  <c r="L88" i="108"/>
  <c r="M88" i="108"/>
  <c r="N88" i="108"/>
  <c r="D89" i="108"/>
  <c r="E89" i="108"/>
  <c r="F89" i="108"/>
  <c r="V29" i="108" s="1"/>
  <c r="G89" i="108"/>
  <c r="H89" i="108"/>
  <c r="I89" i="108"/>
  <c r="J89" i="108"/>
  <c r="K89" i="108"/>
  <c r="L89" i="108"/>
  <c r="M89" i="108"/>
  <c r="N89" i="108"/>
  <c r="AD29" i="108" s="1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X30" i="108" s="1"/>
  <c r="I91" i="108"/>
  <c r="J91" i="108"/>
  <c r="K91" i="108"/>
  <c r="L91" i="108"/>
  <c r="M91" i="108"/>
  <c r="N91" i="108"/>
  <c r="D92" i="108"/>
  <c r="E92" i="108"/>
  <c r="U30" i="108" s="1"/>
  <c r="F92" i="108"/>
  <c r="G92" i="108"/>
  <c r="H92" i="108"/>
  <c r="I92" i="108"/>
  <c r="J92" i="108"/>
  <c r="K92" i="108"/>
  <c r="L92" i="108"/>
  <c r="M92" i="108"/>
  <c r="AC30" i="108" s="1"/>
  <c r="N92" i="108"/>
  <c r="D93" i="108"/>
  <c r="E93" i="108"/>
  <c r="F93" i="108"/>
  <c r="G93" i="108"/>
  <c r="H93" i="108"/>
  <c r="I93" i="108"/>
  <c r="J93" i="108"/>
  <c r="Z30" i="108" s="1"/>
  <c r="K93" i="108"/>
  <c r="L93" i="108"/>
  <c r="M93" i="108"/>
  <c r="N93" i="108"/>
  <c r="D94" i="108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T31" i="108" s="1"/>
  <c r="E95" i="108"/>
  <c r="F95" i="108"/>
  <c r="G95" i="108"/>
  <c r="H95" i="108"/>
  <c r="I95" i="108"/>
  <c r="J95" i="108"/>
  <c r="K95" i="108"/>
  <c r="L95" i="108"/>
  <c r="AB31" i="108" s="1"/>
  <c r="M95" i="108"/>
  <c r="N95" i="108"/>
  <c r="D96" i="108"/>
  <c r="E96" i="108"/>
  <c r="F96" i="108"/>
  <c r="G96" i="108"/>
  <c r="H96" i="108"/>
  <c r="I96" i="108"/>
  <c r="Y31" i="108" s="1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D99" i="108"/>
  <c r="E99" i="108"/>
  <c r="F99" i="108"/>
  <c r="V32" i="108" s="1"/>
  <c r="G99" i="108"/>
  <c r="H99" i="108"/>
  <c r="X32" i="108" s="1"/>
  <c r="I99" i="108"/>
  <c r="J99" i="108"/>
  <c r="K99" i="108"/>
  <c r="L99" i="108"/>
  <c r="M99" i="108"/>
  <c r="N99" i="108"/>
  <c r="AD32" i="108" s="1"/>
  <c r="D100" i="108"/>
  <c r="E100" i="108"/>
  <c r="U32" i="108" s="1"/>
  <c r="F100" i="108"/>
  <c r="G100" i="108"/>
  <c r="H100" i="108"/>
  <c r="I100" i="108"/>
  <c r="J100" i="108"/>
  <c r="K100" i="108"/>
  <c r="L100" i="108"/>
  <c r="M100" i="108"/>
  <c r="AC32" i="108" s="1"/>
  <c r="N100" i="108"/>
  <c r="D101" i="108"/>
  <c r="E101" i="108"/>
  <c r="F101" i="108"/>
  <c r="G101" i="108"/>
  <c r="H101" i="108"/>
  <c r="I101" i="108"/>
  <c r="J101" i="108"/>
  <c r="Z32" i="108" s="1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T33" i="108" s="1"/>
  <c r="E103" i="108"/>
  <c r="F103" i="108"/>
  <c r="G103" i="108"/>
  <c r="H103" i="108"/>
  <c r="I103" i="108"/>
  <c r="J103" i="108"/>
  <c r="Z33" i="108" s="1"/>
  <c r="K103" i="108"/>
  <c r="L103" i="108"/>
  <c r="AB33" i="108" s="1"/>
  <c r="M103" i="108"/>
  <c r="N103" i="108"/>
  <c r="AD33" i="108" s="1"/>
  <c r="D104" i="108"/>
  <c r="E104" i="108"/>
  <c r="F104" i="108"/>
  <c r="G104" i="108"/>
  <c r="H104" i="108"/>
  <c r="I104" i="108"/>
  <c r="Y33" i="108" s="1"/>
  <c r="J104" i="108"/>
  <c r="K104" i="108"/>
  <c r="L104" i="108"/>
  <c r="M104" i="108"/>
  <c r="N104" i="108"/>
  <c r="D105" i="108"/>
  <c r="E105" i="108"/>
  <c r="F105" i="108"/>
  <c r="V33" i="108" s="1"/>
  <c r="G105" i="108"/>
  <c r="H105" i="108"/>
  <c r="X33" i="108" s="1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6" i="111" s="1"/>
  <c r="C67" i="108"/>
  <c r="C68" i="108"/>
  <c r="C69" i="108"/>
  <c r="C70" i="108"/>
  <c r="C71" i="108"/>
  <c r="C72" i="108"/>
  <c r="C73" i="108"/>
  <c r="C74" i="108"/>
  <c r="C74" i="111" s="1"/>
  <c r="C75" i="108"/>
  <c r="C76" i="108"/>
  <c r="C77" i="108"/>
  <c r="C78" i="108"/>
  <c r="C79" i="108"/>
  <c r="C80" i="108"/>
  <c r="C81" i="108"/>
  <c r="C82" i="108"/>
  <c r="C82" i="111" s="1"/>
  <c r="C83" i="108"/>
  <c r="C84" i="108"/>
  <c r="C85" i="108"/>
  <c r="C86" i="108"/>
  <c r="C87" i="108"/>
  <c r="C88" i="108"/>
  <c r="C89" i="108"/>
  <c r="C90" i="108"/>
  <c r="C90" i="111" s="1"/>
  <c r="C91" i="108"/>
  <c r="C92" i="108"/>
  <c r="C93" i="108"/>
  <c r="C94" i="108"/>
  <c r="C95" i="108"/>
  <c r="C96" i="108"/>
  <c r="S31" i="108" s="1"/>
  <c r="C97" i="108"/>
  <c r="C98" i="108"/>
  <c r="C98" i="111" s="1"/>
  <c r="C99" i="108"/>
  <c r="C100" i="108"/>
  <c r="C101" i="108"/>
  <c r="C102" i="108"/>
  <c r="C103" i="108"/>
  <c r="C104" i="108"/>
  <c r="C105" i="108"/>
  <c r="C58" i="108"/>
  <c r="AE37" i="108"/>
  <c r="W37" i="108"/>
  <c r="AC33" i="108"/>
  <c r="AA33" i="108"/>
  <c r="U33" i="108"/>
  <c r="S33" i="108"/>
  <c r="AF32" i="108"/>
  <c r="AE32" i="108"/>
  <c r="AB32" i="108"/>
  <c r="Y32" i="108"/>
  <c r="W32" i="108"/>
  <c r="T32" i="108"/>
  <c r="AF31" i="108"/>
  <c r="AE31" i="108"/>
  <c r="AD31" i="108"/>
  <c r="AC31" i="108"/>
  <c r="AA31" i="108"/>
  <c r="Z31" i="108"/>
  <c r="X31" i="108"/>
  <c r="V31" i="108"/>
  <c r="U31" i="108"/>
  <c r="AF30" i="108"/>
  <c r="AE30" i="108"/>
  <c r="AD30" i="108"/>
  <c r="AB30" i="108"/>
  <c r="AA30" i="108"/>
  <c r="Y30" i="108"/>
  <c r="W30" i="108"/>
  <c r="V30" i="108"/>
  <c r="T30" i="108"/>
  <c r="AC29" i="108"/>
  <c r="AA29" i="108"/>
  <c r="Z29" i="108"/>
  <c r="X29" i="108"/>
  <c r="U29" i="108"/>
  <c r="S29" i="108"/>
  <c r="AF28" i="108"/>
  <c r="AE28" i="108"/>
  <c r="AD28" i="108"/>
  <c r="AB28" i="108"/>
  <c r="Y28" i="108"/>
  <c r="W28" i="108"/>
  <c r="V28" i="108"/>
  <c r="T28" i="108"/>
  <c r="AC27" i="108"/>
  <c r="AA27" i="108"/>
  <c r="Z27" i="108"/>
  <c r="X27" i="108"/>
  <c r="U27" i="108"/>
  <c r="S27" i="108"/>
  <c r="AF26" i="108"/>
  <c r="AE26" i="108"/>
  <c r="AD26" i="108"/>
  <c r="AB26" i="108"/>
  <c r="Y26" i="108"/>
  <c r="W26" i="108"/>
  <c r="V26" i="108"/>
  <c r="T26" i="108"/>
  <c r="AF25" i="108"/>
  <c r="AD25" i="108"/>
  <c r="AC25" i="108"/>
  <c r="AA25" i="108"/>
  <c r="Z25" i="108"/>
  <c r="X25" i="108"/>
  <c r="V25" i="108"/>
  <c r="U25" i="108"/>
  <c r="S25" i="108"/>
  <c r="AF24" i="108"/>
  <c r="AD24" i="108"/>
  <c r="AB24" i="108"/>
  <c r="Y24" i="108"/>
  <c r="W24" i="108"/>
  <c r="V24" i="108"/>
  <c r="T24" i="108"/>
  <c r="AF23" i="108"/>
  <c r="AC23" i="108"/>
  <c r="AA23" i="108"/>
  <c r="Z23" i="108"/>
  <c r="Y23" i="108"/>
  <c r="X23" i="108"/>
  <c r="U23" i="108"/>
  <c r="S23" i="108"/>
  <c r="AF22" i="108"/>
  <c r="AE22" i="108"/>
  <c r="AD22" i="108"/>
  <c r="AB22" i="108"/>
  <c r="Y22" i="108"/>
  <c r="W22" i="108"/>
  <c r="V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X20" i="108"/>
  <c r="W20" i="108"/>
  <c r="V20" i="108"/>
  <c r="U20" i="108"/>
  <c r="U36" i="108" s="1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AA35" i="108" s="1"/>
  <c r="Z15" i="108"/>
  <c r="Y15" i="108"/>
  <c r="X15" i="108"/>
  <c r="W15" i="108"/>
  <c r="V15" i="108"/>
  <c r="U15" i="108"/>
  <c r="T15" i="108"/>
  <c r="S15" i="108"/>
  <c r="S35" i="108" s="1"/>
  <c r="AF14" i="108"/>
  <c r="AE14" i="108"/>
  <c r="AD14" i="108"/>
  <c r="AC14" i="108"/>
  <c r="AB14" i="108"/>
  <c r="AA14" i="108"/>
  <c r="Z14" i="108"/>
  <c r="Y14" i="108"/>
  <c r="Y38" i="108" s="1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C40" i="108" s="1"/>
  <c r="AB12" i="108"/>
  <c r="AA12" i="108"/>
  <c r="Z12" i="108"/>
  <c r="Y12" i="108"/>
  <c r="X12" i="108"/>
  <c r="W12" i="108"/>
  <c r="V12" i="108"/>
  <c r="U12" i="108"/>
  <c r="U40" i="108" s="1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34" i="108" s="1"/>
  <c r="X10" i="108"/>
  <c r="X34" i="108" s="1"/>
  <c r="W10" i="108"/>
  <c r="W34" i="108" s="1"/>
  <c r="V10" i="108"/>
  <c r="U10" i="108"/>
  <c r="T10" i="108"/>
  <c r="T40" i="108" s="1"/>
  <c r="S10" i="108"/>
  <c r="S40" i="108" s="1"/>
  <c r="AE37" i="107"/>
  <c r="W37" i="107"/>
  <c r="AF33" i="107"/>
  <c r="AD33" i="107"/>
  <c r="AC33" i="107"/>
  <c r="X33" i="107"/>
  <c r="U33" i="107"/>
  <c r="S33" i="107"/>
  <c r="AE32" i="107"/>
  <c r="AD32" i="107"/>
  <c r="AB32" i="107"/>
  <c r="Y32" i="107"/>
  <c r="W32" i="107"/>
  <c r="V32" i="107"/>
  <c r="T32" i="107"/>
  <c r="AE31" i="107"/>
  <c r="AC31" i="107"/>
  <c r="AA31" i="107"/>
  <c r="Z31" i="107"/>
  <c r="X31" i="107"/>
  <c r="U31" i="107"/>
  <c r="S31" i="107"/>
  <c r="AE30" i="107"/>
  <c r="AD30" i="107"/>
  <c r="AB30" i="107"/>
  <c r="Y30" i="107"/>
  <c r="W30" i="107"/>
  <c r="V30" i="107"/>
  <c r="T30" i="107"/>
  <c r="AE29" i="107"/>
  <c r="AC29" i="107"/>
  <c r="AA29" i="107"/>
  <c r="Z29" i="107"/>
  <c r="X29" i="107"/>
  <c r="U29" i="107"/>
  <c r="S29" i="107"/>
  <c r="AE28" i="107"/>
  <c r="AD28" i="107"/>
  <c r="AB28" i="107"/>
  <c r="Y28" i="107"/>
  <c r="W28" i="107"/>
  <c r="V28" i="107"/>
  <c r="T28" i="107"/>
  <c r="AE27" i="107"/>
  <c r="AC27" i="107"/>
  <c r="AA27" i="107"/>
  <c r="Z27" i="107"/>
  <c r="X27" i="107"/>
  <c r="W27" i="107"/>
  <c r="U27" i="107"/>
  <c r="S27" i="107"/>
  <c r="AF26" i="107"/>
  <c r="AE26" i="107"/>
  <c r="AD26" i="107"/>
  <c r="AB26" i="107"/>
  <c r="Y26" i="107"/>
  <c r="W26" i="107"/>
  <c r="V26" i="107"/>
  <c r="T26" i="107"/>
  <c r="AC25" i="107"/>
  <c r="AA25" i="107"/>
  <c r="Z25" i="107"/>
  <c r="X25" i="107"/>
  <c r="U25" i="107"/>
  <c r="S25" i="107"/>
  <c r="AE24" i="107"/>
  <c r="AD24" i="107"/>
  <c r="AB24" i="107"/>
  <c r="Y24" i="107"/>
  <c r="W24" i="107"/>
  <c r="V24" i="107"/>
  <c r="T24" i="107"/>
  <c r="AC23" i="107"/>
  <c r="AA23" i="107"/>
  <c r="Z23" i="107"/>
  <c r="X23" i="107"/>
  <c r="U23" i="107"/>
  <c r="S23" i="107"/>
  <c r="AE22" i="107"/>
  <c r="AD22" i="107"/>
  <c r="AB22" i="107"/>
  <c r="Y22" i="107"/>
  <c r="W22" i="107"/>
  <c r="V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E36" i="107" s="1"/>
  <c r="AD20" i="107"/>
  <c r="AC20" i="107"/>
  <c r="AC36" i="107" s="1"/>
  <c r="AB20" i="107"/>
  <c r="AA20" i="107"/>
  <c r="Z20" i="107"/>
  <c r="Y20" i="107"/>
  <c r="X20" i="107"/>
  <c r="W20" i="107"/>
  <c r="W36" i="107" s="1"/>
  <c r="V20" i="107"/>
  <c r="U20" i="107"/>
  <c r="U36" i="107" s="1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9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AA35" i="107" s="1"/>
  <c r="Z15" i="107"/>
  <c r="Y15" i="107"/>
  <c r="X15" i="107"/>
  <c r="W15" i="107"/>
  <c r="V15" i="107"/>
  <c r="U15" i="107"/>
  <c r="T15" i="107"/>
  <c r="S15" i="107"/>
  <c r="S35" i="107" s="1"/>
  <c r="AF14" i="107"/>
  <c r="AE14" i="107"/>
  <c r="AD14" i="107"/>
  <c r="AC14" i="107"/>
  <c r="AB14" i="107"/>
  <c r="AA14" i="107"/>
  <c r="Z14" i="107"/>
  <c r="Y14" i="107"/>
  <c r="Y38" i="107" s="1"/>
  <c r="X14" i="107"/>
  <c r="W14" i="107"/>
  <c r="V14" i="107"/>
  <c r="U14" i="107"/>
  <c r="T14" i="107"/>
  <c r="S14" i="107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S38" i="107" s="1"/>
  <c r="AF12" i="107"/>
  <c r="AE12" i="107"/>
  <c r="AD12" i="107"/>
  <c r="AC12" i="107"/>
  <c r="AC40" i="107" s="1"/>
  <c r="AB12" i="107"/>
  <c r="AA12" i="107"/>
  <c r="Z12" i="107"/>
  <c r="Y12" i="107"/>
  <c r="X12" i="107"/>
  <c r="W12" i="107"/>
  <c r="V12" i="107"/>
  <c r="U12" i="107"/>
  <c r="U40" i="107" s="1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34" i="107" s="1"/>
  <c r="AE10" i="107"/>
  <c r="AE34" i="107" s="1"/>
  <c r="AD10" i="107"/>
  <c r="AC10" i="107"/>
  <c r="AB10" i="107"/>
  <c r="AB40" i="107" s="1"/>
  <c r="AA10" i="107"/>
  <c r="AA40" i="107" s="1"/>
  <c r="Z10" i="107"/>
  <c r="Z40" i="107" s="1"/>
  <c r="Y10" i="107"/>
  <c r="Y34" i="107" s="1"/>
  <c r="X10" i="107"/>
  <c r="X34" i="107" s="1"/>
  <c r="W10" i="107"/>
  <c r="W34" i="107" s="1"/>
  <c r="V10" i="107"/>
  <c r="U10" i="107"/>
  <c r="T10" i="107"/>
  <c r="T40" i="107" s="1"/>
  <c r="S10" i="107"/>
  <c r="S40" i="107" s="1"/>
  <c r="AB37" i="111"/>
  <c r="T37" i="111"/>
  <c r="AB26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B20" i="111"/>
  <c r="AB36" i="111" s="1"/>
  <c r="AA20" i="111"/>
  <c r="Z20" i="111"/>
  <c r="Z36" i="111" s="1"/>
  <c r="Y20" i="111"/>
  <c r="X20" i="111"/>
  <c r="W20" i="111"/>
  <c r="V20" i="111"/>
  <c r="U20" i="111"/>
  <c r="T20" i="111"/>
  <c r="T36" i="111" s="1"/>
  <c r="S20" i="111"/>
  <c r="AF19" i="111"/>
  <c r="AF39" i="111" s="1"/>
  <c r="AE19" i="111"/>
  <c r="AE39" i="111" s="1"/>
  <c r="AD19" i="111"/>
  <c r="AD39" i="111" s="1"/>
  <c r="AC19" i="111"/>
  <c r="AC39" i="111" s="1"/>
  <c r="AB19" i="111"/>
  <c r="AB39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9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F35" i="111" s="1"/>
  <c r="AE15" i="111"/>
  <c r="AD15" i="111"/>
  <c r="AC15" i="111"/>
  <c r="AB15" i="111"/>
  <c r="AA15" i="111"/>
  <c r="Z15" i="111"/>
  <c r="Y15" i="111"/>
  <c r="X15" i="111"/>
  <c r="X35" i="111" s="1"/>
  <c r="W15" i="111"/>
  <c r="V15" i="111"/>
  <c r="U15" i="111"/>
  <c r="T15" i="111"/>
  <c r="S15" i="111"/>
  <c r="AF14" i="111"/>
  <c r="AF38" i="111" s="1"/>
  <c r="AE14" i="111"/>
  <c r="AD14" i="111"/>
  <c r="AD38" i="111" s="1"/>
  <c r="AC14" i="111"/>
  <c r="AB14" i="111"/>
  <c r="AA14" i="111"/>
  <c r="Z14" i="111"/>
  <c r="Y14" i="111"/>
  <c r="X14" i="111"/>
  <c r="X38" i="111" s="1"/>
  <c r="W14" i="111"/>
  <c r="V14" i="111"/>
  <c r="V38" i="111" s="1"/>
  <c r="U14" i="111"/>
  <c r="T14" i="111"/>
  <c r="S14" i="111"/>
  <c r="AF13" i="111"/>
  <c r="AE13" i="111"/>
  <c r="AE38" i="111" s="1"/>
  <c r="AD13" i="111"/>
  <c r="AD35" i="111" s="1"/>
  <c r="AC13" i="111"/>
  <c r="AC38" i="111" s="1"/>
  <c r="AB13" i="111"/>
  <c r="AB38" i="111" s="1"/>
  <c r="AA13" i="111"/>
  <c r="AA38" i="111" s="1"/>
  <c r="Z13" i="111"/>
  <c r="Z35" i="111" s="1"/>
  <c r="Y13" i="111"/>
  <c r="Y35" i="111" s="1"/>
  <c r="X13" i="111"/>
  <c r="W13" i="111"/>
  <c r="W38" i="111" s="1"/>
  <c r="V13" i="111"/>
  <c r="V35" i="111" s="1"/>
  <c r="U13" i="111"/>
  <c r="U38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Z11" i="111"/>
  <c r="Z40" i="111" s="1"/>
  <c r="Y11" i="111"/>
  <c r="X11" i="111"/>
  <c r="W11" i="111"/>
  <c r="V11" i="111"/>
  <c r="U11" i="111"/>
  <c r="T11" i="111"/>
  <c r="S11" i="111"/>
  <c r="AF10" i="111"/>
  <c r="AF34" i="111" s="1"/>
  <c r="AE10" i="111"/>
  <c r="AE34" i="111" s="1"/>
  <c r="AD10" i="111"/>
  <c r="AC10" i="111"/>
  <c r="AB10" i="111"/>
  <c r="AB40" i="111" s="1"/>
  <c r="AA10" i="111"/>
  <c r="AA40" i="111" s="1"/>
  <c r="Z10" i="111"/>
  <c r="Y10" i="111"/>
  <c r="Y40" i="111" s="1"/>
  <c r="X10" i="111"/>
  <c r="X34" i="111" s="1"/>
  <c r="W10" i="111"/>
  <c r="W34" i="111" s="1"/>
  <c r="V10" i="111"/>
  <c r="U10" i="111"/>
  <c r="T10" i="111"/>
  <c r="T40" i="111" s="1"/>
  <c r="S10" i="111"/>
  <c r="S40" i="111" s="1"/>
  <c r="D58" i="111"/>
  <c r="E58" i="111"/>
  <c r="F58" i="111"/>
  <c r="G58" i="111"/>
  <c r="H58" i="111"/>
  <c r="I58" i="111"/>
  <c r="J58" i="111"/>
  <c r="L58" i="111"/>
  <c r="M58" i="111"/>
  <c r="N58" i="111"/>
  <c r="D59" i="111"/>
  <c r="E59" i="111"/>
  <c r="F59" i="111"/>
  <c r="G59" i="111"/>
  <c r="I59" i="111"/>
  <c r="J59" i="111"/>
  <c r="K59" i="111"/>
  <c r="L59" i="111"/>
  <c r="M59" i="111"/>
  <c r="N59" i="111"/>
  <c r="D60" i="11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K61" i="111"/>
  <c r="L61" i="111"/>
  <c r="M61" i="111"/>
  <c r="N61" i="111"/>
  <c r="D62" i="111"/>
  <c r="E62" i="111"/>
  <c r="U23" i="111" s="1"/>
  <c r="F62" i="111"/>
  <c r="H62" i="111"/>
  <c r="I62" i="111"/>
  <c r="J62" i="111"/>
  <c r="Z23" i="111" s="1"/>
  <c r="K62" i="111"/>
  <c r="L62" i="111"/>
  <c r="M62" i="111"/>
  <c r="AC23" i="111" s="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N64" i="111"/>
  <c r="D65" i="111"/>
  <c r="E65" i="111"/>
  <c r="G65" i="111"/>
  <c r="H65" i="111"/>
  <c r="I65" i="111"/>
  <c r="J65" i="111"/>
  <c r="K65" i="111"/>
  <c r="L65" i="111"/>
  <c r="M65" i="111"/>
  <c r="D66" i="111"/>
  <c r="E66" i="111"/>
  <c r="F66" i="111"/>
  <c r="G66" i="111"/>
  <c r="H66" i="111"/>
  <c r="I66" i="111"/>
  <c r="J66" i="111"/>
  <c r="L66" i="111"/>
  <c r="M66" i="111"/>
  <c r="N66" i="111"/>
  <c r="AD24" i="111" s="1"/>
  <c r="D67" i="111"/>
  <c r="E67" i="111"/>
  <c r="F67" i="111"/>
  <c r="G67" i="111"/>
  <c r="I67" i="111"/>
  <c r="J67" i="111"/>
  <c r="K67" i="111"/>
  <c r="L67" i="111"/>
  <c r="M67" i="111"/>
  <c r="N67" i="111"/>
  <c r="D68" i="111"/>
  <c r="F68" i="111"/>
  <c r="G68" i="111"/>
  <c r="H68" i="111"/>
  <c r="I68" i="111"/>
  <c r="J68" i="111"/>
  <c r="K68" i="111"/>
  <c r="L68" i="111"/>
  <c r="N68" i="111"/>
  <c r="D69" i="111"/>
  <c r="E69" i="111"/>
  <c r="F69" i="11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L70" i="111"/>
  <c r="M70" i="111"/>
  <c r="AC25" i="111" s="1"/>
  <c r="N70" i="111"/>
  <c r="E71" i="111"/>
  <c r="F71" i="111"/>
  <c r="G71" i="111"/>
  <c r="H71" i="111"/>
  <c r="I71" i="111"/>
  <c r="J71" i="11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I73" i="111"/>
  <c r="J73" i="111"/>
  <c r="K73" i="111"/>
  <c r="L73" i="111"/>
  <c r="M73" i="111"/>
  <c r="D74" i="111"/>
  <c r="T26" i="111" s="1"/>
  <c r="E74" i="111"/>
  <c r="F74" i="111"/>
  <c r="G74" i="111"/>
  <c r="H74" i="111"/>
  <c r="I74" i="111"/>
  <c r="Y26" i="111" s="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J76" i="111"/>
  <c r="K76" i="111"/>
  <c r="L76" i="111"/>
  <c r="N76" i="111"/>
  <c r="D77" i="111"/>
  <c r="E77" i="111"/>
  <c r="F77" i="111"/>
  <c r="G77" i="111"/>
  <c r="H77" i="111"/>
  <c r="I77" i="111"/>
  <c r="K77" i="111"/>
  <c r="L77" i="111"/>
  <c r="M77" i="111"/>
  <c r="N77" i="111"/>
  <c r="D78" i="111"/>
  <c r="E78" i="111"/>
  <c r="F78" i="111"/>
  <c r="H78" i="111"/>
  <c r="I78" i="111"/>
  <c r="J78" i="111"/>
  <c r="K78" i="111"/>
  <c r="L78" i="111"/>
  <c r="M78" i="111"/>
  <c r="AC27" i="111" s="1"/>
  <c r="N78" i="111"/>
  <c r="E79" i="111"/>
  <c r="F79" i="111"/>
  <c r="G79" i="111"/>
  <c r="H79" i="111"/>
  <c r="I79" i="111"/>
  <c r="J79" i="111"/>
  <c r="K79" i="111"/>
  <c r="M79" i="111"/>
  <c r="N79" i="111"/>
  <c r="D80" i="111"/>
  <c r="E80" i="111"/>
  <c r="F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V28" i="111" s="1"/>
  <c r="G82" i="111"/>
  <c r="H82" i="111"/>
  <c r="I82" i="111"/>
  <c r="Y28" i="111" s="1"/>
  <c r="J82" i="111"/>
  <c r="L82" i="111"/>
  <c r="M82" i="111"/>
  <c r="N82" i="111"/>
  <c r="AD28" i="111" s="1"/>
  <c r="D83" i="111"/>
  <c r="E83" i="111"/>
  <c r="F83" i="111"/>
  <c r="G83" i="111"/>
  <c r="I83" i="111"/>
  <c r="J83" i="111"/>
  <c r="K83" i="111"/>
  <c r="L83" i="111"/>
  <c r="M83" i="111"/>
  <c r="N83" i="111"/>
  <c r="D84" i="111"/>
  <c r="F84" i="111"/>
  <c r="G84" i="111"/>
  <c r="H84" i="111"/>
  <c r="I84" i="111"/>
  <c r="J84" i="111"/>
  <c r="K84" i="111"/>
  <c r="L84" i="111"/>
  <c r="N84" i="111"/>
  <c r="D85" i="111"/>
  <c r="E85" i="111"/>
  <c r="F85" i="111"/>
  <c r="G85" i="111"/>
  <c r="H85" i="111"/>
  <c r="I85" i="111"/>
  <c r="K85" i="111"/>
  <c r="L85" i="111"/>
  <c r="M85" i="111"/>
  <c r="N85" i="111"/>
  <c r="D86" i="111"/>
  <c r="E86" i="111"/>
  <c r="U29" i="111" s="1"/>
  <c r="F86" i="111"/>
  <c r="H86" i="111"/>
  <c r="I86" i="111"/>
  <c r="J86" i="111"/>
  <c r="K86" i="111"/>
  <c r="L86" i="111"/>
  <c r="AB29" i="111" s="1"/>
  <c r="M86" i="111"/>
  <c r="AC29" i="111" s="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G89" i="111"/>
  <c r="H89" i="111"/>
  <c r="I89" i="111"/>
  <c r="J89" i="111"/>
  <c r="K89" i="111"/>
  <c r="L89" i="111"/>
  <c r="M89" i="111"/>
  <c r="D90" i="111"/>
  <c r="E90" i="111"/>
  <c r="F90" i="111"/>
  <c r="G90" i="111"/>
  <c r="H90" i="111"/>
  <c r="I90" i="111"/>
  <c r="Y30" i="111" s="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H92" i="111"/>
  <c r="I92" i="111"/>
  <c r="J92" i="111"/>
  <c r="K92" i="111"/>
  <c r="L92" i="111"/>
  <c r="N92" i="111"/>
  <c r="D93" i="111"/>
  <c r="E93" i="111"/>
  <c r="F93" i="111"/>
  <c r="G93" i="111"/>
  <c r="H93" i="111"/>
  <c r="I93" i="111"/>
  <c r="K93" i="111"/>
  <c r="L93" i="111"/>
  <c r="M93" i="111"/>
  <c r="N93" i="111"/>
  <c r="D94" i="111"/>
  <c r="E94" i="111"/>
  <c r="U31" i="111" s="1"/>
  <c r="F94" i="111"/>
  <c r="H94" i="111"/>
  <c r="I94" i="111"/>
  <c r="J94" i="111"/>
  <c r="K94" i="111"/>
  <c r="L94" i="111"/>
  <c r="M94" i="111"/>
  <c r="AC31" i="111" s="1"/>
  <c r="N94" i="111"/>
  <c r="E95" i="111"/>
  <c r="F95" i="111"/>
  <c r="G95" i="111"/>
  <c r="H95" i="111"/>
  <c r="I95" i="111"/>
  <c r="J95" i="111"/>
  <c r="K95" i="111"/>
  <c r="M95" i="111"/>
  <c r="N95" i="111"/>
  <c r="D96" i="111"/>
  <c r="E96" i="111"/>
  <c r="F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D98" i="111"/>
  <c r="E98" i="111"/>
  <c r="F98" i="111"/>
  <c r="V32" i="111" s="1"/>
  <c r="G98" i="111"/>
  <c r="H98" i="111"/>
  <c r="I98" i="111"/>
  <c r="Y32" i="111" s="1"/>
  <c r="J98" i="111"/>
  <c r="L98" i="111"/>
  <c r="M98" i="111"/>
  <c r="N98" i="111"/>
  <c r="AD32" i="111" s="1"/>
  <c r="D99" i="111"/>
  <c r="E99" i="111"/>
  <c r="F99" i="111"/>
  <c r="G99" i="111"/>
  <c r="I99" i="111"/>
  <c r="J99" i="111"/>
  <c r="K99" i="111"/>
  <c r="L99" i="111"/>
  <c r="M99" i="111"/>
  <c r="N99" i="11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K101" i="111"/>
  <c r="L101" i="111"/>
  <c r="M101" i="111"/>
  <c r="N101" i="111"/>
  <c r="D102" i="111"/>
  <c r="E102" i="111"/>
  <c r="U33" i="111" s="1"/>
  <c r="F102" i="111"/>
  <c r="H102" i="111"/>
  <c r="I102" i="111"/>
  <c r="J102" i="111"/>
  <c r="Z33" i="111" s="1"/>
  <c r="K102" i="111"/>
  <c r="L102" i="111"/>
  <c r="M102" i="111"/>
  <c r="AC33" i="111" s="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F104" i="111"/>
  <c r="G104" i="111"/>
  <c r="H104" i="111"/>
  <c r="J104" i="111"/>
  <c r="K104" i="11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4" i="111"/>
  <c r="C65" i="111"/>
  <c r="C67" i="111"/>
  <c r="C68" i="111"/>
  <c r="C69" i="111"/>
  <c r="C70" i="111"/>
  <c r="S25" i="111" s="1"/>
  <c r="C71" i="111"/>
  <c r="C72" i="111"/>
  <c r="C73" i="111"/>
  <c r="C75" i="111"/>
  <c r="C76" i="111"/>
  <c r="C77" i="111"/>
  <c r="C78" i="111"/>
  <c r="C79" i="111"/>
  <c r="C80" i="111"/>
  <c r="C81" i="111"/>
  <c r="C83" i="111"/>
  <c r="C84" i="111"/>
  <c r="C85" i="111"/>
  <c r="C86" i="111"/>
  <c r="C87" i="111"/>
  <c r="C88" i="111"/>
  <c r="C89" i="111"/>
  <c r="C91" i="111"/>
  <c r="C92" i="111"/>
  <c r="C93" i="111"/>
  <c r="C94" i="111"/>
  <c r="C95" i="111"/>
  <c r="C96" i="111"/>
  <c r="C97" i="111"/>
  <c r="C99" i="111"/>
  <c r="C100" i="111"/>
  <c r="C101" i="111"/>
  <c r="C102" i="111"/>
  <c r="C103" i="111"/>
  <c r="C104" i="111"/>
  <c r="C105" i="111"/>
  <c r="C58" i="111"/>
  <c r="S22" i="111" s="1"/>
  <c r="L106" i="108"/>
  <c r="D106" i="108"/>
  <c r="O106" i="107"/>
  <c r="L106" i="107"/>
  <c r="E100" i="111" l="1"/>
  <c r="U32" i="107"/>
  <c r="D95" i="111"/>
  <c r="T31" i="107"/>
  <c r="N89" i="111"/>
  <c r="AD29" i="107"/>
  <c r="G86" i="111"/>
  <c r="W29" i="111" s="1"/>
  <c r="W29" i="107"/>
  <c r="F73" i="111"/>
  <c r="V25" i="107"/>
  <c r="J69" i="111"/>
  <c r="Z24" i="111" s="1"/>
  <c r="Z24" i="107"/>
  <c r="F65" i="111"/>
  <c r="V23" i="107"/>
  <c r="E60" i="111"/>
  <c r="U22" i="107"/>
  <c r="AA29" i="111"/>
  <c r="T29" i="107"/>
  <c r="AB33" i="107"/>
  <c r="L103" i="111"/>
  <c r="H91" i="111"/>
  <c r="X30" i="111" s="1"/>
  <c r="X30" i="107"/>
  <c r="V27" i="107"/>
  <c r="F81" i="111"/>
  <c r="T27" i="107"/>
  <c r="D79" i="111"/>
  <c r="N73" i="111"/>
  <c r="AD25" i="107"/>
  <c r="W25" i="107"/>
  <c r="G70" i="111"/>
  <c r="W25" i="111" s="1"/>
  <c r="N65" i="111"/>
  <c r="N106" i="107"/>
  <c r="AD23" i="107"/>
  <c r="X22" i="107"/>
  <c r="H59" i="111"/>
  <c r="X22" i="111" s="1"/>
  <c r="E106" i="107"/>
  <c r="T31" i="111"/>
  <c r="AC26" i="107"/>
  <c r="Z32" i="107"/>
  <c r="J101" i="111"/>
  <c r="Z32" i="111" s="1"/>
  <c r="AD31" i="107"/>
  <c r="N97" i="111"/>
  <c r="AC30" i="107"/>
  <c r="M92" i="111"/>
  <c r="F89" i="111"/>
  <c r="V29" i="107"/>
  <c r="E84" i="111"/>
  <c r="U28" i="107"/>
  <c r="I80" i="111"/>
  <c r="Y27" i="111" s="1"/>
  <c r="Y27" i="107"/>
  <c r="H75" i="111"/>
  <c r="X26" i="107"/>
  <c r="F106" i="107"/>
  <c r="Z28" i="107"/>
  <c r="M100" i="111"/>
  <c r="AC32" i="107"/>
  <c r="L95" i="111"/>
  <c r="AB31" i="111" s="1"/>
  <c r="AB31" i="107"/>
  <c r="K90" i="111"/>
  <c r="AA30" i="111" s="1"/>
  <c r="AA30" i="107"/>
  <c r="M84" i="111"/>
  <c r="AC28" i="107"/>
  <c r="G62" i="111"/>
  <c r="W23" i="107"/>
  <c r="T27" i="111"/>
  <c r="X24" i="111"/>
  <c r="I104" i="111"/>
  <c r="O104" i="111" s="1"/>
  <c r="Y33" i="107"/>
  <c r="H99" i="111"/>
  <c r="X32" i="111" s="1"/>
  <c r="X32" i="107"/>
  <c r="W31" i="107"/>
  <c r="G94" i="111"/>
  <c r="W31" i="111" s="1"/>
  <c r="AD27" i="107"/>
  <c r="N81" i="111"/>
  <c r="Z26" i="107"/>
  <c r="J77" i="111"/>
  <c r="L71" i="111"/>
  <c r="AB25" i="111" s="1"/>
  <c r="AB41" i="111" s="1"/>
  <c r="AB42" i="111" s="1"/>
  <c r="AB25" i="107"/>
  <c r="U24" i="107"/>
  <c r="U41" i="107" s="1"/>
  <c r="E68" i="111"/>
  <c r="I64" i="111"/>
  <c r="Y23" i="107"/>
  <c r="M60" i="111"/>
  <c r="M106" i="107"/>
  <c r="AC22" i="107"/>
  <c r="H106" i="107"/>
  <c r="T33" i="111"/>
  <c r="AB27" i="111"/>
  <c r="U26" i="107"/>
  <c r="Y31" i="107"/>
  <c r="V33" i="107"/>
  <c r="G102" i="111"/>
  <c r="W33" i="111" s="1"/>
  <c r="W33" i="107"/>
  <c r="V31" i="107"/>
  <c r="F97" i="111"/>
  <c r="V31" i="111" s="1"/>
  <c r="V41" i="111" s="1"/>
  <c r="U30" i="107"/>
  <c r="E92" i="111"/>
  <c r="Y29" i="107"/>
  <c r="I88" i="111"/>
  <c r="K82" i="111"/>
  <c r="AA28" i="111" s="1"/>
  <c r="AA28" i="107"/>
  <c r="Y25" i="107"/>
  <c r="I72" i="111"/>
  <c r="Y25" i="111" s="1"/>
  <c r="AC24" i="107"/>
  <c r="M68" i="111"/>
  <c r="AB23" i="107"/>
  <c r="L63" i="111"/>
  <c r="Z22" i="107"/>
  <c r="J61" i="111"/>
  <c r="J106" i="107"/>
  <c r="I106" i="107"/>
  <c r="AB33" i="111"/>
  <c r="AA22" i="107"/>
  <c r="X24" i="107"/>
  <c r="AB29" i="107"/>
  <c r="T33" i="107"/>
  <c r="D103" i="111"/>
  <c r="AA32" i="107"/>
  <c r="K98" i="111"/>
  <c r="AA32" i="111" s="1"/>
  <c r="J93" i="111"/>
  <c r="Z30" i="107"/>
  <c r="X28" i="107"/>
  <c r="H83" i="111"/>
  <c r="O83" i="111" s="1"/>
  <c r="AB27" i="107"/>
  <c r="L79" i="111"/>
  <c r="AA26" i="107"/>
  <c r="K74" i="111"/>
  <c r="AA26" i="111" s="1"/>
  <c r="D71" i="111"/>
  <c r="P71" i="111" s="1"/>
  <c r="T25" i="107"/>
  <c r="K66" i="111"/>
  <c r="AA24" i="111" s="1"/>
  <c r="AA24" i="107"/>
  <c r="T23" i="107"/>
  <c r="D63" i="111"/>
  <c r="T23" i="111" s="1"/>
  <c r="G106" i="107"/>
  <c r="K106" i="107"/>
  <c r="T29" i="111"/>
  <c r="X26" i="111"/>
  <c r="AB23" i="111"/>
  <c r="AA33" i="111"/>
  <c r="W32" i="111"/>
  <c r="AA31" i="111"/>
  <c r="W30" i="111"/>
  <c r="W28" i="111"/>
  <c r="AA27" i="111"/>
  <c r="W26" i="111"/>
  <c r="AA25" i="111"/>
  <c r="W24" i="111"/>
  <c r="AA23" i="111"/>
  <c r="W22" i="111"/>
  <c r="Z31" i="111"/>
  <c r="AD30" i="111"/>
  <c r="V30" i="111"/>
  <c r="Z29" i="111"/>
  <c r="Z27" i="111"/>
  <c r="AD26" i="111"/>
  <c r="V26" i="111"/>
  <c r="Z25" i="111"/>
  <c r="V24" i="111"/>
  <c r="AD22" i="111"/>
  <c r="V22" i="111"/>
  <c r="AC41" i="107"/>
  <c r="AC32" i="111"/>
  <c r="U32" i="111"/>
  <c r="Y31" i="111"/>
  <c r="AC30" i="111"/>
  <c r="U30" i="111"/>
  <c r="Y29" i="111"/>
  <c r="AC28" i="111"/>
  <c r="U28" i="111"/>
  <c r="AC26" i="111"/>
  <c r="U26" i="111"/>
  <c r="AC24" i="111"/>
  <c r="U24" i="111"/>
  <c r="Y23" i="111"/>
  <c r="AC22" i="111"/>
  <c r="U22" i="111"/>
  <c r="V41" i="107"/>
  <c r="AD41" i="107"/>
  <c r="X33" i="111"/>
  <c r="AB32" i="111"/>
  <c r="T32" i="111"/>
  <c r="X31" i="111"/>
  <c r="AB30" i="111"/>
  <c r="T30" i="111"/>
  <c r="X29" i="111"/>
  <c r="AB28" i="111"/>
  <c r="T28" i="111"/>
  <c r="X27" i="111"/>
  <c r="X25" i="111"/>
  <c r="AB24" i="111"/>
  <c r="T24" i="111"/>
  <c r="X23" i="111"/>
  <c r="AB22" i="111"/>
  <c r="T22" i="111"/>
  <c r="O103" i="111"/>
  <c r="O94" i="111"/>
  <c r="O85" i="111"/>
  <c r="O76" i="111"/>
  <c r="O67" i="111"/>
  <c r="AD33" i="111"/>
  <c r="V33" i="111"/>
  <c r="AD31" i="111"/>
  <c r="Z30" i="111"/>
  <c r="AD29" i="111"/>
  <c r="V29" i="111"/>
  <c r="Z28" i="111"/>
  <c r="AD27" i="111"/>
  <c r="V27" i="111"/>
  <c r="Z26" i="111"/>
  <c r="AD25" i="111"/>
  <c r="V25" i="111"/>
  <c r="AD23" i="111"/>
  <c r="V23" i="111"/>
  <c r="Z22" i="111"/>
  <c r="U27" i="111"/>
  <c r="U25" i="111"/>
  <c r="Y24" i="111"/>
  <c r="Y22" i="111"/>
  <c r="S33" i="111"/>
  <c r="P103" i="111"/>
  <c r="O96" i="111"/>
  <c r="O88" i="111"/>
  <c r="O80" i="111"/>
  <c r="O72" i="111"/>
  <c r="O64" i="111"/>
  <c r="C106" i="107"/>
  <c r="S29" i="111"/>
  <c r="F106" i="111"/>
  <c r="K106" i="111"/>
  <c r="E106" i="108"/>
  <c r="M106" i="108"/>
  <c r="O93" i="111"/>
  <c r="O84" i="111"/>
  <c r="O75" i="111"/>
  <c r="O65" i="111"/>
  <c r="X22" i="108"/>
  <c r="D106" i="111"/>
  <c r="F106" i="108"/>
  <c r="N106" i="108"/>
  <c r="O101" i="111"/>
  <c r="O92" i="111"/>
  <c r="O73" i="111"/>
  <c r="P64" i="111"/>
  <c r="W23" i="111"/>
  <c r="W41" i="111" s="1"/>
  <c r="W42" i="111" s="1"/>
  <c r="N106" i="111"/>
  <c r="J106" i="111"/>
  <c r="G106" i="108"/>
  <c r="O100" i="111"/>
  <c r="O91" i="111"/>
  <c r="O81" i="111"/>
  <c r="P72" i="111"/>
  <c r="O63" i="111"/>
  <c r="P63" i="111"/>
  <c r="Z41" i="111"/>
  <c r="Z42" i="111" s="1"/>
  <c r="AA22" i="111"/>
  <c r="AA41" i="111" s="1"/>
  <c r="AA42" i="111" s="1"/>
  <c r="Z22" i="108"/>
  <c r="M106" i="111"/>
  <c r="O99" i="111"/>
  <c r="O89" i="111"/>
  <c r="P80" i="111"/>
  <c r="O71" i="111"/>
  <c r="O62" i="111"/>
  <c r="AA22" i="108"/>
  <c r="I106" i="111"/>
  <c r="H106" i="111"/>
  <c r="O97" i="111"/>
  <c r="P88" i="111"/>
  <c r="O79" i="111"/>
  <c r="O61" i="111"/>
  <c r="E106" i="111"/>
  <c r="O105" i="111"/>
  <c r="P96" i="111"/>
  <c r="O87" i="111"/>
  <c r="O78" i="111"/>
  <c r="AE27" i="111" s="1"/>
  <c r="O69" i="111"/>
  <c r="O60" i="111"/>
  <c r="U41" i="111"/>
  <c r="AC41" i="111"/>
  <c r="U41" i="108"/>
  <c r="AC41" i="108"/>
  <c r="AC42" i="108" s="1"/>
  <c r="L106" i="111"/>
  <c r="P104" i="111"/>
  <c r="O95" i="111"/>
  <c r="O77" i="111"/>
  <c r="O68" i="111"/>
  <c r="O59" i="111"/>
  <c r="AD41" i="111"/>
  <c r="V41" i="108"/>
  <c r="AD41" i="108"/>
  <c r="S24" i="111"/>
  <c r="O66" i="111"/>
  <c r="P66" i="111"/>
  <c r="S28" i="111"/>
  <c r="O82" i="111"/>
  <c r="P82" i="111"/>
  <c r="O74" i="111"/>
  <c r="P74" i="111"/>
  <c r="S26" i="111"/>
  <c r="O90" i="111"/>
  <c r="P90" i="111"/>
  <c r="S30" i="111"/>
  <c r="S32" i="111"/>
  <c r="O98" i="111"/>
  <c r="P98" i="111"/>
  <c r="P102" i="111"/>
  <c r="P94" i="111"/>
  <c r="P86" i="111"/>
  <c r="P78" i="111"/>
  <c r="P70" i="111"/>
  <c r="P62" i="111"/>
  <c r="C106" i="108"/>
  <c r="O102" i="111"/>
  <c r="AE33" i="111" s="1"/>
  <c r="O86" i="111"/>
  <c r="AE29" i="111" s="1"/>
  <c r="O70" i="111"/>
  <c r="AE25" i="111" s="1"/>
  <c r="P101" i="111"/>
  <c r="P93" i="111"/>
  <c r="P85" i="111"/>
  <c r="P77" i="111"/>
  <c r="P69" i="111"/>
  <c r="P61" i="111"/>
  <c r="S24" i="108"/>
  <c r="S28" i="108"/>
  <c r="S41" i="108" s="1"/>
  <c r="S42" i="108" s="1"/>
  <c r="S32" i="108"/>
  <c r="P100" i="111"/>
  <c r="P92" i="111"/>
  <c r="P84" i="111"/>
  <c r="P76" i="111"/>
  <c r="P68" i="111"/>
  <c r="P60" i="111"/>
  <c r="S27" i="111"/>
  <c r="P99" i="111"/>
  <c r="P91" i="111"/>
  <c r="P83" i="111"/>
  <c r="P75" i="111"/>
  <c r="P67" i="111"/>
  <c r="P59" i="111"/>
  <c r="S23" i="111"/>
  <c r="S41" i="111" s="1"/>
  <c r="S42" i="111" s="1"/>
  <c r="S31" i="111"/>
  <c r="P105" i="111"/>
  <c r="P97" i="111"/>
  <c r="P89" i="111"/>
  <c r="P81" i="111"/>
  <c r="P73" i="111"/>
  <c r="P65" i="111"/>
  <c r="S26" i="108"/>
  <c r="S30" i="108"/>
  <c r="O58" i="111"/>
  <c r="P58" i="111"/>
  <c r="Z34" i="108"/>
  <c r="T35" i="108"/>
  <c r="AB35" i="108"/>
  <c r="V36" i="108"/>
  <c r="AD36" i="108"/>
  <c r="X37" i="108"/>
  <c r="AF37" i="108"/>
  <c r="Z38" i="108"/>
  <c r="T39" i="108"/>
  <c r="AB39" i="108"/>
  <c r="V40" i="108"/>
  <c r="AD40" i="108"/>
  <c r="X41" i="108"/>
  <c r="X42" i="108" s="1"/>
  <c r="AF41" i="108"/>
  <c r="AF42" i="108" s="1"/>
  <c r="AE41" i="108"/>
  <c r="S34" i="108"/>
  <c r="AA34" i="108"/>
  <c r="U35" i="108"/>
  <c r="AC35" i="108"/>
  <c r="W36" i="108"/>
  <c r="AE36" i="108"/>
  <c r="Y37" i="108"/>
  <c r="W40" i="108"/>
  <c r="AE40" i="108"/>
  <c r="Y41" i="108"/>
  <c r="W41" i="108"/>
  <c r="W42" i="108" s="1"/>
  <c r="T34" i="108"/>
  <c r="AB34" i="108"/>
  <c r="V35" i="108"/>
  <c r="AD35" i="108"/>
  <c r="X36" i="108"/>
  <c r="AF36" i="108"/>
  <c r="Z37" i="108"/>
  <c r="X40" i="108"/>
  <c r="AF40" i="108"/>
  <c r="Z41" i="108"/>
  <c r="Z42" i="108" s="1"/>
  <c r="U34" i="108"/>
  <c r="AC34" i="108"/>
  <c r="W35" i="108"/>
  <c r="AE35" i="108"/>
  <c r="Y36" i="108"/>
  <c r="S37" i="108"/>
  <c r="AA37" i="108"/>
  <c r="Y40" i="108"/>
  <c r="AA41" i="108"/>
  <c r="AA42" i="108" s="1"/>
  <c r="AA39" i="108"/>
  <c r="V34" i="108"/>
  <c r="AD34" i="108"/>
  <c r="X35" i="108"/>
  <c r="AF35" i="108"/>
  <c r="Z36" i="108"/>
  <c r="T37" i="108"/>
  <c r="AB37" i="108"/>
  <c r="T41" i="108"/>
  <c r="AB41" i="108"/>
  <c r="AB42" i="108" s="1"/>
  <c r="S36" i="108"/>
  <c r="U37" i="108"/>
  <c r="AC37" i="108"/>
  <c r="V37" i="108"/>
  <c r="AD37" i="108"/>
  <c r="V42" i="107"/>
  <c r="Z34" i="107"/>
  <c r="T35" i="107"/>
  <c r="AB35" i="107"/>
  <c r="V36" i="107"/>
  <c r="AD36" i="107"/>
  <c r="X37" i="107"/>
  <c r="AF37" i="107"/>
  <c r="Z38" i="107"/>
  <c r="T39" i="107"/>
  <c r="AB39" i="107"/>
  <c r="V40" i="107"/>
  <c r="AD40" i="107"/>
  <c r="X41" i="107"/>
  <c r="X42" i="107" s="1"/>
  <c r="AF41" i="107"/>
  <c r="AF42" i="107" s="1"/>
  <c r="AE41" i="107"/>
  <c r="AE42" i="107" s="1"/>
  <c r="S34" i="107"/>
  <c r="AA34" i="107"/>
  <c r="U35" i="107"/>
  <c r="AC35" i="107"/>
  <c r="Y37" i="107"/>
  <c r="W40" i="107"/>
  <c r="AE40" i="107"/>
  <c r="Y41" i="107"/>
  <c r="Y42" i="107" s="1"/>
  <c r="W41" i="107"/>
  <c r="T34" i="107"/>
  <c r="AB34" i="107"/>
  <c r="V35" i="107"/>
  <c r="AD35" i="107"/>
  <c r="X36" i="107"/>
  <c r="AF36" i="107"/>
  <c r="Z37" i="107"/>
  <c r="X40" i="107"/>
  <c r="AF40" i="107"/>
  <c r="Z41" i="107"/>
  <c r="Z42" i="107" s="1"/>
  <c r="U34" i="107"/>
  <c r="AC34" i="107"/>
  <c r="W35" i="107"/>
  <c r="AE35" i="107"/>
  <c r="Y36" i="107"/>
  <c r="S37" i="107"/>
  <c r="AA37" i="107"/>
  <c r="Y40" i="107"/>
  <c r="S41" i="107"/>
  <c r="S42" i="107" s="1"/>
  <c r="AA41" i="107"/>
  <c r="AA42" i="107" s="1"/>
  <c r="V34" i="107"/>
  <c r="AD34" i="107"/>
  <c r="X35" i="107"/>
  <c r="AF35" i="107"/>
  <c r="Z36" i="107"/>
  <c r="T37" i="107"/>
  <c r="AB37" i="107"/>
  <c r="T41" i="107"/>
  <c r="AB41" i="107"/>
  <c r="AB42" i="107" s="1"/>
  <c r="AA39" i="107"/>
  <c r="S36" i="107"/>
  <c r="U37" i="107"/>
  <c r="AC37" i="107"/>
  <c r="V37" i="107"/>
  <c r="AD37" i="107"/>
  <c r="AC42" i="111"/>
  <c r="Y34" i="111"/>
  <c r="S35" i="111"/>
  <c r="AA35" i="111"/>
  <c r="U36" i="111"/>
  <c r="AC36" i="111"/>
  <c r="W37" i="111"/>
  <c r="AE37" i="111"/>
  <c r="Y38" i="111"/>
  <c r="S39" i="111"/>
  <c r="AA39" i="111"/>
  <c r="U40" i="111"/>
  <c r="AC40" i="111"/>
  <c r="Z34" i="111"/>
  <c r="T35" i="111"/>
  <c r="AB35" i="111"/>
  <c r="V36" i="111"/>
  <c r="AD36" i="111"/>
  <c r="X37" i="111"/>
  <c r="AF37" i="111"/>
  <c r="Z38" i="111"/>
  <c r="V40" i="111"/>
  <c r="AD40" i="111"/>
  <c r="S34" i="111"/>
  <c r="AA34" i="111"/>
  <c r="U35" i="111"/>
  <c r="AC35" i="111"/>
  <c r="W36" i="111"/>
  <c r="AE36" i="111"/>
  <c r="Y37" i="111"/>
  <c r="W40" i="111"/>
  <c r="AE40" i="111"/>
  <c r="T34" i="111"/>
  <c r="AB34" i="111"/>
  <c r="X36" i="111"/>
  <c r="AF36" i="111"/>
  <c r="Z37" i="111"/>
  <c r="X40" i="111"/>
  <c r="AF40" i="111"/>
  <c r="U34" i="111"/>
  <c r="AC34" i="111"/>
  <c r="W35" i="111"/>
  <c r="AE35" i="111"/>
  <c r="Y36" i="111"/>
  <c r="S37" i="111"/>
  <c r="AA37" i="111"/>
  <c r="V34" i="111"/>
  <c r="AD34" i="111"/>
  <c r="U37" i="111"/>
  <c r="AC37" i="111"/>
  <c r="V37" i="111"/>
  <c r="AD37" i="111"/>
  <c r="G6" i="107"/>
  <c r="D6" i="107"/>
  <c r="G6" i="108"/>
  <c r="D6" i="108"/>
  <c r="K6" i="107"/>
  <c r="C3" i="107"/>
  <c r="K5" i="109"/>
  <c r="K6" i="109"/>
  <c r="D5" i="113"/>
  <c r="G6" i="113"/>
  <c r="D6" i="113"/>
  <c r="C3" i="113"/>
  <c r="G6" i="112"/>
  <c r="D6" i="112"/>
  <c r="C3" i="112"/>
  <c r="C3" i="110"/>
  <c r="G6" i="110"/>
  <c r="D6" i="110"/>
  <c r="C3" i="109"/>
  <c r="D5" i="109"/>
  <c r="G6" i="105"/>
  <c r="D6" i="105"/>
  <c r="C3" i="105"/>
  <c r="Y41" i="111" l="1"/>
  <c r="Y42" i="111" s="1"/>
  <c r="X28" i="111"/>
  <c r="X41" i="111" s="1"/>
  <c r="AE31" i="111"/>
  <c r="G106" i="111"/>
  <c r="AF32" i="111"/>
  <c r="AE26" i="111"/>
  <c r="P79" i="111"/>
  <c r="T25" i="111"/>
  <c r="T41" i="111" s="1"/>
  <c r="P95" i="111"/>
  <c r="AF31" i="111" s="1"/>
  <c r="Y33" i="111"/>
  <c r="AE28" i="111"/>
  <c r="AE23" i="111"/>
  <c r="AF33" i="111"/>
  <c r="AF26" i="111"/>
  <c r="V42" i="108"/>
  <c r="AE32" i="111"/>
  <c r="AF23" i="111"/>
  <c r="V42" i="111"/>
  <c r="AE30" i="111"/>
  <c r="AE24" i="111"/>
  <c r="AF28" i="111"/>
  <c r="AF25" i="111"/>
  <c r="AF27" i="111"/>
  <c r="AF30" i="111"/>
  <c r="AF24" i="111"/>
  <c r="AF29" i="111"/>
  <c r="AF22" i="111"/>
  <c r="AE22" i="111"/>
  <c r="O106" i="111"/>
  <c r="Y42" i="108"/>
  <c r="AE42" i="108"/>
  <c r="W42" i="107"/>
  <c r="X42" i="111"/>
  <c r="N11" i="108"/>
  <c r="N12" i="108"/>
  <c r="N13" i="108"/>
  <c r="N14" i="108"/>
  <c r="N15" i="108"/>
  <c r="N16" i="108"/>
  <c r="N17" i="108"/>
  <c r="N18" i="108"/>
  <c r="N19" i="108"/>
  <c r="N20" i="108"/>
  <c r="N21" i="108"/>
  <c r="N22" i="108"/>
  <c r="N23" i="108"/>
  <c r="N24" i="108"/>
  <c r="N25" i="108"/>
  <c r="N26" i="108"/>
  <c r="N27" i="108"/>
  <c r="N28" i="108"/>
  <c r="N29" i="108"/>
  <c r="N30" i="108"/>
  <c r="N31" i="108"/>
  <c r="N32" i="108"/>
  <c r="N33" i="108"/>
  <c r="N34" i="108"/>
  <c r="N35" i="108"/>
  <c r="N36" i="108"/>
  <c r="N37" i="108"/>
  <c r="N38" i="108"/>
  <c r="N39" i="108"/>
  <c r="N40" i="108"/>
  <c r="N41" i="108"/>
  <c r="N42" i="108"/>
  <c r="N43" i="108"/>
  <c r="N44" i="108"/>
  <c r="N45" i="108"/>
  <c r="N46" i="108"/>
  <c r="N47" i="108"/>
  <c r="N48" i="108"/>
  <c r="N49" i="108"/>
  <c r="N50" i="108"/>
  <c r="N51" i="108"/>
  <c r="N52" i="108"/>
  <c r="N53" i="108"/>
  <c r="N54" i="108"/>
  <c r="N55" i="108"/>
  <c r="N56" i="108"/>
  <c r="N57" i="108"/>
  <c r="N10" i="108"/>
  <c r="M11" i="108"/>
  <c r="M12" i="108"/>
  <c r="M13" i="108"/>
  <c r="M14" i="108"/>
  <c r="M15" i="108"/>
  <c r="M16" i="108"/>
  <c r="M17" i="108"/>
  <c r="M18" i="108"/>
  <c r="M19" i="108"/>
  <c r="M20" i="108"/>
  <c r="M21" i="108"/>
  <c r="M22" i="108"/>
  <c r="M23" i="108"/>
  <c r="M24" i="108"/>
  <c r="M25" i="108"/>
  <c r="M26" i="108"/>
  <c r="M27" i="108"/>
  <c r="M28" i="108"/>
  <c r="M29" i="108"/>
  <c r="M30" i="108"/>
  <c r="M31" i="108"/>
  <c r="M32" i="108"/>
  <c r="M33" i="108"/>
  <c r="M34" i="108"/>
  <c r="M35" i="108"/>
  <c r="M36" i="108"/>
  <c r="M37" i="108"/>
  <c r="M38" i="108"/>
  <c r="M39" i="108"/>
  <c r="M40" i="108"/>
  <c r="M41" i="108"/>
  <c r="M42" i="108"/>
  <c r="M43" i="108"/>
  <c r="M44" i="108"/>
  <c r="M45" i="108"/>
  <c r="M46" i="108"/>
  <c r="M47" i="108"/>
  <c r="M48" i="108"/>
  <c r="M49" i="108"/>
  <c r="M50" i="108"/>
  <c r="M51" i="108"/>
  <c r="M52" i="108"/>
  <c r="M53" i="108"/>
  <c r="M54" i="108"/>
  <c r="M55" i="108"/>
  <c r="M56" i="108"/>
  <c r="M57" i="108"/>
  <c r="M10" i="108"/>
  <c r="L11" i="108"/>
  <c r="L12" i="108"/>
  <c r="L13" i="108"/>
  <c r="L14" i="108"/>
  <c r="L15" i="108"/>
  <c r="L16" i="108"/>
  <c r="L17" i="108"/>
  <c r="L18" i="108"/>
  <c r="L19" i="108"/>
  <c r="L20" i="108"/>
  <c r="L21" i="108"/>
  <c r="L22" i="108"/>
  <c r="L23" i="108"/>
  <c r="L24" i="108"/>
  <c r="L25" i="108"/>
  <c r="L26" i="108"/>
  <c r="L27" i="108"/>
  <c r="L28" i="108"/>
  <c r="L29" i="108"/>
  <c r="L30" i="108"/>
  <c r="L31" i="108"/>
  <c r="L32" i="108"/>
  <c r="L33" i="108"/>
  <c r="L34" i="108"/>
  <c r="L35" i="108"/>
  <c r="L36" i="108"/>
  <c r="L37" i="108"/>
  <c r="L38" i="108"/>
  <c r="L39" i="108"/>
  <c r="L40" i="108"/>
  <c r="L41" i="108"/>
  <c r="L42" i="108"/>
  <c r="L43" i="108"/>
  <c r="L44" i="108"/>
  <c r="L45" i="108"/>
  <c r="L46" i="108"/>
  <c r="L47" i="108"/>
  <c r="L48" i="108"/>
  <c r="L49" i="108"/>
  <c r="L50" i="108"/>
  <c r="L51" i="108"/>
  <c r="L52" i="108"/>
  <c r="L53" i="108"/>
  <c r="L54" i="108"/>
  <c r="L55" i="108"/>
  <c r="L56" i="108"/>
  <c r="L57" i="108"/>
  <c r="L10" i="108"/>
  <c r="K11" i="108"/>
  <c r="K12" i="108"/>
  <c r="K13" i="108"/>
  <c r="K14" i="108"/>
  <c r="K15" i="108"/>
  <c r="K16" i="108"/>
  <c r="K17" i="108"/>
  <c r="K18" i="108"/>
  <c r="K19" i="108"/>
  <c r="K20" i="108"/>
  <c r="K21" i="108"/>
  <c r="K22" i="108"/>
  <c r="K23" i="108"/>
  <c r="K24" i="108"/>
  <c r="K25" i="108"/>
  <c r="K26" i="108"/>
  <c r="K27" i="108"/>
  <c r="K28" i="108"/>
  <c r="K29" i="108"/>
  <c r="K30" i="108"/>
  <c r="K31" i="108"/>
  <c r="K32" i="108"/>
  <c r="K33" i="108"/>
  <c r="K34" i="108"/>
  <c r="K35" i="108"/>
  <c r="K36" i="108"/>
  <c r="K37" i="108"/>
  <c r="K38" i="108"/>
  <c r="K39" i="108"/>
  <c r="K40" i="108"/>
  <c r="K41" i="108"/>
  <c r="K42" i="108"/>
  <c r="K43" i="108"/>
  <c r="K44" i="108"/>
  <c r="K45" i="108"/>
  <c r="K46" i="108"/>
  <c r="K47" i="108"/>
  <c r="K48" i="108"/>
  <c r="K49" i="108"/>
  <c r="K50" i="108"/>
  <c r="K51" i="108"/>
  <c r="K52" i="108"/>
  <c r="K53" i="108"/>
  <c r="K54" i="108"/>
  <c r="K55" i="108"/>
  <c r="K56" i="108"/>
  <c r="K57" i="108"/>
  <c r="K10" i="108"/>
  <c r="J11" i="108"/>
  <c r="J12" i="108"/>
  <c r="J13" i="108"/>
  <c r="J14" i="108"/>
  <c r="J15" i="108"/>
  <c r="J16" i="108"/>
  <c r="J17" i="108"/>
  <c r="J18" i="108"/>
  <c r="J19" i="108"/>
  <c r="J20" i="108"/>
  <c r="J21" i="108"/>
  <c r="J22" i="108"/>
  <c r="J23" i="108"/>
  <c r="J24" i="108"/>
  <c r="J25" i="108"/>
  <c r="J26" i="108"/>
  <c r="J27" i="108"/>
  <c r="J28" i="108"/>
  <c r="J29" i="108"/>
  <c r="J30" i="108"/>
  <c r="J31" i="108"/>
  <c r="J32" i="108"/>
  <c r="J33" i="108"/>
  <c r="J34" i="108"/>
  <c r="J35" i="108"/>
  <c r="J36" i="108"/>
  <c r="J37" i="108"/>
  <c r="J38" i="108"/>
  <c r="J39" i="108"/>
  <c r="J40" i="108"/>
  <c r="J41" i="108"/>
  <c r="J42" i="108"/>
  <c r="J43" i="108"/>
  <c r="J44" i="108"/>
  <c r="J45" i="108"/>
  <c r="J46" i="108"/>
  <c r="J47" i="108"/>
  <c r="J48" i="108"/>
  <c r="J49" i="108"/>
  <c r="J50" i="108"/>
  <c r="J51" i="108"/>
  <c r="J52" i="108"/>
  <c r="J53" i="108"/>
  <c r="J54" i="108"/>
  <c r="J55" i="108"/>
  <c r="J56" i="108"/>
  <c r="J57" i="108"/>
  <c r="J10" i="108"/>
  <c r="I11" i="108"/>
  <c r="I12" i="108"/>
  <c r="I13" i="108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10" i="108"/>
  <c r="H11" i="108"/>
  <c r="H12" i="108"/>
  <c r="H13" i="108"/>
  <c r="H14" i="108"/>
  <c r="H15" i="108"/>
  <c r="H16" i="108"/>
  <c r="H17" i="108"/>
  <c r="H18" i="108"/>
  <c r="H19" i="108"/>
  <c r="H20" i="108"/>
  <c r="H21" i="108"/>
  <c r="H22" i="108"/>
  <c r="H23" i="108"/>
  <c r="H24" i="108"/>
  <c r="H25" i="108"/>
  <c r="H26" i="108"/>
  <c r="H27" i="108"/>
  <c r="H28" i="108"/>
  <c r="H29" i="108"/>
  <c r="H30" i="108"/>
  <c r="H31" i="108"/>
  <c r="H32" i="108"/>
  <c r="H33" i="108"/>
  <c r="H34" i="108"/>
  <c r="H35" i="108"/>
  <c r="H36" i="108"/>
  <c r="H37" i="108"/>
  <c r="H38" i="108"/>
  <c r="H39" i="108"/>
  <c r="H40" i="108"/>
  <c r="H41" i="108"/>
  <c r="H42" i="108"/>
  <c r="H43" i="108"/>
  <c r="H44" i="108"/>
  <c r="H45" i="108"/>
  <c r="H46" i="108"/>
  <c r="H47" i="108"/>
  <c r="H48" i="108"/>
  <c r="H49" i="108"/>
  <c r="H50" i="108"/>
  <c r="H51" i="108"/>
  <c r="H52" i="108"/>
  <c r="H53" i="108"/>
  <c r="H54" i="108"/>
  <c r="H55" i="108"/>
  <c r="H56" i="108"/>
  <c r="H57" i="108"/>
  <c r="H10" i="108"/>
  <c r="G11" i="108"/>
  <c r="G12" i="108"/>
  <c r="G13" i="108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7" i="108"/>
  <c r="G28" i="108"/>
  <c r="G29" i="108"/>
  <c r="G30" i="108"/>
  <c r="G31" i="108"/>
  <c r="G32" i="108"/>
  <c r="G33" i="108"/>
  <c r="G34" i="108"/>
  <c r="G35" i="108"/>
  <c r="G36" i="108"/>
  <c r="G37" i="108"/>
  <c r="G38" i="108"/>
  <c r="G39" i="108"/>
  <c r="G40" i="108"/>
  <c r="G41" i="108"/>
  <c r="G42" i="108"/>
  <c r="G43" i="108"/>
  <c r="G44" i="108"/>
  <c r="G45" i="108"/>
  <c r="G46" i="108"/>
  <c r="G47" i="108"/>
  <c r="G48" i="108"/>
  <c r="G49" i="108"/>
  <c r="G50" i="108"/>
  <c r="G51" i="108"/>
  <c r="G52" i="108"/>
  <c r="G53" i="108"/>
  <c r="G54" i="108"/>
  <c r="G55" i="108"/>
  <c r="G56" i="108"/>
  <c r="G57" i="108"/>
  <c r="G10" i="108"/>
  <c r="F11" i="108"/>
  <c r="F12" i="108"/>
  <c r="F13" i="108"/>
  <c r="F14" i="108"/>
  <c r="F15" i="108"/>
  <c r="F16" i="108"/>
  <c r="F17" i="108"/>
  <c r="F18" i="108"/>
  <c r="F19" i="108"/>
  <c r="F20" i="108"/>
  <c r="F21" i="108"/>
  <c r="F22" i="108"/>
  <c r="F23" i="108"/>
  <c r="F24" i="108"/>
  <c r="F25" i="108"/>
  <c r="F26" i="108"/>
  <c r="F27" i="108"/>
  <c r="F28" i="108"/>
  <c r="F29" i="108"/>
  <c r="F30" i="108"/>
  <c r="F31" i="108"/>
  <c r="F32" i="108"/>
  <c r="F33" i="108"/>
  <c r="F34" i="108"/>
  <c r="F35" i="108"/>
  <c r="F36" i="108"/>
  <c r="F37" i="108"/>
  <c r="F38" i="108"/>
  <c r="F39" i="108"/>
  <c r="F40" i="108"/>
  <c r="F41" i="108"/>
  <c r="F42" i="108"/>
  <c r="F43" i="108"/>
  <c r="F44" i="108"/>
  <c r="F45" i="108"/>
  <c r="F46" i="108"/>
  <c r="F47" i="108"/>
  <c r="F48" i="108"/>
  <c r="F49" i="108"/>
  <c r="F50" i="108"/>
  <c r="F51" i="108"/>
  <c r="F52" i="108"/>
  <c r="F53" i="108"/>
  <c r="F54" i="108"/>
  <c r="F55" i="108"/>
  <c r="F56" i="108"/>
  <c r="F57" i="108"/>
  <c r="F10" i="108"/>
  <c r="E11" i="108"/>
  <c r="E12" i="108"/>
  <c r="E13" i="108"/>
  <c r="E14" i="108"/>
  <c r="E15" i="108"/>
  <c r="E16" i="108"/>
  <c r="E17" i="108"/>
  <c r="E18" i="108"/>
  <c r="E19" i="108"/>
  <c r="E20" i="108"/>
  <c r="E21" i="108"/>
  <c r="E22" i="108"/>
  <c r="E23" i="108"/>
  <c r="E24" i="108"/>
  <c r="E25" i="108"/>
  <c r="E26" i="108"/>
  <c r="E27" i="108"/>
  <c r="E28" i="108"/>
  <c r="E29" i="108"/>
  <c r="E30" i="108"/>
  <c r="E31" i="108"/>
  <c r="E32" i="108"/>
  <c r="E33" i="108"/>
  <c r="E34" i="108"/>
  <c r="E35" i="108"/>
  <c r="E36" i="108"/>
  <c r="E37" i="108"/>
  <c r="E38" i="108"/>
  <c r="E39" i="108"/>
  <c r="E40" i="108"/>
  <c r="E41" i="108"/>
  <c r="E42" i="108"/>
  <c r="E43" i="108"/>
  <c r="E44" i="108"/>
  <c r="E45" i="108"/>
  <c r="E46" i="108"/>
  <c r="E47" i="108"/>
  <c r="E48" i="108"/>
  <c r="E49" i="108"/>
  <c r="E50" i="108"/>
  <c r="E51" i="108"/>
  <c r="E52" i="108"/>
  <c r="E53" i="108"/>
  <c r="E54" i="108"/>
  <c r="E55" i="108"/>
  <c r="E56" i="108"/>
  <c r="E57" i="108"/>
  <c r="E10" i="108"/>
  <c r="D11" i="108"/>
  <c r="D12" i="108"/>
  <c r="D13" i="108"/>
  <c r="D14" i="108"/>
  <c r="D15" i="108"/>
  <c r="D16" i="108"/>
  <c r="D17" i="108"/>
  <c r="D18" i="108"/>
  <c r="D19" i="108"/>
  <c r="D20" i="108"/>
  <c r="D21" i="108"/>
  <c r="D22" i="108"/>
  <c r="D23" i="108"/>
  <c r="D24" i="108"/>
  <c r="D25" i="108"/>
  <c r="D26" i="108"/>
  <c r="D27" i="108"/>
  <c r="D28" i="108"/>
  <c r="D29" i="108"/>
  <c r="D30" i="108"/>
  <c r="D31" i="108"/>
  <c r="D32" i="108"/>
  <c r="D33" i="108"/>
  <c r="D34" i="108"/>
  <c r="D35" i="108"/>
  <c r="D36" i="108"/>
  <c r="D37" i="108"/>
  <c r="D38" i="108"/>
  <c r="D39" i="108"/>
  <c r="D40" i="108"/>
  <c r="D41" i="108"/>
  <c r="D42" i="108"/>
  <c r="D43" i="108"/>
  <c r="D44" i="108"/>
  <c r="D45" i="108"/>
  <c r="D46" i="108"/>
  <c r="D47" i="108"/>
  <c r="D48" i="108"/>
  <c r="D49" i="108"/>
  <c r="D50" i="108"/>
  <c r="D51" i="108"/>
  <c r="D52" i="108"/>
  <c r="D53" i="108"/>
  <c r="D54" i="108"/>
  <c r="D55" i="108"/>
  <c r="D56" i="108"/>
  <c r="D57" i="108"/>
  <c r="D10" i="108"/>
  <c r="C11" i="108"/>
  <c r="C12" i="108"/>
  <c r="C13" i="108"/>
  <c r="C14" i="108"/>
  <c r="C15" i="108"/>
  <c r="C16" i="108"/>
  <c r="C17" i="108"/>
  <c r="C18" i="108"/>
  <c r="C19" i="108"/>
  <c r="C20" i="108"/>
  <c r="C21" i="108"/>
  <c r="C22" i="108"/>
  <c r="C23" i="108"/>
  <c r="C24" i="108"/>
  <c r="C25" i="108"/>
  <c r="C26" i="108"/>
  <c r="C27" i="108"/>
  <c r="C28" i="108"/>
  <c r="C29" i="108"/>
  <c r="C30" i="108"/>
  <c r="C31" i="108"/>
  <c r="C32" i="108"/>
  <c r="C33" i="108"/>
  <c r="C34" i="108"/>
  <c r="C35" i="108"/>
  <c r="C36" i="108"/>
  <c r="C37" i="108"/>
  <c r="C38" i="108"/>
  <c r="C39" i="108"/>
  <c r="C40" i="108"/>
  <c r="C41" i="108"/>
  <c r="C42" i="108"/>
  <c r="C43" i="108"/>
  <c r="C44" i="108"/>
  <c r="C45" i="108"/>
  <c r="C46" i="108"/>
  <c r="C47" i="108"/>
  <c r="C48" i="108"/>
  <c r="C49" i="108"/>
  <c r="C50" i="108"/>
  <c r="C51" i="108"/>
  <c r="C52" i="108"/>
  <c r="C53" i="108"/>
  <c r="C54" i="108"/>
  <c r="C55" i="108"/>
  <c r="C56" i="108"/>
  <c r="C57" i="108"/>
  <c r="C10" i="108"/>
  <c r="P106" i="111" l="1"/>
  <c r="AE41" i="111"/>
  <c r="AE42" i="111" s="1"/>
  <c r="AF41" i="111"/>
  <c r="AF42" i="111" s="1"/>
  <c r="N106" i="114"/>
  <c r="M106" i="114"/>
  <c r="K106" i="114"/>
  <c r="J106" i="114"/>
  <c r="I106" i="114"/>
  <c r="H106" i="114"/>
  <c r="G106" i="114"/>
  <c r="F106" i="114"/>
  <c r="E106" i="114"/>
  <c r="D106" i="114"/>
  <c r="C106" i="114"/>
  <c r="P105" i="114"/>
  <c r="O105" i="114"/>
  <c r="P104" i="114"/>
  <c r="O104" i="114"/>
  <c r="P103" i="114"/>
  <c r="O103" i="114"/>
  <c r="AE33" i="114" s="1"/>
  <c r="P102" i="114"/>
  <c r="AF33" i="114" s="1"/>
  <c r="O102" i="114"/>
  <c r="P101" i="114"/>
  <c r="O101" i="114"/>
  <c r="P100" i="114"/>
  <c r="O100" i="114"/>
  <c r="P99" i="114"/>
  <c r="O99" i="114"/>
  <c r="AE32" i="114" s="1"/>
  <c r="P98" i="114"/>
  <c r="AF32" i="114" s="1"/>
  <c r="O98" i="114"/>
  <c r="P97" i="114"/>
  <c r="O97" i="114"/>
  <c r="P96" i="114"/>
  <c r="O96" i="114"/>
  <c r="P95" i="114"/>
  <c r="O95" i="114"/>
  <c r="P94" i="114"/>
  <c r="AF31" i="114" s="1"/>
  <c r="O94" i="114"/>
  <c r="P93" i="114"/>
  <c r="O93" i="114"/>
  <c r="P92" i="114"/>
  <c r="O92" i="114"/>
  <c r="P91" i="114"/>
  <c r="O91" i="114"/>
  <c r="P90" i="114"/>
  <c r="AF30" i="114" s="1"/>
  <c r="O90" i="114"/>
  <c r="P89" i="114"/>
  <c r="O89" i="114"/>
  <c r="P88" i="114"/>
  <c r="O88" i="114"/>
  <c r="P87" i="114"/>
  <c r="O87" i="114"/>
  <c r="AE29" i="114" s="1"/>
  <c r="P86" i="114"/>
  <c r="AF29" i="114" s="1"/>
  <c r="O86" i="114"/>
  <c r="P85" i="114"/>
  <c r="O85" i="114"/>
  <c r="P84" i="114"/>
  <c r="O84" i="114"/>
  <c r="P83" i="114"/>
  <c r="O83" i="114"/>
  <c r="AE28" i="114" s="1"/>
  <c r="P82" i="114"/>
  <c r="AF28" i="114" s="1"/>
  <c r="O82" i="114"/>
  <c r="P81" i="114"/>
  <c r="O81" i="114"/>
  <c r="P80" i="114"/>
  <c r="O80" i="114"/>
  <c r="P79" i="114"/>
  <c r="O79" i="114"/>
  <c r="P78" i="114"/>
  <c r="AF27" i="114" s="1"/>
  <c r="O78" i="114"/>
  <c r="P77" i="114"/>
  <c r="O77" i="114"/>
  <c r="P76" i="114"/>
  <c r="O76" i="114"/>
  <c r="P75" i="114"/>
  <c r="O75" i="114"/>
  <c r="P74" i="114"/>
  <c r="AF26" i="114" s="1"/>
  <c r="O74" i="114"/>
  <c r="P73" i="114"/>
  <c r="O73" i="114"/>
  <c r="P72" i="114"/>
  <c r="O72" i="114"/>
  <c r="P71" i="114"/>
  <c r="O71" i="114"/>
  <c r="AE25" i="114" s="1"/>
  <c r="P70" i="114"/>
  <c r="AF25" i="114" s="1"/>
  <c r="O70" i="114"/>
  <c r="P69" i="114"/>
  <c r="O69" i="114"/>
  <c r="P68" i="114"/>
  <c r="O68" i="114"/>
  <c r="P67" i="114"/>
  <c r="O67" i="114"/>
  <c r="AE24" i="114" s="1"/>
  <c r="P66" i="114"/>
  <c r="AF24" i="114" s="1"/>
  <c r="O66" i="114"/>
  <c r="P65" i="114"/>
  <c r="O65" i="114"/>
  <c r="P64" i="114"/>
  <c r="O64" i="114"/>
  <c r="P63" i="114"/>
  <c r="O63" i="114"/>
  <c r="P62" i="114"/>
  <c r="AF23" i="114" s="1"/>
  <c r="O62" i="114"/>
  <c r="P61" i="114"/>
  <c r="O61" i="114"/>
  <c r="P60" i="114"/>
  <c r="O60" i="114"/>
  <c r="P59" i="114"/>
  <c r="O59" i="114"/>
  <c r="P58" i="114"/>
  <c r="AF22" i="114" s="1"/>
  <c r="O58" i="114"/>
  <c r="P57" i="114"/>
  <c r="O57" i="114"/>
  <c r="P56" i="114"/>
  <c r="O56" i="114"/>
  <c r="P55" i="114"/>
  <c r="O55" i="114"/>
  <c r="AE21" i="114" s="1"/>
  <c r="P54" i="114"/>
  <c r="AF21" i="114" s="1"/>
  <c r="O54" i="114"/>
  <c r="P53" i="114"/>
  <c r="O53" i="114"/>
  <c r="P52" i="114"/>
  <c r="O52" i="114"/>
  <c r="P51" i="114"/>
  <c r="O51" i="114"/>
  <c r="AE20" i="114" s="1"/>
  <c r="P50" i="114"/>
  <c r="AF20" i="114" s="1"/>
  <c r="O50" i="114"/>
  <c r="P49" i="114"/>
  <c r="O49" i="114"/>
  <c r="P48" i="114"/>
  <c r="O48" i="114"/>
  <c r="P47" i="114"/>
  <c r="O47" i="114"/>
  <c r="P46" i="114"/>
  <c r="AF19" i="114" s="1"/>
  <c r="AF39" i="114" s="1"/>
  <c r="O46" i="114"/>
  <c r="P45" i="114"/>
  <c r="O45" i="114"/>
  <c r="P44" i="114"/>
  <c r="O44" i="114"/>
  <c r="P43" i="114"/>
  <c r="O43" i="114"/>
  <c r="P42" i="114"/>
  <c r="AF18" i="114" s="1"/>
  <c r="O42" i="114"/>
  <c r="P41" i="114"/>
  <c r="O41" i="114"/>
  <c r="P40" i="114"/>
  <c r="O40" i="114"/>
  <c r="P39" i="114"/>
  <c r="O39" i="114"/>
  <c r="AE17" i="114" s="1"/>
  <c r="P38" i="114"/>
  <c r="AF17" i="114" s="1"/>
  <c r="O38" i="114"/>
  <c r="P37" i="114"/>
  <c r="O37" i="114"/>
  <c r="P36" i="114"/>
  <c r="O36" i="114"/>
  <c r="P35" i="114"/>
  <c r="O35" i="114"/>
  <c r="AE16" i="114" s="1"/>
  <c r="P34" i="114"/>
  <c r="AF16" i="114" s="1"/>
  <c r="O34" i="114"/>
  <c r="AD33" i="114"/>
  <c r="AC33" i="114"/>
  <c r="AB33" i="114"/>
  <c r="AA33" i="114"/>
  <c r="Z33" i="114"/>
  <c r="Y33" i="114"/>
  <c r="X33" i="114"/>
  <c r="W33" i="114"/>
  <c r="V33" i="114"/>
  <c r="U33" i="114"/>
  <c r="T33" i="114"/>
  <c r="S33" i="114"/>
  <c r="P33" i="114"/>
  <c r="O33" i="114"/>
  <c r="AD32" i="114"/>
  <c r="AC32" i="114"/>
  <c r="AB32" i="114"/>
  <c r="AA32" i="114"/>
  <c r="Z32" i="114"/>
  <c r="Y32" i="114"/>
  <c r="X32" i="114"/>
  <c r="W32" i="114"/>
  <c r="V32" i="114"/>
  <c r="U32" i="114"/>
  <c r="T32" i="114"/>
  <c r="S32" i="114"/>
  <c r="P32" i="114"/>
  <c r="O32" i="114"/>
  <c r="AE31" i="114"/>
  <c r="AD31" i="114"/>
  <c r="AC31" i="114"/>
  <c r="AB31" i="114"/>
  <c r="AA31" i="114"/>
  <c r="Z31" i="114"/>
  <c r="Y31" i="114"/>
  <c r="X31" i="114"/>
  <c r="W31" i="114"/>
  <c r="V31" i="114"/>
  <c r="U31" i="114"/>
  <c r="T31" i="114"/>
  <c r="S31" i="114"/>
  <c r="P31" i="114"/>
  <c r="O31" i="114"/>
  <c r="AE30" i="114"/>
  <c r="AD30" i="114"/>
  <c r="AC30" i="114"/>
  <c r="AB30" i="114"/>
  <c r="AA30" i="114"/>
  <c r="Z30" i="114"/>
  <c r="Y30" i="114"/>
  <c r="X30" i="114"/>
  <c r="W30" i="114"/>
  <c r="V30" i="114"/>
  <c r="U30" i="114"/>
  <c r="T30" i="114"/>
  <c r="S30" i="114"/>
  <c r="P30" i="114"/>
  <c r="AF15" i="114" s="1"/>
  <c r="O30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P29" i="114"/>
  <c r="O29" i="114"/>
  <c r="AE14" i="114" s="1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P28" i="114"/>
  <c r="O28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P27" i="114"/>
  <c r="O27" i="114"/>
  <c r="AE26" i="114"/>
  <c r="AD26" i="114"/>
  <c r="AC26" i="114"/>
  <c r="AB26" i="114"/>
  <c r="AA26" i="114"/>
  <c r="Z26" i="114"/>
  <c r="Y26" i="114"/>
  <c r="X26" i="114"/>
  <c r="W26" i="114"/>
  <c r="V26" i="114"/>
  <c r="U26" i="114"/>
  <c r="T26" i="114"/>
  <c r="S26" i="114"/>
  <c r="P26" i="114"/>
  <c r="AF14" i="114" s="1"/>
  <c r="O26" i="114"/>
  <c r="AD25" i="114"/>
  <c r="AC25" i="114"/>
  <c r="AB25" i="114"/>
  <c r="AA25" i="114"/>
  <c r="Z25" i="114"/>
  <c r="Y25" i="114"/>
  <c r="X25" i="114"/>
  <c r="W25" i="114"/>
  <c r="V25" i="114"/>
  <c r="U25" i="114"/>
  <c r="T25" i="114"/>
  <c r="S25" i="114"/>
  <c r="P25" i="114"/>
  <c r="O25" i="114"/>
  <c r="AD24" i="114"/>
  <c r="AC24" i="114"/>
  <c r="AB24" i="114"/>
  <c r="AA24" i="114"/>
  <c r="Z24" i="114"/>
  <c r="Y24" i="114"/>
  <c r="X24" i="114"/>
  <c r="W24" i="114"/>
  <c r="V24" i="114"/>
  <c r="U24" i="114"/>
  <c r="T24" i="114"/>
  <c r="S24" i="114"/>
  <c r="P24" i="114"/>
  <c r="O24" i="114"/>
  <c r="AE13" i="114" s="1"/>
  <c r="AE23" i="114"/>
  <c r="AD23" i="114"/>
  <c r="AC23" i="114"/>
  <c r="AB23" i="114"/>
  <c r="AA23" i="114"/>
  <c r="Z23" i="114"/>
  <c r="Y23" i="114"/>
  <c r="X23" i="114"/>
  <c r="W23" i="114"/>
  <c r="V23" i="114"/>
  <c r="U23" i="114"/>
  <c r="T23" i="114"/>
  <c r="S23" i="114"/>
  <c r="P23" i="114"/>
  <c r="O23" i="114"/>
  <c r="AE22" i="114"/>
  <c r="AD22" i="114"/>
  <c r="AC22" i="114"/>
  <c r="AB22" i="114"/>
  <c r="AA22" i="114"/>
  <c r="Z22" i="114"/>
  <c r="Y22" i="114"/>
  <c r="X22" i="114"/>
  <c r="W22" i="114"/>
  <c r="V22" i="114"/>
  <c r="U22" i="114"/>
  <c r="T22" i="114"/>
  <c r="S22" i="114"/>
  <c r="P22" i="114"/>
  <c r="AF13" i="114" s="1"/>
  <c r="O22" i="114"/>
  <c r="AD21" i="114"/>
  <c r="AC21" i="114"/>
  <c r="AB21" i="114"/>
  <c r="AA21" i="114"/>
  <c r="Z21" i="114"/>
  <c r="Y21" i="114"/>
  <c r="X21" i="114"/>
  <c r="W21" i="114"/>
  <c r="V21" i="114"/>
  <c r="U21" i="114"/>
  <c r="T21" i="114"/>
  <c r="S21" i="114"/>
  <c r="P21" i="114"/>
  <c r="O21" i="114"/>
  <c r="AD20" i="114"/>
  <c r="AC20" i="114"/>
  <c r="AB20" i="114"/>
  <c r="AA20" i="114"/>
  <c r="Z20" i="114"/>
  <c r="Y20" i="114"/>
  <c r="X20" i="114"/>
  <c r="W20" i="114"/>
  <c r="V20" i="114"/>
  <c r="U20" i="114"/>
  <c r="T20" i="114"/>
  <c r="S20" i="114"/>
  <c r="P20" i="114"/>
  <c r="O20" i="114"/>
  <c r="AE12" i="114" s="1"/>
  <c r="AE19" i="114"/>
  <c r="AD19" i="114"/>
  <c r="AD39" i="114" s="1"/>
  <c r="AC19" i="114"/>
  <c r="AC39" i="114" s="1"/>
  <c r="AB19" i="114"/>
  <c r="AA19" i="114"/>
  <c r="AA39" i="114" s="1"/>
  <c r="Z19" i="114"/>
  <c r="Z39" i="114" s="1"/>
  <c r="Y19" i="114"/>
  <c r="Y39" i="114" s="1"/>
  <c r="X19" i="114"/>
  <c r="X36" i="114" s="1"/>
  <c r="W19" i="114"/>
  <c r="W39" i="114" s="1"/>
  <c r="V19" i="114"/>
  <c r="V39" i="114" s="1"/>
  <c r="U19" i="114"/>
  <c r="U39" i="114" s="1"/>
  <c r="T19" i="114"/>
  <c r="T39" i="114" s="1"/>
  <c r="S19" i="114"/>
  <c r="S39" i="114" s="1"/>
  <c r="P19" i="114"/>
  <c r="O19" i="114"/>
  <c r="AE18" i="114"/>
  <c r="AD18" i="114"/>
  <c r="AC18" i="114"/>
  <c r="AB18" i="114"/>
  <c r="AA18" i="114"/>
  <c r="Z18" i="114"/>
  <c r="Y18" i="114"/>
  <c r="X18" i="114"/>
  <c r="W18" i="114"/>
  <c r="V18" i="114"/>
  <c r="U18" i="114"/>
  <c r="T18" i="114"/>
  <c r="S18" i="114"/>
  <c r="P18" i="114"/>
  <c r="AF12" i="114" s="1"/>
  <c r="O18" i="114"/>
  <c r="AD17" i="114"/>
  <c r="AC17" i="114"/>
  <c r="AB17" i="114"/>
  <c r="AA17" i="114"/>
  <c r="Z17" i="114"/>
  <c r="Y17" i="114"/>
  <c r="X17" i="114"/>
  <c r="W17" i="114"/>
  <c r="V17" i="114"/>
  <c r="U17" i="114"/>
  <c r="T17" i="114"/>
  <c r="S17" i="114"/>
  <c r="P17" i="114"/>
  <c r="O17" i="114"/>
  <c r="AD16" i="114"/>
  <c r="AC16" i="114"/>
  <c r="AB16" i="114"/>
  <c r="AA16" i="114"/>
  <c r="Z16" i="114"/>
  <c r="Y16" i="114"/>
  <c r="X16" i="114"/>
  <c r="W16" i="114"/>
  <c r="V16" i="114"/>
  <c r="U16" i="114"/>
  <c r="T16" i="114"/>
  <c r="S16" i="114"/>
  <c r="P16" i="114"/>
  <c r="O16" i="114"/>
  <c r="AE15" i="114"/>
  <c r="AD15" i="114"/>
  <c r="AC15" i="114"/>
  <c r="AB15" i="114"/>
  <c r="AA15" i="114"/>
  <c r="Z15" i="114"/>
  <c r="Y15" i="114"/>
  <c r="X15" i="114"/>
  <c r="W15" i="114"/>
  <c r="V15" i="114"/>
  <c r="U15" i="114"/>
  <c r="T15" i="114"/>
  <c r="S15" i="114"/>
  <c r="P15" i="114"/>
  <c r="O15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P14" i="114"/>
  <c r="AF11" i="114" s="1"/>
  <c r="O14" i="114"/>
  <c r="AD13" i="114"/>
  <c r="AD38" i="114" s="1"/>
  <c r="AC13" i="114"/>
  <c r="AC38" i="114" s="1"/>
  <c r="AB13" i="114"/>
  <c r="AA13" i="114"/>
  <c r="AA38" i="114" s="1"/>
  <c r="Z13" i="114"/>
  <c r="Z38" i="114" s="1"/>
  <c r="Y13" i="114"/>
  <c r="Y38" i="114" s="1"/>
  <c r="X13" i="114"/>
  <c r="X38" i="114" s="1"/>
  <c r="W13" i="114"/>
  <c r="W38" i="114" s="1"/>
  <c r="V13" i="114"/>
  <c r="V38" i="114" s="1"/>
  <c r="U13" i="114"/>
  <c r="U38" i="114" s="1"/>
  <c r="T13" i="114"/>
  <c r="T35" i="114" s="1"/>
  <c r="S13" i="114"/>
  <c r="S38" i="114" s="1"/>
  <c r="P13" i="114"/>
  <c r="O13" i="114"/>
  <c r="AD12" i="114"/>
  <c r="AC12" i="114"/>
  <c r="AB12" i="114"/>
  <c r="AA12" i="114"/>
  <c r="Z12" i="114"/>
  <c r="Y12" i="114"/>
  <c r="X12" i="114"/>
  <c r="W12" i="114"/>
  <c r="V12" i="114"/>
  <c r="U12" i="114"/>
  <c r="T12" i="114"/>
  <c r="S12" i="114"/>
  <c r="P12" i="114"/>
  <c r="O12" i="114"/>
  <c r="AD11" i="114"/>
  <c r="AC11" i="114"/>
  <c r="AB11" i="114"/>
  <c r="AA11" i="114"/>
  <c r="Z11" i="114"/>
  <c r="Y11" i="114"/>
  <c r="X11" i="114"/>
  <c r="W11" i="114"/>
  <c r="V11" i="114"/>
  <c r="U11" i="114"/>
  <c r="T11" i="114"/>
  <c r="S11" i="114"/>
  <c r="P11" i="114"/>
  <c r="O11" i="114"/>
  <c r="AD10" i="114"/>
  <c r="AD41" i="114" s="1"/>
  <c r="AC10" i="114"/>
  <c r="AC41" i="114" s="1"/>
  <c r="AB10" i="114"/>
  <c r="AB41" i="114" s="1"/>
  <c r="AA10" i="114"/>
  <c r="Z10" i="114"/>
  <c r="Z41" i="114" s="1"/>
  <c r="Y10" i="114"/>
  <c r="Y41" i="114" s="1"/>
  <c r="X10" i="114"/>
  <c r="W10" i="114"/>
  <c r="V10" i="114"/>
  <c r="V41" i="114" s="1"/>
  <c r="U10" i="114"/>
  <c r="U41" i="114" s="1"/>
  <c r="T10" i="114"/>
  <c r="T41" i="114" s="1"/>
  <c r="S10" i="114"/>
  <c r="P10" i="114"/>
  <c r="O10" i="114"/>
  <c r="E11" i="107"/>
  <c r="E12" i="107"/>
  <c r="E13" i="107"/>
  <c r="E14" i="107"/>
  <c r="E15" i="107"/>
  <c r="E16" i="107"/>
  <c r="E17" i="107"/>
  <c r="E18" i="107"/>
  <c r="E19" i="107"/>
  <c r="E20" i="107"/>
  <c r="E21" i="107"/>
  <c r="E22" i="107"/>
  <c r="E23" i="107"/>
  <c r="E24" i="107"/>
  <c r="E25" i="107"/>
  <c r="E26" i="107"/>
  <c r="E27" i="107"/>
  <c r="E28" i="107"/>
  <c r="E29" i="107"/>
  <c r="E30" i="107"/>
  <c r="E31" i="107"/>
  <c r="E32" i="107"/>
  <c r="E33" i="107"/>
  <c r="E34" i="107"/>
  <c r="E35" i="107"/>
  <c r="E36" i="107"/>
  <c r="E37" i="107"/>
  <c r="E38" i="107"/>
  <c r="E39" i="107"/>
  <c r="E40" i="107"/>
  <c r="E41" i="107"/>
  <c r="E42" i="107"/>
  <c r="E43" i="107"/>
  <c r="E44" i="107"/>
  <c r="E45" i="107"/>
  <c r="E46" i="107"/>
  <c r="E47" i="107"/>
  <c r="E48" i="107"/>
  <c r="E49" i="107"/>
  <c r="E50" i="107"/>
  <c r="E51" i="107"/>
  <c r="E52" i="107"/>
  <c r="E53" i="107"/>
  <c r="E54" i="107"/>
  <c r="E55" i="107"/>
  <c r="E56" i="107"/>
  <c r="E57" i="107"/>
  <c r="E10" i="107"/>
  <c r="D11" i="107"/>
  <c r="D12" i="107"/>
  <c r="D13" i="107"/>
  <c r="D14" i="107"/>
  <c r="D15" i="107"/>
  <c r="D16" i="107"/>
  <c r="D17" i="107"/>
  <c r="D18" i="107"/>
  <c r="D19" i="107"/>
  <c r="D20" i="107"/>
  <c r="D21" i="107"/>
  <c r="D22" i="107"/>
  <c r="D23" i="107"/>
  <c r="D24" i="107"/>
  <c r="D25" i="107"/>
  <c r="D26" i="107"/>
  <c r="D27" i="107"/>
  <c r="D28" i="107"/>
  <c r="D29" i="107"/>
  <c r="D30" i="107"/>
  <c r="D31" i="107"/>
  <c r="D32" i="107"/>
  <c r="D33" i="107"/>
  <c r="D34" i="107"/>
  <c r="D35" i="107"/>
  <c r="D36" i="107"/>
  <c r="D37" i="107"/>
  <c r="D38" i="107"/>
  <c r="D39" i="107"/>
  <c r="D40" i="107"/>
  <c r="D41" i="107"/>
  <c r="D42" i="107"/>
  <c r="D43" i="107"/>
  <c r="D44" i="107"/>
  <c r="D45" i="107"/>
  <c r="D46" i="107"/>
  <c r="D47" i="107"/>
  <c r="D48" i="107"/>
  <c r="D49" i="107"/>
  <c r="D50" i="107"/>
  <c r="D51" i="107"/>
  <c r="D52" i="107"/>
  <c r="D53" i="107"/>
  <c r="D54" i="107"/>
  <c r="D55" i="107"/>
  <c r="D56" i="107"/>
  <c r="D57" i="107"/>
  <c r="D10" i="107"/>
  <c r="N11" i="107"/>
  <c r="N12" i="107"/>
  <c r="N13" i="107"/>
  <c r="N14" i="107"/>
  <c r="N15" i="107"/>
  <c r="N16" i="107"/>
  <c r="N17" i="107"/>
  <c r="N18" i="107"/>
  <c r="N19" i="107"/>
  <c r="N20" i="107"/>
  <c r="N21" i="107"/>
  <c r="N22" i="107"/>
  <c r="N23" i="107"/>
  <c r="N24" i="107"/>
  <c r="N25" i="107"/>
  <c r="N26" i="107"/>
  <c r="N27" i="107"/>
  <c r="N28" i="107"/>
  <c r="N29" i="107"/>
  <c r="N30" i="107"/>
  <c r="N31" i="107"/>
  <c r="N32" i="107"/>
  <c r="N33" i="107"/>
  <c r="N34" i="107"/>
  <c r="N35" i="107"/>
  <c r="N36" i="107"/>
  <c r="N37" i="107"/>
  <c r="N38" i="107"/>
  <c r="N39" i="107"/>
  <c r="N40" i="107"/>
  <c r="N41" i="107"/>
  <c r="N42" i="107"/>
  <c r="N43" i="107"/>
  <c r="N44" i="107"/>
  <c r="N45" i="107"/>
  <c r="N46" i="107"/>
  <c r="N47" i="107"/>
  <c r="N48" i="107"/>
  <c r="N49" i="107"/>
  <c r="N50" i="107"/>
  <c r="N51" i="107"/>
  <c r="N52" i="107"/>
  <c r="N53" i="107"/>
  <c r="N54" i="107"/>
  <c r="N55" i="107"/>
  <c r="N56" i="107"/>
  <c r="N57" i="107"/>
  <c r="N10" i="107"/>
  <c r="M11" i="107"/>
  <c r="M12" i="107"/>
  <c r="M13" i="107"/>
  <c r="M14" i="107"/>
  <c r="M15" i="107"/>
  <c r="M16" i="107"/>
  <c r="M17" i="107"/>
  <c r="M18" i="107"/>
  <c r="M19" i="107"/>
  <c r="M20" i="107"/>
  <c r="M21" i="107"/>
  <c r="M22" i="107"/>
  <c r="M23" i="107"/>
  <c r="M24" i="107"/>
  <c r="M25" i="107"/>
  <c r="M26" i="107"/>
  <c r="M27" i="107"/>
  <c r="M28" i="107"/>
  <c r="M29" i="107"/>
  <c r="M30" i="107"/>
  <c r="M31" i="107"/>
  <c r="M32" i="107"/>
  <c r="M33" i="107"/>
  <c r="M34" i="107"/>
  <c r="M35" i="107"/>
  <c r="M36" i="107"/>
  <c r="M37" i="107"/>
  <c r="M38" i="107"/>
  <c r="M39" i="107"/>
  <c r="M40" i="107"/>
  <c r="M41" i="107"/>
  <c r="M42" i="107"/>
  <c r="M43" i="107"/>
  <c r="M44" i="107"/>
  <c r="M45" i="107"/>
  <c r="M46" i="107"/>
  <c r="M47" i="107"/>
  <c r="M48" i="107"/>
  <c r="M49" i="107"/>
  <c r="M50" i="107"/>
  <c r="M51" i="107"/>
  <c r="M52" i="107"/>
  <c r="M53" i="107"/>
  <c r="M54" i="107"/>
  <c r="M55" i="107"/>
  <c r="M56" i="107"/>
  <c r="M57" i="107"/>
  <c r="M10" i="107"/>
  <c r="L11" i="107"/>
  <c r="L12" i="107"/>
  <c r="L13" i="107"/>
  <c r="L14" i="107"/>
  <c r="L15" i="107"/>
  <c r="L16" i="107"/>
  <c r="L17" i="107"/>
  <c r="L18" i="107"/>
  <c r="L19" i="107"/>
  <c r="L20" i="107"/>
  <c r="L21" i="107"/>
  <c r="L22" i="107"/>
  <c r="L23" i="107"/>
  <c r="L24" i="107"/>
  <c r="L25" i="107"/>
  <c r="L26" i="107"/>
  <c r="L27" i="107"/>
  <c r="L28" i="107"/>
  <c r="L29" i="107"/>
  <c r="L30" i="107"/>
  <c r="L31" i="107"/>
  <c r="L32" i="107"/>
  <c r="L33" i="107"/>
  <c r="L34" i="107"/>
  <c r="L35" i="107"/>
  <c r="L36" i="107"/>
  <c r="L37" i="107"/>
  <c r="L38" i="107"/>
  <c r="L39" i="107"/>
  <c r="L40" i="107"/>
  <c r="L41" i="107"/>
  <c r="L42" i="107"/>
  <c r="L43" i="107"/>
  <c r="L44" i="107"/>
  <c r="L45" i="107"/>
  <c r="L46" i="107"/>
  <c r="L47" i="107"/>
  <c r="L48" i="107"/>
  <c r="L49" i="107"/>
  <c r="L50" i="107"/>
  <c r="L51" i="107"/>
  <c r="L52" i="107"/>
  <c r="L53" i="107"/>
  <c r="L54" i="107"/>
  <c r="L55" i="107"/>
  <c r="L56" i="107"/>
  <c r="L57" i="107"/>
  <c r="L10" i="107"/>
  <c r="K11" i="107"/>
  <c r="K12" i="107"/>
  <c r="K13" i="107"/>
  <c r="K14" i="107"/>
  <c r="K15" i="107"/>
  <c r="K16" i="107"/>
  <c r="K17" i="107"/>
  <c r="K18" i="107"/>
  <c r="K19" i="107"/>
  <c r="K20" i="107"/>
  <c r="K21" i="107"/>
  <c r="K22" i="107"/>
  <c r="K23" i="107"/>
  <c r="K24" i="107"/>
  <c r="K25" i="107"/>
  <c r="K26" i="107"/>
  <c r="K27" i="107"/>
  <c r="K28" i="107"/>
  <c r="K29" i="107"/>
  <c r="K30" i="107"/>
  <c r="K31" i="107"/>
  <c r="K32" i="107"/>
  <c r="K33" i="107"/>
  <c r="K34" i="107"/>
  <c r="K35" i="107"/>
  <c r="K36" i="107"/>
  <c r="K37" i="107"/>
  <c r="K38" i="107"/>
  <c r="K39" i="107"/>
  <c r="K40" i="107"/>
  <c r="K41" i="107"/>
  <c r="K42" i="107"/>
  <c r="K43" i="107"/>
  <c r="K44" i="107"/>
  <c r="K45" i="107"/>
  <c r="K46" i="107"/>
  <c r="K47" i="107"/>
  <c r="K48" i="107"/>
  <c r="K49" i="107"/>
  <c r="K50" i="107"/>
  <c r="K51" i="107"/>
  <c r="K52" i="107"/>
  <c r="K53" i="107"/>
  <c r="K54" i="107"/>
  <c r="K55" i="107"/>
  <c r="K56" i="107"/>
  <c r="K57" i="107"/>
  <c r="K10" i="107"/>
  <c r="J11" i="107"/>
  <c r="J12" i="107"/>
  <c r="J13" i="107"/>
  <c r="J14" i="107"/>
  <c r="J15" i="107"/>
  <c r="J16" i="107"/>
  <c r="J17" i="107"/>
  <c r="J18" i="107"/>
  <c r="J19" i="107"/>
  <c r="J20" i="107"/>
  <c r="J21" i="107"/>
  <c r="J22" i="107"/>
  <c r="J23" i="107"/>
  <c r="J24" i="107"/>
  <c r="J25" i="107"/>
  <c r="J26" i="107"/>
  <c r="J27" i="107"/>
  <c r="J28" i="107"/>
  <c r="J29" i="107"/>
  <c r="J30" i="107"/>
  <c r="J31" i="107"/>
  <c r="J32" i="107"/>
  <c r="J33" i="107"/>
  <c r="J34" i="107"/>
  <c r="J35" i="107"/>
  <c r="J36" i="107"/>
  <c r="J37" i="107"/>
  <c r="J38" i="107"/>
  <c r="J39" i="107"/>
  <c r="J40" i="107"/>
  <c r="J41" i="107"/>
  <c r="J42" i="107"/>
  <c r="J43" i="107"/>
  <c r="J44" i="107"/>
  <c r="J45" i="107"/>
  <c r="J46" i="107"/>
  <c r="J47" i="107"/>
  <c r="J48" i="107"/>
  <c r="J49" i="107"/>
  <c r="J50" i="107"/>
  <c r="J51" i="107"/>
  <c r="J52" i="107"/>
  <c r="J53" i="107"/>
  <c r="J54" i="107"/>
  <c r="J55" i="107"/>
  <c r="J56" i="107"/>
  <c r="J57" i="107"/>
  <c r="J10" i="107"/>
  <c r="I11" i="107"/>
  <c r="I12" i="107"/>
  <c r="I13" i="107"/>
  <c r="I14" i="107"/>
  <c r="I15" i="107"/>
  <c r="I16" i="107"/>
  <c r="I17" i="107"/>
  <c r="I18" i="107"/>
  <c r="I19" i="107"/>
  <c r="I20" i="107"/>
  <c r="I21" i="107"/>
  <c r="I22" i="107"/>
  <c r="I23" i="107"/>
  <c r="I24" i="107"/>
  <c r="I25" i="107"/>
  <c r="I26" i="107"/>
  <c r="I27" i="107"/>
  <c r="I28" i="107"/>
  <c r="I29" i="107"/>
  <c r="I30" i="107"/>
  <c r="I31" i="107"/>
  <c r="I32" i="107"/>
  <c r="I33" i="107"/>
  <c r="I34" i="107"/>
  <c r="I35" i="107"/>
  <c r="I36" i="107"/>
  <c r="I37" i="107"/>
  <c r="I38" i="107"/>
  <c r="I39" i="107"/>
  <c r="I40" i="107"/>
  <c r="I41" i="107"/>
  <c r="I42" i="107"/>
  <c r="I43" i="107"/>
  <c r="I44" i="107"/>
  <c r="I45" i="107"/>
  <c r="I46" i="107"/>
  <c r="I47" i="107"/>
  <c r="I48" i="107"/>
  <c r="I49" i="107"/>
  <c r="I50" i="107"/>
  <c r="I51" i="107"/>
  <c r="I52" i="107"/>
  <c r="I53" i="107"/>
  <c r="I54" i="107"/>
  <c r="I55" i="107"/>
  <c r="I56" i="107"/>
  <c r="I57" i="107"/>
  <c r="I10" i="107"/>
  <c r="H11" i="107"/>
  <c r="H12" i="107"/>
  <c r="H13" i="107"/>
  <c r="H14" i="107"/>
  <c r="H15" i="107"/>
  <c r="H16" i="107"/>
  <c r="H17" i="107"/>
  <c r="H18" i="107"/>
  <c r="H19" i="107"/>
  <c r="H20" i="107"/>
  <c r="H21" i="107"/>
  <c r="H22" i="107"/>
  <c r="H23" i="107"/>
  <c r="H24" i="107"/>
  <c r="H25" i="107"/>
  <c r="H26" i="107"/>
  <c r="H27" i="107"/>
  <c r="H28" i="107"/>
  <c r="H29" i="107"/>
  <c r="H30" i="107"/>
  <c r="H31" i="107"/>
  <c r="H32" i="107"/>
  <c r="H33" i="107"/>
  <c r="H34" i="107"/>
  <c r="H35" i="107"/>
  <c r="H36" i="107"/>
  <c r="H37" i="107"/>
  <c r="H38" i="107"/>
  <c r="H39" i="107"/>
  <c r="H40" i="107"/>
  <c r="H41" i="107"/>
  <c r="H42" i="107"/>
  <c r="H43" i="107"/>
  <c r="H44" i="107"/>
  <c r="H45" i="107"/>
  <c r="H46" i="107"/>
  <c r="H47" i="107"/>
  <c r="H48" i="107"/>
  <c r="H49" i="107"/>
  <c r="H50" i="107"/>
  <c r="H51" i="107"/>
  <c r="H52" i="107"/>
  <c r="H53" i="107"/>
  <c r="H54" i="107"/>
  <c r="H55" i="107"/>
  <c r="H56" i="107"/>
  <c r="H57" i="107"/>
  <c r="H10" i="107"/>
  <c r="G11" i="107"/>
  <c r="G12" i="107"/>
  <c r="G13" i="107"/>
  <c r="G14" i="107"/>
  <c r="G15" i="107"/>
  <c r="G16" i="107"/>
  <c r="G17" i="107"/>
  <c r="G18" i="107"/>
  <c r="G19" i="107"/>
  <c r="G20" i="107"/>
  <c r="G21" i="107"/>
  <c r="G22" i="107"/>
  <c r="G23" i="107"/>
  <c r="G24" i="107"/>
  <c r="G25" i="107"/>
  <c r="G26" i="107"/>
  <c r="G27" i="107"/>
  <c r="G28" i="107"/>
  <c r="G29" i="107"/>
  <c r="G30" i="107"/>
  <c r="G31" i="107"/>
  <c r="G32" i="107"/>
  <c r="G33" i="107"/>
  <c r="G34" i="107"/>
  <c r="G35" i="107"/>
  <c r="G36" i="107"/>
  <c r="G37" i="107"/>
  <c r="G38" i="107"/>
  <c r="G39" i="107"/>
  <c r="G40" i="107"/>
  <c r="G41" i="107"/>
  <c r="G42" i="107"/>
  <c r="G43" i="107"/>
  <c r="G44" i="107"/>
  <c r="G45" i="107"/>
  <c r="G46" i="107"/>
  <c r="G47" i="107"/>
  <c r="G48" i="107"/>
  <c r="G49" i="107"/>
  <c r="G50" i="107"/>
  <c r="G51" i="107"/>
  <c r="G52" i="107"/>
  <c r="G53" i="107"/>
  <c r="G54" i="107"/>
  <c r="G55" i="107"/>
  <c r="G56" i="107"/>
  <c r="G57" i="107"/>
  <c r="G10" i="107"/>
  <c r="F11" i="107"/>
  <c r="F12" i="107"/>
  <c r="F13" i="107"/>
  <c r="F14" i="107"/>
  <c r="F15" i="107"/>
  <c r="F16" i="107"/>
  <c r="F17" i="107"/>
  <c r="F18" i="107"/>
  <c r="F19" i="107"/>
  <c r="F20" i="107"/>
  <c r="F21" i="107"/>
  <c r="F22" i="107"/>
  <c r="F23" i="107"/>
  <c r="F24" i="107"/>
  <c r="F25" i="107"/>
  <c r="F26" i="107"/>
  <c r="F27" i="107"/>
  <c r="F28" i="107"/>
  <c r="F29" i="107"/>
  <c r="F30" i="107"/>
  <c r="F31" i="107"/>
  <c r="F32" i="107"/>
  <c r="F33" i="107"/>
  <c r="F34" i="107"/>
  <c r="F35" i="107"/>
  <c r="F36" i="107"/>
  <c r="F37" i="107"/>
  <c r="F38" i="107"/>
  <c r="F39" i="107"/>
  <c r="F40" i="107"/>
  <c r="F41" i="107"/>
  <c r="F42" i="107"/>
  <c r="F43" i="107"/>
  <c r="F44" i="107"/>
  <c r="F45" i="107"/>
  <c r="F46" i="107"/>
  <c r="F47" i="107"/>
  <c r="F48" i="107"/>
  <c r="F49" i="107"/>
  <c r="F50" i="107"/>
  <c r="F51" i="107"/>
  <c r="F52" i="107"/>
  <c r="F53" i="107"/>
  <c r="F54" i="107"/>
  <c r="F55" i="107"/>
  <c r="F56" i="107"/>
  <c r="F57" i="107"/>
  <c r="F10" i="107"/>
  <c r="C11" i="107"/>
  <c r="C12" i="107"/>
  <c r="C13" i="107"/>
  <c r="C14" i="107"/>
  <c r="C15" i="107"/>
  <c r="C16" i="107"/>
  <c r="C17" i="107"/>
  <c r="C18" i="107"/>
  <c r="C19" i="107"/>
  <c r="C20" i="107"/>
  <c r="C21" i="107"/>
  <c r="C22" i="107"/>
  <c r="C23" i="107"/>
  <c r="C24" i="107"/>
  <c r="C25" i="107"/>
  <c r="C26" i="107"/>
  <c r="C27" i="107"/>
  <c r="C28" i="107"/>
  <c r="C29" i="107"/>
  <c r="C30" i="107"/>
  <c r="C31" i="107"/>
  <c r="C32" i="107"/>
  <c r="C33" i="107"/>
  <c r="C34" i="107"/>
  <c r="C35" i="107"/>
  <c r="C36" i="107"/>
  <c r="C37" i="107"/>
  <c r="C38" i="107"/>
  <c r="C39" i="107"/>
  <c r="C40" i="107"/>
  <c r="C41" i="107"/>
  <c r="C42" i="107"/>
  <c r="C43" i="107"/>
  <c r="C44" i="107"/>
  <c r="C45" i="107"/>
  <c r="C46" i="107"/>
  <c r="C47" i="107"/>
  <c r="C48" i="107"/>
  <c r="C49" i="107"/>
  <c r="C50" i="107"/>
  <c r="C51" i="107"/>
  <c r="C52" i="107"/>
  <c r="C53" i="107"/>
  <c r="C54" i="107"/>
  <c r="C55" i="107"/>
  <c r="C56" i="107"/>
  <c r="C57" i="107"/>
  <c r="C10" i="107"/>
  <c r="AE38" i="114" l="1"/>
  <c r="AB39" i="114"/>
  <c r="AE39" i="114"/>
  <c r="AB38" i="114"/>
  <c r="AE11" i="114"/>
  <c r="AF10" i="114"/>
  <c r="AF37" i="114" s="1"/>
  <c r="AF35" i="114"/>
  <c r="W41" i="114"/>
  <c r="AA41" i="114"/>
  <c r="X40" i="114"/>
  <c r="S41" i="114"/>
  <c r="O106" i="114"/>
  <c r="C108" i="114" s="1"/>
  <c r="P106" i="114"/>
  <c r="H107" i="114" s="1"/>
  <c r="AC42" i="114"/>
  <c r="AF34" i="114"/>
  <c r="AB35" i="114"/>
  <c r="T36" i="114"/>
  <c r="AB36" i="114"/>
  <c r="X37" i="114"/>
  <c r="T38" i="114"/>
  <c r="AF38" i="114"/>
  <c r="X39" i="114"/>
  <c r="T40" i="114"/>
  <c r="T42" i="114" s="1"/>
  <c r="AF40" i="114"/>
  <c r="AF41" i="114"/>
  <c r="U34" i="114"/>
  <c r="Y34" i="114"/>
  <c r="AC34" i="114"/>
  <c r="U35" i="114"/>
  <c r="Y35" i="114"/>
  <c r="AC35" i="114"/>
  <c r="U36" i="114"/>
  <c r="Y36" i="114"/>
  <c r="AC36" i="114"/>
  <c r="U37" i="114"/>
  <c r="Y37" i="114"/>
  <c r="AC37" i="114"/>
  <c r="U40" i="114"/>
  <c r="U42" i="114" s="1"/>
  <c r="Y40" i="114"/>
  <c r="Y42" i="114" s="1"/>
  <c r="AC40" i="114"/>
  <c r="X34" i="114"/>
  <c r="T37" i="114"/>
  <c r="AB40" i="114"/>
  <c r="AB42" i="114" s="1"/>
  <c r="X41" i="114"/>
  <c r="V34" i="114"/>
  <c r="Z34" i="114"/>
  <c r="AD34" i="114"/>
  <c r="V35" i="114"/>
  <c r="Z35" i="114"/>
  <c r="AD35" i="114"/>
  <c r="V36" i="114"/>
  <c r="Z36" i="114"/>
  <c r="AD36" i="114"/>
  <c r="V37" i="114"/>
  <c r="Z37" i="114"/>
  <c r="AD37" i="114"/>
  <c r="V40" i="114"/>
  <c r="V42" i="114" s="1"/>
  <c r="Z40" i="114"/>
  <c r="Z42" i="114" s="1"/>
  <c r="AD40" i="114"/>
  <c r="AD42" i="114" s="1"/>
  <c r="T34" i="114"/>
  <c r="AB34" i="114"/>
  <c r="X35" i="114"/>
  <c r="AF36" i="114"/>
  <c r="AB37" i="114"/>
  <c r="AE10" i="114"/>
  <c r="S34" i="114"/>
  <c r="W34" i="114"/>
  <c r="AA34" i="114"/>
  <c r="S35" i="114"/>
  <c r="W35" i="114"/>
  <c r="AA35" i="114"/>
  <c r="AE35" i="114"/>
  <c r="S36" i="114"/>
  <c r="W36" i="114"/>
  <c r="AA36" i="114"/>
  <c r="AE36" i="114"/>
  <c r="S37" i="114"/>
  <c r="W37" i="114"/>
  <c r="AA37" i="114"/>
  <c r="S40" i="114"/>
  <c r="S42" i="114" s="1"/>
  <c r="W40" i="114"/>
  <c r="W42" i="114" s="1"/>
  <c r="AA40" i="114"/>
  <c r="AA42" i="114" s="1"/>
  <c r="I107" i="114"/>
  <c r="E108" i="114" l="1"/>
  <c r="C107" i="114"/>
  <c r="D108" i="114"/>
  <c r="G107" i="114"/>
  <c r="N108" i="114"/>
  <c r="H108" i="114"/>
  <c r="J108" i="114"/>
  <c r="F108" i="114"/>
  <c r="M107" i="114"/>
  <c r="K108" i="114"/>
  <c r="E107" i="114"/>
  <c r="J107" i="114"/>
  <c r="D107" i="114"/>
  <c r="X42" i="114"/>
  <c r="K107" i="114"/>
  <c r="F107" i="114"/>
  <c r="N107" i="114"/>
  <c r="I108" i="114"/>
  <c r="G108" i="114"/>
  <c r="AF42" i="114"/>
  <c r="AE41" i="114"/>
  <c r="AE40" i="114"/>
  <c r="AE37" i="114"/>
  <c r="AE34" i="114"/>
  <c r="N106" i="113"/>
  <c r="M106" i="113"/>
  <c r="K106" i="113"/>
  <c r="J106" i="113"/>
  <c r="I106" i="113"/>
  <c r="H106" i="113"/>
  <c r="G106" i="113"/>
  <c r="F106" i="113"/>
  <c r="E106" i="113"/>
  <c r="D106" i="113"/>
  <c r="C106" i="113"/>
  <c r="P105" i="113"/>
  <c r="O105" i="113"/>
  <c r="P104" i="113"/>
  <c r="O104" i="113"/>
  <c r="P103" i="113"/>
  <c r="O103" i="113"/>
  <c r="P102" i="113"/>
  <c r="O102" i="113"/>
  <c r="P101" i="113"/>
  <c r="O101" i="113"/>
  <c r="P100" i="113"/>
  <c r="O100" i="113"/>
  <c r="P99" i="113"/>
  <c r="O99" i="113"/>
  <c r="P98" i="113"/>
  <c r="O98" i="113"/>
  <c r="AE32" i="113" s="1"/>
  <c r="P97" i="113"/>
  <c r="O97" i="113"/>
  <c r="P96" i="113"/>
  <c r="O96" i="113"/>
  <c r="P95" i="113"/>
  <c r="O95" i="113"/>
  <c r="P94" i="113"/>
  <c r="O94" i="113"/>
  <c r="AE31" i="113" s="1"/>
  <c r="P93" i="113"/>
  <c r="O93" i="113"/>
  <c r="P92" i="113"/>
  <c r="O92" i="113"/>
  <c r="P91" i="113"/>
  <c r="O91" i="113"/>
  <c r="P90" i="113"/>
  <c r="O90" i="113"/>
  <c r="AE30" i="113" s="1"/>
  <c r="P89" i="113"/>
  <c r="O89" i="113"/>
  <c r="P88" i="113"/>
  <c r="O88" i="113"/>
  <c r="P87" i="113"/>
  <c r="O87" i="113"/>
  <c r="P86" i="113"/>
  <c r="O86" i="113"/>
  <c r="AE29" i="113" s="1"/>
  <c r="P85" i="113"/>
  <c r="O85" i="113"/>
  <c r="P84" i="113"/>
  <c r="O84" i="113"/>
  <c r="P83" i="113"/>
  <c r="O83" i="113"/>
  <c r="P82" i="113"/>
  <c r="O82" i="113"/>
  <c r="AE28" i="113" s="1"/>
  <c r="P81" i="113"/>
  <c r="O81" i="113"/>
  <c r="P80" i="113"/>
  <c r="O80" i="113"/>
  <c r="P79" i="113"/>
  <c r="O79" i="113"/>
  <c r="P78" i="113"/>
  <c r="O78" i="113"/>
  <c r="AE27" i="113" s="1"/>
  <c r="P77" i="113"/>
  <c r="O77" i="113"/>
  <c r="P76" i="113"/>
  <c r="O76" i="113"/>
  <c r="P75" i="113"/>
  <c r="O75" i="113"/>
  <c r="P74" i="113"/>
  <c r="O74" i="113"/>
  <c r="AE26" i="113" s="1"/>
  <c r="P73" i="113"/>
  <c r="O73" i="113"/>
  <c r="P72" i="113"/>
  <c r="O72" i="113"/>
  <c r="P71" i="113"/>
  <c r="O71" i="113"/>
  <c r="P70" i="113"/>
  <c r="O70" i="113"/>
  <c r="AE25" i="113" s="1"/>
  <c r="P69" i="113"/>
  <c r="O69" i="113"/>
  <c r="P68" i="113"/>
  <c r="O68" i="113"/>
  <c r="P67" i="113"/>
  <c r="O67" i="113"/>
  <c r="P66" i="113"/>
  <c r="O66" i="113"/>
  <c r="AE24" i="113" s="1"/>
  <c r="P65" i="113"/>
  <c r="O65" i="113"/>
  <c r="P64" i="113"/>
  <c r="O64" i="113"/>
  <c r="P63" i="113"/>
  <c r="O63" i="113"/>
  <c r="P62" i="113"/>
  <c r="O62" i="113"/>
  <c r="AE23" i="113" s="1"/>
  <c r="P61" i="113"/>
  <c r="O61" i="113"/>
  <c r="P60" i="113"/>
  <c r="O60" i="113"/>
  <c r="P59" i="113"/>
  <c r="O59" i="113"/>
  <c r="P58" i="113"/>
  <c r="O58" i="113"/>
  <c r="AE22" i="113" s="1"/>
  <c r="P57" i="113"/>
  <c r="O57" i="113"/>
  <c r="P56" i="113"/>
  <c r="O56" i="113"/>
  <c r="P55" i="113"/>
  <c r="O55" i="113"/>
  <c r="P54" i="113"/>
  <c r="O54" i="113"/>
  <c r="AE21" i="113" s="1"/>
  <c r="P53" i="113"/>
  <c r="O53" i="113"/>
  <c r="P52" i="113"/>
  <c r="O52" i="113"/>
  <c r="P51" i="113"/>
  <c r="O51" i="113"/>
  <c r="P50" i="113"/>
  <c r="O50" i="113"/>
  <c r="AE20" i="113" s="1"/>
  <c r="P49" i="113"/>
  <c r="O49" i="113"/>
  <c r="P48" i="113"/>
  <c r="O48" i="113"/>
  <c r="P47" i="113"/>
  <c r="O47" i="113"/>
  <c r="P46" i="113"/>
  <c r="O46" i="113"/>
  <c r="AE19" i="113" s="1"/>
  <c r="AE39" i="113" s="1"/>
  <c r="P45" i="113"/>
  <c r="O45" i="113"/>
  <c r="P44" i="113"/>
  <c r="O44" i="113"/>
  <c r="P43" i="113"/>
  <c r="O43" i="113"/>
  <c r="P42" i="113"/>
  <c r="O42" i="113"/>
  <c r="AE18" i="113" s="1"/>
  <c r="P41" i="113"/>
  <c r="O41" i="113"/>
  <c r="P40" i="113"/>
  <c r="O40" i="113"/>
  <c r="P39" i="113"/>
  <c r="O39" i="113"/>
  <c r="P38" i="113"/>
  <c r="O38" i="113"/>
  <c r="AE17" i="113" s="1"/>
  <c r="P37" i="113"/>
  <c r="O37" i="113"/>
  <c r="P36" i="113"/>
  <c r="O36" i="113"/>
  <c r="P35" i="113"/>
  <c r="O35" i="113"/>
  <c r="P34" i="113"/>
  <c r="O34" i="113"/>
  <c r="AE16" i="113" s="1"/>
  <c r="AD33" i="113"/>
  <c r="AC33" i="113"/>
  <c r="AB33" i="113"/>
  <c r="AA33" i="113"/>
  <c r="Z33" i="113"/>
  <c r="Y33" i="113"/>
  <c r="X33" i="113"/>
  <c r="W33" i="113"/>
  <c r="V33" i="113"/>
  <c r="U33" i="113"/>
  <c r="T33" i="113"/>
  <c r="S33" i="113"/>
  <c r="P33" i="113"/>
  <c r="O33" i="113"/>
  <c r="AD32" i="113"/>
  <c r="AC32" i="113"/>
  <c r="AB32" i="113"/>
  <c r="AA32" i="113"/>
  <c r="Z32" i="113"/>
  <c r="Y32" i="113"/>
  <c r="X32" i="113"/>
  <c r="W32" i="113"/>
  <c r="V32" i="113"/>
  <c r="U32" i="113"/>
  <c r="T32" i="113"/>
  <c r="S32" i="113"/>
  <c r="P32" i="113"/>
  <c r="O32" i="113"/>
  <c r="AD31" i="113"/>
  <c r="AC31" i="113"/>
  <c r="AB31" i="113"/>
  <c r="AA31" i="113"/>
  <c r="Z31" i="113"/>
  <c r="Y31" i="113"/>
  <c r="X31" i="113"/>
  <c r="W31" i="113"/>
  <c r="V31" i="113"/>
  <c r="U31" i="113"/>
  <c r="T31" i="113"/>
  <c r="S31" i="113"/>
  <c r="P31" i="113"/>
  <c r="O31" i="113"/>
  <c r="AD30" i="113"/>
  <c r="AC30" i="113"/>
  <c r="AB30" i="113"/>
  <c r="AA30" i="113"/>
  <c r="Z30" i="113"/>
  <c r="Y30" i="113"/>
  <c r="X30" i="113"/>
  <c r="W30" i="113"/>
  <c r="V30" i="113"/>
  <c r="U30" i="113"/>
  <c r="T30" i="113"/>
  <c r="S30" i="113"/>
  <c r="P30" i="113"/>
  <c r="O30" i="113"/>
  <c r="AE15" i="113" s="1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P29" i="113"/>
  <c r="O29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P28" i="113"/>
  <c r="O28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P27" i="113"/>
  <c r="O27" i="113"/>
  <c r="AD26" i="113"/>
  <c r="AC26" i="113"/>
  <c r="AB26" i="113"/>
  <c r="AA26" i="113"/>
  <c r="Z26" i="113"/>
  <c r="Y26" i="113"/>
  <c r="X26" i="113"/>
  <c r="W26" i="113"/>
  <c r="V26" i="113"/>
  <c r="U26" i="113"/>
  <c r="T26" i="113"/>
  <c r="S26" i="113"/>
  <c r="P26" i="113"/>
  <c r="O26" i="113"/>
  <c r="AE14" i="113" s="1"/>
  <c r="AD25" i="113"/>
  <c r="AC25" i="113"/>
  <c r="AB25" i="113"/>
  <c r="AA25" i="113"/>
  <c r="Z25" i="113"/>
  <c r="Y25" i="113"/>
  <c r="X25" i="113"/>
  <c r="W25" i="113"/>
  <c r="V25" i="113"/>
  <c r="U25" i="113"/>
  <c r="T25" i="113"/>
  <c r="S25" i="113"/>
  <c r="P25" i="113"/>
  <c r="O25" i="113"/>
  <c r="AD24" i="113"/>
  <c r="AC24" i="113"/>
  <c r="AB24" i="113"/>
  <c r="AA24" i="113"/>
  <c r="Z24" i="113"/>
  <c r="Y24" i="113"/>
  <c r="X24" i="113"/>
  <c r="W24" i="113"/>
  <c r="V24" i="113"/>
  <c r="U24" i="113"/>
  <c r="T24" i="113"/>
  <c r="S24" i="113"/>
  <c r="P24" i="113"/>
  <c r="O24" i="113"/>
  <c r="AD23" i="113"/>
  <c r="AC23" i="113"/>
  <c r="AB23" i="113"/>
  <c r="AA23" i="113"/>
  <c r="Z23" i="113"/>
  <c r="Y23" i="113"/>
  <c r="X23" i="113"/>
  <c r="W23" i="113"/>
  <c r="V23" i="113"/>
  <c r="U23" i="113"/>
  <c r="T23" i="113"/>
  <c r="S23" i="113"/>
  <c r="P23" i="113"/>
  <c r="O23" i="113"/>
  <c r="AD22" i="113"/>
  <c r="AC22" i="113"/>
  <c r="AB22" i="113"/>
  <c r="AA22" i="113"/>
  <c r="Z22" i="113"/>
  <c r="Y22" i="113"/>
  <c r="X22" i="113"/>
  <c r="W22" i="113"/>
  <c r="V22" i="113"/>
  <c r="U22" i="113"/>
  <c r="T22" i="113"/>
  <c r="S22" i="113"/>
  <c r="P22" i="113"/>
  <c r="O22" i="113"/>
  <c r="AE13" i="113" s="1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D19" i="113"/>
  <c r="AD39" i="113" s="1"/>
  <c r="AC19" i="113"/>
  <c r="AC39" i="113" s="1"/>
  <c r="AB19" i="113"/>
  <c r="AA19" i="113"/>
  <c r="AA39" i="113" s="1"/>
  <c r="Z19" i="113"/>
  <c r="Y19" i="113"/>
  <c r="X19" i="113"/>
  <c r="W19" i="113"/>
  <c r="W39" i="113" s="1"/>
  <c r="V19" i="113"/>
  <c r="U19" i="113"/>
  <c r="U39" i="113" s="1"/>
  <c r="T19" i="113"/>
  <c r="T39" i="113" s="1"/>
  <c r="S19" i="113"/>
  <c r="S39" i="113" s="1"/>
  <c r="P19" i="113"/>
  <c r="O19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O18" i="113"/>
  <c r="AE12" i="113" s="1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O15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O14" i="113"/>
  <c r="AE11" i="113" s="1"/>
  <c r="AD13" i="113"/>
  <c r="AD38" i="113" s="1"/>
  <c r="AC13" i="113"/>
  <c r="AC38" i="113" s="1"/>
  <c r="AB13" i="113"/>
  <c r="AA13" i="113"/>
  <c r="AA38" i="113" s="1"/>
  <c r="Z13" i="113"/>
  <c r="Y13" i="113"/>
  <c r="X13" i="113"/>
  <c r="W13" i="113"/>
  <c r="W38" i="113" s="1"/>
  <c r="V13" i="113"/>
  <c r="U13" i="113"/>
  <c r="U38" i="113" s="1"/>
  <c r="T13" i="113"/>
  <c r="T38" i="113" s="1"/>
  <c r="S13" i="113"/>
  <c r="S38" i="113" s="1"/>
  <c r="P13" i="113"/>
  <c r="O13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D41" i="113" s="1"/>
  <c r="AC10" i="113"/>
  <c r="AC41" i="113" s="1"/>
  <c r="AB10" i="113"/>
  <c r="AB34" i="113" s="1"/>
  <c r="AA10" i="113"/>
  <c r="Z10" i="113"/>
  <c r="Y10" i="113"/>
  <c r="Y41" i="113" s="1"/>
  <c r="X10" i="113"/>
  <c r="W10" i="113"/>
  <c r="V10" i="113"/>
  <c r="U10" i="113"/>
  <c r="U41" i="113" s="1"/>
  <c r="T10" i="113"/>
  <c r="T40" i="113" s="1"/>
  <c r="S10" i="113"/>
  <c r="P10" i="113"/>
  <c r="O10" i="113"/>
  <c r="N106" i="112"/>
  <c r="M106" i="112"/>
  <c r="K106" i="112"/>
  <c r="J106" i="112"/>
  <c r="I106" i="112"/>
  <c r="H106" i="112"/>
  <c r="G106" i="112"/>
  <c r="F106" i="112"/>
  <c r="E106" i="112"/>
  <c r="D106" i="112"/>
  <c r="C106" i="112"/>
  <c r="P105" i="112"/>
  <c r="O105" i="112"/>
  <c r="P104" i="112"/>
  <c r="O104" i="112"/>
  <c r="P103" i="112"/>
  <c r="O103" i="112"/>
  <c r="P102" i="112"/>
  <c r="O102" i="112"/>
  <c r="P101" i="112"/>
  <c r="O101" i="112"/>
  <c r="P100" i="112"/>
  <c r="O100" i="112"/>
  <c r="P99" i="112"/>
  <c r="AF32" i="112" s="1"/>
  <c r="O99" i="112"/>
  <c r="P98" i="112"/>
  <c r="O98" i="112"/>
  <c r="P97" i="112"/>
  <c r="O97" i="112"/>
  <c r="P96" i="112"/>
  <c r="O96" i="112"/>
  <c r="P95" i="112"/>
  <c r="AF31" i="112" s="1"/>
  <c r="O95" i="112"/>
  <c r="P94" i="112"/>
  <c r="O94" i="112"/>
  <c r="P93" i="112"/>
  <c r="O93" i="112"/>
  <c r="P92" i="112"/>
  <c r="O92" i="112"/>
  <c r="P91" i="112"/>
  <c r="AF30" i="112" s="1"/>
  <c r="O91" i="112"/>
  <c r="P90" i="112"/>
  <c r="O90" i="112"/>
  <c r="P89" i="112"/>
  <c r="O89" i="112"/>
  <c r="P88" i="112"/>
  <c r="O88" i="112"/>
  <c r="P87" i="112"/>
  <c r="AF29" i="112" s="1"/>
  <c r="O87" i="112"/>
  <c r="P86" i="112"/>
  <c r="O86" i="112"/>
  <c r="P85" i="112"/>
  <c r="O85" i="112"/>
  <c r="P84" i="112"/>
  <c r="O84" i="112"/>
  <c r="P83" i="112"/>
  <c r="AF28" i="112" s="1"/>
  <c r="O83" i="112"/>
  <c r="P82" i="112"/>
  <c r="O82" i="112"/>
  <c r="P81" i="112"/>
  <c r="O81" i="112"/>
  <c r="P80" i="112"/>
  <c r="O80" i="112"/>
  <c r="P79" i="112"/>
  <c r="AF27" i="112" s="1"/>
  <c r="O79" i="112"/>
  <c r="P78" i="112"/>
  <c r="O78" i="112"/>
  <c r="P77" i="112"/>
  <c r="O77" i="112"/>
  <c r="P76" i="112"/>
  <c r="O76" i="112"/>
  <c r="P75" i="112"/>
  <c r="AF26" i="112" s="1"/>
  <c r="O75" i="112"/>
  <c r="P74" i="112"/>
  <c r="O74" i="112"/>
  <c r="P73" i="112"/>
  <c r="O73" i="112"/>
  <c r="P72" i="112"/>
  <c r="O72" i="112"/>
  <c r="P71" i="112"/>
  <c r="AF25" i="112" s="1"/>
  <c r="O71" i="112"/>
  <c r="P70" i="112"/>
  <c r="O70" i="112"/>
  <c r="P69" i="112"/>
  <c r="O69" i="112"/>
  <c r="P68" i="112"/>
  <c r="O68" i="112"/>
  <c r="P67" i="112"/>
  <c r="AF24" i="112" s="1"/>
  <c r="O67" i="112"/>
  <c r="P66" i="112"/>
  <c r="O66" i="112"/>
  <c r="P65" i="112"/>
  <c r="O65" i="112"/>
  <c r="P64" i="112"/>
  <c r="O64" i="112"/>
  <c r="P63" i="112"/>
  <c r="AF23" i="112" s="1"/>
  <c r="O63" i="112"/>
  <c r="P62" i="112"/>
  <c r="O62" i="112"/>
  <c r="P61" i="112"/>
  <c r="O61" i="112"/>
  <c r="P60" i="112"/>
  <c r="O60" i="112"/>
  <c r="P59" i="112"/>
  <c r="AF22" i="112" s="1"/>
  <c r="O59" i="112"/>
  <c r="P58" i="112"/>
  <c r="O58" i="112"/>
  <c r="P57" i="112"/>
  <c r="O57" i="112"/>
  <c r="P56" i="112"/>
  <c r="O56" i="112"/>
  <c r="P55" i="112"/>
  <c r="AF21" i="112" s="1"/>
  <c r="O55" i="112"/>
  <c r="P54" i="112"/>
  <c r="O54" i="112"/>
  <c r="P53" i="112"/>
  <c r="O53" i="112"/>
  <c r="P52" i="112"/>
  <c r="O52" i="112"/>
  <c r="P51" i="112"/>
  <c r="AF20" i="112" s="1"/>
  <c r="O51" i="112"/>
  <c r="P50" i="112"/>
  <c r="O50" i="112"/>
  <c r="P49" i="112"/>
  <c r="O49" i="112"/>
  <c r="P48" i="112"/>
  <c r="O48" i="112"/>
  <c r="P47" i="112"/>
  <c r="AF19" i="112" s="1"/>
  <c r="O47" i="112"/>
  <c r="P46" i="112"/>
  <c r="O46" i="112"/>
  <c r="P45" i="112"/>
  <c r="O45" i="112"/>
  <c r="P44" i="112"/>
  <c r="O44" i="112"/>
  <c r="P43" i="112"/>
  <c r="AF18" i="112" s="1"/>
  <c r="O43" i="112"/>
  <c r="P42" i="112"/>
  <c r="O42" i="112"/>
  <c r="P41" i="112"/>
  <c r="O41" i="112"/>
  <c r="P40" i="112"/>
  <c r="O40" i="112"/>
  <c r="P39" i="112"/>
  <c r="AF17" i="112" s="1"/>
  <c r="O39" i="112"/>
  <c r="P38" i="112"/>
  <c r="O38" i="112"/>
  <c r="P37" i="112"/>
  <c r="O37" i="112"/>
  <c r="P36" i="112"/>
  <c r="O36" i="112"/>
  <c r="P35" i="112"/>
  <c r="AF16" i="112" s="1"/>
  <c r="O35" i="112"/>
  <c r="P34" i="112"/>
  <c r="O34" i="112"/>
  <c r="AF33" i="112"/>
  <c r="AD33" i="112"/>
  <c r="AC33" i="112"/>
  <c r="AB33" i="112"/>
  <c r="AA33" i="112"/>
  <c r="Z33" i="112"/>
  <c r="Y33" i="112"/>
  <c r="X33" i="112"/>
  <c r="W33" i="112"/>
  <c r="V33" i="112"/>
  <c r="U33" i="112"/>
  <c r="T33" i="112"/>
  <c r="S33" i="112"/>
  <c r="P33" i="112"/>
  <c r="O33" i="112"/>
  <c r="AD32" i="112"/>
  <c r="AC32" i="112"/>
  <c r="AB32" i="112"/>
  <c r="AA32" i="112"/>
  <c r="Z32" i="112"/>
  <c r="Y32" i="112"/>
  <c r="X32" i="112"/>
  <c r="W32" i="112"/>
  <c r="V32" i="112"/>
  <c r="U32" i="112"/>
  <c r="T32" i="112"/>
  <c r="S32" i="112"/>
  <c r="P32" i="112"/>
  <c r="O32" i="112"/>
  <c r="AD31" i="112"/>
  <c r="AC31" i="112"/>
  <c r="AB31" i="112"/>
  <c r="AA31" i="112"/>
  <c r="Z31" i="112"/>
  <c r="Y31" i="112"/>
  <c r="X31" i="112"/>
  <c r="W31" i="112"/>
  <c r="V31" i="112"/>
  <c r="U31" i="112"/>
  <c r="T31" i="112"/>
  <c r="S31" i="112"/>
  <c r="P31" i="112"/>
  <c r="O31" i="112"/>
  <c r="AD30" i="112"/>
  <c r="AC30" i="112"/>
  <c r="AB30" i="112"/>
  <c r="AA30" i="112"/>
  <c r="Z30" i="112"/>
  <c r="Y30" i="112"/>
  <c r="X30" i="112"/>
  <c r="W30" i="112"/>
  <c r="V30" i="112"/>
  <c r="U30" i="112"/>
  <c r="T30" i="112"/>
  <c r="S30" i="112"/>
  <c r="P30" i="112"/>
  <c r="O30" i="112"/>
  <c r="AD29" i="112"/>
  <c r="AC29" i="112"/>
  <c r="AB29" i="112"/>
  <c r="AA29" i="112"/>
  <c r="Z29" i="112"/>
  <c r="Y29" i="112"/>
  <c r="X29" i="112"/>
  <c r="W29" i="112"/>
  <c r="V29" i="112"/>
  <c r="U29" i="112"/>
  <c r="T29" i="112"/>
  <c r="S29" i="112"/>
  <c r="P29" i="112"/>
  <c r="O29" i="112"/>
  <c r="AD28" i="112"/>
  <c r="AC28" i="112"/>
  <c r="AB28" i="112"/>
  <c r="AA28" i="112"/>
  <c r="Z28" i="112"/>
  <c r="Y28" i="112"/>
  <c r="X28" i="112"/>
  <c r="W28" i="112"/>
  <c r="V28" i="112"/>
  <c r="U28" i="112"/>
  <c r="T28" i="112"/>
  <c r="S28" i="112"/>
  <c r="P28" i="112"/>
  <c r="O28" i="112"/>
  <c r="AD27" i="112"/>
  <c r="AC27" i="112"/>
  <c r="AB27" i="112"/>
  <c r="AA27" i="112"/>
  <c r="Z27" i="112"/>
  <c r="Y27" i="112"/>
  <c r="X27" i="112"/>
  <c r="W27" i="112"/>
  <c r="V27" i="112"/>
  <c r="U27" i="112"/>
  <c r="T27" i="112"/>
  <c r="S27" i="112"/>
  <c r="P27" i="112"/>
  <c r="O27" i="112"/>
  <c r="AD26" i="112"/>
  <c r="AC26" i="112"/>
  <c r="AB26" i="112"/>
  <c r="AA26" i="112"/>
  <c r="Z26" i="112"/>
  <c r="Y26" i="112"/>
  <c r="X26" i="112"/>
  <c r="W26" i="112"/>
  <c r="V26" i="112"/>
  <c r="U26" i="112"/>
  <c r="T26" i="112"/>
  <c r="S26" i="112"/>
  <c r="P26" i="112"/>
  <c r="O26" i="112"/>
  <c r="AD25" i="112"/>
  <c r="AC25" i="112"/>
  <c r="AB25" i="112"/>
  <c r="AA25" i="112"/>
  <c r="Z25" i="112"/>
  <c r="Y25" i="112"/>
  <c r="X25" i="112"/>
  <c r="W25" i="112"/>
  <c r="V25" i="112"/>
  <c r="U25" i="112"/>
  <c r="T25" i="112"/>
  <c r="S25" i="112"/>
  <c r="P25" i="112"/>
  <c r="O25" i="112"/>
  <c r="AD24" i="112"/>
  <c r="AC24" i="112"/>
  <c r="AB24" i="112"/>
  <c r="AA24" i="112"/>
  <c r="Z24" i="112"/>
  <c r="Y24" i="112"/>
  <c r="X24" i="112"/>
  <c r="W24" i="112"/>
  <c r="V24" i="112"/>
  <c r="U24" i="112"/>
  <c r="T24" i="112"/>
  <c r="S24" i="112"/>
  <c r="P24" i="112"/>
  <c r="O24" i="112"/>
  <c r="AD23" i="112"/>
  <c r="AC23" i="112"/>
  <c r="AB23" i="112"/>
  <c r="AA23" i="112"/>
  <c r="Z23" i="112"/>
  <c r="Y23" i="112"/>
  <c r="X23" i="112"/>
  <c r="W23" i="112"/>
  <c r="V23" i="112"/>
  <c r="U23" i="112"/>
  <c r="T23" i="112"/>
  <c r="S23" i="112"/>
  <c r="P23" i="112"/>
  <c r="AF13" i="112" s="1"/>
  <c r="O23" i="112"/>
  <c r="AD22" i="112"/>
  <c r="AC22" i="112"/>
  <c r="AB22" i="112"/>
  <c r="AA22" i="112"/>
  <c r="Z22" i="112"/>
  <c r="Y22" i="112"/>
  <c r="X22" i="112"/>
  <c r="W22" i="112"/>
  <c r="V22" i="112"/>
  <c r="U22" i="112"/>
  <c r="T22" i="112"/>
  <c r="S22" i="112"/>
  <c r="P22" i="112"/>
  <c r="O22" i="112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D19" i="112"/>
  <c r="AD39" i="112" s="1"/>
  <c r="AC19" i="112"/>
  <c r="AC36" i="112" s="1"/>
  <c r="AB19" i="112"/>
  <c r="AA19" i="112"/>
  <c r="AA39" i="112" s="1"/>
  <c r="Z19" i="112"/>
  <c r="Z39" i="112" s="1"/>
  <c r="Y19" i="112"/>
  <c r="X19" i="112"/>
  <c r="W19" i="112"/>
  <c r="W39" i="112" s="1"/>
  <c r="V19" i="112"/>
  <c r="V39" i="112" s="1"/>
  <c r="U19" i="112"/>
  <c r="U36" i="112" s="1"/>
  <c r="T19" i="112"/>
  <c r="T36" i="112" s="1"/>
  <c r="S19" i="112"/>
  <c r="P19" i="112"/>
  <c r="O19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D13" i="112"/>
  <c r="AD38" i="112" s="1"/>
  <c r="AC13" i="112"/>
  <c r="AC38" i="112" s="1"/>
  <c r="AB13" i="112"/>
  <c r="AA13" i="112"/>
  <c r="Z13" i="112"/>
  <c r="Y13" i="112"/>
  <c r="X13" i="112"/>
  <c r="W13" i="112"/>
  <c r="V13" i="112"/>
  <c r="U13" i="112"/>
  <c r="U35" i="112" s="1"/>
  <c r="T13" i="112"/>
  <c r="T38" i="112" s="1"/>
  <c r="S13" i="112"/>
  <c r="P13" i="112"/>
  <c r="O13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D41" i="112" s="1"/>
  <c r="AC10" i="112"/>
  <c r="AC40" i="112" s="1"/>
  <c r="AB10" i="112"/>
  <c r="AB41" i="112" s="1"/>
  <c r="AA10" i="112"/>
  <c r="Z10" i="112"/>
  <c r="Y10" i="112"/>
  <c r="X10" i="112"/>
  <c r="W10" i="112"/>
  <c r="V10" i="112"/>
  <c r="U10" i="112"/>
  <c r="U34" i="112" s="1"/>
  <c r="T10" i="112"/>
  <c r="T41" i="112" s="1"/>
  <c r="S10" i="112"/>
  <c r="P10" i="112"/>
  <c r="O10" i="112"/>
  <c r="AE42" i="114" l="1"/>
  <c r="AB38" i="113"/>
  <c r="AB39" i="113"/>
  <c r="V41" i="113"/>
  <c r="Z41" i="113"/>
  <c r="X35" i="113"/>
  <c r="X39" i="113"/>
  <c r="AE33" i="113"/>
  <c r="W41" i="113"/>
  <c r="AA41" i="113"/>
  <c r="Y38" i="113"/>
  <c r="Y39" i="113"/>
  <c r="X41" i="113"/>
  <c r="V38" i="113"/>
  <c r="Z38" i="113"/>
  <c r="V39" i="113"/>
  <c r="Z39" i="113"/>
  <c r="AF11" i="113"/>
  <c r="AF12" i="113"/>
  <c r="AF13" i="113"/>
  <c r="AF14" i="113"/>
  <c r="AF15" i="113"/>
  <c r="AF16" i="113"/>
  <c r="AF17" i="113"/>
  <c r="AF18" i="113"/>
  <c r="AF19" i="113"/>
  <c r="AF20" i="113"/>
  <c r="AF21" i="113"/>
  <c r="AF22" i="113"/>
  <c r="AF23" i="113"/>
  <c r="AF24" i="113"/>
  <c r="AF25" i="113"/>
  <c r="AF26" i="113"/>
  <c r="AF27" i="113"/>
  <c r="AF28" i="113"/>
  <c r="AF29" i="113"/>
  <c r="AF30" i="113"/>
  <c r="AF31" i="113"/>
  <c r="AF32" i="113"/>
  <c r="AF33" i="113"/>
  <c r="O106" i="113"/>
  <c r="C108" i="113" s="1"/>
  <c r="AB38" i="112"/>
  <c r="AB39" i="112"/>
  <c r="AA41" i="112"/>
  <c r="AF14" i="112"/>
  <c r="AF35" i="112" s="1"/>
  <c r="AE32" i="112"/>
  <c r="AE33" i="112"/>
  <c r="W41" i="112"/>
  <c r="Y38" i="112"/>
  <c r="X40" i="112"/>
  <c r="V38" i="112"/>
  <c r="Y34" i="112"/>
  <c r="W38" i="112"/>
  <c r="AA38" i="112"/>
  <c r="X39" i="112"/>
  <c r="AF12" i="112"/>
  <c r="AF39" i="112"/>
  <c r="Z38" i="112"/>
  <c r="AF10" i="112"/>
  <c r="V41" i="112"/>
  <c r="Z41" i="112"/>
  <c r="X35" i="112"/>
  <c r="Y39" i="112"/>
  <c r="AF15" i="112"/>
  <c r="AF11" i="112"/>
  <c r="AE14" i="112"/>
  <c r="AE15" i="112"/>
  <c r="AE16" i="112"/>
  <c r="AE17" i="112"/>
  <c r="AE18" i="112"/>
  <c r="AE19" i="112"/>
  <c r="AE20" i="112"/>
  <c r="AE21" i="112"/>
  <c r="AE22" i="112"/>
  <c r="AE23" i="112"/>
  <c r="AE24" i="112"/>
  <c r="AE25" i="112"/>
  <c r="AE26" i="112"/>
  <c r="AE27" i="112"/>
  <c r="AE28" i="112"/>
  <c r="AE29" i="112"/>
  <c r="AE30" i="112"/>
  <c r="AE31" i="112"/>
  <c r="AE11" i="112"/>
  <c r="AE12" i="112"/>
  <c r="AE13" i="112"/>
  <c r="S39" i="112"/>
  <c r="O106" i="112"/>
  <c r="G108" i="112" s="1"/>
  <c r="S41" i="112"/>
  <c r="P106" i="112"/>
  <c r="F107" i="112" s="1"/>
  <c r="S38" i="112"/>
  <c r="AF10" i="113"/>
  <c r="S41" i="113"/>
  <c r="P106" i="113"/>
  <c r="J107" i="113" s="1"/>
  <c r="AE38" i="113"/>
  <c r="U42" i="113"/>
  <c r="T34" i="113"/>
  <c r="AB35" i="113"/>
  <c r="T36" i="113"/>
  <c r="AB36" i="113"/>
  <c r="AB37" i="113"/>
  <c r="X38" i="113"/>
  <c r="AB40" i="113"/>
  <c r="AB41" i="113"/>
  <c r="U34" i="113"/>
  <c r="Y34" i="113"/>
  <c r="AC34" i="113"/>
  <c r="U35" i="113"/>
  <c r="Y35" i="113"/>
  <c r="AC35" i="113"/>
  <c r="U36" i="113"/>
  <c r="Y36" i="113"/>
  <c r="AC36" i="113"/>
  <c r="U37" i="113"/>
  <c r="Y37" i="113"/>
  <c r="AC37" i="113"/>
  <c r="U40" i="113"/>
  <c r="Y40" i="113"/>
  <c r="Y42" i="113" s="1"/>
  <c r="AC40" i="113"/>
  <c r="AC42" i="113" s="1"/>
  <c r="X34" i="113"/>
  <c r="T35" i="113"/>
  <c r="X36" i="113"/>
  <c r="T37" i="113"/>
  <c r="X40" i="113"/>
  <c r="X42" i="113" s="1"/>
  <c r="T41" i="113"/>
  <c r="T42" i="113" s="1"/>
  <c r="V34" i="113"/>
  <c r="Z34" i="113"/>
  <c r="AD34" i="113"/>
  <c r="V35" i="113"/>
  <c r="Z35" i="113"/>
  <c r="AD35" i="113"/>
  <c r="V36" i="113"/>
  <c r="Z36" i="113"/>
  <c r="AD36" i="113"/>
  <c r="V37" i="113"/>
  <c r="Z37" i="113"/>
  <c r="AD37" i="113"/>
  <c r="V40" i="113"/>
  <c r="V42" i="113" s="1"/>
  <c r="Z40" i="113"/>
  <c r="Z42" i="113" s="1"/>
  <c r="AD40" i="113"/>
  <c r="AD42" i="113" s="1"/>
  <c r="X37" i="113"/>
  <c r="AE10" i="113"/>
  <c r="S34" i="113"/>
  <c r="W34" i="113"/>
  <c r="AA34" i="113"/>
  <c r="S35" i="113"/>
  <c r="W35" i="113"/>
  <c r="AA35" i="113"/>
  <c r="AE35" i="113"/>
  <c r="S36" i="113"/>
  <c r="W36" i="113"/>
  <c r="AA36" i="113"/>
  <c r="AE36" i="113"/>
  <c r="S37" i="113"/>
  <c r="W37" i="113"/>
  <c r="AA37" i="113"/>
  <c r="S40" i="113"/>
  <c r="S42" i="113" s="1"/>
  <c r="W40" i="113"/>
  <c r="W42" i="113" s="1"/>
  <c r="AA40" i="113"/>
  <c r="AA42" i="113" s="1"/>
  <c r="E107" i="113"/>
  <c r="AD42" i="112"/>
  <c r="N107" i="112"/>
  <c r="G107" i="112"/>
  <c r="C107" i="112"/>
  <c r="M107" i="112"/>
  <c r="N108" i="112"/>
  <c r="AB34" i="112"/>
  <c r="T35" i="112"/>
  <c r="AF36" i="112"/>
  <c r="AB37" i="112"/>
  <c r="X38" i="112"/>
  <c r="T39" i="112"/>
  <c r="AB40" i="112"/>
  <c r="AB42" i="112" s="1"/>
  <c r="X41" i="112"/>
  <c r="X42" i="112" s="1"/>
  <c r="Y35" i="112"/>
  <c r="AC35" i="112"/>
  <c r="Y36" i="112"/>
  <c r="U37" i="112"/>
  <c r="Y37" i="112"/>
  <c r="AC37" i="112"/>
  <c r="U38" i="112"/>
  <c r="U39" i="112"/>
  <c r="AC39" i="112"/>
  <c r="U40" i="112"/>
  <c r="Y40" i="112"/>
  <c r="U41" i="112"/>
  <c r="Y41" i="112"/>
  <c r="AC41" i="112"/>
  <c r="AC42" i="112" s="1"/>
  <c r="X34" i="112"/>
  <c r="AB36" i="112"/>
  <c r="X37" i="112"/>
  <c r="T40" i="112"/>
  <c r="T42" i="112" s="1"/>
  <c r="AC34" i="112"/>
  <c r="V34" i="112"/>
  <c r="Z34" i="112"/>
  <c r="AD34" i="112"/>
  <c r="V35" i="112"/>
  <c r="Z35" i="112"/>
  <c r="AD35" i="112"/>
  <c r="V36" i="112"/>
  <c r="Z36" i="112"/>
  <c r="AD36" i="112"/>
  <c r="V37" i="112"/>
  <c r="Z37" i="112"/>
  <c r="AD37" i="112"/>
  <c r="V40" i="112"/>
  <c r="V42" i="112" s="1"/>
  <c r="Z40" i="112"/>
  <c r="Z42" i="112" s="1"/>
  <c r="AD40" i="112"/>
  <c r="H107" i="112"/>
  <c r="T34" i="112"/>
  <c r="AB35" i="112"/>
  <c r="X36" i="112"/>
  <c r="T37" i="112"/>
  <c r="AE10" i="112"/>
  <c r="S34" i="112"/>
  <c r="W34" i="112"/>
  <c r="AA34" i="112"/>
  <c r="S35" i="112"/>
  <c r="W35" i="112"/>
  <c r="AA35" i="112"/>
  <c r="S36" i="112"/>
  <c r="W36" i="112"/>
  <c r="AA36" i="112"/>
  <c r="S37" i="112"/>
  <c r="W37" i="112"/>
  <c r="AA37" i="112"/>
  <c r="S40" i="112"/>
  <c r="S42" i="112" s="1"/>
  <c r="W40" i="112"/>
  <c r="W42" i="112" s="1"/>
  <c r="AA40" i="112"/>
  <c r="AA42" i="112" s="1"/>
  <c r="E107" i="112"/>
  <c r="I107" i="112"/>
  <c r="AF39" i="113" l="1"/>
  <c r="I108" i="113"/>
  <c r="AF35" i="113"/>
  <c r="J108" i="113"/>
  <c r="C107" i="113"/>
  <c r="AF41" i="113"/>
  <c r="AF36" i="113"/>
  <c r="I107" i="113"/>
  <c r="N108" i="113"/>
  <c r="E108" i="113"/>
  <c r="F107" i="113"/>
  <c r="K108" i="113"/>
  <c r="AF40" i="113"/>
  <c r="AF42" i="113" s="1"/>
  <c r="AF38" i="113"/>
  <c r="H107" i="113"/>
  <c r="K107" i="113"/>
  <c r="N107" i="113"/>
  <c r="H108" i="113"/>
  <c r="G108" i="113"/>
  <c r="D107" i="113"/>
  <c r="G107" i="113"/>
  <c r="M107" i="113"/>
  <c r="F108" i="113"/>
  <c r="D108" i="113"/>
  <c r="AF34" i="113"/>
  <c r="AF37" i="113"/>
  <c r="K107" i="112"/>
  <c r="AF38" i="112"/>
  <c r="AF40" i="112"/>
  <c r="J107" i="112"/>
  <c r="AF41" i="112"/>
  <c r="AF42" i="112" s="1"/>
  <c r="K108" i="112"/>
  <c r="H108" i="112"/>
  <c r="F108" i="112"/>
  <c r="AE36" i="112"/>
  <c r="I108" i="112"/>
  <c r="D108" i="112"/>
  <c r="C108" i="112"/>
  <c r="J108" i="112"/>
  <c r="AF37" i="112"/>
  <c r="AE38" i="112"/>
  <c r="AF34" i="112"/>
  <c r="E108" i="112"/>
  <c r="AE39" i="112"/>
  <c r="AE35" i="112"/>
  <c r="D107" i="112"/>
  <c r="AE41" i="113"/>
  <c r="AE40" i="113"/>
  <c r="AE37" i="113"/>
  <c r="AE34" i="113"/>
  <c r="AB42" i="113"/>
  <c r="AE41" i="112"/>
  <c r="AE40" i="112"/>
  <c r="AE37" i="112"/>
  <c r="AE34" i="112"/>
  <c r="Y42" i="112"/>
  <c r="U42" i="112"/>
  <c r="AE42" i="113" l="1"/>
  <c r="AE42" i="112"/>
  <c r="G5" i="109" l="1"/>
  <c r="D5" i="110"/>
  <c r="K6" i="105" l="1"/>
  <c r="K6" i="112"/>
  <c r="K5" i="105"/>
  <c r="K5" i="112"/>
  <c r="G5" i="105"/>
  <c r="G5" i="112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K5" i="110" l="1"/>
  <c r="K5" i="113"/>
  <c r="G5" i="110"/>
  <c r="G5" i="113"/>
  <c r="K6" i="110"/>
  <c r="K6" i="113"/>
  <c r="Y39" i="109"/>
  <c r="X39" i="105"/>
  <c r="C3" i="108"/>
  <c r="C3" i="111"/>
  <c r="T20" i="105"/>
  <c r="T39" i="105" s="1"/>
  <c r="U20" i="105"/>
  <c r="U39" i="105" s="1"/>
  <c r="AA33" i="105"/>
  <c r="U22" i="109"/>
  <c r="T23" i="105"/>
  <c r="AC32" i="109"/>
  <c r="AC18" i="11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P23" i="110"/>
  <c r="S13" i="110"/>
  <c r="P31" i="110"/>
  <c r="S15" i="110"/>
  <c r="X10" i="110"/>
  <c r="P13" i="110"/>
  <c r="P15" i="110"/>
  <c r="W11" i="110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S21" i="105"/>
  <c r="S39" i="105" s="1"/>
  <c r="Y24" i="105"/>
  <c r="AB20" i="105"/>
  <c r="AB39" i="105" s="1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G5" i="107" l="1"/>
  <c r="G5" i="108"/>
  <c r="G5" i="111" s="1"/>
  <c r="K6" i="108"/>
  <c r="K6" i="111" s="1"/>
  <c r="K5" i="107"/>
  <c r="K5" i="108"/>
  <c r="K5" i="111" s="1"/>
  <c r="W38" i="110"/>
  <c r="S38" i="110"/>
  <c r="S38" i="105"/>
  <c r="S35" i="110"/>
  <c r="Y38" i="105"/>
  <c r="U36" i="105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A38" i="110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Y38" i="110"/>
  <c r="X36" i="110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AB38" i="109"/>
  <c r="AD35" i="110"/>
  <c r="V35" i="110"/>
  <c r="AA40" i="110"/>
  <c r="Y36" i="110"/>
  <c r="S37" i="110"/>
  <c r="W40" i="110"/>
  <c r="AD36" i="109"/>
  <c r="Z39" i="109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B36" i="105"/>
  <c r="P16" i="108"/>
  <c r="O56" i="108"/>
  <c r="O11" i="108"/>
  <c r="O57" i="108"/>
  <c r="P40" i="108"/>
  <c r="O35" i="108"/>
  <c r="O10" i="108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A35" i="105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C106" i="111" l="1"/>
  <c r="S42" i="110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K108" i="111" l="1"/>
  <c r="N107" i="111"/>
  <c r="AF42" i="110"/>
  <c r="AE42" i="110"/>
  <c r="AE42" i="109"/>
  <c r="AF42" i="109"/>
  <c r="AE42" i="105"/>
  <c r="AF42" i="105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<sst xmlns="http://schemas.openxmlformats.org/spreadsheetml/2006/main" count="1563" uniqueCount="171">
  <si>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</si>
  <si>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</si>
  <si>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</si>
  <si>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</si>
  <si>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</si>
  <si>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</si>
  <si>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</si>
  <si>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</si>
  <si>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</si>
  <si>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</si>
  <si>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</si>
  <si>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</si>
  <si>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</si>
  <si>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</si>
  <si>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</si>
  <si>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</si>
  <si>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</si>
  <si>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</si>
  <si>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</si>
  <si>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</si>
  <si>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</si>
  <si>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</si>
  <si>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</si>
  <si>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</si>
  <si>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</si>
  <si>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</si>
  <si>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</si>
  <si>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</si>
  <si>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</si>
  <si>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</si>
  <si>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</si>
  <si>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</si>
  <si>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</si>
  <si>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</si>
  <si>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</si>
  <si>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</si>
  <si>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</si>
  <si>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</si>
  <si>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</si>
  <si>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</si>
  <si>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</si>
  <si>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</si>
  <si>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</si>
  <si>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</si>
  <si>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</si>
  <si>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</si>
  <si>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</si>
  <si>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</si>
  <si>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</si>
  <si>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</si>
  <si>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</si>
  <si>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</si>
  <si>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</si>
  <si>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</si>
  <si>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</si>
  <si>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</si>
  <si>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</si>
  <si>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</si>
  <si>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</si>
  <si>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</si>
  <si>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</si>
  <si>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</si>
  <si>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</si>
  <si>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</si>
  <si>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</si>
  <si>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</si>
  <si>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</si>
  <si>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</si>
  <si>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</si>
  <si>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</si>
  <si>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</si>
  <si>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</si>
  <si>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</si>
  <si>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</si>
  <si>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</si>
  <si>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</si>
  <si>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</si>
  <si>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</si>
  <si>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</si>
  <si>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</si>
  <si>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</si>
  <si>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</si>
  <si>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</si>
  <si>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</si>
  <si>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</si>
  <si>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</si>
  <si>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</si>
  <si>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</si>
  <si>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</si>
  <si>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</si>
  <si>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</si>
  <si>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</si>
  <si>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</si>
  <si>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</si>
  <si>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</si>
  <si>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</si>
  <si>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</si>
  <si>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</si>
  <si>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</si>
  <si>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</si>
  <si>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</si>
  <si>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</si>
  <si>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</si>
  <si>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</si>
  <si>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</si>
  <si>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</si>
  <si>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</si>
  <si>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</si>
  <si>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</si>
  <si>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</si>
  <si>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</si>
  <si>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</si>
  <si>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</si>
  <si>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</si>
  <si>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</si>
  <si>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</si>
  <si>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</si>
  <si>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</si>
  <si>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</si>
  <si>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</si>
  <si>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</si>
  <si>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</si>
  <si>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</si>
  <si>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</si>
  <si>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</si>
  <si>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</si>
  <si>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</si>
  <si>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</si>
  <si>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</si>
  <si>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</si>
  <si>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</si>
  <si>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</si>
  <si>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</si>
  <si>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</si>
  <si>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</si>
  <si>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</si>
  <si>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</si>
  <si>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</si>
  <si>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</si>
  <si>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</si>
  <si>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</si>
  <si>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</si>
  <si>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</si>
  <si>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</si>
  <si>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</si>
  <si>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</si>
  <si>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</si>
  <si>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</si>
  <si>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</si>
  <si>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</si>
  <si>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</si>
  <si>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</si>
  <si>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</si>
  <si>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</si>
  <si>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</si>
  <si>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</si>
  <si>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</si>
  <si>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</si>
  <si>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</si>
  <si>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</si>
  <si>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</si>
  <si>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</si>
  <si>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</si>
  <si>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Kampala</t>
  </si>
  <si>
    <t>Mutukula</t>
  </si>
  <si>
    <t>25.05.15</t>
  </si>
  <si>
    <t>26.05.15</t>
  </si>
  <si>
    <t>27.05.15</t>
  </si>
  <si>
    <t>MCC - C - STN - MUTUKULA ROAD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</si>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</sst>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_-;\-* #,##0_-;_-* &quot;-&quot;_-;_-@_-"/>
    <numFmt numFmtId="165" formatCode="0.0%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'25.05 Kampala-Mutukula-24h'!$AE$9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'25.05 Kampala-Mutukula-24h'!$AE$10:$AE$33</c:f>
              <c:numCache>
                <c:formatCode>0</c:formatCode>
                <c:ptCount val="24"/>
                <c:pt idx="0">
                  <c:v>8</c:v>
                </c:pt>
                <c:pt idx="1">
                  <c:v>20</c:v>
                </c:pt>
                <c:pt idx="2">
                  <c:v>40</c:v>
                </c:pt>
                <c:pt idx="3">
                  <c:v>28</c:v>
                </c:pt>
                <c:pt idx="4">
                  <c:v>8</c:v>
                </c:pt>
                <c:pt idx="5">
                  <c:v>18</c:v>
                </c:pt>
                <c:pt idx="6">
                  <c:v>23</c:v>
                </c:pt>
                <c:pt idx="7">
                  <c:v>14</c:v>
                </c:pt>
                <c:pt idx="8">
                  <c:v>21</c:v>
                </c:pt>
                <c:pt idx="9">
                  <c:v>13</c:v>
                </c:pt>
                <c:pt idx="10">
                  <c:v>22</c:v>
                </c:pt>
                <c:pt idx="11">
                  <c:v>28</c:v>
                </c:pt>
                <c:pt idx="12">
                  <c:v>29</c:v>
                </c:pt>
                <c:pt idx="13">
                  <c:v>15</c:v>
                </c:pt>
                <c:pt idx="14">
                  <c:v>7</c:v>
                </c:pt>
                <c:pt idx="15">
                  <c:v>9</c:v>
                </c:pt>
                <c:pt idx="16">
                  <c:v>15</c:v>
                </c:pt>
                <c:pt idx="17">
                  <c:v>31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F5-4187-A95E-FD70D2A3C753}"/>
            </c:ext>
          </c:extLst>
        </c:ser>
        <c:ser>
          <c:idx val="1"/>
          <c:order val="1"/>
          <c:tx>
            <c:strRef>
              <c:f>'25.05 Kampala-Mutukula-24h'!$AF$9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'25.05 Kampala-Mutukula-24h'!$AF$10:$AF$33</c:f>
              <c:numCache>
                <c:formatCode>0</c:formatCode>
                <c:ptCount val="24"/>
                <c:pt idx="0">
                  <c:v>8</c:v>
                </c:pt>
                <c:pt idx="1">
                  <c:v>20</c:v>
                </c:pt>
                <c:pt idx="2">
                  <c:v>40</c:v>
                </c:pt>
                <c:pt idx="3">
                  <c:v>28</c:v>
                </c:pt>
                <c:pt idx="4">
                  <c:v>8</c:v>
                </c:pt>
                <c:pt idx="5">
                  <c:v>18</c:v>
                </c:pt>
                <c:pt idx="6">
                  <c:v>23</c:v>
                </c:pt>
                <c:pt idx="7">
                  <c:v>14</c:v>
                </c:pt>
                <c:pt idx="8">
                  <c:v>21</c:v>
                </c:pt>
                <c:pt idx="9">
                  <c:v>13</c:v>
                </c:pt>
                <c:pt idx="10">
                  <c:v>22</c:v>
                </c:pt>
                <c:pt idx="11">
                  <c:v>28</c:v>
                </c:pt>
                <c:pt idx="12">
                  <c:v>29</c:v>
                </c:pt>
                <c:pt idx="13">
                  <c:v>15</c:v>
                </c:pt>
                <c:pt idx="14">
                  <c:v>7</c:v>
                </c:pt>
                <c:pt idx="15">
                  <c:v>9</c:v>
                </c:pt>
                <c:pt idx="16">
                  <c:v>15</c:v>
                </c:pt>
                <c:pt idx="17">
                  <c:v>31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F5-4187-A95E-FD70D2A3C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0E3-4439-8ED4-1DDED166C6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0E3-4439-8ED4-1DDED166C6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0E3-4439-8ED4-1DDED166C6D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0E3-4439-8ED4-1DDED166C6D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0E3-4439-8ED4-1DDED166C6D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0E3-4439-8ED4-1DDED166C6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0E3-4439-8ED4-1DDED166C6D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0E3-4439-8ED4-1DDED166C6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0E3-4439-8ED4-1DDED166C6D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0E3-4439-8ED4-1DDED166C6D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0E3-4439-8ED4-1DDED166C6D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0E3-4439-8ED4-1DDED166C6D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0E3-4439-8ED4-1DDED166C6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'25.05 Kampala-Mutukula-24h'!$C$107:$N$107</c:f>
              <c:numCache>
                <c:formatCode>0.0%</c:formatCode>
                <c:ptCount val="12"/>
                <c:pt idx="0">
                  <c:v>0.45600000000000002</c:v>
                </c:pt>
                <c:pt idx="1">
                  <c:v>0</c:v>
                </c:pt>
                <c:pt idx="2">
                  <c:v>0</c:v>
                </c:pt>
                <c:pt idx="3">
                  <c:v>0.128</c:v>
                </c:pt>
                <c:pt idx="4">
                  <c:v>1.3333333333333334E-2</c:v>
                </c:pt>
                <c:pt idx="5">
                  <c:v>2.9333333333333333E-2</c:v>
                </c:pt>
                <c:pt idx="6">
                  <c:v>2.4E-2</c:v>
                </c:pt>
                <c:pt idx="7">
                  <c:v>0.12266666666666666</c:v>
                </c:pt>
                <c:pt idx="8">
                  <c:v>2.9333333333333333E-2</c:v>
                </c:pt>
                <c:pt idx="9" formatCode="0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0E3-4439-8ED4-1DDED166C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05-43E6-9824-7F1DE4AF98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05-43E6-9824-7F1DE4AF98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05-43E6-9824-7F1DE4AF98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05-43E6-9824-7F1DE4AF98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05-43E6-9824-7F1DE4AF98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05-43E6-9824-7F1DE4AF98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05-43E6-9824-7F1DE4AF98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05-43E6-9824-7F1DE4AF98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05-43E6-9824-7F1DE4AF987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05-43E6-9824-7F1DE4AF987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05-43E6-9824-7F1DE4AF987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05-43E6-9824-7F1DE4AF987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05-43E6-9824-7F1DE4AF98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'25.05 Kampala-Mutukula-24h'!$C$108:$N$108</c:f>
              <c:numCache>
                <c:formatCode>0.00%</c:formatCode>
                <c:ptCount val="12"/>
                <c:pt idx="0">
                  <c:v>0.45600000000000002</c:v>
                </c:pt>
                <c:pt idx="1">
                  <c:v>0</c:v>
                </c:pt>
                <c:pt idx="2">
                  <c:v>0</c:v>
                </c:pt>
                <c:pt idx="3">
                  <c:v>0.128</c:v>
                </c:pt>
                <c:pt idx="4">
                  <c:v>1.3333333333333334E-2</c:v>
                </c:pt>
                <c:pt idx="5">
                  <c:v>2.9333333333333333E-2</c:v>
                </c:pt>
                <c:pt idx="6">
                  <c:v>2.4E-2</c:v>
                </c:pt>
                <c:pt idx="7">
                  <c:v>0.12266666666666666</c:v>
                </c:pt>
                <c:pt idx="8">
                  <c:v>2.9333333333333333E-2</c:v>
                </c:pt>
                <c:pt idx="9" formatCode="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05-43E6-9824-7F1DE4AF9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'25.05 Mutukula-Kampala-24h'!$AE$9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'25.05 Mutukula-Kampala-24h'!$R$10:$R$33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'25.05 Mutukula-Kampala-24h'!$AE$10:$AE$33</c:f>
              <c:numCache>
                <c:formatCode>0</c:formatCode>
                <c:ptCount val="24"/>
                <c:pt idx="0">
                  <c:v>13</c:v>
                </c:pt>
                <c:pt idx="1">
                  <c:v>20</c:v>
                </c:pt>
                <c:pt idx="2">
                  <c:v>36</c:v>
                </c:pt>
                <c:pt idx="3">
                  <c:v>15</c:v>
                </c:pt>
                <c:pt idx="4">
                  <c:v>16</c:v>
                </c:pt>
                <c:pt idx="5">
                  <c:v>18</c:v>
                </c:pt>
                <c:pt idx="6">
                  <c:v>11</c:v>
                </c:pt>
                <c:pt idx="7">
                  <c:v>26</c:v>
                </c:pt>
                <c:pt idx="8">
                  <c:v>22</c:v>
                </c:pt>
                <c:pt idx="9">
                  <c:v>20</c:v>
                </c:pt>
                <c:pt idx="10">
                  <c:v>19</c:v>
                </c:pt>
                <c:pt idx="11">
                  <c:v>18</c:v>
                </c:pt>
                <c:pt idx="12">
                  <c:v>16</c:v>
                </c:pt>
                <c:pt idx="13">
                  <c:v>16</c:v>
                </c:pt>
                <c:pt idx="14">
                  <c:v>2</c:v>
                </c:pt>
                <c:pt idx="15">
                  <c:v>6</c:v>
                </c:pt>
                <c:pt idx="16">
                  <c:v>24</c:v>
                </c:pt>
                <c:pt idx="17">
                  <c:v>12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'25.05 Mutukula-Kampala-24h'!$AF$9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'25.05 Mutukula-Kampala-24h'!$R$10:$R$33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'25.05 Mutukula-Kampala-24h'!$AF$10:$AF$33</c:f>
              <c:numCache>
                <c:formatCode>0</c:formatCode>
                <c:ptCount val="24"/>
                <c:pt idx="0">
                  <c:v>13</c:v>
                </c:pt>
                <c:pt idx="1">
                  <c:v>20</c:v>
                </c:pt>
                <c:pt idx="2">
                  <c:v>36</c:v>
                </c:pt>
                <c:pt idx="3">
                  <c:v>15</c:v>
                </c:pt>
                <c:pt idx="4">
                  <c:v>16</c:v>
                </c:pt>
                <c:pt idx="5">
                  <c:v>18</c:v>
                </c:pt>
                <c:pt idx="6">
                  <c:v>11</c:v>
                </c:pt>
                <c:pt idx="7">
                  <c:v>26</c:v>
                </c:pt>
                <c:pt idx="8">
                  <c:v>22</c:v>
                </c:pt>
                <c:pt idx="9">
                  <c:v>20</c:v>
                </c:pt>
                <c:pt idx="10">
                  <c:v>19</c:v>
                </c:pt>
                <c:pt idx="11">
                  <c:v>18</c:v>
                </c:pt>
                <c:pt idx="12">
                  <c:v>16</c:v>
                </c:pt>
                <c:pt idx="13">
                  <c:v>16</c:v>
                </c:pt>
                <c:pt idx="14">
                  <c:v>2</c:v>
                </c:pt>
                <c:pt idx="15">
                  <c:v>6</c:v>
                </c:pt>
                <c:pt idx="16">
                  <c:v>24</c:v>
                </c:pt>
                <c:pt idx="17">
                  <c:v>12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'25.05 Mutukula-Kampala-24h'!$C$9:$N$9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'25.05 Mutukula-Kampala-24h'!$C$107:$N$107</c:f>
              <c:numCache>
                <c:formatCode>0.0%</c:formatCode>
                <c:ptCount val="12"/>
                <c:pt idx="0">
                  <c:v>0.44025157232704404</c:v>
                </c:pt>
                <c:pt idx="1">
                  <c:v>0</c:v>
                </c:pt>
                <c:pt idx="2">
                  <c:v>0</c:v>
                </c:pt>
                <c:pt idx="3">
                  <c:v>0.1540880503144654</c:v>
                </c:pt>
                <c:pt idx="4">
                  <c:v>9.433962264150943E-3</c:v>
                </c:pt>
                <c:pt idx="5">
                  <c:v>4.0880503144654086E-2</c:v>
                </c:pt>
                <c:pt idx="6">
                  <c:v>2.20125786163522E-2</c:v>
                </c:pt>
                <c:pt idx="7">
                  <c:v>0.17924528301886791</c:v>
                </c:pt>
                <c:pt idx="8">
                  <c:v>5.3459119496855348E-2</c:v>
                </c:pt>
                <c:pt idx="9">
                  <c:v>0.10062893081761007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'25.05 Mutukula-Kampala-24h'!$C$9:$N$9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'25.05 Mutukula-Kampala-24h'!$C$108:$N$108</c:f>
              <c:numCache>
                <c:formatCode>0.00%</c:formatCode>
                <c:ptCount val="12"/>
                <c:pt idx="0">
                  <c:v>0.44025157232704404</c:v>
                </c:pt>
                <c:pt idx="1">
                  <c:v>0</c:v>
                </c:pt>
                <c:pt idx="2">
                  <c:v>0</c:v>
                </c:pt>
                <c:pt idx="3">
                  <c:v>0.1540880503144654</c:v>
                </c:pt>
                <c:pt idx="4">
                  <c:v>9.433962264150943E-3</c:v>
                </c:pt>
                <c:pt idx="5">
                  <c:v>4.0880503144654086E-2</c:v>
                </c:pt>
                <c:pt idx="6">
                  <c:v>2.20125786163522E-2</c:v>
                </c:pt>
                <c:pt idx="7">
                  <c:v>0.17924528301886791</c:v>
                </c:pt>
                <c:pt idx="8">
                  <c:v>5.3459119496855348E-2</c:v>
                </c:pt>
                <c:pt idx="9">
                  <c:v>0.10062893081761007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'26.05 Kampala-Mutukula-24h'!$AE$9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'26.05 Kampala-Mutukula-24h'!$AE$10:$AE$33</c:f>
              <c:numCache>
                <c:formatCode>0</c:formatCode>
                <c:ptCount val="24"/>
                <c:pt idx="0">
                  <c:v>3</c:v>
                </c:pt>
                <c:pt idx="1">
                  <c:v>6</c:v>
                </c:pt>
                <c:pt idx="2">
                  <c:v>22</c:v>
                </c:pt>
                <c:pt idx="3">
                  <c:v>11</c:v>
                </c:pt>
                <c:pt idx="4">
                  <c:v>25</c:v>
                </c:pt>
                <c:pt idx="5">
                  <c:v>19</c:v>
                </c:pt>
                <c:pt idx="6">
                  <c:v>19</c:v>
                </c:pt>
                <c:pt idx="7">
                  <c:v>13</c:v>
                </c:pt>
                <c:pt idx="8">
                  <c:v>21</c:v>
                </c:pt>
                <c:pt idx="9">
                  <c:v>16</c:v>
                </c:pt>
                <c:pt idx="10">
                  <c:v>16</c:v>
                </c:pt>
                <c:pt idx="11">
                  <c:v>26</c:v>
                </c:pt>
                <c:pt idx="12">
                  <c:v>22</c:v>
                </c:pt>
                <c:pt idx="13">
                  <c:v>30</c:v>
                </c:pt>
                <c:pt idx="14">
                  <c:v>22</c:v>
                </c:pt>
                <c:pt idx="15">
                  <c:v>23</c:v>
                </c:pt>
                <c:pt idx="16">
                  <c:v>35</c:v>
                </c:pt>
                <c:pt idx="17">
                  <c:v>17</c:v>
                </c:pt>
                <c:pt idx="18">
                  <c:v>15</c:v>
                </c:pt>
                <c:pt idx="19">
                  <c:v>21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'26.05 Kampala-Mutukula-24h'!$AF$9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'26.05 Kampala-Mutukula-24h'!$AF$10:$AF$33</c:f>
              <c:numCache>
                <c:formatCode>0</c:formatCode>
                <c:ptCount val="24"/>
                <c:pt idx="0">
                  <c:v>3</c:v>
                </c:pt>
                <c:pt idx="1">
                  <c:v>6</c:v>
                </c:pt>
                <c:pt idx="2">
                  <c:v>22</c:v>
                </c:pt>
                <c:pt idx="3">
                  <c:v>11</c:v>
                </c:pt>
                <c:pt idx="4">
                  <c:v>25</c:v>
                </c:pt>
                <c:pt idx="5">
                  <c:v>19</c:v>
                </c:pt>
                <c:pt idx="6">
                  <c:v>19</c:v>
                </c:pt>
                <c:pt idx="7">
                  <c:v>13</c:v>
                </c:pt>
                <c:pt idx="8">
                  <c:v>21</c:v>
                </c:pt>
                <c:pt idx="9">
                  <c:v>16</c:v>
                </c:pt>
                <c:pt idx="10">
                  <c:v>16</c:v>
                </c:pt>
                <c:pt idx="11">
                  <c:v>26</c:v>
                </c:pt>
                <c:pt idx="12">
                  <c:v>22</c:v>
                </c:pt>
                <c:pt idx="13">
                  <c:v>30</c:v>
                </c:pt>
                <c:pt idx="14">
                  <c:v>22</c:v>
                </c:pt>
                <c:pt idx="15">
                  <c:v>23</c:v>
                </c:pt>
                <c:pt idx="16">
                  <c:v>35</c:v>
                </c:pt>
                <c:pt idx="17">
                  <c:v>17</c:v>
                </c:pt>
                <c:pt idx="18">
                  <c:v>15</c:v>
                </c:pt>
                <c:pt idx="19">
                  <c:v>21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'26.05 Kampala-Mutukula-24h'!$C$107:$N$107</c:f>
              <c:numCache>
                <c:formatCode>0.0%</c:formatCode>
                <c:ptCount val="12"/>
                <c:pt idx="0">
                  <c:v>0.44776119402985076</c:v>
                </c:pt>
                <c:pt idx="1">
                  <c:v>0</c:v>
                </c:pt>
                <c:pt idx="2">
                  <c:v>0</c:v>
                </c:pt>
                <c:pt idx="3">
                  <c:v>0.13184079601990051</c:v>
                </c:pt>
                <c:pt idx="4">
                  <c:v>1.2437810945273632E-2</c:v>
                </c:pt>
                <c:pt idx="5">
                  <c:v>4.7263681592039801E-2</c:v>
                </c:pt>
                <c:pt idx="6">
                  <c:v>2.2388059701492536E-2</c:v>
                </c:pt>
                <c:pt idx="7">
                  <c:v>0.15920398009950248</c:v>
                </c:pt>
                <c:pt idx="8">
                  <c:v>3.2338308457711441E-2</c:v>
                </c:pt>
                <c:pt idx="9">
                  <c:v>0.14676616915422885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'26.05 Kampala-Mutukula-24h'!$C$108:$N$108</c:f>
              <c:numCache>
                <c:formatCode>0.00%</c:formatCode>
                <c:ptCount val="12"/>
                <c:pt idx="0">
                  <c:v>0.44776119402985076</c:v>
                </c:pt>
                <c:pt idx="1">
                  <c:v>0</c:v>
                </c:pt>
                <c:pt idx="2">
                  <c:v>0</c:v>
                </c:pt>
                <c:pt idx="3">
                  <c:v>0.13184079601990051</c:v>
                </c:pt>
                <c:pt idx="4">
                  <c:v>1.2437810945273632E-2</c:v>
                </c:pt>
                <c:pt idx="5">
                  <c:v>4.7263681592039801E-2</c:v>
                </c:pt>
                <c:pt idx="6">
                  <c:v>2.2388059701492536E-2</c:v>
                </c:pt>
                <c:pt idx="7">
                  <c:v>0.15920398009950248</c:v>
                </c:pt>
                <c:pt idx="8">
                  <c:v>3.2338308457711441E-2</c:v>
                </c:pt>
                <c:pt idx="9">
                  <c:v>0.14676616915422885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'26.05 Mutukula-Kampala-24h'!$AE$9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'26.05 Mutukula-Kampala-24h'!$R$10:$R$33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'26.05 Mutukula-Kampala-24h'!$AE$10:$AE$33</c:f>
              <c:numCache>
                <c:formatCode>0</c:formatCode>
                <c:ptCount val="24"/>
                <c:pt idx="0">
                  <c:v>14</c:v>
                </c:pt>
                <c:pt idx="1">
                  <c:v>11</c:v>
                </c:pt>
                <c:pt idx="2">
                  <c:v>19</c:v>
                </c:pt>
                <c:pt idx="3">
                  <c:v>23</c:v>
                </c:pt>
                <c:pt idx="4">
                  <c:v>17</c:v>
                </c:pt>
                <c:pt idx="5">
                  <c:v>18</c:v>
                </c:pt>
                <c:pt idx="6">
                  <c:v>24</c:v>
                </c:pt>
                <c:pt idx="7">
                  <c:v>16</c:v>
                </c:pt>
                <c:pt idx="8">
                  <c:v>18</c:v>
                </c:pt>
                <c:pt idx="9">
                  <c:v>13</c:v>
                </c:pt>
                <c:pt idx="10">
                  <c:v>24</c:v>
                </c:pt>
                <c:pt idx="11">
                  <c:v>21</c:v>
                </c:pt>
                <c:pt idx="12">
                  <c:v>26</c:v>
                </c:pt>
                <c:pt idx="13">
                  <c:v>18</c:v>
                </c:pt>
                <c:pt idx="14">
                  <c:v>37</c:v>
                </c:pt>
                <c:pt idx="15">
                  <c:v>27</c:v>
                </c:pt>
                <c:pt idx="16">
                  <c:v>19</c:v>
                </c:pt>
                <c:pt idx="17">
                  <c:v>30</c:v>
                </c:pt>
                <c:pt idx="18">
                  <c:v>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18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'26.05 Mutukula-Kampala-24h'!$AF$9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'26.05 Mutukula-Kampala-24h'!$R$10:$R$33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'26.05 Mutukula-Kampala-24h'!$AF$10:$AF$33</c:f>
              <c:numCache>
                <c:formatCode>0</c:formatCode>
                <c:ptCount val="24"/>
                <c:pt idx="0">
                  <c:v>14</c:v>
                </c:pt>
                <c:pt idx="1">
                  <c:v>11</c:v>
                </c:pt>
                <c:pt idx="2">
                  <c:v>19</c:v>
                </c:pt>
                <c:pt idx="3">
                  <c:v>23</c:v>
                </c:pt>
                <c:pt idx="4">
                  <c:v>17</c:v>
                </c:pt>
                <c:pt idx="5">
                  <c:v>18</c:v>
                </c:pt>
                <c:pt idx="6">
                  <c:v>24</c:v>
                </c:pt>
                <c:pt idx="7">
                  <c:v>16</c:v>
                </c:pt>
                <c:pt idx="8">
                  <c:v>18</c:v>
                </c:pt>
                <c:pt idx="9">
                  <c:v>13</c:v>
                </c:pt>
                <c:pt idx="10">
                  <c:v>24</c:v>
                </c:pt>
                <c:pt idx="11">
                  <c:v>21</c:v>
                </c:pt>
                <c:pt idx="12">
                  <c:v>26</c:v>
                </c:pt>
                <c:pt idx="13">
                  <c:v>18</c:v>
                </c:pt>
                <c:pt idx="14">
                  <c:v>37</c:v>
                </c:pt>
                <c:pt idx="15">
                  <c:v>27</c:v>
                </c:pt>
                <c:pt idx="16">
                  <c:v>19</c:v>
                </c:pt>
                <c:pt idx="17">
                  <c:v>30</c:v>
                </c:pt>
                <c:pt idx="18">
                  <c:v>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18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'26.05 Mutukula-Kampala-24h'!$C$9:$N$9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'26.05 Mutukula-Kampala-24h'!$C$107:$N$107</c:f>
              <c:numCache>
                <c:formatCode>0.0%</c:formatCode>
                <c:ptCount val="12"/>
                <c:pt idx="0">
                  <c:v>0.36725663716814161</c:v>
                </c:pt>
                <c:pt idx="1">
                  <c:v>0</c:v>
                </c:pt>
                <c:pt idx="2">
                  <c:v>0</c:v>
                </c:pt>
                <c:pt idx="3">
                  <c:v>0.13938053097345132</c:v>
                </c:pt>
                <c:pt idx="4">
                  <c:v>1.5486725663716814E-2</c:v>
                </c:pt>
                <c:pt idx="5">
                  <c:v>2.6548672566371681E-2</c:v>
                </c:pt>
                <c:pt idx="6">
                  <c:v>4.8672566371681415E-2</c:v>
                </c:pt>
                <c:pt idx="7">
                  <c:v>0.17920353982300885</c:v>
                </c:pt>
                <c:pt idx="8">
                  <c:v>5.9734513274336286E-2</c:v>
                </c:pt>
                <c:pt idx="9">
                  <c:v>0.16371681415929204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'26.05 Mutukula-Kampala-24h'!$C$9:$N$9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'26.05 Mutukula-Kampala-24h'!$C$108:$N$108</c:f>
              <c:numCache>
                <c:formatCode>0.00%</c:formatCode>
                <c:ptCount val="12"/>
                <c:pt idx="0">
                  <c:v>0.36725663716814161</c:v>
                </c:pt>
                <c:pt idx="1">
                  <c:v>0</c:v>
                </c:pt>
                <c:pt idx="2">
                  <c:v>0</c:v>
                </c:pt>
                <c:pt idx="3">
                  <c:v>0.13938053097345132</c:v>
                </c:pt>
                <c:pt idx="4">
                  <c:v>1.5486725663716814E-2</c:v>
                </c:pt>
                <c:pt idx="5">
                  <c:v>2.6548672566371681E-2</c:v>
                </c:pt>
                <c:pt idx="6">
                  <c:v>4.8672566371681415E-2</c:v>
                </c:pt>
                <c:pt idx="7">
                  <c:v>0.17920353982300885</c:v>
                </c:pt>
                <c:pt idx="8">
                  <c:v>5.9734513274336286E-2</c:v>
                </c:pt>
                <c:pt idx="9">
                  <c:v>0.16371681415929204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'27.05 Kampala-Mutukula-24h'!$AE$9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'27.05 Kampala-Mutukula-24h'!$AE$10:$AE$33</c:f>
              <c:numCache>
                <c:formatCode>0</c:formatCode>
                <c:ptCount val="24"/>
                <c:pt idx="0">
                  <c:v>34</c:v>
                </c:pt>
                <c:pt idx="1">
                  <c:v>33</c:v>
                </c:pt>
                <c:pt idx="2">
                  <c:v>42</c:v>
                </c:pt>
                <c:pt idx="3">
                  <c:v>25</c:v>
                </c:pt>
                <c:pt idx="4">
                  <c:v>24</c:v>
                </c:pt>
                <c:pt idx="5">
                  <c:v>19</c:v>
                </c:pt>
                <c:pt idx="6">
                  <c:v>31</c:v>
                </c:pt>
                <c:pt idx="7">
                  <c:v>34</c:v>
                </c:pt>
                <c:pt idx="8">
                  <c:v>14</c:v>
                </c:pt>
                <c:pt idx="9">
                  <c:v>18</c:v>
                </c:pt>
                <c:pt idx="10">
                  <c:v>36</c:v>
                </c:pt>
                <c:pt idx="11">
                  <c:v>30</c:v>
                </c:pt>
                <c:pt idx="12">
                  <c:v>21</c:v>
                </c:pt>
                <c:pt idx="13">
                  <c:v>18</c:v>
                </c:pt>
                <c:pt idx="14">
                  <c:v>10</c:v>
                </c:pt>
                <c:pt idx="15">
                  <c:v>8</c:v>
                </c:pt>
                <c:pt idx="16">
                  <c:v>3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B7-4339-A394-09FC88B47C40}"/>
            </c:ext>
          </c:extLst>
        </c:ser>
        <c:ser>
          <c:idx val="1"/>
          <c:order val="1"/>
          <c:tx>
            <c:strRef>
              <c:f>'27.05 Kampala-Mutukula-24h'!$AF$9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'27.05 Kampala-Mutukula-24h'!$R$10:$R$33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'27.05 Kampala-Mutukula-24h'!$AF$10:$AF$33</c:f>
              <c:numCache>
                <c:formatCode>0</c:formatCode>
                <c:ptCount val="24"/>
                <c:pt idx="0">
                  <c:v>34</c:v>
                </c:pt>
                <c:pt idx="1">
                  <c:v>33</c:v>
                </c:pt>
                <c:pt idx="2">
                  <c:v>42</c:v>
                </c:pt>
                <c:pt idx="3">
                  <c:v>25</c:v>
                </c:pt>
                <c:pt idx="4">
                  <c:v>24</c:v>
                </c:pt>
                <c:pt idx="5">
                  <c:v>19</c:v>
                </c:pt>
                <c:pt idx="6">
                  <c:v>31</c:v>
                </c:pt>
                <c:pt idx="7">
                  <c:v>34</c:v>
                </c:pt>
                <c:pt idx="8">
                  <c:v>14</c:v>
                </c:pt>
                <c:pt idx="9">
                  <c:v>18</c:v>
                </c:pt>
                <c:pt idx="10">
                  <c:v>36</c:v>
                </c:pt>
                <c:pt idx="11">
                  <c:v>30</c:v>
                </c:pt>
                <c:pt idx="12">
                  <c:v>21</c:v>
                </c:pt>
                <c:pt idx="13">
                  <c:v>18</c:v>
                </c:pt>
                <c:pt idx="14">
                  <c:v>10</c:v>
                </c:pt>
                <c:pt idx="15">
                  <c:v>8</c:v>
                </c:pt>
                <c:pt idx="16">
                  <c:v>3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1B7-4339-A394-09FC88B47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A4-4731-9A33-0DB89BD82C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A4-4731-9A33-0DB89BD82C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A4-4731-9A33-0DB89BD82C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A4-4731-9A33-0DB89BD82C7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A4-4731-9A33-0DB89BD82C7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4A4-4731-9A33-0DB89BD82C7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4A4-4731-9A33-0DB89BD82C7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4A4-4731-9A33-0DB89BD82C7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4A4-4731-9A33-0DB89BD82C7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4A4-4731-9A33-0DB89BD82C7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4A4-4731-9A33-0DB89BD82C7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4A4-4731-9A33-0DB89BD82C7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4A4-4731-9A33-0DB89BD82C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'27.05 Kampala-Mutukula-24h'!$C$107:$N$107</c:f>
              <c:numCache>
                <c:formatCode>0.0%</c:formatCode>
                <c:ptCount val="12"/>
                <c:pt idx="0">
                  <c:v>0.28103044496487117</c:v>
                </c:pt>
                <c:pt idx="1">
                  <c:v>0</c:v>
                </c:pt>
                <c:pt idx="2">
                  <c:v>0</c:v>
                </c:pt>
                <c:pt idx="3">
                  <c:v>0.17330210772833723</c:v>
                </c:pt>
                <c:pt idx="4">
                  <c:v>3.7470725995316159E-2</c:v>
                </c:pt>
                <c:pt idx="5">
                  <c:v>5.1522248243559721E-2</c:v>
                </c:pt>
                <c:pt idx="6">
                  <c:v>6.323185011709602E-2</c:v>
                </c:pt>
                <c:pt idx="7">
                  <c:v>0.1288056206088993</c:v>
                </c:pt>
                <c:pt idx="8">
                  <c:v>8.4309133489461355E-2</c:v>
                </c:pt>
                <c:pt idx="9" formatCode="0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4A4-4731-9A33-0DB89BD82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72-407C-A6F5-DC44D5AB2B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72-407C-A6F5-DC44D5AB2B3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72-407C-A6F5-DC44D5AB2B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72-407C-A6F5-DC44D5AB2B3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72-407C-A6F5-DC44D5AB2B3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72-407C-A6F5-DC44D5AB2B3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F72-407C-A6F5-DC44D5AB2B3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F72-407C-A6F5-DC44D5AB2B3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F72-407C-A6F5-DC44D5AB2B3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F72-407C-A6F5-DC44D5AB2B3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F72-407C-A6F5-DC44D5AB2B3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F72-407C-A6F5-DC44D5AB2B3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72-407C-A6F5-DC44D5AB2B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'27.05 Kampala-Mutukula-24h'!$C$9:$N$9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'27.05 Kampala-Mutukula-24h'!$C$108:$N$108</c:f>
              <c:numCache>
                <c:formatCode>0.00%</c:formatCode>
                <c:ptCount val="12"/>
                <c:pt idx="0">
                  <c:v>0.28103044496487117</c:v>
                </c:pt>
                <c:pt idx="1">
                  <c:v>0</c:v>
                </c:pt>
                <c:pt idx="2">
                  <c:v>0</c:v>
                </c:pt>
                <c:pt idx="3">
                  <c:v>0.17330210772833723</c:v>
                </c:pt>
                <c:pt idx="4">
                  <c:v>3.7470725995316159E-2</c:v>
                </c:pt>
                <c:pt idx="5">
                  <c:v>5.1522248243559721E-2</c:v>
                </c:pt>
                <c:pt idx="6">
                  <c:v>6.323185011709602E-2</c:v>
                </c:pt>
                <c:pt idx="7">
                  <c:v>0.1288056206088993</c:v>
                </c:pt>
                <c:pt idx="8">
                  <c:v>8.4309133489461355E-2</c:v>
                </c:pt>
                <c:pt idx="9" formatCode="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72-407C-A6F5-DC44D5AB2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'27.05 Mutukula-Kampala-24h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'27.05 Mutukula-Kampala-24h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'27.05 Mutukula-Kampala-24h '!$AE$10:$AE$33</c:f>
              <c:numCache>
                <c:formatCode>0</c:formatCode>
                <c:ptCount val="24"/>
                <c:pt idx="0">
                  <c:v>17</c:v>
                </c:pt>
                <c:pt idx="1">
                  <c:v>14</c:v>
                </c:pt>
                <c:pt idx="2">
                  <c:v>35</c:v>
                </c:pt>
                <c:pt idx="3">
                  <c:v>28</c:v>
                </c:pt>
                <c:pt idx="4">
                  <c:v>19</c:v>
                </c:pt>
                <c:pt idx="5">
                  <c:v>21</c:v>
                </c:pt>
                <c:pt idx="6">
                  <c:v>24</c:v>
                </c:pt>
                <c:pt idx="7">
                  <c:v>34</c:v>
                </c:pt>
                <c:pt idx="8">
                  <c:v>14</c:v>
                </c:pt>
                <c:pt idx="9">
                  <c:v>19</c:v>
                </c:pt>
                <c:pt idx="10">
                  <c:v>28</c:v>
                </c:pt>
                <c:pt idx="11">
                  <c:v>33</c:v>
                </c:pt>
                <c:pt idx="12">
                  <c:v>31</c:v>
                </c:pt>
                <c:pt idx="13">
                  <c:v>35</c:v>
                </c:pt>
                <c:pt idx="14">
                  <c:v>28</c:v>
                </c:pt>
                <c:pt idx="15">
                  <c:v>31</c:v>
                </c:pt>
                <c:pt idx="16">
                  <c:v>12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C3-4BB6-BAA6-A20E64F44014}"/>
            </c:ext>
          </c:extLst>
        </c:ser>
        <c:ser>
          <c:idx val="1"/>
          <c:order val="1"/>
          <c:tx>
            <c:strRef>
              <c:f>'27.05 Mutukula-Kampala-24h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'27.05 Mutukula-Kampala-24h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'27.05 Mutukula-Kampala-24h '!$AF$10:$AF$33</c:f>
              <c:numCache>
                <c:formatCode>0</c:formatCode>
                <c:ptCount val="24"/>
                <c:pt idx="0">
                  <c:v>17</c:v>
                </c:pt>
                <c:pt idx="1">
                  <c:v>14</c:v>
                </c:pt>
                <c:pt idx="2">
                  <c:v>35</c:v>
                </c:pt>
                <c:pt idx="3">
                  <c:v>28</c:v>
                </c:pt>
                <c:pt idx="4">
                  <c:v>19</c:v>
                </c:pt>
                <c:pt idx="5">
                  <c:v>21</c:v>
                </c:pt>
                <c:pt idx="6">
                  <c:v>24</c:v>
                </c:pt>
                <c:pt idx="7">
                  <c:v>34</c:v>
                </c:pt>
                <c:pt idx="8">
                  <c:v>14</c:v>
                </c:pt>
                <c:pt idx="9">
                  <c:v>19</c:v>
                </c:pt>
                <c:pt idx="10">
                  <c:v>28</c:v>
                </c:pt>
                <c:pt idx="11">
                  <c:v>33</c:v>
                </c:pt>
                <c:pt idx="12">
                  <c:v>31</c:v>
                </c:pt>
                <c:pt idx="13">
                  <c:v>35</c:v>
                </c:pt>
                <c:pt idx="14">
                  <c:v>28</c:v>
                </c:pt>
                <c:pt idx="15">
                  <c:v>31</c:v>
                </c:pt>
                <c:pt idx="16">
                  <c:v>12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FC3-4BB6-BAA6-A20E64F4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9F7-4CC9-898E-928F5841F5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9F7-4CC9-898E-928F5841F5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9F7-4CC9-898E-928F5841F5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9F7-4CC9-898E-928F5841F5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9F7-4CC9-898E-928F5841F5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9F7-4CC9-898E-928F5841F5D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9F7-4CC9-898E-928F5841F5D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9F7-4CC9-898E-928F5841F5D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9F7-4CC9-898E-928F5841F5D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9F7-4CC9-898E-928F5841F5D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9F7-4CC9-898E-928F5841F5D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9F7-4CC9-898E-928F5841F5D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9F7-4CC9-898E-928F5841F5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'27.05 Mutukula-Kampala-24h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'27.05 Mutukula-Kampala-24h '!$C$107:$N$107</c:f>
              <c:numCache>
                <c:formatCode>0.0%</c:formatCode>
                <c:ptCount val="12"/>
                <c:pt idx="0">
                  <c:v>0.31512605042016806</c:v>
                </c:pt>
                <c:pt idx="1">
                  <c:v>0</c:v>
                </c:pt>
                <c:pt idx="2">
                  <c:v>0</c:v>
                </c:pt>
                <c:pt idx="3">
                  <c:v>0.17857142857142858</c:v>
                </c:pt>
                <c:pt idx="4">
                  <c:v>1.050420168067227E-2</c:v>
                </c:pt>
                <c:pt idx="5">
                  <c:v>3.7815126050420166E-2</c:v>
                </c:pt>
                <c:pt idx="6">
                  <c:v>8.6134453781512604E-2</c:v>
                </c:pt>
                <c:pt idx="7">
                  <c:v>0.11134453781512606</c:v>
                </c:pt>
                <c:pt idx="8">
                  <c:v>0.10084033613445378</c:v>
                </c:pt>
                <c:pt idx="9" formatCode="0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9F7-4CC9-898E-928F5841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8EB-49B3-A6AC-ABE882B6F1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8EB-49B3-A6AC-ABE882B6F1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8EB-49B3-A6AC-ABE882B6F1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8EB-49B3-A6AC-ABE882B6F15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8EB-49B3-A6AC-ABE882B6F15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8EB-49B3-A6AC-ABE882B6F15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8EB-49B3-A6AC-ABE882B6F15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8EB-49B3-A6AC-ABE882B6F15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8EB-49B3-A6AC-ABE882B6F15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8EB-49B3-A6AC-ABE882B6F15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8EB-49B3-A6AC-ABE882B6F15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8EB-49B3-A6AC-ABE882B6F15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8EB-49B3-A6AC-ABE882B6F1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'27.05 Mutukula-Kampala-24h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'27.05 Mutukula-Kampala-24h '!$C$108:$N$108</c:f>
              <c:numCache>
                <c:formatCode>0.00%</c:formatCode>
                <c:ptCount val="12"/>
                <c:pt idx="0">
                  <c:v>0.31512605042016806</c:v>
                </c:pt>
                <c:pt idx="1">
                  <c:v>0</c:v>
                </c:pt>
                <c:pt idx="2">
                  <c:v>0</c:v>
                </c:pt>
                <c:pt idx="3">
                  <c:v>0.17857142857142858</c:v>
                </c:pt>
                <c:pt idx="4">
                  <c:v>1.050420168067227E-2</c:v>
                </c:pt>
                <c:pt idx="5">
                  <c:v>3.7815126050420166E-2</c:v>
                </c:pt>
                <c:pt idx="6">
                  <c:v>8.6134453781512604E-2</c:v>
                </c:pt>
                <c:pt idx="7">
                  <c:v>0.11134453781512606</c:v>
                </c:pt>
                <c:pt idx="8">
                  <c:v>0.10084033613445378</c:v>
                </c:pt>
                <c:pt idx="9" formatCode="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8EB-49B3-A6AC-ABE882B6F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Kampala-Mutukula'!$AE$9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Kampala-Mutukula'!$R$10:$R$33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Kampala-Mutukula'!$AE$10:$AE$33</c:f>
              <c:numCache>
                <c:formatCode>0</c:formatCode>
                <c:ptCount val="24"/>
                <c:pt idx="0">
                  <c:v>15</c:v>
                </c:pt>
                <c:pt idx="1">
                  <c:v>19.666666666666668</c:v>
                </c:pt>
                <c:pt idx="2">
                  <c:v>34.666666666666671</c:v>
                </c:pt>
                <c:pt idx="3">
                  <c:v>21.333333333333332</c:v>
                </c:pt>
                <c:pt idx="4">
                  <c:v>19</c:v>
                </c:pt>
                <c:pt idx="5">
                  <c:v>18.666666666666664</c:v>
                </c:pt>
                <c:pt idx="6">
                  <c:v>24.333333333333332</c:v>
                </c:pt>
                <c:pt idx="7">
                  <c:v>20.333333333333332</c:v>
                </c:pt>
                <c:pt idx="8">
                  <c:v>18.666666666666668</c:v>
                </c:pt>
                <c:pt idx="9">
                  <c:v>15.666666666666666</c:v>
                </c:pt>
                <c:pt idx="10">
                  <c:v>24.666666666666668</c:v>
                </c:pt>
                <c:pt idx="11">
                  <c:v>28</c:v>
                </c:pt>
                <c:pt idx="12">
                  <c:v>24</c:v>
                </c:pt>
                <c:pt idx="13">
                  <c:v>21</c:v>
                </c:pt>
                <c:pt idx="14">
                  <c:v>13</c:v>
                </c:pt>
                <c:pt idx="15">
                  <c:v>13.333333333333332</c:v>
                </c:pt>
                <c:pt idx="16">
                  <c:v>17.666666666666668</c:v>
                </c:pt>
                <c:pt idx="17">
                  <c:v>16.666666666666668</c:v>
                </c:pt>
                <c:pt idx="18">
                  <c:v>5.333333333333333</c:v>
                </c:pt>
                <c:pt idx="19">
                  <c:v>8.6666666666666661</c:v>
                </c:pt>
                <c:pt idx="20">
                  <c:v>0.66666666666666663</c:v>
                </c:pt>
                <c:pt idx="21">
                  <c:v>0.33333333333333331</c:v>
                </c:pt>
                <c:pt idx="22">
                  <c:v>0.66666666666666663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Kampala-Mutukula'!$AF$9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Kampala-Mutukula'!$R$10:$R$33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Kampala-Mutukula'!$AF$10:$AF$33</c:f>
              <c:numCache>
                <c:formatCode>0</c:formatCode>
                <c:ptCount val="24"/>
                <c:pt idx="0">
                  <c:v>17.333333333333332</c:v>
                </c:pt>
                <c:pt idx="1">
                  <c:v>24</c:v>
                </c:pt>
                <c:pt idx="2">
                  <c:v>41.333333333333336</c:v>
                </c:pt>
                <c:pt idx="3">
                  <c:v>27.333333333333332</c:v>
                </c:pt>
                <c:pt idx="4">
                  <c:v>20.666666666666668</c:v>
                </c:pt>
                <c:pt idx="5">
                  <c:v>21.666666666666664</c:v>
                </c:pt>
                <c:pt idx="6">
                  <c:v>27.333333333333332</c:v>
                </c:pt>
                <c:pt idx="7">
                  <c:v>22.666666666666664</c:v>
                </c:pt>
                <c:pt idx="8">
                  <c:v>19.666666666666668</c:v>
                </c:pt>
                <c:pt idx="9">
                  <c:v>16.333333333333332</c:v>
                </c:pt>
                <c:pt idx="10">
                  <c:v>26.666666666666668</c:v>
                </c:pt>
                <c:pt idx="11">
                  <c:v>32</c:v>
                </c:pt>
                <c:pt idx="12">
                  <c:v>24</c:v>
                </c:pt>
                <c:pt idx="13">
                  <c:v>21</c:v>
                </c:pt>
                <c:pt idx="14">
                  <c:v>13</c:v>
                </c:pt>
                <c:pt idx="15">
                  <c:v>13.333333333333332</c:v>
                </c:pt>
                <c:pt idx="16">
                  <c:v>17.666666666666668</c:v>
                </c:pt>
                <c:pt idx="17">
                  <c:v>16.666666666666668</c:v>
                </c:pt>
                <c:pt idx="18">
                  <c:v>5.333333333333333</c:v>
                </c:pt>
                <c:pt idx="19">
                  <c:v>8.6666666666666661</c:v>
                </c:pt>
                <c:pt idx="20">
                  <c:v>0.66666666666666663</c:v>
                </c:pt>
                <c:pt idx="21">
                  <c:v>0.33333333333333331</c:v>
                </c:pt>
                <c:pt idx="22">
                  <c:v>0.66666666666666663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Kampala-Mutukula'!$C$9:$N$9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Kampala-Mutukula'!$C$107:$N$107</c:f>
              <c:numCache>
                <c:formatCode>0.0%</c:formatCode>
                <c:ptCount val="12"/>
                <c:pt idx="0">
                  <c:v>0.35817490494296572</c:v>
                </c:pt>
                <c:pt idx="1">
                  <c:v>0</c:v>
                </c:pt>
                <c:pt idx="2">
                  <c:v>0</c:v>
                </c:pt>
                <c:pt idx="3">
                  <c:v>0.13307984790874519</c:v>
                </c:pt>
                <c:pt idx="4">
                  <c:v>1.9771863117870717E-2</c:v>
                </c:pt>
                <c:pt idx="5">
                  <c:v>3.9543726235741442E-2</c:v>
                </c:pt>
                <c:pt idx="6">
                  <c:v>3.4220532319391622E-2</c:v>
                </c:pt>
                <c:pt idx="7">
                  <c:v>0.12547528517110265</c:v>
                </c:pt>
                <c:pt idx="8">
                  <c:v>4.5627376425855487E-2</c:v>
                </c:pt>
                <c:pt idx="9">
                  <c:v>0.15969581749049427</c:v>
                </c:pt>
                <c:pt idx="10">
                  <c:v>8.4410646387832661E-2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Kampala-Mutukula'!$C$9:$N$9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Kampala-Mutukula'!$C$108:$N$108</c:f>
              <c:numCache>
                <c:formatCode>0.00%</c:formatCode>
                <c:ptCount val="12"/>
                <c:pt idx="0">
                  <c:v>0.39119601328903653</c:v>
                </c:pt>
                <c:pt idx="1">
                  <c:v>0</c:v>
                </c:pt>
                <c:pt idx="2">
                  <c:v>0</c:v>
                </c:pt>
                <c:pt idx="3">
                  <c:v>0.14534883720930228</c:v>
                </c:pt>
                <c:pt idx="4">
                  <c:v>2.1594684385382056E-2</c:v>
                </c:pt>
                <c:pt idx="5">
                  <c:v>4.3189368770764118E-2</c:v>
                </c:pt>
                <c:pt idx="6">
                  <c:v>3.7375415282392022E-2</c:v>
                </c:pt>
                <c:pt idx="7">
                  <c:v>0.13704318936877077</c:v>
                </c:pt>
                <c:pt idx="8">
                  <c:v>4.9833887043189348E-2</c:v>
                </c:pt>
                <c:pt idx="9">
                  <c:v>0.17441860465116277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Mutukula-Kampala'!$AE$9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Mutukula-Kampala'!$R$10:$R$33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Mutukula-Kampala'!$AE$10:$AE$33</c:f>
              <c:numCache>
                <c:formatCode>0</c:formatCode>
                <c:ptCount val="24"/>
                <c:pt idx="0">
                  <c:v>14.666666666666668</c:v>
                </c:pt>
                <c:pt idx="1">
                  <c:v>15</c:v>
                </c:pt>
                <c:pt idx="2">
                  <c:v>30</c:v>
                </c:pt>
                <c:pt idx="3">
                  <c:v>22</c:v>
                </c:pt>
                <c:pt idx="4">
                  <c:v>17.333333333333332</c:v>
                </c:pt>
                <c:pt idx="5">
                  <c:v>19</c:v>
                </c:pt>
                <c:pt idx="6">
                  <c:v>19.666666666666668</c:v>
                </c:pt>
                <c:pt idx="7">
                  <c:v>25.333333333333332</c:v>
                </c:pt>
                <c:pt idx="8">
                  <c:v>18</c:v>
                </c:pt>
                <c:pt idx="9">
                  <c:v>17.333333333333332</c:v>
                </c:pt>
                <c:pt idx="10">
                  <c:v>23.666666666666664</c:v>
                </c:pt>
                <c:pt idx="11">
                  <c:v>24</c:v>
                </c:pt>
                <c:pt idx="12">
                  <c:v>24.333333333333336</c:v>
                </c:pt>
                <c:pt idx="13">
                  <c:v>22.999999999999996</c:v>
                </c:pt>
                <c:pt idx="14">
                  <c:v>22.333333333333336</c:v>
                </c:pt>
                <c:pt idx="15">
                  <c:v>21.333333333333332</c:v>
                </c:pt>
                <c:pt idx="16">
                  <c:v>18.333333333333332</c:v>
                </c:pt>
                <c:pt idx="17">
                  <c:v>14.666666666666668</c:v>
                </c:pt>
                <c:pt idx="18">
                  <c:v>3.6666666666666665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6</c:v>
                </c:pt>
                <c:pt idx="23">
                  <c:v>35.666666666666671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Mutukula-Kampala'!$AF$9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Mutukula-Kampala'!$R$10:$R$33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Mutukula-Kampala'!$AF$10:$AF$33</c:f>
              <c:numCache>
                <c:formatCode>0</c:formatCode>
                <c:ptCount val="24"/>
                <c:pt idx="0">
                  <c:v>14.666666666666668</c:v>
                </c:pt>
                <c:pt idx="1">
                  <c:v>15</c:v>
                </c:pt>
                <c:pt idx="2">
                  <c:v>30</c:v>
                </c:pt>
                <c:pt idx="3">
                  <c:v>22</c:v>
                </c:pt>
                <c:pt idx="4">
                  <c:v>17.333333333333332</c:v>
                </c:pt>
                <c:pt idx="5">
                  <c:v>19</c:v>
                </c:pt>
                <c:pt idx="6">
                  <c:v>19.666666666666668</c:v>
                </c:pt>
                <c:pt idx="7">
                  <c:v>25.333333333333332</c:v>
                </c:pt>
                <c:pt idx="8">
                  <c:v>18</c:v>
                </c:pt>
                <c:pt idx="9">
                  <c:v>17.333333333333332</c:v>
                </c:pt>
                <c:pt idx="10">
                  <c:v>23.666666666666664</c:v>
                </c:pt>
                <c:pt idx="11">
                  <c:v>24</c:v>
                </c:pt>
                <c:pt idx="12">
                  <c:v>24.333333333333336</c:v>
                </c:pt>
                <c:pt idx="13">
                  <c:v>22.999999999999996</c:v>
                </c:pt>
                <c:pt idx="14">
                  <c:v>22.333333333333336</c:v>
                </c:pt>
                <c:pt idx="15">
                  <c:v>21.333333333333332</c:v>
                </c:pt>
                <c:pt idx="16">
                  <c:v>18.333333333333332</c:v>
                </c:pt>
                <c:pt idx="17">
                  <c:v>14.666666666666668</c:v>
                </c:pt>
                <c:pt idx="18">
                  <c:v>3.6666666666666665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6</c:v>
                </c:pt>
                <c:pt idx="23">
                  <c:v>35.666666666666671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Mutukula-Kampala'!$C$9:$N$9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Mutukula-Kampala'!$C$107:$N$107</c:f>
              <c:numCache>
                <c:formatCode>0.0%</c:formatCode>
                <c:ptCount val="12"/>
                <c:pt idx="0">
                  <c:v>0.36597110754414142</c:v>
                </c:pt>
                <c:pt idx="1">
                  <c:v>0</c:v>
                </c:pt>
                <c:pt idx="2">
                  <c:v>0</c:v>
                </c:pt>
                <c:pt idx="3">
                  <c:v>0.15810593900481548</c:v>
                </c:pt>
                <c:pt idx="4">
                  <c:v>1.2038523274478335E-2</c:v>
                </c:pt>
                <c:pt idx="5">
                  <c:v>3.4510433386837895E-2</c:v>
                </c:pt>
                <c:pt idx="6">
                  <c:v>5.6179775280898882E-2</c:v>
                </c:pt>
                <c:pt idx="7">
                  <c:v>0.15329052969502413</c:v>
                </c:pt>
                <c:pt idx="8">
                  <c:v>7.3836276083467128E-2</c:v>
                </c:pt>
                <c:pt idx="9">
                  <c:v>0.14606741573033713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Mutukula-Kampala'!$C$9:$N$9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Mutukula-Kampala'!$C$108:$N$108</c:f>
              <c:numCache>
                <c:formatCode>0.00%</c:formatCode>
                <c:ptCount val="12"/>
                <c:pt idx="0">
                  <c:v>0.36597110754414142</c:v>
                </c:pt>
                <c:pt idx="1">
                  <c:v>0</c:v>
                </c:pt>
                <c:pt idx="2">
                  <c:v>0</c:v>
                </c:pt>
                <c:pt idx="3">
                  <c:v>0.15810593900481548</c:v>
                </c:pt>
                <c:pt idx="4">
                  <c:v>1.2038523274478335E-2</c:v>
                </c:pt>
                <c:pt idx="5">
                  <c:v>3.4510433386837895E-2</c:v>
                </c:pt>
                <c:pt idx="6">
                  <c:v>5.6179775280898882E-2</c:v>
                </c:pt>
                <c:pt idx="7">
                  <c:v>0.15329052969502413</c:v>
                </c:pt>
                <c:pt idx="8">
                  <c:v>7.3836276083467128E-2</c:v>
                </c:pt>
                <c:pt idx="9">
                  <c:v>0.14606741573033713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Mutukula-Kampala-2Dir'!$C$9:$N$9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Mutukula-Kampala-2Dir'!$C$107:$N$107</c:f>
              <c:numCache>
                <c:formatCode>0.0%</c:formatCode>
                <c:ptCount val="12"/>
                <c:pt idx="0">
                  <c:v>0.36196798125732144</c:v>
                </c:pt>
                <c:pt idx="1">
                  <c:v>0</c:v>
                </c:pt>
                <c:pt idx="2">
                  <c:v>0</c:v>
                </c:pt>
                <c:pt idx="3">
                  <c:v>0.14525575946895747</c:v>
                </c:pt>
                <c:pt idx="4">
                  <c:v>1.6009371339320577E-2</c:v>
                </c:pt>
                <c:pt idx="5">
                  <c:v>3.709488481062085E-2</c:v>
                </c:pt>
                <c:pt idx="6">
                  <c:v>4.490433424443576E-2</c:v>
                </c:pt>
                <c:pt idx="7">
                  <c:v>0.13900819992190552</c:v>
                </c:pt>
                <c:pt idx="8">
                  <c:v>5.9351815696993368E-2</c:v>
                </c:pt>
                <c:pt idx="9">
                  <c:v>0.15306520890277231</c:v>
                </c:pt>
                <c:pt idx="10">
                  <c:v>4.3342444357672781E-2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Mutukula-Kampala-2Dir'!$C$9:$N$9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Mutukula-Kampala-2Dir'!$C$108:$N$108</c:f>
              <c:numCache>
                <c:formatCode>0.00%</c:formatCode>
                <c:ptCount val="12"/>
                <c:pt idx="0">
                  <c:v>0.37836734693877561</c:v>
                </c:pt>
                <c:pt idx="1">
                  <c:v>0</c:v>
                </c:pt>
                <c:pt idx="2">
                  <c:v>0</c:v>
                </c:pt>
                <c:pt idx="3">
                  <c:v>0.1518367346938776</c:v>
                </c:pt>
                <c:pt idx="4">
                  <c:v>1.673469387755102E-2</c:v>
                </c:pt>
                <c:pt idx="5">
                  <c:v>3.8775510204081633E-2</c:v>
                </c:pt>
                <c:pt idx="6">
                  <c:v>4.6938775510204075E-2</c:v>
                </c:pt>
                <c:pt idx="7">
                  <c:v>0.14530612244897961</c:v>
                </c:pt>
                <c:pt idx="8">
                  <c:v>6.2040816326530621E-2</c:v>
                </c:pt>
                <c:pt idx="9">
                  <c:v>0.15999999999999995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Mutukula-Kampala-2Dir'!$S$9:$AF$9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Mutukula-Kampala-2Dir'!$S$41:$AF$41</c:f>
              <c:numCache>
                <c:formatCode>_-* #,##0_-;\-* #,##0_-;_-* "-"_-;_-@_-</c:formatCode>
                <c:ptCount val="14"/>
                <c:pt idx="0">
                  <c:v>309.00000000000006</c:v>
                </c:pt>
                <c:pt idx="1">
                  <c:v>0</c:v>
                </c:pt>
                <c:pt idx="2">
                  <c:v>0</c:v>
                </c:pt>
                <c:pt idx="3">
                  <c:v>124.00000000000001</c:v>
                </c:pt>
                <c:pt idx="4">
                  <c:v>13.666666666666664</c:v>
                </c:pt>
                <c:pt idx="5">
                  <c:v>31.666666666666668</c:v>
                </c:pt>
                <c:pt idx="6">
                  <c:v>38.333333333333336</c:v>
                </c:pt>
                <c:pt idx="7">
                  <c:v>118.66666666666664</c:v>
                </c:pt>
                <c:pt idx="8">
                  <c:v>50.666666666666671</c:v>
                </c:pt>
                <c:pt idx="9">
                  <c:v>130.66666666666666</c:v>
                </c:pt>
                <c:pt idx="10">
                  <c:v>37</c:v>
                </c:pt>
                <c:pt idx="11">
                  <c:v>0</c:v>
                </c:pt>
                <c:pt idx="12">
                  <c:v>816.66666666666663</c:v>
                </c:pt>
                <c:pt idx="13">
                  <c:v>853.66666666666663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2-4962-9B4B-60F27125881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Mutukula-Kampala-2Dir'!$S$9:$AF$9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Mutukula-Kampala-2Dir'!$S$42:$AF$42</c:f>
              <c:numCache>
                <c:formatCode>0.000</c:formatCode>
                <c:ptCount val="14"/>
                <c:pt idx="0">
                  <c:v>1.5373134328358209</c:v>
                </c:pt>
                <c:pt idx="1">
                  <c:v>0</c:v>
                </c:pt>
                <c:pt idx="2">
                  <c:v>0</c:v>
                </c:pt>
                <c:pt idx="3">
                  <c:v>1.3676470588235292</c:v>
                </c:pt>
                <c:pt idx="4">
                  <c:v>2.2777777777777777</c:v>
                </c:pt>
                <c:pt idx="5">
                  <c:v>1.557377049180328</c:v>
                </c:pt>
                <c:pt idx="6">
                  <c:v>1.716417910447761</c:v>
                </c:pt>
                <c:pt idx="7">
                  <c:v>1.4895397489539748</c:v>
                </c:pt>
                <c:pt idx="8">
                  <c:v>2.0266666666666673</c:v>
                </c:pt>
                <c:pt idx="9">
                  <c:v>2.1420765027322402</c:v>
                </c:pt>
                <c:pt idx="10">
                  <c:v>1</c:v>
                </c:pt>
                <c:pt idx="11">
                  <c:v>0</c:v>
                </c:pt>
                <c:pt idx="12">
                  <c:v>1.6139657444005266</c:v>
                </c:pt>
                <c:pt idx="13">
                  <c:v>1.5721301411909145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E7-4515-9FFA-04D515F744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Mutukula-Kampala-2Dir'!$AE$9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Mutukula-Kampala-2Dir'!$R$10:$R$33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Mutukula-Kampala-2Dir'!$AE$10:$AE$33</c:f>
              <c:numCache>
                <c:formatCode>0</c:formatCode>
                <c:ptCount val="24"/>
                <c:pt idx="0">
                  <c:v>29.666666666666664</c:v>
                </c:pt>
                <c:pt idx="1">
                  <c:v>34.666666666666671</c:v>
                </c:pt>
                <c:pt idx="2">
                  <c:v>64.666666666666657</c:v>
                </c:pt>
                <c:pt idx="3">
                  <c:v>43.333333333333336</c:v>
                </c:pt>
                <c:pt idx="4">
                  <c:v>36.333333333333336</c:v>
                </c:pt>
                <c:pt idx="5">
                  <c:v>37.666666666666671</c:v>
                </c:pt>
                <c:pt idx="6">
                  <c:v>44</c:v>
                </c:pt>
                <c:pt idx="7">
                  <c:v>45.666666666666671</c:v>
                </c:pt>
                <c:pt idx="8">
                  <c:v>36.666666666666664</c:v>
                </c:pt>
                <c:pt idx="9">
                  <c:v>33</c:v>
                </c:pt>
                <c:pt idx="10">
                  <c:v>48.333333333333329</c:v>
                </c:pt>
                <c:pt idx="11">
                  <c:v>52</c:v>
                </c:pt>
                <c:pt idx="12">
                  <c:v>48.333333333333329</c:v>
                </c:pt>
                <c:pt idx="13">
                  <c:v>44</c:v>
                </c:pt>
                <c:pt idx="14">
                  <c:v>35.333333333333329</c:v>
                </c:pt>
                <c:pt idx="15">
                  <c:v>34.666666666666664</c:v>
                </c:pt>
                <c:pt idx="16">
                  <c:v>36</c:v>
                </c:pt>
                <c:pt idx="17">
                  <c:v>31.333333333333329</c:v>
                </c:pt>
                <c:pt idx="18">
                  <c:v>9</c:v>
                </c:pt>
                <c:pt idx="19">
                  <c:v>8.6666666666666661</c:v>
                </c:pt>
                <c:pt idx="20">
                  <c:v>0.66666666666666663</c:v>
                </c:pt>
                <c:pt idx="21">
                  <c:v>0.33333333333333331</c:v>
                </c:pt>
                <c:pt idx="22">
                  <c:v>6.6666666666666661</c:v>
                </c:pt>
                <c:pt idx="23">
                  <c:v>55.666666666666664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F0-4D74-AD57-5C84B0DB482E}"/>
            </c:ext>
          </c:extLst>
        </c:ser>
        <c:ser>
          <c:idx val="1"/>
          <c:order val="1"/>
          <c:tx>
            <c:strRef>
              <c:f>'Avg Week Mutukula-Kampala-2Dir'!$AF$9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Mutukula-Kampala-2Dir'!$R$10:$R$33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Mutukula-Kampala-2Dir'!$AF$10:$AF$33</c:f>
              <c:numCache>
                <c:formatCode>0</c:formatCode>
                <c:ptCount val="24"/>
                <c:pt idx="0">
                  <c:v>31.999999999999996</c:v>
                </c:pt>
                <c:pt idx="1">
                  <c:v>39.000000000000007</c:v>
                </c:pt>
                <c:pt idx="2">
                  <c:v>71.333333333333329</c:v>
                </c:pt>
                <c:pt idx="3">
                  <c:v>49.333333333333336</c:v>
                </c:pt>
                <c:pt idx="4">
                  <c:v>38</c:v>
                </c:pt>
                <c:pt idx="5">
                  <c:v>40.666666666666671</c:v>
                </c:pt>
                <c:pt idx="6">
                  <c:v>47</c:v>
                </c:pt>
                <c:pt idx="7">
                  <c:v>48</c:v>
                </c:pt>
                <c:pt idx="8">
                  <c:v>37.666666666666664</c:v>
                </c:pt>
                <c:pt idx="9">
                  <c:v>33.666666666666671</c:v>
                </c:pt>
                <c:pt idx="10">
                  <c:v>50.333333333333329</c:v>
                </c:pt>
                <c:pt idx="11">
                  <c:v>56</c:v>
                </c:pt>
                <c:pt idx="12">
                  <c:v>48.333333333333329</c:v>
                </c:pt>
                <c:pt idx="13">
                  <c:v>44</c:v>
                </c:pt>
                <c:pt idx="14">
                  <c:v>35.333333333333329</c:v>
                </c:pt>
                <c:pt idx="15">
                  <c:v>34.666666666666664</c:v>
                </c:pt>
                <c:pt idx="16">
                  <c:v>36</c:v>
                </c:pt>
                <c:pt idx="17">
                  <c:v>31.333333333333329</c:v>
                </c:pt>
                <c:pt idx="18">
                  <c:v>9</c:v>
                </c:pt>
                <c:pt idx="19">
                  <c:v>8.6666666666666661</c:v>
                </c:pt>
                <c:pt idx="20">
                  <c:v>0.66666666666666663</c:v>
                </c:pt>
                <c:pt idx="21">
                  <c:v>0.33333333333333331</c:v>
                </c:pt>
                <c:pt idx="22">
                  <c:v>6.6666666666666661</c:v>
                </c:pt>
                <c:pt idx="23">
                  <c:v>55.666666666666664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F0-4D74-AD57-5C84B0DB482E}"/>
            </c:ext>
          </c:extLst>
        </c:ser>
        <c:ser>
          <c:idx val="5"/>
          <c:order val="2"/>
          <c:tx>
            <c:strRef>
              <c:f>'Avg Week Mutukula-Kampala-2Dir'!$AC$9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Mutukula-Kampala-2Dir'!$R$10:$R$33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Mutukula-Kampala-2Dir'!$AC$10:$AC$33</c:f>
              <c:numCache>
                <c:formatCode>0</c:formatCode>
                <c:ptCount val="24"/>
                <c:pt idx="0">
                  <c:v>2.333333333333333</c:v>
                </c:pt>
                <c:pt idx="1">
                  <c:v>4.333333333333333</c:v>
                </c:pt>
                <c:pt idx="2">
                  <c:v>6.6666666666666661</c:v>
                </c:pt>
                <c:pt idx="3">
                  <c:v>6</c:v>
                </c:pt>
                <c:pt idx="4">
                  <c:v>1.6666666666666665</c:v>
                </c:pt>
                <c:pt idx="5">
                  <c:v>3</c:v>
                </c:pt>
                <c:pt idx="6">
                  <c:v>3</c:v>
                </c:pt>
                <c:pt idx="7">
                  <c:v>2.333333333333333</c:v>
                </c:pt>
                <c:pt idx="8">
                  <c:v>1</c:v>
                </c:pt>
                <c:pt idx="9">
                  <c:v>0.66666666666666663</c:v>
                </c:pt>
                <c:pt idx="10">
                  <c:v>2</c:v>
                </c:pt>
                <c:pt idx="11">
                  <c:v>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F0-4D74-AD57-5C84B0DB4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ax val="100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0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1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2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5.jpeg"/><Relationship Id="rId17" Type="http://schemas.openxmlformats.org/officeDocument/2006/relationships/chart" Target="../charts/chart29.xml"/><Relationship Id="rId2" Type="http://schemas.openxmlformats.org/officeDocument/2006/relationships/image" Target="../media/image2.emf"/><Relationship Id="rId16" Type="http://schemas.openxmlformats.org/officeDocument/2006/relationships/chart" Target="../charts/chart28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4.png"/><Relationship Id="rId5" Type="http://schemas.openxmlformats.org/officeDocument/2006/relationships/image" Target="../media/image5.emf"/><Relationship Id="rId15" Type="http://schemas.openxmlformats.org/officeDocument/2006/relationships/chart" Target="../charts/chart27.xml"/><Relationship Id="rId10" Type="http://schemas.openxmlformats.org/officeDocument/2006/relationships/image" Target="../media/image13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88C3C4-BA02-4B7F-9D1C-DF537ACE5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FB271-D084-42F5-97E2-474D67EDF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46E8DE-9FC8-4128-99B2-DC9FF1AA1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64E0DC-A078-4598-A4A6-93D5C965A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D8DF587-E773-486A-AA2F-3C2785173F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0178914-4827-42CA-B4FB-AE774EE8F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C091FA4-DE35-4C23-93A5-17D9C428F2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72EF79-19F4-4E41-A2B4-7A9418831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A1A2522-C218-4803-8CEE-D3E06A314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7D2B327-7E0B-41F6-A9E4-2B9DDC059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A59834C-D97A-4B36-9838-049B75D838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4E32C95-3444-41D6-A34E-1BE04BAA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4C594C27-9ED6-45D3-8E41-FB4C7CB7E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733C530-024A-4EB0-9134-D1325E077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77CCEE4-A9E7-417B-8CF6-3993640D4D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F86D27-A8A4-401B-A697-9926A965F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4BE5C55-361E-48FE-A68C-0781F53392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366A72-246C-4842-B756-1672AE3CE1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7075E56-A9E4-4A3A-AF8D-33A2423C9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A7AE821-47DA-44E1-93C7-E8644F793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7289FC2-6655-4AC6-83C1-67D8095FF4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E984EC0-5765-4AA6-A90A-1058493A38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3309423-BEAA-40CA-8A1B-786C327F2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C10B26-B133-4AE1-A39A-ECEA8A144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2299344-821F-4D8C-B873-8675002FE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BCD49219-680E-4FFF-B99F-C76315417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9448C6C-13BE-43B6-9D02-8C8B5801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AEAF623-377E-49D4-9A2F-8BEAC8B92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029626E-1EEE-4CBC-96ED-11E988C68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1A03E2-F5FF-41A6-AA1D-EAE61CCA2B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A7C1F9-755E-46D8-968A-DE61C67E1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C7FC85-B51F-4348-8C38-E25872E70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A038643-362F-423C-8AF9-E3D7828974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6249DC9-15FA-441C-BFD1-11527B58BE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322192E-095E-4C7F-A54B-4A5A3B69F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8BCB086-A5D2-4030-BBEE-9DFA84B45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8F2696A-4CA2-43E7-AA0B-2661F9828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CA4B94B-28B3-492D-BC0B-8BD4C09FF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A7CB25E-DBC8-434E-9039-FE33B409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87FAC75-5F37-4DDE-83FE-04CF4C2FF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93B5005-DFE8-442D-952B-CCD8A161C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94C5073-48B9-44A9-A58F-4AC5FFAFB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B1914DD-0851-4662-8B7B-C5FBABF62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B3CF811-2F0F-4618-879B-644C2B642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9BCAE1F-0654-41BC-AC0A-483639A51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27</xdr:col>
      <xdr:colOff>682625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23</xdr:col>
      <xdr:colOff>698501</xdr:colOff>
      <xdr:row>58</xdr:row>
      <xdr:rowOff>263525</xdr:rowOff>
    </xdr:from>
    <xdr:to>
      <xdr:col>29</xdr:col>
      <xdr:colOff>659653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58</xdr:row>
      <xdr:rowOff>269875</xdr:rowOff>
    </xdr:from>
    <xdr:to>
      <xdr:col>23</xdr:col>
      <xdr:colOff>698500</xdr:colOff>
      <xdr:row>74</xdr:row>
      <xdr:rowOff>22225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27</xdr:col>
      <xdr:colOff>698500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58</xdr:row>
      <xdr:rowOff>104775</xdr:rowOff>
    </xdr:from>
    <xdr:to>
      <xdr:col>24</xdr:col>
      <xdr:colOff>31750</xdr:colOff>
      <xdr:row>73</xdr:row>
      <xdr:rowOff>127000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95250</xdr:rowOff>
    </xdr:from>
    <xdr:to>
      <xdr:col>30</xdr:col>
      <xdr:colOff>79375</xdr:colOff>
      <xdr:row>73</xdr:row>
      <xdr:rowOff>117475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126999</xdr:colOff>
      <xdr:row>73</xdr:row>
      <xdr:rowOff>247649</xdr:rowOff>
    </xdr:from>
    <xdr:to>
      <xdr:col>24</xdr:col>
      <xdr:colOff>365125</xdr:colOff>
      <xdr:row>90</xdr:row>
      <xdr:rowOff>269874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142875</xdr:colOff>
      <xdr:row>59</xdr:row>
      <xdr:rowOff>1</xdr:rowOff>
    </xdr:from>
    <xdr:to>
      <xdr:col>24</xdr:col>
      <xdr:colOff>365125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381001</xdr:colOff>
      <xdr:row>59</xdr:row>
      <xdr:rowOff>1588</xdr:rowOff>
    </xdr:from>
    <xdr:to>
      <xdr:col>31</xdr:col>
      <xdr:colOff>15876</xdr:colOff>
      <xdr:row>74</xdr:row>
      <xdr:rowOff>15876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8EC04A6-217F-4EE6-9A24-2518195B6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365125</xdr:colOff>
      <xdr:row>73</xdr:row>
      <xdr:rowOff>255586</xdr:rowOff>
    </xdr:from>
    <xdr:to>
      <xdr:col>30</xdr:col>
      <xdr:colOff>698500</xdr:colOff>
      <xdr:row>90</xdr:row>
      <xdr:rowOff>269875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DB3E63-978A-4756-8336-A4759E8477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30</xdr:col>
      <xdr:colOff>698500</xdr:colOff>
      <xdr:row>58</xdr:row>
      <xdr:rowOff>31750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A30B5FB-94EC-45D5-89EB-6AF3B06D25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I21" sqref="I2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57" t="s">
        <v>168</v>
      </c>
      <c r="D3" s="57"/>
      <c r="E3" s="57"/>
      <c r="F3" s="57"/>
      <c r="G3" s="57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">
        <v>165</v>
      </c>
      <c r="E5" s="3"/>
      <c r="F5" s="38" t="s">
        <v>1</v>
      </c>
      <c r="G5" s="58"/>
      <c r="H5" s="59"/>
      <c r="I5" s="14"/>
      <c r="J5" s="2" t="s">
        <v>5</v>
      </c>
      <c r="K5" s="58" t="s">
        <v>169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163</v>
      </c>
      <c r="E6" s="59"/>
      <c r="F6" s="2" t="s">
        <v>2</v>
      </c>
      <c r="G6" s="58" t="s">
        <v>164</v>
      </c>
      <c r="H6" s="59"/>
      <c r="J6" s="2" t="s">
        <v>21</v>
      </c>
      <c r="K6" s="58" t="s">
        <v>169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2</v>
      </c>
      <c r="D10" s="47">
        <v>0</v>
      </c>
      <c r="E10" s="47">
        <v>0</v>
      </c>
      <c r="F10" s="47">
        <v>0</v>
      </c>
      <c r="G10" s="47">
        <v>0</v>
      </c>
      <c r="H10" s="47">
        <v>1</v>
      </c>
      <c r="I10" s="47">
        <v>0</v>
      </c>
      <c r="J10" s="47">
        <v>1</v>
      </c>
      <c r="K10" s="47">
        <v>0</v>
      </c>
      <c r="L10" s="47">
        <v>0</v>
      </c>
      <c r="M10" s="47">
        <v>0</v>
      </c>
      <c r="N10" s="47">
        <v>0</v>
      </c>
      <c r="O10" s="15">
        <f t="shared" ref="O10:O73" si="0">SUM(C10:L10,N10)</f>
        <v>4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28">
        <f t="shared" si="2"/>
        <v>8</v>
      </c>
      <c r="AF10" s="28">
        <f t="shared" si="2"/>
        <v>8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7</v>
      </c>
      <c r="AA11" s="17">
        <f t="shared" si="3"/>
        <v>0</v>
      </c>
      <c r="AB11" s="17">
        <f t="shared" si="3"/>
        <v>2</v>
      </c>
      <c r="AC11" s="17">
        <f t="shared" si="3"/>
        <v>0</v>
      </c>
      <c r="AD11" s="17">
        <f t="shared" si="3"/>
        <v>0</v>
      </c>
      <c r="AE11" s="28">
        <f t="shared" si="3"/>
        <v>20</v>
      </c>
      <c r="AF11" s="28">
        <f t="shared" si="3"/>
        <v>20</v>
      </c>
    </row>
    <row r="12" spans="2:32" ht="23.1" customHeight="1" x14ac:dyDescent="0.25">
      <c r="B12" s="42" t="s">
        <v>39</v>
      </c>
      <c r="C12" s="47">
        <v>3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1</v>
      </c>
      <c r="K12" s="47">
        <v>0</v>
      </c>
      <c r="L12" s="47">
        <v>0</v>
      </c>
      <c r="M12" s="47">
        <v>0</v>
      </c>
      <c r="N12" s="47">
        <v>0</v>
      </c>
      <c r="O12" s="15">
        <f t="shared" si="0"/>
        <v>4</v>
      </c>
      <c r="P12" s="15">
        <f t="shared" si="1"/>
        <v>4</v>
      </c>
      <c r="R12" s="1" t="s">
        <v>8</v>
      </c>
      <c r="S12" s="17">
        <f t="shared" ref="S12:AF12" si="4">SUM(C18:C21)</f>
        <v>12</v>
      </c>
      <c r="T12" s="17">
        <f t="shared" si="4"/>
        <v>0</v>
      </c>
      <c r="U12" s="17">
        <f t="shared" si="4"/>
        <v>0</v>
      </c>
      <c r="V12" s="17">
        <f t="shared" si="4"/>
        <v>9</v>
      </c>
      <c r="W12" s="17">
        <f t="shared" si="4"/>
        <v>0</v>
      </c>
      <c r="X12" s="17">
        <f t="shared" si="4"/>
        <v>2</v>
      </c>
      <c r="Y12" s="17">
        <f t="shared" si="4"/>
        <v>0</v>
      </c>
      <c r="Z12" s="17">
        <f t="shared" si="4"/>
        <v>3</v>
      </c>
      <c r="AA12" s="17">
        <f t="shared" si="4"/>
        <v>2</v>
      </c>
      <c r="AB12" s="17">
        <f t="shared" si="4"/>
        <v>12</v>
      </c>
      <c r="AC12" s="17">
        <f t="shared" si="4"/>
        <v>0</v>
      </c>
      <c r="AD12" s="17">
        <f t="shared" si="4"/>
        <v>0</v>
      </c>
      <c r="AE12" s="28">
        <f t="shared" si="4"/>
        <v>40</v>
      </c>
      <c r="AF12" s="28">
        <f t="shared" si="4"/>
        <v>40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12</v>
      </c>
      <c r="T13" s="17">
        <f t="shared" si="5"/>
        <v>0</v>
      </c>
      <c r="U13" s="17">
        <f t="shared" si="5"/>
        <v>0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10</v>
      </c>
      <c r="AC13" s="17">
        <f t="shared" si="5"/>
        <v>0</v>
      </c>
      <c r="AD13" s="17">
        <f t="shared" si="5"/>
        <v>0</v>
      </c>
      <c r="AE13" s="28">
        <f t="shared" si="5"/>
        <v>28</v>
      </c>
      <c r="AF13" s="28">
        <f t="shared" si="5"/>
        <v>28</v>
      </c>
    </row>
    <row r="14" spans="2:32" ht="23.1" customHeight="1" x14ac:dyDescent="0.25">
      <c r="B14" s="42" t="s">
        <v>41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1</v>
      </c>
      <c r="K14" s="47">
        <v>0</v>
      </c>
      <c r="L14" s="47">
        <v>0</v>
      </c>
      <c r="M14" s="47">
        <v>0</v>
      </c>
      <c r="N14" s="47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28">
        <f t="shared" si="6"/>
        <v>8</v>
      </c>
      <c r="AF14" s="28">
        <f t="shared" si="6"/>
        <v>8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0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9</v>
      </c>
      <c r="AC15" s="17">
        <f t="shared" si="7"/>
        <v>0</v>
      </c>
      <c r="AD15" s="17">
        <f t="shared" si="7"/>
        <v>0</v>
      </c>
      <c r="AE15" s="28">
        <f t="shared" si="7"/>
        <v>18</v>
      </c>
      <c r="AF15" s="28">
        <f t="shared" si="7"/>
        <v>18</v>
      </c>
    </row>
    <row r="16" spans="2:32" ht="23.1" customHeight="1" x14ac:dyDescent="0.25">
      <c r="B16" s="42" t="s">
        <v>43</v>
      </c>
      <c r="C16" s="47">
        <v>8</v>
      </c>
      <c r="D16" s="47">
        <v>0</v>
      </c>
      <c r="E16" s="47">
        <v>0</v>
      </c>
      <c r="F16" s="47">
        <v>2</v>
      </c>
      <c r="G16" s="47">
        <v>0</v>
      </c>
      <c r="H16" s="47">
        <v>1</v>
      </c>
      <c r="I16" s="47">
        <v>0</v>
      </c>
      <c r="J16" s="47">
        <v>6</v>
      </c>
      <c r="K16" s="47">
        <v>0</v>
      </c>
      <c r="L16" s="47">
        <v>2</v>
      </c>
      <c r="M16" s="47">
        <v>0</v>
      </c>
      <c r="N16" s="47">
        <v>0</v>
      </c>
      <c r="O16" s="15">
        <f t="shared" si="0"/>
        <v>19</v>
      </c>
      <c r="P16" s="15">
        <f t="shared" si="1"/>
        <v>19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0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7</v>
      </c>
      <c r="AC16" s="17">
        <f t="shared" si="8"/>
        <v>0</v>
      </c>
      <c r="AD16" s="17">
        <f t="shared" si="8"/>
        <v>0</v>
      </c>
      <c r="AE16" s="28">
        <f t="shared" si="8"/>
        <v>23</v>
      </c>
      <c r="AF16" s="28">
        <f t="shared" si="8"/>
        <v>23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2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28">
        <f t="shared" si="9"/>
        <v>14</v>
      </c>
      <c r="AF17" s="28">
        <f t="shared" si="9"/>
        <v>14</v>
      </c>
    </row>
    <row r="18" spans="2:32" ht="23.1" customHeight="1" x14ac:dyDescent="0.25">
      <c r="B18" s="42" t="s">
        <v>45</v>
      </c>
      <c r="C18" s="47">
        <v>5</v>
      </c>
      <c r="D18" s="47">
        <v>0</v>
      </c>
      <c r="E18" s="47">
        <v>0</v>
      </c>
      <c r="F18" s="47">
        <v>5</v>
      </c>
      <c r="G18" s="47">
        <v>0</v>
      </c>
      <c r="H18" s="47">
        <v>1</v>
      </c>
      <c r="I18" s="47">
        <v>0</v>
      </c>
      <c r="J18" s="47">
        <v>1</v>
      </c>
      <c r="K18" s="47">
        <v>0</v>
      </c>
      <c r="L18" s="47">
        <v>6</v>
      </c>
      <c r="M18" s="47">
        <v>0</v>
      </c>
      <c r="N18" s="47">
        <v>0</v>
      </c>
      <c r="O18" s="15">
        <f t="shared" si="0"/>
        <v>18</v>
      </c>
      <c r="P18" s="15">
        <f t="shared" si="1"/>
        <v>18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0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3</v>
      </c>
      <c r="AA18" s="17">
        <f t="shared" si="10"/>
        <v>1</v>
      </c>
      <c r="AB18" s="17">
        <f t="shared" si="10"/>
        <v>3</v>
      </c>
      <c r="AC18" s="17">
        <f t="shared" si="10"/>
        <v>0</v>
      </c>
      <c r="AD18" s="17">
        <f t="shared" si="10"/>
        <v>0</v>
      </c>
      <c r="AE18" s="28">
        <f t="shared" si="10"/>
        <v>21</v>
      </c>
      <c r="AF18" s="28">
        <f t="shared" si="10"/>
        <v>21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28">
        <f t="shared" si="11"/>
        <v>13</v>
      </c>
      <c r="AF19" s="28">
        <f t="shared" si="11"/>
        <v>13</v>
      </c>
    </row>
    <row r="20" spans="2:32" ht="23.1" customHeight="1" x14ac:dyDescent="0.25">
      <c r="B20" s="42" t="s">
        <v>47</v>
      </c>
      <c r="C20" s="47">
        <v>7</v>
      </c>
      <c r="D20" s="47">
        <v>0</v>
      </c>
      <c r="E20" s="47">
        <v>0</v>
      </c>
      <c r="F20" s="47">
        <v>4</v>
      </c>
      <c r="G20" s="47">
        <v>0</v>
      </c>
      <c r="H20" s="47">
        <v>1</v>
      </c>
      <c r="I20" s="47">
        <v>0</v>
      </c>
      <c r="J20" s="47">
        <v>2</v>
      </c>
      <c r="K20" s="47">
        <v>2</v>
      </c>
      <c r="L20" s="47">
        <v>6</v>
      </c>
      <c r="M20" s="47">
        <v>0</v>
      </c>
      <c r="N20" s="47">
        <v>0</v>
      </c>
      <c r="O20" s="15">
        <f t="shared" si="0"/>
        <v>22</v>
      </c>
      <c r="P20" s="15">
        <f t="shared" si="1"/>
        <v>22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4</v>
      </c>
      <c r="AC20" s="17">
        <f t="shared" si="12"/>
        <v>0</v>
      </c>
      <c r="AD20" s="17">
        <f t="shared" si="12"/>
        <v>0</v>
      </c>
      <c r="AE20" s="28">
        <f t="shared" si="12"/>
        <v>22</v>
      </c>
      <c r="AF20" s="28">
        <f t="shared" si="12"/>
        <v>22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12</v>
      </c>
      <c r="T21" s="17">
        <f t="shared" si="13"/>
        <v>0</v>
      </c>
      <c r="U21" s="17">
        <f t="shared" si="13"/>
        <v>0</v>
      </c>
      <c r="V21" s="17">
        <f t="shared" si="13"/>
        <v>2</v>
      </c>
      <c r="W21" s="17">
        <f t="shared" si="13"/>
        <v>0</v>
      </c>
      <c r="X21" s="17">
        <f t="shared" si="13"/>
        <v>1</v>
      </c>
      <c r="Y21" s="17">
        <f t="shared" si="13"/>
        <v>1</v>
      </c>
      <c r="Z21" s="17">
        <f t="shared" si="13"/>
        <v>6</v>
      </c>
      <c r="AA21" s="17">
        <f t="shared" si="13"/>
        <v>3</v>
      </c>
      <c r="AB21" s="17">
        <f t="shared" si="13"/>
        <v>3</v>
      </c>
      <c r="AC21" s="17">
        <f t="shared" si="13"/>
        <v>0</v>
      </c>
      <c r="AD21" s="17">
        <f t="shared" si="13"/>
        <v>0</v>
      </c>
      <c r="AE21" s="28">
        <f t="shared" si="13"/>
        <v>28</v>
      </c>
      <c r="AF21" s="28">
        <f t="shared" si="13"/>
        <v>28</v>
      </c>
    </row>
    <row r="22" spans="2:32" ht="23.1" customHeight="1" x14ac:dyDescent="0.25">
      <c r="B22" s="42" t="s">
        <v>49</v>
      </c>
      <c r="C22" s="47">
        <v>7</v>
      </c>
      <c r="D22" s="47">
        <v>0</v>
      </c>
      <c r="E22" s="47">
        <v>0</v>
      </c>
      <c r="F22" s="47">
        <v>1</v>
      </c>
      <c r="G22" s="47">
        <v>0</v>
      </c>
      <c r="H22" s="47">
        <v>0</v>
      </c>
      <c r="I22" s="47">
        <v>1</v>
      </c>
      <c r="J22" s="47">
        <v>1</v>
      </c>
      <c r="K22" s="47">
        <v>0</v>
      </c>
      <c r="L22" s="47">
        <v>5</v>
      </c>
      <c r="M22" s="47">
        <v>0</v>
      </c>
      <c r="N22" s="47">
        <v>0</v>
      </c>
      <c r="O22" s="15">
        <f t="shared" si="0"/>
        <v>15</v>
      </c>
      <c r="P22" s="15">
        <f t="shared" si="1"/>
        <v>15</v>
      </c>
      <c r="R22" s="33" t="s">
        <v>146</v>
      </c>
      <c r="S22" s="31">
        <f>SUM(C58:C61)</f>
        <v>19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2</v>
      </c>
      <c r="W22" s="31">
        <f t="shared" si="14"/>
        <v>0</v>
      </c>
      <c r="X22" s="31">
        <f t="shared" si="14"/>
        <v>1</v>
      </c>
      <c r="Y22" s="31">
        <f t="shared" si="14"/>
        <v>0</v>
      </c>
      <c r="Z22" s="31">
        <f t="shared" si="14"/>
        <v>3</v>
      </c>
      <c r="AA22" s="31">
        <f t="shared" si="14"/>
        <v>0</v>
      </c>
      <c r="AB22" s="31">
        <f t="shared" si="14"/>
        <v>4</v>
      </c>
      <c r="AC22" s="31">
        <f t="shared" si="14"/>
        <v>0</v>
      </c>
      <c r="AD22" s="31">
        <f t="shared" si="14"/>
        <v>0</v>
      </c>
      <c r="AE22" s="28">
        <f t="shared" si="14"/>
        <v>29</v>
      </c>
      <c r="AF22" s="28">
        <f t="shared" si="14"/>
        <v>29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11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0</v>
      </c>
      <c r="W23" s="31">
        <f t="shared" si="15"/>
        <v>0</v>
      </c>
      <c r="X23" s="31">
        <f t="shared" si="15"/>
        <v>0</v>
      </c>
      <c r="Y23" s="31">
        <f t="shared" si="15"/>
        <v>0</v>
      </c>
      <c r="Z23" s="31">
        <f t="shared" si="15"/>
        <v>1</v>
      </c>
      <c r="AA23" s="31">
        <f t="shared" si="15"/>
        <v>1</v>
      </c>
      <c r="AB23" s="31">
        <f t="shared" si="15"/>
        <v>2</v>
      </c>
      <c r="AC23" s="31">
        <f t="shared" si="15"/>
        <v>0</v>
      </c>
      <c r="AD23" s="31">
        <f t="shared" si="15"/>
        <v>0</v>
      </c>
      <c r="AE23" s="28">
        <f t="shared" si="15"/>
        <v>15</v>
      </c>
      <c r="AF23" s="28">
        <f t="shared" si="15"/>
        <v>15</v>
      </c>
    </row>
    <row r="24" spans="2:32" ht="23.1" customHeight="1" x14ac:dyDescent="0.25">
      <c r="B24" s="42" t="s">
        <v>51</v>
      </c>
      <c r="C24" s="47">
        <v>5</v>
      </c>
      <c r="D24" s="47">
        <v>0</v>
      </c>
      <c r="E24" s="47">
        <v>0</v>
      </c>
      <c r="F24" s="47">
        <v>2</v>
      </c>
      <c r="G24" s="47">
        <v>0</v>
      </c>
      <c r="H24" s="47">
        <v>0</v>
      </c>
      <c r="I24" s="47">
        <v>0</v>
      </c>
      <c r="J24" s="47">
        <v>1</v>
      </c>
      <c r="K24" s="47">
        <v>0</v>
      </c>
      <c r="L24" s="47">
        <v>5</v>
      </c>
      <c r="M24" s="47">
        <v>0</v>
      </c>
      <c r="N24" s="47">
        <v>0</v>
      </c>
      <c r="O24" s="15">
        <f t="shared" si="0"/>
        <v>13</v>
      </c>
      <c r="P24" s="15">
        <f t="shared" si="1"/>
        <v>13</v>
      </c>
      <c r="R24" s="33" t="s">
        <v>148</v>
      </c>
      <c r="S24" s="31">
        <f>SUM(C66:C69)</f>
        <v>3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1</v>
      </c>
      <c r="W24" s="31">
        <f t="shared" si="16"/>
        <v>0</v>
      </c>
      <c r="X24" s="31">
        <f t="shared" si="16"/>
        <v>0</v>
      </c>
      <c r="Y24" s="31">
        <f t="shared" si="16"/>
        <v>0</v>
      </c>
      <c r="Z24" s="31">
        <f t="shared" si="16"/>
        <v>0</v>
      </c>
      <c r="AA24" s="31">
        <f t="shared" si="16"/>
        <v>0</v>
      </c>
      <c r="AB24" s="31">
        <f t="shared" si="16"/>
        <v>3</v>
      </c>
      <c r="AC24" s="31">
        <f t="shared" si="16"/>
        <v>0</v>
      </c>
      <c r="AD24" s="31">
        <f t="shared" si="16"/>
        <v>0</v>
      </c>
      <c r="AE24" s="28">
        <f t="shared" si="16"/>
        <v>7</v>
      </c>
      <c r="AF24" s="28">
        <f t="shared" si="16"/>
        <v>7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3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1</v>
      </c>
      <c r="W25" s="31">
        <f t="shared" si="17"/>
        <v>0</v>
      </c>
      <c r="X25" s="31">
        <f t="shared" si="17"/>
        <v>1</v>
      </c>
      <c r="Y25" s="31">
        <f t="shared" si="17"/>
        <v>0</v>
      </c>
      <c r="Z25" s="31">
        <f t="shared" si="17"/>
        <v>2</v>
      </c>
      <c r="AA25" s="31">
        <f t="shared" si="17"/>
        <v>1</v>
      </c>
      <c r="AB25" s="31">
        <f t="shared" si="17"/>
        <v>1</v>
      </c>
      <c r="AC25" s="31">
        <f t="shared" si="17"/>
        <v>0</v>
      </c>
      <c r="AD25" s="31">
        <f t="shared" si="17"/>
        <v>0</v>
      </c>
      <c r="AE25" s="28">
        <f t="shared" si="17"/>
        <v>9</v>
      </c>
      <c r="AF25" s="28">
        <f t="shared" si="17"/>
        <v>9</v>
      </c>
    </row>
    <row r="26" spans="2:32" ht="23.1" customHeight="1" x14ac:dyDescent="0.25">
      <c r="B26" s="42" t="s">
        <v>53</v>
      </c>
      <c r="C26" s="47">
        <v>2</v>
      </c>
      <c r="D26" s="47">
        <v>0</v>
      </c>
      <c r="E26" s="47">
        <v>0</v>
      </c>
      <c r="F26" s="47">
        <v>1</v>
      </c>
      <c r="G26" s="47">
        <v>0</v>
      </c>
      <c r="H26" s="47">
        <v>0</v>
      </c>
      <c r="I26" s="47">
        <v>0</v>
      </c>
      <c r="J26" s="47">
        <v>1</v>
      </c>
      <c r="K26" s="47">
        <v>0</v>
      </c>
      <c r="L26" s="47">
        <v>0</v>
      </c>
      <c r="M26" s="47">
        <v>0</v>
      </c>
      <c r="N26" s="47">
        <v>0</v>
      </c>
      <c r="O26" s="15">
        <f t="shared" si="0"/>
        <v>4</v>
      </c>
      <c r="P26" s="15">
        <f t="shared" si="1"/>
        <v>4</v>
      </c>
      <c r="R26" s="33" t="s">
        <v>150</v>
      </c>
      <c r="S26" s="31">
        <f>SUM(C74:C77)</f>
        <v>4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3</v>
      </c>
      <c r="W26" s="31">
        <f t="shared" si="18"/>
        <v>0</v>
      </c>
      <c r="X26" s="31">
        <f t="shared" si="18"/>
        <v>0</v>
      </c>
      <c r="Y26" s="31">
        <f t="shared" si="18"/>
        <v>0</v>
      </c>
      <c r="Z26" s="31">
        <f t="shared" si="18"/>
        <v>1</v>
      </c>
      <c r="AA26" s="31">
        <f t="shared" si="18"/>
        <v>0</v>
      </c>
      <c r="AB26" s="31">
        <f t="shared" si="18"/>
        <v>7</v>
      </c>
      <c r="AC26" s="31">
        <f t="shared" si="18"/>
        <v>0</v>
      </c>
      <c r="AD26" s="31">
        <f t="shared" si="18"/>
        <v>0</v>
      </c>
      <c r="AE26" s="28">
        <f t="shared" si="18"/>
        <v>15</v>
      </c>
      <c r="AF26" s="28">
        <f t="shared" si="18"/>
        <v>15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19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2</v>
      </c>
      <c r="W27" s="31">
        <f t="shared" si="19"/>
        <v>5</v>
      </c>
      <c r="X27" s="31">
        <f t="shared" si="19"/>
        <v>0</v>
      </c>
      <c r="Y27" s="31">
        <f t="shared" si="19"/>
        <v>0</v>
      </c>
      <c r="Z27" s="31">
        <f t="shared" si="19"/>
        <v>2</v>
      </c>
      <c r="AA27" s="31">
        <f t="shared" si="19"/>
        <v>1</v>
      </c>
      <c r="AB27" s="31">
        <f t="shared" si="19"/>
        <v>2</v>
      </c>
      <c r="AC27" s="31">
        <f t="shared" si="19"/>
        <v>0</v>
      </c>
      <c r="AD27" s="31">
        <f t="shared" si="19"/>
        <v>0</v>
      </c>
      <c r="AE27" s="28">
        <f t="shared" si="19"/>
        <v>31</v>
      </c>
      <c r="AF27" s="28">
        <f t="shared" si="19"/>
        <v>31</v>
      </c>
    </row>
    <row r="28" spans="2:32" ht="23.1" customHeight="1" x14ac:dyDescent="0.25">
      <c r="B28" s="42" t="s">
        <v>55</v>
      </c>
      <c r="C28" s="47">
        <v>2</v>
      </c>
      <c r="D28" s="47">
        <v>0</v>
      </c>
      <c r="E28" s="47">
        <v>0</v>
      </c>
      <c r="F28" s="47">
        <v>1</v>
      </c>
      <c r="G28" s="47">
        <v>0</v>
      </c>
      <c r="H28" s="47">
        <v>0</v>
      </c>
      <c r="I28" s="47">
        <v>0</v>
      </c>
      <c r="J28" s="47">
        <v>1</v>
      </c>
      <c r="K28" s="47">
        <v>0</v>
      </c>
      <c r="L28" s="47">
        <v>0</v>
      </c>
      <c r="M28" s="47">
        <v>0</v>
      </c>
      <c r="N28" s="47">
        <v>0</v>
      </c>
      <c r="O28" s="15">
        <f t="shared" si="0"/>
        <v>4</v>
      </c>
      <c r="P28" s="15">
        <f t="shared" si="1"/>
        <v>4</v>
      </c>
      <c r="R28" s="33" t="s">
        <v>152</v>
      </c>
      <c r="S28" s="31">
        <f>SUM(C82:C85)</f>
        <v>0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</v>
      </c>
      <c r="W28" s="31">
        <f t="shared" si="20"/>
        <v>0</v>
      </c>
      <c r="X28" s="31">
        <f t="shared" si="20"/>
        <v>0</v>
      </c>
      <c r="Y28" s="31">
        <f t="shared" si="20"/>
        <v>0</v>
      </c>
      <c r="Z28" s="31">
        <f t="shared" si="20"/>
        <v>0</v>
      </c>
      <c r="AA28" s="31">
        <f t="shared" si="20"/>
        <v>0</v>
      </c>
      <c r="AB28" s="31">
        <f t="shared" si="20"/>
        <v>0</v>
      </c>
      <c r="AC28" s="31">
        <f t="shared" si="20"/>
        <v>0</v>
      </c>
      <c r="AD28" s="31">
        <f t="shared" si="20"/>
        <v>0</v>
      </c>
      <c r="AE28" s="28">
        <f t="shared" si="20"/>
        <v>0</v>
      </c>
      <c r="AF28" s="28">
        <f t="shared" si="20"/>
        <v>0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0</v>
      </c>
      <c r="AA29" s="31">
        <f t="shared" si="21"/>
        <v>0</v>
      </c>
      <c r="AB29" s="31">
        <f t="shared" si="21"/>
        <v>2</v>
      </c>
      <c r="AC29" s="31">
        <f t="shared" si="21"/>
        <v>0</v>
      </c>
      <c r="AD29" s="31">
        <f t="shared" si="21"/>
        <v>0</v>
      </c>
      <c r="AE29" s="28">
        <f t="shared" si="21"/>
        <v>2</v>
      </c>
      <c r="AF29" s="28">
        <f t="shared" si="21"/>
        <v>2</v>
      </c>
    </row>
    <row r="30" spans="2:32" ht="23.1" customHeight="1" x14ac:dyDescent="0.25">
      <c r="B30" s="42" t="s">
        <v>57</v>
      </c>
      <c r="C30" s="47">
        <v>5</v>
      </c>
      <c r="D30" s="47">
        <v>0</v>
      </c>
      <c r="E30" s="47">
        <v>0</v>
      </c>
      <c r="F30" s="47">
        <v>2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>
        <v>2</v>
      </c>
      <c r="M30" s="47">
        <v>0</v>
      </c>
      <c r="N30" s="47">
        <v>0</v>
      </c>
      <c r="O30" s="15">
        <f t="shared" si="0"/>
        <v>9</v>
      </c>
      <c r="P30" s="15">
        <f t="shared" si="1"/>
        <v>9</v>
      </c>
      <c r="R30" s="33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43" t="s">
        <v>59</v>
      </c>
      <c r="C32" s="47">
        <v>1</v>
      </c>
      <c r="D32" s="47">
        <v>0</v>
      </c>
      <c r="E32" s="47">
        <v>0</v>
      </c>
      <c r="F32" s="47">
        <v>1</v>
      </c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7</v>
      </c>
      <c r="M32" s="47">
        <v>0</v>
      </c>
      <c r="N32" s="47">
        <v>0</v>
      </c>
      <c r="O32" s="15">
        <f t="shared" si="0"/>
        <v>9</v>
      </c>
      <c r="P32" s="15">
        <f t="shared" si="1"/>
        <v>9</v>
      </c>
      <c r="R32" s="30" t="s">
        <v>156</v>
      </c>
      <c r="S32" s="31">
        <f>SUM(C98:C101)</f>
        <v>2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2</v>
      </c>
      <c r="AF32" s="28">
        <f t="shared" si="24"/>
        <v>2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10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2</v>
      </c>
      <c r="W33" s="31">
        <f t="shared" si="25"/>
        <v>0</v>
      </c>
      <c r="X33" s="31">
        <f t="shared" si="25"/>
        <v>2</v>
      </c>
      <c r="Y33" s="31">
        <f t="shared" si="25"/>
        <v>0</v>
      </c>
      <c r="Z33" s="31">
        <f t="shared" si="25"/>
        <v>5</v>
      </c>
      <c r="AA33" s="31">
        <f t="shared" si="25"/>
        <v>0</v>
      </c>
      <c r="AB33" s="31">
        <f t="shared" si="25"/>
        <v>3</v>
      </c>
      <c r="AC33" s="31">
        <f t="shared" si="25"/>
        <v>0</v>
      </c>
      <c r="AD33" s="31">
        <f t="shared" si="25"/>
        <v>0</v>
      </c>
      <c r="AE33" s="28">
        <f t="shared" si="25"/>
        <v>22</v>
      </c>
      <c r="AF33" s="28">
        <f t="shared" si="25"/>
        <v>22</v>
      </c>
    </row>
    <row r="34" spans="2:32" ht="23.1" customHeight="1" x14ac:dyDescent="0.25">
      <c r="B34" s="43" t="s">
        <v>61</v>
      </c>
      <c r="C34" s="47">
        <v>4</v>
      </c>
      <c r="D34" s="47">
        <v>0</v>
      </c>
      <c r="E34" s="47">
        <v>0</v>
      </c>
      <c r="F34" s="47">
        <v>3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7</v>
      </c>
      <c r="M34" s="47">
        <v>0</v>
      </c>
      <c r="N34" s="47">
        <v>0</v>
      </c>
      <c r="O34" s="15">
        <f t="shared" si="0"/>
        <v>14</v>
      </c>
      <c r="P34" s="15">
        <f t="shared" si="1"/>
        <v>14</v>
      </c>
      <c r="R34" s="35" t="s">
        <v>90</v>
      </c>
      <c r="S34" s="36">
        <f t="shared" ref="S34:AF34" si="26">MAX(S10:S12)</f>
        <v>12</v>
      </c>
      <c r="T34" s="36">
        <f t="shared" si="26"/>
        <v>0</v>
      </c>
      <c r="U34" s="36">
        <f t="shared" si="26"/>
        <v>0</v>
      </c>
      <c r="V34" s="36">
        <f t="shared" si="26"/>
        <v>9</v>
      </c>
      <c r="W34" s="36">
        <f t="shared" si="26"/>
        <v>0</v>
      </c>
      <c r="X34" s="36">
        <f t="shared" si="26"/>
        <v>2</v>
      </c>
      <c r="Y34" s="36">
        <f t="shared" si="26"/>
        <v>0</v>
      </c>
      <c r="Z34" s="36">
        <f t="shared" si="26"/>
        <v>7</v>
      </c>
      <c r="AA34" s="36">
        <f t="shared" si="26"/>
        <v>2</v>
      </c>
      <c r="AB34" s="36">
        <f t="shared" si="26"/>
        <v>12</v>
      </c>
      <c r="AC34" s="36">
        <f t="shared" si="26"/>
        <v>0</v>
      </c>
      <c r="AD34" s="36">
        <f t="shared" si="26"/>
        <v>0</v>
      </c>
      <c r="AE34" s="37">
        <f t="shared" si="26"/>
        <v>40</v>
      </c>
      <c r="AF34" s="37">
        <f t="shared" si="26"/>
        <v>40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12</v>
      </c>
      <c r="T35" s="36">
        <f t="shared" si="27"/>
        <v>0</v>
      </c>
      <c r="U35" s="36">
        <f t="shared" si="27"/>
        <v>0</v>
      </c>
      <c r="V35" s="36">
        <f t="shared" si="27"/>
        <v>6</v>
      </c>
      <c r="W35" s="36">
        <f t="shared" si="27"/>
        <v>0</v>
      </c>
      <c r="X35" s="36">
        <f t="shared" si="27"/>
        <v>1</v>
      </c>
      <c r="Y35" s="36">
        <f t="shared" si="27"/>
        <v>4</v>
      </c>
      <c r="Z35" s="36">
        <f t="shared" si="27"/>
        <v>3</v>
      </c>
      <c r="AA35" s="36">
        <f t="shared" si="27"/>
        <v>2</v>
      </c>
      <c r="AB35" s="36">
        <f t="shared" si="27"/>
        <v>10</v>
      </c>
      <c r="AC35" s="36">
        <f t="shared" si="27"/>
        <v>0</v>
      </c>
      <c r="AD35" s="36">
        <f t="shared" si="27"/>
        <v>0</v>
      </c>
      <c r="AE35" s="37">
        <f t="shared" si="27"/>
        <v>28</v>
      </c>
      <c r="AF35" s="37">
        <f t="shared" si="27"/>
        <v>28</v>
      </c>
    </row>
    <row r="36" spans="2:32" ht="23.1" customHeight="1" x14ac:dyDescent="0.25">
      <c r="B36" s="43" t="s">
        <v>63</v>
      </c>
      <c r="C36" s="47">
        <v>2</v>
      </c>
      <c r="D36" s="47">
        <v>0</v>
      </c>
      <c r="E36" s="47">
        <v>0</v>
      </c>
      <c r="F36" s="47">
        <v>2</v>
      </c>
      <c r="G36" s="47">
        <v>0</v>
      </c>
      <c r="H36" s="47">
        <v>0</v>
      </c>
      <c r="I36" s="47">
        <v>4</v>
      </c>
      <c r="J36" s="47">
        <v>1</v>
      </c>
      <c r="K36" s="47">
        <v>0</v>
      </c>
      <c r="L36" s="47">
        <v>0</v>
      </c>
      <c r="M36" s="47">
        <v>0</v>
      </c>
      <c r="N36" s="47">
        <v>0</v>
      </c>
      <c r="O36" s="15">
        <f t="shared" si="0"/>
        <v>9</v>
      </c>
      <c r="P36" s="15">
        <f t="shared" si="1"/>
        <v>9</v>
      </c>
      <c r="R36" s="35" t="s">
        <v>92</v>
      </c>
      <c r="S36" s="36">
        <f t="shared" ref="S36:AF36" si="28">MAX(S19:S21)</f>
        <v>12</v>
      </c>
      <c r="T36" s="36">
        <f t="shared" si="28"/>
        <v>0</v>
      </c>
      <c r="U36" s="36">
        <f t="shared" si="28"/>
        <v>0</v>
      </c>
      <c r="V36" s="36">
        <f t="shared" si="28"/>
        <v>3</v>
      </c>
      <c r="W36" s="36">
        <f t="shared" si="28"/>
        <v>0</v>
      </c>
      <c r="X36" s="36">
        <f t="shared" si="28"/>
        <v>1</v>
      </c>
      <c r="Y36" s="36">
        <f t="shared" si="28"/>
        <v>1</v>
      </c>
      <c r="Z36" s="36">
        <f t="shared" si="28"/>
        <v>6</v>
      </c>
      <c r="AA36" s="36">
        <f t="shared" si="28"/>
        <v>3</v>
      </c>
      <c r="AB36" s="36">
        <f t="shared" si="28"/>
        <v>4</v>
      </c>
      <c r="AC36" s="36">
        <f t="shared" si="28"/>
        <v>0</v>
      </c>
      <c r="AD36" s="36">
        <f t="shared" si="28"/>
        <v>0</v>
      </c>
      <c r="AE36" s="37">
        <f t="shared" si="28"/>
        <v>28</v>
      </c>
      <c r="AF36" s="37">
        <f t="shared" si="28"/>
        <v>28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25</v>
      </c>
      <c r="T37" s="16">
        <f t="shared" si="29"/>
        <v>0</v>
      </c>
      <c r="U37" s="16">
        <f t="shared" si="29"/>
        <v>0</v>
      </c>
      <c r="V37" s="16">
        <f t="shared" si="29"/>
        <v>11</v>
      </c>
      <c r="W37" s="16">
        <f t="shared" si="29"/>
        <v>0</v>
      </c>
      <c r="X37" s="16">
        <f t="shared" si="29"/>
        <v>4</v>
      </c>
      <c r="Y37" s="16">
        <f t="shared" si="29"/>
        <v>0</v>
      </c>
      <c r="Z37" s="16">
        <f t="shared" si="29"/>
        <v>12</v>
      </c>
      <c r="AA37" s="16">
        <f t="shared" si="29"/>
        <v>2</v>
      </c>
      <c r="AB37" s="16">
        <f t="shared" si="29"/>
        <v>14</v>
      </c>
      <c r="AC37" s="16">
        <f t="shared" si="29"/>
        <v>0</v>
      </c>
      <c r="AD37" s="16">
        <f t="shared" si="29"/>
        <v>0</v>
      </c>
      <c r="AE37" s="29">
        <f t="shared" si="29"/>
        <v>68</v>
      </c>
      <c r="AF37" s="29">
        <f t="shared" si="29"/>
        <v>68</v>
      </c>
    </row>
    <row r="38" spans="2:32" ht="23.1" customHeight="1" x14ac:dyDescent="0.25">
      <c r="B38" s="43" t="s">
        <v>65</v>
      </c>
      <c r="C38" s="47">
        <v>4</v>
      </c>
      <c r="D38" s="47">
        <v>0</v>
      </c>
      <c r="E38" s="47">
        <v>0</v>
      </c>
      <c r="F38" s="47">
        <v>0</v>
      </c>
      <c r="G38" s="47">
        <v>0</v>
      </c>
      <c r="H38" s="47">
        <v>0</v>
      </c>
      <c r="I38" s="47">
        <v>1</v>
      </c>
      <c r="J38" s="47">
        <v>0</v>
      </c>
      <c r="K38" s="47">
        <v>0</v>
      </c>
      <c r="L38" s="47">
        <v>0</v>
      </c>
      <c r="M38" s="47">
        <v>0</v>
      </c>
      <c r="N38" s="47">
        <v>0</v>
      </c>
      <c r="O38" s="15">
        <f t="shared" si="0"/>
        <v>5</v>
      </c>
      <c r="P38" s="15">
        <f t="shared" si="1"/>
        <v>5</v>
      </c>
      <c r="R38" s="25" t="s">
        <v>86</v>
      </c>
      <c r="S38" s="16">
        <f t="shared" ref="S38:AF38" si="30">SUM(S13:S18)</f>
        <v>45</v>
      </c>
      <c r="T38" s="16">
        <f t="shared" si="30"/>
        <v>0</v>
      </c>
      <c r="U38" s="16">
        <f t="shared" si="30"/>
        <v>0</v>
      </c>
      <c r="V38" s="16">
        <f t="shared" si="30"/>
        <v>20</v>
      </c>
      <c r="W38" s="16">
        <f t="shared" si="30"/>
        <v>0</v>
      </c>
      <c r="X38" s="16">
        <f t="shared" si="30"/>
        <v>1</v>
      </c>
      <c r="Y38" s="16">
        <f t="shared" si="30"/>
        <v>6</v>
      </c>
      <c r="Z38" s="16">
        <f t="shared" si="30"/>
        <v>8</v>
      </c>
      <c r="AA38" s="16">
        <f t="shared" si="30"/>
        <v>3</v>
      </c>
      <c r="AB38" s="16">
        <f t="shared" si="30"/>
        <v>29</v>
      </c>
      <c r="AC38" s="16">
        <f t="shared" si="30"/>
        <v>0</v>
      </c>
      <c r="AD38" s="16">
        <f t="shared" si="30"/>
        <v>0</v>
      </c>
      <c r="AE38" s="29">
        <f t="shared" si="30"/>
        <v>112</v>
      </c>
      <c r="AF38" s="29">
        <f t="shared" si="30"/>
        <v>112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30</v>
      </c>
      <c r="T39" s="16">
        <f t="shared" si="31"/>
        <v>0</v>
      </c>
      <c r="U39" s="16">
        <f t="shared" si="31"/>
        <v>0</v>
      </c>
      <c r="V39" s="16">
        <f t="shared" si="31"/>
        <v>6</v>
      </c>
      <c r="W39" s="16">
        <f t="shared" si="31"/>
        <v>0</v>
      </c>
      <c r="X39" s="16">
        <f t="shared" si="31"/>
        <v>2</v>
      </c>
      <c r="Y39" s="16">
        <f t="shared" si="31"/>
        <v>3</v>
      </c>
      <c r="Z39" s="16">
        <f t="shared" si="31"/>
        <v>12</v>
      </c>
      <c r="AA39" s="16">
        <f t="shared" si="31"/>
        <v>3</v>
      </c>
      <c r="AB39" s="16">
        <f t="shared" si="31"/>
        <v>7</v>
      </c>
      <c r="AC39" s="16">
        <f t="shared" si="31"/>
        <v>0</v>
      </c>
      <c r="AD39" s="16">
        <f t="shared" si="31"/>
        <v>0</v>
      </c>
      <c r="AE39" s="29">
        <f t="shared" si="31"/>
        <v>63</v>
      </c>
      <c r="AF39" s="29">
        <f t="shared" si="31"/>
        <v>63</v>
      </c>
    </row>
    <row r="40" spans="2:32" ht="23.1" customHeight="1" x14ac:dyDescent="0.25">
      <c r="B40" s="43" t="s">
        <v>67</v>
      </c>
      <c r="C40" s="47">
        <v>6</v>
      </c>
      <c r="D40" s="47">
        <v>0</v>
      </c>
      <c r="E40" s="47">
        <v>0</v>
      </c>
      <c r="F40" s="47">
        <v>1</v>
      </c>
      <c r="G40" s="47">
        <v>0</v>
      </c>
      <c r="H40" s="47">
        <v>0</v>
      </c>
      <c r="I40" s="47">
        <v>0</v>
      </c>
      <c r="J40" s="47">
        <v>0</v>
      </c>
      <c r="K40" s="47">
        <v>2</v>
      </c>
      <c r="L40" s="47">
        <v>0</v>
      </c>
      <c r="M40" s="47">
        <v>0</v>
      </c>
      <c r="N40" s="47">
        <v>0</v>
      </c>
      <c r="O40" s="15">
        <f t="shared" si="0"/>
        <v>9</v>
      </c>
      <c r="P40" s="15">
        <f t="shared" si="1"/>
        <v>9</v>
      </c>
      <c r="R40" s="5" t="s">
        <v>17</v>
      </c>
      <c r="S40" s="16">
        <f t="shared" ref="S40:AF40" si="32">SUM(S10:S21)</f>
        <v>100</v>
      </c>
      <c r="T40" s="16">
        <f t="shared" si="32"/>
        <v>0</v>
      </c>
      <c r="U40" s="16">
        <f t="shared" si="32"/>
        <v>0</v>
      </c>
      <c r="V40" s="16">
        <f t="shared" si="32"/>
        <v>37</v>
      </c>
      <c r="W40" s="16">
        <f t="shared" si="32"/>
        <v>0</v>
      </c>
      <c r="X40" s="16">
        <f t="shared" si="32"/>
        <v>7</v>
      </c>
      <c r="Y40" s="16">
        <f t="shared" si="32"/>
        <v>9</v>
      </c>
      <c r="Z40" s="16">
        <f t="shared" si="32"/>
        <v>32</v>
      </c>
      <c r="AA40" s="16">
        <f t="shared" si="32"/>
        <v>8</v>
      </c>
      <c r="AB40" s="16">
        <f t="shared" si="32"/>
        <v>50</v>
      </c>
      <c r="AC40" s="16">
        <f t="shared" si="32"/>
        <v>0</v>
      </c>
      <c r="AD40" s="16">
        <f t="shared" si="32"/>
        <v>0</v>
      </c>
      <c r="AE40" s="29">
        <f t="shared" si="32"/>
        <v>243</v>
      </c>
      <c r="AF40" s="29">
        <f t="shared" si="32"/>
        <v>243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171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48</v>
      </c>
      <c r="W41" s="16">
        <f t="shared" si="33"/>
        <v>5</v>
      </c>
      <c r="X41" s="16">
        <f t="shared" si="33"/>
        <v>11</v>
      </c>
      <c r="Y41" s="16">
        <f t="shared" si="33"/>
        <v>9</v>
      </c>
      <c r="Z41" s="16">
        <f t="shared" si="33"/>
        <v>46</v>
      </c>
      <c r="AA41" s="16">
        <f t="shared" si="33"/>
        <v>11</v>
      </c>
      <c r="AB41" s="16">
        <f t="shared" si="33"/>
        <v>74</v>
      </c>
      <c r="AC41" s="16">
        <f t="shared" si="33"/>
        <v>0</v>
      </c>
      <c r="AD41" s="16">
        <f t="shared" si="33"/>
        <v>0</v>
      </c>
      <c r="AE41" s="29">
        <f t="shared" si="33"/>
        <v>375</v>
      </c>
      <c r="AF41" s="29">
        <f t="shared" si="33"/>
        <v>375</v>
      </c>
    </row>
    <row r="42" spans="2:32" ht="23.1" customHeight="1" x14ac:dyDescent="0.25">
      <c r="B42" s="43" t="s">
        <v>69</v>
      </c>
      <c r="C42" s="47">
        <v>3</v>
      </c>
      <c r="D42" s="47">
        <v>0</v>
      </c>
      <c r="E42" s="47">
        <v>0</v>
      </c>
      <c r="F42" s="47">
        <v>4</v>
      </c>
      <c r="G42" s="47">
        <v>0</v>
      </c>
      <c r="H42" s="47">
        <v>1</v>
      </c>
      <c r="I42" s="47">
        <v>0</v>
      </c>
      <c r="J42" s="47">
        <v>2</v>
      </c>
      <c r="K42" s="47">
        <v>1</v>
      </c>
      <c r="L42" s="47">
        <v>2</v>
      </c>
      <c r="M42" s="47">
        <v>0</v>
      </c>
      <c r="N42" s="47">
        <v>0</v>
      </c>
      <c r="O42" s="15">
        <f t="shared" si="0"/>
        <v>13</v>
      </c>
      <c r="P42" s="15">
        <f t="shared" si="1"/>
        <v>13</v>
      </c>
      <c r="R42" s="5" t="s">
        <v>160</v>
      </c>
      <c r="S42" s="45">
        <f>S41/S40</f>
        <v>1.71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1.2972972972972974</v>
      </c>
      <c r="W42" s="45" t="e">
        <f t="shared" si="34"/>
        <v>#DIV/0!</v>
      </c>
      <c r="X42" s="45">
        <f t="shared" si="34"/>
        <v>1.5714285714285714</v>
      </c>
      <c r="Y42" s="45">
        <f t="shared" si="34"/>
        <v>1</v>
      </c>
      <c r="Z42" s="45">
        <f t="shared" si="34"/>
        <v>1.4375</v>
      </c>
      <c r="AA42" s="45">
        <f t="shared" si="34"/>
        <v>1.375</v>
      </c>
      <c r="AB42" s="45">
        <f t="shared" si="34"/>
        <v>1.48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1.5432098765432098</v>
      </c>
      <c r="AF42" s="45">
        <f t="shared" si="34"/>
        <v>1.5432098765432098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4</v>
      </c>
      <c r="D44" s="47">
        <v>0</v>
      </c>
      <c r="E44" s="47">
        <v>0</v>
      </c>
      <c r="F44" s="47">
        <v>2</v>
      </c>
      <c r="G44" s="47">
        <v>0</v>
      </c>
      <c r="H44" s="47">
        <v>0</v>
      </c>
      <c r="I44" s="47">
        <v>0</v>
      </c>
      <c r="J44" s="47">
        <v>1</v>
      </c>
      <c r="K44" s="47">
        <v>0</v>
      </c>
      <c r="L44" s="47">
        <v>1</v>
      </c>
      <c r="M44" s="47">
        <v>0</v>
      </c>
      <c r="N44" s="47">
        <v>0</v>
      </c>
      <c r="O44" s="15">
        <f t="shared" si="0"/>
        <v>8</v>
      </c>
      <c r="P44" s="15">
        <f t="shared" si="1"/>
        <v>8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4</v>
      </c>
      <c r="D46" s="47">
        <v>0</v>
      </c>
      <c r="E46" s="47">
        <v>0</v>
      </c>
      <c r="F46" s="47">
        <v>1</v>
      </c>
      <c r="G46" s="47">
        <v>0</v>
      </c>
      <c r="H46" s="47">
        <v>1</v>
      </c>
      <c r="I46" s="47">
        <v>1</v>
      </c>
      <c r="J46" s="47">
        <v>3</v>
      </c>
      <c r="K46" s="47">
        <v>0</v>
      </c>
      <c r="L46" s="47">
        <v>0</v>
      </c>
      <c r="M46" s="47">
        <v>0</v>
      </c>
      <c r="N46" s="47">
        <v>0</v>
      </c>
      <c r="O46" s="15">
        <f t="shared" si="0"/>
        <v>10</v>
      </c>
      <c r="P46" s="15">
        <f t="shared" si="1"/>
        <v>10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2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1</v>
      </c>
      <c r="K48" s="47">
        <v>0</v>
      </c>
      <c r="L48" s="47">
        <v>0</v>
      </c>
      <c r="M48" s="47">
        <v>0</v>
      </c>
      <c r="N48" s="47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6</v>
      </c>
      <c r="D50" s="47">
        <v>0</v>
      </c>
      <c r="E50" s="47">
        <v>0</v>
      </c>
      <c r="F50" s="47">
        <v>1</v>
      </c>
      <c r="G50" s="47">
        <v>0</v>
      </c>
      <c r="H50" s="47">
        <v>0</v>
      </c>
      <c r="I50" s="47">
        <v>1</v>
      </c>
      <c r="J50" s="47">
        <v>2</v>
      </c>
      <c r="K50" s="47">
        <v>0</v>
      </c>
      <c r="L50" s="47">
        <v>1</v>
      </c>
      <c r="M50" s="47">
        <v>0</v>
      </c>
      <c r="N50" s="47">
        <v>0</v>
      </c>
      <c r="O50" s="15">
        <f t="shared" si="0"/>
        <v>11</v>
      </c>
      <c r="P50" s="15">
        <f t="shared" si="1"/>
        <v>11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6</v>
      </c>
      <c r="D52" s="47">
        <v>0</v>
      </c>
      <c r="E52" s="47">
        <v>0</v>
      </c>
      <c r="F52" s="47">
        <v>2</v>
      </c>
      <c r="G52" s="47">
        <v>0</v>
      </c>
      <c r="H52" s="47">
        <v>0</v>
      </c>
      <c r="I52" s="47">
        <v>0</v>
      </c>
      <c r="J52" s="47">
        <v>0</v>
      </c>
      <c r="K52" s="47">
        <v>0</v>
      </c>
      <c r="L52" s="47">
        <v>3</v>
      </c>
      <c r="M52" s="47">
        <v>0</v>
      </c>
      <c r="N52" s="47">
        <v>0</v>
      </c>
      <c r="O52" s="15">
        <f t="shared" si="0"/>
        <v>11</v>
      </c>
      <c r="P52" s="15">
        <f t="shared" si="1"/>
        <v>11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4</v>
      </c>
      <c r="D54" s="47">
        <v>0</v>
      </c>
      <c r="E54" s="47">
        <v>0</v>
      </c>
      <c r="F54" s="47">
        <v>1</v>
      </c>
      <c r="G54" s="47">
        <v>0</v>
      </c>
      <c r="H54" s="47">
        <v>1</v>
      </c>
      <c r="I54" s="47">
        <v>0</v>
      </c>
      <c r="J54" s="47">
        <v>2</v>
      </c>
      <c r="K54" s="47">
        <v>1</v>
      </c>
      <c r="L54" s="47">
        <v>3</v>
      </c>
      <c r="M54" s="47">
        <v>0</v>
      </c>
      <c r="N54" s="47">
        <v>0</v>
      </c>
      <c r="O54" s="15">
        <f t="shared" si="0"/>
        <v>12</v>
      </c>
      <c r="P54" s="15">
        <f t="shared" si="1"/>
        <v>12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8</v>
      </c>
      <c r="D56" s="47">
        <v>0</v>
      </c>
      <c r="E56" s="47">
        <v>0</v>
      </c>
      <c r="F56" s="47">
        <v>1</v>
      </c>
      <c r="G56" s="47">
        <v>0</v>
      </c>
      <c r="H56" s="47">
        <v>0</v>
      </c>
      <c r="I56" s="47">
        <v>1</v>
      </c>
      <c r="J56" s="47">
        <v>4</v>
      </c>
      <c r="K56" s="47">
        <v>2</v>
      </c>
      <c r="L56" s="47">
        <v>0</v>
      </c>
      <c r="M56" s="47">
        <v>0</v>
      </c>
      <c r="N56" s="47">
        <v>0</v>
      </c>
      <c r="O56" s="15">
        <f t="shared" si="0"/>
        <v>16</v>
      </c>
      <c r="P56" s="15">
        <f t="shared" si="1"/>
        <v>16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7</v>
      </c>
      <c r="D58" s="47">
        <v>0</v>
      </c>
      <c r="E58" s="47">
        <v>0</v>
      </c>
      <c r="F58" s="47">
        <v>1</v>
      </c>
      <c r="G58" s="47">
        <v>0</v>
      </c>
      <c r="H58" s="47">
        <v>0</v>
      </c>
      <c r="I58" s="47">
        <v>0</v>
      </c>
      <c r="J58" s="47">
        <v>1</v>
      </c>
      <c r="K58" s="47">
        <v>0</v>
      </c>
      <c r="L58" s="47">
        <v>1</v>
      </c>
      <c r="M58" s="47">
        <v>0</v>
      </c>
      <c r="N58" s="47">
        <v>0</v>
      </c>
      <c r="O58" s="15">
        <f t="shared" si="0"/>
        <v>10</v>
      </c>
      <c r="P58" s="15">
        <f t="shared" si="1"/>
        <v>10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12</v>
      </c>
      <c r="D60" s="47">
        <v>0</v>
      </c>
      <c r="E60" s="47">
        <v>0</v>
      </c>
      <c r="F60" s="47">
        <v>1</v>
      </c>
      <c r="G60" s="47">
        <v>0</v>
      </c>
      <c r="H60" s="47">
        <v>1</v>
      </c>
      <c r="I60" s="47">
        <v>0</v>
      </c>
      <c r="J60" s="47">
        <v>2</v>
      </c>
      <c r="K60" s="47">
        <v>0</v>
      </c>
      <c r="L60" s="47">
        <v>3</v>
      </c>
      <c r="M60" s="47">
        <v>0</v>
      </c>
      <c r="N60" s="47">
        <v>0</v>
      </c>
      <c r="O60" s="15">
        <f t="shared" si="0"/>
        <v>19</v>
      </c>
      <c r="P60" s="15">
        <f t="shared" si="1"/>
        <v>19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7</v>
      </c>
      <c r="D62" s="47">
        <v>0</v>
      </c>
      <c r="E62" s="47">
        <v>0</v>
      </c>
      <c r="F62" s="47">
        <v>0</v>
      </c>
      <c r="G62" s="47">
        <v>0</v>
      </c>
      <c r="H62" s="47">
        <v>0</v>
      </c>
      <c r="I62" s="47">
        <v>0</v>
      </c>
      <c r="J62" s="47">
        <v>1</v>
      </c>
      <c r="K62" s="47">
        <v>1</v>
      </c>
      <c r="L62" s="47">
        <v>0</v>
      </c>
      <c r="M62" s="47">
        <v>0</v>
      </c>
      <c r="N62" s="47">
        <v>0</v>
      </c>
      <c r="O62" s="15">
        <f t="shared" si="0"/>
        <v>9</v>
      </c>
      <c r="P62" s="15">
        <f t="shared" si="1"/>
        <v>9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4</v>
      </c>
      <c r="D64" s="47">
        <v>0</v>
      </c>
      <c r="E64" s="47">
        <v>0</v>
      </c>
      <c r="F64" s="47">
        <v>0</v>
      </c>
      <c r="G64" s="47">
        <v>0</v>
      </c>
      <c r="H64" s="47">
        <v>0</v>
      </c>
      <c r="I64" s="47">
        <v>0</v>
      </c>
      <c r="J64" s="47">
        <v>0</v>
      </c>
      <c r="K64" s="47">
        <v>0</v>
      </c>
      <c r="L64" s="47">
        <v>2</v>
      </c>
      <c r="M64" s="47">
        <v>0</v>
      </c>
      <c r="N64" s="47">
        <v>0</v>
      </c>
      <c r="O64" s="15">
        <f t="shared" si="0"/>
        <v>6</v>
      </c>
      <c r="P64" s="15">
        <f t="shared" si="1"/>
        <v>6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2</v>
      </c>
      <c r="D66" s="47">
        <v>0</v>
      </c>
      <c r="E66" s="47">
        <v>0</v>
      </c>
      <c r="F66" s="47">
        <v>1</v>
      </c>
      <c r="G66" s="47">
        <v>0</v>
      </c>
      <c r="H66" s="47">
        <v>0</v>
      </c>
      <c r="I66" s="47">
        <v>0</v>
      </c>
      <c r="J66" s="47">
        <v>0</v>
      </c>
      <c r="K66" s="47">
        <v>0</v>
      </c>
      <c r="L66" s="47">
        <v>1</v>
      </c>
      <c r="M66" s="47">
        <v>0</v>
      </c>
      <c r="N66" s="47">
        <v>0</v>
      </c>
      <c r="O66" s="15">
        <f t="shared" si="0"/>
        <v>4</v>
      </c>
      <c r="P66" s="15">
        <f t="shared" si="1"/>
        <v>4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1</v>
      </c>
      <c r="D68" s="47">
        <v>0</v>
      </c>
      <c r="E68" s="47">
        <v>0</v>
      </c>
      <c r="F68" s="47">
        <v>0</v>
      </c>
      <c r="G68" s="47">
        <v>0</v>
      </c>
      <c r="H68" s="47">
        <v>0</v>
      </c>
      <c r="I68" s="47">
        <v>0</v>
      </c>
      <c r="J68" s="47">
        <v>0</v>
      </c>
      <c r="K68" s="47">
        <v>0</v>
      </c>
      <c r="L68" s="47">
        <v>2</v>
      </c>
      <c r="M68" s="47">
        <v>0</v>
      </c>
      <c r="N68" s="47">
        <v>0</v>
      </c>
      <c r="O68" s="15">
        <f t="shared" si="0"/>
        <v>3</v>
      </c>
      <c r="P68" s="15">
        <f t="shared" si="1"/>
        <v>3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3</v>
      </c>
      <c r="D70" s="47">
        <v>0</v>
      </c>
      <c r="E70" s="47">
        <v>0</v>
      </c>
      <c r="F70" s="47">
        <v>0</v>
      </c>
      <c r="G70" s="47">
        <v>0</v>
      </c>
      <c r="H70" s="47">
        <v>0</v>
      </c>
      <c r="I70" s="47">
        <v>0</v>
      </c>
      <c r="J70" s="47">
        <v>0</v>
      </c>
      <c r="K70" s="47">
        <v>1</v>
      </c>
      <c r="L70" s="47">
        <v>0</v>
      </c>
      <c r="M70" s="47">
        <v>0</v>
      </c>
      <c r="N70" s="47">
        <v>0</v>
      </c>
      <c r="O70" s="15">
        <f t="shared" si="0"/>
        <v>4</v>
      </c>
      <c r="P70" s="15">
        <f t="shared" si="1"/>
        <v>4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0</v>
      </c>
      <c r="D72" s="47">
        <v>0</v>
      </c>
      <c r="E72" s="47">
        <v>0</v>
      </c>
      <c r="F72" s="47">
        <v>1</v>
      </c>
      <c r="G72" s="47">
        <v>0</v>
      </c>
      <c r="H72" s="47">
        <v>1</v>
      </c>
      <c r="I72" s="47">
        <v>0</v>
      </c>
      <c r="J72" s="47">
        <v>2</v>
      </c>
      <c r="K72" s="47">
        <v>0</v>
      </c>
      <c r="L72" s="47">
        <v>1</v>
      </c>
      <c r="M72" s="47">
        <v>0</v>
      </c>
      <c r="N72" s="47">
        <v>0</v>
      </c>
      <c r="O72" s="15">
        <f t="shared" si="0"/>
        <v>5</v>
      </c>
      <c r="P72" s="15">
        <f t="shared" si="1"/>
        <v>5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2</v>
      </c>
      <c r="D74" s="47">
        <v>0</v>
      </c>
      <c r="E74" s="47">
        <v>0</v>
      </c>
      <c r="F74" s="47">
        <v>2</v>
      </c>
      <c r="G74" s="47">
        <v>0</v>
      </c>
      <c r="H74" s="47">
        <v>0</v>
      </c>
      <c r="I74" s="47">
        <v>0</v>
      </c>
      <c r="J74" s="47">
        <v>0</v>
      </c>
      <c r="K74" s="47">
        <v>0</v>
      </c>
      <c r="L74" s="47">
        <v>6</v>
      </c>
      <c r="M74" s="47">
        <v>0</v>
      </c>
      <c r="N74" s="47">
        <v>0</v>
      </c>
      <c r="O74" s="15">
        <f t="shared" ref="O74:O105" si="35">SUM(C74:L74,N74)</f>
        <v>10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2</v>
      </c>
      <c r="D76" s="47">
        <v>0</v>
      </c>
      <c r="E76" s="47">
        <v>0</v>
      </c>
      <c r="F76" s="47">
        <v>1</v>
      </c>
      <c r="G76" s="47">
        <v>0</v>
      </c>
      <c r="H76" s="47">
        <v>0</v>
      </c>
      <c r="I76" s="47">
        <v>0</v>
      </c>
      <c r="J76" s="47">
        <v>1</v>
      </c>
      <c r="K76" s="47">
        <v>0</v>
      </c>
      <c r="L76" s="47">
        <v>1</v>
      </c>
      <c r="M76" s="47">
        <v>0</v>
      </c>
      <c r="N76" s="47">
        <v>0</v>
      </c>
      <c r="O76" s="15">
        <f t="shared" si="35"/>
        <v>5</v>
      </c>
      <c r="P76" s="15">
        <f t="shared" si="36"/>
        <v>5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19</v>
      </c>
      <c r="D78" s="47">
        <v>0</v>
      </c>
      <c r="E78" s="47">
        <v>0</v>
      </c>
      <c r="F78" s="47">
        <v>2</v>
      </c>
      <c r="G78" s="47">
        <v>5</v>
      </c>
      <c r="H78" s="47">
        <v>0</v>
      </c>
      <c r="I78" s="47">
        <v>0</v>
      </c>
      <c r="J78" s="47">
        <v>2</v>
      </c>
      <c r="K78" s="47">
        <v>1</v>
      </c>
      <c r="L78" s="47">
        <v>2</v>
      </c>
      <c r="M78" s="47">
        <v>0</v>
      </c>
      <c r="N78" s="47">
        <v>0</v>
      </c>
      <c r="O78" s="15">
        <f t="shared" si="35"/>
        <v>31</v>
      </c>
      <c r="P78" s="15">
        <f t="shared" si="36"/>
        <v>31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0</v>
      </c>
      <c r="D80" s="47">
        <v>0</v>
      </c>
      <c r="E80" s="47">
        <v>0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0</v>
      </c>
      <c r="M80" s="47">
        <v>0</v>
      </c>
      <c r="N80" s="47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0</v>
      </c>
      <c r="D82" s="47">
        <v>0</v>
      </c>
      <c r="E82" s="47">
        <v>0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0</v>
      </c>
      <c r="D86" s="47">
        <v>0</v>
      </c>
      <c r="E86" s="47">
        <v>0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2</v>
      </c>
      <c r="M86" s="47">
        <v>0</v>
      </c>
      <c r="N86" s="47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0</v>
      </c>
      <c r="D88" s="47">
        <v>0</v>
      </c>
      <c r="E88" s="47">
        <v>0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0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2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0</v>
      </c>
      <c r="D100" s="47">
        <v>0</v>
      </c>
      <c r="E100" s="47">
        <v>0</v>
      </c>
      <c r="F100" s="47">
        <v>0</v>
      </c>
      <c r="G100" s="47">
        <v>0</v>
      </c>
      <c r="H100" s="47">
        <v>0</v>
      </c>
      <c r="I100" s="47">
        <v>0</v>
      </c>
      <c r="J100" s="47">
        <v>0</v>
      </c>
      <c r="K100" s="47">
        <v>0</v>
      </c>
      <c r="L100" s="47">
        <v>0</v>
      </c>
      <c r="M100" s="47">
        <v>0</v>
      </c>
      <c r="N100" s="47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4</v>
      </c>
      <c r="D102" s="47">
        <v>0</v>
      </c>
      <c r="E102" s="47">
        <v>0</v>
      </c>
      <c r="F102" s="47">
        <v>2</v>
      </c>
      <c r="G102" s="47">
        <v>0</v>
      </c>
      <c r="H102" s="47">
        <v>2</v>
      </c>
      <c r="I102" s="47">
        <v>0</v>
      </c>
      <c r="J102" s="47">
        <v>2</v>
      </c>
      <c r="K102" s="47">
        <v>0</v>
      </c>
      <c r="L102" s="47">
        <v>0</v>
      </c>
      <c r="M102" s="47">
        <v>0</v>
      </c>
      <c r="N102" s="47">
        <v>0</v>
      </c>
      <c r="O102" s="15">
        <f t="shared" si="35"/>
        <v>10</v>
      </c>
      <c r="P102" s="15">
        <f t="shared" si="36"/>
        <v>10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6</v>
      </c>
      <c r="D104" s="47">
        <v>0</v>
      </c>
      <c r="E104" s="47">
        <v>0</v>
      </c>
      <c r="F104" s="47">
        <v>0</v>
      </c>
      <c r="G104" s="47">
        <v>0</v>
      </c>
      <c r="H104" s="47">
        <v>0</v>
      </c>
      <c r="I104" s="47">
        <v>0</v>
      </c>
      <c r="J104" s="47">
        <v>3</v>
      </c>
      <c r="K104" s="47">
        <v>0</v>
      </c>
      <c r="L104" s="47">
        <v>3</v>
      </c>
      <c r="M104" s="47">
        <v>0</v>
      </c>
      <c r="N104" s="47">
        <v>0</v>
      </c>
      <c r="O104" s="15">
        <f t="shared" si="35"/>
        <v>12</v>
      </c>
      <c r="P104" s="15">
        <f t="shared" si="36"/>
        <v>12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171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48</v>
      </c>
      <c r="G106" s="16">
        <f t="shared" si="37"/>
        <v>5</v>
      </c>
      <c r="H106" s="16">
        <f t="shared" si="37"/>
        <v>11</v>
      </c>
      <c r="I106" s="16">
        <f t="shared" si="37"/>
        <v>9</v>
      </c>
      <c r="J106" s="16">
        <f t="shared" si="37"/>
        <v>46</v>
      </c>
      <c r="K106" s="16">
        <f t="shared" si="37"/>
        <v>11</v>
      </c>
      <c r="L106" s="47">
        <v>74</v>
      </c>
      <c r="M106" s="16">
        <f t="shared" si="37"/>
        <v>0</v>
      </c>
      <c r="N106" s="16">
        <f t="shared" si="37"/>
        <v>0</v>
      </c>
      <c r="O106" s="16">
        <f t="shared" si="37"/>
        <v>375</v>
      </c>
      <c r="P106" s="16">
        <f t="shared" si="37"/>
        <v>375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0.45600000000000002</v>
      </c>
      <c r="D107" s="40">
        <f t="shared" si="38"/>
        <v>0</v>
      </c>
      <c r="E107" s="40">
        <f t="shared" si="38"/>
        <v>0</v>
      </c>
      <c r="F107" s="40">
        <f t="shared" si="38"/>
        <v>0.128</v>
      </c>
      <c r="G107" s="40">
        <f t="shared" si="38"/>
        <v>1.3333333333333334E-2</v>
      </c>
      <c r="H107" s="40">
        <f t="shared" si="38"/>
        <v>2.9333333333333333E-2</v>
      </c>
      <c r="I107" s="40">
        <f t="shared" si="38"/>
        <v>2.4E-2</v>
      </c>
      <c r="J107" s="40">
        <f t="shared" si="38"/>
        <v>0.12266666666666666</v>
      </c>
      <c r="K107" s="40">
        <f t="shared" si="38"/>
        <v>2.9333333333333333E-2</v>
      </c>
      <c r="L107" s="47">
        <v>0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0.45600000000000002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0.128</v>
      </c>
      <c r="G108" s="41">
        <f t="shared" si="39"/>
        <v>1.3333333333333334E-2</v>
      </c>
      <c r="H108" s="41">
        <f t="shared" si="39"/>
        <v>2.9333333333333333E-2</v>
      </c>
      <c r="I108" s="41">
        <f t="shared" si="39"/>
        <v>2.4E-2</v>
      </c>
      <c r="J108" s="41">
        <f t="shared" si="39"/>
        <v>0.12266666666666666</v>
      </c>
      <c r="K108" s="41">
        <f t="shared" si="39"/>
        <v>2.9333333333333333E-2</v>
      </c>
      <c r="L108" s="47">
        <v>0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tr">
        <f>'25.05 Kampala-Mutukula-24h'!D5</f>
        <v>25.05.15</v>
      </c>
      <c r="E5" s="3"/>
      <c r="F5" s="38" t="s">
        <v>1</v>
      </c>
      <c r="G5" s="58" t="e">
        <f>#REF!</f>
        <v>#REF!</v>
      </c>
      <c r="H5" s="59"/>
      <c r="I5" s="14"/>
      <c r="J5" s="2" t="s">
        <v>5</v>
      </c>
      <c r="K5" s="58" t="str">
        <f>'25.05 Kampala-Mutukula-24h'!K5:L5</f>
        <v>xxxx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164</v>
      </c>
      <c r="E6" s="59"/>
      <c r="F6" s="2" t="s">
        <v>2</v>
      </c>
      <c r="G6" s="58" t="s">
        <v>163</v>
      </c>
      <c r="H6" s="59"/>
      <c r="J6" s="2" t="s">
        <v>21</v>
      </c>
      <c r="K6" s="58" t="str">
        <f>'25.05 Kampala-Mutukula-24h'!K6:L6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2</v>
      </c>
      <c r="D10" s="47">
        <v>0</v>
      </c>
      <c r="E10" s="47">
        <v>0</v>
      </c>
      <c r="F10" s="47">
        <v>2</v>
      </c>
      <c r="G10" s="47">
        <v>0</v>
      </c>
      <c r="H10" s="47">
        <v>2</v>
      </c>
      <c r="I10" s="47">
        <v>0</v>
      </c>
      <c r="J10" s="47">
        <v>1</v>
      </c>
      <c r="K10" s="47">
        <v>0</v>
      </c>
      <c r="L10" s="47">
        <v>0</v>
      </c>
      <c r="M10" s="47">
        <v>0</v>
      </c>
      <c r="N10" s="47">
        <v>0</v>
      </c>
      <c r="O10" s="15">
        <f t="shared" ref="O10:O73" si="0">SUM(C10:L10,N10)</f>
        <v>7</v>
      </c>
      <c r="P10" s="15">
        <f t="shared" ref="P10:P73" si="1">SUM(C10:N10)</f>
        <v>7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2</v>
      </c>
      <c r="Y10" s="17">
        <f t="shared" si="2"/>
        <v>0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28">
        <f t="shared" si="2"/>
        <v>13</v>
      </c>
      <c r="AF10" s="28">
        <f t="shared" si="2"/>
        <v>13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17">
        <f t="shared" si="3"/>
        <v>7</v>
      </c>
      <c r="AA11" s="17">
        <f t="shared" si="3"/>
        <v>1</v>
      </c>
      <c r="AB11" s="17">
        <f t="shared" si="3"/>
        <v>2</v>
      </c>
      <c r="AC11" s="17">
        <f t="shared" si="3"/>
        <v>0</v>
      </c>
      <c r="AD11" s="17">
        <f t="shared" si="3"/>
        <v>0</v>
      </c>
      <c r="AE11" s="28">
        <f t="shared" si="3"/>
        <v>20</v>
      </c>
      <c r="AF11" s="28">
        <f t="shared" si="3"/>
        <v>20</v>
      </c>
    </row>
    <row r="12" spans="2:32" ht="23.1" customHeight="1" x14ac:dyDescent="0.25">
      <c r="B12" s="42" t="s">
        <v>39</v>
      </c>
      <c r="C12" s="47">
        <v>3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1</v>
      </c>
      <c r="K12" s="47">
        <v>2</v>
      </c>
      <c r="L12" s="47">
        <v>0</v>
      </c>
      <c r="M12" s="47">
        <v>0</v>
      </c>
      <c r="N12" s="47">
        <v>0</v>
      </c>
      <c r="O12" s="15">
        <f t="shared" si="0"/>
        <v>6</v>
      </c>
      <c r="P12" s="15">
        <f t="shared" si="1"/>
        <v>6</v>
      </c>
      <c r="R12" s="1" t="s">
        <v>8</v>
      </c>
      <c r="S12" s="17">
        <f t="shared" ref="S12:AF12" si="4">SUM(C18:C21)</f>
        <v>14</v>
      </c>
      <c r="T12" s="17">
        <f t="shared" si="4"/>
        <v>0</v>
      </c>
      <c r="U12" s="17">
        <f t="shared" si="4"/>
        <v>0</v>
      </c>
      <c r="V12" s="17">
        <f t="shared" si="4"/>
        <v>9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4</v>
      </c>
      <c r="AA12" s="17">
        <f t="shared" si="4"/>
        <v>0</v>
      </c>
      <c r="AB12" s="17">
        <f t="shared" si="4"/>
        <v>8</v>
      </c>
      <c r="AC12" s="17">
        <f t="shared" si="4"/>
        <v>0</v>
      </c>
      <c r="AD12" s="17">
        <f t="shared" si="4"/>
        <v>0</v>
      </c>
      <c r="AE12" s="28">
        <f t="shared" si="4"/>
        <v>36</v>
      </c>
      <c r="AF12" s="28">
        <f t="shared" si="4"/>
        <v>36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0</v>
      </c>
      <c r="V13" s="17">
        <f t="shared" si="5"/>
        <v>2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28">
        <f t="shared" si="5"/>
        <v>15</v>
      </c>
      <c r="AF13" s="28">
        <f t="shared" si="5"/>
        <v>15</v>
      </c>
    </row>
    <row r="14" spans="2:32" ht="23.1" customHeight="1" x14ac:dyDescent="0.25">
      <c r="B14" s="42" t="s">
        <v>41</v>
      </c>
      <c r="C14" s="47">
        <v>1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1</v>
      </c>
      <c r="K14" s="47">
        <v>0</v>
      </c>
      <c r="L14" s="47">
        <v>0</v>
      </c>
      <c r="M14" s="47">
        <v>0</v>
      </c>
      <c r="N14" s="47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0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28">
        <f t="shared" si="6"/>
        <v>16</v>
      </c>
      <c r="AF14" s="28">
        <f t="shared" si="6"/>
        <v>16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0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3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28">
        <f t="shared" si="7"/>
        <v>18</v>
      </c>
      <c r="AF15" s="28">
        <f t="shared" si="7"/>
        <v>18</v>
      </c>
    </row>
    <row r="16" spans="2:32" ht="23.1" customHeight="1" x14ac:dyDescent="0.25">
      <c r="B16" s="42" t="s">
        <v>43</v>
      </c>
      <c r="C16" s="47">
        <v>6</v>
      </c>
      <c r="D16" s="47">
        <v>0</v>
      </c>
      <c r="E16" s="47">
        <v>0</v>
      </c>
      <c r="F16" s="47">
        <v>2</v>
      </c>
      <c r="G16" s="47">
        <v>0</v>
      </c>
      <c r="H16" s="47">
        <v>1</v>
      </c>
      <c r="I16" s="47">
        <v>0</v>
      </c>
      <c r="J16" s="47">
        <v>6</v>
      </c>
      <c r="K16" s="47">
        <v>1</v>
      </c>
      <c r="L16" s="47">
        <v>2</v>
      </c>
      <c r="M16" s="47">
        <v>0</v>
      </c>
      <c r="N16" s="47">
        <v>0</v>
      </c>
      <c r="O16" s="15">
        <f t="shared" si="0"/>
        <v>18</v>
      </c>
      <c r="P16" s="15">
        <f t="shared" si="1"/>
        <v>18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0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28">
        <f t="shared" si="8"/>
        <v>11</v>
      </c>
      <c r="AF16" s="28">
        <f t="shared" si="8"/>
        <v>11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15</v>
      </c>
      <c r="T17" s="17">
        <f t="shared" si="9"/>
        <v>0</v>
      </c>
      <c r="U17" s="17">
        <f t="shared" si="9"/>
        <v>0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5</v>
      </c>
      <c r="AA17" s="17">
        <f t="shared" si="9"/>
        <v>1</v>
      </c>
      <c r="AB17" s="17">
        <f t="shared" si="9"/>
        <v>1</v>
      </c>
      <c r="AC17" s="17">
        <f t="shared" si="9"/>
        <v>0</v>
      </c>
      <c r="AD17" s="17">
        <f t="shared" si="9"/>
        <v>0</v>
      </c>
      <c r="AE17" s="28">
        <f t="shared" si="9"/>
        <v>26</v>
      </c>
      <c r="AF17" s="28">
        <f t="shared" si="9"/>
        <v>26</v>
      </c>
    </row>
    <row r="18" spans="2:32" ht="23.1" customHeight="1" x14ac:dyDescent="0.25">
      <c r="B18" s="42" t="s">
        <v>45</v>
      </c>
      <c r="C18" s="47">
        <v>5</v>
      </c>
      <c r="D18" s="47">
        <v>0</v>
      </c>
      <c r="E18" s="47">
        <v>0</v>
      </c>
      <c r="F18" s="47">
        <v>5</v>
      </c>
      <c r="G18" s="47">
        <v>0</v>
      </c>
      <c r="H18" s="47">
        <v>1</v>
      </c>
      <c r="I18" s="47">
        <v>0</v>
      </c>
      <c r="J18" s="47">
        <v>1</v>
      </c>
      <c r="K18" s="47">
        <v>0</v>
      </c>
      <c r="L18" s="47">
        <v>6</v>
      </c>
      <c r="M18" s="47">
        <v>0</v>
      </c>
      <c r="N18" s="47">
        <v>0</v>
      </c>
      <c r="O18" s="15">
        <f t="shared" si="0"/>
        <v>18</v>
      </c>
      <c r="P18" s="15">
        <f t="shared" si="1"/>
        <v>18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0</v>
      </c>
      <c r="V18" s="17">
        <f t="shared" si="10"/>
        <v>2</v>
      </c>
      <c r="W18" s="17">
        <f t="shared" si="10"/>
        <v>1</v>
      </c>
      <c r="X18" s="17">
        <f t="shared" si="10"/>
        <v>4</v>
      </c>
      <c r="Y18" s="17">
        <f t="shared" si="10"/>
        <v>0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28">
        <f t="shared" si="10"/>
        <v>22</v>
      </c>
      <c r="AF18" s="28">
        <f t="shared" si="10"/>
        <v>22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0</v>
      </c>
      <c r="V19" s="17">
        <f t="shared" si="11"/>
        <v>4</v>
      </c>
      <c r="W19" s="17">
        <f t="shared" si="11"/>
        <v>0</v>
      </c>
      <c r="X19" s="17">
        <f t="shared" si="11"/>
        <v>2</v>
      </c>
      <c r="Y19" s="17">
        <f t="shared" si="11"/>
        <v>1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28">
        <f t="shared" si="11"/>
        <v>20</v>
      </c>
      <c r="AF19" s="28">
        <f t="shared" si="11"/>
        <v>20</v>
      </c>
    </row>
    <row r="20" spans="2:32" ht="23.1" customHeight="1" x14ac:dyDescent="0.25">
      <c r="B20" s="42" t="s">
        <v>47</v>
      </c>
      <c r="C20" s="47">
        <v>9</v>
      </c>
      <c r="D20" s="47">
        <v>0</v>
      </c>
      <c r="E20" s="47">
        <v>0</v>
      </c>
      <c r="F20" s="47">
        <v>4</v>
      </c>
      <c r="G20" s="47">
        <v>0</v>
      </c>
      <c r="H20" s="47">
        <v>0</v>
      </c>
      <c r="I20" s="47">
        <v>0</v>
      </c>
      <c r="J20" s="47">
        <v>3</v>
      </c>
      <c r="K20" s="47">
        <v>0</v>
      </c>
      <c r="L20" s="47">
        <v>2</v>
      </c>
      <c r="M20" s="47">
        <v>0</v>
      </c>
      <c r="N20" s="47">
        <v>0</v>
      </c>
      <c r="O20" s="15">
        <f t="shared" si="0"/>
        <v>18</v>
      </c>
      <c r="P20" s="15">
        <f t="shared" si="1"/>
        <v>18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2</v>
      </c>
      <c r="AA20" s="17">
        <f t="shared" si="12"/>
        <v>0</v>
      </c>
      <c r="AB20" s="17">
        <f t="shared" si="12"/>
        <v>4</v>
      </c>
      <c r="AC20" s="17">
        <f t="shared" si="12"/>
        <v>0</v>
      </c>
      <c r="AD20" s="17">
        <f t="shared" si="12"/>
        <v>0</v>
      </c>
      <c r="AE20" s="28">
        <f t="shared" si="12"/>
        <v>19</v>
      </c>
      <c r="AF20" s="28">
        <f t="shared" si="12"/>
        <v>19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10</v>
      </c>
      <c r="T21" s="17">
        <f t="shared" si="13"/>
        <v>0</v>
      </c>
      <c r="U21" s="17">
        <f t="shared" si="13"/>
        <v>0</v>
      </c>
      <c r="V21" s="17">
        <f t="shared" si="13"/>
        <v>2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2</v>
      </c>
      <c r="AA21" s="17">
        <f t="shared" si="13"/>
        <v>0</v>
      </c>
      <c r="AB21" s="17">
        <f t="shared" si="13"/>
        <v>2</v>
      </c>
      <c r="AC21" s="17">
        <f t="shared" si="13"/>
        <v>0</v>
      </c>
      <c r="AD21" s="17">
        <f t="shared" si="13"/>
        <v>0</v>
      </c>
      <c r="AE21" s="28">
        <f t="shared" si="13"/>
        <v>18</v>
      </c>
      <c r="AF21" s="28">
        <f t="shared" si="13"/>
        <v>18</v>
      </c>
    </row>
    <row r="22" spans="2:32" ht="23.1" customHeight="1" x14ac:dyDescent="0.25">
      <c r="B22" s="42" t="s">
        <v>49</v>
      </c>
      <c r="C22" s="47">
        <v>3</v>
      </c>
      <c r="D22" s="47">
        <v>0</v>
      </c>
      <c r="E22" s="47">
        <v>0</v>
      </c>
      <c r="F22" s="47">
        <v>2</v>
      </c>
      <c r="G22" s="47">
        <v>0</v>
      </c>
      <c r="H22" s="47">
        <v>1</v>
      </c>
      <c r="I22" s="47">
        <v>0</v>
      </c>
      <c r="J22" s="47">
        <v>0</v>
      </c>
      <c r="K22" s="47">
        <v>0</v>
      </c>
      <c r="L22" s="47">
        <v>0</v>
      </c>
      <c r="M22" s="47">
        <v>0</v>
      </c>
      <c r="N22" s="47">
        <v>0</v>
      </c>
      <c r="O22" s="15">
        <f t="shared" si="0"/>
        <v>6</v>
      </c>
      <c r="P22" s="15">
        <f t="shared" si="1"/>
        <v>6</v>
      </c>
      <c r="R22" s="33" t="s">
        <v>146</v>
      </c>
      <c r="S22" s="31">
        <f>SUM(C58:C61)</f>
        <v>9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3</v>
      </c>
      <c r="W22" s="31">
        <f t="shared" si="14"/>
        <v>0</v>
      </c>
      <c r="X22" s="31">
        <f t="shared" si="14"/>
        <v>0</v>
      </c>
      <c r="Y22" s="31">
        <f t="shared" si="14"/>
        <v>0</v>
      </c>
      <c r="Z22" s="31">
        <f t="shared" si="14"/>
        <v>3</v>
      </c>
      <c r="AA22" s="31">
        <f t="shared" si="14"/>
        <v>0</v>
      </c>
      <c r="AB22" s="31">
        <f t="shared" si="14"/>
        <v>1</v>
      </c>
      <c r="AC22" s="31">
        <f t="shared" si="14"/>
        <v>0</v>
      </c>
      <c r="AD22" s="31">
        <f t="shared" si="14"/>
        <v>0</v>
      </c>
      <c r="AE22" s="28">
        <f t="shared" si="14"/>
        <v>16</v>
      </c>
      <c r="AF22" s="28">
        <f t="shared" si="14"/>
        <v>16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10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0</v>
      </c>
      <c r="W23" s="31">
        <f t="shared" si="15"/>
        <v>0</v>
      </c>
      <c r="X23" s="31">
        <f t="shared" si="15"/>
        <v>0</v>
      </c>
      <c r="Y23" s="31">
        <f t="shared" si="15"/>
        <v>1</v>
      </c>
      <c r="Z23" s="31">
        <f t="shared" si="15"/>
        <v>1</v>
      </c>
      <c r="AA23" s="31">
        <f t="shared" si="15"/>
        <v>3</v>
      </c>
      <c r="AB23" s="31">
        <f t="shared" si="15"/>
        <v>1</v>
      </c>
      <c r="AC23" s="31">
        <f t="shared" si="15"/>
        <v>0</v>
      </c>
      <c r="AD23" s="31">
        <f t="shared" si="15"/>
        <v>0</v>
      </c>
      <c r="AE23" s="28">
        <f t="shared" si="15"/>
        <v>16</v>
      </c>
      <c r="AF23" s="28">
        <f t="shared" si="15"/>
        <v>16</v>
      </c>
    </row>
    <row r="24" spans="2:32" ht="23.1" customHeight="1" x14ac:dyDescent="0.25">
      <c r="B24" s="42" t="s">
        <v>51</v>
      </c>
      <c r="C24" s="47">
        <v>4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3</v>
      </c>
      <c r="K24" s="47">
        <v>2</v>
      </c>
      <c r="L24" s="47">
        <v>0</v>
      </c>
      <c r="M24" s="47">
        <v>0</v>
      </c>
      <c r="N24" s="47">
        <v>0</v>
      </c>
      <c r="O24" s="15">
        <f t="shared" si="0"/>
        <v>9</v>
      </c>
      <c r="P24" s="15">
        <f t="shared" si="1"/>
        <v>9</v>
      </c>
      <c r="R24" s="33" t="s">
        <v>148</v>
      </c>
      <c r="S24" s="31">
        <f>SUM(C66:C69)</f>
        <v>0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0</v>
      </c>
      <c r="W24" s="31">
        <f t="shared" si="16"/>
        <v>0</v>
      </c>
      <c r="X24" s="31">
        <f t="shared" si="16"/>
        <v>0</v>
      </c>
      <c r="Y24" s="31">
        <f t="shared" si="16"/>
        <v>0</v>
      </c>
      <c r="Z24" s="31">
        <f t="shared" si="16"/>
        <v>1</v>
      </c>
      <c r="AA24" s="31">
        <f t="shared" si="16"/>
        <v>1</v>
      </c>
      <c r="AB24" s="31">
        <f t="shared" si="16"/>
        <v>0</v>
      </c>
      <c r="AC24" s="31">
        <f t="shared" si="16"/>
        <v>0</v>
      </c>
      <c r="AD24" s="31">
        <f t="shared" si="16"/>
        <v>0</v>
      </c>
      <c r="AE24" s="28">
        <f t="shared" si="16"/>
        <v>2</v>
      </c>
      <c r="AF24" s="28">
        <f t="shared" si="16"/>
        <v>2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3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1</v>
      </c>
      <c r="W25" s="31">
        <f t="shared" si="17"/>
        <v>0</v>
      </c>
      <c r="X25" s="31">
        <f t="shared" si="17"/>
        <v>0</v>
      </c>
      <c r="Y25" s="31">
        <f t="shared" si="17"/>
        <v>1</v>
      </c>
      <c r="Z25" s="31">
        <f t="shared" si="17"/>
        <v>1</v>
      </c>
      <c r="AA25" s="31">
        <f t="shared" si="17"/>
        <v>0</v>
      </c>
      <c r="AB25" s="31">
        <f t="shared" si="17"/>
        <v>0</v>
      </c>
      <c r="AC25" s="31">
        <f t="shared" si="17"/>
        <v>0</v>
      </c>
      <c r="AD25" s="31">
        <f t="shared" si="17"/>
        <v>0</v>
      </c>
      <c r="AE25" s="28">
        <f t="shared" si="17"/>
        <v>6</v>
      </c>
      <c r="AF25" s="28">
        <f t="shared" si="17"/>
        <v>6</v>
      </c>
    </row>
    <row r="26" spans="2:32" ht="23.1" customHeight="1" x14ac:dyDescent="0.25">
      <c r="B26" s="42" t="s">
        <v>53</v>
      </c>
      <c r="C26" s="47">
        <v>5</v>
      </c>
      <c r="D26" s="47">
        <v>0</v>
      </c>
      <c r="E26" s="47">
        <v>0</v>
      </c>
      <c r="F26" s="47">
        <v>4</v>
      </c>
      <c r="G26" s="47">
        <v>0</v>
      </c>
      <c r="H26" s="47">
        <v>0</v>
      </c>
      <c r="I26" s="47">
        <v>0</v>
      </c>
      <c r="J26" s="47">
        <v>3</v>
      </c>
      <c r="K26" s="47">
        <v>0</v>
      </c>
      <c r="L26" s="47">
        <v>0</v>
      </c>
      <c r="M26" s="47">
        <v>0</v>
      </c>
      <c r="N26" s="47">
        <v>0</v>
      </c>
      <c r="O26" s="15">
        <f t="shared" si="0"/>
        <v>12</v>
      </c>
      <c r="P26" s="15">
        <f t="shared" si="1"/>
        <v>12</v>
      </c>
      <c r="R26" s="33" t="s">
        <v>150</v>
      </c>
      <c r="S26" s="31">
        <f>SUM(C74:C77)</f>
        <v>3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0</v>
      </c>
      <c r="W26" s="31">
        <f t="shared" si="18"/>
        <v>0</v>
      </c>
      <c r="X26" s="31">
        <f t="shared" si="18"/>
        <v>0</v>
      </c>
      <c r="Y26" s="31">
        <f t="shared" si="18"/>
        <v>3</v>
      </c>
      <c r="Z26" s="31">
        <f t="shared" si="18"/>
        <v>12</v>
      </c>
      <c r="AA26" s="31">
        <f t="shared" si="18"/>
        <v>2</v>
      </c>
      <c r="AB26" s="31">
        <f t="shared" si="18"/>
        <v>4</v>
      </c>
      <c r="AC26" s="31">
        <f t="shared" si="18"/>
        <v>0</v>
      </c>
      <c r="AD26" s="31">
        <f t="shared" si="18"/>
        <v>0</v>
      </c>
      <c r="AE26" s="28">
        <f t="shared" si="18"/>
        <v>24</v>
      </c>
      <c r="AF26" s="28">
        <f t="shared" si="18"/>
        <v>24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1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0</v>
      </c>
      <c r="W27" s="31">
        <f t="shared" si="19"/>
        <v>0</v>
      </c>
      <c r="X27" s="31">
        <f t="shared" si="19"/>
        <v>0</v>
      </c>
      <c r="Y27" s="31">
        <f t="shared" si="19"/>
        <v>0</v>
      </c>
      <c r="Z27" s="31">
        <f t="shared" si="19"/>
        <v>2</v>
      </c>
      <c r="AA27" s="31">
        <f t="shared" si="19"/>
        <v>0</v>
      </c>
      <c r="AB27" s="31">
        <f t="shared" si="19"/>
        <v>9</v>
      </c>
      <c r="AC27" s="31">
        <f t="shared" si="19"/>
        <v>0</v>
      </c>
      <c r="AD27" s="31">
        <f t="shared" si="19"/>
        <v>0</v>
      </c>
      <c r="AE27" s="28">
        <f t="shared" si="19"/>
        <v>12</v>
      </c>
      <c r="AF27" s="28">
        <f t="shared" si="19"/>
        <v>12</v>
      </c>
    </row>
    <row r="28" spans="2:32" ht="23.1" customHeight="1" x14ac:dyDescent="0.25">
      <c r="B28" s="42" t="s">
        <v>55</v>
      </c>
      <c r="C28" s="47">
        <v>2</v>
      </c>
      <c r="D28" s="47">
        <v>0</v>
      </c>
      <c r="E28" s="47">
        <v>0</v>
      </c>
      <c r="F28" s="47">
        <v>0</v>
      </c>
      <c r="G28" s="47">
        <v>0</v>
      </c>
      <c r="H28" s="47">
        <v>0</v>
      </c>
      <c r="I28" s="47">
        <v>0</v>
      </c>
      <c r="J28" s="47">
        <v>2</v>
      </c>
      <c r="K28" s="47">
        <v>0</v>
      </c>
      <c r="L28" s="47">
        <v>0</v>
      </c>
      <c r="M28" s="47">
        <v>0</v>
      </c>
      <c r="N28" s="47">
        <v>0</v>
      </c>
      <c r="O28" s="15">
        <f t="shared" si="0"/>
        <v>4</v>
      </c>
      <c r="P28" s="15">
        <f t="shared" si="1"/>
        <v>4</v>
      </c>
      <c r="R28" s="33" t="s">
        <v>152</v>
      </c>
      <c r="S28" s="31">
        <f>SUM(C82:C85)</f>
        <v>2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</v>
      </c>
      <c r="W28" s="31">
        <f t="shared" si="20"/>
        <v>0</v>
      </c>
      <c r="X28" s="31">
        <f t="shared" si="20"/>
        <v>0</v>
      </c>
      <c r="Y28" s="31">
        <f t="shared" si="20"/>
        <v>0</v>
      </c>
      <c r="Z28" s="31">
        <f t="shared" si="20"/>
        <v>0</v>
      </c>
      <c r="AA28" s="31">
        <f t="shared" si="20"/>
        <v>0</v>
      </c>
      <c r="AB28" s="31">
        <f t="shared" si="20"/>
        <v>0</v>
      </c>
      <c r="AC28" s="31">
        <f t="shared" si="20"/>
        <v>0</v>
      </c>
      <c r="AD28" s="31">
        <f t="shared" si="20"/>
        <v>0</v>
      </c>
      <c r="AE28" s="28">
        <f t="shared" si="20"/>
        <v>2</v>
      </c>
      <c r="AF28" s="28">
        <f t="shared" si="20"/>
        <v>2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0</v>
      </c>
      <c r="AA29" s="31">
        <f t="shared" si="21"/>
        <v>0</v>
      </c>
      <c r="AB29" s="31">
        <f t="shared" si="21"/>
        <v>0</v>
      </c>
      <c r="AC29" s="31">
        <f t="shared" si="21"/>
        <v>0</v>
      </c>
      <c r="AD29" s="31">
        <f t="shared" si="21"/>
        <v>0</v>
      </c>
      <c r="AE29" s="28">
        <f t="shared" si="21"/>
        <v>0</v>
      </c>
      <c r="AF29" s="28">
        <f t="shared" si="21"/>
        <v>0</v>
      </c>
    </row>
    <row r="30" spans="2:32" ht="23.1" customHeight="1" x14ac:dyDescent="0.25">
      <c r="B30" s="42" t="s">
        <v>57</v>
      </c>
      <c r="C30" s="47">
        <v>7</v>
      </c>
      <c r="D30" s="47">
        <v>0</v>
      </c>
      <c r="E30" s="47">
        <v>0</v>
      </c>
      <c r="F30" s="47">
        <v>1</v>
      </c>
      <c r="G30" s="47">
        <v>0</v>
      </c>
      <c r="H30" s="47">
        <v>0</v>
      </c>
      <c r="I30" s="47">
        <v>0</v>
      </c>
      <c r="J30" s="47">
        <v>1</v>
      </c>
      <c r="K30" s="47">
        <v>1</v>
      </c>
      <c r="L30" s="47">
        <v>0</v>
      </c>
      <c r="M30" s="47">
        <v>0</v>
      </c>
      <c r="N30" s="47">
        <v>0</v>
      </c>
      <c r="O30" s="15">
        <f t="shared" si="0"/>
        <v>10</v>
      </c>
      <c r="P30" s="15">
        <f t="shared" si="1"/>
        <v>10</v>
      </c>
      <c r="R30" s="33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43" t="s">
        <v>59</v>
      </c>
      <c r="C32" s="47">
        <v>2</v>
      </c>
      <c r="D32" s="47">
        <v>0</v>
      </c>
      <c r="E32" s="47">
        <v>0</v>
      </c>
      <c r="F32" s="47">
        <v>4</v>
      </c>
      <c r="G32" s="47">
        <v>0</v>
      </c>
      <c r="H32" s="47">
        <v>0</v>
      </c>
      <c r="I32" s="47">
        <v>0</v>
      </c>
      <c r="J32" s="47">
        <v>0</v>
      </c>
      <c r="K32" s="47">
        <v>2</v>
      </c>
      <c r="L32" s="47">
        <v>0</v>
      </c>
      <c r="M32" s="47">
        <v>0</v>
      </c>
      <c r="N32" s="47">
        <v>0</v>
      </c>
      <c r="O32" s="15">
        <f t="shared" si="0"/>
        <v>8</v>
      </c>
      <c r="P32" s="15">
        <f t="shared" si="1"/>
        <v>8</v>
      </c>
      <c r="R32" s="30" t="s">
        <v>156</v>
      </c>
      <c r="S32" s="31">
        <f>SUM(C98:C101)</f>
        <v>0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0</v>
      </c>
      <c r="AF32" s="28">
        <f t="shared" si="24"/>
        <v>0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1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2</v>
      </c>
      <c r="W33" s="31">
        <f t="shared" si="25"/>
        <v>1</v>
      </c>
      <c r="X33" s="31">
        <f t="shared" si="25"/>
        <v>2</v>
      </c>
      <c r="Y33" s="31">
        <f t="shared" si="25"/>
        <v>0</v>
      </c>
      <c r="Z33" s="31">
        <f t="shared" si="25"/>
        <v>0</v>
      </c>
      <c r="AA33" s="31">
        <f t="shared" si="25"/>
        <v>0</v>
      </c>
      <c r="AB33" s="31">
        <f t="shared" si="25"/>
        <v>0</v>
      </c>
      <c r="AC33" s="31">
        <f t="shared" si="25"/>
        <v>0</v>
      </c>
      <c r="AD33" s="31">
        <f t="shared" si="25"/>
        <v>0</v>
      </c>
      <c r="AE33" s="28">
        <f t="shared" si="25"/>
        <v>6</v>
      </c>
      <c r="AF33" s="28">
        <f t="shared" si="25"/>
        <v>6</v>
      </c>
    </row>
    <row r="34" spans="2:32" ht="23.1" customHeight="1" x14ac:dyDescent="0.25">
      <c r="B34" s="43" t="s">
        <v>61</v>
      </c>
      <c r="C34" s="47">
        <v>7</v>
      </c>
      <c r="D34" s="47">
        <v>0</v>
      </c>
      <c r="E34" s="47">
        <v>0</v>
      </c>
      <c r="F34" s="47">
        <v>1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O34" s="15">
        <f t="shared" si="0"/>
        <v>8</v>
      </c>
      <c r="P34" s="15">
        <f t="shared" si="1"/>
        <v>8</v>
      </c>
      <c r="R34" s="35" t="s">
        <v>90</v>
      </c>
      <c r="S34" s="36">
        <f t="shared" ref="S34:AF34" si="26">MAX(S10:S12)</f>
        <v>14</v>
      </c>
      <c r="T34" s="36">
        <f t="shared" si="26"/>
        <v>0</v>
      </c>
      <c r="U34" s="36">
        <f t="shared" si="26"/>
        <v>0</v>
      </c>
      <c r="V34" s="36">
        <f t="shared" si="26"/>
        <v>9</v>
      </c>
      <c r="W34" s="36">
        <f t="shared" si="26"/>
        <v>0</v>
      </c>
      <c r="X34" s="36">
        <f t="shared" si="26"/>
        <v>2</v>
      </c>
      <c r="Y34" s="36">
        <f t="shared" si="26"/>
        <v>0</v>
      </c>
      <c r="Z34" s="36">
        <f t="shared" si="26"/>
        <v>7</v>
      </c>
      <c r="AA34" s="36">
        <f t="shared" si="26"/>
        <v>2</v>
      </c>
      <c r="AB34" s="36">
        <f t="shared" si="26"/>
        <v>8</v>
      </c>
      <c r="AC34" s="36">
        <f t="shared" si="26"/>
        <v>0</v>
      </c>
      <c r="AD34" s="36">
        <f t="shared" si="26"/>
        <v>0</v>
      </c>
      <c r="AE34" s="37">
        <f t="shared" si="26"/>
        <v>36</v>
      </c>
      <c r="AF34" s="37">
        <f t="shared" si="26"/>
        <v>36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15</v>
      </c>
      <c r="T35" s="36">
        <f t="shared" si="27"/>
        <v>0</v>
      </c>
      <c r="U35" s="36">
        <f t="shared" si="27"/>
        <v>0</v>
      </c>
      <c r="V35" s="36">
        <f t="shared" si="27"/>
        <v>5</v>
      </c>
      <c r="W35" s="36">
        <f t="shared" si="27"/>
        <v>1</v>
      </c>
      <c r="X35" s="36">
        <f t="shared" si="27"/>
        <v>4</v>
      </c>
      <c r="Y35" s="36">
        <f t="shared" si="27"/>
        <v>0</v>
      </c>
      <c r="Z35" s="36">
        <f t="shared" si="27"/>
        <v>5</v>
      </c>
      <c r="AA35" s="36">
        <f t="shared" si="27"/>
        <v>3</v>
      </c>
      <c r="AB35" s="36">
        <f t="shared" si="27"/>
        <v>1</v>
      </c>
      <c r="AC35" s="36">
        <f t="shared" si="27"/>
        <v>0</v>
      </c>
      <c r="AD35" s="36">
        <f t="shared" si="27"/>
        <v>0</v>
      </c>
      <c r="AE35" s="37">
        <f t="shared" si="27"/>
        <v>26</v>
      </c>
      <c r="AF35" s="37">
        <f t="shared" si="27"/>
        <v>26</v>
      </c>
    </row>
    <row r="36" spans="2:32" ht="23.1" customHeight="1" x14ac:dyDescent="0.25">
      <c r="B36" s="43" t="s">
        <v>63</v>
      </c>
      <c r="C36" s="47">
        <v>0</v>
      </c>
      <c r="D36" s="47">
        <v>0</v>
      </c>
      <c r="E36" s="47">
        <v>0</v>
      </c>
      <c r="F36" s="47">
        <v>3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15">
        <f t="shared" si="0"/>
        <v>3</v>
      </c>
      <c r="P36" s="15">
        <f t="shared" si="1"/>
        <v>3</v>
      </c>
      <c r="R36" s="35" t="s">
        <v>92</v>
      </c>
      <c r="S36" s="36">
        <f t="shared" ref="S36:AF36" si="28">MAX(S19:S21)</f>
        <v>10</v>
      </c>
      <c r="T36" s="36">
        <f t="shared" si="28"/>
        <v>0</v>
      </c>
      <c r="U36" s="36">
        <f t="shared" si="28"/>
        <v>0</v>
      </c>
      <c r="V36" s="36">
        <f t="shared" si="28"/>
        <v>4</v>
      </c>
      <c r="W36" s="36">
        <f t="shared" si="28"/>
        <v>1</v>
      </c>
      <c r="X36" s="36">
        <f t="shared" si="28"/>
        <v>2</v>
      </c>
      <c r="Y36" s="36">
        <f t="shared" si="28"/>
        <v>1</v>
      </c>
      <c r="Z36" s="36">
        <f t="shared" si="28"/>
        <v>3</v>
      </c>
      <c r="AA36" s="36">
        <f t="shared" si="28"/>
        <v>1</v>
      </c>
      <c r="AB36" s="36">
        <f t="shared" si="28"/>
        <v>4</v>
      </c>
      <c r="AC36" s="36">
        <f t="shared" si="28"/>
        <v>0</v>
      </c>
      <c r="AD36" s="36">
        <f t="shared" si="28"/>
        <v>0</v>
      </c>
      <c r="AE36" s="37">
        <f t="shared" si="28"/>
        <v>20</v>
      </c>
      <c r="AF36" s="37">
        <f t="shared" si="28"/>
        <v>20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26</v>
      </c>
      <c r="T37" s="16">
        <f t="shared" si="29"/>
        <v>0</v>
      </c>
      <c r="U37" s="16">
        <f t="shared" si="29"/>
        <v>0</v>
      </c>
      <c r="V37" s="16">
        <f t="shared" si="29"/>
        <v>13</v>
      </c>
      <c r="W37" s="16">
        <f t="shared" si="29"/>
        <v>0</v>
      </c>
      <c r="X37" s="16">
        <f t="shared" si="29"/>
        <v>4</v>
      </c>
      <c r="Y37" s="16">
        <f t="shared" si="29"/>
        <v>0</v>
      </c>
      <c r="Z37" s="16">
        <f t="shared" si="29"/>
        <v>13</v>
      </c>
      <c r="AA37" s="16">
        <f t="shared" si="29"/>
        <v>3</v>
      </c>
      <c r="AB37" s="16">
        <f t="shared" si="29"/>
        <v>10</v>
      </c>
      <c r="AC37" s="16">
        <f t="shared" si="29"/>
        <v>0</v>
      </c>
      <c r="AD37" s="16">
        <f t="shared" si="29"/>
        <v>0</v>
      </c>
      <c r="AE37" s="29">
        <f t="shared" si="29"/>
        <v>69</v>
      </c>
      <c r="AF37" s="29">
        <f t="shared" si="29"/>
        <v>69</v>
      </c>
    </row>
    <row r="38" spans="2:32" ht="23.1" customHeight="1" x14ac:dyDescent="0.25">
      <c r="B38" s="43" t="s">
        <v>65</v>
      </c>
      <c r="C38" s="47">
        <v>9</v>
      </c>
      <c r="D38" s="47">
        <v>0</v>
      </c>
      <c r="E38" s="47">
        <v>0</v>
      </c>
      <c r="F38" s="47">
        <v>0</v>
      </c>
      <c r="G38" s="47">
        <v>0</v>
      </c>
      <c r="H38" s="47">
        <v>0</v>
      </c>
      <c r="I38" s="47">
        <v>0</v>
      </c>
      <c r="J38" s="47">
        <v>4</v>
      </c>
      <c r="K38" s="47">
        <v>0</v>
      </c>
      <c r="L38" s="47">
        <v>0</v>
      </c>
      <c r="M38" s="47">
        <v>0</v>
      </c>
      <c r="N38" s="47">
        <v>0</v>
      </c>
      <c r="O38" s="15">
        <f t="shared" si="0"/>
        <v>13</v>
      </c>
      <c r="P38" s="15">
        <f t="shared" si="1"/>
        <v>13</v>
      </c>
      <c r="R38" s="25" t="s">
        <v>86</v>
      </c>
      <c r="S38" s="16">
        <f t="shared" ref="S38:AF38" si="30">SUM(S13:S18)</f>
        <v>56</v>
      </c>
      <c r="T38" s="16">
        <f t="shared" si="30"/>
        <v>0</v>
      </c>
      <c r="U38" s="16">
        <f t="shared" si="30"/>
        <v>0</v>
      </c>
      <c r="V38" s="16">
        <f t="shared" si="30"/>
        <v>21</v>
      </c>
      <c r="W38" s="16">
        <f t="shared" si="30"/>
        <v>1</v>
      </c>
      <c r="X38" s="16">
        <f t="shared" si="30"/>
        <v>5</v>
      </c>
      <c r="Y38" s="16">
        <f t="shared" si="30"/>
        <v>0</v>
      </c>
      <c r="Z38" s="16">
        <f t="shared" si="30"/>
        <v>17</v>
      </c>
      <c r="AA38" s="16">
        <f t="shared" si="30"/>
        <v>7</v>
      </c>
      <c r="AB38" s="16">
        <f t="shared" si="30"/>
        <v>1</v>
      </c>
      <c r="AC38" s="16">
        <f t="shared" si="30"/>
        <v>0</v>
      </c>
      <c r="AD38" s="16">
        <f t="shared" si="30"/>
        <v>0</v>
      </c>
      <c r="AE38" s="29">
        <f t="shared" si="30"/>
        <v>108</v>
      </c>
      <c r="AF38" s="29">
        <f t="shared" si="30"/>
        <v>108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29</v>
      </c>
      <c r="T39" s="16">
        <f t="shared" si="31"/>
        <v>0</v>
      </c>
      <c r="U39" s="16">
        <f t="shared" si="31"/>
        <v>0</v>
      </c>
      <c r="V39" s="16">
        <f t="shared" si="31"/>
        <v>9</v>
      </c>
      <c r="W39" s="16">
        <f t="shared" si="31"/>
        <v>1</v>
      </c>
      <c r="X39" s="16">
        <f t="shared" si="31"/>
        <v>2</v>
      </c>
      <c r="Y39" s="16">
        <f t="shared" si="31"/>
        <v>2</v>
      </c>
      <c r="Z39" s="16">
        <f t="shared" si="31"/>
        <v>7</v>
      </c>
      <c r="AA39" s="16">
        <f t="shared" si="31"/>
        <v>1</v>
      </c>
      <c r="AB39" s="16">
        <f t="shared" si="31"/>
        <v>6</v>
      </c>
      <c r="AC39" s="16">
        <f t="shared" si="31"/>
        <v>0</v>
      </c>
      <c r="AD39" s="16">
        <f t="shared" si="31"/>
        <v>0</v>
      </c>
      <c r="AE39" s="29">
        <f t="shared" si="31"/>
        <v>57</v>
      </c>
      <c r="AF39" s="29">
        <f t="shared" si="31"/>
        <v>57</v>
      </c>
    </row>
    <row r="40" spans="2:32" ht="23.1" customHeight="1" x14ac:dyDescent="0.25">
      <c r="B40" s="43" t="s">
        <v>67</v>
      </c>
      <c r="C40" s="47">
        <v>6</v>
      </c>
      <c r="D40" s="47">
        <v>0</v>
      </c>
      <c r="E40" s="47">
        <v>0</v>
      </c>
      <c r="F40" s="47">
        <v>4</v>
      </c>
      <c r="G40" s="47">
        <v>0</v>
      </c>
      <c r="H40" s="47">
        <v>0</v>
      </c>
      <c r="I40" s="47">
        <v>0</v>
      </c>
      <c r="J40" s="47">
        <v>1</v>
      </c>
      <c r="K40" s="47">
        <v>1</v>
      </c>
      <c r="L40" s="47">
        <v>1</v>
      </c>
      <c r="M40" s="47">
        <v>0</v>
      </c>
      <c r="N40" s="47">
        <v>0</v>
      </c>
      <c r="O40" s="15">
        <f t="shared" si="0"/>
        <v>13</v>
      </c>
      <c r="P40" s="15">
        <f t="shared" si="1"/>
        <v>13</v>
      </c>
      <c r="R40" s="5" t="s">
        <v>17</v>
      </c>
      <c r="S40" s="16">
        <f t="shared" ref="S40:AF40" si="32">SUM(S10:S21)</f>
        <v>111</v>
      </c>
      <c r="T40" s="16">
        <f t="shared" si="32"/>
        <v>0</v>
      </c>
      <c r="U40" s="16">
        <f t="shared" si="32"/>
        <v>0</v>
      </c>
      <c r="V40" s="16">
        <f t="shared" si="32"/>
        <v>43</v>
      </c>
      <c r="W40" s="16">
        <f t="shared" si="32"/>
        <v>2</v>
      </c>
      <c r="X40" s="16">
        <f t="shared" si="32"/>
        <v>11</v>
      </c>
      <c r="Y40" s="16">
        <f t="shared" si="32"/>
        <v>2</v>
      </c>
      <c r="Z40" s="16">
        <f t="shared" si="32"/>
        <v>37</v>
      </c>
      <c r="AA40" s="16">
        <f t="shared" si="32"/>
        <v>11</v>
      </c>
      <c r="AB40" s="16">
        <f t="shared" si="32"/>
        <v>17</v>
      </c>
      <c r="AC40" s="16">
        <f t="shared" si="32"/>
        <v>0</v>
      </c>
      <c r="AD40" s="16">
        <f t="shared" si="32"/>
        <v>0</v>
      </c>
      <c r="AE40" s="29">
        <f t="shared" si="32"/>
        <v>234</v>
      </c>
      <c r="AF40" s="29">
        <f t="shared" si="32"/>
        <v>234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140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49</v>
      </c>
      <c r="W41" s="16">
        <f t="shared" si="33"/>
        <v>3</v>
      </c>
      <c r="X41" s="16">
        <f t="shared" si="33"/>
        <v>13</v>
      </c>
      <c r="Y41" s="16">
        <f t="shared" si="33"/>
        <v>7</v>
      </c>
      <c r="Z41" s="16">
        <f t="shared" si="33"/>
        <v>57</v>
      </c>
      <c r="AA41" s="16">
        <f t="shared" si="33"/>
        <v>17</v>
      </c>
      <c r="AB41" s="16">
        <f t="shared" si="33"/>
        <v>32</v>
      </c>
      <c r="AC41" s="16">
        <f t="shared" si="33"/>
        <v>0</v>
      </c>
      <c r="AD41" s="16">
        <f t="shared" si="33"/>
        <v>0</v>
      </c>
      <c r="AE41" s="29">
        <f t="shared" si="33"/>
        <v>318</v>
      </c>
      <c r="AF41" s="29">
        <f t="shared" si="33"/>
        <v>318</v>
      </c>
    </row>
    <row r="42" spans="2:32" ht="23.1" customHeight="1" x14ac:dyDescent="0.25">
      <c r="B42" s="43" t="s">
        <v>69</v>
      </c>
      <c r="C42" s="47">
        <v>3</v>
      </c>
      <c r="D42" s="47">
        <v>0</v>
      </c>
      <c r="E42" s="47">
        <v>0</v>
      </c>
      <c r="F42" s="47">
        <v>2</v>
      </c>
      <c r="G42" s="47">
        <v>0</v>
      </c>
      <c r="H42" s="47">
        <v>4</v>
      </c>
      <c r="I42" s="47">
        <v>0</v>
      </c>
      <c r="J42" s="47">
        <v>3</v>
      </c>
      <c r="K42" s="47">
        <v>1</v>
      </c>
      <c r="L42" s="47">
        <v>0</v>
      </c>
      <c r="M42" s="47">
        <v>0</v>
      </c>
      <c r="N42" s="47">
        <v>0</v>
      </c>
      <c r="O42" s="15">
        <f t="shared" si="0"/>
        <v>13</v>
      </c>
      <c r="P42" s="15">
        <f t="shared" si="1"/>
        <v>13</v>
      </c>
      <c r="R42" s="5" t="s">
        <v>160</v>
      </c>
      <c r="S42" s="45">
        <f>S41/S40</f>
        <v>1.2612612612612613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1.1395348837209303</v>
      </c>
      <c r="W42" s="45">
        <f t="shared" si="34"/>
        <v>1.5</v>
      </c>
      <c r="X42" s="45">
        <f t="shared" si="34"/>
        <v>1.1818181818181819</v>
      </c>
      <c r="Y42" s="45">
        <f t="shared" si="34"/>
        <v>3.5</v>
      </c>
      <c r="Z42" s="45">
        <f t="shared" si="34"/>
        <v>1.5405405405405406</v>
      </c>
      <c r="AA42" s="45">
        <f t="shared" si="34"/>
        <v>1.5454545454545454</v>
      </c>
      <c r="AB42" s="45">
        <f t="shared" si="34"/>
        <v>1.8823529411764706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1.358974358974359</v>
      </c>
      <c r="AF42" s="45">
        <f t="shared" si="34"/>
        <v>1.358974358974359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8</v>
      </c>
      <c r="D44" s="47">
        <v>0</v>
      </c>
      <c r="E44" s="47">
        <v>0</v>
      </c>
      <c r="F44" s="47">
        <v>0</v>
      </c>
      <c r="G44" s="47">
        <v>1</v>
      </c>
      <c r="H44" s="47">
        <v>0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O44" s="15">
        <f t="shared" si="0"/>
        <v>9</v>
      </c>
      <c r="P44" s="15">
        <f t="shared" si="1"/>
        <v>9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3</v>
      </c>
      <c r="D46" s="47">
        <v>0</v>
      </c>
      <c r="E46" s="47">
        <v>0</v>
      </c>
      <c r="F46" s="47">
        <v>3</v>
      </c>
      <c r="G46" s="47">
        <v>0</v>
      </c>
      <c r="H46" s="47">
        <v>1</v>
      </c>
      <c r="I46" s="47">
        <v>0</v>
      </c>
      <c r="J46" s="47">
        <v>1</v>
      </c>
      <c r="K46" s="47">
        <v>1</v>
      </c>
      <c r="L46" s="47">
        <v>0</v>
      </c>
      <c r="M46" s="47">
        <v>0</v>
      </c>
      <c r="N46" s="47">
        <v>0</v>
      </c>
      <c r="O46" s="15">
        <f t="shared" si="0"/>
        <v>9</v>
      </c>
      <c r="P46" s="15">
        <f t="shared" si="1"/>
        <v>9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6</v>
      </c>
      <c r="D48" s="47">
        <v>0</v>
      </c>
      <c r="E48" s="47">
        <v>0</v>
      </c>
      <c r="F48" s="47">
        <v>1</v>
      </c>
      <c r="G48" s="47">
        <v>0</v>
      </c>
      <c r="H48" s="47">
        <v>1</v>
      </c>
      <c r="I48" s="47">
        <v>1</v>
      </c>
      <c r="J48" s="47">
        <v>2</v>
      </c>
      <c r="K48" s="47">
        <v>0</v>
      </c>
      <c r="L48" s="47">
        <v>0</v>
      </c>
      <c r="M48" s="47">
        <v>0</v>
      </c>
      <c r="N48" s="47">
        <v>0</v>
      </c>
      <c r="O48" s="15">
        <f t="shared" si="0"/>
        <v>11</v>
      </c>
      <c r="P48" s="15">
        <f t="shared" si="1"/>
        <v>11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5</v>
      </c>
      <c r="D50" s="47">
        <v>0</v>
      </c>
      <c r="E50" s="47">
        <v>0</v>
      </c>
      <c r="F50" s="47">
        <v>2</v>
      </c>
      <c r="G50" s="47">
        <v>0</v>
      </c>
      <c r="H50" s="47">
        <v>0</v>
      </c>
      <c r="I50" s="47">
        <v>0</v>
      </c>
      <c r="J50" s="47">
        <v>2</v>
      </c>
      <c r="K50" s="47">
        <v>0</v>
      </c>
      <c r="L50" s="47">
        <v>0</v>
      </c>
      <c r="M50" s="47">
        <v>0</v>
      </c>
      <c r="N50" s="47">
        <v>0</v>
      </c>
      <c r="O50" s="15">
        <f t="shared" si="0"/>
        <v>9</v>
      </c>
      <c r="P50" s="15">
        <f t="shared" si="1"/>
        <v>9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5</v>
      </c>
      <c r="D52" s="47">
        <v>0</v>
      </c>
      <c r="E52" s="47">
        <v>0</v>
      </c>
      <c r="F52" s="47">
        <v>1</v>
      </c>
      <c r="G52" s="47">
        <v>0</v>
      </c>
      <c r="H52" s="47">
        <v>0</v>
      </c>
      <c r="I52" s="47">
        <v>0</v>
      </c>
      <c r="J52" s="47">
        <v>0</v>
      </c>
      <c r="K52" s="47">
        <v>0</v>
      </c>
      <c r="L52" s="47">
        <v>4</v>
      </c>
      <c r="M52" s="47">
        <v>0</v>
      </c>
      <c r="N52" s="47">
        <v>0</v>
      </c>
      <c r="O52" s="15">
        <f t="shared" si="0"/>
        <v>10</v>
      </c>
      <c r="P52" s="15">
        <f t="shared" si="1"/>
        <v>10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4</v>
      </c>
      <c r="D54" s="47">
        <v>0</v>
      </c>
      <c r="E54" s="47">
        <v>0</v>
      </c>
      <c r="F54" s="47">
        <v>1</v>
      </c>
      <c r="G54" s="47">
        <v>1</v>
      </c>
      <c r="H54" s="47">
        <v>0</v>
      </c>
      <c r="I54" s="47">
        <v>0</v>
      </c>
      <c r="J54" s="47">
        <v>1</v>
      </c>
      <c r="K54" s="47">
        <v>0</v>
      </c>
      <c r="L54" s="47">
        <v>1</v>
      </c>
      <c r="M54" s="47">
        <v>0</v>
      </c>
      <c r="N54" s="47">
        <v>0</v>
      </c>
      <c r="O54" s="15">
        <f t="shared" si="0"/>
        <v>8</v>
      </c>
      <c r="P54" s="15">
        <f t="shared" si="1"/>
        <v>8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6</v>
      </c>
      <c r="D56" s="47">
        <v>0</v>
      </c>
      <c r="E56" s="47">
        <v>0</v>
      </c>
      <c r="F56" s="47">
        <v>1</v>
      </c>
      <c r="G56" s="47">
        <v>0</v>
      </c>
      <c r="H56" s="47">
        <v>0</v>
      </c>
      <c r="I56" s="47">
        <v>1</v>
      </c>
      <c r="J56" s="47">
        <v>1</v>
      </c>
      <c r="K56" s="47">
        <v>0</v>
      </c>
      <c r="L56" s="47">
        <v>1</v>
      </c>
      <c r="M56" s="47">
        <v>0</v>
      </c>
      <c r="N56" s="47">
        <v>0</v>
      </c>
      <c r="O56" s="15">
        <f t="shared" si="0"/>
        <v>10</v>
      </c>
      <c r="P56" s="15">
        <f t="shared" si="1"/>
        <v>10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3</v>
      </c>
      <c r="D58" s="47">
        <v>0</v>
      </c>
      <c r="E58" s="47">
        <v>0</v>
      </c>
      <c r="F58" s="47">
        <v>1</v>
      </c>
      <c r="G58" s="47">
        <v>0</v>
      </c>
      <c r="H58" s="47">
        <v>0</v>
      </c>
      <c r="I58" s="47">
        <v>0</v>
      </c>
      <c r="J58" s="47">
        <v>1</v>
      </c>
      <c r="K58" s="47">
        <v>0</v>
      </c>
      <c r="L58" s="47">
        <v>0</v>
      </c>
      <c r="M58" s="47">
        <v>0</v>
      </c>
      <c r="N58" s="47">
        <v>0</v>
      </c>
      <c r="O58" s="15">
        <f t="shared" si="0"/>
        <v>5</v>
      </c>
      <c r="P58" s="15">
        <f t="shared" si="1"/>
        <v>5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6</v>
      </c>
      <c r="D60" s="47">
        <v>0</v>
      </c>
      <c r="E60" s="47">
        <v>0</v>
      </c>
      <c r="F60" s="47">
        <v>2</v>
      </c>
      <c r="G60" s="47">
        <v>0</v>
      </c>
      <c r="H60" s="47">
        <v>0</v>
      </c>
      <c r="I60" s="47">
        <v>0</v>
      </c>
      <c r="J60" s="47">
        <v>2</v>
      </c>
      <c r="K60" s="47">
        <v>0</v>
      </c>
      <c r="L60" s="47">
        <v>1</v>
      </c>
      <c r="M60" s="47">
        <v>0</v>
      </c>
      <c r="N60" s="47">
        <v>0</v>
      </c>
      <c r="O60" s="15">
        <f t="shared" si="0"/>
        <v>11</v>
      </c>
      <c r="P60" s="15">
        <f t="shared" si="1"/>
        <v>11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8</v>
      </c>
      <c r="D62" s="47">
        <v>0</v>
      </c>
      <c r="E62" s="47">
        <v>0</v>
      </c>
      <c r="F62" s="47">
        <v>0</v>
      </c>
      <c r="G62" s="47">
        <v>0</v>
      </c>
      <c r="H62" s="47">
        <v>0</v>
      </c>
      <c r="I62" s="47">
        <v>0</v>
      </c>
      <c r="J62" s="47">
        <v>1</v>
      </c>
      <c r="K62" s="47">
        <v>3</v>
      </c>
      <c r="L62" s="47">
        <v>1</v>
      </c>
      <c r="M62" s="47">
        <v>0</v>
      </c>
      <c r="N62" s="47">
        <v>0</v>
      </c>
      <c r="O62" s="15">
        <f t="shared" si="0"/>
        <v>13</v>
      </c>
      <c r="P62" s="15">
        <f t="shared" si="1"/>
        <v>13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2</v>
      </c>
      <c r="D64" s="47">
        <v>0</v>
      </c>
      <c r="E64" s="47">
        <v>0</v>
      </c>
      <c r="F64" s="47">
        <v>0</v>
      </c>
      <c r="G64" s="47">
        <v>0</v>
      </c>
      <c r="H64" s="47">
        <v>0</v>
      </c>
      <c r="I64" s="47">
        <v>1</v>
      </c>
      <c r="J64" s="47">
        <v>0</v>
      </c>
      <c r="K64" s="47">
        <v>0</v>
      </c>
      <c r="L64" s="47">
        <v>0</v>
      </c>
      <c r="M64" s="47">
        <v>0</v>
      </c>
      <c r="N64" s="47">
        <v>0</v>
      </c>
      <c r="O64" s="15">
        <f t="shared" si="0"/>
        <v>3</v>
      </c>
      <c r="P64" s="15">
        <f t="shared" si="1"/>
        <v>3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0</v>
      </c>
      <c r="D66" s="47">
        <v>0</v>
      </c>
      <c r="E66" s="47">
        <v>0</v>
      </c>
      <c r="F66" s="47">
        <v>0</v>
      </c>
      <c r="G66" s="47">
        <v>0</v>
      </c>
      <c r="H66" s="47">
        <v>0</v>
      </c>
      <c r="I66" s="47">
        <v>0</v>
      </c>
      <c r="J66" s="47">
        <v>0</v>
      </c>
      <c r="K66" s="47">
        <v>1</v>
      </c>
      <c r="L66" s="47">
        <v>0</v>
      </c>
      <c r="M66" s="47">
        <v>0</v>
      </c>
      <c r="N66" s="47">
        <v>0</v>
      </c>
      <c r="O66" s="15">
        <f t="shared" si="0"/>
        <v>1</v>
      </c>
      <c r="P66" s="15">
        <f t="shared" si="1"/>
        <v>1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0</v>
      </c>
      <c r="D68" s="47">
        <v>0</v>
      </c>
      <c r="E68" s="47">
        <v>0</v>
      </c>
      <c r="F68" s="47">
        <v>0</v>
      </c>
      <c r="G68" s="47">
        <v>0</v>
      </c>
      <c r="H68" s="47">
        <v>0</v>
      </c>
      <c r="I68" s="47">
        <v>0</v>
      </c>
      <c r="J68" s="47">
        <v>1</v>
      </c>
      <c r="K68" s="47">
        <v>0</v>
      </c>
      <c r="L68" s="47">
        <v>0</v>
      </c>
      <c r="M68" s="47">
        <v>0</v>
      </c>
      <c r="N68" s="47"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2</v>
      </c>
      <c r="D70" s="47">
        <v>0</v>
      </c>
      <c r="E70" s="47">
        <v>0</v>
      </c>
      <c r="F70" s="47">
        <v>1</v>
      </c>
      <c r="G70" s="47">
        <v>0</v>
      </c>
      <c r="H70" s="47">
        <v>0</v>
      </c>
      <c r="I70" s="47">
        <v>0</v>
      </c>
      <c r="J70" s="47">
        <v>1</v>
      </c>
      <c r="K70" s="47">
        <v>0</v>
      </c>
      <c r="L70" s="47">
        <v>0</v>
      </c>
      <c r="M70" s="47">
        <v>0</v>
      </c>
      <c r="N70" s="47">
        <v>0</v>
      </c>
      <c r="O70" s="15">
        <f t="shared" si="0"/>
        <v>4</v>
      </c>
      <c r="P70" s="15">
        <f t="shared" si="1"/>
        <v>4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1</v>
      </c>
      <c r="D72" s="47">
        <v>0</v>
      </c>
      <c r="E72" s="47">
        <v>0</v>
      </c>
      <c r="F72" s="47">
        <v>0</v>
      </c>
      <c r="G72" s="47">
        <v>0</v>
      </c>
      <c r="H72" s="47">
        <v>0</v>
      </c>
      <c r="I72" s="47">
        <v>1</v>
      </c>
      <c r="J72" s="47">
        <v>0</v>
      </c>
      <c r="K72" s="47">
        <v>0</v>
      </c>
      <c r="L72" s="47">
        <v>0</v>
      </c>
      <c r="M72" s="47">
        <v>0</v>
      </c>
      <c r="N72" s="47">
        <v>0</v>
      </c>
      <c r="O72" s="15">
        <f t="shared" si="0"/>
        <v>2</v>
      </c>
      <c r="P72" s="15">
        <f t="shared" si="1"/>
        <v>2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2</v>
      </c>
      <c r="D74" s="47">
        <v>0</v>
      </c>
      <c r="E74" s="47">
        <v>0</v>
      </c>
      <c r="F74" s="47">
        <v>0</v>
      </c>
      <c r="G74" s="47">
        <v>0</v>
      </c>
      <c r="H74" s="47">
        <v>0</v>
      </c>
      <c r="I74" s="47">
        <v>2</v>
      </c>
      <c r="J74" s="47">
        <v>4</v>
      </c>
      <c r="K74" s="47">
        <v>1</v>
      </c>
      <c r="L74" s="47">
        <v>2</v>
      </c>
      <c r="M74" s="47">
        <v>0</v>
      </c>
      <c r="N74" s="47">
        <v>0</v>
      </c>
      <c r="O74" s="15">
        <f t="shared" ref="O74:O105" si="35">SUM(C74:L74,N74)</f>
        <v>11</v>
      </c>
      <c r="P74" s="15">
        <f t="shared" ref="P74:P105" si="36">SUM(C74:N74)</f>
        <v>11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1</v>
      </c>
      <c r="D76" s="47">
        <v>0</v>
      </c>
      <c r="E76" s="47">
        <v>0</v>
      </c>
      <c r="F76" s="47">
        <v>0</v>
      </c>
      <c r="G76" s="47">
        <v>0</v>
      </c>
      <c r="H76" s="47">
        <v>0</v>
      </c>
      <c r="I76" s="47">
        <v>1</v>
      </c>
      <c r="J76" s="47">
        <v>8</v>
      </c>
      <c r="K76" s="47">
        <v>1</v>
      </c>
      <c r="L76" s="47">
        <v>2</v>
      </c>
      <c r="M76" s="47">
        <v>0</v>
      </c>
      <c r="N76" s="47">
        <v>0</v>
      </c>
      <c r="O76" s="15">
        <f t="shared" si="35"/>
        <v>13</v>
      </c>
      <c r="P76" s="15">
        <f t="shared" si="36"/>
        <v>13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47">
        <v>0</v>
      </c>
      <c r="J78" s="47">
        <v>2</v>
      </c>
      <c r="K78" s="47">
        <v>0</v>
      </c>
      <c r="L78" s="47">
        <v>5</v>
      </c>
      <c r="M78" s="47">
        <v>0</v>
      </c>
      <c r="N78" s="47">
        <v>0</v>
      </c>
      <c r="O78" s="15">
        <f t="shared" si="35"/>
        <v>7</v>
      </c>
      <c r="P78" s="15">
        <f t="shared" si="36"/>
        <v>7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1</v>
      </c>
      <c r="D80" s="47">
        <v>0</v>
      </c>
      <c r="E80" s="47">
        <v>0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4</v>
      </c>
      <c r="M80" s="47">
        <v>0</v>
      </c>
      <c r="N80" s="47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2</v>
      </c>
      <c r="D82" s="47">
        <v>0</v>
      </c>
      <c r="E82" s="47">
        <v>0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0</v>
      </c>
      <c r="D86" s="47">
        <v>0</v>
      </c>
      <c r="E86" s="47">
        <v>0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0</v>
      </c>
      <c r="D88" s="47">
        <v>0</v>
      </c>
      <c r="E88" s="47">
        <v>0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0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0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0</v>
      </c>
      <c r="D100" s="47">
        <v>0</v>
      </c>
      <c r="E100" s="47">
        <v>0</v>
      </c>
      <c r="F100" s="47">
        <v>0</v>
      </c>
      <c r="G100" s="47">
        <v>0</v>
      </c>
      <c r="H100" s="47">
        <v>0</v>
      </c>
      <c r="I100" s="47">
        <v>0</v>
      </c>
      <c r="J100" s="47">
        <v>0</v>
      </c>
      <c r="K100" s="47">
        <v>0</v>
      </c>
      <c r="L100" s="47">
        <v>0</v>
      </c>
      <c r="M100" s="47">
        <v>0</v>
      </c>
      <c r="N100" s="47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0</v>
      </c>
      <c r="D102" s="47">
        <v>0</v>
      </c>
      <c r="E102" s="47">
        <v>0</v>
      </c>
      <c r="F102" s="47">
        <v>0</v>
      </c>
      <c r="G102" s="47">
        <v>1</v>
      </c>
      <c r="H102" s="47">
        <v>2</v>
      </c>
      <c r="I102" s="47">
        <v>0</v>
      </c>
      <c r="J102" s="47">
        <v>0</v>
      </c>
      <c r="K102" s="47">
        <v>0</v>
      </c>
      <c r="L102" s="47">
        <v>0</v>
      </c>
      <c r="M102" s="47">
        <v>0</v>
      </c>
      <c r="N102" s="47">
        <v>0</v>
      </c>
      <c r="O102" s="15">
        <f t="shared" si="35"/>
        <v>3</v>
      </c>
      <c r="P102" s="15">
        <f t="shared" si="36"/>
        <v>3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1</v>
      </c>
      <c r="D104" s="47">
        <v>0</v>
      </c>
      <c r="E104" s="47">
        <v>0</v>
      </c>
      <c r="F104" s="47">
        <v>2</v>
      </c>
      <c r="G104" s="47">
        <v>0</v>
      </c>
      <c r="H104" s="47">
        <v>0</v>
      </c>
      <c r="I104" s="47">
        <v>0</v>
      </c>
      <c r="J104" s="47">
        <v>0</v>
      </c>
      <c r="K104" s="47">
        <v>0</v>
      </c>
      <c r="L104" s="47">
        <v>0</v>
      </c>
      <c r="M104" s="47">
        <v>0</v>
      </c>
      <c r="N104" s="47">
        <v>0</v>
      </c>
      <c r="O104" s="15">
        <f t="shared" si="35"/>
        <v>3</v>
      </c>
      <c r="P104" s="15">
        <f t="shared" si="36"/>
        <v>3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140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49</v>
      </c>
      <c r="G106" s="16">
        <f t="shared" si="37"/>
        <v>3</v>
      </c>
      <c r="H106" s="16">
        <f t="shared" si="37"/>
        <v>13</v>
      </c>
      <c r="I106" s="16">
        <f t="shared" si="37"/>
        <v>7</v>
      </c>
      <c r="J106" s="16">
        <f t="shared" si="37"/>
        <v>57</v>
      </c>
      <c r="K106" s="16">
        <f t="shared" si="37"/>
        <v>17</v>
      </c>
      <c r="L106" s="16">
        <f t="shared" si="37"/>
        <v>32</v>
      </c>
      <c r="M106" s="16">
        <f t="shared" si="37"/>
        <v>0</v>
      </c>
      <c r="N106" s="16">
        <f t="shared" si="37"/>
        <v>0</v>
      </c>
      <c r="O106" s="16">
        <f t="shared" si="37"/>
        <v>318</v>
      </c>
      <c r="P106" s="16">
        <f t="shared" si="37"/>
        <v>318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0.44025157232704404</v>
      </c>
      <c r="D107" s="40">
        <f t="shared" si="38"/>
        <v>0</v>
      </c>
      <c r="E107" s="40">
        <f t="shared" si="38"/>
        <v>0</v>
      </c>
      <c r="F107" s="40">
        <f t="shared" si="38"/>
        <v>0.1540880503144654</v>
      </c>
      <c r="G107" s="40">
        <f t="shared" si="38"/>
        <v>9.433962264150943E-3</v>
      </c>
      <c r="H107" s="40">
        <f t="shared" si="38"/>
        <v>4.0880503144654086E-2</v>
      </c>
      <c r="I107" s="40">
        <f t="shared" si="38"/>
        <v>2.20125786163522E-2</v>
      </c>
      <c r="J107" s="40">
        <f t="shared" si="38"/>
        <v>0.17924528301886791</v>
      </c>
      <c r="K107" s="40">
        <f t="shared" si="38"/>
        <v>5.3459119496855348E-2</v>
      </c>
      <c r="L107" s="40">
        <f t="shared" si="38"/>
        <v>0.10062893081761007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0.44025157232704404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0.1540880503144654</v>
      </c>
      <c r="G108" s="41">
        <f t="shared" si="39"/>
        <v>9.433962264150943E-3</v>
      </c>
      <c r="H108" s="41">
        <f t="shared" si="39"/>
        <v>4.0880503144654086E-2</v>
      </c>
      <c r="I108" s="41">
        <f t="shared" si="39"/>
        <v>2.20125786163522E-2</v>
      </c>
      <c r="J108" s="41">
        <f t="shared" si="39"/>
        <v>0.17924528301886791</v>
      </c>
      <c r="K108" s="41">
        <f t="shared" si="39"/>
        <v>5.3459119496855348E-2</v>
      </c>
      <c r="L108" s="41">
        <f t="shared" si="39"/>
        <v>0.10062893081761007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">
        <v>166</v>
      </c>
      <c r="E5" s="3"/>
      <c r="F5" s="38" t="s">
        <v>1</v>
      </c>
      <c r="G5" s="58" t="e">
        <f>'25.05 Mutukula-Kampala-24h'!G5:H5</f>
        <v>#REF!</v>
      </c>
      <c r="H5" s="59"/>
      <c r="I5" s="14"/>
      <c r="J5" s="2" t="s">
        <v>5</v>
      </c>
      <c r="K5" s="58" t="str">
        <f>'25.05 Mutukula-Kampala-24h'!K5:L5</f>
        <v>xxxx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Kampala-Mutukula-24h'!D6:E6</f>
        <v>Kampala</v>
      </c>
      <c r="E6" s="59"/>
      <c r="F6" s="2" t="s">
        <v>2</v>
      </c>
      <c r="G6" s="58" t="str">
        <f>'25.05 Kampala-Mutukula-24h'!G6:H6</f>
        <v>Mutukula</v>
      </c>
      <c r="H6" s="59"/>
      <c r="J6" s="2" t="s">
        <v>21</v>
      </c>
      <c r="K6" s="58" t="str">
        <f>'25.05 Mutukula-Kampala-24h'!K6:L6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1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1</v>
      </c>
      <c r="M10" s="47">
        <v>0</v>
      </c>
      <c r="N10" s="47">
        <v>0</v>
      </c>
      <c r="O10" s="15">
        <f t="shared" ref="O10:O73" si="0">SUM(C10:L10,N10)</f>
        <v>2</v>
      </c>
      <c r="P10" s="15">
        <f t="shared" ref="P10:P73" si="1">SUM(C10:N10)</f>
        <v>2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0</v>
      </c>
      <c r="AD10" s="17">
        <f t="shared" si="2"/>
        <v>0</v>
      </c>
      <c r="AE10" s="28">
        <f t="shared" si="2"/>
        <v>3</v>
      </c>
      <c r="AF10" s="28">
        <f t="shared" si="2"/>
        <v>3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28">
        <f t="shared" si="3"/>
        <v>6</v>
      </c>
      <c r="AF11" s="28">
        <f t="shared" si="3"/>
        <v>6</v>
      </c>
    </row>
    <row r="12" spans="2:32" ht="23.1" customHeight="1" x14ac:dyDescent="0.25">
      <c r="B12" s="42" t="s">
        <v>39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1</v>
      </c>
      <c r="M12" s="47">
        <v>0</v>
      </c>
      <c r="N12" s="47">
        <v>0</v>
      </c>
      <c r="O12" s="15">
        <f t="shared" si="0"/>
        <v>1</v>
      </c>
      <c r="P12" s="15">
        <f t="shared" si="1"/>
        <v>1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3</v>
      </c>
      <c r="Y12" s="17">
        <f t="shared" si="4"/>
        <v>0</v>
      </c>
      <c r="Z12" s="17">
        <f t="shared" si="4"/>
        <v>6</v>
      </c>
      <c r="AA12" s="17">
        <f t="shared" si="4"/>
        <v>0</v>
      </c>
      <c r="AB12" s="17">
        <f t="shared" si="4"/>
        <v>2</v>
      </c>
      <c r="AC12" s="17">
        <f t="shared" si="4"/>
        <v>0</v>
      </c>
      <c r="AD12" s="17">
        <f t="shared" si="4"/>
        <v>0</v>
      </c>
      <c r="AE12" s="28">
        <f t="shared" si="4"/>
        <v>22</v>
      </c>
      <c r="AF12" s="28">
        <f t="shared" si="4"/>
        <v>22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0</v>
      </c>
      <c r="V13" s="17">
        <f t="shared" si="5"/>
        <v>4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28">
        <f t="shared" si="5"/>
        <v>11</v>
      </c>
      <c r="AF13" s="28">
        <f t="shared" si="5"/>
        <v>11</v>
      </c>
    </row>
    <row r="14" spans="2:32" ht="23.1" customHeight="1" x14ac:dyDescent="0.25">
      <c r="B14" s="42" t="s">
        <v>41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1</v>
      </c>
      <c r="M14" s="47">
        <v>0</v>
      </c>
      <c r="N14" s="47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13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6</v>
      </c>
      <c r="AA14" s="17">
        <f t="shared" si="6"/>
        <v>0</v>
      </c>
      <c r="AB14" s="17">
        <f t="shared" si="6"/>
        <v>3</v>
      </c>
      <c r="AC14" s="17">
        <f t="shared" si="6"/>
        <v>0</v>
      </c>
      <c r="AD14" s="17">
        <f t="shared" si="6"/>
        <v>0</v>
      </c>
      <c r="AE14" s="28">
        <f t="shared" si="6"/>
        <v>25</v>
      </c>
      <c r="AF14" s="28">
        <f t="shared" si="6"/>
        <v>25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28">
        <f t="shared" si="7"/>
        <v>19</v>
      </c>
      <c r="AF15" s="28">
        <f t="shared" si="7"/>
        <v>19</v>
      </c>
    </row>
    <row r="16" spans="2:32" ht="23.1" customHeight="1" x14ac:dyDescent="0.25">
      <c r="B16" s="42" t="s">
        <v>43</v>
      </c>
      <c r="C16" s="47">
        <v>4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1</v>
      </c>
      <c r="K16" s="47">
        <v>0</v>
      </c>
      <c r="L16" s="47">
        <v>0</v>
      </c>
      <c r="M16" s="47">
        <v>0</v>
      </c>
      <c r="N16" s="47">
        <v>0</v>
      </c>
      <c r="O16" s="15">
        <f t="shared" si="0"/>
        <v>5</v>
      </c>
      <c r="P16" s="15">
        <f t="shared" si="1"/>
        <v>5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0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28">
        <f t="shared" si="8"/>
        <v>19</v>
      </c>
      <c r="AF16" s="28">
        <f t="shared" si="8"/>
        <v>19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28">
        <f t="shared" si="9"/>
        <v>13</v>
      </c>
      <c r="AF17" s="28">
        <f t="shared" si="9"/>
        <v>13</v>
      </c>
    </row>
    <row r="18" spans="2:32" ht="23.1" customHeight="1" x14ac:dyDescent="0.25">
      <c r="B18" s="42" t="s">
        <v>45</v>
      </c>
      <c r="C18" s="47">
        <v>5</v>
      </c>
      <c r="D18" s="47">
        <v>0</v>
      </c>
      <c r="E18" s="47">
        <v>0</v>
      </c>
      <c r="F18" s="47">
        <v>0</v>
      </c>
      <c r="G18" s="47">
        <v>0</v>
      </c>
      <c r="H18" s="47">
        <v>2</v>
      </c>
      <c r="I18" s="47">
        <v>0</v>
      </c>
      <c r="J18" s="47">
        <v>3</v>
      </c>
      <c r="K18" s="47">
        <v>0</v>
      </c>
      <c r="L18" s="47">
        <v>0</v>
      </c>
      <c r="M18" s="47">
        <v>0</v>
      </c>
      <c r="N18" s="47">
        <v>0</v>
      </c>
      <c r="O18" s="15">
        <f t="shared" si="0"/>
        <v>10</v>
      </c>
      <c r="P18" s="15">
        <f t="shared" si="1"/>
        <v>10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0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28">
        <f t="shared" si="10"/>
        <v>21</v>
      </c>
      <c r="AF18" s="28">
        <f t="shared" si="10"/>
        <v>21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3</v>
      </c>
      <c r="AA19" s="17">
        <f t="shared" si="11"/>
        <v>0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28">
        <f t="shared" si="11"/>
        <v>16</v>
      </c>
      <c r="AF19" s="28">
        <f t="shared" si="11"/>
        <v>16</v>
      </c>
    </row>
    <row r="20" spans="2:32" ht="23.1" customHeight="1" x14ac:dyDescent="0.25">
      <c r="B20" s="42" t="s">
        <v>47</v>
      </c>
      <c r="C20" s="47">
        <v>4</v>
      </c>
      <c r="D20" s="47">
        <v>0</v>
      </c>
      <c r="E20" s="47">
        <v>0</v>
      </c>
      <c r="F20" s="47">
        <v>2</v>
      </c>
      <c r="G20" s="47">
        <v>0</v>
      </c>
      <c r="H20" s="47">
        <v>1</v>
      </c>
      <c r="I20" s="47">
        <v>0</v>
      </c>
      <c r="J20" s="47">
        <v>3</v>
      </c>
      <c r="K20" s="47">
        <v>0</v>
      </c>
      <c r="L20" s="47">
        <v>2</v>
      </c>
      <c r="M20" s="47">
        <v>0</v>
      </c>
      <c r="N20" s="47">
        <v>0</v>
      </c>
      <c r="O20" s="15">
        <f t="shared" si="0"/>
        <v>12</v>
      </c>
      <c r="P20" s="15">
        <f t="shared" si="1"/>
        <v>12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28">
        <f t="shared" si="12"/>
        <v>16</v>
      </c>
      <c r="AF20" s="28">
        <f t="shared" si="12"/>
        <v>16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14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1</v>
      </c>
      <c r="X21" s="17">
        <f t="shared" si="13"/>
        <v>1</v>
      </c>
      <c r="Y21" s="17">
        <f t="shared" si="13"/>
        <v>0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0</v>
      </c>
      <c r="AD21" s="17">
        <f t="shared" si="13"/>
        <v>0</v>
      </c>
      <c r="AE21" s="28">
        <f t="shared" si="13"/>
        <v>26</v>
      </c>
      <c r="AF21" s="28">
        <f t="shared" si="13"/>
        <v>26</v>
      </c>
    </row>
    <row r="22" spans="2:32" ht="23.1" customHeight="1" x14ac:dyDescent="0.25">
      <c r="B22" s="42" t="s">
        <v>49</v>
      </c>
      <c r="C22" s="47">
        <v>1</v>
      </c>
      <c r="D22" s="47">
        <v>0</v>
      </c>
      <c r="E22" s="47">
        <v>0</v>
      </c>
      <c r="F22" s="47">
        <v>3</v>
      </c>
      <c r="G22" s="47">
        <v>0</v>
      </c>
      <c r="H22" s="47">
        <v>1</v>
      </c>
      <c r="I22" s="47">
        <v>0</v>
      </c>
      <c r="J22" s="47">
        <v>2</v>
      </c>
      <c r="K22" s="47">
        <v>0</v>
      </c>
      <c r="L22" s="47">
        <v>0</v>
      </c>
      <c r="M22" s="47">
        <v>0</v>
      </c>
      <c r="N22" s="47">
        <v>0</v>
      </c>
      <c r="O22" s="15">
        <f t="shared" si="0"/>
        <v>7</v>
      </c>
      <c r="P22" s="15">
        <f t="shared" si="1"/>
        <v>7</v>
      </c>
      <c r="R22" s="33" t="s">
        <v>146</v>
      </c>
      <c r="S22" s="31">
        <f>SUM(C58:C61)</f>
        <v>11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4</v>
      </c>
      <c r="W22" s="31">
        <f t="shared" si="14"/>
        <v>0</v>
      </c>
      <c r="X22" s="31">
        <f t="shared" si="14"/>
        <v>2</v>
      </c>
      <c r="Y22" s="31">
        <f t="shared" si="14"/>
        <v>0</v>
      </c>
      <c r="Z22" s="31">
        <f t="shared" si="14"/>
        <v>3</v>
      </c>
      <c r="AA22" s="31">
        <f t="shared" si="14"/>
        <v>0</v>
      </c>
      <c r="AB22" s="31">
        <f t="shared" si="14"/>
        <v>2</v>
      </c>
      <c r="AC22" s="31">
        <f t="shared" si="14"/>
        <v>0</v>
      </c>
      <c r="AD22" s="31">
        <f t="shared" si="14"/>
        <v>0</v>
      </c>
      <c r="AE22" s="28">
        <f t="shared" si="14"/>
        <v>22</v>
      </c>
      <c r="AF22" s="28">
        <f t="shared" si="14"/>
        <v>22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18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2</v>
      </c>
      <c r="W23" s="31">
        <f t="shared" si="15"/>
        <v>0</v>
      </c>
      <c r="X23" s="31">
        <f t="shared" si="15"/>
        <v>0</v>
      </c>
      <c r="Y23" s="31">
        <f t="shared" si="15"/>
        <v>0</v>
      </c>
      <c r="Z23" s="31">
        <f t="shared" si="15"/>
        <v>3</v>
      </c>
      <c r="AA23" s="31">
        <f t="shared" si="15"/>
        <v>3</v>
      </c>
      <c r="AB23" s="31">
        <f t="shared" si="15"/>
        <v>4</v>
      </c>
      <c r="AC23" s="31">
        <f t="shared" si="15"/>
        <v>0</v>
      </c>
      <c r="AD23" s="31">
        <f t="shared" si="15"/>
        <v>0</v>
      </c>
      <c r="AE23" s="28">
        <f t="shared" si="15"/>
        <v>30</v>
      </c>
      <c r="AF23" s="28">
        <f t="shared" si="15"/>
        <v>30</v>
      </c>
    </row>
    <row r="24" spans="2:32" ht="23.1" customHeight="1" x14ac:dyDescent="0.25">
      <c r="B24" s="42" t="s">
        <v>51</v>
      </c>
      <c r="C24" s="47">
        <v>3</v>
      </c>
      <c r="D24" s="47">
        <v>0</v>
      </c>
      <c r="E24" s="47">
        <v>0</v>
      </c>
      <c r="F24" s="47">
        <v>1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O24" s="15">
        <f t="shared" si="0"/>
        <v>4</v>
      </c>
      <c r="P24" s="15">
        <f t="shared" si="1"/>
        <v>4</v>
      </c>
      <c r="R24" s="33" t="s">
        <v>148</v>
      </c>
      <c r="S24" s="31">
        <f>SUM(C66:C69)</f>
        <v>8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5</v>
      </c>
      <c r="W24" s="31">
        <f t="shared" si="16"/>
        <v>1</v>
      </c>
      <c r="X24" s="31">
        <f t="shared" si="16"/>
        <v>0</v>
      </c>
      <c r="Y24" s="31">
        <f t="shared" si="16"/>
        <v>0</v>
      </c>
      <c r="Z24" s="31">
        <f t="shared" si="16"/>
        <v>2</v>
      </c>
      <c r="AA24" s="31">
        <f t="shared" si="16"/>
        <v>4</v>
      </c>
      <c r="AB24" s="31">
        <f t="shared" si="16"/>
        <v>2</v>
      </c>
      <c r="AC24" s="31">
        <f t="shared" si="16"/>
        <v>0</v>
      </c>
      <c r="AD24" s="31">
        <f t="shared" si="16"/>
        <v>0</v>
      </c>
      <c r="AE24" s="28">
        <f t="shared" si="16"/>
        <v>22</v>
      </c>
      <c r="AF24" s="28">
        <f t="shared" si="16"/>
        <v>22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9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2</v>
      </c>
      <c r="W25" s="31">
        <f t="shared" si="17"/>
        <v>0</v>
      </c>
      <c r="X25" s="31">
        <f t="shared" si="17"/>
        <v>3</v>
      </c>
      <c r="Y25" s="31">
        <f t="shared" si="17"/>
        <v>0</v>
      </c>
      <c r="Z25" s="31">
        <f t="shared" si="17"/>
        <v>6</v>
      </c>
      <c r="AA25" s="31">
        <f t="shared" si="17"/>
        <v>1</v>
      </c>
      <c r="AB25" s="31">
        <f t="shared" si="17"/>
        <v>2</v>
      </c>
      <c r="AC25" s="31">
        <f t="shared" si="17"/>
        <v>0</v>
      </c>
      <c r="AD25" s="31">
        <f t="shared" si="17"/>
        <v>0</v>
      </c>
      <c r="AE25" s="28">
        <f t="shared" si="17"/>
        <v>23</v>
      </c>
      <c r="AF25" s="28">
        <f t="shared" si="17"/>
        <v>23</v>
      </c>
    </row>
    <row r="26" spans="2:32" ht="23.1" customHeight="1" x14ac:dyDescent="0.25">
      <c r="B26" s="42" t="s">
        <v>53</v>
      </c>
      <c r="C26" s="47">
        <v>9</v>
      </c>
      <c r="D26" s="47">
        <v>0</v>
      </c>
      <c r="E26" s="47">
        <v>0</v>
      </c>
      <c r="F26" s="47">
        <v>2</v>
      </c>
      <c r="G26" s="47">
        <v>0</v>
      </c>
      <c r="H26" s="47">
        <v>0</v>
      </c>
      <c r="I26" s="47">
        <v>1</v>
      </c>
      <c r="J26" s="47">
        <v>3</v>
      </c>
      <c r="K26" s="47">
        <v>0</v>
      </c>
      <c r="L26" s="47">
        <v>0</v>
      </c>
      <c r="M26" s="47">
        <v>0</v>
      </c>
      <c r="N26" s="47">
        <v>0</v>
      </c>
      <c r="O26" s="15">
        <f t="shared" si="0"/>
        <v>15</v>
      </c>
      <c r="P26" s="15">
        <f t="shared" si="1"/>
        <v>15</v>
      </c>
      <c r="R26" s="33" t="s">
        <v>150</v>
      </c>
      <c r="S26" s="31">
        <f>SUM(C74:C77)</f>
        <v>13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3</v>
      </c>
      <c r="W26" s="31">
        <f t="shared" si="18"/>
        <v>1</v>
      </c>
      <c r="X26" s="31">
        <f t="shared" si="18"/>
        <v>2</v>
      </c>
      <c r="Y26" s="31">
        <f t="shared" si="18"/>
        <v>0</v>
      </c>
      <c r="Z26" s="31">
        <f t="shared" si="18"/>
        <v>5</v>
      </c>
      <c r="AA26" s="31">
        <f t="shared" si="18"/>
        <v>1</v>
      </c>
      <c r="AB26" s="31">
        <f t="shared" si="18"/>
        <v>10</v>
      </c>
      <c r="AC26" s="31">
        <f t="shared" si="18"/>
        <v>0</v>
      </c>
      <c r="AD26" s="31">
        <f t="shared" si="18"/>
        <v>0</v>
      </c>
      <c r="AE26" s="28">
        <f t="shared" si="18"/>
        <v>35</v>
      </c>
      <c r="AF26" s="28">
        <f t="shared" si="18"/>
        <v>35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7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0</v>
      </c>
      <c r="W27" s="31">
        <f t="shared" si="19"/>
        <v>0</v>
      </c>
      <c r="X27" s="31">
        <f t="shared" si="19"/>
        <v>2</v>
      </c>
      <c r="Y27" s="31">
        <f t="shared" si="19"/>
        <v>1</v>
      </c>
      <c r="Z27" s="31">
        <f t="shared" si="19"/>
        <v>2</v>
      </c>
      <c r="AA27" s="31">
        <f t="shared" si="19"/>
        <v>1</v>
      </c>
      <c r="AB27" s="31">
        <f t="shared" si="19"/>
        <v>4</v>
      </c>
      <c r="AC27" s="31">
        <f t="shared" si="19"/>
        <v>0</v>
      </c>
      <c r="AD27" s="31">
        <f t="shared" si="19"/>
        <v>0</v>
      </c>
      <c r="AE27" s="28">
        <f t="shared" si="19"/>
        <v>17</v>
      </c>
      <c r="AF27" s="28">
        <f t="shared" si="19"/>
        <v>17</v>
      </c>
    </row>
    <row r="28" spans="2:32" ht="23.1" customHeight="1" x14ac:dyDescent="0.25">
      <c r="B28" s="42" t="s">
        <v>55</v>
      </c>
      <c r="C28" s="47">
        <v>4</v>
      </c>
      <c r="D28" s="47">
        <v>0</v>
      </c>
      <c r="E28" s="47">
        <v>0</v>
      </c>
      <c r="F28" s="47">
        <v>0</v>
      </c>
      <c r="G28" s="47">
        <v>0</v>
      </c>
      <c r="H28" s="47">
        <v>0</v>
      </c>
      <c r="I28" s="47">
        <v>0</v>
      </c>
      <c r="J28" s="47">
        <v>3</v>
      </c>
      <c r="K28" s="47">
        <v>0</v>
      </c>
      <c r="L28" s="47">
        <v>3</v>
      </c>
      <c r="M28" s="47">
        <v>0</v>
      </c>
      <c r="N28" s="47">
        <v>0</v>
      </c>
      <c r="O28" s="15">
        <f t="shared" si="0"/>
        <v>10</v>
      </c>
      <c r="P28" s="15">
        <f t="shared" si="1"/>
        <v>10</v>
      </c>
      <c r="R28" s="33" t="s">
        <v>152</v>
      </c>
      <c r="S28" s="31">
        <f>SUM(C82:C85)</f>
        <v>1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2</v>
      </c>
      <c r="W28" s="31">
        <f t="shared" si="20"/>
        <v>1</v>
      </c>
      <c r="X28" s="31">
        <f t="shared" si="20"/>
        <v>1</v>
      </c>
      <c r="Y28" s="31">
        <f t="shared" si="20"/>
        <v>2</v>
      </c>
      <c r="Z28" s="31">
        <f t="shared" si="20"/>
        <v>1</v>
      </c>
      <c r="AA28" s="31">
        <f t="shared" si="20"/>
        <v>0</v>
      </c>
      <c r="AB28" s="31">
        <f t="shared" si="20"/>
        <v>7</v>
      </c>
      <c r="AC28" s="31">
        <f t="shared" si="20"/>
        <v>0</v>
      </c>
      <c r="AD28" s="31">
        <f t="shared" si="20"/>
        <v>0</v>
      </c>
      <c r="AE28" s="28">
        <f t="shared" si="20"/>
        <v>15</v>
      </c>
      <c r="AF28" s="28">
        <f t="shared" si="20"/>
        <v>15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5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1</v>
      </c>
      <c r="W29" s="31">
        <f t="shared" si="21"/>
        <v>0</v>
      </c>
      <c r="X29" s="31">
        <f t="shared" si="21"/>
        <v>2</v>
      </c>
      <c r="Y29" s="31">
        <f t="shared" si="21"/>
        <v>2</v>
      </c>
      <c r="Z29" s="31">
        <f t="shared" si="21"/>
        <v>3</v>
      </c>
      <c r="AA29" s="31">
        <f t="shared" si="21"/>
        <v>0</v>
      </c>
      <c r="AB29" s="31">
        <f t="shared" si="21"/>
        <v>8</v>
      </c>
      <c r="AC29" s="31">
        <f t="shared" si="21"/>
        <v>0</v>
      </c>
      <c r="AD29" s="31">
        <f t="shared" si="21"/>
        <v>0</v>
      </c>
      <c r="AE29" s="28">
        <f t="shared" si="21"/>
        <v>21</v>
      </c>
      <c r="AF29" s="28">
        <f t="shared" si="21"/>
        <v>21</v>
      </c>
    </row>
    <row r="30" spans="2:32" ht="23.1" customHeight="1" x14ac:dyDescent="0.25">
      <c r="B30" s="42" t="s">
        <v>57</v>
      </c>
      <c r="C30" s="47">
        <v>6</v>
      </c>
      <c r="D30" s="47">
        <v>0</v>
      </c>
      <c r="E30" s="47">
        <v>0</v>
      </c>
      <c r="F30" s="47">
        <v>1</v>
      </c>
      <c r="G30" s="47">
        <v>0</v>
      </c>
      <c r="H30" s="47">
        <v>0</v>
      </c>
      <c r="I30" s="47">
        <v>1</v>
      </c>
      <c r="J30" s="47">
        <v>2</v>
      </c>
      <c r="K30" s="47">
        <v>1</v>
      </c>
      <c r="L30" s="47">
        <v>0</v>
      </c>
      <c r="M30" s="47">
        <v>0</v>
      </c>
      <c r="N30" s="47">
        <v>0</v>
      </c>
      <c r="O30" s="15">
        <f t="shared" si="0"/>
        <v>11</v>
      </c>
      <c r="P30" s="15">
        <f t="shared" si="1"/>
        <v>11</v>
      </c>
      <c r="R30" s="33" t="s">
        <v>154</v>
      </c>
      <c r="S30" s="31">
        <f>SUM(C90:C93)</f>
        <v>1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1</v>
      </c>
      <c r="AC30" s="31">
        <f t="shared" si="22"/>
        <v>0</v>
      </c>
      <c r="AD30" s="31">
        <f t="shared" si="22"/>
        <v>0</v>
      </c>
      <c r="AE30" s="28">
        <f t="shared" si="22"/>
        <v>2</v>
      </c>
      <c r="AF30" s="28">
        <f t="shared" si="22"/>
        <v>2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1</v>
      </c>
      <c r="AC31" s="31">
        <f t="shared" si="23"/>
        <v>0</v>
      </c>
      <c r="AD31" s="31">
        <f t="shared" si="23"/>
        <v>0</v>
      </c>
      <c r="AE31" s="28">
        <f t="shared" si="23"/>
        <v>1</v>
      </c>
      <c r="AF31" s="28">
        <f t="shared" si="23"/>
        <v>1</v>
      </c>
    </row>
    <row r="32" spans="2:32" ht="23.1" customHeight="1" x14ac:dyDescent="0.25">
      <c r="B32" s="43" t="s">
        <v>59</v>
      </c>
      <c r="C32" s="47">
        <v>4</v>
      </c>
      <c r="D32" s="47">
        <v>0</v>
      </c>
      <c r="E32" s="47">
        <v>0</v>
      </c>
      <c r="F32" s="47">
        <v>1</v>
      </c>
      <c r="G32" s="47">
        <v>0</v>
      </c>
      <c r="H32" s="47">
        <v>0</v>
      </c>
      <c r="I32" s="47">
        <v>0</v>
      </c>
      <c r="J32" s="47">
        <v>3</v>
      </c>
      <c r="K32" s="47">
        <v>0</v>
      </c>
      <c r="L32" s="47">
        <v>0</v>
      </c>
      <c r="M32" s="47">
        <v>0</v>
      </c>
      <c r="N32" s="47">
        <v>0</v>
      </c>
      <c r="O32" s="15">
        <f t="shared" si="0"/>
        <v>8</v>
      </c>
      <c r="P32" s="15">
        <f t="shared" si="1"/>
        <v>8</v>
      </c>
      <c r="R32" s="30" t="s">
        <v>156</v>
      </c>
      <c r="S32" s="31">
        <f>SUM(C98:C101)</f>
        <v>0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0</v>
      </c>
      <c r="AF32" s="28">
        <f t="shared" si="24"/>
        <v>0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5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2</v>
      </c>
      <c r="W33" s="31">
        <f t="shared" si="25"/>
        <v>1</v>
      </c>
      <c r="X33" s="31">
        <f t="shared" si="25"/>
        <v>0</v>
      </c>
      <c r="Y33" s="31">
        <f t="shared" si="25"/>
        <v>0</v>
      </c>
      <c r="Z33" s="31">
        <f t="shared" si="25"/>
        <v>0</v>
      </c>
      <c r="AA33" s="31">
        <f t="shared" si="25"/>
        <v>2</v>
      </c>
      <c r="AB33" s="31">
        <f t="shared" si="25"/>
        <v>7</v>
      </c>
      <c r="AC33" s="31">
        <f t="shared" si="25"/>
        <v>0</v>
      </c>
      <c r="AD33" s="31">
        <f t="shared" si="25"/>
        <v>0</v>
      </c>
      <c r="AE33" s="28">
        <f t="shared" si="25"/>
        <v>17</v>
      </c>
      <c r="AF33" s="28">
        <f t="shared" si="25"/>
        <v>17</v>
      </c>
    </row>
    <row r="34" spans="2:32" ht="23.1" customHeight="1" x14ac:dyDescent="0.25">
      <c r="B34" s="43" t="s">
        <v>61</v>
      </c>
      <c r="C34" s="47">
        <v>6</v>
      </c>
      <c r="D34" s="47">
        <v>0</v>
      </c>
      <c r="E34" s="47">
        <v>0</v>
      </c>
      <c r="F34" s="47">
        <v>1</v>
      </c>
      <c r="G34" s="47">
        <v>0</v>
      </c>
      <c r="H34" s="47">
        <v>0</v>
      </c>
      <c r="I34" s="47">
        <v>0</v>
      </c>
      <c r="J34" s="47">
        <v>4</v>
      </c>
      <c r="K34" s="47">
        <v>0</v>
      </c>
      <c r="L34" s="47">
        <v>0</v>
      </c>
      <c r="M34" s="47">
        <v>0</v>
      </c>
      <c r="N34" s="47">
        <v>0</v>
      </c>
      <c r="O34" s="15">
        <f t="shared" si="0"/>
        <v>11</v>
      </c>
      <c r="P34" s="15">
        <f t="shared" si="1"/>
        <v>11</v>
      </c>
      <c r="R34" s="35" t="s">
        <v>90</v>
      </c>
      <c r="S34" s="36">
        <f t="shared" ref="S34:AF34" si="26">MAX(S10:S12)</f>
        <v>9</v>
      </c>
      <c r="T34" s="36">
        <f t="shared" si="26"/>
        <v>0</v>
      </c>
      <c r="U34" s="36">
        <f t="shared" si="26"/>
        <v>0</v>
      </c>
      <c r="V34" s="36">
        <f t="shared" si="26"/>
        <v>2</v>
      </c>
      <c r="W34" s="36">
        <f t="shared" si="26"/>
        <v>0</v>
      </c>
      <c r="X34" s="36">
        <f t="shared" si="26"/>
        <v>3</v>
      </c>
      <c r="Y34" s="36">
        <f t="shared" si="26"/>
        <v>0</v>
      </c>
      <c r="Z34" s="36">
        <f t="shared" si="26"/>
        <v>6</v>
      </c>
      <c r="AA34" s="36">
        <f t="shared" si="26"/>
        <v>0</v>
      </c>
      <c r="AB34" s="36">
        <f t="shared" si="26"/>
        <v>2</v>
      </c>
      <c r="AC34" s="36">
        <f t="shared" si="26"/>
        <v>0</v>
      </c>
      <c r="AD34" s="36">
        <f t="shared" si="26"/>
        <v>0</v>
      </c>
      <c r="AE34" s="37">
        <f t="shared" si="26"/>
        <v>22</v>
      </c>
      <c r="AF34" s="37">
        <f t="shared" si="26"/>
        <v>22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13</v>
      </c>
      <c r="T35" s="36">
        <f t="shared" si="27"/>
        <v>0</v>
      </c>
      <c r="U35" s="36">
        <f t="shared" si="27"/>
        <v>0</v>
      </c>
      <c r="V35" s="36">
        <f t="shared" si="27"/>
        <v>6</v>
      </c>
      <c r="W35" s="36">
        <f t="shared" si="27"/>
        <v>0</v>
      </c>
      <c r="X35" s="36">
        <f t="shared" si="27"/>
        <v>1</v>
      </c>
      <c r="Y35" s="36">
        <f t="shared" si="27"/>
        <v>1</v>
      </c>
      <c r="Z35" s="36">
        <f t="shared" si="27"/>
        <v>6</v>
      </c>
      <c r="AA35" s="36">
        <f t="shared" si="27"/>
        <v>1</v>
      </c>
      <c r="AB35" s="36">
        <f t="shared" si="27"/>
        <v>3</v>
      </c>
      <c r="AC35" s="36">
        <f t="shared" si="27"/>
        <v>0</v>
      </c>
      <c r="AD35" s="36">
        <f t="shared" si="27"/>
        <v>0</v>
      </c>
      <c r="AE35" s="37">
        <f t="shared" si="27"/>
        <v>25</v>
      </c>
      <c r="AF35" s="37">
        <f t="shared" si="27"/>
        <v>25</v>
      </c>
    </row>
    <row r="36" spans="2:32" ht="23.1" customHeight="1" x14ac:dyDescent="0.25">
      <c r="B36" s="43" t="s">
        <v>63</v>
      </c>
      <c r="C36" s="47">
        <v>5</v>
      </c>
      <c r="D36" s="47">
        <v>0</v>
      </c>
      <c r="E36" s="47">
        <v>0</v>
      </c>
      <c r="F36" s="47">
        <v>3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15">
        <f t="shared" si="0"/>
        <v>8</v>
      </c>
      <c r="P36" s="15">
        <f t="shared" si="1"/>
        <v>8</v>
      </c>
      <c r="R36" s="35" t="s">
        <v>92</v>
      </c>
      <c r="S36" s="36">
        <f t="shared" ref="S36:AF36" si="28">MAX(S19:S21)</f>
        <v>14</v>
      </c>
      <c r="T36" s="36">
        <f t="shared" si="28"/>
        <v>0</v>
      </c>
      <c r="U36" s="36">
        <f t="shared" si="28"/>
        <v>0</v>
      </c>
      <c r="V36" s="36">
        <f t="shared" si="28"/>
        <v>4</v>
      </c>
      <c r="W36" s="36">
        <f t="shared" si="28"/>
        <v>1</v>
      </c>
      <c r="X36" s="36">
        <f t="shared" si="28"/>
        <v>1</v>
      </c>
      <c r="Y36" s="36">
        <f t="shared" si="28"/>
        <v>1</v>
      </c>
      <c r="Z36" s="36">
        <f t="shared" si="28"/>
        <v>4</v>
      </c>
      <c r="AA36" s="36">
        <f t="shared" si="28"/>
        <v>0</v>
      </c>
      <c r="AB36" s="36">
        <f t="shared" si="28"/>
        <v>2</v>
      </c>
      <c r="AC36" s="36">
        <f t="shared" si="28"/>
        <v>0</v>
      </c>
      <c r="AD36" s="36">
        <f t="shared" si="28"/>
        <v>0</v>
      </c>
      <c r="AE36" s="37">
        <f t="shared" si="28"/>
        <v>26</v>
      </c>
      <c r="AF36" s="37">
        <f t="shared" si="28"/>
        <v>26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14</v>
      </c>
      <c r="T37" s="16">
        <f t="shared" si="29"/>
        <v>0</v>
      </c>
      <c r="U37" s="16">
        <f t="shared" si="29"/>
        <v>0</v>
      </c>
      <c r="V37" s="16">
        <f t="shared" si="29"/>
        <v>2</v>
      </c>
      <c r="W37" s="16">
        <f t="shared" si="29"/>
        <v>0</v>
      </c>
      <c r="X37" s="16">
        <f t="shared" si="29"/>
        <v>3</v>
      </c>
      <c r="Y37" s="16">
        <f t="shared" si="29"/>
        <v>0</v>
      </c>
      <c r="Z37" s="16">
        <f t="shared" si="29"/>
        <v>7</v>
      </c>
      <c r="AA37" s="16">
        <f t="shared" si="29"/>
        <v>0</v>
      </c>
      <c r="AB37" s="16">
        <f t="shared" si="29"/>
        <v>5</v>
      </c>
      <c r="AC37" s="16">
        <f t="shared" si="29"/>
        <v>0</v>
      </c>
      <c r="AD37" s="16">
        <f t="shared" si="29"/>
        <v>0</v>
      </c>
      <c r="AE37" s="29">
        <f t="shared" si="29"/>
        <v>31</v>
      </c>
      <c r="AF37" s="29">
        <f t="shared" si="29"/>
        <v>31</v>
      </c>
    </row>
    <row r="38" spans="2:32" ht="23.1" customHeight="1" x14ac:dyDescent="0.25">
      <c r="B38" s="43" t="s">
        <v>65</v>
      </c>
      <c r="C38" s="47">
        <v>7</v>
      </c>
      <c r="D38" s="47">
        <v>0</v>
      </c>
      <c r="E38" s="47">
        <v>0</v>
      </c>
      <c r="F38" s="47">
        <v>2</v>
      </c>
      <c r="G38" s="47">
        <v>0</v>
      </c>
      <c r="H38" s="47">
        <v>0</v>
      </c>
      <c r="I38" s="47">
        <v>0</v>
      </c>
      <c r="J38" s="47">
        <v>1</v>
      </c>
      <c r="K38" s="47">
        <v>0</v>
      </c>
      <c r="L38" s="47">
        <v>0</v>
      </c>
      <c r="M38" s="47">
        <v>0</v>
      </c>
      <c r="N38" s="47">
        <v>0</v>
      </c>
      <c r="O38" s="15">
        <f t="shared" si="0"/>
        <v>10</v>
      </c>
      <c r="P38" s="15">
        <f t="shared" si="1"/>
        <v>10</v>
      </c>
      <c r="R38" s="25" t="s">
        <v>86</v>
      </c>
      <c r="S38" s="16">
        <f t="shared" ref="S38:AF38" si="30">SUM(S13:S18)</f>
        <v>57</v>
      </c>
      <c r="T38" s="16">
        <f t="shared" si="30"/>
        <v>0</v>
      </c>
      <c r="U38" s="16">
        <f t="shared" si="30"/>
        <v>0</v>
      </c>
      <c r="V38" s="16">
        <f t="shared" si="30"/>
        <v>20</v>
      </c>
      <c r="W38" s="16">
        <f t="shared" si="30"/>
        <v>0</v>
      </c>
      <c r="X38" s="16">
        <f t="shared" si="30"/>
        <v>2</v>
      </c>
      <c r="Y38" s="16">
        <f t="shared" si="30"/>
        <v>3</v>
      </c>
      <c r="Z38" s="16">
        <f t="shared" si="30"/>
        <v>22</v>
      </c>
      <c r="AA38" s="16">
        <f t="shared" si="30"/>
        <v>1</v>
      </c>
      <c r="AB38" s="16">
        <f t="shared" si="30"/>
        <v>3</v>
      </c>
      <c r="AC38" s="16">
        <f t="shared" si="30"/>
        <v>0</v>
      </c>
      <c r="AD38" s="16">
        <f t="shared" si="30"/>
        <v>0</v>
      </c>
      <c r="AE38" s="29">
        <f t="shared" si="30"/>
        <v>108</v>
      </c>
      <c r="AF38" s="29">
        <f t="shared" si="30"/>
        <v>108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31</v>
      </c>
      <c r="T39" s="16">
        <f t="shared" si="31"/>
        <v>0</v>
      </c>
      <c r="U39" s="16">
        <f t="shared" si="31"/>
        <v>0</v>
      </c>
      <c r="V39" s="16">
        <f t="shared" si="31"/>
        <v>10</v>
      </c>
      <c r="W39" s="16">
        <f t="shared" si="31"/>
        <v>1</v>
      </c>
      <c r="X39" s="16">
        <f t="shared" si="31"/>
        <v>2</v>
      </c>
      <c r="Y39" s="16">
        <f t="shared" si="31"/>
        <v>1</v>
      </c>
      <c r="Z39" s="16">
        <f t="shared" si="31"/>
        <v>10</v>
      </c>
      <c r="AA39" s="16">
        <f t="shared" si="31"/>
        <v>0</v>
      </c>
      <c r="AB39" s="16">
        <f t="shared" si="31"/>
        <v>3</v>
      </c>
      <c r="AC39" s="16">
        <f t="shared" si="31"/>
        <v>0</v>
      </c>
      <c r="AD39" s="16">
        <f t="shared" si="31"/>
        <v>0</v>
      </c>
      <c r="AE39" s="29">
        <f t="shared" si="31"/>
        <v>58</v>
      </c>
      <c r="AF39" s="29">
        <f t="shared" si="31"/>
        <v>58</v>
      </c>
    </row>
    <row r="40" spans="2:32" ht="23.1" customHeight="1" x14ac:dyDescent="0.25">
      <c r="B40" s="43" t="s">
        <v>67</v>
      </c>
      <c r="C40" s="47">
        <v>2</v>
      </c>
      <c r="D40" s="47">
        <v>0</v>
      </c>
      <c r="E40" s="47">
        <v>0</v>
      </c>
      <c r="F40" s="47">
        <v>0</v>
      </c>
      <c r="G40" s="47">
        <v>0</v>
      </c>
      <c r="H40" s="47">
        <v>0</v>
      </c>
      <c r="I40" s="47">
        <v>0</v>
      </c>
      <c r="J40" s="47">
        <v>1</v>
      </c>
      <c r="K40" s="47">
        <v>0</v>
      </c>
      <c r="L40" s="47">
        <v>0</v>
      </c>
      <c r="M40" s="47">
        <v>0</v>
      </c>
      <c r="N40" s="47">
        <v>0</v>
      </c>
      <c r="O40" s="15">
        <f t="shared" si="0"/>
        <v>3</v>
      </c>
      <c r="P40" s="15">
        <f t="shared" si="1"/>
        <v>3</v>
      </c>
      <c r="R40" s="5" t="s">
        <v>17</v>
      </c>
      <c r="S40" s="16">
        <f t="shared" ref="S40:AF40" si="32">SUM(S10:S21)</f>
        <v>102</v>
      </c>
      <c r="T40" s="16">
        <f t="shared" si="32"/>
        <v>0</v>
      </c>
      <c r="U40" s="16">
        <f t="shared" si="32"/>
        <v>0</v>
      </c>
      <c r="V40" s="16">
        <f t="shared" si="32"/>
        <v>32</v>
      </c>
      <c r="W40" s="16">
        <f t="shared" si="32"/>
        <v>1</v>
      </c>
      <c r="X40" s="16">
        <f t="shared" si="32"/>
        <v>7</v>
      </c>
      <c r="Y40" s="16">
        <f t="shared" si="32"/>
        <v>4</v>
      </c>
      <c r="Z40" s="16">
        <f t="shared" si="32"/>
        <v>39</v>
      </c>
      <c r="AA40" s="16">
        <f t="shared" si="32"/>
        <v>1</v>
      </c>
      <c r="AB40" s="16">
        <f t="shared" si="32"/>
        <v>11</v>
      </c>
      <c r="AC40" s="16">
        <f t="shared" si="32"/>
        <v>0</v>
      </c>
      <c r="AD40" s="16">
        <f t="shared" si="32"/>
        <v>0</v>
      </c>
      <c r="AE40" s="29">
        <f t="shared" si="32"/>
        <v>197</v>
      </c>
      <c r="AF40" s="29">
        <f t="shared" si="32"/>
        <v>197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180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53</v>
      </c>
      <c r="W41" s="16">
        <f t="shared" si="33"/>
        <v>5</v>
      </c>
      <c r="X41" s="16">
        <f t="shared" si="33"/>
        <v>19</v>
      </c>
      <c r="Y41" s="16">
        <f t="shared" si="33"/>
        <v>9</v>
      </c>
      <c r="Z41" s="16">
        <f t="shared" si="33"/>
        <v>64</v>
      </c>
      <c r="AA41" s="16">
        <f t="shared" si="33"/>
        <v>13</v>
      </c>
      <c r="AB41" s="16">
        <f t="shared" si="33"/>
        <v>59</v>
      </c>
      <c r="AC41" s="16">
        <f t="shared" si="33"/>
        <v>0</v>
      </c>
      <c r="AD41" s="16">
        <f t="shared" si="33"/>
        <v>0</v>
      </c>
      <c r="AE41" s="29">
        <f t="shared" si="33"/>
        <v>402</v>
      </c>
      <c r="AF41" s="29">
        <f t="shared" si="33"/>
        <v>402</v>
      </c>
    </row>
    <row r="42" spans="2:32" ht="23.1" customHeight="1" x14ac:dyDescent="0.25">
      <c r="B42" s="43" t="s">
        <v>69</v>
      </c>
      <c r="C42" s="47">
        <v>5</v>
      </c>
      <c r="D42" s="47">
        <v>0</v>
      </c>
      <c r="E42" s="47">
        <v>0</v>
      </c>
      <c r="F42" s="47">
        <v>1</v>
      </c>
      <c r="G42" s="47">
        <v>0</v>
      </c>
      <c r="H42" s="47">
        <v>0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15">
        <f t="shared" si="0"/>
        <v>6</v>
      </c>
      <c r="P42" s="15">
        <f t="shared" si="1"/>
        <v>6</v>
      </c>
      <c r="R42" s="5" t="s">
        <v>160</v>
      </c>
      <c r="S42" s="45">
        <f>S41/S40</f>
        <v>1.7647058823529411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1.65625</v>
      </c>
      <c r="W42" s="45">
        <f t="shared" si="34"/>
        <v>5</v>
      </c>
      <c r="X42" s="45">
        <f t="shared" si="34"/>
        <v>2.7142857142857144</v>
      </c>
      <c r="Y42" s="45">
        <f t="shared" si="34"/>
        <v>2.25</v>
      </c>
      <c r="Z42" s="45">
        <f t="shared" si="34"/>
        <v>1.641025641025641</v>
      </c>
      <c r="AA42" s="45">
        <f t="shared" si="34"/>
        <v>13</v>
      </c>
      <c r="AB42" s="45">
        <f t="shared" si="34"/>
        <v>5.3636363636363633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2.0406091370558377</v>
      </c>
      <c r="AF42" s="45">
        <f t="shared" si="34"/>
        <v>2.0406091370558377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5</v>
      </c>
      <c r="D44" s="47">
        <v>0</v>
      </c>
      <c r="E44" s="47">
        <v>0</v>
      </c>
      <c r="F44" s="47">
        <v>5</v>
      </c>
      <c r="G44" s="47">
        <v>0</v>
      </c>
      <c r="H44" s="47">
        <v>1</v>
      </c>
      <c r="I44" s="47">
        <v>1</v>
      </c>
      <c r="J44" s="47">
        <v>3</v>
      </c>
      <c r="K44" s="47">
        <v>0</v>
      </c>
      <c r="L44" s="47">
        <v>0</v>
      </c>
      <c r="M44" s="47">
        <v>0</v>
      </c>
      <c r="N44" s="47">
        <v>0</v>
      </c>
      <c r="O44" s="15">
        <f t="shared" si="0"/>
        <v>15</v>
      </c>
      <c r="P44" s="15">
        <f t="shared" si="1"/>
        <v>15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5</v>
      </c>
      <c r="D46" s="47">
        <v>0</v>
      </c>
      <c r="E46" s="47">
        <v>0</v>
      </c>
      <c r="F46" s="47">
        <v>3</v>
      </c>
      <c r="G46" s="47">
        <v>0</v>
      </c>
      <c r="H46" s="47">
        <v>1</v>
      </c>
      <c r="I46" s="47">
        <v>0</v>
      </c>
      <c r="J46" s="47">
        <v>3</v>
      </c>
      <c r="K46" s="47">
        <v>0</v>
      </c>
      <c r="L46" s="47">
        <v>1</v>
      </c>
      <c r="M46" s="47">
        <v>0</v>
      </c>
      <c r="N46" s="47">
        <v>0</v>
      </c>
      <c r="O46" s="15">
        <f t="shared" si="0"/>
        <v>13</v>
      </c>
      <c r="P46" s="15">
        <f t="shared" si="1"/>
        <v>13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3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7">
        <v>0</v>
      </c>
      <c r="N48" s="47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4</v>
      </c>
      <c r="D50" s="47">
        <v>0</v>
      </c>
      <c r="E50" s="47">
        <v>0</v>
      </c>
      <c r="F50" s="47">
        <v>3</v>
      </c>
      <c r="G50" s="47">
        <v>0</v>
      </c>
      <c r="H50" s="47">
        <v>0</v>
      </c>
      <c r="I50" s="47">
        <v>1</v>
      </c>
      <c r="J50" s="47">
        <v>3</v>
      </c>
      <c r="K50" s="47">
        <v>0</v>
      </c>
      <c r="L50" s="47">
        <v>0</v>
      </c>
      <c r="M50" s="47">
        <v>0</v>
      </c>
      <c r="N50" s="47">
        <v>0</v>
      </c>
      <c r="O50" s="15">
        <f t="shared" si="0"/>
        <v>11</v>
      </c>
      <c r="P50" s="15">
        <f t="shared" si="1"/>
        <v>11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5</v>
      </c>
      <c r="D52" s="47">
        <v>0</v>
      </c>
      <c r="E52" s="47">
        <v>0</v>
      </c>
      <c r="F52" s="47">
        <v>0</v>
      </c>
      <c r="G52" s="47">
        <v>0</v>
      </c>
      <c r="H52" s="47">
        <v>0</v>
      </c>
      <c r="I52" s="47">
        <v>0</v>
      </c>
      <c r="J52" s="47">
        <v>0</v>
      </c>
      <c r="K52" s="47">
        <v>0</v>
      </c>
      <c r="L52" s="47">
        <v>0</v>
      </c>
      <c r="M52" s="47">
        <v>0</v>
      </c>
      <c r="N52" s="47">
        <v>0</v>
      </c>
      <c r="O52" s="15">
        <f t="shared" si="0"/>
        <v>5</v>
      </c>
      <c r="P52" s="15">
        <f t="shared" si="1"/>
        <v>5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3</v>
      </c>
      <c r="D54" s="47">
        <v>0</v>
      </c>
      <c r="E54" s="47">
        <v>0</v>
      </c>
      <c r="F54" s="47">
        <v>2</v>
      </c>
      <c r="G54" s="47">
        <v>0</v>
      </c>
      <c r="H54" s="47">
        <v>1</v>
      </c>
      <c r="I54" s="47">
        <v>0</v>
      </c>
      <c r="J54" s="47">
        <v>2</v>
      </c>
      <c r="K54" s="47">
        <v>0</v>
      </c>
      <c r="L54" s="47">
        <v>0</v>
      </c>
      <c r="M54" s="47">
        <v>0</v>
      </c>
      <c r="N54" s="47">
        <v>0</v>
      </c>
      <c r="O54" s="15">
        <f t="shared" si="0"/>
        <v>8</v>
      </c>
      <c r="P54" s="15">
        <f t="shared" si="1"/>
        <v>8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11</v>
      </c>
      <c r="D56" s="47">
        <v>0</v>
      </c>
      <c r="E56" s="47">
        <v>0</v>
      </c>
      <c r="F56" s="47">
        <v>2</v>
      </c>
      <c r="G56" s="47">
        <v>1</v>
      </c>
      <c r="H56" s="47">
        <v>0</v>
      </c>
      <c r="I56" s="47">
        <v>0</v>
      </c>
      <c r="J56" s="47">
        <v>2</v>
      </c>
      <c r="K56" s="47">
        <v>0</v>
      </c>
      <c r="L56" s="47">
        <v>2</v>
      </c>
      <c r="M56" s="47">
        <v>0</v>
      </c>
      <c r="N56" s="47">
        <v>0</v>
      </c>
      <c r="O56" s="15">
        <f t="shared" si="0"/>
        <v>18</v>
      </c>
      <c r="P56" s="15">
        <f t="shared" si="1"/>
        <v>18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6</v>
      </c>
      <c r="D58" s="47">
        <v>0</v>
      </c>
      <c r="E58" s="47">
        <v>0</v>
      </c>
      <c r="F58" s="47">
        <v>2</v>
      </c>
      <c r="G58" s="47">
        <v>0</v>
      </c>
      <c r="H58" s="47">
        <v>1</v>
      </c>
      <c r="I58" s="47">
        <v>0</v>
      </c>
      <c r="J58" s="47">
        <v>1</v>
      </c>
      <c r="K58" s="47">
        <v>0</v>
      </c>
      <c r="L58" s="47">
        <v>0</v>
      </c>
      <c r="M58" s="47">
        <v>0</v>
      </c>
      <c r="N58" s="47">
        <v>0</v>
      </c>
      <c r="O58" s="15">
        <f t="shared" si="0"/>
        <v>10</v>
      </c>
      <c r="P58" s="15">
        <f t="shared" si="1"/>
        <v>10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5</v>
      </c>
      <c r="D60" s="47">
        <v>0</v>
      </c>
      <c r="E60" s="47">
        <v>0</v>
      </c>
      <c r="F60" s="47">
        <v>2</v>
      </c>
      <c r="G60" s="47">
        <v>0</v>
      </c>
      <c r="H60" s="47">
        <v>1</v>
      </c>
      <c r="I60" s="47">
        <v>0</v>
      </c>
      <c r="J60" s="47">
        <v>2</v>
      </c>
      <c r="K60" s="47">
        <v>0</v>
      </c>
      <c r="L60" s="47">
        <v>2</v>
      </c>
      <c r="M60" s="47">
        <v>0</v>
      </c>
      <c r="N60" s="47">
        <v>0</v>
      </c>
      <c r="O60" s="15">
        <f t="shared" si="0"/>
        <v>12</v>
      </c>
      <c r="P60" s="15">
        <f t="shared" si="1"/>
        <v>12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9</v>
      </c>
      <c r="D62" s="47">
        <v>0</v>
      </c>
      <c r="E62" s="47">
        <v>0</v>
      </c>
      <c r="F62" s="47">
        <v>0</v>
      </c>
      <c r="G62" s="47">
        <v>0</v>
      </c>
      <c r="H62" s="47">
        <v>0</v>
      </c>
      <c r="I62" s="47">
        <v>0</v>
      </c>
      <c r="J62" s="47">
        <v>3</v>
      </c>
      <c r="K62" s="47">
        <v>2</v>
      </c>
      <c r="L62" s="47">
        <v>1</v>
      </c>
      <c r="M62" s="47">
        <v>0</v>
      </c>
      <c r="N62" s="47">
        <v>0</v>
      </c>
      <c r="O62" s="15">
        <f t="shared" si="0"/>
        <v>15</v>
      </c>
      <c r="P62" s="15">
        <f t="shared" si="1"/>
        <v>15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9</v>
      </c>
      <c r="D64" s="47">
        <v>0</v>
      </c>
      <c r="E64" s="47">
        <v>0</v>
      </c>
      <c r="F64" s="47">
        <v>2</v>
      </c>
      <c r="G64" s="47">
        <v>0</v>
      </c>
      <c r="H64" s="47">
        <v>0</v>
      </c>
      <c r="I64" s="47">
        <v>0</v>
      </c>
      <c r="J64" s="47">
        <v>0</v>
      </c>
      <c r="K64" s="47">
        <v>1</v>
      </c>
      <c r="L64" s="47">
        <v>3</v>
      </c>
      <c r="M64" s="47">
        <v>0</v>
      </c>
      <c r="N64" s="47">
        <v>0</v>
      </c>
      <c r="O64" s="15">
        <f t="shared" si="0"/>
        <v>15</v>
      </c>
      <c r="P64" s="15">
        <f t="shared" si="1"/>
        <v>15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3</v>
      </c>
      <c r="D66" s="47">
        <v>0</v>
      </c>
      <c r="E66" s="47">
        <v>0</v>
      </c>
      <c r="F66" s="47">
        <v>2</v>
      </c>
      <c r="G66" s="47">
        <v>1</v>
      </c>
      <c r="H66" s="47">
        <v>0</v>
      </c>
      <c r="I66" s="47">
        <v>0</v>
      </c>
      <c r="J66" s="47">
        <v>1</v>
      </c>
      <c r="K66" s="47">
        <v>2</v>
      </c>
      <c r="L66" s="47">
        <v>0</v>
      </c>
      <c r="M66" s="47">
        <v>0</v>
      </c>
      <c r="N66" s="47">
        <v>0</v>
      </c>
      <c r="O66" s="15">
        <f t="shared" si="0"/>
        <v>9</v>
      </c>
      <c r="P66" s="15">
        <f t="shared" si="1"/>
        <v>9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5</v>
      </c>
      <c r="D68" s="47">
        <v>0</v>
      </c>
      <c r="E68" s="47">
        <v>0</v>
      </c>
      <c r="F68" s="47">
        <v>3</v>
      </c>
      <c r="G68" s="47">
        <v>0</v>
      </c>
      <c r="H68" s="47">
        <v>0</v>
      </c>
      <c r="I68" s="47">
        <v>0</v>
      </c>
      <c r="J68" s="47">
        <v>1</v>
      </c>
      <c r="K68" s="47">
        <v>2</v>
      </c>
      <c r="L68" s="47">
        <v>2</v>
      </c>
      <c r="M68" s="47">
        <v>0</v>
      </c>
      <c r="N68" s="47">
        <v>0</v>
      </c>
      <c r="O68" s="15">
        <f t="shared" si="0"/>
        <v>13</v>
      </c>
      <c r="P68" s="15">
        <f t="shared" si="1"/>
        <v>13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2</v>
      </c>
      <c r="D70" s="47">
        <v>0</v>
      </c>
      <c r="E70" s="47">
        <v>0</v>
      </c>
      <c r="F70" s="47">
        <v>1</v>
      </c>
      <c r="G70" s="47">
        <v>0</v>
      </c>
      <c r="H70" s="47">
        <v>0</v>
      </c>
      <c r="I70" s="47">
        <v>0</v>
      </c>
      <c r="J70" s="47">
        <v>1</v>
      </c>
      <c r="K70" s="47">
        <v>0</v>
      </c>
      <c r="L70" s="47">
        <v>1</v>
      </c>
      <c r="M70" s="47">
        <v>0</v>
      </c>
      <c r="N70" s="47">
        <v>0</v>
      </c>
      <c r="O70" s="15">
        <f t="shared" si="0"/>
        <v>5</v>
      </c>
      <c r="P70" s="15">
        <f t="shared" si="1"/>
        <v>5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7</v>
      </c>
      <c r="D72" s="47">
        <v>0</v>
      </c>
      <c r="E72" s="47">
        <v>0</v>
      </c>
      <c r="F72" s="47">
        <v>1</v>
      </c>
      <c r="G72" s="47">
        <v>0</v>
      </c>
      <c r="H72" s="47">
        <v>3</v>
      </c>
      <c r="I72" s="47">
        <v>0</v>
      </c>
      <c r="J72" s="47">
        <v>5</v>
      </c>
      <c r="K72" s="47">
        <v>1</v>
      </c>
      <c r="L72" s="47">
        <v>1</v>
      </c>
      <c r="M72" s="47">
        <v>0</v>
      </c>
      <c r="N72" s="47">
        <v>0</v>
      </c>
      <c r="O72" s="15">
        <f t="shared" si="0"/>
        <v>18</v>
      </c>
      <c r="P72" s="15">
        <f t="shared" si="1"/>
        <v>18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4</v>
      </c>
      <c r="D74" s="47">
        <v>0</v>
      </c>
      <c r="E74" s="47">
        <v>0</v>
      </c>
      <c r="F74" s="47">
        <v>2</v>
      </c>
      <c r="G74" s="47">
        <v>0</v>
      </c>
      <c r="H74" s="47">
        <v>2</v>
      </c>
      <c r="I74" s="47">
        <v>0</v>
      </c>
      <c r="J74" s="47">
        <v>3</v>
      </c>
      <c r="K74" s="47">
        <v>0</v>
      </c>
      <c r="L74" s="47">
        <v>3</v>
      </c>
      <c r="M74" s="47">
        <v>0</v>
      </c>
      <c r="N74" s="47">
        <v>0</v>
      </c>
      <c r="O74" s="15">
        <f t="shared" ref="O74:O105" si="35">SUM(C74:L74,N74)</f>
        <v>14</v>
      </c>
      <c r="P74" s="15">
        <f t="shared" ref="P74:P105" si="36">SUM(C74:N74)</f>
        <v>14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9</v>
      </c>
      <c r="D76" s="47">
        <v>0</v>
      </c>
      <c r="E76" s="47">
        <v>0</v>
      </c>
      <c r="F76" s="47">
        <v>1</v>
      </c>
      <c r="G76" s="47">
        <v>1</v>
      </c>
      <c r="H76" s="47">
        <v>0</v>
      </c>
      <c r="I76" s="47">
        <v>0</v>
      </c>
      <c r="J76" s="47">
        <v>2</v>
      </c>
      <c r="K76" s="47">
        <v>1</v>
      </c>
      <c r="L76" s="47">
        <v>7</v>
      </c>
      <c r="M76" s="47">
        <v>0</v>
      </c>
      <c r="N76" s="47">
        <v>0</v>
      </c>
      <c r="O76" s="15">
        <f t="shared" si="35"/>
        <v>21</v>
      </c>
      <c r="P76" s="15">
        <f t="shared" si="36"/>
        <v>21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2</v>
      </c>
      <c r="D78" s="47">
        <v>0</v>
      </c>
      <c r="E78" s="47">
        <v>0</v>
      </c>
      <c r="F78" s="47">
        <v>0</v>
      </c>
      <c r="G78" s="47">
        <v>0</v>
      </c>
      <c r="H78" s="47">
        <v>2</v>
      </c>
      <c r="I78" s="47">
        <v>1</v>
      </c>
      <c r="J78" s="47">
        <v>0</v>
      </c>
      <c r="K78" s="47">
        <v>0</v>
      </c>
      <c r="L78" s="47">
        <v>2</v>
      </c>
      <c r="M78" s="47">
        <v>0</v>
      </c>
      <c r="N78" s="47">
        <v>0</v>
      </c>
      <c r="O78" s="15">
        <f t="shared" si="35"/>
        <v>7</v>
      </c>
      <c r="P78" s="15">
        <f t="shared" si="36"/>
        <v>7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5</v>
      </c>
      <c r="D80" s="47">
        <v>0</v>
      </c>
      <c r="E80" s="47">
        <v>0</v>
      </c>
      <c r="F80" s="47">
        <v>0</v>
      </c>
      <c r="G80" s="47">
        <v>0</v>
      </c>
      <c r="H80" s="47">
        <v>0</v>
      </c>
      <c r="I80" s="47">
        <v>0</v>
      </c>
      <c r="J80" s="47">
        <v>2</v>
      </c>
      <c r="K80" s="47">
        <v>1</v>
      </c>
      <c r="L80" s="47">
        <v>2</v>
      </c>
      <c r="M80" s="47">
        <v>0</v>
      </c>
      <c r="N80" s="47">
        <v>0</v>
      </c>
      <c r="O80" s="15">
        <f t="shared" si="35"/>
        <v>10</v>
      </c>
      <c r="P80" s="15">
        <f t="shared" si="36"/>
        <v>10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1</v>
      </c>
      <c r="D82" s="47">
        <v>0</v>
      </c>
      <c r="E82" s="47">
        <v>0</v>
      </c>
      <c r="F82" s="47">
        <v>2</v>
      </c>
      <c r="G82" s="47">
        <v>0</v>
      </c>
      <c r="H82" s="47">
        <v>1</v>
      </c>
      <c r="I82" s="47">
        <v>0</v>
      </c>
      <c r="J82" s="47">
        <v>0</v>
      </c>
      <c r="K82" s="47">
        <v>0</v>
      </c>
      <c r="L82" s="47">
        <v>4</v>
      </c>
      <c r="M82" s="47">
        <v>0</v>
      </c>
      <c r="N82" s="47">
        <v>0</v>
      </c>
      <c r="O82" s="15">
        <f t="shared" si="35"/>
        <v>8</v>
      </c>
      <c r="P82" s="15">
        <f t="shared" si="36"/>
        <v>8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0</v>
      </c>
      <c r="G84" s="47">
        <v>1</v>
      </c>
      <c r="H84" s="47">
        <v>0</v>
      </c>
      <c r="I84" s="47">
        <v>2</v>
      </c>
      <c r="J84" s="47">
        <v>1</v>
      </c>
      <c r="K84" s="47">
        <v>0</v>
      </c>
      <c r="L84" s="47">
        <v>3</v>
      </c>
      <c r="M84" s="47">
        <v>0</v>
      </c>
      <c r="N84" s="47">
        <v>0</v>
      </c>
      <c r="O84" s="15">
        <f t="shared" si="35"/>
        <v>7</v>
      </c>
      <c r="P84" s="15">
        <f t="shared" si="36"/>
        <v>7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3</v>
      </c>
      <c r="D86" s="47">
        <v>0</v>
      </c>
      <c r="E86" s="47">
        <v>0</v>
      </c>
      <c r="F86" s="47">
        <v>1</v>
      </c>
      <c r="G86" s="47">
        <v>0</v>
      </c>
      <c r="H86" s="47">
        <v>0</v>
      </c>
      <c r="I86" s="47">
        <v>2</v>
      </c>
      <c r="J86" s="47">
        <v>1</v>
      </c>
      <c r="K86" s="47">
        <v>0</v>
      </c>
      <c r="L86" s="47">
        <v>1</v>
      </c>
      <c r="M86" s="47">
        <v>0</v>
      </c>
      <c r="N86" s="47">
        <v>0</v>
      </c>
      <c r="O86" s="15">
        <f t="shared" si="35"/>
        <v>8</v>
      </c>
      <c r="P86" s="15">
        <f t="shared" si="36"/>
        <v>8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2</v>
      </c>
      <c r="D88" s="47">
        <v>0</v>
      </c>
      <c r="E88" s="47">
        <v>0</v>
      </c>
      <c r="F88" s="47">
        <v>0</v>
      </c>
      <c r="G88" s="47">
        <v>0</v>
      </c>
      <c r="H88" s="47">
        <v>2</v>
      </c>
      <c r="I88" s="47">
        <v>0</v>
      </c>
      <c r="J88" s="47">
        <v>2</v>
      </c>
      <c r="K88" s="47">
        <v>0</v>
      </c>
      <c r="L88" s="47">
        <v>7</v>
      </c>
      <c r="M88" s="47">
        <v>0</v>
      </c>
      <c r="N88" s="47">
        <v>0</v>
      </c>
      <c r="O88" s="15">
        <f t="shared" si="35"/>
        <v>13</v>
      </c>
      <c r="P88" s="15">
        <f t="shared" si="36"/>
        <v>13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1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1</v>
      </c>
      <c r="M90" s="47">
        <v>0</v>
      </c>
      <c r="N90" s="47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1</v>
      </c>
      <c r="M96" s="47">
        <v>0</v>
      </c>
      <c r="N96" s="47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0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0</v>
      </c>
      <c r="D100" s="47">
        <v>0</v>
      </c>
      <c r="E100" s="47">
        <v>0</v>
      </c>
      <c r="F100" s="47">
        <v>0</v>
      </c>
      <c r="G100" s="47">
        <v>0</v>
      </c>
      <c r="H100" s="47">
        <v>0</v>
      </c>
      <c r="I100" s="47">
        <v>0</v>
      </c>
      <c r="J100" s="47">
        <v>0</v>
      </c>
      <c r="K100" s="47">
        <v>0</v>
      </c>
      <c r="L100" s="47">
        <v>0</v>
      </c>
      <c r="M100" s="47">
        <v>0</v>
      </c>
      <c r="N100" s="47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0</v>
      </c>
      <c r="D102" s="47">
        <v>0</v>
      </c>
      <c r="E102" s="47">
        <v>0</v>
      </c>
      <c r="F102" s="47">
        <v>0</v>
      </c>
      <c r="G102" s="47">
        <v>0</v>
      </c>
      <c r="H102" s="47">
        <v>0</v>
      </c>
      <c r="I102" s="47">
        <v>0</v>
      </c>
      <c r="J102" s="47">
        <v>0</v>
      </c>
      <c r="K102" s="47">
        <v>0</v>
      </c>
      <c r="L102" s="47">
        <v>3</v>
      </c>
      <c r="M102" s="47">
        <v>0</v>
      </c>
      <c r="N102" s="47">
        <v>0</v>
      </c>
      <c r="O102" s="15">
        <f t="shared" si="35"/>
        <v>3</v>
      </c>
      <c r="P102" s="15">
        <f t="shared" si="36"/>
        <v>3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5</v>
      </c>
      <c r="D104" s="47">
        <v>0</v>
      </c>
      <c r="E104" s="47">
        <v>0</v>
      </c>
      <c r="F104" s="47">
        <v>2</v>
      </c>
      <c r="G104" s="47">
        <v>1</v>
      </c>
      <c r="H104" s="47">
        <v>0</v>
      </c>
      <c r="I104" s="47">
        <v>0</v>
      </c>
      <c r="J104" s="47">
        <v>0</v>
      </c>
      <c r="K104" s="47">
        <v>2</v>
      </c>
      <c r="L104" s="47">
        <v>4</v>
      </c>
      <c r="M104" s="47">
        <v>0</v>
      </c>
      <c r="N104" s="47">
        <v>0</v>
      </c>
      <c r="O104" s="15">
        <f t="shared" si="35"/>
        <v>14</v>
      </c>
      <c r="P104" s="15">
        <f t="shared" si="36"/>
        <v>14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180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53</v>
      </c>
      <c r="G106" s="16">
        <f t="shared" si="37"/>
        <v>5</v>
      </c>
      <c r="H106" s="16">
        <f t="shared" si="37"/>
        <v>19</v>
      </c>
      <c r="I106" s="16">
        <f t="shared" si="37"/>
        <v>9</v>
      </c>
      <c r="J106" s="16">
        <f t="shared" si="37"/>
        <v>64</v>
      </c>
      <c r="K106" s="16">
        <f t="shared" si="37"/>
        <v>13</v>
      </c>
      <c r="L106" s="16">
        <f t="shared" si="37"/>
        <v>59</v>
      </c>
      <c r="M106" s="16">
        <f t="shared" si="37"/>
        <v>0</v>
      </c>
      <c r="N106" s="16">
        <f t="shared" si="37"/>
        <v>0</v>
      </c>
      <c r="O106" s="16">
        <f t="shared" si="37"/>
        <v>402</v>
      </c>
      <c r="P106" s="16">
        <f t="shared" si="37"/>
        <v>402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0.44776119402985076</v>
      </c>
      <c r="D107" s="40">
        <f t="shared" si="38"/>
        <v>0</v>
      </c>
      <c r="E107" s="40">
        <f t="shared" si="38"/>
        <v>0</v>
      </c>
      <c r="F107" s="40">
        <f t="shared" si="38"/>
        <v>0.13184079601990051</v>
      </c>
      <c r="G107" s="40">
        <f t="shared" si="38"/>
        <v>1.2437810945273632E-2</v>
      </c>
      <c r="H107" s="40">
        <f t="shared" si="38"/>
        <v>4.7263681592039801E-2</v>
      </c>
      <c r="I107" s="40">
        <f t="shared" si="38"/>
        <v>2.2388059701492536E-2</v>
      </c>
      <c r="J107" s="40">
        <f t="shared" si="38"/>
        <v>0.15920398009950248</v>
      </c>
      <c r="K107" s="40">
        <f t="shared" si="38"/>
        <v>3.2338308457711441E-2</v>
      </c>
      <c r="L107" s="40">
        <f t="shared" si="38"/>
        <v>0.14676616915422885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0.44776119402985076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0.13184079601990051</v>
      </c>
      <c r="G108" s="41">
        <f t="shared" si="39"/>
        <v>1.2437810945273632E-2</v>
      </c>
      <c r="H108" s="41">
        <f t="shared" si="39"/>
        <v>4.7263681592039801E-2</v>
      </c>
      <c r="I108" s="41">
        <f t="shared" si="39"/>
        <v>2.2388059701492536E-2</v>
      </c>
      <c r="J108" s="41">
        <f t="shared" si="39"/>
        <v>0.15920398009950248</v>
      </c>
      <c r="K108" s="41">
        <f t="shared" si="39"/>
        <v>3.2338308457711441E-2</v>
      </c>
      <c r="L108" s="41">
        <f t="shared" si="39"/>
        <v>0.14676616915422885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R44" sqref="R4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tr">
        <f>'26.05 Kampala-Mutukula-24h'!D5</f>
        <v>26.05.15</v>
      </c>
      <c r="E5" s="3"/>
      <c r="F5" s="38" t="s">
        <v>1</v>
      </c>
      <c r="G5" s="58" t="e">
        <f>'26.05 Kampala-Mutukula-24h'!G5:H5</f>
        <v>#REF!</v>
      </c>
      <c r="H5" s="59"/>
      <c r="I5" s="14"/>
      <c r="J5" s="2" t="s">
        <v>5</v>
      </c>
      <c r="K5" s="58" t="str">
        <f>'26.05 Kampala-Mutukula-24h'!K5:L5</f>
        <v>xxxx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Mutukula-Kampala-24h'!D6:E6</f>
        <v>Mutukula</v>
      </c>
      <c r="E6" s="59"/>
      <c r="F6" s="2" t="s">
        <v>2</v>
      </c>
      <c r="G6" s="58" t="str">
        <f>'25.05 Mutukula-Kampala-24h'!G6:H6</f>
        <v>Kampala</v>
      </c>
      <c r="H6" s="59"/>
      <c r="J6" s="2" t="s">
        <v>21</v>
      </c>
      <c r="K6" s="58" t="str">
        <f>'26.05 Kampala-Mutukula-24h'!K6:L6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1</v>
      </c>
      <c r="D10" s="47">
        <v>0</v>
      </c>
      <c r="E10" s="47">
        <v>0</v>
      </c>
      <c r="F10" s="47">
        <v>5</v>
      </c>
      <c r="G10" s="47">
        <v>0</v>
      </c>
      <c r="H10" s="47">
        <v>1</v>
      </c>
      <c r="I10" s="47">
        <v>0</v>
      </c>
      <c r="J10" s="47">
        <v>0</v>
      </c>
      <c r="K10" s="47">
        <v>0</v>
      </c>
      <c r="L10" s="47">
        <v>1</v>
      </c>
      <c r="M10" s="47">
        <v>0</v>
      </c>
      <c r="N10" s="47">
        <v>0</v>
      </c>
      <c r="O10" s="15">
        <f t="shared" ref="O10:O73" si="0">SUM(C10:L10,N10)</f>
        <v>8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6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0</v>
      </c>
      <c r="AD10" s="17">
        <f t="shared" si="2"/>
        <v>0</v>
      </c>
      <c r="AE10" s="28">
        <f t="shared" si="2"/>
        <v>14</v>
      </c>
      <c r="AF10" s="28">
        <f t="shared" si="2"/>
        <v>14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28">
        <f t="shared" si="3"/>
        <v>11</v>
      </c>
      <c r="AF11" s="28">
        <f t="shared" si="3"/>
        <v>11</v>
      </c>
    </row>
    <row r="12" spans="2:32" ht="23.1" customHeight="1" x14ac:dyDescent="0.25">
      <c r="B12" s="42" t="s">
        <v>39</v>
      </c>
      <c r="C12" s="47">
        <v>4</v>
      </c>
      <c r="D12" s="47">
        <v>0</v>
      </c>
      <c r="E12" s="47">
        <v>0</v>
      </c>
      <c r="F12" s="47">
        <v>1</v>
      </c>
      <c r="G12" s="47">
        <v>0</v>
      </c>
      <c r="H12" s="47">
        <v>0</v>
      </c>
      <c r="I12" s="47">
        <v>0</v>
      </c>
      <c r="J12" s="47">
        <v>1</v>
      </c>
      <c r="K12" s="47">
        <v>0</v>
      </c>
      <c r="L12" s="47">
        <v>0</v>
      </c>
      <c r="M12" s="47">
        <v>0</v>
      </c>
      <c r="N12" s="47">
        <v>0</v>
      </c>
      <c r="O12" s="15">
        <f t="shared" si="0"/>
        <v>6</v>
      </c>
      <c r="P12" s="15">
        <f t="shared" si="1"/>
        <v>6</v>
      </c>
      <c r="R12" s="1" t="s">
        <v>8</v>
      </c>
      <c r="S12" s="17">
        <f t="shared" ref="S12:AF12" si="4">SUM(C18:C21)</f>
        <v>11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4</v>
      </c>
      <c r="AC12" s="17">
        <f t="shared" si="4"/>
        <v>0</v>
      </c>
      <c r="AD12" s="17">
        <f t="shared" si="4"/>
        <v>0</v>
      </c>
      <c r="AE12" s="28">
        <f t="shared" si="4"/>
        <v>19</v>
      </c>
      <c r="AF12" s="28">
        <f t="shared" si="4"/>
        <v>19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18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28">
        <f t="shared" si="5"/>
        <v>23</v>
      </c>
      <c r="AF13" s="28">
        <f t="shared" si="5"/>
        <v>23</v>
      </c>
    </row>
    <row r="14" spans="2:32" ht="23.1" customHeight="1" x14ac:dyDescent="0.25">
      <c r="B14" s="42" t="s">
        <v>41</v>
      </c>
      <c r="C14" s="47">
        <v>4</v>
      </c>
      <c r="D14" s="47">
        <v>0</v>
      </c>
      <c r="E14" s="47">
        <v>0</v>
      </c>
      <c r="F14" s="47">
        <v>1</v>
      </c>
      <c r="G14" s="47">
        <v>0</v>
      </c>
      <c r="H14" s="47">
        <v>0</v>
      </c>
      <c r="I14" s="47">
        <v>0</v>
      </c>
      <c r="J14" s="47">
        <v>0</v>
      </c>
      <c r="K14" s="47">
        <v>1</v>
      </c>
      <c r="L14" s="47">
        <v>1</v>
      </c>
      <c r="M14" s="47">
        <v>0</v>
      </c>
      <c r="N14" s="47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9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28">
        <f t="shared" si="6"/>
        <v>17</v>
      </c>
      <c r="AF14" s="28">
        <f t="shared" si="6"/>
        <v>17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3</v>
      </c>
      <c r="AA15" s="17">
        <f t="shared" si="7"/>
        <v>0</v>
      </c>
      <c r="AB15" s="17">
        <f t="shared" si="7"/>
        <v>1</v>
      </c>
      <c r="AC15" s="17">
        <f t="shared" si="7"/>
        <v>0</v>
      </c>
      <c r="AD15" s="17">
        <f t="shared" si="7"/>
        <v>0</v>
      </c>
      <c r="AE15" s="28">
        <f t="shared" si="7"/>
        <v>18</v>
      </c>
      <c r="AF15" s="28">
        <f t="shared" si="7"/>
        <v>18</v>
      </c>
    </row>
    <row r="16" spans="2:32" ht="23.1" customHeight="1" x14ac:dyDescent="0.25">
      <c r="B16" s="42" t="s">
        <v>43</v>
      </c>
      <c r="C16" s="47">
        <v>1</v>
      </c>
      <c r="D16" s="47">
        <v>0</v>
      </c>
      <c r="E16" s="47">
        <v>0</v>
      </c>
      <c r="F16" s="47">
        <v>2</v>
      </c>
      <c r="G16" s="47">
        <v>0</v>
      </c>
      <c r="H16" s="47">
        <v>0</v>
      </c>
      <c r="I16" s="47">
        <v>1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15">
        <f t="shared" si="0"/>
        <v>4</v>
      </c>
      <c r="P16" s="15">
        <f t="shared" si="1"/>
        <v>4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6</v>
      </c>
      <c r="AA16" s="17">
        <f t="shared" si="8"/>
        <v>0</v>
      </c>
      <c r="AB16" s="17">
        <f t="shared" si="8"/>
        <v>2</v>
      </c>
      <c r="AC16" s="17">
        <f t="shared" si="8"/>
        <v>0</v>
      </c>
      <c r="AD16" s="17">
        <f t="shared" si="8"/>
        <v>0</v>
      </c>
      <c r="AE16" s="28">
        <f t="shared" si="8"/>
        <v>24</v>
      </c>
      <c r="AF16" s="28">
        <f t="shared" si="8"/>
        <v>24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0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28">
        <f t="shared" si="9"/>
        <v>16</v>
      </c>
      <c r="AF17" s="28">
        <f t="shared" si="9"/>
        <v>16</v>
      </c>
    </row>
    <row r="18" spans="2:32" ht="23.1" customHeight="1" x14ac:dyDescent="0.25">
      <c r="B18" s="42" t="s">
        <v>45</v>
      </c>
      <c r="C18" s="47">
        <v>7</v>
      </c>
      <c r="D18" s="47">
        <v>0</v>
      </c>
      <c r="E18" s="47">
        <v>0</v>
      </c>
      <c r="F18" s="47">
        <v>0</v>
      </c>
      <c r="G18" s="47">
        <v>0</v>
      </c>
      <c r="H18" s="47">
        <v>1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15">
        <f t="shared" si="0"/>
        <v>8</v>
      </c>
      <c r="P18" s="15">
        <f t="shared" si="1"/>
        <v>8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0</v>
      </c>
      <c r="V18" s="17">
        <f t="shared" si="10"/>
        <v>3</v>
      </c>
      <c r="W18" s="17">
        <f t="shared" si="10"/>
        <v>0</v>
      </c>
      <c r="X18" s="17">
        <f t="shared" si="10"/>
        <v>3</v>
      </c>
      <c r="Y18" s="17">
        <f t="shared" si="10"/>
        <v>1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28">
        <f t="shared" si="10"/>
        <v>18</v>
      </c>
      <c r="AF18" s="28">
        <f t="shared" si="10"/>
        <v>18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28">
        <f t="shared" si="11"/>
        <v>13</v>
      </c>
      <c r="AF19" s="28">
        <f t="shared" si="11"/>
        <v>13</v>
      </c>
    </row>
    <row r="20" spans="2:32" ht="23.1" customHeight="1" x14ac:dyDescent="0.25">
      <c r="B20" s="42" t="s">
        <v>47</v>
      </c>
      <c r="C20" s="47">
        <v>4</v>
      </c>
      <c r="D20" s="47">
        <v>0</v>
      </c>
      <c r="E20" s="47">
        <v>0</v>
      </c>
      <c r="F20" s="47">
        <v>1</v>
      </c>
      <c r="G20" s="47">
        <v>0</v>
      </c>
      <c r="H20" s="47">
        <v>1</v>
      </c>
      <c r="I20" s="47">
        <v>0</v>
      </c>
      <c r="J20" s="47">
        <v>1</v>
      </c>
      <c r="K20" s="47">
        <v>0</v>
      </c>
      <c r="L20" s="47">
        <v>4</v>
      </c>
      <c r="M20" s="47">
        <v>0</v>
      </c>
      <c r="N20" s="47">
        <v>0</v>
      </c>
      <c r="O20" s="15">
        <f t="shared" si="0"/>
        <v>11</v>
      </c>
      <c r="P20" s="15">
        <f t="shared" si="1"/>
        <v>11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9</v>
      </c>
      <c r="AA20" s="17">
        <f t="shared" si="12"/>
        <v>0</v>
      </c>
      <c r="AB20" s="17">
        <f t="shared" si="12"/>
        <v>2</v>
      </c>
      <c r="AC20" s="17">
        <f t="shared" si="12"/>
        <v>0</v>
      </c>
      <c r="AD20" s="17">
        <f t="shared" si="12"/>
        <v>0</v>
      </c>
      <c r="AE20" s="28">
        <f t="shared" si="12"/>
        <v>24</v>
      </c>
      <c r="AF20" s="28">
        <f t="shared" si="12"/>
        <v>24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10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0</v>
      </c>
      <c r="AD21" s="17">
        <f t="shared" si="13"/>
        <v>0</v>
      </c>
      <c r="AE21" s="28">
        <f t="shared" si="13"/>
        <v>21</v>
      </c>
      <c r="AF21" s="28">
        <f t="shared" si="13"/>
        <v>21</v>
      </c>
    </row>
    <row r="22" spans="2:32" ht="23.1" customHeight="1" x14ac:dyDescent="0.25">
      <c r="B22" s="42" t="s">
        <v>49</v>
      </c>
      <c r="C22" s="47">
        <v>8</v>
      </c>
      <c r="D22" s="47">
        <v>0</v>
      </c>
      <c r="E22" s="47">
        <v>0</v>
      </c>
      <c r="F22" s="47">
        <v>1</v>
      </c>
      <c r="G22" s="47">
        <v>0</v>
      </c>
      <c r="H22" s="47">
        <v>0</v>
      </c>
      <c r="I22" s="47">
        <v>0</v>
      </c>
      <c r="J22" s="47">
        <v>3</v>
      </c>
      <c r="K22" s="47">
        <v>0</v>
      </c>
      <c r="L22" s="47">
        <v>0</v>
      </c>
      <c r="M22" s="47">
        <v>0</v>
      </c>
      <c r="N22" s="47">
        <v>0</v>
      </c>
      <c r="O22" s="15">
        <f t="shared" si="0"/>
        <v>12</v>
      </c>
      <c r="P22" s="15">
        <f t="shared" si="1"/>
        <v>12</v>
      </c>
      <c r="R22" s="33" t="s">
        <v>146</v>
      </c>
      <c r="S22" s="31">
        <f>SUM(C58:C61)</f>
        <v>9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3</v>
      </c>
      <c r="W22" s="31">
        <f t="shared" si="14"/>
        <v>0</v>
      </c>
      <c r="X22" s="31">
        <f t="shared" si="14"/>
        <v>0</v>
      </c>
      <c r="Y22" s="31">
        <f t="shared" si="14"/>
        <v>2</v>
      </c>
      <c r="Z22" s="31">
        <f t="shared" si="14"/>
        <v>3</v>
      </c>
      <c r="AA22" s="31">
        <f t="shared" si="14"/>
        <v>0</v>
      </c>
      <c r="AB22" s="31">
        <f t="shared" si="14"/>
        <v>9</v>
      </c>
      <c r="AC22" s="31">
        <f t="shared" si="14"/>
        <v>0</v>
      </c>
      <c r="AD22" s="31">
        <f t="shared" si="14"/>
        <v>0</v>
      </c>
      <c r="AE22" s="28">
        <f t="shared" si="14"/>
        <v>26</v>
      </c>
      <c r="AF22" s="28">
        <f t="shared" si="14"/>
        <v>26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8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0</v>
      </c>
      <c r="W23" s="31">
        <f t="shared" si="15"/>
        <v>0</v>
      </c>
      <c r="X23" s="31">
        <f t="shared" si="15"/>
        <v>0</v>
      </c>
      <c r="Y23" s="31">
        <f t="shared" si="15"/>
        <v>0</v>
      </c>
      <c r="Z23" s="31">
        <f t="shared" si="15"/>
        <v>6</v>
      </c>
      <c r="AA23" s="31">
        <f t="shared" si="15"/>
        <v>4</v>
      </c>
      <c r="AB23" s="31">
        <f t="shared" si="15"/>
        <v>0</v>
      </c>
      <c r="AC23" s="31">
        <f t="shared" si="15"/>
        <v>0</v>
      </c>
      <c r="AD23" s="31">
        <f t="shared" si="15"/>
        <v>0</v>
      </c>
      <c r="AE23" s="28">
        <f t="shared" si="15"/>
        <v>18</v>
      </c>
      <c r="AF23" s="28">
        <f t="shared" si="15"/>
        <v>18</v>
      </c>
    </row>
    <row r="24" spans="2:32" ht="23.1" customHeight="1" x14ac:dyDescent="0.25">
      <c r="B24" s="42" t="s">
        <v>51</v>
      </c>
      <c r="C24" s="47">
        <v>10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1</v>
      </c>
      <c r="K24" s="47">
        <v>0</v>
      </c>
      <c r="L24" s="47">
        <v>0</v>
      </c>
      <c r="M24" s="47">
        <v>0</v>
      </c>
      <c r="N24" s="47">
        <v>0</v>
      </c>
      <c r="O24" s="15">
        <f t="shared" si="0"/>
        <v>11</v>
      </c>
      <c r="P24" s="15">
        <f t="shared" si="1"/>
        <v>11</v>
      </c>
      <c r="R24" s="33" t="s">
        <v>148</v>
      </c>
      <c r="S24" s="31">
        <f>SUM(C66:C69)</f>
        <v>11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0</v>
      </c>
      <c r="W24" s="31">
        <f t="shared" si="16"/>
        <v>0</v>
      </c>
      <c r="X24" s="31">
        <f t="shared" si="16"/>
        <v>0</v>
      </c>
      <c r="Y24" s="31">
        <f t="shared" si="16"/>
        <v>0</v>
      </c>
      <c r="Z24" s="31">
        <f t="shared" si="16"/>
        <v>8</v>
      </c>
      <c r="AA24" s="31">
        <f t="shared" si="16"/>
        <v>6</v>
      </c>
      <c r="AB24" s="31">
        <f t="shared" si="16"/>
        <v>12</v>
      </c>
      <c r="AC24" s="31">
        <f t="shared" si="16"/>
        <v>0</v>
      </c>
      <c r="AD24" s="31">
        <f t="shared" si="16"/>
        <v>0</v>
      </c>
      <c r="AE24" s="28">
        <f t="shared" si="16"/>
        <v>37</v>
      </c>
      <c r="AF24" s="28">
        <f t="shared" si="16"/>
        <v>37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4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3</v>
      </c>
      <c r="W25" s="31">
        <f t="shared" si="17"/>
        <v>0</v>
      </c>
      <c r="X25" s="31">
        <f t="shared" si="17"/>
        <v>0</v>
      </c>
      <c r="Y25" s="31">
        <f t="shared" si="17"/>
        <v>3</v>
      </c>
      <c r="Z25" s="31">
        <f t="shared" si="17"/>
        <v>6</v>
      </c>
      <c r="AA25" s="31">
        <f t="shared" si="17"/>
        <v>1</v>
      </c>
      <c r="AB25" s="31">
        <f t="shared" si="17"/>
        <v>10</v>
      </c>
      <c r="AC25" s="31">
        <f t="shared" si="17"/>
        <v>0</v>
      </c>
      <c r="AD25" s="31">
        <f t="shared" si="17"/>
        <v>0</v>
      </c>
      <c r="AE25" s="28">
        <f t="shared" si="17"/>
        <v>27</v>
      </c>
      <c r="AF25" s="28">
        <f t="shared" si="17"/>
        <v>27</v>
      </c>
    </row>
    <row r="26" spans="2:32" ht="23.1" customHeight="1" x14ac:dyDescent="0.25">
      <c r="B26" s="42" t="s">
        <v>53</v>
      </c>
      <c r="C26" s="47">
        <v>5</v>
      </c>
      <c r="D26" s="47">
        <v>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47">
        <v>0</v>
      </c>
      <c r="N26" s="47">
        <v>0</v>
      </c>
      <c r="O26" s="15">
        <f t="shared" si="0"/>
        <v>5</v>
      </c>
      <c r="P26" s="15">
        <f t="shared" si="1"/>
        <v>5</v>
      </c>
      <c r="R26" s="33" t="s">
        <v>150</v>
      </c>
      <c r="S26" s="31">
        <f>SUM(C74:C77)</f>
        <v>7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4</v>
      </c>
      <c r="W26" s="31">
        <f t="shared" si="18"/>
        <v>0</v>
      </c>
      <c r="X26" s="31">
        <f t="shared" si="18"/>
        <v>0</v>
      </c>
      <c r="Y26" s="31">
        <f t="shared" si="18"/>
        <v>2</v>
      </c>
      <c r="Z26" s="31">
        <f t="shared" si="18"/>
        <v>1</v>
      </c>
      <c r="AA26" s="31">
        <f t="shared" si="18"/>
        <v>1</v>
      </c>
      <c r="AB26" s="31">
        <f t="shared" si="18"/>
        <v>4</v>
      </c>
      <c r="AC26" s="31">
        <f t="shared" si="18"/>
        <v>0</v>
      </c>
      <c r="AD26" s="31">
        <f t="shared" si="18"/>
        <v>0</v>
      </c>
      <c r="AE26" s="28">
        <f t="shared" si="18"/>
        <v>19</v>
      </c>
      <c r="AF26" s="28">
        <f t="shared" si="18"/>
        <v>19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4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7</v>
      </c>
      <c r="W27" s="31">
        <f t="shared" si="19"/>
        <v>0</v>
      </c>
      <c r="X27" s="31">
        <f t="shared" si="19"/>
        <v>0</v>
      </c>
      <c r="Y27" s="31">
        <f t="shared" si="19"/>
        <v>5</v>
      </c>
      <c r="Z27" s="31">
        <f t="shared" si="19"/>
        <v>2</v>
      </c>
      <c r="AA27" s="31">
        <f t="shared" si="19"/>
        <v>3</v>
      </c>
      <c r="AB27" s="31">
        <f t="shared" si="19"/>
        <v>9</v>
      </c>
      <c r="AC27" s="31">
        <f t="shared" si="19"/>
        <v>0</v>
      </c>
      <c r="AD27" s="31">
        <f t="shared" si="19"/>
        <v>0</v>
      </c>
      <c r="AE27" s="28">
        <f t="shared" si="19"/>
        <v>30</v>
      </c>
      <c r="AF27" s="28">
        <f t="shared" si="19"/>
        <v>30</v>
      </c>
    </row>
    <row r="28" spans="2:32" ht="23.1" customHeight="1" x14ac:dyDescent="0.25">
      <c r="B28" s="42" t="s">
        <v>55</v>
      </c>
      <c r="C28" s="47">
        <v>4</v>
      </c>
      <c r="D28" s="47">
        <v>0</v>
      </c>
      <c r="E28" s="47">
        <v>0</v>
      </c>
      <c r="F28" s="47">
        <v>2</v>
      </c>
      <c r="G28" s="47">
        <v>0</v>
      </c>
      <c r="H28" s="47">
        <v>0</v>
      </c>
      <c r="I28" s="47">
        <v>0</v>
      </c>
      <c r="J28" s="47">
        <v>6</v>
      </c>
      <c r="K28" s="47">
        <v>0</v>
      </c>
      <c r="L28" s="47">
        <v>0</v>
      </c>
      <c r="M28" s="47">
        <v>0</v>
      </c>
      <c r="N28" s="47">
        <v>0</v>
      </c>
      <c r="O28" s="15">
        <f t="shared" si="0"/>
        <v>12</v>
      </c>
      <c r="P28" s="15">
        <f t="shared" si="1"/>
        <v>12</v>
      </c>
      <c r="R28" s="33" t="s">
        <v>152</v>
      </c>
      <c r="S28" s="31">
        <f>SUM(C82:C85)</f>
        <v>1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1</v>
      </c>
      <c r="W28" s="31">
        <f t="shared" si="20"/>
        <v>0</v>
      </c>
      <c r="X28" s="31">
        <f t="shared" si="20"/>
        <v>0</v>
      </c>
      <c r="Y28" s="31">
        <f t="shared" si="20"/>
        <v>1</v>
      </c>
      <c r="Z28" s="31">
        <f t="shared" si="20"/>
        <v>2</v>
      </c>
      <c r="AA28" s="31">
        <f t="shared" si="20"/>
        <v>0</v>
      </c>
      <c r="AB28" s="31">
        <f t="shared" si="20"/>
        <v>3</v>
      </c>
      <c r="AC28" s="31">
        <f t="shared" si="20"/>
        <v>0</v>
      </c>
      <c r="AD28" s="31">
        <f t="shared" si="20"/>
        <v>0</v>
      </c>
      <c r="AE28" s="28">
        <f t="shared" si="20"/>
        <v>8</v>
      </c>
      <c r="AF28" s="28">
        <f t="shared" si="20"/>
        <v>8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0</v>
      </c>
      <c r="AA29" s="31">
        <f t="shared" si="21"/>
        <v>0</v>
      </c>
      <c r="AB29" s="31">
        <f t="shared" si="21"/>
        <v>0</v>
      </c>
      <c r="AC29" s="31">
        <f t="shared" si="21"/>
        <v>0</v>
      </c>
      <c r="AD29" s="31">
        <f t="shared" si="21"/>
        <v>0</v>
      </c>
      <c r="AE29" s="28">
        <f t="shared" si="21"/>
        <v>0</v>
      </c>
      <c r="AF29" s="28">
        <f t="shared" si="21"/>
        <v>0</v>
      </c>
    </row>
    <row r="30" spans="2:32" ht="23.1" customHeight="1" x14ac:dyDescent="0.25">
      <c r="B30" s="42" t="s">
        <v>57</v>
      </c>
      <c r="C30" s="47">
        <v>5</v>
      </c>
      <c r="D30" s="47">
        <v>0</v>
      </c>
      <c r="E30" s="47">
        <v>0</v>
      </c>
      <c r="F30" s="47">
        <v>2</v>
      </c>
      <c r="G30" s="47">
        <v>0</v>
      </c>
      <c r="H30" s="47">
        <v>0</v>
      </c>
      <c r="I30" s="47">
        <v>0</v>
      </c>
      <c r="J30" s="47">
        <v>2</v>
      </c>
      <c r="K30" s="47">
        <v>0</v>
      </c>
      <c r="L30" s="47">
        <v>0</v>
      </c>
      <c r="M30" s="47">
        <v>0</v>
      </c>
      <c r="N30" s="47">
        <v>0</v>
      </c>
      <c r="O30" s="15">
        <f t="shared" si="0"/>
        <v>9</v>
      </c>
      <c r="P30" s="15">
        <f t="shared" si="1"/>
        <v>9</v>
      </c>
      <c r="R30" s="33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43" t="s">
        <v>59</v>
      </c>
      <c r="C32" s="47">
        <v>5</v>
      </c>
      <c r="D32" s="47">
        <v>0</v>
      </c>
      <c r="E32" s="47">
        <v>0</v>
      </c>
      <c r="F32" s="47">
        <v>2</v>
      </c>
      <c r="G32" s="47">
        <v>0</v>
      </c>
      <c r="H32" s="47">
        <v>0</v>
      </c>
      <c r="I32" s="47">
        <v>0</v>
      </c>
      <c r="J32" s="47">
        <v>1</v>
      </c>
      <c r="K32" s="47">
        <v>0</v>
      </c>
      <c r="L32" s="47">
        <v>1</v>
      </c>
      <c r="M32" s="47">
        <v>0</v>
      </c>
      <c r="N32" s="47">
        <v>0</v>
      </c>
      <c r="O32" s="15">
        <f t="shared" si="0"/>
        <v>9</v>
      </c>
      <c r="P32" s="15">
        <f t="shared" si="1"/>
        <v>9</v>
      </c>
      <c r="R32" s="30" t="s">
        <v>156</v>
      </c>
      <c r="S32" s="31">
        <f>SUM(C98:C101)</f>
        <v>1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3</v>
      </c>
      <c r="W32" s="31">
        <f t="shared" si="24"/>
        <v>2</v>
      </c>
      <c r="X32" s="31">
        <f t="shared" si="24"/>
        <v>2</v>
      </c>
      <c r="Y32" s="31">
        <f t="shared" si="24"/>
        <v>1</v>
      </c>
      <c r="Z32" s="31">
        <f t="shared" si="24"/>
        <v>2</v>
      </c>
      <c r="AA32" s="31">
        <f t="shared" si="24"/>
        <v>5</v>
      </c>
      <c r="AB32" s="31">
        <f t="shared" si="24"/>
        <v>2</v>
      </c>
      <c r="AC32" s="31">
        <f t="shared" si="24"/>
        <v>0</v>
      </c>
      <c r="AD32" s="31">
        <f t="shared" si="24"/>
        <v>0</v>
      </c>
      <c r="AE32" s="28">
        <f t="shared" si="24"/>
        <v>18</v>
      </c>
      <c r="AF32" s="28">
        <f t="shared" si="24"/>
        <v>18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10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7</v>
      </c>
      <c r="W33" s="31">
        <f t="shared" si="25"/>
        <v>4</v>
      </c>
      <c r="X33" s="31">
        <f t="shared" si="25"/>
        <v>3</v>
      </c>
      <c r="Y33" s="31">
        <f t="shared" si="25"/>
        <v>3</v>
      </c>
      <c r="Z33" s="31">
        <f t="shared" si="25"/>
        <v>8</v>
      </c>
      <c r="AA33" s="31">
        <f t="shared" si="25"/>
        <v>4</v>
      </c>
      <c r="AB33" s="31">
        <f t="shared" si="25"/>
        <v>12</v>
      </c>
      <c r="AC33" s="31">
        <f t="shared" si="25"/>
        <v>0</v>
      </c>
      <c r="AD33" s="31">
        <f t="shared" si="25"/>
        <v>0</v>
      </c>
      <c r="AE33" s="28">
        <f t="shared" si="25"/>
        <v>51</v>
      </c>
      <c r="AF33" s="28">
        <f t="shared" si="25"/>
        <v>51</v>
      </c>
    </row>
    <row r="34" spans="2:32" ht="23.1" customHeight="1" x14ac:dyDescent="0.25">
      <c r="B34" s="43" t="s">
        <v>61</v>
      </c>
      <c r="C34" s="47">
        <v>2</v>
      </c>
      <c r="D34" s="47">
        <v>0</v>
      </c>
      <c r="E34" s="47">
        <v>0</v>
      </c>
      <c r="F34" s="47">
        <v>1</v>
      </c>
      <c r="G34" s="47">
        <v>0</v>
      </c>
      <c r="H34" s="47">
        <v>0</v>
      </c>
      <c r="I34" s="47">
        <v>1</v>
      </c>
      <c r="J34" s="47">
        <v>2</v>
      </c>
      <c r="K34" s="47">
        <v>0</v>
      </c>
      <c r="L34" s="47">
        <v>2</v>
      </c>
      <c r="M34" s="47">
        <v>0</v>
      </c>
      <c r="N34" s="47">
        <v>0</v>
      </c>
      <c r="O34" s="15">
        <f t="shared" si="0"/>
        <v>8</v>
      </c>
      <c r="P34" s="15">
        <f t="shared" si="1"/>
        <v>8</v>
      </c>
      <c r="R34" s="35" t="s">
        <v>90</v>
      </c>
      <c r="S34" s="36">
        <f t="shared" ref="S34:AF34" si="26">MAX(S10:S12)</f>
        <v>11</v>
      </c>
      <c r="T34" s="36">
        <f t="shared" si="26"/>
        <v>0</v>
      </c>
      <c r="U34" s="36">
        <f t="shared" si="26"/>
        <v>0</v>
      </c>
      <c r="V34" s="36">
        <f t="shared" si="26"/>
        <v>6</v>
      </c>
      <c r="W34" s="36">
        <f t="shared" si="26"/>
        <v>0</v>
      </c>
      <c r="X34" s="36">
        <f t="shared" si="26"/>
        <v>2</v>
      </c>
      <c r="Y34" s="36">
        <f t="shared" si="26"/>
        <v>1</v>
      </c>
      <c r="Z34" s="36">
        <f t="shared" si="26"/>
        <v>1</v>
      </c>
      <c r="AA34" s="36">
        <f t="shared" si="26"/>
        <v>1</v>
      </c>
      <c r="AB34" s="36">
        <f t="shared" si="26"/>
        <v>4</v>
      </c>
      <c r="AC34" s="36">
        <f t="shared" si="26"/>
        <v>0</v>
      </c>
      <c r="AD34" s="36">
        <f t="shared" si="26"/>
        <v>0</v>
      </c>
      <c r="AE34" s="37">
        <f t="shared" si="26"/>
        <v>19</v>
      </c>
      <c r="AF34" s="37">
        <f t="shared" si="26"/>
        <v>19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18</v>
      </c>
      <c r="T35" s="36">
        <f t="shared" si="27"/>
        <v>0</v>
      </c>
      <c r="U35" s="36">
        <f t="shared" si="27"/>
        <v>0</v>
      </c>
      <c r="V35" s="36">
        <f t="shared" si="27"/>
        <v>4</v>
      </c>
      <c r="W35" s="36">
        <f t="shared" si="27"/>
        <v>0</v>
      </c>
      <c r="X35" s="36">
        <f t="shared" si="27"/>
        <v>3</v>
      </c>
      <c r="Y35" s="36">
        <f t="shared" si="27"/>
        <v>3</v>
      </c>
      <c r="Z35" s="36">
        <f t="shared" si="27"/>
        <v>6</v>
      </c>
      <c r="AA35" s="36">
        <f t="shared" si="27"/>
        <v>0</v>
      </c>
      <c r="AB35" s="36">
        <f t="shared" si="27"/>
        <v>2</v>
      </c>
      <c r="AC35" s="36">
        <f t="shared" si="27"/>
        <v>0</v>
      </c>
      <c r="AD35" s="36">
        <f t="shared" si="27"/>
        <v>0</v>
      </c>
      <c r="AE35" s="37">
        <f t="shared" si="27"/>
        <v>24</v>
      </c>
      <c r="AF35" s="37">
        <f t="shared" si="27"/>
        <v>24</v>
      </c>
    </row>
    <row r="36" spans="2:32" ht="23.1" customHeight="1" x14ac:dyDescent="0.25">
      <c r="B36" s="43" t="s">
        <v>63</v>
      </c>
      <c r="C36" s="47">
        <v>10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2</v>
      </c>
      <c r="J36" s="47">
        <v>4</v>
      </c>
      <c r="K36" s="47">
        <v>0</v>
      </c>
      <c r="L36" s="47">
        <v>0</v>
      </c>
      <c r="M36" s="47">
        <v>0</v>
      </c>
      <c r="N36" s="47">
        <v>0</v>
      </c>
      <c r="O36" s="15">
        <f t="shared" si="0"/>
        <v>16</v>
      </c>
      <c r="P36" s="15">
        <f t="shared" si="1"/>
        <v>16</v>
      </c>
      <c r="R36" s="35" t="s">
        <v>92</v>
      </c>
      <c r="S36" s="36">
        <f t="shared" ref="S36:AF36" si="28">MAX(S19:S21)</f>
        <v>10</v>
      </c>
      <c r="T36" s="36">
        <f t="shared" si="28"/>
        <v>0</v>
      </c>
      <c r="U36" s="36">
        <f t="shared" si="28"/>
        <v>0</v>
      </c>
      <c r="V36" s="36">
        <f t="shared" si="28"/>
        <v>4</v>
      </c>
      <c r="W36" s="36">
        <f t="shared" si="28"/>
        <v>1</v>
      </c>
      <c r="X36" s="36">
        <f t="shared" si="28"/>
        <v>1</v>
      </c>
      <c r="Y36" s="36">
        <f t="shared" si="28"/>
        <v>0</v>
      </c>
      <c r="Z36" s="36">
        <f t="shared" si="28"/>
        <v>9</v>
      </c>
      <c r="AA36" s="36">
        <f t="shared" si="28"/>
        <v>2</v>
      </c>
      <c r="AB36" s="36">
        <f t="shared" si="28"/>
        <v>2</v>
      </c>
      <c r="AC36" s="36">
        <f t="shared" si="28"/>
        <v>0</v>
      </c>
      <c r="AD36" s="36">
        <f t="shared" si="28"/>
        <v>0</v>
      </c>
      <c r="AE36" s="37">
        <f t="shared" si="28"/>
        <v>24</v>
      </c>
      <c r="AF36" s="37">
        <f t="shared" si="28"/>
        <v>24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21</v>
      </c>
      <c r="T37" s="16">
        <f t="shared" si="29"/>
        <v>0</v>
      </c>
      <c r="U37" s="16">
        <f t="shared" si="29"/>
        <v>0</v>
      </c>
      <c r="V37" s="16">
        <f t="shared" si="29"/>
        <v>10</v>
      </c>
      <c r="W37" s="16">
        <f t="shared" si="29"/>
        <v>0</v>
      </c>
      <c r="X37" s="16">
        <f t="shared" si="29"/>
        <v>3</v>
      </c>
      <c r="Y37" s="16">
        <f t="shared" si="29"/>
        <v>1</v>
      </c>
      <c r="Z37" s="16">
        <f t="shared" si="29"/>
        <v>2</v>
      </c>
      <c r="AA37" s="16">
        <f t="shared" si="29"/>
        <v>1</v>
      </c>
      <c r="AB37" s="16">
        <f t="shared" si="29"/>
        <v>6</v>
      </c>
      <c r="AC37" s="16">
        <f t="shared" si="29"/>
        <v>0</v>
      </c>
      <c r="AD37" s="16">
        <f t="shared" si="29"/>
        <v>0</v>
      </c>
      <c r="AE37" s="29">
        <f t="shared" si="29"/>
        <v>44</v>
      </c>
      <c r="AF37" s="29">
        <f t="shared" si="29"/>
        <v>44</v>
      </c>
    </row>
    <row r="38" spans="2:32" ht="23.1" customHeight="1" x14ac:dyDescent="0.25">
      <c r="B38" s="43" t="s">
        <v>65</v>
      </c>
      <c r="C38" s="47">
        <v>3</v>
      </c>
      <c r="D38" s="47">
        <v>0</v>
      </c>
      <c r="E38" s="47">
        <v>0</v>
      </c>
      <c r="F38" s="47">
        <v>0</v>
      </c>
      <c r="G38" s="47">
        <v>0</v>
      </c>
      <c r="H38" s="47">
        <v>0</v>
      </c>
      <c r="I38" s="47">
        <v>0</v>
      </c>
      <c r="J38" s="47">
        <v>0</v>
      </c>
      <c r="K38" s="47">
        <v>0</v>
      </c>
      <c r="L38" s="47">
        <v>0</v>
      </c>
      <c r="M38" s="47">
        <v>0</v>
      </c>
      <c r="N38" s="47">
        <v>0</v>
      </c>
      <c r="O38" s="15">
        <f t="shared" si="0"/>
        <v>3</v>
      </c>
      <c r="P38" s="15">
        <f t="shared" si="1"/>
        <v>3</v>
      </c>
      <c r="R38" s="25" t="s">
        <v>86</v>
      </c>
      <c r="S38" s="16">
        <f t="shared" ref="S38:AF38" si="30">SUM(S13:S18)</f>
        <v>68</v>
      </c>
      <c r="T38" s="16">
        <f t="shared" si="30"/>
        <v>0</v>
      </c>
      <c r="U38" s="16">
        <f t="shared" si="30"/>
        <v>0</v>
      </c>
      <c r="V38" s="16">
        <f t="shared" si="30"/>
        <v>15</v>
      </c>
      <c r="W38" s="16">
        <f t="shared" si="30"/>
        <v>0</v>
      </c>
      <c r="X38" s="16">
        <f t="shared" si="30"/>
        <v>3</v>
      </c>
      <c r="Y38" s="16">
        <f t="shared" si="30"/>
        <v>4</v>
      </c>
      <c r="Z38" s="16">
        <f t="shared" si="30"/>
        <v>23</v>
      </c>
      <c r="AA38" s="16">
        <f t="shared" si="30"/>
        <v>0</v>
      </c>
      <c r="AB38" s="16">
        <f t="shared" si="30"/>
        <v>3</v>
      </c>
      <c r="AC38" s="16">
        <f t="shared" si="30"/>
        <v>0</v>
      </c>
      <c r="AD38" s="16">
        <f t="shared" si="30"/>
        <v>0</v>
      </c>
      <c r="AE38" s="29">
        <f t="shared" si="30"/>
        <v>116</v>
      </c>
      <c r="AF38" s="29">
        <f t="shared" si="30"/>
        <v>116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22</v>
      </c>
      <c r="T39" s="16">
        <f t="shared" si="31"/>
        <v>0</v>
      </c>
      <c r="U39" s="16">
        <f t="shared" si="31"/>
        <v>0</v>
      </c>
      <c r="V39" s="16">
        <f t="shared" si="31"/>
        <v>10</v>
      </c>
      <c r="W39" s="16">
        <f t="shared" si="31"/>
        <v>1</v>
      </c>
      <c r="X39" s="16">
        <f t="shared" si="31"/>
        <v>1</v>
      </c>
      <c r="Y39" s="16">
        <f t="shared" si="31"/>
        <v>0</v>
      </c>
      <c r="Z39" s="16">
        <f t="shared" si="31"/>
        <v>18</v>
      </c>
      <c r="AA39" s="16">
        <f t="shared" si="31"/>
        <v>2</v>
      </c>
      <c r="AB39" s="16">
        <f t="shared" si="31"/>
        <v>4</v>
      </c>
      <c r="AC39" s="16">
        <f t="shared" si="31"/>
        <v>0</v>
      </c>
      <c r="AD39" s="16">
        <f t="shared" si="31"/>
        <v>0</v>
      </c>
      <c r="AE39" s="29">
        <f t="shared" si="31"/>
        <v>58</v>
      </c>
      <c r="AF39" s="29">
        <f t="shared" si="31"/>
        <v>58</v>
      </c>
    </row>
    <row r="40" spans="2:32" ht="23.1" customHeight="1" x14ac:dyDescent="0.25">
      <c r="B40" s="43" t="s">
        <v>67</v>
      </c>
      <c r="C40" s="47">
        <v>8</v>
      </c>
      <c r="D40" s="47">
        <v>0</v>
      </c>
      <c r="E40" s="47">
        <v>0</v>
      </c>
      <c r="F40" s="47">
        <v>4</v>
      </c>
      <c r="G40" s="47">
        <v>0</v>
      </c>
      <c r="H40" s="47">
        <v>0</v>
      </c>
      <c r="I40" s="47">
        <v>0</v>
      </c>
      <c r="J40" s="47">
        <v>1</v>
      </c>
      <c r="K40" s="47">
        <v>0</v>
      </c>
      <c r="L40" s="47">
        <v>0</v>
      </c>
      <c r="M40" s="47">
        <v>0</v>
      </c>
      <c r="N40" s="47">
        <v>0</v>
      </c>
      <c r="O40" s="15">
        <f t="shared" si="0"/>
        <v>13</v>
      </c>
      <c r="P40" s="15">
        <f t="shared" si="1"/>
        <v>13</v>
      </c>
      <c r="R40" s="5" t="s">
        <v>17</v>
      </c>
      <c r="S40" s="16">
        <f t="shared" ref="S40:AF40" si="32">SUM(S10:S21)</f>
        <v>111</v>
      </c>
      <c r="T40" s="16">
        <f t="shared" si="32"/>
        <v>0</v>
      </c>
      <c r="U40" s="16">
        <f t="shared" si="32"/>
        <v>0</v>
      </c>
      <c r="V40" s="16">
        <f t="shared" si="32"/>
        <v>35</v>
      </c>
      <c r="W40" s="16">
        <f t="shared" si="32"/>
        <v>1</v>
      </c>
      <c r="X40" s="16">
        <f t="shared" si="32"/>
        <v>7</v>
      </c>
      <c r="Y40" s="16">
        <f t="shared" si="32"/>
        <v>5</v>
      </c>
      <c r="Z40" s="16">
        <f t="shared" si="32"/>
        <v>43</v>
      </c>
      <c r="AA40" s="16">
        <f t="shared" si="32"/>
        <v>3</v>
      </c>
      <c r="AB40" s="16">
        <f t="shared" si="32"/>
        <v>13</v>
      </c>
      <c r="AC40" s="16">
        <f t="shared" si="32"/>
        <v>0</v>
      </c>
      <c r="AD40" s="16">
        <f t="shared" si="32"/>
        <v>0</v>
      </c>
      <c r="AE40" s="29">
        <f t="shared" si="32"/>
        <v>218</v>
      </c>
      <c r="AF40" s="29">
        <f t="shared" si="32"/>
        <v>218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166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63</v>
      </c>
      <c r="W41" s="16">
        <f t="shared" si="33"/>
        <v>7</v>
      </c>
      <c r="X41" s="16">
        <f t="shared" si="33"/>
        <v>12</v>
      </c>
      <c r="Y41" s="16">
        <f t="shared" si="33"/>
        <v>22</v>
      </c>
      <c r="Z41" s="16">
        <f t="shared" si="33"/>
        <v>81</v>
      </c>
      <c r="AA41" s="16">
        <f t="shared" si="33"/>
        <v>27</v>
      </c>
      <c r="AB41" s="16">
        <f t="shared" si="33"/>
        <v>74</v>
      </c>
      <c r="AC41" s="16">
        <f t="shared" si="33"/>
        <v>0</v>
      </c>
      <c r="AD41" s="16">
        <f t="shared" si="33"/>
        <v>0</v>
      </c>
      <c r="AE41" s="29">
        <f t="shared" si="33"/>
        <v>452</v>
      </c>
      <c r="AF41" s="29">
        <f t="shared" si="33"/>
        <v>452</v>
      </c>
    </row>
    <row r="42" spans="2:32" ht="23.1" customHeight="1" x14ac:dyDescent="0.25">
      <c r="B42" s="43" t="s">
        <v>69</v>
      </c>
      <c r="C42" s="47">
        <v>6</v>
      </c>
      <c r="D42" s="47">
        <v>0</v>
      </c>
      <c r="E42" s="47">
        <v>0</v>
      </c>
      <c r="F42" s="47">
        <v>1</v>
      </c>
      <c r="G42" s="47">
        <v>0</v>
      </c>
      <c r="H42" s="47">
        <v>1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15">
        <f t="shared" si="0"/>
        <v>8</v>
      </c>
      <c r="P42" s="15">
        <f t="shared" si="1"/>
        <v>8</v>
      </c>
      <c r="R42" s="5" t="s">
        <v>160</v>
      </c>
      <c r="S42" s="45">
        <f>S41/S40</f>
        <v>1.4954954954954955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1.8</v>
      </c>
      <c r="W42" s="45">
        <f t="shared" si="34"/>
        <v>7</v>
      </c>
      <c r="X42" s="45">
        <f t="shared" si="34"/>
        <v>1.7142857142857142</v>
      </c>
      <c r="Y42" s="45">
        <f t="shared" si="34"/>
        <v>4.4000000000000004</v>
      </c>
      <c r="Z42" s="45">
        <f t="shared" si="34"/>
        <v>1.8837209302325582</v>
      </c>
      <c r="AA42" s="45">
        <f t="shared" si="34"/>
        <v>9</v>
      </c>
      <c r="AB42" s="45">
        <f t="shared" si="34"/>
        <v>5.6923076923076925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2.073394495412844</v>
      </c>
      <c r="AF42" s="45">
        <f t="shared" si="34"/>
        <v>2.073394495412844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2</v>
      </c>
      <c r="D44" s="47">
        <v>0</v>
      </c>
      <c r="E44" s="47">
        <v>0</v>
      </c>
      <c r="F44" s="47">
        <v>2</v>
      </c>
      <c r="G44" s="47">
        <v>0</v>
      </c>
      <c r="H44" s="47">
        <v>2</v>
      </c>
      <c r="I44" s="47">
        <v>1</v>
      </c>
      <c r="J44" s="47">
        <v>3</v>
      </c>
      <c r="K44" s="47">
        <v>0</v>
      </c>
      <c r="L44" s="47">
        <v>0</v>
      </c>
      <c r="M44" s="47">
        <v>0</v>
      </c>
      <c r="N44" s="47">
        <v>0</v>
      </c>
      <c r="O44" s="15">
        <f t="shared" si="0"/>
        <v>10</v>
      </c>
      <c r="P44" s="15">
        <f t="shared" si="1"/>
        <v>10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2</v>
      </c>
      <c r="D46" s="47">
        <v>0</v>
      </c>
      <c r="E46" s="47">
        <v>0</v>
      </c>
      <c r="F46" s="47">
        <v>2</v>
      </c>
      <c r="G46" s="47">
        <v>0</v>
      </c>
      <c r="H46" s="47">
        <v>0</v>
      </c>
      <c r="I46" s="47">
        <v>0</v>
      </c>
      <c r="J46" s="47">
        <v>3</v>
      </c>
      <c r="K46" s="47">
        <v>2</v>
      </c>
      <c r="L46" s="47">
        <v>0</v>
      </c>
      <c r="M46" s="47">
        <v>0</v>
      </c>
      <c r="N46" s="47">
        <v>0</v>
      </c>
      <c r="O46" s="15">
        <f t="shared" si="0"/>
        <v>9</v>
      </c>
      <c r="P46" s="15">
        <f t="shared" si="1"/>
        <v>9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1</v>
      </c>
      <c r="D48" s="47">
        <v>0</v>
      </c>
      <c r="E48" s="47">
        <v>0</v>
      </c>
      <c r="F48" s="47">
        <v>1</v>
      </c>
      <c r="G48" s="47">
        <v>0</v>
      </c>
      <c r="H48" s="47">
        <v>0</v>
      </c>
      <c r="I48" s="47">
        <v>0</v>
      </c>
      <c r="J48" s="47">
        <v>2</v>
      </c>
      <c r="K48" s="47">
        <v>0</v>
      </c>
      <c r="L48" s="47">
        <v>0</v>
      </c>
      <c r="M48" s="47">
        <v>0</v>
      </c>
      <c r="N48" s="47">
        <v>0</v>
      </c>
      <c r="O48" s="15">
        <f t="shared" si="0"/>
        <v>4</v>
      </c>
      <c r="P48" s="15">
        <f t="shared" si="1"/>
        <v>4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6</v>
      </c>
      <c r="D50" s="47">
        <v>0</v>
      </c>
      <c r="E50" s="47">
        <v>0</v>
      </c>
      <c r="F50" s="47">
        <v>2</v>
      </c>
      <c r="G50" s="47">
        <v>0</v>
      </c>
      <c r="H50" s="47">
        <v>1</v>
      </c>
      <c r="I50" s="47">
        <v>0</v>
      </c>
      <c r="J50" s="47">
        <v>5</v>
      </c>
      <c r="K50" s="47">
        <v>0</v>
      </c>
      <c r="L50" s="47">
        <v>2</v>
      </c>
      <c r="M50" s="47">
        <v>0</v>
      </c>
      <c r="N50" s="47">
        <v>0</v>
      </c>
      <c r="O50" s="15">
        <f t="shared" si="0"/>
        <v>16</v>
      </c>
      <c r="P50" s="15">
        <f t="shared" si="1"/>
        <v>16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3</v>
      </c>
      <c r="D52" s="47">
        <v>0</v>
      </c>
      <c r="E52" s="47">
        <v>0</v>
      </c>
      <c r="F52" s="47">
        <v>1</v>
      </c>
      <c r="G52" s="47">
        <v>0</v>
      </c>
      <c r="H52" s="47">
        <v>0</v>
      </c>
      <c r="I52" s="47">
        <v>0</v>
      </c>
      <c r="J52" s="47">
        <v>4</v>
      </c>
      <c r="K52" s="47">
        <v>0</v>
      </c>
      <c r="L52" s="47">
        <v>0</v>
      </c>
      <c r="M52" s="47">
        <v>0</v>
      </c>
      <c r="N52" s="47">
        <v>0</v>
      </c>
      <c r="O52" s="15">
        <f t="shared" si="0"/>
        <v>8</v>
      </c>
      <c r="P52" s="15">
        <f t="shared" si="1"/>
        <v>8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6</v>
      </c>
      <c r="D54" s="47">
        <v>0</v>
      </c>
      <c r="E54" s="47">
        <v>0</v>
      </c>
      <c r="F54" s="47">
        <v>2</v>
      </c>
      <c r="G54" s="47">
        <v>0</v>
      </c>
      <c r="H54" s="47">
        <v>0</v>
      </c>
      <c r="I54" s="47">
        <v>0</v>
      </c>
      <c r="J54" s="47">
        <v>0</v>
      </c>
      <c r="K54" s="47">
        <v>0</v>
      </c>
      <c r="L54" s="47">
        <v>0</v>
      </c>
      <c r="M54" s="47">
        <v>0</v>
      </c>
      <c r="N54" s="47">
        <v>0</v>
      </c>
      <c r="O54" s="15">
        <f t="shared" si="0"/>
        <v>8</v>
      </c>
      <c r="P54" s="15">
        <f t="shared" si="1"/>
        <v>8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4</v>
      </c>
      <c r="D56" s="47">
        <v>0</v>
      </c>
      <c r="E56" s="47">
        <v>0</v>
      </c>
      <c r="F56" s="47">
        <v>2</v>
      </c>
      <c r="G56" s="47">
        <v>1</v>
      </c>
      <c r="H56" s="47">
        <v>0</v>
      </c>
      <c r="I56" s="47">
        <v>0</v>
      </c>
      <c r="J56" s="47">
        <v>4</v>
      </c>
      <c r="K56" s="47">
        <v>0</v>
      </c>
      <c r="L56" s="47">
        <v>2</v>
      </c>
      <c r="M56" s="47">
        <v>0</v>
      </c>
      <c r="N56" s="47">
        <v>0</v>
      </c>
      <c r="O56" s="15">
        <f t="shared" si="0"/>
        <v>13</v>
      </c>
      <c r="P56" s="15">
        <f t="shared" si="1"/>
        <v>13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4</v>
      </c>
      <c r="D58" s="47">
        <v>0</v>
      </c>
      <c r="E58" s="47">
        <v>0</v>
      </c>
      <c r="F58" s="47">
        <v>2</v>
      </c>
      <c r="G58" s="47">
        <v>0</v>
      </c>
      <c r="H58" s="47">
        <v>0</v>
      </c>
      <c r="I58" s="47">
        <v>0</v>
      </c>
      <c r="J58" s="47">
        <v>1</v>
      </c>
      <c r="K58" s="47">
        <v>0</v>
      </c>
      <c r="L58" s="47">
        <v>3</v>
      </c>
      <c r="M58" s="47">
        <v>0</v>
      </c>
      <c r="N58" s="47">
        <v>0</v>
      </c>
      <c r="O58" s="15">
        <f t="shared" si="0"/>
        <v>10</v>
      </c>
      <c r="P58" s="15">
        <f t="shared" si="1"/>
        <v>10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5</v>
      </c>
      <c r="D60" s="47">
        <v>0</v>
      </c>
      <c r="E60" s="47">
        <v>0</v>
      </c>
      <c r="F60" s="47">
        <v>1</v>
      </c>
      <c r="G60" s="47">
        <v>0</v>
      </c>
      <c r="H60" s="47">
        <v>0</v>
      </c>
      <c r="I60" s="47">
        <v>2</v>
      </c>
      <c r="J60" s="47">
        <v>2</v>
      </c>
      <c r="K60" s="47">
        <v>0</v>
      </c>
      <c r="L60" s="47">
        <v>6</v>
      </c>
      <c r="M60" s="47">
        <v>0</v>
      </c>
      <c r="N60" s="47">
        <v>0</v>
      </c>
      <c r="O60" s="15">
        <f t="shared" si="0"/>
        <v>16</v>
      </c>
      <c r="P60" s="15">
        <f t="shared" si="1"/>
        <v>16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3</v>
      </c>
      <c r="D62" s="47">
        <v>0</v>
      </c>
      <c r="E62" s="47">
        <v>0</v>
      </c>
      <c r="F62" s="47">
        <v>0</v>
      </c>
      <c r="G62" s="47">
        <v>0</v>
      </c>
      <c r="H62" s="47">
        <v>0</v>
      </c>
      <c r="I62" s="47">
        <v>0</v>
      </c>
      <c r="J62" s="47">
        <v>2</v>
      </c>
      <c r="K62" s="47">
        <v>2</v>
      </c>
      <c r="L62" s="47">
        <v>0</v>
      </c>
      <c r="M62" s="47">
        <v>0</v>
      </c>
      <c r="N62" s="47">
        <v>0</v>
      </c>
      <c r="O62" s="15">
        <f t="shared" si="0"/>
        <v>7</v>
      </c>
      <c r="P62" s="15">
        <f t="shared" si="1"/>
        <v>7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5</v>
      </c>
      <c r="D64" s="47">
        <v>0</v>
      </c>
      <c r="E64" s="47">
        <v>0</v>
      </c>
      <c r="F64" s="47">
        <v>0</v>
      </c>
      <c r="G64" s="47">
        <v>0</v>
      </c>
      <c r="H64" s="47">
        <v>0</v>
      </c>
      <c r="I64" s="47">
        <v>0</v>
      </c>
      <c r="J64" s="47">
        <v>4</v>
      </c>
      <c r="K64" s="47">
        <v>2</v>
      </c>
      <c r="L64" s="47">
        <v>0</v>
      </c>
      <c r="M64" s="47">
        <v>0</v>
      </c>
      <c r="N64" s="47">
        <v>0</v>
      </c>
      <c r="O64" s="15">
        <f t="shared" si="0"/>
        <v>11</v>
      </c>
      <c r="P64" s="15">
        <f t="shared" si="1"/>
        <v>11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5</v>
      </c>
      <c r="D66" s="47">
        <v>0</v>
      </c>
      <c r="E66" s="47">
        <v>0</v>
      </c>
      <c r="F66" s="47">
        <v>0</v>
      </c>
      <c r="G66" s="47">
        <v>0</v>
      </c>
      <c r="H66" s="47">
        <v>0</v>
      </c>
      <c r="I66" s="47">
        <v>0</v>
      </c>
      <c r="J66" s="47">
        <v>8</v>
      </c>
      <c r="K66" s="47">
        <v>5</v>
      </c>
      <c r="L66" s="47">
        <v>9</v>
      </c>
      <c r="M66" s="47">
        <v>0</v>
      </c>
      <c r="N66" s="47">
        <v>0</v>
      </c>
      <c r="O66" s="15">
        <f t="shared" si="0"/>
        <v>27</v>
      </c>
      <c r="P66" s="15">
        <f t="shared" si="1"/>
        <v>27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6</v>
      </c>
      <c r="D68" s="47">
        <v>0</v>
      </c>
      <c r="E68" s="47">
        <v>0</v>
      </c>
      <c r="F68" s="47">
        <v>0</v>
      </c>
      <c r="G68" s="47">
        <v>0</v>
      </c>
      <c r="H68" s="47">
        <v>0</v>
      </c>
      <c r="I68" s="47">
        <v>0</v>
      </c>
      <c r="J68" s="47">
        <v>0</v>
      </c>
      <c r="K68" s="47">
        <v>1</v>
      </c>
      <c r="L68" s="47">
        <v>3</v>
      </c>
      <c r="M68" s="47">
        <v>0</v>
      </c>
      <c r="N68" s="47">
        <v>0</v>
      </c>
      <c r="O68" s="15">
        <f t="shared" si="0"/>
        <v>10</v>
      </c>
      <c r="P68" s="15">
        <f t="shared" si="1"/>
        <v>10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1</v>
      </c>
      <c r="D70" s="47">
        <v>0</v>
      </c>
      <c r="E70" s="47">
        <v>0</v>
      </c>
      <c r="F70" s="47">
        <v>1</v>
      </c>
      <c r="G70" s="47">
        <v>0</v>
      </c>
      <c r="H70" s="47">
        <v>0</v>
      </c>
      <c r="I70" s="47">
        <v>1</v>
      </c>
      <c r="J70" s="47">
        <v>2</v>
      </c>
      <c r="K70" s="47">
        <v>0</v>
      </c>
      <c r="L70" s="47">
        <v>5</v>
      </c>
      <c r="M70" s="47">
        <v>0</v>
      </c>
      <c r="N70" s="47">
        <v>0</v>
      </c>
      <c r="O70" s="15">
        <f t="shared" si="0"/>
        <v>10</v>
      </c>
      <c r="P70" s="15">
        <f t="shared" si="1"/>
        <v>10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3</v>
      </c>
      <c r="D72" s="47">
        <v>0</v>
      </c>
      <c r="E72" s="47">
        <v>0</v>
      </c>
      <c r="F72" s="47">
        <v>2</v>
      </c>
      <c r="G72" s="47">
        <v>0</v>
      </c>
      <c r="H72" s="47">
        <v>0</v>
      </c>
      <c r="I72" s="47">
        <v>2</v>
      </c>
      <c r="J72" s="47">
        <v>4</v>
      </c>
      <c r="K72" s="47">
        <v>1</v>
      </c>
      <c r="L72" s="47">
        <v>5</v>
      </c>
      <c r="M72" s="47">
        <v>0</v>
      </c>
      <c r="N72" s="47">
        <v>0</v>
      </c>
      <c r="O72" s="15">
        <f t="shared" si="0"/>
        <v>17</v>
      </c>
      <c r="P72" s="15">
        <f t="shared" si="1"/>
        <v>17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5</v>
      </c>
      <c r="D74" s="47">
        <v>0</v>
      </c>
      <c r="E74" s="47">
        <v>0</v>
      </c>
      <c r="F74" s="47">
        <v>1</v>
      </c>
      <c r="G74" s="47">
        <v>0</v>
      </c>
      <c r="H74" s="47">
        <v>0</v>
      </c>
      <c r="I74" s="47">
        <v>1</v>
      </c>
      <c r="J74" s="47">
        <v>0</v>
      </c>
      <c r="K74" s="47">
        <v>0</v>
      </c>
      <c r="L74" s="47">
        <v>2</v>
      </c>
      <c r="M74" s="47">
        <v>0</v>
      </c>
      <c r="N74" s="47">
        <v>0</v>
      </c>
      <c r="O74" s="15">
        <f t="shared" ref="O74:O105" si="35">SUM(C74:L74,N74)</f>
        <v>9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2</v>
      </c>
      <c r="D76" s="47">
        <v>0</v>
      </c>
      <c r="E76" s="47">
        <v>0</v>
      </c>
      <c r="F76" s="47">
        <v>3</v>
      </c>
      <c r="G76" s="47">
        <v>0</v>
      </c>
      <c r="H76" s="47">
        <v>0</v>
      </c>
      <c r="I76" s="47">
        <v>1</v>
      </c>
      <c r="J76" s="47">
        <v>1</v>
      </c>
      <c r="K76" s="47">
        <v>1</v>
      </c>
      <c r="L76" s="47">
        <v>2</v>
      </c>
      <c r="M76" s="47">
        <v>0</v>
      </c>
      <c r="N76" s="47">
        <v>0</v>
      </c>
      <c r="O76" s="15">
        <f t="shared" si="35"/>
        <v>10</v>
      </c>
      <c r="P76" s="15">
        <f t="shared" si="36"/>
        <v>10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1</v>
      </c>
      <c r="D78" s="47">
        <v>0</v>
      </c>
      <c r="E78" s="47">
        <v>0</v>
      </c>
      <c r="F78" s="47">
        <v>1</v>
      </c>
      <c r="G78" s="47">
        <v>0</v>
      </c>
      <c r="H78" s="47">
        <v>0</v>
      </c>
      <c r="I78" s="47">
        <v>3</v>
      </c>
      <c r="J78" s="47">
        <v>1</v>
      </c>
      <c r="K78" s="47">
        <v>1</v>
      </c>
      <c r="L78" s="47">
        <v>5</v>
      </c>
      <c r="M78" s="47">
        <v>0</v>
      </c>
      <c r="N78" s="47">
        <v>0</v>
      </c>
      <c r="O78" s="15">
        <f t="shared" si="35"/>
        <v>12</v>
      </c>
      <c r="P78" s="15">
        <f t="shared" si="36"/>
        <v>12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3</v>
      </c>
      <c r="D80" s="47">
        <v>0</v>
      </c>
      <c r="E80" s="47">
        <v>0</v>
      </c>
      <c r="F80" s="47">
        <v>6</v>
      </c>
      <c r="G80" s="47">
        <v>0</v>
      </c>
      <c r="H80" s="47">
        <v>0</v>
      </c>
      <c r="I80" s="47">
        <v>2</v>
      </c>
      <c r="J80" s="47">
        <v>1</v>
      </c>
      <c r="K80" s="47">
        <v>2</v>
      </c>
      <c r="L80" s="47">
        <v>4</v>
      </c>
      <c r="M80" s="47">
        <v>0</v>
      </c>
      <c r="N80" s="47">
        <v>0</v>
      </c>
      <c r="O80" s="15">
        <f t="shared" si="35"/>
        <v>18</v>
      </c>
      <c r="P80" s="15">
        <f t="shared" si="36"/>
        <v>18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1</v>
      </c>
      <c r="D82" s="47">
        <v>0</v>
      </c>
      <c r="E82" s="47">
        <v>0</v>
      </c>
      <c r="F82" s="47">
        <v>0</v>
      </c>
      <c r="G82" s="47">
        <v>0</v>
      </c>
      <c r="H82" s="47">
        <v>0</v>
      </c>
      <c r="I82" s="47">
        <v>1</v>
      </c>
      <c r="J82" s="47">
        <v>2</v>
      </c>
      <c r="K82" s="47">
        <v>0</v>
      </c>
      <c r="L82" s="47">
        <v>3</v>
      </c>
      <c r="M82" s="47">
        <v>0</v>
      </c>
      <c r="N82" s="47">
        <v>0</v>
      </c>
      <c r="O82" s="15">
        <f t="shared" si="35"/>
        <v>7</v>
      </c>
      <c r="P82" s="15">
        <f t="shared" si="36"/>
        <v>7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1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0</v>
      </c>
      <c r="D86" s="47">
        <v>0</v>
      </c>
      <c r="E86" s="47">
        <v>0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0</v>
      </c>
      <c r="D88" s="47">
        <v>0</v>
      </c>
      <c r="E88" s="47">
        <v>0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0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0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2</v>
      </c>
      <c r="K98" s="47">
        <v>1</v>
      </c>
      <c r="L98" s="47">
        <v>0</v>
      </c>
      <c r="M98" s="47">
        <v>0</v>
      </c>
      <c r="N98" s="47">
        <v>0</v>
      </c>
      <c r="O98" s="15">
        <f t="shared" si="35"/>
        <v>3</v>
      </c>
      <c r="P98" s="15">
        <f t="shared" si="36"/>
        <v>3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1</v>
      </c>
      <c r="D100" s="47">
        <v>0</v>
      </c>
      <c r="E100" s="47">
        <v>0</v>
      </c>
      <c r="F100" s="47">
        <v>3</v>
      </c>
      <c r="G100" s="47">
        <v>2</v>
      </c>
      <c r="H100" s="47">
        <v>2</v>
      </c>
      <c r="I100" s="47">
        <v>1</v>
      </c>
      <c r="J100" s="47">
        <v>0</v>
      </c>
      <c r="K100" s="47">
        <v>4</v>
      </c>
      <c r="L100" s="47">
        <v>2</v>
      </c>
      <c r="M100" s="47">
        <v>0</v>
      </c>
      <c r="N100" s="47">
        <v>0</v>
      </c>
      <c r="O100" s="15">
        <f t="shared" si="35"/>
        <v>15</v>
      </c>
      <c r="P100" s="15">
        <f t="shared" si="36"/>
        <v>15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3</v>
      </c>
      <c r="D102" s="47">
        <v>0</v>
      </c>
      <c r="E102" s="47">
        <v>0</v>
      </c>
      <c r="F102" s="47">
        <v>4</v>
      </c>
      <c r="G102" s="47">
        <v>1</v>
      </c>
      <c r="H102" s="47">
        <v>2</v>
      </c>
      <c r="I102" s="47">
        <v>3</v>
      </c>
      <c r="J102" s="47">
        <v>5</v>
      </c>
      <c r="K102" s="47">
        <v>2</v>
      </c>
      <c r="L102" s="47">
        <v>7</v>
      </c>
      <c r="M102" s="47">
        <v>0</v>
      </c>
      <c r="N102" s="47">
        <v>0</v>
      </c>
      <c r="O102" s="15">
        <f t="shared" si="35"/>
        <v>27</v>
      </c>
      <c r="P102" s="15">
        <f t="shared" si="36"/>
        <v>27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7</v>
      </c>
      <c r="D104" s="47">
        <v>0</v>
      </c>
      <c r="E104" s="47">
        <v>0</v>
      </c>
      <c r="F104" s="47">
        <v>3</v>
      </c>
      <c r="G104" s="47">
        <v>3</v>
      </c>
      <c r="H104" s="47">
        <v>1</v>
      </c>
      <c r="I104" s="47">
        <v>0</v>
      </c>
      <c r="J104" s="47">
        <v>3</v>
      </c>
      <c r="K104" s="47">
        <v>2</v>
      </c>
      <c r="L104" s="47">
        <v>5</v>
      </c>
      <c r="M104" s="47">
        <v>0</v>
      </c>
      <c r="N104" s="47">
        <v>0</v>
      </c>
      <c r="O104" s="15">
        <f t="shared" si="35"/>
        <v>24</v>
      </c>
      <c r="P104" s="15">
        <f t="shared" si="36"/>
        <v>24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166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63</v>
      </c>
      <c r="G106" s="16">
        <f t="shared" si="37"/>
        <v>7</v>
      </c>
      <c r="H106" s="16">
        <f t="shared" si="37"/>
        <v>12</v>
      </c>
      <c r="I106" s="16">
        <f t="shared" si="37"/>
        <v>22</v>
      </c>
      <c r="J106" s="16">
        <f t="shared" si="37"/>
        <v>81</v>
      </c>
      <c r="K106" s="16">
        <f t="shared" si="37"/>
        <v>27</v>
      </c>
      <c r="L106" s="16">
        <f t="shared" si="37"/>
        <v>74</v>
      </c>
      <c r="M106" s="16">
        <f t="shared" si="37"/>
        <v>0</v>
      </c>
      <c r="N106" s="16">
        <f t="shared" si="37"/>
        <v>0</v>
      </c>
      <c r="O106" s="16">
        <f t="shared" si="37"/>
        <v>452</v>
      </c>
      <c r="P106" s="16">
        <f t="shared" si="37"/>
        <v>452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0.36725663716814161</v>
      </c>
      <c r="D107" s="40">
        <f t="shared" si="38"/>
        <v>0</v>
      </c>
      <c r="E107" s="40">
        <f t="shared" si="38"/>
        <v>0</v>
      </c>
      <c r="F107" s="40">
        <f t="shared" si="38"/>
        <v>0.13938053097345132</v>
      </c>
      <c r="G107" s="40">
        <f t="shared" si="38"/>
        <v>1.5486725663716814E-2</v>
      </c>
      <c r="H107" s="40">
        <f t="shared" si="38"/>
        <v>2.6548672566371681E-2</v>
      </c>
      <c r="I107" s="40">
        <f t="shared" si="38"/>
        <v>4.8672566371681415E-2</v>
      </c>
      <c r="J107" s="40">
        <f t="shared" si="38"/>
        <v>0.17920353982300885</v>
      </c>
      <c r="K107" s="40">
        <f t="shared" si="38"/>
        <v>5.9734513274336286E-2</v>
      </c>
      <c r="L107" s="40">
        <f t="shared" si="38"/>
        <v>0.16371681415929204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0.36725663716814161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0.13938053097345132</v>
      </c>
      <c r="G108" s="41">
        <f t="shared" si="39"/>
        <v>1.5486725663716814E-2</v>
      </c>
      <c r="H108" s="41">
        <f t="shared" si="39"/>
        <v>2.6548672566371681E-2</v>
      </c>
      <c r="I108" s="41">
        <f t="shared" si="39"/>
        <v>4.8672566371681415E-2</v>
      </c>
      <c r="J108" s="41">
        <f t="shared" si="39"/>
        <v>0.17920353982300885</v>
      </c>
      <c r="K108" s="41">
        <f t="shared" si="39"/>
        <v>5.9734513274336286E-2</v>
      </c>
      <c r="L108" s="41">
        <f t="shared" si="39"/>
        <v>0.16371681415929204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73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">
        <v>167</v>
      </c>
      <c r="E5" s="3"/>
      <c r="F5" s="38" t="s">
        <v>1</v>
      </c>
      <c r="G5" s="58" t="e">
        <f>'25.05 Mutukula-Kampala-24h'!G5:H5</f>
        <v>#REF!</v>
      </c>
      <c r="H5" s="59"/>
      <c r="I5" s="14"/>
      <c r="J5" s="2" t="s">
        <v>5</v>
      </c>
      <c r="K5" s="58" t="str">
        <f>'25.05 Mutukula-Kampala-24h'!K5:L5</f>
        <v>xxxx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Kampala-Mutukula-24h'!D6:E6</f>
        <v>Kampala</v>
      </c>
      <c r="E6" s="59"/>
      <c r="F6" s="2" t="s">
        <v>2</v>
      </c>
      <c r="G6" s="58" t="str">
        <f>'25.05 Kampala-Mutukula-24h'!G6:H6</f>
        <v>Mutukula</v>
      </c>
      <c r="H6" s="59"/>
      <c r="J6" s="2" t="s">
        <v>21</v>
      </c>
      <c r="K6" s="58" t="str">
        <f>'25.05 Mutukula-Kampala-24h'!K6:L6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3</v>
      </c>
      <c r="D10" s="47">
        <v>0</v>
      </c>
      <c r="E10" s="47">
        <v>0</v>
      </c>
      <c r="F10" s="47">
        <v>4</v>
      </c>
      <c r="G10" s="47">
        <v>0</v>
      </c>
      <c r="H10" s="47">
        <v>2</v>
      </c>
      <c r="I10" s="47">
        <v>0</v>
      </c>
      <c r="J10" s="47">
        <v>2</v>
      </c>
      <c r="K10" s="47">
        <v>1</v>
      </c>
      <c r="L10" s="47">
        <v>3</v>
      </c>
      <c r="M10" s="47">
        <v>0</v>
      </c>
      <c r="N10" s="47">
        <v>0</v>
      </c>
      <c r="O10" s="15">
        <f t="shared" ref="O10:O73" si="0">SUM(C10:L10,N10)</f>
        <v>15</v>
      </c>
      <c r="P10" s="15">
        <f t="shared" ref="P10:P73" si="1">SUM(C10:N10)</f>
        <v>15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0</v>
      </c>
      <c r="V10" s="17">
        <f t="shared" si="2"/>
        <v>5</v>
      </c>
      <c r="W10" s="17">
        <f t="shared" si="2"/>
        <v>1</v>
      </c>
      <c r="X10" s="17">
        <f t="shared" si="2"/>
        <v>2</v>
      </c>
      <c r="Y10" s="17">
        <f t="shared" si="2"/>
        <v>3</v>
      </c>
      <c r="Z10" s="17">
        <f t="shared" si="2"/>
        <v>7</v>
      </c>
      <c r="AA10" s="17">
        <f t="shared" si="2"/>
        <v>3</v>
      </c>
      <c r="AB10" s="17">
        <f t="shared" si="2"/>
        <v>5</v>
      </c>
      <c r="AC10" s="17">
        <f t="shared" si="2"/>
        <v>0</v>
      </c>
      <c r="AD10" s="17">
        <f t="shared" si="2"/>
        <v>0</v>
      </c>
      <c r="AE10" s="28">
        <f t="shared" si="2"/>
        <v>34</v>
      </c>
      <c r="AF10" s="28">
        <f t="shared" si="2"/>
        <v>34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5</v>
      </c>
      <c r="W11" s="17">
        <f t="shared" si="3"/>
        <v>1</v>
      </c>
      <c r="X11" s="17">
        <f t="shared" si="3"/>
        <v>1</v>
      </c>
      <c r="Y11" s="17">
        <f t="shared" si="3"/>
        <v>2</v>
      </c>
      <c r="Z11" s="17">
        <f t="shared" si="3"/>
        <v>3</v>
      </c>
      <c r="AA11" s="17">
        <f t="shared" si="3"/>
        <v>6</v>
      </c>
      <c r="AB11" s="17">
        <f t="shared" si="3"/>
        <v>10</v>
      </c>
      <c r="AC11" s="17">
        <f t="shared" si="3"/>
        <v>0</v>
      </c>
      <c r="AD11" s="17">
        <f t="shared" si="3"/>
        <v>0</v>
      </c>
      <c r="AE11" s="28">
        <f t="shared" si="3"/>
        <v>33</v>
      </c>
      <c r="AF11" s="28">
        <f t="shared" si="3"/>
        <v>33</v>
      </c>
    </row>
    <row r="12" spans="2:32" ht="23.1" customHeight="1" x14ac:dyDescent="0.25">
      <c r="B12" s="42" t="s">
        <v>39</v>
      </c>
      <c r="C12" s="47">
        <v>5</v>
      </c>
      <c r="D12" s="47">
        <v>0</v>
      </c>
      <c r="E12" s="47">
        <v>0</v>
      </c>
      <c r="F12" s="47">
        <v>1</v>
      </c>
      <c r="G12" s="47">
        <v>1</v>
      </c>
      <c r="H12" s="47">
        <v>0</v>
      </c>
      <c r="I12" s="47">
        <v>3</v>
      </c>
      <c r="J12" s="47">
        <v>5</v>
      </c>
      <c r="K12" s="47">
        <v>2</v>
      </c>
      <c r="L12" s="47">
        <v>2</v>
      </c>
      <c r="M12" s="47">
        <v>0</v>
      </c>
      <c r="N12" s="47">
        <v>0</v>
      </c>
      <c r="O12" s="15">
        <f t="shared" si="0"/>
        <v>19</v>
      </c>
      <c r="P12" s="15">
        <f t="shared" si="1"/>
        <v>19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0</v>
      </c>
      <c r="V12" s="17">
        <f t="shared" si="4"/>
        <v>7</v>
      </c>
      <c r="W12" s="17">
        <f t="shared" si="4"/>
        <v>2</v>
      </c>
      <c r="X12" s="17">
        <f t="shared" si="4"/>
        <v>3</v>
      </c>
      <c r="Y12" s="17">
        <f t="shared" si="4"/>
        <v>4</v>
      </c>
      <c r="Z12" s="17">
        <f t="shared" si="4"/>
        <v>9</v>
      </c>
      <c r="AA12" s="17">
        <f t="shared" si="4"/>
        <v>4</v>
      </c>
      <c r="AB12" s="17">
        <f t="shared" si="4"/>
        <v>6</v>
      </c>
      <c r="AC12" s="17">
        <f t="shared" si="4"/>
        <v>0</v>
      </c>
      <c r="AD12" s="17">
        <f t="shared" si="4"/>
        <v>0</v>
      </c>
      <c r="AE12" s="28">
        <f t="shared" si="4"/>
        <v>42</v>
      </c>
      <c r="AF12" s="28">
        <f t="shared" si="4"/>
        <v>42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0</v>
      </c>
      <c r="V13" s="17">
        <f t="shared" si="5"/>
        <v>5</v>
      </c>
      <c r="W13" s="17">
        <f t="shared" si="5"/>
        <v>1</v>
      </c>
      <c r="X13" s="17">
        <f t="shared" si="5"/>
        <v>1</v>
      </c>
      <c r="Y13" s="17">
        <f t="shared" si="5"/>
        <v>1</v>
      </c>
      <c r="Z13" s="17">
        <f t="shared" si="5"/>
        <v>3</v>
      </c>
      <c r="AA13" s="17">
        <f t="shared" si="5"/>
        <v>1</v>
      </c>
      <c r="AB13" s="17">
        <f t="shared" si="5"/>
        <v>8</v>
      </c>
      <c r="AC13" s="17">
        <f t="shared" si="5"/>
        <v>0</v>
      </c>
      <c r="AD13" s="17">
        <f t="shared" si="5"/>
        <v>0</v>
      </c>
      <c r="AE13" s="28">
        <f t="shared" si="5"/>
        <v>25</v>
      </c>
      <c r="AF13" s="28">
        <f t="shared" si="5"/>
        <v>25</v>
      </c>
    </row>
    <row r="14" spans="2:32" ht="23.1" customHeight="1" x14ac:dyDescent="0.25">
      <c r="B14" s="42" t="s">
        <v>41</v>
      </c>
      <c r="C14" s="47">
        <v>3</v>
      </c>
      <c r="D14" s="47">
        <v>0</v>
      </c>
      <c r="E14" s="47">
        <v>0</v>
      </c>
      <c r="F14" s="47">
        <v>1</v>
      </c>
      <c r="G14" s="47">
        <v>0</v>
      </c>
      <c r="H14" s="47">
        <v>0</v>
      </c>
      <c r="I14" s="47">
        <v>0</v>
      </c>
      <c r="J14" s="47">
        <v>3</v>
      </c>
      <c r="K14" s="47">
        <v>3</v>
      </c>
      <c r="L14" s="47">
        <v>4</v>
      </c>
      <c r="M14" s="47">
        <v>0</v>
      </c>
      <c r="N14" s="47">
        <v>0</v>
      </c>
      <c r="O14" s="15">
        <f t="shared" si="0"/>
        <v>14</v>
      </c>
      <c r="P14" s="15">
        <f t="shared" si="1"/>
        <v>14</v>
      </c>
      <c r="R14" s="1" t="s">
        <v>10</v>
      </c>
      <c r="S14" s="17">
        <f t="shared" ref="S14:AF14" si="6">SUM(C26:C29)</f>
        <v>12</v>
      </c>
      <c r="T14" s="17">
        <f t="shared" si="6"/>
        <v>0</v>
      </c>
      <c r="U14" s="17">
        <f t="shared" si="6"/>
        <v>0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2</v>
      </c>
      <c r="AB14" s="17">
        <f t="shared" si="6"/>
        <v>2</v>
      </c>
      <c r="AC14" s="17">
        <f t="shared" si="6"/>
        <v>0</v>
      </c>
      <c r="AD14" s="17">
        <f t="shared" si="6"/>
        <v>0</v>
      </c>
      <c r="AE14" s="28">
        <f t="shared" si="6"/>
        <v>24</v>
      </c>
      <c r="AF14" s="28">
        <f t="shared" si="6"/>
        <v>24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0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28">
        <f t="shared" si="7"/>
        <v>19</v>
      </c>
      <c r="AF15" s="28">
        <f t="shared" si="7"/>
        <v>19</v>
      </c>
    </row>
    <row r="16" spans="2:32" ht="23.1" customHeight="1" x14ac:dyDescent="0.25">
      <c r="B16" s="42" t="s">
        <v>43</v>
      </c>
      <c r="C16" s="47">
        <v>2</v>
      </c>
      <c r="D16" s="47">
        <v>0</v>
      </c>
      <c r="E16" s="47">
        <v>0</v>
      </c>
      <c r="F16" s="47">
        <v>4</v>
      </c>
      <c r="G16" s="47">
        <v>1</v>
      </c>
      <c r="H16" s="47">
        <v>1</v>
      </c>
      <c r="I16" s="47">
        <v>2</v>
      </c>
      <c r="J16" s="47">
        <v>0</v>
      </c>
      <c r="K16" s="47">
        <v>3</v>
      </c>
      <c r="L16" s="47">
        <v>6</v>
      </c>
      <c r="M16" s="47">
        <v>0</v>
      </c>
      <c r="N16" s="47">
        <v>0</v>
      </c>
      <c r="O16" s="15">
        <f t="shared" si="0"/>
        <v>19</v>
      </c>
      <c r="P16" s="15">
        <f t="shared" si="1"/>
        <v>19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7</v>
      </c>
      <c r="W16" s="17">
        <f t="shared" si="8"/>
        <v>2</v>
      </c>
      <c r="X16" s="17">
        <f t="shared" si="8"/>
        <v>3</v>
      </c>
      <c r="Y16" s="17">
        <f t="shared" si="8"/>
        <v>2</v>
      </c>
      <c r="Z16" s="17">
        <f t="shared" si="8"/>
        <v>4</v>
      </c>
      <c r="AA16" s="17">
        <f t="shared" si="8"/>
        <v>2</v>
      </c>
      <c r="AB16" s="17">
        <f t="shared" si="8"/>
        <v>2</v>
      </c>
      <c r="AC16" s="17">
        <f t="shared" si="8"/>
        <v>0</v>
      </c>
      <c r="AD16" s="17">
        <f t="shared" si="8"/>
        <v>0</v>
      </c>
      <c r="AE16" s="28">
        <f t="shared" si="8"/>
        <v>31</v>
      </c>
      <c r="AF16" s="28">
        <f t="shared" si="8"/>
        <v>31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0</v>
      </c>
      <c r="V17" s="17">
        <f t="shared" si="9"/>
        <v>5</v>
      </c>
      <c r="W17" s="17">
        <f t="shared" si="9"/>
        <v>0</v>
      </c>
      <c r="X17" s="17">
        <f t="shared" si="9"/>
        <v>3</v>
      </c>
      <c r="Y17" s="17">
        <f t="shared" si="9"/>
        <v>6</v>
      </c>
      <c r="Z17" s="17">
        <f t="shared" si="9"/>
        <v>8</v>
      </c>
      <c r="AA17" s="17">
        <f t="shared" si="9"/>
        <v>2</v>
      </c>
      <c r="AB17" s="17">
        <f t="shared" si="9"/>
        <v>7</v>
      </c>
      <c r="AC17" s="17">
        <f t="shared" si="9"/>
        <v>0</v>
      </c>
      <c r="AD17" s="17">
        <f t="shared" si="9"/>
        <v>0</v>
      </c>
      <c r="AE17" s="28">
        <f t="shared" si="9"/>
        <v>34</v>
      </c>
      <c r="AF17" s="28">
        <f t="shared" si="9"/>
        <v>34</v>
      </c>
    </row>
    <row r="18" spans="2:32" ht="23.1" customHeight="1" x14ac:dyDescent="0.25">
      <c r="B18" s="42" t="s">
        <v>45</v>
      </c>
      <c r="C18" s="47">
        <v>4</v>
      </c>
      <c r="D18" s="47">
        <v>0</v>
      </c>
      <c r="E18" s="47">
        <v>0</v>
      </c>
      <c r="F18" s="47">
        <v>3</v>
      </c>
      <c r="G18" s="47">
        <v>0</v>
      </c>
      <c r="H18" s="47">
        <v>2</v>
      </c>
      <c r="I18" s="47">
        <v>4</v>
      </c>
      <c r="J18" s="47">
        <v>6</v>
      </c>
      <c r="K18" s="47">
        <v>3</v>
      </c>
      <c r="L18" s="47">
        <v>3</v>
      </c>
      <c r="M18" s="47">
        <v>0</v>
      </c>
      <c r="N18" s="47">
        <v>0</v>
      </c>
      <c r="O18" s="15">
        <f t="shared" si="0"/>
        <v>25</v>
      </c>
      <c r="P18" s="15">
        <f t="shared" si="1"/>
        <v>25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0</v>
      </c>
      <c r="V18" s="17">
        <f t="shared" si="10"/>
        <v>5</v>
      </c>
      <c r="W18" s="17">
        <f t="shared" si="10"/>
        <v>0</v>
      </c>
      <c r="X18" s="17">
        <f t="shared" si="10"/>
        <v>2</v>
      </c>
      <c r="Y18" s="17">
        <f t="shared" si="10"/>
        <v>0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28">
        <f t="shared" si="10"/>
        <v>14</v>
      </c>
      <c r="AF18" s="28">
        <f t="shared" si="10"/>
        <v>14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0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2</v>
      </c>
      <c r="AA19" s="17">
        <f t="shared" si="11"/>
        <v>3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28">
        <f t="shared" si="11"/>
        <v>18</v>
      </c>
      <c r="AF19" s="28">
        <f t="shared" si="11"/>
        <v>18</v>
      </c>
    </row>
    <row r="20" spans="2:32" ht="23.1" customHeight="1" x14ac:dyDescent="0.25">
      <c r="B20" s="42" t="s">
        <v>47</v>
      </c>
      <c r="C20" s="47">
        <v>3</v>
      </c>
      <c r="D20" s="47">
        <v>0</v>
      </c>
      <c r="E20" s="47">
        <v>0</v>
      </c>
      <c r="F20" s="47">
        <v>4</v>
      </c>
      <c r="G20" s="47">
        <v>2</v>
      </c>
      <c r="H20" s="47">
        <v>1</v>
      </c>
      <c r="I20" s="47">
        <v>0</v>
      </c>
      <c r="J20" s="47">
        <v>3</v>
      </c>
      <c r="K20" s="47">
        <v>1</v>
      </c>
      <c r="L20" s="47">
        <v>3</v>
      </c>
      <c r="M20" s="47">
        <v>0</v>
      </c>
      <c r="N20" s="47">
        <v>0</v>
      </c>
      <c r="O20" s="15">
        <f t="shared" si="0"/>
        <v>17</v>
      </c>
      <c r="P20" s="15">
        <f t="shared" si="1"/>
        <v>17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0</v>
      </c>
      <c r="V20" s="17">
        <f t="shared" si="12"/>
        <v>9</v>
      </c>
      <c r="W20" s="17">
        <f t="shared" si="12"/>
        <v>0</v>
      </c>
      <c r="X20" s="17">
        <f t="shared" si="12"/>
        <v>2</v>
      </c>
      <c r="Y20" s="17">
        <f t="shared" si="12"/>
        <v>2</v>
      </c>
      <c r="Z20" s="17">
        <f t="shared" si="12"/>
        <v>3</v>
      </c>
      <c r="AA20" s="17">
        <f t="shared" si="12"/>
        <v>4</v>
      </c>
      <c r="AB20" s="17">
        <f t="shared" si="12"/>
        <v>2</v>
      </c>
      <c r="AC20" s="17">
        <f t="shared" si="12"/>
        <v>0</v>
      </c>
      <c r="AD20" s="17">
        <f t="shared" si="12"/>
        <v>0</v>
      </c>
      <c r="AE20" s="28">
        <f t="shared" si="12"/>
        <v>36</v>
      </c>
      <c r="AF20" s="28">
        <f t="shared" si="12"/>
        <v>36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5</v>
      </c>
      <c r="T21" s="17">
        <f t="shared" si="13"/>
        <v>0</v>
      </c>
      <c r="U21" s="17">
        <f t="shared" si="13"/>
        <v>0</v>
      </c>
      <c r="V21" s="17">
        <f t="shared" si="13"/>
        <v>6</v>
      </c>
      <c r="W21" s="17">
        <f t="shared" si="13"/>
        <v>1</v>
      </c>
      <c r="X21" s="17">
        <f t="shared" si="13"/>
        <v>2</v>
      </c>
      <c r="Y21" s="17">
        <f t="shared" si="13"/>
        <v>4</v>
      </c>
      <c r="Z21" s="17">
        <f t="shared" si="13"/>
        <v>4</v>
      </c>
      <c r="AA21" s="17">
        <f t="shared" si="13"/>
        <v>1</v>
      </c>
      <c r="AB21" s="17">
        <f t="shared" si="13"/>
        <v>7</v>
      </c>
      <c r="AC21" s="17">
        <f t="shared" si="13"/>
        <v>0</v>
      </c>
      <c r="AD21" s="17">
        <f t="shared" si="13"/>
        <v>0</v>
      </c>
      <c r="AE21" s="28">
        <f t="shared" si="13"/>
        <v>30</v>
      </c>
      <c r="AF21" s="28">
        <f t="shared" si="13"/>
        <v>30</v>
      </c>
    </row>
    <row r="22" spans="2:32" ht="23.1" customHeight="1" x14ac:dyDescent="0.25">
      <c r="B22" s="42" t="s">
        <v>49</v>
      </c>
      <c r="C22" s="47">
        <v>3</v>
      </c>
      <c r="D22" s="47">
        <v>0</v>
      </c>
      <c r="E22" s="47">
        <v>0</v>
      </c>
      <c r="F22" s="47">
        <v>2</v>
      </c>
      <c r="G22" s="47">
        <v>0</v>
      </c>
      <c r="H22" s="47">
        <v>1</v>
      </c>
      <c r="I22" s="47">
        <v>1</v>
      </c>
      <c r="J22" s="47">
        <v>0</v>
      </c>
      <c r="K22" s="47">
        <v>0</v>
      </c>
      <c r="L22" s="47">
        <v>3</v>
      </c>
      <c r="M22" s="47">
        <v>0</v>
      </c>
      <c r="N22" s="47">
        <v>0</v>
      </c>
      <c r="O22" s="15">
        <f t="shared" si="0"/>
        <v>10</v>
      </c>
      <c r="P22" s="15">
        <f t="shared" si="1"/>
        <v>10</v>
      </c>
      <c r="R22" s="33" t="s">
        <v>146</v>
      </c>
      <c r="S22" s="31">
        <f>SUM(C58:C61)</f>
        <v>9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2</v>
      </c>
      <c r="W22" s="31">
        <f t="shared" si="14"/>
        <v>0</v>
      </c>
      <c r="X22" s="31">
        <f t="shared" si="14"/>
        <v>2</v>
      </c>
      <c r="Y22" s="31">
        <f t="shared" si="14"/>
        <v>1</v>
      </c>
      <c r="Z22" s="31">
        <f t="shared" si="14"/>
        <v>0</v>
      </c>
      <c r="AA22" s="31">
        <f t="shared" si="14"/>
        <v>1</v>
      </c>
      <c r="AB22" s="31">
        <f t="shared" si="14"/>
        <v>6</v>
      </c>
      <c r="AC22" s="31">
        <f t="shared" si="14"/>
        <v>0</v>
      </c>
      <c r="AD22" s="31">
        <f t="shared" si="14"/>
        <v>0</v>
      </c>
      <c r="AE22" s="28">
        <f t="shared" si="14"/>
        <v>21</v>
      </c>
      <c r="AF22" s="28">
        <f t="shared" si="14"/>
        <v>21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12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1</v>
      </c>
      <c r="W23" s="31">
        <f t="shared" si="15"/>
        <v>1</v>
      </c>
      <c r="X23" s="31">
        <f t="shared" si="15"/>
        <v>0</v>
      </c>
      <c r="Y23" s="31">
        <f t="shared" si="15"/>
        <v>0</v>
      </c>
      <c r="Z23" s="31">
        <f t="shared" si="15"/>
        <v>2</v>
      </c>
      <c r="AA23" s="31">
        <f t="shared" si="15"/>
        <v>0</v>
      </c>
      <c r="AB23" s="31">
        <f t="shared" si="15"/>
        <v>2</v>
      </c>
      <c r="AC23" s="31">
        <f t="shared" si="15"/>
        <v>0</v>
      </c>
      <c r="AD23" s="31">
        <f t="shared" si="15"/>
        <v>0</v>
      </c>
      <c r="AE23" s="28">
        <f t="shared" si="15"/>
        <v>18</v>
      </c>
      <c r="AF23" s="28">
        <f t="shared" si="15"/>
        <v>18</v>
      </c>
    </row>
    <row r="24" spans="2:32" ht="23.1" customHeight="1" x14ac:dyDescent="0.25">
      <c r="B24" s="42" t="s">
        <v>51</v>
      </c>
      <c r="C24" s="47">
        <v>2</v>
      </c>
      <c r="D24" s="47">
        <v>0</v>
      </c>
      <c r="E24" s="47">
        <v>0</v>
      </c>
      <c r="F24" s="47">
        <v>3</v>
      </c>
      <c r="G24" s="47">
        <v>1</v>
      </c>
      <c r="H24" s="47">
        <v>0</v>
      </c>
      <c r="I24" s="47">
        <v>0</v>
      </c>
      <c r="J24" s="47">
        <v>3</v>
      </c>
      <c r="K24" s="47">
        <v>1</v>
      </c>
      <c r="L24" s="47">
        <v>5</v>
      </c>
      <c r="M24" s="47">
        <v>0</v>
      </c>
      <c r="N24" s="47">
        <v>0</v>
      </c>
      <c r="O24" s="15">
        <f t="shared" si="0"/>
        <v>15</v>
      </c>
      <c r="P24" s="15">
        <f t="shared" si="1"/>
        <v>15</v>
      </c>
      <c r="R24" s="33" t="s">
        <v>148</v>
      </c>
      <c r="S24" s="31">
        <f>SUM(C66:C69)</f>
        <v>2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0</v>
      </c>
      <c r="W24" s="31">
        <f t="shared" si="16"/>
        <v>1</v>
      </c>
      <c r="X24" s="31">
        <f t="shared" si="16"/>
        <v>0</v>
      </c>
      <c r="Y24" s="31">
        <f t="shared" si="16"/>
        <v>0</v>
      </c>
      <c r="Z24" s="31">
        <f t="shared" si="16"/>
        <v>2</v>
      </c>
      <c r="AA24" s="31">
        <f t="shared" si="16"/>
        <v>1</v>
      </c>
      <c r="AB24" s="31">
        <f t="shared" si="16"/>
        <v>4</v>
      </c>
      <c r="AC24" s="31">
        <f t="shared" si="16"/>
        <v>0</v>
      </c>
      <c r="AD24" s="31">
        <f t="shared" si="16"/>
        <v>0</v>
      </c>
      <c r="AE24" s="28">
        <f t="shared" si="16"/>
        <v>10</v>
      </c>
      <c r="AF24" s="28">
        <f t="shared" si="16"/>
        <v>10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4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0</v>
      </c>
      <c r="W25" s="31">
        <f t="shared" si="17"/>
        <v>0</v>
      </c>
      <c r="X25" s="31">
        <f t="shared" si="17"/>
        <v>0</v>
      </c>
      <c r="Y25" s="31">
        <f t="shared" si="17"/>
        <v>0</v>
      </c>
      <c r="Z25" s="31">
        <f t="shared" si="17"/>
        <v>0</v>
      </c>
      <c r="AA25" s="31">
        <f t="shared" si="17"/>
        <v>0</v>
      </c>
      <c r="AB25" s="31">
        <f t="shared" si="17"/>
        <v>4</v>
      </c>
      <c r="AC25" s="31">
        <f t="shared" si="17"/>
        <v>0</v>
      </c>
      <c r="AD25" s="31">
        <f t="shared" si="17"/>
        <v>0</v>
      </c>
      <c r="AE25" s="28">
        <f t="shared" si="17"/>
        <v>8</v>
      </c>
      <c r="AF25" s="28">
        <f t="shared" si="17"/>
        <v>8</v>
      </c>
    </row>
    <row r="26" spans="2:32" ht="23.1" customHeight="1" x14ac:dyDescent="0.25">
      <c r="B26" s="42" t="s">
        <v>53</v>
      </c>
      <c r="C26" s="47">
        <v>3</v>
      </c>
      <c r="D26" s="47">
        <v>0</v>
      </c>
      <c r="E26" s="47">
        <v>0</v>
      </c>
      <c r="F26" s="47">
        <v>4</v>
      </c>
      <c r="G26" s="47">
        <v>0</v>
      </c>
      <c r="H26" s="47">
        <v>0</v>
      </c>
      <c r="I26" s="47">
        <v>2</v>
      </c>
      <c r="J26" s="47">
        <v>1</v>
      </c>
      <c r="K26" s="47">
        <v>1</v>
      </c>
      <c r="L26" s="47">
        <v>1</v>
      </c>
      <c r="M26" s="47">
        <v>0</v>
      </c>
      <c r="N26" s="47">
        <v>0</v>
      </c>
      <c r="O26" s="15">
        <f t="shared" si="0"/>
        <v>12</v>
      </c>
      <c r="P26" s="15">
        <f t="shared" si="1"/>
        <v>12</v>
      </c>
      <c r="R26" s="33" t="s">
        <v>150</v>
      </c>
      <c r="S26" s="31">
        <f>SUM(C74:C77)</f>
        <v>2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0</v>
      </c>
      <c r="W26" s="31">
        <f t="shared" si="18"/>
        <v>0</v>
      </c>
      <c r="X26" s="31">
        <f t="shared" si="18"/>
        <v>0</v>
      </c>
      <c r="Y26" s="31">
        <f t="shared" si="18"/>
        <v>0</v>
      </c>
      <c r="Z26" s="31">
        <f t="shared" si="18"/>
        <v>0</v>
      </c>
      <c r="AA26" s="31">
        <f t="shared" si="18"/>
        <v>0</v>
      </c>
      <c r="AB26" s="31">
        <f t="shared" si="18"/>
        <v>1</v>
      </c>
      <c r="AC26" s="31">
        <f t="shared" si="18"/>
        <v>0</v>
      </c>
      <c r="AD26" s="31">
        <f t="shared" si="18"/>
        <v>0</v>
      </c>
      <c r="AE26" s="28">
        <f t="shared" si="18"/>
        <v>3</v>
      </c>
      <c r="AF26" s="28">
        <f t="shared" si="18"/>
        <v>3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0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0</v>
      </c>
      <c r="W27" s="31">
        <f t="shared" si="19"/>
        <v>1</v>
      </c>
      <c r="X27" s="31">
        <f t="shared" si="19"/>
        <v>0</v>
      </c>
      <c r="Y27" s="31">
        <f t="shared" si="19"/>
        <v>0</v>
      </c>
      <c r="Z27" s="31">
        <f t="shared" si="19"/>
        <v>0</v>
      </c>
      <c r="AA27" s="31">
        <f t="shared" si="19"/>
        <v>0</v>
      </c>
      <c r="AB27" s="31">
        <f t="shared" si="19"/>
        <v>1</v>
      </c>
      <c r="AC27" s="31">
        <f t="shared" si="19"/>
        <v>0</v>
      </c>
      <c r="AD27" s="31">
        <f t="shared" si="19"/>
        <v>0</v>
      </c>
      <c r="AE27" s="28">
        <f t="shared" si="19"/>
        <v>2</v>
      </c>
      <c r="AF27" s="28">
        <f t="shared" si="19"/>
        <v>2</v>
      </c>
    </row>
    <row r="28" spans="2:32" ht="23.1" customHeight="1" x14ac:dyDescent="0.25">
      <c r="B28" s="42" t="s">
        <v>55</v>
      </c>
      <c r="C28" s="47">
        <v>9</v>
      </c>
      <c r="D28" s="47">
        <v>0</v>
      </c>
      <c r="E28" s="47">
        <v>0</v>
      </c>
      <c r="F28" s="47">
        <v>1</v>
      </c>
      <c r="G28" s="47">
        <v>0</v>
      </c>
      <c r="H28" s="47">
        <v>0</v>
      </c>
      <c r="I28" s="47">
        <v>0</v>
      </c>
      <c r="J28" s="47">
        <v>0</v>
      </c>
      <c r="K28" s="47">
        <v>1</v>
      </c>
      <c r="L28" s="47">
        <v>1</v>
      </c>
      <c r="M28" s="47">
        <v>0</v>
      </c>
      <c r="N28" s="47">
        <v>0</v>
      </c>
      <c r="O28" s="15">
        <f t="shared" si="0"/>
        <v>12</v>
      </c>
      <c r="P28" s="15">
        <f t="shared" si="1"/>
        <v>12</v>
      </c>
      <c r="R28" s="33" t="s">
        <v>152</v>
      </c>
      <c r="S28" s="31">
        <f>SUM(C82:C85)</f>
        <v>0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</v>
      </c>
      <c r="W28" s="31">
        <f t="shared" si="20"/>
        <v>0</v>
      </c>
      <c r="X28" s="31">
        <f t="shared" si="20"/>
        <v>0</v>
      </c>
      <c r="Y28" s="31">
        <f t="shared" si="20"/>
        <v>0</v>
      </c>
      <c r="Z28" s="31">
        <f t="shared" si="20"/>
        <v>0</v>
      </c>
      <c r="AA28" s="31">
        <f t="shared" si="20"/>
        <v>1</v>
      </c>
      <c r="AB28" s="31">
        <f t="shared" si="20"/>
        <v>0</v>
      </c>
      <c r="AC28" s="31">
        <f t="shared" si="20"/>
        <v>0</v>
      </c>
      <c r="AD28" s="31">
        <f t="shared" si="20"/>
        <v>0</v>
      </c>
      <c r="AE28" s="28">
        <f t="shared" si="20"/>
        <v>1</v>
      </c>
      <c r="AF28" s="28">
        <f t="shared" si="20"/>
        <v>1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1</v>
      </c>
      <c r="AA29" s="31">
        <f t="shared" si="21"/>
        <v>0</v>
      </c>
      <c r="AB29" s="31">
        <f t="shared" si="21"/>
        <v>2</v>
      </c>
      <c r="AC29" s="31">
        <f t="shared" si="21"/>
        <v>0</v>
      </c>
      <c r="AD29" s="31">
        <f t="shared" si="21"/>
        <v>0</v>
      </c>
      <c r="AE29" s="28">
        <f t="shared" si="21"/>
        <v>3</v>
      </c>
      <c r="AF29" s="28">
        <f t="shared" si="21"/>
        <v>3</v>
      </c>
    </row>
    <row r="30" spans="2:32" ht="23.1" customHeight="1" x14ac:dyDescent="0.25">
      <c r="B30" s="42" t="s">
        <v>57</v>
      </c>
      <c r="C30" s="47">
        <v>6</v>
      </c>
      <c r="D30" s="47">
        <v>0</v>
      </c>
      <c r="E30" s="47">
        <v>0</v>
      </c>
      <c r="F30" s="47">
        <v>2</v>
      </c>
      <c r="G30" s="47">
        <v>0</v>
      </c>
      <c r="H30" s="47">
        <v>0</v>
      </c>
      <c r="I30" s="47">
        <v>0</v>
      </c>
      <c r="J30" s="47">
        <v>2</v>
      </c>
      <c r="K30" s="47">
        <v>0</v>
      </c>
      <c r="L30" s="47">
        <v>0</v>
      </c>
      <c r="M30" s="47">
        <v>0</v>
      </c>
      <c r="N30" s="47">
        <v>0</v>
      </c>
      <c r="O30" s="15">
        <f t="shared" si="0"/>
        <v>10</v>
      </c>
      <c r="P30" s="15">
        <f t="shared" si="1"/>
        <v>10</v>
      </c>
      <c r="R30" s="33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43" t="s">
        <v>59</v>
      </c>
      <c r="C32" s="47">
        <v>2</v>
      </c>
      <c r="D32" s="47">
        <v>0</v>
      </c>
      <c r="E32" s="47">
        <v>0</v>
      </c>
      <c r="F32" s="47">
        <v>3</v>
      </c>
      <c r="G32" s="47">
        <v>1</v>
      </c>
      <c r="H32" s="47">
        <v>0</v>
      </c>
      <c r="I32" s="47">
        <v>0</v>
      </c>
      <c r="J32" s="47">
        <v>3</v>
      </c>
      <c r="K32" s="47">
        <v>0</v>
      </c>
      <c r="L32" s="47">
        <v>0</v>
      </c>
      <c r="M32" s="47">
        <v>0</v>
      </c>
      <c r="N32" s="47">
        <v>0</v>
      </c>
      <c r="O32" s="15">
        <f t="shared" si="0"/>
        <v>9</v>
      </c>
      <c r="P32" s="15">
        <f t="shared" si="1"/>
        <v>9</v>
      </c>
      <c r="R32" s="30" t="s">
        <v>156</v>
      </c>
      <c r="S32" s="31">
        <f>SUM(C98:C101)</f>
        <v>0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0</v>
      </c>
      <c r="AF32" s="28">
        <f t="shared" si="24"/>
        <v>0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5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0</v>
      </c>
      <c r="W33" s="31">
        <f t="shared" si="25"/>
        <v>4</v>
      </c>
      <c r="X33" s="31">
        <f t="shared" si="25"/>
        <v>1</v>
      </c>
      <c r="Y33" s="31">
        <f t="shared" si="25"/>
        <v>0</v>
      </c>
      <c r="Z33" s="31">
        <f t="shared" si="25"/>
        <v>0</v>
      </c>
      <c r="AA33" s="31">
        <f t="shared" si="25"/>
        <v>4</v>
      </c>
      <c r="AB33" s="31">
        <f t="shared" si="25"/>
        <v>7</v>
      </c>
      <c r="AC33" s="31">
        <f t="shared" si="25"/>
        <v>0</v>
      </c>
      <c r="AD33" s="31">
        <f t="shared" si="25"/>
        <v>0</v>
      </c>
      <c r="AE33" s="28">
        <f t="shared" si="25"/>
        <v>21</v>
      </c>
      <c r="AF33" s="28">
        <f t="shared" si="25"/>
        <v>21</v>
      </c>
    </row>
    <row r="34" spans="2:32" ht="23.1" customHeight="1" x14ac:dyDescent="0.25">
      <c r="B34" s="43" t="s">
        <v>61</v>
      </c>
      <c r="C34" s="47">
        <v>4</v>
      </c>
      <c r="D34" s="47">
        <v>0</v>
      </c>
      <c r="E34" s="47">
        <v>0</v>
      </c>
      <c r="F34" s="47">
        <v>3</v>
      </c>
      <c r="G34" s="47">
        <v>1</v>
      </c>
      <c r="H34" s="47">
        <v>1</v>
      </c>
      <c r="I34" s="47">
        <v>0</v>
      </c>
      <c r="J34" s="47">
        <v>3</v>
      </c>
      <c r="K34" s="47">
        <v>0</v>
      </c>
      <c r="L34" s="47">
        <v>1</v>
      </c>
      <c r="M34" s="47">
        <v>0</v>
      </c>
      <c r="N34" s="47">
        <v>0</v>
      </c>
      <c r="O34" s="15">
        <f t="shared" si="0"/>
        <v>13</v>
      </c>
      <c r="P34" s="15">
        <f t="shared" si="1"/>
        <v>13</v>
      </c>
      <c r="R34" s="35" t="s">
        <v>90</v>
      </c>
      <c r="S34" s="36">
        <f t="shared" ref="S34:AF34" si="26">MAX(S10:S12)</f>
        <v>8</v>
      </c>
      <c r="T34" s="36">
        <f t="shared" si="26"/>
        <v>0</v>
      </c>
      <c r="U34" s="36">
        <f t="shared" si="26"/>
        <v>0</v>
      </c>
      <c r="V34" s="36">
        <f t="shared" si="26"/>
        <v>7</v>
      </c>
      <c r="W34" s="36">
        <f t="shared" si="26"/>
        <v>2</v>
      </c>
      <c r="X34" s="36">
        <f t="shared" si="26"/>
        <v>3</v>
      </c>
      <c r="Y34" s="36">
        <f t="shared" si="26"/>
        <v>4</v>
      </c>
      <c r="Z34" s="36">
        <f t="shared" si="26"/>
        <v>9</v>
      </c>
      <c r="AA34" s="36">
        <f t="shared" si="26"/>
        <v>6</v>
      </c>
      <c r="AB34" s="36">
        <f t="shared" si="26"/>
        <v>10</v>
      </c>
      <c r="AC34" s="36">
        <f t="shared" si="26"/>
        <v>0</v>
      </c>
      <c r="AD34" s="36">
        <f t="shared" si="26"/>
        <v>0</v>
      </c>
      <c r="AE34" s="37">
        <f t="shared" si="26"/>
        <v>42</v>
      </c>
      <c r="AF34" s="37">
        <f t="shared" si="26"/>
        <v>42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12</v>
      </c>
      <c r="T35" s="36">
        <f t="shared" si="27"/>
        <v>0</v>
      </c>
      <c r="U35" s="36">
        <f t="shared" si="27"/>
        <v>0</v>
      </c>
      <c r="V35" s="36">
        <f t="shared" si="27"/>
        <v>7</v>
      </c>
      <c r="W35" s="36">
        <f t="shared" si="27"/>
        <v>2</v>
      </c>
      <c r="X35" s="36">
        <f t="shared" si="27"/>
        <v>3</v>
      </c>
      <c r="Y35" s="36">
        <f t="shared" si="27"/>
        <v>6</v>
      </c>
      <c r="Z35" s="36">
        <f t="shared" si="27"/>
        <v>8</v>
      </c>
      <c r="AA35" s="36">
        <f t="shared" si="27"/>
        <v>2</v>
      </c>
      <c r="AB35" s="36">
        <f t="shared" si="27"/>
        <v>8</v>
      </c>
      <c r="AC35" s="36">
        <f t="shared" si="27"/>
        <v>0</v>
      </c>
      <c r="AD35" s="36">
        <f t="shared" si="27"/>
        <v>0</v>
      </c>
      <c r="AE35" s="37">
        <f t="shared" si="27"/>
        <v>34</v>
      </c>
      <c r="AF35" s="37">
        <f t="shared" si="27"/>
        <v>34</v>
      </c>
    </row>
    <row r="36" spans="2:32" ht="23.1" customHeight="1" x14ac:dyDescent="0.25">
      <c r="B36" s="43" t="s">
        <v>63</v>
      </c>
      <c r="C36" s="47">
        <v>5</v>
      </c>
      <c r="D36" s="47">
        <v>0</v>
      </c>
      <c r="E36" s="47">
        <v>0</v>
      </c>
      <c r="F36" s="47">
        <v>4</v>
      </c>
      <c r="G36" s="47">
        <v>1</v>
      </c>
      <c r="H36" s="47">
        <v>2</v>
      </c>
      <c r="I36" s="47">
        <v>2</v>
      </c>
      <c r="J36" s="47">
        <v>1</v>
      </c>
      <c r="K36" s="47">
        <v>2</v>
      </c>
      <c r="L36" s="47">
        <v>1</v>
      </c>
      <c r="M36" s="47">
        <v>0</v>
      </c>
      <c r="N36" s="47">
        <v>0</v>
      </c>
      <c r="O36" s="15">
        <f t="shared" si="0"/>
        <v>18</v>
      </c>
      <c r="P36" s="15">
        <f t="shared" si="1"/>
        <v>18</v>
      </c>
      <c r="R36" s="35" t="s">
        <v>92</v>
      </c>
      <c r="S36" s="36">
        <f t="shared" ref="S36:AF36" si="28">MAX(S19:S21)</f>
        <v>14</v>
      </c>
      <c r="T36" s="36">
        <f t="shared" si="28"/>
        <v>0</v>
      </c>
      <c r="U36" s="36">
        <f t="shared" si="28"/>
        <v>0</v>
      </c>
      <c r="V36" s="36">
        <f t="shared" si="28"/>
        <v>9</v>
      </c>
      <c r="W36" s="36">
        <f t="shared" si="28"/>
        <v>1</v>
      </c>
      <c r="X36" s="36">
        <f t="shared" si="28"/>
        <v>2</v>
      </c>
      <c r="Y36" s="36">
        <f t="shared" si="28"/>
        <v>4</v>
      </c>
      <c r="Z36" s="36">
        <f t="shared" si="28"/>
        <v>4</v>
      </c>
      <c r="AA36" s="36">
        <f t="shared" si="28"/>
        <v>4</v>
      </c>
      <c r="AB36" s="36">
        <f t="shared" si="28"/>
        <v>7</v>
      </c>
      <c r="AC36" s="36">
        <f t="shared" si="28"/>
        <v>0</v>
      </c>
      <c r="AD36" s="36">
        <f t="shared" si="28"/>
        <v>0</v>
      </c>
      <c r="AE36" s="37">
        <f t="shared" si="28"/>
        <v>36</v>
      </c>
      <c r="AF36" s="37">
        <f t="shared" si="28"/>
        <v>36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20</v>
      </c>
      <c r="T37" s="16">
        <f t="shared" si="29"/>
        <v>0</v>
      </c>
      <c r="U37" s="16">
        <f t="shared" si="29"/>
        <v>0</v>
      </c>
      <c r="V37" s="16">
        <f t="shared" si="29"/>
        <v>17</v>
      </c>
      <c r="W37" s="16">
        <f t="shared" si="29"/>
        <v>4</v>
      </c>
      <c r="X37" s="16">
        <f t="shared" si="29"/>
        <v>6</v>
      </c>
      <c r="Y37" s="16">
        <f t="shared" si="29"/>
        <v>9</v>
      </c>
      <c r="Z37" s="16">
        <f t="shared" si="29"/>
        <v>19</v>
      </c>
      <c r="AA37" s="16">
        <f t="shared" si="29"/>
        <v>13</v>
      </c>
      <c r="AB37" s="16">
        <f t="shared" si="29"/>
        <v>21</v>
      </c>
      <c r="AC37" s="16">
        <f t="shared" si="29"/>
        <v>0</v>
      </c>
      <c r="AD37" s="16">
        <f t="shared" si="29"/>
        <v>0</v>
      </c>
      <c r="AE37" s="29">
        <f t="shared" si="29"/>
        <v>109</v>
      </c>
      <c r="AF37" s="29">
        <f t="shared" si="29"/>
        <v>109</v>
      </c>
    </row>
    <row r="38" spans="2:32" ht="23.1" customHeight="1" x14ac:dyDescent="0.25">
      <c r="B38" s="43" t="s">
        <v>65</v>
      </c>
      <c r="C38" s="47">
        <v>3</v>
      </c>
      <c r="D38" s="47">
        <v>0</v>
      </c>
      <c r="E38" s="47">
        <v>0</v>
      </c>
      <c r="F38" s="47">
        <v>5</v>
      </c>
      <c r="G38" s="47">
        <v>0</v>
      </c>
      <c r="H38" s="47">
        <v>1</v>
      </c>
      <c r="I38" s="47">
        <v>3</v>
      </c>
      <c r="J38" s="47">
        <v>4</v>
      </c>
      <c r="K38" s="47">
        <v>0</v>
      </c>
      <c r="L38" s="47">
        <v>3</v>
      </c>
      <c r="M38" s="47">
        <v>0</v>
      </c>
      <c r="N38" s="47">
        <v>0</v>
      </c>
      <c r="O38" s="15">
        <f t="shared" si="0"/>
        <v>19</v>
      </c>
      <c r="P38" s="15">
        <f t="shared" si="1"/>
        <v>19</v>
      </c>
      <c r="R38" s="25" t="s">
        <v>86</v>
      </c>
      <c r="S38" s="16">
        <f t="shared" ref="S38:AF38" si="30">SUM(S13:S18)</f>
        <v>42</v>
      </c>
      <c r="T38" s="16">
        <f t="shared" si="30"/>
        <v>0</v>
      </c>
      <c r="U38" s="16">
        <f t="shared" si="30"/>
        <v>0</v>
      </c>
      <c r="V38" s="16">
        <f t="shared" si="30"/>
        <v>32</v>
      </c>
      <c r="W38" s="16">
        <f t="shared" si="30"/>
        <v>4</v>
      </c>
      <c r="X38" s="16">
        <f t="shared" si="30"/>
        <v>9</v>
      </c>
      <c r="Y38" s="16">
        <f t="shared" si="30"/>
        <v>11</v>
      </c>
      <c r="Z38" s="16">
        <f t="shared" si="30"/>
        <v>22</v>
      </c>
      <c r="AA38" s="16">
        <f t="shared" si="30"/>
        <v>8</v>
      </c>
      <c r="AB38" s="16">
        <f t="shared" si="30"/>
        <v>19</v>
      </c>
      <c r="AC38" s="16">
        <f t="shared" si="30"/>
        <v>0</v>
      </c>
      <c r="AD38" s="16">
        <f t="shared" si="30"/>
        <v>0</v>
      </c>
      <c r="AE38" s="29">
        <f t="shared" si="30"/>
        <v>147</v>
      </c>
      <c r="AF38" s="29">
        <f t="shared" si="30"/>
        <v>147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24</v>
      </c>
      <c r="T39" s="16">
        <f t="shared" si="31"/>
        <v>0</v>
      </c>
      <c r="U39" s="16">
        <f t="shared" si="31"/>
        <v>0</v>
      </c>
      <c r="V39" s="16">
        <f t="shared" si="31"/>
        <v>22</v>
      </c>
      <c r="W39" s="16">
        <f t="shared" si="31"/>
        <v>1</v>
      </c>
      <c r="X39" s="16">
        <f t="shared" si="31"/>
        <v>4</v>
      </c>
      <c r="Y39" s="16">
        <f t="shared" si="31"/>
        <v>6</v>
      </c>
      <c r="Z39" s="16">
        <f t="shared" si="31"/>
        <v>9</v>
      </c>
      <c r="AA39" s="16">
        <f t="shared" si="31"/>
        <v>8</v>
      </c>
      <c r="AB39" s="16">
        <f t="shared" si="31"/>
        <v>10</v>
      </c>
      <c r="AC39" s="16">
        <f t="shared" si="31"/>
        <v>0</v>
      </c>
      <c r="AD39" s="16">
        <f t="shared" si="31"/>
        <v>0</v>
      </c>
      <c r="AE39" s="29">
        <f t="shared" si="31"/>
        <v>84</v>
      </c>
      <c r="AF39" s="29">
        <f t="shared" si="31"/>
        <v>84</v>
      </c>
    </row>
    <row r="40" spans="2:32" ht="23.1" customHeight="1" x14ac:dyDescent="0.25">
      <c r="B40" s="43" t="s">
        <v>67</v>
      </c>
      <c r="C40" s="47">
        <v>0</v>
      </c>
      <c r="D40" s="47">
        <v>0</v>
      </c>
      <c r="E40" s="47">
        <v>0</v>
      </c>
      <c r="F40" s="47">
        <v>0</v>
      </c>
      <c r="G40" s="47">
        <v>0</v>
      </c>
      <c r="H40" s="47">
        <v>2</v>
      </c>
      <c r="I40" s="47">
        <v>3</v>
      </c>
      <c r="J40" s="47">
        <v>4</v>
      </c>
      <c r="K40" s="47">
        <v>2</v>
      </c>
      <c r="L40" s="47">
        <v>4</v>
      </c>
      <c r="M40" s="47">
        <v>0</v>
      </c>
      <c r="N40" s="47">
        <v>0</v>
      </c>
      <c r="O40" s="15">
        <f t="shared" si="0"/>
        <v>15</v>
      </c>
      <c r="P40" s="15">
        <f t="shared" si="1"/>
        <v>15</v>
      </c>
      <c r="R40" s="5" t="s">
        <v>17</v>
      </c>
      <c r="S40" s="16">
        <f t="shared" ref="S40:AF40" si="32">SUM(S10:S21)</f>
        <v>86</v>
      </c>
      <c r="T40" s="16">
        <f t="shared" si="32"/>
        <v>0</v>
      </c>
      <c r="U40" s="16">
        <f t="shared" si="32"/>
        <v>0</v>
      </c>
      <c r="V40" s="16">
        <f t="shared" si="32"/>
        <v>71</v>
      </c>
      <c r="W40" s="16">
        <f t="shared" si="32"/>
        <v>9</v>
      </c>
      <c r="X40" s="16">
        <f t="shared" si="32"/>
        <v>19</v>
      </c>
      <c r="Y40" s="16">
        <f t="shared" si="32"/>
        <v>26</v>
      </c>
      <c r="Z40" s="16">
        <f t="shared" si="32"/>
        <v>50</v>
      </c>
      <c r="AA40" s="16">
        <f t="shared" si="32"/>
        <v>29</v>
      </c>
      <c r="AB40" s="16">
        <f t="shared" si="32"/>
        <v>50</v>
      </c>
      <c r="AC40" s="16">
        <f t="shared" si="32"/>
        <v>0</v>
      </c>
      <c r="AD40" s="16">
        <f t="shared" si="32"/>
        <v>0</v>
      </c>
      <c r="AE40" s="29">
        <f t="shared" si="32"/>
        <v>340</v>
      </c>
      <c r="AF40" s="29">
        <f t="shared" si="32"/>
        <v>340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120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74</v>
      </c>
      <c r="W41" s="16">
        <f t="shared" si="33"/>
        <v>16</v>
      </c>
      <c r="X41" s="16">
        <f t="shared" si="33"/>
        <v>22</v>
      </c>
      <c r="Y41" s="16">
        <f t="shared" si="33"/>
        <v>27</v>
      </c>
      <c r="Z41" s="16">
        <f t="shared" si="33"/>
        <v>55</v>
      </c>
      <c r="AA41" s="16">
        <f t="shared" si="33"/>
        <v>36</v>
      </c>
      <c r="AB41" s="16">
        <f t="shared" si="33"/>
        <v>77</v>
      </c>
      <c r="AC41" s="16">
        <f t="shared" si="33"/>
        <v>0</v>
      </c>
      <c r="AD41" s="16">
        <f t="shared" si="33"/>
        <v>0</v>
      </c>
      <c r="AE41" s="29">
        <f t="shared" si="33"/>
        <v>427</v>
      </c>
      <c r="AF41" s="29">
        <f t="shared" si="33"/>
        <v>427</v>
      </c>
    </row>
    <row r="42" spans="2:32" ht="23.1" customHeight="1" x14ac:dyDescent="0.25">
      <c r="B42" s="43" t="s">
        <v>69</v>
      </c>
      <c r="C42" s="47">
        <v>5</v>
      </c>
      <c r="D42" s="47">
        <v>0</v>
      </c>
      <c r="E42" s="47">
        <v>0</v>
      </c>
      <c r="F42" s="47">
        <v>3</v>
      </c>
      <c r="G42" s="47">
        <v>0</v>
      </c>
      <c r="H42" s="47">
        <v>1</v>
      </c>
      <c r="I42" s="47">
        <v>0</v>
      </c>
      <c r="J42" s="47">
        <v>1</v>
      </c>
      <c r="K42" s="47">
        <v>1</v>
      </c>
      <c r="L42" s="47">
        <v>0</v>
      </c>
      <c r="M42" s="47">
        <v>0</v>
      </c>
      <c r="N42" s="47">
        <v>0</v>
      </c>
      <c r="O42" s="15">
        <f t="shared" si="0"/>
        <v>11</v>
      </c>
      <c r="P42" s="15">
        <f t="shared" si="1"/>
        <v>11</v>
      </c>
      <c r="R42" s="5" t="s">
        <v>160</v>
      </c>
      <c r="S42" s="45">
        <f>S41/S40</f>
        <v>1.3953488372093024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1.0422535211267605</v>
      </c>
      <c r="W42" s="45">
        <f t="shared" si="34"/>
        <v>1.7777777777777777</v>
      </c>
      <c r="X42" s="45">
        <f t="shared" si="34"/>
        <v>1.1578947368421053</v>
      </c>
      <c r="Y42" s="45">
        <f t="shared" si="34"/>
        <v>1.0384615384615385</v>
      </c>
      <c r="Z42" s="45">
        <f t="shared" si="34"/>
        <v>1.1000000000000001</v>
      </c>
      <c r="AA42" s="45">
        <f t="shared" si="34"/>
        <v>1.2413793103448276</v>
      </c>
      <c r="AB42" s="45">
        <f t="shared" si="34"/>
        <v>1.54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1.2558823529411764</v>
      </c>
      <c r="AF42" s="45">
        <f t="shared" si="34"/>
        <v>1.2558823529411764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0</v>
      </c>
      <c r="D44" s="47">
        <v>0</v>
      </c>
      <c r="E44" s="47">
        <v>0</v>
      </c>
      <c r="F44" s="47">
        <v>2</v>
      </c>
      <c r="G44" s="47">
        <v>0</v>
      </c>
      <c r="H44" s="47">
        <v>1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O44" s="15">
        <f t="shared" si="0"/>
        <v>3</v>
      </c>
      <c r="P44" s="15">
        <f t="shared" si="1"/>
        <v>3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0</v>
      </c>
      <c r="D46" s="47">
        <v>0</v>
      </c>
      <c r="E46" s="47">
        <v>0</v>
      </c>
      <c r="F46" s="47">
        <v>4</v>
      </c>
      <c r="G46" s="47">
        <v>0</v>
      </c>
      <c r="H46" s="47">
        <v>0</v>
      </c>
      <c r="I46" s="47">
        <v>0</v>
      </c>
      <c r="J46" s="47">
        <v>1</v>
      </c>
      <c r="K46" s="47">
        <v>2</v>
      </c>
      <c r="L46" s="47">
        <v>1</v>
      </c>
      <c r="M46" s="47">
        <v>0</v>
      </c>
      <c r="N46" s="47">
        <v>0</v>
      </c>
      <c r="O46" s="15">
        <f t="shared" si="0"/>
        <v>8</v>
      </c>
      <c r="P46" s="15">
        <f t="shared" si="1"/>
        <v>8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5</v>
      </c>
      <c r="D48" s="47">
        <v>0</v>
      </c>
      <c r="E48" s="47">
        <v>0</v>
      </c>
      <c r="F48" s="47">
        <v>3</v>
      </c>
      <c r="G48" s="47">
        <v>0</v>
      </c>
      <c r="H48" s="47">
        <v>0</v>
      </c>
      <c r="I48" s="47">
        <v>0</v>
      </c>
      <c r="J48" s="47">
        <v>1</v>
      </c>
      <c r="K48" s="47">
        <v>1</v>
      </c>
      <c r="L48" s="47">
        <v>0</v>
      </c>
      <c r="M48" s="47">
        <v>0</v>
      </c>
      <c r="N48" s="47">
        <v>0</v>
      </c>
      <c r="O48" s="15">
        <f t="shared" si="0"/>
        <v>10</v>
      </c>
      <c r="P48" s="15">
        <f t="shared" si="1"/>
        <v>10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8</v>
      </c>
      <c r="D50" s="47">
        <v>0</v>
      </c>
      <c r="E50" s="47">
        <v>0</v>
      </c>
      <c r="F50" s="47">
        <v>6</v>
      </c>
      <c r="G50" s="47">
        <v>0</v>
      </c>
      <c r="H50" s="47">
        <v>2</v>
      </c>
      <c r="I50" s="47">
        <v>0</v>
      </c>
      <c r="J50" s="47">
        <v>2</v>
      </c>
      <c r="K50" s="47">
        <v>1</v>
      </c>
      <c r="L50" s="47">
        <v>0</v>
      </c>
      <c r="M50" s="47">
        <v>0</v>
      </c>
      <c r="N50" s="47">
        <v>0</v>
      </c>
      <c r="O50" s="15">
        <f t="shared" si="0"/>
        <v>19</v>
      </c>
      <c r="P50" s="15">
        <f t="shared" si="1"/>
        <v>19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6</v>
      </c>
      <c r="D52" s="47">
        <v>0</v>
      </c>
      <c r="E52" s="47">
        <v>0</v>
      </c>
      <c r="F52" s="47">
        <v>3</v>
      </c>
      <c r="G52" s="47">
        <v>0</v>
      </c>
      <c r="H52" s="47">
        <v>0</v>
      </c>
      <c r="I52" s="47">
        <v>2</v>
      </c>
      <c r="J52" s="47">
        <v>1</v>
      </c>
      <c r="K52" s="47">
        <v>3</v>
      </c>
      <c r="L52" s="47">
        <v>2</v>
      </c>
      <c r="M52" s="47">
        <v>0</v>
      </c>
      <c r="N52" s="47">
        <v>0</v>
      </c>
      <c r="O52" s="15">
        <f t="shared" si="0"/>
        <v>17</v>
      </c>
      <c r="P52" s="15">
        <f t="shared" si="1"/>
        <v>17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2</v>
      </c>
      <c r="D54" s="47">
        <v>0</v>
      </c>
      <c r="E54" s="47">
        <v>0</v>
      </c>
      <c r="F54" s="47">
        <v>4</v>
      </c>
      <c r="G54" s="47">
        <v>0</v>
      </c>
      <c r="H54" s="47">
        <v>1</v>
      </c>
      <c r="I54" s="47">
        <v>2</v>
      </c>
      <c r="J54" s="47">
        <v>3</v>
      </c>
      <c r="K54" s="47">
        <v>1</v>
      </c>
      <c r="L54" s="47">
        <v>5</v>
      </c>
      <c r="M54" s="47">
        <v>0</v>
      </c>
      <c r="N54" s="47">
        <v>0</v>
      </c>
      <c r="O54" s="15">
        <f t="shared" si="0"/>
        <v>18</v>
      </c>
      <c r="P54" s="15">
        <f t="shared" si="1"/>
        <v>18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3</v>
      </c>
      <c r="D56" s="47">
        <v>0</v>
      </c>
      <c r="E56" s="47">
        <v>0</v>
      </c>
      <c r="F56" s="47">
        <v>2</v>
      </c>
      <c r="G56" s="47">
        <v>1</v>
      </c>
      <c r="H56" s="47">
        <v>1</v>
      </c>
      <c r="I56" s="47">
        <v>2</v>
      </c>
      <c r="J56" s="47">
        <v>1</v>
      </c>
      <c r="K56" s="47">
        <v>0</v>
      </c>
      <c r="L56" s="47">
        <v>2</v>
      </c>
      <c r="M56" s="47">
        <v>0</v>
      </c>
      <c r="N56" s="47">
        <v>0</v>
      </c>
      <c r="O56" s="15">
        <f t="shared" si="0"/>
        <v>12</v>
      </c>
      <c r="P56" s="15">
        <f t="shared" si="1"/>
        <v>12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3</v>
      </c>
      <c r="D58" s="47">
        <v>0</v>
      </c>
      <c r="E58" s="47">
        <v>0</v>
      </c>
      <c r="F58" s="47">
        <v>0</v>
      </c>
      <c r="G58" s="47">
        <v>0</v>
      </c>
      <c r="H58" s="47">
        <v>0</v>
      </c>
      <c r="I58" s="47">
        <v>1</v>
      </c>
      <c r="J58" s="47">
        <v>0</v>
      </c>
      <c r="K58" s="47">
        <v>0</v>
      </c>
      <c r="L58" s="47">
        <v>3</v>
      </c>
      <c r="M58" s="47">
        <v>0</v>
      </c>
      <c r="N58" s="47">
        <v>0</v>
      </c>
      <c r="O58" s="15">
        <f t="shared" si="0"/>
        <v>7</v>
      </c>
      <c r="P58" s="15">
        <f t="shared" si="1"/>
        <v>7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6</v>
      </c>
      <c r="D60" s="47">
        <v>0</v>
      </c>
      <c r="E60" s="47">
        <v>0</v>
      </c>
      <c r="F60" s="47">
        <v>2</v>
      </c>
      <c r="G60" s="47">
        <v>0</v>
      </c>
      <c r="H60" s="47">
        <v>2</v>
      </c>
      <c r="I60" s="47">
        <v>0</v>
      </c>
      <c r="J60" s="47">
        <v>0</v>
      </c>
      <c r="K60" s="47">
        <v>1</v>
      </c>
      <c r="L60" s="47">
        <v>3</v>
      </c>
      <c r="M60" s="47">
        <v>0</v>
      </c>
      <c r="N60" s="47">
        <v>0</v>
      </c>
      <c r="O60" s="15">
        <f t="shared" si="0"/>
        <v>14</v>
      </c>
      <c r="P60" s="15">
        <f t="shared" si="1"/>
        <v>14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4</v>
      </c>
      <c r="D62" s="47">
        <v>0</v>
      </c>
      <c r="E62" s="47">
        <v>0</v>
      </c>
      <c r="F62" s="47">
        <v>0</v>
      </c>
      <c r="G62" s="47">
        <v>0</v>
      </c>
      <c r="H62" s="47">
        <v>0</v>
      </c>
      <c r="I62" s="47">
        <v>0</v>
      </c>
      <c r="J62" s="47">
        <v>2</v>
      </c>
      <c r="K62" s="47">
        <v>0</v>
      </c>
      <c r="L62" s="47">
        <v>2</v>
      </c>
      <c r="M62" s="47">
        <v>0</v>
      </c>
      <c r="N62" s="47">
        <v>0</v>
      </c>
      <c r="O62" s="15">
        <f t="shared" si="0"/>
        <v>8</v>
      </c>
      <c r="P62" s="15">
        <f t="shared" si="1"/>
        <v>8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8</v>
      </c>
      <c r="D64" s="47">
        <v>0</v>
      </c>
      <c r="E64" s="47">
        <v>0</v>
      </c>
      <c r="F64" s="47">
        <v>1</v>
      </c>
      <c r="G64" s="47">
        <v>1</v>
      </c>
      <c r="H64" s="47">
        <v>0</v>
      </c>
      <c r="I64" s="47">
        <v>0</v>
      </c>
      <c r="J64" s="47">
        <v>0</v>
      </c>
      <c r="K64" s="47">
        <v>0</v>
      </c>
      <c r="L64" s="47">
        <v>0</v>
      </c>
      <c r="M64" s="47">
        <v>0</v>
      </c>
      <c r="N64" s="47">
        <v>0</v>
      </c>
      <c r="O64" s="15">
        <f t="shared" si="0"/>
        <v>10</v>
      </c>
      <c r="P64" s="15">
        <f t="shared" si="1"/>
        <v>10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2</v>
      </c>
      <c r="D66" s="47">
        <v>0</v>
      </c>
      <c r="E66" s="47">
        <v>0</v>
      </c>
      <c r="F66" s="47">
        <v>0</v>
      </c>
      <c r="G66" s="47">
        <v>0</v>
      </c>
      <c r="H66" s="47">
        <v>0</v>
      </c>
      <c r="I66" s="47">
        <v>0</v>
      </c>
      <c r="J66" s="47">
        <v>2</v>
      </c>
      <c r="K66" s="47">
        <v>1</v>
      </c>
      <c r="L66" s="47">
        <v>0</v>
      </c>
      <c r="M66" s="47">
        <v>0</v>
      </c>
      <c r="N66" s="47">
        <v>0</v>
      </c>
      <c r="O66" s="15">
        <f t="shared" si="0"/>
        <v>5</v>
      </c>
      <c r="P66" s="15">
        <f t="shared" si="1"/>
        <v>5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0</v>
      </c>
      <c r="D68" s="47">
        <v>0</v>
      </c>
      <c r="E68" s="47">
        <v>0</v>
      </c>
      <c r="F68" s="47">
        <v>0</v>
      </c>
      <c r="G68" s="47">
        <v>1</v>
      </c>
      <c r="H68" s="47">
        <v>0</v>
      </c>
      <c r="I68" s="47">
        <v>0</v>
      </c>
      <c r="J68" s="47">
        <v>0</v>
      </c>
      <c r="K68" s="47">
        <v>0</v>
      </c>
      <c r="L68" s="47">
        <v>4</v>
      </c>
      <c r="M68" s="47">
        <v>0</v>
      </c>
      <c r="N68" s="47">
        <v>0</v>
      </c>
      <c r="O68" s="15">
        <f t="shared" si="0"/>
        <v>5</v>
      </c>
      <c r="P68" s="15">
        <f t="shared" si="1"/>
        <v>5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4</v>
      </c>
      <c r="D70" s="47">
        <v>0</v>
      </c>
      <c r="E70" s="47">
        <v>0</v>
      </c>
      <c r="F70" s="47">
        <v>0</v>
      </c>
      <c r="G70" s="47">
        <v>0</v>
      </c>
      <c r="H70" s="47">
        <v>0</v>
      </c>
      <c r="I70" s="47">
        <v>0</v>
      </c>
      <c r="J70" s="47">
        <v>0</v>
      </c>
      <c r="K70" s="47">
        <v>0</v>
      </c>
      <c r="L70" s="47">
        <v>0</v>
      </c>
      <c r="M70" s="47">
        <v>0</v>
      </c>
      <c r="N70" s="47">
        <v>0</v>
      </c>
      <c r="O70" s="15">
        <f t="shared" si="0"/>
        <v>4</v>
      </c>
      <c r="P70" s="15">
        <f t="shared" si="1"/>
        <v>4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0</v>
      </c>
      <c r="D72" s="47">
        <v>0</v>
      </c>
      <c r="E72" s="47">
        <v>0</v>
      </c>
      <c r="F72" s="47">
        <v>0</v>
      </c>
      <c r="G72" s="47">
        <v>0</v>
      </c>
      <c r="H72" s="47">
        <v>0</v>
      </c>
      <c r="I72" s="47">
        <v>0</v>
      </c>
      <c r="J72" s="47">
        <v>0</v>
      </c>
      <c r="K72" s="47">
        <v>0</v>
      </c>
      <c r="L72" s="47">
        <v>4</v>
      </c>
      <c r="M72" s="47">
        <v>0</v>
      </c>
      <c r="N72" s="47">
        <v>0</v>
      </c>
      <c r="O72" s="15">
        <f t="shared" si="0"/>
        <v>4</v>
      </c>
      <c r="P72" s="15">
        <f t="shared" si="1"/>
        <v>4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2</v>
      </c>
      <c r="D74" s="47">
        <v>0</v>
      </c>
      <c r="E74" s="47">
        <v>0</v>
      </c>
      <c r="F74" s="47">
        <v>0</v>
      </c>
      <c r="G74" s="47">
        <v>0</v>
      </c>
      <c r="H74" s="47">
        <v>0</v>
      </c>
      <c r="I74" s="47">
        <v>0</v>
      </c>
      <c r="J74" s="47">
        <v>0</v>
      </c>
      <c r="K74" s="47">
        <v>0</v>
      </c>
      <c r="L74" s="47">
        <v>0</v>
      </c>
      <c r="M74" s="47">
        <v>0</v>
      </c>
      <c r="N74" s="47"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0</v>
      </c>
      <c r="D76" s="47">
        <v>0</v>
      </c>
      <c r="E76" s="47">
        <v>0</v>
      </c>
      <c r="F76" s="47">
        <v>0</v>
      </c>
      <c r="G76" s="47">
        <v>0</v>
      </c>
      <c r="H76" s="47">
        <v>0</v>
      </c>
      <c r="I76" s="47">
        <v>0</v>
      </c>
      <c r="J76" s="47">
        <v>0</v>
      </c>
      <c r="K76" s="47">
        <v>0</v>
      </c>
      <c r="L76" s="47">
        <v>1</v>
      </c>
      <c r="M76" s="47">
        <v>0</v>
      </c>
      <c r="N76" s="47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  <c r="K78" s="47">
        <v>0</v>
      </c>
      <c r="L78" s="47">
        <v>0</v>
      </c>
      <c r="M78" s="47">
        <v>0</v>
      </c>
      <c r="N78" s="47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0</v>
      </c>
      <c r="D80" s="47">
        <v>0</v>
      </c>
      <c r="E80" s="47">
        <v>0</v>
      </c>
      <c r="F80" s="47">
        <v>0</v>
      </c>
      <c r="G80" s="47">
        <v>1</v>
      </c>
      <c r="H80" s="47">
        <v>0</v>
      </c>
      <c r="I80" s="47">
        <v>0</v>
      </c>
      <c r="J80" s="47">
        <v>0</v>
      </c>
      <c r="K80" s="47">
        <v>0</v>
      </c>
      <c r="L80" s="47">
        <v>1</v>
      </c>
      <c r="M80" s="47">
        <v>0</v>
      </c>
      <c r="N80" s="47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0</v>
      </c>
      <c r="D82" s="47">
        <v>0</v>
      </c>
      <c r="E82" s="47">
        <v>0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1</v>
      </c>
      <c r="L82" s="47">
        <v>0</v>
      </c>
      <c r="M82" s="47">
        <v>0</v>
      </c>
      <c r="N82" s="47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0</v>
      </c>
      <c r="D86" s="47">
        <v>0</v>
      </c>
      <c r="E86" s="47">
        <v>0</v>
      </c>
      <c r="F86" s="47">
        <v>0</v>
      </c>
      <c r="G86" s="47">
        <v>0</v>
      </c>
      <c r="H86" s="47">
        <v>0</v>
      </c>
      <c r="I86" s="47">
        <v>0</v>
      </c>
      <c r="J86" s="47">
        <v>1</v>
      </c>
      <c r="K86" s="47">
        <v>0</v>
      </c>
      <c r="L86" s="47">
        <v>0</v>
      </c>
      <c r="M86" s="47">
        <v>0</v>
      </c>
      <c r="N86" s="47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0</v>
      </c>
      <c r="D88" s="47">
        <v>0</v>
      </c>
      <c r="E88" s="47">
        <v>0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2</v>
      </c>
      <c r="M88" s="47">
        <v>0</v>
      </c>
      <c r="N88" s="47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0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0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0</v>
      </c>
      <c r="D100" s="47">
        <v>0</v>
      </c>
      <c r="E100" s="47">
        <v>0</v>
      </c>
      <c r="F100" s="47">
        <v>0</v>
      </c>
      <c r="G100" s="47">
        <v>0</v>
      </c>
      <c r="H100" s="47">
        <v>0</v>
      </c>
      <c r="I100" s="47">
        <v>0</v>
      </c>
      <c r="J100" s="47">
        <v>0</v>
      </c>
      <c r="K100" s="47">
        <v>0</v>
      </c>
      <c r="L100" s="47">
        <v>0</v>
      </c>
      <c r="M100" s="47">
        <v>0</v>
      </c>
      <c r="N100" s="47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0</v>
      </c>
      <c r="D102" s="47">
        <v>0</v>
      </c>
      <c r="E102" s="47">
        <v>0</v>
      </c>
      <c r="F102" s="47">
        <v>0</v>
      </c>
      <c r="G102" s="47">
        <v>2</v>
      </c>
      <c r="H102" s="47">
        <v>1</v>
      </c>
      <c r="I102" s="47">
        <v>0</v>
      </c>
      <c r="J102" s="47">
        <v>0</v>
      </c>
      <c r="K102" s="47">
        <v>3</v>
      </c>
      <c r="L102" s="47">
        <v>2</v>
      </c>
      <c r="M102" s="47">
        <v>0</v>
      </c>
      <c r="N102" s="47">
        <v>0</v>
      </c>
      <c r="O102" s="15">
        <f t="shared" si="35"/>
        <v>8</v>
      </c>
      <c r="P102" s="15">
        <f t="shared" si="36"/>
        <v>8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5</v>
      </c>
      <c r="D104" s="47">
        <v>0</v>
      </c>
      <c r="E104" s="47">
        <v>0</v>
      </c>
      <c r="F104" s="47">
        <v>0</v>
      </c>
      <c r="G104" s="47">
        <v>2</v>
      </c>
      <c r="H104" s="47">
        <v>0</v>
      </c>
      <c r="I104" s="47">
        <v>0</v>
      </c>
      <c r="J104" s="47">
        <v>0</v>
      </c>
      <c r="K104" s="47">
        <v>1</v>
      </c>
      <c r="L104" s="47">
        <v>5</v>
      </c>
      <c r="M104" s="47">
        <v>0</v>
      </c>
      <c r="N104" s="47">
        <v>0</v>
      </c>
      <c r="O104" s="15">
        <f t="shared" si="35"/>
        <v>13</v>
      </c>
      <c r="P104" s="15">
        <f t="shared" si="36"/>
        <v>13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120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74</v>
      </c>
      <c r="G106" s="16">
        <f t="shared" si="37"/>
        <v>16</v>
      </c>
      <c r="H106" s="16">
        <f t="shared" si="37"/>
        <v>22</v>
      </c>
      <c r="I106" s="16">
        <f t="shared" si="37"/>
        <v>27</v>
      </c>
      <c r="J106" s="16">
        <f t="shared" si="37"/>
        <v>55</v>
      </c>
      <c r="K106" s="16">
        <f t="shared" si="37"/>
        <v>36</v>
      </c>
      <c r="L106" s="47">
        <v>77</v>
      </c>
      <c r="M106" s="16">
        <f t="shared" si="37"/>
        <v>0</v>
      </c>
      <c r="N106" s="16">
        <f t="shared" si="37"/>
        <v>0</v>
      </c>
      <c r="O106" s="16">
        <f t="shared" si="37"/>
        <v>427</v>
      </c>
      <c r="P106" s="16">
        <f t="shared" si="37"/>
        <v>427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0.28103044496487117</v>
      </c>
      <c r="D107" s="40">
        <f t="shared" si="38"/>
        <v>0</v>
      </c>
      <c r="E107" s="40">
        <f t="shared" si="38"/>
        <v>0</v>
      </c>
      <c r="F107" s="40">
        <f t="shared" si="38"/>
        <v>0.17330210772833723</v>
      </c>
      <c r="G107" s="40">
        <f t="shared" si="38"/>
        <v>3.7470725995316159E-2</v>
      </c>
      <c r="H107" s="40">
        <f t="shared" si="38"/>
        <v>5.1522248243559721E-2</v>
      </c>
      <c r="I107" s="40">
        <f t="shared" si="38"/>
        <v>6.323185011709602E-2</v>
      </c>
      <c r="J107" s="40">
        <f t="shared" si="38"/>
        <v>0.1288056206088993</v>
      </c>
      <c r="K107" s="40">
        <f t="shared" si="38"/>
        <v>8.4309133489461355E-2</v>
      </c>
      <c r="L107" s="47">
        <v>0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0.28103044496487117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0.17330210772833723</v>
      </c>
      <c r="G108" s="41">
        <f t="shared" si="39"/>
        <v>3.7470725995316159E-2</v>
      </c>
      <c r="H108" s="41">
        <f t="shared" si="39"/>
        <v>5.1522248243559721E-2</v>
      </c>
      <c r="I108" s="41">
        <f t="shared" si="39"/>
        <v>6.323185011709602E-2</v>
      </c>
      <c r="J108" s="41">
        <f t="shared" si="39"/>
        <v>0.1288056206088993</v>
      </c>
      <c r="K108" s="41">
        <f t="shared" si="39"/>
        <v>8.4309133489461355E-2</v>
      </c>
      <c r="L108" s="47">
        <v>0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91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33" t="str">
        <f>'27.05 Kampala-Mutukula-24h'!D5</f>
        <v>27.05.15</v>
      </c>
      <c r="E5" s="3"/>
      <c r="F5" s="38" t="s">
        <v>1</v>
      </c>
      <c r="G5" s="58" t="e">
        <f>'26.05 Kampala-Mutukula-24h'!G5:H5</f>
        <v>#REF!</v>
      </c>
      <c r="H5" s="59"/>
      <c r="I5" s="14"/>
      <c r="J5" s="2" t="s">
        <v>5</v>
      </c>
      <c r="K5" s="58" t="str">
        <f>'26.05 Kampala-Mutukula-24h'!K5:L5</f>
        <v>xxxx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Mutukula-Kampala-24h'!D6:E6</f>
        <v>Mutukula</v>
      </c>
      <c r="E6" s="59"/>
      <c r="F6" s="2" t="s">
        <v>2</v>
      </c>
      <c r="G6" s="58" t="str">
        <f>'25.05 Mutukula-Kampala-24h'!G6:H6</f>
        <v>Kampala</v>
      </c>
      <c r="H6" s="59"/>
      <c r="J6" s="2" t="s">
        <v>21</v>
      </c>
      <c r="K6" s="58" t="str">
        <f>'26.05 Kampala-Mutukula-24h'!K6:L6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42" t="s">
        <v>37</v>
      </c>
      <c r="C10" s="47">
        <v>3</v>
      </c>
      <c r="D10" s="47">
        <v>0</v>
      </c>
      <c r="E10" s="47">
        <v>0</v>
      </c>
      <c r="F10" s="47">
        <v>2</v>
      </c>
      <c r="G10" s="47">
        <v>0</v>
      </c>
      <c r="H10" s="47">
        <v>0</v>
      </c>
      <c r="I10" s="47">
        <v>0</v>
      </c>
      <c r="J10" s="47">
        <v>2</v>
      </c>
      <c r="K10" s="47">
        <v>3</v>
      </c>
      <c r="L10" s="47">
        <v>4</v>
      </c>
      <c r="M10" s="47">
        <v>0</v>
      </c>
      <c r="N10" s="47">
        <v>0</v>
      </c>
      <c r="O10" s="15">
        <f t="shared" ref="O10:O73" si="0">SUM(C10:L10,N10)</f>
        <v>14</v>
      </c>
      <c r="P10" s="15">
        <f t="shared" ref="P10:P73" si="1">SUM(C10:N10)</f>
        <v>14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3</v>
      </c>
      <c r="AB10" s="17">
        <f t="shared" si="2"/>
        <v>4</v>
      </c>
      <c r="AC10" s="17">
        <f t="shared" si="2"/>
        <v>0</v>
      </c>
      <c r="AD10" s="17">
        <f t="shared" si="2"/>
        <v>0</v>
      </c>
      <c r="AE10" s="28">
        <f t="shared" si="2"/>
        <v>17</v>
      </c>
      <c r="AF10" s="28">
        <f t="shared" si="2"/>
        <v>17</v>
      </c>
    </row>
    <row r="11" spans="2:32" s="6" customFormat="1" ht="23.1" customHeight="1" x14ac:dyDescent="0.25">
      <c r="B11" s="42" t="s">
        <v>38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10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28">
        <f t="shared" si="3"/>
        <v>14</v>
      </c>
      <c r="AF11" s="28">
        <f t="shared" si="3"/>
        <v>14</v>
      </c>
    </row>
    <row r="12" spans="2:32" ht="23.1" customHeight="1" x14ac:dyDescent="0.25">
      <c r="B12" s="42" t="s">
        <v>39</v>
      </c>
      <c r="C12" s="47">
        <v>3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0</v>
      </c>
      <c r="V12" s="17">
        <f t="shared" si="4"/>
        <v>5</v>
      </c>
      <c r="W12" s="17">
        <f t="shared" si="4"/>
        <v>1</v>
      </c>
      <c r="X12" s="17">
        <f t="shared" si="4"/>
        <v>1</v>
      </c>
      <c r="Y12" s="17">
        <f t="shared" si="4"/>
        <v>3</v>
      </c>
      <c r="Z12" s="17">
        <f t="shared" si="4"/>
        <v>5</v>
      </c>
      <c r="AA12" s="17">
        <f t="shared" si="4"/>
        <v>4</v>
      </c>
      <c r="AB12" s="17">
        <f t="shared" si="4"/>
        <v>10</v>
      </c>
      <c r="AC12" s="17">
        <f t="shared" si="4"/>
        <v>0</v>
      </c>
      <c r="AD12" s="17">
        <f t="shared" si="4"/>
        <v>0</v>
      </c>
      <c r="AE12" s="28">
        <f t="shared" si="4"/>
        <v>35</v>
      </c>
      <c r="AF12" s="28">
        <f t="shared" si="4"/>
        <v>35</v>
      </c>
    </row>
    <row r="13" spans="2:32" ht="23.1" customHeight="1" x14ac:dyDescent="0.25">
      <c r="B13" s="42" t="s">
        <v>40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0</v>
      </c>
      <c r="V13" s="17">
        <f t="shared" si="5"/>
        <v>7</v>
      </c>
      <c r="W13" s="17">
        <f t="shared" si="5"/>
        <v>0</v>
      </c>
      <c r="X13" s="17">
        <f t="shared" si="5"/>
        <v>2</v>
      </c>
      <c r="Y13" s="17">
        <f t="shared" si="5"/>
        <v>1</v>
      </c>
      <c r="Z13" s="17">
        <f t="shared" si="5"/>
        <v>6</v>
      </c>
      <c r="AA13" s="17">
        <f t="shared" si="5"/>
        <v>2</v>
      </c>
      <c r="AB13" s="17">
        <f t="shared" si="5"/>
        <v>2</v>
      </c>
      <c r="AC13" s="17">
        <f t="shared" si="5"/>
        <v>0</v>
      </c>
      <c r="AD13" s="17">
        <f t="shared" si="5"/>
        <v>0</v>
      </c>
      <c r="AE13" s="28">
        <f t="shared" si="5"/>
        <v>28</v>
      </c>
      <c r="AF13" s="28">
        <f t="shared" si="5"/>
        <v>28</v>
      </c>
    </row>
    <row r="14" spans="2:32" ht="23.1" customHeight="1" x14ac:dyDescent="0.25">
      <c r="B14" s="42" t="s">
        <v>41</v>
      </c>
      <c r="C14" s="47">
        <v>5</v>
      </c>
      <c r="D14" s="47">
        <v>0</v>
      </c>
      <c r="E14" s="47">
        <v>0</v>
      </c>
      <c r="F14" s="47">
        <v>2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0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0</v>
      </c>
      <c r="AD14" s="17">
        <f t="shared" si="6"/>
        <v>0</v>
      </c>
      <c r="AE14" s="28">
        <f t="shared" si="6"/>
        <v>19</v>
      </c>
      <c r="AF14" s="28">
        <f t="shared" si="6"/>
        <v>19</v>
      </c>
    </row>
    <row r="15" spans="2:32" ht="23.1" customHeight="1" x14ac:dyDescent="0.25">
      <c r="B15" s="42" t="s">
        <v>42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3</v>
      </c>
      <c r="AC15" s="17">
        <f t="shared" si="7"/>
        <v>0</v>
      </c>
      <c r="AD15" s="17">
        <f t="shared" si="7"/>
        <v>0</v>
      </c>
      <c r="AE15" s="28">
        <f t="shared" si="7"/>
        <v>21</v>
      </c>
      <c r="AF15" s="28">
        <f t="shared" si="7"/>
        <v>21</v>
      </c>
    </row>
    <row r="16" spans="2:32" ht="23.1" customHeight="1" x14ac:dyDescent="0.25">
      <c r="B16" s="42" t="s">
        <v>43</v>
      </c>
      <c r="C16" s="47">
        <v>5</v>
      </c>
      <c r="D16" s="47">
        <v>0</v>
      </c>
      <c r="E16" s="47">
        <v>0</v>
      </c>
      <c r="F16" s="47">
        <v>1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1</v>
      </c>
      <c r="M16" s="47">
        <v>0</v>
      </c>
      <c r="N16" s="47">
        <v>0</v>
      </c>
      <c r="O16" s="15">
        <f t="shared" si="0"/>
        <v>7</v>
      </c>
      <c r="P16" s="15">
        <f t="shared" si="1"/>
        <v>7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7</v>
      </c>
      <c r="W16" s="17">
        <f t="shared" si="8"/>
        <v>2</v>
      </c>
      <c r="X16" s="17">
        <f t="shared" si="8"/>
        <v>0</v>
      </c>
      <c r="Y16" s="17">
        <f t="shared" si="8"/>
        <v>3</v>
      </c>
      <c r="Z16" s="17">
        <f t="shared" si="8"/>
        <v>2</v>
      </c>
      <c r="AA16" s="17">
        <f t="shared" si="8"/>
        <v>0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28">
        <f t="shared" si="8"/>
        <v>24</v>
      </c>
      <c r="AF16" s="28">
        <f t="shared" si="8"/>
        <v>24</v>
      </c>
    </row>
    <row r="17" spans="2:32" ht="23.1" customHeight="1" x14ac:dyDescent="0.25">
      <c r="B17" s="42" t="s">
        <v>44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0</v>
      </c>
      <c r="V17" s="17">
        <f t="shared" si="9"/>
        <v>5</v>
      </c>
      <c r="W17" s="17">
        <f t="shared" si="9"/>
        <v>1</v>
      </c>
      <c r="X17" s="17">
        <f t="shared" si="9"/>
        <v>2</v>
      </c>
      <c r="Y17" s="17">
        <f t="shared" si="9"/>
        <v>3</v>
      </c>
      <c r="Z17" s="17">
        <f t="shared" si="9"/>
        <v>3</v>
      </c>
      <c r="AA17" s="17">
        <f t="shared" si="9"/>
        <v>6</v>
      </c>
      <c r="AB17" s="17">
        <f t="shared" si="9"/>
        <v>5</v>
      </c>
      <c r="AC17" s="17">
        <f t="shared" si="9"/>
        <v>0</v>
      </c>
      <c r="AD17" s="17">
        <f t="shared" si="9"/>
        <v>0</v>
      </c>
      <c r="AE17" s="28">
        <f t="shared" si="9"/>
        <v>34</v>
      </c>
      <c r="AF17" s="28">
        <f t="shared" si="9"/>
        <v>34</v>
      </c>
    </row>
    <row r="18" spans="2:32" ht="23.1" customHeight="1" x14ac:dyDescent="0.25">
      <c r="B18" s="42" t="s">
        <v>45</v>
      </c>
      <c r="C18" s="47">
        <v>2</v>
      </c>
      <c r="D18" s="47">
        <v>0</v>
      </c>
      <c r="E18" s="47">
        <v>0</v>
      </c>
      <c r="F18" s="47">
        <v>3</v>
      </c>
      <c r="G18" s="47">
        <v>1</v>
      </c>
      <c r="H18" s="47">
        <v>1</v>
      </c>
      <c r="I18" s="47">
        <v>2</v>
      </c>
      <c r="J18" s="47">
        <v>4</v>
      </c>
      <c r="K18" s="47">
        <v>3</v>
      </c>
      <c r="L18" s="47">
        <v>7</v>
      </c>
      <c r="M18" s="47">
        <v>0</v>
      </c>
      <c r="N18" s="47">
        <v>0</v>
      </c>
      <c r="O18" s="15">
        <f t="shared" si="0"/>
        <v>23</v>
      </c>
      <c r="P18" s="15">
        <f t="shared" si="1"/>
        <v>23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3</v>
      </c>
      <c r="Y18" s="17">
        <f t="shared" si="10"/>
        <v>0</v>
      </c>
      <c r="Z18" s="17">
        <f t="shared" si="10"/>
        <v>2</v>
      </c>
      <c r="AA18" s="17">
        <f t="shared" si="10"/>
        <v>2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28">
        <f t="shared" si="10"/>
        <v>14</v>
      </c>
      <c r="AF18" s="28">
        <f t="shared" si="10"/>
        <v>14</v>
      </c>
    </row>
    <row r="19" spans="2:32" ht="23.1" customHeight="1" x14ac:dyDescent="0.25">
      <c r="B19" s="42" t="s">
        <v>46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0</v>
      </c>
      <c r="V19" s="17">
        <f t="shared" si="11"/>
        <v>2</v>
      </c>
      <c r="W19" s="17">
        <f t="shared" si="11"/>
        <v>1</v>
      </c>
      <c r="X19" s="17">
        <f t="shared" si="11"/>
        <v>2</v>
      </c>
      <c r="Y19" s="17">
        <f t="shared" si="11"/>
        <v>0</v>
      </c>
      <c r="Z19" s="17">
        <f t="shared" si="11"/>
        <v>3</v>
      </c>
      <c r="AA19" s="17">
        <f t="shared" si="11"/>
        <v>1</v>
      </c>
      <c r="AB19" s="17">
        <f t="shared" si="11"/>
        <v>2</v>
      </c>
      <c r="AC19" s="17">
        <f t="shared" si="11"/>
        <v>0</v>
      </c>
      <c r="AD19" s="17">
        <f t="shared" si="11"/>
        <v>0</v>
      </c>
      <c r="AE19" s="28">
        <f t="shared" si="11"/>
        <v>19</v>
      </c>
      <c r="AF19" s="28">
        <f t="shared" si="11"/>
        <v>19</v>
      </c>
    </row>
    <row r="20" spans="2:32" ht="23.1" customHeight="1" x14ac:dyDescent="0.25">
      <c r="B20" s="42" t="s">
        <v>47</v>
      </c>
      <c r="C20" s="47">
        <v>4</v>
      </c>
      <c r="D20" s="47">
        <v>0</v>
      </c>
      <c r="E20" s="47">
        <v>0</v>
      </c>
      <c r="F20" s="47">
        <v>2</v>
      </c>
      <c r="G20" s="47">
        <v>0</v>
      </c>
      <c r="H20" s="47">
        <v>0</v>
      </c>
      <c r="I20" s="47">
        <v>1</v>
      </c>
      <c r="J20" s="47">
        <v>1</v>
      </c>
      <c r="K20" s="47">
        <v>1</v>
      </c>
      <c r="L20" s="47">
        <v>3</v>
      </c>
      <c r="M20" s="47">
        <v>0</v>
      </c>
      <c r="N20" s="47">
        <v>0</v>
      </c>
      <c r="O20" s="15">
        <f t="shared" si="0"/>
        <v>12</v>
      </c>
      <c r="P20" s="15">
        <f t="shared" si="1"/>
        <v>12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0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3</v>
      </c>
      <c r="AA20" s="17">
        <f t="shared" si="12"/>
        <v>2</v>
      </c>
      <c r="AB20" s="17">
        <f t="shared" si="12"/>
        <v>5</v>
      </c>
      <c r="AC20" s="17">
        <f t="shared" si="12"/>
        <v>0</v>
      </c>
      <c r="AD20" s="17">
        <f t="shared" si="12"/>
        <v>0</v>
      </c>
      <c r="AE20" s="28">
        <f t="shared" si="12"/>
        <v>28</v>
      </c>
      <c r="AF20" s="28">
        <f t="shared" si="12"/>
        <v>28</v>
      </c>
    </row>
    <row r="21" spans="2:32" ht="23.1" customHeight="1" x14ac:dyDescent="0.25">
      <c r="B21" s="42" t="s">
        <v>48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7</v>
      </c>
      <c r="T21" s="17">
        <f t="shared" si="13"/>
        <v>0</v>
      </c>
      <c r="U21" s="17">
        <f t="shared" si="13"/>
        <v>0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5</v>
      </c>
      <c r="AA21" s="17">
        <f t="shared" si="13"/>
        <v>3</v>
      </c>
      <c r="AB21" s="17">
        <f t="shared" si="13"/>
        <v>6</v>
      </c>
      <c r="AC21" s="17">
        <f t="shared" si="13"/>
        <v>0</v>
      </c>
      <c r="AD21" s="17">
        <f t="shared" si="13"/>
        <v>0</v>
      </c>
      <c r="AE21" s="28">
        <f t="shared" si="13"/>
        <v>33</v>
      </c>
      <c r="AF21" s="28">
        <f t="shared" si="13"/>
        <v>33</v>
      </c>
    </row>
    <row r="22" spans="2:32" ht="23.1" customHeight="1" x14ac:dyDescent="0.25">
      <c r="B22" s="42" t="s">
        <v>49</v>
      </c>
      <c r="C22" s="47">
        <v>5</v>
      </c>
      <c r="D22" s="47">
        <v>0</v>
      </c>
      <c r="E22" s="47">
        <v>0</v>
      </c>
      <c r="F22" s="47">
        <v>2</v>
      </c>
      <c r="G22" s="47">
        <v>0</v>
      </c>
      <c r="H22" s="47">
        <v>0</v>
      </c>
      <c r="I22" s="47">
        <v>0</v>
      </c>
      <c r="J22" s="47">
        <v>2</v>
      </c>
      <c r="K22" s="47">
        <v>0</v>
      </c>
      <c r="L22" s="47">
        <v>0</v>
      </c>
      <c r="M22" s="47">
        <v>0</v>
      </c>
      <c r="N22" s="47">
        <v>0</v>
      </c>
      <c r="O22" s="15">
        <f t="shared" si="0"/>
        <v>9</v>
      </c>
      <c r="P22" s="15">
        <f t="shared" si="1"/>
        <v>9</v>
      </c>
      <c r="R22" s="33" t="s">
        <v>146</v>
      </c>
      <c r="S22" s="31">
        <f>SUM(C58:C61)</f>
        <v>13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1</v>
      </c>
      <c r="W22" s="31">
        <f t="shared" si="14"/>
        <v>0</v>
      </c>
      <c r="X22" s="31">
        <f t="shared" si="14"/>
        <v>0</v>
      </c>
      <c r="Y22" s="31">
        <f t="shared" si="14"/>
        <v>2</v>
      </c>
      <c r="Z22" s="31">
        <f t="shared" si="14"/>
        <v>3</v>
      </c>
      <c r="AA22" s="31">
        <f t="shared" si="14"/>
        <v>5</v>
      </c>
      <c r="AB22" s="31">
        <f t="shared" si="14"/>
        <v>7</v>
      </c>
      <c r="AC22" s="31">
        <f t="shared" si="14"/>
        <v>0</v>
      </c>
      <c r="AD22" s="31">
        <f t="shared" si="14"/>
        <v>0</v>
      </c>
      <c r="AE22" s="28">
        <f t="shared" si="14"/>
        <v>31</v>
      </c>
      <c r="AF22" s="28">
        <f t="shared" si="14"/>
        <v>31</v>
      </c>
    </row>
    <row r="23" spans="2:32" ht="23.1" customHeight="1" x14ac:dyDescent="0.25">
      <c r="B23" s="42" t="s">
        <v>50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15">
        <f t="shared" si="0"/>
        <v>0</v>
      </c>
      <c r="P23" s="15">
        <f t="shared" si="1"/>
        <v>0</v>
      </c>
      <c r="R23" s="33" t="s">
        <v>147</v>
      </c>
      <c r="S23" s="31">
        <f>SUM(C62:C65)</f>
        <v>11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8</v>
      </c>
      <c r="W23" s="31">
        <f t="shared" si="15"/>
        <v>0</v>
      </c>
      <c r="X23" s="31">
        <f t="shared" si="15"/>
        <v>3</v>
      </c>
      <c r="Y23" s="31">
        <f t="shared" si="15"/>
        <v>3</v>
      </c>
      <c r="Z23" s="31">
        <f t="shared" si="15"/>
        <v>0</v>
      </c>
      <c r="AA23" s="31">
        <f t="shared" si="15"/>
        <v>7</v>
      </c>
      <c r="AB23" s="31">
        <f t="shared" si="15"/>
        <v>3</v>
      </c>
      <c r="AC23" s="31">
        <f t="shared" si="15"/>
        <v>0</v>
      </c>
      <c r="AD23" s="31">
        <f t="shared" si="15"/>
        <v>0</v>
      </c>
      <c r="AE23" s="28">
        <f t="shared" si="15"/>
        <v>35</v>
      </c>
      <c r="AF23" s="28">
        <f t="shared" si="15"/>
        <v>35</v>
      </c>
    </row>
    <row r="24" spans="2:32" ht="23.1" customHeight="1" x14ac:dyDescent="0.25">
      <c r="B24" s="42" t="s">
        <v>51</v>
      </c>
      <c r="C24" s="47">
        <v>3</v>
      </c>
      <c r="D24" s="47">
        <v>0</v>
      </c>
      <c r="E24" s="47">
        <v>0</v>
      </c>
      <c r="F24" s="47">
        <v>5</v>
      </c>
      <c r="G24" s="47">
        <v>0</v>
      </c>
      <c r="H24" s="47">
        <v>2</v>
      </c>
      <c r="I24" s="47">
        <v>1</v>
      </c>
      <c r="J24" s="47">
        <v>4</v>
      </c>
      <c r="K24" s="47">
        <v>2</v>
      </c>
      <c r="L24" s="47">
        <v>2</v>
      </c>
      <c r="M24" s="47">
        <v>0</v>
      </c>
      <c r="N24" s="47">
        <v>0</v>
      </c>
      <c r="O24" s="15">
        <f t="shared" si="0"/>
        <v>19</v>
      </c>
      <c r="P24" s="15">
        <f t="shared" si="1"/>
        <v>19</v>
      </c>
      <c r="R24" s="33" t="s">
        <v>148</v>
      </c>
      <c r="S24" s="31">
        <f>SUM(C66:C69)</f>
        <v>2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6</v>
      </c>
      <c r="W24" s="31">
        <f t="shared" si="16"/>
        <v>0</v>
      </c>
      <c r="X24" s="31">
        <f t="shared" si="16"/>
        <v>0</v>
      </c>
      <c r="Y24" s="31">
        <f t="shared" si="16"/>
        <v>3</v>
      </c>
      <c r="Z24" s="31">
        <f t="shared" si="16"/>
        <v>6</v>
      </c>
      <c r="AA24" s="31">
        <f t="shared" si="16"/>
        <v>4</v>
      </c>
      <c r="AB24" s="31">
        <f t="shared" si="16"/>
        <v>7</v>
      </c>
      <c r="AC24" s="31">
        <f t="shared" si="16"/>
        <v>0</v>
      </c>
      <c r="AD24" s="31">
        <f t="shared" si="16"/>
        <v>0</v>
      </c>
      <c r="AE24" s="28">
        <f t="shared" si="16"/>
        <v>28</v>
      </c>
      <c r="AF24" s="28">
        <f t="shared" si="16"/>
        <v>28</v>
      </c>
    </row>
    <row r="25" spans="2:32" ht="23.1" customHeight="1" x14ac:dyDescent="0.25">
      <c r="B25" s="42" t="s">
        <v>52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15">
        <f t="shared" si="0"/>
        <v>0</v>
      </c>
      <c r="P25" s="15">
        <f t="shared" si="1"/>
        <v>0</v>
      </c>
      <c r="R25" s="33" t="s">
        <v>149</v>
      </c>
      <c r="S25" s="31">
        <f>SUM(C70:C73)</f>
        <v>9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6</v>
      </c>
      <c r="W25" s="31">
        <f t="shared" si="17"/>
        <v>0</v>
      </c>
      <c r="X25" s="31">
        <f t="shared" si="17"/>
        <v>0</v>
      </c>
      <c r="Y25" s="31">
        <f t="shared" si="17"/>
        <v>3</v>
      </c>
      <c r="Z25" s="31">
        <f t="shared" si="17"/>
        <v>4</v>
      </c>
      <c r="AA25" s="31">
        <f t="shared" si="17"/>
        <v>4</v>
      </c>
      <c r="AB25" s="31">
        <f t="shared" si="17"/>
        <v>5</v>
      </c>
      <c r="AC25" s="31">
        <f t="shared" si="17"/>
        <v>0</v>
      </c>
      <c r="AD25" s="31">
        <f t="shared" si="17"/>
        <v>0</v>
      </c>
      <c r="AE25" s="28">
        <f t="shared" si="17"/>
        <v>31</v>
      </c>
      <c r="AF25" s="28">
        <f t="shared" si="17"/>
        <v>31</v>
      </c>
    </row>
    <row r="26" spans="2:32" ht="23.1" customHeight="1" x14ac:dyDescent="0.25">
      <c r="B26" s="42" t="s">
        <v>53</v>
      </c>
      <c r="C26" s="47">
        <v>4</v>
      </c>
      <c r="D26" s="47">
        <v>0</v>
      </c>
      <c r="E26" s="47">
        <v>0</v>
      </c>
      <c r="F26" s="47">
        <v>3</v>
      </c>
      <c r="G26" s="47">
        <v>0</v>
      </c>
      <c r="H26" s="47">
        <v>0</v>
      </c>
      <c r="I26" s="47">
        <v>1</v>
      </c>
      <c r="J26" s="47">
        <v>2</v>
      </c>
      <c r="K26" s="47">
        <v>0</v>
      </c>
      <c r="L26" s="47">
        <v>2</v>
      </c>
      <c r="M26" s="47">
        <v>0</v>
      </c>
      <c r="N26" s="47">
        <v>0</v>
      </c>
      <c r="O26" s="15">
        <f t="shared" si="0"/>
        <v>12</v>
      </c>
      <c r="P26" s="15">
        <f t="shared" si="1"/>
        <v>12</v>
      </c>
      <c r="R26" s="33" t="s">
        <v>150</v>
      </c>
      <c r="S26" s="31">
        <f>SUM(C74:C77)</f>
        <v>1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3</v>
      </c>
      <c r="W26" s="31">
        <f t="shared" si="18"/>
        <v>0</v>
      </c>
      <c r="X26" s="31">
        <f t="shared" si="18"/>
        <v>0</v>
      </c>
      <c r="Y26" s="31">
        <f t="shared" si="18"/>
        <v>3</v>
      </c>
      <c r="Z26" s="31">
        <f t="shared" si="18"/>
        <v>0</v>
      </c>
      <c r="AA26" s="31">
        <f t="shared" si="18"/>
        <v>2</v>
      </c>
      <c r="AB26" s="31">
        <f t="shared" si="18"/>
        <v>3</v>
      </c>
      <c r="AC26" s="31">
        <f t="shared" si="18"/>
        <v>0</v>
      </c>
      <c r="AD26" s="31">
        <f t="shared" si="18"/>
        <v>0</v>
      </c>
      <c r="AE26" s="28">
        <f t="shared" si="18"/>
        <v>12</v>
      </c>
      <c r="AF26" s="28">
        <f t="shared" si="18"/>
        <v>12</v>
      </c>
    </row>
    <row r="27" spans="2:32" ht="23.1" customHeight="1" x14ac:dyDescent="0.25">
      <c r="B27" s="42" t="s">
        <v>54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15">
        <f t="shared" si="0"/>
        <v>0</v>
      </c>
      <c r="P27" s="15">
        <f t="shared" si="1"/>
        <v>0</v>
      </c>
      <c r="R27" s="33" t="s">
        <v>151</v>
      </c>
      <c r="S27" s="31">
        <f>SUM(C78:C81)</f>
        <v>2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0</v>
      </c>
      <c r="W27" s="31">
        <f t="shared" si="19"/>
        <v>0</v>
      </c>
      <c r="X27" s="31">
        <f t="shared" si="19"/>
        <v>0</v>
      </c>
      <c r="Y27" s="31">
        <f t="shared" si="19"/>
        <v>0</v>
      </c>
      <c r="Z27" s="31">
        <f t="shared" si="19"/>
        <v>0</v>
      </c>
      <c r="AA27" s="31">
        <f t="shared" si="19"/>
        <v>0</v>
      </c>
      <c r="AB27" s="31">
        <f t="shared" si="19"/>
        <v>0</v>
      </c>
      <c r="AC27" s="31">
        <f t="shared" si="19"/>
        <v>0</v>
      </c>
      <c r="AD27" s="31">
        <f t="shared" si="19"/>
        <v>0</v>
      </c>
      <c r="AE27" s="28">
        <f t="shared" si="19"/>
        <v>2</v>
      </c>
      <c r="AF27" s="28">
        <f t="shared" si="19"/>
        <v>2</v>
      </c>
    </row>
    <row r="28" spans="2:32" ht="23.1" customHeight="1" x14ac:dyDescent="0.25">
      <c r="B28" s="42" t="s">
        <v>55</v>
      </c>
      <c r="C28" s="47">
        <v>4</v>
      </c>
      <c r="D28" s="47">
        <v>0</v>
      </c>
      <c r="E28" s="47">
        <v>0</v>
      </c>
      <c r="F28" s="47">
        <v>2</v>
      </c>
      <c r="G28" s="47">
        <v>0</v>
      </c>
      <c r="H28" s="47">
        <v>0</v>
      </c>
      <c r="I28" s="47">
        <v>0</v>
      </c>
      <c r="J28" s="47">
        <v>1</v>
      </c>
      <c r="K28" s="47">
        <v>0</v>
      </c>
      <c r="L28" s="47">
        <v>0</v>
      </c>
      <c r="M28" s="47">
        <v>0</v>
      </c>
      <c r="N28" s="47">
        <v>0</v>
      </c>
      <c r="O28" s="15">
        <f t="shared" si="0"/>
        <v>7</v>
      </c>
      <c r="P28" s="15">
        <f t="shared" si="1"/>
        <v>7</v>
      </c>
      <c r="R28" s="33" t="s">
        <v>152</v>
      </c>
      <c r="S28" s="31">
        <f>SUM(C82:C85)</f>
        <v>1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</v>
      </c>
      <c r="W28" s="31">
        <f t="shared" si="20"/>
        <v>0</v>
      </c>
      <c r="X28" s="31">
        <f t="shared" si="20"/>
        <v>0</v>
      </c>
      <c r="Y28" s="31">
        <f t="shared" si="20"/>
        <v>0</v>
      </c>
      <c r="Z28" s="31">
        <f t="shared" si="20"/>
        <v>0</v>
      </c>
      <c r="AA28" s="31">
        <f t="shared" si="20"/>
        <v>0</v>
      </c>
      <c r="AB28" s="31">
        <f t="shared" si="20"/>
        <v>0</v>
      </c>
      <c r="AC28" s="31">
        <f t="shared" si="20"/>
        <v>0</v>
      </c>
      <c r="AD28" s="31">
        <f t="shared" si="20"/>
        <v>0</v>
      </c>
      <c r="AE28" s="28">
        <f t="shared" si="20"/>
        <v>1</v>
      </c>
      <c r="AF28" s="28">
        <f t="shared" si="20"/>
        <v>1</v>
      </c>
    </row>
    <row r="29" spans="2:32" ht="23.1" customHeight="1" x14ac:dyDescent="0.25">
      <c r="B29" s="42" t="s">
        <v>56</v>
      </c>
      <c r="C29" s="47">
        <v>0</v>
      </c>
      <c r="D29" s="47"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47">
        <v>0</v>
      </c>
      <c r="N29" s="47">
        <v>0</v>
      </c>
      <c r="O29" s="15">
        <f t="shared" si="0"/>
        <v>0</v>
      </c>
      <c r="P29" s="15">
        <f t="shared" si="1"/>
        <v>0</v>
      </c>
      <c r="R29" s="33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0</v>
      </c>
      <c r="AA29" s="31">
        <f t="shared" si="21"/>
        <v>0</v>
      </c>
      <c r="AB29" s="31">
        <f t="shared" si="21"/>
        <v>0</v>
      </c>
      <c r="AC29" s="31">
        <f t="shared" si="21"/>
        <v>0</v>
      </c>
      <c r="AD29" s="31">
        <f t="shared" si="21"/>
        <v>0</v>
      </c>
      <c r="AE29" s="28">
        <f t="shared" si="21"/>
        <v>0</v>
      </c>
      <c r="AF29" s="28">
        <f t="shared" si="21"/>
        <v>0</v>
      </c>
    </row>
    <row r="30" spans="2:32" ht="23.1" customHeight="1" x14ac:dyDescent="0.25">
      <c r="B30" s="42" t="s">
        <v>57</v>
      </c>
      <c r="C30" s="47">
        <v>6</v>
      </c>
      <c r="D30" s="47">
        <v>0</v>
      </c>
      <c r="E30" s="47">
        <v>0</v>
      </c>
      <c r="F30" s="47">
        <v>1</v>
      </c>
      <c r="G30" s="47">
        <v>0</v>
      </c>
      <c r="H30" s="47">
        <v>0</v>
      </c>
      <c r="I30" s="47">
        <v>0</v>
      </c>
      <c r="J30" s="47">
        <v>1</v>
      </c>
      <c r="K30" s="47">
        <v>0</v>
      </c>
      <c r="L30" s="47">
        <v>0</v>
      </c>
      <c r="M30" s="47">
        <v>0</v>
      </c>
      <c r="N30" s="47">
        <v>0</v>
      </c>
      <c r="O30" s="15">
        <f t="shared" si="0"/>
        <v>8</v>
      </c>
      <c r="P30" s="15">
        <f t="shared" si="1"/>
        <v>8</v>
      </c>
      <c r="R30" s="33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43" t="s">
        <v>58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>
        <v>0</v>
      </c>
      <c r="N31" s="47">
        <v>0</v>
      </c>
      <c r="O31" s="15">
        <f t="shared" si="0"/>
        <v>0</v>
      </c>
      <c r="P31" s="15">
        <f t="shared" si="1"/>
        <v>0</v>
      </c>
      <c r="R31" s="33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43" t="s">
        <v>59</v>
      </c>
      <c r="C32" s="47">
        <v>2</v>
      </c>
      <c r="D32" s="47">
        <v>0</v>
      </c>
      <c r="E32" s="47">
        <v>0</v>
      </c>
      <c r="F32" s="47">
        <v>1</v>
      </c>
      <c r="G32" s="47">
        <v>0</v>
      </c>
      <c r="H32" s="47">
        <v>0</v>
      </c>
      <c r="I32" s="47">
        <v>4</v>
      </c>
      <c r="J32" s="47">
        <v>3</v>
      </c>
      <c r="K32" s="47">
        <v>0</v>
      </c>
      <c r="L32" s="47">
        <v>3</v>
      </c>
      <c r="M32" s="47">
        <v>0</v>
      </c>
      <c r="N32" s="47">
        <v>0</v>
      </c>
      <c r="O32" s="15">
        <f t="shared" si="0"/>
        <v>13</v>
      </c>
      <c r="P32" s="15">
        <f t="shared" si="1"/>
        <v>13</v>
      </c>
      <c r="R32" s="30" t="s">
        <v>156</v>
      </c>
      <c r="S32" s="31">
        <f>SUM(C98:C101)</f>
        <v>0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0</v>
      </c>
      <c r="AF32" s="28">
        <f t="shared" si="24"/>
        <v>0</v>
      </c>
    </row>
    <row r="33" spans="2:32" ht="23.1" customHeight="1" x14ac:dyDescent="0.25">
      <c r="B33" s="42" t="s">
        <v>60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  <c r="K33" s="47">
        <v>0</v>
      </c>
      <c r="L33" s="47">
        <v>0</v>
      </c>
      <c r="M33" s="47">
        <v>0</v>
      </c>
      <c r="N33" s="47">
        <v>0</v>
      </c>
      <c r="O33" s="15">
        <f t="shared" si="0"/>
        <v>0</v>
      </c>
      <c r="P33" s="15">
        <f t="shared" si="1"/>
        <v>0</v>
      </c>
      <c r="R33" s="30" t="s">
        <v>157</v>
      </c>
      <c r="S33" s="31">
        <f>SUM(C102:C105)</f>
        <v>18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7</v>
      </c>
      <c r="W33" s="31">
        <f t="shared" si="25"/>
        <v>0</v>
      </c>
      <c r="X33" s="31">
        <f t="shared" si="25"/>
        <v>5</v>
      </c>
      <c r="Y33" s="31">
        <f t="shared" si="25"/>
        <v>6</v>
      </c>
      <c r="Z33" s="31">
        <f t="shared" si="25"/>
        <v>2</v>
      </c>
      <c r="AA33" s="31">
        <f t="shared" si="25"/>
        <v>3</v>
      </c>
      <c r="AB33" s="31">
        <f t="shared" si="25"/>
        <v>9</v>
      </c>
      <c r="AC33" s="31">
        <f t="shared" si="25"/>
        <v>0</v>
      </c>
      <c r="AD33" s="31">
        <f t="shared" si="25"/>
        <v>0</v>
      </c>
      <c r="AE33" s="28">
        <f t="shared" si="25"/>
        <v>50</v>
      </c>
      <c r="AF33" s="28">
        <f t="shared" si="25"/>
        <v>50</v>
      </c>
    </row>
    <row r="34" spans="2:32" ht="23.1" customHeight="1" x14ac:dyDescent="0.25">
      <c r="B34" s="43" t="s">
        <v>61</v>
      </c>
      <c r="C34" s="47">
        <v>6</v>
      </c>
      <c r="D34" s="47">
        <v>0</v>
      </c>
      <c r="E34" s="47">
        <v>0</v>
      </c>
      <c r="F34" s="47">
        <v>7</v>
      </c>
      <c r="G34" s="47">
        <v>2</v>
      </c>
      <c r="H34" s="47">
        <v>0</v>
      </c>
      <c r="I34" s="47">
        <v>3</v>
      </c>
      <c r="J34" s="47">
        <v>2</v>
      </c>
      <c r="K34" s="47">
        <v>0</v>
      </c>
      <c r="L34" s="47">
        <v>1</v>
      </c>
      <c r="M34" s="47">
        <v>0</v>
      </c>
      <c r="N34" s="47">
        <v>0</v>
      </c>
      <c r="O34" s="15">
        <f t="shared" si="0"/>
        <v>21</v>
      </c>
      <c r="P34" s="15">
        <f t="shared" si="1"/>
        <v>21</v>
      </c>
      <c r="R34" s="35" t="s">
        <v>90</v>
      </c>
      <c r="S34" s="36">
        <f t="shared" ref="S34:AF34" si="26">MAX(S10:S12)</f>
        <v>10</v>
      </c>
      <c r="T34" s="36">
        <f t="shared" si="26"/>
        <v>0</v>
      </c>
      <c r="U34" s="36">
        <f t="shared" si="26"/>
        <v>0</v>
      </c>
      <c r="V34" s="36">
        <f t="shared" si="26"/>
        <v>5</v>
      </c>
      <c r="W34" s="36">
        <f t="shared" si="26"/>
        <v>1</v>
      </c>
      <c r="X34" s="36">
        <f t="shared" si="26"/>
        <v>1</v>
      </c>
      <c r="Y34" s="36">
        <f t="shared" si="26"/>
        <v>3</v>
      </c>
      <c r="Z34" s="36">
        <f t="shared" si="26"/>
        <v>5</v>
      </c>
      <c r="AA34" s="36">
        <f t="shared" si="26"/>
        <v>4</v>
      </c>
      <c r="AB34" s="36">
        <f t="shared" si="26"/>
        <v>10</v>
      </c>
      <c r="AC34" s="36">
        <f t="shared" si="26"/>
        <v>0</v>
      </c>
      <c r="AD34" s="36">
        <f t="shared" si="26"/>
        <v>0</v>
      </c>
      <c r="AE34" s="37">
        <f t="shared" si="26"/>
        <v>35</v>
      </c>
      <c r="AF34" s="37">
        <f t="shared" si="26"/>
        <v>35</v>
      </c>
    </row>
    <row r="35" spans="2:32" ht="23.1" customHeight="1" x14ac:dyDescent="0.25">
      <c r="B35" s="43" t="s">
        <v>62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  <c r="K35" s="47">
        <v>0</v>
      </c>
      <c r="L35" s="47">
        <v>0</v>
      </c>
      <c r="M35" s="47">
        <v>0</v>
      </c>
      <c r="N35" s="47">
        <v>0</v>
      </c>
      <c r="O35" s="15">
        <f t="shared" si="0"/>
        <v>0</v>
      </c>
      <c r="P35" s="15">
        <f t="shared" si="1"/>
        <v>0</v>
      </c>
      <c r="R35" s="35" t="s">
        <v>91</v>
      </c>
      <c r="S35" s="36">
        <f t="shared" ref="S35:AF35" si="27">MAX(S13:S18)</f>
        <v>9</v>
      </c>
      <c r="T35" s="36">
        <f t="shared" si="27"/>
        <v>0</v>
      </c>
      <c r="U35" s="36">
        <f t="shared" si="27"/>
        <v>0</v>
      </c>
      <c r="V35" s="36">
        <f t="shared" si="27"/>
        <v>7</v>
      </c>
      <c r="W35" s="36">
        <f t="shared" si="27"/>
        <v>2</v>
      </c>
      <c r="X35" s="36">
        <f t="shared" si="27"/>
        <v>3</v>
      </c>
      <c r="Y35" s="36">
        <f t="shared" si="27"/>
        <v>4</v>
      </c>
      <c r="Z35" s="36">
        <f t="shared" si="27"/>
        <v>6</v>
      </c>
      <c r="AA35" s="36">
        <f t="shared" si="27"/>
        <v>6</v>
      </c>
      <c r="AB35" s="36">
        <f t="shared" si="27"/>
        <v>5</v>
      </c>
      <c r="AC35" s="36">
        <f t="shared" si="27"/>
        <v>0</v>
      </c>
      <c r="AD35" s="36">
        <f t="shared" si="27"/>
        <v>0</v>
      </c>
      <c r="AE35" s="37">
        <f t="shared" si="27"/>
        <v>34</v>
      </c>
      <c r="AF35" s="37">
        <f t="shared" si="27"/>
        <v>34</v>
      </c>
    </row>
    <row r="36" spans="2:32" ht="23.1" customHeight="1" x14ac:dyDescent="0.25">
      <c r="B36" s="43" t="s">
        <v>63</v>
      </c>
      <c r="C36" s="47">
        <v>3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15">
        <f t="shared" si="0"/>
        <v>3</v>
      </c>
      <c r="P36" s="15">
        <f t="shared" si="1"/>
        <v>3</v>
      </c>
      <c r="R36" s="35" t="s">
        <v>92</v>
      </c>
      <c r="S36" s="36">
        <f t="shared" ref="S36:AF36" si="28">MAX(S19:S21)</f>
        <v>10</v>
      </c>
      <c r="T36" s="36">
        <f t="shared" si="28"/>
        <v>0</v>
      </c>
      <c r="U36" s="36">
        <f t="shared" si="28"/>
        <v>0</v>
      </c>
      <c r="V36" s="36">
        <f t="shared" si="28"/>
        <v>8</v>
      </c>
      <c r="W36" s="36">
        <f t="shared" si="28"/>
        <v>1</v>
      </c>
      <c r="X36" s="36">
        <f t="shared" si="28"/>
        <v>2</v>
      </c>
      <c r="Y36" s="36">
        <f t="shared" si="28"/>
        <v>4</v>
      </c>
      <c r="Z36" s="36">
        <f t="shared" si="28"/>
        <v>5</v>
      </c>
      <c r="AA36" s="36">
        <f t="shared" si="28"/>
        <v>3</v>
      </c>
      <c r="AB36" s="36">
        <f t="shared" si="28"/>
        <v>6</v>
      </c>
      <c r="AC36" s="36">
        <f t="shared" si="28"/>
        <v>0</v>
      </c>
      <c r="AD36" s="36">
        <f t="shared" si="28"/>
        <v>0</v>
      </c>
      <c r="AE36" s="37">
        <f t="shared" si="28"/>
        <v>33</v>
      </c>
      <c r="AF36" s="37">
        <f t="shared" si="28"/>
        <v>33</v>
      </c>
    </row>
    <row r="37" spans="2:32" ht="23.1" customHeight="1" x14ac:dyDescent="0.25">
      <c r="B37" s="42" t="s">
        <v>64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15">
        <f t="shared" si="0"/>
        <v>0</v>
      </c>
      <c r="P37" s="15">
        <f t="shared" si="1"/>
        <v>0</v>
      </c>
      <c r="R37" s="34" t="s">
        <v>85</v>
      </c>
      <c r="S37" s="32">
        <f t="shared" ref="S37:AF37" si="29">SUM(S10:S12)</f>
        <v>22</v>
      </c>
      <c r="T37" s="16">
        <f t="shared" si="29"/>
        <v>0</v>
      </c>
      <c r="U37" s="16">
        <f t="shared" si="29"/>
        <v>0</v>
      </c>
      <c r="V37" s="16">
        <f t="shared" si="29"/>
        <v>10</v>
      </c>
      <c r="W37" s="16">
        <f t="shared" si="29"/>
        <v>1</v>
      </c>
      <c r="X37" s="16">
        <f t="shared" si="29"/>
        <v>1</v>
      </c>
      <c r="Y37" s="16">
        <f t="shared" si="29"/>
        <v>3</v>
      </c>
      <c r="Z37" s="16">
        <f t="shared" si="29"/>
        <v>7</v>
      </c>
      <c r="AA37" s="16">
        <f t="shared" si="29"/>
        <v>7</v>
      </c>
      <c r="AB37" s="16">
        <f t="shared" si="29"/>
        <v>15</v>
      </c>
      <c r="AC37" s="16">
        <f t="shared" si="29"/>
        <v>0</v>
      </c>
      <c r="AD37" s="16">
        <f t="shared" si="29"/>
        <v>0</v>
      </c>
      <c r="AE37" s="29">
        <f t="shared" si="29"/>
        <v>66</v>
      </c>
      <c r="AF37" s="29">
        <f t="shared" si="29"/>
        <v>66</v>
      </c>
    </row>
    <row r="38" spans="2:32" ht="23.1" customHeight="1" x14ac:dyDescent="0.25">
      <c r="B38" s="43" t="s">
        <v>65</v>
      </c>
      <c r="C38" s="47">
        <v>3</v>
      </c>
      <c r="D38" s="47">
        <v>0</v>
      </c>
      <c r="E38" s="47">
        <v>0</v>
      </c>
      <c r="F38" s="47">
        <v>2</v>
      </c>
      <c r="G38" s="47">
        <v>0</v>
      </c>
      <c r="H38" s="47">
        <v>2</v>
      </c>
      <c r="I38" s="47">
        <v>1</v>
      </c>
      <c r="J38" s="47">
        <v>0</v>
      </c>
      <c r="K38" s="47">
        <v>5</v>
      </c>
      <c r="L38" s="47">
        <v>3</v>
      </c>
      <c r="M38" s="47">
        <v>0</v>
      </c>
      <c r="N38" s="47">
        <v>0</v>
      </c>
      <c r="O38" s="15">
        <f t="shared" si="0"/>
        <v>16</v>
      </c>
      <c r="P38" s="15">
        <f t="shared" si="1"/>
        <v>16</v>
      </c>
      <c r="R38" s="25" t="s">
        <v>86</v>
      </c>
      <c r="S38" s="16">
        <f t="shared" ref="S38:AF38" si="30">SUM(S13:S18)</f>
        <v>46</v>
      </c>
      <c r="T38" s="16">
        <f t="shared" si="30"/>
        <v>0</v>
      </c>
      <c r="U38" s="16">
        <f t="shared" si="30"/>
        <v>0</v>
      </c>
      <c r="V38" s="16">
        <f t="shared" si="30"/>
        <v>28</v>
      </c>
      <c r="W38" s="16">
        <f t="shared" si="30"/>
        <v>3</v>
      </c>
      <c r="X38" s="16">
        <f t="shared" si="30"/>
        <v>7</v>
      </c>
      <c r="Y38" s="16">
        <f t="shared" si="30"/>
        <v>12</v>
      </c>
      <c r="Z38" s="16">
        <f t="shared" si="30"/>
        <v>20</v>
      </c>
      <c r="AA38" s="16">
        <f t="shared" si="30"/>
        <v>10</v>
      </c>
      <c r="AB38" s="16">
        <f t="shared" si="30"/>
        <v>14</v>
      </c>
      <c r="AC38" s="16">
        <f t="shared" si="30"/>
        <v>0</v>
      </c>
      <c r="AD38" s="16">
        <f t="shared" si="30"/>
        <v>0</v>
      </c>
      <c r="AE38" s="29">
        <f t="shared" si="30"/>
        <v>140</v>
      </c>
      <c r="AF38" s="29">
        <f t="shared" si="30"/>
        <v>140</v>
      </c>
    </row>
    <row r="39" spans="2:32" ht="23.1" customHeight="1" x14ac:dyDescent="0.25">
      <c r="B39" s="43" t="s">
        <v>66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>
        <v>0</v>
      </c>
      <c r="M39" s="47">
        <v>0</v>
      </c>
      <c r="N39" s="47">
        <v>0</v>
      </c>
      <c r="O39" s="15">
        <f t="shared" si="0"/>
        <v>0</v>
      </c>
      <c r="P39" s="15">
        <f t="shared" si="1"/>
        <v>0</v>
      </c>
      <c r="R39" s="26" t="s">
        <v>87</v>
      </c>
      <c r="S39" s="16">
        <f t="shared" ref="S39:AF39" si="31">SUM(S19:S21)</f>
        <v>25</v>
      </c>
      <c r="T39" s="16">
        <f t="shared" si="31"/>
        <v>0</v>
      </c>
      <c r="U39" s="16">
        <f t="shared" si="31"/>
        <v>0</v>
      </c>
      <c r="V39" s="16">
        <f t="shared" si="31"/>
        <v>16</v>
      </c>
      <c r="W39" s="16">
        <f t="shared" si="31"/>
        <v>1</v>
      </c>
      <c r="X39" s="16">
        <f t="shared" si="31"/>
        <v>2</v>
      </c>
      <c r="Y39" s="16">
        <f t="shared" si="31"/>
        <v>6</v>
      </c>
      <c r="Z39" s="16">
        <f t="shared" si="31"/>
        <v>11</v>
      </c>
      <c r="AA39" s="16">
        <f t="shared" si="31"/>
        <v>6</v>
      </c>
      <c r="AB39" s="16">
        <f t="shared" si="31"/>
        <v>13</v>
      </c>
      <c r="AC39" s="16">
        <f t="shared" si="31"/>
        <v>0</v>
      </c>
      <c r="AD39" s="16">
        <f t="shared" si="31"/>
        <v>0</v>
      </c>
      <c r="AE39" s="29">
        <f t="shared" si="31"/>
        <v>80</v>
      </c>
      <c r="AF39" s="29">
        <f t="shared" si="31"/>
        <v>80</v>
      </c>
    </row>
    <row r="40" spans="2:32" ht="23.1" customHeight="1" x14ac:dyDescent="0.25">
      <c r="B40" s="43" t="s">
        <v>67</v>
      </c>
      <c r="C40" s="47">
        <v>6</v>
      </c>
      <c r="D40" s="47">
        <v>0</v>
      </c>
      <c r="E40" s="47">
        <v>0</v>
      </c>
      <c r="F40" s="47">
        <v>3</v>
      </c>
      <c r="G40" s="47">
        <v>1</v>
      </c>
      <c r="H40" s="47">
        <v>0</v>
      </c>
      <c r="I40" s="47">
        <v>2</v>
      </c>
      <c r="J40" s="47">
        <v>3</v>
      </c>
      <c r="K40" s="47">
        <v>1</v>
      </c>
      <c r="L40" s="47">
        <v>2</v>
      </c>
      <c r="M40" s="47">
        <v>0</v>
      </c>
      <c r="N40" s="47">
        <v>0</v>
      </c>
      <c r="O40" s="15">
        <f t="shared" si="0"/>
        <v>18</v>
      </c>
      <c r="P40" s="15">
        <f t="shared" si="1"/>
        <v>18</v>
      </c>
      <c r="R40" s="5" t="s">
        <v>17</v>
      </c>
      <c r="S40" s="16">
        <f t="shared" ref="S40:AF40" si="32">SUM(S10:S21)</f>
        <v>93</v>
      </c>
      <c r="T40" s="16">
        <f t="shared" si="32"/>
        <v>0</v>
      </c>
      <c r="U40" s="16">
        <f t="shared" si="32"/>
        <v>0</v>
      </c>
      <c r="V40" s="16">
        <f t="shared" si="32"/>
        <v>54</v>
      </c>
      <c r="W40" s="16">
        <f t="shared" si="32"/>
        <v>5</v>
      </c>
      <c r="X40" s="16">
        <f t="shared" si="32"/>
        <v>10</v>
      </c>
      <c r="Y40" s="16">
        <f t="shared" si="32"/>
        <v>21</v>
      </c>
      <c r="Z40" s="16">
        <f t="shared" si="32"/>
        <v>38</v>
      </c>
      <c r="AA40" s="16">
        <f t="shared" si="32"/>
        <v>23</v>
      </c>
      <c r="AB40" s="16">
        <f t="shared" si="32"/>
        <v>42</v>
      </c>
      <c r="AC40" s="16">
        <f t="shared" si="32"/>
        <v>0</v>
      </c>
      <c r="AD40" s="16">
        <f t="shared" si="32"/>
        <v>0</v>
      </c>
      <c r="AE40" s="29">
        <f t="shared" si="32"/>
        <v>286</v>
      </c>
      <c r="AF40" s="29">
        <f t="shared" si="32"/>
        <v>286</v>
      </c>
    </row>
    <row r="41" spans="2:32" ht="23.1" customHeight="1" x14ac:dyDescent="0.25">
      <c r="B41" s="42" t="s">
        <v>68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>
        <v>0</v>
      </c>
      <c r="M41" s="47">
        <v>0</v>
      </c>
      <c r="N41" s="47">
        <v>0</v>
      </c>
      <c r="O41" s="15">
        <f t="shared" si="0"/>
        <v>0</v>
      </c>
      <c r="P41" s="15">
        <f t="shared" si="1"/>
        <v>0</v>
      </c>
      <c r="R41" s="5" t="s">
        <v>159</v>
      </c>
      <c r="S41" s="16">
        <f>SUM(S10:S33)</f>
        <v>150</v>
      </c>
      <c r="T41" s="16">
        <f t="shared" ref="T41:AF41" si="33">SUM(T10:T33)</f>
        <v>0</v>
      </c>
      <c r="U41" s="16">
        <f t="shared" si="33"/>
        <v>0</v>
      </c>
      <c r="V41" s="16">
        <f t="shared" si="33"/>
        <v>85</v>
      </c>
      <c r="W41" s="16">
        <f t="shared" si="33"/>
        <v>5</v>
      </c>
      <c r="X41" s="16">
        <f t="shared" si="33"/>
        <v>18</v>
      </c>
      <c r="Y41" s="16">
        <f t="shared" si="33"/>
        <v>41</v>
      </c>
      <c r="Z41" s="16">
        <f t="shared" si="33"/>
        <v>53</v>
      </c>
      <c r="AA41" s="16">
        <f t="shared" si="33"/>
        <v>48</v>
      </c>
      <c r="AB41" s="16">
        <f t="shared" si="33"/>
        <v>76</v>
      </c>
      <c r="AC41" s="16">
        <f t="shared" si="33"/>
        <v>0</v>
      </c>
      <c r="AD41" s="16">
        <f t="shared" si="33"/>
        <v>0</v>
      </c>
      <c r="AE41" s="29">
        <f t="shared" si="33"/>
        <v>476</v>
      </c>
      <c r="AF41" s="29">
        <f t="shared" si="33"/>
        <v>476</v>
      </c>
    </row>
    <row r="42" spans="2:32" ht="23.1" customHeight="1" x14ac:dyDescent="0.25">
      <c r="B42" s="43" t="s">
        <v>69</v>
      </c>
      <c r="C42" s="47">
        <v>3</v>
      </c>
      <c r="D42" s="47">
        <v>0</v>
      </c>
      <c r="E42" s="47">
        <v>0</v>
      </c>
      <c r="F42" s="47">
        <v>1</v>
      </c>
      <c r="G42" s="47">
        <v>0</v>
      </c>
      <c r="H42" s="47">
        <v>0</v>
      </c>
      <c r="I42" s="47">
        <v>0</v>
      </c>
      <c r="J42" s="47">
        <v>2</v>
      </c>
      <c r="K42" s="47">
        <v>1</v>
      </c>
      <c r="L42" s="47">
        <v>0</v>
      </c>
      <c r="M42" s="47">
        <v>0</v>
      </c>
      <c r="N42" s="47">
        <v>0</v>
      </c>
      <c r="O42" s="15">
        <f t="shared" si="0"/>
        <v>7</v>
      </c>
      <c r="P42" s="15">
        <f t="shared" si="1"/>
        <v>7</v>
      </c>
      <c r="R42" s="5" t="s">
        <v>160</v>
      </c>
      <c r="S42" s="45">
        <f>S41/S40</f>
        <v>1.6129032258064515</v>
      </c>
      <c r="T42" s="45" t="e">
        <f t="shared" ref="T42:AF42" si="34">T41/T40</f>
        <v>#DIV/0!</v>
      </c>
      <c r="U42" s="45" t="e">
        <f t="shared" si="34"/>
        <v>#DIV/0!</v>
      </c>
      <c r="V42" s="45">
        <f t="shared" si="34"/>
        <v>1.5740740740740742</v>
      </c>
      <c r="W42" s="45">
        <f t="shared" si="34"/>
        <v>1</v>
      </c>
      <c r="X42" s="45">
        <f t="shared" si="34"/>
        <v>1.8</v>
      </c>
      <c r="Y42" s="45">
        <f t="shared" si="34"/>
        <v>1.9523809523809523</v>
      </c>
      <c r="Z42" s="45">
        <f t="shared" si="34"/>
        <v>1.3947368421052631</v>
      </c>
      <c r="AA42" s="45">
        <f t="shared" si="34"/>
        <v>2.0869565217391304</v>
      </c>
      <c r="AB42" s="45">
        <f t="shared" si="34"/>
        <v>1.8095238095238095</v>
      </c>
      <c r="AC42" s="45" t="e">
        <f t="shared" si="34"/>
        <v>#DIV/0!</v>
      </c>
      <c r="AD42" s="45" t="e">
        <f t="shared" si="34"/>
        <v>#DIV/0!</v>
      </c>
      <c r="AE42" s="45">
        <f t="shared" si="34"/>
        <v>1.6643356643356644</v>
      </c>
      <c r="AF42" s="45">
        <f t="shared" si="34"/>
        <v>1.6643356643356644</v>
      </c>
    </row>
    <row r="43" spans="2:32" ht="23.1" customHeight="1" x14ac:dyDescent="0.25">
      <c r="B43" s="42" t="s">
        <v>70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  <c r="K43" s="47">
        <v>0</v>
      </c>
      <c r="L43" s="47">
        <v>0</v>
      </c>
      <c r="M43" s="47">
        <v>0</v>
      </c>
      <c r="N43" s="47"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44" t="s">
        <v>71</v>
      </c>
      <c r="C44" s="47">
        <v>1</v>
      </c>
      <c r="D44" s="47">
        <v>0</v>
      </c>
      <c r="E44" s="47">
        <v>0</v>
      </c>
      <c r="F44" s="47">
        <v>1</v>
      </c>
      <c r="G44" s="47">
        <v>0</v>
      </c>
      <c r="H44" s="47">
        <v>3</v>
      </c>
      <c r="I44" s="47">
        <v>0</v>
      </c>
      <c r="J44" s="47">
        <v>0</v>
      </c>
      <c r="K44" s="47">
        <v>1</v>
      </c>
      <c r="L44" s="47">
        <v>1</v>
      </c>
      <c r="M44" s="47">
        <v>0</v>
      </c>
      <c r="N44" s="47">
        <v>0</v>
      </c>
      <c r="O44" s="15">
        <f t="shared" si="0"/>
        <v>7</v>
      </c>
      <c r="P44" s="15">
        <f t="shared" si="1"/>
        <v>7</v>
      </c>
    </row>
    <row r="45" spans="2:32" ht="23.1" customHeight="1" x14ac:dyDescent="0.25">
      <c r="B45" s="42" t="s">
        <v>72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>
        <v>0</v>
      </c>
      <c r="M45" s="47">
        <v>0</v>
      </c>
      <c r="N45" s="47"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43" t="s">
        <v>73</v>
      </c>
      <c r="C46" s="47">
        <v>5</v>
      </c>
      <c r="D46" s="47">
        <v>0</v>
      </c>
      <c r="E46" s="47">
        <v>0</v>
      </c>
      <c r="F46" s="47">
        <v>2</v>
      </c>
      <c r="G46" s="47">
        <v>1</v>
      </c>
      <c r="H46" s="47">
        <v>2</v>
      </c>
      <c r="I46" s="47">
        <v>0</v>
      </c>
      <c r="J46" s="47">
        <v>1</v>
      </c>
      <c r="K46" s="47">
        <v>0</v>
      </c>
      <c r="L46" s="47">
        <v>0</v>
      </c>
      <c r="M46" s="47">
        <v>0</v>
      </c>
      <c r="N46" s="47">
        <v>0</v>
      </c>
      <c r="O46" s="15">
        <f t="shared" si="0"/>
        <v>11</v>
      </c>
      <c r="P46" s="15">
        <f t="shared" si="1"/>
        <v>11</v>
      </c>
      <c r="R46" s="8"/>
      <c r="T46"/>
    </row>
    <row r="47" spans="2:32" ht="23.1" customHeight="1" x14ac:dyDescent="0.25">
      <c r="B47" s="43" t="s">
        <v>74</v>
      </c>
      <c r="C47" s="47">
        <v>0</v>
      </c>
      <c r="D47" s="47">
        <v>0</v>
      </c>
      <c r="E47" s="47">
        <v>0</v>
      </c>
      <c r="F47" s="47">
        <v>0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>
        <v>0</v>
      </c>
      <c r="M47" s="47">
        <v>0</v>
      </c>
      <c r="N47" s="47"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43" t="s">
        <v>75</v>
      </c>
      <c r="C48" s="47">
        <v>3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2</v>
      </c>
      <c r="K48" s="47">
        <v>1</v>
      </c>
      <c r="L48" s="47">
        <v>2</v>
      </c>
      <c r="M48" s="47">
        <v>0</v>
      </c>
      <c r="N48" s="47">
        <v>0</v>
      </c>
      <c r="O48" s="15">
        <f t="shared" si="0"/>
        <v>8</v>
      </c>
      <c r="P48" s="15">
        <f t="shared" si="1"/>
        <v>8</v>
      </c>
      <c r="R48" s="8"/>
      <c r="T48"/>
    </row>
    <row r="49" spans="2:20" ht="23.1" customHeight="1" x14ac:dyDescent="0.25">
      <c r="B49" s="42" t="s">
        <v>76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43" t="s">
        <v>77</v>
      </c>
      <c r="C50" s="47">
        <v>6</v>
      </c>
      <c r="D50" s="47">
        <v>0</v>
      </c>
      <c r="E50" s="47">
        <v>0</v>
      </c>
      <c r="F50" s="47">
        <v>2</v>
      </c>
      <c r="G50" s="47">
        <v>0</v>
      </c>
      <c r="H50" s="47">
        <v>0</v>
      </c>
      <c r="I50" s="47">
        <v>2</v>
      </c>
      <c r="J50" s="47">
        <v>3</v>
      </c>
      <c r="K50" s="47">
        <v>0</v>
      </c>
      <c r="L50" s="47">
        <v>4</v>
      </c>
      <c r="M50" s="47">
        <v>0</v>
      </c>
      <c r="N50" s="47">
        <v>0</v>
      </c>
      <c r="O50" s="15">
        <f t="shared" si="0"/>
        <v>17</v>
      </c>
      <c r="P50" s="15">
        <f t="shared" si="1"/>
        <v>17</v>
      </c>
      <c r="R50" s="8"/>
      <c r="T50"/>
    </row>
    <row r="51" spans="2:20" ht="23.1" customHeight="1" x14ac:dyDescent="0.25">
      <c r="B51" s="43" t="s">
        <v>78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43" t="s">
        <v>79</v>
      </c>
      <c r="C52" s="47">
        <v>4</v>
      </c>
      <c r="D52" s="47">
        <v>0</v>
      </c>
      <c r="E52" s="47">
        <v>0</v>
      </c>
      <c r="F52" s="47">
        <v>4</v>
      </c>
      <c r="G52" s="47">
        <v>0</v>
      </c>
      <c r="H52" s="47">
        <v>0</v>
      </c>
      <c r="I52" s="47">
        <v>0</v>
      </c>
      <c r="J52" s="47">
        <v>0</v>
      </c>
      <c r="K52" s="47">
        <v>2</v>
      </c>
      <c r="L52" s="47">
        <v>1</v>
      </c>
      <c r="M52" s="47">
        <v>0</v>
      </c>
      <c r="N52" s="47">
        <v>0</v>
      </c>
      <c r="O52" s="15">
        <f t="shared" si="0"/>
        <v>11</v>
      </c>
      <c r="P52" s="15">
        <f t="shared" si="1"/>
        <v>11</v>
      </c>
      <c r="R52" s="8"/>
      <c r="T52"/>
    </row>
    <row r="53" spans="2:20" ht="23.1" customHeight="1" x14ac:dyDescent="0.25">
      <c r="B53" s="42" t="s">
        <v>80</v>
      </c>
      <c r="C53" s="47">
        <v>0</v>
      </c>
      <c r="D53" s="47">
        <v>0</v>
      </c>
      <c r="E53" s="47">
        <v>0</v>
      </c>
      <c r="F53" s="47">
        <v>0</v>
      </c>
      <c r="G53" s="47">
        <v>0</v>
      </c>
      <c r="H53" s="47">
        <v>0</v>
      </c>
      <c r="I53" s="47">
        <v>0</v>
      </c>
      <c r="J53" s="47">
        <v>0</v>
      </c>
      <c r="K53" s="47">
        <v>0</v>
      </c>
      <c r="L53" s="47">
        <v>0</v>
      </c>
      <c r="M53" s="47">
        <v>0</v>
      </c>
      <c r="N53" s="47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2" t="s">
        <v>81</v>
      </c>
      <c r="C54" s="47">
        <v>2</v>
      </c>
      <c r="D54" s="47">
        <v>0</v>
      </c>
      <c r="E54" s="47">
        <v>0</v>
      </c>
      <c r="F54" s="47">
        <v>4</v>
      </c>
      <c r="G54" s="47">
        <v>0</v>
      </c>
      <c r="H54" s="47">
        <v>0</v>
      </c>
      <c r="I54" s="47">
        <v>2</v>
      </c>
      <c r="J54" s="47">
        <v>1</v>
      </c>
      <c r="K54" s="47">
        <v>3</v>
      </c>
      <c r="L54" s="47">
        <v>1</v>
      </c>
      <c r="M54" s="47">
        <v>0</v>
      </c>
      <c r="N54" s="47">
        <v>0</v>
      </c>
      <c r="O54" s="15">
        <f t="shared" si="0"/>
        <v>13</v>
      </c>
      <c r="P54" s="15">
        <f t="shared" si="1"/>
        <v>13</v>
      </c>
      <c r="R54" s="8"/>
      <c r="T54"/>
    </row>
    <row r="55" spans="2:20" ht="23.1" customHeight="1" x14ac:dyDescent="0.25">
      <c r="B55" s="42" t="s">
        <v>82</v>
      </c>
      <c r="C55" s="47">
        <v>0</v>
      </c>
      <c r="D55" s="47">
        <v>0</v>
      </c>
      <c r="E55" s="47">
        <v>0</v>
      </c>
      <c r="F55" s="47">
        <v>0</v>
      </c>
      <c r="G55" s="47">
        <v>0</v>
      </c>
      <c r="H55" s="47">
        <v>0</v>
      </c>
      <c r="I55" s="47">
        <v>0</v>
      </c>
      <c r="J55" s="47">
        <v>0</v>
      </c>
      <c r="K55" s="47">
        <v>0</v>
      </c>
      <c r="L55" s="47">
        <v>0</v>
      </c>
      <c r="M55" s="47">
        <v>0</v>
      </c>
      <c r="N55" s="47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2" t="s">
        <v>83</v>
      </c>
      <c r="C56" s="47">
        <v>5</v>
      </c>
      <c r="D56" s="47">
        <v>0</v>
      </c>
      <c r="E56" s="47">
        <v>0</v>
      </c>
      <c r="F56" s="47">
        <v>4</v>
      </c>
      <c r="G56" s="47">
        <v>0</v>
      </c>
      <c r="H56" s="47">
        <v>0</v>
      </c>
      <c r="I56" s="47">
        <v>2</v>
      </c>
      <c r="J56" s="47">
        <v>4</v>
      </c>
      <c r="K56" s="47">
        <v>0</v>
      </c>
      <c r="L56" s="47">
        <v>5</v>
      </c>
      <c r="M56" s="47">
        <v>0</v>
      </c>
      <c r="N56" s="47">
        <v>0</v>
      </c>
      <c r="O56" s="15">
        <f t="shared" si="0"/>
        <v>20</v>
      </c>
      <c r="P56" s="15">
        <f t="shared" si="1"/>
        <v>20</v>
      </c>
      <c r="R56" s="8"/>
      <c r="T56"/>
    </row>
    <row r="57" spans="2:20" ht="23.1" customHeight="1" x14ac:dyDescent="0.25">
      <c r="B57" s="42" t="s">
        <v>84</v>
      </c>
      <c r="C57" s="47">
        <v>0</v>
      </c>
      <c r="D57" s="47">
        <v>0</v>
      </c>
      <c r="E57" s="47">
        <v>0</v>
      </c>
      <c r="F57" s="47">
        <v>0</v>
      </c>
      <c r="G57" s="47">
        <v>0</v>
      </c>
      <c r="H57" s="47">
        <v>0</v>
      </c>
      <c r="I57" s="47">
        <v>0</v>
      </c>
      <c r="J57" s="47">
        <v>0</v>
      </c>
      <c r="K57" s="47">
        <v>0</v>
      </c>
      <c r="L57" s="47">
        <v>0</v>
      </c>
      <c r="M57" s="47">
        <v>0</v>
      </c>
      <c r="N57" s="47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2" t="s">
        <v>99</v>
      </c>
      <c r="C58" s="47">
        <v>4</v>
      </c>
      <c r="D58" s="47">
        <v>0</v>
      </c>
      <c r="E58" s="47">
        <v>0</v>
      </c>
      <c r="F58" s="47">
        <v>1</v>
      </c>
      <c r="G58" s="47">
        <v>0</v>
      </c>
      <c r="H58" s="47">
        <v>0</v>
      </c>
      <c r="I58" s="47">
        <v>2</v>
      </c>
      <c r="J58" s="47">
        <v>1</v>
      </c>
      <c r="K58" s="47">
        <v>3</v>
      </c>
      <c r="L58" s="47">
        <v>3</v>
      </c>
      <c r="M58" s="47">
        <v>0</v>
      </c>
      <c r="N58" s="47">
        <v>0</v>
      </c>
      <c r="O58" s="15">
        <f t="shared" si="0"/>
        <v>14</v>
      </c>
      <c r="P58" s="15">
        <f t="shared" si="1"/>
        <v>14</v>
      </c>
      <c r="R58" s="8"/>
      <c r="T58"/>
    </row>
    <row r="59" spans="2:20" ht="23.1" customHeight="1" x14ac:dyDescent="0.25">
      <c r="B59" s="42" t="s">
        <v>100</v>
      </c>
      <c r="C59" s="47">
        <v>0</v>
      </c>
      <c r="D59" s="47">
        <v>0</v>
      </c>
      <c r="E59" s="47">
        <v>0</v>
      </c>
      <c r="F59" s="47">
        <v>0</v>
      </c>
      <c r="G59" s="47">
        <v>0</v>
      </c>
      <c r="H59" s="47">
        <v>0</v>
      </c>
      <c r="I59" s="47">
        <v>0</v>
      </c>
      <c r="J59" s="47">
        <v>0</v>
      </c>
      <c r="K59" s="47">
        <v>0</v>
      </c>
      <c r="L59" s="47">
        <v>0</v>
      </c>
      <c r="M59" s="47">
        <v>0</v>
      </c>
      <c r="N59" s="47"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42" t="s">
        <v>101</v>
      </c>
      <c r="C60" s="47">
        <v>9</v>
      </c>
      <c r="D60" s="47">
        <v>0</v>
      </c>
      <c r="E60" s="47">
        <v>0</v>
      </c>
      <c r="F60" s="47">
        <v>0</v>
      </c>
      <c r="G60" s="47">
        <v>0</v>
      </c>
      <c r="H60" s="47">
        <v>0</v>
      </c>
      <c r="I60" s="47">
        <v>0</v>
      </c>
      <c r="J60" s="47">
        <v>2</v>
      </c>
      <c r="K60" s="47">
        <v>2</v>
      </c>
      <c r="L60" s="47">
        <v>4</v>
      </c>
      <c r="M60" s="47">
        <v>0</v>
      </c>
      <c r="N60" s="47">
        <v>0</v>
      </c>
      <c r="O60" s="15">
        <f t="shared" si="0"/>
        <v>17</v>
      </c>
      <c r="P60" s="15">
        <f t="shared" si="1"/>
        <v>17</v>
      </c>
      <c r="R60" s="8"/>
      <c r="T60"/>
    </row>
    <row r="61" spans="2:20" ht="23.1" customHeight="1" x14ac:dyDescent="0.25">
      <c r="B61" s="42" t="s">
        <v>102</v>
      </c>
      <c r="C61" s="47">
        <v>0</v>
      </c>
      <c r="D61" s="47">
        <v>0</v>
      </c>
      <c r="E61" s="47">
        <v>0</v>
      </c>
      <c r="F61" s="47">
        <v>0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>
        <v>0</v>
      </c>
      <c r="M61" s="47">
        <v>0</v>
      </c>
      <c r="N61" s="47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2" t="s">
        <v>107</v>
      </c>
      <c r="C62" s="47">
        <v>5</v>
      </c>
      <c r="D62" s="47">
        <v>0</v>
      </c>
      <c r="E62" s="47">
        <v>0</v>
      </c>
      <c r="F62" s="47">
        <v>6</v>
      </c>
      <c r="G62" s="47">
        <v>0</v>
      </c>
      <c r="H62" s="47">
        <v>3</v>
      </c>
      <c r="I62" s="47">
        <v>2</v>
      </c>
      <c r="J62" s="47">
        <v>0</v>
      </c>
      <c r="K62" s="47">
        <v>3</v>
      </c>
      <c r="L62" s="47">
        <v>1</v>
      </c>
      <c r="M62" s="47">
        <v>0</v>
      </c>
      <c r="N62" s="47">
        <v>0</v>
      </c>
      <c r="O62" s="15">
        <f t="shared" si="0"/>
        <v>20</v>
      </c>
      <c r="P62" s="15">
        <f t="shared" si="1"/>
        <v>20</v>
      </c>
      <c r="R62" s="8"/>
      <c r="T62"/>
    </row>
    <row r="63" spans="2:20" ht="23.1" customHeight="1" x14ac:dyDescent="0.25">
      <c r="B63" s="42" t="s">
        <v>108</v>
      </c>
      <c r="C63" s="47">
        <v>0</v>
      </c>
      <c r="D63" s="47">
        <v>0</v>
      </c>
      <c r="E63" s="47">
        <v>0</v>
      </c>
      <c r="F63" s="47">
        <v>0</v>
      </c>
      <c r="G63" s="47">
        <v>0</v>
      </c>
      <c r="H63" s="47">
        <v>0</v>
      </c>
      <c r="I63" s="47">
        <v>0</v>
      </c>
      <c r="J63" s="47">
        <v>0</v>
      </c>
      <c r="K63" s="47">
        <v>0</v>
      </c>
      <c r="L63" s="47">
        <v>0</v>
      </c>
      <c r="M63" s="47">
        <v>0</v>
      </c>
      <c r="N63" s="47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2" t="s">
        <v>109</v>
      </c>
      <c r="C64" s="47">
        <v>6</v>
      </c>
      <c r="D64" s="47">
        <v>0</v>
      </c>
      <c r="E64" s="47">
        <v>0</v>
      </c>
      <c r="F64" s="47">
        <v>2</v>
      </c>
      <c r="G64" s="47">
        <v>0</v>
      </c>
      <c r="H64" s="47">
        <v>0</v>
      </c>
      <c r="I64" s="47">
        <v>1</v>
      </c>
      <c r="J64" s="47">
        <v>0</v>
      </c>
      <c r="K64" s="47">
        <v>4</v>
      </c>
      <c r="L64" s="47">
        <v>2</v>
      </c>
      <c r="M64" s="47">
        <v>0</v>
      </c>
      <c r="N64" s="47">
        <v>0</v>
      </c>
      <c r="O64" s="15">
        <f t="shared" si="0"/>
        <v>15</v>
      </c>
      <c r="P64" s="15">
        <f t="shared" si="1"/>
        <v>15</v>
      </c>
      <c r="R64" s="8"/>
      <c r="T64"/>
    </row>
    <row r="65" spans="2:20" ht="23.1" customHeight="1" x14ac:dyDescent="0.25">
      <c r="B65" s="42" t="s">
        <v>158</v>
      </c>
      <c r="C65" s="47">
        <v>0</v>
      </c>
      <c r="D65" s="47">
        <v>0</v>
      </c>
      <c r="E65" s="47">
        <v>0</v>
      </c>
      <c r="F65" s="47">
        <v>0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>
        <v>0</v>
      </c>
      <c r="M65" s="47">
        <v>0</v>
      </c>
      <c r="N65" s="47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2" t="s">
        <v>103</v>
      </c>
      <c r="C66" s="47">
        <v>2</v>
      </c>
      <c r="D66" s="47">
        <v>0</v>
      </c>
      <c r="E66" s="47">
        <v>0</v>
      </c>
      <c r="F66" s="47">
        <v>3</v>
      </c>
      <c r="G66" s="47">
        <v>0</v>
      </c>
      <c r="H66" s="47">
        <v>0</v>
      </c>
      <c r="I66" s="47">
        <v>1</v>
      </c>
      <c r="J66" s="47">
        <v>4</v>
      </c>
      <c r="K66" s="47">
        <v>3</v>
      </c>
      <c r="L66" s="47">
        <v>5</v>
      </c>
      <c r="M66" s="47">
        <v>0</v>
      </c>
      <c r="N66" s="47">
        <v>0</v>
      </c>
      <c r="O66" s="15">
        <f t="shared" si="0"/>
        <v>18</v>
      </c>
      <c r="P66" s="15">
        <f t="shared" si="1"/>
        <v>18</v>
      </c>
      <c r="R66" s="8"/>
      <c r="T66"/>
    </row>
    <row r="67" spans="2:20" ht="23.1" customHeight="1" x14ac:dyDescent="0.25">
      <c r="B67" s="42" t="s">
        <v>104</v>
      </c>
      <c r="C67" s="47">
        <v>0</v>
      </c>
      <c r="D67" s="47">
        <v>0</v>
      </c>
      <c r="E67" s="47">
        <v>0</v>
      </c>
      <c r="F67" s="47">
        <v>0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>
        <v>0</v>
      </c>
      <c r="M67" s="47">
        <v>0</v>
      </c>
      <c r="N67" s="47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2" t="s">
        <v>105</v>
      </c>
      <c r="C68" s="47">
        <v>0</v>
      </c>
      <c r="D68" s="47">
        <v>0</v>
      </c>
      <c r="E68" s="47">
        <v>0</v>
      </c>
      <c r="F68" s="47">
        <v>3</v>
      </c>
      <c r="G68" s="47">
        <v>0</v>
      </c>
      <c r="H68" s="47">
        <v>0</v>
      </c>
      <c r="I68" s="47">
        <v>2</v>
      </c>
      <c r="J68" s="47">
        <v>2</v>
      </c>
      <c r="K68" s="47">
        <v>1</v>
      </c>
      <c r="L68" s="47">
        <v>2</v>
      </c>
      <c r="M68" s="47">
        <v>0</v>
      </c>
      <c r="N68" s="47">
        <v>0</v>
      </c>
      <c r="O68" s="15">
        <f t="shared" si="0"/>
        <v>10</v>
      </c>
      <c r="P68" s="15">
        <f t="shared" si="1"/>
        <v>10</v>
      </c>
      <c r="R68" s="8"/>
      <c r="T68"/>
    </row>
    <row r="69" spans="2:20" ht="23.1" customHeight="1" x14ac:dyDescent="0.25">
      <c r="B69" s="42" t="s">
        <v>106</v>
      </c>
      <c r="C69" s="47">
        <v>0</v>
      </c>
      <c r="D69" s="47">
        <v>0</v>
      </c>
      <c r="E69" s="47">
        <v>0</v>
      </c>
      <c r="F69" s="47">
        <v>0</v>
      </c>
      <c r="G69" s="47">
        <v>0</v>
      </c>
      <c r="H69" s="47">
        <v>0</v>
      </c>
      <c r="I69" s="47">
        <v>0</v>
      </c>
      <c r="J69" s="47">
        <v>0</v>
      </c>
      <c r="K69" s="47">
        <v>0</v>
      </c>
      <c r="L69" s="47">
        <v>0</v>
      </c>
      <c r="M69" s="47">
        <v>0</v>
      </c>
      <c r="N69" s="47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2" t="s">
        <v>110</v>
      </c>
      <c r="C70" s="47">
        <v>3</v>
      </c>
      <c r="D70" s="47">
        <v>0</v>
      </c>
      <c r="E70" s="47">
        <v>0</v>
      </c>
      <c r="F70" s="47">
        <v>2</v>
      </c>
      <c r="G70" s="47">
        <v>0</v>
      </c>
      <c r="H70" s="47">
        <v>0</v>
      </c>
      <c r="I70" s="47">
        <v>0</v>
      </c>
      <c r="J70" s="47">
        <v>3</v>
      </c>
      <c r="K70" s="47">
        <v>2</v>
      </c>
      <c r="L70" s="47">
        <v>4</v>
      </c>
      <c r="M70" s="47">
        <v>0</v>
      </c>
      <c r="N70" s="47">
        <v>0</v>
      </c>
      <c r="O70" s="15">
        <f t="shared" si="0"/>
        <v>14</v>
      </c>
      <c r="P70" s="15">
        <f t="shared" si="1"/>
        <v>14</v>
      </c>
      <c r="R70" s="8"/>
      <c r="T70"/>
    </row>
    <row r="71" spans="2:20" ht="23.1" customHeight="1" x14ac:dyDescent="0.25">
      <c r="B71" s="42" t="s">
        <v>111</v>
      </c>
      <c r="C71" s="47">
        <v>0</v>
      </c>
      <c r="D71" s="47">
        <v>0</v>
      </c>
      <c r="E71" s="47">
        <v>0</v>
      </c>
      <c r="F71" s="47">
        <v>0</v>
      </c>
      <c r="G71" s="47">
        <v>0</v>
      </c>
      <c r="H71" s="47">
        <v>0</v>
      </c>
      <c r="I71" s="47">
        <v>0</v>
      </c>
      <c r="J71" s="47">
        <v>0</v>
      </c>
      <c r="K71" s="47">
        <v>0</v>
      </c>
      <c r="L71" s="47">
        <v>0</v>
      </c>
      <c r="M71" s="47">
        <v>0</v>
      </c>
      <c r="N71" s="47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2" t="s">
        <v>112</v>
      </c>
      <c r="C72" s="47">
        <v>6</v>
      </c>
      <c r="D72" s="47">
        <v>0</v>
      </c>
      <c r="E72" s="47">
        <v>0</v>
      </c>
      <c r="F72" s="47">
        <v>4</v>
      </c>
      <c r="G72" s="47">
        <v>0</v>
      </c>
      <c r="H72" s="47">
        <v>0</v>
      </c>
      <c r="I72" s="47">
        <v>3</v>
      </c>
      <c r="J72" s="47">
        <v>1</v>
      </c>
      <c r="K72" s="47">
        <v>2</v>
      </c>
      <c r="L72" s="47">
        <v>1</v>
      </c>
      <c r="M72" s="47">
        <v>0</v>
      </c>
      <c r="N72" s="47">
        <v>0</v>
      </c>
      <c r="O72" s="15">
        <f t="shared" si="0"/>
        <v>17</v>
      </c>
      <c r="P72" s="15">
        <f t="shared" si="1"/>
        <v>17</v>
      </c>
      <c r="R72" s="8"/>
      <c r="T72"/>
    </row>
    <row r="73" spans="2:20" ht="23.1" customHeight="1" x14ac:dyDescent="0.25">
      <c r="B73" s="42" t="s">
        <v>113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  <c r="K73" s="47">
        <v>0</v>
      </c>
      <c r="L73" s="47">
        <v>0</v>
      </c>
      <c r="M73" s="47">
        <v>0</v>
      </c>
      <c r="N73" s="47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2" t="s">
        <v>114</v>
      </c>
      <c r="C74" s="47">
        <v>1</v>
      </c>
      <c r="D74" s="47">
        <v>0</v>
      </c>
      <c r="E74" s="47">
        <v>0</v>
      </c>
      <c r="F74" s="47">
        <v>2</v>
      </c>
      <c r="G74" s="47">
        <v>0</v>
      </c>
      <c r="H74" s="47">
        <v>0</v>
      </c>
      <c r="I74" s="47">
        <v>1</v>
      </c>
      <c r="J74" s="47">
        <v>0</v>
      </c>
      <c r="K74" s="47">
        <v>2</v>
      </c>
      <c r="L74" s="47">
        <v>0</v>
      </c>
      <c r="M74" s="47">
        <v>0</v>
      </c>
      <c r="N74" s="47">
        <v>0</v>
      </c>
      <c r="O74" s="15">
        <f t="shared" ref="O74:O105" si="35">SUM(C74:L74,N74)</f>
        <v>6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2" t="s">
        <v>115</v>
      </c>
      <c r="C75" s="47">
        <v>0</v>
      </c>
      <c r="D75" s="47">
        <v>0</v>
      </c>
      <c r="E75" s="47">
        <v>0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>
        <v>0</v>
      </c>
      <c r="M75" s="47">
        <v>0</v>
      </c>
      <c r="N75" s="47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2" t="s">
        <v>116</v>
      </c>
      <c r="C76" s="47">
        <v>0</v>
      </c>
      <c r="D76" s="47">
        <v>0</v>
      </c>
      <c r="E76" s="47">
        <v>0</v>
      </c>
      <c r="F76" s="47">
        <v>1</v>
      </c>
      <c r="G76" s="47">
        <v>0</v>
      </c>
      <c r="H76" s="47">
        <v>0</v>
      </c>
      <c r="I76" s="47">
        <v>2</v>
      </c>
      <c r="J76" s="47">
        <v>0</v>
      </c>
      <c r="K76" s="47">
        <v>0</v>
      </c>
      <c r="L76" s="47">
        <v>3</v>
      </c>
      <c r="M76" s="47">
        <v>0</v>
      </c>
      <c r="N76" s="47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2" t="s">
        <v>117</v>
      </c>
      <c r="C77" s="47">
        <v>0</v>
      </c>
      <c r="D77" s="47">
        <v>0</v>
      </c>
      <c r="E77" s="47">
        <v>0</v>
      </c>
      <c r="F77" s="47">
        <v>0</v>
      </c>
      <c r="G77" s="47">
        <v>0</v>
      </c>
      <c r="H77" s="47">
        <v>0</v>
      </c>
      <c r="I77" s="47">
        <v>0</v>
      </c>
      <c r="J77" s="47">
        <v>0</v>
      </c>
      <c r="K77" s="47">
        <v>0</v>
      </c>
      <c r="L77" s="47">
        <v>0</v>
      </c>
      <c r="M77" s="47">
        <v>0</v>
      </c>
      <c r="N77" s="47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3" t="s">
        <v>118</v>
      </c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  <c r="K78" s="47">
        <v>0</v>
      </c>
      <c r="L78" s="47">
        <v>0</v>
      </c>
      <c r="M78" s="47">
        <v>0</v>
      </c>
      <c r="N78" s="47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2" t="s">
        <v>119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  <c r="K79" s="47">
        <v>0</v>
      </c>
      <c r="L79" s="47">
        <v>0</v>
      </c>
      <c r="M79" s="47">
        <v>0</v>
      </c>
      <c r="N79" s="47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4" t="s">
        <v>120</v>
      </c>
      <c r="C80" s="47">
        <v>2</v>
      </c>
      <c r="D80" s="47">
        <v>0</v>
      </c>
      <c r="E80" s="47">
        <v>0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0</v>
      </c>
      <c r="M80" s="47">
        <v>0</v>
      </c>
      <c r="N80" s="47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2" t="s">
        <v>121</v>
      </c>
      <c r="C81" s="47">
        <v>0</v>
      </c>
      <c r="D81" s="47">
        <v>0</v>
      </c>
      <c r="E81" s="47">
        <v>0</v>
      </c>
      <c r="F81" s="47">
        <v>0</v>
      </c>
      <c r="G81" s="47">
        <v>0</v>
      </c>
      <c r="H81" s="47">
        <v>0</v>
      </c>
      <c r="I81" s="47">
        <v>0</v>
      </c>
      <c r="J81" s="47">
        <v>0</v>
      </c>
      <c r="K81" s="47">
        <v>0</v>
      </c>
      <c r="L81" s="47">
        <v>0</v>
      </c>
      <c r="M81" s="47">
        <v>0</v>
      </c>
      <c r="N81" s="47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3" t="s">
        <v>122</v>
      </c>
      <c r="C82" s="47">
        <v>1</v>
      </c>
      <c r="D82" s="47">
        <v>0</v>
      </c>
      <c r="E82" s="47">
        <v>0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2" t="s">
        <v>123</v>
      </c>
      <c r="C83" s="47">
        <v>0</v>
      </c>
      <c r="D83" s="47">
        <v>0</v>
      </c>
      <c r="E83" s="47">
        <v>0</v>
      </c>
      <c r="F83" s="47">
        <v>0</v>
      </c>
      <c r="G83" s="47">
        <v>0</v>
      </c>
      <c r="H83" s="47">
        <v>0</v>
      </c>
      <c r="I83" s="47">
        <v>0</v>
      </c>
      <c r="J83" s="47">
        <v>0</v>
      </c>
      <c r="K83" s="47">
        <v>0</v>
      </c>
      <c r="L83" s="47">
        <v>0</v>
      </c>
      <c r="M83" s="47">
        <v>0</v>
      </c>
      <c r="N83" s="47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4" t="s">
        <v>124</v>
      </c>
      <c r="C84" s="47">
        <v>0</v>
      </c>
      <c r="D84" s="47">
        <v>0</v>
      </c>
      <c r="E84" s="47">
        <v>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2" t="s">
        <v>125</v>
      </c>
      <c r="C85" s="47">
        <v>0</v>
      </c>
      <c r="D85" s="47">
        <v>0</v>
      </c>
      <c r="E85" s="47">
        <v>0</v>
      </c>
      <c r="F85" s="47">
        <v>0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>
        <v>0</v>
      </c>
      <c r="M85" s="47">
        <v>0</v>
      </c>
      <c r="N85" s="47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3" t="s">
        <v>126</v>
      </c>
      <c r="C86" s="47">
        <v>0</v>
      </c>
      <c r="D86" s="47">
        <v>0</v>
      </c>
      <c r="E86" s="47">
        <v>0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2" t="s">
        <v>127</v>
      </c>
      <c r="C87" s="47">
        <v>0</v>
      </c>
      <c r="D87" s="47">
        <v>0</v>
      </c>
      <c r="E87" s="47">
        <v>0</v>
      </c>
      <c r="F87" s="47">
        <v>0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>
        <v>0</v>
      </c>
      <c r="M87" s="47">
        <v>0</v>
      </c>
      <c r="N87" s="47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4" t="s">
        <v>128</v>
      </c>
      <c r="C88" s="47">
        <v>0</v>
      </c>
      <c r="D88" s="47">
        <v>0</v>
      </c>
      <c r="E88" s="47">
        <v>0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2" t="s">
        <v>129</v>
      </c>
      <c r="C89" s="47">
        <v>0</v>
      </c>
      <c r="D89" s="47">
        <v>0</v>
      </c>
      <c r="E89" s="47">
        <v>0</v>
      </c>
      <c r="F89" s="47">
        <v>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>
        <v>0</v>
      </c>
      <c r="M89" s="47">
        <v>0</v>
      </c>
      <c r="N89" s="47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3" t="s">
        <v>130</v>
      </c>
      <c r="C90" s="47">
        <v>0</v>
      </c>
      <c r="D90" s="47">
        <v>0</v>
      </c>
      <c r="E90" s="47">
        <v>0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2" t="s">
        <v>131</v>
      </c>
      <c r="C91" s="47">
        <v>0</v>
      </c>
      <c r="D91" s="47">
        <v>0</v>
      </c>
      <c r="E91" s="47">
        <v>0</v>
      </c>
      <c r="F91" s="47">
        <v>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>
        <v>0</v>
      </c>
      <c r="M91" s="47">
        <v>0</v>
      </c>
      <c r="N91" s="47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4" t="s">
        <v>132</v>
      </c>
      <c r="C92" s="47">
        <v>0</v>
      </c>
      <c r="D92" s="47">
        <v>0</v>
      </c>
      <c r="E92" s="47">
        <v>0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2" t="s">
        <v>133</v>
      </c>
      <c r="C93" s="47">
        <v>0</v>
      </c>
      <c r="D93" s="47">
        <v>0</v>
      </c>
      <c r="E93" s="47">
        <v>0</v>
      </c>
      <c r="F93" s="47">
        <v>0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>
        <v>0</v>
      </c>
      <c r="M93" s="47">
        <v>0</v>
      </c>
      <c r="N93" s="47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3" t="s">
        <v>134</v>
      </c>
      <c r="C94" s="47">
        <v>0</v>
      </c>
      <c r="D94" s="47">
        <v>0</v>
      </c>
      <c r="E94" s="47">
        <v>0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2" t="s">
        <v>135</v>
      </c>
      <c r="C95" s="47">
        <v>0</v>
      </c>
      <c r="D95" s="47">
        <v>0</v>
      </c>
      <c r="E95" s="47">
        <v>0</v>
      </c>
      <c r="F95" s="47">
        <v>0</v>
      </c>
      <c r="G95" s="47">
        <v>0</v>
      </c>
      <c r="H95" s="47">
        <v>0</v>
      </c>
      <c r="I95" s="47">
        <v>0</v>
      </c>
      <c r="J95" s="47">
        <v>0</v>
      </c>
      <c r="K95" s="47">
        <v>0</v>
      </c>
      <c r="L95" s="47">
        <v>0</v>
      </c>
      <c r="M95" s="47">
        <v>0</v>
      </c>
      <c r="N95" s="47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4" t="s">
        <v>136</v>
      </c>
      <c r="C96" s="47">
        <v>0</v>
      </c>
      <c r="D96" s="47">
        <v>0</v>
      </c>
      <c r="E96" s="47">
        <v>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2" t="s">
        <v>137</v>
      </c>
      <c r="C97" s="47">
        <v>0</v>
      </c>
      <c r="D97" s="47">
        <v>0</v>
      </c>
      <c r="E97" s="47">
        <v>0</v>
      </c>
      <c r="F97" s="47">
        <v>0</v>
      </c>
      <c r="G97" s="47">
        <v>0</v>
      </c>
      <c r="H97" s="47">
        <v>0</v>
      </c>
      <c r="I97" s="47">
        <v>0</v>
      </c>
      <c r="J97" s="47">
        <v>0</v>
      </c>
      <c r="K97" s="47">
        <v>0</v>
      </c>
      <c r="L97" s="47">
        <v>0</v>
      </c>
      <c r="M97" s="47">
        <v>0</v>
      </c>
      <c r="N97" s="47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3" t="s">
        <v>138</v>
      </c>
      <c r="C98" s="47">
        <v>0</v>
      </c>
      <c r="D98" s="47">
        <v>0</v>
      </c>
      <c r="E98" s="47">
        <v>0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2" t="s">
        <v>139</v>
      </c>
      <c r="C99" s="47">
        <v>0</v>
      </c>
      <c r="D99" s="47">
        <v>0</v>
      </c>
      <c r="E99" s="47">
        <v>0</v>
      </c>
      <c r="F99" s="47">
        <v>0</v>
      </c>
      <c r="G99" s="47">
        <v>0</v>
      </c>
      <c r="H99" s="47">
        <v>0</v>
      </c>
      <c r="I99" s="47">
        <v>0</v>
      </c>
      <c r="J99" s="47">
        <v>0</v>
      </c>
      <c r="K99" s="47">
        <v>0</v>
      </c>
      <c r="L99" s="47">
        <v>0</v>
      </c>
      <c r="M99" s="47">
        <v>0</v>
      </c>
      <c r="N99" s="47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4" t="s">
        <v>140</v>
      </c>
      <c r="C100" s="47">
        <v>0</v>
      </c>
      <c r="D100" s="47">
        <v>0</v>
      </c>
      <c r="E100" s="47">
        <v>0</v>
      </c>
      <c r="F100" s="47">
        <v>0</v>
      </c>
      <c r="G100" s="47">
        <v>0</v>
      </c>
      <c r="H100" s="47">
        <v>0</v>
      </c>
      <c r="I100" s="47">
        <v>0</v>
      </c>
      <c r="J100" s="47">
        <v>0</v>
      </c>
      <c r="K100" s="47">
        <v>0</v>
      </c>
      <c r="L100" s="47">
        <v>0</v>
      </c>
      <c r="M100" s="47">
        <v>0</v>
      </c>
      <c r="N100" s="47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2" t="s">
        <v>141</v>
      </c>
      <c r="C101" s="47">
        <v>0</v>
      </c>
      <c r="D101" s="47">
        <v>0</v>
      </c>
      <c r="E101" s="47">
        <v>0</v>
      </c>
      <c r="F101" s="47">
        <v>0</v>
      </c>
      <c r="G101" s="47">
        <v>0</v>
      </c>
      <c r="H101" s="47">
        <v>0</v>
      </c>
      <c r="I101" s="47">
        <v>0</v>
      </c>
      <c r="J101" s="47">
        <v>0</v>
      </c>
      <c r="K101" s="47">
        <v>0</v>
      </c>
      <c r="L101" s="47">
        <v>0</v>
      </c>
      <c r="M101" s="47">
        <v>0</v>
      </c>
      <c r="N101" s="47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3" t="s">
        <v>142</v>
      </c>
      <c r="C102" s="47">
        <v>14</v>
      </c>
      <c r="D102" s="47">
        <v>0</v>
      </c>
      <c r="E102" s="47">
        <v>0</v>
      </c>
      <c r="F102" s="47">
        <v>5</v>
      </c>
      <c r="G102" s="47">
        <v>0</v>
      </c>
      <c r="H102" s="47">
        <v>2</v>
      </c>
      <c r="I102" s="47">
        <v>4</v>
      </c>
      <c r="J102" s="47">
        <v>2</v>
      </c>
      <c r="K102" s="47">
        <v>3</v>
      </c>
      <c r="L102" s="47">
        <v>1</v>
      </c>
      <c r="M102" s="47">
        <v>0</v>
      </c>
      <c r="N102" s="47">
        <v>0</v>
      </c>
      <c r="O102" s="15">
        <f t="shared" si="35"/>
        <v>31</v>
      </c>
      <c r="P102" s="15">
        <f t="shared" si="36"/>
        <v>31</v>
      </c>
      <c r="R102" s="8"/>
      <c r="T102"/>
    </row>
    <row r="103" spans="2:20" ht="23.1" customHeight="1" x14ac:dyDescent="0.25">
      <c r="B103" s="42" t="s">
        <v>143</v>
      </c>
      <c r="C103" s="47">
        <v>0</v>
      </c>
      <c r="D103" s="47">
        <v>0</v>
      </c>
      <c r="E103" s="47">
        <v>0</v>
      </c>
      <c r="F103" s="47">
        <v>0</v>
      </c>
      <c r="G103" s="47">
        <v>0</v>
      </c>
      <c r="H103" s="47">
        <v>0</v>
      </c>
      <c r="I103" s="47">
        <v>0</v>
      </c>
      <c r="J103" s="47">
        <v>0</v>
      </c>
      <c r="K103" s="47">
        <v>0</v>
      </c>
      <c r="L103" s="47">
        <v>0</v>
      </c>
      <c r="M103" s="47">
        <v>0</v>
      </c>
      <c r="N103" s="47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4" t="s">
        <v>144</v>
      </c>
      <c r="C104" s="47">
        <v>4</v>
      </c>
      <c r="D104" s="47">
        <v>0</v>
      </c>
      <c r="E104" s="47">
        <v>0</v>
      </c>
      <c r="F104" s="47">
        <v>2</v>
      </c>
      <c r="G104" s="47">
        <v>0</v>
      </c>
      <c r="H104" s="47">
        <v>3</v>
      </c>
      <c r="I104" s="47">
        <v>2</v>
      </c>
      <c r="J104" s="47">
        <v>0</v>
      </c>
      <c r="K104" s="47">
        <v>0</v>
      </c>
      <c r="L104" s="47">
        <v>8</v>
      </c>
      <c r="M104" s="47">
        <v>0</v>
      </c>
      <c r="N104" s="47">
        <v>0</v>
      </c>
      <c r="O104" s="15">
        <f t="shared" si="35"/>
        <v>19</v>
      </c>
      <c r="P104" s="15">
        <f t="shared" si="36"/>
        <v>19</v>
      </c>
      <c r="R104" s="8"/>
      <c r="T104"/>
    </row>
    <row r="105" spans="2:20" ht="23.1" customHeight="1" x14ac:dyDescent="0.25">
      <c r="B105" s="42" t="s">
        <v>145</v>
      </c>
      <c r="C105" s="47">
        <v>0</v>
      </c>
      <c r="D105" s="47">
        <v>0</v>
      </c>
      <c r="E105" s="47">
        <v>0</v>
      </c>
      <c r="F105" s="47">
        <v>0</v>
      </c>
      <c r="G105" s="47">
        <v>0</v>
      </c>
      <c r="H105" s="47">
        <v>0</v>
      </c>
      <c r="I105" s="47">
        <v>0</v>
      </c>
      <c r="J105" s="47">
        <v>0</v>
      </c>
      <c r="K105" s="47">
        <v>0</v>
      </c>
      <c r="L105" s="47">
        <v>0</v>
      </c>
      <c r="M105" s="47">
        <v>0</v>
      </c>
      <c r="N105" s="47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150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85</v>
      </c>
      <c r="G106" s="16">
        <f t="shared" si="37"/>
        <v>5</v>
      </c>
      <c r="H106" s="16">
        <f t="shared" si="37"/>
        <v>18</v>
      </c>
      <c r="I106" s="16">
        <f t="shared" si="37"/>
        <v>41</v>
      </c>
      <c r="J106" s="16">
        <f t="shared" si="37"/>
        <v>53</v>
      </c>
      <c r="K106" s="16">
        <f t="shared" si="37"/>
        <v>48</v>
      </c>
      <c r="L106" s="47">
        <v>76</v>
      </c>
      <c r="M106" s="16">
        <f t="shared" si="37"/>
        <v>0</v>
      </c>
      <c r="N106" s="16">
        <f t="shared" si="37"/>
        <v>0</v>
      </c>
      <c r="O106" s="16">
        <f t="shared" si="37"/>
        <v>476</v>
      </c>
      <c r="P106" s="16">
        <f t="shared" si="37"/>
        <v>476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0.31512605042016806</v>
      </c>
      <c r="D107" s="40">
        <f t="shared" si="38"/>
        <v>0</v>
      </c>
      <c r="E107" s="40">
        <f t="shared" si="38"/>
        <v>0</v>
      </c>
      <c r="F107" s="40">
        <f t="shared" si="38"/>
        <v>0.17857142857142858</v>
      </c>
      <c r="G107" s="40">
        <f t="shared" si="38"/>
        <v>1.050420168067227E-2</v>
      </c>
      <c r="H107" s="40">
        <f t="shared" si="38"/>
        <v>3.7815126050420166E-2</v>
      </c>
      <c r="I107" s="40">
        <f t="shared" si="38"/>
        <v>8.6134453781512604E-2</v>
      </c>
      <c r="J107" s="40">
        <f t="shared" si="38"/>
        <v>0.11134453781512606</v>
      </c>
      <c r="K107" s="40">
        <f t="shared" si="38"/>
        <v>0.10084033613445378</v>
      </c>
      <c r="L107" s="47">
        <v>0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0.31512605042016806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0.17857142857142858</v>
      </c>
      <c r="G108" s="41">
        <f t="shared" si="39"/>
        <v>1.050420168067227E-2</v>
      </c>
      <c r="H108" s="41">
        <f t="shared" si="39"/>
        <v>3.7815126050420166E-2</v>
      </c>
      <c r="I108" s="41">
        <f t="shared" si="39"/>
        <v>8.6134453781512604E-2</v>
      </c>
      <c r="J108" s="41">
        <f t="shared" si="39"/>
        <v>0.11134453781512606</v>
      </c>
      <c r="K108" s="41">
        <f t="shared" si="39"/>
        <v>0.10084033613445378</v>
      </c>
      <c r="L108" s="47">
        <v>0</v>
      </c>
      <c r="M108" s="41"/>
      <c r="N108" s="41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52" zoomScale="60" workbookViewId="0">
      <selection activeCell="AE48" sqref="AE4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e">
        <f>#REF!</f>
        <v>#REF!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61" t="s">
        <v>162</v>
      </c>
      <c r="E5" s="62"/>
      <c r="F5" s="38" t="s">
        <v>1</v>
      </c>
      <c r="G5" s="58" t="e">
        <f>#REF!</f>
        <v>#REF!</v>
      </c>
      <c r="H5" s="59"/>
      <c r="I5" s="14"/>
      <c r="J5" s="2" t="s">
        <v>5</v>
      </c>
      <c r="K5" s="58" t="e">
        <f>#REF!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Kampala-Mutukula-24h'!D6:E6</f>
        <v>Kampala</v>
      </c>
      <c r="E6" s="59"/>
      <c r="F6" s="2" t="s">
        <v>2</v>
      </c>
      <c r="G6" s="58" t="str">
        <f>'25.05 Kampala-Mutukula-24h'!G6:H6</f>
        <v>Mutukula</v>
      </c>
      <c r="H6" s="59"/>
      <c r="J6" s="2" t="s">
        <v>21</v>
      </c>
      <c r="K6" s="58" t="e">
        <f>#REF!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20" t="s">
        <v>37</v>
      </c>
      <c r="C10" s="46">
        <f>AVERAGE('25.05 Kampala-Mutukula-24h'!C10,'26.05 Kampala-Mutukula-24h'!C10,'27.05 Kampala-Mutukula-24h'!C10)</f>
        <v>2</v>
      </c>
      <c r="D10" s="46">
        <f>AVERAGE('25.05 Kampala-Mutukula-24h'!D10,'26.05 Kampala-Mutukula-24h'!D10,'27.05 Kampala-Mutukula-24h'!D10)</f>
        <v>0</v>
      </c>
      <c r="E10" s="46">
        <f>AVERAGE('25.05 Kampala-Mutukula-24h'!E10,'26.05 Kampala-Mutukula-24h'!E10,'27.05 Kampala-Mutukula-24h'!E10)</f>
        <v>0</v>
      </c>
      <c r="F10" s="46">
        <f>AVERAGE('25.05 Kampala-Mutukula-24h'!F10,'26.05 Kampala-Mutukula-24h'!F10,'27.05 Kampala-Mutukula-24h'!F10)</f>
        <v>1.3333333333333333</v>
      </c>
      <c r="G10" s="46">
        <f>AVERAGE('25.05 Kampala-Mutukula-24h'!G10,'26.05 Kampala-Mutukula-24h'!G10,'27.05 Kampala-Mutukula-24h'!G10)</f>
        <v>0</v>
      </c>
      <c r="H10" s="46">
        <f>AVERAGE('25.05 Kampala-Mutukula-24h'!H10,'26.05 Kampala-Mutukula-24h'!H10,'27.05 Kampala-Mutukula-24h'!H10)</f>
        <v>1</v>
      </c>
      <c r="I10" s="46">
        <f>AVERAGE('25.05 Kampala-Mutukula-24h'!I10,'26.05 Kampala-Mutukula-24h'!I10,'27.05 Kampala-Mutukula-24h'!I10)</f>
        <v>0</v>
      </c>
      <c r="J10" s="46">
        <f>AVERAGE('25.05 Kampala-Mutukula-24h'!J10,'26.05 Kampala-Mutukula-24h'!J10,'27.05 Kampala-Mutukula-24h'!J10)</f>
        <v>1</v>
      </c>
      <c r="K10" s="46">
        <f>AVERAGE('25.05 Kampala-Mutukula-24h'!K10,'26.05 Kampala-Mutukula-24h'!K10,'27.05 Kampala-Mutukula-24h'!K10)</f>
        <v>0.33333333333333331</v>
      </c>
      <c r="L10" s="46">
        <f>AVERAGE('25.05 Kampala-Mutukula-24h'!L10,'26.05 Kampala-Mutukula-24h'!L10,'27.05 Kampala-Mutukula-24h'!L10)</f>
        <v>1.3333333333333333</v>
      </c>
      <c r="M10" s="46">
        <f>AVERAGE('25.05 Kampala-Mutukula-24h'!L10,'26.05 Kampala-Mutukula-24h'!L10,'27.05 Kampala-Mutukula-24h'!L10)</f>
        <v>1.3333333333333333</v>
      </c>
      <c r="N10" s="46">
        <f>AVERAGE('25.05 Kampala-Mutukula-24h'!N10,'26.05 Kampala-Mutukula-24h'!N10,'27.05 Kampala-Mutukula-24h'!N10)</f>
        <v>0</v>
      </c>
      <c r="O10" s="15">
        <f t="shared" ref="O10:O73" si="0">SUM(C10:L10,N10)</f>
        <v>6.9999999999999991</v>
      </c>
      <c r="P10" s="15">
        <f t="shared" ref="P10:P73" si="1">SUM(C10:N10)</f>
        <v>8.3333333333333321</v>
      </c>
      <c r="R10" s="1" t="s">
        <v>6</v>
      </c>
      <c r="S10" s="17">
        <f t="shared" ref="S10:AF10" si="2">SUM(C10:C13)</f>
        <v>4.6666666666666661</v>
      </c>
      <c r="T10" s="17">
        <f t="shared" si="2"/>
        <v>0</v>
      </c>
      <c r="U10" s="17">
        <f t="shared" si="2"/>
        <v>0</v>
      </c>
      <c r="V10" s="17">
        <f t="shared" si="2"/>
        <v>1.6666666666666665</v>
      </c>
      <c r="W10" s="17">
        <f t="shared" si="2"/>
        <v>0.33333333333333331</v>
      </c>
      <c r="X10" s="17">
        <f t="shared" si="2"/>
        <v>1</v>
      </c>
      <c r="Y10" s="17">
        <f t="shared" si="2"/>
        <v>1</v>
      </c>
      <c r="Z10" s="17">
        <f t="shared" si="2"/>
        <v>3</v>
      </c>
      <c r="AA10" s="17">
        <f t="shared" si="2"/>
        <v>1</v>
      </c>
      <c r="AB10" s="17">
        <f t="shared" si="2"/>
        <v>2.333333333333333</v>
      </c>
      <c r="AC10" s="17">
        <f t="shared" si="2"/>
        <v>2.333333333333333</v>
      </c>
      <c r="AD10" s="17">
        <f t="shared" si="2"/>
        <v>0</v>
      </c>
      <c r="AE10" s="28">
        <f t="shared" si="2"/>
        <v>15</v>
      </c>
      <c r="AF10" s="28">
        <f t="shared" si="2"/>
        <v>17.333333333333332</v>
      </c>
    </row>
    <row r="11" spans="2:32" s="6" customFormat="1" ht="23.1" customHeight="1" x14ac:dyDescent="0.25">
      <c r="B11" s="20" t="s">
        <v>38</v>
      </c>
      <c r="C11" s="46">
        <f>AVERAGE('25.05 Kampala-Mutukula-24h'!C11,'26.05 Kampala-Mutukula-24h'!C11,'27.05 Kampala-Mutukula-24h'!C11)</f>
        <v>0</v>
      </c>
      <c r="D11" s="46">
        <f>AVERAGE('25.05 Kampala-Mutukula-24h'!D11,'26.05 Kampala-Mutukula-24h'!D11,'27.05 Kampala-Mutukula-24h'!D11)</f>
        <v>0</v>
      </c>
      <c r="E11" s="46">
        <f>AVERAGE('25.05 Kampala-Mutukula-24h'!E11,'26.05 Kampala-Mutukula-24h'!E11,'27.05 Kampala-Mutukula-24h'!E11)</f>
        <v>0</v>
      </c>
      <c r="F11" s="46">
        <f>AVERAGE('25.05 Kampala-Mutukula-24h'!F11,'26.05 Kampala-Mutukula-24h'!F11,'27.05 Kampala-Mutukula-24h'!F11)</f>
        <v>0</v>
      </c>
      <c r="G11" s="46">
        <f>AVERAGE('25.05 Kampala-Mutukula-24h'!G11,'26.05 Kampala-Mutukula-24h'!G11,'27.05 Kampala-Mutukula-24h'!G11)</f>
        <v>0</v>
      </c>
      <c r="H11" s="46">
        <f>AVERAGE('25.05 Kampala-Mutukula-24h'!H11,'26.05 Kampala-Mutukula-24h'!H11,'27.05 Kampala-Mutukula-24h'!H11)</f>
        <v>0</v>
      </c>
      <c r="I11" s="46">
        <f>AVERAGE('25.05 Kampala-Mutukula-24h'!I11,'26.05 Kampala-Mutukula-24h'!I11,'27.05 Kampala-Mutukula-24h'!I11)</f>
        <v>0</v>
      </c>
      <c r="J11" s="46">
        <f>AVERAGE('25.05 Kampala-Mutukula-24h'!J11,'26.05 Kampala-Mutukula-24h'!J11,'27.05 Kampala-Mutukula-24h'!J11)</f>
        <v>0</v>
      </c>
      <c r="K11" s="46">
        <f>AVERAGE('25.05 Kampala-Mutukula-24h'!K11,'26.05 Kampala-Mutukula-24h'!K11,'27.05 Kampala-Mutukula-24h'!K11)</f>
        <v>0</v>
      </c>
      <c r="L11" s="46">
        <f>AVERAGE('25.05 Kampala-Mutukula-24h'!L11,'26.05 Kampala-Mutukula-24h'!L11,'27.05 Kampala-Mutukula-24h'!L11)</f>
        <v>0</v>
      </c>
      <c r="M11" s="46">
        <f>AVERAGE('25.05 Kampala-Mutukula-24h'!L11,'26.05 Kampala-Mutukula-24h'!L11,'27.05 Kampala-Mutukula-24h'!L11)</f>
        <v>0</v>
      </c>
      <c r="N11" s="46">
        <f>AVERAGE('25.05 Kampala-Mutukula-24h'!N11,'26.05 Kampala-Mutukula-24h'!N11,'27.05 Kampala-Mutukula-24h'!N11)</f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5.666666666666667</v>
      </c>
      <c r="T11" s="17">
        <f t="shared" si="3"/>
        <v>0</v>
      </c>
      <c r="U11" s="17">
        <f t="shared" si="3"/>
        <v>0</v>
      </c>
      <c r="V11" s="17">
        <f t="shared" si="3"/>
        <v>2.3333333333333335</v>
      </c>
      <c r="W11" s="17">
        <f t="shared" si="3"/>
        <v>0.33333333333333331</v>
      </c>
      <c r="X11" s="17">
        <f t="shared" si="3"/>
        <v>0.66666666666666663</v>
      </c>
      <c r="Y11" s="17">
        <f t="shared" si="3"/>
        <v>0.66666666666666663</v>
      </c>
      <c r="Z11" s="17">
        <f t="shared" si="3"/>
        <v>3.666666666666667</v>
      </c>
      <c r="AA11" s="17">
        <f t="shared" si="3"/>
        <v>2</v>
      </c>
      <c r="AB11" s="17">
        <f t="shared" si="3"/>
        <v>4.333333333333333</v>
      </c>
      <c r="AC11" s="17">
        <f t="shared" si="3"/>
        <v>4.333333333333333</v>
      </c>
      <c r="AD11" s="17">
        <f t="shared" si="3"/>
        <v>0</v>
      </c>
      <c r="AE11" s="28">
        <f t="shared" si="3"/>
        <v>19.666666666666668</v>
      </c>
      <c r="AF11" s="28">
        <f t="shared" si="3"/>
        <v>24</v>
      </c>
    </row>
    <row r="12" spans="2:32" ht="23.1" customHeight="1" x14ac:dyDescent="0.25">
      <c r="B12" s="20" t="s">
        <v>39</v>
      </c>
      <c r="C12" s="46">
        <f>AVERAGE('25.05 Kampala-Mutukula-24h'!C12,'26.05 Kampala-Mutukula-24h'!C12,'27.05 Kampala-Mutukula-24h'!C12)</f>
        <v>2.6666666666666665</v>
      </c>
      <c r="D12" s="46">
        <f>AVERAGE('25.05 Kampala-Mutukula-24h'!D12,'26.05 Kampala-Mutukula-24h'!D12,'27.05 Kampala-Mutukula-24h'!D12)</f>
        <v>0</v>
      </c>
      <c r="E12" s="46">
        <f>AVERAGE('25.05 Kampala-Mutukula-24h'!E12,'26.05 Kampala-Mutukula-24h'!E12,'27.05 Kampala-Mutukula-24h'!E12)</f>
        <v>0</v>
      </c>
      <c r="F12" s="46">
        <f>AVERAGE('25.05 Kampala-Mutukula-24h'!F12,'26.05 Kampala-Mutukula-24h'!F12,'27.05 Kampala-Mutukula-24h'!F12)</f>
        <v>0.33333333333333331</v>
      </c>
      <c r="G12" s="46">
        <f>AVERAGE('25.05 Kampala-Mutukula-24h'!G12,'26.05 Kampala-Mutukula-24h'!G12,'27.05 Kampala-Mutukula-24h'!G12)</f>
        <v>0.33333333333333331</v>
      </c>
      <c r="H12" s="46">
        <f>AVERAGE('25.05 Kampala-Mutukula-24h'!H12,'26.05 Kampala-Mutukula-24h'!H12,'27.05 Kampala-Mutukula-24h'!H12)</f>
        <v>0</v>
      </c>
      <c r="I12" s="46">
        <f>AVERAGE('25.05 Kampala-Mutukula-24h'!I12,'26.05 Kampala-Mutukula-24h'!I12,'27.05 Kampala-Mutukula-24h'!I12)</f>
        <v>1</v>
      </c>
      <c r="J12" s="46">
        <f>AVERAGE('25.05 Kampala-Mutukula-24h'!J12,'26.05 Kampala-Mutukula-24h'!J12,'27.05 Kampala-Mutukula-24h'!J12)</f>
        <v>2</v>
      </c>
      <c r="K12" s="46">
        <f>AVERAGE('25.05 Kampala-Mutukula-24h'!K12,'26.05 Kampala-Mutukula-24h'!K12,'27.05 Kampala-Mutukula-24h'!K12)</f>
        <v>0.66666666666666663</v>
      </c>
      <c r="L12" s="46">
        <f>AVERAGE('25.05 Kampala-Mutukula-24h'!L12,'26.05 Kampala-Mutukula-24h'!L12,'27.05 Kampala-Mutukula-24h'!L12)</f>
        <v>1</v>
      </c>
      <c r="M12" s="46">
        <f>AVERAGE('25.05 Kampala-Mutukula-24h'!L12,'26.05 Kampala-Mutukula-24h'!L12,'27.05 Kampala-Mutukula-24h'!L12)</f>
        <v>1</v>
      </c>
      <c r="N12" s="46">
        <f>AVERAGE('25.05 Kampala-Mutukula-24h'!N12,'26.05 Kampala-Mutukula-24h'!N12,'27.05 Kampala-Mutukula-24h'!N12)</f>
        <v>0</v>
      </c>
      <c r="O12" s="15">
        <f t="shared" si="0"/>
        <v>8</v>
      </c>
      <c r="P12" s="15">
        <f t="shared" si="1"/>
        <v>9</v>
      </c>
      <c r="R12" s="1" t="s">
        <v>8</v>
      </c>
      <c r="S12" s="17">
        <f t="shared" ref="S12:AF12" si="4">SUM(C18:C21)</f>
        <v>9.3333333333333339</v>
      </c>
      <c r="T12" s="17">
        <f t="shared" si="4"/>
        <v>0</v>
      </c>
      <c r="U12" s="17">
        <f t="shared" si="4"/>
        <v>0</v>
      </c>
      <c r="V12" s="17">
        <f t="shared" si="4"/>
        <v>6</v>
      </c>
      <c r="W12" s="17">
        <f t="shared" si="4"/>
        <v>0.66666666666666663</v>
      </c>
      <c r="X12" s="17">
        <f t="shared" si="4"/>
        <v>2.666666666666667</v>
      </c>
      <c r="Y12" s="17">
        <f t="shared" si="4"/>
        <v>1.3333333333333333</v>
      </c>
      <c r="Z12" s="17">
        <f t="shared" si="4"/>
        <v>6</v>
      </c>
      <c r="AA12" s="17">
        <f t="shared" si="4"/>
        <v>2</v>
      </c>
      <c r="AB12" s="17">
        <f t="shared" si="4"/>
        <v>6.6666666666666661</v>
      </c>
      <c r="AC12" s="17">
        <f t="shared" si="4"/>
        <v>6.6666666666666661</v>
      </c>
      <c r="AD12" s="17">
        <f t="shared" si="4"/>
        <v>0</v>
      </c>
      <c r="AE12" s="28">
        <f t="shared" si="4"/>
        <v>34.666666666666671</v>
      </c>
      <c r="AF12" s="28">
        <f t="shared" si="4"/>
        <v>41.333333333333336</v>
      </c>
    </row>
    <row r="13" spans="2:32" ht="23.1" customHeight="1" x14ac:dyDescent="0.25">
      <c r="B13" s="20" t="s">
        <v>40</v>
      </c>
      <c r="C13" s="46">
        <f>AVERAGE('25.05 Kampala-Mutukula-24h'!C13,'26.05 Kampala-Mutukula-24h'!C13,'27.05 Kampala-Mutukula-24h'!C13)</f>
        <v>0</v>
      </c>
      <c r="D13" s="46">
        <f>AVERAGE('25.05 Kampala-Mutukula-24h'!D13,'26.05 Kampala-Mutukula-24h'!D13,'27.05 Kampala-Mutukula-24h'!D13)</f>
        <v>0</v>
      </c>
      <c r="E13" s="46">
        <f>AVERAGE('25.05 Kampala-Mutukula-24h'!E13,'26.05 Kampala-Mutukula-24h'!E13,'27.05 Kampala-Mutukula-24h'!E13)</f>
        <v>0</v>
      </c>
      <c r="F13" s="46">
        <f>AVERAGE('25.05 Kampala-Mutukula-24h'!F13,'26.05 Kampala-Mutukula-24h'!F13,'27.05 Kampala-Mutukula-24h'!F13)</f>
        <v>0</v>
      </c>
      <c r="G13" s="46">
        <f>AVERAGE('25.05 Kampala-Mutukula-24h'!G13,'26.05 Kampala-Mutukula-24h'!G13,'27.05 Kampala-Mutukula-24h'!G13)</f>
        <v>0</v>
      </c>
      <c r="H13" s="46">
        <f>AVERAGE('25.05 Kampala-Mutukula-24h'!H13,'26.05 Kampala-Mutukula-24h'!H13,'27.05 Kampala-Mutukula-24h'!H13)</f>
        <v>0</v>
      </c>
      <c r="I13" s="46">
        <f>AVERAGE('25.05 Kampala-Mutukula-24h'!I13,'26.05 Kampala-Mutukula-24h'!I13,'27.05 Kampala-Mutukula-24h'!I13)</f>
        <v>0</v>
      </c>
      <c r="J13" s="46">
        <f>AVERAGE('25.05 Kampala-Mutukula-24h'!J13,'26.05 Kampala-Mutukula-24h'!J13,'27.05 Kampala-Mutukula-24h'!J13)</f>
        <v>0</v>
      </c>
      <c r="K13" s="46">
        <f>AVERAGE('25.05 Kampala-Mutukula-24h'!K13,'26.05 Kampala-Mutukula-24h'!K13,'27.05 Kampala-Mutukula-24h'!K13)</f>
        <v>0</v>
      </c>
      <c r="L13" s="46">
        <f>AVERAGE('25.05 Kampala-Mutukula-24h'!L13,'26.05 Kampala-Mutukula-24h'!L13,'27.05 Kampala-Mutukula-24h'!L13)</f>
        <v>0</v>
      </c>
      <c r="M13" s="46">
        <f>AVERAGE('25.05 Kampala-Mutukula-24h'!L13,'26.05 Kampala-Mutukula-24h'!L13,'27.05 Kampala-Mutukula-24h'!L13)</f>
        <v>0</v>
      </c>
      <c r="N13" s="46">
        <f>AVERAGE('25.05 Kampala-Mutukula-24h'!N13,'26.05 Kampala-Mutukula-24h'!N13,'27.05 Kampala-Mutukula-24h'!N13)</f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0</v>
      </c>
      <c r="V13" s="17">
        <f t="shared" si="5"/>
        <v>4</v>
      </c>
      <c r="W13" s="17">
        <f t="shared" si="5"/>
        <v>0.33333333333333331</v>
      </c>
      <c r="X13" s="17">
        <f t="shared" si="5"/>
        <v>0.66666666666666663</v>
      </c>
      <c r="Y13" s="17">
        <f t="shared" si="5"/>
        <v>0.66666666666666663</v>
      </c>
      <c r="Z13" s="17">
        <f t="shared" si="5"/>
        <v>2.333333333333333</v>
      </c>
      <c r="AA13" s="17">
        <f t="shared" si="5"/>
        <v>0.33333333333333331</v>
      </c>
      <c r="AB13" s="17">
        <f t="shared" si="5"/>
        <v>6</v>
      </c>
      <c r="AC13" s="17">
        <f t="shared" si="5"/>
        <v>6</v>
      </c>
      <c r="AD13" s="17">
        <f t="shared" si="5"/>
        <v>0</v>
      </c>
      <c r="AE13" s="28">
        <f t="shared" si="5"/>
        <v>21.333333333333332</v>
      </c>
      <c r="AF13" s="28">
        <f t="shared" si="5"/>
        <v>27.333333333333332</v>
      </c>
    </row>
    <row r="14" spans="2:32" ht="23.1" customHeight="1" x14ac:dyDescent="0.25">
      <c r="B14" s="20" t="s">
        <v>41</v>
      </c>
      <c r="C14" s="46">
        <f>AVERAGE('25.05 Kampala-Mutukula-24h'!C14,'26.05 Kampala-Mutukula-24h'!C14,'27.05 Kampala-Mutukula-24h'!C14)</f>
        <v>1</v>
      </c>
      <c r="D14" s="46">
        <f>AVERAGE('25.05 Kampala-Mutukula-24h'!D14,'26.05 Kampala-Mutukula-24h'!D14,'27.05 Kampala-Mutukula-24h'!D14)</f>
        <v>0</v>
      </c>
      <c r="E14" s="46">
        <f>AVERAGE('25.05 Kampala-Mutukula-24h'!E14,'26.05 Kampala-Mutukula-24h'!E14,'27.05 Kampala-Mutukula-24h'!E14)</f>
        <v>0</v>
      </c>
      <c r="F14" s="46">
        <f>AVERAGE('25.05 Kampala-Mutukula-24h'!F14,'26.05 Kampala-Mutukula-24h'!F14,'27.05 Kampala-Mutukula-24h'!F14)</f>
        <v>0.33333333333333331</v>
      </c>
      <c r="G14" s="46">
        <f>AVERAGE('25.05 Kampala-Mutukula-24h'!G14,'26.05 Kampala-Mutukula-24h'!G14,'27.05 Kampala-Mutukula-24h'!G14)</f>
        <v>0</v>
      </c>
      <c r="H14" s="46">
        <f>AVERAGE('25.05 Kampala-Mutukula-24h'!H14,'26.05 Kampala-Mutukula-24h'!H14,'27.05 Kampala-Mutukula-24h'!H14)</f>
        <v>0</v>
      </c>
      <c r="I14" s="46">
        <f>AVERAGE('25.05 Kampala-Mutukula-24h'!I14,'26.05 Kampala-Mutukula-24h'!I14,'27.05 Kampala-Mutukula-24h'!I14)</f>
        <v>0</v>
      </c>
      <c r="J14" s="46">
        <f>AVERAGE('25.05 Kampala-Mutukula-24h'!J14,'26.05 Kampala-Mutukula-24h'!J14,'27.05 Kampala-Mutukula-24h'!J14)</f>
        <v>1.3333333333333333</v>
      </c>
      <c r="K14" s="46">
        <f>AVERAGE('25.05 Kampala-Mutukula-24h'!K14,'26.05 Kampala-Mutukula-24h'!K14,'27.05 Kampala-Mutukula-24h'!K14)</f>
        <v>1</v>
      </c>
      <c r="L14" s="46">
        <f>AVERAGE('25.05 Kampala-Mutukula-24h'!L14,'26.05 Kampala-Mutukula-24h'!L14,'27.05 Kampala-Mutukula-24h'!L14)</f>
        <v>1.6666666666666667</v>
      </c>
      <c r="M14" s="46">
        <f>AVERAGE('25.05 Kampala-Mutukula-24h'!L14,'26.05 Kampala-Mutukula-24h'!L14,'27.05 Kampala-Mutukula-24h'!L14)</f>
        <v>1.6666666666666667</v>
      </c>
      <c r="N14" s="46">
        <f>AVERAGE('25.05 Kampala-Mutukula-24h'!N14,'26.05 Kampala-Mutukula-24h'!N14,'27.05 Kampala-Mutukula-24h'!N14)</f>
        <v>0</v>
      </c>
      <c r="O14" s="15">
        <f t="shared" si="0"/>
        <v>5.333333333333333</v>
      </c>
      <c r="P14" s="15">
        <f t="shared" si="1"/>
        <v>7</v>
      </c>
      <c r="R14" s="1" t="s">
        <v>10</v>
      </c>
      <c r="S14" s="17">
        <f t="shared" ref="S14:AF14" si="6">SUM(C26:C29)</f>
        <v>9.6666666666666679</v>
      </c>
      <c r="T14" s="17">
        <f t="shared" si="6"/>
        <v>0</v>
      </c>
      <c r="U14" s="17">
        <f t="shared" si="6"/>
        <v>0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0.66666666666666663</v>
      </c>
      <c r="AB14" s="17">
        <f t="shared" si="6"/>
        <v>1.6666666666666665</v>
      </c>
      <c r="AC14" s="17">
        <f t="shared" si="6"/>
        <v>1.6666666666666665</v>
      </c>
      <c r="AD14" s="17">
        <f t="shared" si="6"/>
        <v>0</v>
      </c>
      <c r="AE14" s="28">
        <f t="shared" si="6"/>
        <v>19</v>
      </c>
      <c r="AF14" s="28">
        <f t="shared" si="6"/>
        <v>20.666666666666668</v>
      </c>
    </row>
    <row r="15" spans="2:32" ht="23.1" customHeight="1" x14ac:dyDescent="0.25">
      <c r="B15" s="20" t="s">
        <v>42</v>
      </c>
      <c r="C15" s="46">
        <f>AVERAGE('25.05 Kampala-Mutukula-24h'!C15,'26.05 Kampala-Mutukula-24h'!C15,'27.05 Kampala-Mutukula-24h'!C15)</f>
        <v>0</v>
      </c>
      <c r="D15" s="46">
        <f>AVERAGE('25.05 Kampala-Mutukula-24h'!D15,'26.05 Kampala-Mutukula-24h'!D15,'27.05 Kampala-Mutukula-24h'!D15)</f>
        <v>0</v>
      </c>
      <c r="E15" s="46">
        <f>AVERAGE('25.05 Kampala-Mutukula-24h'!E15,'26.05 Kampala-Mutukula-24h'!E15,'27.05 Kampala-Mutukula-24h'!E15)</f>
        <v>0</v>
      </c>
      <c r="F15" s="46">
        <f>AVERAGE('25.05 Kampala-Mutukula-24h'!F15,'26.05 Kampala-Mutukula-24h'!F15,'27.05 Kampala-Mutukula-24h'!F15)</f>
        <v>0</v>
      </c>
      <c r="G15" s="46">
        <f>AVERAGE('25.05 Kampala-Mutukula-24h'!G15,'26.05 Kampala-Mutukula-24h'!G15,'27.05 Kampala-Mutukula-24h'!G15)</f>
        <v>0</v>
      </c>
      <c r="H15" s="46">
        <f>AVERAGE('25.05 Kampala-Mutukula-24h'!H15,'26.05 Kampala-Mutukula-24h'!H15,'27.05 Kampala-Mutukula-24h'!H15)</f>
        <v>0</v>
      </c>
      <c r="I15" s="46">
        <f>AVERAGE('25.05 Kampala-Mutukula-24h'!I15,'26.05 Kampala-Mutukula-24h'!I15,'27.05 Kampala-Mutukula-24h'!I15)</f>
        <v>0</v>
      </c>
      <c r="J15" s="46">
        <f>AVERAGE('25.05 Kampala-Mutukula-24h'!J15,'26.05 Kampala-Mutukula-24h'!J15,'27.05 Kampala-Mutukula-24h'!J15)</f>
        <v>0</v>
      </c>
      <c r="K15" s="46">
        <f>AVERAGE('25.05 Kampala-Mutukula-24h'!K15,'26.05 Kampala-Mutukula-24h'!K15,'27.05 Kampala-Mutukula-24h'!K15)</f>
        <v>0</v>
      </c>
      <c r="L15" s="46">
        <f>AVERAGE('25.05 Kampala-Mutukula-24h'!L15,'26.05 Kampala-Mutukula-24h'!L15,'27.05 Kampala-Mutukula-24h'!L15)</f>
        <v>0</v>
      </c>
      <c r="M15" s="46">
        <f>AVERAGE('25.05 Kampala-Mutukula-24h'!L15,'26.05 Kampala-Mutukula-24h'!L15,'27.05 Kampala-Mutukula-24h'!L15)</f>
        <v>0</v>
      </c>
      <c r="N15" s="46">
        <f>AVERAGE('25.05 Kampala-Mutukula-24h'!N15,'26.05 Kampala-Mutukula-24h'!N15,'27.05 Kampala-Mutukula-24h'!N15)</f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0</v>
      </c>
      <c r="V15" s="17">
        <f t="shared" si="7"/>
        <v>3.3333333333333335</v>
      </c>
      <c r="W15" s="17">
        <f t="shared" si="7"/>
        <v>0.33333333333333331</v>
      </c>
      <c r="X15" s="17">
        <f t="shared" si="7"/>
        <v>0</v>
      </c>
      <c r="Y15" s="17">
        <f t="shared" si="7"/>
        <v>0.33333333333333331</v>
      </c>
      <c r="Z15" s="17">
        <f t="shared" si="7"/>
        <v>3.333333333333333</v>
      </c>
      <c r="AA15" s="17">
        <f t="shared" si="7"/>
        <v>0.33333333333333331</v>
      </c>
      <c r="AB15" s="17">
        <f t="shared" si="7"/>
        <v>3</v>
      </c>
      <c r="AC15" s="17">
        <f t="shared" si="7"/>
        <v>3</v>
      </c>
      <c r="AD15" s="17">
        <f t="shared" si="7"/>
        <v>0</v>
      </c>
      <c r="AE15" s="28">
        <f t="shared" si="7"/>
        <v>18.666666666666664</v>
      </c>
      <c r="AF15" s="28">
        <f t="shared" si="7"/>
        <v>21.666666666666664</v>
      </c>
    </row>
    <row r="16" spans="2:32" ht="23.1" customHeight="1" x14ac:dyDescent="0.25">
      <c r="B16" s="20" t="s">
        <v>43</v>
      </c>
      <c r="C16" s="46">
        <f>AVERAGE('25.05 Kampala-Mutukula-24h'!C16,'26.05 Kampala-Mutukula-24h'!C16,'27.05 Kampala-Mutukula-24h'!C16)</f>
        <v>4.666666666666667</v>
      </c>
      <c r="D16" s="46">
        <f>AVERAGE('25.05 Kampala-Mutukula-24h'!D16,'26.05 Kampala-Mutukula-24h'!D16,'27.05 Kampala-Mutukula-24h'!D16)</f>
        <v>0</v>
      </c>
      <c r="E16" s="46">
        <f>AVERAGE('25.05 Kampala-Mutukula-24h'!E16,'26.05 Kampala-Mutukula-24h'!E16,'27.05 Kampala-Mutukula-24h'!E16)</f>
        <v>0</v>
      </c>
      <c r="F16" s="46">
        <f>AVERAGE('25.05 Kampala-Mutukula-24h'!F16,'26.05 Kampala-Mutukula-24h'!F16,'27.05 Kampala-Mutukula-24h'!F16)</f>
        <v>2</v>
      </c>
      <c r="G16" s="46">
        <f>AVERAGE('25.05 Kampala-Mutukula-24h'!G16,'26.05 Kampala-Mutukula-24h'!G16,'27.05 Kampala-Mutukula-24h'!G16)</f>
        <v>0.33333333333333331</v>
      </c>
      <c r="H16" s="46">
        <f>AVERAGE('25.05 Kampala-Mutukula-24h'!H16,'26.05 Kampala-Mutukula-24h'!H16,'27.05 Kampala-Mutukula-24h'!H16)</f>
        <v>0.66666666666666663</v>
      </c>
      <c r="I16" s="46">
        <f>AVERAGE('25.05 Kampala-Mutukula-24h'!I16,'26.05 Kampala-Mutukula-24h'!I16,'27.05 Kampala-Mutukula-24h'!I16)</f>
        <v>0.66666666666666663</v>
      </c>
      <c r="J16" s="46">
        <f>AVERAGE('25.05 Kampala-Mutukula-24h'!J16,'26.05 Kampala-Mutukula-24h'!J16,'27.05 Kampala-Mutukula-24h'!J16)</f>
        <v>2.3333333333333335</v>
      </c>
      <c r="K16" s="46">
        <f>AVERAGE('25.05 Kampala-Mutukula-24h'!K16,'26.05 Kampala-Mutukula-24h'!K16,'27.05 Kampala-Mutukula-24h'!K16)</f>
        <v>1</v>
      </c>
      <c r="L16" s="46">
        <f>AVERAGE('25.05 Kampala-Mutukula-24h'!L16,'26.05 Kampala-Mutukula-24h'!L16,'27.05 Kampala-Mutukula-24h'!L16)</f>
        <v>2.6666666666666665</v>
      </c>
      <c r="M16" s="46">
        <f>AVERAGE('25.05 Kampala-Mutukula-24h'!L16,'26.05 Kampala-Mutukula-24h'!L16,'27.05 Kampala-Mutukula-24h'!L16)</f>
        <v>2.6666666666666665</v>
      </c>
      <c r="N16" s="46">
        <f>AVERAGE('25.05 Kampala-Mutukula-24h'!N16,'26.05 Kampala-Mutukula-24h'!N16,'27.05 Kampala-Mutukula-24h'!N16)</f>
        <v>0</v>
      </c>
      <c r="O16" s="15">
        <f t="shared" si="0"/>
        <v>14.333333333333334</v>
      </c>
      <c r="P16" s="15">
        <f t="shared" si="1"/>
        <v>17</v>
      </c>
      <c r="R16" s="1" t="s">
        <v>12</v>
      </c>
      <c r="S16" s="17">
        <f t="shared" ref="S16:AF16" si="8">SUM(C34:C37)</f>
        <v>8.6666666666666679</v>
      </c>
      <c r="T16" s="17">
        <f t="shared" si="8"/>
        <v>0</v>
      </c>
      <c r="U16" s="17">
        <f t="shared" si="8"/>
        <v>0</v>
      </c>
      <c r="V16" s="17">
        <f t="shared" si="8"/>
        <v>5.3333333333333339</v>
      </c>
      <c r="W16" s="17">
        <f t="shared" si="8"/>
        <v>0.66666666666666663</v>
      </c>
      <c r="X16" s="17">
        <f t="shared" si="8"/>
        <v>1</v>
      </c>
      <c r="Y16" s="17">
        <f t="shared" si="8"/>
        <v>2</v>
      </c>
      <c r="Z16" s="17">
        <f t="shared" si="8"/>
        <v>3</v>
      </c>
      <c r="AA16" s="17">
        <f t="shared" si="8"/>
        <v>0.66666666666666663</v>
      </c>
      <c r="AB16" s="17">
        <f t="shared" si="8"/>
        <v>3</v>
      </c>
      <c r="AC16" s="17">
        <f t="shared" si="8"/>
        <v>3</v>
      </c>
      <c r="AD16" s="17">
        <f t="shared" si="8"/>
        <v>0</v>
      </c>
      <c r="AE16" s="28">
        <f t="shared" si="8"/>
        <v>24.333333333333332</v>
      </c>
      <c r="AF16" s="28">
        <f t="shared" si="8"/>
        <v>27.333333333333332</v>
      </c>
    </row>
    <row r="17" spans="2:32" ht="23.1" customHeight="1" x14ac:dyDescent="0.25">
      <c r="B17" s="20" t="s">
        <v>44</v>
      </c>
      <c r="C17" s="46">
        <f>AVERAGE('25.05 Kampala-Mutukula-24h'!C17,'26.05 Kampala-Mutukula-24h'!C17,'27.05 Kampala-Mutukula-24h'!C17)</f>
        <v>0</v>
      </c>
      <c r="D17" s="46">
        <f>AVERAGE('25.05 Kampala-Mutukula-24h'!D17,'26.05 Kampala-Mutukula-24h'!D17,'27.05 Kampala-Mutukula-24h'!D17)</f>
        <v>0</v>
      </c>
      <c r="E17" s="46">
        <f>AVERAGE('25.05 Kampala-Mutukula-24h'!E17,'26.05 Kampala-Mutukula-24h'!E17,'27.05 Kampala-Mutukula-24h'!E17)</f>
        <v>0</v>
      </c>
      <c r="F17" s="46">
        <f>AVERAGE('25.05 Kampala-Mutukula-24h'!F17,'26.05 Kampala-Mutukula-24h'!F17,'27.05 Kampala-Mutukula-24h'!F17)</f>
        <v>0</v>
      </c>
      <c r="G17" s="46">
        <f>AVERAGE('25.05 Kampala-Mutukula-24h'!G17,'26.05 Kampala-Mutukula-24h'!G17,'27.05 Kampala-Mutukula-24h'!G17)</f>
        <v>0</v>
      </c>
      <c r="H17" s="46">
        <f>AVERAGE('25.05 Kampala-Mutukula-24h'!H17,'26.05 Kampala-Mutukula-24h'!H17,'27.05 Kampala-Mutukula-24h'!H17)</f>
        <v>0</v>
      </c>
      <c r="I17" s="46">
        <f>AVERAGE('25.05 Kampala-Mutukula-24h'!I17,'26.05 Kampala-Mutukula-24h'!I17,'27.05 Kampala-Mutukula-24h'!I17)</f>
        <v>0</v>
      </c>
      <c r="J17" s="46">
        <f>AVERAGE('25.05 Kampala-Mutukula-24h'!J17,'26.05 Kampala-Mutukula-24h'!J17,'27.05 Kampala-Mutukula-24h'!J17)</f>
        <v>0</v>
      </c>
      <c r="K17" s="46">
        <f>AVERAGE('25.05 Kampala-Mutukula-24h'!K17,'26.05 Kampala-Mutukula-24h'!K17,'27.05 Kampala-Mutukula-24h'!K17)</f>
        <v>0</v>
      </c>
      <c r="L17" s="46">
        <f>AVERAGE('25.05 Kampala-Mutukula-24h'!L17,'26.05 Kampala-Mutukula-24h'!L17,'27.05 Kampala-Mutukula-24h'!L17)</f>
        <v>0</v>
      </c>
      <c r="M17" s="46">
        <f>AVERAGE('25.05 Kampala-Mutukula-24h'!L17,'26.05 Kampala-Mutukula-24h'!L17,'27.05 Kampala-Mutukula-24h'!L17)</f>
        <v>0</v>
      </c>
      <c r="N17" s="46">
        <f>AVERAGE('25.05 Kampala-Mutukula-24h'!N17,'26.05 Kampala-Mutukula-24h'!N17,'27.05 Kampala-Mutukula-24h'!N17)</f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7.3333333333333339</v>
      </c>
      <c r="T17" s="17">
        <f t="shared" si="9"/>
        <v>0</v>
      </c>
      <c r="U17" s="17">
        <f t="shared" si="9"/>
        <v>0</v>
      </c>
      <c r="V17" s="17">
        <f t="shared" si="9"/>
        <v>2.666666666666667</v>
      </c>
      <c r="W17" s="17">
        <f t="shared" si="9"/>
        <v>0</v>
      </c>
      <c r="X17" s="17">
        <f t="shared" si="9"/>
        <v>1</v>
      </c>
      <c r="Y17" s="17">
        <f t="shared" si="9"/>
        <v>2.333333333333333</v>
      </c>
      <c r="Z17" s="17">
        <f t="shared" si="9"/>
        <v>3.3333333333333335</v>
      </c>
      <c r="AA17" s="17">
        <f t="shared" si="9"/>
        <v>1.3333333333333333</v>
      </c>
      <c r="AB17" s="17">
        <f t="shared" si="9"/>
        <v>2.333333333333333</v>
      </c>
      <c r="AC17" s="17">
        <f t="shared" si="9"/>
        <v>2.333333333333333</v>
      </c>
      <c r="AD17" s="17">
        <f t="shared" si="9"/>
        <v>0</v>
      </c>
      <c r="AE17" s="28">
        <f t="shared" si="9"/>
        <v>20.333333333333332</v>
      </c>
      <c r="AF17" s="28">
        <f t="shared" si="9"/>
        <v>22.666666666666664</v>
      </c>
    </row>
    <row r="18" spans="2:32" ht="23.1" customHeight="1" x14ac:dyDescent="0.25">
      <c r="B18" s="20" t="s">
        <v>45</v>
      </c>
      <c r="C18" s="46">
        <f>AVERAGE('25.05 Kampala-Mutukula-24h'!C18,'26.05 Kampala-Mutukula-24h'!C18,'27.05 Kampala-Mutukula-24h'!C18)</f>
        <v>4.666666666666667</v>
      </c>
      <c r="D18" s="46">
        <f>AVERAGE('25.05 Kampala-Mutukula-24h'!D18,'26.05 Kampala-Mutukula-24h'!D18,'27.05 Kampala-Mutukula-24h'!D18)</f>
        <v>0</v>
      </c>
      <c r="E18" s="46">
        <f>AVERAGE('25.05 Kampala-Mutukula-24h'!E18,'26.05 Kampala-Mutukula-24h'!E18,'27.05 Kampala-Mutukula-24h'!E18)</f>
        <v>0</v>
      </c>
      <c r="F18" s="46">
        <f>AVERAGE('25.05 Kampala-Mutukula-24h'!F18,'26.05 Kampala-Mutukula-24h'!F18,'27.05 Kampala-Mutukula-24h'!F18)</f>
        <v>2.6666666666666665</v>
      </c>
      <c r="G18" s="46">
        <f>AVERAGE('25.05 Kampala-Mutukula-24h'!G18,'26.05 Kampala-Mutukula-24h'!G18,'27.05 Kampala-Mutukula-24h'!G18)</f>
        <v>0</v>
      </c>
      <c r="H18" s="46">
        <f>AVERAGE('25.05 Kampala-Mutukula-24h'!H18,'26.05 Kampala-Mutukula-24h'!H18,'27.05 Kampala-Mutukula-24h'!H18)</f>
        <v>1.6666666666666667</v>
      </c>
      <c r="I18" s="46">
        <f>AVERAGE('25.05 Kampala-Mutukula-24h'!I18,'26.05 Kampala-Mutukula-24h'!I18,'27.05 Kampala-Mutukula-24h'!I18)</f>
        <v>1.3333333333333333</v>
      </c>
      <c r="J18" s="46">
        <f>AVERAGE('25.05 Kampala-Mutukula-24h'!J18,'26.05 Kampala-Mutukula-24h'!J18,'27.05 Kampala-Mutukula-24h'!J18)</f>
        <v>3.3333333333333335</v>
      </c>
      <c r="K18" s="46">
        <f>AVERAGE('25.05 Kampala-Mutukula-24h'!K18,'26.05 Kampala-Mutukula-24h'!K18,'27.05 Kampala-Mutukula-24h'!K18)</f>
        <v>1</v>
      </c>
      <c r="L18" s="46">
        <f>AVERAGE('25.05 Kampala-Mutukula-24h'!L18,'26.05 Kampala-Mutukula-24h'!L18,'27.05 Kampala-Mutukula-24h'!L18)</f>
        <v>3</v>
      </c>
      <c r="M18" s="46">
        <f>AVERAGE('25.05 Kampala-Mutukula-24h'!L18,'26.05 Kampala-Mutukula-24h'!L18,'27.05 Kampala-Mutukula-24h'!L18)</f>
        <v>3</v>
      </c>
      <c r="N18" s="46">
        <f>AVERAGE('25.05 Kampala-Mutukula-24h'!N18,'26.05 Kampala-Mutukula-24h'!N18,'27.05 Kampala-Mutukula-24h'!N18)</f>
        <v>0</v>
      </c>
      <c r="O18" s="15">
        <f t="shared" si="0"/>
        <v>17.666666666666668</v>
      </c>
      <c r="P18" s="15">
        <f t="shared" si="1"/>
        <v>20.666666666666668</v>
      </c>
      <c r="R18" s="1" t="s">
        <v>14</v>
      </c>
      <c r="S18" s="17">
        <f t="shared" ref="S18:AF18" si="10">SUM(C42:C45)</f>
        <v>7.333333333333333</v>
      </c>
      <c r="T18" s="17">
        <f t="shared" si="10"/>
        <v>0</v>
      </c>
      <c r="U18" s="17">
        <f t="shared" si="10"/>
        <v>0</v>
      </c>
      <c r="V18" s="17">
        <f t="shared" si="10"/>
        <v>5.6666666666666661</v>
      </c>
      <c r="W18" s="17">
        <f t="shared" si="10"/>
        <v>0</v>
      </c>
      <c r="X18" s="17">
        <f t="shared" si="10"/>
        <v>1.3333333333333333</v>
      </c>
      <c r="Y18" s="17">
        <f t="shared" si="10"/>
        <v>0.33333333333333331</v>
      </c>
      <c r="Z18" s="17">
        <f t="shared" si="10"/>
        <v>2.333333333333333</v>
      </c>
      <c r="AA18" s="17">
        <f t="shared" si="10"/>
        <v>0.66666666666666663</v>
      </c>
      <c r="AB18" s="17">
        <f t="shared" si="10"/>
        <v>1</v>
      </c>
      <c r="AC18" s="17">
        <f t="shared" si="10"/>
        <v>1</v>
      </c>
      <c r="AD18" s="17">
        <f t="shared" si="10"/>
        <v>0</v>
      </c>
      <c r="AE18" s="28">
        <f t="shared" si="10"/>
        <v>18.666666666666668</v>
      </c>
      <c r="AF18" s="28">
        <f t="shared" si="10"/>
        <v>19.666666666666668</v>
      </c>
    </row>
    <row r="19" spans="2:32" ht="23.1" customHeight="1" x14ac:dyDescent="0.25">
      <c r="B19" s="20" t="s">
        <v>46</v>
      </c>
      <c r="C19" s="46">
        <f>AVERAGE('25.05 Kampala-Mutukula-24h'!C19,'26.05 Kampala-Mutukula-24h'!C19,'27.05 Kampala-Mutukula-24h'!C19)</f>
        <v>0</v>
      </c>
      <c r="D19" s="46">
        <f>AVERAGE('25.05 Kampala-Mutukula-24h'!D19,'26.05 Kampala-Mutukula-24h'!D19,'27.05 Kampala-Mutukula-24h'!D19)</f>
        <v>0</v>
      </c>
      <c r="E19" s="46">
        <f>AVERAGE('25.05 Kampala-Mutukula-24h'!E19,'26.05 Kampala-Mutukula-24h'!E19,'27.05 Kampala-Mutukula-24h'!E19)</f>
        <v>0</v>
      </c>
      <c r="F19" s="46">
        <f>AVERAGE('25.05 Kampala-Mutukula-24h'!F19,'26.05 Kampala-Mutukula-24h'!F19,'27.05 Kampala-Mutukula-24h'!F19)</f>
        <v>0</v>
      </c>
      <c r="G19" s="46">
        <f>AVERAGE('25.05 Kampala-Mutukula-24h'!G19,'26.05 Kampala-Mutukula-24h'!G19,'27.05 Kampala-Mutukula-24h'!G19)</f>
        <v>0</v>
      </c>
      <c r="H19" s="46">
        <f>AVERAGE('25.05 Kampala-Mutukula-24h'!H19,'26.05 Kampala-Mutukula-24h'!H19,'27.05 Kampala-Mutukula-24h'!H19)</f>
        <v>0</v>
      </c>
      <c r="I19" s="46">
        <f>AVERAGE('25.05 Kampala-Mutukula-24h'!I19,'26.05 Kampala-Mutukula-24h'!I19,'27.05 Kampala-Mutukula-24h'!I19)</f>
        <v>0</v>
      </c>
      <c r="J19" s="46">
        <f>AVERAGE('25.05 Kampala-Mutukula-24h'!J19,'26.05 Kampala-Mutukula-24h'!J19,'27.05 Kampala-Mutukula-24h'!J19)</f>
        <v>0</v>
      </c>
      <c r="K19" s="46">
        <f>AVERAGE('25.05 Kampala-Mutukula-24h'!K19,'26.05 Kampala-Mutukula-24h'!K19,'27.05 Kampala-Mutukula-24h'!K19)</f>
        <v>0</v>
      </c>
      <c r="L19" s="46">
        <f>AVERAGE('25.05 Kampala-Mutukula-24h'!L19,'26.05 Kampala-Mutukula-24h'!L19,'27.05 Kampala-Mutukula-24h'!L19)</f>
        <v>0</v>
      </c>
      <c r="M19" s="46">
        <f>AVERAGE('25.05 Kampala-Mutukula-24h'!L19,'26.05 Kampala-Mutukula-24h'!L19,'27.05 Kampala-Mutukula-24h'!L19)</f>
        <v>0</v>
      </c>
      <c r="N19" s="46">
        <f>AVERAGE('25.05 Kampala-Mutukula-24h'!N19,'26.05 Kampala-Mutukula-24h'!N19,'27.05 Kampala-Mutukula-24h'!N19)</f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6.3333333333333339</v>
      </c>
      <c r="T19" s="17">
        <f t="shared" si="11"/>
        <v>0</v>
      </c>
      <c r="U19" s="17">
        <f t="shared" si="11"/>
        <v>0</v>
      </c>
      <c r="V19" s="17">
        <f t="shared" si="11"/>
        <v>3.6666666666666665</v>
      </c>
      <c r="W19" s="17">
        <f t="shared" si="11"/>
        <v>0</v>
      </c>
      <c r="X19" s="17">
        <f t="shared" si="11"/>
        <v>0.66666666666666663</v>
      </c>
      <c r="Y19" s="17">
        <f t="shared" si="11"/>
        <v>0.33333333333333331</v>
      </c>
      <c r="Z19" s="17">
        <f t="shared" si="11"/>
        <v>3</v>
      </c>
      <c r="AA19" s="17">
        <f t="shared" si="11"/>
        <v>1</v>
      </c>
      <c r="AB19" s="17">
        <f t="shared" si="11"/>
        <v>0.66666666666666663</v>
      </c>
      <c r="AC19" s="17">
        <f t="shared" si="11"/>
        <v>0.66666666666666663</v>
      </c>
      <c r="AD19" s="17">
        <f t="shared" si="11"/>
        <v>0</v>
      </c>
      <c r="AE19" s="28">
        <f t="shared" si="11"/>
        <v>15.666666666666666</v>
      </c>
      <c r="AF19" s="28">
        <f t="shared" si="11"/>
        <v>16.333333333333332</v>
      </c>
    </row>
    <row r="20" spans="2:32" ht="23.1" customHeight="1" x14ac:dyDescent="0.25">
      <c r="B20" s="20" t="s">
        <v>47</v>
      </c>
      <c r="C20" s="46">
        <f>AVERAGE('25.05 Kampala-Mutukula-24h'!C20,'26.05 Kampala-Mutukula-24h'!C20,'27.05 Kampala-Mutukula-24h'!C20)</f>
        <v>4.666666666666667</v>
      </c>
      <c r="D20" s="46">
        <f>AVERAGE('25.05 Kampala-Mutukula-24h'!D20,'26.05 Kampala-Mutukula-24h'!D20,'27.05 Kampala-Mutukula-24h'!D20)</f>
        <v>0</v>
      </c>
      <c r="E20" s="46">
        <f>AVERAGE('25.05 Kampala-Mutukula-24h'!E20,'26.05 Kampala-Mutukula-24h'!E20,'27.05 Kampala-Mutukula-24h'!E20)</f>
        <v>0</v>
      </c>
      <c r="F20" s="46">
        <f>AVERAGE('25.05 Kampala-Mutukula-24h'!F20,'26.05 Kampala-Mutukula-24h'!F20,'27.05 Kampala-Mutukula-24h'!F20)</f>
        <v>3.3333333333333335</v>
      </c>
      <c r="G20" s="46">
        <f>AVERAGE('25.05 Kampala-Mutukula-24h'!G20,'26.05 Kampala-Mutukula-24h'!G20,'27.05 Kampala-Mutukula-24h'!G20)</f>
        <v>0.66666666666666663</v>
      </c>
      <c r="H20" s="46">
        <f>AVERAGE('25.05 Kampala-Mutukula-24h'!H20,'26.05 Kampala-Mutukula-24h'!H20,'27.05 Kampala-Mutukula-24h'!H20)</f>
        <v>1</v>
      </c>
      <c r="I20" s="46">
        <f>AVERAGE('25.05 Kampala-Mutukula-24h'!I20,'26.05 Kampala-Mutukula-24h'!I20,'27.05 Kampala-Mutukula-24h'!I20)</f>
        <v>0</v>
      </c>
      <c r="J20" s="46">
        <f>AVERAGE('25.05 Kampala-Mutukula-24h'!J20,'26.05 Kampala-Mutukula-24h'!J20,'27.05 Kampala-Mutukula-24h'!J20)</f>
        <v>2.6666666666666665</v>
      </c>
      <c r="K20" s="46">
        <f>AVERAGE('25.05 Kampala-Mutukula-24h'!K20,'26.05 Kampala-Mutukula-24h'!K20,'27.05 Kampala-Mutukula-24h'!K20)</f>
        <v>1</v>
      </c>
      <c r="L20" s="46">
        <f>AVERAGE('25.05 Kampala-Mutukula-24h'!L20,'26.05 Kampala-Mutukula-24h'!L20,'27.05 Kampala-Mutukula-24h'!L20)</f>
        <v>3.6666666666666665</v>
      </c>
      <c r="M20" s="46">
        <f>AVERAGE('25.05 Kampala-Mutukula-24h'!L20,'26.05 Kampala-Mutukula-24h'!L20,'27.05 Kampala-Mutukula-24h'!L20)</f>
        <v>3.6666666666666665</v>
      </c>
      <c r="N20" s="46">
        <f>AVERAGE('25.05 Kampala-Mutukula-24h'!N20,'26.05 Kampala-Mutukula-24h'!N20,'27.05 Kampala-Mutukula-24h'!N20)</f>
        <v>0</v>
      </c>
      <c r="O20" s="15">
        <f t="shared" si="0"/>
        <v>17</v>
      </c>
      <c r="P20" s="15">
        <f t="shared" si="1"/>
        <v>20.666666666666668</v>
      </c>
      <c r="R20" s="1" t="s">
        <v>16</v>
      </c>
      <c r="S20" s="17">
        <f t="shared" ref="S20:AF20" si="12">SUM(C50:C53)</f>
        <v>11.666666666666668</v>
      </c>
      <c r="T20" s="17">
        <f t="shared" si="12"/>
        <v>0</v>
      </c>
      <c r="U20" s="17">
        <f t="shared" si="12"/>
        <v>0</v>
      </c>
      <c r="V20" s="17">
        <f t="shared" si="12"/>
        <v>5</v>
      </c>
      <c r="W20" s="17">
        <f t="shared" si="12"/>
        <v>0</v>
      </c>
      <c r="X20" s="17">
        <f t="shared" si="12"/>
        <v>0.66666666666666663</v>
      </c>
      <c r="Y20" s="17">
        <f t="shared" si="12"/>
        <v>1.3333333333333333</v>
      </c>
      <c r="Z20" s="17">
        <f t="shared" si="12"/>
        <v>2.666666666666667</v>
      </c>
      <c r="AA20" s="17">
        <f t="shared" si="12"/>
        <v>1.3333333333333333</v>
      </c>
      <c r="AB20" s="17">
        <f t="shared" si="12"/>
        <v>2</v>
      </c>
      <c r="AC20" s="17">
        <f t="shared" si="12"/>
        <v>2</v>
      </c>
      <c r="AD20" s="17">
        <f t="shared" si="12"/>
        <v>0</v>
      </c>
      <c r="AE20" s="28">
        <f t="shared" si="12"/>
        <v>24.666666666666668</v>
      </c>
      <c r="AF20" s="28">
        <f t="shared" si="12"/>
        <v>26.666666666666668</v>
      </c>
    </row>
    <row r="21" spans="2:32" ht="23.1" customHeight="1" x14ac:dyDescent="0.25">
      <c r="B21" s="20" t="s">
        <v>48</v>
      </c>
      <c r="C21" s="46">
        <f>AVERAGE('25.05 Kampala-Mutukula-24h'!C21,'26.05 Kampala-Mutukula-24h'!C21,'27.05 Kampala-Mutukula-24h'!C21)</f>
        <v>0</v>
      </c>
      <c r="D21" s="46">
        <f>AVERAGE('25.05 Kampala-Mutukula-24h'!D21,'26.05 Kampala-Mutukula-24h'!D21,'27.05 Kampala-Mutukula-24h'!D21)</f>
        <v>0</v>
      </c>
      <c r="E21" s="46">
        <f>AVERAGE('25.05 Kampala-Mutukula-24h'!E21,'26.05 Kampala-Mutukula-24h'!E21,'27.05 Kampala-Mutukula-24h'!E21)</f>
        <v>0</v>
      </c>
      <c r="F21" s="46">
        <f>AVERAGE('25.05 Kampala-Mutukula-24h'!F21,'26.05 Kampala-Mutukula-24h'!F21,'27.05 Kampala-Mutukula-24h'!F21)</f>
        <v>0</v>
      </c>
      <c r="G21" s="46">
        <f>AVERAGE('25.05 Kampala-Mutukula-24h'!G21,'26.05 Kampala-Mutukula-24h'!G21,'27.05 Kampala-Mutukula-24h'!G21)</f>
        <v>0</v>
      </c>
      <c r="H21" s="46">
        <f>AVERAGE('25.05 Kampala-Mutukula-24h'!H21,'26.05 Kampala-Mutukula-24h'!H21,'27.05 Kampala-Mutukula-24h'!H21)</f>
        <v>0</v>
      </c>
      <c r="I21" s="46">
        <f>AVERAGE('25.05 Kampala-Mutukula-24h'!I21,'26.05 Kampala-Mutukula-24h'!I21,'27.05 Kampala-Mutukula-24h'!I21)</f>
        <v>0</v>
      </c>
      <c r="J21" s="46">
        <f>AVERAGE('25.05 Kampala-Mutukula-24h'!J21,'26.05 Kampala-Mutukula-24h'!J21,'27.05 Kampala-Mutukula-24h'!J21)</f>
        <v>0</v>
      </c>
      <c r="K21" s="46">
        <f>AVERAGE('25.05 Kampala-Mutukula-24h'!K21,'26.05 Kampala-Mutukula-24h'!K21,'27.05 Kampala-Mutukula-24h'!K21)</f>
        <v>0</v>
      </c>
      <c r="L21" s="46">
        <f>AVERAGE('25.05 Kampala-Mutukula-24h'!L21,'26.05 Kampala-Mutukula-24h'!L21,'27.05 Kampala-Mutukula-24h'!L21)</f>
        <v>0</v>
      </c>
      <c r="M21" s="46">
        <f>AVERAGE('25.05 Kampala-Mutukula-24h'!L21,'26.05 Kampala-Mutukula-24h'!L21,'27.05 Kampala-Mutukula-24h'!L21)</f>
        <v>0</v>
      </c>
      <c r="N21" s="46">
        <f>AVERAGE('25.05 Kampala-Mutukula-24h'!N21,'26.05 Kampala-Mutukula-24h'!N21,'27.05 Kampala-Mutukula-24h'!N21)</f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10.333333333333332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0.66666666666666663</v>
      </c>
      <c r="X21" s="17">
        <f t="shared" si="13"/>
        <v>1.3333333333333333</v>
      </c>
      <c r="Y21" s="17">
        <f t="shared" si="13"/>
        <v>1.6666666666666665</v>
      </c>
      <c r="Z21" s="17">
        <f t="shared" si="13"/>
        <v>4.666666666666667</v>
      </c>
      <c r="AA21" s="17">
        <f t="shared" si="13"/>
        <v>1.3333333333333333</v>
      </c>
      <c r="AB21" s="17">
        <f t="shared" si="13"/>
        <v>4</v>
      </c>
      <c r="AC21" s="17">
        <f t="shared" si="13"/>
        <v>4</v>
      </c>
      <c r="AD21" s="17">
        <f t="shared" si="13"/>
        <v>0</v>
      </c>
      <c r="AE21" s="28">
        <f t="shared" si="13"/>
        <v>28</v>
      </c>
      <c r="AF21" s="28">
        <f t="shared" si="13"/>
        <v>32</v>
      </c>
    </row>
    <row r="22" spans="2:32" ht="23.1" customHeight="1" x14ac:dyDescent="0.25">
      <c r="B22" s="20" t="s">
        <v>49</v>
      </c>
      <c r="C22" s="46">
        <f>AVERAGE('25.05 Kampala-Mutukula-24h'!C22,'26.05 Kampala-Mutukula-24h'!C22,'27.05 Kampala-Mutukula-24h'!C22)</f>
        <v>3.6666666666666665</v>
      </c>
      <c r="D22" s="46">
        <f>AVERAGE('25.05 Kampala-Mutukula-24h'!D22,'26.05 Kampala-Mutukula-24h'!D22,'27.05 Kampala-Mutukula-24h'!D22)</f>
        <v>0</v>
      </c>
      <c r="E22" s="46">
        <f>AVERAGE('25.05 Kampala-Mutukula-24h'!E22,'26.05 Kampala-Mutukula-24h'!E22,'27.05 Kampala-Mutukula-24h'!E22)</f>
        <v>0</v>
      </c>
      <c r="F22" s="46">
        <f>AVERAGE('25.05 Kampala-Mutukula-24h'!F22,'26.05 Kampala-Mutukula-24h'!F22,'27.05 Kampala-Mutukula-24h'!F22)</f>
        <v>2</v>
      </c>
      <c r="G22" s="46">
        <f>AVERAGE('25.05 Kampala-Mutukula-24h'!G22,'26.05 Kampala-Mutukula-24h'!G22,'27.05 Kampala-Mutukula-24h'!G22)</f>
        <v>0</v>
      </c>
      <c r="H22" s="46">
        <f>AVERAGE('25.05 Kampala-Mutukula-24h'!H22,'26.05 Kampala-Mutukula-24h'!H22,'27.05 Kampala-Mutukula-24h'!H22)</f>
        <v>0.66666666666666663</v>
      </c>
      <c r="I22" s="46">
        <f>AVERAGE('25.05 Kampala-Mutukula-24h'!I22,'26.05 Kampala-Mutukula-24h'!I22,'27.05 Kampala-Mutukula-24h'!I22)</f>
        <v>0.66666666666666663</v>
      </c>
      <c r="J22" s="46">
        <f>AVERAGE('25.05 Kampala-Mutukula-24h'!J22,'26.05 Kampala-Mutukula-24h'!J22,'27.05 Kampala-Mutukula-24h'!J22)</f>
        <v>1</v>
      </c>
      <c r="K22" s="46">
        <f>AVERAGE('25.05 Kampala-Mutukula-24h'!K22,'26.05 Kampala-Mutukula-24h'!K22,'27.05 Kampala-Mutukula-24h'!K22)</f>
        <v>0</v>
      </c>
      <c r="L22" s="46">
        <f>AVERAGE('25.05 Kampala-Mutukula-24h'!L22,'26.05 Kampala-Mutukula-24h'!L22,'27.05 Kampala-Mutukula-24h'!L22)</f>
        <v>2.6666666666666665</v>
      </c>
      <c r="M22" s="46">
        <f>AVERAGE('25.05 Kampala-Mutukula-24h'!L22,'26.05 Kampala-Mutukula-24h'!L22,'27.05 Kampala-Mutukula-24h'!L22)</f>
        <v>2.6666666666666665</v>
      </c>
      <c r="N22" s="46">
        <f>AVERAGE('25.05 Kampala-Mutukula-24h'!N22,'26.05 Kampala-Mutukula-24h'!N22,'27.05 Kampala-Mutukula-24h'!N22)</f>
        <v>0</v>
      </c>
      <c r="O22" s="15">
        <f t="shared" si="0"/>
        <v>10.666666666666666</v>
      </c>
      <c r="P22" s="15">
        <f t="shared" si="1"/>
        <v>13.333333333333332</v>
      </c>
      <c r="R22" s="1" t="s">
        <v>146</v>
      </c>
      <c r="S22" s="31">
        <f>SUM(C58:C61)</f>
        <v>13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2.666666666666667</v>
      </c>
      <c r="W22" s="31">
        <f t="shared" si="14"/>
        <v>0</v>
      </c>
      <c r="X22" s="31">
        <f t="shared" si="14"/>
        <v>1.6666666666666665</v>
      </c>
      <c r="Y22" s="31">
        <f t="shared" si="14"/>
        <v>0.33333333333333331</v>
      </c>
      <c r="Z22" s="31">
        <f t="shared" si="14"/>
        <v>2</v>
      </c>
      <c r="AA22" s="31">
        <f t="shared" si="14"/>
        <v>0.33333333333333331</v>
      </c>
      <c r="AB22" s="31">
        <f t="shared" si="14"/>
        <v>4</v>
      </c>
      <c r="AC22" s="31">
        <f t="shared" si="14"/>
        <v>0</v>
      </c>
      <c r="AD22" s="31">
        <f t="shared" si="14"/>
        <v>0</v>
      </c>
      <c r="AE22" s="28">
        <f t="shared" si="14"/>
        <v>24</v>
      </c>
      <c r="AF22" s="28">
        <f t="shared" si="14"/>
        <v>24</v>
      </c>
    </row>
    <row r="23" spans="2:32" ht="23.1" customHeight="1" x14ac:dyDescent="0.25">
      <c r="B23" s="20" t="s">
        <v>50</v>
      </c>
      <c r="C23" s="46">
        <f>AVERAGE('25.05 Kampala-Mutukula-24h'!C23,'26.05 Kampala-Mutukula-24h'!C23,'27.05 Kampala-Mutukula-24h'!C23)</f>
        <v>0</v>
      </c>
      <c r="D23" s="46">
        <f>AVERAGE('25.05 Kampala-Mutukula-24h'!D23,'26.05 Kampala-Mutukula-24h'!D23,'27.05 Kampala-Mutukula-24h'!D23)</f>
        <v>0</v>
      </c>
      <c r="E23" s="46">
        <f>AVERAGE('25.05 Kampala-Mutukula-24h'!E23,'26.05 Kampala-Mutukula-24h'!E23,'27.05 Kampala-Mutukula-24h'!E23)</f>
        <v>0</v>
      </c>
      <c r="F23" s="46">
        <f>AVERAGE('25.05 Kampala-Mutukula-24h'!F23,'26.05 Kampala-Mutukula-24h'!F23,'27.05 Kampala-Mutukula-24h'!F23)</f>
        <v>0</v>
      </c>
      <c r="G23" s="46">
        <f>AVERAGE('25.05 Kampala-Mutukula-24h'!G23,'26.05 Kampala-Mutukula-24h'!G23,'27.05 Kampala-Mutukula-24h'!G23)</f>
        <v>0</v>
      </c>
      <c r="H23" s="46">
        <f>AVERAGE('25.05 Kampala-Mutukula-24h'!H23,'26.05 Kampala-Mutukula-24h'!H23,'27.05 Kampala-Mutukula-24h'!H23)</f>
        <v>0</v>
      </c>
      <c r="I23" s="46">
        <f>AVERAGE('25.05 Kampala-Mutukula-24h'!I23,'26.05 Kampala-Mutukula-24h'!I23,'27.05 Kampala-Mutukula-24h'!I23)</f>
        <v>0</v>
      </c>
      <c r="J23" s="46">
        <f>AVERAGE('25.05 Kampala-Mutukula-24h'!J23,'26.05 Kampala-Mutukula-24h'!J23,'27.05 Kampala-Mutukula-24h'!J23)</f>
        <v>0</v>
      </c>
      <c r="K23" s="46">
        <f>AVERAGE('25.05 Kampala-Mutukula-24h'!K23,'26.05 Kampala-Mutukula-24h'!K23,'27.05 Kampala-Mutukula-24h'!K23)</f>
        <v>0</v>
      </c>
      <c r="L23" s="46">
        <f>AVERAGE('25.05 Kampala-Mutukula-24h'!L23,'26.05 Kampala-Mutukula-24h'!L23,'27.05 Kampala-Mutukula-24h'!L23)</f>
        <v>0</v>
      </c>
      <c r="M23" s="46">
        <f>AVERAGE('25.05 Kampala-Mutukula-24h'!L23,'26.05 Kampala-Mutukula-24h'!L23,'27.05 Kampala-Mutukula-24h'!L23)</f>
        <v>0</v>
      </c>
      <c r="N23" s="46">
        <f>AVERAGE('25.05 Kampala-Mutukula-24h'!N23,'26.05 Kampala-Mutukula-24h'!N23,'27.05 Kampala-Mutukula-24h'!N23)</f>
        <v>0</v>
      </c>
      <c r="O23" s="15">
        <f t="shared" si="0"/>
        <v>0</v>
      </c>
      <c r="P23" s="15">
        <f t="shared" si="1"/>
        <v>0</v>
      </c>
      <c r="R23" s="1" t="s">
        <v>147</v>
      </c>
      <c r="S23" s="31">
        <f>SUM(C62:C65)</f>
        <v>13.666666666666668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1</v>
      </c>
      <c r="W23" s="31">
        <f t="shared" si="15"/>
        <v>0.33333333333333331</v>
      </c>
      <c r="X23" s="31">
        <f t="shared" si="15"/>
        <v>0</v>
      </c>
      <c r="Y23" s="31">
        <f t="shared" si="15"/>
        <v>0</v>
      </c>
      <c r="Z23" s="31">
        <f t="shared" si="15"/>
        <v>2</v>
      </c>
      <c r="AA23" s="31">
        <f t="shared" si="15"/>
        <v>1.3333333333333333</v>
      </c>
      <c r="AB23" s="31">
        <f t="shared" si="15"/>
        <v>2.666666666666667</v>
      </c>
      <c r="AC23" s="31">
        <f t="shared" si="15"/>
        <v>0</v>
      </c>
      <c r="AD23" s="31">
        <f t="shared" si="15"/>
        <v>0</v>
      </c>
      <c r="AE23" s="28">
        <f t="shared" si="15"/>
        <v>21</v>
      </c>
      <c r="AF23" s="28">
        <f t="shared" si="15"/>
        <v>21</v>
      </c>
    </row>
    <row r="24" spans="2:32" ht="23.1" customHeight="1" x14ac:dyDescent="0.25">
      <c r="B24" s="20" t="s">
        <v>51</v>
      </c>
      <c r="C24" s="46">
        <f>AVERAGE('25.05 Kampala-Mutukula-24h'!C24,'26.05 Kampala-Mutukula-24h'!C24,'27.05 Kampala-Mutukula-24h'!C24)</f>
        <v>3.3333333333333335</v>
      </c>
      <c r="D24" s="46">
        <f>AVERAGE('25.05 Kampala-Mutukula-24h'!D24,'26.05 Kampala-Mutukula-24h'!D24,'27.05 Kampala-Mutukula-24h'!D24)</f>
        <v>0</v>
      </c>
      <c r="E24" s="46">
        <f>AVERAGE('25.05 Kampala-Mutukula-24h'!E24,'26.05 Kampala-Mutukula-24h'!E24,'27.05 Kampala-Mutukula-24h'!E24)</f>
        <v>0</v>
      </c>
      <c r="F24" s="46">
        <f>AVERAGE('25.05 Kampala-Mutukula-24h'!F24,'26.05 Kampala-Mutukula-24h'!F24,'27.05 Kampala-Mutukula-24h'!F24)</f>
        <v>2</v>
      </c>
      <c r="G24" s="46">
        <f>AVERAGE('25.05 Kampala-Mutukula-24h'!G24,'26.05 Kampala-Mutukula-24h'!G24,'27.05 Kampala-Mutukula-24h'!G24)</f>
        <v>0.33333333333333331</v>
      </c>
      <c r="H24" s="46">
        <f>AVERAGE('25.05 Kampala-Mutukula-24h'!H24,'26.05 Kampala-Mutukula-24h'!H24,'27.05 Kampala-Mutukula-24h'!H24)</f>
        <v>0</v>
      </c>
      <c r="I24" s="46">
        <f>AVERAGE('25.05 Kampala-Mutukula-24h'!I24,'26.05 Kampala-Mutukula-24h'!I24,'27.05 Kampala-Mutukula-24h'!I24)</f>
        <v>0</v>
      </c>
      <c r="J24" s="46">
        <f>AVERAGE('25.05 Kampala-Mutukula-24h'!J24,'26.05 Kampala-Mutukula-24h'!J24,'27.05 Kampala-Mutukula-24h'!J24)</f>
        <v>1.3333333333333333</v>
      </c>
      <c r="K24" s="46">
        <f>AVERAGE('25.05 Kampala-Mutukula-24h'!K24,'26.05 Kampala-Mutukula-24h'!K24,'27.05 Kampala-Mutukula-24h'!K24)</f>
        <v>0.33333333333333331</v>
      </c>
      <c r="L24" s="46">
        <f>AVERAGE('25.05 Kampala-Mutukula-24h'!L24,'26.05 Kampala-Mutukula-24h'!L24,'27.05 Kampala-Mutukula-24h'!L24)</f>
        <v>3.3333333333333335</v>
      </c>
      <c r="M24" s="46">
        <f>AVERAGE('25.05 Kampala-Mutukula-24h'!L24,'26.05 Kampala-Mutukula-24h'!L24,'27.05 Kampala-Mutukula-24h'!L24)</f>
        <v>3.3333333333333335</v>
      </c>
      <c r="N24" s="46">
        <f>AVERAGE('25.05 Kampala-Mutukula-24h'!N24,'26.05 Kampala-Mutukula-24h'!N24,'27.05 Kampala-Mutukula-24h'!N24)</f>
        <v>0</v>
      </c>
      <c r="O24" s="15">
        <f t="shared" si="0"/>
        <v>10.666666666666666</v>
      </c>
      <c r="P24" s="15">
        <f t="shared" si="1"/>
        <v>14</v>
      </c>
      <c r="R24" s="1" t="s">
        <v>148</v>
      </c>
      <c r="S24" s="31">
        <f>SUM(C66:C69)</f>
        <v>4.3333333333333339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2</v>
      </c>
      <c r="W24" s="31">
        <f t="shared" si="16"/>
        <v>0.66666666666666663</v>
      </c>
      <c r="X24" s="31">
        <f t="shared" si="16"/>
        <v>0</v>
      </c>
      <c r="Y24" s="31">
        <f t="shared" si="16"/>
        <v>0</v>
      </c>
      <c r="Z24" s="31">
        <f t="shared" si="16"/>
        <v>1.3333333333333333</v>
      </c>
      <c r="AA24" s="31">
        <f t="shared" si="16"/>
        <v>1.6666666666666665</v>
      </c>
      <c r="AB24" s="31">
        <f t="shared" si="16"/>
        <v>3</v>
      </c>
      <c r="AC24" s="31">
        <f t="shared" si="16"/>
        <v>0</v>
      </c>
      <c r="AD24" s="31">
        <f t="shared" si="16"/>
        <v>0</v>
      </c>
      <c r="AE24" s="28">
        <f t="shared" si="16"/>
        <v>13</v>
      </c>
      <c r="AF24" s="28">
        <f t="shared" si="16"/>
        <v>13</v>
      </c>
    </row>
    <row r="25" spans="2:32" ht="23.1" customHeight="1" x14ac:dyDescent="0.25">
      <c r="B25" s="20" t="s">
        <v>52</v>
      </c>
      <c r="C25" s="46">
        <f>AVERAGE('25.05 Kampala-Mutukula-24h'!C25,'26.05 Kampala-Mutukula-24h'!C25,'27.05 Kampala-Mutukula-24h'!C25)</f>
        <v>0</v>
      </c>
      <c r="D25" s="46">
        <f>AVERAGE('25.05 Kampala-Mutukula-24h'!D25,'26.05 Kampala-Mutukula-24h'!D25,'27.05 Kampala-Mutukula-24h'!D25)</f>
        <v>0</v>
      </c>
      <c r="E25" s="46">
        <f>AVERAGE('25.05 Kampala-Mutukula-24h'!E25,'26.05 Kampala-Mutukula-24h'!E25,'27.05 Kampala-Mutukula-24h'!E25)</f>
        <v>0</v>
      </c>
      <c r="F25" s="46">
        <f>AVERAGE('25.05 Kampala-Mutukula-24h'!F25,'26.05 Kampala-Mutukula-24h'!F25,'27.05 Kampala-Mutukula-24h'!F25)</f>
        <v>0</v>
      </c>
      <c r="G25" s="46">
        <f>AVERAGE('25.05 Kampala-Mutukula-24h'!G25,'26.05 Kampala-Mutukula-24h'!G25,'27.05 Kampala-Mutukula-24h'!G25)</f>
        <v>0</v>
      </c>
      <c r="H25" s="46">
        <f>AVERAGE('25.05 Kampala-Mutukula-24h'!H25,'26.05 Kampala-Mutukula-24h'!H25,'27.05 Kampala-Mutukula-24h'!H25)</f>
        <v>0</v>
      </c>
      <c r="I25" s="46">
        <f>AVERAGE('25.05 Kampala-Mutukula-24h'!I25,'26.05 Kampala-Mutukula-24h'!I25,'27.05 Kampala-Mutukula-24h'!I25)</f>
        <v>0</v>
      </c>
      <c r="J25" s="46">
        <f>AVERAGE('25.05 Kampala-Mutukula-24h'!J25,'26.05 Kampala-Mutukula-24h'!J25,'27.05 Kampala-Mutukula-24h'!J25)</f>
        <v>0</v>
      </c>
      <c r="K25" s="46">
        <f>AVERAGE('25.05 Kampala-Mutukula-24h'!K25,'26.05 Kampala-Mutukula-24h'!K25,'27.05 Kampala-Mutukula-24h'!K25)</f>
        <v>0</v>
      </c>
      <c r="L25" s="46">
        <f>AVERAGE('25.05 Kampala-Mutukula-24h'!L25,'26.05 Kampala-Mutukula-24h'!L25,'27.05 Kampala-Mutukula-24h'!L25)</f>
        <v>0</v>
      </c>
      <c r="M25" s="46">
        <f>AVERAGE('25.05 Kampala-Mutukula-24h'!L25,'26.05 Kampala-Mutukula-24h'!L25,'27.05 Kampala-Mutukula-24h'!L25)</f>
        <v>0</v>
      </c>
      <c r="N25" s="46">
        <f>AVERAGE('25.05 Kampala-Mutukula-24h'!N25,'26.05 Kampala-Mutukula-24h'!N25,'27.05 Kampala-Mutukula-24h'!N25)</f>
        <v>0</v>
      </c>
      <c r="O25" s="15">
        <f t="shared" si="0"/>
        <v>0</v>
      </c>
      <c r="P25" s="15">
        <f t="shared" si="1"/>
        <v>0</v>
      </c>
      <c r="R25" s="1" t="s">
        <v>149</v>
      </c>
      <c r="S25" s="31">
        <f>SUM(C70:C73)</f>
        <v>5.3333333333333339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1</v>
      </c>
      <c r="W25" s="31">
        <f t="shared" si="17"/>
        <v>0</v>
      </c>
      <c r="X25" s="31">
        <f t="shared" si="17"/>
        <v>1.3333333333333333</v>
      </c>
      <c r="Y25" s="31">
        <f t="shared" si="17"/>
        <v>0</v>
      </c>
      <c r="Z25" s="31">
        <f t="shared" si="17"/>
        <v>2.666666666666667</v>
      </c>
      <c r="AA25" s="31">
        <f t="shared" si="17"/>
        <v>0.66666666666666663</v>
      </c>
      <c r="AB25" s="31">
        <f t="shared" si="17"/>
        <v>2.3333333333333335</v>
      </c>
      <c r="AC25" s="31">
        <f t="shared" si="17"/>
        <v>0</v>
      </c>
      <c r="AD25" s="31">
        <f t="shared" si="17"/>
        <v>0</v>
      </c>
      <c r="AE25" s="28">
        <f t="shared" si="17"/>
        <v>13.333333333333332</v>
      </c>
      <c r="AF25" s="28">
        <f t="shared" si="17"/>
        <v>13.333333333333332</v>
      </c>
    </row>
    <row r="26" spans="2:32" ht="23.1" customHeight="1" x14ac:dyDescent="0.25">
      <c r="B26" s="20" t="s">
        <v>53</v>
      </c>
      <c r="C26" s="46">
        <f>AVERAGE('25.05 Kampala-Mutukula-24h'!C26,'26.05 Kampala-Mutukula-24h'!C26,'27.05 Kampala-Mutukula-24h'!C26)</f>
        <v>4.666666666666667</v>
      </c>
      <c r="D26" s="46">
        <f>AVERAGE('25.05 Kampala-Mutukula-24h'!D26,'26.05 Kampala-Mutukula-24h'!D26,'27.05 Kampala-Mutukula-24h'!D26)</f>
        <v>0</v>
      </c>
      <c r="E26" s="46">
        <f>AVERAGE('25.05 Kampala-Mutukula-24h'!E26,'26.05 Kampala-Mutukula-24h'!E26,'27.05 Kampala-Mutukula-24h'!E26)</f>
        <v>0</v>
      </c>
      <c r="F26" s="46">
        <f>AVERAGE('25.05 Kampala-Mutukula-24h'!F26,'26.05 Kampala-Mutukula-24h'!F26,'27.05 Kampala-Mutukula-24h'!F26)</f>
        <v>2.3333333333333335</v>
      </c>
      <c r="G26" s="46">
        <f>AVERAGE('25.05 Kampala-Mutukula-24h'!G26,'26.05 Kampala-Mutukula-24h'!G26,'27.05 Kampala-Mutukula-24h'!G26)</f>
        <v>0</v>
      </c>
      <c r="H26" s="46">
        <f>AVERAGE('25.05 Kampala-Mutukula-24h'!H26,'26.05 Kampala-Mutukula-24h'!H26,'27.05 Kampala-Mutukula-24h'!H26)</f>
        <v>0</v>
      </c>
      <c r="I26" s="46">
        <f>AVERAGE('25.05 Kampala-Mutukula-24h'!I26,'26.05 Kampala-Mutukula-24h'!I26,'27.05 Kampala-Mutukula-24h'!I26)</f>
        <v>1</v>
      </c>
      <c r="J26" s="46">
        <f>AVERAGE('25.05 Kampala-Mutukula-24h'!J26,'26.05 Kampala-Mutukula-24h'!J26,'27.05 Kampala-Mutukula-24h'!J26)</f>
        <v>1.6666666666666667</v>
      </c>
      <c r="K26" s="46">
        <f>AVERAGE('25.05 Kampala-Mutukula-24h'!K26,'26.05 Kampala-Mutukula-24h'!K26,'27.05 Kampala-Mutukula-24h'!K26)</f>
        <v>0.33333333333333331</v>
      </c>
      <c r="L26" s="46">
        <f>AVERAGE('25.05 Kampala-Mutukula-24h'!L26,'26.05 Kampala-Mutukula-24h'!L26,'27.05 Kampala-Mutukula-24h'!L26)</f>
        <v>0.33333333333333331</v>
      </c>
      <c r="M26" s="46">
        <f>AVERAGE('25.05 Kampala-Mutukula-24h'!L26,'26.05 Kampala-Mutukula-24h'!L26,'27.05 Kampala-Mutukula-24h'!L26)</f>
        <v>0.33333333333333331</v>
      </c>
      <c r="N26" s="46">
        <f>AVERAGE('25.05 Kampala-Mutukula-24h'!N26,'26.05 Kampala-Mutukula-24h'!N26,'27.05 Kampala-Mutukula-24h'!N26)</f>
        <v>0</v>
      </c>
      <c r="O26" s="15">
        <f t="shared" si="0"/>
        <v>10.333333333333334</v>
      </c>
      <c r="P26" s="15">
        <f t="shared" si="1"/>
        <v>10.666666666666668</v>
      </c>
      <c r="R26" s="1" t="s">
        <v>150</v>
      </c>
      <c r="S26" s="31">
        <f>SUM(C74:C77)</f>
        <v>6.333333333333333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2</v>
      </c>
      <c r="W26" s="31">
        <f t="shared" si="18"/>
        <v>0.33333333333333331</v>
      </c>
      <c r="X26" s="31">
        <f t="shared" si="18"/>
        <v>0.66666666666666663</v>
      </c>
      <c r="Y26" s="31">
        <f t="shared" si="18"/>
        <v>0</v>
      </c>
      <c r="Z26" s="31">
        <f t="shared" si="18"/>
        <v>2</v>
      </c>
      <c r="AA26" s="31">
        <f t="shared" si="18"/>
        <v>0.33333333333333331</v>
      </c>
      <c r="AB26" s="31">
        <f t="shared" si="18"/>
        <v>6</v>
      </c>
      <c r="AC26" s="31">
        <f t="shared" si="18"/>
        <v>0</v>
      </c>
      <c r="AD26" s="31">
        <f t="shared" si="18"/>
        <v>0</v>
      </c>
      <c r="AE26" s="28">
        <f t="shared" si="18"/>
        <v>17.666666666666668</v>
      </c>
      <c r="AF26" s="28">
        <f t="shared" si="18"/>
        <v>17.666666666666668</v>
      </c>
    </row>
    <row r="27" spans="2:32" ht="23.1" customHeight="1" x14ac:dyDescent="0.25">
      <c r="B27" s="20" t="s">
        <v>54</v>
      </c>
      <c r="C27" s="46">
        <f>AVERAGE('25.05 Kampala-Mutukula-24h'!C27,'26.05 Kampala-Mutukula-24h'!C27,'27.05 Kampala-Mutukula-24h'!C27)</f>
        <v>0</v>
      </c>
      <c r="D27" s="46">
        <f>AVERAGE('25.05 Kampala-Mutukula-24h'!D27,'26.05 Kampala-Mutukula-24h'!D27,'27.05 Kampala-Mutukula-24h'!D27)</f>
        <v>0</v>
      </c>
      <c r="E27" s="46">
        <f>AVERAGE('25.05 Kampala-Mutukula-24h'!E27,'26.05 Kampala-Mutukula-24h'!E27,'27.05 Kampala-Mutukula-24h'!E27)</f>
        <v>0</v>
      </c>
      <c r="F27" s="46">
        <f>AVERAGE('25.05 Kampala-Mutukula-24h'!F27,'26.05 Kampala-Mutukula-24h'!F27,'27.05 Kampala-Mutukula-24h'!F27)</f>
        <v>0</v>
      </c>
      <c r="G27" s="46">
        <f>AVERAGE('25.05 Kampala-Mutukula-24h'!G27,'26.05 Kampala-Mutukula-24h'!G27,'27.05 Kampala-Mutukula-24h'!G27)</f>
        <v>0</v>
      </c>
      <c r="H27" s="46">
        <f>AVERAGE('25.05 Kampala-Mutukula-24h'!H27,'26.05 Kampala-Mutukula-24h'!H27,'27.05 Kampala-Mutukula-24h'!H27)</f>
        <v>0</v>
      </c>
      <c r="I27" s="46">
        <f>AVERAGE('25.05 Kampala-Mutukula-24h'!I27,'26.05 Kampala-Mutukula-24h'!I27,'27.05 Kampala-Mutukula-24h'!I27)</f>
        <v>0</v>
      </c>
      <c r="J27" s="46">
        <f>AVERAGE('25.05 Kampala-Mutukula-24h'!J27,'26.05 Kampala-Mutukula-24h'!J27,'27.05 Kampala-Mutukula-24h'!J27)</f>
        <v>0</v>
      </c>
      <c r="K27" s="46">
        <f>AVERAGE('25.05 Kampala-Mutukula-24h'!K27,'26.05 Kampala-Mutukula-24h'!K27,'27.05 Kampala-Mutukula-24h'!K27)</f>
        <v>0</v>
      </c>
      <c r="L27" s="46">
        <f>AVERAGE('25.05 Kampala-Mutukula-24h'!L27,'26.05 Kampala-Mutukula-24h'!L27,'27.05 Kampala-Mutukula-24h'!L27)</f>
        <v>0</v>
      </c>
      <c r="M27" s="46">
        <f>AVERAGE('25.05 Kampala-Mutukula-24h'!L27,'26.05 Kampala-Mutukula-24h'!L27,'27.05 Kampala-Mutukula-24h'!L27)</f>
        <v>0</v>
      </c>
      <c r="N27" s="46">
        <f>AVERAGE('25.05 Kampala-Mutukula-24h'!N27,'26.05 Kampala-Mutukula-24h'!N27,'27.05 Kampala-Mutukula-24h'!N27)</f>
        <v>0</v>
      </c>
      <c r="O27" s="15">
        <f t="shared" si="0"/>
        <v>0</v>
      </c>
      <c r="P27" s="15">
        <f t="shared" si="1"/>
        <v>0</v>
      </c>
      <c r="R27" s="1" t="s">
        <v>151</v>
      </c>
      <c r="S27" s="31">
        <f>SUM(C78:C81)</f>
        <v>8.6666666666666661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0.66666666666666663</v>
      </c>
      <c r="W27" s="31">
        <f t="shared" si="19"/>
        <v>2</v>
      </c>
      <c r="X27" s="31">
        <f t="shared" si="19"/>
        <v>0.66666666666666663</v>
      </c>
      <c r="Y27" s="31">
        <f t="shared" si="19"/>
        <v>0.33333333333333331</v>
      </c>
      <c r="Z27" s="31">
        <f t="shared" si="19"/>
        <v>1.3333333333333333</v>
      </c>
      <c r="AA27" s="31">
        <f t="shared" si="19"/>
        <v>0.66666666666666663</v>
      </c>
      <c r="AB27" s="31">
        <f t="shared" si="19"/>
        <v>2.333333333333333</v>
      </c>
      <c r="AC27" s="31">
        <f t="shared" si="19"/>
        <v>0</v>
      </c>
      <c r="AD27" s="31">
        <f t="shared" si="19"/>
        <v>0</v>
      </c>
      <c r="AE27" s="28">
        <f t="shared" si="19"/>
        <v>16.666666666666668</v>
      </c>
      <c r="AF27" s="28">
        <f t="shared" si="19"/>
        <v>16.666666666666668</v>
      </c>
    </row>
    <row r="28" spans="2:32" ht="23.1" customHeight="1" x14ac:dyDescent="0.25">
      <c r="B28" s="20" t="s">
        <v>55</v>
      </c>
      <c r="C28" s="46">
        <f>AVERAGE('25.05 Kampala-Mutukula-24h'!C28,'26.05 Kampala-Mutukula-24h'!C28,'27.05 Kampala-Mutukula-24h'!C28)</f>
        <v>5</v>
      </c>
      <c r="D28" s="46">
        <f>AVERAGE('25.05 Kampala-Mutukula-24h'!D28,'26.05 Kampala-Mutukula-24h'!D28,'27.05 Kampala-Mutukula-24h'!D28)</f>
        <v>0</v>
      </c>
      <c r="E28" s="46">
        <f>AVERAGE('25.05 Kampala-Mutukula-24h'!E28,'26.05 Kampala-Mutukula-24h'!E28,'27.05 Kampala-Mutukula-24h'!E28)</f>
        <v>0</v>
      </c>
      <c r="F28" s="46">
        <f>AVERAGE('25.05 Kampala-Mutukula-24h'!F28,'26.05 Kampala-Mutukula-24h'!F28,'27.05 Kampala-Mutukula-24h'!F28)</f>
        <v>0.66666666666666663</v>
      </c>
      <c r="G28" s="46">
        <f>AVERAGE('25.05 Kampala-Mutukula-24h'!G28,'26.05 Kampala-Mutukula-24h'!G28,'27.05 Kampala-Mutukula-24h'!G28)</f>
        <v>0</v>
      </c>
      <c r="H28" s="46">
        <f>AVERAGE('25.05 Kampala-Mutukula-24h'!H28,'26.05 Kampala-Mutukula-24h'!H28,'27.05 Kampala-Mutukula-24h'!H28)</f>
        <v>0</v>
      </c>
      <c r="I28" s="46">
        <f>AVERAGE('25.05 Kampala-Mutukula-24h'!I28,'26.05 Kampala-Mutukula-24h'!I28,'27.05 Kampala-Mutukula-24h'!I28)</f>
        <v>0</v>
      </c>
      <c r="J28" s="46">
        <f>AVERAGE('25.05 Kampala-Mutukula-24h'!J28,'26.05 Kampala-Mutukula-24h'!J28,'27.05 Kampala-Mutukula-24h'!J28)</f>
        <v>1.3333333333333333</v>
      </c>
      <c r="K28" s="46">
        <f>AVERAGE('25.05 Kampala-Mutukula-24h'!K28,'26.05 Kampala-Mutukula-24h'!K28,'27.05 Kampala-Mutukula-24h'!K28)</f>
        <v>0.33333333333333331</v>
      </c>
      <c r="L28" s="46">
        <f>AVERAGE('25.05 Kampala-Mutukula-24h'!L28,'26.05 Kampala-Mutukula-24h'!L28,'27.05 Kampala-Mutukula-24h'!L28)</f>
        <v>1.3333333333333333</v>
      </c>
      <c r="M28" s="46">
        <f>AVERAGE('25.05 Kampala-Mutukula-24h'!L28,'26.05 Kampala-Mutukula-24h'!L28,'27.05 Kampala-Mutukula-24h'!L28)</f>
        <v>1.3333333333333333</v>
      </c>
      <c r="N28" s="46">
        <f>AVERAGE('25.05 Kampala-Mutukula-24h'!N28,'26.05 Kampala-Mutukula-24h'!N28,'27.05 Kampala-Mutukula-24h'!N28)</f>
        <v>0</v>
      </c>
      <c r="O28" s="15">
        <f t="shared" si="0"/>
        <v>8.6666666666666661</v>
      </c>
      <c r="P28" s="15">
        <f t="shared" si="1"/>
        <v>10</v>
      </c>
      <c r="R28" s="1" t="s">
        <v>152</v>
      </c>
      <c r="S28" s="31">
        <f>SUM(C82:C85)</f>
        <v>0.33333333333333331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0.66666666666666663</v>
      </c>
      <c r="W28" s="31">
        <f t="shared" si="20"/>
        <v>0.33333333333333331</v>
      </c>
      <c r="X28" s="31">
        <f t="shared" si="20"/>
        <v>0.33333333333333331</v>
      </c>
      <c r="Y28" s="31">
        <f t="shared" si="20"/>
        <v>0.66666666666666663</v>
      </c>
      <c r="Z28" s="31">
        <f t="shared" si="20"/>
        <v>0.33333333333333331</v>
      </c>
      <c r="AA28" s="31">
        <f t="shared" si="20"/>
        <v>0.33333333333333331</v>
      </c>
      <c r="AB28" s="31">
        <f t="shared" si="20"/>
        <v>2.333333333333333</v>
      </c>
      <c r="AC28" s="31">
        <f t="shared" si="20"/>
        <v>0</v>
      </c>
      <c r="AD28" s="31">
        <f t="shared" si="20"/>
        <v>0</v>
      </c>
      <c r="AE28" s="28">
        <f t="shared" si="20"/>
        <v>5.333333333333333</v>
      </c>
      <c r="AF28" s="28">
        <f t="shared" si="20"/>
        <v>5.333333333333333</v>
      </c>
    </row>
    <row r="29" spans="2:32" ht="23.1" customHeight="1" x14ac:dyDescent="0.25">
      <c r="B29" s="20" t="s">
        <v>56</v>
      </c>
      <c r="C29" s="46">
        <f>AVERAGE('25.05 Kampala-Mutukula-24h'!C29,'26.05 Kampala-Mutukula-24h'!C29,'27.05 Kampala-Mutukula-24h'!C29)</f>
        <v>0</v>
      </c>
      <c r="D29" s="46">
        <f>AVERAGE('25.05 Kampala-Mutukula-24h'!D29,'26.05 Kampala-Mutukula-24h'!D29,'27.05 Kampala-Mutukula-24h'!D29)</f>
        <v>0</v>
      </c>
      <c r="E29" s="46">
        <f>AVERAGE('25.05 Kampala-Mutukula-24h'!E29,'26.05 Kampala-Mutukula-24h'!E29,'27.05 Kampala-Mutukula-24h'!E29)</f>
        <v>0</v>
      </c>
      <c r="F29" s="46">
        <f>AVERAGE('25.05 Kampala-Mutukula-24h'!F29,'26.05 Kampala-Mutukula-24h'!F29,'27.05 Kampala-Mutukula-24h'!F29)</f>
        <v>0</v>
      </c>
      <c r="G29" s="46">
        <f>AVERAGE('25.05 Kampala-Mutukula-24h'!G29,'26.05 Kampala-Mutukula-24h'!G29,'27.05 Kampala-Mutukula-24h'!G29)</f>
        <v>0</v>
      </c>
      <c r="H29" s="46">
        <f>AVERAGE('25.05 Kampala-Mutukula-24h'!H29,'26.05 Kampala-Mutukula-24h'!H29,'27.05 Kampala-Mutukula-24h'!H29)</f>
        <v>0</v>
      </c>
      <c r="I29" s="46">
        <f>AVERAGE('25.05 Kampala-Mutukula-24h'!I29,'26.05 Kampala-Mutukula-24h'!I29,'27.05 Kampala-Mutukula-24h'!I29)</f>
        <v>0</v>
      </c>
      <c r="J29" s="46">
        <f>AVERAGE('25.05 Kampala-Mutukula-24h'!J29,'26.05 Kampala-Mutukula-24h'!J29,'27.05 Kampala-Mutukula-24h'!J29)</f>
        <v>0</v>
      </c>
      <c r="K29" s="46">
        <f>AVERAGE('25.05 Kampala-Mutukula-24h'!K29,'26.05 Kampala-Mutukula-24h'!K29,'27.05 Kampala-Mutukula-24h'!K29)</f>
        <v>0</v>
      </c>
      <c r="L29" s="46">
        <f>AVERAGE('25.05 Kampala-Mutukula-24h'!L29,'26.05 Kampala-Mutukula-24h'!L29,'27.05 Kampala-Mutukula-24h'!L29)</f>
        <v>0</v>
      </c>
      <c r="M29" s="46">
        <f>AVERAGE('25.05 Kampala-Mutukula-24h'!L29,'26.05 Kampala-Mutukula-24h'!L29,'27.05 Kampala-Mutukula-24h'!L29)</f>
        <v>0</v>
      </c>
      <c r="N29" s="46">
        <f>AVERAGE('25.05 Kampala-Mutukula-24h'!N29,'26.05 Kampala-Mutukula-24h'!N29,'27.05 Kampala-Mutukula-24h'!N29)</f>
        <v>0</v>
      </c>
      <c r="O29" s="15">
        <f t="shared" si="0"/>
        <v>0</v>
      </c>
      <c r="P29" s="15">
        <f t="shared" si="1"/>
        <v>0</v>
      </c>
      <c r="R29" s="1" t="s">
        <v>153</v>
      </c>
      <c r="S29" s="31">
        <f>SUM(C86:C89)</f>
        <v>1.6666666666666665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0.33333333333333331</v>
      </c>
      <c r="W29" s="31">
        <f t="shared" si="21"/>
        <v>0</v>
      </c>
      <c r="X29" s="31">
        <f t="shared" si="21"/>
        <v>0.66666666666666663</v>
      </c>
      <c r="Y29" s="31">
        <f t="shared" si="21"/>
        <v>0.66666666666666663</v>
      </c>
      <c r="Z29" s="31">
        <f t="shared" si="21"/>
        <v>1.3333333333333333</v>
      </c>
      <c r="AA29" s="31">
        <f t="shared" si="21"/>
        <v>0</v>
      </c>
      <c r="AB29" s="31">
        <f t="shared" si="21"/>
        <v>4</v>
      </c>
      <c r="AC29" s="31">
        <f t="shared" si="21"/>
        <v>0</v>
      </c>
      <c r="AD29" s="31">
        <f t="shared" si="21"/>
        <v>0</v>
      </c>
      <c r="AE29" s="28">
        <f t="shared" si="21"/>
        <v>8.6666666666666661</v>
      </c>
      <c r="AF29" s="28">
        <f t="shared" si="21"/>
        <v>8.6666666666666661</v>
      </c>
    </row>
    <row r="30" spans="2:32" ht="23.1" customHeight="1" x14ac:dyDescent="0.25">
      <c r="B30" s="20" t="s">
        <v>57</v>
      </c>
      <c r="C30" s="46">
        <f>AVERAGE('25.05 Kampala-Mutukula-24h'!C30,'26.05 Kampala-Mutukula-24h'!C30,'27.05 Kampala-Mutukula-24h'!C30)</f>
        <v>5.666666666666667</v>
      </c>
      <c r="D30" s="46">
        <f>AVERAGE('25.05 Kampala-Mutukula-24h'!D30,'26.05 Kampala-Mutukula-24h'!D30,'27.05 Kampala-Mutukula-24h'!D30)</f>
        <v>0</v>
      </c>
      <c r="E30" s="46">
        <f>AVERAGE('25.05 Kampala-Mutukula-24h'!E30,'26.05 Kampala-Mutukula-24h'!E30,'27.05 Kampala-Mutukula-24h'!E30)</f>
        <v>0</v>
      </c>
      <c r="F30" s="46">
        <f>AVERAGE('25.05 Kampala-Mutukula-24h'!F30,'26.05 Kampala-Mutukula-24h'!F30,'27.05 Kampala-Mutukula-24h'!F30)</f>
        <v>1.6666666666666667</v>
      </c>
      <c r="G30" s="46">
        <f>AVERAGE('25.05 Kampala-Mutukula-24h'!G30,'26.05 Kampala-Mutukula-24h'!G30,'27.05 Kampala-Mutukula-24h'!G30)</f>
        <v>0</v>
      </c>
      <c r="H30" s="46">
        <f>AVERAGE('25.05 Kampala-Mutukula-24h'!H30,'26.05 Kampala-Mutukula-24h'!H30,'27.05 Kampala-Mutukula-24h'!H30)</f>
        <v>0</v>
      </c>
      <c r="I30" s="46">
        <f>AVERAGE('25.05 Kampala-Mutukula-24h'!I30,'26.05 Kampala-Mutukula-24h'!I30,'27.05 Kampala-Mutukula-24h'!I30)</f>
        <v>0.33333333333333331</v>
      </c>
      <c r="J30" s="46">
        <f>AVERAGE('25.05 Kampala-Mutukula-24h'!J30,'26.05 Kampala-Mutukula-24h'!J30,'27.05 Kampala-Mutukula-24h'!J30)</f>
        <v>1.3333333333333333</v>
      </c>
      <c r="K30" s="46">
        <f>AVERAGE('25.05 Kampala-Mutukula-24h'!K30,'26.05 Kampala-Mutukula-24h'!K30,'27.05 Kampala-Mutukula-24h'!K30)</f>
        <v>0.33333333333333331</v>
      </c>
      <c r="L30" s="46">
        <f>AVERAGE('25.05 Kampala-Mutukula-24h'!L30,'26.05 Kampala-Mutukula-24h'!L30,'27.05 Kampala-Mutukula-24h'!L30)</f>
        <v>0.66666666666666663</v>
      </c>
      <c r="M30" s="46">
        <f>AVERAGE('25.05 Kampala-Mutukula-24h'!L30,'26.05 Kampala-Mutukula-24h'!L30,'27.05 Kampala-Mutukula-24h'!L30)</f>
        <v>0.66666666666666663</v>
      </c>
      <c r="N30" s="46">
        <f>AVERAGE('25.05 Kampala-Mutukula-24h'!N30,'26.05 Kampala-Mutukula-24h'!N30,'27.05 Kampala-Mutukula-24h'!N30)</f>
        <v>0</v>
      </c>
      <c r="O30" s="15">
        <f t="shared" si="0"/>
        <v>10</v>
      </c>
      <c r="P30" s="15">
        <f t="shared" si="1"/>
        <v>10.666666666666666</v>
      </c>
      <c r="R30" s="1" t="s">
        <v>154</v>
      </c>
      <c r="S30" s="31">
        <f>SUM(C90:C93)</f>
        <v>0.33333333333333331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0.33333333333333331</v>
      </c>
      <c r="AC30" s="31">
        <f t="shared" si="22"/>
        <v>0</v>
      </c>
      <c r="AD30" s="31">
        <f t="shared" si="22"/>
        <v>0</v>
      </c>
      <c r="AE30" s="28">
        <f t="shared" si="22"/>
        <v>0.66666666666666663</v>
      </c>
      <c r="AF30" s="28">
        <f t="shared" si="22"/>
        <v>0.66666666666666663</v>
      </c>
    </row>
    <row r="31" spans="2:32" ht="23.1" customHeight="1" x14ac:dyDescent="0.25">
      <c r="B31" s="21" t="s">
        <v>58</v>
      </c>
      <c r="C31" s="46">
        <f>AVERAGE('25.05 Kampala-Mutukula-24h'!C31,'26.05 Kampala-Mutukula-24h'!C31,'27.05 Kampala-Mutukula-24h'!C31)</f>
        <v>0</v>
      </c>
      <c r="D31" s="46">
        <f>AVERAGE('25.05 Kampala-Mutukula-24h'!D31,'26.05 Kampala-Mutukula-24h'!D31,'27.05 Kampala-Mutukula-24h'!D31)</f>
        <v>0</v>
      </c>
      <c r="E31" s="46">
        <f>AVERAGE('25.05 Kampala-Mutukula-24h'!E31,'26.05 Kampala-Mutukula-24h'!E31,'27.05 Kampala-Mutukula-24h'!E31)</f>
        <v>0</v>
      </c>
      <c r="F31" s="46">
        <f>AVERAGE('25.05 Kampala-Mutukula-24h'!F31,'26.05 Kampala-Mutukula-24h'!F31,'27.05 Kampala-Mutukula-24h'!F31)</f>
        <v>0</v>
      </c>
      <c r="G31" s="46">
        <f>AVERAGE('25.05 Kampala-Mutukula-24h'!G31,'26.05 Kampala-Mutukula-24h'!G31,'27.05 Kampala-Mutukula-24h'!G31)</f>
        <v>0</v>
      </c>
      <c r="H31" s="46">
        <f>AVERAGE('25.05 Kampala-Mutukula-24h'!H31,'26.05 Kampala-Mutukula-24h'!H31,'27.05 Kampala-Mutukula-24h'!H31)</f>
        <v>0</v>
      </c>
      <c r="I31" s="46">
        <f>AVERAGE('25.05 Kampala-Mutukula-24h'!I31,'26.05 Kampala-Mutukula-24h'!I31,'27.05 Kampala-Mutukula-24h'!I31)</f>
        <v>0</v>
      </c>
      <c r="J31" s="46">
        <f>AVERAGE('25.05 Kampala-Mutukula-24h'!J31,'26.05 Kampala-Mutukula-24h'!J31,'27.05 Kampala-Mutukula-24h'!J31)</f>
        <v>0</v>
      </c>
      <c r="K31" s="46">
        <f>AVERAGE('25.05 Kampala-Mutukula-24h'!K31,'26.05 Kampala-Mutukula-24h'!K31,'27.05 Kampala-Mutukula-24h'!K31)</f>
        <v>0</v>
      </c>
      <c r="L31" s="46">
        <f>AVERAGE('25.05 Kampala-Mutukula-24h'!L31,'26.05 Kampala-Mutukula-24h'!L31,'27.05 Kampala-Mutukula-24h'!L31)</f>
        <v>0</v>
      </c>
      <c r="M31" s="46">
        <f>AVERAGE('25.05 Kampala-Mutukula-24h'!L31,'26.05 Kampala-Mutukula-24h'!L31,'27.05 Kampala-Mutukula-24h'!L31)</f>
        <v>0</v>
      </c>
      <c r="N31" s="46">
        <f>AVERAGE('25.05 Kampala-Mutukula-24h'!N31,'26.05 Kampala-Mutukula-24h'!N31,'27.05 Kampala-Mutukula-24h'!N31)</f>
        <v>0</v>
      </c>
      <c r="O31" s="15">
        <f t="shared" si="0"/>
        <v>0</v>
      </c>
      <c r="P31" s="15">
        <f t="shared" si="1"/>
        <v>0</v>
      </c>
      <c r="R31" s="1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0.33333333333333331</v>
      </c>
      <c r="AC31" s="31">
        <f t="shared" si="23"/>
        <v>0</v>
      </c>
      <c r="AD31" s="31">
        <f t="shared" si="23"/>
        <v>0</v>
      </c>
      <c r="AE31" s="28">
        <f t="shared" si="23"/>
        <v>0.33333333333333331</v>
      </c>
      <c r="AF31" s="28">
        <f t="shared" si="23"/>
        <v>0.33333333333333331</v>
      </c>
    </row>
    <row r="32" spans="2:32" ht="23.1" customHeight="1" x14ac:dyDescent="0.25">
      <c r="B32" s="21" t="s">
        <v>59</v>
      </c>
      <c r="C32" s="46">
        <f>AVERAGE('25.05 Kampala-Mutukula-24h'!C32,'26.05 Kampala-Mutukula-24h'!C32,'27.05 Kampala-Mutukula-24h'!C32)</f>
        <v>2.3333333333333335</v>
      </c>
      <c r="D32" s="46">
        <f>AVERAGE('25.05 Kampala-Mutukula-24h'!D32,'26.05 Kampala-Mutukula-24h'!D32,'27.05 Kampala-Mutukula-24h'!D32)</f>
        <v>0</v>
      </c>
      <c r="E32" s="46">
        <f>AVERAGE('25.05 Kampala-Mutukula-24h'!E32,'26.05 Kampala-Mutukula-24h'!E32,'27.05 Kampala-Mutukula-24h'!E32)</f>
        <v>0</v>
      </c>
      <c r="F32" s="46">
        <f>AVERAGE('25.05 Kampala-Mutukula-24h'!F32,'26.05 Kampala-Mutukula-24h'!F32,'27.05 Kampala-Mutukula-24h'!F32)</f>
        <v>1.6666666666666667</v>
      </c>
      <c r="G32" s="46">
        <f>AVERAGE('25.05 Kampala-Mutukula-24h'!G32,'26.05 Kampala-Mutukula-24h'!G32,'27.05 Kampala-Mutukula-24h'!G32)</f>
        <v>0.33333333333333331</v>
      </c>
      <c r="H32" s="46">
        <f>AVERAGE('25.05 Kampala-Mutukula-24h'!H32,'26.05 Kampala-Mutukula-24h'!H32,'27.05 Kampala-Mutukula-24h'!H32)</f>
        <v>0</v>
      </c>
      <c r="I32" s="46">
        <f>AVERAGE('25.05 Kampala-Mutukula-24h'!I32,'26.05 Kampala-Mutukula-24h'!I32,'27.05 Kampala-Mutukula-24h'!I32)</f>
        <v>0</v>
      </c>
      <c r="J32" s="46">
        <f>AVERAGE('25.05 Kampala-Mutukula-24h'!J32,'26.05 Kampala-Mutukula-24h'!J32,'27.05 Kampala-Mutukula-24h'!J32)</f>
        <v>2</v>
      </c>
      <c r="K32" s="46">
        <f>AVERAGE('25.05 Kampala-Mutukula-24h'!K32,'26.05 Kampala-Mutukula-24h'!K32,'27.05 Kampala-Mutukula-24h'!K32)</f>
        <v>0</v>
      </c>
      <c r="L32" s="46">
        <f>AVERAGE('25.05 Kampala-Mutukula-24h'!L32,'26.05 Kampala-Mutukula-24h'!L32,'27.05 Kampala-Mutukula-24h'!L32)</f>
        <v>2.3333333333333335</v>
      </c>
      <c r="M32" s="46">
        <f>AVERAGE('25.05 Kampala-Mutukula-24h'!L32,'26.05 Kampala-Mutukula-24h'!L32,'27.05 Kampala-Mutukula-24h'!L32)</f>
        <v>2.3333333333333335</v>
      </c>
      <c r="N32" s="46">
        <f>AVERAGE('25.05 Kampala-Mutukula-24h'!N32,'26.05 Kampala-Mutukula-24h'!N32,'27.05 Kampala-Mutukula-24h'!N32)</f>
        <v>0</v>
      </c>
      <c r="O32" s="15">
        <f t="shared" si="0"/>
        <v>8.6666666666666661</v>
      </c>
      <c r="P32" s="15">
        <f t="shared" si="1"/>
        <v>11</v>
      </c>
      <c r="R32" s="1" t="s">
        <v>156</v>
      </c>
      <c r="S32" s="31">
        <f>SUM(C98:C101)</f>
        <v>0.66666666666666663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0</v>
      </c>
      <c r="W32" s="31">
        <f t="shared" si="24"/>
        <v>0</v>
      </c>
      <c r="X32" s="31">
        <f t="shared" si="24"/>
        <v>0</v>
      </c>
      <c r="Y32" s="31">
        <f t="shared" si="24"/>
        <v>0</v>
      </c>
      <c r="Z32" s="31">
        <f t="shared" si="24"/>
        <v>0</v>
      </c>
      <c r="AA32" s="31">
        <f t="shared" si="24"/>
        <v>0</v>
      </c>
      <c r="AB32" s="31">
        <f t="shared" si="24"/>
        <v>0</v>
      </c>
      <c r="AC32" s="31">
        <f t="shared" si="24"/>
        <v>0</v>
      </c>
      <c r="AD32" s="31">
        <f t="shared" si="24"/>
        <v>0</v>
      </c>
      <c r="AE32" s="28">
        <f t="shared" si="24"/>
        <v>0.66666666666666663</v>
      </c>
      <c r="AF32" s="28">
        <f t="shared" si="24"/>
        <v>0.66666666666666663</v>
      </c>
    </row>
    <row r="33" spans="2:32" ht="23.1" customHeight="1" x14ac:dyDescent="0.25">
      <c r="B33" s="20" t="s">
        <v>60</v>
      </c>
      <c r="C33" s="46">
        <f>AVERAGE('25.05 Kampala-Mutukula-24h'!C33,'26.05 Kampala-Mutukula-24h'!C33,'27.05 Kampala-Mutukula-24h'!C33)</f>
        <v>0</v>
      </c>
      <c r="D33" s="46">
        <f>AVERAGE('25.05 Kampala-Mutukula-24h'!D33,'26.05 Kampala-Mutukula-24h'!D33,'27.05 Kampala-Mutukula-24h'!D33)</f>
        <v>0</v>
      </c>
      <c r="E33" s="46">
        <f>AVERAGE('25.05 Kampala-Mutukula-24h'!E33,'26.05 Kampala-Mutukula-24h'!E33,'27.05 Kampala-Mutukula-24h'!E33)</f>
        <v>0</v>
      </c>
      <c r="F33" s="46">
        <f>AVERAGE('25.05 Kampala-Mutukula-24h'!F33,'26.05 Kampala-Mutukula-24h'!F33,'27.05 Kampala-Mutukula-24h'!F33)</f>
        <v>0</v>
      </c>
      <c r="G33" s="46">
        <f>AVERAGE('25.05 Kampala-Mutukula-24h'!G33,'26.05 Kampala-Mutukula-24h'!G33,'27.05 Kampala-Mutukula-24h'!G33)</f>
        <v>0</v>
      </c>
      <c r="H33" s="46">
        <f>AVERAGE('25.05 Kampala-Mutukula-24h'!H33,'26.05 Kampala-Mutukula-24h'!H33,'27.05 Kampala-Mutukula-24h'!H33)</f>
        <v>0</v>
      </c>
      <c r="I33" s="46">
        <f>AVERAGE('25.05 Kampala-Mutukula-24h'!I33,'26.05 Kampala-Mutukula-24h'!I33,'27.05 Kampala-Mutukula-24h'!I33)</f>
        <v>0</v>
      </c>
      <c r="J33" s="46">
        <f>AVERAGE('25.05 Kampala-Mutukula-24h'!J33,'26.05 Kampala-Mutukula-24h'!J33,'27.05 Kampala-Mutukula-24h'!J33)</f>
        <v>0</v>
      </c>
      <c r="K33" s="46">
        <f>AVERAGE('25.05 Kampala-Mutukula-24h'!K33,'26.05 Kampala-Mutukula-24h'!K33,'27.05 Kampala-Mutukula-24h'!K33)</f>
        <v>0</v>
      </c>
      <c r="L33" s="46">
        <f>AVERAGE('25.05 Kampala-Mutukula-24h'!L33,'26.05 Kampala-Mutukula-24h'!L33,'27.05 Kampala-Mutukula-24h'!L33)</f>
        <v>0</v>
      </c>
      <c r="M33" s="46">
        <f>AVERAGE('25.05 Kampala-Mutukula-24h'!L33,'26.05 Kampala-Mutukula-24h'!L33,'27.05 Kampala-Mutukula-24h'!L33)</f>
        <v>0</v>
      </c>
      <c r="N33" s="46">
        <f>AVERAGE('25.05 Kampala-Mutukula-24h'!N33,'26.05 Kampala-Mutukula-24h'!N33,'27.05 Kampala-Mutukula-24h'!N33)</f>
        <v>0</v>
      </c>
      <c r="O33" s="15">
        <f t="shared" si="0"/>
        <v>0</v>
      </c>
      <c r="P33" s="15">
        <f t="shared" si="1"/>
        <v>0</v>
      </c>
      <c r="R33" s="1" t="s">
        <v>157</v>
      </c>
      <c r="S33" s="31">
        <f>SUM(C102:C105)</f>
        <v>6.6666666666666661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1.3333333333333333</v>
      </c>
      <c r="W33" s="31">
        <f t="shared" si="25"/>
        <v>1.6666666666666665</v>
      </c>
      <c r="X33" s="31">
        <f t="shared" si="25"/>
        <v>1</v>
      </c>
      <c r="Y33" s="31">
        <f t="shared" si="25"/>
        <v>0</v>
      </c>
      <c r="Z33" s="31">
        <f t="shared" si="25"/>
        <v>1.6666666666666665</v>
      </c>
      <c r="AA33" s="31">
        <f t="shared" si="25"/>
        <v>2</v>
      </c>
      <c r="AB33" s="31">
        <f t="shared" si="25"/>
        <v>5.666666666666667</v>
      </c>
      <c r="AC33" s="31">
        <f t="shared" si="25"/>
        <v>0</v>
      </c>
      <c r="AD33" s="31">
        <f t="shared" si="25"/>
        <v>0</v>
      </c>
      <c r="AE33" s="28">
        <f t="shared" si="25"/>
        <v>20</v>
      </c>
      <c r="AF33" s="28">
        <f t="shared" si="25"/>
        <v>20</v>
      </c>
    </row>
    <row r="34" spans="2:32" ht="23.1" customHeight="1" x14ac:dyDescent="0.25">
      <c r="B34" s="21" t="s">
        <v>61</v>
      </c>
      <c r="C34" s="46">
        <f>AVERAGE('25.05 Kampala-Mutukula-24h'!C34,'26.05 Kampala-Mutukula-24h'!C34,'27.05 Kampala-Mutukula-24h'!C34)</f>
        <v>4.666666666666667</v>
      </c>
      <c r="D34" s="46">
        <f>AVERAGE('25.05 Kampala-Mutukula-24h'!D34,'26.05 Kampala-Mutukula-24h'!D34,'27.05 Kampala-Mutukula-24h'!D34)</f>
        <v>0</v>
      </c>
      <c r="E34" s="46">
        <f>AVERAGE('25.05 Kampala-Mutukula-24h'!E34,'26.05 Kampala-Mutukula-24h'!E34,'27.05 Kampala-Mutukula-24h'!E34)</f>
        <v>0</v>
      </c>
      <c r="F34" s="46">
        <f>AVERAGE('25.05 Kampala-Mutukula-24h'!F34,'26.05 Kampala-Mutukula-24h'!F34,'27.05 Kampala-Mutukula-24h'!F34)</f>
        <v>2.3333333333333335</v>
      </c>
      <c r="G34" s="46">
        <f>AVERAGE('25.05 Kampala-Mutukula-24h'!G34,'26.05 Kampala-Mutukula-24h'!G34,'27.05 Kampala-Mutukula-24h'!G34)</f>
        <v>0.33333333333333331</v>
      </c>
      <c r="H34" s="46">
        <f>AVERAGE('25.05 Kampala-Mutukula-24h'!H34,'26.05 Kampala-Mutukula-24h'!H34,'27.05 Kampala-Mutukula-24h'!H34)</f>
        <v>0.33333333333333331</v>
      </c>
      <c r="I34" s="46">
        <f>AVERAGE('25.05 Kampala-Mutukula-24h'!I34,'26.05 Kampala-Mutukula-24h'!I34,'27.05 Kampala-Mutukula-24h'!I34)</f>
        <v>0</v>
      </c>
      <c r="J34" s="46">
        <f>AVERAGE('25.05 Kampala-Mutukula-24h'!J34,'26.05 Kampala-Mutukula-24h'!J34,'27.05 Kampala-Mutukula-24h'!J34)</f>
        <v>2.3333333333333335</v>
      </c>
      <c r="K34" s="46">
        <f>AVERAGE('25.05 Kampala-Mutukula-24h'!K34,'26.05 Kampala-Mutukula-24h'!K34,'27.05 Kampala-Mutukula-24h'!K34)</f>
        <v>0</v>
      </c>
      <c r="L34" s="46">
        <f>AVERAGE('25.05 Kampala-Mutukula-24h'!L34,'26.05 Kampala-Mutukula-24h'!L34,'27.05 Kampala-Mutukula-24h'!L34)</f>
        <v>2.6666666666666665</v>
      </c>
      <c r="M34" s="46">
        <f>AVERAGE('25.05 Kampala-Mutukula-24h'!L34,'26.05 Kampala-Mutukula-24h'!L34,'27.05 Kampala-Mutukula-24h'!L34)</f>
        <v>2.6666666666666665</v>
      </c>
      <c r="N34" s="46">
        <f>AVERAGE('25.05 Kampala-Mutukula-24h'!N34,'26.05 Kampala-Mutukula-24h'!N34,'27.05 Kampala-Mutukula-24h'!N34)</f>
        <v>0</v>
      </c>
      <c r="O34" s="15">
        <f t="shared" si="0"/>
        <v>12.666666666666666</v>
      </c>
      <c r="P34" s="15">
        <f t="shared" si="1"/>
        <v>15.333333333333332</v>
      </c>
      <c r="R34" s="48" t="s">
        <v>90</v>
      </c>
      <c r="S34" s="49">
        <f t="shared" ref="S34:AF34" si="26">MAX(S10:S12)</f>
        <v>9.3333333333333339</v>
      </c>
      <c r="T34" s="49">
        <f t="shared" si="26"/>
        <v>0</v>
      </c>
      <c r="U34" s="49">
        <f t="shared" si="26"/>
        <v>0</v>
      </c>
      <c r="V34" s="49">
        <f t="shared" si="26"/>
        <v>6</v>
      </c>
      <c r="W34" s="49">
        <f t="shared" si="26"/>
        <v>0.66666666666666663</v>
      </c>
      <c r="X34" s="49">
        <f t="shared" si="26"/>
        <v>2.666666666666667</v>
      </c>
      <c r="Y34" s="49">
        <f t="shared" si="26"/>
        <v>1.3333333333333333</v>
      </c>
      <c r="Z34" s="49">
        <f t="shared" si="26"/>
        <v>6</v>
      </c>
      <c r="AA34" s="49">
        <f t="shared" si="26"/>
        <v>2</v>
      </c>
      <c r="AB34" s="49">
        <f t="shared" si="26"/>
        <v>6.6666666666666661</v>
      </c>
      <c r="AC34" s="49">
        <f t="shared" si="26"/>
        <v>6.6666666666666661</v>
      </c>
      <c r="AD34" s="49">
        <f t="shared" si="26"/>
        <v>0</v>
      </c>
      <c r="AE34" s="37">
        <f t="shared" si="26"/>
        <v>34.666666666666671</v>
      </c>
      <c r="AF34" s="37">
        <f t="shared" si="26"/>
        <v>41.333333333333336</v>
      </c>
    </row>
    <row r="35" spans="2:32" ht="23.1" customHeight="1" x14ac:dyDescent="0.25">
      <c r="B35" s="21" t="s">
        <v>62</v>
      </c>
      <c r="C35" s="46">
        <f>AVERAGE('25.05 Kampala-Mutukula-24h'!C35,'26.05 Kampala-Mutukula-24h'!C35,'27.05 Kampala-Mutukula-24h'!C35)</f>
        <v>0</v>
      </c>
      <c r="D35" s="46">
        <f>AVERAGE('25.05 Kampala-Mutukula-24h'!D35,'26.05 Kampala-Mutukula-24h'!D35,'27.05 Kampala-Mutukula-24h'!D35)</f>
        <v>0</v>
      </c>
      <c r="E35" s="46">
        <f>AVERAGE('25.05 Kampala-Mutukula-24h'!E35,'26.05 Kampala-Mutukula-24h'!E35,'27.05 Kampala-Mutukula-24h'!E35)</f>
        <v>0</v>
      </c>
      <c r="F35" s="46">
        <f>AVERAGE('25.05 Kampala-Mutukula-24h'!F35,'26.05 Kampala-Mutukula-24h'!F35,'27.05 Kampala-Mutukula-24h'!F35)</f>
        <v>0</v>
      </c>
      <c r="G35" s="46">
        <f>AVERAGE('25.05 Kampala-Mutukula-24h'!G35,'26.05 Kampala-Mutukula-24h'!G35,'27.05 Kampala-Mutukula-24h'!G35)</f>
        <v>0</v>
      </c>
      <c r="H35" s="46">
        <f>AVERAGE('25.05 Kampala-Mutukula-24h'!H35,'26.05 Kampala-Mutukula-24h'!H35,'27.05 Kampala-Mutukula-24h'!H35)</f>
        <v>0</v>
      </c>
      <c r="I35" s="46">
        <f>AVERAGE('25.05 Kampala-Mutukula-24h'!I35,'26.05 Kampala-Mutukula-24h'!I35,'27.05 Kampala-Mutukula-24h'!I35)</f>
        <v>0</v>
      </c>
      <c r="J35" s="46">
        <f>AVERAGE('25.05 Kampala-Mutukula-24h'!J35,'26.05 Kampala-Mutukula-24h'!J35,'27.05 Kampala-Mutukula-24h'!J35)</f>
        <v>0</v>
      </c>
      <c r="K35" s="46">
        <f>AVERAGE('25.05 Kampala-Mutukula-24h'!K35,'26.05 Kampala-Mutukula-24h'!K35,'27.05 Kampala-Mutukula-24h'!K35)</f>
        <v>0</v>
      </c>
      <c r="L35" s="46">
        <f>AVERAGE('25.05 Kampala-Mutukula-24h'!L35,'26.05 Kampala-Mutukula-24h'!L35,'27.05 Kampala-Mutukula-24h'!L35)</f>
        <v>0</v>
      </c>
      <c r="M35" s="46">
        <f>AVERAGE('25.05 Kampala-Mutukula-24h'!L35,'26.05 Kampala-Mutukula-24h'!L35,'27.05 Kampala-Mutukula-24h'!L35)</f>
        <v>0</v>
      </c>
      <c r="N35" s="46">
        <f>AVERAGE('25.05 Kampala-Mutukula-24h'!N35,'26.05 Kampala-Mutukula-24h'!N35,'27.05 Kampala-Mutukula-24h'!N35)</f>
        <v>0</v>
      </c>
      <c r="O35" s="15">
        <f t="shared" si="0"/>
        <v>0</v>
      </c>
      <c r="P35" s="15">
        <f t="shared" si="1"/>
        <v>0</v>
      </c>
      <c r="R35" s="48" t="s">
        <v>91</v>
      </c>
      <c r="S35" s="49">
        <f t="shared" ref="S35:AF35" si="27">MAX(S13:S18)</f>
        <v>9.6666666666666679</v>
      </c>
      <c r="T35" s="49">
        <f t="shared" si="27"/>
        <v>0</v>
      </c>
      <c r="U35" s="49">
        <f t="shared" si="27"/>
        <v>0</v>
      </c>
      <c r="V35" s="49">
        <f t="shared" si="27"/>
        <v>5.6666666666666661</v>
      </c>
      <c r="W35" s="49">
        <f t="shared" si="27"/>
        <v>0.66666666666666663</v>
      </c>
      <c r="X35" s="49">
        <f t="shared" si="27"/>
        <v>1.3333333333333333</v>
      </c>
      <c r="Y35" s="49">
        <f t="shared" si="27"/>
        <v>2.333333333333333</v>
      </c>
      <c r="Z35" s="49">
        <f t="shared" si="27"/>
        <v>3.3333333333333335</v>
      </c>
      <c r="AA35" s="49">
        <f t="shared" si="27"/>
        <v>1.3333333333333333</v>
      </c>
      <c r="AB35" s="49">
        <f t="shared" si="27"/>
        <v>6</v>
      </c>
      <c r="AC35" s="49">
        <f t="shared" si="27"/>
        <v>6</v>
      </c>
      <c r="AD35" s="49">
        <f t="shared" si="27"/>
        <v>0</v>
      </c>
      <c r="AE35" s="37">
        <f t="shared" si="27"/>
        <v>24.333333333333332</v>
      </c>
      <c r="AF35" s="37">
        <f t="shared" si="27"/>
        <v>27.333333333333332</v>
      </c>
    </row>
    <row r="36" spans="2:32" ht="23.1" customHeight="1" x14ac:dyDescent="0.25">
      <c r="B36" s="21" t="s">
        <v>63</v>
      </c>
      <c r="C36" s="46">
        <f>AVERAGE('25.05 Kampala-Mutukula-24h'!C36,'26.05 Kampala-Mutukula-24h'!C36,'27.05 Kampala-Mutukula-24h'!C36)</f>
        <v>4</v>
      </c>
      <c r="D36" s="46">
        <f>AVERAGE('25.05 Kampala-Mutukula-24h'!D36,'26.05 Kampala-Mutukula-24h'!D36,'27.05 Kampala-Mutukula-24h'!D36)</f>
        <v>0</v>
      </c>
      <c r="E36" s="46">
        <f>AVERAGE('25.05 Kampala-Mutukula-24h'!E36,'26.05 Kampala-Mutukula-24h'!E36,'27.05 Kampala-Mutukula-24h'!E36)</f>
        <v>0</v>
      </c>
      <c r="F36" s="46">
        <f>AVERAGE('25.05 Kampala-Mutukula-24h'!F36,'26.05 Kampala-Mutukula-24h'!F36,'27.05 Kampala-Mutukula-24h'!F36)</f>
        <v>3</v>
      </c>
      <c r="G36" s="46">
        <f>AVERAGE('25.05 Kampala-Mutukula-24h'!G36,'26.05 Kampala-Mutukula-24h'!G36,'27.05 Kampala-Mutukula-24h'!G36)</f>
        <v>0.33333333333333331</v>
      </c>
      <c r="H36" s="46">
        <f>AVERAGE('25.05 Kampala-Mutukula-24h'!H36,'26.05 Kampala-Mutukula-24h'!H36,'27.05 Kampala-Mutukula-24h'!H36)</f>
        <v>0.66666666666666663</v>
      </c>
      <c r="I36" s="46">
        <f>AVERAGE('25.05 Kampala-Mutukula-24h'!I36,'26.05 Kampala-Mutukula-24h'!I36,'27.05 Kampala-Mutukula-24h'!I36)</f>
        <v>2</v>
      </c>
      <c r="J36" s="46">
        <f>AVERAGE('25.05 Kampala-Mutukula-24h'!J36,'26.05 Kampala-Mutukula-24h'!J36,'27.05 Kampala-Mutukula-24h'!J36)</f>
        <v>0.66666666666666663</v>
      </c>
      <c r="K36" s="46">
        <f>AVERAGE('25.05 Kampala-Mutukula-24h'!K36,'26.05 Kampala-Mutukula-24h'!K36,'27.05 Kampala-Mutukula-24h'!K36)</f>
        <v>0.66666666666666663</v>
      </c>
      <c r="L36" s="46">
        <f>AVERAGE('25.05 Kampala-Mutukula-24h'!L36,'26.05 Kampala-Mutukula-24h'!L36,'27.05 Kampala-Mutukula-24h'!L36)</f>
        <v>0.33333333333333331</v>
      </c>
      <c r="M36" s="46">
        <f>AVERAGE('25.05 Kampala-Mutukula-24h'!L36,'26.05 Kampala-Mutukula-24h'!L36,'27.05 Kampala-Mutukula-24h'!L36)</f>
        <v>0.33333333333333331</v>
      </c>
      <c r="N36" s="46">
        <f>AVERAGE('25.05 Kampala-Mutukula-24h'!N36,'26.05 Kampala-Mutukula-24h'!N36,'27.05 Kampala-Mutukula-24h'!N36)</f>
        <v>0</v>
      </c>
      <c r="O36" s="15">
        <f t="shared" si="0"/>
        <v>11.666666666666666</v>
      </c>
      <c r="P36" s="15">
        <f t="shared" si="1"/>
        <v>12</v>
      </c>
      <c r="R36" s="48" t="s">
        <v>92</v>
      </c>
      <c r="S36" s="49">
        <f t="shared" ref="S36:AF36" si="28">MAX(S19:S21)</f>
        <v>11.666666666666668</v>
      </c>
      <c r="T36" s="49">
        <f t="shared" si="28"/>
        <v>0</v>
      </c>
      <c r="U36" s="49">
        <f t="shared" si="28"/>
        <v>0</v>
      </c>
      <c r="V36" s="49">
        <f t="shared" si="28"/>
        <v>5</v>
      </c>
      <c r="W36" s="49">
        <f t="shared" si="28"/>
        <v>0.66666666666666663</v>
      </c>
      <c r="X36" s="49">
        <f t="shared" si="28"/>
        <v>1.3333333333333333</v>
      </c>
      <c r="Y36" s="49">
        <f t="shared" si="28"/>
        <v>1.6666666666666665</v>
      </c>
      <c r="Z36" s="49">
        <f t="shared" si="28"/>
        <v>4.666666666666667</v>
      </c>
      <c r="AA36" s="49">
        <f t="shared" si="28"/>
        <v>1.3333333333333333</v>
      </c>
      <c r="AB36" s="49">
        <f t="shared" si="28"/>
        <v>4</v>
      </c>
      <c r="AC36" s="49">
        <f t="shared" si="28"/>
        <v>4</v>
      </c>
      <c r="AD36" s="49">
        <f t="shared" si="28"/>
        <v>0</v>
      </c>
      <c r="AE36" s="37">
        <f t="shared" si="28"/>
        <v>28</v>
      </c>
      <c r="AF36" s="37">
        <f t="shared" si="28"/>
        <v>32</v>
      </c>
    </row>
    <row r="37" spans="2:32" ht="23.1" customHeight="1" x14ac:dyDescent="0.25">
      <c r="B37" s="20" t="s">
        <v>64</v>
      </c>
      <c r="C37" s="46">
        <f>AVERAGE('25.05 Kampala-Mutukula-24h'!C37,'26.05 Kampala-Mutukula-24h'!C37,'27.05 Kampala-Mutukula-24h'!C37)</f>
        <v>0</v>
      </c>
      <c r="D37" s="46">
        <f>AVERAGE('25.05 Kampala-Mutukula-24h'!D37,'26.05 Kampala-Mutukula-24h'!D37,'27.05 Kampala-Mutukula-24h'!D37)</f>
        <v>0</v>
      </c>
      <c r="E37" s="46">
        <f>AVERAGE('25.05 Kampala-Mutukula-24h'!E37,'26.05 Kampala-Mutukula-24h'!E37,'27.05 Kampala-Mutukula-24h'!E37)</f>
        <v>0</v>
      </c>
      <c r="F37" s="46">
        <f>AVERAGE('25.05 Kampala-Mutukula-24h'!F37,'26.05 Kampala-Mutukula-24h'!F37,'27.05 Kampala-Mutukula-24h'!F37)</f>
        <v>0</v>
      </c>
      <c r="G37" s="46">
        <f>AVERAGE('25.05 Kampala-Mutukula-24h'!G37,'26.05 Kampala-Mutukula-24h'!G37,'27.05 Kampala-Mutukula-24h'!G37)</f>
        <v>0</v>
      </c>
      <c r="H37" s="46">
        <f>AVERAGE('25.05 Kampala-Mutukula-24h'!H37,'26.05 Kampala-Mutukula-24h'!H37,'27.05 Kampala-Mutukula-24h'!H37)</f>
        <v>0</v>
      </c>
      <c r="I37" s="46">
        <f>AVERAGE('25.05 Kampala-Mutukula-24h'!I37,'26.05 Kampala-Mutukula-24h'!I37,'27.05 Kampala-Mutukula-24h'!I37)</f>
        <v>0</v>
      </c>
      <c r="J37" s="46">
        <f>AVERAGE('25.05 Kampala-Mutukula-24h'!J37,'26.05 Kampala-Mutukula-24h'!J37,'27.05 Kampala-Mutukula-24h'!J37)</f>
        <v>0</v>
      </c>
      <c r="K37" s="46">
        <f>AVERAGE('25.05 Kampala-Mutukula-24h'!K37,'26.05 Kampala-Mutukula-24h'!K37,'27.05 Kampala-Mutukula-24h'!K37)</f>
        <v>0</v>
      </c>
      <c r="L37" s="46">
        <f>AVERAGE('25.05 Kampala-Mutukula-24h'!L37,'26.05 Kampala-Mutukula-24h'!L37,'27.05 Kampala-Mutukula-24h'!L37)</f>
        <v>0</v>
      </c>
      <c r="M37" s="46">
        <f>AVERAGE('25.05 Kampala-Mutukula-24h'!L37,'26.05 Kampala-Mutukula-24h'!L37,'27.05 Kampala-Mutukula-24h'!L37)</f>
        <v>0</v>
      </c>
      <c r="N37" s="46">
        <f>AVERAGE('25.05 Kampala-Mutukula-24h'!N37,'26.05 Kampala-Mutukula-24h'!N37,'27.05 Kampala-Mutukula-24h'!N37)</f>
        <v>0</v>
      </c>
      <c r="O37" s="15">
        <f t="shared" si="0"/>
        <v>0</v>
      </c>
      <c r="P37" s="15">
        <f t="shared" si="1"/>
        <v>0</v>
      </c>
      <c r="R37" s="34" t="s">
        <v>85</v>
      </c>
      <c r="S37" s="50">
        <f t="shared" ref="S37:AF37" si="29">SUM(S10:S12)</f>
        <v>19.666666666666664</v>
      </c>
      <c r="T37" s="51">
        <f t="shared" si="29"/>
        <v>0</v>
      </c>
      <c r="U37" s="51">
        <f t="shared" si="29"/>
        <v>0</v>
      </c>
      <c r="V37" s="51">
        <f t="shared" si="29"/>
        <v>10</v>
      </c>
      <c r="W37" s="51">
        <f t="shared" si="29"/>
        <v>1.3333333333333333</v>
      </c>
      <c r="X37" s="51">
        <f t="shared" si="29"/>
        <v>4.3333333333333339</v>
      </c>
      <c r="Y37" s="51">
        <f t="shared" si="29"/>
        <v>3</v>
      </c>
      <c r="Z37" s="51">
        <f t="shared" si="29"/>
        <v>12.666666666666668</v>
      </c>
      <c r="AA37" s="51">
        <f t="shared" si="29"/>
        <v>5</v>
      </c>
      <c r="AB37" s="51">
        <f t="shared" si="29"/>
        <v>13.333333333333332</v>
      </c>
      <c r="AC37" s="51">
        <f t="shared" si="29"/>
        <v>13.333333333333332</v>
      </c>
      <c r="AD37" s="51">
        <f t="shared" si="29"/>
        <v>0</v>
      </c>
      <c r="AE37" s="52">
        <f t="shared" si="29"/>
        <v>69.333333333333343</v>
      </c>
      <c r="AF37" s="52">
        <f t="shared" si="29"/>
        <v>82.666666666666657</v>
      </c>
    </row>
    <row r="38" spans="2:32" ht="23.1" customHeight="1" x14ac:dyDescent="0.25">
      <c r="B38" s="21" t="s">
        <v>65</v>
      </c>
      <c r="C38" s="46">
        <f>AVERAGE('25.05 Kampala-Mutukula-24h'!C38,'26.05 Kampala-Mutukula-24h'!C38,'27.05 Kampala-Mutukula-24h'!C38)</f>
        <v>4.666666666666667</v>
      </c>
      <c r="D38" s="46">
        <f>AVERAGE('25.05 Kampala-Mutukula-24h'!D38,'26.05 Kampala-Mutukula-24h'!D38,'27.05 Kampala-Mutukula-24h'!D38)</f>
        <v>0</v>
      </c>
      <c r="E38" s="46">
        <f>AVERAGE('25.05 Kampala-Mutukula-24h'!E38,'26.05 Kampala-Mutukula-24h'!E38,'27.05 Kampala-Mutukula-24h'!E38)</f>
        <v>0</v>
      </c>
      <c r="F38" s="46">
        <f>AVERAGE('25.05 Kampala-Mutukula-24h'!F38,'26.05 Kampala-Mutukula-24h'!F38,'27.05 Kampala-Mutukula-24h'!F38)</f>
        <v>2.3333333333333335</v>
      </c>
      <c r="G38" s="46">
        <f>AVERAGE('25.05 Kampala-Mutukula-24h'!G38,'26.05 Kampala-Mutukula-24h'!G38,'27.05 Kampala-Mutukula-24h'!G38)</f>
        <v>0</v>
      </c>
      <c r="H38" s="46">
        <f>AVERAGE('25.05 Kampala-Mutukula-24h'!H38,'26.05 Kampala-Mutukula-24h'!H38,'27.05 Kampala-Mutukula-24h'!H38)</f>
        <v>0.33333333333333331</v>
      </c>
      <c r="I38" s="46">
        <f>AVERAGE('25.05 Kampala-Mutukula-24h'!I38,'26.05 Kampala-Mutukula-24h'!I38,'27.05 Kampala-Mutukula-24h'!I38)</f>
        <v>1.3333333333333333</v>
      </c>
      <c r="J38" s="46">
        <f>AVERAGE('25.05 Kampala-Mutukula-24h'!J38,'26.05 Kampala-Mutukula-24h'!J38,'27.05 Kampala-Mutukula-24h'!J38)</f>
        <v>1.6666666666666667</v>
      </c>
      <c r="K38" s="46">
        <f>AVERAGE('25.05 Kampala-Mutukula-24h'!K38,'26.05 Kampala-Mutukula-24h'!K38,'27.05 Kampala-Mutukula-24h'!K38)</f>
        <v>0</v>
      </c>
      <c r="L38" s="46">
        <f>AVERAGE('25.05 Kampala-Mutukula-24h'!L38,'26.05 Kampala-Mutukula-24h'!L38,'27.05 Kampala-Mutukula-24h'!L38)</f>
        <v>1</v>
      </c>
      <c r="M38" s="46">
        <f>AVERAGE('25.05 Kampala-Mutukula-24h'!L38,'26.05 Kampala-Mutukula-24h'!L38,'27.05 Kampala-Mutukula-24h'!L38)</f>
        <v>1</v>
      </c>
      <c r="N38" s="46">
        <f>AVERAGE('25.05 Kampala-Mutukula-24h'!N38,'26.05 Kampala-Mutukula-24h'!N38,'27.05 Kampala-Mutukula-24h'!N38)</f>
        <v>0</v>
      </c>
      <c r="O38" s="15">
        <f t="shared" si="0"/>
        <v>11.333333333333332</v>
      </c>
      <c r="P38" s="15">
        <f t="shared" si="1"/>
        <v>12.333333333333332</v>
      </c>
      <c r="R38" s="25" t="s">
        <v>86</v>
      </c>
      <c r="S38" s="51">
        <f t="shared" ref="S38:AF38" si="30">SUM(S13:S18)</f>
        <v>48.000000000000007</v>
      </c>
      <c r="T38" s="51">
        <f t="shared" si="30"/>
        <v>0</v>
      </c>
      <c r="U38" s="51">
        <f t="shared" si="30"/>
        <v>0</v>
      </c>
      <c r="V38" s="51">
        <f t="shared" si="30"/>
        <v>24</v>
      </c>
      <c r="W38" s="51">
        <f t="shared" si="30"/>
        <v>1.3333333333333333</v>
      </c>
      <c r="X38" s="51">
        <f t="shared" si="30"/>
        <v>4</v>
      </c>
      <c r="Y38" s="51">
        <f t="shared" si="30"/>
        <v>6.6666666666666661</v>
      </c>
      <c r="Z38" s="51">
        <f t="shared" si="30"/>
        <v>17.333333333333332</v>
      </c>
      <c r="AA38" s="51">
        <f t="shared" si="30"/>
        <v>3.9999999999999996</v>
      </c>
      <c r="AB38" s="51">
        <f t="shared" si="30"/>
        <v>17</v>
      </c>
      <c r="AC38" s="51">
        <f t="shared" si="30"/>
        <v>17</v>
      </c>
      <c r="AD38" s="51">
        <f t="shared" si="30"/>
        <v>0</v>
      </c>
      <c r="AE38" s="52">
        <f t="shared" si="30"/>
        <v>122.33333333333333</v>
      </c>
      <c r="AF38" s="52">
        <f t="shared" si="30"/>
        <v>139.33333333333331</v>
      </c>
    </row>
    <row r="39" spans="2:32" ht="23.1" customHeight="1" x14ac:dyDescent="0.25">
      <c r="B39" s="21" t="s">
        <v>66</v>
      </c>
      <c r="C39" s="46">
        <f>AVERAGE('25.05 Kampala-Mutukula-24h'!C39,'26.05 Kampala-Mutukula-24h'!C39,'27.05 Kampala-Mutukula-24h'!C39)</f>
        <v>0</v>
      </c>
      <c r="D39" s="46">
        <f>AVERAGE('25.05 Kampala-Mutukula-24h'!D39,'26.05 Kampala-Mutukula-24h'!D39,'27.05 Kampala-Mutukula-24h'!D39)</f>
        <v>0</v>
      </c>
      <c r="E39" s="46">
        <f>AVERAGE('25.05 Kampala-Mutukula-24h'!E39,'26.05 Kampala-Mutukula-24h'!E39,'27.05 Kampala-Mutukula-24h'!E39)</f>
        <v>0</v>
      </c>
      <c r="F39" s="46">
        <f>AVERAGE('25.05 Kampala-Mutukula-24h'!F39,'26.05 Kampala-Mutukula-24h'!F39,'27.05 Kampala-Mutukula-24h'!F39)</f>
        <v>0</v>
      </c>
      <c r="G39" s="46">
        <f>AVERAGE('25.05 Kampala-Mutukula-24h'!G39,'26.05 Kampala-Mutukula-24h'!G39,'27.05 Kampala-Mutukula-24h'!G39)</f>
        <v>0</v>
      </c>
      <c r="H39" s="46">
        <f>AVERAGE('25.05 Kampala-Mutukula-24h'!H39,'26.05 Kampala-Mutukula-24h'!H39,'27.05 Kampala-Mutukula-24h'!H39)</f>
        <v>0</v>
      </c>
      <c r="I39" s="46">
        <f>AVERAGE('25.05 Kampala-Mutukula-24h'!I39,'26.05 Kampala-Mutukula-24h'!I39,'27.05 Kampala-Mutukula-24h'!I39)</f>
        <v>0</v>
      </c>
      <c r="J39" s="46">
        <f>AVERAGE('25.05 Kampala-Mutukula-24h'!J39,'26.05 Kampala-Mutukula-24h'!J39,'27.05 Kampala-Mutukula-24h'!J39)</f>
        <v>0</v>
      </c>
      <c r="K39" s="46">
        <f>AVERAGE('25.05 Kampala-Mutukula-24h'!K39,'26.05 Kampala-Mutukula-24h'!K39,'27.05 Kampala-Mutukula-24h'!K39)</f>
        <v>0</v>
      </c>
      <c r="L39" s="46">
        <f>AVERAGE('25.05 Kampala-Mutukula-24h'!L39,'26.05 Kampala-Mutukula-24h'!L39,'27.05 Kampala-Mutukula-24h'!L39)</f>
        <v>0</v>
      </c>
      <c r="M39" s="46">
        <f>AVERAGE('25.05 Kampala-Mutukula-24h'!L39,'26.05 Kampala-Mutukula-24h'!L39,'27.05 Kampala-Mutukula-24h'!L39)</f>
        <v>0</v>
      </c>
      <c r="N39" s="46">
        <f>AVERAGE('25.05 Kampala-Mutukula-24h'!N39,'26.05 Kampala-Mutukula-24h'!N39,'27.05 Kampala-Mutukula-24h'!N39)</f>
        <v>0</v>
      </c>
      <c r="O39" s="15">
        <f t="shared" si="0"/>
        <v>0</v>
      </c>
      <c r="P39" s="15">
        <f t="shared" si="1"/>
        <v>0</v>
      </c>
      <c r="R39" s="26" t="s">
        <v>87</v>
      </c>
      <c r="S39" s="51">
        <f t="shared" ref="S39:AF39" si="31">SUM(S19:S21)</f>
        <v>28.333333333333332</v>
      </c>
      <c r="T39" s="51">
        <f t="shared" si="31"/>
        <v>0</v>
      </c>
      <c r="U39" s="51">
        <f t="shared" si="31"/>
        <v>0</v>
      </c>
      <c r="V39" s="51">
        <f t="shared" si="31"/>
        <v>12.666666666666666</v>
      </c>
      <c r="W39" s="51">
        <f t="shared" si="31"/>
        <v>0.66666666666666663</v>
      </c>
      <c r="X39" s="51">
        <f t="shared" si="31"/>
        <v>2.6666666666666665</v>
      </c>
      <c r="Y39" s="51">
        <f t="shared" si="31"/>
        <v>3.333333333333333</v>
      </c>
      <c r="Z39" s="51">
        <f t="shared" si="31"/>
        <v>10.333333333333334</v>
      </c>
      <c r="AA39" s="51">
        <f t="shared" si="31"/>
        <v>3.6666666666666661</v>
      </c>
      <c r="AB39" s="51">
        <f t="shared" si="31"/>
        <v>6.6666666666666661</v>
      </c>
      <c r="AC39" s="51">
        <f t="shared" si="31"/>
        <v>6.6666666666666661</v>
      </c>
      <c r="AD39" s="51">
        <f t="shared" si="31"/>
        <v>0</v>
      </c>
      <c r="AE39" s="52">
        <f t="shared" si="31"/>
        <v>68.333333333333343</v>
      </c>
      <c r="AF39" s="52">
        <f t="shared" si="31"/>
        <v>75</v>
      </c>
    </row>
    <row r="40" spans="2:32" ht="23.1" customHeight="1" x14ac:dyDescent="0.25">
      <c r="B40" s="21" t="s">
        <v>67</v>
      </c>
      <c r="C40" s="46">
        <f>AVERAGE('25.05 Kampala-Mutukula-24h'!C40,'26.05 Kampala-Mutukula-24h'!C40,'27.05 Kampala-Mutukula-24h'!C40)</f>
        <v>2.6666666666666665</v>
      </c>
      <c r="D40" s="46">
        <f>AVERAGE('25.05 Kampala-Mutukula-24h'!D40,'26.05 Kampala-Mutukula-24h'!D40,'27.05 Kampala-Mutukula-24h'!D40)</f>
        <v>0</v>
      </c>
      <c r="E40" s="46">
        <f>AVERAGE('25.05 Kampala-Mutukula-24h'!E40,'26.05 Kampala-Mutukula-24h'!E40,'27.05 Kampala-Mutukula-24h'!E40)</f>
        <v>0</v>
      </c>
      <c r="F40" s="46">
        <f>AVERAGE('25.05 Kampala-Mutukula-24h'!F40,'26.05 Kampala-Mutukula-24h'!F40,'27.05 Kampala-Mutukula-24h'!F40)</f>
        <v>0.33333333333333331</v>
      </c>
      <c r="G40" s="46">
        <f>AVERAGE('25.05 Kampala-Mutukula-24h'!G40,'26.05 Kampala-Mutukula-24h'!G40,'27.05 Kampala-Mutukula-24h'!G40)</f>
        <v>0</v>
      </c>
      <c r="H40" s="46">
        <f>AVERAGE('25.05 Kampala-Mutukula-24h'!H40,'26.05 Kampala-Mutukula-24h'!H40,'27.05 Kampala-Mutukula-24h'!H40)</f>
        <v>0.66666666666666663</v>
      </c>
      <c r="I40" s="46">
        <f>AVERAGE('25.05 Kampala-Mutukula-24h'!I40,'26.05 Kampala-Mutukula-24h'!I40,'27.05 Kampala-Mutukula-24h'!I40)</f>
        <v>1</v>
      </c>
      <c r="J40" s="46">
        <f>AVERAGE('25.05 Kampala-Mutukula-24h'!J40,'26.05 Kampala-Mutukula-24h'!J40,'27.05 Kampala-Mutukula-24h'!J40)</f>
        <v>1.6666666666666667</v>
      </c>
      <c r="K40" s="46">
        <f>AVERAGE('25.05 Kampala-Mutukula-24h'!K40,'26.05 Kampala-Mutukula-24h'!K40,'27.05 Kampala-Mutukula-24h'!K40)</f>
        <v>1.3333333333333333</v>
      </c>
      <c r="L40" s="46">
        <f>AVERAGE('25.05 Kampala-Mutukula-24h'!L40,'26.05 Kampala-Mutukula-24h'!L40,'27.05 Kampala-Mutukula-24h'!L40)</f>
        <v>1.3333333333333333</v>
      </c>
      <c r="M40" s="46">
        <f>AVERAGE('25.05 Kampala-Mutukula-24h'!L40,'26.05 Kampala-Mutukula-24h'!L40,'27.05 Kampala-Mutukula-24h'!L40)</f>
        <v>1.3333333333333333</v>
      </c>
      <c r="N40" s="46">
        <f>AVERAGE('25.05 Kampala-Mutukula-24h'!N40,'26.05 Kampala-Mutukula-24h'!N40,'27.05 Kampala-Mutukula-24h'!N40)</f>
        <v>0</v>
      </c>
      <c r="O40" s="15">
        <f t="shared" si="0"/>
        <v>9</v>
      </c>
      <c r="P40" s="15">
        <f t="shared" si="1"/>
        <v>10.333333333333334</v>
      </c>
      <c r="R40" s="5" t="s">
        <v>17</v>
      </c>
      <c r="S40" s="51">
        <f t="shared" ref="S40:AF40" si="32">SUM(S10:S21)</f>
        <v>96</v>
      </c>
      <c r="T40" s="51">
        <f t="shared" si="32"/>
        <v>0</v>
      </c>
      <c r="U40" s="51">
        <f t="shared" si="32"/>
        <v>0</v>
      </c>
      <c r="V40" s="51">
        <f t="shared" si="32"/>
        <v>46.666666666666664</v>
      </c>
      <c r="W40" s="51">
        <f t="shared" si="32"/>
        <v>3.333333333333333</v>
      </c>
      <c r="X40" s="51">
        <f t="shared" si="32"/>
        <v>11</v>
      </c>
      <c r="Y40" s="51">
        <f t="shared" si="32"/>
        <v>13</v>
      </c>
      <c r="Z40" s="51">
        <f t="shared" si="32"/>
        <v>40.333333333333329</v>
      </c>
      <c r="AA40" s="51">
        <f t="shared" si="32"/>
        <v>12.666666666666668</v>
      </c>
      <c r="AB40" s="51">
        <f t="shared" si="32"/>
        <v>37</v>
      </c>
      <c r="AC40" s="51">
        <f t="shared" si="32"/>
        <v>37</v>
      </c>
      <c r="AD40" s="51">
        <f t="shared" si="32"/>
        <v>0</v>
      </c>
      <c r="AE40" s="52">
        <f t="shared" si="32"/>
        <v>260</v>
      </c>
      <c r="AF40" s="52">
        <f t="shared" si="32"/>
        <v>297</v>
      </c>
    </row>
    <row r="41" spans="2:32" ht="23.1" customHeight="1" x14ac:dyDescent="0.25">
      <c r="B41" s="20" t="s">
        <v>68</v>
      </c>
      <c r="C41" s="46">
        <f>AVERAGE('25.05 Kampala-Mutukula-24h'!C41,'26.05 Kampala-Mutukula-24h'!C41,'27.05 Kampala-Mutukula-24h'!C41)</f>
        <v>0</v>
      </c>
      <c r="D41" s="46">
        <f>AVERAGE('25.05 Kampala-Mutukula-24h'!D41,'26.05 Kampala-Mutukula-24h'!D41,'27.05 Kampala-Mutukula-24h'!D41)</f>
        <v>0</v>
      </c>
      <c r="E41" s="46">
        <f>AVERAGE('25.05 Kampala-Mutukula-24h'!E41,'26.05 Kampala-Mutukula-24h'!E41,'27.05 Kampala-Mutukula-24h'!E41)</f>
        <v>0</v>
      </c>
      <c r="F41" s="46">
        <f>AVERAGE('25.05 Kampala-Mutukula-24h'!F41,'26.05 Kampala-Mutukula-24h'!F41,'27.05 Kampala-Mutukula-24h'!F41)</f>
        <v>0</v>
      </c>
      <c r="G41" s="46">
        <f>AVERAGE('25.05 Kampala-Mutukula-24h'!G41,'26.05 Kampala-Mutukula-24h'!G41,'27.05 Kampala-Mutukula-24h'!G41)</f>
        <v>0</v>
      </c>
      <c r="H41" s="46">
        <f>AVERAGE('25.05 Kampala-Mutukula-24h'!H41,'26.05 Kampala-Mutukula-24h'!H41,'27.05 Kampala-Mutukula-24h'!H41)</f>
        <v>0</v>
      </c>
      <c r="I41" s="46">
        <f>AVERAGE('25.05 Kampala-Mutukula-24h'!I41,'26.05 Kampala-Mutukula-24h'!I41,'27.05 Kampala-Mutukula-24h'!I41)</f>
        <v>0</v>
      </c>
      <c r="J41" s="46">
        <f>AVERAGE('25.05 Kampala-Mutukula-24h'!J41,'26.05 Kampala-Mutukula-24h'!J41,'27.05 Kampala-Mutukula-24h'!J41)</f>
        <v>0</v>
      </c>
      <c r="K41" s="46">
        <f>AVERAGE('25.05 Kampala-Mutukula-24h'!K41,'26.05 Kampala-Mutukula-24h'!K41,'27.05 Kampala-Mutukula-24h'!K41)</f>
        <v>0</v>
      </c>
      <c r="L41" s="46">
        <f>AVERAGE('25.05 Kampala-Mutukula-24h'!L41,'26.05 Kampala-Mutukula-24h'!L41,'27.05 Kampala-Mutukula-24h'!L41)</f>
        <v>0</v>
      </c>
      <c r="M41" s="46">
        <f>AVERAGE('25.05 Kampala-Mutukula-24h'!L41,'26.05 Kampala-Mutukula-24h'!L41,'27.05 Kampala-Mutukula-24h'!L41)</f>
        <v>0</v>
      </c>
      <c r="N41" s="46">
        <f>AVERAGE('25.05 Kampala-Mutukula-24h'!N41,'26.05 Kampala-Mutukula-24h'!N41,'27.05 Kampala-Mutukula-24h'!N41)</f>
        <v>0</v>
      </c>
      <c r="O41" s="15">
        <f t="shared" si="0"/>
        <v>0</v>
      </c>
      <c r="P41" s="15">
        <f t="shared" si="1"/>
        <v>0</v>
      </c>
      <c r="R41" s="5" t="s">
        <v>170</v>
      </c>
      <c r="S41" s="51">
        <f>SUM(S10:S33)</f>
        <v>157</v>
      </c>
      <c r="T41" s="51">
        <f t="shared" ref="T41:AD41" si="33">SUM(T10:T33)</f>
        <v>0</v>
      </c>
      <c r="U41" s="51">
        <f t="shared" si="33"/>
        <v>0</v>
      </c>
      <c r="V41" s="51">
        <f t="shared" si="33"/>
        <v>58.333333333333329</v>
      </c>
      <c r="W41" s="51">
        <f t="shared" si="33"/>
        <v>8.6666666666666661</v>
      </c>
      <c r="X41" s="51">
        <f t="shared" si="33"/>
        <v>17.333333333333332</v>
      </c>
      <c r="Y41" s="51">
        <f t="shared" si="33"/>
        <v>15</v>
      </c>
      <c r="Z41" s="51">
        <f t="shared" si="33"/>
        <v>55</v>
      </c>
      <c r="AA41" s="51">
        <f t="shared" si="33"/>
        <v>20.000000000000004</v>
      </c>
      <c r="AB41" s="51">
        <f t="shared" si="33"/>
        <v>70</v>
      </c>
      <c r="AC41" s="51">
        <f t="shared" si="33"/>
        <v>37</v>
      </c>
      <c r="AD41" s="51">
        <f t="shared" si="33"/>
        <v>0</v>
      </c>
      <c r="AE41" s="52">
        <f>SUM(AE10:AE33)</f>
        <v>401.33333333333337</v>
      </c>
      <c r="AF41" s="52">
        <f>SUM(AF10:AF33)</f>
        <v>438.33333333333337</v>
      </c>
    </row>
    <row r="42" spans="2:32" ht="23.1" customHeight="1" x14ac:dyDescent="0.25">
      <c r="B42" s="21" t="s">
        <v>69</v>
      </c>
      <c r="C42" s="46">
        <f>AVERAGE('25.05 Kampala-Mutukula-24h'!C42,'26.05 Kampala-Mutukula-24h'!C42,'27.05 Kampala-Mutukula-24h'!C42)</f>
        <v>4.333333333333333</v>
      </c>
      <c r="D42" s="46">
        <f>AVERAGE('25.05 Kampala-Mutukula-24h'!D42,'26.05 Kampala-Mutukula-24h'!D42,'27.05 Kampala-Mutukula-24h'!D42)</f>
        <v>0</v>
      </c>
      <c r="E42" s="46">
        <f>AVERAGE('25.05 Kampala-Mutukula-24h'!E42,'26.05 Kampala-Mutukula-24h'!E42,'27.05 Kampala-Mutukula-24h'!E42)</f>
        <v>0</v>
      </c>
      <c r="F42" s="46">
        <f>AVERAGE('25.05 Kampala-Mutukula-24h'!F42,'26.05 Kampala-Mutukula-24h'!F42,'27.05 Kampala-Mutukula-24h'!F42)</f>
        <v>2.6666666666666665</v>
      </c>
      <c r="G42" s="46">
        <f>AVERAGE('25.05 Kampala-Mutukula-24h'!G42,'26.05 Kampala-Mutukula-24h'!G42,'27.05 Kampala-Mutukula-24h'!G42)</f>
        <v>0</v>
      </c>
      <c r="H42" s="46">
        <f>AVERAGE('25.05 Kampala-Mutukula-24h'!H42,'26.05 Kampala-Mutukula-24h'!H42,'27.05 Kampala-Mutukula-24h'!H42)</f>
        <v>0.66666666666666663</v>
      </c>
      <c r="I42" s="46">
        <f>AVERAGE('25.05 Kampala-Mutukula-24h'!I42,'26.05 Kampala-Mutukula-24h'!I42,'27.05 Kampala-Mutukula-24h'!I42)</f>
        <v>0</v>
      </c>
      <c r="J42" s="46">
        <f>AVERAGE('25.05 Kampala-Mutukula-24h'!J42,'26.05 Kampala-Mutukula-24h'!J42,'27.05 Kampala-Mutukula-24h'!J42)</f>
        <v>1</v>
      </c>
      <c r="K42" s="46">
        <f>AVERAGE('25.05 Kampala-Mutukula-24h'!K42,'26.05 Kampala-Mutukula-24h'!K42,'27.05 Kampala-Mutukula-24h'!K42)</f>
        <v>0.66666666666666663</v>
      </c>
      <c r="L42" s="46">
        <f>AVERAGE('25.05 Kampala-Mutukula-24h'!L42,'26.05 Kampala-Mutukula-24h'!L42,'27.05 Kampala-Mutukula-24h'!L42)</f>
        <v>0.66666666666666663</v>
      </c>
      <c r="M42" s="46">
        <f>AVERAGE('25.05 Kampala-Mutukula-24h'!L42,'26.05 Kampala-Mutukula-24h'!L42,'27.05 Kampala-Mutukula-24h'!L42)</f>
        <v>0.66666666666666663</v>
      </c>
      <c r="N42" s="46">
        <f>AVERAGE('25.05 Kampala-Mutukula-24h'!N42,'26.05 Kampala-Mutukula-24h'!N42,'27.05 Kampala-Mutukula-24h'!N42)</f>
        <v>0</v>
      </c>
      <c r="O42" s="15">
        <f t="shared" si="0"/>
        <v>10</v>
      </c>
      <c r="P42" s="15">
        <f t="shared" si="1"/>
        <v>10.666666666666666</v>
      </c>
      <c r="R42" s="5" t="s">
        <v>160</v>
      </c>
      <c r="S42" s="45">
        <f>S41/S40</f>
        <v>1.6354166666666667</v>
      </c>
      <c r="T42" s="45">
        <v>0</v>
      </c>
      <c r="U42" s="45">
        <v>0</v>
      </c>
      <c r="V42" s="45">
        <f t="shared" ref="T42:AF42" si="34">V41/V40</f>
        <v>1.25</v>
      </c>
      <c r="W42" s="45">
        <f t="shared" si="34"/>
        <v>2.6</v>
      </c>
      <c r="X42" s="45">
        <f t="shared" si="34"/>
        <v>1.5757575757575757</v>
      </c>
      <c r="Y42" s="45">
        <f t="shared" si="34"/>
        <v>1.1538461538461537</v>
      </c>
      <c r="Z42" s="45">
        <f t="shared" si="34"/>
        <v>1.3636363636363638</v>
      </c>
      <c r="AA42" s="45">
        <f t="shared" si="34"/>
        <v>1.5789473684210527</v>
      </c>
      <c r="AB42" s="45">
        <f t="shared" si="34"/>
        <v>1.8918918918918919</v>
      </c>
      <c r="AC42" s="45">
        <f t="shared" si="34"/>
        <v>1</v>
      </c>
      <c r="AD42" s="45">
        <v>0</v>
      </c>
      <c r="AE42" s="53">
        <f t="shared" si="34"/>
        <v>1.5435897435897437</v>
      </c>
      <c r="AF42" s="53">
        <f t="shared" si="34"/>
        <v>1.4758698092031426</v>
      </c>
    </row>
    <row r="43" spans="2:32" ht="23.1" customHeight="1" x14ac:dyDescent="0.25">
      <c r="B43" s="20" t="s">
        <v>70</v>
      </c>
      <c r="C43" s="46">
        <f>AVERAGE('25.05 Kampala-Mutukula-24h'!C43,'26.05 Kampala-Mutukula-24h'!C43,'27.05 Kampala-Mutukula-24h'!C43)</f>
        <v>0</v>
      </c>
      <c r="D43" s="46">
        <f>AVERAGE('25.05 Kampala-Mutukula-24h'!D43,'26.05 Kampala-Mutukula-24h'!D43,'27.05 Kampala-Mutukula-24h'!D43)</f>
        <v>0</v>
      </c>
      <c r="E43" s="46">
        <f>AVERAGE('25.05 Kampala-Mutukula-24h'!E43,'26.05 Kampala-Mutukula-24h'!E43,'27.05 Kampala-Mutukula-24h'!E43)</f>
        <v>0</v>
      </c>
      <c r="F43" s="46">
        <f>AVERAGE('25.05 Kampala-Mutukula-24h'!F43,'26.05 Kampala-Mutukula-24h'!F43,'27.05 Kampala-Mutukula-24h'!F43)</f>
        <v>0</v>
      </c>
      <c r="G43" s="46">
        <f>AVERAGE('25.05 Kampala-Mutukula-24h'!G43,'26.05 Kampala-Mutukula-24h'!G43,'27.05 Kampala-Mutukula-24h'!G43)</f>
        <v>0</v>
      </c>
      <c r="H43" s="46">
        <f>AVERAGE('25.05 Kampala-Mutukula-24h'!H43,'26.05 Kampala-Mutukula-24h'!H43,'27.05 Kampala-Mutukula-24h'!H43)</f>
        <v>0</v>
      </c>
      <c r="I43" s="46">
        <f>AVERAGE('25.05 Kampala-Mutukula-24h'!I43,'26.05 Kampala-Mutukula-24h'!I43,'27.05 Kampala-Mutukula-24h'!I43)</f>
        <v>0</v>
      </c>
      <c r="J43" s="46">
        <f>AVERAGE('25.05 Kampala-Mutukula-24h'!J43,'26.05 Kampala-Mutukula-24h'!J43,'27.05 Kampala-Mutukula-24h'!J43)</f>
        <v>0</v>
      </c>
      <c r="K43" s="46">
        <f>AVERAGE('25.05 Kampala-Mutukula-24h'!K43,'26.05 Kampala-Mutukula-24h'!K43,'27.05 Kampala-Mutukula-24h'!K43)</f>
        <v>0</v>
      </c>
      <c r="L43" s="46">
        <f>AVERAGE('25.05 Kampala-Mutukula-24h'!L43,'26.05 Kampala-Mutukula-24h'!L43,'27.05 Kampala-Mutukula-24h'!L43)</f>
        <v>0</v>
      </c>
      <c r="M43" s="46">
        <f>AVERAGE('25.05 Kampala-Mutukula-24h'!L43,'26.05 Kampala-Mutukula-24h'!L43,'27.05 Kampala-Mutukula-24h'!L43)</f>
        <v>0</v>
      </c>
      <c r="N43" s="46">
        <f>AVERAGE('25.05 Kampala-Mutukula-24h'!N43,'26.05 Kampala-Mutukula-24h'!N43,'27.05 Kampala-Mutukula-24h'!N43)</f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22" t="s">
        <v>71</v>
      </c>
      <c r="C44" s="46">
        <f>AVERAGE('25.05 Kampala-Mutukula-24h'!C44,'26.05 Kampala-Mutukula-24h'!C44,'27.05 Kampala-Mutukula-24h'!C44)</f>
        <v>3</v>
      </c>
      <c r="D44" s="46">
        <f>AVERAGE('25.05 Kampala-Mutukula-24h'!D44,'26.05 Kampala-Mutukula-24h'!D44,'27.05 Kampala-Mutukula-24h'!D44)</f>
        <v>0</v>
      </c>
      <c r="E44" s="46">
        <f>AVERAGE('25.05 Kampala-Mutukula-24h'!E44,'26.05 Kampala-Mutukula-24h'!E44,'27.05 Kampala-Mutukula-24h'!E44)</f>
        <v>0</v>
      </c>
      <c r="F44" s="46">
        <f>AVERAGE('25.05 Kampala-Mutukula-24h'!F44,'26.05 Kampala-Mutukula-24h'!F44,'27.05 Kampala-Mutukula-24h'!F44)</f>
        <v>3</v>
      </c>
      <c r="G44" s="46">
        <f>AVERAGE('25.05 Kampala-Mutukula-24h'!G44,'26.05 Kampala-Mutukula-24h'!G44,'27.05 Kampala-Mutukula-24h'!G44)</f>
        <v>0</v>
      </c>
      <c r="H44" s="46">
        <f>AVERAGE('25.05 Kampala-Mutukula-24h'!H44,'26.05 Kampala-Mutukula-24h'!H44,'27.05 Kampala-Mutukula-24h'!H44)</f>
        <v>0.66666666666666663</v>
      </c>
      <c r="I44" s="46">
        <f>AVERAGE('25.05 Kampala-Mutukula-24h'!I44,'26.05 Kampala-Mutukula-24h'!I44,'27.05 Kampala-Mutukula-24h'!I44)</f>
        <v>0.33333333333333331</v>
      </c>
      <c r="J44" s="46">
        <f>AVERAGE('25.05 Kampala-Mutukula-24h'!J44,'26.05 Kampala-Mutukula-24h'!J44,'27.05 Kampala-Mutukula-24h'!J44)</f>
        <v>1.3333333333333333</v>
      </c>
      <c r="K44" s="46">
        <f>AVERAGE('25.05 Kampala-Mutukula-24h'!K44,'26.05 Kampala-Mutukula-24h'!K44,'27.05 Kampala-Mutukula-24h'!K44)</f>
        <v>0</v>
      </c>
      <c r="L44" s="46">
        <f>AVERAGE('25.05 Kampala-Mutukula-24h'!L44,'26.05 Kampala-Mutukula-24h'!L44,'27.05 Kampala-Mutukula-24h'!L44)</f>
        <v>0.33333333333333331</v>
      </c>
      <c r="M44" s="46">
        <f>AVERAGE('25.05 Kampala-Mutukula-24h'!L44,'26.05 Kampala-Mutukula-24h'!L44,'27.05 Kampala-Mutukula-24h'!L44)</f>
        <v>0.33333333333333331</v>
      </c>
      <c r="N44" s="46">
        <f>AVERAGE('25.05 Kampala-Mutukula-24h'!N44,'26.05 Kampala-Mutukula-24h'!N44,'27.05 Kampala-Mutukula-24h'!N44)</f>
        <v>0</v>
      </c>
      <c r="O44" s="15">
        <f t="shared" si="0"/>
        <v>8.6666666666666679</v>
      </c>
      <c r="P44" s="15">
        <f t="shared" si="1"/>
        <v>9.0000000000000018</v>
      </c>
    </row>
    <row r="45" spans="2:32" ht="23.1" customHeight="1" x14ac:dyDescent="0.25">
      <c r="B45" s="20" t="s">
        <v>72</v>
      </c>
      <c r="C45" s="46">
        <f>AVERAGE('25.05 Kampala-Mutukula-24h'!C45,'26.05 Kampala-Mutukula-24h'!C45,'27.05 Kampala-Mutukula-24h'!C45)</f>
        <v>0</v>
      </c>
      <c r="D45" s="46">
        <f>AVERAGE('25.05 Kampala-Mutukula-24h'!D45,'26.05 Kampala-Mutukula-24h'!D45,'27.05 Kampala-Mutukula-24h'!D45)</f>
        <v>0</v>
      </c>
      <c r="E45" s="46">
        <f>AVERAGE('25.05 Kampala-Mutukula-24h'!E45,'26.05 Kampala-Mutukula-24h'!E45,'27.05 Kampala-Mutukula-24h'!E45)</f>
        <v>0</v>
      </c>
      <c r="F45" s="46">
        <f>AVERAGE('25.05 Kampala-Mutukula-24h'!F45,'26.05 Kampala-Mutukula-24h'!F45,'27.05 Kampala-Mutukula-24h'!F45)</f>
        <v>0</v>
      </c>
      <c r="G45" s="46">
        <f>AVERAGE('25.05 Kampala-Mutukula-24h'!G45,'26.05 Kampala-Mutukula-24h'!G45,'27.05 Kampala-Mutukula-24h'!G45)</f>
        <v>0</v>
      </c>
      <c r="H45" s="46">
        <f>AVERAGE('25.05 Kampala-Mutukula-24h'!H45,'26.05 Kampala-Mutukula-24h'!H45,'27.05 Kampala-Mutukula-24h'!H45)</f>
        <v>0</v>
      </c>
      <c r="I45" s="46">
        <f>AVERAGE('25.05 Kampala-Mutukula-24h'!I45,'26.05 Kampala-Mutukula-24h'!I45,'27.05 Kampala-Mutukula-24h'!I45)</f>
        <v>0</v>
      </c>
      <c r="J45" s="46">
        <f>AVERAGE('25.05 Kampala-Mutukula-24h'!J45,'26.05 Kampala-Mutukula-24h'!J45,'27.05 Kampala-Mutukula-24h'!J45)</f>
        <v>0</v>
      </c>
      <c r="K45" s="46">
        <f>AVERAGE('25.05 Kampala-Mutukula-24h'!K45,'26.05 Kampala-Mutukula-24h'!K45,'27.05 Kampala-Mutukula-24h'!K45)</f>
        <v>0</v>
      </c>
      <c r="L45" s="46">
        <f>AVERAGE('25.05 Kampala-Mutukula-24h'!L45,'26.05 Kampala-Mutukula-24h'!L45,'27.05 Kampala-Mutukula-24h'!L45)</f>
        <v>0</v>
      </c>
      <c r="M45" s="46">
        <f>AVERAGE('25.05 Kampala-Mutukula-24h'!L45,'26.05 Kampala-Mutukula-24h'!L45,'27.05 Kampala-Mutukula-24h'!L45)</f>
        <v>0</v>
      </c>
      <c r="N45" s="46">
        <f>AVERAGE('25.05 Kampala-Mutukula-24h'!N45,'26.05 Kampala-Mutukula-24h'!N45,'27.05 Kampala-Mutukula-24h'!N45)</f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21" t="s">
        <v>73</v>
      </c>
      <c r="C46" s="46">
        <f>AVERAGE('25.05 Kampala-Mutukula-24h'!C46,'26.05 Kampala-Mutukula-24h'!C46,'27.05 Kampala-Mutukula-24h'!C46)</f>
        <v>3</v>
      </c>
      <c r="D46" s="46">
        <f>AVERAGE('25.05 Kampala-Mutukula-24h'!D46,'26.05 Kampala-Mutukula-24h'!D46,'27.05 Kampala-Mutukula-24h'!D46)</f>
        <v>0</v>
      </c>
      <c r="E46" s="46">
        <f>AVERAGE('25.05 Kampala-Mutukula-24h'!E46,'26.05 Kampala-Mutukula-24h'!E46,'27.05 Kampala-Mutukula-24h'!E46)</f>
        <v>0</v>
      </c>
      <c r="F46" s="46">
        <f>AVERAGE('25.05 Kampala-Mutukula-24h'!F46,'26.05 Kampala-Mutukula-24h'!F46,'27.05 Kampala-Mutukula-24h'!F46)</f>
        <v>2.6666666666666665</v>
      </c>
      <c r="G46" s="46">
        <f>AVERAGE('25.05 Kampala-Mutukula-24h'!G46,'26.05 Kampala-Mutukula-24h'!G46,'27.05 Kampala-Mutukula-24h'!G46)</f>
        <v>0</v>
      </c>
      <c r="H46" s="46">
        <f>AVERAGE('25.05 Kampala-Mutukula-24h'!H46,'26.05 Kampala-Mutukula-24h'!H46,'27.05 Kampala-Mutukula-24h'!H46)</f>
        <v>0.66666666666666663</v>
      </c>
      <c r="I46" s="46">
        <f>AVERAGE('25.05 Kampala-Mutukula-24h'!I46,'26.05 Kampala-Mutukula-24h'!I46,'27.05 Kampala-Mutukula-24h'!I46)</f>
        <v>0.33333333333333331</v>
      </c>
      <c r="J46" s="46">
        <f>AVERAGE('25.05 Kampala-Mutukula-24h'!J46,'26.05 Kampala-Mutukula-24h'!J46,'27.05 Kampala-Mutukula-24h'!J46)</f>
        <v>2.3333333333333335</v>
      </c>
      <c r="K46" s="46">
        <f>AVERAGE('25.05 Kampala-Mutukula-24h'!K46,'26.05 Kampala-Mutukula-24h'!K46,'27.05 Kampala-Mutukula-24h'!K46)</f>
        <v>0.66666666666666663</v>
      </c>
      <c r="L46" s="46">
        <f>AVERAGE('25.05 Kampala-Mutukula-24h'!L46,'26.05 Kampala-Mutukula-24h'!L46,'27.05 Kampala-Mutukula-24h'!L46)</f>
        <v>0.66666666666666663</v>
      </c>
      <c r="M46" s="46">
        <f>AVERAGE('25.05 Kampala-Mutukula-24h'!L46,'26.05 Kampala-Mutukula-24h'!L46,'27.05 Kampala-Mutukula-24h'!L46)</f>
        <v>0.66666666666666663</v>
      </c>
      <c r="N46" s="46">
        <f>AVERAGE('25.05 Kampala-Mutukula-24h'!N46,'26.05 Kampala-Mutukula-24h'!N46,'27.05 Kampala-Mutukula-24h'!N46)</f>
        <v>0</v>
      </c>
      <c r="O46" s="15">
        <f t="shared" si="0"/>
        <v>10.333333333333332</v>
      </c>
      <c r="P46" s="15">
        <f t="shared" si="1"/>
        <v>10.999999999999998</v>
      </c>
      <c r="R46" s="8"/>
      <c r="T46"/>
    </row>
    <row r="47" spans="2:32" ht="23.1" customHeight="1" x14ac:dyDescent="0.25">
      <c r="B47" s="21" t="s">
        <v>74</v>
      </c>
      <c r="C47" s="46">
        <f>AVERAGE('25.05 Kampala-Mutukula-24h'!C47,'26.05 Kampala-Mutukula-24h'!C47,'27.05 Kampala-Mutukula-24h'!C47)</f>
        <v>0</v>
      </c>
      <c r="D47" s="46">
        <f>AVERAGE('25.05 Kampala-Mutukula-24h'!D47,'26.05 Kampala-Mutukula-24h'!D47,'27.05 Kampala-Mutukula-24h'!D47)</f>
        <v>0</v>
      </c>
      <c r="E47" s="46">
        <f>AVERAGE('25.05 Kampala-Mutukula-24h'!E47,'26.05 Kampala-Mutukula-24h'!E47,'27.05 Kampala-Mutukula-24h'!E47)</f>
        <v>0</v>
      </c>
      <c r="F47" s="46">
        <f>AVERAGE('25.05 Kampala-Mutukula-24h'!F47,'26.05 Kampala-Mutukula-24h'!F47,'27.05 Kampala-Mutukula-24h'!F47)</f>
        <v>0</v>
      </c>
      <c r="G47" s="46">
        <f>AVERAGE('25.05 Kampala-Mutukula-24h'!G47,'26.05 Kampala-Mutukula-24h'!G47,'27.05 Kampala-Mutukula-24h'!G47)</f>
        <v>0</v>
      </c>
      <c r="H47" s="46">
        <f>AVERAGE('25.05 Kampala-Mutukula-24h'!H47,'26.05 Kampala-Mutukula-24h'!H47,'27.05 Kampala-Mutukula-24h'!H47)</f>
        <v>0</v>
      </c>
      <c r="I47" s="46">
        <f>AVERAGE('25.05 Kampala-Mutukula-24h'!I47,'26.05 Kampala-Mutukula-24h'!I47,'27.05 Kampala-Mutukula-24h'!I47)</f>
        <v>0</v>
      </c>
      <c r="J47" s="46">
        <f>AVERAGE('25.05 Kampala-Mutukula-24h'!J47,'26.05 Kampala-Mutukula-24h'!J47,'27.05 Kampala-Mutukula-24h'!J47)</f>
        <v>0</v>
      </c>
      <c r="K47" s="46">
        <f>AVERAGE('25.05 Kampala-Mutukula-24h'!K47,'26.05 Kampala-Mutukula-24h'!K47,'27.05 Kampala-Mutukula-24h'!K47)</f>
        <v>0</v>
      </c>
      <c r="L47" s="46">
        <f>AVERAGE('25.05 Kampala-Mutukula-24h'!L47,'26.05 Kampala-Mutukula-24h'!L47,'27.05 Kampala-Mutukula-24h'!L47)</f>
        <v>0</v>
      </c>
      <c r="M47" s="46">
        <f>AVERAGE('25.05 Kampala-Mutukula-24h'!L47,'26.05 Kampala-Mutukula-24h'!L47,'27.05 Kampala-Mutukula-24h'!L47)</f>
        <v>0</v>
      </c>
      <c r="N47" s="46">
        <f>AVERAGE('25.05 Kampala-Mutukula-24h'!N47,'26.05 Kampala-Mutukula-24h'!N47,'27.05 Kampala-Mutukula-24h'!N47)</f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21" t="s">
        <v>75</v>
      </c>
      <c r="C48" s="46">
        <f>AVERAGE('25.05 Kampala-Mutukula-24h'!C48,'26.05 Kampala-Mutukula-24h'!C48,'27.05 Kampala-Mutukula-24h'!C48)</f>
        <v>3.3333333333333335</v>
      </c>
      <c r="D48" s="46">
        <f>AVERAGE('25.05 Kampala-Mutukula-24h'!D48,'26.05 Kampala-Mutukula-24h'!D48,'27.05 Kampala-Mutukula-24h'!D48)</f>
        <v>0</v>
      </c>
      <c r="E48" s="46">
        <f>AVERAGE('25.05 Kampala-Mutukula-24h'!E48,'26.05 Kampala-Mutukula-24h'!E48,'27.05 Kampala-Mutukula-24h'!E48)</f>
        <v>0</v>
      </c>
      <c r="F48" s="46">
        <f>AVERAGE('25.05 Kampala-Mutukula-24h'!F48,'26.05 Kampala-Mutukula-24h'!F48,'27.05 Kampala-Mutukula-24h'!F48)</f>
        <v>1</v>
      </c>
      <c r="G48" s="46">
        <f>AVERAGE('25.05 Kampala-Mutukula-24h'!G48,'26.05 Kampala-Mutukula-24h'!G48,'27.05 Kampala-Mutukula-24h'!G48)</f>
        <v>0</v>
      </c>
      <c r="H48" s="46">
        <f>AVERAGE('25.05 Kampala-Mutukula-24h'!H48,'26.05 Kampala-Mutukula-24h'!H48,'27.05 Kampala-Mutukula-24h'!H48)</f>
        <v>0</v>
      </c>
      <c r="I48" s="46">
        <f>AVERAGE('25.05 Kampala-Mutukula-24h'!I48,'26.05 Kampala-Mutukula-24h'!I48,'27.05 Kampala-Mutukula-24h'!I48)</f>
        <v>0</v>
      </c>
      <c r="J48" s="46">
        <f>AVERAGE('25.05 Kampala-Mutukula-24h'!J48,'26.05 Kampala-Mutukula-24h'!J48,'27.05 Kampala-Mutukula-24h'!J48)</f>
        <v>0.66666666666666663</v>
      </c>
      <c r="K48" s="46">
        <f>AVERAGE('25.05 Kampala-Mutukula-24h'!K48,'26.05 Kampala-Mutukula-24h'!K48,'27.05 Kampala-Mutukula-24h'!K48)</f>
        <v>0.33333333333333331</v>
      </c>
      <c r="L48" s="46">
        <f>AVERAGE('25.05 Kampala-Mutukula-24h'!L48,'26.05 Kampala-Mutukula-24h'!L48,'27.05 Kampala-Mutukula-24h'!L48)</f>
        <v>0</v>
      </c>
      <c r="M48" s="46">
        <f>AVERAGE('25.05 Kampala-Mutukula-24h'!L48,'26.05 Kampala-Mutukula-24h'!L48,'27.05 Kampala-Mutukula-24h'!L48)</f>
        <v>0</v>
      </c>
      <c r="N48" s="46">
        <f>AVERAGE('25.05 Kampala-Mutukula-24h'!N48,'26.05 Kampala-Mutukula-24h'!N48,'27.05 Kampala-Mutukula-24h'!N48)</f>
        <v>0</v>
      </c>
      <c r="O48" s="15">
        <f t="shared" si="0"/>
        <v>5.3333333333333339</v>
      </c>
      <c r="P48" s="15">
        <f t="shared" si="1"/>
        <v>5.3333333333333339</v>
      </c>
      <c r="R48" s="8"/>
      <c r="T48"/>
    </row>
    <row r="49" spans="2:20" ht="23.1" customHeight="1" x14ac:dyDescent="0.25">
      <c r="B49" s="20" t="s">
        <v>76</v>
      </c>
      <c r="C49" s="46">
        <f>AVERAGE('25.05 Kampala-Mutukula-24h'!C49,'26.05 Kampala-Mutukula-24h'!C49,'27.05 Kampala-Mutukula-24h'!C49)</f>
        <v>0</v>
      </c>
      <c r="D49" s="46">
        <f>AVERAGE('25.05 Kampala-Mutukula-24h'!D49,'26.05 Kampala-Mutukula-24h'!D49,'27.05 Kampala-Mutukula-24h'!D49)</f>
        <v>0</v>
      </c>
      <c r="E49" s="46">
        <f>AVERAGE('25.05 Kampala-Mutukula-24h'!E49,'26.05 Kampala-Mutukula-24h'!E49,'27.05 Kampala-Mutukula-24h'!E49)</f>
        <v>0</v>
      </c>
      <c r="F49" s="46">
        <f>AVERAGE('25.05 Kampala-Mutukula-24h'!F49,'26.05 Kampala-Mutukula-24h'!F49,'27.05 Kampala-Mutukula-24h'!F49)</f>
        <v>0</v>
      </c>
      <c r="G49" s="46">
        <f>AVERAGE('25.05 Kampala-Mutukula-24h'!G49,'26.05 Kampala-Mutukula-24h'!G49,'27.05 Kampala-Mutukula-24h'!G49)</f>
        <v>0</v>
      </c>
      <c r="H49" s="46">
        <f>AVERAGE('25.05 Kampala-Mutukula-24h'!H49,'26.05 Kampala-Mutukula-24h'!H49,'27.05 Kampala-Mutukula-24h'!H49)</f>
        <v>0</v>
      </c>
      <c r="I49" s="46">
        <f>AVERAGE('25.05 Kampala-Mutukula-24h'!I49,'26.05 Kampala-Mutukula-24h'!I49,'27.05 Kampala-Mutukula-24h'!I49)</f>
        <v>0</v>
      </c>
      <c r="J49" s="46">
        <f>AVERAGE('25.05 Kampala-Mutukula-24h'!J49,'26.05 Kampala-Mutukula-24h'!J49,'27.05 Kampala-Mutukula-24h'!J49)</f>
        <v>0</v>
      </c>
      <c r="K49" s="46">
        <f>AVERAGE('25.05 Kampala-Mutukula-24h'!K49,'26.05 Kampala-Mutukula-24h'!K49,'27.05 Kampala-Mutukula-24h'!K49)</f>
        <v>0</v>
      </c>
      <c r="L49" s="46">
        <f>AVERAGE('25.05 Kampala-Mutukula-24h'!L49,'26.05 Kampala-Mutukula-24h'!L49,'27.05 Kampala-Mutukula-24h'!L49)</f>
        <v>0</v>
      </c>
      <c r="M49" s="46">
        <f>AVERAGE('25.05 Kampala-Mutukula-24h'!L49,'26.05 Kampala-Mutukula-24h'!L49,'27.05 Kampala-Mutukula-24h'!L49)</f>
        <v>0</v>
      </c>
      <c r="N49" s="46">
        <f>AVERAGE('25.05 Kampala-Mutukula-24h'!N49,'26.05 Kampala-Mutukula-24h'!N49,'27.05 Kampala-Mutukula-24h'!N49)</f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1" t="s">
        <v>77</v>
      </c>
      <c r="C50" s="46">
        <f>AVERAGE('25.05 Kampala-Mutukula-24h'!C50,'26.05 Kampala-Mutukula-24h'!C50,'27.05 Kampala-Mutukula-24h'!C50)</f>
        <v>6</v>
      </c>
      <c r="D50" s="46">
        <f>AVERAGE('25.05 Kampala-Mutukula-24h'!D50,'26.05 Kampala-Mutukula-24h'!D50,'27.05 Kampala-Mutukula-24h'!D50)</f>
        <v>0</v>
      </c>
      <c r="E50" s="46">
        <f>AVERAGE('25.05 Kampala-Mutukula-24h'!E50,'26.05 Kampala-Mutukula-24h'!E50,'27.05 Kampala-Mutukula-24h'!E50)</f>
        <v>0</v>
      </c>
      <c r="F50" s="46">
        <f>AVERAGE('25.05 Kampala-Mutukula-24h'!F50,'26.05 Kampala-Mutukula-24h'!F50,'27.05 Kampala-Mutukula-24h'!F50)</f>
        <v>3.3333333333333335</v>
      </c>
      <c r="G50" s="46">
        <f>AVERAGE('25.05 Kampala-Mutukula-24h'!G50,'26.05 Kampala-Mutukula-24h'!G50,'27.05 Kampala-Mutukula-24h'!G50)</f>
        <v>0</v>
      </c>
      <c r="H50" s="46">
        <f>AVERAGE('25.05 Kampala-Mutukula-24h'!H50,'26.05 Kampala-Mutukula-24h'!H50,'27.05 Kampala-Mutukula-24h'!H50)</f>
        <v>0.66666666666666663</v>
      </c>
      <c r="I50" s="46">
        <f>AVERAGE('25.05 Kampala-Mutukula-24h'!I50,'26.05 Kampala-Mutukula-24h'!I50,'27.05 Kampala-Mutukula-24h'!I50)</f>
        <v>0.66666666666666663</v>
      </c>
      <c r="J50" s="46">
        <f>AVERAGE('25.05 Kampala-Mutukula-24h'!J50,'26.05 Kampala-Mutukula-24h'!J50,'27.05 Kampala-Mutukula-24h'!J50)</f>
        <v>2.3333333333333335</v>
      </c>
      <c r="K50" s="46">
        <f>AVERAGE('25.05 Kampala-Mutukula-24h'!K50,'26.05 Kampala-Mutukula-24h'!K50,'27.05 Kampala-Mutukula-24h'!K50)</f>
        <v>0.33333333333333331</v>
      </c>
      <c r="L50" s="46">
        <f>AVERAGE('25.05 Kampala-Mutukula-24h'!L50,'26.05 Kampala-Mutukula-24h'!L50,'27.05 Kampala-Mutukula-24h'!L50)</f>
        <v>0.33333333333333331</v>
      </c>
      <c r="M50" s="46">
        <f>AVERAGE('25.05 Kampala-Mutukula-24h'!L50,'26.05 Kampala-Mutukula-24h'!L50,'27.05 Kampala-Mutukula-24h'!L50)</f>
        <v>0.33333333333333331</v>
      </c>
      <c r="N50" s="46">
        <f>AVERAGE('25.05 Kampala-Mutukula-24h'!N50,'26.05 Kampala-Mutukula-24h'!N50,'27.05 Kampala-Mutukula-24h'!N50)</f>
        <v>0</v>
      </c>
      <c r="O50" s="15">
        <f t="shared" si="0"/>
        <v>13.666666666666668</v>
      </c>
      <c r="P50" s="15">
        <f t="shared" si="1"/>
        <v>14.000000000000002</v>
      </c>
      <c r="R50" s="8"/>
      <c r="T50"/>
    </row>
    <row r="51" spans="2:20" ht="23.1" customHeight="1" x14ac:dyDescent="0.25">
      <c r="B51" s="21" t="s">
        <v>78</v>
      </c>
      <c r="C51" s="46">
        <f>AVERAGE('25.05 Kampala-Mutukula-24h'!C51,'26.05 Kampala-Mutukula-24h'!C51,'27.05 Kampala-Mutukula-24h'!C51)</f>
        <v>0</v>
      </c>
      <c r="D51" s="46">
        <f>AVERAGE('25.05 Kampala-Mutukula-24h'!D51,'26.05 Kampala-Mutukula-24h'!D51,'27.05 Kampala-Mutukula-24h'!D51)</f>
        <v>0</v>
      </c>
      <c r="E51" s="46">
        <f>AVERAGE('25.05 Kampala-Mutukula-24h'!E51,'26.05 Kampala-Mutukula-24h'!E51,'27.05 Kampala-Mutukula-24h'!E51)</f>
        <v>0</v>
      </c>
      <c r="F51" s="46">
        <f>AVERAGE('25.05 Kampala-Mutukula-24h'!F51,'26.05 Kampala-Mutukula-24h'!F51,'27.05 Kampala-Mutukula-24h'!F51)</f>
        <v>0</v>
      </c>
      <c r="G51" s="46">
        <f>AVERAGE('25.05 Kampala-Mutukula-24h'!G51,'26.05 Kampala-Mutukula-24h'!G51,'27.05 Kampala-Mutukula-24h'!G51)</f>
        <v>0</v>
      </c>
      <c r="H51" s="46">
        <f>AVERAGE('25.05 Kampala-Mutukula-24h'!H51,'26.05 Kampala-Mutukula-24h'!H51,'27.05 Kampala-Mutukula-24h'!H51)</f>
        <v>0</v>
      </c>
      <c r="I51" s="46">
        <f>AVERAGE('25.05 Kampala-Mutukula-24h'!I51,'26.05 Kampala-Mutukula-24h'!I51,'27.05 Kampala-Mutukula-24h'!I51)</f>
        <v>0</v>
      </c>
      <c r="J51" s="46">
        <f>AVERAGE('25.05 Kampala-Mutukula-24h'!J51,'26.05 Kampala-Mutukula-24h'!J51,'27.05 Kampala-Mutukula-24h'!J51)</f>
        <v>0</v>
      </c>
      <c r="K51" s="46">
        <f>AVERAGE('25.05 Kampala-Mutukula-24h'!K51,'26.05 Kampala-Mutukula-24h'!K51,'27.05 Kampala-Mutukula-24h'!K51)</f>
        <v>0</v>
      </c>
      <c r="L51" s="46">
        <f>AVERAGE('25.05 Kampala-Mutukula-24h'!L51,'26.05 Kampala-Mutukula-24h'!L51,'27.05 Kampala-Mutukula-24h'!L51)</f>
        <v>0</v>
      </c>
      <c r="M51" s="46">
        <f>AVERAGE('25.05 Kampala-Mutukula-24h'!L51,'26.05 Kampala-Mutukula-24h'!L51,'27.05 Kampala-Mutukula-24h'!L51)</f>
        <v>0</v>
      </c>
      <c r="N51" s="46">
        <f>AVERAGE('25.05 Kampala-Mutukula-24h'!N51,'26.05 Kampala-Mutukula-24h'!N51,'27.05 Kampala-Mutukula-24h'!N51)</f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1" t="s">
        <v>79</v>
      </c>
      <c r="C52" s="46">
        <f>AVERAGE('25.05 Kampala-Mutukula-24h'!C52,'26.05 Kampala-Mutukula-24h'!C52,'27.05 Kampala-Mutukula-24h'!C52)</f>
        <v>5.666666666666667</v>
      </c>
      <c r="D52" s="46">
        <f>AVERAGE('25.05 Kampala-Mutukula-24h'!D52,'26.05 Kampala-Mutukula-24h'!D52,'27.05 Kampala-Mutukula-24h'!D52)</f>
        <v>0</v>
      </c>
      <c r="E52" s="46">
        <f>AVERAGE('25.05 Kampala-Mutukula-24h'!E52,'26.05 Kampala-Mutukula-24h'!E52,'27.05 Kampala-Mutukula-24h'!E52)</f>
        <v>0</v>
      </c>
      <c r="F52" s="46">
        <f>AVERAGE('25.05 Kampala-Mutukula-24h'!F52,'26.05 Kampala-Mutukula-24h'!F52,'27.05 Kampala-Mutukula-24h'!F52)</f>
        <v>1.6666666666666667</v>
      </c>
      <c r="G52" s="46">
        <f>AVERAGE('25.05 Kampala-Mutukula-24h'!G52,'26.05 Kampala-Mutukula-24h'!G52,'27.05 Kampala-Mutukula-24h'!G52)</f>
        <v>0</v>
      </c>
      <c r="H52" s="46">
        <f>AVERAGE('25.05 Kampala-Mutukula-24h'!H52,'26.05 Kampala-Mutukula-24h'!H52,'27.05 Kampala-Mutukula-24h'!H52)</f>
        <v>0</v>
      </c>
      <c r="I52" s="46">
        <f>AVERAGE('25.05 Kampala-Mutukula-24h'!I52,'26.05 Kampala-Mutukula-24h'!I52,'27.05 Kampala-Mutukula-24h'!I52)</f>
        <v>0.66666666666666663</v>
      </c>
      <c r="J52" s="46">
        <f>AVERAGE('25.05 Kampala-Mutukula-24h'!J52,'26.05 Kampala-Mutukula-24h'!J52,'27.05 Kampala-Mutukula-24h'!J52)</f>
        <v>0.33333333333333331</v>
      </c>
      <c r="K52" s="46">
        <f>AVERAGE('25.05 Kampala-Mutukula-24h'!K52,'26.05 Kampala-Mutukula-24h'!K52,'27.05 Kampala-Mutukula-24h'!K52)</f>
        <v>1</v>
      </c>
      <c r="L52" s="46">
        <f>AVERAGE('25.05 Kampala-Mutukula-24h'!L52,'26.05 Kampala-Mutukula-24h'!L52,'27.05 Kampala-Mutukula-24h'!L52)</f>
        <v>1.6666666666666667</v>
      </c>
      <c r="M52" s="46">
        <f>AVERAGE('25.05 Kampala-Mutukula-24h'!L52,'26.05 Kampala-Mutukula-24h'!L52,'27.05 Kampala-Mutukula-24h'!L52)</f>
        <v>1.6666666666666667</v>
      </c>
      <c r="N52" s="46">
        <f>AVERAGE('25.05 Kampala-Mutukula-24h'!N52,'26.05 Kampala-Mutukula-24h'!N52,'27.05 Kampala-Mutukula-24h'!N52)</f>
        <v>0</v>
      </c>
      <c r="O52" s="15">
        <f t="shared" si="0"/>
        <v>11</v>
      </c>
      <c r="P52" s="15">
        <f t="shared" si="1"/>
        <v>12.666666666666666</v>
      </c>
      <c r="R52" s="8"/>
      <c r="T52"/>
    </row>
    <row r="53" spans="2:20" ht="23.1" customHeight="1" x14ac:dyDescent="0.25">
      <c r="B53" s="20" t="s">
        <v>80</v>
      </c>
      <c r="C53" s="46">
        <f>AVERAGE('25.05 Kampala-Mutukula-24h'!C53,'26.05 Kampala-Mutukula-24h'!C53,'27.05 Kampala-Mutukula-24h'!C53)</f>
        <v>0</v>
      </c>
      <c r="D53" s="46">
        <f>AVERAGE('25.05 Kampala-Mutukula-24h'!D53,'26.05 Kampala-Mutukula-24h'!D53,'27.05 Kampala-Mutukula-24h'!D53)</f>
        <v>0</v>
      </c>
      <c r="E53" s="46">
        <f>AVERAGE('25.05 Kampala-Mutukula-24h'!E53,'26.05 Kampala-Mutukula-24h'!E53,'27.05 Kampala-Mutukula-24h'!E53)</f>
        <v>0</v>
      </c>
      <c r="F53" s="46">
        <f>AVERAGE('25.05 Kampala-Mutukula-24h'!F53,'26.05 Kampala-Mutukula-24h'!F53,'27.05 Kampala-Mutukula-24h'!F53)</f>
        <v>0</v>
      </c>
      <c r="G53" s="46">
        <f>AVERAGE('25.05 Kampala-Mutukula-24h'!G53,'26.05 Kampala-Mutukula-24h'!G53,'27.05 Kampala-Mutukula-24h'!G53)</f>
        <v>0</v>
      </c>
      <c r="H53" s="46">
        <f>AVERAGE('25.05 Kampala-Mutukula-24h'!H53,'26.05 Kampala-Mutukula-24h'!H53,'27.05 Kampala-Mutukula-24h'!H53)</f>
        <v>0</v>
      </c>
      <c r="I53" s="46">
        <f>AVERAGE('25.05 Kampala-Mutukula-24h'!I53,'26.05 Kampala-Mutukula-24h'!I53,'27.05 Kampala-Mutukula-24h'!I53)</f>
        <v>0</v>
      </c>
      <c r="J53" s="46">
        <f>AVERAGE('25.05 Kampala-Mutukula-24h'!J53,'26.05 Kampala-Mutukula-24h'!J53,'27.05 Kampala-Mutukula-24h'!J53)</f>
        <v>0</v>
      </c>
      <c r="K53" s="46">
        <f>AVERAGE('25.05 Kampala-Mutukula-24h'!K53,'26.05 Kampala-Mutukula-24h'!K53,'27.05 Kampala-Mutukula-24h'!K53)</f>
        <v>0</v>
      </c>
      <c r="L53" s="46">
        <f>AVERAGE('25.05 Kampala-Mutukula-24h'!L53,'26.05 Kampala-Mutukula-24h'!L53,'27.05 Kampala-Mutukula-24h'!L53)</f>
        <v>0</v>
      </c>
      <c r="M53" s="46">
        <f>AVERAGE('25.05 Kampala-Mutukula-24h'!L53,'26.05 Kampala-Mutukula-24h'!L53,'27.05 Kampala-Mutukula-24h'!L53)</f>
        <v>0</v>
      </c>
      <c r="N53" s="46">
        <f>AVERAGE('25.05 Kampala-Mutukula-24h'!N53,'26.05 Kampala-Mutukula-24h'!N53,'27.05 Kampala-Mutukula-24h'!N53)</f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0" t="s">
        <v>81</v>
      </c>
      <c r="C54" s="46">
        <f>AVERAGE('25.05 Kampala-Mutukula-24h'!C54,'26.05 Kampala-Mutukula-24h'!C54,'27.05 Kampala-Mutukula-24h'!C54)</f>
        <v>3</v>
      </c>
      <c r="D54" s="46">
        <f>AVERAGE('25.05 Kampala-Mutukula-24h'!D54,'26.05 Kampala-Mutukula-24h'!D54,'27.05 Kampala-Mutukula-24h'!D54)</f>
        <v>0</v>
      </c>
      <c r="E54" s="46">
        <f>AVERAGE('25.05 Kampala-Mutukula-24h'!E54,'26.05 Kampala-Mutukula-24h'!E54,'27.05 Kampala-Mutukula-24h'!E54)</f>
        <v>0</v>
      </c>
      <c r="F54" s="46">
        <f>AVERAGE('25.05 Kampala-Mutukula-24h'!F54,'26.05 Kampala-Mutukula-24h'!F54,'27.05 Kampala-Mutukula-24h'!F54)</f>
        <v>2.3333333333333335</v>
      </c>
      <c r="G54" s="46">
        <f>AVERAGE('25.05 Kampala-Mutukula-24h'!G54,'26.05 Kampala-Mutukula-24h'!G54,'27.05 Kampala-Mutukula-24h'!G54)</f>
        <v>0</v>
      </c>
      <c r="H54" s="46">
        <f>AVERAGE('25.05 Kampala-Mutukula-24h'!H54,'26.05 Kampala-Mutukula-24h'!H54,'27.05 Kampala-Mutukula-24h'!H54)</f>
        <v>1</v>
      </c>
      <c r="I54" s="46">
        <f>AVERAGE('25.05 Kampala-Mutukula-24h'!I54,'26.05 Kampala-Mutukula-24h'!I54,'27.05 Kampala-Mutukula-24h'!I54)</f>
        <v>0.66666666666666663</v>
      </c>
      <c r="J54" s="46">
        <f>AVERAGE('25.05 Kampala-Mutukula-24h'!J54,'26.05 Kampala-Mutukula-24h'!J54,'27.05 Kampala-Mutukula-24h'!J54)</f>
        <v>2.3333333333333335</v>
      </c>
      <c r="K54" s="46">
        <f>AVERAGE('25.05 Kampala-Mutukula-24h'!K54,'26.05 Kampala-Mutukula-24h'!K54,'27.05 Kampala-Mutukula-24h'!K54)</f>
        <v>0.66666666666666663</v>
      </c>
      <c r="L54" s="46">
        <f>AVERAGE('25.05 Kampala-Mutukula-24h'!L54,'26.05 Kampala-Mutukula-24h'!L54,'27.05 Kampala-Mutukula-24h'!L54)</f>
        <v>2.6666666666666665</v>
      </c>
      <c r="M54" s="46">
        <f>AVERAGE('25.05 Kampala-Mutukula-24h'!L54,'26.05 Kampala-Mutukula-24h'!L54,'27.05 Kampala-Mutukula-24h'!L54)</f>
        <v>2.6666666666666665</v>
      </c>
      <c r="N54" s="46">
        <f>AVERAGE('25.05 Kampala-Mutukula-24h'!N54,'26.05 Kampala-Mutukula-24h'!N54,'27.05 Kampala-Mutukula-24h'!N54)</f>
        <v>0</v>
      </c>
      <c r="O54" s="15">
        <f t="shared" si="0"/>
        <v>12.666666666666666</v>
      </c>
      <c r="P54" s="15">
        <f t="shared" si="1"/>
        <v>15.333333333333332</v>
      </c>
      <c r="R54" s="8"/>
      <c r="T54"/>
    </row>
    <row r="55" spans="2:20" ht="23.1" customHeight="1" x14ac:dyDescent="0.25">
      <c r="B55" s="20" t="s">
        <v>82</v>
      </c>
      <c r="C55" s="46">
        <f>AVERAGE('25.05 Kampala-Mutukula-24h'!C55,'26.05 Kampala-Mutukula-24h'!C55,'27.05 Kampala-Mutukula-24h'!C55)</f>
        <v>0</v>
      </c>
      <c r="D55" s="46">
        <f>AVERAGE('25.05 Kampala-Mutukula-24h'!D55,'26.05 Kampala-Mutukula-24h'!D55,'27.05 Kampala-Mutukula-24h'!D55)</f>
        <v>0</v>
      </c>
      <c r="E55" s="46">
        <f>AVERAGE('25.05 Kampala-Mutukula-24h'!E55,'26.05 Kampala-Mutukula-24h'!E55,'27.05 Kampala-Mutukula-24h'!E55)</f>
        <v>0</v>
      </c>
      <c r="F55" s="46">
        <f>AVERAGE('25.05 Kampala-Mutukula-24h'!F55,'26.05 Kampala-Mutukula-24h'!F55,'27.05 Kampala-Mutukula-24h'!F55)</f>
        <v>0</v>
      </c>
      <c r="G55" s="46">
        <f>AVERAGE('25.05 Kampala-Mutukula-24h'!G55,'26.05 Kampala-Mutukula-24h'!G55,'27.05 Kampala-Mutukula-24h'!G55)</f>
        <v>0</v>
      </c>
      <c r="H55" s="46">
        <f>AVERAGE('25.05 Kampala-Mutukula-24h'!H55,'26.05 Kampala-Mutukula-24h'!H55,'27.05 Kampala-Mutukula-24h'!H55)</f>
        <v>0</v>
      </c>
      <c r="I55" s="46">
        <f>AVERAGE('25.05 Kampala-Mutukula-24h'!I55,'26.05 Kampala-Mutukula-24h'!I55,'27.05 Kampala-Mutukula-24h'!I55)</f>
        <v>0</v>
      </c>
      <c r="J55" s="46">
        <f>AVERAGE('25.05 Kampala-Mutukula-24h'!J55,'26.05 Kampala-Mutukula-24h'!J55,'27.05 Kampala-Mutukula-24h'!J55)</f>
        <v>0</v>
      </c>
      <c r="K55" s="46">
        <f>AVERAGE('25.05 Kampala-Mutukula-24h'!K55,'26.05 Kampala-Mutukula-24h'!K55,'27.05 Kampala-Mutukula-24h'!K55)</f>
        <v>0</v>
      </c>
      <c r="L55" s="46">
        <f>AVERAGE('25.05 Kampala-Mutukula-24h'!L55,'26.05 Kampala-Mutukula-24h'!L55,'27.05 Kampala-Mutukula-24h'!L55)</f>
        <v>0</v>
      </c>
      <c r="M55" s="46">
        <f>AVERAGE('25.05 Kampala-Mutukula-24h'!L55,'26.05 Kampala-Mutukula-24h'!L55,'27.05 Kampala-Mutukula-24h'!L55)</f>
        <v>0</v>
      </c>
      <c r="N55" s="46">
        <f>AVERAGE('25.05 Kampala-Mutukula-24h'!N55,'26.05 Kampala-Mutukula-24h'!N55,'27.05 Kampala-Mutukula-24h'!N55)</f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0" t="s">
        <v>83</v>
      </c>
      <c r="C56" s="46">
        <f>AVERAGE('25.05 Kampala-Mutukula-24h'!C56,'26.05 Kampala-Mutukula-24h'!C56,'27.05 Kampala-Mutukula-24h'!C56)</f>
        <v>7.333333333333333</v>
      </c>
      <c r="D56" s="46">
        <f>AVERAGE('25.05 Kampala-Mutukula-24h'!D56,'26.05 Kampala-Mutukula-24h'!D56,'27.05 Kampala-Mutukula-24h'!D56)</f>
        <v>0</v>
      </c>
      <c r="E56" s="46">
        <f>AVERAGE('25.05 Kampala-Mutukula-24h'!E56,'26.05 Kampala-Mutukula-24h'!E56,'27.05 Kampala-Mutukula-24h'!E56)</f>
        <v>0</v>
      </c>
      <c r="F56" s="46">
        <f>AVERAGE('25.05 Kampala-Mutukula-24h'!F56,'26.05 Kampala-Mutukula-24h'!F56,'27.05 Kampala-Mutukula-24h'!F56)</f>
        <v>1.6666666666666667</v>
      </c>
      <c r="G56" s="46">
        <f>AVERAGE('25.05 Kampala-Mutukula-24h'!G56,'26.05 Kampala-Mutukula-24h'!G56,'27.05 Kampala-Mutukula-24h'!G56)</f>
        <v>0.66666666666666663</v>
      </c>
      <c r="H56" s="46">
        <f>AVERAGE('25.05 Kampala-Mutukula-24h'!H56,'26.05 Kampala-Mutukula-24h'!H56,'27.05 Kampala-Mutukula-24h'!H56)</f>
        <v>0.33333333333333331</v>
      </c>
      <c r="I56" s="46">
        <f>AVERAGE('25.05 Kampala-Mutukula-24h'!I56,'26.05 Kampala-Mutukula-24h'!I56,'27.05 Kampala-Mutukula-24h'!I56)</f>
        <v>1</v>
      </c>
      <c r="J56" s="46">
        <f>AVERAGE('25.05 Kampala-Mutukula-24h'!J56,'26.05 Kampala-Mutukula-24h'!J56,'27.05 Kampala-Mutukula-24h'!J56)</f>
        <v>2.3333333333333335</v>
      </c>
      <c r="K56" s="46">
        <f>AVERAGE('25.05 Kampala-Mutukula-24h'!K56,'26.05 Kampala-Mutukula-24h'!K56,'27.05 Kampala-Mutukula-24h'!K56)</f>
        <v>0.66666666666666663</v>
      </c>
      <c r="L56" s="46">
        <f>AVERAGE('25.05 Kampala-Mutukula-24h'!L56,'26.05 Kampala-Mutukula-24h'!L56,'27.05 Kampala-Mutukula-24h'!L56)</f>
        <v>1.3333333333333333</v>
      </c>
      <c r="M56" s="46">
        <f>AVERAGE('25.05 Kampala-Mutukula-24h'!L56,'26.05 Kampala-Mutukula-24h'!L56,'27.05 Kampala-Mutukula-24h'!L56)</f>
        <v>1.3333333333333333</v>
      </c>
      <c r="N56" s="46">
        <f>AVERAGE('25.05 Kampala-Mutukula-24h'!N56,'26.05 Kampala-Mutukula-24h'!N56,'27.05 Kampala-Mutukula-24h'!N56)</f>
        <v>0</v>
      </c>
      <c r="O56" s="15">
        <f t="shared" si="0"/>
        <v>15.333333333333334</v>
      </c>
      <c r="P56" s="15">
        <f t="shared" si="1"/>
        <v>16.666666666666668</v>
      </c>
      <c r="R56" s="8"/>
      <c r="T56"/>
    </row>
    <row r="57" spans="2:20" ht="23.1" customHeight="1" x14ac:dyDescent="0.25">
      <c r="B57" s="20" t="s">
        <v>84</v>
      </c>
      <c r="C57" s="46">
        <f>AVERAGE('25.05 Kampala-Mutukula-24h'!C57,'26.05 Kampala-Mutukula-24h'!C57,'27.05 Kampala-Mutukula-24h'!C57)</f>
        <v>0</v>
      </c>
      <c r="D57" s="46">
        <f>AVERAGE('25.05 Kampala-Mutukula-24h'!D57,'26.05 Kampala-Mutukula-24h'!D57,'27.05 Kampala-Mutukula-24h'!D57)</f>
        <v>0</v>
      </c>
      <c r="E57" s="46">
        <f>AVERAGE('25.05 Kampala-Mutukula-24h'!E57,'26.05 Kampala-Mutukula-24h'!E57,'27.05 Kampala-Mutukula-24h'!E57)</f>
        <v>0</v>
      </c>
      <c r="F57" s="46">
        <f>AVERAGE('25.05 Kampala-Mutukula-24h'!F57,'26.05 Kampala-Mutukula-24h'!F57,'27.05 Kampala-Mutukula-24h'!F57)</f>
        <v>0</v>
      </c>
      <c r="G57" s="46">
        <f>AVERAGE('25.05 Kampala-Mutukula-24h'!G57,'26.05 Kampala-Mutukula-24h'!G57,'27.05 Kampala-Mutukula-24h'!G57)</f>
        <v>0</v>
      </c>
      <c r="H57" s="46">
        <f>AVERAGE('25.05 Kampala-Mutukula-24h'!H57,'26.05 Kampala-Mutukula-24h'!H57,'27.05 Kampala-Mutukula-24h'!H57)</f>
        <v>0</v>
      </c>
      <c r="I57" s="46">
        <f>AVERAGE('25.05 Kampala-Mutukula-24h'!I57,'26.05 Kampala-Mutukula-24h'!I57,'27.05 Kampala-Mutukula-24h'!I57)</f>
        <v>0</v>
      </c>
      <c r="J57" s="46">
        <f>AVERAGE('25.05 Kampala-Mutukula-24h'!J57,'26.05 Kampala-Mutukula-24h'!J57,'27.05 Kampala-Mutukula-24h'!J57)</f>
        <v>0</v>
      </c>
      <c r="K57" s="46">
        <f>AVERAGE('25.05 Kampala-Mutukula-24h'!K57,'26.05 Kampala-Mutukula-24h'!K57,'27.05 Kampala-Mutukula-24h'!K57)</f>
        <v>0</v>
      </c>
      <c r="L57" s="46">
        <f>AVERAGE('25.05 Kampala-Mutukula-24h'!L57,'26.05 Kampala-Mutukula-24h'!L57,'27.05 Kampala-Mutukula-24h'!L57)</f>
        <v>0</v>
      </c>
      <c r="M57" s="46">
        <f>AVERAGE('25.05 Kampala-Mutukula-24h'!L57,'26.05 Kampala-Mutukula-24h'!L57,'27.05 Kampala-Mutukula-24h'!L57)</f>
        <v>0</v>
      </c>
      <c r="N57" s="46">
        <f>AVERAGE('25.05 Kampala-Mutukula-24h'!N57,'26.05 Kampala-Mutukula-24h'!N57,'27.05 Kampala-Mutukula-24h'!N57)</f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0" t="s">
        <v>99</v>
      </c>
      <c r="C58" s="46">
        <f>AVERAGE('25.05 Kampala-Mutukula-24h'!C58,'26.05 Kampala-Mutukula-24h'!C58,'27.05 Kampala-Mutukula-24h'!C58)</f>
        <v>5.333333333333333</v>
      </c>
      <c r="D58" s="46">
        <f>AVERAGE('25.05 Kampala-Mutukula-24h'!D58,'26.05 Kampala-Mutukula-24h'!D58,'27.05 Kampala-Mutukula-24h'!D58)</f>
        <v>0</v>
      </c>
      <c r="E58" s="46">
        <f>AVERAGE('25.05 Kampala-Mutukula-24h'!E58,'26.05 Kampala-Mutukula-24h'!E58,'27.05 Kampala-Mutukula-24h'!E58)</f>
        <v>0</v>
      </c>
      <c r="F58" s="46">
        <f>AVERAGE('25.05 Kampala-Mutukula-24h'!F58,'26.05 Kampala-Mutukula-24h'!F58,'27.05 Kampala-Mutukula-24h'!F58)</f>
        <v>1</v>
      </c>
      <c r="G58" s="46">
        <f>AVERAGE('25.05 Kampala-Mutukula-24h'!G58,'26.05 Kampala-Mutukula-24h'!G58,'27.05 Kampala-Mutukula-24h'!G58)</f>
        <v>0</v>
      </c>
      <c r="H58" s="46">
        <f>AVERAGE('25.05 Kampala-Mutukula-24h'!H58,'26.05 Kampala-Mutukula-24h'!H58,'27.05 Kampala-Mutukula-24h'!H58)</f>
        <v>0.33333333333333331</v>
      </c>
      <c r="I58" s="46">
        <f>AVERAGE('25.05 Kampala-Mutukula-24h'!I58,'26.05 Kampala-Mutukula-24h'!I58,'27.05 Kampala-Mutukula-24h'!I58)</f>
        <v>0.33333333333333331</v>
      </c>
      <c r="J58" s="46">
        <f>AVERAGE('25.05 Kampala-Mutukula-24h'!J58,'26.05 Kampala-Mutukula-24h'!J58,'27.05 Kampala-Mutukula-24h'!J58)</f>
        <v>0.66666666666666663</v>
      </c>
      <c r="K58" s="46">
        <f>AVERAGE('25.05 Kampala-Mutukula-24h'!K58,'26.05 Kampala-Mutukula-24h'!K58,'27.05 Kampala-Mutukula-24h'!K58)</f>
        <v>0</v>
      </c>
      <c r="L58" s="46">
        <f>AVERAGE('25.05 Kampala-Mutukula-24h'!L58,'26.05 Kampala-Mutukula-24h'!L58,'27.05 Kampala-Mutukula-24h'!L58)</f>
        <v>1.3333333333333333</v>
      </c>
      <c r="M58" s="46">
        <f>AVERAGE('25.05 Kampala-Mutukula-24h'!M58,'26.05 Kampala-Mutukula-24h'!M58,'27.05 Kampala-Mutukula-24h'!M58)</f>
        <v>0</v>
      </c>
      <c r="N58" s="46">
        <f>AVERAGE('25.05 Kampala-Mutukula-24h'!N58,'26.05 Kampala-Mutukula-24h'!N58,'27.05 Kampala-Mutukula-24h'!N58)</f>
        <v>0</v>
      </c>
      <c r="O58" s="15">
        <f t="shared" si="0"/>
        <v>9</v>
      </c>
      <c r="P58" s="15">
        <f t="shared" si="1"/>
        <v>9</v>
      </c>
      <c r="R58" s="8"/>
      <c r="T58"/>
    </row>
    <row r="59" spans="2:20" ht="23.1" customHeight="1" x14ac:dyDescent="0.25">
      <c r="B59" s="20" t="s">
        <v>100</v>
      </c>
      <c r="C59" s="46">
        <f>AVERAGE('25.05 Kampala-Mutukula-24h'!C59,'26.05 Kampala-Mutukula-24h'!C59,'27.05 Kampala-Mutukula-24h'!C59)</f>
        <v>0</v>
      </c>
      <c r="D59" s="46">
        <f>AVERAGE('25.05 Kampala-Mutukula-24h'!D59,'26.05 Kampala-Mutukula-24h'!D59,'27.05 Kampala-Mutukula-24h'!D59)</f>
        <v>0</v>
      </c>
      <c r="E59" s="46">
        <f>AVERAGE('25.05 Kampala-Mutukula-24h'!E59,'26.05 Kampala-Mutukula-24h'!E59,'27.05 Kampala-Mutukula-24h'!E59)</f>
        <v>0</v>
      </c>
      <c r="F59" s="46">
        <f>AVERAGE('25.05 Kampala-Mutukula-24h'!F59,'26.05 Kampala-Mutukula-24h'!F59,'27.05 Kampala-Mutukula-24h'!F59)</f>
        <v>0</v>
      </c>
      <c r="G59" s="46">
        <f>AVERAGE('25.05 Kampala-Mutukula-24h'!G59,'26.05 Kampala-Mutukula-24h'!G59,'27.05 Kampala-Mutukula-24h'!G59)</f>
        <v>0</v>
      </c>
      <c r="H59" s="46">
        <f>AVERAGE('25.05 Kampala-Mutukula-24h'!H59,'26.05 Kampala-Mutukula-24h'!H59,'27.05 Kampala-Mutukula-24h'!H59)</f>
        <v>0</v>
      </c>
      <c r="I59" s="46">
        <f>AVERAGE('25.05 Kampala-Mutukula-24h'!I59,'26.05 Kampala-Mutukula-24h'!I59,'27.05 Kampala-Mutukula-24h'!I59)</f>
        <v>0</v>
      </c>
      <c r="J59" s="46">
        <f>AVERAGE('25.05 Kampala-Mutukula-24h'!J59,'26.05 Kampala-Mutukula-24h'!J59,'27.05 Kampala-Mutukula-24h'!J59)</f>
        <v>0</v>
      </c>
      <c r="K59" s="46">
        <f>AVERAGE('25.05 Kampala-Mutukula-24h'!K59,'26.05 Kampala-Mutukula-24h'!K59,'27.05 Kampala-Mutukula-24h'!K59)</f>
        <v>0</v>
      </c>
      <c r="L59" s="46">
        <f>AVERAGE('25.05 Kampala-Mutukula-24h'!L59,'26.05 Kampala-Mutukula-24h'!L59,'27.05 Kampala-Mutukula-24h'!L59)</f>
        <v>0</v>
      </c>
      <c r="M59" s="46">
        <f>AVERAGE('25.05 Kampala-Mutukula-24h'!M59,'26.05 Kampala-Mutukula-24h'!M59,'27.05 Kampala-Mutukula-24h'!M59)</f>
        <v>0</v>
      </c>
      <c r="N59" s="46">
        <f>AVERAGE('25.05 Kampala-Mutukula-24h'!N59,'26.05 Kampala-Mutukula-24h'!N59,'27.05 Kampala-Mutukula-24h'!N59)</f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20" t="s">
        <v>101</v>
      </c>
      <c r="C60" s="46">
        <f>AVERAGE('25.05 Kampala-Mutukula-24h'!C60,'26.05 Kampala-Mutukula-24h'!C60,'27.05 Kampala-Mutukula-24h'!C60)</f>
        <v>7.666666666666667</v>
      </c>
      <c r="D60" s="46">
        <f>AVERAGE('25.05 Kampala-Mutukula-24h'!D60,'26.05 Kampala-Mutukula-24h'!D60,'27.05 Kampala-Mutukula-24h'!D60)</f>
        <v>0</v>
      </c>
      <c r="E60" s="46">
        <f>AVERAGE('25.05 Kampala-Mutukula-24h'!E60,'26.05 Kampala-Mutukula-24h'!E60,'27.05 Kampala-Mutukula-24h'!E60)</f>
        <v>0</v>
      </c>
      <c r="F60" s="46">
        <f>AVERAGE('25.05 Kampala-Mutukula-24h'!F60,'26.05 Kampala-Mutukula-24h'!F60,'27.05 Kampala-Mutukula-24h'!F60)</f>
        <v>1.6666666666666667</v>
      </c>
      <c r="G60" s="46">
        <f>AVERAGE('25.05 Kampala-Mutukula-24h'!G60,'26.05 Kampala-Mutukula-24h'!G60,'27.05 Kampala-Mutukula-24h'!G60)</f>
        <v>0</v>
      </c>
      <c r="H60" s="46">
        <f>AVERAGE('25.05 Kampala-Mutukula-24h'!H60,'26.05 Kampala-Mutukula-24h'!H60,'27.05 Kampala-Mutukula-24h'!H60)</f>
        <v>1.3333333333333333</v>
      </c>
      <c r="I60" s="46">
        <f>AVERAGE('25.05 Kampala-Mutukula-24h'!I60,'26.05 Kampala-Mutukula-24h'!I60,'27.05 Kampala-Mutukula-24h'!I60)</f>
        <v>0</v>
      </c>
      <c r="J60" s="46">
        <f>AVERAGE('25.05 Kampala-Mutukula-24h'!J60,'26.05 Kampala-Mutukula-24h'!J60,'27.05 Kampala-Mutukula-24h'!J60)</f>
        <v>1.3333333333333333</v>
      </c>
      <c r="K60" s="46">
        <f>AVERAGE('25.05 Kampala-Mutukula-24h'!K60,'26.05 Kampala-Mutukula-24h'!K60,'27.05 Kampala-Mutukula-24h'!K60)</f>
        <v>0.33333333333333331</v>
      </c>
      <c r="L60" s="46">
        <f>AVERAGE('25.05 Kampala-Mutukula-24h'!L60,'26.05 Kampala-Mutukula-24h'!L60,'27.05 Kampala-Mutukula-24h'!L60)</f>
        <v>2.6666666666666665</v>
      </c>
      <c r="M60" s="46">
        <f>AVERAGE('25.05 Kampala-Mutukula-24h'!M60,'26.05 Kampala-Mutukula-24h'!M60,'27.05 Kampala-Mutukula-24h'!M60)</f>
        <v>0</v>
      </c>
      <c r="N60" s="46">
        <f>AVERAGE('25.05 Kampala-Mutukula-24h'!N60,'26.05 Kampala-Mutukula-24h'!N60,'27.05 Kampala-Mutukula-24h'!N60)</f>
        <v>0</v>
      </c>
      <c r="O60" s="15">
        <f t="shared" si="0"/>
        <v>15.000000000000002</v>
      </c>
      <c r="P60" s="15">
        <f t="shared" si="1"/>
        <v>15.000000000000002</v>
      </c>
      <c r="R60" s="8"/>
      <c r="T60"/>
    </row>
    <row r="61" spans="2:20" ht="23.1" customHeight="1" x14ac:dyDescent="0.25">
      <c r="B61" s="20" t="s">
        <v>102</v>
      </c>
      <c r="C61" s="46">
        <f>AVERAGE('25.05 Kampala-Mutukula-24h'!C61,'26.05 Kampala-Mutukula-24h'!C61,'27.05 Kampala-Mutukula-24h'!C61)</f>
        <v>0</v>
      </c>
      <c r="D61" s="46">
        <f>AVERAGE('25.05 Kampala-Mutukula-24h'!D61,'26.05 Kampala-Mutukula-24h'!D61,'27.05 Kampala-Mutukula-24h'!D61)</f>
        <v>0</v>
      </c>
      <c r="E61" s="46">
        <f>AVERAGE('25.05 Kampala-Mutukula-24h'!E61,'26.05 Kampala-Mutukula-24h'!E61,'27.05 Kampala-Mutukula-24h'!E61)</f>
        <v>0</v>
      </c>
      <c r="F61" s="46">
        <f>AVERAGE('25.05 Kampala-Mutukula-24h'!F61,'26.05 Kampala-Mutukula-24h'!F61,'27.05 Kampala-Mutukula-24h'!F61)</f>
        <v>0</v>
      </c>
      <c r="G61" s="46">
        <f>AVERAGE('25.05 Kampala-Mutukula-24h'!G61,'26.05 Kampala-Mutukula-24h'!G61,'27.05 Kampala-Mutukula-24h'!G61)</f>
        <v>0</v>
      </c>
      <c r="H61" s="46">
        <f>AVERAGE('25.05 Kampala-Mutukula-24h'!H61,'26.05 Kampala-Mutukula-24h'!H61,'27.05 Kampala-Mutukula-24h'!H61)</f>
        <v>0</v>
      </c>
      <c r="I61" s="46">
        <f>AVERAGE('25.05 Kampala-Mutukula-24h'!I61,'26.05 Kampala-Mutukula-24h'!I61,'27.05 Kampala-Mutukula-24h'!I61)</f>
        <v>0</v>
      </c>
      <c r="J61" s="46">
        <f>AVERAGE('25.05 Kampala-Mutukula-24h'!J61,'26.05 Kampala-Mutukula-24h'!J61,'27.05 Kampala-Mutukula-24h'!J61)</f>
        <v>0</v>
      </c>
      <c r="K61" s="46">
        <f>AVERAGE('25.05 Kampala-Mutukula-24h'!K61,'26.05 Kampala-Mutukula-24h'!K61,'27.05 Kampala-Mutukula-24h'!K61)</f>
        <v>0</v>
      </c>
      <c r="L61" s="46">
        <f>AVERAGE('25.05 Kampala-Mutukula-24h'!L61,'26.05 Kampala-Mutukula-24h'!L61,'27.05 Kampala-Mutukula-24h'!L61)</f>
        <v>0</v>
      </c>
      <c r="M61" s="46">
        <f>AVERAGE('25.05 Kampala-Mutukula-24h'!M61,'26.05 Kampala-Mutukula-24h'!M61,'27.05 Kampala-Mutukula-24h'!M61)</f>
        <v>0</v>
      </c>
      <c r="N61" s="46">
        <f>AVERAGE('25.05 Kampala-Mutukula-24h'!N61,'26.05 Kampala-Mutukula-24h'!N61,'27.05 Kampala-Mutukula-24h'!N61)</f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20" t="s">
        <v>107</v>
      </c>
      <c r="C62" s="46">
        <f>AVERAGE('25.05 Kampala-Mutukula-24h'!C62,'26.05 Kampala-Mutukula-24h'!C62,'27.05 Kampala-Mutukula-24h'!C62)</f>
        <v>6.666666666666667</v>
      </c>
      <c r="D62" s="46">
        <f>AVERAGE('25.05 Kampala-Mutukula-24h'!D62,'26.05 Kampala-Mutukula-24h'!D62,'27.05 Kampala-Mutukula-24h'!D62)</f>
        <v>0</v>
      </c>
      <c r="E62" s="46">
        <f>AVERAGE('25.05 Kampala-Mutukula-24h'!E62,'26.05 Kampala-Mutukula-24h'!E62,'27.05 Kampala-Mutukula-24h'!E62)</f>
        <v>0</v>
      </c>
      <c r="F62" s="46">
        <f>AVERAGE('25.05 Kampala-Mutukula-24h'!F62,'26.05 Kampala-Mutukula-24h'!F62,'27.05 Kampala-Mutukula-24h'!F62)</f>
        <v>0</v>
      </c>
      <c r="G62" s="46">
        <f>AVERAGE('25.05 Kampala-Mutukula-24h'!G62,'26.05 Kampala-Mutukula-24h'!G62,'27.05 Kampala-Mutukula-24h'!G62)</f>
        <v>0</v>
      </c>
      <c r="H62" s="46">
        <f>AVERAGE('25.05 Kampala-Mutukula-24h'!H62,'26.05 Kampala-Mutukula-24h'!H62,'27.05 Kampala-Mutukula-24h'!H62)</f>
        <v>0</v>
      </c>
      <c r="I62" s="46">
        <f>AVERAGE('25.05 Kampala-Mutukula-24h'!I62,'26.05 Kampala-Mutukula-24h'!I62,'27.05 Kampala-Mutukula-24h'!I62)</f>
        <v>0</v>
      </c>
      <c r="J62" s="46">
        <f>AVERAGE('25.05 Kampala-Mutukula-24h'!J62,'26.05 Kampala-Mutukula-24h'!J62,'27.05 Kampala-Mutukula-24h'!J62)</f>
        <v>2</v>
      </c>
      <c r="K62" s="46">
        <f>AVERAGE('25.05 Kampala-Mutukula-24h'!K62,'26.05 Kampala-Mutukula-24h'!K62,'27.05 Kampala-Mutukula-24h'!K62)</f>
        <v>1</v>
      </c>
      <c r="L62" s="46">
        <f>AVERAGE('25.05 Kampala-Mutukula-24h'!L62,'26.05 Kampala-Mutukula-24h'!L62,'27.05 Kampala-Mutukula-24h'!L62)</f>
        <v>1</v>
      </c>
      <c r="M62" s="46">
        <f>AVERAGE('25.05 Kampala-Mutukula-24h'!M62,'26.05 Kampala-Mutukula-24h'!M62,'27.05 Kampala-Mutukula-24h'!M62)</f>
        <v>0</v>
      </c>
      <c r="N62" s="46">
        <f>AVERAGE('25.05 Kampala-Mutukula-24h'!N62,'26.05 Kampala-Mutukula-24h'!N62,'27.05 Kampala-Mutukula-24h'!N62)</f>
        <v>0</v>
      </c>
      <c r="O62" s="15">
        <f t="shared" si="0"/>
        <v>10.666666666666668</v>
      </c>
      <c r="P62" s="15">
        <f t="shared" si="1"/>
        <v>10.666666666666668</v>
      </c>
      <c r="R62" s="8"/>
      <c r="T62"/>
    </row>
    <row r="63" spans="2:20" ht="23.1" customHeight="1" x14ac:dyDescent="0.25">
      <c r="B63" s="20" t="s">
        <v>108</v>
      </c>
      <c r="C63" s="46">
        <f>AVERAGE('25.05 Kampala-Mutukula-24h'!C63,'26.05 Kampala-Mutukula-24h'!C63,'27.05 Kampala-Mutukula-24h'!C63)</f>
        <v>0</v>
      </c>
      <c r="D63" s="46">
        <f>AVERAGE('25.05 Kampala-Mutukula-24h'!D63,'26.05 Kampala-Mutukula-24h'!D63,'27.05 Kampala-Mutukula-24h'!D63)</f>
        <v>0</v>
      </c>
      <c r="E63" s="46">
        <f>AVERAGE('25.05 Kampala-Mutukula-24h'!E63,'26.05 Kampala-Mutukula-24h'!E63,'27.05 Kampala-Mutukula-24h'!E63)</f>
        <v>0</v>
      </c>
      <c r="F63" s="46">
        <f>AVERAGE('25.05 Kampala-Mutukula-24h'!F63,'26.05 Kampala-Mutukula-24h'!F63,'27.05 Kampala-Mutukula-24h'!F63)</f>
        <v>0</v>
      </c>
      <c r="G63" s="46">
        <f>AVERAGE('25.05 Kampala-Mutukula-24h'!G63,'26.05 Kampala-Mutukula-24h'!G63,'27.05 Kampala-Mutukula-24h'!G63)</f>
        <v>0</v>
      </c>
      <c r="H63" s="46">
        <f>AVERAGE('25.05 Kampala-Mutukula-24h'!H63,'26.05 Kampala-Mutukula-24h'!H63,'27.05 Kampala-Mutukula-24h'!H63)</f>
        <v>0</v>
      </c>
      <c r="I63" s="46">
        <f>AVERAGE('25.05 Kampala-Mutukula-24h'!I63,'26.05 Kampala-Mutukula-24h'!I63,'27.05 Kampala-Mutukula-24h'!I63)</f>
        <v>0</v>
      </c>
      <c r="J63" s="46">
        <f>AVERAGE('25.05 Kampala-Mutukula-24h'!J63,'26.05 Kampala-Mutukula-24h'!J63,'27.05 Kampala-Mutukula-24h'!J63)</f>
        <v>0</v>
      </c>
      <c r="K63" s="46">
        <f>AVERAGE('25.05 Kampala-Mutukula-24h'!K63,'26.05 Kampala-Mutukula-24h'!K63,'27.05 Kampala-Mutukula-24h'!K63)</f>
        <v>0</v>
      </c>
      <c r="L63" s="46">
        <f>AVERAGE('25.05 Kampala-Mutukula-24h'!L63,'26.05 Kampala-Mutukula-24h'!L63,'27.05 Kampala-Mutukula-24h'!L63)</f>
        <v>0</v>
      </c>
      <c r="M63" s="46">
        <f>AVERAGE('25.05 Kampala-Mutukula-24h'!M63,'26.05 Kampala-Mutukula-24h'!M63,'27.05 Kampala-Mutukula-24h'!M63)</f>
        <v>0</v>
      </c>
      <c r="N63" s="46">
        <f>AVERAGE('25.05 Kampala-Mutukula-24h'!N63,'26.05 Kampala-Mutukula-24h'!N63,'27.05 Kampala-Mutukula-24h'!N63)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0" t="s">
        <v>109</v>
      </c>
      <c r="C64" s="46">
        <f>AVERAGE('25.05 Kampala-Mutukula-24h'!C64,'26.05 Kampala-Mutukula-24h'!C64,'27.05 Kampala-Mutukula-24h'!C64)</f>
        <v>7</v>
      </c>
      <c r="D64" s="46">
        <f>AVERAGE('25.05 Kampala-Mutukula-24h'!D64,'26.05 Kampala-Mutukula-24h'!D64,'27.05 Kampala-Mutukula-24h'!D64)</f>
        <v>0</v>
      </c>
      <c r="E64" s="46">
        <f>AVERAGE('25.05 Kampala-Mutukula-24h'!E64,'26.05 Kampala-Mutukula-24h'!E64,'27.05 Kampala-Mutukula-24h'!E64)</f>
        <v>0</v>
      </c>
      <c r="F64" s="46">
        <f>AVERAGE('25.05 Kampala-Mutukula-24h'!F64,'26.05 Kampala-Mutukula-24h'!F64,'27.05 Kampala-Mutukula-24h'!F64)</f>
        <v>1</v>
      </c>
      <c r="G64" s="46">
        <f>AVERAGE('25.05 Kampala-Mutukula-24h'!G64,'26.05 Kampala-Mutukula-24h'!G64,'27.05 Kampala-Mutukula-24h'!G64)</f>
        <v>0.33333333333333331</v>
      </c>
      <c r="H64" s="46">
        <f>AVERAGE('25.05 Kampala-Mutukula-24h'!H64,'26.05 Kampala-Mutukula-24h'!H64,'27.05 Kampala-Mutukula-24h'!H64)</f>
        <v>0</v>
      </c>
      <c r="I64" s="46">
        <f>AVERAGE('25.05 Kampala-Mutukula-24h'!I64,'26.05 Kampala-Mutukula-24h'!I64,'27.05 Kampala-Mutukula-24h'!I64)</f>
        <v>0</v>
      </c>
      <c r="J64" s="46">
        <f>AVERAGE('25.05 Kampala-Mutukula-24h'!J64,'26.05 Kampala-Mutukula-24h'!J64,'27.05 Kampala-Mutukula-24h'!J64)</f>
        <v>0</v>
      </c>
      <c r="K64" s="46">
        <f>AVERAGE('25.05 Kampala-Mutukula-24h'!K64,'26.05 Kampala-Mutukula-24h'!K64,'27.05 Kampala-Mutukula-24h'!K64)</f>
        <v>0.33333333333333331</v>
      </c>
      <c r="L64" s="46">
        <f>AVERAGE('25.05 Kampala-Mutukula-24h'!L64,'26.05 Kampala-Mutukula-24h'!L64,'27.05 Kampala-Mutukula-24h'!L64)</f>
        <v>1.6666666666666667</v>
      </c>
      <c r="M64" s="46">
        <f>AVERAGE('25.05 Kampala-Mutukula-24h'!M64,'26.05 Kampala-Mutukula-24h'!M64,'27.05 Kampala-Mutukula-24h'!M64)</f>
        <v>0</v>
      </c>
      <c r="N64" s="46">
        <f>AVERAGE('25.05 Kampala-Mutukula-24h'!N64,'26.05 Kampala-Mutukula-24h'!N64,'27.05 Kampala-Mutukula-24h'!N64)</f>
        <v>0</v>
      </c>
      <c r="O64" s="15">
        <f t="shared" si="0"/>
        <v>10.333333333333334</v>
      </c>
      <c r="P64" s="15">
        <f t="shared" si="1"/>
        <v>10.333333333333334</v>
      </c>
      <c r="R64" s="8"/>
      <c r="T64"/>
    </row>
    <row r="65" spans="2:20" ht="23.1" customHeight="1" x14ac:dyDescent="0.25">
      <c r="B65" s="20" t="s">
        <v>158</v>
      </c>
      <c r="C65" s="46">
        <f>AVERAGE('25.05 Kampala-Mutukula-24h'!C65,'26.05 Kampala-Mutukula-24h'!C65,'27.05 Kampala-Mutukula-24h'!C65)</f>
        <v>0</v>
      </c>
      <c r="D65" s="46">
        <f>AVERAGE('25.05 Kampala-Mutukula-24h'!D65,'26.05 Kampala-Mutukula-24h'!D65,'27.05 Kampala-Mutukula-24h'!D65)</f>
        <v>0</v>
      </c>
      <c r="E65" s="46">
        <f>AVERAGE('25.05 Kampala-Mutukula-24h'!E65,'26.05 Kampala-Mutukula-24h'!E65,'27.05 Kampala-Mutukula-24h'!E65)</f>
        <v>0</v>
      </c>
      <c r="F65" s="46">
        <f>AVERAGE('25.05 Kampala-Mutukula-24h'!F65,'26.05 Kampala-Mutukula-24h'!F65,'27.05 Kampala-Mutukula-24h'!F65)</f>
        <v>0</v>
      </c>
      <c r="G65" s="46">
        <f>AVERAGE('25.05 Kampala-Mutukula-24h'!G65,'26.05 Kampala-Mutukula-24h'!G65,'27.05 Kampala-Mutukula-24h'!G65)</f>
        <v>0</v>
      </c>
      <c r="H65" s="46">
        <f>AVERAGE('25.05 Kampala-Mutukula-24h'!H65,'26.05 Kampala-Mutukula-24h'!H65,'27.05 Kampala-Mutukula-24h'!H65)</f>
        <v>0</v>
      </c>
      <c r="I65" s="46">
        <f>AVERAGE('25.05 Kampala-Mutukula-24h'!I65,'26.05 Kampala-Mutukula-24h'!I65,'27.05 Kampala-Mutukula-24h'!I65)</f>
        <v>0</v>
      </c>
      <c r="J65" s="46">
        <f>AVERAGE('25.05 Kampala-Mutukula-24h'!J65,'26.05 Kampala-Mutukula-24h'!J65,'27.05 Kampala-Mutukula-24h'!J65)</f>
        <v>0</v>
      </c>
      <c r="K65" s="46">
        <f>AVERAGE('25.05 Kampala-Mutukula-24h'!K65,'26.05 Kampala-Mutukula-24h'!K65,'27.05 Kampala-Mutukula-24h'!K65)</f>
        <v>0</v>
      </c>
      <c r="L65" s="46">
        <f>AVERAGE('25.05 Kampala-Mutukula-24h'!L65,'26.05 Kampala-Mutukula-24h'!L65,'27.05 Kampala-Mutukula-24h'!L65)</f>
        <v>0</v>
      </c>
      <c r="M65" s="46">
        <f>AVERAGE('25.05 Kampala-Mutukula-24h'!M65,'26.05 Kampala-Mutukula-24h'!M65,'27.05 Kampala-Mutukula-24h'!M65)</f>
        <v>0</v>
      </c>
      <c r="N65" s="46">
        <f>AVERAGE('25.05 Kampala-Mutukula-24h'!N65,'26.05 Kampala-Mutukula-24h'!N65,'27.05 Kampala-Mutukula-24h'!N65)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0" t="s">
        <v>103</v>
      </c>
      <c r="C66" s="46">
        <f>AVERAGE('25.05 Kampala-Mutukula-24h'!C66,'26.05 Kampala-Mutukula-24h'!C66,'27.05 Kampala-Mutukula-24h'!C66)</f>
        <v>2.3333333333333335</v>
      </c>
      <c r="D66" s="46">
        <f>AVERAGE('25.05 Kampala-Mutukula-24h'!D66,'26.05 Kampala-Mutukula-24h'!D66,'27.05 Kampala-Mutukula-24h'!D66)</f>
        <v>0</v>
      </c>
      <c r="E66" s="46">
        <f>AVERAGE('25.05 Kampala-Mutukula-24h'!E66,'26.05 Kampala-Mutukula-24h'!E66,'27.05 Kampala-Mutukula-24h'!E66)</f>
        <v>0</v>
      </c>
      <c r="F66" s="46">
        <f>AVERAGE('25.05 Kampala-Mutukula-24h'!F66,'26.05 Kampala-Mutukula-24h'!F66,'27.05 Kampala-Mutukula-24h'!F66)</f>
        <v>1</v>
      </c>
      <c r="G66" s="46">
        <f>AVERAGE('25.05 Kampala-Mutukula-24h'!G66,'26.05 Kampala-Mutukula-24h'!G66,'27.05 Kampala-Mutukula-24h'!G66)</f>
        <v>0.33333333333333331</v>
      </c>
      <c r="H66" s="46">
        <f>AVERAGE('25.05 Kampala-Mutukula-24h'!H66,'26.05 Kampala-Mutukula-24h'!H66,'27.05 Kampala-Mutukula-24h'!H66)</f>
        <v>0</v>
      </c>
      <c r="I66" s="46">
        <f>AVERAGE('25.05 Kampala-Mutukula-24h'!I66,'26.05 Kampala-Mutukula-24h'!I66,'27.05 Kampala-Mutukula-24h'!I66)</f>
        <v>0</v>
      </c>
      <c r="J66" s="46">
        <f>AVERAGE('25.05 Kampala-Mutukula-24h'!J66,'26.05 Kampala-Mutukula-24h'!J66,'27.05 Kampala-Mutukula-24h'!J66)</f>
        <v>1</v>
      </c>
      <c r="K66" s="46">
        <f>AVERAGE('25.05 Kampala-Mutukula-24h'!K66,'26.05 Kampala-Mutukula-24h'!K66,'27.05 Kampala-Mutukula-24h'!K66)</f>
        <v>1</v>
      </c>
      <c r="L66" s="46">
        <f>AVERAGE('25.05 Kampala-Mutukula-24h'!L66,'26.05 Kampala-Mutukula-24h'!L66,'27.05 Kampala-Mutukula-24h'!L66)</f>
        <v>0.33333333333333331</v>
      </c>
      <c r="M66" s="46">
        <f>AVERAGE('25.05 Kampala-Mutukula-24h'!M66,'26.05 Kampala-Mutukula-24h'!M66,'27.05 Kampala-Mutukula-24h'!M66)</f>
        <v>0</v>
      </c>
      <c r="N66" s="46">
        <f>AVERAGE('25.05 Kampala-Mutukula-24h'!N66,'26.05 Kampala-Mutukula-24h'!N66,'27.05 Kampala-Mutukula-24h'!N66)</f>
        <v>0</v>
      </c>
      <c r="O66" s="15">
        <f t="shared" si="0"/>
        <v>6</v>
      </c>
      <c r="P66" s="15">
        <f t="shared" si="1"/>
        <v>6</v>
      </c>
      <c r="R66" s="8"/>
      <c r="T66"/>
    </row>
    <row r="67" spans="2:20" ht="23.1" customHeight="1" x14ac:dyDescent="0.25">
      <c r="B67" s="20" t="s">
        <v>104</v>
      </c>
      <c r="C67" s="46">
        <f>AVERAGE('25.05 Kampala-Mutukula-24h'!C67,'26.05 Kampala-Mutukula-24h'!C67,'27.05 Kampala-Mutukula-24h'!C67)</f>
        <v>0</v>
      </c>
      <c r="D67" s="46">
        <f>AVERAGE('25.05 Kampala-Mutukula-24h'!D67,'26.05 Kampala-Mutukula-24h'!D67,'27.05 Kampala-Mutukula-24h'!D67)</f>
        <v>0</v>
      </c>
      <c r="E67" s="46">
        <f>AVERAGE('25.05 Kampala-Mutukula-24h'!E67,'26.05 Kampala-Mutukula-24h'!E67,'27.05 Kampala-Mutukula-24h'!E67)</f>
        <v>0</v>
      </c>
      <c r="F67" s="46">
        <f>AVERAGE('25.05 Kampala-Mutukula-24h'!F67,'26.05 Kampala-Mutukula-24h'!F67,'27.05 Kampala-Mutukula-24h'!F67)</f>
        <v>0</v>
      </c>
      <c r="G67" s="46">
        <f>AVERAGE('25.05 Kampala-Mutukula-24h'!G67,'26.05 Kampala-Mutukula-24h'!G67,'27.05 Kampala-Mutukula-24h'!G67)</f>
        <v>0</v>
      </c>
      <c r="H67" s="46">
        <f>AVERAGE('25.05 Kampala-Mutukula-24h'!H67,'26.05 Kampala-Mutukula-24h'!H67,'27.05 Kampala-Mutukula-24h'!H67)</f>
        <v>0</v>
      </c>
      <c r="I67" s="46">
        <f>AVERAGE('25.05 Kampala-Mutukula-24h'!I67,'26.05 Kampala-Mutukula-24h'!I67,'27.05 Kampala-Mutukula-24h'!I67)</f>
        <v>0</v>
      </c>
      <c r="J67" s="46">
        <f>AVERAGE('25.05 Kampala-Mutukula-24h'!J67,'26.05 Kampala-Mutukula-24h'!J67,'27.05 Kampala-Mutukula-24h'!J67)</f>
        <v>0</v>
      </c>
      <c r="K67" s="46">
        <f>AVERAGE('25.05 Kampala-Mutukula-24h'!K67,'26.05 Kampala-Mutukula-24h'!K67,'27.05 Kampala-Mutukula-24h'!K67)</f>
        <v>0</v>
      </c>
      <c r="L67" s="46">
        <f>AVERAGE('25.05 Kampala-Mutukula-24h'!L67,'26.05 Kampala-Mutukula-24h'!L67,'27.05 Kampala-Mutukula-24h'!L67)</f>
        <v>0</v>
      </c>
      <c r="M67" s="46">
        <f>AVERAGE('25.05 Kampala-Mutukula-24h'!M67,'26.05 Kampala-Mutukula-24h'!M67,'27.05 Kampala-Mutukula-24h'!M67)</f>
        <v>0</v>
      </c>
      <c r="N67" s="46">
        <f>AVERAGE('25.05 Kampala-Mutukula-24h'!N67,'26.05 Kampala-Mutukula-24h'!N67,'27.05 Kampala-Mutukula-24h'!N67)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0" t="s">
        <v>105</v>
      </c>
      <c r="C68" s="46">
        <f>AVERAGE('25.05 Kampala-Mutukula-24h'!C68,'26.05 Kampala-Mutukula-24h'!C68,'27.05 Kampala-Mutukula-24h'!C68)</f>
        <v>2</v>
      </c>
      <c r="D68" s="46">
        <f>AVERAGE('25.05 Kampala-Mutukula-24h'!D68,'26.05 Kampala-Mutukula-24h'!D68,'27.05 Kampala-Mutukula-24h'!D68)</f>
        <v>0</v>
      </c>
      <c r="E68" s="46">
        <f>AVERAGE('25.05 Kampala-Mutukula-24h'!E68,'26.05 Kampala-Mutukula-24h'!E68,'27.05 Kampala-Mutukula-24h'!E68)</f>
        <v>0</v>
      </c>
      <c r="F68" s="46">
        <f>AVERAGE('25.05 Kampala-Mutukula-24h'!F68,'26.05 Kampala-Mutukula-24h'!F68,'27.05 Kampala-Mutukula-24h'!F68)</f>
        <v>1</v>
      </c>
      <c r="G68" s="46">
        <f>AVERAGE('25.05 Kampala-Mutukula-24h'!G68,'26.05 Kampala-Mutukula-24h'!G68,'27.05 Kampala-Mutukula-24h'!G68)</f>
        <v>0.33333333333333331</v>
      </c>
      <c r="H68" s="46">
        <f>AVERAGE('25.05 Kampala-Mutukula-24h'!H68,'26.05 Kampala-Mutukula-24h'!H68,'27.05 Kampala-Mutukula-24h'!H68)</f>
        <v>0</v>
      </c>
      <c r="I68" s="46">
        <f>AVERAGE('25.05 Kampala-Mutukula-24h'!I68,'26.05 Kampala-Mutukula-24h'!I68,'27.05 Kampala-Mutukula-24h'!I68)</f>
        <v>0</v>
      </c>
      <c r="J68" s="46">
        <f>AVERAGE('25.05 Kampala-Mutukula-24h'!J68,'26.05 Kampala-Mutukula-24h'!J68,'27.05 Kampala-Mutukula-24h'!J68)</f>
        <v>0.33333333333333331</v>
      </c>
      <c r="K68" s="46">
        <f>AVERAGE('25.05 Kampala-Mutukula-24h'!K68,'26.05 Kampala-Mutukula-24h'!K68,'27.05 Kampala-Mutukula-24h'!K68)</f>
        <v>0.66666666666666663</v>
      </c>
      <c r="L68" s="46">
        <f>AVERAGE('25.05 Kampala-Mutukula-24h'!L68,'26.05 Kampala-Mutukula-24h'!L68,'27.05 Kampala-Mutukula-24h'!L68)</f>
        <v>2.6666666666666665</v>
      </c>
      <c r="M68" s="46">
        <f>AVERAGE('25.05 Kampala-Mutukula-24h'!M68,'26.05 Kampala-Mutukula-24h'!M68,'27.05 Kampala-Mutukula-24h'!M68)</f>
        <v>0</v>
      </c>
      <c r="N68" s="46">
        <f>AVERAGE('25.05 Kampala-Mutukula-24h'!N68,'26.05 Kampala-Mutukula-24h'!N68,'27.05 Kampala-Mutukula-24h'!N68)</f>
        <v>0</v>
      </c>
      <c r="O68" s="15">
        <f t="shared" si="0"/>
        <v>7</v>
      </c>
      <c r="P68" s="15">
        <f t="shared" si="1"/>
        <v>7</v>
      </c>
      <c r="R68" s="8"/>
      <c r="T68"/>
    </row>
    <row r="69" spans="2:20" ht="23.1" customHeight="1" x14ac:dyDescent="0.25">
      <c r="B69" s="20" t="s">
        <v>106</v>
      </c>
      <c r="C69" s="46">
        <f>AVERAGE('25.05 Kampala-Mutukula-24h'!C69,'26.05 Kampala-Mutukula-24h'!C69,'27.05 Kampala-Mutukula-24h'!C69)</f>
        <v>0</v>
      </c>
      <c r="D69" s="46">
        <f>AVERAGE('25.05 Kampala-Mutukula-24h'!D69,'26.05 Kampala-Mutukula-24h'!D69,'27.05 Kampala-Mutukula-24h'!D69)</f>
        <v>0</v>
      </c>
      <c r="E69" s="46">
        <f>AVERAGE('25.05 Kampala-Mutukula-24h'!E69,'26.05 Kampala-Mutukula-24h'!E69,'27.05 Kampala-Mutukula-24h'!E69)</f>
        <v>0</v>
      </c>
      <c r="F69" s="46">
        <f>AVERAGE('25.05 Kampala-Mutukula-24h'!F69,'26.05 Kampala-Mutukula-24h'!F69,'27.05 Kampala-Mutukula-24h'!F69)</f>
        <v>0</v>
      </c>
      <c r="G69" s="46">
        <f>AVERAGE('25.05 Kampala-Mutukula-24h'!G69,'26.05 Kampala-Mutukula-24h'!G69,'27.05 Kampala-Mutukula-24h'!G69)</f>
        <v>0</v>
      </c>
      <c r="H69" s="46">
        <f>AVERAGE('25.05 Kampala-Mutukula-24h'!H69,'26.05 Kampala-Mutukula-24h'!H69,'27.05 Kampala-Mutukula-24h'!H69)</f>
        <v>0</v>
      </c>
      <c r="I69" s="46">
        <f>AVERAGE('25.05 Kampala-Mutukula-24h'!I69,'26.05 Kampala-Mutukula-24h'!I69,'27.05 Kampala-Mutukula-24h'!I69)</f>
        <v>0</v>
      </c>
      <c r="J69" s="46">
        <f>AVERAGE('25.05 Kampala-Mutukula-24h'!J69,'26.05 Kampala-Mutukula-24h'!J69,'27.05 Kampala-Mutukula-24h'!J69)</f>
        <v>0</v>
      </c>
      <c r="K69" s="46">
        <f>AVERAGE('25.05 Kampala-Mutukula-24h'!K69,'26.05 Kampala-Mutukula-24h'!K69,'27.05 Kampala-Mutukula-24h'!K69)</f>
        <v>0</v>
      </c>
      <c r="L69" s="46">
        <f>AVERAGE('25.05 Kampala-Mutukula-24h'!L69,'26.05 Kampala-Mutukula-24h'!L69,'27.05 Kampala-Mutukula-24h'!L69)</f>
        <v>0</v>
      </c>
      <c r="M69" s="46">
        <f>AVERAGE('25.05 Kampala-Mutukula-24h'!M69,'26.05 Kampala-Mutukula-24h'!M69,'27.05 Kampala-Mutukula-24h'!M69)</f>
        <v>0</v>
      </c>
      <c r="N69" s="46">
        <f>AVERAGE('25.05 Kampala-Mutukula-24h'!N69,'26.05 Kampala-Mutukula-24h'!N69,'27.05 Kampala-Mutukula-24h'!N69)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0" t="s">
        <v>110</v>
      </c>
      <c r="C70" s="46">
        <f>AVERAGE('25.05 Kampala-Mutukula-24h'!C70,'26.05 Kampala-Mutukula-24h'!C70,'27.05 Kampala-Mutukula-24h'!C70)</f>
        <v>3</v>
      </c>
      <c r="D70" s="46">
        <f>AVERAGE('25.05 Kampala-Mutukula-24h'!D70,'26.05 Kampala-Mutukula-24h'!D70,'27.05 Kampala-Mutukula-24h'!D70)</f>
        <v>0</v>
      </c>
      <c r="E70" s="46">
        <f>AVERAGE('25.05 Kampala-Mutukula-24h'!E70,'26.05 Kampala-Mutukula-24h'!E70,'27.05 Kampala-Mutukula-24h'!E70)</f>
        <v>0</v>
      </c>
      <c r="F70" s="46">
        <f>AVERAGE('25.05 Kampala-Mutukula-24h'!F70,'26.05 Kampala-Mutukula-24h'!F70,'27.05 Kampala-Mutukula-24h'!F70)</f>
        <v>0.33333333333333331</v>
      </c>
      <c r="G70" s="46">
        <f>AVERAGE('25.05 Kampala-Mutukula-24h'!G70,'26.05 Kampala-Mutukula-24h'!G70,'27.05 Kampala-Mutukula-24h'!G70)</f>
        <v>0</v>
      </c>
      <c r="H70" s="46">
        <f>AVERAGE('25.05 Kampala-Mutukula-24h'!H70,'26.05 Kampala-Mutukula-24h'!H70,'27.05 Kampala-Mutukula-24h'!H70)</f>
        <v>0</v>
      </c>
      <c r="I70" s="46">
        <f>AVERAGE('25.05 Kampala-Mutukula-24h'!I70,'26.05 Kampala-Mutukula-24h'!I70,'27.05 Kampala-Mutukula-24h'!I70)</f>
        <v>0</v>
      </c>
      <c r="J70" s="46">
        <f>AVERAGE('25.05 Kampala-Mutukula-24h'!J70,'26.05 Kampala-Mutukula-24h'!J70,'27.05 Kampala-Mutukula-24h'!J70)</f>
        <v>0.33333333333333331</v>
      </c>
      <c r="K70" s="46">
        <f>AVERAGE('25.05 Kampala-Mutukula-24h'!K70,'26.05 Kampala-Mutukula-24h'!K70,'27.05 Kampala-Mutukula-24h'!K70)</f>
        <v>0.33333333333333331</v>
      </c>
      <c r="L70" s="46">
        <f>AVERAGE('25.05 Kampala-Mutukula-24h'!L70,'26.05 Kampala-Mutukula-24h'!L70,'27.05 Kampala-Mutukula-24h'!L70)</f>
        <v>0.33333333333333331</v>
      </c>
      <c r="M70" s="46">
        <f>AVERAGE('25.05 Kampala-Mutukula-24h'!M70,'26.05 Kampala-Mutukula-24h'!M70,'27.05 Kampala-Mutukula-24h'!M70)</f>
        <v>0</v>
      </c>
      <c r="N70" s="46">
        <f>AVERAGE('25.05 Kampala-Mutukula-24h'!N70,'26.05 Kampala-Mutukula-24h'!N70,'27.05 Kampala-Mutukula-24h'!N70)</f>
        <v>0</v>
      </c>
      <c r="O70" s="15">
        <f t="shared" si="0"/>
        <v>4.333333333333333</v>
      </c>
      <c r="P70" s="15">
        <f t="shared" si="1"/>
        <v>4.333333333333333</v>
      </c>
      <c r="R70" s="8"/>
      <c r="T70"/>
    </row>
    <row r="71" spans="2:20" ht="23.1" customHeight="1" x14ac:dyDescent="0.25">
      <c r="B71" s="20" t="s">
        <v>111</v>
      </c>
      <c r="C71" s="46">
        <f>AVERAGE('25.05 Kampala-Mutukula-24h'!C71,'26.05 Kampala-Mutukula-24h'!C71,'27.05 Kampala-Mutukula-24h'!C71)</f>
        <v>0</v>
      </c>
      <c r="D71" s="46">
        <f>AVERAGE('25.05 Kampala-Mutukula-24h'!D71,'26.05 Kampala-Mutukula-24h'!D71,'27.05 Kampala-Mutukula-24h'!D71)</f>
        <v>0</v>
      </c>
      <c r="E71" s="46">
        <f>AVERAGE('25.05 Kampala-Mutukula-24h'!E71,'26.05 Kampala-Mutukula-24h'!E71,'27.05 Kampala-Mutukula-24h'!E71)</f>
        <v>0</v>
      </c>
      <c r="F71" s="46">
        <f>AVERAGE('25.05 Kampala-Mutukula-24h'!F71,'26.05 Kampala-Mutukula-24h'!F71,'27.05 Kampala-Mutukula-24h'!F71)</f>
        <v>0</v>
      </c>
      <c r="G71" s="46">
        <f>AVERAGE('25.05 Kampala-Mutukula-24h'!G71,'26.05 Kampala-Mutukula-24h'!G71,'27.05 Kampala-Mutukula-24h'!G71)</f>
        <v>0</v>
      </c>
      <c r="H71" s="46">
        <f>AVERAGE('25.05 Kampala-Mutukula-24h'!H71,'26.05 Kampala-Mutukula-24h'!H71,'27.05 Kampala-Mutukula-24h'!H71)</f>
        <v>0</v>
      </c>
      <c r="I71" s="46">
        <f>AVERAGE('25.05 Kampala-Mutukula-24h'!I71,'26.05 Kampala-Mutukula-24h'!I71,'27.05 Kampala-Mutukula-24h'!I71)</f>
        <v>0</v>
      </c>
      <c r="J71" s="46">
        <f>AVERAGE('25.05 Kampala-Mutukula-24h'!J71,'26.05 Kampala-Mutukula-24h'!J71,'27.05 Kampala-Mutukula-24h'!J71)</f>
        <v>0</v>
      </c>
      <c r="K71" s="46">
        <f>AVERAGE('25.05 Kampala-Mutukula-24h'!K71,'26.05 Kampala-Mutukula-24h'!K71,'27.05 Kampala-Mutukula-24h'!K71)</f>
        <v>0</v>
      </c>
      <c r="L71" s="46">
        <f>AVERAGE('25.05 Kampala-Mutukula-24h'!L71,'26.05 Kampala-Mutukula-24h'!L71,'27.05 Kampala-Mutukula-24h'!L71)</f>
        <v>0</v>
      </c>
      <c r="M71" s="46">
        <f>AVERAGE('25.05 Kampala-Mutukula-24h'!M71,'26.05 Kampala-Mutukula-24h'!M71,'27.05 Kampala-Mutukula-24h'!M71)</f>
        <v>0</v>
      </c>
      <c r="N71" s="46">
        <f>AVERAGE('25.05 Kampala-Mutukula-24h'!N71,'26.05 Kampala-Mutukula-24h'!N71,'27.05 Kampala-Mutukula-24h'!N71)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0" t="s">
        <v>112</v>
      </c>
      <c r="C72" s="46">
        <f>AVERAGE('25.05 Kampala-Mutukula-24h'!C72,'26.05 Kampala-Mutukula-24h'!C72,'27.05 Kampala-Mutukula-24h'!C72)</f>
        <v>2.3333333333333335</v>
      </c>
      <c r="D72" s="46">
        <f>AVERAGE('25.05 Kampala-Mutukula-24h'!D72,'26.05 Kampala-Mutukula-24h'!D72,'27.05 Kampala-Mutukula-24h'!D72)</f>
        <v>0</v>
      </c>
      <c r="E72" s="46">
        <f>AVERAGE('25.05 Kampala-Mutukula-24h'!E72,'26.05 Kampala-Mutukula-24h'!E72,'27.05 Kampala-Mutukula-24h'!E72)</f>
        <v>0</v>
      </c>
      <c r="F72" s="46">
        <f>AVERAGE('25.05 Kampala-Mutukula-24h'!F72,'26.05 Kampala-Mutukula-24h'!F72,'27.05 Kampala-Mutukula-24h'!F72)</f>
        <v>0.66666666666666663</v>
      </c>
      <c r="G72" s="46">
        <f>AVERAGE('25.05 Kampala-Mutukula-24h'!G72,'26.05 Kampala-Mutukula-24h'!G72,'27.05 Kampala-Mutukula-24h'!G72)</f>
        <v>0</v>
      </c>
      <c r="H72" s="46">
        <f>AVERAGE('25.05 Kampala-Mutukula-24h'!H72,'26.05 Kampala-Mutukula-24h'!H72,'27.05 Kampala-Mutukula-24h'!H72)</f>
        <v>1.3333333333333333</v>
      </c>
      <c r="I72" s="46">
        <f>AVERAGE('25.05 Kampala-Mutukula-24h'!I72,'26.05 Kampala-Mutukula-24h'!I72,'27.05 Kampala-Mutukula-24h'!I72)</f>
        <v>0</v>
      </c>
      <c r="J72" s="46">
        <f>AVERAGE('25.05 Kampala-Mutukula-24h'!J72,'26.05 Kampala-Mutukula-24h'!J72,'27.05 Kampala-Mutukula-24h'!J72)</f>
        <v>2.3333333333333335</v>
      </c>
      <c r="K72" s="46">
        <f>AVERAGE('25.05 Kampala-Mutukula-24h'!K72,'26.05 Kampala-Mutukula-24h'!K72,'27.05 Kampala-Mutukula-24h'!K72)</f>
        <v>0.33333333333333331</v>
      </c>
      <c r="L72" s="46">
        <f>AVERAGE('25.05 Kampala-Mutukula-24h'!L72,'26.05 Kampala-Mutukula-24h'!L72,'27.05 Kampala-Mutukula-24h'!L72)</f>
        <v>2</v>
      </c>
      <c r="M72" s="46">
        <f>AVERAGE('25.05 Kampala-Mutukula-24h'!M72,'26.05 Kampala-Mutukula-24h'!M72,'27.05 Kampala-Mutukula-24h'!M72)</f>
        <v>0</v>
      </c>
      <c r="N72" s="46">
        <f>AVERAGE('25.05 Kampala-Mutukula-24h'!N72,'26.05 Kampala-Mutukula-24h'!N72,'27.05 Kampala-Mutukula-24h'!N72)</f>
        <v>0</v>
      </c>
      <c r="O72" s="15">
        <f t="shared" si="0"/>
        <v>9</v>
      </c>
      <c r="P72" s="15">
        <f t="shared" si="1"/>
        <v>9</v>
      </c>
      <c r="R72" s="8"/>
      <c r="T72"/>
    </row>
    <row r="73" spans="2:20" ht="23.1" customHeight="1" x14ac:dyDescent="0.25">
      <c r="B73" s="20" t="s">
        <v>113</v>
      </c>
      <c r="C73" s="46">
        <f>AVERAGE('25.05 Kampala-Mutukula-24h'!C73,'26.05 Kampala-Mutukula-24h'!C73,'27.05 Kampala-Mutukula-24h'!C73)</f>
        <v>0</v>
      </c>
      <c r="D73" s="46">
        <f>AVERAGE('25.05 Kampala-Mutukula-24h'!D73,'26.05 Kampala-Mutukula-24h'!D73,'27.05 Kampala-Mutukula-24h'!D73)</f>
        <v>0</v>
      </c>
      <c r="E73" s="46">
        <f>AVERAGE('25.05 Kampala-Mutukula-24h'!E73,'26.05 Kampala-Mutukula-24h'!E73,'27.05 Kampala-Mutukula-24h'!E73)</f>
        <v>0</v>
      </c>
      <c r="F73" s="46">
        <f>AVERAGE('25.05 Kampala-Mutukula-24h'!F73,'26.05 Kampala-Mutukula-24h'!F73,'27.05 Kampala-Mutukula-24h'!F73)</f>
        <v>0</v>
      </c>
      <c r="G73" s="46">
        <f>AVERAGE('25.05 Kampala-Mutukula-24h'!G73,'26.05 Kampala-Mutukula-24h'!G73,'27.05 Kampala-Mutukula-24h'!G73)</f>
        <v>0</v>
      </c>
      <c r="H73" s="46">
        <f>AVERAGE('25.05 Kampala-Mutukula-24h'!H73,'26.05 Kampala-Mutukula-24h'!H73,'27.05 Kampala-Mutukula-24h'!H73)</f>
        <v>0</v>
      </c>
      <c r="I73" s="46">
        <f>AVERAGE('25.05 Kampala-Mutukula-24h'!I73,'26.05 Kampala-Mutukula-24h'!I73,'27.05 Kampala-Mutukula-24h'!I73)</f>
        <v>0</v>
      </c>
      <c r="J73" s="46">
        <f>AVERAGE('25.05 Kampala-Mutukula-24h'!J73,'26.05 Kampala-Mutukula-24h'!J73,'27.05 Kampala-Mutukula-24h'!J73)</f>
        <v>0</v>
      </c>
      <c r="K73" s="46">
        <f>AVERAGE('25.05 Kampala-Mutukula-24h'!K73,'26.05 Kampala-Mutukula-24h'!K73,'27.05 Kampala-Mutukula-24h'!K73)</f>
        <v>0</v>
      </c>
      <c r="L73" s="46">
        <f>AVERAGE('25.05 Kampala-Mutukula-24h'!L73,'26.05 Kampala-Mutukula-24h'!L73,'27.05 Kampala-Mutukula-24h'!L73)</f>
        <v>0</v>
      </c>
      <c r="M73" s="46">
        <f>AVERAGE('25.05 Kampala-Mutukula-24h'!M73,'26.05 Kampala-Mutukula-24h'!M73,'27.05 Kampala-Mutukula-24h'!M73)</f>
        <v>0</v>
      </c>
      <c r="N73" s="46">
        <f>AVERAGE('25.05 Kampala-Mutukula-24h'!N73,'26.05 Kampala-Mutukula-24h'!N73,'27.05 Kampala-Mutukula-24h'!N73)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0" t="s">
        <v>114</v>
      </c>
      <c r="C74" s="46">
        <f>AVERAGE('25.05 Kampala-Mutukula-24h'!C74,'26.05 Kampala-Mutukula-24h'!C74,'27.05 Kampala-Mutukula-24h'!C74)</f>
        <v>2.6666666666666665</v>
      </c>
      <c r="D74" s="46">
        <f>AVERAGE('25.05 Kampala-Mutukula-24h'!D74,'26.05 Kampala-Mutukula-24h'!D74,'27.05 Kampala-Mutukula-24h'!D74)</f>
        <v>0</v>
      </c>
      <c r="E74" s="46">
        <f>AVERAGE('25.05 Kampala-Mutukula-24h'!E74,'26.05 Kampala-Mutukula-24h'!E74,'27.05 Kampala-Mutukula-24h'!E74)</f>
        <v>0</v>
      </c>
      <c r="F74" s="46">
        <f>AVERAGE('25.05 Kampala-Mutukula-24h'!F74,'26.05 Kampala-Mutukula-24h'!F74,'27.05 Kampala-Mutukula-24h'!F74)</f>
        <v>1.3333333333333333</v>
      </c>
      <c r="G74" s="46">
        <f>AVERAGE('25.05 Kampala-Mutukula-24h'!G74,'26.05 Kampala-Mutukula-24h'!G74,'27.05 Kampala-Mutukula-24h'!G74)</f>
        <v>0</v>
      </c>
      <c r="H74" s="46">
        <f>AVERAGE('25.05 Kampala-Mutukula-24h'!H74,'26.05 Kampala-Mutukula-24h'!H74,'27.05 Kampala-Mutukula-24h'!H74)</f>
        <v>0.66666666666666663</v>
      </c>
      <c r="I74" s="46">
        <f>AVERAGE('25.05 Kampala-Mutukula-24h'!I74,'26.05 Kampala-Mutukula-24h'!I74,'27.05 Kampala-Mutukula-24h'!I74)</f>
        <v>0</v>
      </c>
      <c r="J74" s="46">
        <f>AVERAGE('25.05 Kampala-Mutukula-24h'!J74,'26.05 Kampala-Mutukula-24h'!J74,'27.05 Kampala-Mutukula-24h'!J74)</f>
        <v>1</v>
      </c>
      <c r="K74" s="46">
        <f>AVERAGE('25.05 Kampala-Mutukula-24h'!K74,'26.05 Kampala-Mutukula-24h'!K74,'27.05 Kampala-Mutukula-24h'!K74)</f>
        <v>0</v>
      </c>
      <c r="L74" s="46">
        <f>AVERAGE('25.05 Kampala-Mutukula-24h'!L74,'26.05 Kampala-Mutukula-24h'!L74,'27.05 Kampala-Mutukula-24h'!L74)</f>
        <v>3</v>
      </c>
      <c r="M74" s="46">
        <f>AVERAGE('25.05 Kampala-Mutukula-24h'!M74,'26.05 Kampala-Mutukula-24h'!M74,'27.05 Kampala-Mutukula-24h'!M74)</f>
        <v>0</v>
      </c>
      <c r="N74" s="46">
        <f>AVERAGE('25.05 Kampala-Mutukula-24h'!N74,'26.05 Kampala-Mutukula-24h'!N74,'27.05 Kampala-Mutukula-24h'!N74)</f>
        <v>0</v>
      </c>
      <c r="O74" s="15">
        <f t="shared" ref="O74:O105" si="35">SUM(C74:L74,N74)</f>
        <v>8.6666666666666679</v>
      </c>
      <c r="P74" s="15">
        <f t="shared" ref="P74:P105" si="36">SUM(C74:N74)</f>
        <v>8.6666666666666679</v>
      </c>
      <c r="R74" s="8"/>
      <c r="T74"/>
    </row>
    <row r="75" spans="2:20" ht="23.1" customHeight="1" x14ac:dyDescent="0.25">
      <c r="B75" s="20" t="s">
        <v>115</v>
      </c>
      <c r="C75" s="46">
        <f>AVERAGE('25.05 Kampala-Mutukula-24h'!C75,'26.05 Kampala-Mutukula-24h'!C75,'27.05 Kampala-Mutukula-24h'!C75)</f>
        <v>0</v>
      </c>
      <c r="D75" s="46">
        <f>AVERAGE('25.05 Kampala-Mutukula-24h'!D75,'26.05 Kampala-Mutukula-24h'!D75,'27.05 Kampala-Mutukula-24h'!D75)</f>
        <v>0</v>
      </c>
      <c r="E75" s="46">
        <f>AVERAGE('25.05 Kampala-Mutukula-24h'!E75,'26.05 Kampala-Mutukula-24h'!E75,'27.05 Kampala-Mutukula-24h'!E75)</f>
        <v>0</v>
      </c>
      <c r="F75" s="46">
        <f>AVERAGE('25.05 Kampala-Mutukula-24h'!F75,'26.05 Kampala-Mutukula-24h'!F75,'27.05 Kampala-Mutukula-24h'!F75)</f>
        <v>0</v>
      </c>
      <c r="G75" s="46">
        <f>AVERAGE('25.05 Kampala-Mutukula-24h'!G75,'26.05 Kampala-Mutukula-24h'!G75,'27.05 Kampala-Mutukula-24h'!G75)</f>
        <v>0</v>
      </c>
      <c r="H75" s="46">
        <f>AVERAGE('25.05 Kampala-Mutukula-24h'!H75,'26.05 Kampala-Mutukula-24h'!H75,'27.05 Kampala-Mutukula-24h'!H75)</f>
        <v>0</v>
      </c>
      <c r="I75" s="46">
        <f>AVERAGE('25.05 Kampala-Mutukula-24h'!I75,'26.05 Kampala-Mutukula-24h'!I75,'27.05 Kampala-Mutukula-24h'!I75)</f>
        <v>0</v>
      </c>
      <c r="J75" s="46">
        <f>AVERAGE('25.05 Kampala-Mutukula-24h'!J75,'26.05 Kampala-Mutukula-24h'!J75,'27.05 Kampala-Mutukula-24h'!J75)</f>
        <v>0</v>
      </c>
      <c r="K75" s="46">
        <f>AVERAGE('25.05 Kampala-Mutukula-24h'!K75,'26.05 Kampala-Mutukula-24h'!K75,'27.05 Kampala-Mutukula-24h'!K75)</f>
        <v>0</v>
      </c>
      <c r="L75" s="46">
        <f>AVERAGE('25.05 Kampala-Mutukula-24h'!L75,'26.05 Kampala-Mutukula-24h'!L75,'27.05 Kampala-Mutukula-24h'!L75)</f>
        <v>0</v>
      </c>
      <c r="M75" s="46">
        <f>AVERAGE('25.05 Kampala-Mutukula-24h'!M75,'26.05 Kampala-Mutukula-24h'!M75,'27.05 Kampala-Mutukula-24h'!M75)</f>
        <v>0</v>
      </c>
      <c r="N75" s="46">
        <f>AVERAGE('25.05 Kampala-Mutukula-24h'!N75,'26.05 Kampala-Mutukula-24h'!N75,'27.05 Kampala-Mutukula-24h'!N75)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0" t="s">
        <v>116</v>
      </c>
      <c r="C76" s="46">
        <f>AVERAGE('25.05 Kampala-Mutukula-24h'!C76,'26.05 Kampala-Mutukula-24h'!C76,'27.05 Kampala-Mutukula-24h'!C76)</f>
        <v>3.6666666666666665</v>
      </c>
      <c r="D76" s="46">
        <f>AVERAGE('25.05 Kampala-Mutukula-24h'!D76,'26.05 Kampala-Mutukula-24h'!D76,'27.05 Kampala-Mutukula-24h'!D76)</f>
        <v>0</v>
      </c>
      <c r="E76" s="46">
        <f>AVERAGE('25.05 Kampala-Mutukula-24h'!E76,'26.05 Kampala-Mutukula-24h'!E76,'27.05 Kampala-Mutukula-24h'!E76)</f>
        <v>0</v>
      </c>
      <c r="F76" s="46">
        <f>AVERAGE('25.05 Kampala-Mutukula-24h'!F76,'26.05 Kampala-Mutukula-24h'!F76,'27.05 Kampala-Mutukula-24h'!F76)</f>
        <v>0.66666666666666663</v>
      </c>
      <c r="G76" s="46">
        <f>AVERAGE('25.05 Kampala-Mutukula-24h'!G76,'26.05 Kampala-Mutukula-24h'!G76,'27.05 Kampala-Mutukula-24h'!G76)</f>
        <v>0.33333333333333331</v>
      </c>
      <c r="H76" s="46">
        <f>AVERAGE('25.05 Kampala-Mutukula-24h'!H76,'26.05 Kampala-Mutukula-24h'!H76,'27.05 Kampala-Mutukula-24h'!H76)</f>
        <v>0</v>
      </c>
      <c r="I76" s="46">
        <f>AVERAGE('25.05 Kampala-Mutukula-24h'!I76,'26.05 Kampala-Mutukula-24h'!I76,'27.05 Kampala-Mutukula-24h'!I76)</f>
        <v>0</v>
      </c>
      <c r="J76" s="46">
        <f>AVERAGE('25.05 Kampala-Mutukula-24h'!J76,'26.05 Kampala-Mutukula-24h'!J76,'27.05 Kampala-Mutukula-24h'!J76)</f>
        <v>1</v>
      </c>
      <c r="K76" s="46">
        <f>AVERAGE('25.05 Kampala-Mutukula-24h'!K76,'26.05 Kampala-Mutukula-24h'!K76,'27.05 Kampala-Mutukula-24h'!K76)</f>
        <v>0.33333333333333331</v>
      </c>
      <c r="L76" s="46">
        <f>AVERAGE('25.05 Kampala-Mutukula-24h'!L76,'26.05 Kampala-Mutukula-24h'!L76,'27.05 Kampala-Mutukula-24h'!L76)</f>
        <v>3</v>
      </c>
      <c r="M76" s="46">
        <f>AVERAGE('25.05 Kampala-Mutukula-24h'!M76,'26.05 Kampala-Mutukula-24h'!M76,'27.05 Kampala-Mutukula-24h'!M76)</f>
        <v>0</v>
      </c>
      <c r="N76" s="46">
        <f>AVERAGE('25.05 Kampala-Mutukula-24h'!N76,'26.05 Kampala-Mutukula-24h'!N76,'27.05 Kampala-Mutukula-24h'!N76)</f>
        <v>0</v>
      </c>
      <c r="O76" s="15">
        <f t="shared" si="35"/>
        <v>9</v>
      </c>
      <c r="P76" s="15">
        <f t="shared" si="36"/>
        <v>9</v>
      </c>
      <c r="R76" s="8"/>
      <c r="T76"/>
    </row>
    <row r="77" spans="2:20" ht="23.1" customHeight="1" x14ac:dyDescent="0.25">
      <c r="B77" s="20" t="s">
        <v>117</v>
      </c>
      <c r="C77" s="46">
        <f>AVERAGE('25.05 Kampala-Mutukula-24h'!C77,'26.05 Kampala-Mutukula-24h'!C77,'27.05 Kampala-Mutukula-24h'!C77)</f>
        <v>0</v>
      </c>
      <c r="D77" s="46">
        <f>AVERAGE('25.05 Kampala-Mutukula-24h'!D77,'26.05 Kampala-Mutukula-24h'!D77,'27.05 Kampala-Mutukula-24h'!D77)</f>
        <v>0</v>
      </c>
      <c r="E77" s="46">
        <f>AVERAGE('25.05 Kampala-Mutukula-24h'!E77,'26.05 Kampala-Mutukula-24h'!E77,'27.05 Kampala-Mutukula-24h'!E77)</f>
        <v>0</v>
      </c>
      <c r="F77" s="46">
        <f>AVERAGE('25.05 Kampala-Mutukula-24h'!F77,'26.05 Kampala-Mutukula-24h'!F77,'27.05 Kampala-Mutukula-24h'!F77)</f>
        <v>0</v>
      </c>
      <c r="G77" s="46">
        <f>AVERAGE('25.05 Kampala-Mutukula-24h'!G77,'26.05 Kampala-Mutukula-24h'!G77,'27.05 Kampala-Mutukula-24h'!G77)</f>
        <v>0</v>
      </c>
      <c r="H77" s="46">
        <f>AVERAGE('25.05 Kampala-Mutukula-24h'!H77,'26.05 Kampala-Mutukula-24h'!H77,'27.05 Kampala-Mutukula-24h'!H77)</f>
        <v>0</v>
      </c>
      <c r="I77" s="46">
        <f>AVERAGE('25.05 Kampala-Mutukula-24h'!I77,'26.05 Kampala-Mutukula-24h'!I77,'27.05 Kampala-Mutukula-24h'!I77)</f>
        <v>0</v>
      </c>
      <c r="J77" s="46">
        <f>AVERAGE('25.05 Kampala-Mutukula-24h'!J77,'26.05 Kampala-Mutukula-24h'!J77,'27.05 Kampala-Mutukula-24h'!J77)</f>
        <v>0</v>
      </c>
      <c r="K77" s="46">
        <f>AVERAGE('25.05 Kampala-Mutukula-24h'!K77,'26.05 Kampala-Mutukula-24h'!K77,'27.05 Kampala-Mutukula-24h'!K77)</f>
        <v>0</v>
      </c>
      <c r="L77" s="46">
        <f>AVERAGE('25.05 Kampala-Mutukula-24h'!L77,'26.05 Kampala-Mutukula-24h'!L77,'27.05 Kampala-Mutukula-24h'!L77)</f>
        <v>0</v>
      </c>
      <c r="M77" s="46">
        <f>AVERAGE('25.05 Kampala-Mutukula-24h'!M77,'26.05 Kampala-Mutukula-24h'!M77,'27.05 Kampala-Mutukula-24h'!M77)</f>
        <v>0</v>
      </c>
      <c r="N77" s="46">
        <f>AVERAGE('25.05 Kampala-Mutukula-24h'!N77,'26.05 Kampala-Mutukula-24h'!N77,'27.05 Kampala-Mutukula-24h'!N77)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1" t="s">
        <v>118</v>
      </c>
      <c r="C78" s="46">
        <f>AVERAGE('25.05 Kampala-Mutukula-24h'!C78,'26.05 Kampala-Mutukula-24h'!C78,'27.05 Kampala-Mutukula-24h'!C78)</f>
        <v>7</v>
      </c>
      <c r="D78" s="46">
        <f>AVERAGE('25.05 Kampala-Mutukula-24h'!D78,'26.05 Kampala-Mutukula-24h'!D78,'27.05 Kampala-Mutukula-24h'!D78)</f>
        <v>0</v>
      </c>
      <c r="E78" s="46">
        <f>AVERAGE('25.05 Kampala-Mutukula-24h'!E78,'26.05 Kampala-Mutukula-24h'!E78,'27.05 Kampala-Mutukula-24h'!E78)</f>
        <v>0</v>
      </c>
      <c r="F78" s="46">
        <f>AVERAGE('25.05 Kampala-Mutukula-24h'!F78,'26.05 Kampala-Mutukula-24h'!F78,'27.05 Kampala-Mutukula-24h'!F78)</f>
        <v>0.66666666666666663</v>
      </c>
      <c r="G78" s="46">
        <f>AVERAGE('25.05 Kampala-Mutukula-24h'!G78,'26.05 Kampala-Mutukula-24h'!G78,'27.05 Kampala-Mutukula-24h'!G78)</f>
        <v>1.6666666666666667</v>
      </c>
      <c r="H78" s="46">
        <f>AVERAGE('25.05 Kampala-Mutukula-24h'!H78,'26.05 Kampala-Mutukula-24h'!H78,'27.05 Kampala-Mutukula-24h'!H78)</f>
        <v>0.66666666666666663</v>
      </c>
      <c r="I78" s="46">
        <f>AVERAGE('25.05 Kampala-Mutukula-24h'!I78,'26.05 Kampala-Mutukula-24h'!I78,'27.05 Kampala-Mutukula-24h'!I78)</f>
        <v>0.33333333333333331</v>
      </c>
      <c r="J78" s="46">
        <f>AVERAGE('25.05 Kampala-Mutukula-24h'!J78,'26.05 Kampala-Mutukula-24h'!J78,'27.05 Kampala-Mutukula-24h'!J78)</f>
        <v>0.66666666666666663</v>
      </c>
      <c r="K78" s="46">
        <f>AVERAGE('25.05 Kampala-Mutukula-24h'!K78,'26.05 Kampala-Mutukula-24h'!K78,'27.05 Kampala-Mutukula-24h'!K78)</f>
        <v>0.33333333333333331</v>
      </c>
      <c r="L78" s="46">
        <f>AVERAGE('25.05 Kampala-Mutukula-24h'!L78,'26.05 Kampala-Mutukula-24h'!L78,'27.05 Kampala-Mutukula-24h'!L78)</f>
        <v>1.3333333333333333</v>
      </c>
      <c r="M78" s="46">
        <f>AVERAGE('25.05 Kampala-Mutukula-24h'!M78,'26.05 Kampala-Mutukula-24h'!M78,'27.05 Kampala-Mutukula-24h'!M78)</f>
        <v>0</v>
      </c>
      <c r="N78" s="46">
        <f>AVERAGE('25.05 Kampala-Mutukula-24h'!N78,'26.05 Kampala-Mutukula-24h'!N78,'27.05 Kampala-Mutukula-24h'!N78)</f>
        <v>0</v>
      </c>
      <c r="O78" s="15">
        <f t="shared" si="35"/>
        <v>12.666666666666668</v>
      </c>
      <c r="P78" s="15">
        <f t="shared" si="36"/>
        <v>12.666666666666668</v>
      </c>
      <c r="R78" s="8"/>
      <c r="T78"/>
    </row>
    <row r="79" spans="2:20" ht="23.1" customHeight="1" x14ac:dyDescent="0.25">
      <c r="B79" s="20" t="s">
        <v>119</v>
      </c>
      <c r="C79" s="46">
        <f>AVERAGE('25.05 Kampala-Mutukula-24h'!C79,'26.05 Kampala-Mutukula-24h'!C79,'27.05 Kampala-Mutukula-24h'!C79)</f>
        <v>0</v>
      </c>
      <c r="D79" s="46">
        <f>AVERAGE('25.05 Kampala-Mutukula-24h'!D79,'26.05 Kampala-Mutukula-24h'!D79,'27.05 Kampala-Mutukula-24h'!D79)</f>
        <v>0</v>
      </c>
      <c r="E79" s="46">
        <f>AVERAGE('25.05 Kampala-Mutukula-24h'!E79,'26.05 Kampala-Mutukula-24h'!E79,'27.05 Kampala-Mutukula-24h'!E79)</f>
        <v>0</v>
      </c>
      <c r="F79" s="46">
        <f>AVERAGE('25.05 Kampala-Mutukula-24h'!F79,'26.05 Kampala-Mutukula-24h'!F79,'27.05 Kampala-Mutukula-24h'!F79)</f>
        <v>0</v>
      </c>
      <c r="G79" s="46">
        <f>AVERAGE('25.05 Kampala-Mutukula-24h'!G79,'26.05 Kampala-Mutukula-24h'!G79,'27.05 Kampala-Mutukula-24h'!G79)</f>
        <v>0</v>
      </c>
      <c r="H79" s="46">
        <f>AVERAGE('25.05 Kampala-Mutukula-24h'!H79,'26.05 Kampala-Mutukula-24h'!H79,'27.05 Kampala-Mutukula-24h'!H79)</f>
        <v>0</v>
      </c>
      <c r="I79" s="46">
        <f>AVERAGE('25.05 Kampala-Mutukula-24h'!I79,'26.05 Kampala-Mutukula-24h'!I79,'27.05 Kampala-Mutukula-24h'!I79)</f>
        <v>0</v>
      </c>
      <c r="J79" s="46">
        <f>AVERAGE('25.05 Kampala-Mutukula-24h'!J79,'26.05 Kampala-Mutukula-24h'!J79,'27.05 Kampala-Mutukula-24h'!J79)</f>
        <v>0</v>
      </c>
      <c r="K79" s="46">
        <f>AVERAGE('25.05 Kampala-Mutukula-24h'!K79,'26.05 Kampala-Mutukula-24h'!K79,'27.05 Kampala-Mutukula-24h'!K79)</f>
        <v>0</v>
      </c>
      <c r="L79" s="46">
        <f>AVERAGE('25.05 Kampala-Mutukula-24h'!L79,'26.05 Kampala-Mutukula-24h'!L79,'27.05 Kampala-Mutukula-24h'!L79)</f>
        <v>0</v>
      </c>
      <c r="M79" s="46">
        <f>AVERAGE('25.05 Kampala-Mutukula-24h'!M79,'26.05 Kampala-Mutukula-24h'!M79,'27.05 Kampala-Mutukula-24h'!M79)</f>
        <v>0</v>
      </c>
      <c r="N79" s="46">
        <f>AVERAGE('25.05 Kampala-Mutukula-24h'!N79,'26.05 Kampala-Mutukula-24h'!N79,'27.05 Kampala-Mutukula-24h'!N79)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2" t="s">
        <v>120</v>
      </c>
      <c r="C80" s="46">
        <f>AVERAGE('25.05 Kampala-Mutukula-24h'!C80,'26.05 Kampala-Mutukula-24h'!C80,'27.05 Kampala-Mutukula-24h'!C80)</f>
        <v>1.6666666666666667</v>
      </c>
      <c r="D80" s="46">
        <f>AVERAGE('25.05 Kampala-Mutukula-24h'!D80,'26.05 Kampala-Mutukula-24h'!D80,'27.05 Kampala-Mutukula-24h'!D80)</f>
        <v>0</v>
      </c>
      <c r="E80" s="46">
        <f>AVERAGE('25.05 Kampala-Mutukula-24h'!E80,'26.05 Kampala-Mutukula-24h'!E80,'27.05 Kampala-Mutukula-24h'!E80)</f>
        <v>0</v>
      </c>
      <c r="F80" s="46">
        <f>AVERAGE('25.05 Kampala-Mutukula-24h'!F80,'26.05 Kampala-Mutukula-24h'!F80,'27.05 Kampala-Mutukula-24h'!F80)</f>
        <v>0</v>
      </c>
      <c r="G80" s="46">
        <f>AVERAGE('25.05 Kampala-Mutukula-24h'!G80,'26.05 Kampala-Mutukula-24h'!G80,'27.05 Kampala-Mutukula-24h'!G80)</f>
        <v>0.33333333333333331</v>
      </c>
      <c r="H80" s="46">
        <f>AVERAGE('25.05 Kampala-Mutukula-24h'!H80,'26.05 Kampala-Mutukula-24h'!H80,'27.05 Kampala-Mutukula-24h'!H80)</f>
        <v>0</v>
      </c>
      <c r="I80" s="46">
        <f>AVERAGE('25.05 Kampala-Mutukula-24h'!I80,'26.05 Kampala-Mutukula-24h'!I80,'27.05 Kampala-Mutukula-24h'!I80)</f>
        <v>0</v>
      </c>
      <c r="J80" s="46">
        <f>AVERAGE('25.05 Kampala-Mutukula-24h'!J80,'26.05 Kampala-Mutukula-24h'!J80,'27.05 Kampala-Mutukula-24h'!J80)</f>
        <v>0.66666666666666663</v>
      </c>
      <c r="K80" s="46">
        <f>AVERAGE('25.05 Kampala-Mutukula-24h'!K80,'26.05 Kampala-Mutukula-24h'!K80,'27.05 Kampala-Mutukula-24h'!K80)</f>
        <v>0.33333333333333331</v>
      </c>
      <c r="L80" s="46">
        <f>AVERAGE('25.05 Kampala-Mutukula-24h'!L80,'26.05 Kampala-Mutukula-24h'!L80,'27.05 Kampala-Mutukula-24h'!L80)</f>
        <v>1</v>
      </c>
      <c r="M80" s="46">
        <f>AVERAGE('25.05 Kampala-Mutukula-24h'!M80,'26.05 Kampala-Mutukula-24h'!M80,'27.05 Kampala-Mutukula-24h'!M80)</f>
        <v>0</v>
      </c>
      <c r="N80" s="46">
        <f>AVERAGE('25.05 Kampala-Mutukula-24h'!N80,'26.05 Kampala-Mutukula-24h'!N80,'27.05 Kampala-Mutukula-24h'!N80)</f>
        <v>0</v>
      </c>
      <c r="O80" s="15">
        <f t="shared" si="35"/>
        <v>4</v>
      </c>
      <c r="P80" s="15">
        <f t="shared" si="36"/>
        <v>4</v>
      </c>
      <c r="R80" s="8"/>
      <c r="T80"/>
    </row>
    <row r="81" spans="2:20" ht="23.1" customHeight="1" x14ac:dyDescent="0.25">
      <c r="B81" s="20" t="s">
        <v>121</v>
      </c>
      <c r="C81" s="46">
        <f>AVERAGE('25.05 Kampala-Mutukula-24h'!C81,'26.05 Kampala-Mutukula-24h'!C81,'27.05 Kampala-Mutukula-24h'!C81)</f>
        <v>0</v>
      </c>
      <c r="D81" s="46">
        <f>AVERAGE('25.05 Kampala-Mutukula-24h'!D81,'26.05 Kampala-Mutukula-24h'!D81,'27.05 Kampala-Mutukula-24h'!D81)</f>
        <v>0</v>
      </c>
      <c r="E81" s="46">
        <f>AVERAGE('25.05 Kampala-Mutukula-24h'!E81,'26.05 Kampala-Mutukula-24h'!E81,'27.05 Kampala-Mutukula-24h'!E81)</f>
        <v>0</v>
      </c>
      <c r="F81" s="46">
        <f>AVERAGE('25.05 Kampala-Mutukula-24h'!F81,'26.05 Kampala-Mutukula-24h'!F81,'27.05 Kampala-Mutukula-24h'!F81)</f>
        <v>0</v>
      </c>
      <c r="G81" s="46">
        <f>AVERAGE('25.05 Kampala-Mutukula-24h'!G81,'26.05 Kampala-Mutukula-24h'!G81,'27.05 Kampala-Mutukula-24h'!G81)</f>
        <v>0</v>
      </c>
      <c r="H81" s="46">
        <f>AVERAGE('25.05 Kampala-Mutukula-24h'!H81,'26.05 Kampala-Mutukula-24h'!H81,'27.05 Kampala-Mutukula-24h'!H81)</f>
        <v>0</v>
      </c>
      <c r="I81" s="46">
        <f>AVERAGE('25.05 Kampala-Mutukula-24h'!I81,'26.05 Kampala-Mutukula-24h'!I81,'27.05 Kampala-Mutukula-24h'!I81)</f>
        <v>0</v>
      </c>
      <c r="J81" s="46">
        <f>AVERAGE('25.05 Kampala-Mutukula-24h'!J81,'26.05 Kampala-Mutukula-24h'!J81,'27.05 Kampala-Mutukula-24h'!J81)</f>
        <v>0</v>
      </c>
      <c r="K81" s="46">
        <f>AVERAGE('25.05 Kampala-Mutukula-24h'!K81,'26.05 Kampala-Mutukula-24h'!K81,'27.05 Kampala-Mutukula-24h'!K81)</f>
        <v>0</v>
      </c>
      <c r="L81" s="46">
        <f>AVERAGE('25.05 Kampala-Mutukula-24h'!L81,'26.05 Kampala-Mutukula-24h'!L81,'27.05 Kampala-Mutukula-24h'!L81)</f>
        <v>0</v>
      </c>
      <c r="M81" s="46">
        <f>AVERAGE('25.05 Kampala-Mutukula-24h'!M81,'26.05 Kampala-Mutukula-24h'!M81,'27.05 Kampala-Mutukula-24h'!M81)</f>
        <v>0</v>
      </c>
      <c r="N81" s="46">
        <f>AVERAGE('25.05 Kampala-Mutukula-24h'!N81,'26.05 Kampala-Mutukula-24h'!N81,'27.05 Kampala-Mutukula-24h'!N81)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1" t="s">
        <v>122</v>
      </c>
      <c r="C82" s="46">
        <f>AVERAGE('25.05 Kampala-Mutukula-24h'!C82,'26.05 Kampala-Mutukula-24h'!C82,'27.05 Kampala-Mutukula-24h'!C82)</f>
        <v>0.33333333333333331</v>
      </c>
      <c r="D82" s="46">
        <f>AVERAGE('25.05 Kampala-Mutukula-24h'!D82,'26.05 Kampala-Mutukula-24h'!D82,'27.05 Kampala-Mutukula-24h'!D82)</f>
        <v>0</v>
      </c>
      <c r="E82" s="46">
        <f>AVERAGE('25.05 Kampala-Mutukula-24h'!E82,'26.05 Kampala-Mutukula-24h'!E82,'27.05 Kampala-Mutukula-24h'!E82)</f>
        <v>0</v>
      </c>
      <c r="F82" s="46">
        <f>AVERAGE('25.05 Kampala-Mutukula-24h'!F82,'26.05 Kampala-Mutukula-24h'!F82,'27.05 Kampala-Mutukula-24h'!F82)</f>
        <v>0.66666666666666663</v>
      </c>
      <c r="G82" s="46">
        <f>AVERAGE('25.05 Kampala-Mutukula-24h'!G82,'26.05 Kampala-Mutukula-24h'!G82,'27.05 Kampala-Mutukula-24h'!G82)</f>
        <v>0</v>
      </c>
      <c r="H82" s="46">
        <f>AVERAGE('25.05 Kampala-Mutukula-24h'!H82,'26.05 Kampala-Mutukula-24h'!H82,'27.05 Kampala-Mutukula-24h'!H82)</f>
        <v>0.33333333333333331</v>
      </c>
      <c r="I82" s="46">
        <f>AVERAGE('25.05 Kampala-Mutukula-24h'!I82,'26.05 Kampala-Mutukula-24h'!I82,'27.05 Kampala-Mutukula-24h'!I82)</f>
        <v>0</v>
      </c>
      <c r="J82" s="46">
        <f>AVERAGE('25.05 Kampala-Mutukula-24h'!J82,'26.05 Kampala-Mutukula-24h'!J82,'27.05 Kampala-Mutukula-24h'!J82)</f>
        <v>0</v>
      </c>
      <c r="K82" s="46">
        <f>AVERAGE('25.05 Kampala-Mutukula-24h'!K82,'26.05 Kampala-Mutukula-24h'!K82,'27.05 Kampala-Mutukula-24h'!K82)</f>
        <v>0.33333333333333331</v>
      </c>
      <c r="L82" s="46">
        <f>AVERAGE('25.05 Kampala-Mutukula-24h'!L82,'26.05 Kampala-Mutukula-24h'!L82,'27.05 Kampala-Mutukula-24h'!L82)</f>
        <v>1.3333333333333333</v>
      </c>
      <c r="M82" s="46">
        <f>AVERAGE('25.05 Kampala-Mutukula-24h'!M82,'26.05 Kampala-Mutukula-24h'!M82,'27.05 Kampala-Mutukula-24h'!M82)</f>
        <v>0</v>
      </c>
      <c r="N82" s="46">
        <f>AVERAGE('25.05 Kampala-Mutukula-24h'!N82,'26.05 Kampala-Mutukula-24h'!N82,'27.05 Kampala-Mutukula-24h'!N82)</f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20" t="s">
        <v>123</v>
      </c>
      <c r="C83" s="46">
        <f>AVERAGE('25.05 Kampala-Mutukula-24h'!C83,'26.05 Kampala-Mutukula-24h'!C83,'27.05 Kampala-Mutukula-24h'!C83)</f>
        <v>0</v>
      </c>
      <c r="D83" s="46">
        <f>AVERAGE('25.05 Kampala-Mutukula-24h'!D83,'26.05 Kampala-Mutukula-24h'!D83,'27.05 Kampala-Mutukula-24h'!D83)</f>
        <v>0</v>
      </c>
      <c r="E83" s="46">
        <f>AVERAGE('25.05 Kampala-Mutukula-24h'!E83,'26.05 Kampala-Mutukula-24h'!E83,'27.05 Kampala-Mutukula-24h'!E83)</f>
        <v>0</v>
      </c>
      <c r="F83" s="46">
        <f>AVERAGE('25.05 Kampala-Mutukula-24h'!F83,'26.05 Kampala-Mutukula-24h'!F83,'27.05 Kampala-Mutukula-24h'!F83)</f>
        <v>0</v>
      </c>
      <c r="G83" s="46">
        <f>AVERAGE('25.05 Kampala-Mutukula-24h'!G83,'26.05 Kampala-Mutukula-24h'!G83,'27.05 Kampala-Mutukula-24h'!G83)</f>
        <v>0</v>
      </c>
      <c r="H83" s="46">
        <f>AVERAGE('25.05 Kampala-Mutukula-24h'!H83,'26.05 Kampala-Mutukula-24h'!H83,'27.05 Kampala-Mutukula-24h'!H83)</f>
        <v>0</v>
      </c>
      <c r="I83" s="46">
        <f>AVERAGE('25.05 Kampala-Mutukula-24h'!I83,'26.05 Kampala-Mutukula-24h'!I83,'27.05 Kampala-Mutukula-24h'!I83)</f>
        <v>0</v>
      </c>
      <c r="J83" s="46">
        <f>AVERAGE('25.05 Kampala-Mutukula-24h'!J83,'26.05 Kampala-Mutukula-24h'!J83,'27.05 Kampala-Mutukula-24h'!J83)</f>
        <v>0</v>
      </c>
      <c r="K83" s="46">
        <f>AVERAGE('25.05 Kampala-Mutukula-24h'!K83,'26.05 Kampala-Mutukula-24h'!K83,'27.05 Kampala-Mutukula-24h'!K83)</f>
        <v>0</v>
      </c>
      <c r="L83" s="46">
        <f>AVERAGE('25.05 Kampala-Mutukula-24h'!L83,'26.05 Kampala-Mutukula-24h'!L83,'27.05 Kampala-Mutukula-24h'!L83)</f>
        <v>0</v>
      </c>
      <c r="M83" s="46">
        <f>AVERAGE('25.05 Kampala-Mutukula-24h'!M83,'26.05 Kampala-Mutukula-24h'!M83,'27.05 Kampala-Mutukula-24h'!M83)</f>
        <v>0</v>
      </c>
      <c r="N83" s="46">
        <f>AVERAGE('25.05 Kampala-Mutukula-24h'!N83,'26.05 Kampala-Mutukula-24h'!N83,'27.05 Kampala-Mutukula-24h'!N83)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2" t="s">
        <v>124</v>
      </c>
      <c r="C84" s="46">
        <f>AVERAGE('25.05 Kampala-Mutukula-24h'!C84,'26.05 Kampala-Mutukula-24h'!C84,'27.05 Kampala-Mutukula-24h'!C84)</f>
        <v>0</v>
      </c>
      <c r="D84" s="46">
        <f>AVERAGE('25.05 Kampala-Mutukula-24h'!D84,'26.05 Kampala-Mutukula-24h'!D84,'27.05 Kampala-Mutukula-24h'!D84)</f>
        <v>0</v>
      </c>
      <c r="E84" s="46">
        <f>AVERAGE('25.05 Kampala-Mutukula-24h'!E84,'26.05 Kampala-Mutukula-24h'!E84,'27.05 Kampala-Mutukula-24h'!E84)</f>
        <v>0</v>
      </c>
      <c r="F84" s="46">
        <f>AVERAGE('25.05 Kampala-Mutukula-24h'!F84,'26.05 Kampala-Mutukula-24h'!F84,'27.05 Kampala-Mutukula-24h'!F84)</f>
        <v>0</v>
      </c>
      <c r="G84" s="46">
        <f>AVERAGE('25.05 Kampala-Mutukula-24h'!G84,'26.05 Kampala-Mutukula-24h'!G84,'27.05 Kampala-Mutukula-24h'!G84)</f>
        <v>0.33333333333333331</v>
      </c>
      <c r="H84" s="46">
        <f>AVERAGE('25.05 Kampala-Mutukula-24h'!H84,'26.05 Kampala-Mutukula-24h'!H84,'27.05 Kampala-Mutukula-24h'!H84)</f>
        <v>0</v>
      </c>
      <c r="I84" s="46">
        <f>AVERAGE('25.05 Kampala-Mutukula-24h'!I84,'26.05 Kampala-Mutukula-24h'!I84,'27.05 Kampala-Mutukula-24h'!I84)</f>
        <v>0.66666666666666663</v>
      </c>
      <c r="J84" s="46">
        <f>AVERAGE('25.05 Kampala-Mutukula-24h'!J84,'26.05 Kampala-Mutukula-24h'!J84,'27.05 Kampala-Mutukula-24h'!J84)</f>
        <v>0.33333333333333331</v>
      </c>
      <c r="K84" s="46">
        <f>AVERAGE('25.05 Kampala-Mutukula-24h'!K84,'26.05 Kampala-Mutukula-24h'!K84,'27.05 Kampala-Mutukula-24h'!K84)</f>
        <v>0</v>
      </c>
      <c r="L84" s="46">
        <f>AVERAGE('25.05 Kampala-Mutukula-24h'!L84,'26.05 Kampala-Mutukula-24h'!L84,'27.05 Kampala-Mutukula-24h'!L84)</f>
        <v>1</v>
      </c>
      <c r="M84" s="46">
        <f>AVERAGE('25.05 Kampala-Mutukula-24h'!M84,'26.05 Kampala-Mutukula-24h'!M84,'27.05 Kampala-Mutukula-24h'!M84)</f>
        <v>0</v>
      </c>
      <c r="N84" s="46">
        <f>AVERAGE('25.05 Kampala-Mutukula-24h'!N84,'26.05 Kampala-Mutukula-24h'!N84,'27.05 Kampala-Mutukula-24h'!N84)</f>
        <v>0</v>
      </c>
      <c r="O84" s="15">
        <f t="shared" si="35"/>
        <v>2.333333333333333</v>
      </c>
      <c r="P84" s="15">
        <f t="shared" si="36"/>
        <v>2.333333333333333</v>
      </c>
      <c r="R84" s="8"/>
      <c r="T84"/>
    </row>
    <row r="85" spans="2:20" ht="23.1" customHeight="1" x14ac:dyDescent="0.25">
      <c r="B85" s="20" t="s">
        <v>125</v>
      </c>
      <c r="C85" s="46">
        <f>AVERAGE('25.05 Kampala-Mutukula-24h'!C85,'26.05 Kampala-Mutukula-24h'!C85,'27.05 Kampala-Mutukula-24h'!C85)</f>
        <v>0</v>
      </c>
      <c r="D85" s="46">
        <f>AVERAGE('25.05 Kampala-Mutukula-24h'!D85,'26.05 Kampala-Mutukula-24h'!D85,'27.05 Kampala-Mutukula-24h'!D85)</f>
        <v>0</v>
      </c>
      <c r="E85" s="46">
        <f>AVERAGE('25.05 Kampala-Mutukula-24h'!E85,'26.05 Kampala-Mutukula-24h'!E85,'27.05 Kampala-Mutukula-24h'!E85)</f>
        <v>0</v>
      </c>
      <c r="F85" s="46">
        <f>AVERAGE('25.05 Kampala-Mutukula-24h'!F85,'26.05 Kampala-Mutukula-24h'!F85,'27.05 Kampala-Mutukula-24h'!F85)</f>
        <v>0</v>
      </c>
      <c r="G85" s="46">
        <f>AVERAGE('25.05 Kampala-Mutukula-24h'!G85,'26.05 Kampala-Mutukula-24h'!G85,'27.05 Kampala-Mutukula-24h'!G85)</f>
        <v>0</v>
      </c>
      <c r="H85" s="46">
        <f>AVERAGE('25.05 Kampala-Mutukula-24h'!H85,'26.05 Kampala-Mutukula-24h'!H85,'27.05 Kampala-Mutukula-24h'!H85)</f>
        <v>0</v>
      </c>
      <c r="I85" s="46">
        <f>AVERAGE('25.05 Kampala-Mutukula-24h'!I85,'26.05 Kampala-Mutukula-24h'!I85,'27.05 Kampala-Mutukula-24h'!I85)</f>
        <v>0</v>
      </c>
      <c r="J85" s="46">
        <f>AVERAGE('25.05 Kampala-Mutukula-24h'!J85,'26.05 Kampala-Mutukula-24h'!J85,'27.05 Kampala-Mutukula-24h'!J85)</f>
        <v>0</v>
      </c>
      <c r="K85" s="46">
        <f>AVERAGE('25.05 Kampala-Mutukula-24h'!K85,'26.05 Kampala-Mutukula-24h'!K85,'27.05 Kampala-Mutukula-24h'!K85)</f>
        <v>0</v>
      </c>
      <c r="L85" s="46">
        <f>AVERAGE('25.05 Kampala-Mutukula-24h'!L85,'26.05 Kampala-Mutukula-24h'!L85,'27.05 Kampala-Mutukula-24h'!L85)</f>
        <v>0</v>
      </c>
      <c r="M85" s="46">
        <f>AVERAGE('25.05 Kampala-Mutukula-24h'!M85,'26.05 Kampala-Mutukula-24h'!M85,'27.05 Kampala-Mutukula-24h'!M85)</f>
        <v>0</v>
      </c>
      <c r="N85" s="46">
        <f>AVERAGE('25.05 Kampala-Mutukula-24h'!N85,'26.05 Kampala-Mutukula-24h'!N85,'27.05 Kampala-Mutukula-24h'!N85)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1" t="s">
        <v>126</v>
      </c>
      <c r="C86" s="46">
        <f>AVERAGE('25.05 Kampala-Mutukula-24h'!C86,'26.05 Kampala-Mutukula-24h'!C86,'27.05 Kampala-Mutukula-24h'!C86)</f>
        <v>1</v>
      </c>
      <c r="D86" s="46">
        <f>AVERAGE('25.05 Kampala-Mutukula-24h'!D86,'26.05 Kampala-Mutukula-24h'!D86,'27.05 Kampala-Mutukula-24h'!D86)</f>
        <v>0</v>
      </c>
      <c r="E86" s="46">
        <f>AVERAGE('25.05 Kampala-Mutukula-24h'!E86,'26.05 Kampala-Mutukula-24h'!E86,'27.05 Kampala-Mutukula-24h'!E86)</f>
        <v>0</v>
      </c>
      <c r="F86" s="46">
        <f>AVERAGE('25.05 Kampala-Mutukula-24h'!F86,'26.05 Kampala-Mutukula-24h'!F86,'27.05 Kampala-Mutukula-24h'!F86)</f>
        <v>0.33333333333333331</v>
      </c>
      <c r="G86" s="46">
        <f>AVERAGE('25.05 Kampala-Mutukula-24h'!G86,'26.05 Kampala-Mutukula-24h'!G86,'27.05 Kampala-Mutukula-24h'!G86)</f>
        <v>0</v>
      </c>
      <c r="H86" s="46">
        <f>AVERAGE('25.05 Kampala-Mutukula-24h'!H86,'26.05 Kampala-Mutukula-24h'!H86,'27.05 Kampala-Mutukula-24h'!H86)</f>
        <v>0</v>
      </c>
      <c r="I86" s="46">
        <f>AVERAGE('25.05 Kampala-Mutukula-24h'!I86,'26.05 Kampala-Mutukula-24h'!I86,'27.05 Kampala-Mutukula-24h'!I86)</f>
        <v>0.66666666666666663</v>
      </c>
      <c r="J86" s="46">
        <f>AVERAGE('25.05 Kampala-Mutukula-24h'!J86,'26.05 Kampala-Mutukula-24h'!J86,'27.05 Kampala-Mutukula-24h'!J86)</f>
        <v>0.66666666666666663</v>
      </c>
      <c r="K86" s="46">
        <f>AVERAGE('25.05 Kampala-Mutukula-24h'!K86,'26.05 Kampala-Mutukula-24h'!K86,'27.05 Kampala-Mutukula-24h'!K86)</f>
        <v>0</v>
      </c>
      <c r="L86" s="46">
        <f>AVERAGE('25.05 Kampala-Mutukula-24h'!L86,'26.05 Kampala-Mutukula-24h'!L86,'27.05 Kampala-Mutukula-24h'!L86)</f>
        <v>1</v>
      </c>
      <c r="M86" s="46">
        <f>AVERAGE('25.05 Kampala-Mutukula-24h'!M86,'26.05 Kampala-Mutukula-24h'!M86,'27.05 Kampala-Mutukula-24h'!M86)</f>
        <v>0</v>
      </c>
      <c r="N86" s="46">
        <f>AVERAGE('25.05 Kampala-Mutukula-24h'!N86,'26.05 Kampala-Mutukula-24h'!N86,'27.05 Kampala-Mutukula-24h'!N86)</f>
        <v>0</v>
      </c>
      <c r="O86" s="15">
        <f t="shared" si="35"/>
        <v>3.6666666666666665</v>
      </c>
      <c r="P86" s="15">
        <f t="shared" si="36"/>
        <v>3.6666666666666665</v>
      </c>
      <c r="R86" s="8"/>
      <c r="T86"/>
    </row>
    <row r="87" spans="2:20" ht="23.1" customHeight="1" x14ac:dyDescent="0.25">
      <c r="B87" s="20" t="s">
        <v>127</v>
      </c>
      <c r="C87" s="46">
        <f>AVERAGE('25.05 Kampala-Mutukula-24h'!C87,'26.05 Kampala-Mutukula-24h'!C87,'27.05 Kampala-Mutukula-24h'!C87)</f>
        <v>0</v>
      </c>
      <c r="D87" s="46">
        <f>AVERAGE('25.05 Kampala-Mutukula-24h'!D87,'26.05 Kampala-Mutukula-24h'!D87,'27.05 Kampala-Mutukula-24h'!D87)</f>
        <v>0</v>
      </c>
      <c r="E87" s="46">
        <f>AVERAGE('25.05 Kampala-Mutukula-24h'!E87,'26.05 Kampala-Mutukula-24h'!E87,'27.05 Kampala-Mutukula-24h'!E87)</f>
        <v>0</v>
      </c>
      <c r="F87" s="46">
        <f>AVERAGE('25.05 Kampala-Mutukula-24h'!F87,'26.05 Kampala-Mutukula-24h'!F87,'27.05 Kampala-Mutukula-24h'!F87)</f>
        <v>0</v>
      </c>
      <c r="G87" s="46">
        <f>AVERAGE('25.05 Kampala-Mutukula-24h'!G87,'26.05 Kampala-Mutukula-24h'!G87,'27.05 Kampala-Mutukula-24h'!G87)</f>
        <v>0</v>
      </c>
      <c r="H87" s="46">
        <f>AVERAGE('25.05 Kampala-Mutukula-24h'!H87,'26.05 Kampala-Mutukula-24h'!H87,'27.05 Kampala-Mutukula-24h'!H87)</f>
        <v>0</v>
      </c>
      <c r="I87" s="46">
        <f>AVERAGE('25.05 Kampala-Mutukula-24h'!I87,'26.05 Kampala-Mutukula-24h'!I87,'27.05 Kampala-Mutukula-24h'!I87)</f>
        <v>0</v>
      </c>
      <c r="J87" s="46">
        <f>AVERAGE('25.05 Kampala-Mutukula-24h'!J87,'26.05 Kampala-Mutukula-24h'!J87,'27.05 Kampala-Mutukula-24h'!J87)</f>
        <v>0</v>
      </c>
      <c r="K87" s="46">
        <f>AVERAGE('25.05 Kampala-Mutukula-24h'!K87,'26.05 Kampala-Mutukula-24h'!K87,'27.05 Kampala-Mutukula-24h'!K87)</f>
        <v>0</v>
      </c>
      <c r="L87" s="46">
        <f>AVERAGE('25.05 Kampala-Mutukula-24h'!L87,'26.05 Kampala-Mutukula-24h'!L87,'27.05 Kampala-Mutukula-24h'!L87)</f>
        <v>0</v>
      </c>
      <c r="M87" s="46">
        <f>AVERAGE('25.05 Kampala-Mutukula-24h'!M87,'26.05 Kampala-Mutukula-24h'!M87,'27.05 Kampala-Mutukula-24h'!M87)</f>
        <v>0</v>
      </c>
      <c r="N87" s="46">
        <f>AVERAGE('25.05 Kampala-Mutukula-24h'!N87,'26.05 Kampala-Mutukula-24h'!N87,'27.05 Kampala-Mutukula-24h'!N87)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2" t="s">
        <v>128</v>
      </c>
      <c r="C88" s="46">
        <f>AVERAGE('25.05 Kampala-Mutukula-24h'!C88,'26.05 Kampala-Mutukula-24h'!C88,'27.05 Kampala-Mutukula-24h'!C88)</f>
        <v>0.66666666666666663</v>
      </c>
      <c r="D88" s="46">
        <f>AVERAGE('25.05 Kampala-Mutukula-24h'!D88,'26.05 Kampala-Mutukula-24h'!D88,'27.05 Kampala-Mutukula-24h'!D88)</f>
        <v>0</v>
      </c>
      <c r="E88" s="46">
        <f>AVERAGE('25.05 Kampala-Mutukula-24h'!E88,'26.05 Kampala-Mutukula-24h'!E88,'27.05 Kampala-Mutukula-24h'!E88)</f>
        <v>0</v>
      </c>
      <c r="F88" s="46">
        <f>AVERAGE('25.05 Kampala-Mutukula-24h'!F88,'26.05 Kampala-Mutukula-24h'!F88,'27.05 Kampala-Mutukula-24h'!F88)</f>
        <v>0</v>
      </c>
      <c r="G88" s="46">
        <f>AVERAGE('25.05 Kampala-Mutukula-24h'!G88,'26.05 Kampala-Mutukula-24h'!G88,'27.05 Kampala-Mutukula-24h'!G88)</f>
        <v>0</v>
      </c>
      <c r="H88" s="46">
        <f>AVERAGE('25.05 Kampala-Mutukula-24h'!H88,'26.05 Kampala-Mutukula-24h'!H88,'27.05 Kampala-Mutukula-24h'!H88)</f>
        <v>0.66666666666666663</v>
      </c>
      <c r="I88" s="46">
        <f>AVERAGE('25.05 Kampala-Mutukula-24h'!I88,'26.05 Kampala-Mutukula-24h'!I88,'27.05 Kampala-Mutukula-24h'!I88)</f>
        <v>0</v>
      </c>
      <c r="J88" s="46">
        <f>AVERAGE('25.05 Kampala-Mutukula-24h'!J88,'26.05 Kampala-Mutukula-24h'!J88,'27.05 Kampala-Mutukula-24h'!J88)</f>
        <v>0.66666666666666663</v>
      </c>
      <c r="K88" s="46">
        <f>AVERAGE('25.05 Kampala-Mutukula-24h'!K88,'26.05 Kampala-Mutukula-24h'!K88,'27.05 Kampala-Mutukula-24h'!K88)</f>
        <v>0</v>
      </c>
      <c r="L88" s="46">
        <f>AVERAGE('25.05 Kampala-Mutukula-24h'!L88,'26.05 Kampala-Mutukula-24h'!L88,'27.05 Kampala-Mutukula-24h'!L88)</f>
        <v>3</v>
      </c>
      <c r="M88" s="46">
        <f>AVERAGE('25.05 Kampala-Mutukula-24h'!M88,'26.05 Kampala-Mutukula-24h'!M88,'27.05 Kampala-Mutukula-24h'!M88)</f>
        <v>0</v>
      </c>
      <c r="N88" s="46">
        <f>AVERAGE('25.05 Kampala-Mutukula-24h'!N88,'26.05 Kampala-Mutukula-24h'!N88,'27.05 Kampala-Mutukula-24h'!N88)</f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20" t="s">
        <v>129</v>
      </c>
      <c r="C89" s="46">
        <f>AVERAGE('25.05 Kampala-Mutukula-24h'!C89,'26.05 Kampala-Mutukula-24h'!C89,'27.05 Kampala-Mutukula-24h'!C89)</f>
        <v>0</v>
      </c>
      <c r="D89" s="46">
        <f>AVERAGE('25.05 Kampala-Mutukula-24h'!D89,'26.05 Kampala-Mutukula-24h'!D89,'27.05 Kampala-Mutukula-24h'!D89)</f>
        <v>0</v>
      </c>
      <c r="E89" s="46">
        <f>AVERAGE('25.05 Kampala-Mutukula-24h'!E89,'26.05 Kampala-Mutukula-24h'!E89,'27.05 Kampala-Mutukula-24h'!E89)</f>
        <v>0</v>
      </c>
      <c r="F89" s="46">
        <f>AVERAGE('25.05 Kampala-Mutukula-24h'!F89,'26.05 Kampala-Mutukula-24h'!F89,'27.05 Kampala-Mutukula-24h'!F89)</f>
        <v>0</v>
      </c>
      <c r="G89" s="46">
        <f>AVERAGE('25.05 Kampala-Mutukula-24h'!G89,'26.05 Kampala-Mutukula-24h'!G89,'27.05 Kampala-Mutukula-24h'!G89)</f>
        <v>0</v>
      </c>
      <c r="H89" s="46">
        <f>AVERAGE('25.05 Kampala-Mutukula-24h'!H89,'26.05 Kampala-Mutukula-24h'!H89,'27.05 Kampala-Mutukula-24h'!H89)</f>
        <v>0</v>
      </c>
      <c r="I89" s="46">
        <f>AVERAGE('25.05 Kampala-Mutukula-24h'!I89,'26.05 Kampala-Mutukula-24h'!I89,'27.05 Kampala-Mutukula-24h'!I89)</f>
        <v>0</v>
      </c>
      <c r="J89" s="46">
        <f>AVERAGE('25.05 Kampala-Mutukula-24h'!J89,'26.05 Kampala-Mutukula-24h'!J89,'27.05 Kampala-Mutukula-24h'!J89)</f>
        <v>0</v>
      </c>
      <c r="K89" s="46">
        <f>AVERAGE('25.05 Kampala-Mutukula-24h'!K89,'26.05 Kampala-Mutukula-24h'!K89,'27.05 Kampala-Mutukula-24h'!K89)</f>
        <v>0</v>
      </c>
      <c r="L89" s="46">
        <f>AVERAGE('25.05 Kampala-Mutukula-24h'!L89,'26.05 Kampala-Mutukula-24h'!L89,'27.05 Kampala-Mutukula-24h'!L89)</f>
        <v>0</v>
      </c>
      <c r="M89" s="46">
        <f>AVERAGE('25.05 Kampala-Mutukula-24h'!M89,'26.05 Kampala-Mutukula-24h'!M89,'27.05 Kampala-Mutukula-24h'!M89)</f>
        <v>0</v>
      </c>
      <c r="N89" s="46">
        <f>AVERAGE('25.05 Kampala-Mutukula-24h'!N89,'26.05 Kampala-Mutukula-24h'!N89,'27.05 Kampala-Mutukula-24h'!N89)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1" t="s">
        <v>130</v>
      </c>
      <c r="C90" s="46">
        <f>AVERAGE('25.05 Kampala-Mutukula-24h'!C90,'26.05 Kampala-Mutukula-24h'!C90,'27.05 Kampala-Mutukula-24h'!C90)</f>
        <v>0.33333333333333331</v>
      </c>
      <c r="D90" s="46">
        <f>AVERAGE('25.05 Kampala-Mutukula-24h'!D90,'26.05 Kampala-Mutukula-24h'!D90,'27.05 Kampala-Mutukula-24h'!D90)</f>
        <v>0</v>
      </c>
      <c r="E90" s="46">
        <f>AVERAGE('25.05 Kampala-Mutukula-24h'!E90,'26.05 Kampala-Mutukula-24h'!E90,'27.05 Kampala-Mutukula-24h'!E90)</f>
        <v>0</v>
      </c>
      <c r="F90" s="46">
        <f>AVERAGE('25.05 Kampala-Mutukula-24h'!F90,'26.05 Kampala-Mutukula-24h'!F90,'27.05 Kampala-Mutukula-24h'!F90)</f>
        <v>0</v>
      </c>
      <c r="G90" s="46">
        <f>AVERAGE('25.05 Kampala-Mutukula-24h'!G90,'26.05 Kampala-Mutukula-24h'!G90,'27.05 Kampala-Mutukula-24h'!G90)</f>
        <v>0</v>
      </c>
      <c r="H90" s="46">
        <f>AVERAGE('25.05 Kampala-Mutukula-24h'!H90,'26.05 Kampala-Mutukula-24h'!H90,'27.05 Kampala-Mutukula-24h'!H90)</f>
        <v>0</v>
      </c>
      <c r="I90" s="46">
        <f>AVERAGE('25.05 Kampala-Mutukula-24h'!I90,'26.05 Kampala-Mutukula-24h'!I90,'27.05 Kampala-Mutukula-24h'!I90)</f>
        <v>0</v>
      </c>
      <c r="J90" s="46">
        <f>AVERAGE('25.05 Kampala-Mutukula-24h'!J90,'26.05 Kampala-Mutukula-24h'!J90,'27.05 Kampala-Mutukula-24h'!J90)</f>
        <v>0</v>
      </c>
      <c r="K90" s="46">
        <f>AVERAGE('25.05 Kampala-Mutukula-24h'!K90,'26.05 Kampala-Mutukula-24h'!K90,'27.05 Kampala-Mutukula-24h'!K90)</f>
        <v>0</v>
      </c>
      <c r="L90" s="46">
        <f>AVERAGE('25.05 Kampala-Mutukula-24h'!L90,'26.05 Kampala-Mutukula-24h'!L90,'27.05 Kampala-Mutukula-24h'!L90)</f>
        <v>0.33333333333333331</v>
      </c>
      <c r="M90" s="46">
        <f>AVERAGE('25.05 Kampala-Mutukula-24h'!M90,'26.05 Kampala-Mutukula-24h'!M90,'27.05 Kampala-Mutukula-24h'!M90)</f>
        <v>0</v>
      </c>
      <c r="N90" s="46">
        <f>AVERAGE('25.05 Kampala-Mutukula-24h'!N90,'26.05 Kampala-Mutukula-24h'!N90,'27.05 Kampala-Mutukula-24h'!N90)</f>
        <v>0</v>
      </c>
      <c r="O90" s="15">
        <f t="shared" si="35"/>
        <v>0.66666666666666663</v>
      </c>
      <c r="P90" s="15">
        <f t="shared" si="36"/>
        <v>0.66666666666666663</v>
      </c>
      <c r="R90" s="8"/>
      <c r="T90"/>
    </row>
    <row r="91" spans="2:20" ht="23.1" customHeight="1" x14ac:dyDescent="0.25">
      <c r="B91" s="20" t="s">
        <v>131</v>
      </c>
      <c r="C91" s="46">
        <f>AVERAGE('25.05 Kampala-Mutukula-24h'!C91,'26.05 Kampala-Mutukula-24h'!C91,'27.05 Kampala-Mutukula-24h'!C91)</f>
        <v>0</v>
      </c>
      <c r="D91" s="46">
        <f>AVERAGE('25.05 Kampala-Mutukula-24h'!D91,'26.05 Kampala-Mutukula-24h'!D91,'27.05 Kampala-Mutukula-24h'!D91)</f>
        <v>0</v>
      </c>
      <c r="E91" s="46">
        <f>AVERAGE('25.05 Kampala-Mutukula-24h'!E91,'26.05 Kampala-Mutukula-24h'!E91,'27.05 Kampala-Mutukula-24h'!E91)</f>
        <v>0</v>
      </c>
      <c r="F91" s="46">
        <f>AVERAGE('25.05 Kampala-Mutukula-24h'!F91,'26.05 Kampala-Mutukula-24h'!F91,'27.05 Kampala-Mutukula-24h'!F91)</f>
        <v>0</v>
      </c>
      <c r="G91" s="46">
        <f>AVERAGE('25.05 Kampala-Mutukula-24h'!G91,'26.05 Kampala-Mutukula-24h'!G91,'27.05 Kampala-Mutukula-24h'!G91)</f>
        <v>0</v>
      </c>
      <c r="H91" s="46">
        <f>AVERAGE('25.05 Kampala-Mutukula-24h'!H91,'26.05 Kampala-Mutukula-24h'!H91,'27.05 Kampala-Mutukula-24h'!H91)</f>
        <v>0</v>
      </c>
      <c r="I91" s="46">
        <f>AVERAGE('25.05 Kampala-Mutukula-24h'!I91,'26.05 Kampala-Mutukula-24h'!I91,'27.05 Kampala-Mutukula-24h'!I91)</f>
        <v>0</v>
      </c>
      <c r="J91" s="46">
        <f>AVERAGE('25.05 Kampala-Mutukula-24h'!J91,'26.05 Kampala-Mutukula-24h'!J91,'27.05 Kampala-Mutukula-24h'!J91)</f>
        <v>0</v>
      </c>
      <c r="K91" s="46">
        <f>AVERAGE('25.05 Kampala-Mutukula-24h'!K91,'26.05 Kampala-Mutukula-24h'!K91,'27.05 Kampala-Mutukula-24h'!K91)</f>
        <v>0</v>
      </c>
      <c r="L91" s="46">
        <f>AVERAGE('25.05 Kampala-Mutukula-24h'!L91,'26.05 Kampala-Mutukula-24h'!L91,'27.05 Kampala-Mutukula-24h'!L91)</f>
        <v>0</v>
      </c>
      <c r="M91" s="46">
        <f>AVERAGE('25.05 Kampala-Mutukula-24h'!M91,'26.05 Kampala-Mutukula-24h'!M91,'27.05 Kampala-Mutukula-24h'!M91)</f>
        <v>0</v>
      </c>
      <c r="N91" s="46">
        <f>AVERAGE('25.05 Kampala-Mutukula-24h'!N91,'26.05 Kampala-Mutukula-24h'!N91,'27.05 Kampala-Mutukula-24h'!N91)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2" t="s">
        <v>132</v>
      </c>
      <c r="C92" s="46">
        <f>AVERAGE('25.05 Kampala-Mutukula-24h'!C92,'26.05 Kampala-Mutukula-24h'!C92,'27.05 Kampala-Mutukula-24h'!C92)</f>
        <v>0</v>
      </c>
      <c r="D92" s="46">
        <f>AVERAGE('25.05 Kampala-Mutukula-24h'!D92,'26.05 Kampala-Mutukula-24h'!D92,'27.05 Kampala-Mutukula-24h'!D92)</f>
        <v>0</v>
      </c>
      <c r="E92" s="46">
        <f>AVERAGE('25.05 Kampala-Mutukula-24h'!E92,'26.05 Kampala-Mutukula-24h'!E92,'27.05 Kampala-Mutukula-24h'!E92)</f>
        <v>0</v>
      </c>
      <c r="F92" s="46">
        <f>AVERAGE('25.05 Kampala-Mutukula-24h'!F92,'26.05 Kampala-Mutukula-24h'!F92,'27.05 Kampala-Mutukula-24h'!F92)</f>
        <v>0</v>
      </c>
      <c r="G92" s="46">
        <f>AVERAGE('25.05 Kampala-Mutukula-24h'!G92,'26.05 Kampala-Mutukula-24h'!G92,'27.05 Kampala-Mutukula-24h'!G92)</f>
        <v>0</v>
      </c>
      <c r="H92" s="46">
        <f>AVERAGE('25.05 Kampala-Mutukula-24h'!H92,'26.05 Kampala-Mutukula-24h'!H92,'27.05 Kampala-Mutukula-24h'!H92)</f>
        <v>0</v>
      </c>
      <c r="I92" s="46">
        <f>AVERAGE('25.05 Kampala-Mutukula-24h'!I92,'26.05 Kampala-Mutukula-24h'!I92,'27.05 Kampala-Mutukula-24h'!I92)</f>
        <v>0</v>
      </c>
      <c r="J92" s="46">
        <f>AVERAGE('25.05 Kampala-Mutukula-24h'!J92,'26.05 Kampala-Mutukula-24h'!J92,'27.05 Kampala-Mutukula-24h'!J92)</f>
        <v>0</v>
      </c>
      <c r="K92" s="46">
        <f>AVERAGE('25.05 Kampala-Mutukula-24h'!K92,'26.05 Kampala-Mutukula-24h'!K92,'27.05 Kampala-Mutukula-24h'!K92)</f>
        <v>0</v>
      </c>
      <c r="L92" s="46">
        <f>AVERAGE('25.05 Kampala-Mutukula-24h'!L92,'26.05 Kampala-Mutukula-24h'!L92,'27.05 Kampala-Mutukula-24h'!L92)</f>
        <v>0</v>
      </c>
      <c r="M92" s="46">
        <f>AVERAGE('25.05 Kampala-Mutukula-24h'!M92,'26.05 Kampala-Mutukula-24h'!M92,'27.05 Kampala-Mutukula-24h'!M92)</f>
        <v>0</v>
      </c>
      <c r="N92" s="46">
        <f>AVERAGE('25.05 Kampala-Mutukula-24h'!N92,'26.05 Kampala-Mutukula-24h'!N92,'27.05 Kampala-Mutukula-24h'!N92)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0" t="s">
        <v>133</v>
      </c>
      <c r="C93" s="46">
        <f>AVERAGE('25.05 Kampala-Mutukula-24h'!C93,'26.05 Kampala-Mutukula-24h'!C93,'27.05 Kampala-Mutukula-24h'!C93)</f>
        <v>0</v>
      </c>
      <c r="D93" s="46">
        <f>AVERAGE('25.05 Kampala-Mutukula-24h'!D93,'26.05 Kampala-Mutukula-24h'!D93,'27.05 Kampala-Mutukula-24h'!D93)</f>
        <v>0</v>
      </c>
      <c r="E93" s="46">
        <f>AVERAGE('25.05 Kampala-Mutukula-24h'!E93,'26.05 Kampala-Mutukula-24h'!E93,'27.05 Kampala-Mutukula-24h'!E93)</f>
        <v>0</v>
      </c>
      <c r="F93" s="46">
        <f>AVERAGE('25.05 Kampala-Mutukula-24h'!F93,'26.05 Kampala-Mutukula-24h'!F93,'27.05 Kampala-Mutukula-24h'!F93)</f>
        <v>0</v>
      </c>
      <c r="G93" s="46">
        <f>AVERAGE('25.05 Kampala-Mutukula-24h'!G93,'26.05 Kampala-Mutukula-24h'!G93,'27.05 Kampala-Mutukula-24h'!G93)</f>
        <v>0</v>
      </c>
      <c r="H93" s="46">
        <f>AVERAGE('25.05 Kampala-Mutukula-24h'!H93,'26.05 Kampala-Mutukula-24h'!H93,'27.05 Kampala-Mutukula-24h'!H93)</f>
        <v>0</v>
      </c>
      <c r="I93" s="46">
        <f>AVERAGE('25.05 Kampala-Mutukula-24h'!I93,'26.05 Kampala-Mutukula-24h'!I93,'27.05 Kampala-Mutukula-24h'!I93)</f>
        <v>0</v>
      </c>
      <c r="J93" s="46">
        <f>AVERAGE('25.05 Kampala-Mutukula-24h'!J93,'26.05 Kampala-Mutukula-24h'!J93,'27.05 Kampala-Mutukula-24h'!J93)</f>
        <v>0</v>
      </c>
      <c r="K93" s="46">
        <f>AVERAGE('25.05 Kampala-Mutukula-24h'!K93,'26.05 Kampala-Mutukula-24h'!K93,'27.05 Kampala-Mutukula-24h'!K93)</f>
        <v>0</v>
      </c>
      <c r="L93" s="46">
        <f>AVERAGE('25.05 Kampala-Mutukula-24h'!L93,'26.05 Kampala-Mutukula-24h'!L93,'27.05 Kampala-Mutukula-24h'!L93)</f>
        <v>0</v>
      </c>
      <c r="M93" s="46">
        <f>AVERAGE('25.05 Kampala-Mutukula-24h'!M93,'26.05 Kampala-Mutukula-24h'!M93,'27.05 Kampala-Mutukula-24h'!M93)</f>
        <v>0</v>
      </c>
      <c r="N93" s="46">
        <f>AVERAGE('25.05 Kampala-Mutukula-24h'!N93,'26.05 Kampala-Mutukula-24h'!N93,'27.05 Kampala-Mutukula-24h'!N93)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1" t="s">
        <v>134</v>
      </c>
      <c r="C94" s="46">
        <f>AVERAGE('25.05 Kampala-Mutukula-24h'!C94,'26.05 Kampala-Mutukula-24h'!C94,'27.05 Kampala-Mutukula-24h'!C94)</f>
        <v>0</v>
      </c>
      <c r="D94" s="46">
        <f>AVERAGE('25.05 Kampala-Mutukula-24h'!D94,'26.05 Kampala-Mutukula-24h'!D94,'27.05 Kampala-Mutukula-24h'!D94)</f>
        <v>0</v>
      </c>
      <c r="E94" s="46">
        <f>AVERAGE('25.05 Kampala-Mutukula-24h'!E94,'26.05 Kampala-Mutukula-24h'!E94,'27.05 Kampala-Mutukula-24h'!E94)</f>
        <v>0</v>
      </c>
      <c r="F94" s="46">
        <f>AVERAGE('25.05 Kampala-Mutukula-24h'!F94,'26.05 Kampala-Mutukula-24h'!F94,'27.05 Kampala-Mutukula-24h'!F94)</f>
        <v>0</v>
      </c>
      <c r="G94" s="46">
        <f>AVERAGE('25.05 Kampala-Mutukula-24h'!G94,'26.05 Kampala-Mutukula-24h'!G94,'27.05 Kampala-Mutukula-24h'!G94)</f>
        <v>0</v>
      </c>
      <c r="H94" s="46">
        <f>AVERAGE('25.05 Kampala-Mutukula-24h'!H94,'26.05 Kampala-Mutukula-24h'!H94,'27.05 Kampala-Mutukula-24h'!H94)</f>
        <v>0</v>
      </c>
      <c r="I94" s="46">
        <f>AVERAGE('25.05 Kampala-Mutukula-24h'!I94,'26.05 Kampala-Mutukula-24h'!I94,'27.05 Kampala-Mutukula-24h'!I94)</f>
        <v>0</v>
      </c>
      <c r="J94" s="46">
        <f>AVERAGE('25.05 Kampala-Mutukula-24h'!J94,'26.05 Kampala-Mutukula-24h'!J94,'27.05 Kampala-Mutukula-24h'!J94)</f>
        <v>0</v>
      </c>
      <c r="K94" s="46">
        <f>AVERAGE('25.05 Kampala-Mutukula-24h'!K94,'26.05 Kampala-Mutukula-24h'!K94,'27.05 Kampala-Mutukula-24h'!K94)</f>
        <v>0</v>
      </c>
      <c r="L94" s="46">
        <f>AVERAGE('25.05 Kampala-Mutukula-24h'!L94,'26.05 Kampala-Mutukula-24h'!L94,'27.05 Kampala-Mutukula-24h'!L94)</f>
        <v>0</v>
      </c>
      <c r="M94" s="46">
        <f>AVERAGE('25.05 Kampala-Mutukula-24h'!M94,'26.05 Kampala-Mutukula-24h'!M94,'27.05 Kampala-Mutukula-24h'!M94)</f>
        <v>0</v>
      </c>
      <c r="N94" s="46">
        <f>AVERAGE('25.05 Kampala-Mutukula-24h'!N94,'26.05 Kampala-Mutukula-24h'!N94,'27.05 Kampala-Mutukula-24h'!N94)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0" t="s">
        <v>135</v>
      </c>
      <c r="C95" s="46">
        <f>AVERAGE('25.05 Kampala-Mutukula-24h'!C95,'26.05 Kampala-Mutukula-24h'!C95,'27.05 Kampala-Mutukula-24h'!C95)</f>
        <v>0</v>
      </c>
      <c r="D95" s="46">
        <f>AVERAGE('25.05 Kampala-Mutukula-24h'!D95,'26.05 Kampala-Mutukula-24h'!D95,'27.05 Kampala-Mutukula-24h'!D95)</f>
        <v>0</v>
      </c>
      <c r="E95" s="46">
        <f>AVERAGE('25.05 Kampala-Mutukula-24h'!E95,'26.05 Kampala-Mutukula-24h'!E95,'27.05 Kampala-Mutukula-24h'!E95)</f>
        <v>0</v>
      </c>
      <c r="F95" s="46">
        <f>AVERAGE('25.05 Kampala-Mutukula-24h'!F95,'26.05 Kampala-Mutukula-24h'!F95,'27.05 Kampala-Mutukula-24h'!F95)</f>
        <v>0</v>
      </c>
      <c r="G95" s="46">
        <f>AVERAGE('25.05 Kampala-Mutukula-24h'!G95,'26.05 Kampala-Mutukula-24h'!G95,'27.05 Kampala-Mutukula-24h'!G95)</f>
        <v>0</v>
      </c>
      <c r="H95" s="46">
        <f>AVERAGE('25.05 Kampala-Mutukula-24h'!H95,'26.05 Kampala-Mutukula-24h'!H95,'27.05 Kampala-Mutukula-24h'!H95)</f>
        <v>0</v>
      </c>
      <c r="I95" s="46">
        <f>AVERAGE('25.05 Kampala-Mutukula-24h'!I95,'26.05 Kampala-Mutukula-24h'!I95,'27.05 Kampala-Mutukula-24h'!I95)</f>
        <v>0</v>
      </c>
      <c r="J95" s="46">
        <f>AVERAGE('25.05 Kampala-Mutukula-24h'!J95,'26.05 Kampala-Mutukula-24h'!J95,'27.05 Kampala-Mutukula-24h'!J95)</f>
        <v>0</v>
      </c>
      <c r="K95" s="46">
        <f>AVERAGE('25.05 Kampala-Mutukula-24h'!K95,'26.05 Kampala-Mutukula-24h'!K95,'27.05 Kampala-Mutukula-24h'!K95)</f>
        <v>0</v>
      </c>
      <c r="L95" s="46">
        <f>AVERAGE('25.05 Kampala-Mutukula-24h'!L95,'26.05 Kampala-Mutukula-24h'!L95,'27.05 Kampala-Mutukula-24h'!L95)</f>
        <v>0</v>
      </c>
      <c r="M95" s="46">
        <f>AVERAGE('25.05 Kampala-Mutukula-24h'!M95,'26.05 Kampala-Mutukula-24h'!M95,'27.05 Kampala-Mutukula-24h'!M95)</f>
        <v>0</v>
      </c>
      <c r="N95" s="46">
        <f>AVERAGE('25.05 Kampala-Mutukula-24h'!N95,'26.05 Kampala-Mutukula-24h'!N95,'27.05 Kampala-Mutukula-24h'!N95)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2" t="s">
        <v>136</v>
      </c>
      <c r="C96" s="46">
        <f>AVERAGE('25.05 Kampala-Mutukula-24h'!C96,'26.05 Kampala-Mutukula-24h'!C96,'27.05 Kampala-Mutukula-24h'!C96)</f>
        <v>0</v>
      </c>
      <c r="D96" s="46">
        <f>AVERAGE('25.05 Kampala-Mutukula-24h'!D96,'26.05 Kampala-Mutukula-24h'!D96,'27.05 Kampala-Mutukula-24h'!D96)</f>
        <v>0</v>
      </c>
      <c r="E96" s="46">
        <f>AVERAGE('25.05 Kampala-Mutukula-24h'!E96,'26.05 Kampala-Mutukula-24h'!E96,'27.05 Kampala-Mutukula-24h'!E96)</f>
        <v>0</v>
      </c>
      <c r="F96" s="46">
        <f>AVERAGE('25.05 Kampala-Mutukula-24h'!F96,'26.05 Kampala-Mutukula-24h'!F96,'27.05 Kampala-Mutukula-24h'!F96)</f>
        <v>0</v>
      </c>
      <c r="G96" s="46">
        <f>AVERAGE('25.05 Kampala-Mutukula-24h'!G96,'26.05 Kampala-Mutukula-24h'!G96,'27.05 Kampala-Mutukula-24h'!G96)</f>
        <v>0</v>
      </c>
      <c r="H96" s="46">
        <f>AVERAGE('25.05 Kampala-Mutukula-24h'!H96,'26.05 Kampala-Mutukula-24h'!H96,'27.05 Kampala-Mutukula-24h'!H96)</f>
        <v>0</v>
      </c>
      <c r="I96" s="46">
        <f>AVERAGE('25.05 Kampala-Mutukula-24h'!I96,'26.05 Kampala-Mutukula-24h'!I96,'27.05 Kampala-Mutukula-24h'!I96)</f>
        <v>0</v>
      </c>
      <c r="J96" s="46">
        <f>AVERAGE('25.05 Kampala-Mutukula-24h'!J96,'26.05 Kampala-Mutukula-24h'!J96,'27.05 Kampala-Mutukula-24h'!J96)</f>
        <v>0</v>
      </c>
      <c r="K96" s="46">
        <f>AVERAGE('25.05 Kampala-Mutukula-24h'!K96,'26.05 Kampala-Mutukula-24h'!K96,'27.05 Kampala-Mutukula-24h'!K96)</f>
        <v>0</v>
      </c>
      <c r="L96" s="46">
        <f>AVERAGE('25.05 Kampala-Mutukula-24h'!L96,'26.05 Kampala-Mutukula-24h'!L96,'27.05 Kampala-Mutukula-24h'!L96)</f>
        <v>0.33333333333333331</v>
      </c>
      <c r="M96" s="46">
        <f>AVERAGE('25.05 Kampala-Mutukula-24h'!M96,'26.05 Kampala-Mutukula-24h'!M96,'27.05 Kampala-Mutukula-24h'!M96)</f>
        <v>0</v>
      </c>
      <c r="N96" s="46">
        <f>AVERAGE('25.05 Kampala-Mutukula-24h'!N96,'26.05 Kampala-Mutukula-24h'!N96,'27.05 Kampala-Mutukula-24h'!N96)</f>
        <v>0</v>
      </c>
      <c r="O96" s="15">
        <f t="shared" si="35"/>
        <v>0.33333333333333331</v>
      </c>
      <c r="P96" s="15">
        <f t="shared" si="36"/>
        <v>0.33333333333333331</v>
      </c>
      <c r="R96" s="8"/>
      <c r="T96"/>
    </row>
    <row r="97" spans="2:20" ht="23.1" customHeight="1" x14ac:dyDescent="0.25">
      <c r="B97" s="20" t="s">
        <v>137</v>
      </c>
      <c r="C97" s="46">
        <f>AVERAGE('25.05 Kampala-Mutukula-24h'!C97,'26.05 Kampala-Mutukula-24h'!C97,'27.05 Kampala-Mutukula-24h'!C97)</f>
        <v>0</v>
      </c>
      <c r="D97" s="46">
        <f>AVERAGE('25.05 Kampala-Mutukula-24h'!D97,'26.05 Kampala-Mutukula-24h'!D97,'27.05 Kampala-Mutukula-24h'!D97)</f>
        <v>0</v>
      </c>
      <c r="E97" s="46">
        <f>AVERAGE('25.05 Kampala-Mutukula-24h'!E97,'26.05 Kampala-Mutukula-24h'!E97,'27.05 Kampala-Mutukula-24h'!E97)</f>
        <v>0</v>
      </c>
      <c r="F97" s="46">
        <f>AVERAGE('25.05 Kampala-Mutukula-24h'!F97,'26.05 Kampala-Mutukula-24h'!F97,'27.05 Kampala-Mutukula-24h'!F97)</f>
        <v>0</v>
      </c>
      <c r="G97" s="46">
        <f>AVERAGE('25.05 Kampala-Mutukula-24h'!G97,'26.05 Kampala-Mutukula-24h'!G97,'27.05 Kampala-Mutukula-24h'!G97)</f>
        <v>0</v>
      </c>
      <c r="H97" s="46">
        <f>AVERAGE('25.05 Kampala-Mutukula-24h'!H97,'26.05 Kampala-Mutukula-24h'!H97,'27.05 Kampala-Mutukula-24h'!H97)</f>
        <v>0</v>
      </c>
      <c r="I97" s="46">
        <f>AVERAGE('25.05 Kampala-Mutukula-24h'!I97,'26.05 Kampala-Mutukula-24h'!I97,'27.05 Kampala-Mutukula-24h'!I97)</f>
        <v>0</v>
      </c>
      <c r="J97" s="46">
        <f>AVERAGE('25.05 Kampala-Mutukula-24h'!J97,'26.05 Kampala-Mutukula-24h'!J97,'27.05 Kampala-Mutukula-24h'!J97)</f>
        <v>0</v>
      </c>
      <c r="K97" s="46">
        <f>AVERAGE('25.05 Kampala-Mutukula-24h'!K97,'26.05 Kampala-Mutukula-24h'!K97,'27.05 Kampala-Mutukula-24h'!K97)</f>
        <v>0</v>
      </c>
      <c r="L97" s="46">
        <f>AVERAGE('25.05 Kampala-Mutukula-24h'!L97,'26.05 Kampala-Mutukula-24h'!L97,'27.05 Kampala-Mutukula-24h'!L97)</f>
        <v>0</v>
      </c>
      <c r="M97" s="46">
        <f>AVERAGE('25.05 Kampala-Mutukula-24h'!M97,'26.05 Kampala-Mutukula-24h'!M97,'27.05 Kampala-Mutukula-24h'!M97)</f>
        <v>0</v>
      </c>
      <c r="N97" s="46">
        <f>AVERAGE('25.05 Kampala-Mutukula-24h'!N97,'26.05 Kampala-Mutukula-24h'!N97,'27.05 Kampala-Mutukula-24h'!N97)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1" t="s">
        <v>138</v>
      </c>
      <c r="C98" s="46">
        <f>AVERAGE('25.05 Kampala-Mutukula-24h'!C98,'26.05 Kampala-Mutukula-24h'!C98,'27.05 Kampala-Mutukula-24h'!C98)</f>
        <v>0.66666666666666663</v>
      </c>
      <c r="D98" s="46">
        <f>AVERAGE('25.05 Kampala-Mutukula-24h'!D98,'26.05 Kampala-Mutukula-24h'!D98,'27.05 Kampala-Mutukula-24h'!D98)</f>
        <v>0</v>
      </c>
      <c r="E98" s="46">
        <f>AVERAGE('25.05 Kampala-Mutukula-24h'!E98,'26.05 Kampala-Mutukula-24h'!E98,'27.05 Kampala-Mutukula-24h'!E98)</f>
        <v>0</v>
      </c>
      <c r="F98" s="46">
        <f>AVERAGE('25.05 Kampala-Mutukula-24h'!F98,'26.05 Kampala-Mutukula-24h'!F98,'27.05 Kampala-Mutukula-24h'!F98)</f>
        <v>0</v>
      </c>
      <c r="G98" s="46">
        <f>AVERAGE('25.05 Kampala-Mutukula-24h'!G98,'26.05 Kampala-Mutukula-24h'!G98,'27.05 Kampala-Mutukula-24h'!G98)</f>
        <v>0</v>
      </c>
      <c r="H98" s="46">
        <f>AVERAGE('25.05 Kampala-Mutukula-24h'!H98,'26.05 Kampala-Mutukula-24h'!H98,'27.05 Kampala-Mutukula-24h'!H98)</f>
        <v>0</v>
      </c>
      <c r="I98" s="46">
        <f>AVERAGE('25.05 Kampala-Mutukula-24h'!I98,'26.05 Kampala-Mutukula-24h'!I98,'27.05 Kampala-Mutukula-24h'!I98)</f>
        <v>0</v>
      </c>
      <c r="J98" s="46">
        <f>AVERAGE('25.05 Kampala-Mutukula-24h'!J98,'26.05 Kampala-Mutukula-24h'!J98,'27.05 Kampala-Mutukula-24h'!J98)</f>
        <v>0</v>
      </c>
      <c r="K98" s="46">
        <f>AVERAGE('25.05 Kampala-Mutukula-24h'!K98,'26.05 Kampala-Mutukula-24h'!K98,'27.05 Kampala-Mutukula-24h'!K98)</f>
        <v>0</v>
      </c>
      <c r="L98" s="46">
        <f>AVERAGE('25.05 Kampala-Mutukula-24h'!L98,'26.05 Kampala-Mutukula-24h'!L98,'27.05 Kampala-Mutukula-24h'!L98)</f>
        <v>0</v>
      </c>
      <c r="M98" s="46">
        <f>AVERAGE('25.05 Kampala-Mutukula-24h'!M98,'26.05 Kampala-Mutukula-24h'!M98,'27.05 Kampala-Mutukula-24h'!M98)</f>
        <v>0</v>
      </c>
      <c r="N98" s="46">
        <f>AVERAGE('25.05 Kampala-Mutukula-24h'!N98,'26.05 Kampala-Mutukula-24h'!N98,'27.05 Kampala-Mutukula-24h'!N98)</f>
        <v>0</v>
      </c>
      <c r="O98" s="15">
        <f t="shared" si="35"/>
        <v>0.66666666666666663</v>
      </c>
      <c r="P98" s="15">
        <f t="shared" si="36"/>
        <v>0.66666666666666663</v>
      </c>
      <c r="R98" s="8"/>
      <c r="T98"/>
    </row>
    <row r="99" spans="2:20" ht="23.1" customHeight="1" x14ac:dyDescent="0.25">
      <c r="B99" s="20" t="s">
        <v>139</v>
      </c>
      <c r="C99" s="46">
        <f>AVERAGE('25.05 Kampala-Mutukula-24h'!C99,'26.05 Kampala-Mutukula-24h'!C99,'27.05 Kampala-Mutukula-24h'!C99)</f>
        <v>0</v>
      </c>
      <c r="D99" s="46">
        <f>AVERAGE('25.05 Kampala-Mutukula-24h'!D99,'26.05 Kampala-Mutukula-24h'!D99,'27.05 Kampala-Mutukula-24h'!D99)</f>
        <v>0</v>
      </c>
      <c r="E99" s="46">
        <f>AVERAGE('25.05 Kampala-Mutukula-24h'!E99,'26.05 Kampala-Mutukula-24h'!E99,'27.05 Kampala-Mutukula-24h'!E99)</f>
        <v>0</v>
      </c>
      <c r="F99" s="46">
        <f>AVERAGE('25.05 Kampala-Mutukula-24h'!F99,'26.05 Kampala-Mutukula-24h'!F99,'27.05 Kampala-Mutukula-24h'!F99)</f>
        <v>0</v>
      </c>
      <c r="G99" s="46">
        <f>AVERAGE('25.05 Kampala-Mutukula-24h'!G99,'26.05 Kampala-Mutukula-24h'!G99,'27.05 Kampala-Mutukula-24h'!G99)</f>
        <v>0</v>
      </c>
      <c r="H99" s="46">
        <f>AVERAGE('25.05 Kampala-Mutukula-24h'!H99,'26.05 Kampala-Mutukula-24h'!H99,'27.05 Kampala-Mutukula-24h'!H99)</f>
        <v>0</v>
      </c>
      <c r="I99" s="46">
        <f>AVERAGE('25.05 Kampala-Mutukula-24h'!I99,'26.05 Kampala-Mutukula-24h'!I99,'27.05 Kampala-Mutukula-24h'!I99)</f>
        <v>0</v>
      </c>
      <c r="J99" s="46">
        <f>AVERAGE('25.05 Kampala-Mutukula-24h'!J99,'26.05 Kampala-Mutukula-24h'!J99,'27.05 Kampala-Mutukula-24h'!J99)</f>
        <v>0</v>
      </c>
      <c r="K99" s="46">
        <f>AVERAGE('25.05 Kampala-Mutukula-24h'!K99,'26.05 Kampala-Mutukula-24h'!K99,'27.05 Kampala-Mutukula-24h'!K99)</f>
        <v>0</v>
      </c>
      <c r="L99" s="46">
        <f>AVERAGE('25.05 Kampala-Mutukula-24h'!L99,'26.05 Kampala-Mutukula-24h'!L99,'27.05 Kampala-Mutukula-24h'!L99)</f>
        <v>0</v>
      </c>
      <c r="M99" s="46">
        <f>AVERAGE('25.05 Kampala-Mutukula-24h'!M99,'26.05 Kampala-Mutukula-24h'!M99,'27.05 Kampala-Mutukula-24h'!M99)</f>
        <v>0</v>
      </c>
      <c r="N99" s="46">
        <f>AVERAGE('25.05 Kampala-Mutukula-24h'!N99,'26.05 Kampala-Mutukula-24h'!N99,'27.05 Kampala-Mutukula-24h'!N99)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2" t="s">
        <v>140</v>
      </c>
      <c r="C100" s="46">
        <f>AVERAGE('25.05 Kampala-Mutukula-24h'!C100,'26.05 Kampala-Mutukula-24h'!C100,'27.05 Kampala-Mutukula-24h'!C100)</f>
        <v>0</v>
      </c>
      <c r="D100" s="46">
        <f>AVERAGE('25.05 Kampala-Mutukula-24h'!D100,'26.05 Kampala-Mutukula-24h'!D100,'27.05 Kampala-Mutukula-24h'!D100)</f>
        <v>0</v>
      </c>
      <c r="E100" s="46">
        <f>AVERAGE('25.05 Kampala-Mutukula-24h'!E100,'26.05 Kampala-Mutukula-24h'!E100,'27.05 Kampala-Mutukula-24h'!E100)</f>
        <v>0</v>
      </c>
      <c r="F100" s="46">
        <f>AVERAGE('25.05 Kampala-Mutukula-24h'!F100,'26.05 Kampala-Mutukula-24h'!F100,'27.05 Kampala-Mutukula-24h'!F100)</f>
        <v>0</v>
      </c>
      <c r="G100" s="46">
        <f>AVERAGE('25.05 Kampala-Mutukula-24h'!G100,'26.05 Kampala-Mutukula-24h'!G100,'27.05 Kampala-Mutukula-24h'!G100)</f>
        <v>0</v>
      </c>
      <c r="H100" s="46">
        <f>AVERAGE('25.05 Kampala-Mutukula-24h'!H100,'26.05 Kampala-Mutukula-24h'!H100,'27.05 Kampala-Mutukula-24h'!H100)</f>
        <v>0</v>
      </c>
      <c r="I100" s="46">
        <f>AVERAGE('25.05 Kampala-Mutukula-24h'!I100,'26.05 Kampala-Mutukula-24h'!I100,'27.05 Kampala-Mutukula-24h'!I100)</f>
        <v>0</v>
      </c>
      <c r="J100" s="46">
        <f>AVERAGE('25.05 Kampala-Mutukula-24h'!J100,'26.05 Kampala-Mutukula-24h'!J100,'27.05 Kampala-Mutukula-24h'!J100)</f>
        <v>0</v>
      </c>
      <c r="K100" s="46">
        <f>AVERAGE('25.05 Kampala-Mutukula-24h'!K100,'26.05 Kampala-Mutukula-24h'!K100,'27.05 Kampala-Mutukula-24h'!K100)</f>
        <v>0</v>
      </c>
      <c r="L100" s="46">
        <f>AVERAGE('25.05 Kampala-Mutukula-24h'!L100,'26.05 Kampala-Mutukula-24h'!L100,'27.05 Kampala-Mutukula-24h'!L100)</f>
        <v>0</v>
      </c>
      <c r="M100" s="46">
        <f>AVERAGE('25.05 Kampala-Mutukula-24h'!M100,'26.05 Kampala-Mutukula-24h'!M100,'27.05 Kampala-Mutukula-24h'!M100)</f>
        <v>0</v>
      </c>
      <c r="N100" s="46">
        <f>AVERAGE('25.05 Kampala-Mutukula-24h'!N100,'26.05 Kampala-Mutukula-24h'!N100,'27.05 Kampala-Mutukula-24h'!N100)</f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20" t="s">
        <v>141</v>
      </c>
      <c r="C101" s="46">
        <f>AVERAGE('25.05 Kampala-Mutukula-24h'!C101,'26.05 Kampala-Mutukula-24h'!C101,'27.05 Kampala-Mutukula-24h'!C101)</f>
        <v>0</v>
      </c>
      <c r="D101" s="46">
        <f>AVERAGE('25.05 Kampala-Mutukula-24h'!D101,'26.05 Kampala-Mutukula-24h'!D101,'27.05 Kampala-Mutukula-24h'!D101)</f>
        <v>0</v>
      </c>
      <c r="E101" s="46">
        <f>AVERAGE('25.05 Kampala-Mutukula-24h'!E101,'26.05 Kampala-Mutukula-24h'!E101,'27.05 Kampala-Mutukula-24h'!E101)</f>
        <v>0</v>
      </c>
      <c r="F101" s="46">
        <f>AVERAGE('25.05 Kampala-Mutukula-24h'!F101,'26.05 Kampala-Mutukula-24h'!F101,'27.05 Kampala-Mutukula-24h'!F101)</f>
        <v>0</v>
      </c>
      <c r="G101" s="46">
        <f>AVERAGE('25.05 Kampala-Mutukula-24h'!G101,'26.05 Kampala-Mutukula-24h'!G101,'27.05 Kampala-Mutukula-24h'!G101)</f>
        <v>0</v>
      </c>
      <c r="H101" s="46">
        <f>AVERAGE('25.05 Kampala-Mutukula-24h'!H101,'26.05 Kampala-Mutukula-24h'!H101,'27.05 Kampala-Mutukula-24h'!H101)</f>
        <v>0</v>
      </c>
      <c r="I101" s="46">
        <f>AVERAGE('25.05 Kampala-Mutukula-24h'!I101,'26.05 Kampala-Mutukula-24h'!I101,'27.05 Kampala-Mutukula-24h'!I101)</f>
        <v>0</v>
      </c>
      <c r="J101" s="46">
        <f>AVERAGE('25.05 Kampala-Mutukula-24h'!J101,'26.05 Kampala-Mutukula-24h'!J101,'27.05 Kampala-Mutukula-24h'!J101)</f>
        <v>0</v>
      </c>
      <c r="K101" s="46">
        <f>AVERAGE('25.05 Kampala-Mutukula-24h'!K101,'26.05 Kampala-Mutukula-24h'!K101,'27.05 Kampala-Mutukula-24h'!K101)</f>
        <v>0</v>
      </c>
      <c r="L101" s="46">
        <f>AVERAGE('25.05 Kampala-Mutukula-24h'!L101,'26.05 Kampala-Mutukula-24h'!L101,'27.05 Kampala-Mutukula-24h'!L101)</f>
        <v>0</v>
      </c>
      <c r="M101" s="46">
        <f>AVERAGE('25.05 Kampala-Mutukula-24h'!M101,'26.05 Kampala-Mutukula-24h'!M101,'27.05 Kampala-Mutukula-24h'!M101)</f>
        <v>0</v>
      </c>
      <c r="N101" s="46">
        <f>AVERAGE('25.05 Kampala-Mutukula-24h'!N101,'26.05 Kampala-Mutukula-24h'!N101,'27.05 Kampala-Mutukula-24h'!N101)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1" t="s">
        <v>142</v>
      </c>
      <c r="C102" s="46">
        <f>AVERAGE('25.05 Kampala-Mutukula-24h'!C102,'26.05 Kampala-Mutukula-24h'!C102,'27.05 Kampala-Mutukula-24h'!C102)</f>
        <v>1.3333333333333333</v>
      </c>
      <c r="D102" s="46">
        <f>AVERAGE('25.05 Kampala-Mutukula-24h'!D102,'26.05 Kampala-Mutukula-24h'!D102,'27.05 Kampala-Mutukula-24h'!D102)</f>
        <v>0</v>
      </c>
      <c r="E102" s="46">
        <f>AVERAGE('25.05 Kampala-Mutukula-24h'!E102,'26.05 Kampala-Mutukula-24h'!E102,'27.05 Kampala-Mutukula-24h'!E102)</f>
        <v>0</v>
      </c>
      <c r="F102" s="46">
        <f>AVERAGE('25.05 Kampala-Mutukula-24h'!F102,'26.05 Kampala-Mutukula-24h'!F102,'27.05 Kampala-Mutukula-24h'!F102)</f>
        <v>0.66666666666666663</v>
      </c>
      <c r="G102" s="46">
        <f>AVERAGE('25.05 Kampala-Mutukula-24h'!G102,'26.05 Kampala-Mutukula-24h'!G102,'27.05 Kampala-Mutukula-24h'!G102)</f>
        <v>0.66666666666666663</v>
      </c>
      <c r="H102" s="46">
        <f>AVERAGE('25.05 Kampala-Mutukula-24h'!H102,'26.05 Kampala-Mutukula-24h'!H102,'27.05 Kampala-Mutukula-24h'!H102)</f>
        <v>1</v>
      </c>
      <c r="I102" s="46">
        <f>AVERAGE('25.05 Kampala-Mutukula-24h'!I102,'26.05 Kampala-Mutukula-24h'!I102,'27.05 Kampala-Mutukula-24h'!I102)</f>
        <v>0</v>
      </c>
      <c r="J102" s="46">
        <f>AVERAGE('25.05 Kampala-Mutukula-24h'!J102,'26.05 Kampala-Mutukula-24h'!J102,'27.05 Kampala-Mutukula-24h'!J102)</f>
        <v>0.66666666666666663</v>
      </c>
      <c r="K102" s="46">
        <f>AVERAGE('25.05 Kampala-Mutukula-24h'!K102,'26.05 Kampala-Mutukula-24h'!K102,'27.05 Kampala-Mutukula-24h'!K102)</f>
        <v>1</v>
      </c>
      <c r="L102" s="46">
        <f>AVERAGE('25.05 Kampala-Mutukula-24h'!L102,'26.05 Kampala-Mutukula-24h'!L102,'27.05 Kampala-Mutukula-24h'!L102)</f>
        <v>1.6666666666666667</v>
      </c>
      <c r="M102" s="46">
        <f>AVERAGE('25.05 Kampala-Mutukula-24h'!M102,'26.05 Kampala-Mutukula-24h'!M102,'27.05 Kampala-Mutukula-24h'!M102)</f>
        <v>0</v>
      </c>
      <c r="N102" s="46">
        <f>AVERAGE('25.05 Kampala-Mutukula-24h'!N102,'26.05 Kampala-Mutukula-24h'!N102,'27.05 Kampala-Mutukula-24h'!N102)</f>
        <v>0</v>
      </c>
      <c r="O102" s="15">
        <f t="shared" si="35"/>
        <v>7</v>
      </c>
      <c r="P102" s="15">
        <f t="shared" si="36"/>
        <v>7</v>
      </c>
      <c r="R102" s="8"/>
      <c r="T102"/>
    </row>
    <row r="103" spans="2:20" ht="23.1" customHeight="1" x14ac:dyDescent="0.25">
      <c r="B103" s="20" t="s">
        <v>143</v>
      </c>
      <c r="C103" s="46">
        <f>AVERAGE('25.05 Kampala-Mutukula-24h'!C103,'26.05 Kampala-Mutukula-24h'!C103,'27.05 Kampala-Mutukula-24h'!C103)</f>
        <v>0</v>
      </c>
      <c r="D103" s="46">
        <f>AVERAGE('25.05 Kampala-Mutukula-24h'!D103,'26.05 Kampala-Mutukula-24h'!D103,'27.05 Kampala-Mutukula-24h'!D103)</f>
        <v>0</v>
      </c>
      <c r="E103" s="46">
        <f>AVERAGE('25.05 Kampala-Mutukula-24h'!E103,'26.05 Kampala-Mutukula-24h'!E103,'27.05 Kampala-Mutukula-24h'!E103)</f>
        <v>0</v>
      </c>
      <c r="F103" s="46">
        <f>AVERAGE('25.05 Kampala-Mutukula-24h'!F103,'26.05 Kampala-Mutukula-24h'!F103,'27.05 Kampala-Mutukula-24h'!F103)</f>
        <v>0</v>
      </c>
      <c r="G103" s="46">
        <f>AVERAGE('25.05 Kampala-Mutukula-24h'!G103,'26.05 Kampala-Mutukula-24h'!G103,'27.05 Kampala-Mutukula-24h'!G103)</f>
        <v>0</v>
      </c>
      <c r="H103" s="46">
        <f>AVERAGE('25.05 Kampala-Mutukula-24h'!H103,'26.05 Kampala-Mutukula-24h'!H103,'27.05 Kampala-Mutukula-24h'!H103)</f>
        <v>0</v>
      </c>
      <c r="I103" s="46">
        <f>AVERAGE('25.05 Kampala-Mutukula-24h'!I103,'26.05 Kampala-Mutukula-24h'!I103,'27.05 Kampala-Mutukula-24h'!I103)</f>
        <v>0</v>
      </c>
      <c r="J103" s="46">
        <f>AVERAGE('25.05 Kampala-Mutukula-24h'!J103,'26.05 Kampala-Mutukula-24h'!J103,'27.05 Kampala-Mutukula-24h'!J103)</f>
        <v>0</v>
      </c>
      <c r="K103" s="46">
        <f>AVERAGE('25.05 Kampala-Mutukula-24h'!K103,'26.05 Kampala-Mutukula-24h'!K103,'27.05 Kampala-Mutukula-24h'!K103)</f>
        <v>0</v>
      </c>
      <c r="L103" s="46">
        <f>AVERAGE('25.05 Kampala-Mutukula-24h'!L103,'26.05 Kampala-Mutukula-24h'!L103,'27.05 Kampala-Mutukula-24h'!L103)</f>
        <v>0</v>
      </c>
      <c r="M103" s="46">
        <f>AVERAGE('25.05 Kampala-Mutukula-24h'!M103,'26.05 Kampala-Mutukula-24h'!M103,'27.05 Kampala-Mutukula-24h'!M103)</f>
        <v>0</v>
      </c>
      <c r="N103" s="46">
        <f>AVERAGE('25.05 Kampala-Mutukula-24h'!N103,'26.05 Kampala-Mutukula-24h'!N103,'27.05 Kampala-Mutukula-24h'!N103)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2" t="s">
        <v>144</v>
      </c>
      <c r="C104" s="46">
        <f>AVERAGE('25.05 Kampala-Mutukula-24h'!C104,'26.05 Kampala-Mutukula-24h'!C104,'27.05 Kampala-Mutukula-24h'!C104)</f>
        <v>5.333333333333333</v>
      </c>
      <c r="D104" s="46">
        <f>AVERAGE('25.05 Kampala-Mutukula-24h'!D104,'26.05 Kampala-Mutukula-24h'!D104,'27.05 Kampala-Mutukula-24h'!D104)</f>
        <v>0</v>
      </c>
      <c r="E104" s="46">
        <f>AVERAGE('25.05 Kampala-Mutukula-24h'!E104,'26.05 Kampala-Mutukula-24h'!E104,'27.05 Kampala-Mutukula-24h'!E104)</f>
        <v>0</v>
      </c>
      <c r="F104" s="46">
        <f>AVERAGE('25.05 Kampala-Mutukula-24h'!F104,'26.05 Kampala-Mutukula-24h'!F104,'27.05 Kampala-Mutukula-24h'!F104)</f>
        <v>0.66666666666666663</v>
      </c>
      <c r="G104" s="46">
        <f>AVERAGE('25.05 Kampala-Mutukula-24h'!G104,'26.05 Kampala-Mutukula-24h'!G104,'27.05 Kampala-Mutukula-24h'!G104)</f>
        <v>1</v>
      </c>
      <c r="H104" s="46">
        <f>AVERAGE('25.05 Kampala-Mutukula-24h'!H104,'26.05 Kampala-Mutukula-24h'!H104,'27.05 Kampala-Mutukula-24h'!H104)</f>
        <v>0</v>
      </c>
      <c r="I104" s="46">
        <f>AVERAGE('25.05 Kampala-Mutukula-24h'!I104,'26.05 Kampala-Mutukula-24h'!I104,'27.05 Kampala-Mutukula-24h'!I104)</f>
        <v>0</v>
      </c>
      <c r="J104" s="46">
        <f>AVERAGE('25.05 Kampala-Mutukula-24h'!J104,'26.05 Kampala-Mutukula-24h'!J104,'27.05 Kampala-Mutukula-24h'!J104)</f>
        <v>1</v>
      </c>
      <c r="K104" s="46">
        <f>AVERAGE('25.05 Kampala-Mutukula-24h'!K104,'26.05 Kampala-Mutukula-24h'!K104,'27.05 Kampala-Mutukula-24h'!K104)</f>
        <v>1</v>
      </c>
      <c r="L104" s="46">
        <f>AVERAGE('25.05 Kampala-Mutukula-24h'!L104,'26.05 Kampala-Mutukula-24h'!L104,'27.05 Kampala-Mutukula-24h'!L104)</f>
        <v>4</v>
      </c>
      <c r="M104" s="46">
        <f>AVERAGE('25.05 Kampala-Mutukula-24h'!M104,'26.05 Kampala-Mutukula-24h'!M104,'27.05 Kampala-Mutukula-24h'!M104)</f>
        <v>0</v>
      </c>
      <c r="N104" s="46">
        <f>AVERAGE('25.05 Kampala-Mutukula-24h'!N104,'26.05 Kampala-Mutukula-24h'!N104,'27.05 Kampala-Mutukula-24h'!N104)</f>
        <v>0</v>
      </c>
      <c r="O104" s="15">
        <f t="shared" si="35"/>
        <v>13</v>
      </c>
      <c r="P104" s="15">
        <f t="shared" si="36"/>
        <v>13</v>
      </c>
      <c r="R104" s="8"/>
      <c r="T104"/>
    </row>
    <row r="105" spans="2:20" ht="23.1" customHeight="1" x14ac:dyDescent="0.25">
      <c r="B105" s="20" t="s">
        <v>145</v>
      </c>
      <c r="C105" s="46">
        <f>AVERAGE('25.05 Kampala-Mutukula-24h'!C105,'26.05 Kampala-Mutukula-24h'!C105,'27.05 Kampala-Mutukula-24h'!C105)</f>
        <v>0</v>
      </c>
      <c r="D105" s="46">
        <f>AVERAGE('25.05 Kampala-Mutukula-24h'!D105,'26.05 Kampala-Mutukula-24h'!D105,'27.05 Kampala-Mutukula-24h'!D105)</f>
        <v>0</v>
      </c>
      <c r="E105" s="46">
        <f>AVERAGE('25.05 Kampala-Mutukula-24h'!E105,'26.05 Kampala-Mutukula-24h'!E105,'27.05 Kampala-Mutukula-24h'!E105)</f>
        <v>0</v>
      </c>
      <c r="F105" s="46">
        <f>AVERAGE('25.05 Kampala-Mutukula-24h'!F105,'26.05 Kampala-Mutukula-24h'!F105,'27.05 Kampala-Mutukula-24h'!F105)</f>
        <v>0</v>
      </c>
      <c r="G105" s="46">
        <f>AVERAGE('25.05 Kampala-Mutukula-24h'!G105,'26.05 Kampala-Mutukula-24h'!G105,'27.05 Kampala-Mutukula-24h'!G105)</f>
        <v>0</v>
      </c>
      <c r="H105" s="46">
        <f>AVERAGE('25.05 Kampala-Mutukula-24h'!H105,'26.05 Kampala-Mutukula-24h'!H105,'27.05 Kampala-Mutukula-24h'!H105)</f>
        <v>0</v>
      </c>
      <c r="I105" s="46">
        <f>AVERAGE('25.05 Kampala-Mutukula-24h'!I105,'26.05 Kampala-Mutukula-24h'!I105,'27.05 Kampala-Mutukula-24h'!I105)</f>
        <v>0</v>
      </c>
      <c r="J105" s="46">
        <f>AVERAGE('25.05 Kampala-Mutukula-24h'!J105,'26.05 Kampala-Mutukula-24h'!J105,'27.05 Kampala-Mutukula-24h'!J105)</f>
        <v>0</v>
      </c>
      <c r="K105" s="46">
        <f>AVERAGE('25.05 Kampala-Mutukula-24h'!K105,'26.05 Kampala-Mutukula-24h'!K105,'27.05 Kampala-Mutukula-24h'!K105)</f>
        <v>0</v>
      </c>
      <c r="L105" s="46">
        <f>AVERAGE('25.05 Kampala-Mutukula-24h'!L105,'26.05 Kampala-Mutukula-24h'!L105,'27.05 Kampala-Mutukula-24h'!L105)</f>
        <v>0</v>
      </c>
      <c r="M105" s="46">
        <f>AVERAGE('25.05 Kampala-Mutukula-24h'!M105,'26.05 Kampala-Mutukula-24h'!M105,'27.05 Kampala-Mutukula-24h'!M105)</f>
        <v>0</v>
      </c>
      <c r="N105" s="46">
        <f>AVERAGE('25.05 Kampala-Mutukula-24h'!N105,'26.05 Kampala-Mutukula-24h'!N105,'27.05 Kampala-Mutukula-24h'!N105)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157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58.333333333333321</v>
      </c>
      <c r="G106" s="16">
        <f t="shared" si="37"/>
        <v>8.6666666666666661</v>
      </c>
      <c r="H106" s="16">
        <f t="shared" si="37"/>
        <v>17.333333333333336</v>
      </c>
      <c r="I106" s="16">
        <f t="shared" si="37"/>
        <v>14.999999999999998</v>
      </c>
      <c r="J106" s="16">
        <f t="shared" si="37"/>
        <v>55.000000000000007</v>
      </c>
      <c r="K106" s="16">
        <f t="shared" si="37"/>
        <v>19.999999999999993</v>
      </c>
      <c r="L106" s="16">
        <f t="shared" si="37"/>
        <v>70</v>
      </c>
      <c r="M106" s="16">
        <f t="shared" si="37"/>
        <v>36.999999999999993</v>
      </c>
      <c r="N106" s="16">
        <f t="shared" si="37"/>
        <v>0</v>
      </c>
      <c r="O106" s="16">
        <f t="shared" si="37"/>
        <v>401.33333333333337</v>
      </c>
      <c r="P106" s="16">
        <f t="shared" si="37"/>
        <v>438.33333333333343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0.35817490494296572</v>
      </c>
      <c r="D107" s="40">
        <f t="shared" si="38"/>
        <v>0</v>
      </c>
      <c r="E107" s="40">
        <f t="shared" si="38"/>
        <v>0</v>
      </c>
      <c r="F107" s="40">
        <f t="shared" si="38"/>
        <v>0.13307984790874519</v>
      </c>
      <c r="G107" s="40">
        <f t="shared" si="38"/>
        <v>1.9771863117870717E-2</v>
      </c>
      <c r="H107" s="40">
        <f t="shared" si="38"/>
        <v>3.9543726235741442E-2</v>
      </c>
      <c r="I107" s="40">
        <f t="shared" si="38"/>
        <v>3.4220532319391622E-2</v>
      </c>
      <c r="J107" s="40">
        <f t="shared" si="38"/>
        <v>0.12547528517110265</v>
      </c>
      <c r="K107" s="40">
        <f t="shared" si="38"/>
        <v>4.5627376425855487E-2</v>
      </c>
      <c r="L107" s="40">
        <f t="shared" si="38"/>
        <v>0.15969581749049427</v>
      </c>
      <c r="M107" s="40">
        <f t="shared" si="38"/>
        <v>8.4410646387832661E-2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0.39119601328903653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0.14534883720930228</v>
      </c>
      <c r="G108" s="41">
        <f t="shared" si="39"/>
        <v>2.1594684385382056E-2</v>
      </c>
      <c r="H108" s="41">
        <f t="shared" si="39"/>
        <v>4.3189368770764118E-2</v>
      </c>
      <c r="I108" s="41">
        <f t="shared" si="39"/>
        <v>3.7375415282392022E-2</v>
      </c>
      <c r="J108" s="41">
        <f t="shared" si="39"/>
        <v>0.13704318936877077</v>
      </c>
      <c r="K108" s="41">
        <f t="shared" si="39"/>
        <v>4.9833887043189348E-2</v>
      </c>
      <c r="L108" s="41">
        <f t="shared" si="39"/>
        <v>0.17441860465116277</v>
      </c>
      <c r="M108" s="41"/>
      <c r="N108" s="41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2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52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str">
        <f>'25.05 Kampala-Mutukula-24h'!C3:G3</f>
        <v>MCC - C - STN - MUTUKULA ROAD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61" t="s">
        <v>162</v>
      </c>
      <c r="E5" s="62"/>
      <c r="F5" s="38" t="s">
        <v>1</v>
      </c>
      <c r="G5" s="58" t="e">
        <f>#REF!</f>
        <v>#REF!</v>
      </c>
      <c r="H5" s="59"/>
      <c r="I5" s="14"/>
      <c r="J5" s="2" t="s">
        <v>5</v>
      </c>
      <c r="K5" s="58" t="e">
        <f>#REF!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'25.05 Mutukula-Kampala-24h'!D6:E6</f>
        <v>Mutukula</v>
      </c>
      <c r="E6" s="59"/>
      <c r="F6" s="2" t="s">
        <v>2</v>
      </c>
      <c r="G6" s="58" t="str">
        <f>'25.05 Mutukula-Kampala-24h'!G6:H6</f>
        <v>Kampala</v>
      </c>
      <c r="H6" s="59"/>
      <c r="J6" s="2" t="s">
        <v>21</v>
      </c>
      <c r="K6" s="58" t="str">
        <f>'25.05 Kampala-Mutukula-24h'!K6:L6</f>
        <v>xxxx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20" t="s">
        <v>37</v>
      </c>
      <c r="C10" s="46">
        <f>AVERAGE('25.05 Mutukula-Kampala-24h'!C10,'26.05 Mutukula-Kampala-24h'!C10,'27.05 Mutukula-Kampala-24h '!C10)</f>
        <v>2</v>
      </c>
      <c r="D10" s="46">
        <f>AVERAGE('25.05 Mutukula-Kampala-24h'!D10,'26.05 Mutukula-Kampala-24h'!D10,'27.05 Mutukula-Kampala-24h '!D10)</f>
        <v>0</v>
      </c>
      <c r="E10" s="46">
        <f>AVERAGE('25.05 Mutukula-Kampala-24h'!E10,'26.05 Mutukula-Kampala-24h'!E10,'27.05 Mutukula-Kampala-24h '!E10)</f>
        <v>0</v>
      </c>
      <c r="F10" s="46">
        <f>AVERAGE('25.05 Mutukula-Kampala-24h'!F10,'26.05 Mutukula-Kampala-24h'!F10,'27.05 Mutukula-Kampala-24h '!F10)</f>
        <v>3</v>
      </c>
      <c r="G10" s="46">
        <f>AVERAGE('25.05 Mutukula-Kampala-24h'!G10,'26.05 Mutukula-Kampala-24h'!G10,'27.05 Mutukula-Kampala-24h '!G10)</f>
        <v>0</v>
      </c>
      <c r="H10" s="46">
        <f>AVERAGE('25.05 Mutukula-Kampala-24h'!H10,'26.05 Mutukula-Kampala-24h'!H10,'27.05 Mutukula-Kampala-24h '!H10)</f>
        <v>1</v>
      </c>
      <c r="I10" s="46">
        <f>AVERAGE('25.05 Mutukula-Kampala-24h'!I10,'26.05 Mutukula-Kampala-24h'!I10,'27.05 Mutukula-Kampala-24h '!I10)</f>
        <v>0</v>
      </c>
      <c r="J10" s="46">
        <f>AVERAGE('25.05 Mutukula-Kampala-24h'!J10,'26.05 Mutukula-Kampala-24h'!J10,'27.05 Mutukula-Kampala-24h '!J10)</f>
        <v>1</v>
      </c>
      <c r="K10" s="46">
        <f>AVERAGE('25.05 Mutukula-Kampala-24h'!K10,'26.05 Mutukula-Kampala-24h'!K10,'27.05 Mutukula-Kampala-24h '!K10)</f>
        <v>1</v>
      </c>
      <c r="L10" s="46">
        <f>AVERAGE('25.05 Mutukula-Kampala-24h'!L10,'26.05 Mutukula-Kampala-24h'!L10,'27.05 Mutukula-Kampala-24h '!L10)</f>
        <v>1.6666666666666667</v>
      </c>
      <c r="M10" s="46">
        <f>AVERAGE('25.05 Mutukula-Kampala-24h'!M10,'26.05 Mutukula-Kampala-24h'!M10,'27.05 Mutukula-Kampala-24h '!M10)</f>
        <v>0</v>
      </c>
      <c r="N10" s="46">
        <f>AVERAGE('25.05 Mutukula-Kampala-24h'!N10,'26.05 Mutukula-Kampala-24h'!N10,'27.05 Mutukula-Kampala-24h '!N10)</f>
        <v>0</v>
      </c>
      <c r="O10" s="15">
        <f t="shared" ref="O10:O73" si="0">SUM(C10:L10,N10)</f>
        <v>9.6666666666666661</v>
      </c>
      <c r="P10" s="15">
        <f t="shared" ref="P10:P73" si="1">SUM(C10:N10)</f>
        <v>9.6666666666666661</v>
      </c>
      <c r="R10" s="1" t="s">
        <v>6</v>
      </c>
      <c r="S10" s="17">
        <f t="shared" ref="S10:AF10" si="2">SUM(C10:C13)</f>
        <v>5.3333333333333339</v>
      </c>
      <c r="T10" s="17">
        <f t="shared" si="2"/>
        <v>0</v>
      </c>
      <c r="U10" s="17">
        <f t="shared" si="2"/>
        <v>0</v>
      </c>
      <c r="V10" s="17">
        <f t="shared" si="2"/>
        <v>3.3333333333333335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1.6666666666666665</v>
      </c>
      <c r="AA10" s="17">
        <f t="shared" si="2"/>
        <v>1.6666666666666665</v>
      </c>
      <c r="AB10" s="17">
        <f t="shared" si="2"/>
        <v>1.6666666666666667</v>
      </c>
      <c r="AC10" s="17">
        <f t="shared" si="2"/>
        <v>0</v>
      </c>
      <c r="AD10" s="17">
        <f t="shared" si="2"/>
        <v>0</v>
      </c>
      <c r="AE10" s="28">
        <f t="shared" si="2"/>
        <v>14.666666666666668</v>
      </c>
      <c r="AF10" s="28">
        <f t="shared" si="2"/>
        <v>14.666666666666668</v>
      </c>
    </row>
    <row r="11" spans="2:32" s="6" customFormat="1" ht="23.1" customHeight="1" x14ac:dyDescent="0.25">
      <c r="B11" s="20" t="s">
        <v>38</v>
      </c>
      <c r="C11" s="46">
        <f>AVERAGE('25.05 Mutukula-Kampala-24h'!C11,'26.05 Mutukula-Kampala-24h'!C11,'27.05 Mutukula-Kampala-24h '!C11)</f>
        <v>0</v>
      </c>
      <c r="D11" s="46">
        <f>AVERAGE('25.05 Mutukula-Kampala-24h'!D11,'26.05 Mutukula-Kampala-24h'!D11,'27.05 Mutukula-Kampala-24h '!D11)</f>
        <v>0</v>
      </c>
      <c r="E11" s="46">
        <f>AVERAGE('25.05 Mutukula-Kampala-24h'!E11,'26.05 Mutukula-Kampala-24h'!E11,'27.05 Mutukula-Kampala-24h '!E11)</f>
        <v>0</v>
      </c>
      <c r="F11" s="46">
        <f>AVERAGE('25.05 Mutukula-Kampala-24h'!F11,'26.05 Mutukula-Kampala-24h'!F11,'27.05 Mutukula-Kampala-24h '!F11)</f>
        <v>0</v>
      </c>
      <c r="G11" s="46">
        <f>AVERAGE('25.05 Mutukula-Kampala-24h'!G11,'26.05 Mutukula-Kampala-24h'!G11,'27.05 Mutukula-Kampala-24h '!G11)</f>
        <v>0</v>
      </c>
      <c r="H11" s="46">
        <f>AVERAGE('25.05 Mutukula-Kampala-24h'!H11,'26.05 Mutukula-Kampala-24h'!H11,'27.05 Mutukula-Kampala-24h '!H11)</f>
        <v>0</v>
      </c>
      <c r="I11" s="46">
        <f>AVERAGE('25.05 Mutukula-Kampala-24h'!I11,'26.05 Mutukula-Kampala-24h'!I11,'27.05 Mutukula-Kampala-24h '!I11)</f>
        <v>0</v>
      </c>
      <c r="J11" s="46">
        <f>AVERAGE('25.05 Mutukula-Kampala-24h'!J11,'26.05 Mutukula-Kampala-24h'!J11,'27.05 Mutukula-Kampala-24h '!J11)</f>
        <v>0</v>
      </c>
      <c r="K11" s="46">
        <f>AVERAGE('25.05 Mutukula-Kampala-24h'!K11,'26.05 Mutukula-Kampala-24h'!K11,'27.05 Mutukula-Kampala-24h '!K11)</f>
        <v>0</v>
      </c>
      <c r="L11" s="46">
        <f>AVERAGE('25.05 Mutukula-Kampala-24h'!L11,'26.05 Mutukula-Kampala-24h'!L11,'27.05 Mutukula-Kampala-24h '!L11)</f>
        <v>0</v>
      </c>
      <c r="M11" s="46">
        <f>AVERAGE('25.05 Mutukula-Kampala-24h'!M11,'26.05 Mutukula-Kampala-24h'!M11,'27.05 Mutukula-Kampala-24h '!M11)</f>
        <v>0</v>
      </c>
      <c r="N11" s="46">
        <f>AVERAGE('25.05 Mutukula-Kampala-24h'!N11,'26.05 Mutukula-Kampala-24h'!N11,'27.05 Mutukula-Kampala-24h '!N11)</f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7.3333333333333339</v>
      </c>
      <c r="T11" s="17">
        <f t="shared" si="3"/>
        <v>0</v>
      </c>
      <c r="U11" s="17">
        <f t="shared" si="3"/>
        <v>0</v>
      </c>
      <c r="V11" s="17">
        <f t="shared" si="3"/>
        <v>2.666666666666667</v>
      </c>
      <c r="W11" s="17">
        <f t="shared" si="3"/>
        <v>0</v>
      </c>
      <c r="X11" s="17">
        <f t="shared" si="3"/>
        <v>0.33333333333333331</v>
      </c>
      <c r="Y11" s="17">
        <f t="shared" si="3"/>
        <v>0.33333333333333331</v>
      </c>
      <c r="Z11" s="17">
        <f t="shared" si="3"/>
        <v>2.3333333333333335</v>
      </c>
      <c r="AA11" s="17">
        <f t="shared" si="3"/>
        <v>0.66666666666666663</v>
      </c>
      <c r="AB11" s="17">
        <f t="shared" si="3"/>
        <v>1.3333333333333333</v>
      </c>
      <c r="AC11" s="17">
        <f t="shared" si="3"/>
        <v>0</v>
      </c>
      <c r="AD11" s="17">
        <f t="shared" si="3"/>
        <v>0</v>
      </c>
      <c r="AE11" s="28">
        <f t="shared" si="3"/>
        <v>15</v>
      </c>
      <c r="AF11" s="28">
        <f t="shared" si="3"/>
        <v>15</v>
      </c>
    </row>
    <row r="12" spans="2:32" ht="23.1" customHeight="1" x14ac:dyDescent="0.25">
      <c r="B12" s="20" t="s">
        <v>39</v>
      </c>
      <c r="C12" s="46">
        <f>AVERAGE('25.05 Mutukula-Kampala-24h'!C12,'26.05 Mutukula-Kampala-24h'!C12,'27.05 Mutukula-Kampala-24h '!C12)</f>
        <v>3.3333333333333335</v>
      </c>
      <c r="D12" s="46">
        <f>AVERAGE('25.05 Mutukula-Kampala-24h'!D12,'26.05 Mutukula-Kampala-24h'!D12,'27.05 Mutukula-Kampala-24h '!D12)</f>
        <v>0</v>
      </c>
      <c r="E12" s="46">
        <f>AVERAGE('25.05 Mutukula-Kampala-24h'!E12,'26.05 Mutukula-Kampala-24h'!E12,'27.05 Mutukula-Kampala-24h '!E12)</f>
        <v>0</v>
      </c>
      <c r="F12" s="46">
        <f>AVERAGE('25.05 Mutukula-Kampala-24h'!F12,'26.05 Mutukula-Kampala-24h'!F12,'27.05 Mutukula-Kampala-24h '!F12)</f>
        <v>0.33333333333333331</v>
      </c>
      <c r="G12" s="46">
        <f>AVERAGE('25.05 Mutukula-Kampala-24h'!G12,'26.05 Mutukula-Kampala-24h'!G12,'27.05 Mutukula-Kampala-24h '!G12)</f>
        <v>0</v>
      </c>
      <c r="H12" s="46">
        <f>AVERAGE('25.05 Mutukula-Kampala-24h'!H12,'26.05 Mutukula-Kampala-24h'!H12,'27.05 Mutukula-Kampala-24h '!H12)</f>
        <v>0</v>
      </c>
      <c r="I12" s="46">
        <f>AVERAGE('25.05 Mutukula-Kampala-24h'!I12,'26.05 Mutukula-Kampala-24h'!I12,'27.05 Mutukula-Kampala-24h '!I12)</f>
        <v>0</v>
      </c>
      <c r="J12" s="46">
        <f>AVERAGE('25.05 Mutukula-Kampala-24h'!J12,'26.05 Mutukula-Kampala-24h'!J12,'27.05 Mutukula-Kampala-24h '!J12)</f>
        <v>0.66666666666666663</v>
      </c>
      <c r="K12" s="46">
        <f>AVERAGE('25.05 Mutukula-Kampala-24h'!K12,'26.05 Mutukula-Kampala-24h'!K12,'27.05 Mutukula-Kampala-24h '!K12)</f>
        <v>0.66666666666666663</v>
      </c>
      <c r="L12" s="46">
        <f>AVERAGE('25.05 Mutukula-Kampala-24h'!L12,'26.05 Mutukula-Kampala-24h'!L12,'27.05 Mutukula-Kampala-24h '!L12)</f>
        <v>0</v>
      </c>
      <c r="M12" s="46">
        <f>AVERAGE('25.05 Mutukula-Kampala-24h'!M12,'26.05 Mutukula-Kampala-24h'!M12,'27.05 Mutukula-Kampala-24h '!M12)</f>
        <v>0</v>
      </c>
      <c r="N12" s="46">
        <f>AVERAGE('25.05 Mutukula-Kampala-24h'!N12,'26.05 Mutukula-Kampala-24h'!N12,'27.05 Mutukula-Kampala-24h '!N12)</f>
        <v>0</v>
      </c>
      <c r="O12" s="15">
        <f t="shared" si="0"/>
        <v>5.0000000000000009</v>
      </c>
      <c r="P12" s="15">
        <f t="shared" si="1"/>
        <v>5.0000000000000009</v>
      </c>
      <c r="R12" s="1" t="s">
        <v>8</v>
      </c>
      <c r="S12" s="17">
        <f t="shared" ref="S12:AF12" si="4">SUM(C18:C21)</f>
        <v>10.333333333333334</v>
      </c>
      <c r="T12" s="17">
        <f t="shared" si="4"/>
        <v>0</v>
      </c>
      <c r="U12" s="17">
        <f t="shared" si="4"/>
        <v>0</v>
      </c>
      <c r="V12" s="17">
        <f t="shared" si="4"/>
        <v>5</v>
      </c>
      <c r="W12" s="17">
        <f t="shared" si="4"/>
        <v>0.33333333333333331</v>
      </c>
      <c r="X12" s="17">
        <f t="shared" si="4"/>
        <v>1.3333333333333333</v>
      </c>
      <c r="Y12" s="17">
        <f t="shared" si="4"/>
        <v>1</v>
      </c>
      <c r="Z12" s="17">
        <f t="shared" si="4"/>
        <v>3.3333333333333335</v>
      </c>
      <c r="AA12" s="17">
        <f t="shared" si="4"/>
        <v>1.3333333333333333</v>
      </c>
      <c r="AB12" s="17">
        <f t="shared" si="4"/>
        <v>7.333333333333333</v>
      </c>
      <c r="AC12" s="17">
        <f t="shared" si="4"/>
        <v>0</v>
      </c>
      <c r="AD12" s="17">
        <f t="shared" si="4"/>
        <v>0</v>
      </c>
      <c r="AE12" s="28">
        <f t="shared" si="4"/>
        <v>30</v>
      </c>
      <c r="AF12" s="28">
        <f t="shared" si="4"/>
        <v>30</v>
      </c>
    </row>
    <row r="13" spans="2:32" ht="23.1" customHeight="1" x14ac:dyDescent="0.25">
      <c r="B13" s="20" t="s">
        <v>40</v>
      </c>
      <c r="C13" s="46">
        <f>AVERAGE('25.05 Mutukula-Kampala-24h'!C13,'26.05 Mutukula-Kampala-24h'!C13,'27.05 Mutukula-Kampala-24h '!C13)</f>
        <v>0</v>
      </c>
      <c r="D13" s="46">
        <f>AVERAGE('25.05 Mutukula-Kampala-24h'!D13,'26.05 Mutukula-Kampala-24h'!D13,'27.05 Mutukula-Kampala-24h '!D13)</f>
        <v>0</v>
      </c>
      <c r="E13" s="46">
        <f>AVERAGE('25.05 Mutukula-Kampala-24h'!E13,'26.05 Mutukula-Kampala-24h'!E13,'27.05 Mutukula-Kampala-24h '!E13)</f>
        <v>0</v>
      </c>
      <c r="F13" s="46">
        <f>AVERAGE('25.05 Mutukula-Kampala-24h'!F13,'26.05 Mutukula-Kampala-24h'!F13,'27.05 Mutukula-Kampala-24h '!F13)</f>
        <v>0</v>
      </c>
      <c r="G13" s="46">
        <f>AVERAGE('25.05 Mutukula-Kampala-24h'!G13,'26.05 Mutukula-Kampala-24h'!G13,'27.05 Mutukula-Kampala-24h '!G13)</f>
        <v>0</v>
      </c>
      <c r="H13" s="46">
        <f>AVERAGE('25.05 Mutukula-Kampala-24h'!H13,'26.05 Mutukula-Kampala-24h'!H13,'27.05 Mutukula-Kampala-24h '!H13)</f>
        <v>0</v>
      </c>
      <c r="I13" s="46">
        <f>AVERAGE('25.05 Mutukula-Kampala-24h'!I13,'26.05 Mutukula-Kampala-24h'!I13,'27.05 Mutukula-Kampala-24h '!I13)</f>
        <v>0</v>
      </c>
      <c r="J13" s="46">
        <f>AVERAGE('25.05 Mutukula-Kampala-24h'!J13,'26.05 Mutukula-Kampala-24h'!J13,'27.05 Mutukula-Kampala-24h '!J13)</f>
        <v>0</v>
      </c>
      <c r="K13" s="46">
        <f>AVERAGE('25.05 Mutukula-Kampala-24h'!K13,'26.05 Mutukula-Kampala-24h'!K13,'27.05 Mutukula-Kampala-24h '!K13)</f>
        <v>0</v>
      </c>
      <c r="L13" s="46">
        <f>AVERAGE('25.05 Mutukula-Kampala-24h'!L13,'26.05 Mutukula-Kampala-24h'!L13,'27.05 Mutukula-Kampala-24h '!L13)</f>
        <v>0</v>
      </c>
      <c r="M13" s="46">
        <f>AVERAGE('25.05 Mutukula-Kampala-24h'!M13,'26.05 Mutukula-Kampala-24h'!M13,'27.05 Mutukula-Kampala-24h '!M13)</f>
        <v>0</v>
      </c>
      <c r="N13" s="46">
        <f>AVERAGE('25.05 Mutukula-Kampala-24h'!N13,'26.05 Mutukula-Kampala-24h'!N13,'27.05 Mutukula-Kampala-24h '!N13)</f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11</v>
      </c>
      <c r="T13" s="17">
        <f t="shared" si="5"/>
        <v>0</v>
      </c>
      <c r="U13" s="17">
        <f t="shared" si="5"/>
        <v>0</v>
      </c>
      <c r="V13" s="17">
        <f t="shared" si="5"/>
        <v>3.3333333333333335</v>
      </c>
      <c r="W13" s="17">
        <f t="shared" si="5"/>
        <v>0</v>
      </c>
      <c r="X13" s="17">
        <f t="shared" si="5"/>
        <v>1</v>
      </c>
      <c r="Y13" s="17">
        <f t="shared" si="5"/>
        <v>0.33333333333333331</v>
      </c>
      <c r="Z13" s="17">
        <f t="shared" si="5"/>
        <v>4.333333333333333</v>
      </c>
      <c r="AA13" s="17">
        <f t="shared" si="5"/>
        <v>1.3333333333333333</v>
      </c>
      <c r="AB13" s="17">
        <f t="shared" si="5"/>
        <v>0.66666666666666663</v>
      </c>
      <c r="AC13" s="17">
        <f t="shared" si="5"/>
        <v>0</v>
      </c>
      <c r="AD13" s="17">
        <f t="shared" si="5"/>
        <v>0</v>
      </c>
      <c r="AE13" s="28">
        <f t="shared" si="5"/>
        <v>22</v>
      </c>
      <c r="AF13" s="28">
        <f t="shared" si="5"/>
        <v>22</v>
      </c>
    </row>
    <row r="14" spans="2:32" ht="23.1" customHeight="1" x14ac:dyDescent="0.25">
      <c r="B14" s="20" t="s">
        <v>41</v>
      </c>
      <c r="C14" s="46">
        <f>AVERAGE('25.05 Mutukula-Kampala-24h'!C14,'26.05 Mutukula-Kampala-24h'!C14,'27.05 Mutukula-Kampala-24h '!C14)</f>
        <v>3.3333333333333335</v>
      </c>
      <c r="D14" s="46">
        <f>AVERAGE('25.05 Mutukula-Kampala-24h'!D14,'26.05 Mutukula-Kampala-24h'!D14,'27.05 Mutukula-Kampala-24h '!D14)</f>
        <v>0</v>
      </c>
      <c r="E14" s="46">
        <f>AVERAGE('25.05 Mutukula-Kampala-24h'!E14,'26.05 Mutukula-Kampala-24h'!E14,'27.05 Mutukula-Kampala-24h '!E14)</f>
        <v>0</v>
      </c>
      <c r="F14" s="46">
        <f>AVERAGE('25.05 Mutukula-Kampala-24h'!F14,'26.05 Mutukula-Kampala-24h'!F14,'27.05 Mutukula-Kampala-24h '!F14)</f>
        <v>1</v>
      </c>
      <c r="G14" s="46">
        <f>AVERAGE('25.05 Mutukula-Kampala-24h'!G14,'26.05 Mutukula-Kampala-24h'!G14,'27.05 Mutukula-Kampala-24h '!G14)</f>
        <v>0</v>
      </c>
      <c r="H14" s="46">
        <f>AVERAGE('25.05 Mutukula-Kampala-24h'!H14,'26.05 Mutukula-Kampala-24h'!H14,'27.05 Mutukula-Kampala-24h '!H14)</f>
        <v>0</v>
      </c>
      <c r="I14" s="46">
        <f>AVERAGE('25.05 Mutukula-Kampala-24h'!I14,'26.05 Mutukula-Kampala-24h'!I14,'27.05 Mutukula-Kampala-24h '!I14)</f>
        <v>0</v>
      </c>
      <c r="J14" s="46">
        <f>AVERAGE('25.05 Mutukula-Kampala-24h'!J14,'26.05 Mutukula-Kampala-24h'!J14,'27.05 Mutukula-Kampala-24h '!J14)</f>
        <v>0.33333333333333331</v>
      </c>
      <c r="K14" s="46">
        <f>AVERAGE('25.05 Mutukula-Kampala-24h'!K14,'26.05 Mutukula-Kampala-24h'!K14,'27.05 Mutukula-Kampala-24h '!K14)</f>
        <v>0.33333333333333331</v>
      </c>
      <c r="L14" s="46">
        <f>AVERAGE('25.05 Mutukula-Kampala-24h'!L14,'26.05 Mutukula-Kampala-24h'!L14,'27.05 Mutukula-Kampala-24h '!L14)</f>
        <v>0.33333333333333331</v>
      </c>
      <c r="M14" s="46">
        <f>AVERAGE('25.05 Mutukula-Kampala-24h'!M14,'26.05 Mutukula-Kampala-24h'!M14,'27.05 Mutukula-Kampala-24h '!M14)</f>
        <v>0</v>
      </c>
      <c r="N14" s="46">
        <f>AVERAGE('25.05 Mutukula-Kampala-24h'!N14,'26.05 Mutukula-Kampala-24h'!N14,'27.05 Mutukula-Kampala-24h '!N14)</f>
        <v>0</v>
      </c>
      <c r="O14" s="15">
        <f t="shared" si="0"/>
        <v>5.333333333333333</v>
      </c>
      <c r="P14" s="15">
        <f t="shared" si="1"/>
        <v>5.333333333333333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0</v>
      </c>
      <c r="V14" s="17">
        <f t="shared" si="6"/>
        <v>3.666666666666667</v>
      </c>
      <c r="W14" s="17">
        <f t="shared" si="6"/>
        <v>0</v>
      </c>
      <c r="X14" s="17">
        <f t="shared" si="6"/>
        <v>0</v>
      </c>
      <c r="Y14" s="17">
        <f t="shared" si="6"/>
        <v>0.33333333333333331</v>
      </c>
      <c r="Z14" s="17">
        <f t="shared" si="6"/>
        <v>4.666666666666667</v>
      </c>
      <c r="AA14" s="17">
        <f t="shared" si="6"/>
        <v>0</v>
      </c>
      <c r="AB14" s="17">
        <f t="shared" si="6"/>
        <v>0.66666666666666663</v>
      </c>
      <c r="AC14" s="17">
        <f t="shared" si="6"/>
        <v>0</v>
      </c>
      <c r="AD14" s="17">
        <f t="shared" si="6"/>
        <v>0</v>
      </c>
      <c r="AE14" s="28">
        <f t="shared" si="6"/>
        <v>17.333333333333332</v>
      </c>
      <c r="AF14" s="28">
        <f t="shared" si="6"/>
        <v>17.333333333333332</v>
      </c>
    </row>
    <row r="15" spans="2:32" ht="23.1" customHeight="1" x14ac:dyDescent="0.25">
      <c r="B15" s="20" t="s">
        <v>42</v>
      </c>
      <c r="C15" s="46">
        <f>AVERAGE('25.05 Mutukula-Kampala-24h'!C15,'26.05 Mutukula-Kampala-24h'!C15,'27.05 Mutukula-Kampala-24h '!C15)</f>
        <v>0</v>
      </c>
      <c r="D15" s="46">
        <f>AVERAGE('25.05 Mutukula-Kampala-24h'!D15,'26.05 Mutukula-Kampala-24h'!D15,'27.05 Mutukula-Kampala-24h '!D15)</f>
        <v>0</v>
      </c>
      <c r="E15" s="46">
        <f>AVERAGE('25.05 Mutukula-Kampala-24h'!E15,'26.05 Mutukula-Kampala-24h'!E15,'27.05 Mutukula-Kampala-24h '!E15)</f>
        <v>0</v>
      </c>
      <c r="F15" s="46">
        <f>AVERAGE('25.05 Mutukula-Kampala-24h'!F15,'26.05 Mutukula-Kampala-24h'!F15,'27.05 Mutukula-Kampala-24h '!F15)</f>
        <v>0</v>
      </c>
      <c r="G15" s="46">
        <f>AVERAGE('25.05 Mutukula-Kampala-24h'!G15,'26.05 Mutukula-Kampala-24h'!G15,'27.05 Mutukula-Kampala-24h '!G15)</f>
        <v>0</v>
      </c>
      <c r="H15" s="46">
        <f>AVERAGE('25.05 Mutukula-Kampala-24h'!H15,'26.05 Mutukula-Kampala-24h'!H15,'27.05 Mutukula-Kampala-24h '!H15)</f>
        <v>0</v>
      </c>
      <c r="I15" s="46">
        <f>AVERAGE('25.05 Mutukula-Kampala-24h'!I15,'26.05 Mutukula-Kampala-24h'!I15,'27.05 Mutukula-Kampala-24h '!I15)</f>
        <v>0</v>
      </c>
      <c r="J15" s="46">
        <f>AVERAGE('25.05 Mutukula-Kampala-24h'!J15,'26.05 Mutukula-Kampala-24h'!J15,'27.05 Mutukula-Kampala-24h '!J15)</f>
        <v>0</v>
      </c>
      <c r="K15" s="46">
        <f>AVERAGE('25.05 Mutukula-Kampala-24h'!K15,'26.05 Mutukula-Kampala-24h'!K15,'27.05 Mutukula-Kampala-24h '!K15)</f>
        <v>0</v>
      </c>
      <c r="L15" s="46">
        <f>AVERAGE('25.05 Mutukula-Kampala-24h'!L15,'26.05 Mutukula-Kampala-24h'!L15,'27.05 Mutukula-Kampala-24h '!L15)</f>
        <v>0</v>
      </c>
      <c r="M15" s="46">
        <f>AVERAGE('25.05 Mutukula-Kampala-24h'!M15,'26.05 Mutukula-Kampala-24h'!M15,'27.05 Mutukula-Kampala-24h '!M15)</f>
        <v>0</v>
      </c>
      <c r="N15" s="46">
        <f>AVERAGE('25.05 Mutukula-Kampala-24h'!N15,'26.05 Mutukula-Kampala-24h'!N15,'27.05 Mutukula-Kampala-24h '!N15)</f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0</v>
      </c>
      <c r="V15" s="17">
        <f t="shared" si="7"/>
        <v>3.666666666666667</v>
      </c>
      <c r="W15" s="17">
        <f t="shared" si="7"/>
        <v>0</v>
      </c>
      <c r="X15" s="17">
        <f t="shared" si="7"/>
        <v>0</v>
      </c>
      <c r="Y15" s="17">
        <f t="shared" si="7"/>
        <v>1.3333333333333333</v>
      </c>
      <c r="Z15" s="17">
        <f t="shared" si="7"/>
        <v>2.6666666666666665</v>
      </c>
      <c r="AA15" s="17">
        <f t="shared" si="7"/>
        <v>1</v>
      </c>
      <c r="AB15" s="17">
        <f t="shared" si="7"/>
        <v>1.3333333333333333</v>
      </c>
      <c r="AC15" s="17">
        <f t="shared" si="7"/>
        <v>0</v>
      </c>
      <c r="AD15" s="17">
        <f t="shared" si="7"/>
        <v>0</v>
      </c>
      <c r="AE15" s="28">
        <f t="shared" si="7"/>
        <v>19</v>
      </c>
      <c r="AF15" s="28">
        <f t="shared" si="7"/>
        <v>19</v>
      </c>
    </row>
    <row r="16" spans="2:32" ht="23.1" customHeight="1" x14ac:dyDescent="0.25">
      <c r="B16" s="20" t="s">
        <v>43</v>
      </c>
      <c r="C16" s="46">
        <f>AVERAGE('25.05 Mutukula-Kampala-24h'!C16,'26.05 Mutukula-Kampala-24h'!C16,'27.05 Mutukula-Kampala-24h '!C16)</f>
        <v>4</v>
      </c>
      <c r="D16" s="46">
        <f>AVERAGE('25.05 Mutukula-Kampala-24h'!D16,'26.05 Mutukula-Kampala-24h'!D16,'27.05 Mutukula-Kampala-24h '!D16)</f>
        <v>0</v>
      </c>
      <c r="E16" s="46">
        <f>AVERAGE('25.05 Mutukula-Kampala-24h'!E16,'26.05 Mutukula-Kampala-24h'!E16,'27.05 Mutukula-Kampala-24h '!E16)</f>
        <v>0</v>
      </c>
      <c r="F16" s="46">
        <f>AVERAGE('25.05 Mutukula-Kampala-24h'!F16,'26.05 Mutukula-Kampala-24h'!F16,'27.05 Mutukula-Kampala-24h '!F16)</f>
        <v>1.6666666666666667</v>
      </c>
      <c r="G16" s="46">
        <f>AVERAGE('25.05 Mutukula-Kampala-24h'!G16,'26.05 Mutukula-Kampala-24h'!G16,'27.05 Mutukula-Kampala-24h '!G16)</f>
        <v>0</v>
      </c>
      <c r="H16" s="46">
        <f>AVERAGE('25.05 Mutukula-Kampala-24h'!H16,'26.05 Mutukula-Kampala-24h'!H16,'27.05 Mutukula-Kampala-24h '!H16)</f>
        <v>0.33333333333333331</v>
      </c>
      <c r="I16" s="46">
        <f>AVERAGE('25.05 Mutukula-Kampala-24h'!I16,'26.05 Mutukula-Kampala-24h'!I16,'27.05 Mutukula-Kampala-24h '!I16)</f>
        <v>0.33333333333333331</v>
      </c>
      <c r="J16" s="46">
        <f>AVERAGE('25.05 Mutukula-Kampala-24h'!J16,'26.05 Mutukula-Kampala-24h'!J16,'27.05 Mutukula-Kampala-24h '!J16)</f>
        <v>2</v>
      </c>
      <c r="K16" s="46">
        <f>AVERAGE('25.05 Mutukula-Kampala-24h'!K16,'26.05 Mutukula-Kampala-24h'!K16,'27.05 Mutukula-Kampala-24h '!K16)</f>
        <v>0.33333333333333331</v>
      </c>
      <c r="L16" s="46">
        <f>AVERAGE('25.05 Mutukula-Kampala-24h'!L16,'26.05 Mutukula-Kampala-24h'!L16,'27.05 Mutukula-Kampala-24h '!L16)</f>
        <v>1</v>
      </c>
      <c r="M16" s="46">
        <f>AVERAGE('25.05 Mutukula-Kampala-24h'!M16,'26.05 Mutukula-Kampala-24h'!M16,'27.05 Mutukula-Kampala-24h '!M16)</f>
        <v>0</v>
      </c>
      <c r="N16" s="46">
        <f>AVERAGE('25.05 Mutukula-Kampala-24h'!N16,'26.05 Mutukula-Kampala-24h'!N16,'27.05 Mutukula-Kampala-24h '!N16)</f>
        <v>0</v>
      </c>
      <c r="O16" s="15">
        <f t="shared" si="0"/>
        <v>9.6666666666666661</v>
      </c>
      <c r="P16" s="15">
        <f t="shared" si="1"/>
        <v>9.6666666666666661</v>
      </c>
      <c r="R16" s="1" t="s">
        <v>12</v>
      </c>
      <c r="S16" s="17">
        <f t="shared" ref="S16:AF16" si="8">SUM(C34:C37)</f>
        <v>9.3333333333333321</v>
      </c>
      <c r="T16" s="17">
        <f t="shared" si="8"/>
        <v>0</v>
      </c>
      <c r="U16" s="17">
        <f t="shared" si="8"/>
        <v>0</v>
      </c>
      <c r="V16" s="17">
        <f t="shared" si="8"/>
        <v>4</v>
      </c>
      <c r="W16" s="17">
        <f t="shared" si="8"/>
        <v>0.66666666666666663</v>
      </c>
      <c r="X16" s="17">
        <f t="shared" si="8"/>
        <v>0</v>
      </c>
      <c r="Y16" s="17">
        <f t="shared" si="8"/>
        <v>2</v>
      </c>
      <c r="Z16" s="17">
        <f t="shared" si="8"/>
        <v>2.6666666666666665</v>
      </c>
      <c r="AA16" s="17">
        <f t="shared" si="8"/>
        <v>0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28">
        <f t="shared" si="8"/>
        <v>19.666666666666668</v>
      </c>
      <c r="AF16" s="28">
        <f t="shared" si="8"/>
        <v>19.666666666666668</v>
      </c>
    </row>
    <row r="17" spans="2:32" ht="23.1" customHeight="1" x14ac:dyDescent="0.25">
      <c r="B17" s="20" t="s">
        <v>44</v>
      </c>
      <c r="C17" s="46">
        <f>AVERAGE('25.05 Mutukula-Kampala-24h'!C17,'26.05 Mutukula-Kampala-24h'!C17,'27.05 Mutukula-Kampala-24h '!C17)</f>
        <v>0</v>
      </c>
      <c r="D17" s="46">
        <f>AVERAGE('25.05 Mutukula-Kampala-24h'!D17,'26.05 Mutukula-Kampala-24h'!D17,'27.05 Mutukula-Kampala-24h '!D17)</f>
        <v>0</v>
      </c>
      <c r="E17" s="46">
        <f>AVERAGE('25.05 Mutukula-Kampala-24h'!E17,'26.05 Mutukula-Kampala-24h'!E17,'27.05 Mutukula-Kampala-24h '!E17)</f>
        <v>0</v>
      </c>
      <c r="F17" s="46">
        <f>AVERAGE('25.05 Mutukula-Kampala-24h'!F17,'26.05 Mutukula-Kampala-24h'!F17,'27.05 Mutukula-Kampala-24h '!F17)</f>
        <v>0</v>
      </c>
      <c r="G17" s="46">
        <f>AVERAGE('25.05 Mutukula-Kampala-24h'!G17,'26.05 Mutukula-Kampala-24h'!G17,'27.05 Mutukula-Kampala-24h '!G17)</f>
        <v>0</v>
      </c>
      <c r="H17" s="46">
        <f>AVERAGE('25.05 Mutukula-Kampala-24h'!H17,'26.05 Mutukula-Kampala-24h'!H17,'27.05 Mutukula-Kampala-24h '!H17)</f>
        <v>0</v>
      </c>
      <c r="I17" s="46">
        <f>AVERAGE('25.05 Mutukula-Kampala-24h'!I17,'26.05 Mutukula-Kampala-24h'!I17,'27.05 Mutukula-Kampala-24h '!I17)</f>
        <v>0</v>
      </c>
      <c r="J17" s="46">
        <f>AVERAGE('25.05 Mutukula-Kampala-24h'!J17,'26.05 Mutukula-Kampala-24h'!J17,'27.05 Mutukula-Kampala-24h '!J17)</f>
        <v>0</v>
      </c>
      <c r="K17" s="46">
        <f>AVERAGE('25.05 Mutukula-Kampala-24h'!K17,'26.05 Mutukula-Kampala-24h'!K17,'27.05 Mutukula-Kampala-24h '!K17)</f>
        <v>0</v>
      </c>
      <c r="L17" s="46">
        <f>AVERAGE('25.05 Mutukula-Kampala-24h'!L17,'26.05 Mutukula-Kampala-24h'!L17,'27.05 Mutukula-Kampala-24h '!L17)</f>
        <v>0</v>
      </c>
      <c r="M17" s="46">
        <f>AVERAGE('25.05 Mutukula-Kampala-24h'!M17,'26.05 Mutukula-Kampala-24h'!M17,'27.05 Mutukula-Kampala-24h '!M17)</f>
        <v>0</v>
      </c>
      <c r="N17" s="46">
        <f>AVERAGE('25.05 Mutukula-Kampala-24h'!N17,'26.05 Mutukula-Kampala-24h'!N17,'27.05 Mutukula-Kampala-24h '!N17)</f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11.666666666666668</v>
      </c>
      <c r="T17" s="17">
        <f t="shared" si="9"/>
        <v>0</v>
      </c>
      <c r="U17" s="17">
        <f t="shared" si="9"/>
        <v>0</v>
      </c>
      <c r="V17" s="17">
        <f t="shared" si="9"/>
        <v>4.333333333333333</v>
      </c>
      <c r="W17" s="17">
        <f t="shared" si="9"/>
        <v>0.33333333333333331</v>
      </c>
      <c r="X17" s="17">
        <f t="shared" si="9"/>
        <v>0.66666666666666663</v>
      </c>
      <c r="Y17" s="17">
        <f t="shared" si="9"/>
        <v>1</v>
      </c>
      <c r="Z17" s="17">
        <f t="shared" si="9"/>
        <v>3</v>
      </c>
      <c r="AA17" s="17">
        <f t="shared" si="9"/>
        <v>2.3333333333333335</v>
      </c>
      <c r="AB17" s="17">
        <f t="shared" si="9"/>
        <v>2</v>
      </c>
      <c r="AC17" s="17">
        <f t="shared" si="9"/>
        <v>0</v>
      </c>
      <c r="AD17" s="17">
        <f t="shared" si="9"/>
        <v>0</v>
      </c>
      <c r="AE17" s="28">
        <f t="shared" si="9"/>
        <v>25.333333333333332</v>
      </c>
      <c r="AF17" s="28">
        <f t="shared" si="9"/>
        <v>25.333333333333332</v>
      </c>
    </row>
    <row r="18" spans="2:32" ht="23.1" customHeight="1" x14ac:dyDescent="0.25">
      <c r="B18" s="20" t="s">
        <v>45</v>
      </c>
      <c r="C18" s="46">
        <f>AVERAGE('25.05 Mutukula-Kampala-24h'!C18,'26.05 Mutukula-Kampala-24h'!C18,'27.05 Mutukula-Kampala-24h '!C18)</f>
        <v>4.666666666666667</v>
      </c>
      <c r="D18" s="46">
        <f>AVERAGE('25.05 Mutukula-Kampala-24h'!D18,'26.05 Mutukula-Kampala-24h'!D18,'27.05 Mutukula-Kampala-24h '!D18)</f>
        <v>0</v>
      </c>
      <c r="E18" s="46">
        <f>AVERAGE('25.05 Mutukula-Kampala-24h'!E18,'26.05 Mutukula-Kampala-24h'!E18,'27.05 Mutukula-Kampala-24h '!E18)</f>
        <v>0</v>
      </c>
      <c r="F18" s="46">
        <f>AVERAGE('25.05 Mutukula-Kampala-24h'!F18,'26.05 Mutukula-Kampala-24h'!F18,'27.05 Mutukula-Kampala-24h '!F18)</f>
        <v>2.6666666666666665</v>
      </c>
      <c r="G18" s="46">
        <f>AVERAGE('25.05 Mutukula-Kampala-24h'!G18,'26.05 Mutukula-Kampala-24h'!G18,'27.05 Mutukula-Kampala-24h '!G18)</f>
        <v>0.33333333333333331</v>
      </c>
      <c r="H18" s="46">
        <f>AVERAGE('25.05 Mutukula-Kampala-24h'!H18,'26.05 Mutukula-Kampala-24h'!H18,'27.05 Mutukula-Kampala-24h '!H18)</f>
        <v>1</v>
      </c>
      <c r="I18" s="46">
        <f>AVERAGE('25.05 Mutukula-Kampala-24h'!I18,'26.05 Mutukula-Kampala-24h'!I18,'27.05 Mutukula-Kampala-24h '!I18)</f>
        <v>0.66666666666666663</v>
      </c>
      <c r="J18" s="46">
        <f>AVERAGE('25.05 Mutukula-Kampala-24h'!J18,'26.05 Mutukula-Kampala-24h'!J18,'27.05 Mutukula-Kampala-24h '!J18)</f>
        <v>1.6666666666666667</v>
      </c>
      <c r="K18" s="46">
        <f>AVERAGE('25.05 Mutukula-Kampala-24h'!K18,'26.05 Mutukula-Kampala-24h'!K18,'27.05 Mutukula-Kampala-24h '!K18)</f>
        <v>1</v>
      </c>
      <c r="L18" s="46">
        <f>AVERAGE('25.05 Mutukula-Kampala-24h'!L18,'26.05 Mutukula-Kampala-24h'!L18,'27.05 Mutukula-Kampala-24h '!L18)</f>
        <v>4.333333333333333</v>
      </c>
      <c r="M18" s="46">
        <f>AVERAGE('25.05 Mutukula-Kampala-24h'!M18,'26.05 Mutukula-Kampala-24h'!M18,'27.05 Mutukula-Kampala-24h '!M18)</f>
        <v>0</v>
      </c>
      <c r="N18" s="46">
        <f>AVERAGE('25.05 Mutukula-Kampala-24h'!N18,'26.05 Mutukula-Kampala-24h'!N18,'27.05 Mutukula-Kampala-24h '!N18)</f>
        <v>0</v>
      </c>
      <c r="O18" s="15">
        <f t="shared" si="0"/>
        <v>16.333333333333332</v>
      </c>
      <c r="P18" s="15">
        <f t="shared" si="1"/>
        <v>16.333333333333332</v>
      </c>
      <c r="R18" s="1" t="s">
        <v>14</v>
      </c>
      <c r="S18" s="17">
        <f t="shared" ref="S18:AF18" si="10">SUM(C42:C45)</f>
        <v>7.6666666666666661</v>
      </c>
      <c r="T18" s="17">
        <f t="shared" si="10"/>
        <v>0</v>
      </c>
      <c r="U18" s="17">
        <f t="shared" si="10"/>
        <v>0</v>
      </c>
      <c r="V18" s="17">
        <f t="shared" si="10"/>
        <v>2.333333333333333</v>
      </c>
      <c r="W18" s="17">
        <f t="shared" si="10"/>
        <v>0.33333333333333331</v>
      </c>
      <c r="X18" s="17">
        <f t="shared" si="10"/>
        <v>3.3333333333333335</v>
      </c>
      <c r="Y18" s="17">
        <f t="shared" si="10"/>
        <v>0.33333333333333331</v>
      </c>
      <c r="Z18" s="17">
        <f t="shared" si="10"/>
        <v>2.666666666666667</v>
      </c>
      <c r="AA18" s="17">
        <f t="shared" si="10"/>
        <v>1</v>
      </c>
      <c r="AB18" s="17">
        <f t="shared" si="10"/>
        <v>0.33333333333333331</v>
      </c>
      <c r="AC18" s="17">
        <f t="shared" si="10"/>
        <v>0</v>
      </c>
      <c r="AD18" s="17">
        <f t="shared" si="10"/>
        <v>0</v>
      </c>
      <c r="AE18" s="28">
        <f t="shared" si="10"/>
        <v>18</v>
      </c>
      <c r="AF18" s="28">
        <f t="shared" si="10"/>
        <v>18</v>
      </c>
    </row>
    <row r="19" spans="2:32" ht="23.1" customHeight="1" x14ac:dyDescent="0.25">
      <c r="B19" s="20" t="s">
        <v>46</v>
      </c>
      <c r="C19" s="46">
        <f>AVERAGE('25.05 Mutukula-Kampala-24h'!C19,'26.05 Mutukula-Kampala-24h'!C19,'27.05 Mutukula-Kampala-24h '!C19)</f>
        <v>0</v>
      </c>
      <c r="D19" s="46">
        <f>AVERAGE('25.05 Mutukula-Kampala-24h'!D19,'26.05 Mutukula-Kampala-24h'!D19,'27.05 Mutukula-Kampala-24h '!D19)</f>
        <v>0</v>
      </c>
      <c r="E19" s="46">
        <f>AVERAGE('25.05 Mutukula-Kampala-24h'!E19,'26.05 Mutukula-Kampala-24h'!E19,'27.05 Mutukula-Kampala-24h '!E19)</f>
        <v>0</v>
      </c>
      <c r="F19" s="46">
        <f>AVERAGE('25.05 Mutukula-Kampala-24h'!F19,'26.05 Mutukula-Kampala-24h'!F19,'27.05 Mutukula-Kampala-24h '!F19)</f>
        <v>0</v>
      </c>
      <c r="G19" s="46">
        <f>AVERAGE('25.05 Mutukula-Kampala-24h'!G19,'26.05 Mutukula-Kampala-24h'!G19,'27.05 Mutukula-Kampala-24h '!G19)</f>
        <v>0</v>
      </c>
      <c r="H19" s="46">
        <f>AVERAGE('25.05 Mutukula-Kampala-24h'!H19,'26.05 Mutukula-Kampala-24h'!H19,'27.05 Mutukula-Kampala-24h '!H19)</f>
        <v>0</v>
      </c>
      <c r="I19" s="46">
        <f>AVERAGE('25.05 Mutukula-Kampala-24h'!I19,'26.05 Mutukula-Kampala-24h'!I19,'27.05 Mutukula-Kampala-24h '!I19)</f>
        <v>0</v>
      </c>
      <c r="J19" s="46">
        <f>AVERAGE('25.05 Mutukula-Kampala-24h'!J19,'26.05 Mutukula-Kampala-24h'!J19,'27.05 Mutukula-Kampala-24h '!J19)</f>
        <v>0</v>
      </c>
      <c r="K19" s="46">
        <f>AVERAGE('25.05 Mutukula-Kampala-24h'!K19,'26.05 Mutukula-Kampala-24h'!K19,'27.05 Mutukula-Kampala-24h '!K19)</f>
        <v>0</v>
      </c>
      <c r="L19" s="46">
        <f>AVERAGE('25.05 Mutukula-Kampala-24h'!L19,'26.05 Mutukula-Kampala-24h'!L19,'27.05 Mutukula-Kampala-24h '!L19)</f>
        <v>0</v>
      </c>
      <c r="M19" s="46">
        <f>AVERAGE('25.05 Mutukula-Kampala-24h'!M19,'26.05 Mutukula-Kampala-24h'!M19,'27.05 Mutukula-Kampala-24h '!M19)</f>
        <v>0</v>
      </c>
      <c r="N19" s="46">
        <f>AVERAGE('25.05 Mutukula-Kampala-24h'!N19,'26.05 Mutukula-Kampala-24h'!N19,'27.05 Mutukula-Kampala-24h '!N19)</f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6.666666666666667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0.33333333333333331</v>
      </c>
      <c r="X19" s="17">
        <f t="shared" si="11"/>
        <v>1.3333333333333333</v>
      </c>
      <c r="Y19" s="17">
        <f t="shared" si="11"/>
        <v>0.33333333333333331</v>
      </c>
      <c r="Z19" s="17">
        <f t="shared" si="11"/>
        <v>3.666666666666667</v>
      </c>
      <c r="AA19" s="17">
        <f t="shared" si="11"/>
        <v>1.3333333333333333</v>
      </c>
      <c r="AB19" s="17">
        <f t="shared" si="11"/>
        <v>0.66666666666666663</v>
      </c>
      <c r="AC19" s="17">
        <f t="shared" si="11"/>
        <v>0</v>
      </c>
      <c r="AD19" s="17">
        <f t="shared" si="11"/>
        <v>0</v>
      </c>
      <c r="AE19" s="28">
        <f t="shared" si="11"/>
        <v>17.333333333333332</v>
      </c>
      <c r="AF19" s="28">
        <f t="shared" si="11"/>
        <v>17.333333333333332</v>
      </c>
    </row>
    <row r="20" spans="2:32" ht="23.1" customHeight="1" x14ac:dyDescent="0.25">
      <c r="B20" s="20" t="s">
        <v>47</v>
      </c>
      <c r="C20" s="46">
        <f>AVERAGE('25.05 Mutukula-Kampala-24h'!C20,'26.05 Mutukula-Kampala-24h'!C20,'27.05 Mutukula-Kampala-24h '!C20)</f>
        <v>5.666666666666667</v>
      </c>
      <c r="D20" s="46">
        <f>AVERAGE('25.05 Mutukula-Kampala-24h'!D20,'26.05 Mutukula-Kampala-24h'!D20,'27.05 Mutukula-Kampala-24h '!D20)</f>
        <v>0</v>
      </c>
      <c r="E20" s="46">
        <f>AVERAGE('25.05 Mutukula-Kampala-24h'!E20,'26.05 Mutukula-Kampala-24h'!E20,'27.05 Mutukula-Kampala-24h '!E20)</f>
        <v>0</v>
      </c>
      <c r="F20" s="46">
        <f>AVERAGE('25.05 Mutukula-Kampala-24h'!F20,'26.05 Mutukula-Kampala-24h'!F20,'27.05 Mutukula-Kampala-24h '!F20)</f>
        <v>2.3333333333333335</v>
      </c>
      <c r="G20" s="46">
        <f>AVERAGE('25.05 Mutukula-Kampala-24h'!G20,'26.05 Mutukula-Kampala-24h'!G20,'27.05 Mutukula-Kampala-24h '!G20)</f>
        <v>0</v>
      </c>
      <c r="H20" s="46">
        <f>AVERAGE('25.05 Mutukula-Kampala-24h'!H20,'26.05 Mutukula-Kampala-24h'!H20,'27.05 Mutukula-Kampala-24h '!H20)</f>
        <v>0.33333333333333331</v>
      </c>
      <c r="I20" s="46">
        <f>AVERAGE('25.05 Mutukula-Kampala-24h'!I20,'26.05 Mutukula-Kampala-24h'!I20,'27.05 Mutukula-Kampala-24h '!I20)</f>
        <v>0.33333333333333331</v>
      </c>
      <c r="J20" s="46">
        <f>AVERAGE('25.05 Mutukula-Kampala-24h'!J20,'26.05 Mutukula-Kampala-24h'!J20,'27.05 Mutukula-Kampala-24h '!J20)</f>
        <v>1.6666666666666667</v>
      </c>
      <c r="K20" s="46">
        <f>AVERAGE('25.05 Mutukula-Kampala-24h'!K20,'26.05 Mutukula-Kampala-24h'!K20,'27.05 Mutukula-Kampala-24h '!K20)</f>
        <v>0.33333333333333331</v>
      </c>
      <c r="L20" s="46">
        <f>AVERAGE('25.05 Mutukula-Kampala-24h'!L20,'26.05 Mutukula-Kampala-24h'!L20,'27.05 Mutukula-Kampala-24h '!L20)</f>
        <v>3</v>
      </c>
      <c r="M20" s="46">
        <f>AVERAGE('25.05 Mutukula-Kampala-24h'!M20,'26.05 Mutukula-Kampala-24h'!M20,'27.05 Mutukula-Kampala-24h '!M20)</f>
        <v>0</v>
      </c>
      <c r="N20" s="46">
        <f>AVERAGE('25.05 Mutukula-Kampala-24h'!N20,'26.05 Mutukula-Kampala-24h'!N20,'27.05 Mutukula-Kampala-24h '!N20)</f>
        <v>0</v>
      </c>
      <c r="O20" s="15">
        <f t="shared" si="0"/>
        <v>13.666666666666668</v>
      </c>
      <c r="P20" s="15">
        <f t="shared" si="1"/>
        <v>13.666666666666668</v>
      </c>
      <c r="R20" s="1" t="s">
        <v>16</v>
      </c>
      <c r="S20" s="17">
        <f t="shared" ref="S20:AF20" si="12">SUM(C50:C53)</f>
        <v>9.6666666666666679</v>
      </c>
      <c r="T20" s="17">
        <f t="shared" si="12"/>
        <v>0</v>
      </c>
      <c r="U20" s="17">
        <f t="shared" si="12"/>
        <v>0</v>
      </c>
      <c r="V20" s="17">
        <f t="shared" si="12"/>
        <v>4</v>
      </c>
      <c r="W20" s="17">
        <f t="shared" si="12"/>
        <v>0</v>
      </c>
      <c r="X20" s="17">
        <f t="shared" si="12"/>
        <v>0.33333333333333331</v>
      </c>
      <c r="Y20" s="17">
        <f t="shared" si="12"/>
        <v>0.66666666666666663</v>
      </c>
      <c r="Z20" s="17">
        <f t="shared" si="12"/>
        <v>4.666666666666667</v>
      </c>
      <c r="AA20" s="17">
        <f t="shared" si="12"/>
        <v>0.66666666666666663</v>
      </c>
      <c r="AB20" s="17">
        <f t="shared" si="12"/>
        <v>3.666666666666667</v>
      </c>
      <c r="AC20" s="17">
        <f t="shared" si="12"/>
        <v>0</v>
      </c>
      <c r="AD20" s="17">
        <f t="shared" si="12"/>
        <v>0</v>
      </c>
      <c r="AE20" s="28">
        <f t="shared" si="12"/>
        <v>23.666666666666664</v>
      </c>
      <c r="AF20" s="28">
        <f t="shared" si="12"/>
        <v>23.666666666666664</v>
      </c>
    </row>
    <row r="21" spans="2:32" ht="23.1" customHeight="1" x14ac:dyDescent="0.25">
      <c r="B21" s="20" t="s">
        <v>48</v>
      </c>
      <c r="C21" s="46">
        <f>AVERAGE('25.05 Mutukula-Kampala-24h'!C21,'26.05 Mutukula-Kampala-24h'!C21,'27.05 Mutukula-Kampala-24h '!C21)</f>
        <v>0</v>
      </c>
      <c r="D21" s="46">
        <f>AVERAGE('25.05 Mutukula-Kampala-24h'!D21,'26.05 Mutukula-Kampala-24h'!D21,'27.05 Mutukula-Kampala-24h '!D21)</f>
        <v>0</v>
      </c>
      <c r="E21" s="46">
        <f>AVERAGE('25.05 Mutukula-Kampala-24h'!E21,'26.05 Mutukula-Kampala-24h'!E21,'27.05 Mutukula-Kampala-24h '!E21)</f>
        <v>0</v>
      </c>
      <c r="F21" s="46">
        <f>AVERAGE('25.05 Mutukula-Kampala-24h'!F21,'26.05 Mutukula-Kampala-24h'!F21,'27.05 Mutukula-Kampala-24h '!F21)</f>
        <v>0</v>
      </c>
      <c r="G21" s="46">
        <f>AVERAGE('25.05 Mutukula-Kampala-24h'!G21,'26.05 Mutukula-Kampala-24h'!G21,'27.05 Mutukula-Kampala-24h '!G21)</f>
        <v>0</v>
      </c>
      <c r="H21" s="46">
        <f>AVERAGE('25.05 Mutukula-Kampala-24h'!H21,'26.05 Mutukula-Kampala-24h'!H21,'27.05 Mutukula-Kampala-24h '!H21)</f>
        <v>0</v>
      </c>
      <c r="I21" s="46">
        <f>AVERAGE('25.05 Mutukula-Kampala-24h'!I21,'26.05 Mutukula-Kampala-24h'!I21,'27.05 Mutukula-Kampala-24h '!I21)</f>
        <v>0</v>
      </c>
      <c r="J21" s="46">
        <f>AVERAGE('25.05 Mutukula-Kampala-24h'!J21,'26.05 Mutukula-Kampala-24h'!J21,'27.05 Mutukula-Kampala-24h '!J21)</f>
        <v>0</v>
      </c>
      <c r="K21" s="46">
        <f>AVERAGE('25.05 Mutukula-Kampala-24h'!K21,'26.05 Mutukula-Kampala-24h'!K21,'27.05 Mutukula-Kampala-24h '!K21)</f>
        <v>0</v>
      </c>
      <c r="L21" s="46">
        <f>AVERAGE('25.05 Mutukula-Kampala-24h'!L21,'26.05 Mutukula-Kampala-24h'!L21,'27.05 Mutukula-Kampala-24h '!L21)</f>
        <v>0</v>
      </c>
      <c r="M21" s="46">
        <f>AVERAGE('25.05 Mutukula-Kampala-24h'!M21,'26.05 Mutukula-Kampala-24h'!M21,'27.05 Mutukula-Kampala-24h '!M21)</f>
        <v>0</v>
      </c>
      <c r="N21" s="46">
        <f>AVERAGE('25.05 Mutukula-Kampala-24h'!N21,'26.05 Mutukula-Kampala-24h'!N21,'27.05 Mutukula-Kampala-24h '!N21)</f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9</v>
      </c>
      <c r="T21" s="17">
        <f t="shared" si="13"/>
        <v>0</v>
      </c>
      <c r="U21" s="17">
        <f t="shared" si="13"/>
        <v>0</v>
      </c>
      <c r="V21" s="17">
        <f t="shared" si="13"/>
        <v>4.666666666666667</v>
      </c>
      <c r="W21" s="17">
        <f t="shared" si="13"/>
        <v>0.66666666666666663</v>
      </c>
      <c r="X21" s="17">
        <f t="shared" si="13"/>
        <v>0</v>
      </c>
      <c r="Y21" s="17">
        <f t="shared" si="13"/>
        <v>1.6666666666666665</v>
      </c>
      <c r="Z21" s="17">
        <f t="shared" si="13"/>
        <v>3.6666666666666665</v>
      </c>
      <c r="AA21" s="17">
        <f t="shared" si="13"/>
        <v>1</v>
      </c>
      <c r="AB21" s="17">
        <f t="shared" si="13"/>
        <v>3.333333333333333</v>
      </c>
      <c r="AC21" s="17">
        <f t="shared" si="13"/>
        <v>0</v>
      </c>
      <c r="AD21" s="17">
        <f t="shared" si="13"/>
        <v>0</v>
      </c>
      <c r="AE21" s="28">
        <f t="shared" si="13"/>
        <v>24</v>
      </c>
      <c r="AF21" s="28">
        <f t="shared" si="13"/>
        <v>24</v>
      </c>
    </row>
    <row r="22" spans="2:32" ht="23.1" customHeight="1" x14ac:dyDescent="0.25">
      <c r="B22" s="20" t="s">
        <v>49</v>
      </c>
      <c r="C22" s="46">
        <f>AVERAGE('25.05 Mutukula-Kampala-24h'!C22,'26.05 Mutukula-Kampala-24h'!C22,'27.05 Mutukula-Kampala-24h '!C22)</f>
        <v>5.333333333333333</v>
      </c>
      <c r="D22" s="46">
        <f>AVERAGE('25.05 Mutukula-Kampala-24h'!D22,'26.05 Mutukula-Kampala-24h'!D22,'27.05 Mutukula-Kampala-24h '!D22)</f>
        <v>0</v>
      </c>
      <c r="E22" s="46">
        <f>AVERAGE('25.05 Mutukula-Kampala-24h'!E22,'26.05 Mutukula-Kampala-24h'!E22,'27.05 Mutukula-Kampala-24h '!E22)</f>
        <v>0</v>
      </c>
      <c r="F22" s="46">
        <f>AVERAGE('25.05 Mutukula-Kampala-24h'!F22,'26.05 Mutukula-Kampala-24h'!F22,'27.05 Mutukula-Kampala-24h '!F22)</f>
        <v>1.6666666666666667</v>
      </c>
      <c r="G22" s="46">
        <f>AVERAGE('25.05 Mutukula-Kampala-24h'!G22,'26.05 Mutukula-Kampala-24h'!G22,'27.05 Mutukula-Kampala-24h '!G22)</f>
        <v>0</v>
      </c>
      <c r="H22" s="46">
        <f>AVERAGE('25.05 Mutukula-Kampala-24h'!H22,'26.05 Mutukula-Kampala-24h'!H22,'27.05 Mutukula-Kampala-24h '!H22)</f>
        <v>0.33333333333333331</v>
      </c>
      <c r="I22" s="46">
        <f>AVERAGE('25.05 Mutukula-Kampala-24h'!I22,'26.05 Mutukula-Kampala-24h'!I22,'27.05 Mutukula-Kampala-24h '!I22)</f>
        <v>0</v>
      </c>
      <c r="J22" s="46">
        <f>AVERAGE('25.05 Mutukula-Kampala-24h'!J22,'26.05 Mutukula-Kampala-24h'!J22,'27.05 Mutukula-Kampala-24h '!J22)</f>
        <v>1.6666666666666667</v>
      </c>
      <c r="K22" s="46">
        <f>AVERAGE('25.05 Mutukula-Kampala-24h'!K22,'26.05 Mutukula-Kampala-24h'!K22,'27.05 Mutukula-Kampala-24h '!K22)</f>
        <v>0</v>
      </c>
      <c r="L22" s="46">
        <f>AVERAGE('25.05 Mutukula-Kampala-24h'!L22,'26.05 Mutukula-Kampala-24h'!L22,'27.05 Mutukula-Kampala-24h '!L22)</f>
        <v>0</v>
      </c>
      <c r="M22" s="46">
        <f>AVERAGE('25.05 Mutukula-Kampala-24h'!M22,'26.05 Mutukula-Kampala-24h'!M22,'27.05 Mutukula-Kampala-24h '!M22)</f>
        <v>0</v>
      </c>
      <c r="N22" s="46">
        <f>AVERAGE('25.05 Mutukula-Kampala-24h'!N22,'26.05 Mutukula-Kampala-24h'!N22,'27.05 Mutukula-Kampala-24h '!N22)</f>
        <v>0</v>
      </c>
      <c r="O22" s="15">
        <f t="shared" si="0"/>
        <v>9</v>
      </c>
      <c r="P22" s="15">
        <f t="shared" si="1"/>
        <v>9</v>
      </c>
      <c r="R22" s="1" t="s">
        <v>146</v>
      </c>
      <c r="S22" s="31">
        <f>SUM(C58:C61)</f>
        <v>10.333333333333334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2.333333333333333</v>
      </c>
      <c r="W22" s="31">
        <f t="shared" si="14"/>
        <v>0</v>
      </c>
      <c r="X22" s="31">
        <f t="shared" si="14"/>
        <v>0</v>
      </c>
      <c r="Y22" s="31">
        <f t="shared" si="14"/>
        <v>1.3333333333333333</v>
      </c>
      <c r="Z22" s="31">
        <f t="shared" si="14"/>
        <v>3</v>
      </c>
      <c r="AA22" s="31">
        <f t="shared" si="14"/>
        <v>1.6666666666666665</v>
      </c>
      <c r="AB22" s="31">
        <f t="shared" si="14"/>
        <v>5.6666666666666661</v>
      </c>
      <c r="AC22" s="31">
        <f t="shared" si="14"/>
        <v>0</v>
      </c>
      <c r="AD22" s="31">
        <f t="shared" si="14"/>
        <v>0</v>
      </c>
      <c r="AE22" s="28">
        <f t="shared" si="14"/>
        <v>24.333333333333336</v>
      </c>
      <c r="AF22" s="28">
        <f t="shared" si="14"/>
        <v>24.333333333333336</v>
      </c>
    </row>
    <row r="23" spans="2:32" ht="23.1" customHeight="1" x14ac:dyDescent="0.25">
      <c r="B23" s="20" t="s">
        <v>50</v>
      </c>
      <c r="C23" s="46">
        <f>AVERAGE('25.05 Mutukula-Kampala-24h'!C23,'26.05 Mutukula-Kampala-24h'!C23,'27.05 Mutukula-Kampala-24h '!C23)</f>
        <v>0</v>
      </c>
      <c r="D23" s="46">
        <f>AVERAGE('25.05 Mutukula-Kampala-24h'!D23,'26.05 Mutukula-Kampala-24h'!D23,'27.05 Mutukula-Kampala-24h '!D23)</f>
        <v>0</v>
      </c>
      <c r="E23" s="46">
        <f>AVERAGE('25.05 Mutukula-Kampala-24h'!E23,'26.05 Mutukula-Kampala-24h'!E23,'27.05 Mutukula-Kampala-24h '!E23)</f>
        <v>0</v>
      </c>
      <c r="F23" s="46">
        <f>AVERAGE('25.05 Mutukula-Kampala-24h'!F23,'26.05 Mutukula-Kampala-24h'!F23,'27.05 Mutukula-Kampala-24h '!F23)</f>
        <v>0</v>
      </c>
      <c r="G23" s="46">
        <f>AVERAGE('25.05 Mutukula-Kampala-24h'!G23,'26.05 Mutukula-Kampala-24h'!G23,'27.05 Mutukula-Kampala-24h '!G23)</f>
        <v>0</v>
      </c>
      <c r="H23" s="46">
        <f>AVERAGE('25.05 Mutukula-Kampala-24h'!H23,'26.05 Mutukula-Kampala-24h'!H23,'27.05 Mutukula-Kampala-24h '!H23)</f>
        <v>0</v>
      </c>
      <c r="I23" s="46">
        <f>AVERAGE('25.05 Mutukula-Kampala-24h'!I23,'26.05 Mutukula-Kampala-24h'!I23,'27.05 Mutukula-Kampala-24h '!I23)</f>
        <v>0</v>
      </c>
      <c r="J23" s="46">
        <f>AVERAGE('25.05 Mutukula-Kampala-24h'!J23,'26.05 Mutukula-Kampala-24h'!J23,'27.05 Mutukula-Kampala-24h '!J23)</f>
        <v>0</v>
      </c>
      <c r="K23" s="46">
        <f>AVERAGE('25.05 Mutukula-Kampala-24h'!K23,'26.05 Mutukula-Kampala-24h'!K23,'27.05 Mutukula-Kampala-24h '!K23)</f>
        <v>0</v>
      </c>
      <c r="L23" s="46">
        <f>AVERAGE('25.05 Mutukula-Kampala-24h'!L23,'26.05 Mutukula-Kampala-24h'!L23,'27.05 Mutukula-Kampala-24h '!L23)</f>
        <v>0</v>
      </c>
      <c r="M23" s="46">
        <f>AVERAGE('25.05 Mutukula-Kampala-24h'!M23,'26.05 Mutukula-Kampala-24h'!M23,'27.05 Mutukula-Kampala-24h '!M23)</f>
        <v>0</v>
      </c>
      <c r="N23" s="46">
        <f>AVERAGE('25.05 Mutukula-Kampala-24h'!N23,'26.05 Mutukula-Kampala-24h'!N23,'27.05 Mutukula-Kampala-24h '!N23)</f>
        <v>0</v>
      </c>
      <c r="O23" s="15">
        <f t="shared" si="0"/>
        <v>0</v>
      </c>
      <c r="P23" s="15">
        <f t="shared" si="1"/>
        <v>0</v>
      </c>
      <c r="R23" s="1" t="s">
        <v>147</v>
      </c>
      <c r="S23" s="31">
        <f>SUM(C62:C65)</f>
        <v>9.6666666666666661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2.6666666666666665</v>
      </c>
      <c r="W23" s="31">
        <f t="shared" si="15"/>
        <v>0</v>
      </c>
      <c r="X23" s="31">
        <f t="shared" si="15"/>
        <v>1</v>
      </c>
      <c r="Y23" s="31">
        <f t="shared" si="15"/>
        <v>1.3333333333333333</v>
      </c>
      <c r="Z23" s="31">
        <f t="shared" si="15"/>
        <v>2.333333333333333</v>
      </c>
      <c r="AA23" s="31">
        <f t="shared" si="15"/>
        <v>4.6666666666666661</v>
      </c>
      <c r="AB23" s="31">
        <f t="shared" si="15"/>
        <v>1.3333333333333333</v>
      </c>
      <c r="AC23" s="31">
        <f t="shared" si="15"/>
        <v>0</v>
      </c>
      <c r="AD23" s="31">
        <f t="shared" si="15"/>
        <v>0</v>
      </c>
      <c r="AE23" s="28">
        <f t="shared" si="15"/>
        <v>22.999999999999996</v>
      </c>
      <c r="AF23" s="28">
        <f t="shared" si="15"/>
        <v>22.999999999999996</v>
      </c>
    </row>
    <row r="24" spans="2:32" ht="23.1" customHeight="1" x14ac:dyDescent="0.25">
      <c r="B24" s="20" t="s">
        <v>51</v>
      </c>
      <c r="C24" s="46">
        <f>AVERAGE('25.05 Mutukula-Kampala-24h'!C24,'26.05 Mutukula-Kampala-24h'!C24,'27.05 Mutukula-Kampala-24h '!C24)</f>
        <v>5.666666666666667</v>
      </c>
      <c r="D24" s="46">
        <f>AVERAGE('25.05 Mutukula-Kampala-24h'!D24,'26.05 Mutukula-Kampala-24h'!D24,'27.05 Mutukula-Kampala-24h '!D24)</f>
        <v>0</v>
      </c>
      <c r="E24" s="46">
        <f>AVERAGE('25.05 Mutukula-Kampala-24h'!E24,'26.05 Mutukula-Kampala-24h'!E24,'27.05 Mutukula-Kampala-24h '!E24)</f>
        <v>0</v>
      </c>
      <c r="F24" s="46">
        <f>AVERAGE('25.05 Mutukula-Kampala-24h'!F24,'26.05 Mutukula-Kampala-24h'!F24,'27.05 Mutukula-Kampala-24h '!F24)</f>
        <v>1.6666666666666667</v>
      </c>
      <c r="G24" s="46">
        <f>AVERAGE('25.05 Mutukula-Kampala-24h'!G24,'26.05 Mutukula-Kampala-24h'!G24,'27.05 Mutukula-Kampala-24h '!G24)</f>
        <v>0</v>
      </c>
      <c r="H24" s="46">
        <f>AVERAGE('25.05 Mutukula-Kampala-24h'!H24,'26.05 Mutukula-Kampala-24h'!H24,'27.05 Mutukula-Kampala-24h '!H24)</f>
        <v>0.66666666666666663</v>
      </c>
      <c r="I24" s="46">
        <f>AVERAGE('25.05 Mutukula-Kampala-24h'!I24,'26.05 Mutukula-Kampala-24h'!I24,'27.05 Mutukula-Kampala-24h '!I24)</f>
        <v>0.33333333333333331</v>
      </c>
      <c r="J24" s="46">
        <f>AVERAGE('25.05 Mutukula-Kampala-24h'!J24,'26.05 Mutukula-Kampala-24h'!J24,'27.05 Mutukula-Kampala-24h '!J24)</f>
        <v>2.6666666666666665</v>
      </c>
      <c r="K24" s="46">
        <f>AVERAGE('25.05 Mutukula-Kampala-24h'!K24,'26.05 Mutukula-Kampala-24h'!K24,'27.05 Mutukula-Kampala-24h '!K24)</f>
        <v>1.3333333333333333</v>
      </c>
      <c r="L24" s="46">
        <f>AVERAGE('25.05 Mutukula-Kampala-24h'!L24,'26.05 Mutukula-Kampala-24h'!L24,'27.05 Mutukula-Kampala-24h '!L24)</f>
        <v>0.66666666666666663</v>
      </c>
      <c r="M24" s="46">
        <f>AVERAGE('25.05 Mutukula-Kampala-24h'!M24,'26.05 Mutukula-Kampala-24h'!M24,'27.05 Mutukula-Kampala-24h '!M24)</f>
        <v>0</v>
      </c>
      <c r="N24" s="46">
        <f>AVERAGE('25.05 Mutukula-Kampala-24h'!N24,'26.05 Mutukula-Kampala-24h'!N24,'27.05 Mutukula-Kampala-24h '!N24)</f>
        <v>0</v>
      </c>
      <c r="O24" s="15">
        <f t="shared" si="0"/>
        <v>13</v>
      </c>
      <c r="P24" s="15">
        <f t="shared" si="1"/>
        <v>13</v>
      </c>
      <c r="R24" s="1" t="s">
        <v>148</v>
      </c>
      <c r="S24" s="31">
        <f>SUM(C66:C69)</f>
        <v>4.3333333333333339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2</v>
      </c>
      <c r="W24" s="31">
        <f t="shared" si="16"/>
        <v>0</v>
      </c>
      <c r="X24" s="31">
        <f t="shared" si="16"/>
        <v>0</v>
      </c>
      <c r="Y24" s="31">
        <f t="shared" si="16"/>
        <v>1</v>
      </c>
      <c r="Z24" s="31">
        <f t="shared" si="16"/>
        <v>5</v>
      </c>
      <c r="AA24" s="31">
        <f t="shared" si="16"/>
        <v>3.6666666666666665</v>
      </c>
      <c r="AB24" s="31">
        <f t="shared" si="16"/>
        <v>6.3333333333333339</v>
      </c>
      <c r="AC24" s="31">
        <f t="shared" si="16"/>
        <v>0</v>
      </c>
      <c r="AD24" s="31">
        <f t="shared" si="16"/>
        <v>0</v>
      </c>
      <c r="AE24" s="28">
        <f t="shared" si="16"/>
        <v>22.333333333333336</v>
      </c>
      <c r="AF24" s="28">
        <f t="shared" si="16"/>
        <v>22.333333333333336</v>
      </c>
    </row>
    <row r="25" spans="2:32" ht="23.1" customHeight="1" x14ac:dyDescent="0.25">
      <c r="B25" s="20" t="s">
        <v>52</v>
      </c>
      <c r="C25" s="46">
        <f>AVERAGE('25.05 Mutukula-Kampala-24h'!C25,'26.05 Mutukula-Kampala-24h'!C25,'27.05 Mutukula-Kampala-24h '!C25)</f>
        <v>0</v>
      </c>
      <c r="D25" s="46">
        <f>AVERAGE('25.05 Mutukula-Kampala-24h'!D25,'26.05 Mutukula-Kampala-24h'!D25,'27.05 Mutukula-Kampala-24h '!D25)</f>
        <v>0</v>
      </c>
      <c r="E25" s="46">
        <f>AVERAGE('25.05 Mutukula-Kampala-24h'!E25,'26.05 Mutukula-Kampala-24h'!E25,'27.05 Mutukula-Kampala-24h '!E25)</f>
        <v>0</v>
      </c>
      <c r="F25" s="46">
        <f>AVERAGE('25.05 Mutukula-Kampala-24h'!F25,'26.05 Mutukula-Kampala-24h'!F25,'27.05 Mutukula-Kampala-24h '!F25)</f>
        <v>0</v>
      </c>
      <c r="G25" s="46">
        <f>AVERAGE('25.05 Mutukula-Kampala-24h'!G25,'26.05 Mutukula-Kampala-24h'!G25,'27.05 Mutukula-Kampala-24h '!G25)</f>
        <v>0</v>
      </c>
      <c r="H25" s="46">
        <f>AVERAGE('25.05 Mutukula-Kampala-24h'!H25,'26.05 Mutukula-Kampala-24h'!H25,'27.05 Mutukula-Kampala-24h '!H25)</f>
        <v>0</v>
      </c>
      <c r="I25" s="46">
        <f>AVERAGE('25.05 Mutukula-Kampala-24h'!I25,'26.05 Mutukula-Kampala-24h'!I25,'27.05 Mutukula-Kampala-24h '!I25)</f>
        <v>0</v>
      </c>
      <c r="J25" s="46">
        <f>AVERAGE('25.05 Mutukula-Kampala-24h'!J25,'26.05 Mutukula-Kampala-24h'!J25,'27.05 Mutukula-Kampala-24h '!J25)</f>
        <v>0</v>
      </c>
      <c r="K25" s="46">
        <f>AVERAGE('25.05 Mutukula-Kampala-24h'!K25,'26.05 Mutukula-Kampala-24h'!K25,'27.05 Mutukula-Kampala-24h '!K25)</f>
        <v>0</v>
      </c>
      <c r="L25" s="46">
        <f>AVERAGE('25.05 Mutukula-Kampala-24h'!L25,'26.05 Mutukula-Kampala-24h'!L25,'27.05 Mutukula-Kampala-24h '!L25)</f>
        <v>0</v>
      </c>
      <c r="M25" s="46">
        <f>AVERAGE('25.05 Mutukula-Kampala-24h'!M25,'26.05 Mutukula-Kampala-24h'!M25,'27.05 Mutukula-Kampala-24h '!M25)</f>
        <v>0</v>
      </c>
      <c r="N25" s="46">
        <f>AVERAGE('25.05 Mutukula-Kampala-24h'!N25,'26.05 Mutukula-Kampala-24h'!N25,'27.05 Mutukula-Kampala-24h '!N25)</f>
        <v>0</v>
      </c>
      <c r="O25" s="15">
        <f t="shared" si="0"/>
        <v>0</v>
      </c>
      <c r="P25" s="15">
        <f t="shared" si="1"/>
        <v>0</v>
      </c>
      <c r="R25" s="1" t="s">
        <v>149</v>
      </c>
      <c r="S25" s="31">
        <f>SUM(C70:C73)</f>
        <v>5.3333333333333339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3.333333333333333</v>
      </c>
      <c r="W25" s="31">
        <f t="shared" si="17"/>
        <v>0</v>
      </c>
      <c r="X25" s="31">
        <f t="shared" si="17"/>
        <v>0</v>
      </c>
      <c r="Y25" s="31">
        <f t="shared" si="17"/>
        <v>2.3333333333333335</v>
      </c>
      <c r="Z25" s="31">
        <f t="shared" si="17"/>
        <v>3.666666666666667</v>
      </c>
      <c r="AA25" s="31">
        <f t="shared" si="17"/>
        <v>1.6666666666666665</v>
      </c>
      <c r="AB25" s="31">
        <f t="shared" si="17"/>
        <v>5</v>
      </c>
      <c r="AC25" s="31">
        <f t="shared" si="17"/>
        <v>0</v>
      </c>
      <c r="AD25" s="31">
        <f t="shared" si="17"/>
        <v>0</v>
      </c>
      <c r="AE25" s="28">
        <f t="shared" si="17"/>
        <v>21.333333333333332</v>
      </c>
      <c r="AF25" s="28">
        <f t="shared" si="17"/>
        <v>21.333333333333332</v>
      </c>
    </row>
    <row r="26" spans="2:32" ht="23.1" customHeight="1" x14ac:dyDescent="0.25">
      <c r="B26" s="20" t="s">
        <v>53</v>
      </c>
      <c r="C26" s="46">
        <f>AVERAGE('25.05 Mutukula-Kampala-24h'!C26,'26.05 Mutukula-Kampala-24h'!C26,'27.05 Mutukula-Kampala-24h '!C26)</f>
        <v>4.666666666666667</v>
      </c>
      <c r="D26" s="46">
        <f>AVERAGE('25.05 Mutukula-Kampala-24h'!D26,'26.05 Mutukula-Kampala-24h'!D26,'27.05 Mutukula-Kampala-24h '!D26)</f>
        <v>0</v>
      </c>
      <c r="E26" s="46">
        <f>AVERAGE('25.05 Mutukula-Kampala-24h'!E26,'26.05 Mutukula-Kampala-24h'!E26,'27.05 Mutukula-Kampala-24h '!E26)</f>
        <v>0</v>
      </c>
      <c r="F26" s="46">
        <f>AVERAGE('25.05 Mutukula-Kampala-24h'!F26,'26.05 Mutukula-Kampala-24h'!F26,'27.05 Mutukula-Kampala-24h '!F26)</f>
        <v>2.3333333333333335</v>
      </c>
      <c r="G26" s="46">
        <f>AVERAGE('25.05 Mutukula-Kampala-24h'!G26,'26.05 Mutukula-Kampala-24h'!G26,'27.05 Mutukula-Kampala-24h '!G26)</f>
        <v>0</v>
      </c>
      <c r="H26" s="46">
        <f>AVERAGE('25.05 Mutukula-Kampala-24h'!H26,'26.05 Mutukula-Kampala-24h'!H26,'27.05 Mutukula-Kampala-24h '!H26)</f>
        <v>0</v>
      </c>
      <c r="I26" s="46">
        <f>AVERAGE('25.05 Mutukula-Kampala-24h'!I26,'26.05 Mutukula-Kampala-24h'!I26,'27.05 Mutukula-Kampala-24h '!I26)</f>
        <v>0.33333333333333331</v>
      </c>
      <c r="J26" s="46">
        <f>AVERAGE('25.05 Mutukula-Kampala-24h'!J26,'26.05 Mutukula-Kampala-24h'!J26,'27.05 Mutukula-Kampala-24h '!J26)</f>
        <v>1.6666666666666667</v>
      </c>
      <c r="K26" s="46">
        <f>AVERAGE('25.05 Mutukula-Kampala-24h'!K26,'26.05 Mutukula-Kampala-24h'!K26,'27.05 Mutukula-Kampala-24h '!K26)</f>
        <v>0</v>
      </c>
      <c r="L26" s="46">
        <f>AVERAGE('25.05 Mutukula-Kampala-24h'!L26,'26.05 Mutukula-Kampala-24h'!L26,'27.05 Mutukula-Kampala-24h '!L26)</f>
        <v>0.66666666666666663</v>
      </c>
      <c r="M26" s="46">
        <f>AVERAGE('25.05 Mutukula-Kampala-24h'!M26,'26.05 Mutukula-Kampala-24h'!M26,'27.05 Mutukula-Kampala-24h '!M26)</f>
        <v>0</v>
      </c>
      <c r="N26" s="46">
        <f>AVERAGE('25.05 Mutukula-Kampala-24h'!N26,'26.05 Mutukula-Kampala-24h'!N26,'27.05 Mutukula-Kampala-24h '!N26)</f>
        <v>0</v>
      </c>
      <c r="O26" s="15">
        <f t="shared" si="0"/>
        <v>9.6666666666666661</v>
      </c>
      <c r="P26" s="15">
        <f t="shared" si="1"/>
        <v>9.6666666666666661</v>
      </c>
      <c r="R26" s="1" t="s">
        <v>150</v>
      </c>
      <c r="S26" s="31">
        <f>SUM(C74:C77)</f>
        <v>3.6666666666666665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2.333333333333333</v>
      </c>
      <c r="W26" s="31">
        <f t="shared" si="18"/>
        <v>0</v>
      </c>
      <c r="X26" s="31">
        <f t="shared" si="18"/>
        <v>0</v>
      </c>
      <c r="Y26" s="31">
        <f t="shared" si="18"/>
        <v>2.6666666666666665</v>
      </c>
      <c r="Z26" s="31">
        <f t="shared" si="18"/>
        <v>4.333333333333333</v>
      </c>
      <c r="AA26" s="31">
        <f t="shared" si="18"/>
        <v>1.6666666666666665</v>
      </c>
      <c r="AB26" s="31">
        <f t="shared" si="18"/>
        <v>3.666666666666667</v>
      </c>
      <c r="AC26" s="31">
        <f t="shared" si="18"/>
        <v>0</v>
      </c>
      <c r="AD26" s="31">
        <f t="shared" si="18"/>
        <v>0</v>
      </c>
      <c r="AE26" s="28">
        <f t="shared" si="18"/>
        <v>18.333333333333332</v>
      </c>
      <c r="AF26" s="28">
        <f t="shared" si="18"/>
        <v>18.333333333333332</v>
      </c>
    </row>
    <row r="27" spans="2:32" ht="23.1" customHeight="1" x14ac:dyDescent="0.25">
      <c r="B27" s="20" t="s">
        <v>54</v>
      </c>
      <c r="C27" s="46">
        <f>AVERAGE('25.05 Mutukula-Kampala-24h'!C27,'26.05 Mutukula-Kampala-24h'!C27,'27.05 Mutukula-Kampala-24h '!C27)</f>
        <v>0</v>
      </c>
      <c r="D27" s="46">
        <f>AVERAGE('25.05 Mutukula-Kampala-24h'!D27,'26.05 Mutukula-Kampala-24h'!D27,'27.05 Mutukula-Kampala-24h '!D27)</f>
        <v>0</v>
      </c>
      <c r="E27" s="46">
        <f>AVERAGE('25.05 Mutukula-Kampala-24h'!E27,'26.05 Mutukula-Kampala-24h'!E27,'27.05 Mutukula-Kampala-24h '!E27)</f>
        <v>0</v>
      </c>
      <c r="F27" s="46">
        <f>AVERAGE('25.05 Mutukula-Kampala-24h'!F27,'26.05 Mutukula-Kampala-24h'!F27,'27.05 Mutukula-Kampala-24h '!F27)</f>
        <v>0</v>
      </c>
      <c r="G27" s="46">
        <f>AVERAGE('25.05 Mutukula-Kampala-24h'!G27,'26.05 Mutukula-Kampala-24h'!G27,'27.05 Mutukula-Kampala-24h '!G27)</f>
        <v>0</v>
      </c>
      <c r="H27" s="46">
        <f>AVERAGE('25.05 Mutukula-Kampala-24h'!H27,'26.05 Mutukula-Kampala-24h'!H27,'27.05 Mutukula-Kampala-24h '!H27)</f>
        <v>0</v>
      </c>
      <c r="I27" s="46">
        <f>AVERAGE('25.05 Mutukula-Kampala-24h'!I27,'26.05 Mutukula-Kampala-24h'!I27,'27.05 Mutukula-Kampala-24h '!I27)</f>
        <v>0</v>
      </c>
      <c r="J27" s="46">
        <f>AVERAGE('25.05 Mutukula-Kampala-24h'!J27,'26.05 Mutukula-Kampala-24h'!J27,'27.05 Mutukula-Kampala-24h '!J27)</f>
        <v>0</v>
      </c>
      <c r="K27" s="46">
        <f>AVERAGE('25.05 Mutukula-Kampala-24h'!K27,'26.05 Mutukula-Kampala-24h'!K27,'27.05 Mutukula-Kampala-24h '!K27)</f>
        <v>0</v>
      </c>
      <c r="L27" s="46">
        <f>AVERAGE('25.05 Mutukula-Kampala-24h'!L27,'26.05 Mutukula-Kampala-24h'!L27,'27.05 Mutukula-Kampala-24h '!L27)</f>
        <v>0</v>
      </c>
      <c r="M27" s="46">
        <f>AVERAGE('25.05 Mutukula-Kampala-24h'!M27,'26.05 Mutukula-Kampala-24h'!M27,'27.05 Mutukula-Kampala-24h '!M27)</f>
        <v>0</v>
      </c>
      <c r="N27" s="46">
        <f>AVERAGE('25.05 Mutukula-Kampala-24h'!N27,'26.05 Mutukula-Kampala-24h'!N27,'27.05 Mutukula-Kampala-24h '!N27)</f>
        <v>0</v>
      </c>
      <c r="O27" s="15">
        <f t="shared" si="0"/>
        <v>0</v>
      </c>
      <c r="P27" s="15">
        <f t="shared" si="1"/>
        <v>0</v>
      </c>
      <c r="R27" s="1" t="s">
        <v>151</v>
      </c>
      <c r="S27" s="31">
        <f>SUM(C78:C81)</f>
        <v>2.3333333333333335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2.3333333333333335</v>
      </c>
      <c r="W27" s="31">
        <f t="shared" si="19"/>
        <v>0</v>
      </c>
      <c r="X27" s="31">
        <f t="shared" si="19"/>
        <v>0</v>
      </c>
      <c r="Y27" s="31">
        <f t="shared" si="19"/>
        <v>1.6666666666666665</v>
      </c>
      <c r="Z27" s="31">
        <f t="shared" si="19"/>
        <v>1.3333333333333333</v>
      </c>
      <c r="AA27" s="31">
        <f t="shared" si="19"/>
        <v>1</v>
      </c>
      <c r="AB27" s="31">
        <f t="shared" si="19"/>
        <v>6</v>
      </c>
      <c r="AC27" s="31">
        <f t="shared" si="19"/>
        <v>0</v>
      </c>
      <c r="AD27" s="31">
        <f t="shared" si="19"/>
        <v>0</v>
      </c>
      <c r="AE27" s="28">
        <f t="shared" si="19"/>
        <v>14.666666666666668</v>
      </c>
      <c r="AF27" s="28">
        <f t="shared" si="19"/>
        <v>14.666666666666668</v>
      </c>
    </row>
    <row r="28" spans="2:32" ht="23.1" customHeight="1" x14ac:dyDescent="0.25">
      <c r="B28" s="20" t="s">
        <v>55</v>
      </c>
      <c r="C28" s="46">
        <f>AVERAGE('25.05 Mutukula-Kampala-24h'!C28,'26.05 Mutukula-Kampala-24h'!C28,'27.05 Mutukula-Kampala-24h '!C28)</f>
        <v>3.3333333333333335</v>
      </c>
      <c r="D28" s="46">
        <f>AVERAGE('25.05 Mutukula-Kampala-24h'!D28,'26.05 Mutukula-Kampala-24h'!D28,'27.05 Mutukula-Kampala-24h '!D28)</f>
        <v>0</v>
      </c>
      <c r="E28" s="46">
        <f>AVERAGE('25.05 Mutukula-Kampala-24h'!E28,'26.05 Mutukula-Kampala-24h'!E28,'27.05 Mutukula-Kampala-24h '!E28)</f>
        <v>0</v>
      </c>
      <c r="F28" s="46">
        <f>AVERAGE('25.05 Mutukula-Kampala-24h'!F28,'26.05 Mutukula-Kampala-24h'!F28,'27.05 Mutukula-Kampala-24h '!F28)</f>
        <v>1.3333333333333333</v>
      </c>
      <c r="G28" s="46">
        <f>AVERAGE('25.05 Mutukula-Kampala-24h'!G28,'26.05 Mutukula-Kampala-24h'!G28,'27.05 Mutukula-Kampala-24h '!G28)</f>
        <v>0</v>
      </c>
      <c r="H28" s="46">
        <f>AVERAGE('25.05 Mutukula-Kampala-24h'!H28,'26.05 Mutukula-Kampala-24h'!H28,'27.05 Mutukula-Kampala-24h '!H28)</f>
        <v>0</v>
      </c>
      <c r="I28" s="46">
        <f>AVERAGE('25.05 Mutukula-Kampala-24h'!I28,'26.05 Mutukula-Kampala-24h'!I28,'27.05 Mutukula-Kampala-24h '!I28)</f>
        <v>0</v>
      </c>
      <c r="J28" s="46">
        <f>AVERAGE('25.05 Mutukula-Kampala-24h'!J28,'26.05 Mutukula-Kampala-24h'!J28,'27.05 Mutukula-Kampala-24h '!J28)</f>
        <v>3</v>
      </c>
      <c r="K28" s="46">
        <f>AVERAGE('25.05 Mutukula-Kampala-24h'!K28,'26.05 Mutukula-Kampala-24h'!K28,'27.05 Mutukula-Kampala-24h '!K28)</f>
        <v>0</v>
      </c>
      <c r="L28" s="46">
        <f>AVERAGE('25.05 Mutukula-Kampala-24h'!L28,'26.05 Mutukula-Kampala-24h'!L28,'27.05 Mutukula-Kampala-24h '!L28)</f>
        <v>0</v>
      </c>
      <c r="M28" s="46">
        <f>AVERAGE('25.05 Mutukula-Kampala-24h'!M28,'26.05 Mutukula-Kampala-24h'!M28,'27.05 Mutukula-Kampala-24h '!M28)</f>
        <v>0</v>
      </c>
      <c r="N28" s="46">
        <f>AVERAGE('25.05 Mutukula-Kampala-24h'!N28,'26.05 Mutukula-Kampala-24h'!N28,'27.05 Mutukula-Kampala-24h '!N28)</f>
        <v>0</v>
      </c>
      <c r="O28" s="15">
        <f t="shared" si="0"/>
        <v>7.666666666666667</v>
      </c>
      <c r="P28" s="15">
        <f t="shared" si="1"/>
        <v>7.666666666666667</v>
      </c>
      <c r="R28" s="1" t="s">
        <v>152</v>
      </c>
      <c r="S28" s="31">
        <f>SUM(C82:C85)</f>
        <v>1.3333333333333333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0.33333333333333331</v>
      </c>
      <c r="W28" s="31">
        <f t="shared" si="20"/>
        <v>0</v>
      </c>
      <c r="X28" s="31">
        <f t="shared" si="20"/>
        <v>0</v>
      </c>
      <c r="Y28" s="31">
        <f t="shared" si="20"/>
        <v>0.33333333333333331</v>
      </c>
      <c r="Z28" s="31">
        <f t="shared" si="20"/>
        <v>0.66666666666666663</v>
      </c>
      <c r="AA28" s="31">
        <f t="shared" si="20"/>
        <v>0</v>
      </c>
      <c r="AB28" s="31">
        <f t="shared" si="20"/>
        <v>1</v>
      </c>
      <c r="AC28" s="31">
        <f t="shared" si="20"/>
        <v>0</v>
      </c>
      <c r="AD28" s="31">
        <f t="shared" si="20"/>
        <v>0</v>
      </c>
      <c r="AE28" s="28">
        <f t="shared" si="20"/>
        <v>3.6666666666666665</v>
      </c>
      <c r="AF28" s="28">
        <f t="shared" si="20"/>
        <v>3.6666666666666665</v>
      </c>
    </row>
    <row r="29" spans="2:32" ht="23.1" customHeight="1" x14ac:dyDescent="0.25">
      <c r="B29" s="20" t="s">
        <v>56</v>
      </c>
      <c r="C29" s="46">
        <f>AVERAGE('25.05 Mutukula-Kampala-24h'!C29,'26.05 Mutukula-Kampala-24h'!C29,'27.05 Mutukula-Kampala-24h '!C29)</f>
        <v>0</v>
      </c>
      <c r="D29" s="46">
        <f>AVERAGE('25.05 Mutukula-Kampala-24h'!D29,'26.05 Mutukula-Kampala-24h'!D29,'27.05 Mutukula-Kampala-24h '!D29)</f>
        <v>0</v>
      </c>
      <c r="E29" s="46">
        <f>AVERAGE('25.05 Mutukula-Kampala-24h'!E29,'26.05 Mutukula-Kampala-24h'!E29,'27.05 Mutukula-Kampala-24h '!E29)</f>
        <v>0</v>
      </c>
      <c r="F29" s="46">
        <f>AVERAGE('25.05 Mutukula-Kampala-24h'!F29,'26.05 Mutukula-Kampala-24h'!F29,'27.05 Mutukula-Kampala-24h '!F29)</f>
        <v>0</v>
      </c>
      <c r="G29" s="46">
        <f>AVERAGE('25.05 Mutukula-Kampala-24h'!G29,'26.05 Mutukula-Kampala-24h'!G29,'27.05 Mutukula-Kampala-24h '!G29)</f>
        <v>0</v>
      </c>
      <c r="H29" s="46">
        <f>AVERAGE('25.05 Mutukula-Kampala-24h'!H29,'26.05 Mutukula-Kampala-24h'!H29,'27.05 Mutukula-Kampala-24h '!H29)</f>
        <v>0</v>
      </c>
      <c r="I29" s="46">
        <f>AVERAGE('25.05 Mutukula-Kampala-24h'!I29,'26.05 Mutukula-Kampala-24h'!I29,'27.05 Mutukula-Kampala-24h '!I29)</f>
        <v>0</v>
      </c>
      <c r="J29" s="46">
        <f>AVERAGE('25.05 Mutukula-Kampala-24h'!J29,'26.05 Mutukula-Kampala-24h'!J29,'27.05 Mutukula-Kampala-24h '!J29)</f>
        <v>0</v>
      </c>
      <c r="K29" s="46">
        <f>AVERAGE('25.05 Mutukula-Kampala-24h'!K29,'26.05 Mutukula-Kampala-24h'!K29,'27.05 Mutukula-Kampala-24h '!K29)</f>
        <v>0</v>
      </c>
      <c r="L29" s="46">
        <f>AVERAGE('25.05 Mutukula-Kampala-24h'!L29,'26.05 Mutukula-Kampala-24h'!L29,'27.05 Mutukula-Kampala-24h '!L29)</f>
        <v>0</v>
      </c>
      <c r="M29" s="46">
        <f>AVERAGE('25.05 Mutukula-Kampala-24h'!M29,'26.05 Mutukula-Kampala-24h'!M29,'27.05 Mutukula-Kampala-24h '!M29)</f>
        <v>0</v>
      </c>
      <c r="N29" s="46">
        <f>AVERAGE('25.05 Mutukula-Kampala-24h'!N29,'26.05 Mutukula-Kampala-24h'!N29,'27.05 Mutukula-Kampala-24h '!N29)</f>
        <v>0</v>
      </c>
      <c r="O29" s="15">
        <f t="shared" si="0"/>
        <v>0</v>
      </c>
      <c r="P29" s="15">
        <f t="shared" si="1"/>
        <v>0</v>
      </c>
      <c r="R29" s="1" t="s">
        <v>153</v>
      </c>
      <c r="S29" s="31">
        <f>SUM(C86:C89)</f>
        <v>0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</v>
      </c>
      <c r="W29" s="31">
        <f t="shared" si="21"/>
        <v>0</v>
      </c>
      <c r="X29" s="31">
        <f t="shared" si="21"/>
        <v>0</v>
      </c>
      <c r="Y29" s="31">
        <f t="shared" si="21"/>
        <v>0</v>
      </c>
      <c r="Z29" s="31">
        <f t="shared" si="21"/>
        <v>0</v>
      </c>
      <c r="AA29" s="31">
        <f t="shared" si="21"/>
        <v>0</v>
      </c>
      <c r="AB29" s="31">
        <f t="shared" si="21"/>
        <v>0</v>
      </c>
      <c r="AC29" s="31">
        <f t="shared" si="21"/>
        <v>0</v>
      </c>
      <c r="AD29" s="31">
        <f t="shared" si="21"/>
        <v>0</v>
      </c>
      <c r="AE29" s="28">
        <f t="shared" si="21"/>
        <v>0</v>
      </c>
      <c r="AF29" s="28">
        <f t="shared" si="21"/>
        <v>0</v>
      </c>
    </row>
    <row r="30" spans="2:32" ht="23.1" customHeight="1" x14ac:dyDescent="0.25">
      <c r="B30" s="20" t="s">
        <v>57</v>
      </c>
      <c r="C30" s="46">
        <f>AVERAGE('25.05 Mutukula-Kampala-24h'!C30,'26.05 Mutukula-Kampala-24h'!C30,'27.05 Mutukula-Kampala-24h '!C30)</f>
        <v>6</v>
      </c>
      <c r="D30" s="46">
        <f>AVERAGE('25.05 Mutukula-Kampala-24h'!D30,'26.05 Mutukula-Kampala-24h'!D30,'27.05 Mutukula-Kampala-24h '!D30)</f>
        <v>0</v>
      </c>
      <c r="E30" s="46">
        <f>AVERAGE('25.05 Mutukula-Kampala-24h'!E30,'26.05 Mutukula-Kampala-24h'!E30,'27.05 Mutukula-Kampala-24h '!E30)</f>
        <v>0</v>
      </c>
      <c r="F30" s="46">
        <f>AVERAGE('25.05 Mutukula-Kampala-24h'!F30,'26.05 Mutukula-Kampala-24h'!F30,'27.05 Mutukula-Kampala-24h '!F30)</f>
        <v>1.3333333333333333</v>
      </c>
      <c r="G30" s="46">
        <f>AVERAGE('25.05 Mutukula-Kampala-24h'!G30,'26.05 Mutukula-Kampala-24h'!G30,'27.05 Mutukula-Kampala-24h '!G30)</f>
        <v>0</v>
      </c>
      <c r="H30" s="46">
        <f>AVERAGE('25.05 Mutukula-Kampala-24h'!H30,'26.05 Mutukula-Kampala-24h'!H30,'27.05 Mutukula-Kampala-24h '!H30)</f>
        <v>0</v>
      </c>
      <c r="I30" s="46">
        <f>AVERAGE('25.05 Mutukula-Kampala-24h'!I30,'26.05 Mutukula-Kampala-24h'!I30,'27.05 Mutukula-Kampala-24h '!I30)</f>
        <v>0</v>
      </c>
      <c r="J30" s="46">
        <f>AVERAGE('25.05 Mutukula-Kampala-24h'!J30,'26.05 Mutukula-Kampala-24h'!J30,'27.05 Mutukula-Kampala-24h '!J30)</f>
        <v>1.3333333333333333</v>
      </c>
      <c r="K30" s="46">
        <f>AVERAGE('25.05 Mutukula-Kampala-24h'!K30,'26.05 Mutukula-Kampala-24h'!K30,'27.05 Mutukula-Kampala-24h '!K30)</f>
        <v>0.33333333333333331</v>
      </c>
      <c r="L30" s="46">
        <f>AVERAGE('25.05 Mutukula-Kampala-24h'!L30,'26.05 Mutukula-Kampala-24h'!L30,'27.05 Mutukula-Kampala-24h '!L30)</f>
        <v>0</v>
      </c>
      <c r="M30" s="46">
        <f>AVERAGE('25.05 Mutukula-Kampala-24h'!M30,'26.05 Mutukula-Kampala-24h'!M30,'27.05 Mutukula-Kampala-24h '!M30)</f>
        <v>0</v>
      </c>
      <c r="N30" s="46">
        <f>AVERAGE('25.05 Mutukula-Kampala-24h'!N30,'26.05 Mutukula-Kampala-24h'!N30,'27.05 Mutukula-Kampala-24h '!N30)</f>
        <v>0</v>
      </c>
      <c r="O30" s="15">
        <f t="shared" si="0"/>
        <v>9</v>
      </c>
      <c r="P30" s="15">
        <f t="shared" si="1"/>
        <v>9</v>
      </c>
      <c r="R30" s="1" t="s">
        <v>154</v>
      </c>
      <c r="S30" s="31">
        <f>SUM(C90:C93)</f>
        <v>0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</v>
      </c>
      <c r="AC30" s="31">
        <f t="shared" si="22"/>
        <v>0</v>
      </c>
      <c r="AD30" s="31">
        <f t="shared" si="22"/>
        <v>0</v>
      </c>
      <c r="AE30" s="28">
        <f t="shared" si="22"/>
        <v>0</v>
      </c>
      <c r="AF30" s="28">
        <f t="shared" si="22"/>
        <v>0</v>
      </c>
    </row>
    <row r="31" spans="2:32" ht="23.1" customHeight="1" x14ac:dyDescent="0.25">
      <c r="B31" s="21" t="s">
        <v>58</v>
      </c>
      <c r="C31" s="46">
        <f>AVERAGE('25.05 Mutukula-Kampala-24h'!C31,'26.05 Mutukula-Kampala-24h'!C31,'27.05 Mutukula-Kampala-24h '!C31)</f>
        <v>0</v>
      </c>
      <c r="D31" s="46">
        <f>AVERAGE('25.05 Mutukula-Kampala-24h'!D31,'26.05 Mutukula-Kampala-24h'!D31,'27.05 Mutukula-Kampala-24h '!D31)</f>
        <v>0</v>
      </c>
      <c r="E31" s="46">
        <f>AVERAGE('25.05 Mutukula-Kampala-24h'!E31,'26.05 Mutukula-Kampala-24h'!E31,'27.05 Mutukula-Kampala-24h '!E31)</f>
        <v>0</v>
      </c>
      <c r="F31" s="46">
        <f>AVERAGE('25.05 Mutukula-Kampala-24h'!F31,'26.05 Mutukula-Kampala-24h'!F31,'27.05 Mutukula-Kampala-24h '!F31)</f>
        <v>0</v>
      </c>
      <c r="G31" s="46">
        <f>AVERAGE('25.05 Mutukula-Kampala-24h'!G31,'26.05 Mutukula-Kampala-24h'!G31,'27.05 Mutukula-Kampala-24h '!G31)</f>
        <v>0</v>
      </c>
      <c r="H31" s="46">
        <f>AVERAGE('25.05 Mutukula-Kampala-24h'!H31,'26.05 Mutukula-Kampala-24h'!H31,'27.05 Mutukula-Kampala-24h '!H31)</f>
        <v>0</v>
      </c>
      <c r="I31" s="46">
        <f>AVERAGE('25.05 Mutukula-Kampala-24h'!I31,'26.05 Mutukula-Kampala-24h'!I31,'27.05 Mutukula-Kampala-24h '!I31)</f>
        <v>0</v>
      </c>
      <c r="J31" s="46">
        <f>AVERAGE('25.05 Mutukula-Kampala-24h'!J31,'26.05 Mutukula-Kampala-24h'!J31,'27.05 Mutukula-Kampala-24h '!J31)</f>
        <v>0</v>
      </c>
      <c r="K31" s="46">
        <f>AVERAGE('25.05 Mutukula-Kampala-24h'!K31,'26.05 Mutukula-Kampala-24h'!K31,'27.05 Mutukula-Kampala-24h '!K31)</f>
        <v>0</v>
      </c>
      <c r="L31" s="46">
        <f>AVERAGE('25.05 Mutukula-Kampala-24h'!L31,'26.05 Mutukula-Kampala-24h'!L31,'27.05 Mutukula-Kampala-24h '!L31)</f>
        <v>0</v>
      </c>
      <c r="M31" s="46">
        <f>AVERAGE('25.05 Mutukula-Kampala-24h'!M31,'26.05 Mutukula-Kampala-24h'!M31,'27.05 Mutukula-Kampala-24h '!M31)</f>
        <v>0</v>
      </c>
      <c r="N31" s="46">
        <f>AVERAGE('25.05 Mutukula-Kampala-24h'!N31,'26.05 Mutukula-Kampala-24h'!N31,'27.05 Mutukula-Kampala-24h '!N31)</f>
        <v>0</v>
      </c>
      <c r="O31" s="15">
        <f t="shared" si="0"/>
        <v>0</v>
      </c>
      <c r="P31" s="15">
        <f t="shared" si="1"/>
        <v>0</v>
      </c>
      <c r="R31" s="1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</v>
      </c>
      <c r="AC31" s="31">
        <f t="shared" si="23"/>
        <v>0</v>
      </c>
      <c r="AD31" s="31">
        <f t="shared" si="23"/>
        <v>0</v>
      </c>
      <c r="AE31" s="28">
        <f t="shared" si="23"/>
        <v>0</v>
      </c>
      <c r="AF31" s="28">
        <f t="shared" si="23"/>
        <v>0</v>
      </c>
    </row>
    <row r="32" spans="2:32" ht="23.1" customHeight="1" x14ac:dyDescent="0.25">
      <c r="B32" s="21" t="s">
        <v>59</v>
      </c>
      <c r="C32" s="46">
        <f>AVERAGE('25.05 Mutukula-Kampala-24h'!C32,'26.05 Mutukula-Kampala-24h'!C32,'27.05 Mutukula-Kampala-24h '!C32)</f>
        <v>3</v>
      </c>
      <c r="D32" s="46">
        <f>AVERAGE('25.05 Mutukula-Kampala-24h'!D32,'26.05 Mutukula-Kampala-24h'!D32,'27.05 Mutukula-Kampala-24h '!D32)</f>
        <v>0</v>
      </c>
      <c r="E32" s="46">
        <f>AVERAGE('25.05 Mutukula-Kampala-24h'!E32,'26.05 Mutukula-Kampala-24h'!E32,'27.05 Mutukula-Kampala-24h '!E32)</f>
        <v>0</v>
      </c>
      <c r="F32" s="46">
        <f>AVERAGE('25.05 Mutukula-Kampala-24h'!F32,'26.05 Mutukula-Kampala-24h'!F32,'27.05 Mutukula-Kampala-24h '!F32)</f>
        <v>2.3333333333333335</v>
      </c>
      <c r="G32" s="46">
        <f>AVERAGE('25.05 Mutukula-Kampala-24h'!G32,'26.05 Mutukula-Kampala-24h'!G32,'27.05 Mutukula-Kampala-24h '!G32)</f>
        <v>0</v>
      </c>
      <c r="H32" s="46">
        <f>AVERAGE('25.05 Mutukula-Kampala-24h'!H32,'26.05 Mutukula-Kampala-24h'!H32,'27.05 Mutukula-Kampala-24h '!H32)</f>
        <v>0</v>
      </c>
      <c r="I32" s="46">
        <f>AVERAGE('25.05 Mutukula-Kampala-24h'!I32,'26.05 Mutukula-Kampala-24h'!I32,'27.05 Mutukula-Kampala-24h '!I32)</f>
        <v>1.3333333333333333</v>
      </c>
      <c r="J32" s="46">
        <f>AVERAGE('25.05 Mutukula-Kampala-24h'!J32,'26.05 Mutukula-Kampala-24h'!J32,'27.05 Mutukula-Kampala-24h '!J32)</f>
        <v>1.3333333333333333</v>
      </c>
      <c r="K32" s="46">
        <f>AVERAGE('25.05 Mutukula-Kampala-24h'!K32,'26.05 Mutukula-Kampala-24h'!K32,'27.05 Mutukula-Kampala-24h '!K32)</f>
        <v>0.66666666666666663</v>
      </c>
      <c r="L32" s="46">
        <f>AVERAGE('25.05 Mutukula-Kampala-24h'!L32,'26.05 Mutukula-Kampala-24h'!L32,'27.05 Mutukula-Kampala-24h '!L32)</f>
        <v>1.3333333333333333</v>
      </c>
      <c r="M32" s="46">
        <f>AVERAGE('25.05 Mutukula-Kampala-24h'!M32,'26.05 Mutukula-Kampala-24h'!M32,'27.05 Mutukula-Kampala-24h '!M32)</f>
        <v>0</v>
      </c>
      <c r="N32" s="46">
        <f>AVERAGE('25.05 Mutukula-Kampala-24h'!N32,'26.05 Mutukula-Kampala-24h'!N32,'27.05 Mutukula-Kampala-24h '!N32)</f>
        <v>0</v>
      </c>
      <c r="O32" s="15">
        <f t="shared" si="0"/>
        <v>10</v>
      </c>
      <c r="P32" s="15">
        <f t="shared" si="1"/>
        <v>10</v>
      </c>
      <c r="R32" s="1" t="s">
        <v>156</v>
      </c>
      <c r="S32" s="31">
        <f>SUM(C98:C101)</f>
        <v>0.33333333333333331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1</v>
      </c>
      <c r="W32" s="31">
        <f t="shared" si="24"/>
        <v>0.66666666666666663</v>
      </c>
      <c r="X32" s="31">
        <f t="shared" si="24"/>
        <v>0.66666666666666663</v>
      </c>
      <c r="Y32" s="31">
        <f t="shared" si="24"/>
        <v>0.33333333333333331</v>
      </c>
      <c r="Z32" s="31">
        <f t="shared" si="24"/>
        <v>0.66666666666666663</v>
      </c>
      <c r="AA32" s="31">
        <f t="shared" si="24"/>
        <v>1.6666666666666665</v>
      </c>
      <c r="AB32" s="31">
        <f t="shared" si="24"/>
        <v>0.66666666666666663</v>
      </c>
      <c r="AC32" s="31">
        <f t="shared" si="24"/>
        <v>0</v>
      </c>
      <c r="AD32" s="31">
        <f t="shared" si="24"/>
        <v>0</v>
      </c>
      <c r="AE32" s="28">
        <f t="shared" si="24"/>
        <v>6</v>
      </c>
      <c r="AF32" s="28">
        <f t="shared" si="24"/>
        <v>6</v>
      </c>
    </row>
    <row r="33" spans="2:32" ht="23.1" customHeight="1" x14ac:dyDescent="0.25">
      <c r="B33" s="20" t="s">
        <v>60</v>
      </c>
      <c r="C33" s="46">
        <f>AVERAGE('25.05 Mutukula-Kampala-24h'!C33,'26.05 Mutukula-Kampala-24h'!C33,'27.05 Mutukula-Kampala-24h '!C33)</f>
        <v>0</v>
      </c>
      <c r="D33" s="46">
        <f>AVERAGE('25.05 Mutukula-Kampala-24h'!D33,'26.05 Mutukula-Kampala-24h'!D33,'27.05 Mutukula-Kampala-24h '!D33)</f>
        <v>0</v>
      </c>
      <c r="E33" s="46">
        <f>AVERAGE('25.05 Mutukula-Kampala-24h'!E33,'26.05 Mutukula-Kampala-24h'!E33,'27.05 Mutukula-Kampala-24h '!E33)</f>
        <v>0</v>
      </c>
      <c r="F33" s="46">
        <f>AVERAGE('25.05 Mutukula-Kampala-24h'!F33,'26.05 Mutukula-Kampala-24h'!F33,'27.05 Mutukula-Kampala-24h '!F33)</f>
        <v>0</v>
      </c>
      <c r="G33" s="46">
        <f>AVERAGE('25.05 Mutukula-Kampala-24h'!G33,'26.05 Mutukula-Kampala-24h'!G33,'27.05 Mutukula-Kampala-24h '!G33)</f>
        <v>0</v>
      </c>
      <c r="H33" s="46">
        <f>AVERAGE('25.05 Mutukula-Kampala-24h'!H33,'26.05 Mutukula-Kampala-24h'!H33,'27.05 Mutukula-Kampala-24h '!H33)</f>
        <v>0</v>
      </c>
      <c r="I33" s="46">
        <f>AVERAGE('25.05 Mutukula-Kampala-24h'!I33,'26.05 Mutukula-Kampala-24h'!I33,'27.05 Mutukula-Kampala-24h '!I33)</f>
        <v>0</v>
      </c>
      <c r="J33" s="46">
        <f>AVERAGE('25.05 Mutukula-Kampala-24h'!J33,'26.05 Mutukula-Kampala-24h'!J33,'27.05 Mutukula-Kampala-24h '!J33)</f>
        <v>0</v>
      </c>
      <c r="K33" s="46">
        <f>AVERAGE('25.05 Mutukula-Kampala-24h'!K33,'26.05 Mutukula-Kampala-24h'!K33,'27.05 Mutukula-Kampala-24h '!K33)</f>
        <v>0</v>
      </c>
      <c r="L33" s="46">
        <f>AVERAGE('25.05 Mutukula-Kampala-24h'!L33,'26.05 Mutukula-Kampala-24h'!L33,'27.05 Mutukula-Kampala-24h '!L33)</f>
        <v>0</v>
      </c>
      <c r="M33" s="46">
        <f>AVERAGE('25.05 Mutukula-Kampala-24h'!M33,'26.05 Mutukula-Kampala-24h'!M33,'27.05 Mutukula-Kampala-24h '!M33)</f>
        <v>0</v>
      </c>
      <c r="N33" s="46">
        <f>AVERAGE('25.05 Mutukula-Kampala-24h'!N33,'26.05 Mutukula-Kampala-24h'!N33,'27.05 Mutukula-Kampala-24h '!N33)</f>
        <v>0</v>
      </c>
      <c r="O33" s="15">
        <f t="shared" si="0"/>
        <v>0</v>
      </c>
      <c r="P33" s="15">
        <f t="shared" si="1"/>
        <v>0</v>
      </c>
      <c r="R33" s="1" t="s">
        <v>157</v>
      </c>
      <c r="S33" s="31">
        <f>SUM(C102:C105)</f>
        <v>9.6666666666666679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5.3333333333333339</v>
      </c>
      <c r="W33" s="31">
        <f t="shared" si="25"/>
        <v>1.6666666666666665</v>
      </c>
      <c r="X33" s="31">
        <f t="shared" si="25"/>
        <v>3.333333333333333</v>
      </c>
      <c r="Y33" s="31">
        <f t="shared" si="25"/>
        <v>3</v>
      </c>
      <c r="Z33" s="31">
        <f t="shared" si="25"/>
        <v>3.3333333333333335</v>
      </c>
      <c r="AA33" s="31">
        <f t="shared" si="25"/>
        <v>2.3333333333333335</v>
      </c>
      <c r="AB33" s="31">
        <f t="shared" si="25"/>
        <v>7</v>
      </c>
      <c r="AC33" s="31">
        <f t="shared" si="25"/>
        <v>0</v>
      </c>
      <c r="AD33" s="31">
        <f t="shared" si="25"/>
        <v>0</v>
      </c>
      <c r="AE33" s="28">
        <f t="shared" si="25"/>
        <v>35.666666666666671</v>
      </c>
      <c r="AF33" s="28">
        <f t="shared" si="25"/>
        <v>35.666666666666671</v>
      </c>
    </row>
    <row r="34" spans="2:32" ht="23.1" customHeight="1" x14ac:dyDescent="0.25">
      <c r="B34" s="21" t="s">
        <v>61</v>
      </c>
      <c r="C34" s="46">
        <f>AVERAGE('25.05 Mutukula-Kampala-24h'!C34,'26.05 Mutukula-Kampala-24h'!C34,'27.05 Mutukula-Kampala-24h '!C34)</f>
        <v>5</v>
      </c>
      <c r="D34" s="46">
        <f>AVERAGE('25.05 Mutukula-Kampala-24h'!D34,'26.05 Mutukula-Kampala-24h'!D34,'27.05 Mutukula-Kampala-24h '!D34)</f>
        <v>0</v>
      </c>
      <c r="E34" s="46">
        <f>AVERAGE('25.05 Mutukula-Kampala-24h'!E34,'26.05 Mutukula-Kampala-24h'!E34,'27.05 Mutukula-Kampala-24h '!E34)</f>
        <v>0</v>
      </c>
      <c r="F34" s="46">
        <f>AVERAGE('25.05 Mutukula-Kampala-24h'!F34,'26.05 Mutukula-Kampala-24h'!F34,'27.05 Mutukula-Kampala-24h '!F34)</f>
        <v>3</v>
      </c>
      <c r="G34" s="46">
        <f>AVERAGE('25.05 Mutukula-Kampala-24h'!G34,'26.05 Mutukula-Kampala-24h'!G34,'27.05 Mutukula-Kampala-24h '!G34)</f>
        <v>0.66666666666666663</v>
      </c>
      <c r="H34" s="46">
        <f>AVERAGE('25.05 Mutukula-Kampala-24h'!H34,'26.05 Mutukula-Kampala-24h'!H34,'27.05 Mutukula-Kampala-24h '!H34)</f>
        <v>0</v>
      </c>
      <c r="I34" s="46">
        <f>AVERAGE('25.05 Mutukula-Kampala-24h'!I34,'26.05 Mutukula-Kampala-24h'!I34,'27.05 Mutukula-Kampala-24h '!I34)</f>
        <v>1.3333333333333333</v>
      </c>
      <c r="J34" s="46">
        <f>AVERAGE('25.05 Mutukula-Kampala-24h'!J34,'26.05 Mutukula-Kampala-24h'!J34,'27.05 Mutukula-Kampala-24h '!J34)</f>
        <v>1.3333333333333333</v>
      </c>
      <c r="K34" s="46">
        <f>AVERAGE('25.05 Mutukula-Kampala-24h'!K34,'26.05 Mutukula-Kampala-24h'!K34,'27.05 Mutukula-Kampala-24h '!K34)</f>
        <v>0</v>
      </c>
      <c r="L34" s="46">
        <f>AVERAGE('25.05 Mutukula-Kampala-24h'!L34,'26.05 Mutukula-Kampala-24h'!L34,'27.05 Mutukula-Kampala-24h '!L34)</f>
        <v>1</v>
      </c>
      <c r="M34" s="46">
        <f>AVERAGE('25.05 Mutukula-Kampala-24h'!M34,'26.05 Mutukula-Kampala-24h'!M34,'27.05 Mutukula-Kampala-24h '!M34)</f>
        <v>0</v>
      </c>
      <c r="N34" s="46">
        <f>AVERAGE('25.05 Mutukula-Kampala-24h'!N34,'26.05 Mutukula-Kampala-24h'!N34,'27.05 Mutukula-Kampala-24h '!N34)</f>
        <v>0</v>
      </c>
      <c r="O34" s="15">
        <f t="shared" si="0"/>
        <v>12.333333333333334</v>
      </c>
      <c r="P34" s="15">
        <f t="shared" si="1"/>
        <v>12.333333333333334</v>
      </c>
      <c r="R34" s="48" t="s">
        <v>90</v>
      </c>
      <c r="S34" s="49">
        <f t="shared" ref="S34:AF34" si="26">MAX(S10:S12)</f>
        <v>10.333333333333334</v>
      </c>
      <c r="T34" s="49">
        <f t="shared" si="26"/>
        <v>0</v>
      </c>
      <c r="U34" s="49">
        <f t="shared" si="26"/>
        <v>0</v>
      </c>
      <c r="V34" s="49">
        <f t="shared" si="26"/>
        <v>5</v>
      </c>
      <c r="W34" s="49">
        <f t="shared" si="26"/>
        <v>0.33333333333333331</v>
      </c>
      <c r="X34" s="49">
        <f t="shared" si="26"/>
        <v>1.3333333333333333</v>
      </c>
      <c r="Y34" s="49">
        <f t="shared" si="26"/>
        <v>1</v>
      </c>
      <c r="Z34" s="49">
        <f t="shared" si="26"/>
        <v>3.3333333333333335</v>
      </c>
      <c r="AA34" s="49">
        <f t="shared" si="26"/>
        <v>1.6666666666666665</v>
      </c>
      <c r="AB34" s="49">
        <f t="shared" si="26"/>
        <v>7.333333333333333</v>
      </c>
      <c r="AC34" s="49">
        <f t="shared" si="26"/>
        <v>0</v>
      </c>
      <c r="AD34" s="49">
        <f t="shared" si="26"/>
        <v>0</v>
      </c>
      <c r="AE34" s="37">
        <f t="shared" si="26"/>
        <v>30</v>
      </c>
      <c r="AF34" s="37">
        <f t="shared" si="26"/>
        <v>30</v>
      </c>
    </row>
    <row r="35" spans="2:32" ht="23.1" customHeight="1" x14ac:dyDescent="0.25">
      <c r="B35" s="21" t="s">
        <v>62</v>
      </c>
      <c r="C35" s="46">
        <f>AVERAGE('25.05 Mutukula-Kampala-24h'!C35,'26.05 Mutukula-Kampala-24h'!C35,'27.05 Mutukula-Kampala-24h '!C35)</f>
        <v>0</v>
      </c>
      <c r="D35" s="46">
        <f>AVERAGE('25.05 Mutukula-Kampala-24h'!D35,'26.05 Mutukula-Kampala-24h'!D35,'27.05 Mutukula-Kampala-24h '!D35)</f>
        <v>0</v>
      </c>
      <c r="E35" s="46">
        <f>AVERAGE('25.05 Mutukula-Kampala-24h'!E35,'26.05 Mutukula-Kampala-24h'!E35,'27.05 Mutukula-Kampala-24h '!E35)</f>
        <v>0</v>
      </c>
      <c r="F35" s="46">
        <f>AVERAGE('25.05 Mutukula-Kampala-24h'!F35,'26.05 Mutukula-Kampala-24h'!F35,'27.05 Mutukula-Kampala-24h '!F35)</f>
        <v>0</v>
      </c>
      <c r="G35" s="46">
        <f>AVERAGE('25.05 Mutukula-Kampala-24h'!G35,'26.05 Mutukula-Kampala-24h'!G35,'27.05 Mutukula-Kampala-24h '!G35)</f>
        <v>0</v>
      </c>
      <c r="H35" s="46">
        <f>AVERAGE('25.05 Mutukula-Kampala-24h'!H35,'26.05 Mutukula-Kampala-24h'!H35,'27.05 Mutukula-Kampala-24h '!H35)</f>
        <v>0</v>
      </c>
      <c r="I35" s="46">
        <f>AVERAGE('25.05 Mutukula-Kampala-24h'!I35,'26.05 Mutukula-Kampala-24h'!I35,'27.05 Mutukula-Kampala-24h '!I35)</f>
        <v>0</v>
      </c>
      <c r="J35" s="46">
        <f>AVERAGE('25.05 Mutukula-Kampala-24h'!J35,'26.05 Mutukula-Kampala-24h'!J35,'27.05 Mutukula-Kampala-24h '!J35)</f>
        <v>0</v>
      </c>
      <c r="K35" s="46">
        <f>AVERAGE('25.05 Mutukula-Kampala-24h'!K35,'26.05 Mutukula-Kampala-24h'!K35,'27.05 Mutukula-Kampala-24h '!K35)</f>
        <v>0</v>
      </c>
      <c r="L35" s="46">
        <f>AVERAGE('25.05 Mutukula-Kampala-24h'!L35,'26.05 Mutukula-Kampala-24h'!L35,'27.05 Mutukula-Kampala-24h '!L35)</f>
        <v>0</v>
      </c>
      <c r="M35" s="46">
        <f>AVERAGE('25.05 Mutukula-Kampala-24h'!M35,'26.05 Mutukula-Kampala-24h'!M35,'27.05 Mutukula-Kampala-24h '!M35)</f>
        <v>0</v>
      </c>
      <c r="N35" s="46">
        <f>AVERAGE('25.05 Mutukula-Kampala-24h'!N35,'26.05 Mutukula-Kampala-24h'!N35,'27.05 Mutukula-Kampala-24h '!N35)</f>
        <v>0</v>
      </c>
      <c r="O35" s="15">
        <f t="shared" si="0"/>
        <v>0</v>
      </c>
      <c r="P35" s="15">
        <f t="shared" si="1"/>
        <v>0</v>
      </c>
      <c r="R35" s="48" t="s">
        <v>91</v>
      </c>
      <c r="S35" s="49">
        <f t="shared" ref="S35:AF35" si="27">MAX(S13:S18)</f>
        <v>11.666666666666668</v>
      </c>
      <c r="T35" s="49">
        <f t="shared" si="27"/>
        <v>0</v>
      </c>
      <c r="U35" s="49">
        <f t="shared" si="27"/>
        <v>0</v>
      </c>
      <c r="V35" s="49">
        <f t="shared" si="27"/>
        <v>4.333333333333333</v>
      </c>
      <c r="W35" s="49">
        <f t="shared" si="27"/>
        <v>0.66666666666666663</v>
      </c>
      <c r="X35" s="49">
        <f t="shared" si="27"/>
        <v>3.3333333333333335</v>
      </c>
      <c r="Y35" s="49">
        <f t="shared" si="27"/>
        <v>2</v>
      </c>
      <c r="Z35" s="49">
        <f t="shared" si="27"/>
        <v>4.666666666666667</v>
      </c>
      <c r="AA35" s="49">
        <f t="shared" si="27"/>
        <v>2.3333333333333335</v>
      </c>
      <c r="AB35" s="49">
        <f t="shared" si="27"/>
        <v>2</v>
      </c>
      <c r="AC35" s="49">
        <f t="shared" si="27"/>
        <v>0</v>
      </c>
      <c r="AD35" s="49">
        <f t="shared" si="27"/>
        <v>0</v>
      </c>
      <c r="AE35" s="37">
        <f t="shared" si="27"/>
        <v>25.333333333333332</v>
      </c>
      <c r="AF35" s="37">
        <f t="shared" si="27"/>
        <v>25.333333333333332</v>
      </c>
    </row>
    <row r="36" spans="2:32" ht="23.1" customHeight="1" x14ac:dyDescent="0.25">
      <c r="B36" s="21" t="s">
        <v>63</v>
      </c>
      <c r="C36" s="46">
        <f>AVERAGE('25.05 Mutukula-Kampala-24h'!C36,'26.05 Mutukula-Kampala-24h'!C36,'27.05 Mutukula-Kampala-24h '!C36)</f>
        <v>4.333333333333333</v>
      </c>
      <c r="D36" s="46">
        <f>AVERAGE('25.05 Mutukula-Kampala-24h'!D36,'26.05 Mutukula-Kampala-24h'!D36,'27.05 Mutukula-Kampala-24h '!D36)</f>
        <v>0</v>
      </c>
      <c r="E36" s="46">
        <f>AVERAGE('25.05 Mutukula-Kampala-24h'!E36,'26.05 Mutukula-Kampala-24h'!E36,'27.05 Mutukula-Kampala-24h '!E36)</f>
        <v>0</v>
      </c>
      <c r="F36" s="46">
        <f>AVERAGE('25.05 Mutukula-Kampala-24h'!F36,'26.05 Mutukula-Kampala-24h'!F36,'27.05 Mutukula-Kampala-24h '!F36)</f>
        <v>1</v>
      </c>
      <c r="G36" s="46">
        <f>AVERAGE('25.05 Mutukula-Kampala-24h'!G36,'26.05 Mutukula-Kampala-24h'!G36,'27.05 Mutukula-Kampala-24h '!G36)</f>
        <v>0</v>
      </c>
      <c r="H36" s="46">
        <f>AVERAGE('25.05 Mutukula-Kampala-24h'!H36,'26.05 Mutukula-Kampala-24h'!H36,'27.05 Mutukula-Kampala-24h '!H36)</f>
        <v>0</v>
      </c>
      <c r="I36" s="46">
        <f>AVERAGE('25.05 Mutukula-Kampala-24h'!I36,'26.05 Mutukula-Kampala-24h'!I36,'27.05 Mutukula-Kampala-24h '!I36)</f>
        <v>0.66666666666666663</v>
      </c>
      <c r="J36" s="46">
        <f>AVERAGE('25.05 Mutukula-Kampala-24h'!J36,'26.05 Mutukula-Kampala-24h'!J36,'27.05 Mutukula-Kampala-24h '!J36)</f>
        <v>1.3333333333333333</v>
      </c>
      <c r="K36" s="46">
        <f>AVERAGE('25.05 Mutukula-Kampala-24h'!K36,'26.05 Mutukula-Kampala-24h'!K36,'27.05 Mutukula-Kampala-24h '!K36)</f>
        <v>0</v>
      </c>
      <c r="L36" s="46">
        <f>AVERAGE('25.05 Mutukula-Kampala-24h'!L36,'26.05 Mutukula-Kampala-24h'!L36,'27.05 Mutukula-Kampala-24h '!L36)</f>
        <v>0</v>
      </c>
      <c r="M36" s="46">
        <f>AVERAGE('25.05 Mutukula-Kampala-24h'!M36,'26.05 Mutukula-Kampala-24h'!M36,'27.05 Mutukula-Kampala-24h '!M36)</f>
        <v>0</v>
      </c>
      <c r="N36" s="46">
        <f>AVERAGE('25.05 Mutukula-Kampala-24h'!N36,'26.05 Mutukula-Kampala-24h'!N36,'27.05 Mutukula-Kampala-24h '!N36)</f>
        <v>0</v>
      </c>
      <c r="O36" s="15">
        <f t="shared" si="0"/>
        <v>7.333333333333333</v>
      </c>
      <c r="P36" s="15">
        <f t="shared" si="1"/>
        <v>7.333333333333333</v>
      </c>
      <c r="R36" s="48" t="s">
        <v>92</v>
      </c>
      <c r="S36" s="49">
        <f t="shared" ref="S36:AF36" si="28">MAX(S19:S21)</f>
        <v>9.6666666666666679</v>
      </c>
      <c r="T36" s="49">
        <f t="shared" si="28"/>
        <v>0</v>
      </c>
      <c r="U36" s="49">
        <f t="shared" si="28"/>
        <v>0</v>
      </c>
      <c r="V36" s="49">
        <f t="shared" si="28"/>
        <v>4.666666666666667</v>
      </c>
      <c r="W36" s="49">
        <f t="shared" si="28"/>
        <v>0.66666666666666663</v>
      </c>
      <c r="X36" s="49">
        <f t="shared" si="28"/>
        <v>1.3333333333333333</v>
      </c>
      <c r="Y36" s="49">
        <f t="shared" si="28"/>
        <v>1.6666666666666665</v>
      </c>
      <c r="Z36" s="49">
        <f t="shared" si="28"/>
        <v>4.666666666666667</v>
      </c>
      <c r="AA36" s="49">
        <f t="shared" si="28"/>
        <v>1.3333333333333333</v>
      </c>
      <c r="AB36" s="49">
        <f t="shared" si="28"/>
        <v>3.666666666666667</v>
      </c>
      <c r="AC36" s="49">
        <f t="shared" si="28"/>
        <v>0</v>
      </c>
      <c r="AD36" s="49">
        <f t="shared" si="28"/>
        <v>0</v>
      </c>
      <c r="AE36" s="37">
        <f t="shared" si="28"/>
        <v>24</v>
      </c>
      <c r="AF36" s="37">
        <f t="shared" si="28"/>
        <v>24</v>
      </c>
    </row>
    <row r="37" spans="2:32" ht="23.1" customHeight="1" x14ac:dyDescent="0.25">
      <c r="B37" s="20" t="s">
        <v>64</v>
      </c>
      <c r="C37" s="46">
        <f>AVERAGE('25.05 Mutukula-Kampala-24h'!C37,'26.05 Mutukula-Kampala-24h'!C37,'27.05 Mutukula-Kampala-24h '!C37)</f>
        <v>0</v>
      </c>
      <c r="D37" s="46">
        <f>AVERAGE('25.05 Mutukula-Kampala-24h'!D37,'26.05 Mutukula-Kampala-24h'!D37,'27.05 Mutukula-Kampala-24h '!D37)</f>
        <v>0</v>
      </c>
      <c r="E37" s="46">
        <f>AVERAGE('25.05 Mutukula-Kampala-24h'!E37,'26.05 Mutukula-Kampala-24h'!E37,'27.05 Mutukula-Kampala-24h '!E37)</f>
        <v>0</v>
      </c>
      <c r="F37" s="46">
        <f>AVERAGE('25.05 Mutukula-Kampala-24h'!F37,'26.05 Mutukula-Kampala-24h'!F37,'27.05 Mutukula-Kampala-24h '!F37)</f>
        <v>0</v>
      </c>
      <c r="G37" s="46">
        <f>AVERAGE('25.05 Mutukula-Kampala-24h'!G37,'26.05 Mutukula-Kampala-24h'!G37,'27.05 Mutukula-Kampala-24h '!G37)</f>
        <v>0</v>
      </c>
      <c r="H37" s="46">
        <f>AVERAGE('25.05 Mutukula-Kampala-24h'!H37,'26.05 Mutukula-Kampala-24h'!H37,'27.05 Mutukula-Kampala-24h '!H37)</f>
        <v>0</v>
      </c>
      <c r="I37" s="46">
        <f>AVERAGE('25.05 Mutukula-Kampala-24h'!I37,'26.05 Mutukula-Kampala-24h'!I37,'27.05 Mutukula-Kampala-24h '!I37)</f>
        <v>0</v>
      </c>
      <c r="J37" s="46">
        <f>AVERAGE('25.05 Mutukula-Kampala-24h'!J37,'26.05 Mutukula-Kampala-24h'!J37,'27.05 Mutukula-Kampala-24h '!J37)</f>
        <v>0</v>
      </c>
      <c r="K37" s="46">
        <f>AVERAGE('25.05 Mutukula-Kampala-24h'!K37,'26.05 Mutukula-Kampala-24h'!K37,'27.05 Mutukula-Kampala-24h '!K37)</f>
        <v>0</v>
      </c>
      <c r="L37" s="46">
        <f>AVERAGE('25.05 Mutukula-Kampala-24h'!L37,'26.05 Mutukula-Kampala-24h'!L37,'27.05 Mutukula-Kampala-24h '!L37)</f>
        <v>0</v>
      </c>
      <c r="M37" s="46">
        <f>AVERAGE('25.05 Mutukula-Kampala-24h'!M37,'26.05 Mutukula-Kampala-24h'!M37,'27.05 Mutukula-Kampala-24h '!M37)</f>
        <v>0</v>
      </c>
      <c r="N37" s="46">
        <f>AVERAGE('25.05 Mutukula-Kampala-24h'!N37,'26.05 Mutukula-Kampala-24h'!N37,'27.05 Mutukula-Kampala-24h '!N37)</f>
        <v>0</v>
      </c>
      <c r="O37" s="15">
        <f t="shared" si="0"/>
        <v>0</v>
      </c>
      <c r="P37" s="15">
        <f t="shared" si="1"/>
        <v>0</v>
      </c>
      <c r="R37" s="34" t="s">
        <v>85</v>
      </c>
      <c r="S37" s="50">
        <f t="shared" ref="S37:AF37" si="29">SUM(S10:S12)</f>
        <v>23</v>
      </c>
      <c r="T37" s="51">
        <f t="shared" si="29"/>
        <v>0</v>
      </c>
      <c r="U37" s="51">
        <f t="shared" si="29"/>
        <v>0</v>
      </c>
      <c r="V37" s="51">
        <f t="shared" si="29"/>
        <v>11</v>
      </c>
      <c r="W37" s="51">
        <f t="shared" si="29"/>
        <v>0.33333333333333331</v>
      </c>
      <c r="X37" s="51">
        <f t="shared" si="29"/>
        <v>2.6666666666666665</v>
      </c>
      <c r="Y37" s="51">
        <f t="shared" si="29"/>
        <v>1.3333333333333333</v>
      </c>
      <c r="Z37" s="51">
        <f t="shared" si="29"/>
        <v>7.3333333333333339</v>
      </c>
      <c r="AA37" s="51">
        <f t="shared" si="29"/>
        <v>3.6666666666666661</v>
      </c>
      <c r="AB37" s="51">
        <f t="shared" si="29"/>
        <v>10.333333333333332</v>
      </c>
      <c r="AC37" s="51">
        <f t="shared" si="29"/>
        <v>0</v>
      </c>
      <c r="AD37" s="51">
        <f t="shared" si="29"/>
        <v>0</v>
      </c>
      <c r="AE37" s="52">
        <f t="shared" si="29"/>
        <v>59.666666666666671</v>
      </c>
      <c r="AF37" s="52">
        <f t="shared" si="29"/>
        <v>59.666666666666671</v>
      </c>
    </row>
    <row r="38" spans="2:32" ht="23.1" customHeight="1" x14ac:dyDescent="0.25">
      <c r="B38" s="21" t="s">
        <v>65</v>
      </c>
      <c r="C38" s="46">
        <f>AVERAGE('25.05 Mutukula-Kampala-24h'!C38,'26.05 Mutukula-Kampala-24h'!C38,'27.05 Mutukula-Kampala-24h '!C38)</f>
        <v>5</v>
      </c>
      <c r="D38" s="46">
        <f>AVERAGE('25.05 Mutukula-Kampala-24h'!D38,'26.05 Mutukula-Kampala-24h'!D38,'27.05 Mutukula-Kampala-24h '!D38)</f>
        <v>0</v>
      </c>
      <c r="E38" s="46">
        <f>AVERAGE('25.05 Mutukula-Kampala-24h'!E38,'26.05 Mutukula-Kampala-24h'!E38,'27.05 Mutukula-Kampala-24h '!E38)</f>
        <v>0</v>
      </c>
      <c r="F38" s="46">
        <f>AVERAGE('25.05 Mutukula-Kampala-24h'!F38,'26.05 Mutukula-Kampala-24h'!F38,'27.05 Mutukula-Kampala-24h '!F38)</f>
        <v>0.66666666666666663</v>
      </c>
      <c r="G38" s="46">
        <f>AVERAGE('25.05 Mutukula-Kampala-24h'!G38,'26.05 Mutukula-Kampala-24h'!G38,'27.05 Mutukula-Kampala-24h '!G38)</f>
        <v>0</v>
      </c>
      <c r="H38" s="46">
        <f>AVERAGE('25.05 Mutukula-Kampala-24h'!H38,'26.05 Mutukula-Kampala-24h'!H38,'27.05 Mutukula-Kampala-24h '!H38)</f>
        <v>0.66666666666666663</v>
      </c>
      <c r="I38" s="46">
        <f>AVERAGE('25.05 Mutukula-Kampala-24h'!I38,'26.05 Mutukula-Kampala-24h'!I38,'27.05 Mutukula-Kampala-24h '!I38)</f>
        <v>0.33333333333333331</v>
      </c>
      <c r="J38" s="46">
        <f>AVERAGE('25.05 Mutukula-Kampala-24h'!J38,'26.05 Mutukula-Kampala-24h'!J38,'27.05 Mutukula-Kampala-24h '!J38)</f>
        <v>1.3333333333333333</v>
      </c>
      <c r="K38" s="46">
        <f>AVERAGE('25.05 Mutukula-Kampala-24h'!K38,'26.05 Mutukula-Kampala-24h'!K38,'27.05 Mutukula-Kampala-24h '!K38)</f>
        <v>1.6666666666666667</v>
      </c>
      <c r="L38" s="46">
        <f>AVERAGE('25.05 Mutukula-Kampala-24h'!L38,'26.05 Mutukula-Kampala-24h'!L38,'27.05 Mutukula-Kampala-24h '!L38)</f>
        <v>1</v>
      </c>
      <c r="M38" s="46">
        <f>AVERAGE('25.05 Mutukula-Kampala-24h'!M38,'26.05 Mutukula-Kampala-24h'!M38,'27.05 Mutukula-Kampala-24h '!M38)</f>
        <v>0</v>
      </c>
      <c r="N38" s="46">
        <f>AVERAGE('25.05 Mutukula-Kampala-24h'!N38,'26.05 Mutukula-Kampala-24h'!N38,'27.05 Mutukula-Kampala-24h '!N38)</f>
        <v>0</v>
      </c>
      <c r="O38" s="15">
        <f t="shared" si="0"/>
        <v>10.666666666666666</v>
      </c>
      <c r="P38" s="15">
        <f t="shared" si="1"/>
        <v>10.666666666666666</v>
      </c>
      <c r="R38" s="25" t="s">
        <v>86</v>
      </c>
      <c r="S38" s="51">
        <f t="shared" ref="S38:AF38" si="30">SUM(S13:S18)</f>
        <v>56.666666666666664</v>
      </c>
      <c r="T38" s="51">
        <f t="shared" si="30"/>
        <v>0</v>
      </c>
      <c r="U38" s="51">
        <f t="shared" si="30"/>
        <v>0</v>
      </c>
      <c r="V38" s="51">
        <f t="shared" si="30"/>
        <v>21.333333333333332</v>
      </c>
      <c r="W38" s="51">
        <f t="shared" si="30"/>
        <v>1.3333333333333333</v>
      </c>
      <c r="X38" s="51">
        <f t="shared" si="30"/>
        <v>5</v>
      </c>
      <c r="Y38" s="51">
        <f t="shared" si="30"/>
        <v>5.333333333333333</v>
      </c>
      <c r="Z38" s="51">
        <f t="shared" si="30"/>
        <v>20</v>
      </c>
      <c r="AA38" s="51">
        <f t="shared" si="30"/>
        <v>5.6666666666666661</v>
      </c>
      <c r="AB38" s="51">
        <f t="shared" si="30"/>
        <v>5.9999999999999991</v>
      </c>
      <c r="AC38" s="51">
        <f t="shared" si="30"/>
        <v>0</v>
      </c>
      <c r="AD38" s="51">
        <f t="shared" si="30"/>
        <v>0</v>
      </c>
      <c r="AE38" s="52">
        <f t="shared" si="30"/>
        <v>121.33333333333333</v>
      </c>
      <c r="AF38" s="52">
        <f t="shared" si="30"/>
        <v>121.33333333333333</v>
      </c>
    </row>
    <row r="39" spans="2:32" ht="23.1" customHeight="1" x14ac:dyDescent="0.25">
      <c r="B39" s="21" t="s">
        <v>66</v>
      </c>
      <c r="C39" s="46">
        <f>AVERAGE('25.05 Mutukula-Kampala-24h'!C39,'26.05 Mutukula-Kampala-24h'!C39,'27.05 Mutukula-Kampala-24h '!C39)</f>
        <v>0</v>
      </c>
      <c r="D39" s="46">
        <f>AVERAGE('25.05 Mutukula-Kampala-24h'!D39,'26.05 Mutukula-Kampala-24h'!D39,'27.05 Mutukula-Kampala-24h '!D39)</f>
        <v>0</v>
      </c>
      <c r="E39" s="46">
        <f>AVERAGE('25.05 Mutukula-Kampala-24h'!E39,'26.05 Mutukula-Kampala-24h'!E39,'27.05 Mutukula-Kampala-24h '!E39)</f>
        <v>0</v>
      </c>
      <c r="F39" s="46">
        <f>AVERAGE('25.05 Mutukula-Kampala-24h'!F39,'26.05 Mutukula-Kampala-24h'!F39,'27.05 Mutukula-Kampala-24h '!F39)</f>
        <v>0</v>
      </c>
      <c r="G39" s="46">
        <f>AVERAGE('25.05 Mutukula-Kampala-24h'!G39,'26.05 Mutukula-Kampala-24h'!G39,'27.05 Mutukula-Kampala-24h '!G39)</f>
        <v>0</v>
      </c>
      <c r="H39" s="46">
        <f>AVERAGE('25.05 Mutukula-Kampala-24h'!H39,'26.05 Mutukula-Kampala-24h'!H39,'27.05 Mutukula-Kampala-24h '!H39)</f>
        <v>0</v>
      </c>
      <c r="I39" s="46">
        <f>AVERAGE('25.05 Mutukula-Kampala-24h'!I39,'26.05 Mutukula-Kampala-24h'!I39,'27.05 Mutukula-Kampala-24h '!I39)</f>
        <v>0</v>
      </c>
      <c r="J39" s="46">
        <f>AVERAGE('25.05 Mutukula-Kampala-24h'!J39,'26.05 Mutukula-Kampala-24h'!J39,'27.05 Mutukula-Kampala-24h '!J39)</f>
        <v>0</v>
      </c>
      <c r="K39" s="46">
        <f>AVERAGE('25.05 Mutukula-Kampala-24h'!K39,'26.05 Mutukula-Kampala-24h'!K39,'27.05 Mutukula-Kampala-24h '!K39)</f>
        <v>0</v>
      </c>
      <c r="L39" s="46">
        <f>AVERAGE('25.05 Mutukula-Kampala-24h'!L39,'26.05 Mutukula-Kampala-24h'!L39,'27.05 Mutukula-Kampala-24h '!L39)</f>
        <v>0</v>
      </c>
      <c r="M39" s="46">
        <f>AVERAGE('25.05 Mutukula-Kampala-24h'!M39,'26.05 Mutukula-Kampala-24h'!M39,'27.05 Mutukula-Kampala-24h '!M39)</f>
        <v>0</v>
      </c>
      <c r="N39" s="46">
        <f>AVERAGE('25.05 Mutukula-Kampala-24h'!N39,'26.05 Mutukula-Kampala-24h'!N39,'27.05 Mutukula-Kampala-24h '!N39)</f>
        <v>0</v>
      </c>
      <c r="O39" s="15">
        <f t="shared" si="0"/>
        <v>0</v>
      </c>
      <c r="P39" s="15">
        <f t="shared" si="1"/>
        <v>0</v>
      </c>
      <c r="R39" s="26" t="s">
        <v>87</v>
      </c>
      <c r="S39" s="51">
        <f t="shared" ref="S39:AF39" si="31">SUM(S19:S21)</f>
        <v>25.333333333333336</v>
      </c>
      <c r="T39" s="51">
        <f t="shared" si="31"/>
        <v>0</v>
      </c>
      <c r="U39" s="51">
        <f t="shared" si="31"/>
        <v>0</v>
      </c>
      <c r="V39" s="51">
        <f t="shared" si="31"/>
        <v>11.666666666666668</v>
      </c>
      <c r="W39" s="51">
        <f t="shared" si="31"/>
        <v>1</v>
      </c>
      <c r="X39" s="51">
        <f t="shared" si="31"/>
        <v>1.6666666666666665</v>
      </c>
      <c r="Y39" s="51">
        <f t="shared" si="31"/>
        <v>2.6666666666666665</v>
      </c>
      <c r="Z39" s="51">
        <f t="shared" si="31"/>
        <v>12</v>
      </c>
      <c r="AA39" s="51">
        <f t="shared" si="31"/>
        <v>3</v>
      </c>
      <c r="AB39" s="51">
        <f t="shared" si="31"/>
        <v>7.666666666666667</v>
      </c>
      <c r="AC39" s="51">
        <f t="shared" si="31"/>
        <v>0</v>
      </c>
      <c r="AD39" s="51">
        <f t="shared" si="31"/>
        <v>0</v>
      </c>
      <c r="AE39" s="52">
        <f t="shared" si="31"/>
        <v>65</v>
      </c>
      <c r="AF39" s="52">
        <f t="shared" si="31"/>
        <v>65</v>
      </c>
    </row>
    <row r="40" spans="2:32" ht="23.1" customHeight="1" x14ac:dyDescent="0.25">
      <c r="B40" s="21" t="s">
        <v>67</v>
      </c>
      <c r="C40" s="46">
        <f>AVERAGE('25.05 Mutukula-Kampala-24h'!C40,'26.05 Mutukula-Kampala-24h'!C40,'27.05 Mutukula-Kampala-24h '!C40)</f>
        <v>6.666666666666667</v>
      </c>
      <c r="D40" s="46">
        <f>AVERAGE('25.05 Mutukula-Kampala-24h'!D40,'26.05 Mutukula-Kampala-24h'!D40,'27.05 Mutukula-Kampala-24h '!D40)</f>
        <v>0</v>
      </c>
      <c r="E40" s="46">
        <f>AVERAGE('25.05 Mutukula-Kampala-24h'!E40,'26.05 Mutukula-Kampala-24h'!E40,'27.05 Mutukula-Kampala-24h '!E40)</f>
        <v>0</v>
      </c>
      <c r="F40" s="46">
        <f>AVERAGE('25.05 Mutukula-Kampala-24h'!F40,'26.05 Mutukula-Kampala-24h'!F40,'27.05 Mutukula-Kampala-24h '!F40)</f>
        <v>3.6666666666666665</v>
      </c>
      <c r="G40" s="46">
        <f>AVERAGE('25.05 Mutukula-Kampala-24h'!G40,'26.05 Mutukula-Kampala-24h'!G40,'27.05 Mutukula-Kampala-24h '!G40)</f>
        <v>0.33333333333333331</v>
      </c>
      <c r="H40" s="46">
        <f>AVERAGE('25.05 Mutukula-Kampala-24h'!H40,'26.05 Mutukula-Kampala-24h'!H40,'27.05 Mutukula-Kampala-24h '!H40)</f>
        <v>0</v>
      </c>
      <c r="I40" s="46">
        <f>AVERAGE('25.05 Mutukula-Kampala-24h'!I40,'26.05 Mutukula-Kampala-24h'!I40,'27.05 Mutukula-Kampala-24h '!I40)</f>
        <v>0.66666666666666663</v>
      </c>
      <c r="J40" s="46">
        <f>AVERAGE('25.05 Mutukula-Kampala-24h'!J40,'26.05 Mutukula-Kampala-24h'!J40,'27.05 Mutukula-Kampala-24h '!J40)</f>
        <v>1.6666666666666667</v>
      </c>
      <c r="K40" s="46">
        <f>AVERAGE('25.05 Mutukula-Kampala-24h'!K40,'26.05 Mutukula-Kampala-24h'!K40,'27.05 Mutukula-Kampala-24h '!K40)</f>
        <v>0.66666666666666663</v>
      </c>
      <c r="L40" s="46">
        <f>AVERAGE('25.05 Mutukula-Kampala-24h'!L40,'26.05 Mutukula-Kampala-24h'!L40,'27.05 Mutukula-Kampala-24h '!L40)</f>
        <v>1</v>
      </c>
      <c r="M40" s="46">
        <f>AVERAGE('25.05 Mutukula-Kampala-24h'!M40,'26.05 Mutukula-Kampala-24h'!M40,'27.05 Mutukula-Kampala-24h '!M40)</f>
        <v>0</v>
      </c>
      <c r="N40" s="46">
        <f>AVERAGE('25.05 Mutukula-Kampala-24h'!N40,'26.05 Mutukula-Kampala-24h'!N40,'27.05 Mutukula-Kampala-24h '!N40)</f>
        <v>0</v>
      </c>
      <c r="O40" s="15">
        <f t="shared" si="0"/>
        <v>14.666666666666666</v>
      </c>
      <c r="P40" s="15">
        <f t="shared" si="1"/>
        <v>14.666666666666666</v>
      </c>
      <c r="R40" s="5" t="s">
        <v>17</v>
      </c>
      <c r="S40" s="51">
        <f t="shared" ref="S40:AF40" si="32">SUM(S10:S21)</f>
        <v>105.00000000000001</v>
      </c>
      <c r="T40" s="51">
        <f t="shared" si="32"/>
        <v>0</v>
      </c>
      <c r="U40" s="51">
        <f t="shared" si="32"/>
        <v>0</v>
      </c>
      <c r="V40" s="51">
        <f t="shared" si="32"/>
        <v>44</v>
      </c>
      <c r="W40" s="51">
        <f t="shared" si="32"/>
        <v>2.6666666666666665</v>
      </c>
      <c r="X40" s="51">
        <f t="shared" si="32"/>
        <v>9.3333333333333339</v>
      </c>
      <c r="Y40" s="51">
        <f t="shared" si="32"/>
        <v>9.3333333333333321</v>
      </c>
      <c r="Z40" s="51">
        <f t="shared" si="32"/>
        <v>39.333333333333336</v>
      </c>
      <c r="AA40" s="51">
        <f t="shared" si="32"/>
        <v>12.333333333333332</v>
      </c>
      <c r="AB40" s="51">
        <f t="shared" si="32"/>
        <v>24</v>
      </c>
      <c r="AC40" s="51">
        <f t="shared" si="32"/>
        <v>0</v>
      </c>
      <c r="AD40" s="51">
        <f t="shared" si="32"/>
        <v>0</v>
      </c>
      <c r="AE40" s="52">
        <f t="shared" si="32"/>
        <v>246</v>
      </c>
      <c r="AF40" s="52">
        <f t="shared" si="32"/>
        <v>246</v>
      </c>
    </row>
    <row r="41" spans="2:32" ht="23.1" customHeight="1" x14ac:dyDescent="0.25">
      <c r="B41" s="20" t="s">
        <v>68</v>
      </c>
      <c r="C41" s="46">
        <f>AVERAGE('25.05 Mutukula-Kampala-24h'!C41,'26.05 Mutukula-Kampala-24h'!C41,'27.05 Mutukula-Kampala-24h '!C41)</f>
        <v>0</v>
      </c>
      <c r="D41" s="46">
        <f>AVERAGE('25.05 Mutukula-Kampala-24h'!D41,'26.05 Mutukula-Kampala-24h'!D41,'27.05 Mutukula-Kampala-24h '!D41)</f>
        <v>0</v>
      </c>
      <c r="E41" s="46">
        <f>AVERAGE('25.05 Mutukula-Kampala-24h'!E41,'26.05 Mutukula-Kampala-24h'!E41,'27.05 Mutukula-Kampala-24h '!E41)</f>
        <v>0</v>
      </c>
      <c r="F41" s="46">
        <f>AVERAGE('25.05 Mutukula-Kampala-24h'!F41,'26.05 Mutukula-Kampala-24h'!F41,'27.05 Mutukula-Kampala-24h '!F41)</f>
        <v>0</v>
      </c>
      <c r="G41" s="46">
        <f>AVERAGE('25.05 Mutukula-Kampala-24h'!G41,'26.05 Mutukula-Kampala-24h'!G41,'27.05 Mutukula-Kampala-24h '!G41)</f>
        <v>0</v>
      </c>
      <c r="H41" s="46">
        <f>AVERAGE('25.05 Mutukula-Kampala-24h'!H41,'26.05 Mutukula-Kampala-24h'!H41,'27.05 Mutukula-Kampala-24h '!H41)</f>
        <v>0</v>
      </c>
      <c r="I41" s="46">
        <f>AVERAGE('25.05 Mutukula-Kampala-24h'!I41,'26.05 Mutukula-Kampala-24h'!I41,'27.05 Mutukula-Kampala-24h '!I41)</f>
        <v>0</v>
      </c>
      <c r="J41" s="46">
        <f>AVERAGE('25.05 Mutukula-Kampala-24h'!J41,'26.05 Mutukula-Kampala-24h'!J41,'27.05 Mutukula-Kampala-24h '!J41)</f>
        <v>0</v>
      </c>
      <c r="K41" s="46">
        <f>AVERAGE('25.05 Mutukula-Kampala-24h'!K41,'26.05 Mutukula-Kampala-24h'!K41,'27.05 Mutukula-Kampala-24h '!K41)</f>
        <v>0</v>
      </c>
      <c r="L41" s="46">
        <f>AVERAGE('25.05 Mutukula-Kampala-24h'!L41,'26.05 Mutukula-Kampala-24h'!L41,'27.05 Mutukula-Kampala-24h '!L41)</f>
        <v>0</v>
      </c>
      <c r="M41" s="46">
        <f>AVERAGE('25.05 Mutukula-Kampala-24h'!M41,'26.05 Mutukula-Kampala-24h'!M41,'27.05 Mutukula-Kampala-24h '!M41)</f>
        <v>0</v>
      </c>
      <c r="N41" s="46">
        <f>AVERAGE('25.05 Mutukula-Kampala-24h'!N41,'26.05 Mutukula-Kampala-24h'!N41,'27.05 Mutukula-Kampala-24h '!N41)</f>
        <v>0</v>
      </c>
      <c r="O41" s="15">
        <f t="shared" si="0"/>
        <v>0</v>
      </c>
      <c r="P41" s="15">
        <f t="shared" si="1"/>
        <v>0</v>
      </c>
      <c r="R41" s="5" t="s">
        <v>170</v>
      </c>
      <c r="S41" s="51">
        <f>SUM(S10:S33)</f>
        <v>152.00000000000003</v>
      </c>
      <c r="T41" s="51">
        <f t="shared" ref="T41:AD41" si="33">SUM(T10:T33)</f>
        <v>0</v>
      </c>
      <c r="U41" s="51">
        <f t="shared" si="33"/>
        <v>0</v>
      </c>
      <c r="V41" s="51">
        <f t="shared" si="33"/>
        <v>65.666666666666671</v>
      </c>
      <c r="W41" s="51">
        <f t="shared" si="33"/>
        <v>5</v>
      </c>
      <c r="X41" s="51">
        <f t="shared" si="33"/>
        <v>14.333333333333332</v>
      </c>
      <c r="Y41" s="51">
        <f t="shared" si="33"/>
        <v>23.333333333333332</v>
      </c>
      <c r="Z41" s="51">
        <f t="shared" si="33"/>
        <v>63.666666666666671</v>
      </c>
      <c r="AA41" s="51">
        <f t="shared" si="33"/>
        <v>30.666666666666668</v>
      </c>
      <c r="AB41" s="51">
        <f t="shared" si="33"/>
        <v>60.666666666666657</v>
      </c>
      <c r="AC41" s="51">
        <f t="shared" si="33"/>
        <v>0</v>
      </c>
      <c r="AD41" s="51">
        <f t="shared" si="33"/>
        <v>0</v>
      </c>
      <c r="AE41" s="52">
        <f>SUM(AE10:AE33)</f>
        <v>415.33333333333331</v>
      </c>
      <c r="AF41" s="52">
        <f>SUM(AF10:AF33)</f>
        <v>415.33333333333331</v>
      </c>
    </row>
    <row r="42" spans="2:32" ht="23.1" customHeight="1" x14ac:dyDescent="0.25">
      <c r="B42" s="21" t="s">
        <v>69</v>
      </c>
      <c r="C42" s="46">
        <f>AVERAGE('25.05 Mutukula-Kampala-24h'!C42,'26.05 Mutukula-Kampala-24h'!C42,'27.05 Mutukula-Kampala-24h '!C42)</f>
        <v>4</v>
      </c>
      <c r="D42" s="46">
        <f>AVERAGE('25.05 Mutukula-Kampala-24h'!D42,'26.05 Mutukula-Kampala-24h'!D42,'27.05 Mutukula-Kampala-24h '!D42)</f>
        <v>0</v>
      </c>
      <c r="E42" s="46">
        <f>AVERAGE('25.05 Mutukula-Kampala-24h'!E42,'26.05 Mutukula-Kampala-24h'!E42,'27.05 Mutukula-Kampala-24h '!E42)</f>
        <v>0</v>
      </c>
      <c r="F42" s="46">
        <f>AVERAGE('25.05 Mutukula-Kampala-24h'!F42,'26.05 Mutukula-Kampala-24h'!F42,'27.05 Mutukula-Kampala-24h '!F42)</f>
        <v>1.3333333333333333</v>
      </c>
      <c r="G42" s="46">
        <f>AVERAGE('25.05 Mutukula-Kampala-24h'!G42,'26.05 Mutukula-Kampala-24h'!G42,'27.05 Mutukula-Kampala-24h '!G42)</f>
        <v>0</v>
      </c>
      <c r="H42" s="46">
        <f>AVERAGE('25.05 Mutukula-Kampala-24h'!H42,'26.05 Mutukula-Kampala-24h'!H42,'27.05 Mutukula-Kampala-24h '!H42)</f>
        <v>1.6666666666666667</v>
      </c>
      <c r="I42" s="46">
        <f>AVERAGE('25.05 Mutukula-Kampala-24h'!I42,'26.05 Mutukula-Kampala-24h'!I42,'27.05 Mutukula-Kampala-24h '!I42)</f>
        <v>0</v>
      </c>
      <c r="J42" s="46">
        <f>AVERAGE('25.05 Mutukula-Kampala-24h'!J42,'26.05 Mutukula-Kampala-24h'!J42,'27.05 Mutukula-Kampala-24h '!J42)</f>
        <v>1.6666666666666667</v>
      </c>
      <c r="K42" s="46">
        <f>AVERAGE('25.05 Mutukula-Kampala-24h'!K42,'26.05 Mutukula-Kampala-24h'!K42,'27.05 Mutukula-Kampala-24h '!K42)</f>
        <v>0.66666666666666663</v>
      </c>
      <c r="L42" s="46">
        <f>AVERAGE('25.05 Mutukula-Kampala-24h'!L42,'26.05 Mutukula-Kampala-24h'!L42,'27.05 Mutukula-Kampala-24h '!L42)</f>
        <v>0</v>
      </c>
      <c r="M42" s="46">
        <f>AVERAGE('25.05 Mutukula-Kampala-24h'!M42,'26.05 Mutukula-Kampala-24h'!M42,'27.05 Mutukula-Kampala-24h '!M42)</f>
        <v>0</v>
      </c>
      <c r="N42" s="46">
        <f>AVERAGE('25.05 Mutukula-Kampala-24h'!N42,'26.05 Mutukula-Kampala-24h'!N42,'27.05 Mutukula-Kampala-24h '!N42)</f>
        <v>0</v>
      </c>
      <c r="O42" s="15">
        <f t="shared" si="0"/>
        <v>9.3333333333333321</v>
      </c>
      <c r="P42" s="15">
        <f t="shared" si="1"/>
        <v>9.3333333333333321</v>
      </c>
      <c r="R42" s="5" t="s">
        <v>160</v>
      </c>
      <c r="S42" s="45">
        <f>S41/S40</f>
        <v>1.4476190476190476</v>
      </c>
      <c r="T42" s="45">
        <v>0</v>
      </c>
      <c r="U42" s="45">
        <v>0</v>
      </c>
      <c r="V42" s="45">
        <f t="shared" ref="V42:AF42" si="34">V41/V40</f>
        <v>1.4924242424242424</v>
      </c>
      <c r="W42" s="45">
        <f t="shared" si="34"/>
        <v>1.875</v>
      </c>
      <c r="X42" s="45">
        <f t="shared" si="34"/>
        <v>1.5357142857142856</v>
      </c>
      <c r="Y42" s="45">
        <f t="shared" si="34"/>
        <v>2.5</v>
      </c>
      <c r="Z42" s="45">
        <f t="shared" si="34"/>
        <v>1.6186440677966103</v>
      </c>
      <c r="AA42" s="45">
        <f t="shared" si="34"/>
        <v>2.4864864864864868</v>
      </c>
      <c r="AB42" s="45">
        <f t="shared" si="34"/>
        <v>2.5277777777777772</v>
      </c>
      <c r="AC42" s="45">
        <v>0</v>
      </c>
      <c r="AD42" s="45">
        <v>0</v>
      </c>
      <c r="AE42" s="53">
        <f t="shared" si="34"/>
        <v>1.6883468834688347</v>
      </c>
      <c r="AF42" s="53">
        <f t="shared" si="34"/>
        <v>1.6883468834688347</v>
      </c>
    </row>
    <row r="43" spans="2:32" ht="23.1" customHeight="1" x14ac:dyDescent="0.25">
      <c r="B43" s="20" t="s">
        <v>70</v>
      </c>
      <c r="C43" s="46">
        <f>AVERAGE('25.05 Mutukula-Kampala-24h'!C43,'26.05 Mutukula-Kampala-24h'!C43,'27.05 Mutukula-Kampala-24h '!C43)</f>
        <v>0</v>
      </c>
      <c r="D43" s="46">
        <f>AVERAGE('25.05 Mutukula-Kampala-24h'!D43,'26.05 Mutukula-Kampala-24h'!D43,'27.05 Mutukula-Kampala-24h '!D43)</f>
        <v>0</v>
      </c>
      <c r="E43" s="46">
        <f>AVERAGE('25.05 Mutukula-Kampala-24h'!E43,'26.05 Mutukula-Kampala-24h'!E43,'27.05 Mutukula-Kampala-24h '!E43)</f>
        <v>0</v>
      </c>
      <c r="F43" s="46">
        <f>AVERAGE('25.05 Mutukula-Kampala-24h'!F43,'26.05 Mutukula-Kampala-24h'!F43,'27.05 Mutukula-Kampala-24h '!F43)</f>
        <v>0</v>
      </c>
      <c r="G43" s="46">
        <f>AVERAGE('25.05 Mutukula-Kampala-24h'!G43,'26.05 Mutukula-Kampala-24h'!G43,'27.05 Mutukula-Kampala-24h '!G43)</f>
        <v>0</v>
      </c>
      <c r="H43" s="46">
        <f>AVERAGE('25.05 Mutukula-Kampala-24h'!H43,'26.05 Mutukula-Kampala-24h'!H43,'27.05 Mutukula-Kampala-24h '!H43)</f>
        <v>0</v>
      </c>
      <c r="I43" s="46">
        <f>AVERAGE('25.05 Mutukula-Kampala-24h'!I43,'26.05 Mutukula-Kampala-24h'!I43,'27.05 Mutukula-Kampala-24h '!I43)</f>
        <v>0</v>
      </c>
      <c r="J43" s="46">
        <f>AVERAGE('25.05 Mutukula-Kampala-24h'!J43,'26.05 Mutukula-Kampala-24h'!J43,'27.05 Mutukula-Kampala-24h '!J43)</f>
        <v>0</v>
      </c>
      <c r="K43" s="46">
        <f>AVERAGE('25.05 Mutukula-Kampala-24h'!K43,'26.05 Mutukula-Kampala-24h'!K43,'27.05 Mutukula-Kampala-24h '!K43)</f>
        <v>0</v>
      </c>
      <c r="L43" s="46">
        <f>AVERAGE('25.05 Mutukula-Kampala-24h'!L43,'26.05 Mutukula-Kampala-24h'!L43,'27.05 Mutukula-Kampala-24h '!L43)</f>
        <v>0</v>
      </c>
      <c r="M43" s="46">
        <f>AVERAGE('25.05 Mutukula-Kampala-24h'!M43,'26.05 Mutukula-Kampala-24h'!M43,'27.05 Mutukula-Kampala-24h '!M43)</f>
        <v>0</v>
      </c>
      <c r="N43" s="46">
        <f>AVERAGE('25.05 Mutukula-Kampala-24h'!N43,'26.05 Mutukula-Kampala-24h'!N43,'27.05 Mutukula-Kampala-24h '!N43)</f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22" t="s">
        <v>71</v>
      </c>
      <c r="C44" s="46">
        <f>AVERAGE('25.05 Mutukula-Kampala-24h'!C44,'26.05 Mutukula-Kampala-24h'!C44,'27.05 Mutukula-Kampala-24h '!C44)</f>
        <v>3.6666666666666665</v>
      </c>
      <c r="D44" s="46">
        <f>AVERAGE('25.05 Mutukula-Kampala-24h'!D44,'26.05 Mutukula-Kampala-24h'!D44,'27.05 Mutukula-Kampala-24h '!D44)</f>
        <v>0</v>
      </c>
      <c r="E44" s="46">
        <f>AVERAGE('25.05 Mutukula-Kampala-24h'!E44,'26.05 Mutukula-Kampala-24h'!E44,'27.05 Mutukula-Kampala-24h '!E44)</f>
        <v>0</v>
      </c>
      <c r="F44" s="46">
        <f>AVERAGE('25.05 Mutukula-Kampala-24h'!F44,'26.05 Mutukula-Kampala-24h'!F44,'27.05 Mutukula-Kampala-24h '!F44)</f>
        <v>1</v>
      </c>
      <c r="G44" s="46">
        <f>AVERAGE('25.05 Mutukula-Kampala-24h'!G44,'26.05 Mutukula-Kampala-24h'!G44,'27.05 Mutukula-Kampala-24h '!G44)</f>
        <v>0.33333333333333331</v>
      </c>
      <c r="H44" s="46">
        <f>AVERAGE('25.05 Mutukula-Kampala-24h'!H44,'26.05 Mutukula-Kampala-24h'!H44,'27.05 Mutukula-Kampala-24h '!H44)</f>
        <v>1.6666666666666667</v>
      </c>
      <c r="I44" s="46">
        <f>AVERAGE('25.05 Mutukula-Kampala-24h'!I44,'26.05 Mutukula-Kampala-24h'!I44,'27.05 Mutukula-Kampala-24h '!I44)</f>
        <v>0.33333333333333331</v>
      </c>
      <c r="J44" s="46">
        <f>AVERAGE('25.05 Mutukula-Kampala-24h'!J44,'26.05 Mutukula-Kampala-24h'!J44,'27.05 Mutukula-Kampala-24h '!J44)</f>
        <v>1</v>
      </c>
      <c r="K44" s="46">
        <f>AVERAGE('25.05 Mutukula-Kampala-24h'!K44,'26.05 Mutukula-Kampala-24h'!K44,'27.05 Mutukula-Kampala-24h '!K44)</f>
        <v>0.33333333333333331</v>
      </c>
      <c r="L44" s="46">
        <f>AVERAGE('25.05 Mutukula-Kampala-24h'!L44,'26.05 Mutukula-Kampala-24h'!L44,'27.05 Mutukula-Kampala-24h '!L44)</f>
        <v>0.33333333333333331</v>
      </c>
      <c r="M44" s="46">
        <f>AVERAGE('25.05 Mutukula-Kampala-24h'!M44,'26.05 Mutukula-Kampala-24h'!M44,'27.05 Mutukula-Kampala-24h '!M44)</f>
        <v>0</v>
      </c>
      <c r="N44" s="46">
        <f>AVERAGE('25.05 Mutukula-Kampala-24h'!N44,'26.05 Mutukula-Kampala-24h'!N44,'27.05 Mutukula-Kampala-24h '!N44)</f>
        <v>0</v>
      </c>
      <c r="O44" s="15">
        <f t="shared" si="0"/>
        <v>8.6666666666666661</v>
      </c>
      <c r="P44" s="15">
        <f t="shared" si="1"/>
        <v>8.6666666666666661</v>
      </c>
    </row>
    <row r="45" spans="2:32" ht="23.1" customHeight="1" x14ac:dyDescent="0.25">
      <c r="B45" s="20" t="s">
        <v>72</v>
      </c>
      <c r="C45" s="46">
        <f>AVERAGE('25.05 Mutukula-Kampala-24h'!C45,'26.05 Mutukula-Kampala-24h'!C45,'27.05 Mutukula-Kampala-24h '!C45)</f>
        <v>0</v>
      </c>
      <c r="D45" s="46">
        <f>AVERAGE('25.05 Mutukula-Kampala-24h'!D45,'26.05 Mutukula-Kampala-24h'!D45,'27.05 Mutukula-Kampala-24h '!D45)</f>
        <v>0</v>
      </c>
      <c r="E45" s="46">
        <f>AVERAGE('25.05 Mutukula-Kampala-24h'!E45,'26.05 Mutukula-Kampala-24h'!E45,'27.05 Mutukula-Kampala-24h '!E45)</f>
        <v>0</v>
      </c>
      <c r="F45" s="46">
        <f>AVERAGE('25.05 Mutukula-Kampala-24h'!F45,'26.05 Mutukula-Kampala-24h'!F45,'27.05 Mutukula-Kampala-24h '!F45)</f>
        <v>0</v>
      </c>
      <c r="G45" s="46">
        <f>AVERAGE('25.05 Mutukula-Kampala-24h'!G45,'26.05 Mutukula-Kampala-24h'!G45,'27.05 Mutukula-Kampala-24h '!G45)</f>
        <v>0</v>
      </c>
      <c r="H45" s="46">
        <f>AVERAGE('25.05 Mutukula-Kampala-24h'!H45,'26.05 Mutukula-Kampala-24h'!H45,'27.05 Mutukula-Kampala-24h '!H45)</f>
        <v>0</v>
      </c>
      <c r="I45" s="46">
        <f>AVERAGE('25.05 Mutukula-Kampala-24h'!I45,'26.05 Mutukula-Kampala-24h'!I45,'27.05 Mutukula-Kampala-24h '!I45)</f>
        <v>0</v>
      </c>
      <c r="J45" s="46">
        <f>AVERAGE('25.05 Mutukula-Kampala-24h'!J45,'26.05 Mutukula-Kampala-24h'!J45,'27.05 Mutukula-Kampala-24h '!J45)</f>
        <v>0</v>
      </c>
      <c r="K45" s="46">
        <f>AVERAGE('25.05 Mutukula-Kampala-24h'!K45,'26.05 Mutukula-Kampala-24h'!K45,'27.05 Mutukula-Kampala-24h '!K45)</f>
        <v>0</v>
      </c>
      <c r="L45" s="46">
        <f>AVERAGE('25.05 Mutukula-Kampala-24h'!L45,'26.05 Mutukula-Kampala-24h'!L45,'27.05 Mutukula-Kampala-24h '!L45)</f>
        <v>0</v>
      </c>
      <c r="M45" s="46">
        <f>AVERAGE('25.05 Mutukula-Kampala-24h'!M45,'26.05 Mutukula-Kampala-24h'!M45,'27.05 Mutukula-Kampala-24h '!M45)</f>
        <v>0</v>
      </c>
      <c r="N45" s="46">
        <f>AVERAGE('25.05 Mutukula-Kampala-24h'!N45,'26.05 Mutukula-Kampala-24h'!N45,'27.05 Mutukula-Kampala-24h '!N45)</f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21" t="s">
        <v>73</v>
      </c>
      <c r="C46" s="46">
        <f>AVERAGE('25.05 Mutukula-Kampala-24h'!C46,'26.05 Mutukula-Kampala-24h'!C46,'27.05 Mutukula-Kampala-24h '!C46)</f>
        <v>3.3333333333333335</v>
      </c>
      <c r="D46" s="46">
        <f>AVERAGE('25.05 Mutukula-Kampala-24h'!D46,'26.05 Mutukula-Kampala-24h'!D46,'27.05 Mutukula-Kampala-24h '!D46)</f>
        <v>0</v>
      </c>
      <c r="E46" s="46">
        <f>AVERAGE('25.05 Mutukula-Kampala-24h'!E46,'26.05 Mutukula-Kampala-24h'!E46,'27.05 Mutukula-Kampala-24h '!E46)</f>
        <v>0</v>
      </c>
      <c r="F46" s="46">
        <f>AVERAGE('25.05 Mutukula-Kampala-24h'!F46,'26.05 Mutukula-Kampala-24h'!F46,'27.05 Mutukula-Kampala-24h '!F46)</f>
        <v>2.3333333333333335</v>
      </c>
      <c r="G46" s="46">
        <f>AVERAGE('25.05 Mutukula-Kampala-24h'!G46,'26.05 Mutukula-Kampala-24h'!G46,'27.05 Mutukula-Kampala-24h '!G46)</f>
        <v>0.33333333333333331</v>
      </c>
      <c r="H46" s="46">
        <f>AVERAGE('25.05 Mutukula-Kampala-24h'!H46,'26.05 Mutukula-Kampala-24h'!H46,'27.05 Mutukula-Kampala-24h '!H46)</f>
        <v>1</v>
      </c>
      <c r="I46" s="46">
        <f>AVERAGE('25.05 Mutukula-Kampala-24h'!I46,'26.05 Mutukula-Kampala-24h'!I46,'27.05 Mutukula-Kampala-24h '!I46)</f>
        <v>0</v>
      </c>
      <c r="J46" s="46">
        <f>AVERAGE('25.05 Mutukula-Kampala-24h'!J46,'26.05 Mutukula-Kampala-24h'!J46,'27.05 Mutukula-Kampala-24h '!J46)</f>
        <v>1.6666666666666667</v>
      </c>
      <c r="K46" s="46">
        <f>AVERAGE('25.05 Mutukula-Kampala-24h'!K46,'26.05 Mutukula-Kampala-24h'!K46,'27.05 Mutukula-Kampala-24h '!K46)</f>
        <v>1</v>
      </c>
      <c r="L46" s="46">
        <f>AVERAGE('25.05 Mutukula-Kampala-24h'!L46,'26.05 Mutukula-Kampala-24h'!L46,'27.05 Mutukula-Kampala-24h '!L46)</f>
        <v>0</v>
      </c>
      <c r="M46" s="46">
        <f>AVERAGE('25.05 Mutukula-Kampala-24h'!M46,'26.05 Mutukula-Kampala-24h'!M46,'27.05 Mutukula-Kampala-24h '!M46)</f>
        <v>0</v>
      </c>
      <c r="N46" s="46">
        <f>AVERAGE('25.05 Mutukula-Kampala-24h'!N46,'26.05 Mutukula-Kampala-24h'!N46,'27.05 Mutukula-Kampala-24h '!N46)</f>
        <v>0</v>
      </c>
      <c r="O46" s="15">
        <f t="shared" si="0"/>
        <v>9.6666666666666661</v>
      </c>
      <c r="P46" s="15">
        <f t="shared" si="1"/>
        <v>9.6666666666666661</v>
      </c>
      <c r="R46" s="8"/>
      <c r="T46"/>
    </row>
    <row r="47" spans="2:32" ht="23.1" customHeight="1" x14ac:dyDescent="0.25">
      <c r="B47" s="21" t="s">
        <v>74</v>
      </c>
      <c r="C47" s="46">
        <f>AVERAGE('25.05 Mutukula-Kampala-24h'!C47,'26.05 Mutukula-Kampala-24h'!C47,'27.05 Mutukula-Kampala-24h '!C47)</f>
        <v>0</v>
      </c>
      <c r="D47" s="46">
        <f>AVERAGE('25.05 Mutukula-Kampala-24h'!D47,'26.05 Mutukula-Kampala-24h'!D47,'27.05 Mutukula-Kampala-24h '!D47)</f>
        <v>0</v>
      </c>
      <c r="E47" s="46">
        <f>AVERAGE('25.05 Mutukula-Kampala-24h'!E47,'26.05 Mutukula-Kampala-24h'!E47,'27.05 Mutukula-Kampala-24h '!E47)</f>
        <v>0</v>
      </c>
      <c r="F47" s="46">
        <f>AVERAGE('25.05 Mutukula-Kampala-24h'!F47,'26.05 Mutukula-Kampala-24h'!F47,'27.05 Mutukula-Kampala-24h '!F47)</f>
        <v>0</v>
      </c>
      <c r="G47" s="46">
        <f>AVERAGE('25.05 Mutukula-Kampala-24h'!G47,'26.05 Mutukula-Kampala-24h'!G47,'27.05 Mutukula-Kampala-24h '!G47)</f>
        <v>0</v>
      </c>
      <c r="H47" s="46">
        <f>AVERAGE('25.05 Mutukula-Kampala-24h'!H47,'26.05 Mutukula-Kampala-24h'!H47,'27.05 Mutukula-Kampala-24h '!H47)</f>
        <v>0</v>
      </c>
      <c r="I47" s="46">
        <f>AVERAGE('25.05 Mutukula-Kampala-24h'!I47,'26.05 Mutukula-Kampala-24h'!I47,'27.05 Mutukula-Kampala-24h '!I47)</f>
        <v>0</v>
      </c>
      <c r="J47" s="46">
        <f>AVERAGE('25.05 Mutukula-Kampala-24h'!J47,'26.05 Mutukula-Kampala-24h'!J47,'27.05 Mutukula-Kampala-24h '!J47)</f>
        <v>0</v>
      </c>
      <c r="K47" s="46">
        <f>AVERAGE('25.05 Mutukula-Kampala-24h'!K47,'26.05 Mutukula-Kampala-24h'!K47,'27.05 Mutukula-Kampala-24h '!K47)</f>
        <v>0</v>
      </c>
      <c r="L47" s="46">
        <f>AVERAGE('25.05 Mutukula-Kampala-24h'!L47,'26.05 Mutukula-Kampala-24h'!L47,'27.05 Mutukula-Kampala-24h '!L47)</f>
        <v>0</v>
      </c>
      <c r="M47" s="46">
        <f>AVERAGE('25.05 Mutukula-Kampala-24h'!M47,'26.05 Mutukula-Kampala-24h'!M47,'27.05 Mutukula-Kampala-24h '!M47)</f>
        <v>0</v>
      </c>
      <c r="N47" s="46">
        <f>AVERAGE('25.05 Mutukula-Kampala-24h'!N47,'26.05 Mutukula-Kampala-24h'!N47,'27.05 Mutukula-Kampala-24h '!N47)</f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21" t="s">
        <v>75</v>
      </c>
      <c r="C48" s="46">
        <f>AVERAGE('25.05 Mutukula-Kampala-24h'!C48,'26.05 Mutukula-Kampala-24h'!C48,'27.05 Mutukula-Kampala-24h '!C48)</f>
        <v>3.3333333333333335</v>
      </c>
      <c r="D48" s="46">
        <f>AVERAGE('25.05 Mutukula-Kampala-24h'!D48,'26.05 Mutukula-Kampala-24h'!D48,'27.05 Mutukula-Kampala-24h '!D48)</f>
        <v>0</v>
      </c>
      <c r="E48" s="46">
        <f>AVERAGE('25.05 Mutukula-Kampala-24h'!E48,'26.05 Mutukula-Kampala-24h'!E48,'27.05 Mutukula-Kampala-24h '!E48)</f>
        <v>0</v>
      </c>
      <c r="F48" s="46">
        <f>AVERAGE('25.05 Mutukula-Kampala-24h'!F48,'26.05 Mutukula-Kampala-24h'!F48,'27.05 Mutukula-Kampala-24h '!F48)</f>
        <v>0.66666666666666663</v>
      </c>
      <c r="G48" s="46">
        <f>AVERAGE('25.05 Mutukula-Kampala-24h'!G48,'26.05 Mutukula-Kampala-24h'!G48,'27.05 Mutukula-Kampala-24h '!G48)</f>
        <v>0</v>
      </c>
      <c r="H48" s="46">
        <f>AVERAGE('25.05 Mutukula-Kampala-24h'!H48,'26.05 Mutukula-Kampala-24h'!H48,'27.05 Mutukula-Kampala-24h '!H48)</f>
        <v>0.33333333333333331</v>
      </c>
      <c r="I48" s="46">
        <f>AVERAGE('25.05 Mutukula-Kampala-24h'!I48,'26.05 Mutukula-Kampala-24h'!I48,'27.05 Mutukula-Kampala-24h '!I48)</f>
        <v>0.33333333333333331</v>
      </c>
      <c r="J48" s="46">
        <f>AVERAGE('25.05 Mutukula-Kampala-24h'!J48,'26.05 Mutukula-Kampala-24h'!J48,'27.05 Mutukula-Kampala-24h '!J48)</f>
        <v>2</v>
      </c>
      <c r="K48" s="46">
        <f>AVERAGE('25.05 Mutukula-Kampala-24h'!K48,'26.05 Mutukula-Kampala-24h'!K48,'27.05 Mutukula-Kampala-24h '!K48)</f>
        <v>0.33333333333333331</v>
      </c>
      <c r="L48" s="46">
        <f>AVERAGE('25.05 Mutukula-Kampala-24h'!L48,'26.05 Mutukula-Kampala-24h'!L48,'27.05 Mutukula-Kampala-24h '!L48)</f>
        <v>0.66666666666666663</v>
      </c>
      <c r="M48" s="46">
        <f>AVERAGE('25.05 Mutukula-Kampala-24h'!M48,'26.05 Mutukula-Kampala-24h'!M48,'27.05 Mutukula-Kampala-24h '!M48)</f>
        <v>0</v>
      </c>
      <c r="N48" s="46">
        <f>AVERAGE('25.05 Mutukula-Kampala-24h'!N48,'26.05 Mutukula-Kampala-24h'!N48,'27.05 Mutukula-Kampala-24h '!N48)</f>
        <v>0</v>
      </c>
      <c r="O48" s="15">
        <f t="shared" si="0"/>
        <v>7.6666666666666661</v>
      </c>
      <c r="P48" s="15">
        <f t="shared" si="1"/>
        <v>7.6666666666666661</v>
      </c>
      <c r="R48" s="8"/>
      <c r="T48"/>
    </row>
    <row r="49" spans="2:20" ht="23.1" customHeight="1" x14ac:dyDescent="0.25">
      <c r="B49" s="20" t="s">
        <v>76</v>
      </c>
      <c r="C49" s="46">
        <f>AVERAGE('25.05 Mutukula-Kampala-24h'!C49,'26.05 Mutukula-Kampala-24h'!C49,'27.05 Mutukula-Kampala-24h '!C49)</f>
        <v>0</v>
      </c>
      <c r="D49" s="46">
        <f>AVERAGE('25.05 Mutukula-Kampala-24h'!D49,'26.05 Mutukula-Kampala-24h'!D49,'27.05 Mutukula-Kampala-24h '!D49)</f>
        <v>0</v>
      </c>
      <c r="E49" s="46">
        <f>AVERAGE('25.05 Mutukula-Kampala-24h'!E49,'26.05 Mutukula-Kampala-24h'!E49,'27.05 Mutukula-Kampala-24h '!E49)</f>
        <v>0</v>
      </c>
      <c r="F49" s="46">
        <f>AVERAGE('25.05 Mutukula-Kampala-24h'!F49,'26.05 Mutukula-Kampala-24h'!F49,'27.05 Mutukula-Kampala-24h '!F49)</f>
        <v>0</v>
      </c>
      <c r="G49" s="46">
        <f>AVERAGE('25.05 Mutukula-Kampala-24h'!G49,'26.05 Mutukula-Kampala-24h'!G49,'27.05 Mutukula-Kampala-24h '!G49)</f>
        <v>0</v>
      </c>
      <c r="H49" s="46">
        <f>AVERAGE('25.05 Mutukula-Kampala-24h'!H49,'26.05 Mutukula-Kampala-24h'!H49,'27.05 Mutukula-Kampala-24h '!H49)</f>
        <v>0</v>
      </c>
      <c r="I49" s="46">
        <f>AVERAGE('25.05 Mutukula-Kampala-24h'!I49,'26.05 Mutukula-Kampala-24h'!I49,'27.05 Mutukula-Kampala-24h '!I49)</f>
        <v>0</v>
      </c>
      <c r="J49" s="46">
        <f>AVERAGE('25.05 Mutukula-Kampala-24h'!J49,'26.05 Mutukula-Kampala-24h'!J49,'27.05 Mutukula-Kampala-24h '!J49)</f>
        <v>0</v>
      </c>
      <c r="K49" s="46">
        <f>AVERAGE('25.05 Mutukula-Kampala-24h'!K49,'26.05 Mutukula-Kampala-24h'!K49,'27.05 Mutukula-Kampala-24h '!K49)</f>
        <v>0</v>
      </c>
      <c r="L49" s="46">
        <f>AVERAGE('25.05 Mutukula-Kampala-24h'!L49,'26.05 Mutukula-Kampala-24h'!L49,'27.05 Mutukula-Kampala-24h '!L49)</f>
        <v>0</v>
      </c>
      <c r="M49" s="46">
        <f>AVERAGE('25.05 Mutukula-Kampala-24h'!M49,'26.05 Mutukula-Kampala-24h'!M49,'27.05 Mutukula-Kampala-24h '!M49)</f>
        <v>0</v>
      </c>
      <c r="N49" s="46">
        <f>AVERAGE('25.05 Mutukula-Kampala-24h'!N49,'26.05 Mutukula-Kampala-24h'!N49,'27.05 Mutukula-Kampala-24h '!N49)</f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1" t="s">
        <v>77</v>
      </c>
      <c r="C50" s="46">
        <f>AVERAGE('25.05 Mutukula-Kampala-24h'!C50,'26.05 Mutukula-Kampala-24h'!C50,'27.05 Mutukula-Kampala-24h '!C50)</f>
        <v>5.666666666666667</v>
      </c>
      <c r="D50" s="46">
        <f>AVERAGE('25.05 Mutukula-Kampala-24h'!D50,'26.05 Mutukula-Kampala-24h'!D50,'27.05 Mutukula-Kampala-24h '!D50)</f>
        <v>0</v>
      </c>
      <c r="E50" s="46">
        <f>AVERAGE('25.05 Mutukula-Kampala-24h'!E50,'26.05 Mutukula-Kampala-24h'!E50,'27.05 Mutukula-Kampala-24h '!E50)</f>
        <v>0</v>
      </c>
      <c r="F50" s="46">
        <f>AVERAGE('25.05 Mutukula-Kampala-24h'!F50,'26.05 Mutukula-Kampala-24h'!F50,'27.05 Mutukula-Kampala-24h '!F50)</f>
        <v>2</v>
      </c>
      <c r="G50" s="46">
        <f>AVERAGE('25.05 Mutukula-Kampala-24h'!G50,'26.05 Mutukula-Kampala-24h'!G50,'27.05 Mutukula-Kampala-24h '!G50)</f>
        <v>0</v>
      </c>
      <c r="H50" s="46">
        <f>AVERAGE('25.05 Mutukula-Kampala-24h'!H50,'26.05 Mutukula-Kampala-24h'!H50,'27.05 Mutukula-Kampala-24h '!H50)</f>
        <v>0.33333333333333331</v>
      </c>
      <c r="I50" s="46">
        <f>AVERAGE('25.05 Mutukula-Kampala-24h'!I50,'26.05 Mutukula-Kampala-24h'!I50,'27.05 Mutukula-Kampala-24h '!I50)</f>
        <v>0.66666666666666663</v>
      </c>
      <c r="J50" s="46">
        <f>AVERAGE('25.05 Mutukula-Kampala-24h'!J50,'26.05 Mutukula-Kampala-24h'!J50,'27.05 Mutukula-Kampala-24h '!J50)</f>
        <v>3.3333333333333335</v>
      </c>
      <c r="K50" s="46">
        <f>AVERAGE('25.05 Mutukula-Kampala-24h'!K50,'26.05 Mutukula-Kampala-24h'!K50,'27.05 Mutukula-Kampala-24h '!K50)</f>
        <v>0</v>
      </c>
      <c r="L50" s="46">
        <f>AVERAGE('25.05 Mutukula-Kampala-24h'!L50,'26.05 Mutukula-Kampala-24h'!L50,'27.05 Mutukula-Kampala-24h '!L50)</f>
        <v>2</v>
      </c>
      <c r="M50" s="46">
        <f>AVERAGE('25.05 Mutukula-Kampala-24h'!M50,'26.05 Mutukula-Kampala-24h'!M50,'27.05 Mutukula-Kampala-24h '!M50)</f>
        <v>0</v>
      </c>
      <c r="N50" s="46">
        <f>AVERAGE('25.05 Mutukula-Kampala-24h'!N50,'26.05 Mutukula-Kampala-24h'!N50,'27.05 Mutukula-Kampala-24h '!N50)</f>
        <v>0</v>
      </c>
      <c r="O50" s="15">
        <f t="shared" si="0"/>
        <v>14</v>
      </c>
      <c r="P50" s="15">
        <f t="shared" si="1"/>
        <v>14</v>
      </c>
      <c r="R50" s="8"/>
      <c r="T50"/>
    </row>
    <row r="51" spans="2:20" ht="23.1" customHeight="1" x14ac:dyDescent="0.25">
      <c r="B51" s="21" t="s">
        <v>78</v>
      </c>
      <c r="C51" s="46">
        <f>AVERAGE('25.05 Mutukula-Kampala-24h'!C51,'26.05 Mutukula-Kampala-24h'!C51,'27.05 Mutukula-Kampala-24h '!C51)</f>
        <v>0</v>
      </c>
      <c r="D51" s="46">
        <f>AVERAGE('25.05 Mutukula-Kampala-24h'!D51,'26.05 Mutukula-Kampala-24h'!D51,'27.05 Mutukula-Kampala-24h '!D51)</f>
        <v>0</v>
      </c>
      <c r="E51" s="46">
        <f>AVERAGE('25.05 Mutukula-Kampala-24h'!E51,'26.05 Mutukula-Kampala-24h'!E51,'27.05 Mutukula-Kampala-24h '!E51)</f>
        <v>0</v>
      </c>
      <c r="F51" s="46">
        <f>AVERAGE('25.05 Mutukula-Kampala-24h'!F51,'26.05 Mutukula-Kampala-24h'!F51,'27.05 Mutukula-Kampala-24h '!F51)</f>
        <v>0</v>
      </c>
      <c r="G51" s="46">
        <f>AVERAGE('25.05 Mutukula-Kampala-24h'!G51,'26.05 Mutukula-Kampala-24h'!G51,'27.05 Mutukula-Kampala-24h '!G51)</f>
        <v>0</v>
      </c>
      <c r="H51" s="46">
        <f>AVERAGE('25.05 Mutukula-Kampala-24h'!H51,'26.05 Mutukula-Kampala-24h'!H51,'27.05 Mutukula-Kampala-24h '!H51)</f>
        <v>0</v>
      </c>
      <c r="I51" s="46">
        <f>AVERAGE('25.05 Mutukula-Kampala-24h'!I51,'26.05 Mutukula-Kampala-24h'!I51,'27.05 Mutukula-Kampala-24h '!I51)</f>
        <v>0</v>
      </c>
      <c r="J51" s="46">
        <f>AVERAGE('25.05 Mutukula-Kampala-24h'!J51,'26.05 Mutukula-Kampala-24h'!J51,'27.05 Mutukula-Kampala-24h '!J51)</f>
        <v>0</v>
      </c>
      <c r="K51" s="46">
        <f>AVERAGE('25.05 Mutukula-Kampala-24h'!K51,'26.05 Mutukula-Kampala-24h'!K51,'27.05 Mutukula-Kampala-24h '!K51)</f>
        <v>0</v>
      </c>
      <c r="L51" s="46">
        <f>AVERAGE('25.05 Mutukula-Kampala-24h'!L51,'26.05 Mutukula-Kampala-24h'!L51,'27.05 Mutukula-Kampala-24h '!L51)</f>
        <v>0</v>
      </c>
      <c r="M51" s="46">
        <f>AVERAGE('25.05 Mutukula-Kampala-24h'!M51,'26.05 Mutukula-Kampala-24h'!M51,'27.05 Mutukula-Kampala-24h '!M51)</f>
        <v>0</v>
      </c>
      <c r="N51" s="46">
        <f>AVERAGE('25.05 Mutukula-Kampala-24h'!N51,'26.05 Mutukula-Kampala-24h'!N51,'27.05 Mutukula-Kampala-24h '!N51)</f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1" t="s">
        <v>79</v>
      </c>
      <c r="C52" s="46">
        <f>AVERAGE('25.05 Mutukula-Kampala-24h'!C52,'26.05 Mutukula-Kampala-24h'!C52,'27.05 Mutukula-Kampala-24h '!C52)</f>
        <v>4</v>
      </c>
      <c r="D52" s="46">
        <f>AVERAGE('25.05 Mutukula-Kampala-24h'!D52,'26.05 Mutukula-Kampala-24h'!D52,'27.05 Mutukula-Kampala-24h '!D52)</f>
        <v>0</v>
      </c>
      <c r="E52" s="46">
        <f>AVERAGE('25.05 Mutukula-Kampala-24h'!E52,'26.05 Mutukula-Kampala-24h'!E52,'27.05 Mutukula-Kampala-24h '!E52)</f>
        <v>0</v>
      </c>
      <c r="F52" s="46">
        <f>AVERAGE('25.05 Mutukula-Kampala-24h'!F52,'26.05 Mutukula-Kampala-24h'!F52,'27.05 Mutukula-Kampala-24h '!F52)</f>
        <v>2</v>
      </c>
      <c r="G52" s="46">
        <f>AVERAGE('25.05 Mutukula-Kampala-24h'!G52,'26.05 Mutukula-Kampala-24h'!G52,'27.05 Mutukula-Kampala-24h '!G52)</f>
        <v>0</v>
      </c>
      <c r="H52" s="46">
        <f>AVERAGE('25.05 Mutukula-Kampala-24h'!H52,'26.05 Mutukula-Kampala-24h'!H52,'27.05 Mutukula-Kampala-24h '!H52)</f>
        <v>0</v>
      </c>
      <c r="I52" s="46">
        <f>AVERAGE('25.05 Mutukula-Kampala-24h'!I52,'26.05 Mutukula-Kampala-24h'!I52,'27.05 Mutukula-Kampala-24h '!I52)</f>
        <v>0</v>
      </c>
      <c r="J52" s="46">
        <f>AVERAGE('25.05 Mutukula-Kampala-24h'!J52,'26.05 Mutukula-Kampala-24h'!J52,'27.05 Mutukula-Kampala-24h '!J52)</f>
        <v>1.3333333333333333</v>
      </c>
      <c r="K52" s="46">
        <f>AVERAGE('25.05 Mutukula-Kampala-24h'!K52,'26.05 Mutukula-Kampala-24h'!K52,'27.05 Mutukula-Kampala-24h '!K52)</f>
        <v>0.66666666666666663</v>
      </c>
      <c r="L52" s="46">
        <f>AVERAGE('25.05 Mutukula-Kampala-24h'!L52,'26.05 Mutukula-Kampala-24h'!L52,'27.05 Mutukula-Kampala-24h '!L52)</f>
        <v>1.6666666666666667</v>
      </c>
      <c r="M52" s="46">
        <f>AVERAGE('25.05 Mutukula-Kampala-24h'!M52,'26.05 Mutukula-Kampala-24h'!M52,'27.05 Mutukula-Kampala-24h '!M52)</f>
        <v>0</v>
      </c>
      <c r="N52" s="46">
        <f>AVERAGE('25.05 Mutukula-Kampala-24h'!N52,'26.05 Mutukula-Kampala-24h'!N52,'27.05 Mutukula-Kampala-24h '!N52)</f>
        <v>0</v>
      </c>
      <c r="O52" s="15">
        <f t="shared" si="0"/>
        <v>9.6666666666666661</v>
      </c>
      <c r="P52" s="15">
        <f t="shared" si="1"/>
        <v>9.6666666666666661</v>
      </c>
      <c r="R52" s="8"/>
      <c r="T52"/>
    </row>
    <row r="53" spans="2:20" ht="23.1" customHeight="1" x14ac:dyDescent="0.25">
      <c r="B53" s="20" t="s">
        <v>80</v>
      </c>
      <c r="C53" s="46">
        <f>AVERAGE('25.05 Mutukula-Kampala-24h'!C53,'26.05 Mutukula-Kampala-24h'!C53,'27.05 Mutukula-Kampala-24h '!C53)</f>
        <v>0</v>
      </c>
      <c r="D53" s="46">
        <f>AVERAGE('25.05 Mutukula-Kampala-24h'!D53,'26.05 Mutukula-Kampala-24h'!D53,'27.05 Mutukula-Kampala-24h '!D53)</f>
        <v>0</v>
      </c>
      <c r="E53" s="46">
        <f>AVERAGE('25.05 Mutukula-Kampala-24h'!E53,'26.05 Mutukula-Kampala-24h'!E53,'27.05 Mutukula-Kampala-24h '!E53)</f>
        <v>0</v>
      </c>
      <c r="F53" s="46">
        <f>AVERAGE('25.05 Mutukula-Kampala-24h'!F53,'26.05 Mutukula-Kampala-24h'!F53,'27.05 Mutukula-Kampala-24h '!F53)</f>
        <v>0</v>
      </c>
      <c r="G53" s="46">
        <f>AVERAGE('25.05 Mutukula-Kampala-24h'!G53,'26.05 Mutukula-Kampala-24h'!G53,'27.05 Mutukula-Kampala-24h '!G53)</f>
        <v>0</v>
      </c>
      <c r="H53" s="46">
        <f>AVERAGE('25.05 Mutukula-Kampala-24h'!H53,'26.05 Mutukula-Kampala-24h'!H53,'27.05 Mutukula-Kampala-24h '!H53)</f>
        <v>0</v>
      </c>
      <c r="I53" s="46">
        <f>AVERAGE('25.05 Mutukula-Kampala-24h'!I53,'26.05 Mutukula-Kampala-24h'!I53,'27.05 Mutukula-Kampala-24h '!I53)</f>
        <v>0</v>
      </c>
      <c r="J53" s="46">
        <f>AVERAGE('25.05 Mutukula-Kampala-24h'!J53,'26.05 Mutukula-Kampala-24h'!J53,'27.05 Mutukula-Kampala-24h '!J53)</f>
        <v>0</v>
      </c>
      <c r="K53" s="46">
        <f>AVERAGE('25.05 Mutukula-Kampala-24h'!K53,'26.05 Mutukula-Kampala-24h'!K53,'27.05 Mutukula-Kampala-24h '!K53)</f>
        <v>0</v>
      </c>
      <c r="L53" s="46">
        <f>AVERAGE('25.05 Mutukula-Kampala-24h'!L53,'26.05 Mutukula-Kampala-24h'!L53,'27.05 Mutukula-Kampala-24h '!L53)</f>
        <v>0</v>
      </c>
      <c r="M53" s="46">
        <f>AVERAGE('25.05 Mutukula-Kampala-24h'!M53,'26.05 Mutukula-Kampala-24h'!M53,'27.05 Mutukula-Kampala-24h '!M53)</f>
        <v>0</v>
      </c>
      <c r="N53" s="46">
        <f>AVERAGE('25.05 Mutukula-Kampala-24h'!N53,'26.05 Mutukula-Kampala-24h'!N53,'27.05 Mutukula-Kampala-24h '!N53)</f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0" t="s">
        <v>81</v>
      </c>
      <c r="C54" s="46">
        <f>AVERAGE('25.05 Mutukula-Kampala-24h'!C54,'26.05 Mutukula-Kampala-24h'!C54,'27.05 Mutukula-Kampala-24h '!C54)</f>
        <v>4</v>
      </c>
      <c r="D54" s="46">
        <f>AVERAGE('25.05 Mutukula-Kampala-24h'!D54,'26.05 Mutukula-Kampala-24h'!D54,'27.05 Mutukula-Kampala-24h '!D54)</f>
        <v>0</v>
      </c>
      <c r="E54" s="46">
        <f>AVERAGE('25.05 Mutukula-Kampala-24h'!E54,'26.05 Mutukula-Kampala-24h'!E54,'27.05 Mutukula-Kampala-24h '!E54)</f>
        <v>0</v>
      </c>
      <c r="F54" s="46">
        <f>AVERAGE('25.05 Mutukula-Kampala-24h'!F54,'26.05 Mutukula-Kampala-24h'!F54,'27.05 Mutukula-Kampala-24h '!F54)</f>
        <v>2.3333333333333335</v>
      </c>
      <c r="G54" s="46">
        <f>AVERAGE('25.05 Mutukula-Kampala-24h'!G54,'26.05 Mutukula-Kampala-24h'!G54,'27.05 Mutukula-Kampala-24h '!G54)</f>
        <v>0.33333333333333331</v>
      </c>
      <c r="H54" s="46">
        <f>AVERAGE('25.05 Mutukula-Kampala-24h'!H54,'26.05 Mutukula-Kampala-24h'!H54,'27.05 Mutukula-Kampala-24h '!H54)</f>
        <v>0</v>
      </c>
      <c r="I54" s="46">
        <f>AVERAGE('25.05 Mutukula-Kampala-24h'!I54,'26.05 Mutukula-Kampala-24h'!I54,'27.05 Mutukula-Kampala-24h '!I54)</f>
        <v>0.66666666666666663</v>
      </c>
      <c r="J54" s="46">
        <f>AVERAGE('25.05 Mutukula-Kampala-24h'!J54,'26.05 Mutukula-Kampala-24h'!J54,'27.05 Mutukula-Kampala-24h '!J54)</f>
        <v>0.66666666666666663</v>
      </c>
      <c r="K54" s="46">
        <f>AVERAGE('25.05 Mutukula-Kampala-24h'!K54,'26.05 Mutukula-Kampala-24h'!K54,'27.05 Mutukula-Kampala-24h '!K54)</f>
        <v>1</v>
      </c>
      <c r="L54" s="46">
        <f>AVERAGE('25.05 Mutukula-Kampala-24h'!L54,'26.05 Mutukula-Kampala-24h'!L54,'27.05 Mutukula-Kampala-24h '!L54)</f>
        <v>0.66666666666666663</v>
      </c>
      <c r="M54" s="46">
        <f>AVERAGE('25.05 Mutukula-Kampala-24h'!M54,'26.05 Mutukula-Kampala-24h'!M54,'27.05 Mutukula-Kampala-24h '!M54)</f>
        <v>0</v>
      </c>
      <c r="N54" s="46">
        <f>AVERAGE('25.05 Mutukula-Kampala-24h'!N54,'26.05 Mutukula-Kampala-24h'!N54,'27.05 Mutukula-Kampala-24h '!N54)</f>
        <v>0</v>
      </c>
      <c r="O54" s="15">
        <f t="shared" si="0"/>
        <v>9.6666666666666661</v>
      </c>
      <c r="P54" s="15">
        <f t="shared" si="1"/>
        <v>9.6666666666666661</v>
      </c>
      <c r="R54" s="8"/>
      <c r="T54"/>
    </row>
    <row r="55" spans="2:20" ht="23.1" customHeight="1" x14ac:dyDescent="0.25">
      <c r="B55" s="20" t="s">
        <v>82</v>
      </c>
      <c r="C55" s="46">
        <f>AVERAGE('25.05 Mutukula-Kampala-24h'!C55,'26.05 Mutukula-Kampala-24h'!C55,'27.05 Mutukula-Kampala-24h '!C55)</f>
        <v>0</v>
      </c>
      <c r="D55" s="46">
        <f>AVERAGE('25.05 Mutukula-Kampala-24h'!D55,'26.05 Mutukula-Kampala-24h'!D55,'27.05 Mutukula-Kampala-24h '!D55)</f>
        <v>0</v>
      </c>
      <c r="E55" s="46">
        <f>AVERAGE('25.05 Mutukula-Kampala-24h'!E55,'26.05 Mutukula-Kampala-24h'!E55,'27.05 Mutukula-Kampala-24h '!E55)</f>
        <v>0</v>
      </c>
      <c r="F55" s="46">
        <f>AVERAGE('25.05 Mutukula-Kampala-24h'!F55,'26.05 Mutukula-Kampala-24h'!F55,'27.05 Mutukula-Kampala-24h '!F55)</f>
        <v>0</v>
      </c>
      <c r="G55" s="46">
        <f>AVERAGE('25.05 Mutukula-Kampala-24h'!G55,'26.05 Mutukula-Kampala-24h'!G55,'27.05 Mutukula-Kampala-24h '!G55)</f>
        <v>0</v>
      </c>
      <c r="H55" s="46">
        <f>AVERAGE('25.05 Mutukula-Kampala-24h'!H55,'26.05 Mutukula-Kampala-24h'!H55,'27.05 Mutukula-Kampala-24h '!H55)</f>
        <v>0</v>
      </c>
      <c r="I55" s="46">
        <f>AVERAGE('25.05 Mutukula-Kampala-24h'!I55,'26.05 Mutukula-Kampala-24h'!I55,'27.05 Mutukula-Kampala-24h '!I55)</f>
        <v>0</v>
      </c>
      <c r="J55" s="46">
        <f>AVERAGE('25.05 Mutukula-Kampala-24h'!J55,'26.05 Mutukula-Kampala-24h'!J55,'27.05 Mutukula-Kampala-24h '!J55)</f>
        <v>0</v>
      </c>
      <c r="K55" s="46">
        <f>AVERAGE('25.05 Mutukula-Kampala-24h'!K55,'26.05 Mutukula-Kampala-24h'!K55,'27.05 Mutukula-Kampala-24h '!K55)</f>
        <v>0</v>
      </c>
      <c r="L55" s="46">
        <f>AVERAGE('25.05 Mutukula-Kampala-24h'!L55,'26.05 Mutukula-Kampala-24h'!L55,'27.05 Mutukula-Kampala-24h '!L55)</f>
        <v>0</v>
      </c>
      <c r="M55" s="46">
        <f>AVERAGE('25.05 Mutukula-Kampala-24h'!M55,'26.05 Mutukula-Kampala-24h'!M55,'27.05 Mutukula-Kampala-24h '!M55)</f>
        <v>0</v>
      </c>
      <c r="N55" s="46">
        <f>AVERAGE('25.05 Mutukula-Kampala-24h'!N55,'26.05 Mutukula-Kampala-24h'!N55,'27.05 Mutukula-Kampala-24h '!N55)</f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0" t="s">
        <v>83</v>
      </c>
      <c r="C56" s="46">
        <f>AVERAGE('25.05 Mutukula-Kampala-24h'!C56,'26.05 Mutukula-Kampala-24h'!C56,'27.05 Mutukula-Kampala-24h '!C56)</f>
        <v>5</v>
      </c>
      <c r="D56" s="46">
        <f>AVERAGE('25.05 Mutukula-Kampala-24h'!D56,'26.05 Mutukula-Kampala-24h'!D56,'27.05 Mutukula-Kampala-24h '!D56)</f>
        <v>0</v>
      </c>
      <c r="E56" s="46">
        <f>AVERAGE('25.05 Mutukula-Kampala-24h'!E56,'26.05 Mutukula-Kampala-24h'!E56,'27.05 Mutukula-Kampala-24h '!E56)</f>
        <v>0</v>
      </c>
      <c r="F56" s="46">
        <f>AVERAGE('25.05 Mutukula-Kampala-24h'!F56,'26.05 Mutukula-Kampala-24h'!F56,'27.05 Mutukula-Kampala-24h '!F56)</f>
        <v>2.3333333333333335</v>
      </c>
      <c r="G56" s="46">
        <f>AVERAGE('25.05 Mutukula-Kampala-24h'!G56,'26.05 Mutukula-Kampala-24h'!G56,'27.05 Mutukula-Kampala-24h '!G56)</f>
        <v>0.33333333333333331</v>
      </c>
      <c r="H56" s="46">
        <f>AVERAGE('25.05 Mutukula-Kampala-24h'!H56,'26.05 Mutukula-Kampala-24h'!H56,'27.05 Mutukula-Kampala-24h '!H56)</f>
        <v>0</v>
      </c>
      <c r="I56" s="46">
        <f>AVERAGE('25.05 Mutukula-Kampala-24h'!I56,'26.05 Mutukula-Kampala-24h'!I56,'27.05 Mutukula-Kampala-24h '!I56)</f>
        <v>1</v>
      </c>
      <c r="J56" s="46">
        <f>AVERAGE('25.05 Mutukula-Kampala-24h'!J56,'26.05 Mutukula-Kampala-24h'!J56,'27.05 Mutukula-Kampala-24h '!J56)</f>
        <v>3</v>
      </c>
      <c r="K56" s="46">
        <f>AVERAGE('25.05 Mutukula-Kampala-24h'!K56,'26.05 Mutukula-Kampala-24h'!K56,'27.05 Mutukula-Kampala-24h '!K56)</f>
        <v>0</v>
      </c>
      <c r="L56" s="46">
        <f>AVERAGE('25.05 Mutukula-Kampala-24h'!L56,'26.05 Mutukula-Kampala-24h'!L56,'27.05 Mutukula-Kampala-24h '!L56)</f>
        <v>2.6666666666666665</v>
      </c>
      <c r="M56" s="46">
        <f>AVERAGE('25.05 Mutukula-Kampala-24h'!M56,'26.05 Mutukula-Kampala-24h'!M56,'27.05 Mutukula-Kampala-24h '!M56)</f>
        <v>0</v>
      </c>
      <c r="N56" s="46">
        <f>AVERAGE('25.05 Mutukula-Kampala-24h'!N56,'26.05 Mutukula-Kampala-24h'!N56,'27.05 Mutukula-Kampala-24h '!N56)</f>
        <v>0</v>
      </c>
      <c r="O56" s="15">
        <f t="shared" si="0"/>
        <v>14.333333333333334</v>
      </c>
      <c r="P56" s="15">
        <f t="shared" si="1"/>
        <v>14.333333333333334</v>
      </c>
      <c r="R56" s="8"/>
      <c r="T56"/>
    </row>
    <row r="57" spans="2:20" ht="23.1" customHeight="1" x14ac:dyDescent="0.25">
      <c r="B57" s="20" t="s">
        <v>84</v>
      </c>
      <c r="C57" s="46">
        <f>AVERAGE('25.05 Mutukula-Kampala-24h'!C57,'26.05 Mutukula-Kampala-24h'!C57,'27.05 Mutukula-Kampala-24h '!C57)</f>
        <v>0</v>
      </c>
      <c r="D57" s="46">
        <f>AVERAGE('25.05 Mutukula-Kampala-24h'!D57,'26.05 Mutukula-Kampala-24h'!D57,'27.05 Mutukula-Kampala-24h '!D57)</f>
        <v>0</v>
      </c>
      <c r="E57" s="46">
        <f>AVERAGE('25.05 Mutukula-Kampala-24h'!E57,'26.05 Mutukula-Kampala-24h'!E57,'27.05 Mutukula-Kampala-24h '!E57)</f>
        <v>0</v>
      </c>
      <c r="F57" s="46">
        <f>AVERAGE('25.05 Mutukula-Kampala-24h'!F57,'26.05 Mutukula-Kampala-24h'!F57,'27.05 Mutukula-Kampala-24h '!F57)</f>
        <v>0</v>
      </c>
      <c r="G57" s="46">
        <f>AVERAGE('25.05 Mutukula-Kampala-24h'!G57,'26.05 Mutukula-Kampala-24h'!G57,'27.05 Mutukula-Kampala-24h '!G57)</f>
        <v>0</v>
      </c>
      <c r="H57" s="46">
        <f>AVERAGE('25.05 Mutukula-Kampala-24h'!H57,'26.05 Mutukula-Kampala-24h'!H57,'27.05 Mutukula-Kampala-24h '!H57)</f>
        <v>0</v>
      </c>
      <c r="I57" s="46">
        <f>AVERAGE('25.05 Mutukula-Kampala-24h'!I57,'26.05 Mutukula-Kampala-24h'!I57,'27.05 Mutukula-Kampala-24h '!I57)</f>
        <v>0</v>
      </c>
      <c r="J57" s="46">
        <f>AVERAGE('25.05 Mutukula-Kampala-24h'!J57,'26.05 Mutukula-Kampala-24h'!J57,'27.05 Mutukula-Kampala-24h '!J57)</f>
        <v>0</v>
      </c>
      <c r="K57" s="46">
        <f>AVERAGE('25.05 Mutukula-Kampala-24h'!K57,'26.05 Mutukula-Kampala-24h'!K57,'27.05 Mutukula-Kampala-24h '!K57)</f>
        <v>0</v>
      </c>
      <c r="L57" s="46">
        <f>AVERAGE('25.05 Mutukula-Kampala-24h'!L57,'26.05 Mutukula-Kampala-24h'!L57,'27.05 Mutukula-Kampala-24h '!L57)</f>
        <v>0</v>
      </c>
      <c r="M57" s="46">
        <f>AVERAGE('25.05 Mutukula-Kampala-24h'!M57,'26.05 Mutukula-Kampala-24h'!M57,'27.05 Mutukula-Kampala-24h '!M57)</f>
        <v>0</v>
      </c>
      <c r="N57" s="46">
        <f>AVERAGE('25.05 Mutukula-Kampala-24h'!N57,'26.05 Mutukula-Kampala-24h'!N57,'27.05 Mutukula-Kampala-24h '!N57)</f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0" t="s">
        <v>99</v>
      </c>
      <c r="C58" s="46">
        <f>AVERAGE('25.05 Mutukula-Kampala-24h'!C58,'26.05 Mutukula-Kampala-24h'!C58,'27.05 Mutukula-Kampala-24h '!C58)</f>
        <v>3.6666666666666665</v>
      </c>
      <c r="D58" s="46">
        <f>AVERAGE('25.05 Mutukula-Kampala-24h'!D58,'26.05 Mutukula-Kampala-24h'!D58,'27.05 Mutukula-Kampala-24h '!D58)</f>
        <v>0</v>
      </c>
      <c r="E58" s="46">
        <f>AVERAGE('25.05 Mutukula-Kampala-24h'!E58,'26.05 Mutukula-Kampala-24h'!E58,'27.05 Mutukula-Kampala-24h '!E58)</f>
        <v>0</v>
      </c>
      <c r="F58" s="46">
        <f>AVERAGE('25.05 Mutukula-Kampala-24h'!F58,'26.05 Mutukula-Kampala-24h'!F58,'27.05 Mutukula-Kampala-24h '!F58)</f>
        <v>1.3333333333333333</v>
      </c>
      <c r="G58" s="46">
        <f>AVERAGE('25.05 Mutukula-Kampala-24h'!G58,'26.05 Mutukula-Kampala-24h'!G58,'27.05 Mutukula-Kampala-24h '!G58)</f>
        <v>0</v>
      </c>
      <c r="H58" s="46">
        <f>AVERAGE('25.05 Mutukula-Kampala-24h'!H58,'26.05 Mutukula-Kampala-24h'!H58,'27.05 Mutukula-Kampala-24h '!H58)</f>
        <v>0</v>
      </c>
      <c r="I58" s="46">
        <f>AVERAGE('25.05 Mutukula-Kampala-24h'!I58,'26.05 Mutukula-Kampala-24h'!I58,'27.05 Mutukula-Kampala-24h '!I58)</f>
        <v>0.66666666666666663</v>
      </c>
      <c r="J58" s="46">
        <f>AVERAGE('25.05 Mutukula-Kampala-24h'!J58,'26.05 Mutukula-Kampala-24h'!J58,'27.05 Mutukula-Kampala-24h '!J58)</f>
        <v>1</v>
      </c>
      <c r="K58" s="46">
        <f>AVERAGE('25.05 Mutukula-Kampala-24h'!K58,'26.05 Mutukula-Kampala-24h'!K58,'27.05 Mutukula-Kampala-24h '!K58)</f>
        <v>1</v>
      </c>
      <c r="L58" s="46">
        <f>AVERAGE('25.05 Mutukula-Kampala-24h'!L58,'26.05 Mutukula-Kampala-24h'!L58,'27.05 Mutukula-Kampala-24h '!L58)</f>
        <v>2</v>
      </c>
      <c r="M58" s="46">
        <f>AVERAGE('25.05 Mutukula-Kampala-24h'!M58,'26.05 Mutukula-Kampala-24h'!M58,'27.05 Mutukula-Kampala-24h '!M58)</f>
        <v>0</v>
      </c>
      <c r="N58" s="46">
        <f>AVERAGE('25.05 Mutukula-Kampala-24h'!N58,'26.05 Mutukula-Kampala-24h'!N58,'27.05 Mutukula-Kampala-24h '!N58)</f>
        <v>0</v>
      </c>
      <c r="O58" s="15">
        <f t="shared" si="0"/>
        <v>9.6666666666666679</v>
      </c>
      <c r="P58" s="15">
        <f t="shared" si="1"/>
        <v>9.6666666666666679</v>
      </c>
      <c r="R58" s="8"/>
      <c r="T58"/>
    </row>
    <row r="59" spans="2:20" ht="23.1" customHeight="1" x14ac:dyDescent="0.25">
      <c r="B59" s="20" t="s">
        <v>100</v>
      </c>
      <c r="C59" s="46">
        <f>AVERAGE('25.05 Mutukula-Kampala-24h'!C59,'26.05 Mutukula-Kampala-24h'!C59,'27.05 Mutukula-Kampala-24h '!C59)</f>
        <v>0</v>
      </c>
      <c r="D59" s="46">
        <f>AVERAGE('25.05 Mutukula-Kampala-24h'!D59,'26.05 Mutukula-Kampala-24h'!D59,'27.05 Mutukula-Kampala-24h '!D59)</f>
        <v>0</v>
      </c>
      <c r="E59" s="46">
        <f>AVERAGE('25.05 Mutukula-Kampala-24h'!E59,'26.05 Mutukula-Kampala-24h'!E59,'27.05 Mutukula-Kampala-24h '!E59)</f>
        <v>0</v>
      </c>
      <c r="F59" s="46">
        <f>AVERAGE('25.05 Mutukula-Kampala-24h'!F59,'26.05 Mutukula-Kampala-24h'!F59,'27.05 Mutukula-Kampala-24h '!F59)</f>
        <v>0</v>
      </c>
      <c r="G59" s="46">
        <f>AVERAGE('25.05 Mutukula-Kampala-24h'!G59,'26.05 Mutukula-Kampala-24h'!G59,'27.05 Mutukula-Kampala-24h '!G59)</f>
        <v>0</v>
      </c>
      <c r="H59" s="46">
        <f>AVERAGE('25.05 Mutukula-Kampala-24h'!H59,'26.05 Mutukula-Kampala-24h'!H59,'27.05 Mutukula-Kampala-24h '!H59)</f>
        <v>0</v>
      </c>
      <c r="I59" s="46">
        <f>AVERAGE('25.05 Mutukula-Kampala-24h'!I59,'26.05 Mutukula-Kampala-24h'!I59,'27.05 Mutukula-Kampala-24h '!I59)</f>
        <v>0</v>
      </c>
      <c r="J59" s="46">
        <f>AVERAGE('25.05 Mutukula-Kampala-24h'!J59,'26.05 Mutukula-Kampala-24h'!J59,'27.05 Mutukula-Kampala-24h '!J59)</f>
        <v>0</v>
      </c>
      <c r="K59" s="46">
        <f>AVERAGE('25.05 Mutukula-Kampala-24h'!K59,'26.05 Mutukula-Kampala-24h'!K59,'27.05 Mutukula-Kampala-24h '!K59)</f>
        <v>0</v>
      </c>
      <c r="L59" s="46">
        <f>AVERAGE('25.05 Mutukula-Kampala-24h'!L59,'26.05 Mutukula-Kampala-24h'!L59,'27.05 Mutukula-Kampala-24h '!L59)</f>
        <v>0</v>
      </c>
      <c r="M59" s="46">
        <f>AVERAGE('25.05 Mutukula-Kampala-24h'!M59,'26.05 Mutukula-Kampala-24h'!M59,'27.05 Mutukula-Kampala-24h '!M59)</f>
        <v>0</v>
      </c>
      <c r="N59" s="46">
        <f>AVERAGE('25.05 Mutukula-Kampala-24h'!N59,'26.05 Mutukula-Kampala-24h'!N59,'27.05 Mutukula-Kampala-24h '!N59)</f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20" t="s">
        <v>101</v>
      </c>
      <c r="C60" s="46">
        <f>AVERAGE('25.05 Mutukula-Kampala-24h'!C60,'26.05 Mutukula-Kampala-24h'!C60,'27.05 Mutukula-Kampala-24h '!C60)</f>
        <v>6.666666666666667</v>
      </c>
      <c r="D60" s="46">
        <f>AVERAGE('25.05 Mutukula-Kampala-24h'!D60,'26.05 Mutukula-Kampala-24h'!D60,'27.05 Mutukula-Kampala-24h '!D60)</f>
        <v>0</v>
      </c>
      <c r="E60" s="46">
        <f>AVERAGE('25.05 Mutukula-Kampala-24h'!E60,'26.05 Mutukula-Kampala-24h'!E60,'27.05 Mutukula-Kampala-24h '!E60)</f>
        <v>0</v>
      </c>
      <c r="F60" s="46">
        <f>AVERAGE('25.05 Mutukula-Kampala-24h'!F60,'26.05 Mutukula-Kampala-24h'!F60,'27.05 Mutukula-Kampala-24h '!F60)</f>
        <v>1</v>
      </c>
      <c r="G60" s="46">
        <f>AVERAGE('25.05 Mutukula-Kampala-24h'!G60,'26.05 Mutukula-Kampala-24h'!G60,'27.05 Mutukula-Kampala-24h '!G60)</f>
        <v>0</v>
      </c>
      <c r="H60" s="46">
        <f>AVERAGE('25.05 Mutukula-Kampala-24h'!H60,'26.05 Mutukula-Kampala-24h'!H60,'27.05 Mutukula-Kampala-24h '!H60)</f>
        <v>0</v>
      </c>
      <c r="I60" s="46">
        <f>AVERAGE('25.05 Mutukula-Kampala-24h'!I60,'26.05 Mutukula-Kampala-24h'!I60,'27.05 Mutukula-Kampala-24h '!I60)</f>
        <v>0.66666666666666663</v>
      </c>
      <c r="J60" s="46">
        <f>AVERAGE('25.05 Mutukula-Kampala-24h'!J60,'26.05 Mutukula-Kampala-24h'!J60,'27.05 Mutukula-Kampala-24h '!J60)</f>
        <v>2</v>
      </c>
      <c r="K60" s="46">
        <f>AVERAGE('25.05 Mutukula-Kampala-24h'!K60,'26.05 Mutukula-Kampala-24h'!K60,'27.05 Mutukula-Kampala-24h '!K60)</f>
        <v>0.66666666666666663</v>
      </c>
      <c r="L60" s="46">
        <f>AVERAGE('25.05 Mutukula-Kampala-24h'!L60,'26.05 Mutukula-Kampala-24h'!L60,'27.05 Mutukula-Kampala-24h '!L60)</f>
        <v>3.6666666666666665</v>
      </c>
      <c r="M60" s="46">
        <f>AVERAGE('25.05 Mutukula-Kampala-24h'!M60,'26.05 Mutukula-Kampala-24h'!M60,'27.05 Mutukula-Kampala-24h '!M60)</f>
        <v>0</v>
      </c>
      <c r="N60" s="46">
        <f>AVERAGE('25.05 Mutukula-Kampala-24h'!N60,'26.05 Mutukula-Kampala-24h'!N60,'27.05 Mutukula-Kampala-24h '!N60)</f>
        <v>0</v>
      </c>
      <c r="O60" s="15">
        <f t="shared" si="0"/>
        <v>14.666666666666666</v>
      </c>
      <c r="P60" s="15">
        <f t="shared" si="1"/>
        <v>14.666666666666666</v>
      </c>
      <c r="R60" s="8"/>
      <c r="T60"/>
    </row>
    <row r="61" spans="2:20" ht="23.1" customHeight="1" x14ac:dyDescent="0.25">
      <c r="B61" s="20" t="s">
        <v>102</v>
      </c>
      <c r="C61" s="46">
        <f>AVERAGE('25.05 Mutukula-Kampala-24h'!C61,'26.05 Mutukula-Kampala-24h'!C61,'27.05 Mutukula-Kampala-24h '!C61)</f>
        <v>0</v>
      </c>
      <c r="D61" s="46">
        <f>AVERAGE('25.05 Mutukula-Kampala-24h'!D61,'26.05 Mutukula-Kampala-24h'!D61,'27.05 Mutukula-Kampala-24h '!D61)</f>
        <v>0</v>
      </c>
      <c r="E61" s="46">
        <f>AVERAGE('25.05 Mutukula-Kampala-24h'!E61,'26.05 Mutukula-Kampala-24h'!E61,'27.05 Mutukula-Kampala-24h '!E61)</f>
        <v>0</v>
      </c>
      <c r="F61" s="46">
        <f>AVERAGE('25.05 Mutukula-Kampala-24h'!F61,'26.05 Mutukula-Kampala-24h'!F61,'27.05 Mutukula-Kampala-24h '!F61)</f>
        <v>0</v>
      </c>
      <c r="G61" s="46">
        <f>AVERAGE('25.05 Mutukula-Kampala-24h'!G61,'26.05 Mutukula-Kampala-24h'!G61,'27.05 Mutukula-Kampala-24h '!G61)</f>
        <v>0</v>
      </c>
      <c r="H61" s="46">
        <f>AVERAGE('25.05 Mutukula-Kampala-24h'!H61,'26.05 Mutukula-Kampala-24h'!H61,'27.05 Mutukula-Kampala-24h '!H61)</f>
        <v>0</v>
      </c>
      <c r="I61" s="46">
        <f>AVERAGE('25.05 Mutukula-Kampala-24h'!I61,'26.05 Mutukula-Kampala-24h'!I61,'27.05 Mutukula-Kampala-24h '!I61)</f>
        <v>0</v>
      </c>
      <c r="J61" s="46">
        <f>AVERAGE('25.05 Mutukula-Kampala-24h'!J61,'26.05 Mutukula-Kampala-24h'!J61,'27.05 Mutukula-Kampala-24h '!J61)</f>
        <v>0</v>
      </c>
      <c r="K61" s="46">
        <f>AVERAGE('25.05 Mutukula-Kampala-24h'!K61,'26.05 Mutukula-Kampala-24h'!K61,'27.05 Mutukula-Kampala-24h '!K61)</f>
        <v>0</v>
      </c>
      <c r="L61" s="46">
        <f>AVERAGE('25.05 Mutukula-Kampala-24h'!L61,'26.05 Mutukula-Kampala-24h'!L61,'27.05 Mutukula-Kampala-24h '!L61)</f>
        <v>0</v>
      </c>
      <c r="M61" s="46">
        <f>AVERAGE('25.05 Mutukula-Kampala-24h'!M61,'26.05 Mutukula-Kampala-24h'!M61,'27.05 Mutukula-Kampala-24h '!M61)</f>
        <v>0</v>
      </c>
      <c r="N61" s="46">
        <f>AVERAGE('25.05 Mutukula-Kampala-24h'!N61,'26.05 Mutukula-Kampala-24h'!N61,'27.05 Mutukula-Kampala-24h '!N61)</f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20" t="s">
        <v>107</v>
      </c>
      <c r="C62" s="46">
        <f>AVERAGE('25.05 Mutukula-Kampala-24h'!C62,'26.05 Mutukula-Kampala-24h'!C62,'27.05 Mutukula-Kampala-24h '!C62)</f>
        <v>5.333333333333333</v>
      </c>
      <c r="D62" s="46">
        <f>AVERAGE('25.05 Mutukula-Kampala-24h'!D62,'26.05 Mutukula-Kampala-24h'!D62,'27.05 Mutukula-Kampala-24h '!D62)</f>
        <v>0</v>
      </c>
      <c r="E62" s="46">
        <f>AVERAGE('25.05 Mutukula-Kampala-24h'!E62,'26.05 Mutukula-Kampala-24h'!E62,'27.05 Mutukula-Kampala-24h '!E62)</f>
        <v>0</v>
      </c>
      <c r="F62" s="46">
        <f>AVERAGE('25.05 Mutukula-Kampala-24h'!F62,'26.05 Mutukula-Kampala-24h'!F62,'27.05 Mutukula-Kampala-24h '!F62)</f>
        <v>2</v>
      </c>
      <c r="G62" s="46">
        <f>AVERAGE('25.05 Mutukula-Kampala-24h'!G62,'26.05 Mutukula-Kampala-24h'!G62,'27.05 Mutukula-Kampala-24h '!G62)</f>
        <v>0</v>
      </c>
      <c r="H62" s="46">
        <f>AVERAGE('25.05 Mutukula-Kampala-24h'!H62,'26.05 Mutukula-Kampala-24h'!H62,'27.05 Mutukula-Kampala-24h '!H62)</f>
        <v>1</v>
      </c>
      <c r="I62" s="46">
        <f>AVERAGE('25.05 Mutukula-Kampala-24h'!I62,'26.05 Mutukula-Kampala-24h'!I62,'27.05 Mutukula-Kampala-24h '!I62)</f>
        <v>0.66666666666666663</v>
      </c>
      <c r="J62" s="46">
        <f>AVERAGE('25.05 Mutukula-Kampala-24h'!J62,'26.05 Mutukula-Kampala-24h'!J62,'27.05 Mutukula-Kampala-24h '!J62)</f>
        <v>1</v>
      </c>
      <c r="K62" s="46">
        <f>AVERAGE('25.05 Mutukula-Kampala-24h'!K62,'26.05 Mutukula-Kampala-24h'!K62,'27.05 Mutukula-Kampala-24h '!K62)</f>
        <v>2.6666666666666665</v>
      </c>
      <c r="L62" s="46">
        <f>AVERAGE('25.05 Mutukula-Kampala-24h'!L62,'26.05 Mutukula-Kampala-24h'!L62,'27.05 Mutukula-Kampala-24h '!L62)</f>
        <v>0.66666666666666663</v>
      </c>
      <c r="M62" s="46">
        <f>AVERAGE('25.05 Mutukula-Kampala-24h'!M62,'26.05 Mutukula-Kampala-24h'!M62,'27.05 Mutukula-Kampala-24h '!M62)</f>
        <v>0</v>
      </c>
      <c r="N62" s="46">
        <f>AVERAGE('25.05 Mutukula-Kampala-24h'!N62,'26.05 Mutukula-Kampala-24h'!N62,'27.05 Mutukula-Kampala-24h '!N62)</f>
        <v>0</v>
      </c>
      <c r="O62" s="15">
        <f t="shared" si="0"/>
        <v>13.33333333333333</v>
      </c>
      <c r="P62" s="15">
        <f t="shared" si="1"/>
        <v>13.33333333333333</v>
      </c>
      <c r="R62" s="8"/>
      <c r="T62"/>
    </row>
    <row r="63" spans="2:20" ht="23.1" customHeight="1" x14ac:dyDescent="0.25">
      <c r="B63" s="20" t="s">
        <v>108</v>
      </c>
      <c r="C63" s="46">
        <f>AVERAGE('25.05 Mutukula-Kampala-24h'!C63,'26.05 Mutukula-Kampala-24h'!C63,'27.05 Mutukula-Kampala-24h '!C63)</f>
        <v>0</v>
      </c>
      <c r="D63" s="46">
        <f>AVERAGE('25.05 Mutukula-Kampala-24h'!D63,'26.05 Mutukula-Kampala-24h'!D63,'27.05 Mutukula-Kampala-24h '!D63)</f>
        <v>0</v>
      </c>
      <c r="E63" s="46">
        <f>AVERAGE('25.05 Mutukula-Kampala-24h'!E63,'26.05 Mutukula-Kampala-24h'!E63,'27.05 Mutukula-Kampala-24h '!E63)</f>
        <v>0</v>
      </c>
      <c r="F63" s="46">
        <f>AVERAGE('25.05 Mutukula-Kampala-24h'!F63,'26.05 Mutukula-Kampala-24h'!F63,'27.05 Mutukula-Kampala-24h '!F63)</f>
        <v>0</v>
      </c>
      <c r="G63" s="46">
        <f>AVERAGE('25.05 Mutukula-Kampala-24h'!G63,'26.05 Mutukula-Kampala-24h'!G63,'27.05 Mutukula-Kampala-24h '!G63)</f>
        <v>0</v>
      </c>
      <c r="H63" s="46">
        <f>AVERAGE('25.05 Mutukula-Kampala-24h'!H63,'26.05 Mutukula-Kampala-24h'!H63,'27.05 Mutukula-Kampala-24h '!H63)</f>
        <v>0</v>
      </c>
      <c r="I63" s="46">
        <f>AVERAGE('25.05 Mutukula-Kampala-24h'!I63,'26.05 Mutukula-Kampala-24h'!I63,'27.05 Mutukula-Kampala-24h '!I63)</f>
        <v>0</v>
      </c>
      <c r="J63" s="46">
        <f>AVERAGE('25.05 Mutukula-Kampala-24h'!J63,'26.05 Mutukula-Kampala-24h'!J63,'27.05 Mutukula-Kampala-24h '!J63)</f>
        <v>0</v>
      </c>
      <c r="K63" s="46">
        <f>AVERAGE('25.05 Mutukula-Kampala-24h'!K63,'26.05 Mutukula-Kampala-24h'!K63,'27.05 Mutukula-Kampala-24h '!K63)</f>
        <v>0</v>
      </c>
      <c r="L63" s="46">
        <f>AVERAGE('25.05 Mutukula-Kampala-24h'!L63,'26.05 Mutukula-Kampala-24h'!L63,'27.05 Mutukula-Kampala-24h '!L63)</f>
        <v>0</v>
      </c>
      <c r="M63" s="46">
        <f>AVERAGE('25.05 Mutukula-Kampala-24h'!M63,'26.05 Mutukula-Kampala-24h'!M63,'27.05 Mutukula-Kampala-24h '!M63)</f>
        <v>0</v>
      </c>
      <c r="N63" s="46">
        <f>AVERAGE('25.05 Mutukula-Kampala-24h'!N63,'26.05 Mutukula-Kampala-24h'!N63,'27.05 Mutukula-Kampala-24h '!N63)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0" t="s">
        <v>109</v>
      </c>
      <c r="C64" s="46">
        <f>AVERAGE('25.05 Mutukula-Kampala-24h'!C64,'26.05 Mutukula-Kampala-24h'!C64,'27.05 Mutukula-Kampala-24h '!C64)</f>
        <v>4.333333333333333</v>
      </c>
      <c r="D64" s="46">
        <f>AVERAGE('25.05 Mutukula-Kampala-24h'!D64,'26.05 Mutukula-Kampala-24h'!D64,'27.05 Mutukula-Kampala-24h '!D64)</f>
        <v>0</v>
      </c>
      <c r="E64" s="46">
        <f>AVERAGE('25.05 Mutukula-Kampala-24h'!E64,'26.05 Mutukula-Kampala-24h'!E64,'27.05 Mutukula-Kampala-24h '!E64)</f>
        <v>0</v>
      </c>
      <c r="F64" s="46">
        <f>AVERAGE('25.05 Mutukula-Kampala-24h'!F64,'26.05 Mutukula-Kampala-24h'!F64,'27.05 Mutukula-Kampala-24h '!F64)</f>
        <v>0.66666666666666663</v>
      </c>
      <c r="G64" s="46">
        <f>AVERAGE('25.05 Mutukula-Kampala-24h'!G64,'26.05 Mutukula-Kampala-24h'!G64,'27.05 Mutukula-Kampala-24h '!G64)</f>
        <v>0</v>
      </c>
      <c r="H64" s="46">
        <f>AVERAGE('25.05 Mutukula-Kampala-24h'!H64,'26.05 Mutukula-Kampala-24h'!H64,'27.05 Mutukula-Kampala-24h '!H64)</f>
        <v>0</v>
      </c>
      <c r="I64" s="46">
        <f>AVERAGE('25.05 Mutukula-Kampala-24h'!I64,'26.05 Mutukula-Kampala-24h'!I64,'27.05 Mutukula-Kampala-24h '!I64)</f>
        <v>0.66666666666666663</v>
      </c>
      <c r="J64" s="46">
        <f>AVERAGE('25.05 Mutukula-Kampala-24h'!J64,'26.05 Mutukula-Kampala-24h'!J64,'27.05 Mutukula-Kampala-24h '!J64)</f>
        <v>1.3333333333333333</v>
      </c>
      <c r="K64" s="46">
        <f>AVERAGE('25.05 Mutukula-Kampala-24h'!K64,'26.05 Mutukula-Kampala-24h'!K64,'27.05 Mutukula-Kampala-24h '!K64)</f>
        <v>2</v>
      </c>
      <c r="L64" s="46">
        <f>AVERAGE('25.05 Mutukula-Kampala-24h'!L64,'26.05 Mutukula-Kampala-24h'!L64,'27.05 Mutukula-Kampala-24h '!L64)</f>
        <v>0.66666666666666663</v>
      </c>
      <c r="M64" s="46">
        <f>AVERAGE('25.05 Mutukula-Kampala-24h'!M64,'26.05 Mutukula-Kampala-24h'!M64,'27.05 Mutukula-Kampala-24h '!M64)</f>
        <v>0</v>
      </c>
      <c r="N64" s="46">
        <f>AVERAGE('25.05 Mutukula-Kampala-24h'!N64,'26.05 Mutukula-Kampala-24h'!N64,'27.05 Mutukula-Kampala-24h '!N64)</f>
        <v>0</v>
      </c>
      <c r="O64" s="15">
        <f t="shared" si="0"/>
        <v>9.6666666666666661</v>
      </c>
      <c r="P64" s="15">
        <f t="shared" si="1"/>
        <v>9.6666666666666661</v>
      </c>
      <c r="R64" s="8"/>
      <c r="T64"/>
    </row>
    <row r="65" spans="2:20" ht="23.1" customHeight="1" x14ac:dyDescent="0.25">
      <c r="B65" s="20" t="s">
        <v>158</v>
      </c>
      <c r="C65" s="46">
        <f>AVERAGE('25.05 Mutukula-Kampala-24h'!C65,'26.05 Mutukula-Kampala-24h'!C65,'27.05 Mutukula-Kampala-24h '!C65)</f>
        <v>0</v>
      </c>
      <c r="D65" s="46">
        <f>AVERAGE('25.05 Mutukula-Kampala-24h'!D65,'26.05 Mutukula-Kampala-24h'!D65,'27.05 Mutukula-Kampala-24h '!D65)</f>
        <v>0</v>
      </c>
      <c r="E65" s="46">
        <f>AVERAGE('25.05 Mutukula-Kampala-24h'!E65,'26.05 Mutukula-Kampala-24h'!E65,'27.05 Mutukula-Kampala-24h '!E65)</f>
        <v>0</v>
      </c>
      <c r="F65" s="46">
        <f>AVERAGE('25.05 Mutukula-Kampala-24h'!F65,'26.05 Mutukula-Kampala-24h'!F65,'27.05 Mutukula-Kampala-24h '!F65)</f>
        <v>0</v>
      </c>
      <c r="G65" s="46">
        <f>AVERAGE('25.05 Mutukula-Kampala-24h'!G65,'26.05 Mutukula-Kampala-24h'!G65,'27.05 Mutukula-Kampala-24h '!G65)</f>
        <v>0</v>
      </c>
      <c r="H65" s="46">
        <f>AVERAGE('25.05 Mutukula-Kampala-24h'!H65,'26.05 Mutukula-Kampala-24h'!H65,'27.05 Mutukula-Kampala-24h '!H65)</f>
        <v>0</v>
      </c>
      <c r="I65" s="46">
        <f>AVERAGE('25.05 Mutukula-Kampala-24h'!I65,'26.05 Mutukula-Kampala-24h'!I65,'27.05 Mutukula-Kampala-24h '!I65)</f>
        <v>0</v>
      </c>
      <c r="J65" s="46">
        <f>AVERAGE('25.05 Mutukula-Kampala-24h'!J65,'26.05 Mutukula-Kampala-24h'!J65,'27.05 Mutukula-Kampala-24h '!J65)</f>
        <v>0</v>
      </c>
      <c r="K65" s="46">
        <f>AVERAGE('25.05 Mutukula-Kampala-24h'!K65,'26.05 Mutukula-Kampala-24h'!K65,'27.05 Mutukula-Kampala-24h '!K65)</f>
        <v>0</v>
      </c>
      <c r="L65" s="46">
        <f>AVERAGE('25.05 Mutukula-Kampala-24h'!L65,'26.05 Mutukula-Kampala-24h'!L65,'27.05 Mutukula-Kampala-24h '!L65)</f>
        <v>0</v>
      </c>
      <c r="M65" s="46">
        <f>AVERAGE('25.05 Mutukula-Kampala-24h'!M65,'26.05 Mutukula-Kampala-24h'!M65,'27.05 Mutukula-Kampala-24h '!M65)</f>
        <v>0</v>
      </c>
      <c r="N65" s="46">
        <f>AVERAGE('25.05 Mutukula-Kampala-24h'!N65,'26.05 Mutukula-Kampala-24h'!N65,'27.05 Mutukula-Kampala-24h 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0" t="s">
        <v>103</v>
      </c>
      <c r="C66" s="46">
        <f>AVERAGE('25.05 Mutukula-Kampala-24h'!C66,'26.05 Mutukula-Kampala-24h'!C66,'27.05 Mutukula-Kampala-24h '!C66)</f>
        <v>2.3333333333333335</v>
      </c>
      <c r="D66" s="46">
        <f>AVERAGE('25.05 Mutukula-Kampala-24h'!D66,'26.05 Mutukula-Kampala-24h'!D66,'27.05 Mutukula-Kampala-24h '!D66)</f>
        <v>0</v>
      </c>
      <c r="E66" s="46">
        <f>AVERAGE('25.05 Mutukula-Kampala-24h'!E66,'26.05 Mutukula-Kampala-24h'!E66,'27.05 Mutukula-Kampala-24h '!E66)</f>
        <v>0</v>
      </c>
      <c r="F66" s="46">
        <f>AVERAGE('25.05 Mutukula-Kampala-24h'!F66,'26.05 Mutukula-Kampala-24h'!F66,'27.05 Mutukula-Kampala-24h '!F66)</f>
        <v>1</v>
      </c>
      <c r="G66" s="46">
        <f>AVERAGE('25.05 Mutukula-Kampala-24h'!G66,'26.05 Mutukula-Kampala-24h'!G66,'27.05 Mutukula-Kampala-24h '!G66)</f>
        <v>0</v>
      </c>
      <c r="H66" s="46">
        <f>AVERAGE('25.05 Mutukula-Kampala-24h'!H66,'26.05 Mutukula-Kampala-24h'!H66,'27.05 Mutukula-Kampala-24h '!H66)</f>
        <v>0</v>
      </c>
      <c r="I66" s="46">
        <f>AVERAGE('25.05 Mutukula-Kampala-24h'!I66,'26.05 Mutukula-Kampala-24h'!I66,'27.05 Mutukula-Kampala-24h '!I66)</f>
        <v>0.33333333333333331</v>
      </c>
      <c r="J66" s="46">
        <f>AVERAGE('25.05 Mutukula-Kampala-24h'!J66,'26.05 Mutukula-Kampala-24h'!J66,'27.05 Mutukula-Kampala-24h '!J66)</f>
        <v>4</v>
      </c>
      <c r="K66" s="46">
        <f>AVERAGE('25.05 Mutukula-Kampala-24h'!K66,'26.05 Mutukula-Kampala-24h'!K66,'27.05 Mutukula-Kampala-24h '!K66)</f>
        <v>3</v>
      </c>
      <c r="L66" s="46">
        <f>AVERAGE('25.05 Mutukula-Kampala-24h'!L66,'26.05 Mutukula-Kampala-24h'!L66,'27.05 Mutukula-Kampala-24h '!L66)</f>
        <v>4.666666666666667</v>
      </c>
      <c r="M66" s="46">
        <f>AVERAGE('25.05 Mutukula-Kampala-24h'!M66,'26.05 Mutukula-Kampala-24h'!M66,'27.05 Mutukula-Kampala-24h '!M66)</f>
        <v>0</v>
      </c>
      <c r="N66" s="46">
        <f>AVERAGE('25.05 Mutukula-Kampala-24h'!N66,'26.05 Mutukula-Kampala-24h'!N66,'27.05 Mutukula-Kampala-24h '!N66)</f>
        <v>0</v>
      </c>
      <c r="O66" s="15">
        <f t="shared" si="0"/>
        <v>15.333333333333336</v>
      </c>
      <c r="P66" s="15">
        <f t="shared" si="1"/>
        <v>15.333333333333336</v>
      </c>
      <c r="R66" s="8"/>
      <c r="T66"/>
    </row>
    <row r="67" spans="2:20" ht="23.1" customHeight="1" x14ac:dyDescent="0.25">
      <c r="B67" s="20" t="s">
        <v>104</v>
      </c>
      <c r="C67" s="46">
        <f>AVERAGE('25.05 Mutukula-Kampala-24h'!C67,'26.05 Mutukula-Kampala-24h'!C67,'27.05 Mutukula-Kampala-24h '!C67)</f>
        <v>0</v>
      </c>
      <c r="D67" s="46">
        <f>AVERAGE('25.05 Mutukula-Kampala-24h'!D67,'26.05 Mutukula-Kampala-24h'!D67,'27.05 Mutukula-Kampala-24h '!D67)</f>
        <v>0</v>
      </c>
      <c r="E67" s="46">
        <f>AVERAGE('25.05 Mutukula-Kampala-24h'!E67,'26.05 Mutukula-Kampala-24h'!E67,'27.05 Mutukula-Kampala-24h '!E67)</f>
        <v>0</v>
      </c>
      <c r="F67" s="46">
        <f>AVERAGE('25.05 Mutukula-Kampala-24h'!F67,'26.05 Mutukula-Kampala-24h'!F67,'27.05 Mutukula-Kampala-24h '!F67)</f>
        <v>0</v>
      </c>
      <c r="G67" s="46">
        <f>AVERAGE('25.05 Mutukula-Kampala-24h'!G67,'26.05 Mutukula-Kampala-24h'!G67,'27.05 Mutukula-Kampala-24h '!G67)</f>
        <v>0</v>
      </c>
      <c r="H67" s="46">
        <f>AVERAGE('25.05 Mutukula-Kampala-24h'!H67,'26.05 Mutukula-Kampala-24h'!H67,'27.05 Mutukula-Kampala-24h '!H67)</f>
        <v>0</v>
      </c>
      <c r="I67" s="46">
        <f>AVERAGE('25.05 Mutukula-Kampala-24h'!I67,'26.05 Mutukula-Kampala-24h'!I67,'27.05 Mutukula-Kampala-24h '!I67)</f>
        <v>0</v>
      </c>
      <c r="J67" s="46">
        <f>AVERAGE('25.05 Mutukula-Kampala-24h'!J67,'26.05 Mutukula-Kampala-24h'!J67,'27.05 Mutukula-Kampala-24h '!J67)</f>
        <v>0</v>
      </c>
      <c r="K67" s="46">
        <f>AVERAGE('25.05 Mutukula-Kampala-24h'!K67,'26.05 Mutukula-Kampala-24h'!K67,'27.05 Mutukula-Kampala-24h '!K67)</f>
        <v>0</v>
      </c>
      <c r="L67" s="46">
        <f>AVERAGE('25.05 Mutukula-Kampala-24h'!L67,'26.05 Mutukula-Kampala-24h'!L67,'27.05 Mutukula-Kampala-24h '!L67)</f>
        <v>0</v>
      </c>
      <c r="M67" s="46">
        <f>AVERAGE('25.05 Mutukula-Kampala-24h'!M67,'26.05 Mutukula-Kampala-24h'!M67,'27.05 Mutukula-Kampala-24h '!M67)</f>
        <v>0</v>
      </c>
      <c r="N67" s="46">
        <f>AVERAGE('25.05 Mutukula-Kampala-24h'!N67,'26.05 Mutukula-Kampala-24h'!N67,'27.05 Mutukula-Kampala-24h 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0" t="s">
        <v>105</v>
      </c>
      <c r="C68" s="46">
        <f>AVERAGE('25.05 Mutukula-Kampala-24h'!C68,'26.05 Mutukula-Kampala-24h'!C68,'27.05 Mutukula-Kampala-24h '!C68)</f>
        <v>2</v>
      </c>
      <c r="D68" s="46">
        <f>AVERAGE('25.05 Mutukula-Kampala-24h'!D68,'26.05 Mutukula-Kampala-24h'!D68,'27.05 Mutukula-Kampala-24h '!D68)</f>
        <v>0</v>
      </c>
      <c r="E68" s="46">
        <f>AVERAGE('25.05 Mutukula-Kampala-24h'!E68,'26.05 Mutukula-Kampala-24h'!E68,'27.05 Mutukula-Kampala-24h '!E68)</f>
        <v>0</v>
      </c>
      <c r="F68" s="46">
        <f>AVERAGE('25.05 Mutukula-Kampala-24h'!F68,'26.05 Mutukula-Kampala-24h'!F68,'27.05 Mutukula-Kampala-24h '!F68)</f>
        <v>1</v>
      </c>
      <c r="G68" s="46">
        <f>AVERAGE('25.05 Mutukula-Kampala-24h'!G68,'26.05 Mutukula-Kampala-24h'!G68,'27.05 Mutukula-Kampala-24h '!G68)</f>
        <v>0</v>
      </c>
      <c r="H68" s="46">
        <f>AVERAGE('25.05 Mutukula-Kampala-24h'!H68,'26.05 Mutukula-Kampala-24h'!H68,'27.05 Mutukula-Kampala-24h '!H68)</f>
        <v>0</v>
      </c>
      <c r="I68" s="46">
        <f>AVERAGE('25.05 Mutukula-Kampala-24h'!I68,'26.05 Mutukula-Kampala-24h'!I68,'27.05 Mutukula-Kampala-24h '!I68)</f>
        <v>0.66666666666666663</v>
      </c>
      <c r="J68" s="46">
        <f>AVERAGE('25.05 Mutukula-Kampala-24h'!J68,'26.05 Mutukula-Kampala-24h'!J68,'27.05 Mutukula-Kampala-24h '!J68)</f>
        <v>1</v>
      </c>
      <c r="K68" s="46">
        <f>AVERAGE('25.05 Mutukula-Kampala-24h'!K68,'26.05 Mutukula-Kampala-24h'!K68,'27.05 Mutukula-Kampala-24h '!K68)</f>
        <v>0.66666666666666663</v>
      </c>
      <c r="L68" s="46">
        <f>AVERAGE('25.05 Mutukula-Kampala-24h'!L68,'26.05 Mutukula-Kampala-24h'!L68,'27.05 Mutukula-Kampala-24h '!L68)</f>
        <v>1.6666666666666667</v>
      </c>
      <c r="M68" s="46">
        <f>AVERAGE('25.05 Mutukula-Kampala-24h'!M68,'26.05 Mutukula-Kampala-24h'!M68,'27.05 Mutukula-Kampala-24h '!M68)</f>
        <v>0</v>
      </c>
      <c r="N68" s="46">
        <f>AVERAGE('25.05 Mutukula-Kampala-24h'!N68,'26.05 Mutukula-Kampala-24h'!N68,'27.05 Mutukula-Kampala-24h '!N68)</f>
        <v>0</v>
      </c>
      <c r="O68" s="15">
        <f t="shared" si="0"/>
        <v>7</v>
      </c>
      <c r="P68" s="15">
        <f t="shared" si="1"/>
        <v>7</v>
      </c>
      <c r="R68" s="8"/>
      <c r="T68"/>
    </row>
    <row r="69" spans="2:20" ht="23.1" customHeight="1" x14ac:dyDescent="0.25">
      <c r="B69" s="20" t="s">
        <v>106</v>
      </c>
      <c r="C69" s="46">
        <f>AVERAGE('25.05 Mutukula-Kampala-24h'!C69,'26.05 Mutukula-Kampala-24h'!C69,'27.05 Mutukula-Kampala-24h '!C69)</f>
        <v>0</v>
      </c>
      <c r="D69" s="46">
        <f>AVERAGE('25.05 Mutukula-Kampala-24h'!D69,'26.05 Mutukula-Kampala-24h'!D69,'27.05 Mutukula-Kampala-24h '!D69)</f>
        <v>0</v>
      </c>
      <c r="E69" s="46">
        <f>AVERAGE('25.05 Mutukula-Kampala-24h'!E69,'26.05 Mutukula-Kampala-24h'!E69,'27.05 Mutukula-Kampala-24h '!E69)</f>
        <v>0</v>
      </c>
      <c r="F69" s="46">
        <f>AVERAGE('25.05 Mutukula-Kampala-24h'!F69,'26.05 Mutukula-Kampala-24h'!F69,'27.05 Mutukula-Kampala-24h '!F69)</f>
        <v>0</v>
      </c>
      <c r="G69" s="46">
        <f>AVERAGE('25.05 Mutukula-Kampala-24h'!G69,'26.05 Mutukula-Kampala-24h'!G69,'27.05 Mutukula-Kampala-24h '!G69)</f>
        <v>0</v>
      </c>
      <c r="H69" s="46">
        <f>AVERAGE('25.05 Mutukula-Kampala-24h'!H69,'26.05 Mutukula-Kampala-24h'!H69,'27.05 Mutukula-Kampala-24h '!H69)</f>
        <v>0</v>
      </c>
      <c r="I69" s="46">
        <f>AVERAGE('25.05 Mutukula-Kampala-24h'!I69,'26.05 Mutukula-Kampala-24h'!I69,'27.05 Mutukula-Kampala-24h '!I69)</f>
        <v>0</v>
      </c>
      <c r="J69" s="46">
        <f>AVERAGE('25.05 Mutukula-Kampala-24h'!J69,'26.05 Mutukula-Kampala-24h'!J69,'27.05 Mutukula-Kampala-24h '!J69)</f>
        <v>0</v>
      </c>
      <c r="K69" s="46">
        <f>AVERAGE('25.05 Mutukula-Kampala-24h'!K69,'26.05 Mutukula-Kampala-24h'!K69,'27.05 Mutukula-Kampala-24h '!K69)</f>
        <v>0</v>
      </c>
      <c r="L69" s="46">
        <f>AVERAGE('25.05 Mutukula-Kampala-24h'!L69,'26.05 Mutukula-Kampala-24h'!L69,'27.05 Mutukula-Kampala-24h '!L69)</f>
        <v>0</v>
      </c>
      <c r="M69" s="46">
        <f>AVERAGE('25.05 Mutukula-Kampala-24h'!M69,'26.05 Mutukula-Kampala-24h'!M69,'27.05 Mutukula-Kampala-24h '!M69)</f>
        <v>0</v>
      </c>
      <c r="N69" s="46">
        <f>AVERAGE('25.05 Mutukula-Kampala-24h'!N69,'26.05 Mutukula-Kampala-24h'!N69,'27.05 Mutukula-Kampala-24h '!N69)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0" t="s">
        <v>110</v>
      </c>
      <c r="C70" s="46">
        <f>AVERAGE('25.05 Mutukula-Kampala-24h'!C70,'26.05 Mutukula-Kampala-24h'!C70,'27.05 Mutukula-Kampala-24h '!C70)</f>
        <v>2</v>
      </c>
      <c r="D70" s="46">
        <f>AVERAGE('25.05 Mutukula-Kampala-24h'!D70,'26.05 Mutukula-Kampala-24h'!D70,'27.05 Mutukula-Kampala-24h '!D70)</f>
        <v>0</v>
      </c>
      <c r="E70" s="46">
        <f>AVERAGE('25.05 Mutukula-Kampala-24h'!E70,'26.05 Mutukula-Kampala-24h'!E70,'27.05 Mutukula-Kampala-24h '!E70)</f>
        <v>0</v>
      </c>
      <c r="F70" s="46">
        <f>AVERAGE('25.05 Mutukula-Kampala-24h'!F70,'26.05 Mutukula-Kampala-24h'!F70,'27.05 Mutukula-Kampala-24h '!F70)</f>
        <v>1.3333333333333333</v>
      </c>
      <c r="G70" s="46">
        <f>AVERAGE('25.05 Mutukula-Kampala-24h'!G70,'26.05 Mutukula-Kampala-24h'!G70,'27.05 Mutukula-Kampala-24h '!G70)</f>
        <v>0</v>
      </c>
      <c r="H70" s="46">
        <f>AVERAGE('25.05 Mutukula-Kampala-24h'!H70,'26.05 Mutukula-Kampala-24h'!H70,'27.05 Mutukula-Kampala-24h '!H70)</f>
        <v>0</v>
      </c>
      <c r="I70" s="46">
        <f>AVERAGE('25.05 Mutukula-Kampala-24h'!I70,'26.05 Mutukula-Kampala-24h'!I70,'27.05 Mutukula-Kampala-24h '!I70)</f>
        <v>0.33333333333333331</v>
      </c>
      <c r="J70" s="46">
        <f>AVERAGE('25.05 Mutukula-Kampala-24h'!J70,'26.05 Mutukula-Kampala-24h'!J70,'27.05 Mutukula-Kampala-24h '!J70)</f>
        <v>2</v>
      </c>
      <c r="K70" s="46">
        <f>AVERAGE('25.05 Mutukula-Kampala-24h'!K70,'26.05 Mutukula-Kampala-24h'!K70,'27.05 Mutukula-Kampala-24h '!K70)</f>
        <v>0.66666666666666663</v>
      </c>
      <c r="L70" s="46">
        <f>AVERAGE('25.05 Mutukula-Kampala-24h'!L70,'26.05 Mutukula-Kampala-24h'!L70,'27.05 Mutukula-Kampala-24h '!L70)</f>
        <v>3</v>
      </c>
      <c r="M70" s="46">
        <f>AVERAGE('25.05 Mutukula-Kampala-24h'!M70,'26.05 Mutukula-Kampala-24h'!M70,'27.05 Mutukula-Kampala-24h '!M70)</f>
        <v>0</v>
      </c>
      <c r="N70" s="46">
        <f>AVERAGE('25.05 Mutukula-Kampala-24h'!N70,'26.05 Mutukula-Kampala-24h'!N70,'27.05 Mutukula-Kampala-24h '!N70)</f>
        <v>0</v>
      </c>
      <c r="O70" s="15">
        <f t="shared" si="0"/>
        <v>9.3333333333333321</v>
      </c>
      <c r="P70" s="15">
        <f t="shared" si="1"/>
        <v>9.3333333333333321</v>
      </c>
      <c r="R70" s="8"/>
      <c r="T70"/>
    </row>
    <row r="71" spans="2:20" ht="23.1" customHeight="1" x14ac:dyDescent="0.25">
      <c r="B71" s="20" t="s">
        <v>111</v>
      </c>
      <c r="C71" s="46">
        <f>AVERAGE('25.05 Mutukula-Kampala-24h'!C71,'26.05 Mutukula-Kampala-24h'!C71,'27.05 Mutukula-Kampala-24h '!C71)</f>
        <v>0</v>
      </c>
      <c r="D71" s="46">
        <f>AVERAGE('25.05 Mutukula-Kampala-24h'!D71,'26.05 Mutukula-Kampala-24h'!D71,'27.05 Mutukula-Kampala-24h '!D71)</f>
        <v>0</v>
      </c>
      <c r="E71" s="46">
        <f>AVERAGE('25.05 Mutukula-Kampala-24h'!E71,'26.05 Mutukula-Kampala-24h'!E71,'27.05 Mutukula-Kampala-24h '!E71)</f>
        <v>0</v>
      </c>
      <c r="F71" s="46">
        <f>AVERAGE('25.05 Mutukula-Kampala-24h'!F71,'26.05 Mutukula-Kampala-24h'!F71,'27.05 Mutukula-Kampala-24h '!F71)</f>
        <v>0</v>
      </c>
      <c r="G71" s="46">
        <f>AVERAGE('25.05 Mutukula-Kampala-24h'!G71,'26.05 Mutukula-Kampala-24h'!G71,'27.05 Mutukula-Kampala-24h '!G71)</f>
        <v>0</v>
      </c>
      <c r="H71" s="46">
        <f>AVERAGE('25.05 Mutukula-Kampala-24h'!H71,'26.05 Mutukula-Kampala-24h'!H71,'27.05 Mutukula-Kampala-24h '!H71)</f>
        <v>0</v>
      </c>
      <c r="I71" s="46">
        <f>AVERAGE('25.05 Mutukula-Kampala-24h'!I71,'26.05 Mutukula-Kampala-24h'!I71,'27.05 Mutukula-Kampala-24h '!I71)</f>
        <v>0</v>
      </c>
      <c r="J71" s="46">
        <f>AVERAGE('25.05 Mutukula-Kampala-24h'!J71,'26.05 Mutukula-Kampala-24h'!J71,'27.05 Mutukula-Kampala-24h '!J71)</f>
        <v>0</v>
      </c>
      <c r="K71" s="46">
        <f>AVERAGE('25.05 Mutukula-Kampala-24h'!K71,'26.05 Mutukula-Kampala-24h'!K71,'27.05 Mutukula-Kampala-24h '!K71)</f>
        <v>0</v>
      </c>
      <c r="L71" s="46">
        <f>AVERAGE('25.05 Mutukula-Kampala-24h'!L71,'26.05 Mutukula-Kampala-24h'!L71,'27.05 Mutukula-Kampala-24h '!L71)</f>
        <v>0</v>
      </c>
      <c r="M71" s="46">
        <f>AVERAGE('25.05 Mutukula-Kampala-24h'!M71,'26.05 Mutukula-Kampala-24h'!M71,'27.05 Mutukula-Kampala-24h '!M71)</f>
        <v>0</v>
      </c>
      <c r="N71" s="46">
        <f>AVERAGE('25.05 Mutukula-Kampala-24h'!N71,'26.05 Mutukula-Kampala-24h'!N71,'27.05 Mutukula-Kampala-24h 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0" t="s">
        <v>112</v>
      </c>
      <c r="C72" s="46">
        <f>AVERAGE('25.05 Mutukula-Kampala-24h'!C72,'26.05 Mutukula-Kampala-24h'!C72,'27.05 Mutukula-Kampala-24h '!C72)</f>
        <v>3.3333333333333335</v>
      </c>
      <c r="D72" s="46">
        <f>AVERAGE('25.05 Mutukula-Kampala-24h'!D72,'26.05 Mutukula-Kampala-24h'!D72,'27.05 Mutukula-Kampala-24h '!D72)</f>
        <v>0</v>
      </c>
      <c r="E72" s="46">
        <f>AVERAGE('25.05 Mutukula-Kampala-24h'!E72,'26.05 Mutukula-Kampala-24h'!E72,'27.05 Mutukula-Kampala-24h '!E72)</f>
        <v>0</v>
      </c>
      <c r="F72" s="46">
        <f>AVERAGE('25.05 Mutukula-Kampala-24h'!F72,'26.05 Mutukula-Kampala-24h'!F72,'27.05 Mutukula-Kampala-24h '!F72)</f>
        <v>2</v>
      </c>
      <c r="G72" s="46">
        <f>AVERAGE('25.05 Mutukula-Kampala-24h'!G72,'26.05 Mutukula-Kampala-24h'!G72,'27.05 Mutukula-Kampala-24h '!G72)</f>
        <v>0</v>
      </c>
      <c r="H72" s="46">
        <f>AVERAGE('25.05 Mutukula-Kampala-24h'!H72,'26.05 Mutukula-Kampala-24h'!H72,'27.05 Mutukula-Kampala-24h '!H72)</f>
        <v>0</v>
      </c>
      <c r="I72" s="46">
        <f>AVERAGE('25.05 Mutukula-Kampala-24h'!I72,'26.05 Mutukula-Kampala-24h'!I72,'27.05 Mutukula-Kampala-24h '!I72)</f>
        <v>2</v>
      </c>
      <c r="J72" s="46">
        <f>AVERAGE('25.05 Mutukula-Kampala-24h'!J72,'26.05 Mutukula-Kampala-24h'!J72,'27.05 Mutukula-Kampala-24h '!J72)</f>
        <v>1.6666666666666667</v>
      </c>
      <c r="K72" s="46">
        <f>AVERAGE('25.05 Mutukula-Kampala-24h'!K72,'26.05 Mutukula-Kampala-24h'!K72,'27.05 Mutukula-Kampala-24h '!K72)</f>
        <v>1</v>
      </c>
      <c r="L72" s="46">
        <f>AVERAGE('25.05 Mutukula-Kampala-24h'!L72,'26.05 Mutukula-Kampala-24h'!L72,'27.05 Mutukula-Kampala-24h '!L72)</f>
        <v>2</v>
      </c>
      <c r="M72" s="46">
        <f>AVERAGE('25.05 Mutukula-Kampala-24h'!M72,'26.05 Mutukula-Kampala-24h'!M72,'27.05 Mutukula-Kampala-24h '!M72)</f>
        <v>0</v>
      </c>
      <c r="N72" s="46">
        <f>AVERAGE('25.05 Mutukula-Kampala-24h'!N72,'26.05 Mutukula-Kampala-24h'!N72,'27.05 Mutukula-Kampala-24h '!N72)</f>
        <v>0</v>
      </c>
      <c r="O72" s="15">
        <f t="shared" si="0"/>
        <v>12</v>
      </c>
      <c r="P72" s="15">
        <f t="shared" si="1"/>
        <v>12</v>
      </c>
      <c r="R72" s="8"/>
      <c r="T72"/>
    </row>
    <row r="73" spans="2:20" ht="23.1" customHeight="1" x14ac:dyDescent="0.25">
      <c r="B73" s="20" t="s">
        <v>113</v>
      </c>
      <c r="C73" s="46">
        <f>AVERAGE('25.05 Mutukula-Kampala-24h'!C73,'26.05 Mutukula-Kampala-24h'!C73,'27.05 Mutukula-Kampala-24h '!C73)</f>
        <v>0</v>
      </c>
      <c r="D73" s="46">
        <f>AVERAGE('25.05 Mutukula-Kampala-24h'!D73,'26.05 Mutukula-Kampala-24h'!D73,'27.05 Mutukula-Kampala-24h '!D73)</f>
        <v>0</v>
      </c>
      <c r="E73" s="46">
        <f>AVERAGE('25.05 Mutukula-Kampala-24h'!E73,'26.05 Mutukula-Kampala-24h'!E73,'27.05 Mutukula-Kampala-24h '!E73)</f>
        <v>0</v>
      </c>
      <c r="F73" s="46">
        <f>AVERAGE('25.05 Mutukula-Kampala-24h'!F73,'26.05 Mutukula-Kampala-24h'!F73,'27.05 Mutukula-Kampala-24h '!F73)</f>
        <v>0</v>
      </c>
      <c r="G73" s="46">
        <f>AVERAGE('25.05 Mutukula-Kampala-24h'!G73,'26.05 Mutukula-Kampala-24h'!G73,'27.05 Mutukula-Kampala-24h '!G73)</f>
        <v>0</v>
      </c>
      <c r="H73" s="46">
        <f>AVERAGE('25.05 Mutukula-Kampala-24h'!H73,'26.05 Mutukula-Kampala-24h'!H73,'27.05 Mutukula-Kampala-24h '!H73)</f>
        <v>0</v>
      </c>
      <c r="I73" s="46">
        <f>AVERAGE('25.05 Mutukula-Kampala-24h'!I73,'26.05 Mutukula-Kampala-24h'!I73,'27.05 Mutukula-Kampala-24h '!I73)</f>
        <v>0</v>
      </c>
      <c r="J73" s="46">
        <f>AVERAGE('25.05 Mutukula-Kampala-24h'!J73,'26.05 Mutukula-Kampala-24h'!J73,'27.05 Mutukula-Kampala-24h '!J73)</f>
        <v>0</v>
      </c>
      <c r="K73" s="46">
        <f>AVERAGE('25.05 Mutukula-Kampala-24h'!K73,'26.05 Mutukula-Kampala-24h'!K73,'27.05 Mutukula-Kampala-24h '!K73)</f>
        <v>0</v>
      </c>
      <c r="L73" s="46">
        <f>AVERAGE('25.05 Mutukula-Kampala-24h'!L73,'26.05 Mutukula-Kampala-24h'!L73,'27.05 Mutukula-Kampala-24h '!L73)</f>
        <v>0</v>
      </c>
      <c r="M73" s="46">
        <f>AVERAGE('25.05 Mutukula-Kampala-24h'!M73,'26.05 Mutukula-Kampala-24h'!M73,'27.05 Mutukula-Kampala-24h '!M73)</f>
        <v>0</v>
      </c>
      <c r="N73" s="46">
        <f>AVERAGE('25.05 Mutukula-Kampala-24h'!N73,'26.05 Mutukula-Kampala-24h'!N73,'27.05 Mutukula-Kampala-24h 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0" t="s">
        <v>114</v>
      </c>
      <c r="C74" s="46">
        <f>AVERAGE('25.05 Mutukula-Kampala-24h'!C74,'26.05 Mutukula-Kampala-24h'!C74,'27.05 Mutukula-Kampala-24h '!C74)</f>
        <v>2.6666666666666665</v>
      </c>
      <c r="D74" s="46">
        <f>AVERAGE('25.05 Mutukula-Kampala-24h'!D74,'26.05 Mutukula-Kampala-24h'!D74,'27.05 Mutukula-Kampala-24h '!D74)</f>
        <v>0</v>
      </c>
      <c r="E74" s="46">
        <f>AVERAGE('25.05 Mutukula-Kampala-24h'!E74,'26.05 Mutukula-Kampala-24h'!E74,'27.05 Mutukula-Kampala-24h '!E74)</f>
        <v>0</v>
      </c>
      <c r="F74" s="46">
        <f>AVERAGE('25.05 Mutukula-Kampala-24h'!F74,'26.05 Mutukula-Kampala-24h'!F74,'27.05 Mutukula-Kampala-24h '!F74)</f>
        <v>1</v>
      </c>
      <c r="G74" s="46">
        <f>AVERAGE('25.05 Mutukula-Kampala-24h'!G74,'26.05 Mutukula-Kampala-24h'!G74,'27.05 Mutukula-Kampala-24h '!G74)</f>
        <v>0</v>
      </c>
      <c r="H74" s="46">
        <f>AVERAGE('25.05 Mutukula-Kampala-24h'!H74,'26.05 Mutukula-Kampala-24h'!H74,'27.05 Mutukula-Kampala-24h '!H74)</f>
        <v>0</v>
      </c>
      <c r="I74" s="46">
        <f>AVERAGE('25.05 Mutukula-Kampala-24h'!I74,'26.05 Mutukula-Kampala-24h'!I74,'27.05 Mutukula-Kampala-24h '!I74)</f>
        <v>1.3333333333333333</v>
      </c>
      <c r="J74" s="46">
        <f>AVERAGE('25.05 Mutukula-Kampala-24h'!J74,'26.05 Mutukula-Kampala-24h'!J74,'27.05 Mutukula-Kampala-24h '!J74)</f>
        <v>1.3333333333333333</v>
      </c>
      <c r="K74" s="46">
        <f>AVERAGE('25.05 Mutukula-Kampala-24h'!K74,'26.05 Mutukula-Kampala-24h'!K74,'27.05 Mutukula-Kampala-24h '!K74)</f>
        <v>1</v>
      </c>
      <c r="L74" s="46">
        <f>AVERAGE('25.05 Mutukula-Kampala-24h'!L74,'26.05 Mutukula-Kampala-24h'!L74,'27.05 Mutukula-Kampala-24h '!L74)</f>
        <v>1.3333333333333333</v>
      </c>
      <c r="M74" s="46">
        <f>AVERAGE('25.05 Mutukula-Kampala-24h'!M74,'26.05 Mutukula-Kampala-24h'!M74,'27.05 Mutukula-Kampala-24h '!M74)</f>
        <v>0</v>
      </c>
      <c r="N74" s="46">
        <f>AVERAGE('25.05 Mutukula-Kampala-24h'!N74,'26.05 Mutukula-Kampala-24h'!N74,'27.05 Mutukula-Kampala-24h '!N74)</f>
        <v>0</v>
      </c>
      <c r="O74" s="15">
        <f t="shared" ref="O74:O105" si="35">SUM(C74:L74,N74)</f>
        <v>8.6666666666666661</v>
      </c>
      <c r="P74" s="15">
        <f t="shared" ref="P74:P105" si="36">SUM(C74:N74)</f>
        <v>8.6666666666666661</v>
      </c>
      <c r="R74" s="8"/>
      <c r="T74"/>
    </row>
    <row r="75" spans="2:20" ht="23.1" customHeight="1" x14ac:dyDescent="0.25">
      <c r="B75" s="20" t="s">
        <v>115</v>
      </c>
      <c r="C75" s="46">
        <f>AVERAGE('25.05 Mutukula-Kampala-24h'!C75,'26.05 Mutukula-Kampala-24h'!C75,'27.05 Mutukula-Kampala-24h '!C75)</f>
        <v>0</v>
      </c>
      <c r="D75" s="46">
        <f>AVERAGE('25.05 Mutukula-Kampala-24h'!D75,'26.05 Mutukula-Kampala-24h'!D75,'27.05 Mutukula-Kampala-24h '!D75)</f>
        <v>0</v>
      </c>
      <c r="E75" s="46">
        <f>AVERAGE('25.05 Mutukula-Kampala-24h'!E75,'26.05 Mutukula-Kampala-24h'!E75,'27.05 Mutukula-Kampala-24h '!E75)</f>
        <v>0</v>
      </c>
      <c r="F75" s="46">
        <f>AVERAGE('25.05 Mutukula-Kampala-24h'!F75,'26.05 Mutukula-Kampala-24h'!F75,'27.05 Mutukula-Kampala-24h '!F75)</f>
        <v>0</v>
      </c>
      <c r="G75" s="46">
        <f>AVERAGE('25.05 Mutukula-Kampala-24h'!G75,'26.05 Mutukula-Kampala-24h'!G75,'27.05 Mutukula-Kampala-24h '!G75)</f>
        <v>0</v>
      </c>
      <c r="H75" s="46">
        <f>AVERAGE('25.05 Mutukula-Kampala-24h'!H75,'26.05 Mutukula-Kampala-24h'!H75,'27.05 Mutukula-Kampala-24h '!H75)</f>
        <v>0</v>
      </c>
      <c r="I75" s="46">
        <f>AVERAGE('25.05 Mutukula-Kampala-24h'!I75,'26.05 Mutukula-Kampala-24h'!I75,'27.05 Mutukula-Kampala-24h '!I75)</f>
        <v>0</v>
      </c>
      <c r="J75" s="46">
        <f>AVERAGE('25.05 Mutukula-Kampala-24h'!J75,'26.05 Mutukula-Kampala-24h'!J75,'27.05 Mutukula-Kampala-24h '!J75)</f>
        <v>0</v>
      </c>
      <c r="K75" s="46">
        <f>AVERAGE('25.05 Mutukula-Kampala-24h'!K75,'26.05 Mutukula-Kampala-24h'!K75,'27.05 Mutukula-Kampala-24h '!K75)</f>
        <v>0</v>
      </c>
      <c r="L75" s="46">
        <f>AVERAGE('25.05 Mutukula-Kampala-24h'!L75,'26.05 Mutukula-Kampala-24h'!L75,'27.05 Mutukula-Kampala-24h '!L75)</f>
        <v>0</v>
      </c>
      <c r="M75" s="46">
        <f>AVERAGE('25.05 Mutukula-Kampala-24h'!M75,'26.05 Mutukula-Kampala-24h'!M75,'27.05 Mutukula-Kampala-24h '!M75)</f>
        <v>0</v>
      </c>
      <c r="N75" s="46">
        <f>AVERAGE('25.05 Mutukula-Kampala-24h'!N75,'26.05 Mutukula-Kampala-24h'!N75,'27.05 Mutukula-Kampala-24h 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0" t="s">
        <v>116</v>
      </c>
      <c r="C76" s="46">
        <f>AVERAGE('25.05 Mutukula-Kampala-24h'!C76,'26.05 Mutukula-Kampala-24h'!C76,'27.05 Mutukula-Kampala-24h '!C76)</f>
        <v>1</v>
      </c>
      <c r="D76" s="46">
        <f>AVERAGE('25.05 Mutukula-Kampala-24h'!D76,'26.05 Mutukula-Kampala-24h'!D76,'27.05 Mutukula-Kampala-24h '!D76)</f>
        <v>0</v>
      </c>
      <c r="E76" s="46">
        <f>AVERAGE('25.05 Mutukula-Kampala-24h'!E76,'26.05 Mutukula-Kampala-24h'!E76,'27.05 Mutukula-Kampala-24h '!E76)</f>
        <v>0</v>
      </c>
      <c r="F76" s="46">
        <f>AVERAGE('25.05 Mutukula-Kampala-24h'!F76,'26.05 Mutukula-Kampala-24h'!F76,'27.05 Mutukula-Kampala-24h '!F76)</f>
        <v>1.3333333333333333</v>
      </c>
      <c r="G76" s="46">
        <f>AVERAGE('25.05 Mutukula-Kampala-24h'!G76,'26.05 Mutukula-Kampala-24h'!G76,'27.05 Mutukula-Kampala-24h '!G76)</f>
        <v>0</v>
      </c>
      <c r="H76" s="46">
        <f>AVERAGE('25.05 Mutukula-Kampala-24h'!H76,'26.05 Mutukula-Kampala-24h'!H76,'27.05 Mutukula-Kampala-24h '!H76)</f>
        <v>0</v>
      </c>
      <c r="I76" s="46">
        <f>AVERAGE('25.05 Mutukula-Kampala-24h'!I76,'26.05 Mutukula-Kampala-24h'!I76,'27.05 Mutukula-Kampala-24h '!I76)</f>
        <v>1.3333333333333333</v>
      </c>
      <c r="J76" s="46">
        <f>AVERAGE('25.05 Mutukula-Kampala-24h'!J76,'26.05 Mutukula-Kampala-24h'!J76,'27.05 Mutukula-Kampala-24h '!J76)</f>
        <v>3</v>
      </c>
      <c r="K76" s="46">
        <f>AVERAGE('25.05 Mutukula-Kampala-24h'!K76,'26.05 Mutukula-Kampala-24h'!K76,'27.05 Mutukula-Kampala-24h '!K76)</f>
        <v>0.66666666666666663</v>
      </c>
      <c r="L76" s="46">
        <f>AVERAGE('25.05 Mutukula-Kampala-24h'!L76,'26.05 Mutukula-Kampala-24h'!L76,'27.05 Mutukula-Kampala-24h '!L76)</f>
        <v>2.3333333333333335</v>
      </c>
      <c r="M76" s="46">
        <f>AVERAGE('25.05 Mutukula-Kampala-24h'!M76,'26.05 Mutukula-Kampala-24h'!M76,'27.05 Mutukula-Kampala-24h '!M76)</f>
        <v>0</v>
      </c>
      <c r="N76" s="46">
        <f>AVERAGE('25.05 Mutukula-Kampala-24h'!N76,'26.05 Mutukula-Kampala-24h'!N76,'27.05 Mutukula-Kampala-24h '!N76)</f>
        <v>0</v>
      </c>
      <c r="O76" s="15">
        <f t="shared" si="35"/>
        <v>9.6666666666666661</v>
      </c>
      <c r="P76" s="15">
        <f t="shared" si="36"/>
        <v>9.6666666666666661</v>
      </c>
      <c r="R76" s="8"/>
      <c r="T76"/>
    </row>
    <row r="77" spans="2:20" ht="23.1" customHeight="1" x14ac:dyDescent="0.25">
      <c r="B77" s="20" t="s">
        <v>117</v>
      </c>
      <c r="C77" s="46">
        <f>AVERAGE('25.05 Mutukula-Kampala-24h'!C77,'26.05 Mutukula-Kampala-24h'!C77,'27.05 Mutukula-Kampala-24h '!C77)</f>
        <v>0</v>
      </c>
      <c r="D77" s="46">
        <f>AVERAGE('25.05 Mutukula-Kampala-24h'!D77,'26.05 Mutukula-Kampala-24h'!D77,'27.05 Mutukula-Kampala-24h '!D77)</f>
        <v>0</v>
      </c>
      <c r="E77" s="46">
        <f>AVERAGE('25.05 Mutukula-Kampala-24h'!E77,'26.05 Mutukula-Kampala-24h'!E77,'27.05 Mutukula-Kampala-24h '!E77)</f>
        <v>0</v>
      </c>
      <c r="F77" s="46">
        <f>AVERAGE('25.05 Mutukula-Kampala-24h'!F77,'26.05 Mutukula-Kampala-24h'!F77,'27.05 Mutukula-Kampala-24h '!F77)</f>
        <v>0</v>
      </c>
      <c r="G77" s="46">
        <f>AVERAGE('25.05 Mutukula-Kampala-24h'!G77,'26.05 Mutukula-Kampala-24h'!G77,'27.05 Mutukula-Kampala-24h '!G77)</f>
        <v>0</v>
      </c>
      <c r="H77" s="46">
        <f>AVERAGE('25.05 Mutukula-Kampala-24h'!H77,'26.05 Mutukula-Kampala-24h'!H77,'27.05 Mutukula-Kampala-24h '!H77)</f>
        <v>0</v>
      </c>
      <c r="I77" s="46">
        <f>AVERAGE('25.05 Mutukula-Kampala-24h'!I77,'26.05 Mutukula-Kampala-24h'!I77,'27.05 Mutukula-Kampala-24h '!I77)</f>
        <v>0</v>
      </c>
      <c r="J77" s="46">
        <f>AVERAGE('25.05 Mutukula-Kampala-24h'!J77,'26.05 Mutukula-Kampala-24h'!J77,'27.05 Mutukula-Kampala-24h '!J77)</f>
        <v>0</v>
      </c>
      <c r="K77" s="46">
        <f>AVERAGE('25.05 Mutukula-Kampala-24h'!K77,'26.05 Mutukula-Kampala-24h'!K77,'27.05 Mutukula-Kampala-24h '!K77)</f>
        <v>0</v>
      </c>
      <c r="L77" s="46">
        <f>AVERAGE('25.05 Mutukula-Kampala-24h'!L77,'26.05 Mutukula-Kampala-24h'!L77,'27.05 Mutukula-Kampala-24h '!L77)</f>
        <v>0</v>
      </c>
      <c r="M77" s="46">
        <f>AVERAGE('25.05 Mutukula-Kampala-24h'!M77,'26.05 Mutukula-Kampala-24h'!M77,'27.05 Mutukula-Kampala-24h '!M77)</f>
        <v>0</v>
      </c>
      <c r="N77" s="46">
        <f>AVERAGE('25.05 Mutukula-Kampala-24h'!N77,'26.05 Mutukula-Kampala-24h'!N77,'27.05 Mutukula-Kampala-24h 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1" t="s">
        <v>118</v>
      </c>
      <c r="C78" s="46">
        <f>AVERAGE('25.05 Mutukula-Kampala-24h'!C78,'26.05 Mutukula-Kampala-24h'!C78,'27.05 Mutukula-Kampala-24h '!C78)</f>
        <v>0.33333333333333331</v>
      </c>
      <c r="D78" s="46">
        <f>AVERAGE('25.05 Mutukula-Kampala-24h'!D78,'26.05 Mutukula-Kampala-24h'!D78,'27.05 Mutukula-Kampala-24h '!D78)</f>
        <v>0</v>
      </c>
      <c r="E78" s="46">
        <f>AVERAGE('25.05 Mutukula-Kampala-24h'!E78,'26.05 Mutukula-Kampala-24h'!E78,'27.05 Mutukula-Kampala-24h '!E78)</f>
        <v>0</v>
      </c>
      <c r="F78" s="46">
        <f>AVERAGE('25.05 Mutukula-Kampala-24h'!F78,'26.05 Mutukula-Kampala-24h'!F78,'27.05 Mutukula-Kampala-24h '!F78)</f>
        <v>0.33333333333333331</v>
      </c>
      <c r="G78" s="46">
        <f>AVERAGE('25.05 Mutukula-Kampala-24h'!G78,'26.05 Mutukula-Kampala-24h'!G78,'27.05 Mutukula-Kampala-24h '!G78)</f>
        <v>0</v>
      </c>
      <c r="H78" s="46">
        <f>AVERAGE('25.05 Mutukula-Kampala-24h'!H78,'26.05 Mutukula-Kampala-24h'!H78,'27.05 Mutukula-Kampala-24h '!H78)</f>
        <v>0</v>
      </c>
      <c r="I78" s="46">
        <f>AVERAGE('25.05 Mutukula-Kampala-24h'!I78,'26.05 Mutukula-Kampala-24h'!I78,'27.05 Mutukula-Kampala-24h '!I78)</f>
        <v>1</v>
      </c>
      <c r="J78" s="46">
        <f>AVERAGE('25.05 Mutukula-Kampala-24h'!J78,'26.05 Mutukula-Kampala-24h'!J78,'27.05 Mutukula-Kampala-24h '!J78)</f>
        <v>1</v>
      </c>
      <c r="K78" s="46">
        <f>AVERAGE('25.05 Mutukula-Kampala-24h'!K78,'26.05 Mutukula-Kampala-24h'!K78,'27.05 Mutukula-Kampala-24h '!K78)</f>
        <v>0.33333333333333331</v>
      </c>
      <c r="L78" s="46">
        <f>AVERAGE('25.05 Mutukula-Kampala-24h'!L78,'26.05 Mutukula-Kampala-24h'!L78,'27.05 Mutukula-Kampala-24h '!L78)</f>
        <v>3.3333333333333335</v>
      </c>
      <c r="M78" s="46">
        <f>AVERAGE('25.05 Mutukula-Kampala-24h'!M78,'26.05 Mutukula-Kampala-24h'!M78,'27.05 Mutukula-Kampala-24h '!M78)</f>
        <v>0</v>
      </c>
      <c r="N78" s="46">
        <f>AVERAGE('25.05 Mutukula-Kampala-24h'!N78,'26.05 Mutukula-Kampala-24h'!N78,'27.05 Mutukula-Kampala-24h '!N78)</f>
        <v>0</v>
      </c>
      <c r="O78" s="15">
        <f t="shared" si="35"/>
        <v>6.3333333333333339</v>
      </c>
      <c r="P78" s="15">
        <f t="shared" si="36"/>
        <v>6.3333333333333339</v>
      </c>
      <c r="R78" s="8"/>
      <c r="T78"/>
    </row>
    <row r="79" spans="2:20" ht="23.1" customHeight="1" x14ac:dyDescent="0.25">
      <c r="B79" s="20" t="s">
        <v>119</v>
      </c>
      <c r="C79" s="46">
        <f>AVERAGE('25.05 Mutukula-Kampala-24h'!C79,'26.05 Mutukula-Kampala-24h'!C79,'27.05 Mutukula-Kampala-24h '!C79)</f>
        <v>0</v>
      </c>
      <c r="D79" s="46">
        <f>AVERAGE('25.05 Mutukula-Kampala-24h'!D79,'26.05 Mutukula-Kampala-24h'!D79,'27.05 Mutukula-Kampala-24h '!D79)</f>
        <v>0</v>
      </c>
      <c r="E79" s="46">
        <f>AVERAGE('25.05 Mutukula-Kampala-24h'!E79,'26.05 Mutukula-Kampala-24h'!E79,'27.05 Mutukula-Kampala-24h '!E79)</f>
        <v>0</v>
      </c>
      <c r="F79" s="46">
        <f>AVERAGE('25.05 Mutukula-Kampala-24h'!F79,'26.05 Mutukula-Kampala-24h'!F79,'27.05 Mutukula-Kampala-24h '!F79)</f>
        <v>0</v>
      </c>
      <c r="G79" s="46">
        <f>AVERAGE('25.05 Mutukula-Kampala-24h'!G79,'26.05 Mutukula-Kampala-24h'!G79,'27.05 Mutukula-Kampala-24h '!G79)</f>
        <v>0</v>
      </c>
      <c r="H79" s="46">
        <f>AVERAGE('25.05 Mutukula-Kampala-24h'!H79,'26.05 Mutukula-Kampala-24h'!H79,'27.05 Mutukula-Kampala-24h '!H79)</f>
        <v>0</v>
      </c>
      <c r="I79" s="46">
        <f>AVERAGE('25.05 Mutukula-Kampala-24h'!I79,'26.05 Mutukula-Kampala-24h'!I79,'27.05 Mutukula-Kampala-24h '!I79)</f>
        <v>0</v>
      </c>
      <c r="J79" s="46">
        <f>AVERAGE('25.05 Mutukula-Kampala-24h'!J79,'26.05 Mutukula-Kampala-24h'!J79,'27.05 Mutukula-Kampala-24h '!J79)</f>
        <v>0</v>
      </c>
      <c r="K79" s="46">
        <f>AVERAGE('25.05 Mutukula-Kampala-24h'!K79,'26.05 Mutukula-Kampala-24h'!K79,'27.05 Mutukula-Kampala-24h '!K79)</f>
        <v>0</v>
      </c>
      <c r="L79" s="46">
        <f>AVERAGE('25.05 Mutukula-Kampala-24h'!L79,'26.05 Mutukula-Kampala-24h'!L79,'27.05 Mutukula-Kampala-24h '!L79)</f>
        <v>0</v>
      </c>
      <c r="M79" s="46">
        <f>AVERAGE('25.05 Mutukula-Kampala-24h'!M79,'26.05 Mutukula-Kampala-24h'!M79,'27.05 Mutukula-Kampala-24h '!M79)</f>
        <v>0</v>
      </c>
      <c r="N79" s="46">
        <f>AVERAGE('25.05 Mutukula-Kampala-24h'!N79,'26.05 Mutukula-Kampala-24h'!N79,'27.05 Mutukula-Kampala-24h 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2" t="s">
        <v>120</v>
      </c>
      <c r="C80" s="46">
        <f>AVERAGE('25.05 Mutukula-Kampala-24h'!C80,'26.05 Mutukula-Kampala-24h'!C80,'27.05 Mutukula-Kampala-24h '!C80)</f>
        <v>2</v>
      </c>
      <c r="D80" s="46">
        <f>AVERAGE('25.05 Mutukula-Kampala-24h'!D80,'26.05 Mutukula-Kampala-24h'!D80,'27.05 Mutukula-Kampala-24h '!D80)</f>
        <v>0</v>
      </c>
      <c r="E80" s="46">
        <f>AVERAGE('25.05 Mutukula-Kampala-24h'!E80,'26.05 Mutukula-Kampala-24h'!E80,'27.05 Mutukula-Kampala-24h '!E80)</f>
        <v>0</v>
      </c>
      <c r="F80" s="46">
        <f>AVERAGE('25.05 Mutukula-Kampala-24h'!F80,'26.05 Mutukula-Kampala-24h'!F80,'27.05 Mutukula-Kampala-24h '!F80)</f>
        <v>2</v>
      </c>
      <c r="G80" s="46">
        <f>AVERAGE('25.05 Mutukula-Kampala-24h'!G80,'26.05 Mutukula-Kampala-24h'!G80,'27.05 Mutukula-Kampala-24h '!G80)</f>
        <v>0</v>
      </c>
      <c r="H80" s="46">
        <f>AVERAGE('25.05 Mutukula-Kampala-24h'!H80,'26.05 Mutukula-Kampala-24h'!H80,'27.05 Mutukula-Kampala-24h '!H80)</f>
        <v>0</v>
      </c>
      <c r="I80" s="46">
        <f>AVERAGE('25.05 Mutukula-Kampala-24h'!I80,'26.05 Mutukula-Kampala-24h'!I80,'27.05 Mutukula-Kampala-24h '!I80)</f>
        <v>0.66666666666666663</v>
      </c>
      <c r="J80" s="46">
        <f>AVERAGE('25.05 Mutukula-Kampala-24h'!J80,'26.05 Mutukula-Kampala-24h'!J80,'27.05 Mutukula-Kampala-24h '!J80)</f>
        <v>0.33333333333333331</v>
      </c>
      <c r="K80" s="46">
        <f>AVERAGE('25.05 Mutukula-Kampala-24h'!K80,'26.05 Mutukula-Kampala-24h'!K80,'27.05 Mutukula-Kampala-24h '!K80)</f>
        <v>0.66666666666666663</v>
      </c>
      <c r="L80" s="46">
        <f>AVERAGE('25.05 Mutukula-Kampala-24h'!L80,'26.05 Mutukula-Kampala-24h'!L80,'27.05 Mutukula-Kampala-24h '!L80)</f>
        <v>2.6666666666666665</v>
      </c>
      <c r="M80" s="46">
        <f>AVERAGE('25.05 Mutukula-Kampala-24h'!M80,'26.05 Mutukula-Kampala-24h'!M80,'27.05 Mutukula-Kampala-24h '!M80)</f>
        <v>0</v>
      </c>
      <c r="N80" s="46">
        <f>AVERAGE('25.05 Mutukula-Kampala-24h'!N80,'26.05 Mutukula-Kampala-24h'!N80,'27.05 Mutukula-Kampala-24h '!N80)</f>
        <v>0</v>
      </c>
      <c r="O80" s="15">
        <f t="shared" si="35"/>
        <v>8.3333333333333339</v>
      </c>
      <c r="P80" s="15">
        <f t="shared" si="36"/>
        <v>8.3333333333333339</v>
      </c>
      <c r="R80" s="8"/>
      <c r="T80"/>
    </row>
    <row r="81" spans="2:20" ht="23.1" customHeight="1" x14ac:dyDescent="0.25">
      <c r="B81" s="20" t="s">
        <v>121</v>
      </c>
      <c r="C81" s="46">
        <f>AVERAGE('25.05 Mutukula-Kampala-24h'!C81,'26.05 Mutukula-Kampala-24h'!C81,'27.05 Mutukula-Kampala-24h '!C81)</f>
        <v>0</v>
      </c>
      <c r="D81" s="46">
        <f>AVERAGE('25.05 Mutukula-Kampala-24h'!D81,'26.05 Mutukula-Kampala-24h'!D81,'27.05 Mutukula-Kampala-24h '!D81)</f>
        <v>0</v>
      </c>
      <c r="E81" s="46">
        <f>AVERAGE('25.05 Mutukula-Kampala-24h'!E81,'26.05 Mutukula-Kampala-24h'!E81,'27.05 Mutukula-Kampala-24h '!E81)</f>
        <v>0</v>
      </c>
      <c r="F81" s="46">
        <f>AVERAGE('25.05 Mutukula-Kampala-24h'!F81,'26.05 Mutukula-Kampala-24h'!F81,'27.05 Mutukula-Kampala-24h '!F81)</f>
        <v>0</v>
      </c>
      <c r="G81" s="46">
        <f>AVERAGE('25.05 Mutukula-Kampala-24h'!G81,'26.05 Mutukula-Kampala-24h'!G81,'27.05 Mutukula-Kampala-24h '!G81)</f>
        <v>0</v>
      </c>
      <c r="H81" s="46">
        <f>AVERAGE('25.05 Mutukula-Kampala-24h'!H81,'26.05 Mutukula-Kampala-24h'!H81,'27.05 Mutukula-Kampala-24h '!H81)</f>
        <v>0</v>
      </c>
      <c r="I81" s="46">
        <f>AVERAGE('25.05 Mutukula-Kampala-24h'!I81,'26.05 Mutukula-Kampala-24h'!I81,'27.05 Mutukula-Kampala-24h '!I81)</f>
        <v>0</v>
      </c>
      <c r="J81" s="46">
        <f>AVERAGE('25.05 Mutukula-Kampala-24h'!J81,'26.05 Mutukula-Kampala-24h'!J81,'27.05 Mutukula-Kampala-24h '!J81)</f>
        <v>0</v>
      </c>
      <c r="K81" s="46">
        <f>AVERAGE('25.05 Mutukula-Kampala-24h'!K81,'26.05 Mutukula-Kampala-24h'!K81,'27.05 Mutukula-Kampala-24h '!K81)</f>
        <v>0</v>
      </c>
      <c r="L81" s="46">
        <f>AVERAGE('25.05 Mutukula-Kampala-24h'!L81,'26.05 Mutukula-Kampala-24h'!L81,'27.05 Mutukula-Kampala-24h '!L81)</f>
        <v>0</v>
      </c>
      <c r="M81" s="46">
        <f>AVERAGE('25.05 Mutukula-Kampala-24h'!M81,'26.05 Mutukula-Kampala-24h'!M81,'27.05 Mutukula-Kampala-24h '!M81)</f>
        <v>0</v>
      </c>
      <c r="N81" s="46">
        <f>AVERAGE('25.05 Mutukula-Kampala-24h'!N81,'26.05 Mutukula-Kampala-24h'!N81,'27.05 Mutukula-Kampala-24h 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1" t="s">
        <v>122</v>
      </c>
      <c r="C82" s="46">
        <f>AVERAGE('25.05 Mutukula-Kampala-24h'!C82,'26.05 Mutukula-Kampala-24h'!C82,'27.05 Mutukula-Kampala-24h '!C82)</f>
        <v>1.3333333333333333</v>
      </c>
      <c r="D82" s="46">
        <f>AVERAGE('25.05 Mutukula-Kampala-24h'!D82,'26.05 Mutukula-Kampala-24h'!D82,'27.05 Mutukula-Kampala-24h '!D82)</f>
        <v>0</v>
      </c>
      <c r="E82" s="46">
        <f>AVERAGE('25.05 Mutukula-Kampala-24h'!E82,'26.05 Mutukula-Kampala-24h'!E82,'27.05 Mutukula-Kampala-24h '!E82)</f>
        <v>0</v>
      </c>
      <c r="F82" s="46">
        <f>AVERAGE('25.05 Mutukula-Kampala-24h'!F82,'26.05 Mutukula-Kampala-24h'!F82,'27.05 Mutukula-Kampala-24h '!F82)</f>
        <v>0</v>
      </c>
      <c r="G82" s="46">
        <f>AVERAGE('25.05 Mutukula-Kampala-24h'!G82,'26.05 Mutukula-Kampala-24h'!G82,'27.05 Mutukula-Kampala-24h '!G82)</f>
        <v>0</v>
      </c>
      <c r="H82" s="46">
        <f>AVERAGE('25.05 Mutukula-Kampala-24h'!H82,'26.05 Mutukula-Kampala-24h'!H82,'27.05 Mutukula-Kampala-24h '!H82)</f>
        <v>0</v>
      </c>
      <c r="I82" s="46">
        <f>AVERAGE('25.05 Mutukula-Kampala-24h'!I82,'26.05 Mutukula-Kampala-24h'!I82,'27.05 Mutukula-Kampala-24h '!I82)</f>
        <v>0.33333333333333331</v>
      </c>
      <c r="J82" s="46">
        <f>AVERAGE('25.05 Mutukula-Kampala-24h'!J82,'26.05 Mutukula-Kampala-24h'!J82,'27.05 Mutukula-Kampala-24h '!J82)</f>
        <v>0.66666666666666663</v>
      </c>
      <c r="K82" s="46">
        <f>AVERAGE('25.05 Mutukula-Kampala-24h'!K82,'26.05 Mutukula-Kampala-24h'!K82,'27.05 Mutukula-Kampala-24h '!K82)</f>
        <v>0</v>
      </c>
      <c r="L82" s="46">
        <f>AVERAGE('25.05 Mutukula-Kampala-24h'!L82,'26.05 Mutukula-Kampala-24h'!L82,'27.05 Mutukula-Kampala-24h '!L82)</f>
        <v>1</v>
      </c>
      <c r="M82" s="46">
        <f>AVERAGE('25.05 Mutukula-Kampala-24h'!M82,'26.05 Mutukula-Kampala-24h'!M82,'27.05 Mutukula-Kampala-24h '!M82)</f>
        <v>0</v>
      </c>
      <c r="N82" s="46">
        <f>AVERAGE('25.05 Mutukula-Kampala-24h'!N82,'26.05 Mutukula-Kampala-24h'!N82,'27.05 Mutukula-Kampala-24h '!N82)</f>
        <v>0</v>
      </c>
      <c r="O82" s="15">
        <f t="shared" si="35"/>
        <v>3.333333333333333</v>
      </c>
      <c r="P82" s="15">
        <f t="shared" si="36"/>
        <v>3.333333333333333</v>
      </c>
      <c r="R82" s="8"/>
      <c r="T82"/>
    </row>
    <row r="83" spans="2:20" ht="23.1" customHeight="1" x14ac:dyDescent="0.25">
      <c r="B83" s="20" t="s">
        <v>123</v>
      </c>
      <c r="C83" s="46">
        <f>AVERAGE('25.05 Mutukula-Kampala-24h'!C83,'26.05 Mutukula-Kampala-24h'!C83,'27.05 Mutukula-Kampala-24h '!C83)</f>
        <v>0</v>
      </c>
      <c r="D83" s="46">
        <f>AVERAGE('25.05 Mutukula-Kampala-24h'!D83,'26.05 Mutukula-Kampala-24h'!D83,'27.05 Mutukula-Kampala-24h '!D83)</f>
        <v>0</v>
      </c>
      <c r="E83" s="46">
        <f>AVERAGE('25.05 Mutukula-Kampala-24h'!E83,'26.05 Mutukula-Kampala-24h'!E83,'27.05 Mutukula-Kampala-24h '!E83)</f>
        <v>0</v>
      </c>
      <c r="F83" s="46">
        <f>AVERAGE('25.05 Mutukula-Kampala-24h'!F83,'26.05 Mutukula-Kampala-24h'!F83,'27.05 Mutukula-Kampala-24h '!F83)</f>
        <v>0</v>
      </c>
      <c r="G83" s="46">
        <f>AVERAGE('25.05 Mutukula-Kampala-24h'!G83,'26.05 Mutukula-Kampala-24h'!G83,'27.05 Mutukula-Kampala-24h '!G83)</f>
        <v>0</v>
      </c>
      <c r="H83" s="46">
        <f>AVERAGE('25.05 Mutukula-Kampala-24h'!H83,'26.05 Mutukula-Kampala-24h'!H83,'27.05 Mutukula-Kampala-24h '!H83)</f>
        <v>0</v>
      </c>
      <c r="I83" s="46">
        <f>AVERAGE('25.05 Mutukula-Kampala-24h'!I83,'26.05 Mutukula-Kampala-24h'!I83,'27.05 Mutukula-Kampala-24h '!I83)</f>
        <v>0</v>
      </c>
      <c r="J83" s="46">
        <f>AVERAGE('25.05 Mutukula-Kampala-24h'!J83,'26.05 Mutukula-Kampala-24h'!J83,'27.05 Mutukula-Kampala-24h '!J83)</f>
        <v>0</v>
      </c>
      <c r="K83" s="46">
        <f>AVERAGE('25.05 Mutukula-Kampala-24h'!K83,'26.05 Mutukula-Kampala-24h'!K83,'27.05 Mutukula-Kampala-24h '!K83)</f>
        <v>0</v>
      </c>
      <c r="L83" s="46">
        <f>AVERAGE('25.05 Mutukula-Kampala-24h'!L83,'26.05 Mutukula-Kampala-24h'!L83,'27.05 Mutukula-Kampala-24h '!L83)</f>
        <v>0</v>
      </c>
      <c r="M83" s="46">
        <f>AVERAGE('25.05 Mutukula-Kampala-24h'!M83,'26.05 Mutukula-Kampala-24h'!M83,'27.05 Mutukula-Kampala-24h '!M83)</f>
        <v>0</v>
      </c>
      <c r="N83" s="46">
        <f>AVERAGE('25.05 Mutukula-Kampala-24h'!N83,'26.05 Mutukula-Kampala-24h'!N83,'27.05 Mutukula-Kampala-24h 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2" t="s">
        <v>124</v>
      </c>
      <c r="C84" s="46">
        <f>AVERAGE('25.05 Mutukula-Kampala-24h'!C84,'26.05 Mutukula-Kampala-24h'!C84,'27.05 Mutukula-Kampala-24h '!C84)</f>
        <v>0</v>
      </c>
      <c r="D84" s="46">
        <f>AVERAGE('25.05 Mutukula-Kampala-24h'!D84,'26.05 Mutukula-Kampala-24h'!D84,'27.05 Mutukula-Kampala-24h '!D84)</f>
        <v>0</v>
      </c>
      <c r="E84" s="46">
        <f>AVERAGE('25.05 Mutukula-Kampala-24h'!E84,'26.05 Mutukula-Kampala-24h'!E84,'27.05 Mutukula-Kampala-24h '!E84)</f>
        <v>0</v>
      </c>
      <c r="F84" s="46">
        <f>AVERAGE('25.05 Mutukula-Kampala-24h'!F84,'26.05 Mutukula-Kampala-24h'!F84,'27.05 Mutukula-Kampala-24h '!F84)</f>
        <v>0.33333333333333331</v>
      </c>
      <c r="G84" s="46">
        <f>AVERAGE('25.05 Mutukula-Kampala-24h'!G84,'26.05 Mutukula-Kampala-24h'!G84,'27.05 Mutukula-Kampala-24h '!G84)</f>
        <v>0</v>
      </c>
      <c r="H84" s="46">
        <f>AVERAGE('25.05 Mutukula-Kampala-24h'!H84,'26.05 Mutukula-Kampala-24h'!H84,'27.05 Mutukula-Kampala-24h '!H84)</f>
        <v>0</v>
      </c>
      <c r="I84" s="46">
        <f>AVERAGE('25.05 Mutukula-Kampala-24h'!I84,'26.05 Mutukula-Kampala-24h'!I84,'27.05 Mutukula-Kampala-24h '!I84)</f>
        <v>0</v>
      </c>
      <c r="J84" s="46">
        <f>AVERAGE('25.05 Mutukula-Kampala-24h'!J84,'26.05 Mutukula-Kampala-24h'!J84,'27.05 Mutukula-Kampala-24h '!J84)</f>
        <v>0</v>
      </c>
      <c r="K84" s="46">
        <f>AVERAGE('25.05 Mutukula-Kampala-24h'!K84,'26.05 Mutukula-Kampala-24h'!K84,'27.05 Mutukula-Kampala-24h '!K84)</f>
        <v>0</v>
      </c>
      <c r="L84" s="46">
        <f>AVERAGE('25.05 Mutukula-Kampala-24h'!L84,'26.05 Mutukula-Kampala-24h'!L84,'27.05 Mutukula-Kampala-24h '!L84)</f>
        <v>0</v>
      </c>
      <c r="M84" s="46">
        <f>AVERAGE('25.05 Mutukula-Kampala-24h'!M84,'26.05 Mutukula-Kampala-24h'!M84,'27.05 Mutukula-Kampala-24h '!M84)</f>
        <v>0</v>
      </c>
      <c r="N84" s="46">
        <f>AVERAGE('25.05 Mutukula-Kampala-24h'!N84,'26.05 Mutukula-Kampala-24h'!N84,'27.05 Mutukula-Kampala-24h '!N84)</f>
        <v>0</v>
      </c>
      <c r="O84" s="15">
        <f t="shared" si="35"/>
        <v>0.33333333333333331</v>
      </c>
      <c r="P84" s="15">
        <f t="shared" si="36"/>
        <v>0.33333333333333331</v>
      </c>
      <c r="R84" s="8"/>
      <c r="T84"/>
    </row>
    <row r="85" spans="2:20" ht="23.1" customHeight="1" x14ac:dyDescent="0.25">
      <c r="B85" s="20" t="s">
        <v>125</v>
      </c>
      <c r="C85" s="46">
        <f>AVERAGE('25.05 Mutukula-Kampala-24h'!C85,'26.05 Mutukula-Kampala-24h'!C85,'27.05 Mutukula-Kampala-24h '!C85)</f>
        <v>0</v>
      </c>
      <c r="D85" s="46">
        <f>AVERAGE('25.05 Mutukula-Kampala-24h'!D85,'26.05 Mutukula-Kampala-24h'!D85,'27.05 Mutukula-Kampala-24h '!D85)</f>
        <v>0</v>
      </c>
      <c r="E85" s="46">
        <f>AVERAGE('25.05 Mutukula-Kampala-24h'!E85,'26.05 Mutukula-Kampala-24h'!E85,'27.05 Mutukula-Kampala-24h '!E85)</f>
        <v>0</v>
      </c>
      <c r="F85" s="46">
        <f>AVERAGE('25.05 Mutukula-Kampala-24h'!F85,'26.05 Mutukula-Kampala-24h'!F85,'27.05 Mutukula-Kampala-24h '!F85)</f>
        <v>0</v>
      </c>
      <c r="G85" s="46">
        <f>AVERAGE('25.05 Mutukula-Kampala-24h'!G85,'26.05 Mutukula-Kampala-24h'!G85,'27.05 Mutukula-Kampala-24h '!G85)</f>
        <v>0</v>
      </c>
      <c r="H85" s="46">
        <f>AVERAGE('25.05 Mutukula-Kampala-24h'!H85,'26.05 Mutukula-Kampala-24h'!H85,'27.05 Mutukula-Kampala-24h '!H85)</f>
        <v>0</v>
      </c>
      <c r="I85" s="46">
        <f>AVERAGE('25.05 Mutukula-Kampala-24h'!I85,'26.05 Mutukula-Kampala-24h'!I85,'27.05 Mutukula-Kampala-24h '!I85)</f>
        <v>0</v>
      </c>
      <c r="J85" s="46">
        <f>AVERAGE('25.05 Mutukula-Kampala-24h'!J85,'26.05 Mutukula-Kampala-24h'!J85,'27.05 Mutukula-Kampala-24h '!J85)</f>
        <v>0</v>
      </c>
      <c r="K85" s="46">
        <f>AVERAGE('25.05 Mutukula-Kampala-24h'!K85,'26.05 Mutukula-Kampala-24h'!K85,'27.05 Mutukula-Kampala-24h '!K85)</f>
        <v>0</v>
      </c>
      <c r="L85" s="46">
        <f>AVERAGE('25.05 Mutukula-Kampala-24h'!L85,'26.05 Mutukula-Kampala-24h'!L85,'27.05 Mutukula-Kampala-24h '!L85)</f>
        <v>0</v>
      </c>
      <c r="M85" s="46">
        <f>AVERAGE('25.05 Mutukula-Kampala-24h'!M85,'26.05 Mutukula-Kampala-24h'!M85,'27.05 Mutukula-Kampala-24h '!M85)</f>
        <v>0</v>
      </c>
      <c r="N85" s="46">
        <f>AVERAGE('25.05 Mutukula-Kampala-24h'!N85,'26.05 Mutukula-Kampala-24h'!N85,'27.05 Mutukula-Kampala-24h 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1" t="s">
        <v>126</v>
      </c>
      <c r="C86" s="46">
        <f>AVERAGE('25.05 Mutukula-Kampala-24h'!C86,'26.05 Mutukula-Kampala-24h'!C86,'27.05 Mutukula-Kampala-24h '!C86)</f>
        <v>0</v>
      </c>
      <c r="D86" s="46">
        <f>AVERAGE('25.05 Mutukula-Kampala-24h'!D86,'26.05 Mutukula-Kampala-24h'!D86,'27.05 Mutukula-Kampala-24h '!D86)</f>
        <v>0</v>
      </c>
      <c r="E86" s="46">
        <f>AVERAGE('25.05 Mutukula-Kampala-24h'!E86,'26.05 Mutukula-Kampala-24h'!E86,'27.05 Mutukula-Kampala-24h '!E86)</f>
        <v>0</v>
      </c>
      <c r="F86" s="46">
        <f>AVERAGE('25.05 Mutukula-Kampala-24h'!F86,'26.05 Mutukula-Kampala-24h'!F86,'27.05 Mutukula-Kampala-24h '!F86)</f>
        <v>0</v>
      </c>
      <c r="G86" s="46">
        <f>AVERAGE('25.05 Mutukula-Kampala-24h'!G86,'26.05 Mutukula-Kampala-24h'!G86,'27.05 Mutukula-Kampala-24h '!G86)</f>
        <v>0</v>
      </c>
      <c r="H86" s="46">
        <f>AVERAGE('25.05 Mutukula-Kampala-24h'!H86,'26.05 Mutukula-Kampala-24h'!H86,'27.05 Mutukula-Kampala-24h '!H86)</f>
        <v>0</v>
      </c>
      <c r="I86" s="46">
        <f>AVERAGE('25.05 Mutukula-Kampala-24h'!I86,'26.05 Mutukula-Kampala-24h'!I86,'27.05 Mutukula-Kampala-24h '!I86)</f>
        <v>0</v>
      </c>
      <c r="J86" s="46">
        <f>AVERAGE('25.05 Mutukula-Kampala-24h'!J86,'26.05 Mutukula-Kampala-24h'!J86,'27.05 Mutukula-Kampala-24h '!J86)</f>
        <v>0</v>
      </c>
      <c r="K86" s="46">
        <f>AVERAGE('25.05 Mutukula-Kampala-24h'!K86,'26.05 Mutukula-Kampala-24h'!K86,'27.05 Mutukula-Kampala-24h '!K86)</f>
        <v>0</v>
      </c>
      <c r="L86" s="46">
        <f>AVERAGE('25.05 Mutukula-Kampala-24h'!L86,'26.05 Mutukula-Kampala-24h'!L86,'27.05 Mutukula-Kampala-24h '!L86)</f>
        <v>0</v>
      </c>
      <c r="M86" s="46">
        <f>AVERAGE('25.05 Mutukula-Kampala-24h'!M86,'26.05 Mutukula-Kampala-24h'!M86,'27.05 Mutukula-Kampala-24h '!M86)</f>
        <v>0</v>
      </c>
      <c r="N86" s="46">
        <f>AVERAGE('25.05 Mutukula-Kampala-24h'!N86,'26.05 Mutukula-Kampala-24h'!N86,'27.05 Mutukula-Kampala-24h 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0" t="s">
        <v>127</v>
      </c>
      <c r="C87" s="46">
        <f>AVERAGE('25.05 Mutukula-Kampala-24h'!C87,'26.05 Mutukula-Kampala-24h'!C87,'27.05 Mutukula-Kampala-24h '!C87)</f>
        <v>0</v>
      </c>
      <c r="D87" s="46">
        <f>AVERAGE('25.05 Mutukula-Kampala-24h'!D87,'26.05 Mutukula-Kampala-24h'!D87,'27.05 Mutukula-Kampala-24h '!D87)</f>
        <v>0</v>
      </c>
      <c r="E87" s="46">
        <f>AVERAGE('25.05 Mutukula-Kampala-24h'!E87,'26.05 Mutukula-Kampala-24h'!E87,'27.05 Mutukula-Kampala-24h '!E87)</f>
        <v>0</v>
      </c>
      <c r="F87" s="46">
        <f>AVERAGE('25.05 Mutukula-Kampala-24h'!F87,'26.05 Mutukula-Kampala-24h'!F87,'27.05 Mutukula-Kampala-24h '!F87)</f>
        <v>0</v>
      </c>
      <c r="G87" s="46">
        <f>AVERAGE('25.05 Mutukula-Kampala-24h'!G87,'26.05 Mutukula-Kampala-24h'!G87,'27.05 Mutukula-Kampala-24h '!G87)</f>
        <v>0</v>
      </c>
      <c r="H87" s="46">
        <f>AVERAGE('25.05 Mutukula-Kampala-24h'!H87,'26.05 Mutukula-Kampala-24h'!H87,'27.05 Mutukula-Kampala-24h '!H87)</f>
        <v>0</v>
      </c>
      <c r="I87" s="46">
        <f>AVERAGE('25.05 Mutukula-Kampala-24h'!I87,'26.05 Mutukula-Kampala-24h'!I87,'27.05 Mutukula-Kampala-24h '!I87)</f>
        <v>0</v>
      </c>
      <c r="J87" s="46">
        <f>AVERAGE('25.05 Mutukula-Kampala-24h'!J87,'26.05 Mutukula-Kampala-24h'!J87,'27.05 Mutukula-Kampala-24h '!J87)</f>
        <v>0</v>
      </c>
      <c r="K87" s="46">
        <f>AVERAGE('25.05 Mutukula-Kampala-24h'!K87,'26.05 Mutukula-Kampala-24h'!K87,'27.05 Mutukula-Kampala-24h '!K87)</f>
        <v>0</v>
      </c>
      <c r="L87" s="46">
        <f>AVERAGE('25.05 Mutukula-Kampala-24h'!L87,'26.05 Mutukula-Kampala-24h'!L87,'27.05 Mutukula-Kampala-24h '!L87)</f>
        <v>0</v>
      </c>
      <c r="M87" s="46">
        <f>AVERAGE('25.05 Mutukula-Kampala-24h'!M87,'26.05 Mutukula-Kampala-24h'!M87,'27.05 Mutukula-Kampala-24h '!M87)</f>
        <v>0</v>
      </c>
      <c r="N87" s="46">
        <f>AVERAGE('25.05 Mutukula-Kampala-24h'!N87,'26.05 Mutukula-Kampala-24h'!N87,'27.05 Mutukula-Kampala-24h 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2" t="s">
        <v>128</v>
      </c>
      <c r="C88" s="46">
        <f>AVERAGE('25.05 Mutukula-Kampala-24h'!C88,'26.05 Mutukula-Kampala-24h'!C88,'27.05 Mutukula-Kampala-24h '!C88)</f>
        <v>0</v>
      </c>
      <c r="D88" s="46">
        <f>AVERAGE('25.05 Mutukula-Kampala-24h'!D88,'26.05 Mutukula-Kampala-24h'!D88,'27.05 Mutukula-Kampala-24h '!D88)</f>
        <v>0</v>
      </c>
      <c r="E88" s="46">
        <f>AVERAGE('25.05 Mutukula-Kampala-24h'!E88,'26.05 Mutukula-Kampala-24h'!E88,'27.05 Mutukula-Kampala-24h '!E88)</f>
        <v>0</v>
      </c>
      <c r="F88" s="46">
        <f>AVERAGE('25.05 Mutukula-Kampala-24h'!F88,'26.05 Mutukula-Kampala-24h'!F88,'27.05 Mutukula-Kampala-24h '!F88)</f>
        <v>0</v>
      </c>
      <c r="G88" s="46">
        <f>AVERAGE('25.05 Mutukula-Kampala-24h'!G88,'26.05 Mutukula-Kampala-24h'!G88,'27.05 Mutukula-Kampala-24h '!G88)</f>
        <v>0</v>
      </c>
      <c r="H88" s="46">
        <f>AVERAGE('25.05 Mutukula-Kampala-24h'!H88,'26.05 Mutukula-Kampala-24h'!H88,'27.05 Mutukula-Kampala-24h '!H88)</f>
        <v>0</v>
      </c>
      <c r="I88" s="46">
        <f>AVERAGE('25.05 Mutukula-Kampala-24h'!I88,'26.05 Mutukula-Kampala-24h'!I88,'27.05 Mutukula-Kampala-24h '!I88)</f>
        <v>0</v>
      </c>
      <c r="J88" s="46">
        <f>AVERAGE('25.05 Mutukula-Kampala-24h'!J88,'26.05 Mutukula-Kampala-24h'!J88,'27.05 Mutukula-Kampala-24h '!J88)</f>
        <v>0</v>
      </c>
      <c r="K88" s="46">
        <f>AVERAGE('25.05 Mutukula-Kampala-24h'!K88,'26.05 Mutukula-Kampala-24h'!K88,'27.05 Mutukula-Kampala-24h '!K88)</f>
        <v>0</v>
      </c>
      <c r="L88" s="46">
        <f>AVERAGE('25.05 Mutukula-Kampala-24h'!L88,'26.05 Mutukula-Kampala-24h'!L88,'27.05 Mutukula-Kampala-24h '!L88)</f>
        <v>0</v>
      </c>
      <c r="M88" s="46">
        <f>AVERAGE('25.05 Mutukula-Kampala-24h'!M88,'26.05 Mutukula-Kampala-24h'!M88,'27.05 Mutukula-Kampala-24h '!M88)</f>
        <v>0</v>
      </c>
      <c r="N88" s="46">
        <f>AVERAGE('25.05 Mutukula-Kampala-24h'!N88,'26.05 Mutukula-Kampala-24h'!N88,'27.05 Mutukula-Kampala-24h 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0" t="s">
        <v>129</v>
      </c>
      <c r="C89" s="46">
        <f>AVERAGE('25.05 Mutukula-Kampala-24h'!C89,'26.05 Mutukula-Kampala-24h'!C89,'27.05 Mutukula-Kampala-24h '!C89)</f>
        <v>0</v>
      </c>
      <c r="D89" s="46">
        <f>AVERAGE('25.05 Mutukula-Kampala-24h'!D89,'26.05 Mutukula-Kampala-24h'!D89,'27.05 Mutukula-Kampala-24h '!D89)</f>
        <v>0</v>
      </c>
      <c r="E89" s="46">
        <f>AVERAGE('25.05 Mutukula-Kampala-24h'!E89,'26.05 Mutukula-Kampala-24h'!E89,'27.05 Mutukula-Kampala-24h '!E89)</f>
        <v>0</v>
      </c>
      <c r="F89" s="46">
        <f>AVERAGE('25.05 Mutukula-Kampala-24h'!F89,'26.05 Mutukula-Kampala-24h'!F89,'27.05 Mutukula-Kampala-24h '!F89)</f>
        <v>0</v>
      </c>
      <c r="G89" s="46">
        <f>AVERAGE('25.05 Mutukula-Kampala-24h'!G89,'26.05 Mutukula-Kampala-24h'!G89,'27.05 Mutukula-Kampala-24h '!G89)</f>
        <v>0</v>
      </c>
      <c r="H89" s="46">
        <f>AVERAGE('25.05 Mutukula-Kampala-24h'!H89,'26.05 Mutukula-Kampala-24h'!H89,'27.05 Mutukula-Kampala-24h '!H89)</f>
        <v>0</v>
      </c>
      <c r="I89" s="46">
        <f>AVERAGE('25.05 Mutukula-Kampala-24h'!I89,'26.05 Mutukula-Kampala-24h'!I89,'27.05 Mutukula-Kampala-24h '!I89)</f>
        <v>0</v>
      </c>
      <c r="J89" s="46">
        <f>AVERAGE('25.05 Mutukula-Kampala-24h'!J89,'26.05 Mutukula-Kampala-24h'!J89,'27.05 Mutukula-Kampala-24h '!J89)</f>
        <v>0</v>
      </c>
      <c r="K89" s="46">
        <f>AVERAGE('25.05 Mutukula-Kampala-24h'!K89,'26.05 Mutukula-Kampala-24h'!K89,'27.05 Mutukula-Kampala-24h '!K89)</f>
        <v>0</v>
      </c>
      <c r="L89" s="46">
        <f>AVERAGE('25.05 Mutukula-Kampala-24h'!L89,'26.05 Mutukula-Kampala-24h'!L89,'27.05 Mutukula-Kampala-24h '!L89)</f>
        <v>0</v>
      </c>
      <c r="M89" s="46">
        <f>AVERAGE('25.05 Mutukula-Kampala-24h'!M89,'26.05 Mutukula-Kampala-24h'!M89,'27.05 Mutukula-Kampala-24h '!M89)</f>
        <v>0</v>
      </c>
      <c r="N89" s="46">
        <f>AVERAGE('25.05 Mutukula-Kampala-24h'!N89,'26.05 Mutukula-Kampala-24h'!N89,'27.05 Mutukula-Kampala-24h 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1" t="s">
        <v>130</v>
      </c>
      <c r="C90" s="46">
        <f>AVERAGE('25.05 Mutukula-Kampala-24h'!C90,'26.05 Mutukula-Kampala-24h'!C90,'27.05 Mutukula-Kampala-24h '!C90)</f>
        <v>0</v>
      </c>
      <c r="D90" s="46">
        <f>AVERAGE('25.05 Mutukula-Kampala-24h'!D90,'26.05 Mutukula-Kampala-24h'!D90,'27.05 Mutukula-Kampala-24h '!D90)</f>
        <v>0</v>
      </c>
      <c r="E90" s="46">
        <f>AVERAGE('25.05 Mutukula-Kampala-24h'!E90,'26.05 Mutukula-Kampala-24h'!E90,'27.05 Mutukula-Kampala-24h '!E90)</f>
        <v>0</v>
      </c>
      <c r="F90" s="46">
        <f>AVERAGE('25.05 Mutukula-Kampala-24h'!F90,'26.05 Mutukula-Kampala-24h'!F90,'27.05 Mutukula-Kampala-24h '!F90)</f>
        <v>0</v>
      </c>
      <c r="G90" s="46">
        <f>AVERAGE('25.05 Mutukula-Kampala-24h'!G90,'26.05 Mutukula-Kampala-24h'!G90,'27.05 Mutukula-Kampala-24h '!G90)</f>
        <v>0</v>
      </c>
      <c r="H90" s="46">
        <f>AVERAGE('25.05 Mutukula-Kampala-24h'!H90,'26.05 Mutukula-Kampala-24h'!H90,'27.05 Mutukula-Kampala-24h '!H90)</f>
        <v>0</v>
      </c>
      <c r="I90" s="46">
        <f>AVERAGE('25.05 Mutukula-Kampala-24h'!I90,'26.05 Mutukula-Kampala-24h'!I90,'27.05 Mutukula-Kampala-24h '!I90)</f>
        <v>0</v>
      </c>
      <c r="J90" s="46">
        <f>AVERAGE('25.05 Mutukula-Kampala-24h'!J90,'26.05 Mutukula-Kampala-24h'!J90,'27.05 Mutukula-Kampala-24h '!J90)</f>
        <v>0</v>
      </c>
      <c r="K90" s="46">
        <f>AVERAGE('25.05 Mutukula-Kampala-24h'!K90,'26.05 Mutukula-Kampala-24h'!K90,'27.05 Mutukula-Kampala-24h '!K90)</f>
        <v>0</v>
      </c>
      <c r="L90" s="46">
        <f>AVERAGE('25.05 Mutukula-Kampala-24h'!L90,'26.05 Mutukula-Kampala-24h'!L90,'27.05 Mutukula-Kampala-24h '!L90)</f>
        <v>0</v>
      </c>
      <c r="M90" s="46">
        <f>AVERAGE('25.05 Mutukula-Kampala-24h'!M90,'26.05 Mutukula-Kampala-24h'!M90,'27.05 Mutukula-Kampala-24h '!M90)</f>
        <v>0</v>
      </c>
      <c r="N90" s="46">
        <f>AVERAGE('25.05 Mutukula-Kampala-24h'!N90,'26.05 Mutukula-Kampala-24h'!N90,'27.05 Mutukula-Kampala-24h 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0" t="s">
        <v>131</v>
      </c>
      <c r="C91" s="46">
        <f>AVERAGE('25.05 Mutukula-Kampala-24h'!C91,'26.05 Mutukula-Kampala-24h'!C91,'27.05 Mutukula-Kampala-24h '!C91)</f>
        <v>0</v>
      </c>
      <c r="D91" s="46">
        <f>AVERAGE('25.05 Mutukula-Kampala-24h'!D91,'26.05 Mutukula-Kampala-24h'!D91,'27.05 Mutukula-Kampala-24h '!D91)</f>
        <v>0</v>
      </c>
      <c r="E91" s="46">
        <f>AVERAGE('25.05 Mutukula-Kampala-24h'!E91,'26.05 Mutukula-Kampala-24h'!E91,'27.05 Mutukula-Kampala-24h '!E91)</f>
        <v>0</v>
      </c>
      <c r="F91" s="46">
        <f>AVERAGE('25.05 Mutukula-Kampala-24h'!F91,'26.05 Mutukula-Kampala-24h'!F91,'27.05 Mutukula-Kampala-24h '!F91)</f>
        <v>0</v>
      </c>
      <c r="G91" s="46">
        <f>AVERAGE('25.05 Mutukula-Kampala-24h'!G91,'26.05 Mutukula-Kampala-24h'!G91,'27.05 Mutukula-Kampala-24h '!G91)</f>
        <v>0</v>
      </c>
      <c r="H91" s="46">
        <f>AVERAGE('25.05 Mutukula-Kampala-24h'!H91,'26.05 Mutukula-Kampala-24h'!H91,'27.05 Mutukula-Kampala-24h '!H91)</f>
        <v>0</v>
      </c>
      <c r="I91" s="46">
        <f>AVERAGE('25.05 Mutukula-Kampala-24h'!I91,'26.05 Mutukula-Kampala-24h'!I91,'27.05 Mutukula-Kampala-24h '!I91)</f>
        <v>0</v>
      </c>
      <c r="J91" s="46">
        <f>AVERAGE('25.05 Mutukula-Kampala-24h'!J91,'26.05 Mutukula-Kampala-24h'!J91,'27.05 Mutukula-Kampala-24h '!J91)</f>
        <v>0</v>
      </c>
      <c r="K91" s="46">
        <f>AVERAGE('25.05 Mutukula-Kampala-24h'!K91,'26.05 Mutukula-Kampala-24h'!K91,'27.05 Mutukula-Kampala-24h '!K91)</f>
        <v>0</v>
      </c>
      <c r="L91" s="46">
        <f>AVERAGE('25.05 Mutukula-Kampala-24h'!L91,'26.05 Mutukula-Kampala-24h'!L91,'27.05 Mutukula-Kampala-24h '!L91)</f>
        <v>0</v>
      </c>
      <c r="M91" s="46">
        <f>AVERAGE('25.05 Mutukula-Kampala-24h'!M91,'26.05 Mutukula-Kampala-24h'!M91,'27.05 Mutukula-Kampala-24h '!M91)</f>
        <v>0</v>
      </c>
      <c r="N91" s="46">
        <f>AVERAGE('25.05 Mutukula-Kampala-24h'!N91,'26.05 Mutukula-Kampala-24h'!N91,'27.05 Mutukula-Kampala-24h 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2" t="s">
        <v>132</v>
      </c>
      <c r="C92" s="46">
        <f>AVERAGE('25.05 Mutukula-Kampala-24h'!C92,'26.05 Mutukula-Kampala-24h'!C92,'27.05 Mutukula-Kampala-24h '!C92)</f>
        <v>0</v>
      </c>
      <c r="D92" s="46">
        <f>AVERAGE('25.05 Mutukula-Kampala-24h'!D92,'26.05 Mutukula-Kampala-24h'!D92,'27.05 Mutukula-Kampala-24h '!D92)</f>
        <v>0</v>
      </c>
      <c r="E92" s="46">
        <f>AVERAGE('25.05 Mutukula-Kampala-24h'!E92,'26.05 Mutukula-Kampala-24h'!E92,'27.05 Mutukula-Kampala-24h '!E92)</f>
        <v>0</v>
      </c>
      <c r="F92" s="46">
        <f>AVERAGE('25.05 Mutukula-Kampala-24h'!F92,'26.05 Mutukula-Kampala-24h'!F92,'27.05 Mutukula-Kampala-24h '!F92)</f>
        <v>0</v>
      </c>
      <c r="G92" s="46">
        <f>AVERAGE('25.05 Mutukula-Kampala-24h'!G92,'26.05 Mutukula-Kampala-24h'!G92,'27.05 Mutukula-Kampala-24h '!G92)</f>
        <v>0</v>
      </c>
      <c r="H92" s="46">
        <f>AVERAGE('25.05 Mutukula-Kampala-24h'!H92,'26.05 Mutukula-Kampala-24h'!H92,'27.05 Mutukula-Kampala-24h '!H92)</f>
        <v>0</v>
      </c>
      <c r="I92" s="46">
        <f>AVERAGE('25.05 Mutukula-Kampala-24h'!I92,'26.05 Mutukula-Kampala-24h'!I92,'27.05 Mutukula-Kampala-24h '!I92)</f>
        <v>0</v>
      </c>
      <c r="J92" s="46">
        <f>AVERAGE('25.05 Mutukula-Kampala-24h'!J92,'26.05 Mutukula-Kampala-24h'!J92,'27.05 Mutukula-Kampala-24h '!J92)</f>
        <v>0</v>
      </c>
      <c r="K92" s="46">
        <f>AVERAGE('25.05 Mutukula-Kampala-24h'!K92,'26.05 Mutukula-Kampala-24h'!K92,'27.05 Mutukula-Kampala-24h '!K92)</f>
        <v>0</v>
      </c>
      <c r="L92" s="46">
        <f>AVERAGE('25.05 Mutukula-Kampala-24h'!L92,'26.05 Mutukula-Kampala-24h'!L92,'27.05 Mutukula-Kampala-24h '!L92)</f>
        <v>0</v>
      </c>
      <c r="M92" s="46">
        <f>AVERAGE('25.05 Mutukula-Kampala-24h'!M92,'26.05 Mutukula-Kampala-24h'!M92,'27.05 Mutukula-Kampala-24h '!M92)</f>
        <v>0</v>
      </c>
      <c r="N92" s="46">
        <f>AVERAGE('25.05 Mutukula-Kampala-24h'!N92,'26.05 Mutukula-Kampala-24h'!N92,'27.05 Mutukula-Kampala-24h 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0" t="s">
        <v>133</v>
      </c>
      <c r="C93" s="46">
        <f>AVERAGE('25.05 Mutukula-Kampala-24h'!C93,'26.05 Mutukula-Kampala-24h'!C93,'27.05 Mutukula-Kampala-24h '!C93)</f>
        <v>0</v>
      </c>
      <c r="D93" s="46">
        <f>AVERAGE('25.05 Mutukula-Kampala-24h'!D93,'26.05 Mutukula-Kampala-24h'!D93,'27.05 Mutukula-Kampala-24h '!D93)</f>
        <v>0</v>
      </c>
      <c r="E93" s="46">
        <f>AVERAGE('25.05 Mutukula-Kampala-24h'!E93,'26.05 Mutukula-Kampala-24h'!E93,'27.05 Mutukula-Kampala-24h '!E93)</f>
        <v>0</v>
      </c>
      <c r="F93" s="46">
        <f>AVERAGE('25.05 Mutukula-Kampala-24h'!F93,'26.05 Mutukula-Kampala-24h'!F93,'27.05 Mutukula-Kampala-24h '!F93)</f>
        <v>0</v>
      </c>
      <c r="G93" s="46">
        <f>AVERAGE('25.05 Mutukula-Kampala-24h'!G93,'26.05 Mutukula-Kampala-24h'!G93,'27.05 Mutukula-Kampala-24h '!G93)</f>
        <v>0</v>
      </c>
      <c r="H93" s="46">
        <f>AVERAGE('25.05 Mutukula-Kampala-24h'!H93,'26.05 Mutukula-Kampala-24h'!H93,'27.05 Mutukula-Kampala-24h '!H93)</f>
        <v>0</v>
      </c>
      <c r="I93" s="46">
        <f>AVERAGE('25.05 Mutukula-Kampala-24h'!I93,'26.05 Mutukula-Kampala-24h'!I93,'27.05 Mutukula-Kampala-24h '!I93)</f>
        <v>0</v>
      </c>
      <c r="J93" s="46">
        <f>AVERAGE('25.05 Mutukula-Kampala-24h'!J93,'26.05 Mutukula-Kampala-24h'!J93,'27.05 Mutukula-Kampala-24h '!J93)</f>
        <v>0</v>
      </c>
      <c r="K93" s="46">
        <f>AVERAGE('25.05 Mutukula-Kampala-24h'!K93,'26.05 Mutukula-Kampala-24h'!K93,'27.05 Mutukula-Kampala-24h '!K93)</f>
        <v>0</v>
      </c>
      <c r="L93" s="46">
        <f>AVERAGE('25.05 Mutukula-Kampala-24h'!L93,'26.05 Mutukula-Kampala-24h'!L93,'27.05 Mutukula-Kampala-24h '!L93)</f>
        <v>0</v>
      </c>
      <c r="M93" s="46">
        <f>AVERAGE('25.05 Mutukula-Kampala-24h'!M93,'26.05 Mutukula-Kampala-24h'!M93,'27.05 Mutukula-Kampala-24h '!M93)</f>
        <v>0</v>
      </c>
      <c r="N93" s="46">
        <f>AVERAGE('25.05 Mutukula-Kampala-24h'!N93,'26.05 Mutukula-Kampala-24h'!N93,'27.05 Mutukula-Kampala-24h 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1" t="s">
        <v>134</v>
      </c>
      <c r="C94" s="46">
        <f>AVERAGE('25.05 Mutukula-Kampala-24h'!C94,'26.05 Mutukula-Kampala-24h'!C94,'27.05 Mutukula-Kampala-24h '!C94)</f>
        <v>0</v>
      </c>
      <c r="D94" s="46">
        <f>AVERAGE('25.05 Mutukula-Kampala-24h'!D94,'26.05 Mutukula-Kampala-24h'!D94,'27.05 Mutukula-Kampala-24h '!D94)</f>
        <v>0</v>
      </c>
      <c r="E94" s="46">
        <f>AVERAGE('25.05 Mutukula-Kampala-24h'!E94,'26.05 Mutukula-Kampala-24h'!E94,'27.05 Mutukula-Kampala-24h '!E94)</f>
        <v>0</v>
      </c>
      <c r="F94" s="46">
        <f>AVERAGE('25.05 Mutukula-Kampala-24h'!F94,'26.05 Mutukula-Kampala-24h'!F94,'27.05 Mutukula-Kampala-24h '!F94)</f>
        <v>0</v>
      </c>
      <c r="G94" s="46">
        <f>AVERAGE('25.05 Mutukula-Kampala-24h'!G94,'26.05 Mutukula-Kampala-24h'!G94,'27.05 Mutukula-Kampala-24h '!G94)</f>
        <v>0</v>
      </c>
      <c r="H94" s="46">
        <f>AVERAGE('25.05 Mutukula-Kampala-24h'!H94,'26.05 Mutukula-Kampala-24h'!H94,'27.05 Mutukula-Kampala-24h '!H94)</f>
        <v>0</v>
      </c>
      <c r="I94" s="46">
        <f>AVERAGE('25.05 Mutukula-Kampala-24h'!I94,'26.05 Mutukula-Kampala-24h'!I94,'27.05 Mutukula-Kampala-24h '!I94)</f>
        <v>0</v>
      </c>
      <c r="J94" s="46">
        <f>AVERAGE('25.05 Mutukula-Kampala-24h'!J94,'26.05 Mutukula-Kampala-24h'!J94,'27.05 Mutukula-Kampala-24h '!J94)</f>
        <v>0</v>
      </c>
      <c r="K94" s="46">
        <f>AVERAGE('25.05 Mutukula-Kampala-24h'!K94,'26.05 Mutukula-Kampala-24h'!K94,'27.05 Mutukula-Kampala-24h '!K94)</f>
        <v>0</v>
      </c>
      <c r="L94" s="46">
        <f>AVERAGE('25.05 Mutukula-Kampala-24h'!L94,'26.05 Mutukula-Kampala-24h'!L94,'27.05 Mutukula-Kampala-24h '!L94)</f>
        <v>0</v>
      </c>
      <c r="M94" s="46">
        <f>AVERAGE('25.05 Mutukula-Kampala-24h'!M94,'26.05 Mutukula-Kampala-24h'!M94,'27.05 Mutukula-Kampala-24h '!M94)</f>
        <v>0</v>
      </c>
      <c r="N94" s="46">
        <f>AVERAGE('25.05 Mutukula-Kampala-24h'!N94,'26.05 Mutukula-Kampala-24h'!N94,'27.05 Mutukula-Kampala-24h 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0" t="s">
        <v>135</v>
      </c>
      <c r="C95" s="46">
        <f>AVERAGE('25.05 Mutukula-Kampala-24h'!C95,'26.05 Mutukula-Kampala-24h'!C95,'27.05 Mutukula-Kampala-24h '!C95)</f>
        <v>0</v>
      </c>
      <c r="D95" s="46">
        <f>AVERAGE('25.05 Mutukula-Kampala-24h'!D95,'26.05 Mutukula-Kampala-24h'!D95,'27.05 Mutukula-Kampala-24h '!D95)</f>
        <v>0</v>
      </c>
      <c r="E95" s="46">
        <f>AVERAGE('25.05 Mutukula-Kampala-24h'!E95,'26.05 Mutukula-Kampala-24h'!E95,'27.05 Mutukula-Kampala-24h '!E95)</f>
        <v>0</v>
      </c>
      <c r="F95" s="46">
        <f>AVERAGE('25.05 Mutukula-Kampala-24h'!F95,'26.05 Mutukula-Kampala-24h'!F95,'27.05 Mutukula-Kampala-24h '!F95)</f>
        <v>0</v>
      </c>
      <c r="G95" s="46">
        <f>AVERAGE('25.05 Mutukula-Kampala-24h'!G95,'26.05 Mutukula-Kampala-24h'!G95,'27.05 Mutukula-Kampala-24h '!G95)</f>
        <v>0</v>
      </c>
      <c r="H95" s="46">
        <f>AVERAGE('25.05 Mutukula-Kampala-24h'!H95,'26.05 Mutukula-Kampala-24h'!H95,'27.05 Mutukula-Kampala-24h '!H95)</f>
        <v>0</v>
      </c>
      <c r="I95" s="46">
        <f>AVERAGE('25.05 Mutukula-Kampala-24h'!I95,'26.05 Mutukula-Kampala-24h'!I95,'27.05 Mutukula-Kampala-24h '!I95)</f>
        <v>0</v>
      </c>
      <c r="J95" s="46">
        <f>AVERAGE('25.05 Mutukula-Kampala-24h'!J95,'26.05 Mutukula-Kampala-24h'!J95,'27.05 Mutukula-Kampala-24h '!J95)</f>
        <v>0</v>
      </c>
      <c r="K95" s="46">
        <f>AVERAGE('25.05 Mutukula-Kampala-24h'!K95,'26.05 Mutukula-Kampala-24h'!K95,'27.05 Mutukula-Kampala-24h '!K95)</f>
        <v>0</v>
      </c>
      <c r="L95" s="46">
        <f>AVERAGE('25.05 Mutukula-Kampala-24h'!L95,'26.05 Mutukula-Kampala-24h'!L95,'27.05 Mutukula-Kampala-24h '!L95)</f>
        <v>0</v>
      </c>
      <c r="M95" s="46">
        <f>AVERAGE('25.05 Mutukula-Kampala-24h'!M95,'26.05 Mutukula-Kampala-24h'!M95,'27.05 Mutukula-Kampala-24h '!M95)</f>
        <v>0</v>
      </c>
      <c r="N95" s="46">
        <f>AVERAGE('25.05 Mutukula-Kampala-24h'!N95,'26.05 Mutukula-Kampala-24h'!N95,'27.05 Mutukula-Kampala-24h 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2" t="s">
        <v>136</v>
      </c>
      <c r="C96" s="46">
        <f>AVERAGE('25.05 Mutukula-Kampala-24h'!C96,'26.05 Mutukula-Kampala-24h'!C96,'27.05 Mutukula-Kampala-24h '!C96)</f>
        <v>0</v>
      </c>
      <c r="D96" s="46">
        <f>AVERAGE('25.05 Mutukula-Kampala-24h'!D96,'26.05 Mutukula-Kampala-24h'!D96,'27.05 Mutukula-Kampala-24h '!D96)</f>
        <v>0</v>
      </c>
      <c r="E96" s="46">
        <f>AVERAGE('25.05 Mutukula-Kampala-24h'!E96,'26.05 Mutukula-Kampala-24h'!E96,'27.05 Mutukula-Kampala-24h '!E96)</f>
        <v>0</v>
      </c>
      <c r="F96" s="46">
        <f>AVERAGE('25.05 Mutukula-Kampala-24h'!F96,'26.05 Mutukula-Kampala-24h'!F96,'27.05 Mutukula-Kampala-24h '!F96)</f>
        <v>0</v>
      </c>
      <c r="G96" s="46">
        <f>AVERAGE('25.05 Mutukula-Kampala-24h'!G96,'26.05 Mutukula-Kampala-24h'!G96,'27.05 Mutukula-Kampala-24h '!G96)</f>
        <v>0</v>
      </c>
      <c r="H96" s="46">
        <f>AVERAGE('25.05 Mutukula-Kampala-24h'!H96,'26.05 Mutukula-Kampala-24h'!H96,'27.05 Mutukula-Kampala-24h '!H96)</f>
        <v>0</v>
      </c>
      <c r="I96" s="46">
        <f>AVERAGE('25.05 Mutukula-Kampala-24h'!I96,'26.05 Mutukula-Kampala-24h'!I96,'27.05 Mutukula-Kampala-24h '!I96)</f>
        <v>0</v>
      </c>
      <c r="J96" s="46">
        <f>AVERAGE('25.05 Mutukula-Kampala-24h'!J96,'26.05 Mutukula-Kampala-24h'!J96,'27.05 Mutukula-Kampala-24h '!J96)</f>
        <v>0</v>
      </c>
      <c r="K96" s="46">
        <f>AVERAGE('25.05 Mutukula-Kampala-24h'!K96,'26.05 Mutukula-Kampala-24h'!K96,'27.05 Mutukula-Kampala-24h '!K96)</f>
        <v>0</v>
      </c>
      <c r="L96" s="46">
        <f>AVERAGE('25.05 Mutukula-Kampala-24h'!L96,'26.05 Mutukula-Kampala-24h'!L96,'27.05 Mutukula-Kampala-24h '!L96)</f>
        <v>0</v>
      </c>
      <c r="M96" s="46">
        <f>AVERAGE('25.05 Mutukula-Kampala-24h'!M96,'26.05 Mutukula-Kampala-24h'!M96,'27.05 Mutukula-Kampala-24h '!M96)</f>
        <v>0</v>
      </c>
      <c r="N96" s="46">
        <f>AVERAGE('25.05 Mutukula-Kampala-24h'!N96,'26.05 Mutukula-Kampala-24h'!N96,'27.05 Mutukula-Kampala-24h 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0" t="s">
        <v>137</v>
      </c>
      <c r="C97" s="46">
        <f>AVERAGE('25.05 Mutukula-Kampala-24h'!C97,'26.05 Mutukula-Kampala-24h'!C97,'27.05 Mutukula-Kampala-24h '!C97)</f>
        <v>0</v>
      </c>
      <c r="D97" s="46">
        <f>AVERAGE('25.05 Mutukula-Kampala-24h'!D97,'26.05 Mutukula-Kampala-24h'!D97,'27.05 Mutukula-Kampala-24h '!D97)</f>
        <v>0</v>
      </c>
      <c r="E97" s="46">
        <f>AVERAGE('25.05 Mutukula-Kampala-24h'!E97,'26.05 Mutukula-Kampala-24h'!E97,'27.05 Mutukula-Kampala-24h '!E97)</f>
        <v>0</v>
      </c>
      <c r="F97" s="46">
        <f>AVERAGE('25.05 Mutukula-Kampala-24h'!F97,'26.05 Mutukula-Kampala-24h'!F97,'27.05 Mutukula-Kampala-24h '!F97)</f>
        <v>0</v>
      </c>
      <c r="G97" s="46">
        <f>AVERAGE('25.05 Mutukula-Kampala-24h'!G97,'26.05 Mutukula-Kampala-24h'!G97,'27.05 Mutukula-Kampala-24h '!G97)</f>
        <v>0</v>
      </c>
      <c r="H97" s="46">
        <f>AVERAGE('25.05 Mutukula-Kampala-24h'!H97,'26.05 Mutukula-Kampala-24h'!H97,'27.05 Mutukula-Kampala-24h '!H97)</f>
        <v>0</v>
      </c>
      <c r="I97" s="46">
        <f>AVERAGE('25.05 Mutukula-Kampala-24h'!I97,'26.05 Mutukula-Kampala-24h'!I97,'27.05 Mutukula-Kampala-24h '!I97)</f>
        <v>0</v>
      </c>
      <c r="J97" s="46">
        <f>AVERAGE('25.05 Mutukula-Kampala-24h'!J97,'26.05 Mutukula-Kampala-24h'!J97,'27.05 Mutukula-Kampala-24h '!J97)</f>
        <v>0</v>
      </c>
      <c r="K97" s="46">
        <f>AVERAGE('25.05 Mutukula-Kampala-24h'!K97,'26.05 Mutukula-Kampala-24h'!K97,'27.05 Mutukula-Kampala-24h '!K97)</f>
        <v>0</v>
      </c>
      <c r="L97" s="46">
        <f>AVERAGE('25.05 Mutukula-Kampala-24h'!L97,'26.05 Mutukula-Kampala-24h'!L97,'27.05 Mutukula-Kampala-24h '!L97)</f>
        <v>0</v>
      </c>
      <c r="M97" s="46">
        <f>AVERAGE('25.05 Mutukula-Kampala-24h'!M97,'26.05 Mutukula-Kampala-24h'!M97,'27.05 Mutukula-Kampala-24h '!M97)</f>
        <v>0</v>
      </c>
      <c r="N97" s="46">
        <f>AVERAGE('25.05 Mutukula-Kampala-24h'!N97,'26.05 Mutukula-Kampala-24h'!N97,'27.05 Mutukula-Kampala-24h 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1" t="s">
        <v>138</v>
      </c>
      <c r="C98" s="46">
        <f>AVERAGE('25.05 Mutukula-Kampala-24h'!C98,'26.05 Mutukula-Kampala-24h'!C98,'27.05 Mutukula-Kampala-24h '!C98)</f>
        <v>0</v>
      </c>
      <c r="D98" s="46">
        <f>AVERAGE('25.05 Mutukula-Kampala-24h'!D98,'26.05 Mutukula-Kampala-24h'!D98,'27.05 Mutukula-Kampala-24h '!D98)</f>
        <v>0</v>
      </c>
      <c r="E98" s="46">
        <f>AVERAGE('25.05 Mutukula-Kampala-24h'!E98,'26.05 Mutukula-Kampala-24h'!E98,'27.05 Mutukula-Kampala-24h '!E98)</f>
        <v>0</v>
      </c>
      <c r="F98" s="46">
        <f>AVERAGE('25.05 Mutukula-Kampala-24h'!F98,'26.05 Mutukula-Kampala-24h'!F98,'27.05 Mutukula-Kampala-24h '!F98)</f>
        <v>0</v>
      </c>
      <c r="G98" s="46">
        <f>AVERAGE('25.05 Mutukula-Kampala-24h'!G98,'26.05 Mutukula-Kampala-24h'!G98,'27.05 Mutukula-Kampala-24h '!G98)</f>
        <v>0</v>
      </c>
      <c r="H98" s="46">
        <f>AVERAGE('25.05 Mutukula-Kampala-24h'!H98,'26.05 Mutukula-Kampala-24h'!H98,'27.05 Mutukula-Kampala-24h '!H98)</f>
        <v>0</v>
      </c>
      <c r="I98" s="46">
        <f>AVERAGE('25.05 Mutukula-Kampala-24h'!I98,'26.05 Mutukula-Kampala-24h'!I98,'27.05 Mutukula-Kampala-24h '!I98)</f>
        <v>0</v>
      </c>
      <c r="J98" s="46">
        <f>AVERAGE('25.05 Mutukula-Kampala-24h'!J98,'26.05 Mutukula-Kampala-24h'!J98,'27.05 Mutukula-Kampala-24h '!J98)</f>
        <v>0.66666666666666663</v>
      </c>
      <c r="K98" s="46">
        <f>AVERAGE('25.05 Mutukula-Kampala-24h'!K98,'26.05 Mutukula-Kampala-24h'!K98,'27.05 Mutukula-Kampala-24h '!K98)</f>
        <v>0.33333333333333331</v>
      </c>
      <c r="L98" s="46">
        <f>AVERAGE('25.05 Mutukula-Kampala-24h'!L98,'26.05 Mutukula-Kampala-24h'!L98,'27.05 Mutukula-Kampala-24h '!L98)</f>
        <v>0</v>
      </c>
      <c r="M98" s="46">
        <f>AVERAGE('25.05 Mutukula-Kampala-24h'!M98,'26.05 Mutukula-Kampala-24h'!M98,'27.05 Mutukula-Kampala-24h '!M98)</f>
        <v>0</v>
      </c>
      <c r="N98" s="46">
        <f>AVERAGE('25.05 Mutukula-Kampala-24h'!N98,'26.05 Mutukula-Kampala-24h'!N98,'27.05 Mutukula-Kampala-24h '!N98)</f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20" t="s">
        <v>139</v>
      </c>
      <c r="C99" s="46">
        <f>AVERAGE('25.05 Mutukula-Kampala-24h'!C99,'26.05 Mutukula-Kampala-24h'!C99,'27.05 Mutukula-Kampala-24h '!C99)</f>
        <v>0</v>
      </c>
      <c r="D99" s="46">
        <f>AVERAGE('25.05 Mutukula-Kampala-24h'!D99,'26.05 Mutukula-Kampala-24h'!D99,'27.05 Mutukula-Kampala-24h '!D99)</f>
        <v>0</v>
      </c>
      <c r="E99" s="46">
        <f>AVERAGE('25.05 Mutukula-Kampala-24h'!E99,'26.05 Mutukula-Kampala-24h'!E99,'27.05 Mutukula-Kampala-24h '!E99)</f>
        <v>0</v>
      </c>
      <c r="F99" s="46">
        <f>AVERAGE('25.05 Mutukula-Kampala-24h'!F99,'26.05 Mutukula-Kampala-24h'!F99,'27.05 Mutukula-Kampala-24h '!F99)</f>
        <v>0</v>
      </c>
      <c r="G99" s="46">
        <f>AVERAGE('25.05 Mutukula-Kampala-24h'!G99,'26.05 Mutukula-Kampala-24h'!G99,'27.05 Mutukula-Kampala-24h '!G99)</f>
        <v>0</v>
      </c>
      <c r="H99" s="46">
        <f>AVERAGE('25.05 Mutukula-Kampala-24h'!H99,'26.05 Mutukula-Kampala-24h'!H99,'27.05 Mutukula-Kampala-24h '!H99)</f>
        <v>0</v>
      </c>
      <c r="I99" s="46">
        <f>AVERAGE('25.05 Mutukula-Kampala-24h'!I99,'26.05 Mutukula-Kampala-24h'!I99,'27.05 Mutukula-Kampala-24h '!I99)</f>
        <v>0</v>
      </c>
      <c r="J99" s="46">
        <f>AVERAGE('25.05 Mutukula-Kampala-24h'!J99,'26.05 Mutukula-Kampala-24h'!J99,'27.05 Mutukula-Kampala-24h '!J99)</f>
        <v>0</v>
      </c>
      <c r="K99" s="46">
        <f>AVERAGE('25.05 Mutukula-Kampala-24h'!K99,'26.05 Mutukula-Kampala-24h'!K99,'27.05 Mutukula-Kampala-24h '!K99)</f>
        <v>0</v>
      </c>
      <c r="L99" s="46">
        <f>AVERAGE('25.05 Mutukula-Kampala-24h'!L99,'26.05 Mutukula-Kampala-24h'!L99,'27.05 Mutukula-Kampala-24h '!L99)</f>
        <v>0</v>
      </c>
      <c r="M99" s="46">
        <f>AVERAGE('25.05 Mutukula-Kampala-24h'!M99,'26.05 Mutukula-Kampala-24h'!M99,'27.05 Mutukula-Kampala-24h '!M99)</f>
        <v>0</v>
      </c>
      <c r="N99" s="46">
        <f>AVERAGE('25.05 Mutukula-Kampala-24h'!N99,'26.05 Mutukula-Kampala-24h'!N99,'27.05 Mutukula-Kampala-24h 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2" t="s">
        <v>140</v>
      </c>
      <c r="C100" s="46">
        <f>AVERAGE('25.05 Mutukula-Kampala-24h'!C100,'26.05 Mutukula-Kampala-24h'!C100,'27.05 Mutukula-Kampala-24h '!C100)</f>
        <v>0.33333333333333331</v>
      </c>
      <c r="D100" s="46">
        <f>AVERAGE('25.05 Mutukula-Kampala-24h'!D100,'26.05 Mutukula-Kampala-24h'!D100,'27.05 Mutukula-Kampala-24h '!D100)</f>
        <v>0</v>
      </c>
      <c r="E100" s="46">
        <f>AVERAGE('25.05 Mutukula-Kampala-24h'!E100,'26.05 Mutukula-Kampala-24h'!E100,'27.05 Mutukula-Kampala-24h '!E100)</f>
        <v>0</v>
      </c>
      <c r="F100" s="46">
        <f>AVERAGE('25.05 Mutukula-Kampala-24h'!F100,'26.05 Mutukula-Kampala-24h'!F100,'27.05 Mutukula-Kampala-24h '!F100)</f>
        <v>1</v>
      </c>
      <c r="G100" s="46">
        <f>AVERAGE('25.05 Mutukula-Kampala-24h'!G100,'26.05 Mutukula-Kampala-24h'!G100,'27.05 Mutukula-Kampala-24h '!G100)</f>
        <v>0.66666666666666663</v>
      </c>
      <c r="H100" s="46">
        <f>AVERAGE('25.05 Mutukula-Kampala-24h'!H100,'26.05 Mutukula-Kampala-24h'!H100,'27.05 Mutukula-Kampala-24h '!H100)</f>
        <v>0.66666666666666663</v>
      </c>
      <c r="I100" s="46">
        <f>AVERAGE('25.05 Mutukula-Kampala-24h'!I100,'26.05 Mutukula-Kampala-24h'!I100,'27.05 Mutukula-Kampala-24h '!I100)</f>
        <v>0.33333333333333331</v>
      </c>
      <c r="J100" s="46">
        <f>AVERAGE('25.05 Mutukula-Kampala-24h'!J100,'26.05 Mutukula-Kampala-24h'!J100,'27.05 Mutukula-Kampala-24h '!J100)</f>
        <v>0</v>
      </c>
      <c r="K100" s="46">
        <f>AVERAGE('25.05 Mutukula-Kampala-24h'!K100,'26.05 Mutukula-Kampala-24h'!K100,'27.05 Mutukula-Kampala-24h '!K100)</f>
        <v>1.3333333333333333</v>
      </c>
      <c r="L100" s="46">
        <f>AVERAGE('25.05 Mutukula-Kampala-24h'!L100,'26.05 Mutukula-Kampala-24h'!L100,'27.05 Mutukula-Kampala-24h '!L100)</f>
        <v>0.66666666666666663</v>
      </c>
      <c r="M100" s="46">
        <f>AVERAGE('25.05 Mutukula-Kampala-24h'!M100,'26.05 Mutukula-Kampala-24h'!M100,'27.05 Mutukula-Kampala-24h '!M100)</f>
        <v>0</v>
      </c>
      <c r="N100" s="46">
        <f>AVERAGE('25.05 Mutukula-Kampala-24h'!N100,'26.05 Mutukula-Kampala-24h'!N100,'27.05 Mutukula-Kampala-24h '!N100)</f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20" t="s">
        <v>141</v>
      </c>
      <c r="C101" s="46">
        <f>AVERAGE('25.05 Mutukula-Kampala-24h'!C101,'26.05 Mutukula-Kampala-24h'!C101,'27.05 Mutukula-Kampala-24h '!C101)</f>
        <v>0</v>
      </c>
      <c r="D101" s="46">
        <f>AVERAGE('25.05 Mutukula-Kampala-24h'!D101,'26.05 Mutukula-Kampala-24h'!D101,'27.05 Mutukula-Kampala-24h '!D101)</f>
        <v>0</v>
      </c>
      <c r="E101" s="46">
        <f>AVERAGE('25.05 Mutukula-Kampala-24h'!E101,'26.05 Mutukula-Kampala-24h'!E101,'27.05 Mutukula-Kampala-24h '!E101)</f>
        <v>0</v>
      </c>
      <c r="F101" s="46">
        <f>AVERAGE('25.05 Mutukula-Kampala-24h'!F101,'26.05 Mutukula-Kampala-24h'!F101,'27.05 Mutukula-Kampala-24h '!F101)</f>
        <v>0</v>
      </c>
      <c r="G101" s="46">
        <f>AVERAGE('25.05 Mutukula-Kampala-24h'!G101,'26.05 Mutukula-Kampala-24h'!G101,'27.05 Mutukula-Kampala-24h '!G101)</f>
        <v>0</v>
      </c>
      <c r="H101" s="46">
        <f>AVERAGE('25.05 Mutukula-Kampala-24h'!H101,'26.05 Mutukula-Kampala-24h'!H101,'27.05 Mutukula-Kampala-24h '!H101)</f>
        <v>0</v>
      </c>
      <c r="I101" s="46">
        <f>AVERAGE('25.05 Mutukula-Kampala-24h'!I101,'26.05 Mutukula-Kampala-24h'!I101,'27.05 Mutukula-Kampala-24h '!I101)</f>
        <v>0</v>
      </c>
      <c r="J101" s="46">
        <f>AVERAGE('25.05 Mutukula-Kampala-24h'!J101,'26.05 Mutukula-Kampala-24h'!J101,'27.05 Mutukula-Kampala-24h '!J101)</f>
        <v>0</v>
      </c>
      <c r="K101" s="46">
        <f>AVERAGE('25.05 Mutukula-Kampala-24h'!K101,'26.05 Mutukula-Kampala-24h'!K101,'27.05 Mutukula-Kampala-24h '!K101)</f>
        <v>0</v>
      </c>
      <c r="L101" s="46">
        <f>AVERAGE('25.05 Mutukula-Kampala-24h'!L101,'26.05 Mutukula-Kampala-24h'!L101,'27.05 Mutukula-Kampala-24h '!L101)</f>
        <v>0</v>
      </c>
      <c r="M101" s="46">
        <f>AVERAGE('25.05 Mutukula-Kampala-24h'!M101,'26.05 Mutukula-Kampala-24h'!M101,'27.05 Mutukula-Kampala-24h '!M101)</f>
        <v>0</v>
      </c>
      <c r="N101" s="46">
        <f>AVERAGE('25.05 Mutukula-Kampala-24h'!N101,'26.05 Mutukula-Kampala-24h'!N101,'27.05 Mutukula-Kampala-24h 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1" t="s">
        <v>142</v>
      </c>
      <c r="C102" s="46">
        <f>AVERAGE('25.05 Mutukula-Kampala-24h'!C102,'26.05 Mutukula-Kampala-24h'!C102,'27.05 Mutukula-Kampala-24h '!C102)</f>
        <v>5.666666666666667</v>
      </c>
      <c r="D102" s="46">
        <f>AVERAGE('25.05 Mutukula-Kampala-24h'!D102,'26.05 Mutukula-Kampala-24h'!D102,'27.05 Mutukula-Kampala-24h '!D102)</f>
        <v>0</v>
      </c>
      <c r="E102" s="46">
        <f>AVERAGE('25.05 Mutukula-Kampala-24h'!E102,'26.05 Mutukula-Kampala-24h'!E102,'27.05 Mutukula-Kampala-24h '!E102)</f>
        <v>0</v>
      </c>
      <c r="F102" s="46">
        <f>AVERAGE('25.05 Mutukula-Kampala-24h'!F102,'26.05 Mutukula-Kampala-24h'!F102,'27.05 Mutukula-Kampala-24h '!F102)</f>
        <v>3</v>
      </c>
      <c r="G102" s="46">
        <f>AVERAGE('25.05 Mutukula-Kampala-24h'!G102,'26.05 Mutukula-Kampala-24h'!G102,'27.05 Mutukula-Kampala-24h '!G102)</f>
        <v>0.66666666666666663</v>
      </c>
      <c r="H102" s="46">
        <f>AVERAGE('25.05 Mutukula-Kampala-24h'!H102,'26.05 Mutukula-Kampala-24h'!H102,'27.05 Mutukula-Kampala-24h '!H102)</f>
        <v>2</v>
      </c>
      <c r="I102" s="46">
        <f>AVERAGE('25.05 Mutukula-Kampala-24h'!I102,'26.05 Mutukula-Kampala-24h'!I102,'27.05 Mutukula-Kampala-24h '!I102)</f>
        <v>2.3333333333333335</v>
      </c>
      <c r="J102" s="46">
        <f>AVERAGE('25.05 Mutukula-Kampala-24h'!J102,'26.05 Mutukula-Kampala-24h'!J102,'27.05 Mutukula-Kampala-24h '!J102)</f>
        <v>2.3333333333333335</v>
      </c>
      <c r="K102" s="46">
        <f>AVERAGE('25.05 Mutukula-Kampala-24h'!K102,'26.05 Mutukula-Kampala-24h'!K102,'27.05 Mutukula-Kampala-24h '!K102)</f>
        <v>1.6666666666666667</v>
      </c>
      <c r="L102" s="46">
        <f>AVERAGE('25.05 Mutukula-Kampala-24h'!L102,'26.05 Mutukula-Kampala-24h'!L102,'27.05 Mutukula-Kampala-24h '!L102)</f>
        <v>2.6666666666666665</v>
      </c>
      <c r="M102" s="46">
        <f>AVERAGE('25.05 Mutukula-Kampala-24h'!M102,'26.05 Mutukula-Kampala-24h'!M102,'27.05 Mutukula-Kampala-24h '!M102)</f>
        <v>0</v>
      </c>
      <c r="N102" s="46">
        <f>AVERAGE('25.05 Mutukula-Kampala-24h'!N102,'26.05 Mutukula-Kampala-24h'!N102,'27.05 Mutukula-Kampala-24h '!N102)</f>
        <v>0</v>
      </c>
      <c r="O102" s="15">
        <f t="shared" si="35"/>
        <v>20.333333333333336</v>
      </c>
      <c r="P102" s="15">
        <f t="shared" si="36"/>
        <v>20.333333333333336</v>
      </c>
      <c r="R102" s="8"/>
      <c r="T102"/>
    </row>
    <row r="103" spans="2:20" ht="23.1" customHeight="1" x14ac:dyDescent="0.25">
      <c r="B103" s="20" t="s">
        <v>143</v>
      </c>
      <c r="C103" s="46">
        <f>AVERAGE('25.05 Mutukula-Kampala-24h'!C103,'26.05 Mutukula-Kampala-24h'!C103,'27.05 Mutukula-Kampala-24h '!C103)</f>
        <v>0</v>
      </c>
      <c r="D103" s="46">
        <f>AVERAGE('25.05 Mutukula-Kampala-24h'!D103,'26.05 Mutukula-Kampala-24h'!D103,'27.05 Mutukula-Kampala-24h '!D103)</f>
        <v>0</v>
      </c>
      <c r="E103" s="46">
        <f>AVERAGE('25.05 Mutukula-Kampala-24h'!E103,'26.05 Mutukula-Kampala-24h'!E103,'27.05 Mutukula-Kampala-24h '!E103)</f>
        <v>0</v>
      </c>
      <c r="F103" s="46">
        <f>AVERAGE('25.05 Mutukula-Kampala-24h'!F103,'26.05 Mutukula-Kampala-24h'!F103,'27.05 Mutukula-Kampala-24h '!F103)</f>
        <v>0</v>
      </c>
      <c r="G103" s="46">
        <f>AVERAGE('25.05 Mutukula-Kampala-24h'!G103,'26.05 Mutukula-Kampala-24h'!G103,'27.05 Mutukula-Kampala-24h '!G103)</f>
        <v>0</v>
      </c>
      <c r="H103" s="46">
        <f>AVERAGE('25.05 Mutukula-Kampala-24h'!H103,'26.05 Mutukula-Kampala-24h'!H103,'27.05 Mutukula-Kampala-24h '!H103)</f>
        <v>0</v>
      </c>
      <c r="I103" s="46">
        <f>AVERAGE('25.05 Mutukula-Kampala-24h'!I103,'26.05 Mutukula-Kampala-24h'!I103,'27.05 Mutukula-Kampala-24h '!I103)</f>
        <v>0</v>
      </c>
      <c r="J103" s="46">
        <f>AVERAGE('25.05 Mutukula-Kampala-24h'!J103,'26.05 Mutukula-Kampala-24h'!J103,'27.05 Mutukula-Kampala-24h '!J103)</f>
        <v>0</v>
      </c>
      <c r="K103" s="46">
        <f>AVERAGE('25.05 Mutukula-Kampala-24h'!K103,'26.05 Mutukula-Kampala-24h'!K103,'27.05 Mutukula-Kampala-24h '!K103)</f>
        <v>0</v>
      </c>
      <c r="L103" s="46">
        <f>AVERAGE('25.05 Mutukula-Kampala-24h'!L103,'26.05 Mutukula-Kampala-24h'!L103,'27.05 Mutukula-Kampala-24h '!L103)</f>
        <v>0</v>
      </c>
      <c r="M103" s="46">
        <f>AVERAGE('25.05 Mutukula-Kampala-24h'!M103,'26.05 Mutukula-Kampala-24h'!M103,'27.05 Mutukula-Kampala-24h '!M103)</f>
        <v>0</v>
      </c>
      <c r="N103" s="46">
        <f>AVERAGE('25.05 Mutukula-Kampala-24h'!N103,'26.05 Mutukula-Kampala-24h'!N103,'27.05 Mutukula-Kampala-24h 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2" t="s">
        <v>144</v>
      </c>
      <c r="C104" s="46">
        <f>AVERAGE('25.05 Mutukula-Kampala-24h'!C104,'26.05 Mutukula-Kampala-24h'!C104,'27.05 Mutukula-Kampala-24h '!C104)</f>
        <v>4</v>
      </c>
      <c r="D104" s="46">
        <f>AVERAGE('25.05 Mutukula-Kampala-24h'!D104,'26.05 Mutukula-Kampala-24h'!D104,'27.05 Mutukula-Kampala-24h '!D104)</f>
        <v>0</v>
      </c>
      <c r="E104" s="46">
        <f>AVERAGE('25.05 Mutukula-Kampala-24h'!E104,'26.05 Mutukula-Kampala-24h'!E104,'27.05 Mutukula-Kampala-24h '!E104)</f>
        <v>0</v>
      </c>
      <c r="F104" s="46">
        <f>AVERAGE('25.05 Mutukula-Kampala-24h'!F104,'26.05 Mutukula-Kampala-24h'!F104,'27.05 Mutukula-Kampala-24h '!F104)</f>
        <v>2.3333333333333335</v>
      </c>
      <c r="G104" s="46">
        <f>AVERAGE('25.05 Mutukula-Kampala-24h'!G104,'26.05 Mutukula-Kampala-24h'!G104,'27.05 Mutukula-Kampala-24h '!G104)</f>
        <v>1</v>
      </c>
      <c r="H104" s="46">
        <f>AVERAGE('25.05 Mutukula-Kampala-24h'!H104,'26.05 Mutukula-Kampala-24h'!H104,'27.05 Mutukula-Kampala-24h '!H104)</f>
        <v>1.3333333333333333</v>
      </c>
      <c r="I104" s="46">
        <f>AVERAGE('25.05 Mutukula-Kampala-24h'!I104,'26.05 Mutukula-Kampala-24h'!I104,'27.05 Mutukula-Kampala-24h '!I104)</f>
        <v>0.66666666666666663</v>
      </c>
      <c r="J104" s="46">
        <f>AVERAGE('25.05 Mutukula-Kampala-24h'!J104,'26.05 Mutukula-Kampala-24h'!J104,'27.05 Mutukula-Kampala-24h '!J104)</f>
        <v>1</v>
      </c>
      <c r="K104" s="46">
        <f>AVERAGE('25.05 Mutukula-Kampala-24h'!K104,'26.05 Mutukula-Kampala-24h'!K104,'27.05 Mutukula-Kampala-24h '!K104)</f>
        <v>0.66666666666666663</v>
      </c>
      <c r="L104" s="46">
        <f>AVERAGE('25.05 Mutukula-Kampala-24h'!L104,'26.05 Mutukula-Kampala-24h'!L104,'27.05 Mutukula-Kampala-24h '!L104)</f>
        <v>4.333333333333333</v>
      </c>
      <c r="M104" s="46">
        <f>AVERAGE('25.05 Mutukula-Kampala-24h'!M104,'26.05 Mutukula-Kampala-24h'!M104,'27.05 Mutukula-Kampala-24h '!M104)</f>
        <v>0</v>
      </c>
      <c r="N104" s="46">
        <f>AVERAGE('25.05 Mutukula-Kampala-24h'!N104,'26.05 Mutukula-Kampala-24h'!N104,'27.05 Mutukula-Kampala-24h '!N104)</f>
        <v>0</v>
      </c>
      <c r="O104" s="15">
        <f t="shared" si="35"/>
        <v>15.333333333333332</v>
      </c>
      <c r="P104" s="15">
        <f t="shared" si="36"/>
        <v>15.333333333333332</v>
      </c>
      <c r="R104" s="8"/>
      <c r="T104"/>
    </row>
    <row r="105" spans="2:20" ht="23.1" customHeight="1" x14ac:dyDescent="0.25">
      <c r="B105" s="20" t="s">
        <v>145</v>
      </c>
      <c r="C105" s="46">
        <f>AVERAGE('25.05 Mutukula-Kampala-24h'!C105,'26.05 Mutukula-Kampala-24h'!C105,'27.05 Mutukula-Kampala-24h '!C105)</f>
        <v>0</v>
      </c>
      <c r="D105" s="46">
        <f>AVERAGE('25.05 Mutukula-Kampala-24h'!D105,'26.05 Mutukula-Kampala-24h'!D105,'27.05 Mutukula-Kampala-24h '!D105)</f>
        <v>0</v>
      </c>
      <c r="E105" s="46">
        <f>AVERAGE('25.05 Mutukula-Kampala-24h'!E105,'26.05 Mutukula-Kampala-24h'!E105,'27.05 Mutukula-Kampala-24h '!E105)</f>
        <v>0</v>
      </c>
      <c r="F105" s="46">
        <f>AVERAGE('25.05 Mutukula-Kampala-24h'!F105,'26.05 Mutukula-Kampala-24h'!F105,'27.05 Mutukula-Kampala-24h '!F105)</f>
        <v>0</v>
      </c>
      <c r="G105" s="46">
        <f>AVERAGE('25.05 Mutukula-Kampala-24h'!G105,'26.05 Mutukula-Kampala-24h'!G105,'27.05 Mutukula-Kampala-24h '!G105)</f>
        <v>0</v>
      </c>
      <c r="H105" s="46">
        <f>AVERAGE('25.05 Mutukula-Kampala-24h'!H105,'26.05 Mutukula-Kampala-24h'!H105,'27.05 Mutukula-Kampala-24h '!H105)</f>
        <v>0</v>
      </c>
      <c r="I105" s="46">
        <f>AVERAGE('25.05 Mutukula-Kampala-24h'!I105,'26.05 Mutukula-Kampala-24h'!I105,'27.05 Mutukula-Kampala-24h '!I105)</f>
        <v>0</v>
      </c>
      <c r="J105" s="46">
        <f>AVERAGE('25.05 Mutukula-Kampala-24h'!J105,'26.05 Mutukula-Kampala-24h'!J105,'27.05 Mutukula-Kampala-24h '!J105)</f>
        <v>0</v>
      </c>
      <c r="K105" s="46">
        <f>AVERAGE('25.05 Mutukula-Kampala-24h'!K105,'26.05 Mutukula-Kampala-24h'!K105,'27.05 Mutukula-Kampala-24h '!K105)</f>
        <v>0</v>
      </c>
      <c r="L105" s="46">
        <f>AVERAGE('25.05 Mutukula-Kampala-24h'!L105,'26.05 Mutukula-Kampala-24h'!L105,'27.05 Mutukula-Kampala-24h '!L105)</f>
        <v>0</v>
      </c>
      <c r="M105" s="46">
        <f>AVERAGE('25.05 Mutukula-Kampala-24h'!M105,'26.05 Mutukula-Kampala-24h'!M105,'27.05 Mutukula-Kampala-24h '!M105)</f>
        <v>0</v>
      </c>
      <c r="N105" s="46">
        <f>AVERAGE('25.05 Mutukula-Kampala-24h'!N105,'26.05 Mutukula-Kampala-24h'!N105,'27.05 Mutukula-Kampala-24h 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152.00000000000003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65.666666666666671</v>
      </c>
      <c r="G106" s="16">
        <f t="shared" si="37"/>
        <v>5</v>
      </c>
      <c r="H106" s="16">
        <f t="shared" si="37"/>
        <v>14.333333333333336</v>
      </c>
      <c r="I106" s="16">
        <f t="shared" si="37"/>
        <v>23.333333333333329</v>
      </c>
      <c r="J106" s="16">
        <f t="shared" si="37"/>
        <v>63.666666666666664</v>
      </c>
      <c r="K106" s="16">
        <f t="shared" si="37"/>
        <v>30.666666666666671</v>
      </c>
      <c r="L106" s="16">
        <f t="shared" si="37"/>
        <v>60.666666666666671</v>
      </c>
      <c r="M106" s="16">
        <f t="shared" si="37"/>
        <v>0</v>
      </c>
      <c r="N106" s="16">
        <f t="shared" si="37"/>
        <v>0</v>
      </c>
      <c r="O106" s="16">
        <f t="shared" si="37"/>
        <v>415.3333333333332</v>
      </c>
      <c r="P106" s="16">
        <f t="shared" si="37"/>
        <v>415.3333333333332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0.36597110754414142</v>
      </c>
      <c r="D107" s="40">
        <f t="shared" si="38"/>
        <v>0</v>
      </c>
      <c r="E107" s="40">
        <f t="shared" si="38"/>
        <v>0</v>
      </c>
      <c r="F107" s="40">
        <f t="shared" si="38"/>
        <v>0.15810593900481548</v>
      </c>
      <c r="G107" s="40">
        <f t="shared" si="38"/>
        <v>1.2038523274478335E-2</v>
      </c>
      <c r="H107" s="40">
        <f t="shared" si="38"/>
        <v>3.4510433386837895E-2</v>
      </c>
      <c r="I107" s="40">
        <f t="shared" si="38"/>
        <v>5.6179775280898882E-2</v>
      </c>
      <c r="J107" s="40">
        <f t="shared" si="38"/>
        <v>0.15329052969502413</v>
      </c>
      <c r="K107" s="40">
        <f t="shared" si="38"/>
        <v>7.3836276083467128E-2</v>
      </c>
      <c r="L107" s="40">
        <f t="shared" si="38"/>
        <v>0.14606741573033713</v>
      </c>
      <c r="M107" s="40">
        <f t="shared" si="38"/>
        <v>0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0.36597110754414142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0.15810593900481548</v>
      </c>
      <c r="G108" s="41">
        <f t="shared" si="39"/>
        <v>1.2038523274478335E-2</v>
      </c>
      <c r="H108" s="41">
        <f t="shared" si="39"/>
        <v>3.4510433386837895E-2</v>
      </c>
      <c r="I108" s="41">
        <f t="shared" si="39"/>
        <v>5.6179775280898882E-2</v>
      </c>
      <c r="J108" s="41">
        <f t="shared" si="39"/>
        <v>0.15329052969502413</v>
      </c>
      <c r="K108" s="41">
        <f t="shared" si="39"/>
        <v>7.3836276083467128E-2</v>
      </c>
      <c r="L108" s="41">
        <f t="shared" si="39"/>
        <v>0.14606741573033713</v>
      </c>
      <c r="M108" s="41"/>
      <c r="N108" s="41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2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N52" zoomScale="60" workbookViewId="0">
      <selection activeCell="AF59" sqref="AF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19" t="s">
        <v>96</v>
      </c>
      <c r="C3" s="60" t="e">
        <f>#REF!</f>
        <v>#REF!</v>
      </c>
      <c r="D3" s="60"/>
      <c r="E3" s="60"/>
      <c r="F3" s="60"/>
      <c r="G3" s="60"/>
      <c r="H3" s="19"/>
      <c r="I3" s="19"/>
      <c r="J3" s="19"/>
      <c r="K3" s="19"/>
      <c r="L3" s="19"/>
      <c r="M3" s="19"/>
      <c r="N3" s="19"/>
      <c r="O3" s="19"/>
      <c r="P3" s="19"/>
    </row>
    <row r="4" spans="2:32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2:32" ht="20.100000000000001" customHeight="1" x14ac:dyDescent="0.25">
      <c r="C5" s="4" t="s">
        <v>3</v>
      </c>
      <c r="D5" s="61" t="s">
        <v>162</v>
      </c>
      <c r="E5" s="62"/>
      <c r="F5" s="38" t="s">
        <v>1</v>
      </c>
      <c r="G5" s="58" t="e">
        <f>'Avg Week Kampala-Mutukula'!G5:H5</f>
        <v>#REF!</v>
      </c>
      <c r="H5" s="59"/>
      <c r="I5" s="14"/>
      <c r="J5" s="2" t="s">
        <v>5</v>
      </c>
      <c r="K5" s="58" t="e">
        <f>'Avg Week Kampala-Mutukula'!K5:L5</f>
        <v>#REF!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161</v>
      </c>
      <c r="E6" s="64"/>
      <c r="F6" s="2" t="s">
        <v>2</v>
      </c>
      <c r="G6" s="63" t="s">
        <v>161</v>
      </c>
      <c r="H6" s="64"/>
      <c r="J6" s="2" t="s">
        <v>21</v>
      </c>
      <c r="K6" s="58" t="e">
        <f>'Avg Week Kampala-Mutukula'!K6:L6</f>
        <v>#REF!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4" t="s">
        <v>24</v>
      </c>
      <c r="T9" s="24" t="s">
        <v>25</v>
      </c>
      <c r="U9" s="24" t="s">
        <v>26</v>
      </c>
      <c r="V9" s="24" t="s">
        <v>27</v>
      </c>
      <c r="W9" s="24" t="s">
        <v>28</v>
      </c>
      <c r="X9" s="24" t="s">
        <v>29</v>
      </c>
      <c r="Y9" s="24" t="s">
        <v>30</v>
      </c>
      <c r="Z9" s="24" t="s">
        <v>31</v>
      </c>
      <c r="AA9" s="24" t="s">
        <v>32</v>
      </c>
      <c r="AB9" s="24" t="s">
        <v>33</v>
      </c>
      <c r="AC9" s="24" t="s">
        <v>34</v>
      </c>
      <c r="AD9" s="24" t="s">
        <v>35</v>
      </c>
      <c r="AE9" s="27" t="s">
        <v>89</v>
      </c>
      <c r="AF9" s="27" t="s">
        <v>22</v>
      </c>
    </row>
    <row r="10" spans="2:32" ht="23.1" customHeight="1" x14ac:dyDescent="0.25">
      <c r="B10" s="20" t="s">
        <v>37</v>
      </c>
      <c r="C10" s="46">
        <f>'Avg Week Mutukula-Kampala'!C10+'Avg Week Kampala-Mutukula'!C10</f>
        <v>4</v>
      </c>
      <c r="D10" s="46">
        <f>'Avg Week Mutukula-Kampala'!D10+'Avg Week Kampala-Mutukula'!D10</f>
        <v>0</v>
      </c>
      <c r="E10" s="46">
        <f>'Avg Week Mutukula-Kampala'!E10+'Avg Week Kampala-Mutukula'!E10</f>
        <v>0</v>
      </c>
      <c r="F10" s="46">
        <f>'Avg Week Mutukula-Kampala'!F10+'Avg Week Kampala-Mutukula'!F10</f>
        <v>4.333333333333333</v>
      </c>
      <c r="G10" s="46">
        <f>'Avg Week Mutukula-Kampala'!G10+'Avg Week Kampala-Mutukula'!G10</f>
        <v>0</v>
      </c>
      <c r="H10" s="46">
        <f>'Avg Week Mutukula-Kampala'!H10+'Avg Week Kampala-Mutukula'!H10</f>
        <v>2</v>
      </c>
      <c r="I10" s="46">
        <f>'Avg Week Mutukula-Kampala'!I10+'Avg Week Kampala-Mutukula'!I10</f>
        <v>0</v>
      </c>
      <c r="J10" s="46">
        <f>'Avg Week Mutukula-Kampala'!J10+'Avg Week Kampala-Mutukula'!J10</f>
        <v>2</v>
      </c>
      <c r="K10" s="46">
        <f>'Avg Week Mutukula-Kampala'!K10+'Avg Week Kampala-Mutukula'!K10</f>
        <v>1.3333333333333333</v>
      </c>
      <c r="L10" s="46">
        <f>'Avg Week Mutukula-Kampala'!L10+'Avg Week Kampala-Mutukula'!L10</f>
        <v>3</v>
      </c>
      <c r="M10" s="46">
        <f>'Avg Week Mutukula-Kampala'!M10+'Avg Week Kampala-Mutukula'!M10</f>
        <v>1.3333333333333333</v>
      </c>
      <c r="N10" s="46">
        <f>'Avg Week Mutukula-Kampala'!N10+'Avg Week Kampala-Mutukula'!N10</f>
        <v>0</v>
      </c>
      <c r="O10" s="15">
        <f t="shared" ref="O10:O73" si="0">SUM(C10:L10,N10)</f>
        <v>16.666666666666664</v>
      </c>
      <c r="P10" s="15">
        <f t="shared" ref="P10:P73" si="1">SUM(C10:N10)</f>
        <v>17.999999999999996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0</v>
      </c>
      <c r="V10" s="17">
        <f t="shared" si="2"/>
        <v>5</v>
      </c>
      <c r="W10" s="17">
        <f t="shared" si="2"/>
        <v>0.33333333333333331</v>
      </c>
      <c r="X10" s="17">
        <f t="shared" si="2"/>
        <v>2</v>
      </c>
      <c r="Y10" s="17">
        <f t="shared" si="2"/>
        <v>1</v>
      </c>
      <c r="Z10" s="17">
        <f t="shared" si="2"/>
        <v>4.6666666666666661</v>
      </c>
      <c r="AA10" s="17">
        <f t="shared" si="2"/>
        <v>2.6666666666666665</v>
      </c>
      <c r="AB10" s="17">
        <f t="shared" si="2"/>
        <v>4</v>
      </c>
      <c r="AC10" s="17">
        <f t="shared" si="2"/>
        <v>2.333333333333333</v>
      </c>
      <c r="AD10" s="17">
        <f t="shared" si="2"/>
        <v>0</v>
      </c>
      <c r="AE10" s="28">
        <f t="shared" si="2"/>
        <v>29.666666666666664</v>
      </c>
      <c r="AF10" s="28">
        <f t="shared" si="2"/>
        <v>31.999999999999996</v>
      </c>
    </row>
    <row r="11" spans="2:32" s="6" customFormat="1" ht="23.1" customHeight="1" x14ac:dyDescent="0.25">
      <c r="B11" s="20" t="s">
        <v>38</v>
      </c>
      <c r="C11" s="46">
        <f>'Avg Week Mutukula-Kampala'!C11+'Avg Week Kampala-Mutukula'!C11</f>
        <v>0</v>
      </c>
      <c r="D11" s="46">
        <f>'Avg Week Mutukula-Kampala'!D11+'Avg Week Kampala-Mutukula'!D11</f>
        <v>0</v>
      </c>
      <c r="E11" s="46">
        <f>'Avg Week Mutukula-Kampala'!E11+'Avg Week Kampala-Mutukula'!E11</f>
        <v>0</v>
      </c>
      <c r="F11" s="46">
        <f>'Avg Week Mutukula-Kampala'!F11+'Avg Week Kampala-Mutukula'!F11</f>
        <v>0</v>
      </c>
      <c r="G11" s="46">
        <f>'Avg Week Mutukula-Kampala'!G11+'Avg Week Kampala-Mutukula'!G11</f>
        <v>0</v>
      </c>
      <c r="H11" s="46">
        <f>'Avg Week Mutukula-Kampala'!H11+'Avg Week Kampala-Mutukula'!H11</f>
        <v>0</v>
      </c>
      <c r="I11" s="46">
        <f>'Avg Week Mutukula-Kampala'!I11+'Avg Week Kampala-Mutukula'!I11</f>
        <v>0</v>
      </c>
      <c r="J11" s="46">
        <f>'Avg Week Mutukula-Kampala'!J11+'Avg Week Kampala-Mutukula'!J11</f>
        <v>0</v>
      </c>
      <c r="K11" s="46">
        <f>'Avg Week Mutukula-Kampala'!K11+'Avg Week Kampala-Mutukula'!K11</f>
        <v>0</v>
      </c>
      <c r="L11" s="46">
        <f>'Avg Week Mutukula-Kampala'!L11+'Avg Week Kampala-Mutukula'!L11</f>
        <v>0</v>
      </c>
      <c r="M11" s="46">
        <f>'Avg Week Mutukula-Kampala'!M11+'Avg Week Kampala-Mutukula'!M11</f>
        <v>0</v>
      </c>
      <c r="N11" s="46">
        <f>'Avg Week Mutukula-Kampala'!N11+'Avg Week Kampala-Mutukula'!N11</f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13.000000000000002</v>
      </c>
      <c r="T11" s="17">
        <f t="shared" si="3"/>
        <v>0</v>
      </c>
      <c r="U11" s="17">
        <f t="shared" si="3"/>
        <v>0</v>
      </c>
      <c r="V11" s="17">
        <f t="shared" si="3"/>
        <v>5</v>
      </c>
      <c r="W11" s="17">
        <f t="shared" si="3"/>
        <v>0.33333333333333331</v>
      </c>
      <c r="X11" s="17">
        <f t="shared" si="3"/>
        <v>1</v>
      </c>
      <c r="Y11" s="17">
        <f t="shared" si="3"/>
        <v>1</v>
      </c>
      <c r="Z11" s="17">
        <f t="shared" si="3"/>
        <v>6</v>
      </c>
      <c r="AA11" s="17">
        <f t="shared" si="3"/>
        <v>2.6666666666666665</v>
      </c>
      <c r="AB11" s="17">
        <f t="shared" si="3"/>
        <v>5.6666666666666661</v>
      </c>
      <c r="AC11" s="17">
        <f t="shared" si="3"/>
        <v>4.333333333333333</v>
      </c>
      <c r="AD11" s="17">
        <f t="shared" si="3"/>
        <v>0</v>
      </c>
      <c r="AE11" s="28">
        <f t="shared" si="3"/>
        <v>34.666666666666671</v>
      </c>
      <c r="AF11" s="28">
        <f t="shared" si="3"/>
        <v>39.000000000000007</v>
      </c>
    </row>
    <row r="12" spans="2:32" ht="23.1" customHeight="1" x14ac:dyDescent="0.25">
      <c r="B12" s="20" t="s">
        <v>39</v>
      </c>
      <c r="C12" s="46">
        <f>'Avg Week Mutukula-Kampala'!C12+'Avg Week Kampala-Mutukula'!C12</f>
        <v>6</v>
      </c>
      <c r="D12" s="46">
        <f>'Avg Week Mutukula-Kampala'!D12+'Avg Week Kampala-Mutukula'!D12</f>
        <v>0</v>
      </c>
      <c r="E12" s="46">
        <f>'Avg Week Mutukula-Kampala'!E12+'Avg Week Kampala-Mutukula'!E12</f>
        <v>0</v>
      </c>
      <c r="F12" s="46">
        <f>'Avg Week Mutukula-Kampala'!F12+'Avg Week Kampala-Mutukula'!F12</f>
        <v>0.66666666666666663</v>
      </c>
      <c r="G12" s="46">
        <f>'Avg Week Mutukula-Kampala'!G12+'Avg Week Kampala-Mutukula'!G12</f>
        <v>0.33333333333333331</v>
      </c>
      <c r="H12" s="46">
        <f>'Avg Week Mutukula-Kampala'!H12+'Avg Week Kampala-Mutukula'!H12</f>
        <v>0</v>
      </c>
      <c r="I12" s="46">
        <f>'Avg Week Mutukula-Kampala'!I12+'Avg Week Kampala-Mutukula'!I12</f>
        <v>1</v>
      </c>
      <c r="J12" s="46">
        <f>'Avg Week Mutukula-Kampala'!J12+'Avg Week Kampala-Mutukula'!J12</f>
        <v>2.6666666666666665</v>
      </c>
      <c r="K12" s="46">
        <f>'Avg Week Mutukula-Kampala'!K12+'Avg Week Kampala-Mutukula'!K12</f>
        <v>1.3333333333333333</v>
      </c>
      <c r="L12" s="46">
        <f>'Avg Week Mutukula-Kampala'!L12+'Avg Week Kampala-Mutukula'!L12</f>
        <v>1</v>
      </c>
      <c r="M12" s="46">
        <f>'Avg Week Mutukula-Kampala'!M12+'Avg Week Kampala-Mutukula'!M12</f>
        <v>1</v>
      </c>
      <c r="N12" s="46">
        <f>'Avg Week Mutukula-Kampala'!N12+'Avg Week Kampala-Mutukula'!N12</f>
        <v>0</v>
      </c>
      <c r="O12" s="15">
        <f t="shared" si="0"/>
        <v>13</v>
      </c>
      <c r="P12" s="15">
        <f t="shared" si="1"/>
        <v>14</v>
      </c>
      <c r="R12" s="1" t="s">
        <v>8</v>
      </c>
      <c r="S12" s="17">
        <f t="shared" ref="S12:AF12" si="4">SUM(C18:C21)</f>
        <v>19.666666666666668</v>
      </c>
      <c r="T12" s="17">
        <f t="shared" si="4"/>
        <v>0</v>
      </c>
      <c r="U12" s="17">
        <f t="shared" si="4"/>
        <v>0</v>
      </c>
      <c r="V12" s="17">
        <f t="shared" si="4"/>
        <v>11</v>
      </c>
      <c r="W12" s="17">
        <f t="shared" si="4"/>
        <v>1</v>
      </c>
      <c r="X12" s="17">
        <f t="shared" si="4"/>
        <v>4</v>
      </c>
      <c r="Y12" s="17">
        <f t="shared" si="4"/>
        <v>2.3333333333333335</v>
      </c>
      <c r="Z12" s="17">
        <f t="shared" si="4"/>
        <v>9.3333333333333321</v>
      </c>
      <c r="AA12" s="17">
        <f t="shared" si="4"/>
        <v>3.333333333333333</v>
      </c>
      <c r="AB12" s="17">
        <f t="shared" si="4"/>
        <v>14</v>
      </c>
      <c r="AC12" s="17">
        <f t="shared" si="4"/>
        <v>6.6666666666666661</v>
      </c>
      <c r="AD12" s="17">
        <f t="shared" si="4"/>
        <v>0</v>
      </c>
      <c r="AE12" s="28">
        <f t="shared" si="4"/>
        <v>64.666666666666657</v>
      </c>
      <c r="AF12" s="28">
        <f t="shared" si="4"/>
        <v>71.333333333333329</v>
      </c>
    </row>
    <row r="13" spans="2:32" ht="23.1" customHeight="1" x14ac:dyDescent="0.25">
      <c r="B13" s="20" t="s">
        <v>40</v>
      </c>
      <c r="C13" s="46">
        <f>'Avg Week Mutukula-Kampala'!C13+'Avg Week Kampala-Mutukula'!C13</f>
        <v>0</v>
      </c>
      <c r="D13" s="46">
        <f>'Avg Week Mutukula-Kampala'!D13+'Avg Week Kampala-Mutukula'!D13</f>
        <v>0</v>
      </c>
      <c r="E13" s="46">
        <f>'Avg Week Mutukula-Kampala'!E13+'Avg Week Kampala-Mutukula'!E13</f>
        <v>0</v>
      </c>
      <c r="F13" s="46">
        <f>'Avg Week Mutukula-Kampala'!F13+'Avg Week Kampala-Mutukula'!F13</f>
        <v>0</v>
      </c>
      <c r="G13" s="46">
        <f>'Avg Week Mutukula-Kampala'!G13+'Avg Week Kampala-Mutukula'!G13</f>
        <v>0</v>
      </c>
      <c r="H13" s="46">
        <f>'Avg Week Mutukula-Kampala'!H13+'Avg Week Kampala-Mutukula'!H13</f>
        <v>0</v>
      </c>
      <c r="I13" s="46">
        <f>'Avg Week Mutukula-Kampala'!I13+'Avg Week Kampala-Mutukula'!I13</f>
        <v>0</v>
      </c>
      <c r="J13" s="46">
        <f>'Avg Week Mutukula-Kampala'!J13+'Avg Week Kampala-Mutukula'!J13</f>
        <v>0</v>
      </c>
      <c r="K13" s="46">
        <f>'Avg Week Mutukula-Kampala'!K13+'Avg Week Kampala-Mutukula'!K13</f>
        <v>0</v>
      </c>
      <c r="L13" s="46">
        <f>'Avg Week Mutukula-Kampala'!L13+'Avg Week Kampala-Mutukula'!L13</f>
        <v>0</v>
      </c>
      <c r="M13" s="46">
        <f>'Avg Week Mutukula-Kampala'!M13+'Avg Week Kampala-Mutukula'!M13</f>
        <v>0</v>
      </c>
      <c r="N13" s="46">
        <f>'Avg Week Mutukula-Kampala'!N13+'Avg Week Kampala-Mutukula'!N13</f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18</v>
      </c>
      <c r="T13" s="17">
        <f t="shared" si="5"/>
        <v>0</v>
      </c>
      <c r="U13" s="17">
        <f t="shared" si="5"/>
        <v>0</v>
      </c>
      <c r="V13" s="17">
        <f t="shared" si="5"/>
        <v>7.3333333333333339</v>
      </c>
      <c r="W13" s="17">
        <f t="shared" si="5"/>
        <v>0.33333333333333331</v>
      </c>
      <c r="X13" s="17">
        <f t="shared" si="5"/>
        <v>1.6666666666666665</v>
      </c>
      <c r="Y13" s="17">
        <f t="shared" si="5"/>
        <v>1</v>
      </c>
      <c r="Z13" s="17">
        <f t="shared" si="5"/>
        <v>6.666666666666667</v>
      </c>
      <c r="AA13" s="17">
        <f t="shared" si="5"/>
        <v>1.6666666666666665</v>
      </c>
      <c r="AB13" s="17">
        <f t="shared" si="5"/>
        <v>6.6666666666666661</v>
      </c>
      <c r="AC13" s="17">
        <f t="shared" si="5"/>
        <v>6</v>
      </c>
      <c r="AD13" s="17">
        <f t="shared" si="5"/>
        <v>0</v>
      </c>
      <c r="AE13" s="28">
        <f t="shared" si="5"/>
        <v>43.333333333333336</v>
      </c>
      <c r="AF13" s="28">
        <f t="shared" si="5"/>
        <v>49.333333333333336</v>
      </c>
    </row>
    <row r="14" spans="2:32" ht="23.1" customHeight="1" x14ac:dyDescent="0.25">
      <c r="B14" s="20" t="s">
        <v>41</v>
      </c>
      <c r="C14" s="46">
        <f>'Avg Week Mutukula-Kampala'!C14+'Avg Week Kampala-Mutukula'!C14</f>
        <v>4.3333333333333339</v>
      </c>
      <c r="D14" s="46">
        <f>'Avg Week Mutukula-Kampala'!D14+'Avg Week Kampala-Mutukula'!D14</f>
        <v>0</v>
      </c>
      <c r="E14" s="46">
        <f>'Avg Week Mutukula-Kampala'!E14+'Avg Week Kampala-Mutukula'!E14</f>
        <v>0</v>
      </c>
      <c r="F14" s="46">
        <f>'Avg Week Mutukula-Kampala'!F14+'Avg Week Kampala-Mutukula'!F14</f>
        <v>1.3333333333333333</v>
      </c>
      <c r="G14" s="46">
        <f>'Avg Week Mutukula-Kampala'!G14+'Avg Week Kampala-Mutukula'!G14</f>
        <v>0</v>
      </c>
      <c r="H14" s="46">
        <f>'Avg Week Mutukula-Kampala'!H14+'Avg Week Kampala-Mutukula'!H14</f>
        <v>0</v>
      </c>
      <c r="I14" s="46">
        <f>'Avg Week Mutukula-Kampala'!I14+'Avg Week Kampala-Mutukula'!I14</f>
        <v>0</v>
      </c>
      <c r="J14" s="46">
        <f>'Avg Week Mutukula-Kampala'!J14+'Avg Week Kampala-Mutukula'!J14</f>
        <v>1.6666666666666665</v>
      </c>
      <c r="K14" s="46">
        <f>'Avg Week Mutukula-Kampala'!K14+'Avg Week Kampala-Mutukula'!K14</f>
        <v>1.3333333333333333</v>
      </c>
      <c r="L14" s="46">
        <f>'Avg Week Mutukula-Kampala'!L14+'Avg Week Kampala-Mutukula'!L14</f>
        <v>2</v>
      </c>
      <c r="M14" s="46">
        <f>'Avg Week Mutukula-Kampala'!M14+'Avg Week Kampala-Mutukula'!M14</f>
        <v>1.6666666666666667</v>
      </c>
      <c r="N14" s="46">
        <f>'Avg Week Mutukula-Kampala'!N14+'Avg Week Kampala-Mutukula'!N14</f>
        <v>0</v>
      </c>
      <c r="O14" s="15">
        <f t="shared" si="0"/>
        <v>10.666666666666668</v>
      </c>
      <c r="P14" s="15">
        <f t="shared" si="1"/>
        <v>12.333333333333334</v>
      </c>
      <c r="R14" s="1" t="s">
        <v>10</v>
      </c>
      <c r="S14" s="17">
        <f t="shared" ref="S14:AF14" si="6">SUM(C26:C29)</f>
        <v>17.666666666666668</v>
      </c>
      <c r="T14" s="17">
        <f t="shared" si="6"/>
        <v>0</v>
      </c>
      <c r="U14" s="17">
        <f t="shared" si="6"/>
        <v>0</v>
      </c>
      <c r="V14" s="17">
        <f t="shared" si="6"/>
        <v>6.666666666666667</v>
      </c>
      <c r="W14" s="17">
        <f t="shared" si="6"/>
        <v>0</v>
      </c>
      <c r="X14" s="17">
        <f t="shared" si="6"/>
        <v>0</v>
      </c>
      <c r="Y14" s="17">
        <f t="shared" si="6"/>
        <v>1.3333333333333333</v>
      </c>
      <c r="Z14" s="17">
        <f t="shared" si="6"/>
        <v>7.6666666666666661</v>
      </c>
      <c r="AA14" s="17">
        <f t="shared" si="6"/>
        <v>0.66666666666666663</v>
      </c>
      <c r="AB14" s="17">
        <f t="shared" si="6"/>
        <v>2.333333333333333</v>
      </c>
      <c r="AC14" s="17">
        <f t="shared" si="6"/>
        <v>1.6666666666666665</v>
      </c>
      <c r="AD14" s="17">
        <f t="shared" si="6"/>
        <v>0</v>
      </c>
      <c r="AE14" s="28">
        <f t="shared" si="6"/>
        <v>36.333333333333336</v>
      </c>
      <c r="AF14" s="28">
        <f t="shared" si="6"/>
        <v>38</v>
      </c>
    </row>
    <row r="15" spans="2:32" ht="23.1" customHeight="1" x14ac:dyDescent="0.25">
      <c r="B15" s="20" t="s">
        <v>42</v>
      </c>
      <c r="C15" s="46">
        <f>'Avg Week Mutukula-Kampala'!C15+'Avg Week Kampala-Mutukula'!C15</f>
        <v>0</v>
      </c>
      <c r="D15" s="46">
        <f>'Avg Week Mutukula-Kampala'!D15+'Avg Week Kampala-Mutukula'!D15</f>
        <v>0</v>
      </c>
      <c r="E15" s="46">
        <f>'Avg Week Mutukula-Kampala'!E15+'Avg Week Kampala-Mutukula'!E15</f>
        <v>0</v>
      </c>
      <c r="F15" s="46">
        <f>'Avg Week Mutukula-Kampala'!F15+'Avg Week Kampala-Mutukula'!F15</f>
        <v>0</v>
      </c>
      <c r="G15" s="46">
        <f>'Avg Week Mutukula-Kampala'!G15+'Avg Week Kampala-Mutukula'!G15</f>
        <v>0</v>
      </c>
      <c r="H15" s="46">
        <f>'Avg Week Mutukula-Kampala'!H15+'Avg Week Kampala-Mutukula'!H15</f>
        <v>0</v>
      </c>
      <c r="I15" s="46">
        <f>'Avg Week Mutukula-Kampala'!I15+'Avg Week Kampala-Mutukula'!I15</f>
        <v>0</v>
      </c>
      <c r="J15" s="46">
        <f>'Avg Week Mutukula-Kampala'!J15+'Avg Week Kampala-Mutukula'!J15</f>
        <v>0</v>
      </c>
      <c r="K15" s="46">
        <f>'Avg Week Mutukula-Kampala'!K15+'Avg Week Kampala-Mutukula'!K15</f>
        <v>0</v>
      </c>
      <c r="L15" s="46">
        <f>'Avg Week Mutukula-Kampala'!L15+'Avg Week Kampala-Mutukula'!L15</f>
        <v>0</v>
      </c>
      <c r="M15" s="46">
        <f>'Avg Week Mutukula-Kampala'!M15+'Avg Week Kampala-Mutukula'!M15</f>
        <v>0</v>
      </c>
      <c r="N15" s="46">
        <f>'Avg Week Mutukula-Kampala'!N15+'Avg Week Kampala-Mutukula'!N15</f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17</v>
      </c>
      <c r="T15" s="17">
        <f t="shared" si="7"/>
        <v>0</v>
      </c>
      <c r="U15" s="17">
        <f t="shared" si="7"/>
        <v>0</v>
      </c>
      <c r="V15" s="17">
        <f t="shared" si="7"/>
        <v>7</v>
      </c>
      <c r="W15" s="17">
        <f t="shared" si="7"/>
        <v>0.33333333333333331</v>
      </c>
      <c r="X15" s="17">
        <f t="shared" si="7"/>
        <v>0</v>
      </c>
      <c r="Y15" s="17">
        <f t="shared" si="7"/>
        <v>1.6666666666666665</v>
      </c>
      <c r="Z15" s="17">
        <f t="shared" si="7"/>
        <v>6</v>
      </c>
      <c r="AA15" s="17">
        <f t="shared" si="7"/>
        <v>1.3333333333333333</v>
      </c>
      <c r="AB15" s="17">
        <f t="shared" si="7"/>
        <v>4.3333333333333339</v>
      </c>
      <c r="AC15" s="17">
        <f t="shared" si="7"/>
        <v>3</v>
      </c>
      <c r="AD15" s="17">
        <f t="shared" si="7"/>
        <v>0</v>
      </c>
      <c r="AE15" s="28">
        <f t="shared" si="7"/>
        <v>37.666666666666671</v>
      </c>
      <c r="AF15" s="28">
        <f t="shared" si="7"/>
        <v>40.666666666666671</v>
      </c>
    </row>
    <row r="16" spans="2:32" ht="23.1" customHeight="1" x14ac:dyDescent="0.25">
      <c r="B16" s="20" t="s">
        <v>43</v>
      </c>
      <c r="C16" s="46">
        <f>'Avg Week Mutukula-Kampala'!C16+'Avg Week Kampala-Mutukula'!C16</f>
        <v>8.6666666666666679</v>
      </c>
      <c r="D16" s="46">
        <f>'Avg Week Mutukula-Kampala'!D16+'Avg Week Kampala-Mutukula'!D16</f>
        <v>0</v>
      </c>
      <c r="E16" s="46">
        <f>'Avg Week Mutukula-Kampala'!E16+'Avg Week Kampala-Mutukula'!E16</f>
        <v>0</v>
      </c>
      <c r="F16" s="46">
        <f>'Avg Week Mutukula-Kampala'!F16+'Avg Week Kampala-Mutukula'!F16</f>
        <v>3.666666666666667</v>
      </c>
      <c r="G16" s="46">
        <f>'Avg Week Mutukula-Kampala'!G16+'Avg Week Kampala-Mutukula'!G16</f>
        <v>0.33333333333333331</v>
      </c>
      <c r="H16" s="46">
        <f>'Avg Week Mutukula-Kampala'!H16+'Avg Week Kampala-Mutukula'!H16</f>
        <v>1</v>
      </c>
      <c r="I16" s="46">
        <f>'Avg Week Mutukula-Kampala'!I16+'Avg Week Kampala-Mutukula'!I16</f>
        <v>1</v>
      </c>
      <c r="J16" s="46">
        <f>'Avg Week Mutukula-Kampala'!J16+'Avg Week Kampala-Mutukula'!J16</f>
        <v>4.3333333333333339</v>
      </c>
      <c r="K16" s="46">
        <f>'Avg Week Mutukula-Kampala'!K16+'Avg Week Kampala-Mutukula'!K16</f>
        <v>1.3333333333333333</v>
      </c>
      <c r="L16" s="46">
        <f>'Avg Week Mutukula-Kampala'!L16+'Avg Week Kampala-Mutukula'!L16</f>
        <v>3.6666666666666665</v>
      </c>
      <c r="M16" s="46">
        <f>'Avg Week Mutukula-Kampala'!M16+'Avg Week Kampala-Mutukula'!M16</f>
        <v>2.6666666666666665</v>
      </c>
      <c r="N16" s="46">
        <f>'Avg Week Mutukula-Kampala'!N16+'Avg Week Kampala-Mutukula'!N16</f>
        <v>0</v>
      </c>
      <c r="O16" s="15">
        <f t="shared" si="0"/>
        <v>24.000000000000004</v>
      </c>
      <c r="P16" s="15">
        <f t="shared" si="1"/>
        <v>26.666666666666671</v>
      </c>
      <c r="R16" s="1" t="s">
        <v>12</v>
      </c>
      <c r="S16" s="17">
        <f t="shared" ref="S16:AF16" si="8">SUM(C34:C37)</f>
        <v>18</v>
      </c>
      <c r="T16" s="17">
        <f t="shared" si="8"/>
        <v>0</v>
      </c>
      <c r="U16" s="17">
        <f t="shared" si="8"/>
        <v>0</v>
      </c>
      <c r="V16" s="17">
        <f t="shared" si="8"/>
        <v>9.3333333333333339</v>
      </c>
      <c r="W16" s="17">
        <f t="shared" si="8"/>
        <v>1.3333333333333333</v>
      </c>
      <c r="X16" s="17">
        <f t="shared" si="8"/>
        <v>1</v>
      </c>
      <c r="Y16" s="17">
        <f t="shared" si="8"/>
        <v>4</v>
      </c>
      <c r="Z16" s="17">
        <f t="shared" si="8"/>
        <v>5.666666666666667</v>
      </c>
      <c r="AA16" s="17">
        <f t="shared" si="8"/>
        <v>0.66666666666666663</v>
      </c>
      <c r="AB16" s="17">
        <f t="shared" si="8"/>
        <v>4</v>
      </c>
      <c r="AC16" s="17">
        <f t="shared" si="8"/>
        <v>3</v>
      </c>
      <c r="AD16" s="17">
        <f t="shared" si="8"/>
        <v>0</v>
      </c>
      <c r="AE16" s="28">
        <f t="shared" si="8"/>
        <v>44</v>
      </c>
      <c r="AF16" s="28">
        <f t="shared" si="8"/>
        <v>47</v>
      </c>
    </row>
    <row r="17" spans="2:32" ht="23.1" customHeight="1" x14ac:dyDescent="0.25">
      <c r="B17" s="20" t="s">
        <v>44</v>
      </c>
      <c r="C17" s="46">
        <f>'Avg Week Mutukula-Kampala'!C17+'Avg Week Kampala-Mutukula'!C17</f>
        <v>0</v>
      </c>
      <c r="D17" s="46">
        <f>'Avg Week Mutukula-Kampala'!D17+'Avg Week Kampala-Mutukula'!D17</f>
        <v>0</v>
      </c>
      <c r="E17" s="46">
        <f>'Avg Week Mutukula-Kampala'!E17+'Avg Week Kampala-Mutukula'!E17</f>
        <v>0</v>
      </c>
      <c r="F17" s="46">
        <f>'Avg Week Mutukula-Kampala'!F17+'Avg Week Kampala-Mutukula'!F17</f>
        <v>0</v>
      </c>
      <c r="G17" s="46">
        <f>'Avg Week Mutukula-Kampala'!G17+'Avg Week Kampala-Mutukula'!G17</f>
        <v>0</v>
      </c>
      <c r="H17" s="46">
        <f>'Avg Week Mutukula-Kampala'!H17+'Avg Week Kampala-Mutukula'!H17</f>
        <v>0</v>
      </c>
      <c r="I17" s="46">
        <f>'Avg Week Mutukula-Kampala'!I17+'Avg Week Kampala-Mutukula'!I17</f>
        <v>0</v>
      </c>
      <c r="J17" s="46">
        <f>'Avg Week Mutukula-Kampala'!J17+'Avg Week Kampala-Mutukula'!J17</f>
        <v>0</v>
      </c>
      <c r="K17" s="46">
        <f>'Avg Week Mutukula-Kampala'!K17+'Avg Week Kampala-Mutukula'!K17</f>
        <v>0</v>
      </c>
      <c r="L17" s="46">
        <f>'Avg Week Mutukula-Kampala'!L17+'Avg Week Kampala-Mutukula'!L17</f>
        <v>0</v>
      </c>
      <c r="M17" s="46">
        <f>'Avg Week Mutukula-Kampala'!M17+'Avg Week Kampala-Mutukula'!M17</f>
        <v>0</v>
      </c>
      <c r="N17" s="46">
        <f>'Avg Week Mutukula-Kampala'!N17+'Avg Week Kampala-Mutukula'!N17</f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19</v>
      </c>
      <c r="T17" s="17">
        <f t="shared" si="9"/>
        <v>0</v>
      </c>
      <c r="U17" s="17">
        <f t="shared" si="9"/>
        <v>0</v>
      </c>
      <c r="V17" s="17">
        <f t="shared" si="9"/>
        <v>7</v>
      </c>
      <c r="W17" s="17">
        <f t="shared" si="9"/>
        <v>0.33333333333333331</v>
      </c>
      <c r="X17" s="17">
        <f t="shared" si="9"/>
        <v>1.6666666666666665</v>
      </c>
      <c r="Y17" s="17">
        <f t="shared" si="9"/>
        <v>3.333333333333333</v>
      </c>
      <c r="Z17" s="17">
        <f t="shared" si="9"/>
        <v>6.3333333333333339</v>
      </c>
      <c r="AA17" s="17">
        <f t="shared" si="9"/>
        <v>3.666666666666667</v>
      </c>
      <c r="AB17" s="17">
        <f t="shared" si="9"/>
        <v>4.333333333333333</v>
      </c>
      <c r="AC17" s="17">
        <f t="shared" si="9"/>
        <v>2.333333333333333</v>
      </c>
      <c r="AD17" s="17">
        <f t="shared" si="9"/>
        <v>0</v>
      </c>
      <c r="AE17" s="28">
        <f t="shared" si="9"/>
        <v>45.666666666666671</v>
      </c>
      <c r="AF17" s="28">
        <f t="shared" si="9"/>
        <v>48</v>
      </c>
    </row>
    <row r="18" spans="2:32" ht="23.1" customHeight="1" x14ac:dyDescent="0.25">
      <c r="B18" s="20" t="s">
        <v>45</v>
      </c>
      <c r="C18" s="46">
        <f>'Avg Week Mutukula-Kampala'!C18+'Avg Week Kampala-Mutukula'!C18</f>
        <v>9.3333333333333339</v>
      </c>
      <c r="D18" s="46">
        <f>'Avg Week Mutukula-Kampala'!D18+'Avg Week Kampala-Mutukula'!D18</f>
        <v>0</v>
      </c>
      <c r="E18" s="46">
        <f>'Avg Week Mutukula-Kampala'!E18+'Avg Week Kampala-Mutukula'!E18</f>
        <v>0</v>
      </c>
      <c r="F18" s="46">
        <f>'Avg Week Mutukula-Kampala'!F18+'Avg Week Kampala-Mutukula'!F18</f>
        <v>5.333333333333333</v>
      </c>
      <c r="G18" s="46">
        <f>'Avg Week Mutukula-Kampala'!G18+'Avg Week Kampala-Mutukula'!G18</f>
        <v>0.33333333333333331</v>
      </c>
      <c r="H18" s="46">
        <f>'Avg Week Mutukula-Kampala'!H18+'Avg Week Kampala-Mutukula'!H18</f>
        <v>2.666666666666667</v>
      </c>
      <c r="I18" s="46">
        <f>'Avg Week Mutukula-Kampala'!I18+'Avg Week Kampala-Mutukula'!I18</f>
        <v>2</v>
      </c>
      <c r="J18" s="46">
        <f>'Avg Week Mutukula-Kampala'!J18+'Avg Week Kampala-Mutukula'!J18</f>
        <v>5</v>
      </c>
      <c r="K18" s="46">
        <f>'Avg Week Mutukula-Kampala'!K18+'Avg Week Kampala-Mutukula'!K18</f>
        <v>2</v>
      </c>
      <c r="L18" s="46">
        <f>'Avg Week Mutukula-Kampala'!L18+'Avg Week Kampala-Mutukula'!L18</f>
        <v>7.333333333333333</v>
      </c>
      <c r="M18" s="46">
        <f>'Avg Week Mutukula-Kampala'!M18+'Avg Week Kampala-Mutukula'!M18</f>
        <v>3</v>
      </c>
      <c r="N18" s="46">
        <f>'Avg Week Mutukula-Kampala'!N18+'Avg Week Kampala-Mutukula'!N18</f>
        <v>0</v>
      </c>
      <c r="O18" s="15">
        <f t="shared" si="0"/>
        <v>34</v>
      </c>
      <c r="P18" s="15">
        <f t="shared" si="1"/>
        <v>37</v>
      </c>
      <c r="R18" s="1" t="s">
        <v>14</v>
      </c>
      <c r="S18" s="17">
        <f t="shared" ref="S18:AF18" si="10">SUM(C42:C45)</f>
        <v>14.999999999999998</v>
      </c>
      <c r="T18" s="17">
        <f t="shared" si="10"/>
        <v>0</v>
      </c>
      <c r="U18" s="17">
        <f t="shared" si="10"/>
        <v>0</v>
      </c>
      <c r="V18" s="17">
        <f t="shared" si="10"/>
        <v>8</v>
      </c>
      <c r="W18" s="17">
        <f t="shared" si="10"/>
        <v>0.33333333333333331</v>
      </c>
      <c r="X18" s="17">
        <f t="shared" si="10"/>
        <v>4.666666666666667</v>
      </c>
      <c r="Y18" s="17">
        <f t="shared" si="10"/>
        <v>0.66666666666666663</v>
      </c>
      <c r="Z18" s="17">
        <f t="shared" si="10"/>
        <v>5</v>
      </c>
      <c r="AA18" s="17">
        <f t="shared" si="10"/>
        <v>1.6666666666666665</v>
      </c>
      <c r="AB18" s="17">
        <f t="shared" si="10"/>
        <v>1.3333333333333333</v>
      </c>
      <c r="AC18" s="17">
        <f t="shared" si="10"/>
        <v>1</v>
      </c>
      <c r="AD18" s="17">
        <f t="shared" si="10"/>
        <v>0</v>
      </c>
      <c r="AE18" s="28">
        <f t="shared" si="10"/>
        <v>36.666666666666664</v>
      </c>
      <c r="AF18" s="28">
        <f t="shared" si="10"/>
        <v>37.666666666666664</v>
      </c>
    </row>
    <row r="19" spans="2:32" ht="23.1" customHeight="1" x14ac:dyDescent="0.25">
      <c r="B19" s="20" t="s">
        <v>46</v>
      </c>
      <c r="C19" s="46">
        <f>'Avg Week Mutukula-Kampala'!C19+'Avg Week Kampala-Mutukula'!C19</f>
        <v>0</v>
      </c>
      <c r="D19" s="46">
        <f>'Avg Week Mutukula-Kampala'!D19+'Avg Week Kampala-Mutukula'!D19</f>
        <v>0</v>
      </c>
      <c r="E19" s="46">
        <f>'Avg Week Mutukula-Kampala'!E19+'Avg Week Kampala-Mutukula'!E19</f>
        <v>0</v>
      </c>
      <c r="F19" s="46">
        <f>'Avg Week Mutukula-Kampala'!F19+'Avg Week Kampala-Mutukula'!F19</f>
        <v>0</v>
      </c>
      <c r="G19" s="46">
        <f>'Avg Week Mutukula-Kampala'!G19+'Avg Week Kampala-Mutukula'!G19</f>
        <v>0</v>
      </c>
      <c r="H19" s="46">
        <f>'Avg Week Mutukula-Kampala'!H19+'Avg Week Kampala-Mutukula'!H19</f>
        <v>0</v>
      </c>
      <c r="I19" s="46">
        <f>'Avg Week Mutukula-Kampala'!I19+'Avg Week Kampala-Mutukula'!I19</f>
        <v>0</v>
      </c>
      <c r="J19" s="46">
        <f>'Avg Week Mutukula-Kampala'!J19+'Avg Week Kampala-Mutukula'!J19</f>
        <v>0</v>
      </c>
      <c r="K19" s="46">
        <f>'Avg Week Mutukula-Kampala'!K19+'Avg Week Kampala-Mutukula'!K19</f>
        <v>0</v>
      </c>
      <c r="L19" s="46">
        <f>'Avg Week Mutukula-Kampala'!L19+'Avg Week Kampala-Mutukula'!L19</f>
        <v>0</v>
      </c>
      <c r="M19" s="46">
        <f>'Avg Week Mutukula-Kampala'!M19+'Avg Week Kampala-Mutukula'!M19</f>
        <v>0</v>
      </c>
      <c r="N19" s="46">
        <f>'Avg Week Mutukula-Kampala'!N19+'Avg Week Kampala-Mutukula'!N19</f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0</v>
      </c>
      <c r="V19" s="17">
        <f t="shared" si="11"/>
        <v>6.6666666666666661</v>
      </c>
      <c r="W19" s="17">
        <f t="shared" si="11"/>
        <v>0.33333333333333331</v>
      </c>
      <c r="X19" s="17">
        <f t="shared" si="11"/>
        <v>1.9999999999999998</v>
      </c>
      <c r="Y19" s="17">
        <f t="shared" si="11"/>
        <v>0.66666666666666663</v>
      </c>
      <c r="Z19" s="17">
        <f t="shared" si="11"/>
        <v>6.6666666666666661</v>
      </c>
      <c r="AA19" s="17">
        <f t="shared" si="11"/>
        <v>2.333333333333333</v>
      </c>
      <c r="AB19" s="17">
        <f t="shared" si="11"/>
        <v>1.3333333333333333</v>
      </c>
      <c r="AC19" s="17">
        <f t="shared" si="11"/>
        <v>0.66666666666666663</v>
      </c>
      <c r="AD19" s="17">
        <f t="shared" si="11"/>
        <v>0</v>
      </c>
      <c r="AE19" s="28">
        <f t="shared" si="11"/>
        <v>33</v>
      </c>
      <c r="AF19" s="28">
        <f t="shared" si="11"/>
        <v>33.666666666666671</v>
      </c>
    </row>
    <row r="20" spans="2:32" ht="23.1" customHeight="1" x14ac:dyDescent="0.25">
      <c r="B20" s="20" t="s">
        <v>47</v>
      </c>
      <c r="C20" s="46">
        <f>'Avg Week Mutukula-Kampala'!C20+'Avg Week Kampala-Mutukula'!C20</f>
        <v>10.333333333333334</v>
      </c>
      <c r="D20" s="46">
        <f>'Avg Week Mutukula-Kampala'!D20+'Avg Week Kampala-Mutukula'!D20</f>
        <v>0</v>
      </c>
      <c r="E20" s="46">
        <f>'Avg Week Mutukula-Kampala'!E20+'Avg Week Kampala-Mutukula'!E20</f>
        <v>0</v>
      </c>
      <c r="F20" s="46">
        <f>'Avg Week Mutukula-Kampala'!F20+'Avg Week Kampala-Mutukula'!F20</f>
        <v>5.666666666666667</v>
      </c>
      <c r="G20" s="46">
        <f>'Avg Week Mutukula-Kampala'!G20+'Avg Week Kampala-Mutukula'!G20</f>
        <v>0.66666666666666663</v>
      </c>
      <c r="H20" s="46">
        <f>'Avg Week Mutukula-Kampala'!H20+'Avg Week Kampala-Mutukula'!H20</f>
        <v>1.3333333333333333</v>
      </c>
      <c r="I20" s="46">
        <f>'Avg Week Mutukula-Kampala'!I20+'Avg Week Kampala-Mutukula'!I20</f>
        <v>0.33333333333333331</v>
      </c>
      <c r="J20" s="46">
        <f>'Avg Week Mutukula-Kampala'!J20+'Avg Week Kampala-Mutukula'!J20</f>
        <v>4.333333333333333</v>
      </c>
      <c r="K20" s="46">
        <f>'Avg Week Mutukula-Kampala'!K20+'Avg Week Kampala-Mutukula'!K20</f>
        <v>1.3333333333333333</v>
      </c>
      <c r="L20" s="46">
        <f>'Avg Week Mutukula-Kampala'!L20+'Avg Week Kampala-Mutukula'!L20</f>
        <v>6.6666666666666661</v>
      </c>
      <c r="M20" s="46">
        <f>'Avg Week Mutukula-Kampala'!M20+'Avg Week Kampala-Mutukula'!M20</f>
        <v>3.6666666666666665</v>
      </c>
      <c r="N20" s="46">
        <f>'Avg Week Mutukula-Kampala'!N20+'Avg Week Kampala-Mutukula'!N20</f>
        <v>0</v>
      </c>
      <c r="O20" s="15">
        <f t="shared" si="0"/>
        <v>30.666666666666664</v>
      </c>
      <c r="P20" s="15">
        <f t="shared" si="1"/>
        <v>34.333333333333329</v>
      </c>
      <c r="R20" s="1" t="s">
        <v>16</v>
      </c>
      <c r="S20" s="17">
        <f t="shared" ref="S20:AF20" si="12">SUM(C50:C53)</f>
        <v>21.333333333333336</v>
      </c>
      <c r="T20" s="17">
        <f t="shared" si="12"/>
        <v>0</v>
      </c>
      <c r="U20" s="17">
        <f t="shared" si="12"/>
        <v>0</v>
      </c>
      <c r="V20" s="17">
        <f t="shared" si="12"/>
        <v>9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7.3333333333333339</v>
      </c>
      <c r="AA20" s="17">
        <f t="shared" si="12"/>
        <v>1.9999999999999998</v>
      </c>
      <c r="AB20" s="17">
        <f t="shared" si="12"/>
        <v>5.666666666666667</v>
      </c>
      <c r="AC20" s="17">
        <f t="shared" si="12"/>
        <v>2</v>
      </c>
      <c r="AD20" s="17">
        <f t="shared" si="12"/>
        <v>0</v>
      </c>
      <c r="AE20" s="28">
        <f t="shared" si="12"/>
        <v>48.333333333333329</v>
      </c>
      <c r="AF20" s="28">
        <f t="shared" si="12"/>
        <v>50.333333333333329</v>
      </c>
    </row>
    <row r="21" spans="2:32" ht="23.1" customHeight="1" x14ac:dyDescent="0.25">
      <c r="B21" s="20" t="s">
        <v>48</v>
      </c>
      <c r="C21" s="46">
        <f>'Avg Week Mutukula-Kampala'!C21+'Avg Week Kampala-Mutukula'!C21</f>
        <v>0</v>
      </c>
      <c r="D21" s="46">
        <f>'Avg Week Mutukula-Kampala'!D21+'Avg Week Kampala-Mutukula'!D21</f>
        <v>0</v>
      </c>
      <c r="E21" s="46">
        <f>'Avg Week Mutukula-Kampala'!E21+'Avg Week Kampala-Mutukula'!E21</f>
        <v>0</v>
      </c>
      <c r="F21" s="46">
        <f>'Avg Week Mutukula-Kampala'!F21+'Avg Week Kampala-Mutukula'!F21</f>
        <v>0</v>
      </c>
      <c r="G21" s="46">
        <f>'Avg Week Mutukula-Kampala'!G21+'Avg Week Kampala-Mutukula'!G21</f>
        <v>0</v>
      </c>
      <c r="H21" s="46">
        <f>'Avg Week Mutukula-Kampala'!H21+'Avg Week Kampala-Mutukula'!H21</f>
        <v>0</v>
      </c>
      <c r="I21" s="46">
        <f>'Avg Week Mutukula-Kampala'!I21+'Avg Week Kampala-Mutukula'!I21</f>
        <v>0</v>
      </c>
      <c r="J21" s="46">
        <f>'Avg Week Mutukula-Kampala'!J21+'Avg Week Kampala-Mutukula'!J21</f>
        <v>0</v>
      </c>
      <c r="K21" s="46">
        <f>'Avg Week Mutukula-Kampala'!K21+'Avg Week Kampala-Mutukula'!K21</f>
        <v>0</v>
      </c>
      <c r="L21" s="46">
        <f>'Avg Week Mutukula-Kampala'!L21+'Avg Week Kampala-Mutukula'!L21</f>
        <v>0</v>
      </c>
      <c r="M21" s="46">
        <f>'Avg Week Mutukula-Kampala'!M21+'Avg Week Kampala-Mutukula'!M21</f>
        <v>0</v>
      </c>
      <c r="N21" s="46">
        <f>'Avg Week Mutukula-Kampala'!N21+'Avg Week Kampala-Mutukula'!N21</f>
        <v>0</v>
      </c>
      <c r="O21" s="15">
        <f t="shared" si="0"/>
        <v>0</v>
      </c>
      <c r="P21" s="15">
        <f t="shared" si="1"/>
        <v>0</v>
      </c>
      <c r="R21" s="33" t="s">
        <v>20</v>
      </c>
      <c r="S21" s="31">
        <f t="shared" ref="S21:AF21" si="13">SUM(C54:C57)</f>
        <v>19.333333333333332</v>
      </c>
      <c r="T21" s="17">
        <f t="shared" si="13"/>
        <v>0</v>
      </c>
      <c r="U21" s="17">
        <f t="shared" si="13"/>
        <v>0</v>
      </c>
      <c r="V21" s="17">
        <f t="shared" si="13"/>
        <v>8.6666666666666679</v>
      </c>
      <c r="W21" s="17">
        <f t="shared" si="13"/>
        <v>1.3333333333333333</v>
      </c>
      <c r="X21" s="17">
        <f t="shared" si="13"/>
        <v>1.3333333333333333</v>
      </c>
      <c r="Y21" s="17">
        <f t="shared" si="13"/>
        <v>3.333333333333333</v>
      </c>
      <c r="Z21" s="17">
        <f t="shared" si="13"/>
        <v>8.3333333333333339</v>
      </c>
      <c r="AA21" s="17">
        <f t="shared" si="13"/>
        <v>2.333333333333333</v>
      </c>
      <c r="AB21" s="17">
        <f t="shared" si="13"/>
        <v>7.333333333333333</v>
      </c>
      <c r="AC21" s="17">
        <f t="shared" si="13"/>
        <v>4</v>
      </c>
      <c r="AD21" s="17">
        <f t="shared" si="13"/>
        <v>0</v>
      </c>
      <c r="AE21" s="28">
        <f t="shared" si="13"/>
        <v>52</v>
      </c>
      <c r="AF21" s="28">
        <f t="shared" si="13"/>
        <v>56</v>
      </c>
    </row>
    <row r="22" spans="2:32" ht="23.1" customHeight="1" x14ac:dyDescent="0.25">
      <c r="B22" s="20" t="s">
        <v>49</v>
      </c>
      <c r="C22" s="46">
        <f>'Avg Week Mutukula-Kampala'!C22+'Avg Week Kampala-Mutukula'!C22</f>
        <v>9</v>
      </c>
      <c r="D22" s="46">
        <f>'Avg Week Mutukula-Kampala'!D22+'Avg Week Kampala-Mutukula'!D22</f>
        <v>0</v>
      </c>
      <c r="E22" s="46">
        <f>'Avg Week Mutukula-Kampala'!E22+'Avg Week Kampala-Mutukula'!E22</f>
        <v>0</v>
      </c>
      <c r="F22" s="46">
        <f>'Avg Week Mutukula-Kampala'!F22+'Avg Week Kampala-Mutukula'!F22</f>
        <v>3.666666666666667</v>
      </c>
      <c r="G22" s="46">
        <f>'Avg Week Mutukula-Kampala'!G22+'Avg Week Kampala-Mutukula'!G22</f>
        <v>0</v>
      </c>
      <c r="H22" s="46">
        <f>'Avg Week Mutukula-Kampala'!H22+'Avg Week Kampala-Mutukula'!H22</f>
        <v>1</v>
      </c>
      <c r="I22" s="46">
        <f>'Avg Week Mutukula-Kampala'!I22+'Avg Week Kampala-Mutukula'!I22</f>
        <v>0.66666666666666663</v>
      </c>
      <c r="J22" s="46">
        <f>'Avg Week Mutukula-Kampala'!J22+'Avg Week Kampala-Mutukula'!J22</f>
        <v>2.666666666666667</v>
      </c>
      <c r="K22" s="46">
        <f>'Avg Week Mutukula-Kampala'!K22+'Avg Week Kampala-Mutukula'!K22</f>
        <v>0</v>
      </c>
      <c r="L22" s="46">
        <f>'Avg Week Mutukula-Kampala'!L22+'Avg Week Kampala-Mutukula'!L22</f>
        <v>2.6666666666666665</v>
      </c>
      <c r="M22" s="46">
        <f>'Avg Week Mutukula-Kampala'!M22+'Avg Week Kampala-Mutukula'!M22</f>
        <v>2.6666666666666665</v>
      </c>
      <c r="N22" s="46">
        <f>'Avg Week Mutukula-Kampala'!N22+'Avg Week Kampala-Mutukula'!N22</f>
        <v>0</v>
      </c>
      <c r="O22" s="15">
        <f t="shared" si="0"/>
        <v>19.666666666666668</v>
      </c>
      <c r="P22" s="15">
        <f t="shared" si="1"/>
        <v>22.333333333333336</v>
      </c>
      <c r="R22" s="1" t="s">
        <v>146</v>
      </c>
      <c r="S22" s="31">
        <f>SUM(C58:C61)</f>
        <v>23.333333333333336</v>
      </c>
      <c r="T22" s="31">
        <f t="shared" ref="T22:AF22" si="14">SUM(D58:D61)</f>
        <v>0</v>
      </c>
      <c r="U22" s="31">
        <f t="shared" si="14"/>
        <v>0</v>
      </c>
      <c r="V22" s="31">
        <f t="shared" si="14"/>
        <v>5</v>
      </c>
      <c r="W22" s="31">
        <f t="shared" si="14"/>
        <v>0</v>
      </c>
      <c r="X22" s="31">
        <f t="shared" si="14"/>
        <v>1.6666666666666665</v>
      </c>
      <c r="Y22" s="31">
        <f t="shared" si="14"/>
        <v>1.6666666666666665</v>
      </c>
      <c r="Z22" s="31">
        <f t="shared" si="14"/>
        <v>5</v>
      </c>
      <c r="AA22" s="31">
        <f t="shared" si="14"/>
        <v>2</v>
      </c>
      <c r="AB22" s="31">
        <f t="shared" si="14"/>
        <v>9.6666666666666661</v>
      </c>
      <c r="AC22" s="31">
        <f t="shared" si="14"/>
        <v>0</v>
      </c>
      <c r="AD22" s="31">
        <f t="shared" si="14"/>
        <v>0</v>
      </c>
      <c r="AE22" s="28">
        <f t="shared" si="14"/>
        <v>48.333333333333329</v>
      </c>
      <c r="AF22" s="28">
        <f t="shared" si="14"/>
        <v>48.333333333333329</v>
      </c>
    </row>
    <row r="23" spans="2:32" ht="23.1" customHeight="1" x14ac:dyDescent="0.25">
      <c r="B23" s="20" t="s">
        <v>50</v>
      </c>
      <c r="C23" s="46">
        <f>'Avg Week Mutukula-Kampala'!C23+'Avg Week Kampala-Mutukula'!C23</f>
        <v>0</v>
      </c>
      <c r="D23" s="46">
        <f>'Avg Week Mutukula-Kampala'!D23+'Avg Week Kampala-Mutukula'!D23</f>
        <v>0</v>
      </c>
      <c r="E23" s="46">
        <f>'Avg Week Mutukula-Kampala'!E23+'Avg Week Kampala-Mutukula'!E23</f>
        <v>0</v>
      </c>
      <c r="F23" s="46">
        <f>'Avg Week Mutukula-Kampala'!F23+'Avg Week Kampala-Mutukula'!F23</f>
        <v>0</v>
      </c>
      <c r="G23" s="46">
        <f>'Avg Week Mutukula-Kampala'!G23+'Avg Week Kampala-Mutukula'!G23</f>
        <v>0</v>
      </c>
      <c r="H23" s="46">
        <f>'Avg Week Mutukula-Kampala'!H23+'Avg Week Kampala-Mutukula'!H23</f>
        <v>0</v>
      </c>
      <c r="I23" s="46">
        <f>'Avg Week Mutukula-Kampala'!I23+'Avg Week Kampala-Mutukula'!I23</f>
        <v>0</v>
      </c>
      <c r="J23" s="46">
        <f>'Avg Week Mutukula-Kampala'!J23+'Avg Week Kampala-Mutukula'!J23</f>
        <v>0</v>
      </c>
      <c r="K23" s="46">
        <f>'Avg Week Mutukula-Kampala'!K23+'Avg Week Kampala-Mutukula'!K23</f>
        <v>0</v>
      </c>
      <c r="L23" s="46">
        <f>'Avg Week Mutukula-Kampala'!L23+'Avg Week Kampala-Mutukula'!L23</f>
        <v>0</v>
      </c>
      <c r="M23" s="46">
        <f>'Avg Week Mutukula-Kampala'!M23+'Avg Week Kampala-Mutukula'!M23</f>
        <v>0</v>
      </c>
      <c r="N23" s="46">
        <f>'Avg Week Mutukula-Kampala'!N23+'Avg Week Kampala-Mutukula'!N23</f>
        <v>0</v>
      </c>
      <c r="O23" s="15">
        <f t="shared" si="0"/>
        <v>0</v>
      </c>
      <c r="P23" s="15">
        <f t="shared" si="1"/>
        <v>0</v>
      </c>
      <c r="R23" s="1" t="s">
        <v>147</v>
      </c>
      <c r="S23" s="31">
        <f>SUM(C62:C65)</f>
        <v>23.333333333333332</v>
      </c>
      <c r="T23" s="31">
        <f t="shared" ref="T23:AF23" si="15">SUM(D62:D65)</f>
        <v>0</v>
      </c>
      <c r="U23" s="31">
        <f t="shared" si="15"/>
        <v>0</v>
      </c>
      <c r="V23" s="31">
        <f t="shared" si="15"/>
        <v>3.6666666666666665</v>
      </c>
      <c r="W23" s="31">
        <f t="shared" si="15"/>
        <v>0.33333333333333331</v>
      </c>
      <c r="X23" s="31">
        <f t="shared" si="15"/>
        <v>1</v>
      </c>
      <c r="Y23" s="31">
        <f t="shared" si="15"/>
        <v>1.3333333333333333</v>
      </c>
      <c r="Z23" s="31">
        <f t="shared" si="15"/>
        <v>4.333333333333333</v>
      </c>
      <c r="AA23" s="31">
        <f t="shared" si="15"/>
        <v>6</v>
      </c>
      <c r="AB23" s="31">
        <f t="shared" si="15"/>
        <v>4</v>
      </c>
      <c r="AC23" s="31">
        <f t="shared" si="15"/>
        <v>0</v>
      </c>
      <c r="AD23" s="31">
        <f t="shared" si="15"/>
        <v>0</v>
      </c>
      <c r="AE23" s="28">
        <f t="shared" si="15"/>
        <v>44</v>
      </c>
      <c r="AF23" s="28">
        <f t="shared" si="15"/>
        <v>44</v>
      </c>
    </row>
    <row r="24" spans="2:32" ht="23.1" customHeight="1" x14ac:dyDescent="0.25">
      <c r="B24" s="20" t="s">
        <v>51</v>
      </c>
      <c r="C24" s="46">
        <f>'Avg Week Mutukula-Kampala'!C24+'Avg Week Kampala-Mutukula'!C24</f>
        <v>9</v>
      </c>
      <c r="D24" s="46">
        <f>'Avg Week Mutukula-Kampala'!D24+'Avg Week Kampala-Mutukula'!D24</f>
        <v>0</v>
      </c>
      <c r="E24" s="46">
        <f>'Avg Week Mutukula-Kampala'!E24+'Avg Week Kampala-Mutukula'!E24</f>
        <v>0</v>
      </c>
      <c r="F24" s="46">
        <f>'Avg Week Mutukula-Kampala'!F24+'Avg Week Kampala-Mutukula'!F24</f>
        <v>3.666666666666667</v>
      </c>
      <c r="G24" s="46">
        <f>'Avg Week Mutukula-Kampala'!G24+'Avg Week Kampala-Mutukula'!G24</f>
        <v>0.33333333333333331</v>
      </c>
      <c r="H24" s="46">
        <f>'Avg Week Mutukula-Kampala'!H24+'Avg Week Kampala-Mutukula'!H24</f>
        <v>0.66666666666666663</v>
      </c>
      <c r="I24" s="46">
        <f>'Avg Week Mutukula-Kampala'!I24+'Avg Week Kampala-Mutukula'!I24</f>
        <v>0.33333333333333331</v>
      </c>
      <c r="J24" s="46">
        <f>'Avg Week Mutukula-Kampala'!J24+'Avg Week Kampala-Mutukula'!J24</f>
        <v>4</v>
      </c>
      <c r="K24" s="46">
        <f>'Avg Week Mutukula-Kampala'!K24+'Avg Week Kampala-Mutukula'!K24</f>
        <v>1.6666666666666665</v>
      </c>
      <c r="L24" s="46">
        <f>'Avg Week Mutukula-Kampala'!L24+'Avg Week Kampala-Mutukula'!L24</f>
        <v>4</v>
      </c>
      <c r="M24" s="46">
        <f>'Avg Week Mutukula-Kampala'!M24+'Avg Week Kampala-Mutukula'!M24</f>
        <v>3.3333333333333335</v>
      </c>
      <c r="N24" s="46">
        <f>'Avg Week Mutukula-Kampala'!N24+'Avg Week Kampala-Mutukula'!N24</f>
        <v>0</v>
      </c>
      <c r="O24" s="15">
        <f t="shared" si="0"/>
        <v>23.666666666666668</v>
      </c>
      <c r="P24" s="15">
        <f t="shared" si="1"/>
        <v>27</v>
      </c>
      <c r="R24" s="1" t="s">
        <v>148</v>
      </c>
      <c r="S24" s="31">
        <f>SUM(C66:C69)</f>
        <v>8.6666666666666679</v>
      </c>
      <c r="T24" s="31">
        <f t="shared" ref="T24:AF24" si="16">SUM(D66:D69)</f>
        <v>0</v>
      </c>
      <c r="U24" s="31">
        <f t="shared" si="16"/>
        <v>0</v>
      </c>
      <c r="V24" s="31">
        <f t="shared" si="16"/>
        <v>4</v>
      </c>
      <c r="W24" s="31">
        <f t="shared" si="16"/>
        <v>0.66666666666666663</v>
      </c>
      <c r="X24" s="31">
        <f t="shared" si="16"/>
        <v>0</v>
      </c>
      <c r="Y24" s="31">
        <f t="shared" si="16"/>
        <v>1</v>
      </c>
      <c r="Z24" s="31">
        <f t="shared" si="16"/>
        <v>6.333333333333333</v>
      </c>
      <c r="AA24" s="31">
        <f t="shared" si="16"/>
        <v>5.333333333333333</v>
      </c>
      <c r="AB24" s="31">
        <f t="shared" si="16"/>
        <v>9.3333333333333321</v>
      </c>
      <c r="AC24" s="31">
        <f t="shared" si="16"/>
        <v>0</v>
      </c>
      <c r="AD24" s="31">
        <f t="shared" si="16"/>
        <v>0</v>
      </c>
      <c r="AE24" s="28">
        <f t="shared" si="16"/>
        <v>35.333333333333329</v>
      </c>
      <c r="AF24" s="28">
        <f t="shared" si="16"/>
        <v>35.333333333333329</v>
      </c>
    </row>
    <row r="25" spans="2:32" ht="23.1" customHeight="1" x14ac:dyDescent="0.25">
      <c r="B25" s="20" t="s">
        <v>52</v>
      </c>
      <c r="C25" s="46">
        <f>'Avg Week Mutukula-Kampala'!C25+'Avg Week Kampala-Mutukula'!C25</f>
        <v>0</v>
      </c>
      <c r="D25" s="46">
        <f>'Avg Week Mutukula-Kampala'!D25+'Avg Week Kampala-Mutukula'!D25</f>
        <v>0</v>
      </c>
      <c r="E25" s="46">
        <f>'Avg Week Mutukula-Kampala'!E25+'Avg Week Kampala-Mutukula'!E25</f>
        <v>0</v>
      </c>
      <c r="F25" s="46">
        <f>'Avg Week Mutukula-Kampala'!F25+'Avg Week Kampala-Mutukula'!F25</f>
        <v>0</v>
      </c>
      <c r="G25" s="46">
        <f>'Avg Week Mutukula-Kampala'!G25+'Avg Week Kampala-Mutukula'!G25</f>
        <v>0</v>
      </c>
      <c r="H25" s="46">
        <f>'Avg Week Mutukula-Kampala'!H25+'Avg Week Kampala-Mutukula'!H25</f>
        <v>0</v>
      </c>
      <c r="I25" s="46">
        <f>'Avg Week Mutukula-Kampala'!I25+'Avg Week Kampala-Mutukula'!I25</f>
        <v>0</v>
      </c>
      <c r="J25" s="46">
        <f>'Avg Week Mutukula-Kampala'!J25+'Avg Week Kampala-Mutukula'!J25</f>
        <v>0</v>
      </c>
      <c r="K25" s="46">
        <f>'Avg Week Mutukula-Kampala'!K25+'Avg Week Kampala-Mutukula'!K25</f>
        <v>0</v>
      </c>
      <c r="L25" s="46">
        <f>'Avg Week Mutukula-Kampala'!L25+'Avg Week Kampala-Mutukula'!L25</f>
        <v>0</v>
      </c>
      <c r="M25" s="46">
        <f>'Avg Week Mutukula-Kampala'!M25+'Avg Week Kampala-Mutukula'!M25</f>
        <v>0</v>
      </c>
      <c r="N25" s="46">
        <f>'Avg Week Mutukula-Kampala'!N25+'Avg Week Kampala-Mutukula'!N25</f>
        <v>0</v>
      </c>
      <c r="O25" s="15">
        <f t="shared" si="0"/>
        <v>0</v>
      </c>
      <c r="P25" s="15">
        <f t="shared" si="1"/>
        <v>0</v>
      </c>
      <c r="R25" s="1" t="s">
        <v>149</v>
      </c>
      <c r="S25" s="31">
        <f>SUM(C70:C73)</f>
        <v>10.666666666666668</v>
      </c>
      <c r="T25" s="31">
        <f t="shared" ref="T25:AF25" si="17">SUM(D70:D73)</f>
        <v>0</v>
      </c>
      <c r="U25" s="31">
        <f t="shared" si="17"/>
        <v>0</v>
      </c>
      <c r="V25" s="31">
        <f t="shared" si="17"/>
        <v>4.333333333333333</v>
      </c>
      <c r="W25" s="31">
        <f t="shared" si="17"/>
        <v>0</v>
      </c>
      <c r="X25" s="31">
        <f t="shared" si="17"/>
        <v>1.3333333333333333</v>
      </c>
      <c r="Y25" s="31">
        <f t="shared" si="17"/>
        <v>2.3333333333333335</v>
      </c>
      <c r="Z25" s="31">
        <f t="shared" si="17"/>
        <v>6.3333333333333339</v>
      </c>
      <c r="AA25" s="31">
        <f t="shared" si="17"/>
        <v>2.333333333333333</v>
      </c>
      <c r="AB25" s="31">
        <f t="shared" si="17"/>
        <v>7.3333333333333339</v>
      </c>
      <c r="AC25" s="31">
        <f t="shared" si="17"/>
        <v>0</v>
      </c>
      <c r="AD25" s="31">
        <f t="shared" si="17"/>
        <v>0</v>
      </c>
      <c r="AE25" s="28">
        <f t="shared" si="17"/>
        <v>34.666666666666664</v>
      </c>
      <c r="AF25" s="28">
        <f t="shared" si="17"/>
        <v>34.666666666666664</v>
      </c>
    </row>
    <row r="26" spans="2:32" ht="23.1" customHeight="1" x14ac:dyDescent="0.25">
      <c r="B26" s="20" t="s">
        <v>53</v>
      </c>
      <c r="C26" s="46">
        <f>'Avg Week Mutukula-Kampala'!C26+'Avg Week Kampala-Mutukula'!C26</f>
        <v>9.3333333333333339</v>
      </c>
      <c r="D26" s="46">
        <f>'Avg Week Mutukula-Kampala'!D26+'Avg Week Kampala-Mutukula'!D26</f>
        <v>0</v>
      </c>
      <c r="E26" s="46">
        <f>'Avg Week Mutukula-Kampala'!E26+'Avg Week Kampala-Mutukula'!E26</f>
        <v>0</v>
      </c>
      <c r="F26" s="46">
        <f>'Avg Week Mutukula-Kampala'!F26+'Avg Week Kampala-Mutukula'!F26</f>
        <v>4.666666666666667</v>
      </c>
      <c r="G26" s="46">
        <f>'Avg Week Mutukula-Kampala'!G26+'Avg Week Kampala-Mutukula'!G26</f>
        <v>0</v>
      </c>
      <c r="H26" s="46">
        <f>'Avg Week Mutukula-Kampala'!H26+'Avg Week Kampala-Mutukula'!H26</f>
        <v>0</v>
      </c>
      <c r="I26" s="46">
        <f>'Avg Week Mutukula-Kampala'!I26+'Avg Week Kampala-Mutukula'!I26</f>
        <v>1.3333333333333333</v>
      </c>
      <c r="J26" s="46">
        <f>'Avg Week Mutukula-Kampala'!J26+'Avg Week Kampala-Mutukula'!J26</f>
        <v>3.3333333333333335</v>
      </c>
      <c r="K26" s="46">
        <f>'Avg Week Mutukula-Kampala'!K26+'Avg Week Kampala-Mutukula'!K26</f>
        <v>0.33333333333333331</v>
      </c>
      <c r="L26" s="46">
        <f>'Avg Week Mutukula-Kampala'!L26+'Avg Week Kampala-Mutukula'!L26</f>
        <v>1</v>
      </c>
      <c r="M26" s="46">
        <f>'Avg Week Mutukula-Kampala'!M26+'Avg Week Kampala-Mutukula'!M26</f>
        <v>0.33333333333333331</v>
      </c>
      <c r="N26" s="46">
        <f>'Avg Week Mutukula-Kampala'!N26+'Avg Week Kampala-Mutukula'!N26</f>
        <v>0</v>
      </c>
      <c r="O26" s="15">
        <f t="shared" si="0"/>
        <v>20</v>
      </c>
      <c r="P26" s="15">
        <f t="shared" si="1"/>
        <v>20.333333333333332</v>
      </c>
      <c r="R26" s="1" t="s">
        <v>150</v>
      </c>
      <c r="S26" s="31">
        <f>SUM(C74:C77)</f>
        <v>10</v>
      </c>
      <c r="T26" s="31">
        <f t="shared" ref="T26:AF26" si="18">SUM(D74:D77)</f>
        <v>0</v>
      </c>
      <c r="U26" s="31">
        <f t="shared" si="18"/>
        <v>0</v>
      </c>
      <c r="V26" s="31">
        <f t="shared" si="18"/>
        <v>4.333333333333333</v>
      </c>
      <c r="W26" s="31">
        <f t="shared" si="18"/>
        <v>0.33333333333333331</v>
      </c>
      <c r="X26" s="31">
        <f t="shared" si="18"/>
        <v>0.66666666666666663</v>
      </c>
      <c r="Y26" s="31">
        <f t="shared" si="18"/>
        <v>2.6666666666666665</v>
      </c>
      <c r="Z26" s="31">
        <f t="shared" si="18"/>
        <v>6.333333333333333</v>
      </c>
      <c r="AA26" s="31">
        <f t="shared" si="18"/>
        <v>2</v>
      </c>
      <c r="AB26" s="31">
        <f t="shared" si="18"/>
        <v>9.6666666666666679</v>
      </c>
      <c r="AC26" s="31">
        <f t="shared" si="18"/>
        <v>0</v>
      </c>
      <c r="AD26" s="31">
        <f t="shared" si="18"/>
        <v>0</v>
      </c>
      <c r="AE26" s="28">
        <f t="shared" si="18"/>
        <v>36</v>
      </c>
      <c r="AF26" s="28">
        <f t="shared" si="18"/>
        <v>36</v>
      </c>
    </row>
    <row r="27" spans="2:32" ht="23.1" customHeight="1" x14ac:dyDescent="0.25">
      <c r="B27" s="20" t="s">
        <v>54</v>
      </c>
      <c r="C27" s="46">
        <f>'Avg Week Mutukula-Kampala'!C27+'Avg Week Kampala-Mutukula'!C27</f>
        <v>0</v>
      </c>
      <c r="D27" s="46">
        <f>'Avg Week Mutukula-Kampala'!D27+'Avg Week Kampala-Mutukula'!D27</f>
        <v>0</v>
      </c>
      <c r="E27" s="46">
        <f>'Avg Week Mutukula-Kampala'!E27+'Avg Week Kampala-Mutukula'!E27</f>
        <v>0</v>
      </c>
      <c r="F27" s="46">
        <f>'Avg Week Mutukula-Kampala'!F27+'Avg Week Kampala-Mutukula'!F27</f>
        <v>0</v>
      </c>
      <c r="G27" s="46">
        <f>'Avg Week Mutukula-Kampala'!G27+'Avg Week Kampala-Mutukula'!G27</f>
        <v>0</v>
      </c>
      <c r="H27" s="46">
        <f>'Avg Week Mutukula-Kampala'!H27+'Avg Week Kampala-Mutukula'!H27</f>
        <v>0</v>
      </c>
      <c r="I27" s="46">
        <f>'Avg Week Mutukula-Kampala'!I27+'Avg Week Kampala-Mutukula'!I27</f>
        <v>0</v>
      </c>
      <c r="J27" s="46">
        <f>'Avg Week Mutukula-Kampala'!J27+'Avg Week Kampala-Mutukula'!J27</f>
        <v>0</v>
      </c>
      <c r="K27" s="46">
        <f>'Avg Week Mutukula-Kampala'!K27+'Avg Week Kampala-Mutukula'!K27</f>
        <v>0</v>
      </c>
      <c r="L27" s="46">
        <f>'Avg Week Mutukula-Kampala'!L27+'Avg Week Kampala-Mutukula'!L27</f>
        <v>0</v>
      </c>
      <c r="M27" s="46">
        <f>'Avg Week Mutukula-Kampala'!M27+'Avg Week Kampala-Mutukula'!M27</f>
        <v>0</v>
      </c>
      <c r="N27" s="46">
        <f>'Avg Week Mutukula-Kampala'!N27+'Avg Week Kampala-Mutukula'!N27</f>
        <v>0</v>
      </c>
      <c r="O27" s="15">
        <f t="shared" si="0"/>
        <v>0</v>
      </c>
      <c r="P27" s="15">
        <f t="shared" si="1"/>
        <v>0</v>
      </c>
      <c r="R27" s="1" t="s">
        <v>151</v>
      </c>
      <c r="S27" s="31">
        <f>SUM(C78:C81)</f>
        <v>11</v>
      </c>
      <c r="T27" s="31">
        <f t="shared" ref="T27:AF27" si="19">SUM(D78:D81)</f>
        <v>0</v>
      </c>
      <c r="U27" s="31">
        <f t="shared" si="19"/>
        <v>0</v>
      </c>
      <c r="V27" s="31">
        <f t="shared" si="19"/>
        <v>3</v>
      </c>
      <c r="W27" s="31">
        <f t="shared" si="19"/>
        <v>2</v>
      </c>
      <c r="X27" s="31">
        <f t="shared" si="19"/>
        <v>0.66666666666666663</v>
      </c>
      <c r="Y27" s="31">
        <f t="shared" si="19"/>
        <v>2</v>
      </c>
      <c r="Z27" s="31">
        <f t="shared" si="19"/>
        <v>2.6666666666666665</v>
      </c>
      <c r="AA27" s="31">
        <f t="shared" si="19"/>
        <v>1.6666666666666665</v>
      </c>
      <c r="AB27" s="31">
        <f t="shared" si="19"/>
        <v>8.3333333333333339</v>
      </c>
      <c r="AC27" s="31">
        <f t="shared" si="19"/>
        <v>0</v>
      </c>
      <c r="AD27" s="31">
        <f t="shared" si="19"/>
        <v>0</v>
      </c>
      <c r="AE27" s="28">
        <f t="shared" si="19"/>
        <v>31.333333333333329</v>
      </c>
      <c r="AF27" s="28">
        <f t="shared" si="19"/>
        <v>31.333333333333329</v>
      </c>
    </row>
    <row r="28" spans="2:32" ht="23.1" customHeight="1" x14ac:dyDescent="0.25">
      <c r="B28" s="20" t="s">
        <v>55</v>
      </c>
      <c r="C28" s="46">
        <f>'Avg Week Mutukula-Kampala'!C28+'Avg Week Kampala-Mutukula'!C28</f>
        <v>8.3333333333333339</v>
      </c>
      <c r="D28" s="46">
        <f>'Avg Week Mutukula-Kampala'!D28+'Avg Week Kampala-Mutukula'!D28</f>
        <v>0</v>
      </c>
      <c r="E28" s="46">
        <f>'Avg Week Mutukula-Kampala'!E28+'Avg Week Kampala-Mutukula'!E28</f>
        <v>0</v>
      </c>
      <c r="F28" s="46">
        <f>'Avg Week Mutukula-Kampala'!F28+'Avg Week Kampala-Mutukula'!F28</f>
        <v>2</v>
      </c>
      <c r="G28" s="46">
        <f>'Avg Week Mutukula-Kampala'!G28+'Avg Week Kampala-Mutukula'!G28</f>
        <v>0</v>
      </c>
      <c r="H28" s="46">
        <f>'Avg Week Mutukula-Kampala'!H28+'Avg Week Kampala-Mutukula'!H28</f>
        <v>0</v>
      </c>
      <c r="I28" s="46">
        <f>'Avg Week Mutukula-Kampala'!I28+'Avg Week Kampala-Mutukula'!I28</f>
        <v>0</v>
      </c>
      <c r="J28" s="46">
        <f>'Avg Week Mutukula-Kampala'!J28+'Avg Week Kampala-Mutukula'!J28</f>
        <v>4.333333333333333</v>
      </c>
      <c r="K28" s="46">
        <f>'Avg Week Mutukula-Kampala'!K28+'Avg Week Kampala-Mutukula'!K28</f>
        <v>0.33333333333333331</v>
      </c>
      <c r="L28" s="46">
        <f>'Avg Week Mutukula-Kampala'!L28+'Avg Week Kampala-Mutukula'!L28</f>
        <v>1.3333333333333333</v>
      </c>
      <c r="M28" s="46">
        <f>'Avg Week Mutukula-Kampala'!M28+'Avg Week Kampala-Mutukula'!M28</f>
        <v>1.3333333333333333</v>
      </c>
      <c r="N28" s="46">
        <f>'Avg Week Mutukula-Kampala'!N28+'Avg Week Kampala-Mutukula'!N28</f>
        <v>0</v>
      </c>
      <c r="O28" s="15">
        <f t="shared" si="0"/>
        <v>16.333333333333336</v>
      </c>
      <c r="P28" s="15">
        <f t="shared" si="1"/>
        <v>17.666666666666668</v>
      </c>
      <c r="R28" s="1" t="s">
        <v>152</v>
      </c>
      <c r="S28" s="31">
        <f>SUM(C82:C85)</f>
        <v>1.6666666666666665</v>
      </c>
      <c r="T28" s="31">
        <f t="shared" ref="T28:AF28" si="20">SUM(D82:D85)</f>
        <v>0</v>
      </c>
      <c r="U28" s="31">
        <f t="shared" si="20"/>
        <v>0</v>
      </c>
      <c r="V28" s="31">
        <f t="shared" si="20"/>
        <v>1</v>
      </c>
      <c r="W28" s="31">
        <f t="shared" si="20"/>
        <v>0.33333333333333331</v>
      </c>
      <c r="X28" s="31">
        <f t="shared" si="20"/>
        <v>0.33333333333333331</v>
      </c>
      <c r="Y28" s="31">
        <f t="shared" si="20"/>
        <v>1</v>
      </c>
      <c r="Z28" s="31">
        <f t="shared" si="20"/>
        <v>1</v>
      </c>
      <c r="AA28" s="31">
        <f t="shared" si="20"/>
        <v>0.33333333333333331</v>
      </c>
      <c r="AB28" s="31">
        <f t="shared" si="20"/>
        <v>3.333333333333333</v>
      </c>
      <c r="AC28" s="31">
        <f t="shared" si="20"/>
        <v>0</v>
      </c>
      <c r="AD28" s="31">
        <f t="shared" si="20"/>
        <v>0</v>
      </c>
      <c r="AE28" s="28">
        <f t="shared" si="20"/>
        <v>9</v>
      </c>
      <c r="AF28" s="28">
        <f t="shared" si="20"/>
        <v>9</v>
      </c>
    </row>
    <row r="29" spans="2:32" ht="23.1" customHeight="1" x14ac:dyDescent="0.25">
      <c r="B29" s="20" t="s">
        <v>56</v>
      </c>
      <c r="C29" s="46">
        <f>'Avg Week Mutukula-Kampala'!C29+'Avg Week Kampala-Mutukula'!C29</f>
        <v>0</v>
      </c>
      <c r="D29" s="46">
        <f>'Avg Week Mutukula-Kampala'!D29+'Avg Week Kampala-Mutukula'!D29</f>
        <v>0</v>
      </c>
      <c r="E29" s="46">
        <f>'Avg Week Mutukula-Kampala'!E29+'Avg Week Kampala-Mutukula'!E29</f>
        <v>0</v>
      </c>
      <c r="F29" s="46">
        <f>'Avg Week Mutukula-Kampala'!F29+'Avg Week Kampala-Mutukula'!F29</f>
        <v>0</v>
      </c>
      <c r="G29" s="46">
        <f>'Avg Week Mutukula-Kampala'!G29+'Avg Week Kampala-Mutukula'!G29</f>
        <v>0</v>
      </c>
      <c r="H29" s="46">
        <f>'Avg Week Mutukula-Kampala'!H29+'Avg Week Kampala-Mutukula'!H29</f>
        <v>0</v>
      </c>
      <c r="I29" s="46">
        <f>'Avg Week Mutukula-Kampala'!I29+'Avg Week Kampala-Mutukula'!I29</f>
        <v>0</v>
      </c>
      <c r="J29" s="46">
        <f>'Avg Week Mutukula-Kampala'!J29+'Avg Week Kampala-Mutukula'!J29</f>
        <v>0</v>
      </c>
      <c r="K29" s="46">
        <f>'Avg Week Mutukula-Kampala'!K29+'Avg Week Kampala-Mutukula'!K29</f>
        <v>0</v>
      </c>
      <c r="L29" s="46">
        <f>'Avg Week Mutukula-Kampala'!L29+'Avg Week Kampala-Mutukula'!L29</f>
        <v>0</v>
      </c>
      <c r="M29" s="46">
        <f>'Avg Week Mutukula-Kampala'!M29+'Avg Week Kampala-Mutukula'!M29</f>
        <v>0</v>
      </c>
      <c r="N29" s="46">
        <f>'Avg Week Mutukula-Kampala'!N29+'Avg Week Kampala-Mutukula'!N29</f>
        <v>0</v>
      </c>
      <c r="O29" s="15">
        <f t="shared" si="0"/>
        <v>0</v>
      </c>
      <c r="P29" s="15">
        <f t="shared" si="1"/>
        <v>0</v>
      </c>
      <c r="R29" s="1" t="s">
        <v>153</v>
      </c>
      <c r="S29" s="31">
        <f>SUM(C86:C89)</f>
        <v>1.6666666666666665</v>
      </c>
      <c r="T29" s="31">
        <f t="shared" ref="T29:AF29" si="21">SUM(D86:D89)</f>
        <v>0</v>
      </c>
      <c r="U29" s="31">
        <f t="shared" si="21"/>
        <v>0</v>
      </c>
      <c r="V29" s="31">
        <f t="shared" si="21"/>
        <v>0.33333333333333331</v>
      </c>
      <c r="W29" s="31">
        <f t="shared" si="21"/>
        <v>0</v>
      </c>
      <c r="X29" s="31">
        <f t="shared" si="21"/>
        <v>0.66666666666666663</v>
      </c>
      <c r="Y29" s="31">
        <f t="shared" si="21"/>
        <v>0.66666666666666663</v>
      </c>
      <c r="Z29" s="31">
        <f t="shared" si="21"/>
        <v>1.3333333333333333</v>
      </c>
      <c r="AA29" s="31">
        <f t="shared" si="21"/>
        <v>0</v>
      </c>
      <c r="AB29" s="31">
        <f t="shared" si="21"/>
        <v>4</v>
      </c>
      <c r="AC29" s="31">
        <f t="shared" si="21"/>
        <v>0</v>
      </c>
      <c r="AD29" s="31">
        <f t="shared" si="21"/>
        <v>0</v>
      </c>
      <c r="AE29" s="28">
        <f t="shared" si="21"/>
        <v>8.6666666666666661</v>
      </c>
      <c r="AF29" s="28">
        <f t="shared" si="21"/>
        <v>8.6666666666666661</v>
      </c>
    </row>
    <row r="30" spans="2:32" ht="23.1" customHeight="1" x14ac:dyDescent="0.25">
      <c r="B30" s="20" t="s">
        <v>57</v>
      </c>
      <c r="C30" s="46">
        <f>'Avg Week Mutukula-Kampala'!C30+'Avg Week Kampala-Mutukula'!C30</f>
        <v>11.666666666666668</v>
      </c>
      <c r="D30" s="46">
        <f>'Avg Week Mutukula-Kampala'!D30+'Avg Week Kampala-Mutukula'!D30</f>
        <v>0</v>
      </c>
      <c r="E30" s="46">
        <f>'Avg Week Mutukula-Kampala'!E30+'Avg Week Kampala-Mutukula'!E30</f>
        <v>0</v>
      </c>
      <c r="F30" s="46">
        <f>'Avg Week Mutukula-Kampala'!F30+'Avg Week Kampala-Mutukula'!F30</f>
        <v>3</v>
      </c>
      <c r="G30" s="46">
        <f>'Avg Week Mutukula-Kampala'!G30+'Avg Week Kampala-Mutukula'!G30</f>
        <v>0</v>
      </c>
      <c r="H30" s="46">
        <f>'Avg Week Mutukula-Kampala'!H30+'Avg Week Kampala-Mutukula'!H30</f>
        <v>0</v>
      </c>
      <c r="I30" s="46">
        <f>'Avg Week Mutukula-Kampala'!I30+'Avg Week Kampala-Mutukula'!I30</f>
        <v>0.33333333333333331</v>
      </c>
      <c r="J30" s="46">
        <f>'Avg Week Mutukula-Kampala'!J30+'Avg Week Kampala-Mutukula'!J30</f>
        <v>2.6666666666666665</v>
      </c>
      <c r="K30" s="46">
        <f>'Avg Week Mutukula-Kampala'!K30+'Avg Week Kampala-Mutukula'!K30</f>
        <v>0.66666666666666663</v>
      </c>
      <c r="L30" s="46">
        <f>'Avg Week Mutukula-Kampala'!L30+'Avg Week Kampala-Mutukula'!L30</f>
        <v>0.66666666666666663</v>
      </c>
      <c r="M30" s="46">
        <f>'Avg Week Mutukula-Kampala'!M30+'Avg Week Kampala-Mutukula'!M30</f>
        <v>0.66666666666666663</v>
      </c>
      <c r="N30" s="46">
        <f>'Avg Week Mutukula-Kampala'!N30+'Avg Week Kampala-Mutukula'!N30</f>
        <v>0</v>
      </c>
      <c r="O30" s="15">
        <f t="shared" si="0"/>
        <v>19.000000000000004</v>
      </c>
      <c r="P30" s="15">
        <f t="shared" si="1"/>
        <v>19.666666666666671</v>
      </c>
      <c r="R30" s="1" t="s">
        <v>154</v>
      </c>
      <c r="S30" s="31">
        <f>SUM(C90:C93)</f>
        <v>0.33333333333333331</v>
      </c>
      <c r="T30" s="31">
        <f t="shared" ref="T30:AF30" si="22">SUM(D90:D93)</f>
        <v>0</v>
      </c>
      <c r="U30" s="31">
        <f t="shared" si="22"/>
        <v>0</v>
      </c>
      <c r="V30" s="31">
        <f t="shared" si="22"/>
        <v>0</v>
      </c>
      <c r="W30" s="31">
        <f t="shared" si="22"/>
        <v>0</v>
      </c>
      <c r="X30" s="31">
        <f t="shared" si="22"/>
        <v>0</v>
      </c>
      <c r="Y30" s="31">
        <f t="shared" si="22"/>
        <v>0</v>
      </c>
      <c r="Z30" s="31">
        <f t="shared" si="22"/>
        <v>0</v>
      </c>
      <c r="AA30" s="31">
        <f t="shared" si="22"/>
        <v>0</v>
      </c>
      <c r="AB30" s="31">
        <f t="shared" si="22"/>
        <v>0.33333333333333331</v>
      </c>
      <c r="AC30" s="31">
        <f t="shared" si="22"/>
        <v>0</v>
      </c>
      <c r="AD30" s="31">
        <f t="shared" si="22"/>
        <v>0</v>
      </c>
      <c r="AE30" s="28">
        <f t="shared" si="22"/>
        <v>0.66666666666666663</v>
      </c>
      <c r="AF30" s="28">
        <f t="shared" si="22"/>
        <v>0.66666666666666663</v>
      </c>
    </row>
    <row r="31" spans="2:32" ht="23.1" customHeight="1" x14ac:dyDescent="0.25">
      <c r="B31" s="21" t="s">
        <v>58</v>
      </c>
      <c r="C31" s="46">
        <f>'Avg Week Mutukula-Kampala'!C31+'Avg Week Kampala-Mutukula'!C31</f>
        <v>0</v>
      </c>
      <c r="D31" s="46">
        <f>'Avg Week Mutukula-Kampala'!D31+'Avg Week Kampala-Mutukula'!D31</f>
        <v>0</v>
      </c>
      <c r="E31" s="46">
        <f>'Avg Week Mutukula-Kampala'!E31+'Avg Week Kampala-Mutukula'!E31</f>
        <v>0</v>
      </c>
      <c r="F31" s="46">
        <f>'Avg Week Mutukula-Kampala'!F31+'Avg Week Kampala-Mutukula'!F31</f>
        <v>0</v>
      </c>
      <c r="G31" s="46">
        <f>'Avg Week Mutukula-Kampala'!G31+'Avg Week Kampala-Mutukula'!G31</f>
        <v>0</v>
      </c>
      <c r="H31" s="46">
        <f>'Avg Week Mutukula-Kampala'!H31+'Avg Week Kampala-Mutukula'!H31</f>
        <v>0</v>
      </c>
      <c r="I31" s="46">
        <f>'Avg Week Mutukula-Kampala'!I31+'Avg Week Kampala-Mutukula'!I31</f>
        <v>0</v>
      </c>
      <c r="J31" s="46">
        <f>'Avg Week Mutukula-Kampala'!J31+'Avg Week Kampala-Mutukula'!J31</f>
        <v>0</v>
      </c>
      <c r="K31" s="46">
        <f>'Avg Week Mutukula-Kampala'!K31+'Avg Week Kampala-Mutukula'!K31</f>
        <v>0</v>
      </c>
      <c r="L31" s="46">
        <f>'Avg Week Mutukula-Kampala'!L31+'Avg Week Kampala-Mutukula'!L31</f>
        <v>0</v>
      </c>
      <c r="M31" s="46">
        <f>'Avg Week Mutukula-Kampala'!M31+'Avg Week Kampala-Mutukula'!M31</f>
        <v>0</v>
      </c>
      <c r="N31" s="46">
        <f>'Avg Week Mutukula-Kampala'!N31+'Avg Week Kampala-Mutukula'!N31</f>
        <v>0</v>
      </c>
      <c r="O31" s="15">
        <f t="shared" si="0"/>
        <v>0</v>
      </c>
      <c r="P31" s="15">
        <f t="shared" si="1"/>
        <v>0</v>
      </c>
      <c r="R31" s="1" t="s">
        <v>155</v>
      </c>
      <c r="S31" s="31">
        <f>SUM(C94:C97)</f>
        <v>0</v>
      </c>
      <c r="T31" s="31">
        <f t="shared" ref="T31:AF31" si="23">SUM(D94:D97)</f>
        <v>0</v>
      </c>
      <c r="U31" s="31">
        <f t="shared" si="23"/>
        <v>0</v>
      </c>
      <c r="V31" s="31">
        <f t="shared" si="23"/>
        <v>0</v>
      </c>
      <c r="W31" s="31">
        <f t="shared" si="23"/>
        <v>0</v>
      </c>
      <c r="X31" s="31">
        <f t="shared" si="23"/>
        <v>0</v>
      </c>
      <c r="Y31" s="31">
        <f t="shared" si="23"/>
        <v>0</v>
      </c>
      <c r="Z31" s="31">
        <f t="shared" si="23"/>
        <v>0</v>
      </c>
      <c r="AA31" s="31">
        <f t="shared" si="23"/>
        <v>0</v>
      </c>
      <c r="AB31" s="31">
        <f t="shared" si="23"/>
        <v>0.33333333333333331</v>
      </c>
      <c r="AC31" s="31">
        <f t="shared" si="23"/>
        <v>0</v>
      </c>
      <c r="AD31" s="31">
        <f t="shared" si="23"/>
        <v>0</v>
      </c>
      <c r="AE31" s="28">
        <f t="shared" si="23"/>
        <v>0.33333333333333331</v>
      </c>
      <c r="AF31" s="28">
        <f t="shared" si="23"/>
        <v>0.33333333333333331</v>
      </c>
    </row>
    <row r="32" spans="2:32" ht="23.1" customHeight="1" x14ac:dyDescent="0.25">
      <c r="B32" s="21" t="s">
        <v>59</v>
      </c>
      <c r="C32" s="46">
        <f>'Avg Week Mutukula-Kampala'!C32+'Avg Week Kampala-Mutukula'!C32</f>
        <v>5.3333333333333339</v>
      </c>
      <c r="D32" s="46">
        <f>'Avg Week Mutukula-Kampala'!D32+'Avg Week Kampala-Mutukula'!D32</f>
        <v>0</v>
      </c>
      <c r="E32" s="46">
        <f>'Avg Week Mutukula-Kampala'!E32+'Avg Week Kampala-Mutukula'!E32</f>
        <v>0</v>
      </c>
      <c r="F32" s="46">
        <f>'Avg Week Mutukula-Kampala'!F32+'Avg Week Kampala-Mutukula'!F32</f>
        <v>4</v>
      </c>
      <c r="G32" s="46">
        <f>'Avg Week Mutukula-Kampala'!G32+'Avg Week Kampala-Mutukula'!G32</f>
        <v>0.33333333333333331</v>
      </c>
      <c r="H32" s="46">
        <f>'Avg Week Mutukula-Kampala'!H32+'Avg Week Kampala-Mutukula'!H32</f>
        <v>0</v>
      </c>
      <c r="I32" s="46">
        <f>'Avg Week Mutukula-Kampala'!I32+'Avg Week Kampala-Mutukula'!I32</f>
        <v>1.3333333333333333</v>
      </c>
      <c r="J32" s="46">
        <f>'Avg Week Mutukula-Kampala'!J32+'Avg Week Kampala-Mutukula'!J32</f>
        <v>3.333333333333333</v>
      </c>
      <c r="K32" s="46">
        <f>'Avg Week Mutukula-Kampala'!K32+'Avg Week Kampala-Mutukula'!K32</f>
        <v>0.66666666666666663</v>
      </c>
      <c r="L32" s="46">
        <f>'Avg Week Mutukula-Kampala'!L32+'Avg Week Kampala-Mutukula'!L32</f>
        <v>3.666666666666667</v>
      </c>
      <c r="M32" s="46">
        <f>'Avg Week Mutukula-Kampala'!M32+'Avg Week Kampala-Mutukula'!M32</f>
        <v>2.3333333333333335</v>
      </c>
      <c r="N32" s="46">
        <f>'Avg Week Mutukula-Kampala'!N32+'Avg Week Kampala-Mutukula'!N32</f>
        <v>0</v>
      </c>
      <c r="O32" s="15">
        <f t="shared" si="0"/>
        <v>18.666666666666668</v>
      </c>
      <c r="P32" s="15">
        <f t="shared" si="1"/>
        <v>21</v>
      </c>
      <c r="R32" s="1" t="s">
        <v>156</v>
      </c>
      <c r="S32" s="31">
        <f>SUM(C98:C101)</f>
        <v>1</v>
      </c>
      <c r="T32" s="31">
        <f t="shared" ref="T32:AF32" si="24">SUM(D98:D101)</f>
        <v>0</v>
      </c>
      <c r="U32" s="31">
        <f t="shared" si="24"/>
        <v>0</v>
      </c>
      <c r="V32" s="31">
        <f t="shared" si="24"/>
        <v>1</v>
      </c>
      <c r="W32" s="31">
        <f t="shared" si="24"/>
        <v>0.66666666666666663</v>
      </c>
      <c r="X32" s="31">
        <f t="shared" si="24"/>
        <v>0.66666666666666663</v>
      </c>
      <c r="Y32" s="31">
        <f t="shared" si="24"/>
        <v>0.33333333333333331</v>
      </c>
      <c r="Z32" s="31">
        <f t="shared" si="24"/>
        <v>0.66666666666666663</v>
      </c>
      <c r="AA32" s="31">
        <f t="shared" si="24"/>
        <v>1.6666666666666665</v>
      </c>
      <c r="AB32" s="31">
        <f t="shared" si="24"/>
        <v>0.66666666666666663</v>
      </c>
      <c r="AC32" s="31">
        <f t="shared" si="24"/>
        <v>0</v>
      </c>
      <c r="AD32" s="31">
        <f t="shared" si="24"/>
        <v>0</v>
      </c>
      <c r="AE32" s="28">
        <f t="shared" si="24"/>
        <v>6.6666666666666661</v>
      </c>
      <c r="AF32" s="28">
        <f t="shared" si="24"/>
        <v>6.6666666666666661</v>
      </c>
    </row>
    <row r="33" spans="2:32" ht="23.1" customHeight="1" x14ac:dyDescent="0.25">
      <c r="B33" s="20" t="s">
        <v>60</v>
      </c>
      <c r="C33" s="46">
        <f>'Avg Week Mutukula-Kampala'!C33+'Avg Week Kampala-Mutukula'!C33</f>
        <v>0</v>
      </c>
      <c r="D33" s="46">
        <f>'Avg Week Mutukula-Kampala'!D33+'Avg Week Kampala-Mutukula'!D33</f>
        <v>0</v>
      </c>
      <c r="E33" s="46">
        <f>'Avg Week Mutukula-Kampala'!E33+'Avg Week Kampala-Mutukula'!E33</f>
        <v>0</v>
      </c>
      <c r="F33" s="46">
        <f>'Avg Week Mutukula-Kampala'!F33+'Avg Week Kampala-Mutukula'!F33</f>
        <v>0</v>
      </c>
      <c r="G33" s="46">
        <f>'Avg Week Mutukula-Kampala'!G33+'Avg Week Kampala-Mutukula'!G33</f>
        <v>0</v>
      </c>
      <c r="H33" s="46">
        <f>'Avg Week Mutukula-Kampala'!H33+'Avg Week Kampala-Mutukula'!H33</f>
        <v>0</v>
      </c>
      <c r="I33" s="46">
        <f>'Avg Week Mutukula-Kampala'!I33+'Avg Week Kampala-Mutukula'!I33</f>
        <v>0</v>
      </c>
      <c r="J33" s="46">
        <f>'Avg Week Mutukula-Kampala'!J33+'Avg Week Kampala-Mutukula'!J33</f>
        <v>0</v>
      </c>
      <c r="K33" s="46">
        <f>'Avg Week Mutukula-Kampala'!K33+'Avg Week Kampala-Mutukula'!K33</f>
        <v>0</v>
      </c>
      <c r="L33" s="46">
        <f>'Avg Week Mutukula-Kampala'!L33+'Avg Week Kampala-Mutukula'!L33</f>
        <v>0</v>
      </c>
      <c r="M33" s="46">
        <f>'Avg Week Mutukula-Kampala'!M33+'Avg Week Kampala-Mutukula'!M33</f>
        <v>0</v>
      </c>
      <c r="N33" s="46">
        <f>'Avg Week Mutukula-Kampala'!N33+'Avg Week Kampala-Mutukula'!N33</f>
        <v>0</v>
      </c>
      <c r="O33" s="15">
        <f t="shared" si="0"/>
        <v>0</v>
      </c>
      <c r="P33" s="15">
        <f t="shared" si="1"/>
        <v>0</v>
      </c>
      <c r="R33" s="1" t="s">
        <v>157</v>
      </c>
      <c r="S33" s="31">
        <f>SUM(C102:C105)</f>
        <v>16.333333333333332</v>
      </c>
      <c r="T33" s="31">
        <f t="shared" ref="T33:AF33" si="25">SUM(D102:D105)</f>
        <v>0</v>
      </c>
      <c r="U33" s="31">
        <f t="shared" si="25"/>
        <v>0</v>
      </c>
      <c r="V33" s="31">
        <f t="shared" si="25"/>
        <v>6.6666666666666661</v>
      </c>
      <c r="W33" s="31">
        <f t="shared" si="25"/>
        <v>3.333333333333333</v>
      </c>
      <c r="X33" s="31">
        <f t="shared" si="25"/>
        <v>4.333333333333333</v>
      </c>
      <c r="Y33" s="31">
        <f t="shared" si="25"/>
        <v>3</v>
      </c>
      <c r="Z33" s="31">
        <f t="shared" si="25"/>
        <v>5</v>
      </c>
      <c r="AA33" s="31">
        <f t="shared" si="25"/>
        <v>4.3333333333333339</v>
      </c>
      <c r="AB33" s="31">
        <f t="shared" si="25"/>
        <v>12.666666666666664</v>
      </c>
      <c r="AC33" s="31">
        <f t="shared" si="25"/>
        <v>0</v>
      </c>
      <c r="AD33" s="31">
        <f t="shared" si="25"/>
        <v>0</v>
      </c>
      <c r="AE33" s="28">
        <f t="shared" si="25"/>
        <v>55.666666666666664</v>
      </c>
      <c r="AF33" s="28">
        <f t="shared" si="25"/>
        <v>55.666666666666664</v>
      </c>
    </row>
    <row r="34" spans="2:32" ht="23.1" customHeight="1" x14ac:dyDescent="0.25">
      <c r="B34" s="21" t="s">
        <v>61</v>
      </c>
      <c r="C34" s="46">
        <f>'Avg Week Mutukula-Kampala'!C34+'Avg Week Kampala-Mutukula'!C34</f>
        <v>9.6666666666666679</v>
      </c>
      <c r="D34" s="46">
        <f>'Avg Week Mutukula-Kampala'!D34+'Avg Week Kampala-Mutukula'!D34</f>
        <v>0</v>
      </c>
      <c r="E34" s="46">
        <f>'Avg Week Mutukula-Kampala'!E34+'Avg Week Kampala-Mutukula'!E34</f>
        <v>0</v>
      </c>
      <c r="F34" s="46">
        <f>'Avg Week Mutukula-Kampala'!F34+'Avg Week Kampala-Mutukula'!F34</f>
        <v>5.3333333333333339</v>
      </c>
      <c r="G34" s="46">
        <f>'Avg Week Mutukula-Kampala'!G34+'Avg Week Kampala-Mutukula'!G34</f>
        <v>1</v>
      </c>
      <c r="H34" s="46">
        <f>'Avg Week Mutukula-Kampala'!H34+'Avg Week Kampala-Mutukula'!H34</f>
        <v>0.33333333333333331</v>
      </c>
      <c r="I34" s="46">
        <f>'Avg Week Mutukula-Kampala'!I34+'Avg Week Kampala-Mutukula'!I34</f>
        <v>1.3333333333333333</v>
      </c>
      <c r="J34" s="46">
        <f>'Avg Week Mutukula-Kampala'!J34+'Avg Week Kampala-Mutukula'!J34</f>
        <v>3.666666666666667</v>
      </c>
      <c r="K34" s="46">
        <f>'Avg Week Mutukula-Kampala'!K34+'Avg Week Kampala-Mutukula'!K34</f>
        <v>0</v>
      </c>
      <c r="L34" s="46">
        <f>'Avg Week Mutukula-Kampala'!L34+'Avg Week Kampala-Mutukula'!L34</f>
        <v>3.6666666666666665</v>
      </c>
      <c r="M34" s="46">
        <f>'Avg Week Mutukula-Kampala'!M34+'Avg Week Kampala-Mutukula'!M34</f>
        <v>2.6666666666666665</v>
      </c>
      <c r="N34" s="46">
        <f>'Avg Week Mutukula-Kampala'!N34+'Avg Week Kampala-Mutukula'!N34</f>
        <v>0</v>
      </c>
      <c r="O34" s="15">
        <f t="shared" si="0"/>
        <v>25</v>
      </c>
      <c r="P34" s="15">
        <f t="shared" si="1"/>
        <v>27.666666666666668</v>
      </c>
      <c r="R34" s="48" t="s">
        <v>90</v>
      </c>
      <c r="S34" s="49">
        <f t="shared" ref="S34:AF34" si="26">MAX(S10:S12)</f>
        <v>19.666666666666668</v>
      </c>
      <c r="T34" s="49">
        <f t="shared" si="26"/>
        <v>0</v>
      </c>
      <c r="U34" s="49">
        <f t="shared" si="26"/>
        <v>0</v>
      </c>
      <c r="V34" s="49">
        <f t="shared" si="26"/>
        <v>11</v>
      </c>
      <c r="W34" s="49">
        <f t="shared" si="26"/>
        <v>1</v>
      </c>
      <c r="X34" s="49">
        <f t="shared" si="26"/>
        <v>4</v>
      </c>
      <c r="Y34" s="49">
        <f t="shared" si="26"/>
        <v>2.3333333333333335</v>
      </c>
      <c r="Z34" s="49">
        <f t="shared" si="26"/>
        <v>9.3333333333333321</v>
      </c>
      <c r="AA34" s="49">
        <f t="shared" si="26"/>
        <v>3.333333333333333</v>
      </c>
      <c r="AB34" s="49">
        <f t="shared" si="26"/>
        <v>14</v>
      </c>
      <c r="AC34" s="49">
        <f t="shared" si="26"/>
        <v>6.6666666666666661</v>
      </c>
      <c r="AD34" s="49">
        <f t="shared" si="26"/>
        <v>0</v>
      </c>
      <c r="AE34" s="37">
        <f t="shared" si="26"/>
        <v>64.666666666666657</v>
      </c>
      <c r="AF34" s="37">
        <f t="shared" si="26"/>
        <v>71.333333333333329</v>
      </c>
    </row>
    <row r="35" spans="2:32" ht="23.1" customHeight="1" x14ac:dyDescent="0.25">
      <c r="B35" s="21" t="s">
        <v>62</v>
      </c>
      <c r="C35" s="46">
        <f>'Avg Week Mutukula-Kampala'!C35+'Avg Week Kampala-Mutukula'!C35</f>
        <v>0</v>
      </c>
      <c r="D35" s="46">
        <f>'Avg Week Mutukula-Kampala'!D35+'Avg Week Kampala-Mutukula'!D35</f>
        <v>0</v>
      </c>
      <c r="E35" s="46">
        <f>'Avg Week Mutukula-Kampala'!E35+'Avg Week Kampala-Mutukula'!E35</f>
        <v>0</v>
      </c>
      <c r="F35" s="46">
        <f>'Avg Week Mutukula-Kampala'!F35+'Avg Week Kampala-Mutukula'!F35</f>
        <v>0</v>
      </c>
      <c r="G35" s="46">
        <f>'Avg Week Mutukula-Kampala'!G35+'Avg Week Kampala-Mutukula'!G35</f>
        <v>0</v>
      </c>
      <c r="H35" s="46">
        <f>'Avg Week Mutukula-Kampala'!H35+'Avg Week Kampala-Mutukula'!H35</f>
        <v>0</v>
      </c>
      <c r="I35" s="46">
        <f>'Avg Week Mutukula-Kampala'!I35+'Avg Week Kampala-Mutukula'!I35</f>
        <v>0</v>
      </c>
      <c r="J35" s="46">
        <f>'Avg Week Mutukula-Kampala'!J35+'Avg Week Kampala-Mutukula'!J35</f>
        <v>0</v>
      </c>
      <c r="K35" s="46">
        <f>'Avg Week Mutukula-Kampala'!K35+'Avg Week Kampala-Mutukula'!K35</f>
        <v>0</v>
      </c>
      <c r="L35" s="46">
        <f>'Avg Week Mutukula-Kampala'!L35+'Avg Week Kampala-Mutukula'!L35</f>
        <v>0</v>
      </c>
      <c r="M35" s="46">
        <f>'Avg Week Mutukula-Kampala'!M35+'Avg Week Kampala-Mutukula'!M35</f>
        <v>0</v>
      </c>
      <c r="N35" s="46">
        <f>'Avg Week Mutukula-Kampala'!N35+'Avg Week Kampala-Mutukula'!N35</f>
        <v>0</v>
      </c>
      <c r="O35" s="15">
        <f t="shared" si="0"/>
        <v>0</v>
      </c>
      <c r="P35" s="15">
        <f t="shared" si="1"/>
        <v>0</v>
      </c>
      <c r="R35" s="48" t="s">
        <v>91</v>
      </c>
      <c r="S35" s="49">
        <f t="shared" ref="S35:AF35" si="27">MAX(S13:S18)</f>
        <v>19</v>
      </c>
      <c r="T35" s="49">
        <f t="shared" si="27"/>
        <v>0</v>
      </c>
      <c r="U35" s="49">
        <f t="shared" si="27"/>
        <v>0</v>
      </c>
      <c r="V35" s="49">
        <f t="shared" si="27"/>
        <v>9.3333333333333339</v>
      </c>
      <c r="W35" s="49">
        <f t="shared" si="27"/>
        <v>1.3333333333333333</v>
      </c>
      <c r="X35" s="49">
        <f t="shared" si="27"/>
        <v>4.666666666666667</v>
      </c>
      <c r="Y35" s="49">
        <f t="shared" si="27"/>
        <v>4</v>
      </c>
      <c r="Z35" s="49">
        <f t="shared" si="27"/>
        <v>7.6666666666666661</v>
      </c>
      <c r="AA35" s="49">
        <f t="shared" si="27"/>
        <v>3.666666666666667</v>
      </c>
      <c r="AB35" s="49">
        <f t="shared" si="27"/>
        <v>6.6666666666666661</v>
      </c>
      <c r="AC35" s="49">
        <f t="shared" si="27"/>
        <v>6</v>
      </c>
      <c r="AD35" s="49">
        <f t="shared" si="27"/>
        <v>0</v>
      </c>
      <c r="AE35" s="37">
        <f t="shared" si="27"/>
        <v>45.666666666666671</v>
      </c>
      <c r="AF35" s="37">
        <f t="shared" si="27"/>
        <v>49.333333333333336</v>
      </c>
    </row>
    <row r="36" spans="2:32" ht="23.1" customHeight="1" x14ac:dyDescent="0.25">
      <c r="B36" s="21" t="s">
        <v>63</v>
      </c>
      <c r="C36" s="46">
        <f>'Avg Week Mutukula-Kampala'!C36+'Avg Week Kampala-Mutukula'!C36</f>
        <v>8.3333333333333321</v>
      </c>
      <c r="D36" s="46">
        <f>'Avg Week Mutukula-Kampala'!D36+'Avg Week Kampala-Mutukula'!D36</f>
        <v>0</v>
      </c>
      <c r="E36" s="46">
        <f>'Avg Week Mutukula-Kampala'!E36+'Avg Week Kampala-Mutukula'!E36</f>
        <v>0</v>
      </c>
      <c r="F36" s="46">
        <f>'Avg Week Mutukula-Kampala'!F36+'Avg Week Kampala-Mutukula'!F36</f>
        <v>4</v>
      </c>
      <c r="G36" s="46">
        <f>'Avg Week Mutukula-Kampala'!G36+'Avg Week Kampala-Mutukula'!G36</f>
        <v>0.33333333333333331</v>
      </c>
      <c r="H36" s="46">
        <f>'Avg Week Mutukula-Kampala'!H36+'Avg Week Kampala-Mutukula'!H36</f>
        <v>0.66666666666666663</v>
      </c>
      <c r="I36" s="46">
        <f>'Avg Week Mutukula-Kampala'!I36+'Avg Week Kampala-Mutukula'!I36</f>
        <v>2.6666666666666665</v>
      </c>
      <c r="J36" s="46">
        <f>'Avg Week Mutukula-Kampala'!J36+'Avg Week Kampala-Mutukula'!J36</f>
        <v>2</v>
      </c>
      <c r="K36" s="46">
        <f>'Avg Week Mutukula-Kampala'!K36+'Avg Week Kampala-Mutukula'!K36</f>
        <v>0.66666666666666663</v>
      </c>
      <c r="L36" s="46">
        <f>'Avg Week Mutukula-Kampala'!L36+'Avg Week Kampala-Mutukula'!L36</f>
        <v>0.33333333333333331</v>
      </c>
      <c r="M36" s="46">
        <f>'Avg Week Mutukula-Kampala'!M36+'Avg Week Kampala-Mutukula'!M36</f>
        <v>0.33333333333333331</v>
      </c>
      <c r="N36" s="46">
        <f>'Avg Week Mutukula-Kampala'!N36+'Avg Week Kampala-Mutukula'!N36</f>
        <v>0</v>
      </c>
      <c r="O36" s="15">
        <f t="shared" si="0"/>
        <v>19</v>
      </c>
      <c r="P36" s="15">
        <f t="shared" si="1"/>
        <v>19.333333333333332</v>
      </c>
      <c r="R36" s="48" t="s">
        <v>92</v>
      </c>
      <c r="S36" s="49">
        <f t="shared" ref="S36:AF36" si="28">MAX(S19:S21)</f>
        <v>21.333333333333336</v>
      </c>
      <c r="T36" s="49">
        <f t="shared" si="28"/>
        <v>0</v>
      </c>
      <c r="U36" s="49">
        <f t="shared" si="28"/>
        <v>0</v>
      </c>
      <c r="V36" s="49">
        <f t="shared" si="28"/>
        <v>9</v>
      </c>
      <c r="W36" s="49">
        <f t="shared" si="28"/>
        <v>1.3333333333333333</v>
      </c>
      <c r="X36" s="49">
        <f t="shared" si="28"/>
        <v>1.9999999999999998</v>
      </c>
      <c r="Y36" s="49">
        <f t="shared" si="28"/>
        <v>3.333333333333333</v>
      </c>
      <c r="Z36" s="49">
        <f t="shared" si="28"/>
        <v>8.3333333333333339</v>
      </c>
      <c r="AA36" s="49">
        <f t="shared" si="28"/>
        <v>2.333333333333333</v>
      </c>
      <c r="AB36" s="49">
        <f t="shared" si="28"/>
        <v>7.333333333333333</v>
      </c>
      <c r="AC36" s="49">
        <f t="shared" si="28"/>
        <v>4</v>
      </c>
      <c r="AD36" s="49">
        <f t="shared" si="28"/>
        <v>0</v>
      </c>
      <c r="AE36" s="37">
        <f t="shared" si="28"/>
        <v>52</v>
      </c>
      <c r="AF36" s="37">
        <f t="shared" si="28"/>
        <v>56</v>
      </c>
    </row>
    <row r="37" spans="2:32" ht="23.1" customHeight="1" x14ac:dyDescent="0.25">
      <c r="B37" s="20" t="s">
        <v>64</v>
      </c>
      <c r="C37" s="46">
        <f>'Avg Week Mutukula-Kampala'!C37+'Avg Week Kampala-Mutukula'!C37</f>
        <v>0</v>
      </c>
      <c r="D37" s="46">
        <f>'Avg Week Mutukula-Kampala'!D37+'Avg Week Kampala-Mutukula'!D37</f>
        <v>0</v>
      </c>
      <c r="E37" s="46">
        <f>'Avg Week Mutukula-Kampala'!E37+'Avg Week Kampala-Mutukula'!E37</f>
        <v>0</v>
      </c>
      <c r="F37" s="46">
        <f>'Avg Week Mutukula-Kampala'!F37+'Avg Week Kampala-Mutukula'!F37</f>
        <v>0</v>
      </c>
      <c r="G37" s="46">
        <f>'Avg Week Mutukula-Kampala'!G37+'Avg Week Kampala-Mutukula'!G37</f>
        <v>0</v>
      </c>
      <c r="H37" s="46">
        <f>'Avg Week Mutukula-Kampala'!H37+'Avg Week Kampala-Mutukula'!H37</f>
        <v>0</v>
      </c>
      <c r="I37" s="46">
        <f>'Avg Week Mutukula-Kampala'!I37+'Avg Week Kampala-Mutukula'!I37</f>
        <v>0</v>
      </c>
      <c r="J37" s="46">
        <f>'Avg Week Mutukula-Kampala'!J37+'Avg Week Kampala-Mutukula'!J37</f>
        <v>0</v>
      </c>
      <c r="K37" s="46">
        <f>'Avg Week Mutukula-Kampala'!K37+'Avg Week Kampala-Mutukula'!K37</f>
        <v>0</v>
      </c>
      <c r="L37" s="46">
        <f>'Avg Week Mutukula-Kampala'!L37+'Avg Week Kampala-Mutukula'!L37</f>
        <v>0</v>
      </c>
      <c r="M37" s="46">
        <f>'Avg Week Mutukula-Kampala'!M37+'Avg Week Kampala-Mutukula'!M37</f>
        <v>0</v>
      </c>
      <c r="N37" s="46">
        <f>'Avg Week Mutukula-Kampala'!N37+'Avg Week Kampala-Mutukula'!N37</f>
        <v>0</v>
      </c>
      <c r="O37" s="15">
        <f t="shared" si="0"/>
        <v>0</v>
      </c>
      <c r="P37" s="15">
        <f t="shared" si="1"/>
        <v>0</v>
      </c>
      <c r="R37" s="34" t="s">
        <v>85</v>
      </c>
      <c r="S37" s="50">
        <f t="shared" ref="S37:AF37" si="29">SUM(S10:S12)</f>
        <v>42.666666666666671</v>
      </c>
      <c r="T37" s="51">
        <f t="shared" si="29"/>
        <v>0</v>
      </c>
      <c r="U37" s="51">
        <f t="shared" si="29"/>
        <v>0</v>
      </c>
      <c r="V37" s="51">
        <f t="shared" si="29"/>
        <v>21</v>
      </c>
      <c r="W37" s="51">
        <f t="shared" si="29"/>
        <v>1.6666666666666665</v>
      </c>
      <c r="X37" s="51">
        <f t="shared" si="29"/>
        <v>7</v>
      </c>
      <c r="Y37" s="51">
        <f t="shared" si="29"/>
        <v>4.3333333333333339</v>
      </c>
      <c r="Z37" s="51">
        <f t="shared" si="29"/>
        <v>20</v>
      </c>
      <c r="AA37" s="51">
        <f t="shared" si="29"/>
        <v>8.6666666666666661</v>
      </c>
      <c r="AB37" s="51">
        <f t="shared" si="29"/>
        <v>23.666666666666664</v>
      </c>
      <c r="AC37" s="51">
        <f t="shared" si="29"/>
        <v>13.333333333333332</v>
      </c>
      <c r="AD37" s="51">
        <f t="shared" si="29"/>
        <v>0</v>
      </c>
      <c r="AE37" s="52">
        <f t="shared" si="29"/>
        <v>129</v>
      </c>
      <c r="AF37" s="52">
        <f t="shared" si="29"/>
        <v>142.33333333333331</v>
      </c>
    </row>
    <row r="38" spans="2:32" ht="23.1" customHeight="1" x14ac:dyDescent="0.25">
      <c r="B38" s="21" t="s">
        <v>65</v>
      </c>
      <c r="C38" s="46">
        <f>'Avg Week Mutukula-Kampala'!C38+'Avg Week Kampala-Mutukula'!C38</f>
        <v>9.6666666666666679</v>
      </c>
      <c r="D38" s="46">
        <f>'Avg Week Mutukula-Kampala'!D38+'Avg Week Kampala-Mutukula'!D38</f>
        <v>0</v>
      </c>
      <c r="E38" s="46">
        <f>'Avg Week Mutukula-Kampala'!E38+'Avg Week Kampala-Mutukula'!E38</f>
        <v>0</v>
      </c>
      <c r="F38" s="46">
        <f>'Avg Week Mutukula-Kampala'!F38+'Avg Week Kampala-Mutukula'!F38</f>
        <v>3</v>
      </c>
      <c r="G38" s="46">
        <f>'Avg Week Mutukula-Kampala'!G38+'Avg Week Kampala-Mutukula'!G38</f>
        <v>0</v>
      </c>
      <c r="H38" s="46">
        <f>'Avg Week Mutukula-Kampala'!H38+'Avg Week Kampala-Mutukula'!H38</f>
        <v>1</v>
      </c>
      <c r="I38" s="46">
        <f>'Avg Week Mutukula-Kampala'!I38+'Avg Week Kampala-Mutukula'!I38</f>
        <v>1.6666666666666665</v>
      </c>
      <c r="J38" s="46">
        <f>'Avg Week Mutukula-Kampala'!J38+'Avg Week Kampala-Mutukula'!J38</f>
        <v>3</v>
      </c>
      <c r="K38" s="46">
        <f>'Avg Week Mutukula-Kampala'!K38+'Avg Week Kampala-Mutukula'!K38</f>
        <v>1.6666666666666667</v>
      </c>
      <c r="L38" s="46">
        <f>'Avg Week Mutukula-Kampala'!L38+'Avg Week Kampala-Mutukula'!L38</f>
        <v>2</v>
      </c>
      <c r="M38" s="46">
        <f>'Avg Week Mutukula-Kampala'!M38+'Avg Week Kampala-Mutukula'!M38</f>
        <v>1</v>
      </c>
      <c r="N38" s="46">
        <f>'Avg Week Mutukula-Kampala'!N38+'Avg Week Kampala-Mutukula'!N38</f>
        <v>0</v>
      </c>
      <c r="O38" s="15">
        <f t="shared" si="0"/>
        <v>22.000000000000004</v>
      </c>
      <c r="P38" s="15">
        <f t="shared" si="1"/>
        <v>23.000000000000004</v>
      </c>
      <c r="R38" s="25" t="s">
        <v>86</v>
      </c>
      <c r="S38" s="51">
        <f t="shared" ref="S38:AF38" si="30">SUM(S13:S18)</f>
        <v>104.66666666666667</v>
      </c>
      <c r="T38" s="51">
        <f t="shared" si="30"/>
        <v>0</v>
      </c>
      <c r="U38" s="51">
        <f t="shared" si="30"/>
        <v>0</v>
      </c>
      <c r="V38" s="51">
        <f t="shared" si="30"/>
        <v>45.333333333333336</v>
      </c>
      <c r="W38" s="51">
        <f t="shared" si="30"/>
        <v>2.666666666666667</v>
      </c>
      <c r="X38" s="51">
        <f t="shared" si="30"/>
        <v>9</v>
      </c>
      <c r="Y38" s="51">
        <f t="shared" si="30"/>
        <v>11.999999999999998</v>
      </c>
      <c r="Z38" s="51">
        <f t="shared" si="30"/>
        <v>37.333333333333336</v>
      </c>
      <c r="AA38" s="51">
        <f t="shared" si="30"/>
        <v>9.6666666666666661</v>
      </c>
      <c r="AB38" s="51">
        <f t="shared" si="30"/>
        <v>23</v>
      </c>
      <c r="AC38" s="51">
        <f t="shared" si="30"/>
        <v>17</v>
      </c>
      <c r="AD38" s="51">
        <f t="shared" si="30"/>
        <v>0</v>
      </c>
      <c r="AE38" s="52">
        <f t="shared" si="30"/>
        <v>243.66666666666666</v>
      </c>
      <c r="AF38" s="52">
        <f t="shared" si="30"/>
        <v>260.66666666666669</v>
      </c>
    </row>
    <row r="39" spans="2:32" ht="23.1" customHeight="1" x14ac:dyDescent="0.25">
      <c r="B39" s="21" t="s">
        <v>66</v>
      </c>
      <c r="C39" s="46">
        <f>'Avg Week Mutukula-Kampala'!C39+'Avg Week Kampala-Mutukula'!C39</f>
        <v>0</v>
      </c>
      <c r="D39" s="46">
        <f>'Avg Week Mutukula-Kampala'!D39+'Avg Week Kampala-Mutukula'!D39</f>
        <v>0</v>
      </c>
      <c r="E39" s="46">
        <f>'Avg Week Mutukula-Kampala'!E39+'Avg Week Kampala-Mutukula'!E39</f>
        <v>0</v>
      </c>
      <c r="F39" s="46">
        <f>'Avg Week Mutukula-Kampala'!F39+'Avg Week Kampala-Mutukula'!F39</f>
        <v>0</v>
      </c>
      <c r="G39" s="46">
        <f>'Avg Week Mutukula-Kampala'!G39+'Avg Week Kampala-Mutukula'!G39</f>
        <v>0</v>
      </c>
      <c r="H39" s="46">
        <f>'Avg Week Mutukula-Kampala'!H39+'Avg Week Kampala-Mutukula'!H39</f>
        <v>0</v>
      </c>
      <c r="I39" s="46">
        <f>'Avg Week Mutukula-Kampala'!I39+'Avg Week Kampala-Mutukula'!I39</f>
        <v>0</v>
      </c>
      <c r="J39" s="46">
        <f>'Avg Week Mutukula-Kampala'!J39+'Avg Week Kampala-Mutukula'!J39</f>
        <v>0</v>
      </c>
      <c r="K39" s="46">
        <f>'Avg Week Mutukula-Kampala'!K39+'Avg Week Kampala-Mutukula'!K39</f>
        <v>0</v>
      </c>
      <c r="L39" s="46">
        <f>'Avg Week Mutukula-Kampala'!L39+'Avg Week Kampala-Mutukula'!L39</f>
        <v>0</v>
      </c>
      <c r="M39" s="46">
        <f>'Avg Week Mutukula-Kampala'!M39+'Avg Week Kampala-Mutukula'!M39</f>
        <v>0</v>
      </c>
      <c r="N39" s="46">
        <f>'Avg Week Mutukula-Kampala'!N39+'Avg Week Kampala-Mutukula'!N39</f>
        <v>0</v>
      </c>
      <c r="O39" s="15">
        <f t="shared" si="0"/>
        <v>0</v>
      </c>
      <c r="P39" s="15">
        <f t="shared" si="1"/>
        <v>0</v>
      </c>
      <c r="R39" s="26" t="s">
        <v>87</v>
      </c>
      <c r="S39" s="51">
        <f t="shared" ref="S39:AF39" si="31">SUM(S19:S21)</f>
        <v>53.666666666666671</v>
      </c>
      <c r="T39" s="51">
        <f t="shared" si="31"/>
        <v>0</v>
      </c>
      <c r="U39" s="51">
        <f t="shared" si="31"/>
        <v>0</v>
      </c>
      <c r="V39" s="51">
        <f t="shared" si="31"/>
        <v>24.333333333333336</v>
      </c>
      <c r="W39" s="51">
        <f t="shared" si="31"/>
        <v>1.6666666666666665</v>
      </c>
      <c r="X39" s="51">
        <f t="shared" si="31"/>
        <v>4.333333333333333</v>
      </c>
      <c r="Y39" s="51">
        <f t="shared" si="31"/>
        <v>6</v>
      </c>
      <c r="Z39" s="51">
        <f t="shared" si="31"/>
        <v>22.333333333333336</v>
      </c>
      <c r="AA39" s="51">
        <f t="shared" si="31"/>
        <v>6.6666666666666661</v>
      </c>
      <c r="AB39" s="51">
        <f t="shared" si="31"/>
        <v>14.333333333333332</v>
      </c>
      <c r="AC39" s="51">
        <f t="shared" si="31"/>
        <v>6.6666666666666661</v>
      </c>
      <c r="AD39" s="51">
        <f t="shared" si="31"/>
        <v>0</v>
      </c>
      <c r="AE39" s="52">
        <f t="shared" si="31"/>
        <v>133.33333333333331</v>
      </c>
      <c r="AF39" s="52">
        <f t="shared" si="31"/>
        <v>140</v>
      </c>
    </row>
    <row r="40" spans="2:32" ht="23.1" customHeight="1" x14ac:dyDescent="0.25">
      <c r="B40" s="21" t="s">
        <v>67</v>
      </c>
      <c r="C40" s="46">
        <f>'Avg Week Mutukula-Kampala'!C40+'Avg Week Kampala-Mutukula'!C40</f>
        <v>9.3333333333333339</v>
      </c>
      <c r="D40" s="46">
        <f>'Avg Week Mutukula-Kampala'!D40+'Avg Week Kampala-Mutukula'!D40</f>
        <v>0</v>
      </c>
      <c r="E40" s="46">
        <f>'Avg Week Mutukula-Kampala'!E40+'Avg Week Kampala-Mutukula'!E40</f>
        <v>0</v>
      </c>
      <c r="F40" s="46">
        <f>'Avg Week Mutukula-Kampala'!F40+'Avg Week Kampala-Mutukula'!F40</f>
        <v>4</v>
      </c>
      <c r="G40" s="46">
        <f>'Avg Week Mutukula-Kampala'!G40+'Avg Week Kampala-Mutukula'!G40</f>
        <v>0.33333333333333331</v>
      </c>
      <c r="H40" s="46">
        <f>'Avg Week Mutukula-Kampala'!H40+'Avg Week Kampala-Mutukula'!H40</f>
        <v>0.66666666666666663</v>
      </c>
      <c r="I40" s="46">
        <f>'Avg Week Mutukula-Kampala'!I40+'Avg Week Kampala-Mutukula'!I40</f>
        <v>1.6666666666666665</v>
      </c>
      <c r="J40" s="46">
        <f>'Avg Week Mutukula-Kampala'!J40+'Avg Week Kampala-Mutukula'!J40</f>
        <v>3.3333333333333335</v>
      </c>
      <c r="K40" s="46">
        <f>'Avg Week Mutukula-Kampala'!K40+'Avg Week Kampala-Mutukula'!K40</f>
        <v>2</v>
      </c>
      <c r="L40" s="46">
        <f>'Avg Week Mutukula-Kampala'!L40+'Avg Week Kampala-Mutukula'!L40</f>
        <v>2.333333333333333</v>
      </c>
      <c r="M40" s="46">
        <f>'Avg Week Mutukula-Kampala'!M40+'Avg Week Kampala-Mutukula'!M40</f>
        <v>1.3333333333333333</v>
      </c>
      <c r="N40" s="46">
        <f>'Avg Week Mutukula-Kampala'!N40+'Avg Week Kampala-Mutukula'!N40</f>
        <v>0</v>
      </c>
      <c r="O40" s="15">
        <f t="shared" si="0"/>
        <v>23.666666666666664</v>
      </c>
      <c r="P40" s="15">
        <f t="shared" si="1"/>
        <v>24.999999999999996</v>
      </c>
      <c r="R40" s="5" t="s">
        <v>17</v>
      </c>
      <c r="S40" s="51">
        <f t="shared" ref="S40:AF40" si="32">SUM(S10:S21)</f>
        <v>201.00000000000003</v>
      </c>
      <c r="T40" s="51">
        <f t="shared" si="32"/>
        <v>0</v>
      </c>
      <c r="U40" s="51">
        <f t="shared" si="32"/>
        <v>0</v>
      </c>
      <c r="V40" s="51">
        <f t="shared" si="32"/>
        <v>90.666666666666686</v>
      </c>
      <c r="W40" s="51">
        <f t="shared" si="32"/>
        <v>5.9999999999999991</v>
      </c>
      <c r="X40" s="51">
        <f t="shared" si="32"/>
        <v>20.333333333333332</v>
      </c>
      <c r="Y40" s="51">
        <f t="shared" si="32"/>
        <v>22.333333333333336</v>
      </c>
      <c r="Z40" s="51">
        <f t="shared" si="32"/>
        <v>79.666666666666657</v>
      </c>
      <c r="AA40" s="51">
        <f t="shared" si="32"/>
        <v>24.999999999999996</v>
      </c>
      <c r="AB40" s="51">
        <f t="shared" si="32"/>
        <v>61.000000000000007</v>
      </c>
      <c r="AC40" s="51">
        <f t="shared" si="32"/>
        <v>37</v>
      </c>
      <c r="AD40" s="51">
        <f t="shared" si="32"/>
        <v>0</v>
      </c>
      <c r="AE40" s="52">
        <f t="shared" si="32"/>
        <v>506.00000000000006</v>
      </c>
      <c r="AF40" s="52">
        <f t="shared" si="32"/>
        <v>543</v>
      </c>
    </row>
    <row r="41" spans="2:32" ht="23.1" customHeight="1" x14ac:dyDescent="0.25">
      <c r="B41" s="20" t="s">
        <v>68</v>
      </c>
      <c r="C41" s="46">
        <f>'Avg Week Mutukula-Kampala'!C41+'Avg Week Kampala-Mutukula'!C41</f>
        <v>0</v>
      </c>
      <c r="D41" s="46">
        <f>'Avg Week Mutukula-Kampala'!D41+'Avg Week Kampala-Mutukula'!D41</f>
        <v>0</v>
      </c>
      <c r="E41" s="46">
        <f>'Avg Week Mutukula-Kampala'!E41+'Avg Week Kampala-Mutukula'!E41</f>
        <v>0</v>
      </c>
      <c r="F41" s="46">
        <f>'Avg Week Mutukula-Kampala'!F41+'Avg Week Kampala-Mutukula'!F41</f>
        <v>0</v>
      </c>
      <c r="G41" s="46">
        <f>'Avg Week Mutukula-Kampala'!G41+'Avg Week Kampala-Mutukula'!G41</f>
        <v>0</v>
      </c>
      <c r="H41" s="46">
        <f>'Avg Week Mutukula-Kampala'!H41+'Avg Week Kampala-Mutukula'!H41</f>
        <v>0</v>
      </c>
      <c r="I41" s="46">
        <f>'Avg Week Mutukula-Kampala'!I41+'Avg Week Kampala-Mutukula'!I41</f>
        <v>0</v>
      </c>
      <c r="J41" s="46">
        <f>'Avg Week Mutukula-Kampala'!J41+'Avg Week Kampala-Mutukula'!J41</f>
        <v>0</v>
      </c>
      <c r="K41" s="46">
        <f>'Avg Week Mutukula-Kampala'!K41+'Avg Week Kampala-Mutukula'!K41</f>
        <v>0</v>
      </c>
      <c r="L41" s="46">
        <f>'Avg Week Mutukula-Kampala'!L41+'Avg Week Kampala-Mutukula'!L41</f>
        <v>0</v>
      </c>
      <c r="M41" s="46">
        <f>'Avg Week Mutukula-Kampala'!M41+'Avg Week Kampala-Mutukula'!M41</f>
        <v>0</v>
      </c>
      <c r="N41" s="46">
        <f>'Avg Week Mutukula-Kampala'!N41+'Avg Week Kampala-Mutukula'!N41</f>
        <v>0</v>
      </c>
      <c r="O41" s="15">
        <f t="shared" si="0"/>
        <v>0</v>
      </c>
      <c r="P41" s="15">
        <f t="shared" si="1"/>
        <v>0</v>
      </c>
      <c r="R41" s="5" t="s">
        <v>170</v>
      </c>
      <c r="S41" s="51">
        <f>SUM(S10:S33)</f>
        <v>309.00000000000006</v>
      </c>
      <c r="T41" s="51">
        <f t="shared" ref="T41:AD41" si="33">SUM(T10:T33)</f>
        <v>0</v>
      </c>
      <c r="U41" s="51">
        <f t="shared" si="33"/>
        <v>0</v>
      </c>
      <c r="V41" s="51">
        <f t="shared" si="33"/>
        <v>124.00000000000001</v>
      </c>
      <c r="W41" s="51">
        <f t="shared" si="33"/>
        <v>13.666666666666664</v>
      </c>
      <c r="X41" s="51">
        <f t="shared" si="33"/>
        <v>31.666666666666668</v>
      </c>
      <c r="Y41" s="51">
        <f t="shared" si="33"/>
        <v>38.333333333333336</v>
      </c>
      <c r="Z41" s="51">
        <f t="shared" si="33"/>
        <v>118.66666666666664</v>
      </c>
      <c r="AA41" s="51">
        <f t="shared" si="33"/>
        <v>50.666666666666671</v>
      </c>
      <c r="AB41" s="51">
        <f t="shared" si="33"/>
        <v>130.66666666666666</v>
      </c>
      <c r="AC41" s="51">
        <f t="shared" si="33"/>
        <v>37</v>
      </c>
      <c r="AD41" s="51">
        <f t="shared" si="33"/>
        <v>0</v>
      </c>
      <c r="AE41" s="52">
        <f>SUM(AE10:AE33)</f>
        <v>816.66666666666663</v>
      </c>
      <c r="AF41" s="52">
        <f>SUM(AF10:AF33)</f>
        <v>853.66666666666663</v>
      </c>
    </row>
    <row r="42" spans="2:32" ht="23.1" customHeight="1" x14ac:dyDescent="0.25">
      <c r="B42" s="21" t="s">
        <v>69</v>
      </c>
      <c r="C42" s="46">
        <f>'Avg Week Mutukula-Kampala'!C42+'Avg Week Kampala-Mutukula'!C42</f>
        <v>8.3333333333333321</v>
      </c>
      <c r="D42" s="46">
        <f>'Avg Week Mutukula-Kampala'!D42+'Avg Week Kampala-Mutukula'!D42</f>
        <v>0</v>
      </c>
      <c r="E42" s="46">
        <f>'Avg Week Mutukula-Kampala'!E42+'Avg Week Kampala-Mutukula'!E42</f>
        <v>0</v>
      </c>
      <c r="F42" s="46">
        <f>'Avg Week Mutukula-Kampala'!F42+'Avg Week Kampala-Mutukula'!F42</f>
        <v>4</v>
      </c>
      <c r="G42" s="46">
        <f>'Avg Week Mutukula-Kampala'!G42+'Avg Week Kampala-Mutukula'!G42</f>
        <v>0</v>
      </c>
      <c r="H42" s="46">
        <f>'Avg Week Mutukula-Kampala'!H42+'Avg Week Kampala-Mutukula'!H42</f>
        <v>2.3333333333333335</v>
      </c>
      <c r="I42" s="46">
        <f>'Avg Week Mutukula-Kampala'!I42+'Avg Week Kampala-Mutukula'!I42</f>
        <v>0</v>
      </c>
      <c r="J42" s="46">
        <f>'Avg Week Mutukula-Kampala'!J42+'Avg Week Kampala-Mutukula'!J42</f>
        <v>2.666666666666667</v>
      </c>
      <c r="K42" s="46">
        <f>'Avg Week Mutukula-Kampala'!K42+'Avg Week Kampala-Mutukula'!K42</f>
        <v>1.3333333333333333</v>
      </c>
      <c r="L42" s="46">
        <f>'Avg Week Mutukula-Kampala'!L42+'Avg Week Kampala-Mutukula'!L42</f>
        <v>0.66666666666666663</v>
      </c>
      <c r="M42" s="46">
        <f>'Avg Week Mutukula-Kampala'!M42+'Avg Week Kampala-Mutukula'!M42</f>
        <v>0.66666666666666663</v>
      </c>
      <c r="N42" s="46">
        <f>'Avg Week Mutukula-Kampala'!N42+'Avg Week Kampala-Mutukula'!N42</f>
        <v>0</v>
      </c>
      <c r="O42" s="15">
        <f t="shared" si="0"/>
        <v>19.333333333333332</v>
      </c>
      <c r="P42" s="15">
        <f t="shared" si="1"/>
        <v>20</v>
      </c>
      <c r="R42" s="5" t="s">
        <v>160</v>
      </c>
      <c r="S42" s="45">
        <f>S41/S40</f>
        <v>1.5373134328358209</v>
      </c>
      <c r="T42" s="45">
        <v>0</v>
      </c>
      <c r="U42" s="45">
        <v>0</v>
      </c>
      <c r="V42" s="45">
        <f t="shared" ref="V42:AF42" si="34">V41/V40</f>
        <v>1.3676470588235292</v>
      </c>
      <c r="W42" s="45">
        <f t="shared" si="34"/>
        <v>2.2777777777777777</v>
      </c>
      <c r="X42" s="45">
        <f t="shared" si="34"/>
        <v>1.557377049180328</v>
      </c>
      <c r="Y42" s="45">
        <f t="shared" si="34"/>
        <v>1.716417910447761</v>
      </c>
      <c r="Z42" s="45">
        <f t="shared" si="34"/>
        <v>1.4895397489539748</v>
      </c>
      <c r="AA42" s="45">
        <f t="shared" si="34"/>
        <v>2.0266666666666673</v>
      </c>
      <c r="AB42" s="45">
        <f t="shared" si="34"/>
        <v>2.1420765027322402</v>
      </c>
      <c r="AC42" s="45">
        <f t="shared" si="34"/>
        <v>1</v>
      </c>
      <c r="AD42" s="45">
        <v>0</v>
      </c>
      <c r="AE42" s="53">
        <f t="shared" si="34"/>
        <v>1.6139657444005266</v>
      </c>
      <c r="AF42" s="53">
        <f t="shared" si="34"/>
        <v>1.5721301411909145</v>
      </c>
    </row>
    <row r="43" spans="2:32" ht="23.1" customHeight="1" x14ac:dyDescent="0.25">
      <c r="B43" s="20" t="s">
        <v>70</v>
      </c>
      <c r="C43" s="46">
        <f>'Avg Week Mutukula-Kampala'!C43+'Avg Week Kampala-Mutukula'!C43</f>
        <v>0</v>
      </c>
      <c r="D43" s="46">
        <f>'Avg Week Mutukula-Kampala'!D43+'Avg Week Kampala-Mutukula'!D43</f>
        <v>0</v>
      </c>
      <c r="E43" s="46">
        <f>'Avg Week Mutukula-Kampala'!E43+'Avg Week Kampala-Mutukula'!E43</f>
        <v>0</v>
      </c>
      <c r="F43" s="46">
        <f>'Avg Week Mutukula-Kampala'!F43+'Avg Week Kampala-Mutukula'!F43</f>
        <v>0</v>
      </c>
      <c r="G43" s="46">
        <f>'Avg Week Mutukula-Kampala'!G43+'Avg Week Kampala-Mutukula'!G43</f>
        <v>0</v>
      </c>
      <c r="H43" s="46">
        <f>'Avg Week Mutukula-Kampala'!H43+'Avg Week Kampala-Mutukula'!H43</f>
        <v>0</v>
      </c>
      <c r="I43" s="46">
        <f>'Avg Week Mutukula-Kampala'!I43+'Avg Week Kampala-Mutukula'!I43</f>
        <v>0</v>
      </c>
      <c r="J43" s="46">
        <f>'Avg Week Mutukula-Kampala'!J43+'Avg Week Kampala-Mutukula'!J43</f>
        <v>0</v>
      </c>
      <c r="K43" s="46">
        <f>'Avg Week Mutukula-Kampala'!K43+'Avg Week Kampala-Mutukula'!K43</f>
        <v>0</v>
      </c>
      <c r="L43" s="46">
        <f>'Avg Week Mutukula-Kampala'!L43+'Avg Week Kampala-Mutukula'!L43</f>
        <v>0</v>
      </c>
      <c r="M43" s="46">
        <f>'Avg Week Mutukula-Kampala'!M43+'Avg Week Kampala-Mutukula'!M43</f>
        <v>0</v>
      </c>
      <c r="N43" s="46">
        <f>'Avg Week Mutukula-Kampala'!N43+'Avg Week Kampala-Mutukula'!N43</f>
        <v>0</v>
      </c>
      <c r="O43" s="15">
        <f t="shared" si="0"/>
        <v>0</v>
      </c>
      <c r="P43" s="15">
        <f t="shared" si="1"/>
        <v>0</v>
      </c>
    </row>
    <row r="44" spans="2:32" ht="23.1" customHeight="1" x14ac:dyDescent="0.25">
      <c r="B44" s="22" t="s">
        <v>71</v>
      </c>
      <c r="C44" s="46">
        <f>'Avg Week Mutukula-Kampala'!C44+'Avg Week Kampala-Mutukula'!C44</f>
        <v>6.6666666666666661</v>
      </c>
      <c r="D44" s="46">
        <f>'Avg Week Mutukula-Kampala'!D44+'Avg Week Kampala-Mutukula'!D44</f>
        <v>0</v>
      </c>
      <c r="E44" s="46">
        <f>'Avg Week Mutukula-Kampala'!E44+'Avg Week Kampala-Mutukula'!E44</f>
        <v>0</v>
      </c>
      <c r="F44" s="46">
        <f>'Avg Week Mutukula-Kampala'!F44+'Avg Week Kampala-Mutukula'!F44</f>
        <v>4</v>
      </c>
      <c r="G44" s="46">
        <f>'Avg Week Mutukula-Kampala'!G44+'Avg Week Kampala-Mutukula'!G44</f>
        <v>0.33333333333333331</v>
      </c>
      <c r="H44" s="46">
        <f>'Avg Week Mutukula-Kampala'!H44+'Avg Week Kampala-Mutukula'!H44</f>
        <v>2.3333333333333335</v>
      </c>
      <c r="I44" s="46">
        <f>'Avg Week Mutukula-Kampala'!I44+'Avg Week Kampala-Mutukula'!I44</f>
        <v>0.66666666666666663</v>
      </c>
      <c r="J44" s="46">
        <f>'Avg Week Mutukula-Kampala'!J44+'Avg Week Kampala-Mutukula'!J44</f>
        <v>2.333333333333333</v>
      </c>
      <c r="K44" s="46">
        <f>'Avg Week Mutukula-Kampala'!K44+'Avg Week Kampala-Mutukula'!K44</f>
        <v>0.33333333333333331</v>
      </c>
      <c r="L44" s="46">
        <f>'Avg Week Mutukula-Kampala'!L44+'Avg Week Kampala-Mutukula'!L44</f>
        <v>0.66666666666666663</v>
      </c>
      <c r="M44" s="46">
        <f>'Avg Week Mutukula-Kampala'!M44+'Avg Week Kampala-Mutukula'!M44</f>
        <v>0.33333333333333331</v>
      </c>
      <c r="N44" s="46">
        <f>'Avg Week Mutukula-Kampala'!N44+'Avg Week Kampala-Mutukula'!N44</f>
        <v>0</v>
      </c>
      <c r="O44" s="15">
        <f t="shared" si="0"/>
        <v>17.333333333333332</v>
      </c>
      <c r="P44" s="15">
        <f t="shared" si="1"/>
        <v>17.666666666666664</v>
      </c>
    </row>
    <row r="45" spans="2:32" ht="23.1" customHeight="1" x14ac:dyDescent="0.25">
      <c r="B45" s="20" t="s">
        <v>72</v>
      </c>
      <c r="C45" s="46">
        <f>'Avg Week Mutukula-Kampala'!C45+'Avg Week Kampala-Mutukula'!C45</f>
        <v>0</v>
      </c>
      <c r="D45" s="46">
        <f>'Avg Week Mutukula-Kampala'!D45+'Avg Week Kampala-Mutukula'!D45</f>
        <v>0</v>
      </c>
      <c r="E45" s="46">
        <f>'Avg Week Mutukula-Kampala'!E45+'Avg Week Kampala-Mutukula'!E45</f>
        <v>0</v>
      </c>
      <c r="F45" s="46">
        <f>'Avg Week Mutukula-Kampala'!F45+'Avg Week Kampala-Mutukula'!F45</f>
        <v>0</v>
      </c>
      <c r="G45" s="46">
        <f>'Avg Week Mutukula-Kampala'!G45+'Avg Week Kampala-Mutukula'!G45</f>
        <v>0</v>
      </c>
      <c r="H45" s="46">
        <f>'Avg Week Mutukula-Kampala'!H45+'Avg Week Kampala-Mutukula'!H45</f>
        <v>0</v>
      </c>
      <c r="I45" s="46">
        <f>'Avg Week Mutukula-Kampala'!I45+'Avg Week Kampala-Mutukula'!I45</f>
        <v>0</v>
      </c>
      <c r="J45" s="46">
        <f>'Avg Week Mutukula-Kampala'!J45+'Avg Week Kampala-Mutukula'!J45</f>
        <v>0</v>
      </c>
      <c r="K45" s="46">
        <f>'Avg Week Mutukula-Kampala'!K45+'Avg Week Kampala-Mutukula'!K45</f>
        <v>0</v>
      </c>
      <c r="L45" s="46">
        <f>'Avg Week Mutukula-Kampala'!L45+'Avg Week Kampala-Mutukula'!L45</f>
        <v>0</v>
      </c>
      <c r="M45" s="46">
        <f>'Avg Week Mutukula-Kampala'!M45+'Avg Week Kampala-Mutukula'!M45</f>
        <v>0</v>
      </c>
      <c r="N45" s="46">
        <f>'Avg Week Mutukula-Kampala'!N45+'Avg Week Kampala-Mutukula'!N45</f>
        <v>0</v>
      </c>
      <c r="O45" s="15">
        <f t="shared" si="0"/>
        <v>0</v>
      </c>
      <c r="P45" s="15">
        <f t="shared" si="1"/>
        <v>0</v>
      </c>
    </row>
    <row r="46" spans="2:32" ht="23.1" customHeight="1" x14ac:dyDescent="0.25">
      <c r="B46" s="21" t="s">
        <v>73</v>
      </c>
      <c r="C46" s="46">
        <f>'Avg Week Mutukula-Kampala'!C46+'Avg Week Kampala-Mutukula'!C46</f>
        <v>6.3333333333333339</v>
      </c>
      <c r="D46" s="46">
        <f>'Avg Week Mutukula-Kampala'!D46+'Avg Week Kampala-Mutukula'!D46</f>
        <v>0</v>
      </c>
      <c r="E46" s="46">
        <f>'Avg Week Mutukula-Kampala'!E46+'Avg Week Kampala-Mutukula'!E46</f>
        <v>0</v>
      </c>
      <c r="F46" s="46">
        <f>'Avg Week Mutukula-Kampala'!F46+'Avg Week Kampala-Mutukula'!F46</f>
        <v>5</v>
      </c>
      <c r="G46" s="46">
        <f>'Avg Week Mutukula-Kampala'!G46+'Avg Week Kampala-Mutukula'!G46</f>
        <v>0.33333333333333331</v>
      </c>
      <c r="H46" s="46">
        <f>'Avg Week Mutukula-Kampala'!H46+'Avg Week Kampala-Mutukula'!H46</f>
        <v>1.6666666666666665</v>
      </c>
      <c r="I46" s="46">
        <f>'Avg Week Mutukula-Kampala'!I46+'Avg Week Kampala-Mutukula'!I46</f>
        <v>0.33333333333333331</v>
      </c>
      <c r="J46" s="46">
        <f>'Avg Week Mutukula-Kampala'!J46+'Avg Week Kampala-Mutukula'!J46</f>
        <v>4</v>
      </c>
      <c r="K46" s="46">
        <f>'Avg Week Mutukula-Kampala'!K46+'Avg Week Kampala-Mutukula'!K46</f>
        <v>1.6666666666666665</v>
      </c>
      <c r="L46" s="46">
        <f>'Avg Week Mutukula-Kampala'!L46+'Avg Week Kampala-Mutukula'!L46</f>
        <v>0.66666666666666663</v>
      </c>
      <c r="M46" s="46">
        <f>'Avg Week Mutukula-Kampala'!M46+'Avg Week Kampala-Mutukula'!M46</f>
        <v>0.66666666666666663</v>
      </c>
      <c r="N46" s="46">
        <f>'Avg Week Mutukula-Kampala'!N46+'Avg Week Kampala-Mutukula'!N46</f>
        <v>0</v>
      </c>
      <c r="O46" s="15">
        <f t="shared" si="0"/>
        <v>20.000000000000004</v>
      </c>
      <c r="P46" s="15">
        <f t="shared" si="1"/>
        <v>20.666666666666671</v>
      </c>
      <c r="R46" s="8"/>
      <c r="T46"/>
    </row>
    <row r="47" spans="2:32" ht="23.1" customHeight="1" x14ac:dyDescent="0.25">
      <c r="B47" s="21" t="s">
        <v>74</v>
      </c>
      <c r="C47" s="46">
        <f>'Avg Week Mutukula-Kampala'!C47+'Avg Week Kampala-Mutukula'!C47</f>
        <v>0</v>
      </c>
      <c r="D47" s="46">
        <f>'Avg Week Mutukula-Kampala'!D47+'Avg Week Kampala-Mutukula'!D47</f>
        <v>0</v>
      </c>
      <c r="E47" s="46">
        <f>'Avg Week Mutukula-Kampala'!E47+'Avg Week Kampala-Mutukula'!E47</f>
        <v>0</v>
      </c>
      <c r="F47" s="46">
        <f>'Avg Week Mutukula-Kampala'!F47+'Avg Week Kampala-Mutukula'!F47</f>
        <v>0</v>
      </c>
      <c r="G47" s="46">
        <f>'Avg Week Mutukula-Kampala'!G47+'Avg Week Kampala-Mutukula'!G47</f>
        <v>0</v>
      </c>
      <c r="H47" s="46">
        <f>'Avg Week Mutukula-Kampala'!H47+'Avg Week Kampala-Mutukula'!H47</f>
        <v>0</v>
      </c>
      <c r="I47" s="46">
        <f>'Avg Week Mutukula-Kampala'!I47+'Avg Week Kampala-Mutukula'!I47</f>
        <v>0</v>
      </c>
      <c r="J47" s="46">
        <f>'Avg Week Mutukula-Kampala'!J47+'Avg Week Kampala-Mutukula'!J47</f>
        <v>0</v>
      </c>
      <c r="K47" s="46">
        <f>'Avg Week Mutukula-Kampala'!K47+'Avg Week Kampala-Mutukula'!K47</f>
        <v>0</v>
      </c>
      <c r="L47" s="46">
        <f>'Avg Week Mutukula-Kampala'!L47+'Avg Week Kampala-Mutukula'!L47</f>
        <v>0</v>
      </c>
      <c r="M47" s="46">
        <f>'Avg Week Mutukula-Kampala'!M47+'Avg Week Kampala-Mutukula'!M47</f>
        <v>0</v>
      </c>
      <c r="N47" s="46">
        <f>'Avg Week Mutukula-Kampala'!N47+'Avg Week Kampala-Mutukula'!N47</f>
        <v>0</v>
      </c>
      <c r="O47" s="15">
        <f t="shared" si="0"/>
        <v>0</v>
      </c>
      <c r="P47" s="15">
        <f t="shared" si="1"/>
        <v>0</v>
      </c>
      <c r="R47" s="8"/>
      <c r="T47"/>
    </row>
    <row r="48" spans="2:32" ht="23.1" customHeight="1" x14ac:dyDescent="0.25">
      <c r="B48" s="21" t="s">
        <v>75</v>
      </c>
      <c r="C48" s="46">
        <f>'Avg Week Mutukula-Kampala'!C48+'Avg Week Kampala-Mutukula'!C48</f>
        <v>6.666666666666667</v>
      </c>
      <c r="D48" s="46">
        <f>'Avg Week Mutukula-Kampala'!D48+'Avg Week Kampala-Mutukula'!D48</f>
        <v>0</v>
      </c>
      <c r="E48" s="46">
        <f>'Avg Week Mutukula-Kampala'!E48+'Avg Week Kampala-Mutukula'!E48</f>
        <v>0</v>
      </c>
      <c r="F48" s="46">
        <f>'Avg Week Mutukula-Kampala'!F48+'Avg Week Kampala-Mutukula'!F48</f>
        <v>1.6666666666666665</v>
      </c>
      <c r="G48" s="46">
        <f>'Avg Week Mutukula-Kampala'!G48+'Avg Week Kampala-Mutukula'!G48</f>
        <v>0</v>
      </c>
      <c r="H48" s="46">
        <f>'Avg Week Mutukula-Kampala'!H48+'Avg Week Kampala-Mutukula'!H48</f>
        <v>0.33333333333333331</v>
      </c>
      <c r="I48" s="46">
        <f>'Avg Week Mutukula-Kampala'!I48+'Avg Week Kampala-Mutukula'!I48</f>
        <v>0.33333333333333331</v>
      </c>
      <c r="J48" s="46">
        <f>'Avg Week Mutukula-Kampala'!J48+'Avg Week Kampala-Mutukula'!J48</f>
        <v>2.6666666666666665</v>
      </c>
      <c r="K48" s="46">
        <f>'Avg Week Mutukula-Kampala'!K48+'Avg Week Kampala-Mutukula'!K48</f>
        <v>0.66666666666666663</v>
      </c>
      <c r="L48" s="46">
        <f>'Avg Week Mutukula-Kampala'!L48+'Avg Week Kampala-Mutukula'!L48</f>
        <v>0.66666666666666663</v>
      </c>
      <c r="M48" s="46">
        <f>'Avg Week Mutukula-Kampala'!M48+'Avg Week Kampala-Mutukula'!M48</f>
        <v>0</v>
      </c>
      <c r="N48" s="46">
        <f>'Avg Week Mutukula-Kampala'!N48+'Avg Week Kampala-Mutukula'!N48</f>
        <v>0</v>
      </c>
      <c r="O48" s="15">
        <f t="shared" si="0"/>
        <v>13</v>
      </c>
      <c r="P48" s="15">
        <f t="shared" si="1"/>
        <v>13</v>
      </c>
      <c r="R48" s="8"/>
      <c r="T48"/>
    </row>
    <row r="49" spans="2:20" ht="23.1" customHeight="1" x14ac:dyDescent="0.25">
      <c r="B49" s="20" t="s">
        <v>76</v>
      </c>
      <c r="C49" s="46">
        <f>'Avg Week Mutukula-Kampala'!C49+'Avg Week Kampala-Mutukula'!C49</f>
        <v>0</v>
      </c>
      <c r="D49" s="46">
        <f>'Avg Week Mutukula-Kampala'!D49+'Avg Week Kampala-Mutukula'!D49</f>
        <v>0</v>
      </c>
      <c r="E49" s="46">
        <f>'Avg Week Mutukula-Kampala'!E49+'Avg Week Kampala-Mutukula'!E49</f>
        <v>0</v>
      </c>
      <c r="F49" s="46">
        <f>'Avg Week Mutukula-Kampala'!F49+'Avg Week Kampala-Mutukula'!F49</f>
        <v>0</v>
      </c>
      <c r="G49" s="46">
        <f>'Avg Week Mutukula-Kampala'!G49+'Avg Week Kampala-Mutukula'!G49</f>
        <v>0</v>
      </c>
      <c r="H49" s="46">
        <f>'Avg Week Mutukula-Kampala'!H49+'Avg Week Kampala-Mutukula'!H49</f>
        <v>0</v>
      </c>
      <c r="I49" s="46">
        <f>'Avg Week Mutukula-Kampala'!I49+'Avg Week Kampala-Mutukula'!I49</f>
        <v>0</v>
      </c>
      <c r="J49" s="46">
        <f>'Avg Week Mutukula-Kampala'!J49+'Avg Week Kampala-Mutukula'!J49</f>
        <v>0</v>
      </c>
      <c r="K49" s="46">
        <f>'Avg Week Mutukula-Kampala'!K49+'Avg Week Kampala-Mutukula'!K49</f>
        <v>0</v>
      </c>
      <c r="L49" s="46">
        <f>'Avg Week Mutukula-Kampala'!L49+'Avg Week Kampala-Mutukula'!L49</f>
        <v>0</v>
      </c>
      <c r="M49" s="46">
        <f>'Avg Week Mutukula-Kampala'!M49+'Avg Week Kampala-Mutukula'!M49</f>
        <v>0</v>
      </c>
      <c r="N49" s="46">
        <f>'Avg Week Mutukula-Kampala'!N49+'Avg Week Kampala-Mutukula'!N49</f>
        <v>0</v>
      </c>
      <c r="O49" s="15">
        <f t="shared" si="0"/>
        <v>0</v>
      </c>
      <c r="P49" s="15">
        <f t="shared" si="1"/>
        <v>0</v>
      </c>
      <c r="R49" s="8"/>
      <c r="T49"/>
    </row>
    <row r="50" spans="2:20" ht="23.1" customHeight="1" x14ac:dyDescent="0.25">
      <c r="B50" s="21" t="s">
        <v>77</v>
      </c>
      <c r="C50" s="46">
        <f>'Avg Week Mutukula-Kampala'!C50+'Avg Week Kampala-Mutukula'!C50</f>
        <v>11.666666666666668</v>
      </c>
      <c r="D50" s="46">
        <f>'Avg Week Mutukula-Kampala'!D50+'Avg Week Kampala-Mutukula'!D50</f>
        <v>0</v>
      </c>
      <c r="E50" s="46">
        <f>'Avg Week Mutukula-Kampala'!E50+'Avg Week Kampala-Mutukula'!E50</f>
        <v>0</v>
      </c>
      <c r="F50" s="46">
        <f>'Avg Week Mutukula-Kampala'!F50+'Avg Week Kampala-Mutukula'!F50</f>
        <v>5.3333333333333339</v>
      </c>
      <c r="G50" s="46">
        <f>'Avg Week Mutukula-Kampala'!G50+'Avg Week Kampala-Mutukula'!G50</f>
        <v>0</v>
      </c>
      <c r="H50" s="46">
        <f>'Avg Week Mutukula-Kampala'!H50+'Avg Week Kampala-Mutukula'!H50</f>
        <v>1</v>
      </c>
      <c r="I50" s="46">
        <f>'Avg Week Mutukula-Kampala'!I50+'Avg Week Kampala-Mutukula'!I50</f>
        <v>1.3333333333333333</v>
      </c>
      <c r="J50" s="46">
        <f>'Avg Week Mutukula-Kampala'!J50+'Avg Week Kampala-Mutukula'!J50</f>
        <v>5.666666666666667</v>
      </c>
      <c r="K50" s="46">
        <f>'Avg Week Mutukula-Kampala'!K50+'Avg Week Kampala-Mutukula'!K50</f>
        <v>0.33333333333333331</v>
      </c>
      <c r="L50" s="46">
        <f>'Avg Week Mutukula-Kampala'!L50+'Avg Week Kampala-Mutukula'!L50</f>
        <v>2.3333333333333335</v>
      </c>
      <c r="M50" s="46">
        <f>'Avg Week Mutukula-Kampala'!M50+'Avg Week Kampala-Mutukula'!M50</f>
        <v>0.33333333333333331</v>
      </c>
      <c r="N50" s="46">
        <f>'Avg Week Mutukula-Kampala'!N50+'Avg Week Kampala-Mutukula'!N50</f>
        <v>0</v>
      </c>
      <c r="O50" s="15">
        <f t="shared" si="0"/>
        <v>27.666666666666664</v>
      </c>
      <c r="P50" s="15">
        <f t="shared" si="1"/>
        <v>27.999999999999996</v>
      </c>
      <c r="R50" s="8"/>
      <c r="T50"/>
    </row>
    <row r="51" spans="2:20" ht="23.1" customHeight="1" x14ac:dyDescent="0.25">
      <c r="B51" s="21" t="s">
        <v>78</v>
      </c>
      <c r="C51" s="46">
        <f>'Avg Week Mutukula-Kampala'!C51+'Avg Week Kampala-Mutukula'!C51</f>
        <v>0</v>
      </c>
      <c r="D51" s="46">
        <f>'Avg Week Mutukula-Kampala'!D51+'Avg Week Kampala-Mutukula'!D51</f>
        <v>0</v>
      </c>
      <c r="E51" s="46">
        <f>'Avg Week Mutukula-Kampala'!E51+'Avg Week Kampala-Mutukula'!E51</f>
        <v>0</v>
      </c>
      <c r="F51" s="46">
        <f>'Avg Week Mutukula-Kampala'!F51+'Avg Week Kampala-Mutukula'!F51</f>
        <v>0</v>
      </c>
      <c r="G51" s="46">
        <f>'Avg Week Mutukula-Kampala'!G51+'Avg Week Kampala-Mutukula'!G51</f>
        <v>0</v>
      </c>
      <c r="H51" s="46">
        <f>'Avg Week Mutukula-Kampala'!H51+'Avg Week Kampala-Mutukula'!H51</f>
        <v>0</v>
      </c>
      <c r="I51" s="46">
        <f>'Avg Week Mutukula-Kampala'!I51+'Avg Week Kampala-Mutukula'!I51</f>
        <v>0</v>
      </c>
      <c r="J51" s="46">
        <f>'Avg Week Mutukula-Kampala'!J51+'Avg Week Kampala-Mutukula'!J51</f>
        <v>0</v>
      </c>
      <c r="K51" s="46">
        <f>'Avg Week Mutukula-Kampala'!K51+'Avg Week Kampala-Mutukula'!K51</f>
        <v>0</v>
      </c>
      <c r="L51" s="46">
        <f>'Avg Week Mutukula-Kampala'!L51+'Avg Week Kampala-Mutukula'!L51</f>
        <v>0</v>
      </c>
      <c r="M51" s="46">
        <f>'Avg Week Mutukula-Kampala'!M51+'Avg Week Kampala-Mutukula'!M51</f>
        <v>0</v>
      </c>
      <c r="N51" s="46">
        <f>'Avg Week Mutukula-Kampala'!N51+'Avg Week Kampala-Mutukula'!N51</f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1" t="s">
        <v>79</v>
      </c>
      <c r="C52" s="46">
        <f>'Avg Week Mutukula-Kampala'!C52+'Avg Week Kampala-Mutukula'!C52</f>
        <v>9.6666666666666679</v>
      </c>
      <c r="D52" s="46">
        <f>'Avg Week Mutukula-Kampala'!D52+'Avg Week Kampala-Mutukula'!D52</f>
        <v>0</v>
      </c>
      <c r="E52" s="46">
        <f>'Avg Week Mutukula-Kampala'!E52+'Avg Week Kampala-Mutukula'!E52</f>
        <v>0</v>
      </c>
      <c r="F52" s="46">
        <f>'Avg Week Mutukula-Kampala'!F52+'Avg Week Kampala-Mutukula'!F52</f>
        <v>3.666666666666667</v>
      </c>
      <c r="G52" s="46">
        <f>'Avg Week Mutukula-Kampala'!G52+'Avg Week Kampala-Mutukula'!G52</f>
        <v>0</v>
      </c>
      <c r="H52" s="46">
        <f>'Avg Week Mutukula-Kampala'!H52+'Avg Week Kampala-Mutukula'!H52</f>
        <v>0</v>
      </c>
      <c r="I52" s="46">
        <f>'Avg Week Mutukula-Kampala'!I52+'Avg Week Kampala-Mutukula'!I52</f>
        <v>0.66666666666666663</v>
      </c>
      <c r="J52" s="46">
        <f>'Avg Week Mutukula-Kampala'!J52+'Avg Week Kampala-Mutukula'!J52</f>
        <v>1.6666666666666665</v>
      </c>
      <c r="K52" s="46">
        <f>'Avg Week Mutukula-Kampala'!K52+'Avg Week Kampala-Mutukula'!K52</f>
        <v>1.6666666666666665</v>
      </c>
      <c r="L52" s="46">
        <f>'Avg Week Mutukula-Kampala'!L52+'Avg Week Kampala-Mutukula'!L52</f>
        <v>3.3333333333333335</v>
      </c>
      <c r="M52" s="46">
        <f>'Avg Week Mutukula-Kampala'!M52+'Avg Week Kampala-Mutukula'!M52</f>
        <v>1.6666666666666667</v>
      </c>
      <c r="N52" s="46">
        <f>'Avg Week Mutukula-Kampala'!N52+'Avg Week Kampala-Mutukula'!N52</f>
        <v>0</v>
      </c>
      <c r="O52" s="15">
        <f t="shared" si="0"/>
        <v>20.666666666666668</v>
      </c>
      <c r="P52" s="15">
        <f t="shared" si="1"/>
        <v>22.333333333333336</v>
      </c>
      <c r="R52" s="8"/>
      <c r="T52"/>
    </row>
    <row r="53" spans="2:20" ht="23.1" customHeight="1" x14ac:dyDescent="0.25">
      <c r="B53" s="20" t="s">
        <v>80</v>
      </c>
      <c r="C53" s="46">
        <f>'Avg Week Mutukula-Kampala'!C53+'Avg Week Kampala-Mutukula'!C53</f>
        <v>0</v>
      </c>
      <c r="D53" s="46">
        <f>'Avg Week Mutukula-Kampala'!D53+'Avg Week Kampala-Mutukula'!D53</f>
        <v>0</v>
      </c>
      <c r="E53" s="46">
        <f>'Avg Week Mutukula-Kampala'!E53+'Avg Week Kampala-Mutukula'!E53</f>
        <v>0</v>
      </c>
      <c r="F53" s="46">
        <f>'Avg Week Mutukula-Kampala'!F53+'Avg Week Kampala-Mutukula'!F53</f>
        <v>0</v>
      </c>
      <c r="G53" s="46">
        <f>'Avg Week Mutukula-Kampala'!G53+'Avg Week Kampala-Mutukula'!G53</f>
        <v>0</v>
      </c>
      <c r="H53" s="46">
        <f>'Avg Week Mutukula-Kampala'!H53+'Avg Week Kampala-Mutukula'!H53</f>
        <v>0</v>
      </c>
      <c r="I53" s="46">
        <f>'Avg Week Mutukula-Kampala'!I53+'Avg Week Kampala-Mutukula'!I53</f>
        <v>0</v>
      </c>
      <c r="J53" s="46">
        <f>'Avg Week Mutukula-Kampala'!J53+'Avg Week Kampala-Mutukula'!J53</f>
        <v>0</v>
      </c>
      <c r="K53" s="46">
        <f>'Avg Week Mutukula-Kampala'!K53+'Avg Week Kampala-Mutukula'!K53</f>
        <v>0</v>
      </c>
      <c r="L53" s="46">
        <f>'Avg Week Mutukula-Kampala'!L53+'Avg Week Kampala-Mutukula'!L53</f>
        <v>0</v>
      </c>
      <c r="M53" s="46">
        <f>'Avg Week Mutukula-Kampala'!M53+'Avg Week Kampala-Mutukula'!M53</f>
        <v>0</v>
      </c>
      <c r="N53" s="46">
        <f>'Avg Week Mutukula-Kampala'!N53+'Avg Week Kampala-Mutukula'!N53</f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0" t="s">
        <v>81</v>
      </c>
      <c r="C54" s="46">
        <f>'Avg Week Mutukula-Kampala'!C54+'Avg Week Kampala-Mutukula'!C54</f>
        <v>7</v>
      </c>
      <c r="D54" s="46">
        <f>'Avg Week Mutukula-Kampala'!D54+'Avg Week Kampala-Mutukula'!D54</f>
        <v>0</v>
      </c>
      <c r="E54" s="46">
        <f>'Avg Week Mutukula-Kampala'!E54+'Avg Week Kampala-Mutukula'!E54</f>
        <v>0</v>
      </c>
      <c r="F54" s="46">
        <f>'Avg Week Mutukula-Kampala'!F54+'Avg Week Kampala-Mutukula'!F54</f>
        <v>4.666666666666667</v>
      </c>
      <c r="G54" s="46">
        <f>'Avg Week Mutukula-Kampala'!G54+'Avg Week Kampala-Mutukula'!G54</f>
        <v>0.33333333333333331</v>
      </c>
      <c r="H54" s="46">
        <f>'Avg Week Mutukula-Kampala'!H54+'Avg Week Kampala-Mutukula'!H54</f>
        <v>1</v>
      </c>
      <c r="I54" s="46">
        <f>'Avg Week Mutukula-Kampala'!I54+'Avg Week Kampala-Mutukula'!I54</f>
        <v>1.3333333333333333</v>
      </c>
      <c r="J54" s="46">
        <f>'Avg Week Mutukula-Kampala'!J54+'Avg Week Kampala-Mutukula'!J54</f>
        <v>3</v>
      </c>
      <c r="K54" s="46">
        <f>'Avg Week Mutukula-Kampala'!K54+'Avg Week Kampala-Mutukula'!K54</f>
        <v>1.6666666666666665</v>
      </c>
      <c r="L54" s="46">
        <f>'Avg Week Mutukula-Kampala'!L54+'Avg Week Kampala-Mutukula'!L54</f>
        <v>3.333333333333333</v>
      </c>
      <c r="M54" s="46">
        <f>'Avg Week Mutukula-Kampala'!M54+'Avg Week Kampala-Mutukula'!M54</f>
        <v>2.6666666666666665</v>
      </c>
      <c r="N54" s="46">
        <f>'Avg Week Mutukula-Kampala'!N54+'Avg Week Kampala-Mutukula'!N54</f>
        <v>0</v>
      </c>
      <c r="O54" s="15">
        <f t="shared" si="0"/>
        <v>22.333333333333336</v>
      </c>
      <c r="P54" s="15">
        <f t="shared" si="1"/>
        <v>25.000000000000004</v>
      </c>
      <c r="R54" s="8"/>
      <c r="T54"/>
    </row>
    <row r="55" spans="2:20" ht="23.1" customHeight="1" x14ac:dyDescent="0.25">
      <c r="B55" s="20" t="s">
        <v>82</v>
      </c>
      <c r="C55" s="46">
        <f>'Avg Week Mutukula-Kampala'!C55+'Avg Week Kampala-Mutukula'!C55</f>
        <v>0</v>
      </c>
      <c r="D55" s="46">
        <f>'Avg Week Mutukula-Kampala'!D55+'Avg Week Kampala-Mutukula'!D55</f>
        <v>0</v>
      </c>
      <c r="E55" s="46">
        <f>'Avg Week Mutukula-Kampala'!E55+'Avg Week Kampala-Mutukula'!E55</f>
        <v>0</v>
      </c>
      <c r="F55" s="46">
        <f>'Avg Week Mutukula-Kampala'!F55+'Avg Week Kampala-Mutukula'!F55</f>
        <v>0</v>
      </c>
      <c r="G55" s="46">
        <f>'Avg Week Mutukula-Kampala'!G55+'Avg Week Kampala-Mutukula'!G55</f>
        <v>0</v>
      </c>
      <c r="H55" s="46">
        <f>'Avg Week Mutukula-Kampala'!H55+'Avg Week Kampala-Mutukula'!H55</f>
        <v>0</v>
      </c>
      <c r="I55" s="46">
        <f>'Avg Week Mutukula-Kampala'!I55+'Avg Week Kampala-Mutukula'!I55</f>
        <v>0</v>
      </c>
      <c r="J55" s="46">
        <f>'Avg Week Mutukula-Kampala'!J55+'Avg Week Kampala-Mutukula'!J55</f>
        <v>0</v>
      </c>
      <c r="K55" s="46">
        <f>'Avg Week Mutukula-Kampala'!K55+'Avg Week Kampala-Mutukula'!K55</f>
        <v>0</v>
      </c>
      <c r="L55" s="46">
        <f>'Avg Week Mutukula-Kampala'!L55+'Avg Week Kampala-Mutukula'!L55</f>
        <v>0</v>
      </c>
      <c r="M55" s="46">
        <f>'Avg Week Mutukula-Kampala'!M55+'Avg Week Kampala-Mutukula'!M55</f>
        <v>0</v>
      </c>
      <c r="N55" s="46">
        <f>'Avg Week Mutukula-Kampala'!N55+'Avg Week Kampala-Mutukula'!N55</f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0" t="s">
        <v>83</v>
      </c>
      <c r="C56" s="46">
        <f>'Avg Week Mutukula-Kampala'!C56+'Avg Week Kampala-Mutukula'!C56</f>
        <v>12.333333333333332</v>
      </c>
      <c r="D56" s="46">
        <f>'Avg Week Mutukula-Kampala'!D56+'Avg Week Kampala-Mutukula'!D56</f>
        <v>0</v>
      </c>
      <c r="E56" s="46">
        <f>'Avg Week Mutukula-Kampala'!E56+'Avg Week Kampala-Mutukula'!E56</f>
        <v>0</v>
      </c>
      <c r="F56" s="46">
        <f>'Avg Week Mutukula-Kampala'!F56+'Avg Week Kampala-Mutukula'!F56</f>
        <v>4</v>
      </c>
      <c r="G56" s="46">
        <f>'Avg Week Mutukula-Kampala'!G56+'Avg Week Kampala-Mutukula'!G56</f>
        <v>1</v>
      </c>
      <c r="H56" s="46">
        <f>'Avg Week Mutukula-Kampala'!H56+'Avg Week Kampala-Mutukula'!H56</f>
        <v>0.33333333333333331</v>
      </c>
      <c r="I56" s="46">
        <f>'Avg Week Mutukula-Kampala'!I56+'Avg Week Kampala-Mutukula'!I56</f>
        <v>2</v>
      </c>
      <c r="J56" s="46">
        <f>'Avg Week Mutukula-Kampala'!J56+'Avg Week Kampala-Mutukula'!J56</f>
        <v>5.3333333333333339</v>
      </c>
      <c r="K56" s="46">
        <f>'Avg Week Mutukula-Kampala'!K56+'Avg Week Kampala-Mutukula'!K56</f>
        <v>0.66666666666666663</v>
      </c>
      <c r="L56" s="46">
        <f>'Avg Week Mutukula-Kampala'!L56+'Avg Week Kampala-Mutukula'!L56</f>
        <v>4</v>
      </c>
      <c r="M56" s="46">
        <f>'Avg Week Mutukula-Kampala'!M56+'Avg Week Kampala-Mutukula'!M56</f>
        <v>1.3333333333333333</v>
      </c>
      <c r="N56" s="46">
        <f>'Avg Week Mutukula-Kampala'!N56+'Avg Week Kampala-Mutukula'!N56</f>
        <v>0</v>
      </c>
      <c r="O56" s="15">
        <f t="shared" si="0"/>
        <v>29.666666666666668</v>
      </c>
      <c r="P56" s="15">
        <f t="shared" si="1"/>
        <v>31</v>
      </c>
      <c r="R56" s="8"/>
      <c r="T56"/>
    </row>
    <row r="57" spans="2:20" ht="23.1" customHeight="1" x14ac:dyDescent="0.25">
      <c r="B57" s="20" t="s">
        <v>84</v>
      </c>
      <c r="C57" s="46">
        <f>'Avg Week Mutukula-Kampala'!C57+'Avg Week Kampala-Mutukula'!C57</f>
        <v>0</v>
      </c>
      <c r="D57" s="46">
        <f>'Avg Week Mutukula-Kampala'!D57+'Avg Week Kampala-Mutukula'!D57</f>
        <v>0</v>
      </c>
      <c r="E57" s="46">
        <f>'Avg Week Mutukula-Kampala'!E57+'Avg Week Kampala-Mutukula'!E57</f>
        <v>0</v>
      </c>
      <c r="F57" s="46">
        <f>'Avg Week Mutukula-Kampala'!F57+'Avg Week Kampala-Mutukula'!F57</f>
        <v>0</v>
      </c>
      <c r="G57" s="46">
        <f>'Avg Week Mutukula-Kampala'!G57+'Avg Week Kampala-Mutukula'!G57</f>
        <v>0</v>
      </c>
      <c r="H57" s="46">
        <f>'Avg Week Mutukula-Kampala'!H57+'Avg Week Kampala-Mutukula'!H57</f>
        <v>0</v>
      </c>
      <c r="I57" s="46">
        <f>'Avg Week Mutukula-Kampala'!I57+'Avg Week Kampala-Mutukula'!I57</f>
        <v>0</v>
      </c>
      <c r="J57" s="46">
        <f>'Avg Week Mutukula-Kampala'!J57+'Avg Week Kampala-Mutukula'!J57</f>
        <v>0</v>
      </c>
      <c r="K57" s="46">
        <f>'Avg Week Mutukula-Kampala'!K57+'Avg Week Kampala-Mutukula'!K57</f>
        <v>0</v>
      </c>
      <c r="L57" s="46">
        <f>'Avg Week Mutukula-Kampala'!L57+'Avg Week Kampala-Mutukula'!L57</f>
        <v>0</v>
      </c>
      <c r="M57" s="46">
        <f>'Avg Week Mutukula-Kampala'!M57+'Avg Week Kampala-Mutukula'!M57</f>
        <v>0</v>
      </c>
      <c r="N57" s="46">
        <f>'Avg Week Mutukula-Kampala'!N57+'Avg Week Kampala-Mutukula'!N57</f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0" t="s">
        <v>99</v>
      </c>
      <c r="C58" s="46">
        <f>AVERAGE('Avg Week Kampala-Mutukula'!C58+'Avg Week Mutukula-Kampala'!C58)</f>
        <v>9</v>
      </c>
      <c r="D58" s="46">
        <f>AVERAGE('Avg Week Kampala-Mutukula'!D58+'Avg Week Mutukula-Kampala'!D58)</f>
        <v>0</v>
      </c>
      <c r="E58" s="46">
        <f>AVERAGE('Avg Week Kampala-Mutukula'!E58+'Avg Week Mutukula-Kampala'!E58)</f>
        <v>0</v>
      </c>
      <c r="F58" s="46">
        <f>AVERAGE('Avg Week Kampala-Mutukula'!F58+'Avg Week Mutukula-Kampala'!F58)</f>
        <v>2.333333333333333</v>
      </c>
      <c r="G58" s="46">
        <f>AVERAGE('Avg Week Kampala-Mutukula'!G58+'Avg Week Mutukula-Kampala'!G58)</f>
        <v>0</v>
      </c>
      <c r="H58" s="46">
        <f>AVERAGE('Avg Week Kampala-Mutukula'!H58+'Avg Week Mutukula-Kampala'!H58)</f>
        <v>0.33333333333333331</v>
      </c>
      <c r="I58" s="46">
        <f>AVERAGE('Avg Week Kampala-Mutukula'!I58+'Avg Week Mutukula-Kampala'!I58)</f>
        <v>1</v>
      </c>
      <c r="J58" s="46">
        <f>AVERAGE('Avg Week Kampala-Mutukula'!J58+'Avg Week Mutukula-Kampala'!J58)</f>
        <v>1.6666666666666665</v>
      </c>
      <c r="K58" s="46">
        <f>AVERAGE('Avg Week Kampala-Mutukula'!K58+'Avg Week Mutukula-Kampala'!K58)</f>
        <v>1</v>
      </c>
      <c r="L58" s="46">
        <f>AVERAGE('Avg Week Kampala-Mutukula'!L58+'Avg Week Mutukula-Kampala'!L58)</f>
        <v>3.333333333333333</v>
      </c>
      <c r="M58" s="46">
        <f>AVERAGE('Avg Week Kampala-Mutukula'!M58+'Avg Week Mutukula-Kampala'!M58)</f>
        <v>0</v>
      </c>
      <c r="N58" s="46">
        <f>AVERAGE('Avg Week Kampala-Mutukula'!N58+'Avg Week Mutukula-Kampala'!N58)</f>
        <v>0</v>
      </c>
      <c r="O58" s="15">
        <f t="shared" si="0"/>
        <v>18.666666666666664</v>
      </c>
      <c r="P58" s="15">
        <f t="shared" si="1"/>
        <v>18.666666666666664</v>
      </c>
      <c r="R58" s="8"/>
      <c r="T58"/>
    </row>
    <row r="59" spans="2:20" ht="23.1" customHeight="1" x14ac:dyDescent="0.25">
      <c r="B59" s="20" t="s">
        <v>100</v>
      </c>
      <c r="C59" s="46">
        <f>AVERAGE('Avg Week Kampala-Mutukula'!C59+'Avg Week Mutukula-Kampala'!C59)</f>
        <v>0</v>
      </c>
      <c r="D59" s="46">
        <f>AVERAGE('Avg Week Kampala-Mutukula'!D59+'Avg Week Mutukula-Kampala'!D59)</f>
        <v>0</v>
      </c>
      <c r="E59" s="46">
        <f>AVERAGE('Avg Week Kampala-Mutukula'!E59+'Avg Week Mutukula-Kampala'!E59)</f>
        <v>0</v>
      </c>
      <c r="F59" s="46">
        <f>AVERAGE('Avg Week Kampala-Mutukula'!F59+'Avg Week Mutukula-Kampala'!F59)</f>
        <v>0</v>
      </c>
      <c r="G59" s="46">
        <f>AVERAGE('Avg Week Kampala-Mutukula'!G59+'Avg Week Mutukula-Kampala'!G59)</f>
        <v>0</v>
      </c>
      <c r="H59" s="46">
        <f>AVERAGE('Avg Week Kampala-Mutukula'!H59+'Avg Week Mutukula-Kampala'!H59)</f>
        <v>0</v>
      </c>
      <c r="I59" s="46">
        <f>AVERAGE('Avg Week Kampala-Mutukula'!I59+'Avg Week Mutukula-Kampala'!I59)</f>
        <v>0</v>
      </c>
      <c r="J59" s="46">
        <f>AVERAGE('Avg Week Kampala-Mutukula'!J59+'Avg Week Mutukula-Kampala'!J59)</f>
        <v>0</v>
      </c>
      <c r="K59" s="46">
        <f>AVERAGE('Avg Week Kampala-Mutukula'!K59+'Avg Week Mutukula-Kampala'!K59)</f>
        <v>0</v>
      </c>
      <c r="L59" s="46">
        <f>AVERAGE('Avg Week Kampala-Mutukula'!L59+'Avg Week Mutukula-Kampala'!L59)</f>
        <v>0</v>
      </c>
      <c r="M59" s="46">
        <f>AVERAGE('Avg Week Kampala-Mutukula'!M59+'Avg Week Mutukula-Kampala'!M59)</f>
        <v>0</v>
      </c>
      <c r="N59" s="46">
        <f>AVERAGE('Avg Week Kampala-Mutukula'!N59+'Avg Week Mutukula-Kampala'!N59)</f>
        <v>0</v>
      </c>
      <c r="O59" s="15">
        <f t="shared" si="0"/>
        <v>0</v>
      </c>
      <c r="P59" s="15">
        <f t="shared" si="1"/>
        <v>0</v>
      </c>
      <c r="R59" s="8"/>
      <c r="T59"/>
    </row>
    <row r="60" spans="2:20" ht="23.1" customHeight="1" x14ac:dyDescent="0.25">
      <c r="B60" s="20" t="s">
        <v>101</v>
      </c>
      <c r="C60" s="46">
        <f>AVERAGE('Avg Week Kampala-Mutukula'!C60+'Avg Week Mutukula-Kampala'!C60)</f>
        <v>14.333333333333334</v>
      </c>
      <c r="D60" s="46">
        <f>AVERAGE('Avg Week Kampala-Mutukula'!D60+'Avg Week Mutukula-Kampala'!D60)</f>
        <v>0</v>
      </c>
      <c r="E60" s="46">
        <f>AVERAGE('Avg Week Kampala-Mutukula'!E60+'Avg Week Mutukula-Kampala'!E60)</f>
        <v>0</v>
      </c>
      <c r="F60" s="46">
        <f>AVERAGE('Avg Week Kampala-Mutukula'!F60+'Avg Week Mutukula-Kampala'!F60)</f>
        <v>2.666666666666667</v>
      </c>
      <c r="G60" s="46">
        <f>AVERAGE('Avg Week Kampala-Mutukula'!G60+'Avg Week Mutukula-Kampala'!G60)</f>
        <v>0</v>
      </c>
      <c r="H60" s="46">
        <f>AVERAGE('Avg Week Kampala-Mutukula'!H60+'Avg Week Mutukula-Kampala'!H60)</f>
        <v>1.3333333333333333</v>
      </c>
      <c r="I60" s="46">
        <f>AVERAGE('Avg Week Kampala-Mutukula'!I60+'Avg Week Mutukula-Kampala'!I60)</f>
        <v>0.66666666666666663</v>
      </c>
      <c r="J60" s="46">
        <f>AVERAGE('Avg Week Kampala-Mutukula'!J60+'Avg Week Mutukula-Kampala'!J60)</f>
        <v>3.333333333333333</v>
      </c>
      <c r="K60" s="46">
        <f>AVERAGE('Avg Week Kampala-Mutukula'!K60+'Avg Week Mutukula-Kampala'!K60)</f>
        <v>1</v>
      </c>
      <c r="L60" s="46">
        <f>AVERAGE('Avg Week Kampala-Mutukula'!L60+'Avg Week Mutukula-Kampala'!L60)</f>
        <v>6.333333333333333</v>
      </c>
      <c r="M60" s="46">
        <f>AVERAGE('Avg Week Kampala-Mutukula'!M60+'Avg Week Mutukula-Kampala'!M60)</f>
        <v>0</v>
      </c>
      <c r="N60" s="46">
        <f>AVERAGE('Avg Week Kampala-Mutukula'!N60+'Avg Week Mutukula-Kampala'!N60)</f>
        <v>0</v>
      </c>
      <c r="O60" s="15">
        <f t="shared" si="0"/>
        <v>29.666666666666664</v>
      </c>
      <c r="P60" s="15">
        <f t="shared" si="1"/>
        <v>29.666666666666664</v>
      </c>
      <c r="R60" s="8"/>
      <c r="T60"/>
    </row>
    <row r="61" spans="2:20" ht="23.1" customHeight="1" x14ac:dyDescent="0.25">
      <c r="B61" s="20" t="s">
        <v>102</v>
      </c>
      <c r="C61" s="46">
        <f>AVERAGE('Avg Week Kampala-Mutukula'!C61+'Avg Week Mutukula-Kampala'!C61)</f>
        <v>0</v>
      </c>
      <c r="D61" s="46">
        <f>AVERAGE('Avg Week Kampala-Mutukula'!D61+'Avg Week Mutukula-Kampala'!D61)</f>
        <v>0</v>
      </c>
      <c r="E61" s="46">
        <f>AVERAGE('Avg Week Kampala-Mutukula'!E61+'Avg Week Mutukula-Kampala'!E61)</f>
        <v>0</v>
      </c>
      <c r="F61" s="46">
        <f>AVERAGE('Avg Week Kampala-Mutukula'!F61+'Avg Week Mutukula-Kampala'!F61)</f>
        <v>0</v>
      </c>
      <c r="G61" s="46">
        <f>AVERAGE('Avg Week Kampala-Mutukula'!G61+'Avg Week Mutukula-Kampala'!G61)</f>
        <v>0</v>
      </c>
      <c r="H61" s="46">
        <f>AVERAGE('Avg Week Kampala-Mutukula'!H61+'Avg Week Mutukula-Kampala'!H61)</f>
        <v>0</v>
      </c>
      <c r="I61" s="46">
        <f>AVERAGE('Avg Week Kampala-Mutukula'!I61+'Avg Week Mutukula-Kampala'!I61)</f>
        <v>0</v>
      </c>
      <c r="J61" s="46">
        <f>AVERAGE('Avg Week Kampala-Mutukula'!J61+'Avg Week Mutukula-Kampala'!J61)</f>
        <v>0</v>
      </c>
      <c r="K61" s="46">
        <f>AVERAGE('Avg Week Kampala-Mutukula'!K61+'Avg Week Mutukula-Kampala'!K61)</f>
        <v>0</v>
      </c>
      <c r="L61" s="46">
        <f>AVERAGE('Avg Week Kampala-Mutukula'!L61+'Avg Week Mutukula-Kampala'!L61)</f>
        <v>0</v>
      </c>
      <c r="M61" s="46">
        <f>AVERAGE('Avg Week Kampala-Mutukula'!M61+'Avg Week Mutukula-Kampala'!M61)</f>
        <v>0</v>
      </c>
      <c r="N61" s="46">
        <f>AVERAGE('Avg Week Kampala-Mutukula'!N61+'Avg Week Mutukula-Kampala'!N61)</f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20" t="s">
        <v>107</v>
      </c>
      <c r="C62" s="46">
        <f>AVERAGE('Avg Week Kampala-Mutukula'!C62+'Avg Week Mutukula-Kampala'!C62)</f>
        <v>12</v>
      </c>
      <c r="D62" s="46">
        <f>AVERAGE('Avg Week Kampala-Mutukula'!D62+'Avg Week Mutukula-Kampala'!D62)</f>
        <v>0</v>
      </c>
      <c r="E62" s="46">
        <f>AVERAGE('Avg Week Kampala-Mutukula'!E62+'Avg Week Mutukula-Kampala'!E62)</f>
        <v>0</v>
      </c>
      <c r="F62" s="46">
        <f>AVERAGE('Avg Week Kampala-Mutukula'!F62+'Avg Week Mutukula-Kampala'!F62)</f>
        <v>2</v>
      </c>
      <c r="G62" s="46">
        <f>AVERAGE('Avg Week Kampala-Mutukula'!G62+'Avg Week Mutukula-Kampala'!G62)</f>
        <v>0</v>
      </c>
      <c r="H62" s="46">
        <f>AVERAGE('Avg Week Kampala-Mutukula'!H62+'Avg Week Mutukula-Kampala'!H62)</f>
        <v>1</v>
      </c>
      <c r="I62" s="46">
        <f>AVERAGE('Avg Week Kampala-Mutukula'!I62+'Avg Week Mutukula-Kampala'!I62)</f>
        <v>0.66666666666666663</v>
      </c>
      <c r="J62" s="46">
        <f>AVERAGE('Avg Week Kampala-Mutukula'!J62+'Avg Week Mutukula-Kampala'!J62)</f>
        <v>3</v>
      </c>
      <c r="K62" s="46">
        <f>AVERAGE('Avg Week Kampala-Mutukula'!K62+'Avg Week Mutukula-Kampala'!K62)</f>
        <v>3.6666666666666665</v>
      </c>
      <c r="L62" s="46">
        <f>AVERAGE('Avg Week Kampala-Mutukula'!L62+'Avg Week Mutukula-Kampala'!L62)</f>
        <v>1.6666666666666665</v>
      </c>
      <c r="M62" s="46">
        <f>AVERAGE('Avg Week Kampala-Mutukula'!M62+'Avg Week Mutukula-Kampala'!M62)</f>
        <v>0</v>
      </c>
      <c r="N62" s="46">
        <f>AVERAGE('Avg Week Kampala-Mutukula'!N62+'Avg Week Mutukula-Kampala'!N62)</f>
        <v>0</v>
      </c>
      <c r="O62" s="15">
        <f t="shared" si="0"/>
        <v>24</v>
      </c>
      <c r="P62" s="15">
        <f t="shared" si="1"/>
        <v>24</v>
      </c>
      <c r="R62" s="8"/>
      <c r="T62"/>
    </row>
    <row r="63" spans="2:20" ht="23.1" customHeight="1" x14ac:dyDescent="0.25">
      <c r="B63" s="20" t="s">
        <v>108</v>
      </c>
      <c r="C63" s="46">
        <f>AVERAGE('Avg Week Kampala-Mutukula'!C63+'Avg Week Mutukula-Kampala'!C63)</f>
        <v>0</v>
      </c>
      <c r="D63" s="46">
        <f>AVERAGE('Avg Week Kampala-Mutukula'!D63+'Avg Week Mutukula-Kampala'!D63)</f>
        <v>0</v>
      </c>
      <c r="E63" s="46">
        <f>AVERAGE('Avg Week Kampala-Mutukula'!E63+'Avg Week Mutukula-Kampala'!E63)</f>
        <v>0</v>
      </c>
      <c r="F63" s="46">
        <f>AVERAGE('Avg Week Kampala-Mutukula'!F63+'Avg Week Mutukula-Kampala'!F63)</f>
        <v>0</v>
      </c>
      <c r="G63" s="46">
        <f>AVERAGE('Avg Week Kampala-Mutukula'!G63+'Avg Week Mutukula-Kampala'!G63)</f>
        <v>0</v>
      </c>
      <c r="H63" s="46">
        <f>AVERAGE('Avg Week Kampala-Mutukula'!H63+'Avg Week Mutukula-Kampala'!H63)</f>
        <v>0</v>
      </c>
      <c r="I63" s="46">
        <f>AVERAGE('Avg Week Kampala-Mutukula'!I63+'Avg Week Mutukula-Kampala'!I63)</f>
        <v>0</v>
      </c>
      <c r="J63" s="46">
        <f>AVERAGE('Avg Week Kampala-Mutukula'!J63+'Avg Week Mutukula-Kampala'!J63)</f>
        <v>0</v>
      </c>
      <c r="K63" s="46">
        <f>AVERAGE('Avg Week Kampala-Mutukula'!K63+'Avg Week Mutukula-Kampala'!K63)</f>
        <v>0</v>
      </c>
      <c r="L63" s="46">
        <f>AVERAGE('Avg Week Kampala-Mutukula'!L63+'Avg Week Mutukula-Kampala'!L63)</f>
        <v>0</v>
      </c>
      <c r="M63" s="46">
        <f>AVERAGE('Avg Week Kampala-Mutukula'!M63+'Avg Week Mutukula-Kampala'!M63)</f>
        <v>0</v>
      </c>
      <c r="N63" s="46">
        <f>AVERAGE('Avg Week Kampala-Mutukula'!N63+'Avg Week Mutukula-Kampala'!N63)</f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20" t="s">
        <v>109</v>
      </c>
      <c r="C64" s="46">
        <f>AVERAGE('Avg Week Kampala-Mutukula'!C64+'Avg Week Mutukula-Kampala'!C64)</f>
        <v>11.333333333333332</v>
      </c>
      <c r="D64" s="46">
        <f>AVERAGE('Avg Week Kampala-Mutukula'!D64+'Avg Week Mutukula-Kampala'!D64)</f>
        <v>0</v>
      </c>
      <c r="E64" s="46">
        <f>AVERAGE('Avg Week Kampala-Mutukula'!E64+'Avg Week Mutukula-Kampala'!E64)</f>
        <v>0</v>
      </c>
      <c r="F64" s="46">
        <f>AVERAGE('Avg Week Kampala-Mutukula'!F64+'Avg Week Mutukula-Kampala'!F64)</f>
        <v>1.6666666666666665</v>
      </c>
      <c r="G64" s="46">
        <f>AVERAGE('Avg Week Kampala-Mutukula'!G64+'Avg Week Mutukula-Kampala'!G64)</f>
        <v>0.33333333333333331</v>
      </c>
      <c r="H64" s="46">
        <f>AVERAGE('Avg Week Kampala-Mutukula'!H64+'Avg Week Mutukula-Kampala'!H64)</f>
        <v>0</v>
      </c>
      <c r="I64" s="46">
        <f>AVERAGE('Avg Week Kampala-Mutukula'!I64+'Avg Week Mutukula-Kampala'!I64)</f>
        <v>0.66666666666666663</v>
      </c>
      <c r="J64" s="46">
        <f>AVERAGE('Avg Week Kampala-Mutukula'!J64+'Avg Week Mutukula-Kampala'!J64)</f>
        <v>1.3333333333333333</v>
      </c>
      <c r="K64" s="46">
        <f>AVERAGE('Avg Week Kampala-Mutukula'!K64+'Avg Week Mutukula-Kampala'!K64)</f>
        <v>2.3333333333333335</v>
      </c>
      <c r="L64" s="46">
        <f>AVERAGE('Avg Week Kampala-Mutukula'!L64+'Avg Week Mutukula-Kampala'!L64)</f>
        <v>2.3333333333333335</v>
      </c>
      <c r="M64" s="46">
        <f>AVERAGE('Avg Week Kampala-Mutukula'!M64+'Avg Week Mutukula-Kampala'!M64)</f>
        <v>0</v>
      </c>
      <c r="N64" s="46">
        <f>AVERAGE('Avg Week Kampala-Mutukula'!N64+'Avg Week Mutukula-Kampala'!N64)</f>
        <v>0</v>
      </c>
      <c r="O64" s="15">
        <f t="shared" si="0"/>
        <v>19.999999999999996</v>
      </c>
      <c r="P64" s="15">
        <f t="shared" si="1"/>
        <v>19.999999999999996</v>
      </c>
      <c r="R64" s="8"/>
      <c r="T64"/>
    </row>
    <row r="65" spans="2:20" ht="23.1" customHeight="1" x14ac:dyDescent="0.25">
      <c r="B65" s="20" t="s">
        <v>158</v>
      </c>
      <c r="C65" s="46">
        <f>AVERAGE('Avg Week Kampala-Mutukula'!C65+'Avg Week Mutukula-Kampala'!C65)</f>
        <v>0</v>
      </c>
      <c r="D65" s="46">
        <f>AVERAGE('Avg Week Kampala-Mutukula'!D65+'Avg Week Mutukula-Kampala'!D65)</f>
        <v>0</v>
      </c>
      <c r="E65" s="46">
        <f>AVERAGE('Avg Week Kampala-Mutukula'!E65+'Avg Week Mutukula-Kampala'!E65)</f>
        <v>0</v>
      </c>
      <c r="F65" s="46">
        <f>AVERAGE('Avg Week Kampala-Mutukula'!F65+'Avg Week Mutukula-Kampala'!F65)</f>
        <v>0</v>
      </c>
      <c r="G65" s="46">
        <f>AVERAGE('Avg Week Kampala-Mutukula'!G65+'Avg Week Mutukula-Kampala'!G65)</f>
        <v>0</v>
      </c>
      <c r="H65" s="46">
        <f>AVERAGE('Avg Week Kampala-Mutukula'!H65+'Avg Week Mutukula-Kampala'!H65)</f>
        <v>0</v>
      </c>
      <c r="I65" s="46">
        <f>AVERAGE('Avg Week Kampala-Mutukula'!I65+'Avg Week Mutukula-Kampala'!I65)</f>
        <v>0</v>
      </c>
      <c r="J65" s="46">
        <f>AVERAGE('Avg Week Kampala-Mutukula'!J65+'Avg Week Mutukula-Kampala'!J65)</f>
        <v>0</v>
      </c>
      <c r="K65" s="46">
        <f>AVERAGE('Avg Week Kampala-Mutukula'!K65+'Avg Week Mutukula-Kampala'!K65)</f>
        <v>0</v>
      </c>
      <c r="L65" s="46">
        <f>AVERAGE('Avg Week Kampala-Mutukula'!L65+'Avg Week Mutukula-Kampala'!L65)</f>
        <v>0</v>
      </c>
      <c r="M65" s="46">
        <f>AVERAGE('Avg Week Kampala-Mutukula'!M65+'Avg Week Mutukula-Kampala'!M65)</f>
        <v>0</v>
      </c>
      <c r="N65" s="46">
        <f>AVERAGE('Avg Week Kampala-Mutukula'!N65+'Avg Week Mutukula-Kampala'!N65)</f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20" t="s">
        <v>103</v>
      </c>
      <c r="C66" s="46">
        <f>AVERAGE('Avg Week Kampala-Mutukula'!C66+'Avg Week Mutukula-Kampala'!C66)</f>
        <v>4.666666666666667</v>
      </c>
      <c r="D66" s="46">
        <f>AVERAGE('Avg Week Kampala-Mutukula'!D66+'Avg Week Mutukula-Kampala'!D66)</f>
        <v>0</v>
      </c>
      <c r="E66" s="46">
        <f>AVERAGE('Avg Week Kampala-Mutukula'!E66+'Avg Week Mutukula-Kampala'!E66)</f>
        <v>0</v>
      </c>
      <c r="F66" s="46">
        <f>AVERAGE('Avg Week Kampala-Mutukula'!F66+'Avg Week Mutukula-Kampala'!F66)</f>
        <v>2</v>
      </c>
      <c r="G66" s="46">
        <f>AVERAGE('Avg Week Kampala-Mutukula'!G66+'Avg Week Mutukula-Kampala'!G66)</f>
        <v>0.33333333333333331</v>
      </c>
      <c r="H66" s="46">
        <f>AVERAGE('Avg Week Kampala-Mutukula'!H66+'Avg Week Mutukula-Kampala'!H66)</f>
        <v>0</v>
      </c>
      <c r="I66" s="46">
        <f>AVERAGE('Avg Week Kampala-Mutukula'!I66+'Avg Week Mutukula-Kampala'!I66)</f>
        <v>0.33333333333333331</v>
      </c>
      <c r="J66" s="46">
        <f>AVERAGE('Avg Week Kampala-Mutukula'!J66+'Avg Week Mutukula-Kampala'!J66)</f>
        <v>5</v>
      </c>
      <c r="K66" s="46">
        <f>AVERAGE('Avg Week Kampala-Mutukula'!K66+'Avg Week Mutukula-Kampala'!K66)</f>
        <v>4</v>
      </c>
      <c r="L66" s="46">
        <f>AVERAGE('Avg Week Kampala-Mutukula'!L66+'Avg Week Mutukula-Kampala'!L66)</f>
        <v>5</v>
      </c>
      <c r="M66" s="46">
        <f>AVERAGE('Avg Week Kampala-Mutukula'!M66+'Avg Week Mutukula-Kampala'!M66)</f>
        <v>0</v>
      </c>
      <c r="N66" s="46">
        <f>AVERAGE('Avg Week Kampala-Mutukula'!N66+'Avg Week Mutukula-Kampala'!N66)</f>
        <v>0</v>
      </c>
      <c r="O66" s="15">
        <f t="shared" si="0"/>
        <v>21.333333333333332</v>
      </c>
      <c r="P66" s="15">
        <f t="shared" si="1"/>
        <v>21.333333333333332</v>
      </c>
      <c r="R66" s="8"/>
      <c r="T66"/>
    </row>
    <row r="67" spans="2:20" ht="23.1" customHeight="1" x14ac:dyDescent="0.25">
      <c r="B67" s="20" t="s">
        <v>104</v>
      </c>
      <c r="C67" s="46">
        <f>AVERAGE('Avg Week Kampala-Mutukula'!C67+'Avg Week Mutukula-Kampala'!C67)</f>
        <v>0</v>
      </c>
      <c r="D67" s="46">
        <f>AVERAGE('Avg Week Kampala-Mutukula'!D67+'Avg Week Mutukula-Kampala'!D67)</f>
        <v>0</v>
      </c>
      <c r="E67" s="46">
        <f>AVERAGE('Avg Week Kampala-Mutukula'!E67+'Avg Week Mutukula-Kampala'!E67)</f>
        <v>0</v>
      </c>
      <c r="F67" s="46">
        <f>AVERAGE('Avg Week Kampala-Mutukula'!F67+'Avg Week Mutukula-Kampala'!F67)</f>
        <v>0</v>
      </c>
      <c r="G67" s="46">
        <f>AVERAGE('Avg Week Kampala-Mutukula'!G67+'Avg Week Mutukula-Kampala'!G67)</f>
        <v>0</v>
      </c>
      <c r="H67" s="46">
        <f>AVERAGE('Avg Week Kampala-Mutukula'!H67+'Avg Week Mutukula-Kampala'!H67)</f>
        <v>0</v>
      </c>
      <c r="I67" s="46">
        <f>AVERAGE('Avg Week Kampala-Mutukula'!I67+'Avg Week Mutukula-Kampala'!I67)</f>
        <v>0</v>
      </c>
      <c r="J67" s="46">
        <f>AVERAGE('Avg Week Kampala-Mutukula'!J67+'Avg Week Mutukula-Kampala'!J67)</f>
        <v>0</v>
      </c>
      <c r="K67" s="46">
        <f>AVERAGE('Avg Week Kampala-Mutukula'!K67+'Avg Week Mutukula-Kampala'!K67)</f>
        <v>0</v>
      </c>
      <c r="L67" s="46">
        <f>AVERAGE('Avg Week Kampala-Mutukula'!L67+'Avg Week Mutukula-Kampala'!L67)</f>
        <v>0</v>
      </c>
      <c r="M67" s="46">
        <f>AVERAGE('Avg Week Kampala-Mutukula'!M67+'Avg Week Mutukula-Kampala'!M67)</f>
        <v>0</v>
      </c>
      <c r="N67" s="46">
        <f>AVERAGE('Avg Week Kampala-Mutukula'!N67+'Avg Week Mutukula-Kampala'!N67)</f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20" t="s">
        <v>105</v>
      </c>
      <c r="C68" s="46">
        <f>AVERAGE('Avg Week Kampala-Mutukula'!C68+'Avg Week Mutukula-Kampala'!C68)</f>
        <v>4</v>
      </c>
      <c r="D68" s="46">
        <f>AVERAGE('Avg Week Kampala-Mutukula'!D68+'Avg Week Mutukula-Kampala'!D68)</f>
        <v>0</v>
      </c>
      <c r="E68" s="46">
        <f>AVERAGE('Avg Week Kampala-Mutukula'!E68+'Avg Week Mutukula-Kampala'!E68)</f>
        <v>0</v>
      </c>
      <c r="F68" s="46">
        <f>AVERAGE('Avg Week Kampala-Mutukula'!F68+'Avg Week Mutukula-Kampala'!F68)</f>
        <v>2</v>
      </c>
      <c r="G68" s="46">
        <f>AVERAGE('Avg Week Kampala-Mutukula'!G68+'Avg Week Mutukula-Kampala'!G68)</f>
        <v>0.33333333333333331</v>
      </c>
      <c r="H68" s="46">
        <f>AVERAGE('Avg Week Kampala-Mutukula'!H68+'Avg Week Mutukula-Kampala'!H68)</f>
        <v>0</v>
      </c>
      <c r="I68" s="46">
        <f>AVERAGE('Avg Week Kampala-Mutukula'!I68+'Avg Week Mutukula-Kampala'!I68)</f>
        <v>0.66666666666666663</v>
      </c>
      <c r="J68" s="46">
        <f>AVERAGE('Avg Week Kampala-Mutukula'!J68+'Avg Week Mutukula-Kampala'!J68)</f>
        <v>1.3333333333333333</v>
      </c>
      <c r="K68" s="46">
        <f>AVERAGE('Avg Week Kampala-Mutukula'!K68+'Avg Week Mutukula-Kampala'!K68)</f>
        <v>1.3333333333333333</v>
      </c>
      <c r="L68" s="46">
        <f>AVERAGE('Avg Week Kampala-Mutukula'!L68+'Avg Week Mutukula-Kampala'!L68)</f>
        <v>4.333333333333333</v>
      </c>
      <c r="M68" s="46">
        <f>AVERAGE('Avg Week Kampala-Mutukula'!M68+'Avg Week Mutukula-Kampala'!M68)</f>
        <v>0</v>
      </c>
      <c r="N68" s="46">
        <f>AVERAGE('Avg Week Kampala-Mutukula'!N68+'Avg Week Mutukula-Kampala'!N68)</f>
        <v>0</v>
      </c>
      <c r="O68" s="15">
        <f t="shared" si="0"/>
        <v>14</v>
      </c>
      <c r="P68" s="15">
        <f t="shared" si="1"/>
        <v>14</v>
      </c>
      <c r="R68" s="8"/>
      <c r="T68"/>
    </row>
    <row r="69" spans="2:20" ht="23.1" customHeight="1" x14ac:dyDescent="0.25">
      <c r="B69" s="20" t="s">
        <v>106</v>
      </c>
      <c r="C69" s="46">
        <f>AVERAGE('Avg Week Kampala-Mutukula'!C69+'Avg Week Mutukula-Kampala'!C69)</f>
        <v>0</v>
      </c>
      <c r="D69" s="46">
        <f>AVERAGE('Avg Week Kampala-Mutukula'!D69+'Avg Week Mutukula-Kampala'!D69)</f>
        <v>0</v>
      </c>
      <c r="E69" s="46">
        <f>AVERAGE('Avg Week Kampala-Mutukula'!E69+'Avg Week Mutukula-Kampala'!E69)</f>
        <v>0</v>
      </c>
      <c r="F69" s="46">
        <f>AVERAGE('Avg Week Kampala-Mutukula'!F69+'Avg Week Mutukula-Kampala'!F69)</f>
        <v>0</v>
      </c>
      <c r="G69" s="46">
        <f>AVERAGE('Avg Week Kampala-Mutukula'!G69+'Avg Week Mutukula-Kampala'!G69)</f>
        <v>0</v>
      </c>
      <c r="H69" s="46">
        <f>AVERAGE('Avg Week Kampala-Mutukula'!H69+'Avg Week Mutukula-Kampala'!H69)</f>
        <v>0</v>
      </c>
      <c r="I69" s="46">
        <f>AVERAGE('Avg Week Kampala-Mutukula'!I69+'Avg Week Mutukula-Kampala'!I69)</f>
        <v>0</v>
      </c>
      <c r="J69" s="46">
        <f>AVERAGE('Avg Week Kampala-Mutukula'!J69+'Avg Week Mutukula-Kampala'!J69)</f>
        <v>0</v>
      </c>
      <c r="K69" s="46">
        <f>AVERAGE('Avg Week Kampala-Mutukula'!K69+'Avg Week Mutukula-Kampala'!K69)</f>
        <v>0</v>
      </c>
      <c r="L69" s="46">
        <f>AVERAGE('Avg Week Kampala-Mutukula'!L69+'Avg Week Mutukula-Kampala'!L69)</f>
        <v>0</v>
      </c>
      <c r="M69" s="46">
        <f>AVERAGE('Avg Week Kampala-Mutukula'!M69+'Avg Week Mutukula-Kampala'!M69)</f>
        <v>0</v>
      </c>
      <c r="N69" s="46">
        <f>AVERAGE('Avg Week Kampala-Mutukula'!N69+'Avg Week Mutukula-Kampala'!N69)</f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20" t="s">
        <v>110</v>
      </c>
      <c r="C70" s="46">
        <f>AVERAGE('Avg Week Kampala-Mutukula'!C70+'Avg Week Mutukula-Kampala'!C70)</f>
        <v>5</v>
      </c>
      <c r="D70" s="46">
        <f>AVERAGE('Avg Week Kampala-Mutukula'!D70+'Avg Week Mutukula-Kampala'!D70)</f>
        <v>0</v>
      </c>
      <c r="E70" s="46">
        <f>AVERAGE('Avg Week Kampala-Mutukula'!E70+'Avg Week Mutukula-Kampala'!E70)</f>
        <v>0</v>
      </c>
      <c r="F70" s="46">
        <f>AVERAGE('Avg Week Kampala-Mutukula'!F70+'Avg Week Mutukula-Kampala'!F70)</f>
        <v>1.6666666666666665</v>
      </c>
      <c r="G70" s="46">
        <f>AVERAGE('Avg Week Kampala-Mutukula'!G70+'Avg Week Mutukula-Kampala'!G70)</f>
        <v>0</v>
      </c>
      <c r="H70" s="46">
        <f>AVERAGE('Avg Week Kampala-Mutukula'!H70+'Avg Week Mutukula-Kampala'!H70)</f>
        <v>0</v>
      </c>
      <c r="I70" s="46">
        <f>AVERAGE('Avg Week Kampala-Mutukula'!I70+'Avg Week Mutukula-Kampala'!I70)</f>
        <v>0.33333333333333331</v>
      </c>
      <c r="J70" s="46">
        <f>AVERAGE('Avg Week Kampala-Mutukula'!J70+'Avg Week Mutukula-Kampala'!J70)</f>
        <v>2.3333333333333335</v>
      </c>
      <c r="K70" s="46">
        <f>AVERAGE('Avg Week Kampala-Mutukula'!K70+'Avg Week Mutukula-Kampala'!K70)</f>
        <v>1</v>
      </c>
      <c r="L70" s="46">
        <f>AVERAGE('Avg Week Kampala-Mutukula'!L70+'Avg Week Mutukula-Kampala'!L70)</f>
        <v>3.3333333333333335</v>
      </c>
      <c r="M70" s="46">
        <f>AVERAGE('Avg Week Kampala-Mutukula'!M70+'Avg Week Mutukula-Kampala'!M70)</f>
        <v>0</v>
      </c>
      <c r="N70" s="46">
        <f>AVERAGE('Avg Week Kampala-Mutukula'!N70+'Avg Week Mutukula-Kampala'!N70)</f>
        <v>0</v>
      </c>
      <c r="O70" s="15">
        <f t="shared" si="0"/>
        <v>13.666666666666666</v>
      </c>
      <c r="P70" s="15">
        <f t="shared" si="1"/>
        <v>13.666666666666666</v>
      </c>
      <c r="R70" s="8"/>
      <c r="T70"/>
    </row>
    <row r="71" spans="2:20" ht="23.1" customHeight="1" x14ac:dyDescent="0.25">
      <c r="B71" s="20" t="s">
        <v>111</v>
      </c>
      <c r="C71" s="46">
        <f>AVERAGE('Avg Week Kampala-Mutukula'!C71+'Avg Week Mutukula-Kampala'!C71)</f>
        <v>0</v>
      </c>
      <c r="D71" s="46">
        <f>AVERAGE('Avg Week Kampala-Mutukula'!D71+'Avg Week Mutukula-Kampala'!D71)</f>
        <v>0</v>
      </c>
      <c r="E71" s="46">
        <f>AVERAGE('Avg Week Kampala-Mutukula'!E71+'Avg Week Mutukula-Kampala'!E71)</f>
        <v>0</v>
      </c>
      <c r="F71" s="46">
        <f>AVERAGE('Avg Week Kampala-Mutukula'!F71+'Avg Week Mutukula-Kampala'!F71)</f>
        <v>0</v>
      </c>
      <c r="G71" s="46">
        <f>AVERAGE('Avg Week Kampala-Mutukula'!G71+'Avg Week Mutukula-Kampala'!G71)</f>
        <v>0</v>
      </c>
      <c r="H71" s="46">
        <f>AVERAGE('Avg Week Kampala-Mutukula'!H71+'Avg Week Mutukula-Kampala'!H71)</f>
        <v>0</v>
      </c>
      <c r="I71" s="46">
        <f>AVERAGE('Avg Week Kampala-Mutukula'!I71+'Avg Week Mutukula-Kampala'!I71)</f>
        <v>0</v>
      </c>
      <c r="J71" s="46">
        <f>AVERAGE('Avg Week Kampala-Mutukula'!J71+'Avg Week Mutukula-Kampala'!J71)</f>
        <v>0</v>
      </c>
      <c r="K71" s="46">
        <f>AVERAGE('Avg Week Kampala-Mutukula'!K71+'Avg Week Mutukula-Kampala'!K71)</f>
        <v>0</v>
      </c>
      <c r="L71" s="46">
        <f>AVERAGE('Avg Week Kampala-Mutukula'!L71+'Avg Week Mutukula-Kampala'!L71)</f>
        <v>0</v>
      </c>
      <c r="M71" s="46">
        <f>AVERAGE('Avg Week Kampala-Mutukula'!M71+'Avg Week Mutukula-Kampala'!M71)</f>
        <v>0</v>
      </c>
      <c r="N71" s="46">
        <f>AVERAGE('Avg Week Kampala-Mutukula'!N71+'Avg Week Mutukula-Kampala'!N71)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0" t="s">
        <v>112</v>
      </c>
      <c r="C72" s="46">
        <f>AVERAGE('Avg Week Kampala-Mutukula'!C72+'Avg Week Mutukula-Kampala'!C72)</f>
        <v>5.666666666666667</v>
      </c>
      <c r="D72" s="46">
        <f>AVERAGE('Avg Week Kampala-Mutukula'!D72+'Avg Week Mutukula-Kampala'!D72)</f>
        <v>0</v>
      </c>
      <c r="E72" s="46">
        <f>AVERAGE('Avg Week Kampala-Mutukula'!E72+'Avg Week Mutukula-Kampala'!E72)</f>
        <v>0</v>
      </c>
      <c r="F72" s="46">
        <f>AVERAGE('Avg Week Kampala-Mutukula'!F72+'Avg Week Mutukula-Kampala'!F72)</f>
        <v>2.6666666666666665</v>
      </c>
      <c r="G72" s="46">
        <f>AVERAGE('Avg Week Kampala-Mutukula'!G72+'Avg Week Mutukula-Kampala'!G72)</f>
        <v>0</v>
      </c>
      <c r="H72" s="46">
        <f>AVERAGE('Avg Week Kampala-Mutukula'!H72+'Avg Week Mutukula-Kampala'!H72)</f>
        <v>1.3333333333333333</v>
      </c>
      <c r="I72" s="46">
        <f>AVERAGE('Avg Week Kampala-Mutukula'!I72+'Avg Week Mutukula-Kampala'!I72)</f>
        <v>2</v>
      </c>
      <c r="J72" s="46">
        <f>AVERAGE('Avg Week Kampala-Mutukula'!J72+'Avg Week Mutukula-Kampala'!J72)</f>
        <v>4</v>
      </c>
      <c r="K72" s="46">
        <f>AVERAGE('Avg Week Kampala-Mutukula'!K72+'Avg Week Mutukula-Kampala'!K72)</f>
        <v>1.3333333333333333</v>
      </c>
      <c r="L72" s="46">
        <f>AVERAGE('Avg Week Kampala-Mutukula'!L72+'Avg Week Mutukula-Kampala'!L72)</f>
        <v>4</v>
      </c>
      <c r="M72" s="46">
        <f>AVERAGE('Avg Week Kampala-Mutukula'!M72+'Avg Week Mutukula-Kampala'!M72)</f>
        <v>0</v>
      </c>
      <c r="N72" s="46">
        <f>AVERAGE('Avg Week Kampala-Mutukula'!N72+'Avg Week Mutukula-Kampala'!N72)</f>
        <v>0</v>
      </c>
      <c r="O72" s="15">
        <f t="shared" si="0"/>
        <v>21</v>
      </c>
      <c r="P72" s="15">
        <f t="shared" si="1"/>
        <v>21</v>
      </c>
      <c r="R72" s="8"/>
      <c r="T72"/>
    </row>
    <row r="73" spans="2:20" ht="23.1" customHeight="1" x14ac:dyDescent="0.25">
      <c r="B73" s="20" t="s">
        <v>113</v>
      </c>
      <c r="C73" s="46">
        <f>AVERAGE('Avg Week Kampala-Mutukula'!C73+'Avg Week Mutukula-Kampala'!C73)</f>
        <v>0</v>
      </c>
      <c r="D73" s="46">
        <f>AVERAGE('Avg Week Kampala-Mutukula'!D73+'Avg Week Mutukula-Kampala'!D73)</f>
        <v>0</v>
      </c>
      <c r="E73" s="46">
        <f>AVERAGE('Avg Week Kampala-Mutukula'!E73+'Avg Week Mutukula-Kampala'!E73)</f>
        <v>0</v>
      </c>
      <c r="F73" s="46">
        <f>AVERAGE('Avg Week Kampala-Mutukula'!F73+'Avg Week Mutukula-Kampala'!F73)</f>
        <v>0</v>
      </c>
      <c r="G73" s="46">
        <f>AVERAGE('Avg Week Kampala-Mutukula'!G73+'Avg Week Mutukula-Kampala'!G73)</f>
        <v>0</v>
      </c>
      <c r="H73" s="46">
        <f>AVERAGE('Avg Week Kampala-Mutukula'!H73+'Avg Week Mutukula-Kampala'!H73)</f>
        <v>0</v>
      </c>
      <c r="I73" s="46">
        <f>AVERAGE('Avg Week Kampala-Mutukula'!I73+'Avg Week Mutukula-Kampala'!I73)</f>
        <v>0</v>
      </c>
      <c r="J73" s="46">
        <f>AVERAGE('Avg Week Kampala-Mutukula'!J73+'Avg Week Mutukula-Kampala'!J73)</f>
        <v>0</v>
      </c>
      <c r="K73" s="46">
        <f>AVERAGE('Avg Week Kampala-Mutukula'!K73+'Avg Week Mutukula-Kampala'!K73)</f>
        <v>0</v>
      </c>
      <c r="L73" s="46">
        <f>AVERAGE('Avg Week Kampala-Mutukula'!L73+'Avg Week Mutukula-Kampala'!L73)</f>
        <v>0</v>
      </c>
      <c r="M73" s="46">
        <f>AVERAGE('Avg Week Kampala-Mutukula'!M73+'Avg Week Mutukula-Kampala'!M73)</f>
        <v>0</v>
      </c>
      <c r="N73" s="46">
        <f>AVERAGE('Avg Week Kampala-Mutukula'!N73+'Avg Week Mutukula-Kampala'!N73)</f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20" t="s">
        <v>114</v>
      </c>
      <c r="C74" s="46">
        <f>AVERAGE('Avg Week Kampala-Mutukula'!C74+'Avg Week Mutukula-Kampala'!C74)</f>
        <v>5.333333333333333</v>
      </c>
      <c r="D74" s="46">
        <f>AVERAGE('Avg Week Kampala-Mutukula'!D74+'Avg Week Mutukula-Kampala'!D74)</f>
        <v>0</v>
      </c>
      <c r="E74" s="46">
        <f>AVERAGE('Avg Week Kampala-Mutukula'!E74+'Avg Week Mutukula-Kampala'!E74)</f>
        <v>0</v>
      </c>
      <c r="F74" s="46">
        <f>AVERAGE('Avg Week Kampala-Mutukula'!F74+'Avg Week Mutukula-Kampala'!F74)</f>
        <v>2.333333333333333</v>
      </c>
      <c r="G74" s="46">
        <f>AVERAGE('Avg Week Kampala-Mutukula'!G74+'Avg Week Mutukula-Kampala'!G74)</f>
        <v>0</v>
      </c>
      <c r="H74" s="46">
        <f>AVERAGE('Avg Week Kampala-Mutukula'!H74+'Avg Week Mutukula-Kampala'!H74)</f>
        <v>0.66666666666666663</v>
      </c>
      <c r="I74" s="46">
        <f>AVERAGE('Avg Week Kampala-Mutukula'!I74+'Avg Week Mutukula-Kampala'!I74)</f>
        <v>1.3333333333333333</v>
      </c>
      <c r="J74" s="46">
        <f>AVERAGE('Avg Week Kampala-Mutukula'!J74+'Avg Week Mutukula-Kampala'!J74)</f>
        <v>2.333333333333333</v>
      </c>
      <c r="K74" s="46">
        <f>AVERAGE('Avg Week Kampala-Mutukula'!K74+'Avg Week Mutukula-Kampala'!K74)</f>
        <v>1</v>
      </c>
      <c r="L74" s="46">
        <f>AVERAGE('Avg Week Kampala-Mutukula'!L74+'Avg Week Mutukula-Kampala'!L74)</f>
        <v>4.333333333333333</v>
      </c>
      <c r="M74" s="46">
        <f>AVERAGE('Avg Week Kampala-Mutukula'!M74+'Avg Week Mutukula-Kampala'!M74)</f>
        <v>0</v>
      </c>
      <c r="N74" s="46">
        <f>AVERAGE('Avg Week Kampala-Mutukula'!N74+'Avg Week Mutukula-Kampala'!N74)</f>
        <v>0</v>
      </c>
      <c r="O74" s="15">
        <f t="shared" ref="O74:O105" si="35">SUM(C74:L74,N74)</f>
        <v>17.333333333333332</v>
      </c>
      <c r="P74" s="15">
        <f t="shared" ref="P74:P105" si="36">SUM(C74:N74)</f>
        <v>17.333333333333332</v>
      </c>
      <c r="R74" s="8"/>
      <c r="T74"/>
    </row>
    <row r="75" spans="2:20" ht="23.1" customHeight="1" x14ac:dyDescent="0.25">
      <c r="B75" s="20" t="s">
        <v>115</v>
      </c>
      <c r="C75" s="46">
        <f>AVERAGE('Avg Week Kampala-Mutukula'!C75+'Avg Week Mutukula-Kampala'!C75)</f>
        <v>0</v>
      </c>
      <c r="D75" s="46">
        <f>AVERAGE('Avg Week Kampala-Mutukula'!D75+'Avg Week Mutukula-Kampala'!D75)</f>
        <v>0</v>
      </c>
      <c r="E75" s="46">
        <f>AVERAGE('Avg Week Kampala-Mutukula'!E75+'Avg Week Mutukula-Kampala'!E75)</f>
        <v>0</v>
      </c>
      <c r="F75" s="46">
        <f>AVERAGE('Avg Week Kampala-Mutukula'!F75+'Avg Week Mutukula-Kampala'!F75)</f>
        <v>0</v>
      </c>
      <c r="G75" s="46">
        <f>AVERAGE('Avg Week Kampala-Mutukula'!G75+'Avg Week Mutukula-Kampala'!G75)</f>
        <v>0</v>
      </c>
      <c r="H75" s="46">
        <f>AVERAGE('Avg Week Kampala-Mutukula'!H75+'Avg Week Mutukula-Kampala'!H75)</f>
        <v>0</v>
      </c>
      <c r="I75" s="46">
        <f>AVERAGE('Avg Week Kampala-Mutukula'!I75+'Avg Week Mutukula-Kampala'!I75)</f>
        <v>0</v>
      </c>
      <c r="J75" s="46">
        <f>AVERAGE('Avg Week Kampala-Mutukula'!J75+'Avg Week Mutukula-Kampala'!J75)</f>
        <v>0</v>
      </c>
      <c r="K75" s="46">
        <f>AVERAGE('Avg Week Kampala-Mutukula'!K75+'Avg Week Mutukula-Kampala'!K75)</f>
        <v>0</v>
      </c>
      <c r="L75" s="46">
        <f>AVERAGE('Avg Week Kampala-Mutukula'!L75+'Avg Week Mutukula-Kampala'!L75)</f>
        <v>0</v>
      </c>
      <c r="M75" s="46">
        <f>AVERAGE('Avg Week Kampala-Mutukula'!M75+'Avg Week Mutukula-Kampala'!M75)</f>
        <v>0</v>
      </c>
      <c r="N75" s="46">
        <f>AVERAGE('Avg Week Kampala-Mutukula'!N75+'Avg Week Mutukula-Kampala'!N75)</f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20" t="s">
        <v>116</v>
      </c>
      <c r="C76" s="46">
        <f>AVERAGE('Avg Week Kampala-Mutukula'!C76+'Avg Week Mutukula-Kampala'!C76)</f>
        <v>4.6666666666666661</v>
      </c>
      <c r="D76" s="46">
        <f>AVERAGE('Avg Week Kampala-Mutukula'!D76+'Avg Week Mutukula-Kampala'!D76)</f>
        <v>0</v>
      </c>
      <c r="E76" s="46">
        <f>AVERAGE('Avg Week Kampala-Mutukula'!E76+'Avg Week Mutukula-Kampala'!E76)</f>
        <v>0</v>
      </c>
      <c r="F76" s="46">
        <f>AVERAGE('Avg Week Kampala-Mutukula'!F76+'Avg Week Mutukula-Kampala'!F76)</f>
        <v>2</v>
      </c>
      <c r="G76" s="46">
        <f>AVERAGE('Avg Week Kampala-Mutukula'!G76+'Avg Week Mutukula-Kampala'!G76)</f>
        <v>0.33333333333333331</v>
      </c>
      <c r="H76" s="46">
        <f>AVERAGE('Avg Week Kampala-Mutukula'!H76+'Avg Week Mutukula-Kampala'!H76)</f>
        <v>0</v>
      </c>
      <c r="I76" s="46">
        <f>AVERAGE('Avg Week Kampala-Mutukula'!I76+'Avg Week Mutukula-Kampala'!I76)</f>
        <v>1.3333333333333333</v>
      </c>
      <c r="J76" s="46">
        <f>AVERAGE('Avg Week Kampala-Mutukula'!J76+'Avg Week Mutukula-Kampala'!J76)</f>
        <v>4</v>
      </c>
      <c r="K76" s="46">
        <f>AVERAGE('Avg Week Kampala-Mutukula'!K76+'Avg Week Mutukula-Kampala'!K76)</f>
        <v>1</v>
      </c>
      <c r="L76" s="46">
        <f>AVERAGE('Avg Week Kampala-Mutukula'!L76+'Avg Week Mutukula-Kampala'!L76)</f>
        <v>5.3333333333333339</v>
      </c>
      <c r="M76" s="46">
        <f>AVERAGE('Avg Week Kampala-Mutukula'!M76+'Avg Week Mutukula-Kampala'!M76)</f>
        <v>0</v>
      </c>
      <c r="N76" s="46">
        <f>AVERAGE('Avg Week Kampala-Mutukula'!N76+'Avg Week Mutukula-Kampala'!N76)</f>
        <v>0</v>
      </c>
      <c r="O76" s="15">
        <f t="shared" si="35"/>
        <v>18.666666666666664</v>
      </c>
      <c r="P76" s="15">
        <f t="shared" si="36"/>
        <v>18.666666666666664</v>
      </c>
      <c r="R76" s="8"/>
      <c r="T76"/>
    </row>
    <row r="77" spans="2:20" ht="23.1" customHeight="1" x14ac:dyDescent="0.25">
      <c r="B77" s="20" t="s">
        <v>117</v>
      </c>
      <c r="C77" s="46">
        <f>AVERAGE('Avg Week Kampala-Mutukula'!C77+'Avg Week Mutukula-Kampala'!C77)</f>
        <v>0</v>
      </c>
      <c r="D77" s="46">
        <f>AVERAGE('Avg Week Kampala-Mutukula'!D77+'Avg Week Mutukula-Kampala'!D77)</f>
        <v>0</v>
      </c>
      <c r="E77" s="46">
        <f>AVERAGE('Avg Week Kampala-Mutukula'!E77+'Avg Week Mutukula-Kampala'!E77)</f>
        <v>0</v>
      </c>
      <c r="F77" s="46">
        <f>AVERAGE('Avg Week Kampala-Mutukula'!F77+'Avg Week Mutukula-Kampala'!F77)</f>
        <v>0</v>
      </c>
      <c r="G77" s="46">
        <f>AVERAGE('Avg Week Kampala-Mutukula'!G77+'Avg Week Mutukula-Kampala'!G77)</f>
        <v>0</v>
      </c>
      <c r="H77" s="46">
        <f>AVERAGE('Avg Week Kampala-Mutukula'!H77+'Avg Week Mutukula-Kampala'!H77)</f>
        <v>0</v>
      </c>
      <c r="I77" s="46">
        <f>AVERAGE('Avg Week Kampala-Mutukula'!I77+'Avg Week Mutukula-Kampala'!I77)</f>
        <v>0</v>
      </c>
      <c r="J77" s="46">
        <f>AVERAGE('Avg Week Kampala-Mutukula'!J77+'Avg Week Mutukula-Kampala'!J77)</f>
        <v>0</v>
      </c>
      <c r="K77" s="46">
        <f>AVERAGE('Avg Week Kampala-Mutukula'!K77+'Avg Week Mutukula-Kampala'!K77)</f>
        <v>0</v>
      </c>
      <c r="L77" s="46">
        <f>AVERAGE('Avg Week Kampala-Mutukula'!L77+'Avg Week Mutukula-Kampala'!L77)</f>
        <v>0</v>
      </c>
      <c r="M77" s="46">
        <f>AVERAGE('Avg Week Kampala-Mutukula'!M77+'Avg Week Mutukula-Kampala'!M77)</f>
        <v>0</v>
      </c>
      <c r="N77" s="46">
        <f>AVERAGE('Avg Week Kampala-Mutukula'!N77+'Avg Week Mutukula-Kampala'!N77)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1" t="s">
        <v>118</v>
      </c>
      <c r="C78" s="46">
        <f>AVERAGE('Avg Week Kampala-Mutukula'!C78+'Avg Week Mutukula-Kampala'!C78)</f>
        <v>7.333333333333333</v>
      </c>
      <c r="D78" s="46">
        <f>AVERAGE('Avg Week Kampala-Mutukula'!D78+'Avg Week Mutukula-Kampala'!D78)</f>
        <v>0</v>
      </c>
      <c r="E78" s="46">
        <f>AVERAGE('Avg Week Kampala-Mutukula'!E78+'Avg Week Mutukula-Kampala'!E78)</f>
        <v>0</v>
      </c>
      <c r="F78" s="46">
        <f>AVERAGE('Avg Week Kampala-Mutukula'!F78+'Avg Week Mutukula-Kampala'!F78)</f>
        <v>1</v>
      </c>
      <c r="G78" s="46">
        <f>AVERAGE('Avg Week Kampala-Mutukula'!G78+'Avg Week Mutukula-Kampala'!G78)</f>
        <v>1.6666666666666667</v>
      </c>
      <c r="H78" s="46">
        <f>AVERAGE('Avg Week Kampala-Mutukula'!H78+'Avg Week Mutukula-Kampala'!H78)</f>
        <v>0.66666666666666663</v>
      </c>
      <c r="I78" s="46">
        <f>AVERAGE('Avg Week Kampala-Mutukula'!I78+'Avg Week Mutukula-Kampala'!I78)</f>
        <v>1.3333333333333333</v>
      </c>
      <c r="J78" s="46">
        <f>AVERAGE('Avg Week Kampala-Mutukula'!J78+'Avg Week Mutukula-Kampala'!J78)</f>
        <v>1.6666666666666665</v>
      </c>
      <c r="K78" s="46">
        <f>AVERAGE('Avg Week Kampala-Mutukula'!K78+'Avg Week Mutukula-Kampala'!K78)</f>
        <v>0.66666666666666663</v>
      </c>
      <c r="L78" s="46">
        <f>AVERAGE('Avg Week Kampala-Mutukula'!L78+'Avg Week Mutukula-Kampala'!L78)</f>
        <v>4.666666666666667</v>
      </c>
      <c r="M78" s="46">
        <f>AVERAGE('Avg Week Kampala-Mutukula'!M78+'Avg Week Mutukula-Kampala'!M78)</f>
        <v>0</v>
      </c>
      <c r="N78" s="46">
        <f>AVERAGE('Avg Week Kampala-Mutukula'!N78+'Avg Week Mutukula-Kampala'!N78)</f>
        <v>0</v>
      </c>
      <c r="O78" s="15">
        <f t="shared" si="35"/>
        <v>18.999999999999996</v>
      </c>
      <c r="P78" s="15">
        <f t="shared" si="36"/>
        <v>18.999999999999996</v>
      </c>
      <c r="R78" s="8"/>
      <c r="T78"/>
    </row>
    <row r="79" spans="2:20" ht="23.1" customHeight="1" x14ac:dyDescent="0.25">
      <c r="B79" s="20" t="s">
        <v>119</v>
      </c>
      <c r="C79" s="46">
        <f>AVERAGE('Avg Week Kampala-Mutukula'!C79+'Avg Week Mutukula-Kampala'!C79)</f>
        <v>0</v>
      </c>
      <c r="D79" s="46">
        <f>AVERAGE('Avg Week Kampala-Mutukula'!D79+'Avg Week Mutukula-Kampala'!D79)</f>
        <v>0</v>
      </c>
      <c r="E79" s="46">
        <f>AVERAGE('Avg Week Kampala-Mutukula'!E79+'Avg Week Mutukula-Kampala'!E79)</f>
        <v>0</v>
      </c>
      <c r="F79" s="46">
        <f>AVERAGE('Avg Week Kampala-Mutukula'!F79+'Avg Week Mutukula-Kampala'!F79)</f>
        <v>0</v>
      </c>
      <c r="G79" s="46">
        <f>AVERAGE('Avg Week Kampala-Mutukula'!G79+'Avg Week Mutukula-Kampala'!G79)</f>
        <v>0</v>
      </c>
      <c r="H79" s="46">
        <f>AVERAGE('Avg Week Kampala-Mutukula'!H79+'Avg Week Mutukula-Kampala'!H79)</f>
        <v>0</v>
      </c>
      <c r="I79" s="46">
        <f>AVERAGE('Avg Week Kampala-Mutukula'!I79+'Avg Week Mutukula-Kampala'!I79)</f>
        <v>0</v>
      </c>
      <c r="J79" s="46">
        <f>AVERAGE('Avg Week Kampala-Mutukula'!J79+'Avg Week Mutukula-Kampala'!J79)</f>
        <v>0</v>
      </c>
      <c r="K79" s="46">
        <f>AVERAGE('Avg Week Kampala-Mutukula'!K79+'Avg Week Mutukula-Kampala'!K79)</f>
        <v>0</v>
      </c>
      <c r="L79" s="46">
        <f>AVERAGE('Avg Week Kampala-Mutukula'!L79+'Avg Week Mutukula-Kampala'!L79)</f>
        <v>0</v>
      </c>
      <c r="M79" s="46">
        <f>AVERAGE('Avg Week Kampala-Mutukula'!M79+'Avg Week Mutukula-Kampala'!M79)</f>
        <v>0</v>
      </c>
      <c r="N79" s="46">
        <f>AVERAGE('Avg Week Kampala-Mutukula'!N79+'Avg Week Mutukula-Kampala'!N79)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2" t="s">
        <v>120</v>
      </c>
      <c r="C80" s="46">
        <f>AVERAGE('Avg Week Kampala-Mutukula'!C80+'Avg Week Mutukula-Kampala'!C80)</f>
        <v>3.666666666666667</v>
      </c>
      <c r="D80" s="46">
        <f>AVERAGE('Avg Week Kampala-Mutukula'!D80+'Avg Week Mutukula-Kampala'!D80)</f>
        <v>0</v>
      </c>
      <c r="E80" s="46">
        <f>AVERAGE('Avg Week Kampala-Mutukula'!E80+'Avg Week Mutukula-Kampala'!E80)</f>
        <v>0</v>
      </c>
      <c r="F80" s="46">
        <f>AVERAGE('Avg Week Kampala-Mutukula'!F80+'Avg Week Mutukula-Kampala'!F80)</f>
        <v>2</v>
      </c>
      <c r="G80" s="46">
        <f>AVERAGE('Avg Week Kampala-Mutukula'!G80+'Avg Week Mutukula-Kampala'!G80)</f>
        <v>0.33333333333333331</v>
      </c>
      <c r="H80" s="46">
        <f>AVERAGE('Avg Week Kampala-Mutukula'!H80+'Avg Week Mutukula-Kampala'!H80)</f>
        <v>0</v>
      </c>
      <c r="I80" s="46">
        <f>AVERAGE('Avg Week Kampala-Mutukula'!I80+'Avg Week Mutukula-Kampala'!I80)</f>
        <v>0.66666666666666663</v>
      </c>
      <c r="J80" s="46">
        <f>AVERAGE('Avg Week Kampala-Mutukula'!J80+'Avg Week Mutukula-Kampala'!J80)</f>
        <v>1</v>
      </c>
      <c r="K80" s="46">
        <f>AVERAGE('Avg Week Kampala-Mutukula'!K80+'Avg Week Mutukula-Kampala'!K80)</f>
        <v>1</v>
      </c>
      <c r="L80" s="46">
        <f>AVERAGE('Avg Week Kampala-Mutukula'!L80+'Avg Week Mutukula-Kampala'!L80)</f>
        <v>3.6666666666666665</v>
      </c>
      <c r="M80" s="46">
        <f>AVERAGE('Avg Week Kampala-Mutukula'!M80+'Avg Week Mutukula-Kampala'!M80)</f>
        <v>0</v>
      </c>
      <c r="N80" s="46">
        <f>AVERAGE('Avg Week Kampala-Mutukula'!N80+'Avg Week Mutukula-Kampala'!N80)</f>
        <v>0</v>
      </c>
      <c r="O80" s="15">
        <f t="shared" si="35"/>
        <v>12.333333333333334</v>
      </c>
      <c r="P80" s="15">
        <f t="shared" si="36"/>
        <v>12.333333333333334</v>
      </c>
      <c r="R80" s="8"/>
      <c r="T80"/>
    </row>
    <row r="81" spans="2:20" ht="23.1" customHeight="1" x14ac:dyDescent="0.25">
      <c r="B81" s="20" t="s">
        <v>121</v>
      </c>
      <c r="C81" s="46">
        <f>AVERAGE('Avg Week Kampala-Mutukula'!C81+'Avg Week Mutukula-Kampala'!C81)</f>
        <v>0</v>
      </c>
      <c r="D81" s="46">
        <f>AVERAGE('Avg Week Kampala-Mutukula'!D81+'Avg Week Mutukula-Kampala'!D81)</f>
        <v>0</v>
      </c>
      <c r="E81" s="46">
        <f>AVERAGE('Avg Week Kampala-Mutukula'!E81+'Avg Week Mutukula-Kampala'!E81)</f>
        <v>0</v>
      </c>
      <c r="F81" s="46">
        <f>AVERAGE('Avg Week Kampala-Mutukula'!F81+'Avg Week Mutukula-Kampala'!F81)</f>
        <v>0</v>
      </c>
      <c r="G81" s="46">
        <f>AVERAGE('Avg Week Kampala-Mutukula'!G81+'Avg Week Mutukula-Kampala'!G81)</f>
        <v>0</v>
      </c>
      <c r="H81" s="46">
        <f>AVERAGE('Avg Week Kampala-Mutukula'!H81+'Avg Week Mutukula-Kampala'!H81)</f>
        <v>0</v>
      </c>
      <c r="I81" s="46">
        <f>AVERAGE('Avg Week Kampala-Mutukula'!I81+'Avg Week Mutukula-Kampala'!I81)</f>
        <v>0</v>
      </c>
      <c r="J81" s="46">
        <f>AVERAGE('Avg Week Kampala-Mutukula'!J81+'Avg Week Mutukula-Kampala'!J81)</f>
        <v>0</v>
      </c>
      <c r="K81" s="46">
        <f>AVERAGE('Avg Week Kampala-Mutukula'!K81+'Avg Week Mutukula-Kampala'!K81)</f>
        <v>0</v>
      </c>
      <c r="L81" s="46">
        <f>AVERAGE('Avg Week Kampala-Mutukula'!L81+'Avg Week Mutukula-Kampala'!L81)</f>
        <v>0</v>
      </c>
      <c r="M81" s="46">
        <f>AVERAGE('Avg Week Kampala-Mutukula'!M81+'Avg Week Mutukula-Kampala'!M81)</f>
        <v>0</v>
      </c>
      <c r="N81" s="46">
        <f>AVERAGE('Avg Week Kampala-Mutukula'!N81+'Avg Week Mutukula-Kampala'!N81)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1" t="s">
        <v>122</v>
      </c>
      <c r="C82" s="46">
        <f>AVERAGE('Avg Week Kampala-Mutukula'!C82+'Avg Week Mutukula-Kampala'!C82)</f>
        <v>1.6666666666666665</v>
      </c>
      <c r="D82" s="46">
        <f>AVERAGE('Avg Week Kampala-Mutukula'!D82+'Avg Week Mutukula-Kampala'!D82)</f>
        <v>0</v>
      </c>
      <c r="E82" s="46">
        <f>AVERAGE('Avg Week Kampala-Mutukula'!E82+'Avg Week Mutukula-Kampala'!E82)</f>
        <v>0</v>
      </c>
      <c r="F82" s="46">
        <f>AVERAGE('Avg Week Kampala-Mutukula'!F82+'Avg Week Mutukula-Kampala'!F82)</f>
        <v>0.66666666666666663</v>
      </c>
      <c r="G82" s="46">
        <f>AVERAGE('Avg Week Kampala-Mutukula'!G82+'Avg Week Mutukula-Kampala'!G82)</f>
        <v>0</v>
      </c>
      <c r="H82" s="46">
        <f>AVERAGE('Avg Week Kampala-Mutukula'!H82+'Avg Week Mutukula-Kampala'!H82)</f>
        <v>0.33333333333333331</v>
      </c>
      <c r="I82" s="46">
        <f>AVERAGE('Avg Week Kampala-Mutukula'!I82+'Avg Week Mutukula-Kampala'!I82)</f>
        <v>0.33333333333333331</v>
      </c>
      <c r="J82" s="46">
        <f>AVERAGE('Avg Week Kampala-Mutukula'!J82+'Avg Week Mutukula-Kampala'!J82)</f>
        <v>0.66666666666666663</v>
      </c>
      <c r="K82" s="46">
        <f>AVERAGE('Avg Week Kampala-Mutukula'!K82+'Avg Week Mutukula-Kampala'!K82)</f>
        <v>0.33333333333333331</v>
      </c>
      <c r="L82" s="46">
        <f>AVERAGE('Avg Week Kampala-Mutukula'!L82+'Avg Week Mutukula-Kampala'!L82)</f>
        <v>2.333333333333333</v>
      </c>
      <c r="M82" s="46">
        <f>AVERAGE('Avg Week Kampala-Mutukula'!M82+'Avg Week Mutukula-Kampala'!M82)</f>
        <v>0</v>
      </c>
      <c r="N82" s="46">
        <f>AVERAGE('Avg Week Kampala-Mutukula'!N82+'Avg Week Mutukula-Kampala'!N82)</f>
        <v>0</v>
      </c>
      <c r="O82" s="15">
        <f t="shared" si="35"/>
        <v>6.333333333333333</v>
      </c>
      <c r="P82" s="15">
        <f t="shared" si="36"/>
        <v>6.333333333333333</v>
      </c>
      <c r="R82" s="8"/>
      <c r="T82"/>
    </row>
    <row r="83" spans="2:20" ht="23.1" customHeight="1" x14ac:dyDescent="0.25">
      <c r="B83" s="20" t="s">
        <v>123</v>
      </c>
      <c r="C83" s="46">
        <f>AVERAGE('Avg Week Kampala-Mutukula'!C83+'Avg Week Mutukula-Kampala'!C83)</f>
        <v>0</v>
      </c>
      <c r="D83" s="46">
        <f>AVERAGE('Avg Week Kampala-Mutukula'!D83+'Avg Week Mutukula-Kampala'!D83)</f>
        <v>0</v>
      </c>
      <c r="E83" s="46">
        <f>AVERAGE('Avg Week Kampala-Mutukula'!E83+'Avg Week Mutukula-Kampala'!E83)</f>
        <v>0</v>
      </c>
      <c r="F83" s="46">
        <f>AVERAGE('Avg Week Kampala-Mutukula'!F83+'Avg Week Mutukula-Kampala'!F83)</f>
        <v>0</v>
      </c>
      <c r="G83" s="46">
        <f>AVERAGE('Avg Week Kampala-Mutukula'!G83+'Avg Week Mutukula-Kampala'!G83)</f>
        <v>0</v>
      </c>
      <c r="H83" s="46">
        <f>AVERAGE('Avg Week Kampala-Mutukula'!H83+'Avg Week Mutukula-Kampala'!H83)</f>
        <v>0</v>
      </c>
      <c r="I83" s="46">
        <f>AVERAGE('Avg Week Kampala-Mutukula'!I83+'Avg Week Mutukula-Kampala'!I83)</f>
        <v>0</v>
      </c>
      <c r="J83" s="46">
        <f>AVERAGE('Avg Week Kampala-Mutukula'!J83+'Avg Week Mutukula-Kampala'!J83)</f>
        <v>0</v>
      </c>
      <c r="K83" s="46">
        <f>AVERAGE('Avg Week Kampala-Mutukula'!K83+'Avg Week Mutukula-Kampala'!K83)</f>
        <v>0</v>
      </c>
      <c r="L83" s="46">
        <f>AVERAGE('Avg Week Kampala-Mutukula'!L83+'Avg Week Mutukula-Kampala'!L83)</f>
        <v>0</v>
      </c>
      <c r="M83" s="46">
        <f>AVERAGE('Avg Week Kampala-Mutukula'!M83+'Avg Week Mutukula-Kampala'!M83)</f>
        <v>0</v>
      </c>
      <c r="N83" s="46">
        <f>AVERAGE('Avg Week Kampala-Mutukula'!N83+'Avg Week Mutukula-Kampala'!N83)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2" t="s">
        <v>124</v>
      </c>
      <c r="C84" s="46">
        <f>AVERAGE('Avg Week Kampala-Mutukula'!C84+'Avg Week Mutukula-Kampala'!C84)</f>
        <v>0</v>
      </c>
      <c r="D84" s="46">
        <f>AVERAGE('Avg Week Kampala-Mutukula'!D84+'Avg Week Mutukula-Kampala'!D84)</f>
        <v>0</v>
      </c>
      <c r="E84" s="46">
        <f>AVERAGE('Avg Week Kampala-Mutukula'!E84+'Avg Week Mutukula-Kampala'!E84)</f>
        <v>0</v>
      </c>
      <c r="F84" s="46">
        <f>AVERAGE('Avg Week Kampala-Mutukula'!F84+'Avg Week Mutukula-Kampala'!F84)</f>
        <v>0.33333333333333331</v>
      </c>
      <c r="G84" s="46">
        <f>AVERAGE('Avg Week Kampala-Mutukula'!G84+'Avg Week Mutukula-Kampala'!G84)</f>
        <v>0.33333333333333331</v>
      </c>
      <c r="H84" s="46">
        <f>AVERAGE('Avg Week Kampala-Mutukula'!H84+'Avg Week Mutukula-Kampala'!H84)</f>
        <v>0</v>
      </c>
      <c r="I84" s="46">
        <f>AVERAGE('Avg Week Kampala-Mutukula'!I84+'Avg Week Mutukula-Kampala'!I84)</f>
        <v>0.66666666666666663</v>
      </c>
      <c r="J84" s="46">
        <f>AVERAGE('Avg Week Kampala-Mutukula'!J84+'Avg Week Mutukula-Kampala'!J84)</f>
        <v>0.33333333333333331</v>
      </c>
      <c r="K84" s="46">
        <f>AVERAGE('Avg Week Kampala-Mutukula'!K84+'Avg Week Mutukula-Kampala'!K84)</f>
        <v>0</v>
      </c>
      <c r="L84" s="46">
        <f>AVERAGE('Avg Week Kampala-Mutukula'!L84+'Avg Week Mutukula-Kampala'!L84)</f>
        <v>1</v>
      </c>
      <c r="M84" s="46">
        <f>AVERAGE('Avg Week Kampala-Mutukula'!M84+'Avg Week Mutukula-Kampala'!M84)</f>
        <v>0</v>
      </c>
      <c r="N84" s="46">
        <f>AVERAGE('Avg Week Kampala-Mutukula'!N84+'Avg Week Mutukula-Kampala'!N84)</f>
        <v>0</v>
      </c>
      <c r="O84" s="15">
        <f t="shared" si="35"/>
        <v>2.6666666666666665</v>
      </c>
      <c r="P84" s="15">
        <f t="shared" si="36"/>
        <v>2.6666666666666665</v>
      </c>
      <c r="R84" s="8"/>
      <c r="T84"/>
    </row>
    <row r="85" spans="2:20" ht="23.1" customHeight="1" x14ac:dyDescent="0.25">
      <c r="B85" s="20" t="s">
        <v>125</v>
      </c>
      <c r="C85" s="46">
        <f>AVERAGE('Avg Week Kampala-Mutukula'!C85+'Avg Week Mutukula-Kampala'!C85)</f>
        <v>0</v>
      </c>
      <c r="D85" s="46">
        <f>AVERAGE('Avg Week Kampala-Mutukula'!D85+'Avg Week Mutukula-Kampala'!D85)</f>
        <v>0</v>
      </c>
      <c r="E85" s="46">
        <f>AVERAGE('Avg Week Kampala-Mutukula'!E85+'Avg Week Mutukula-Kampala'!E85)</f>
        <v>0</v>
      </c>
      <c r="F85" s="46">
        <f>AVERAGE('Avg Week Kampala-Mutukula'!F85+'Avg Week Mutukula-Kampala'!F85)</f>
        <v>0</v>
      </c>
      <c r="G85" s="46">
        <f>AVERAGE('Avg Week Kampala-Mutukula'!G85+'Avg Week Mutukula-Kampala'!G85)</f>
        <v>0</v>
      </c>
      <c r="H85" s="46">
        <f>AVERAGE('Avg Week Kampala-Mutukula'!H85+'Avg Week Mutukula-Kampala'!H85)</f>
        <v>0</v>
      </c>
      <c r="I85" s="46">
        <f>AVERAGE('Avg Week Kampala-Mutukula'!I85+'Avg Week Mutukula-Kampala'!I85)</f>
        <v>0</v>
      </c>
      <c r="J85" s="46">
        <f>AVERAGE('Avg Week Kampala-Mutukula'!J85+'Avg Week Mutukula-Kampala'!J85)</f>
        <v>0</v>
      </c>
      <c r="K85" s="46">
        <f>AVERAGE('Avg Week Kampala-Mutukula'!K85+'Avg Week Mutukula-Kampala'!K85)</f>
        <v>0</v>
      </c>
      <c r="L85" s="46">
        <f>AVERAGE('Avg Week Kampala-Mutukula'!L85+'Avg Week Mutukula-Kampala'!L85)</f>
        <v>0</v>
      </c>
      <c r="M85" s="46">
        <f>AVERAGE('Avg Week Kampala-Mutukula'!M85+'Avg Week Mutukula-Kampala'!M85)</f>
        <v>0</v>
      </c>
      <c r="N85" s="46">
        <f>AVERAGE('Avg Week Kampala-Mutukula'!N85+'Avg Week Mutukula-Kampala'!N85)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1" t="s">
        <v>126</v>
      </c>
      <c r="C86" s="46">
        <f>AVERAGE('Avg Week Kampala-Mutukula'!C86+'Avg Week Mutukula-Kampala'!C86)</f>
        <v>1</v>
      </c>
      <c r="D86" s="46">
        <f>AVERAGE('Avg Week Kampala-Mutukula'!D86+'Avg Week Mutukula-Kampala'!D86)</f>
        <v>0</v>
      </c>
      <c r="E86" s="46">
        <f>AVERAGE('Avg Week Kampala-Mutukula'!E86+'Avg Week Mutukula-Kampala'!E86)</f>
        <v>0</v>
      </c>
      <c r="F86" s="46">
        <f>AVERAGE('Avg Week Kampala-Mutukula'!F86+'Avg Week Mutukula-Kampala'!F86)</f>
        <v>0.33333333333333331</v>
      </c>
      <c r="G86" s="46">
        <f>AVERAGE('Avg Week Kampala-Mutukula'!G86+'Avg Week Mutukula-Kampala'!G86)</f>
        <v>0</v>
      </c>
      <c r="H86" s="46">
        <f>AVERAGE('Avg Week Kampala-Mutukula'!H86+'Avg Week Mutukula-Kampala'!H86)</f>
        <v>0</v>
      </c>
      <c r="I86" s="46">
        <f>AVERAGE('Avg Week Kampala-Mutukula'!I86+'Avg Week Mutukula-Kampala'!I86)</f>
        <v>0.66666666666666663</v>
      </c>
      <c r="J86" s="46">
        <f>AVERAGE('Avg Week Kampala-Mutukula'!J86+'Avg Week Mutukula-Kampala'!J86)</f>
        <v>0.66666666666666663</v>
      </c>
      <c r="K86" s="46">
        <f>AVERAGE('Avg Week Kampala-Mutukula'!K86+'Avg Week Mutukula-Kampala'!K86)</f>
        <v>0</v>
      </c>
      <c r="L86" s="46">
        <f>AVERAGE('Avg Week Kampala-Mutukula'!L86+'Avg Week Mutukula-Kampala'!L86)</f>
        <v>1</v>
      </c>
      <c r="M86" s="46">
        <f>AVERAGE('Avg Week Kampala-Mutukula'!M86+'Avg Week Mutukula-Kampala'!M86)</f>
        <v>0</v>
      </c>
      <c r="N86" s="46">
        <f>AVERAGE('Avg Week Kampala-Mutukula'!N86+'Avg Week Mutukula-Kampala'!N86)</f>
        <v>0</v>
      </c>
      <c r="O86" s="15">
        <f t="shared" si="35"/>
        <v>3.6666666666666665</v>
      </c>
      <c r="P86" s="15">
        <f t="shared" si="36"/>
        <v>3.6666666666666665</v>
      </c>
      <c r="R86" s="8"/>
      <c r="T86"/>
    </row>
    <row r="87" spans="2:20" ht="23.1" customHeight="1" x14ac:dyDescent="0.25">
      <c r="B87" s="20" t="s">
        <v>127</v>
      </c>
      <c r="C87" s="46">
        <f>AVERAGE('Avg Week Kampala-Mutukula'!C87+'Avg Week Mutukula-Kampala'!C87)</f>
        <v>0</v>
      </c>
      <c r="D87" s="46">
        <f>AVERAGE('Avg Week Kampala-Mutukula'!D87+'Avg Week Mutukula-Kampala'!D87)</f>
        <v>0</v>
      </c>
      <c r="E87" s="46">
        <f>AVERAGE('Avg Week Kampala-Mutukula'!E87+'Avg Week Mutukula-Kampala'!E87)</f>
        <v>0</v>
      </c>
      <c r="F87" s="46">
        <f>AVERAGE('Avg Week Kampala-Mutukula'!F87+'Avg Week Mutukula-Kampala'!F87)</f>
        <v>0</v>
      </c>
      <c r="G87" s="46">
        <f>AVERAGE('Avg Week Kampala-Mutukula'!G87+'Avg Week Mutukula-Kampala'!G87)</f>
        <v>0</v>
      </c>
      <c r="H87" s="46">
        <f>AVERAGE('Avg Week Kampala-Mutukula'!H87+'Avg Week Mutukula-Kampala'!H87)</f>
        <v>0</v>
      </c>
      <c r="I87" s="46">
        <f>AVERAGE('Avg Week Kampala-Mutukula'!I87+'Avg Week Mutukula-Kampala'!I87)</f>
        <v>0</v>
      </c>
      <c r="J87" s="46">
        <f>AVERAGE('Avg Week Kampala-Mutukula'!J87+'Avg Week Mutukula-Kampala'!J87)</f>
        <v>0</v>
      </c>
      <c r="K87" s="46">
        <f>AVERAGE('Avg Week Kampala-Mutukula'!K87+'Avg Week Mutukula-Kampala'!K87)</f>
        <v>0</v>
      </c>
      <c r="L87" s="46">
        <f>AVERAGE('Avg Week Kampala-Mutukula'!L87+'Avg Week Mutukula-Kampala'!L87)</f>
        <v>0</v>
      </c>
      <c r="M87" s="46">
        <f>AVERAGE('Avg Week Kampala-Mutukula'!M87+'Avg Week Mutukula-Kampala'!M87)</f>
        <v>0</v>
      </c>
      <c r="N87" s="46">
        <f>AVERAGE('Avg Week Kampala-Mutukula'!N87+'Avg Week Mutukula-Kampala'!N87)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2" t="s">
        <v>128</v>
      </c>
      <c r="C88" s="46">
        <f>AVERAGE('Avg Week Kampala-Mutukula'!C88+'Avg Week Mutukula-Kampala'!C88)</f>
        <v>0.66666666666666663</v>
      </c>
      <c r="D88" s="46">
        <f>AVERAGE('Avg Week Kampala-Mutukula'!D88+'Avg Week Mutukula-Kampala'!D88)</f>
        <v>0</v>
      </c>
      <c r="E88" s="46">
        <f>AVERAGE('Avg Week Kampala-Mutukula'!E88+'Avg Week Mutukula-Kampala'!E88)</f>
        <v>0</v>
      </c>
      <c r="F88" s="46">
        <f>AVERAGE('Avg Week Kampala-Mutukula'!F88+'Avg Week Mutukula-Kampala'!F88)</f>
        <v>0</v>
      </c>
      <c r="G88" s="46">
        <f>AVERAGE('Avg Week Kampala-Mutukula'!G88+'Avg Week Mutukula-Kampala'!G88)</f>
        <v>0</v>
      </c>
      <c r="H88" s="46">
        <f>AVERAGE('Avg Week Kampala-Mutukula'!H88+'Avg Week Mutukula-Kampala'!H88)</f>
        <v>0.66666666666666663</v>
      </c>
      <c r="I88" s="46">
        <f>AVERAGE('Avg Week Kampala-Mutukula'!I88+'Avg Week Mutukula-Kampala'!I88)</f>
        <v>0</v>
      </c>
      <c r="J88" s="46">
        <f>AVERAGE('Avg Week Kampala-Mutukula'!J88+'Avg Week Mutukula-Kampala'!J88)</f>
        <v>0.66666666666666663</v>
      </c>
      <c r="K88" s="46">
        <f>AVERAGE('Avg Week Kampala-Mutukula'!K88+'Avg Week Mutukula-Kampala'!K88)</f>
        <v>0</v>
      </c>
      <c r="L88" s="46">
        <f>AVERAGE('Avg Week Kampala-Mutukula'!L88+'Avg Week Mutukula-Kampala'!L88)</f>
        <v>3</v>
      </c>
      <c r="M88" s="46">
        <f>AVERAGE('Avg Week Kampala-Mutukula'!M88+'Avg Week Mutukula-Kampala'!M88)</f>
        <v>0</v>
      </c>
      <c r="N88" s="46">
        <f>AVERAGE('Avg Week Kampala-Mutukula'!N88+'Avg Week Mutukula-Kampala'!N88)</f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20" t="s">
        <v>129</v>
      </c>
      <c r="C89" s="46">
        <f>AVERAGE('Avg Week Kampala-Mutukula'!C89+'Avg Week Mutukula-Kampala'!C89)</f>
        <v>0</v>
      </c>
      <c r="D89" s="46">
        <f>AVERAGE('Avg Week Kampala-Mutukula'!D89+'Avg Week Mutukula-Kampala'!D89)</f>
        <v>0</v>
      </c>
      <c r="E89" s="46">
        <f>AVERAGE('Avg Week Kampala-Mutukula'!E89+'Avg Week Mutukula-Kampala'!E89)</f>
        <v>0</v>
      </c>
      <c r="F89" s="46">
        <f>AVERAGE('Avg Week Kampala-Mutukula'!F89+'Avg Week Mutukula-Kampala'!F89)</f>
        <v>0</v>
      </c>
      <c r="G89" s="46">
        <f>AVERAGE('Avg Week Kampala-Mutukula'!G89+'Avg Week Mutukula-Kampala'!G89)</f>
        <v>0</v>
      </c>
      <c r="H89" s="46">
        <f>AVERAGE('Avg Week Kampala-Mutukula'!H89+'Avg Week Mutukula-Kampala'!H89)</f>
        <v>0</v>
      </c>
      <c r="I89" s="46">
        <f>AVERAGE('Avg Week Kampala-Mutukula'!I89+'Avg Week Mutukula-Kampala'!I89)</f>
        <v>0</v>
      </c>
      <c r="J89" s="46">
        <f>AVERAGE('Avg Week Kampala-Mutukula'!J89+'Avg Week Mutukula-Kampala'!J89)</f>
        <v>0</v>
      </c>
      <c r="K89" s="46">
        <f>AVERAGE('Avg Week Kampala-Mutukula'!K89+'Avg Week Mutukula-Kampala'!K89)</f>
        <v>0</v>
      </c>
      <c r="L89" s="46">
        <f>AVERAGE('Avg Week Kampala-Mutukula'!L89+'Avg Week Mutukula-Kampala'!L89)</f>
        <v>0</v>
      </c>
      <c r="M89" s="46">
        <f>AVERAGE('Avg Week Kampala-Mutukula'!M89+'Avg Week Mutukula-Kampala'!M89)</f>
        <v>0</v>
      </c>
      <c r="N89" s="46">
        <f>AVERAGE('Avg Week Kampala-Mutukula'!N89+'Avg Week Mutukula-Kampala'!N89)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1" t="s">
        <v>130</v>
      </c>
      <c r="C90" s="46">
        <f>AVERAGE('Avg Week Kampala-Mutukula'!C90+'Avg Week Mutukula-Kampala'!C90)</f>
        <v>0.33333333333333331</v>
      </c>
      <c r="D90" s="46">
        <f>AVERAGE('Avg Week Kampala-Mutukula'!D90+'Avg Week Mutukula-Kampala'!D90)</f>
        <v>0</v>
      </c>
      <c r="E90" s="46">
        <f>AVERAGE('Avg Week Kampala-Mutukula'!E90+'Avg Week Mutukula-Kampala'!E90)</f>
        <v>0</v>
      </c>
      <c r="F90" s="46">
        <f>AVERAGE('Avg Week Kampala-Mutukula'!F90+'Avg Week Mutukula-Kampala'!F90)</f>
        <v>0</v>
      </c>
      <c r="G90" s="46">
        <f>AVERAGE('Avg Week Kampala-Mutukula'!G90+'Avg Week Mutukula-Kampala'!G90)</f>
        <v>0</v>
      </c>
      <c r="H90" s="46">
        <f>AVERAGE('Avg Week Kampala-Mutukula'!H90+'Avg Week Mutukula-Kampala'!H90)</f>
        <v>0</v>
      </c>
      <c r="I90" s="46">
        <f>AVERAGE('Avg Week Kampala-Mutukula'!I90+'Avg Week Mutukula-Kampala'!I90)</f>
        <v>0</v>
      </c>
      <c r="J90" s="46">
        <f>AVERAGE('Avg Week Kampala-Mutukula'!J90+'Avg Week Mutukula-Kampala'!J90)</f>
        <v>0</v>
      </c>
      <c r="K90" s="46">
        <f>AVERAGE('Avg Week Kampala-Mutukula'!K90+'Avg Week Mutukula-Kampala'!K90)</f>
        <v>0</v>
      </c>
      <c r="L90" s="46">
        <f>AVERAGE('Avg Week Kampala-Mutukula'!L90+'Avg Week Mutukula-Kampala'!L90)</f>
        <v>0.33333333333333331</v>
      </c>
      <c r="M90" s="46">
        <f>AVERAGE('Avg Week Kampala-Mutukula'!M90+'Avg Week Mutukula-Kampala'!M90)</f>
        <v>0</v>
      </c>
      <c r="N90" s="46">
        <f>AVERAGE('Avg Week Kampala-Mutukula'!N90+'Avg Week Mutukula-Kampala'!N90)</f>
        <v>0</v>
      </c>
      <c r="O90" s="15">
        <f t="shared" si="35"/>
        <v>0.66666666666666663</v>
      </c>
      <c r="P90" s="15">
        <f t="shared" si="36"/>
        <v>0.66666666666666663</v>
      </c>
      <c r="R90" s="8"/>
      <c r="T90"/>
    </row>
    <row r="91" spans="2:20" ht="23.1" customHeight="1" x14ac:dyDescent="0.25">
      <c r="B91" s="20" t="s">
        <v>131</v>
      </c>
      <c r="C91" s="46">
        <f>AVERAGE('Avg Week Kampala-Mutukula'!C91+'Avg Week Mutukula-Kampala'!C91)</f>
        <v>0</v>
      </c>
      <c r="D91" s="46">
        <f>AVERAGE('Avg Week Kampala-Mutukula'!D91+'Avg Week Mutukula-Kampala'!D91)</f>
        <v>0</v>
      </c>
      <c r="E91" s="46">
        <f>AVERAGE('Avg Week Kampala-Mutukula'!E91+'Avg Week Mutukula-Kampala'!E91)</f>
        <v>0</v>
      </c>
      <c r="F91" s="46">
        <f>AVERAGE('Avg Week Kampala-Mutukula'!F91+'Avg Week Mutukula-Kampala'!F91)</f>
        <v>0</v>
      </c>
      <c r="G91" s="46">
        <f>AVERAGE('Avg Week Kampala-Mutukula'!G91+'Avg Week Mutukula-Kampala'!G91)</f>
        <v>0</v>
      </c>
      <c r="H91" s="46">
        <f>AVERAGE('Avg Week Kampala-Mutukula'!H91+'Avg Week Mutukula-Kampala'!H91)</f>
        <v>0</v>
      </c>
      <c r="I91" s="46">
        <f>AVERAGE('Avg Week Kampala-Mutukula'!I91+'Avg Week Mutukula-Kampala'!I91)</f>
        <v>0</v>
      </c>
      <c r="J91" s="46">
        <f>AVERAGE('Avg Week Kampala-Mutukula'!J91+'Avg Week Mutukula-Kampala'!J91)</f>
        <v>0</v>
      </c>
      <c r="K91" s="46">
        <f>AVERAGE('Avg Week Kampala-Mutukula'!K91+'Avg Week Mutukula-Kampala'!K91)</f>
        <v>0</v>
      </c>
      <c r="L91" s="46">
        <f>AVERAGE('Avg Week Kampala-Mutukula'!L91+'Avg Week Mutukula-Kampala'!L91)</f>
        <v>0</v>
      </c>
      <c r="M91" s="46">
        <f>AVERAGE('Avg Week Kampala-Mutukula'!M91+'Avg Week Mutukula-Kampala'!M91)</f>
        <v>0</v>
      </c>
      <c r="N91" s="46">
        <f>AVERAGE('Avg Week Kampala-Mutukula'!N91+'Avg Week Mutukula-Kampala'!N91)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2" t="s">
        <v>132</v>
      </c>
      <c r="C92" s="46">
        <f>AVERAGE('Avg Week Kampala-Mutukula'!C92+'Avg Week Mutukula-Kampala'!C92)</f>
        <v>0</v>
      </c>
      <c r="D92" s="46">
        <f>AVERAGE('Avg Week Kampala-Mutukula'!D92+'Avg Week Mutukula-Kampala'!D92)</f>
        <v>0</v>
      </c>
      <c r="E92" s="46">
        <f>AVERAGE('Avg Week Kampala-Mutukula'!E92+'Avg Week Mutukula-Kampala'!E92)</f>
        <v>0</v>
      </c>
      <c r="F92" s="46">
        <f>AVERAGE('Avg Week Kampala-Mutukula'!F92+'Avg Week Mutukula-Kampala'!F92)</f>
        <v>0</v>
      </c>
      <c r="G92" s="46">
        <f>AVERAGE('Avg Week Kampala-Mutukula'!G92+'Avg Week Mutukula-Kampala'!G92)</f>
        <v>0</v>
      </c>
      <c r="H92" s="46">
        <f>AVERAGE('Avg Week Kampala-Mutukula'!H92+'Avg Week Mutukula-Kampala'!H92)</f>
        <v>0</v>
      </c>
      <c r="I92" s="46">
        <f>AVERAGE('Avg Week Kampala-Mutukula'!I92+'Avg Week Mutukula-Kampala'!I92)</f>
        <v>0</v>
      </c>
      <c r="J92" s="46">
        <f>AVERAGE('Avg Week Kampala-Mutukula'!J92+'Avg Week Mutukula-Kampala'!J92)</f>
        <v>0</v>
      </c>
      <c r="K92" s="46">
        <f>AVERAGE('Avg Week Kampala-Mutukula'!K92+'Avg Week Mutukula-Kampala'!K92)</f>
        <v>0</v>
      </c>
      <c r="L92" s="46">
        <f>AVERAGE('Avg Week Kampala-Mutukula'!L92+'Avg Week Mutukula-Kampala'!L92)</f>
        <v>0</v>
      </c>
      <c r="M92" s="46">
        <f>AVERAGE('Avg Week Kampala-Mutukula'!M92+'Avg Week Mutukula-Kampala'!M92)</f>
        <v>0</v>
      </c>
      <c r="N92" s="46">
        <f>AVERAGE('Avg Week Kampala-Mutukula'!N92+'Avg Week Mutukula-Kampala'!N92)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0" t="s">
        <v>133</v>
      </c>
      <c r="C93" s="46">
        <f>AVERAGE('Avg Week Kampala-Mutukula'!C93+'Avg Week Mutukula-Kampala'!C93)</f>
        <v>0</v>
      </c>
      <c r="D93" s="46">
        <f>AVERAGE('Avg Week Kampala-Mutukula'!D93+'Avg Week Mutukula-Kampala'!D93)</f>
        <v>0</v>
      </c>
      <c r="E93" s="46">
        <f>AVERAGE('Avg Week Kampala-Mutukula'!E93+'Avg Week Mutukula-Kampala'!E93)</f>
        <v>0</v>
      </c>
      <c r="F93" s="46">
        <f>AVERAGE('Avg Week Kampala-Mutukula'!F93+'Avg Week Mutukula-Kampala'!F93)</f>
        <v>0</v>
      </c>
      <c r="G93" s="46">
        <f>AVERAGE('Avg Week Kampala-Mutukula'!G93+'Avg Week Mutukula-Kampala'!G93)</f>
        <v>0</v>
      </c>
      <c r="H93" s="46">
        <f>AVERAGE('Avg Week Kampala-Mutukula'!H93+'Avg Week Mutukula-Kampala'!H93)</f>
        <v>0</v>
      </c>
      <c r="I93" s="46">
        <f>AVERAGE('Avg Week Kampala-Mutukula'!I93+'Avg Week Mutukula-Kampala'!I93)</f>
        <v>0</v>
      </c>
      <c r="J93" s="46">
        <f>AVERAGE('Avg Week Kampala-Mutukula'!J93+'Avg Week Mutukula-Kampala'!J93)</f>
        <v>0</v>
      </c>
      <c r="K93" s="46">
        <f>AVERAGE('Avg Week Kampala-Mutukula'!K93+'Avg Week Mutukula-Kampala'!K93)</f>
        <v>0</v>
      </c>
      <c r="L93" s="46">
        <f>AVERAGE('Avg Week Kampala-Mutukula'!L93+'Avg Week Mutukula-Kampala'!L93)</f>
        <v>0</v>
      </c>
      <c r="M93" s="46">
        <f>AVERAGE('Avg Week Kampala-Mutukula'!M93+'Avg Week Mutukula-Kampala'!M93)</f>
        <v>0</v>
      </c>
      <c r="N93" s="46">
        <f>AVERAGE('Avg Week Kampala-Mutukula'!N93+'Avg Week Mutukula-Kampala'!N93)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1" t="s">
        <v>134</v>
      </c>
      <c r="C94" s="46">
        <f>AVERAGE('Avg Week Kampala-Mutukula'!C94+'Avg Week Mutukula-Kampala'!C94)</f>
        <v>0</v>
      </c>
      <c r="D94" s="46">
        <f>AVERAGE('Avg Week Kampala-Mutukula'!D94+'Avg Week Mutukula-Kampala'!D94)</f>
        <v>0</v>
      </c>
      <c r="E94" s="46">
        <f>AVERAGE('Avg Week Kampala-Mutukula'!E94+'Avg Week Mutukula-Kampala'!E94)</f>
        <v>0</v>
      </c>
      <c r="F94" s="46">
        <f>AVERAGE('Avg Week Kampala-Mutukula'!F94+'Avg Week Mutukula-Kampala'!F94)</f>
        <v>0</v>
      </c>
      <c r="G94" s="46">
        <f>AVERAGE('Avg Week Kampala-Mutukula'!G94+'Avg Week Mutukula-Kampala'!G94)</f>
        <v>0</v>
      </c>
      <c r="H94" s="46">
        <f>AVERAGE('Avg Week Kampala-Mutukula'!H94+'Avg Week Mutukula-Kampala'!H94)</f>
        <v>0</v>
      </c>
      <c r="I94" s="46">
        <f>AVERAGE('Avg Week Kampala-Mutukula'!I94+'Avg Week Mutukula-Kampala'!I94)</f>
        <v>0</v>
      </c>
      <c r="J94" s="46">
        <f>AVERAGE('Avg Week Kampala-Mutukula'!J94+'Avg Week Mutukula-Kampala'!J94)</f>
        <v>0</v>
      </c>
      <c r="K94" s="46">
        <f>AVERAGE('Avg Week Kampala-Mutukula'!K94+'Avg Week Mutukula-Kampala'!K94)</f>
        <v>0</v>
      </c>
      <c r="L94" s="46">
        <f>AVERAGE('Avg Week Kampala-Mutukula'!L94+'Avg Week Mutukula-Kampala'!L94)</f>
        <v>0</v>
      </c>
      <c r="M94" s="46">
        <f>AVERAGE('Avg Week Kampala-Mutukula'!M94+'Avg Week Mutukula-Kampala'!M94)</f>
        <v>0</v>
      </c>
      <c r="N94" s="46">
        <f>AVERAGE('Avg Week Kampala-Mutukula'!N94+'Avg Week Mutukula-Kampala'!N94)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0" t="s">
        <v>135</v>
      </c>
      <c r="C95" s="46">
        <f>AVERAGE('Avg Week Kampala-Mutukula'!C95+'Avg Week Mutukula-Kampala'!C95)</f>
        <v>0</v>
      </c>
      <c r="D95" s="46">
        <f>AVERAGE('Avg Week Kampala-Mutukula'!D95+'Avg Week Mutukula-Kampala'!D95)</f>
        <v>0</v>
      </c>
      <c r="E95" s="46">
        <f>AVERAGE('Avg Week Kampala-Mutukula'!E95+'Avg Week Mutukula-Kampala'!E95)</f>
        <v>0</v>
      </c>
      <c r="F95" s="46">
        <f>AVERAGE('Avg Week Kampala-Mutukula'!F95+'Avg Week Mutukula-Kampala'!F95)</f>
        <v>0</v>
      </c>
      <c r="G95" s="46">
        <f>AVERAGE('Avg Week Kampala-Mutukula'!G95+'Avg Week Mutukula-Kampala'!G95)</f>
        <v>0</v>
      </c>
      <c r="H95" s="46">
        <f>AVERAGE('Avg Week Kampala-Mutukula'!H95+'Avg Week Mutukula-Kampala'!H95)</f>
        <v>0</v>
      </c>
      <c r="I95" s="46">
        <f>AVERAGE('Avg Week Kampala-Mutukula'!I95+'Avg Week Mutukula-Kampala'!I95)</f>
        <v>0</v>
      </c>
      <c r="J95" s="46">
        <f>AVERAGE('Avg Week Kampala-Mutukula'!J95+'Avg Week Mutukula-Kampala'!J95)</f>
        <v>0</v>
      </c>
      <c r="K95" s="46">
        <f>AVERAGE('Avg Week Kampala-Mutukula'!K95+'Avg Week Mutukula-Kampala'!K95)</f>
        <v>0</v>
      </c>
      <c r="L95" s="46">
        <f>AVERAGE('Avg Week Kampala-Mutukula'!L95+'Avg Week Mutukula-Kampala'!L95)</f>
        <v>0</v>
      </c>
      <c r="M95" s="46">
        <f>AVERAGE('Avg Week Kampala-Mutukula'!M95+'Avg Week Mutukula-Kampala'!M95)</f>
        <v>0</v>
      </c>
      <c r="N95" s="46">
        <f>AVERAGE('Avg Week Kampala-Mutukula'!N95+'Avg Week Mutukula-Kampala'!N95)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2" t="s">
        <v>136</v>
      </c>
      <c r="C96" s="46">
        <f>AVERAGE('Avg Week Kampala-Mutukula'!C96+'Avg Week Mutukula-Kampala'!C96)</f>
        <v>0</v>
      </c>
      <c r="D96" s="46">
        <f>AVERAGE('Avg Week Kampala-Mutukula'!D96+'Avg Week Mutukula-Kampala'!D96)</f>
        <v>0</v>
      </c>
      <c r="E96" s="46">
        <f>AVERAGE('Avg Week Kampala-Mutukula'!E96+'Avg Week Mutukula-Kampala'!E96)</f>
        <v>0</v>
      </c>
      <c r="F96" s="46">
        <f>AVERAGE('Avg Week Kampala-Mutukula'!F96+'Avg Week Mutukula-Kampala'!F96)</f>
        <v>0</v>
      </c>
      <c r="G96" s="46">
        <f>AVERAGE('Avg Week Kampala-Mutukula'!G96+'Avg Week Mutukula-Kampala'!G96)</f>
        <v>0</v>
      </c>
      <c r="H96" s="46">
        <f>AVERAGE('Avg Week Kampala-Mutukula'!H96+'Avg Week Mutukula-Kampala'!H96)</f>
        <v>0</v>
      </c>
      <c r="I96" s="46">
        <f>AVERAGE('Avg Week Kampala-Mutukula'!I96+'Avg Week Mutukula-Kampala'!I96)</f>
        <v>0</v>
      </c>
      <c r="J96" s="46">
        <f>AVERAGE('Avg Week Kampala-Mutukula'!J96+'Avg Week Mutukula-Kampala'!J96)</f>
        <v>0</v>
      </c>
      <c r="K96" s="46">
        <f>AVERAGE('Avg Week Kampala-Mutukula'!K96+'Avg Week Mutukula-Kampala'!K96)</f>
        <v>0</v>
      </c>
      <c r="L96" s="46">
        <f>AVERAGE('Avg Week Kampala-Mutukula'!L96+'Avg Week Mutukula-Kampala'!L96)</f>
        <v>0.33333333333333331</v>
      </c>
      <c r="M96" s="46">
        <f>AVERAGE('Avg Week Kampala-Mutukula'!M96+'Avg Week Mutukula-Kampala'!M96)</f>
        <v>0</v>
      </c>
      <c r="N96" s="46">
        <f>AVERAGE('Avg Week Kampala-Mutukula'!N96+'Avg Week Mutukula-Kampala'!N96)</f>
        <v>0</v>
      </c>
      <c r="O96" s="15">
        <f t="shared" si="35"/>
        <v>0.33333333333333331</v>
      </c>
      <c r="P96" s="15">
        <f t="shared" si="36"/>
        <v>0.33333333333333331</v>
      </c>
      <c r="R96" s="8"/>
      <c r="T96"/>
    </row>
    <row r="97" spans="2:20" ht="23.1" customHeight="1" x14ac:dyDescent="0.25">
      <c r="B97" s="20" t="s">
        <v>137</v>
      </c>
      <c r="C97" s="46">
        <f>AVERAGE('Avg Week Kampala-Mutukula'!C97+'Avg Week Mutukula-Kampala'!C97)</f>
        <v>0</v>
      </c>
      <c r="D97" s="46">
        <f>AVERAGE('Avg Week Kampala-Mutukula'!D97+'Avg Week Mutukula-Kampala'!D97)</f>
        <v>0</v>
      </c>
      <c r="E97" s="46">
        <f>AVERAGE('Avg Week Kampala-Mutukula'!E97+'Avg Week Mutukula-Kampala'!E97)</f>
        <v>0</v>
      </c>
      <c r="F97" s="46">
        <f>AVERAGE('Avg Week Kampala-Mutukula'!F97+'Avg Week Mutukula-Kampala'!F97)</f>
        <v>0</v>
      </c>
      <c r="G97" s="46">
        <f>AVERAGE('Avg Week Kampala-Mutukula'!G97+'Avg Week Mutukula-Kampala'!G97)</f>
        <v>0</v>
      </c>
      <c r="H97" s="46">
        <f>AVERAGE('Avg Week Kampala-Mutukula'!H97+'Avg Week Mutukula-Kampala'!H97)</f>
        <v>0</v>
      </c>
      <c r="I97" s="46">
        <f>AVERAGE('Avg Week Kampala-Mutukula'!I97+'Avg Week Mutukula-Kampala'!I97)</f>
        <v>0</v>
      </c>
      <c r="J97" s="46">
        <f>AVERAGE('Avg Week Kampala-Mutukula'!J97+'Avg Week Mutukula-Kampala'!J97)</f>
        <v>0</v>
      </c>
      <c r="K97" s="46">
        <f>AVERAGE('Avg Week Kampala-Mutukula'!K97+'Avg Week Mutukula-Kampala'!K97)</f>
        <v>0</v>
      </c>
      <c r="L97" s="46">
        <f>AVERAGE('Avg Week Kampala-Mutukula'!L97+'Avg Week Mutukula-Kampala'!L97)</f>
        <v>0</v>
      </c>
      <c r="M97" s="46">
        <f>AVERAGE('Avg Week Kampala-Mutukula'!M97+'Avg Week Mutukula-Kampala'!M97)</f>
        <v>0</v>
      </c>
      <c r="N97" s="46">
        <f>AVERAGE('Avg Week Kampala-Mutukula'!N97+'Avg Week Mutukula-Kampala'!N97)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1" t="s">
        <v>138</v>
      </c>
      <c r="C98" s="46">
        <f>AVERAGE('Avg Week Kampala-Mutukula'!C98+'Avg Week Mutukula-Kampala'!C98)</f>
        <v>0.66666666666666663</v>
      </c>
      <c r="D98" s="46">
        <f>AVERAGE('Avg Week Kampala-Mutukula'!D98+'Avg Week Mutukula-Kampala'!D98)</f>
        <v>0</v>
      </c>
      <c r="E98" s="46">
        <f>AVERAGE('Avg Week Kampala-Mutukula'!E98+'Avg Week Mutukula-Kampala'!E98)</f>
        <v>0</v>
      </c>
      <c r="F98" s="46">
        <f>AVERAGE('Avg Week Kampala-Mutukula'!F98+'Avg Week Mutukula-Kampala'!F98)</f>
        <v>0</v>
      </c>
      <c r="G98" s="46">
        <f>AVERAGE('Avg Week Kampala-Mutukula'!G98+'Avg Week Mutukula-Kampala'!G98)</f>
        <v>0</v>
      </c>
      <c r="H98" s="46">
        <f>AVERAGE('Avg Week Kampala-Mutukula'!H98+'Avg Week Mutukula-Kampala'!H98)</f>
        <v>0</v>
      </c>
      <c r="I98" s="46">
        <f>AVERAGE('Avg Week Kampala-Mutukula'!I98+'Avg Week Mutukula-Kampala'!I98)</f>
        <v>0</v>
      </c>
      <c r="J98" s="46">
        <f>AVERAGE('Avg Week Kampala-Mutukula'!J98+'Avg Week Mutukula-Kampala'!J98)</f>
        <v>0.66666666666666663</v>
      </c>
      <c r="K98" s="46">
        <f>AVERAGE('Avg Week Kampala-Mutukula'!K98+'Avg Week Mutukula-Kampala'!K98)</f>
        <v>0.33333333333333331</v>
      </c>
      <c r="L98" s="46">
        <f>AVERAGE('Avg Week Kampala-Mutukula'!L98+'Avg Week Mutukula-Kampala'!L98)</f>
        <v>0</v>
      </c>
      <c r="M98" s="46">
        <f>AVERAGE('Avg Week Kampala-Mutukula'!M98+'Avg Week Mutukula-Kampala'!M98)</f>
        <v>0</v>
      </c>
      <c r="N98" s="46">
        <f>AVERAGE('Avg Week Kampala-Mutukula'!N98+'Avg Week Mutukula-Kampala'!N98)</f>
        <v>0</v>
      </c>
      <c r="O98" s="15">
        <f t="shared" si="35"/>
        <v>1.6666666666666665</v>
      </c>
      <c r="P98" s="15">
        <f t="shared" si="36"/>
        <v>1.6666666666666665</v>
      </c>
      <c r="R98" s="8"/>
      <c r="T98"/>
    </row>
    <row r="99" spans="2:20" ht="23.1" customHeight="1" x14ac:dyDescent="0.25">
      <c r="B99" s="20" t="s">
        <v>139</v>
      </c>
      <c r="C99" s="46">
        <f>AVERAGE('Avg Week Kampala-Mutukula'!C99+'Avg Week Mutukula-Kampala'!C99)</f>
        <v>0</v>
      </c>
      <c r="D99" s="46">
        <f>AVERAGE('Avg Week Kampala-Mutukula'!D99+'Avg Week Mutukula-Kampala'!D99)</f>
        <v>0</v>
      </c>
      <c r="E99" s="46">
        <f>AVERAGE('Avg Week Kampala-Mutukula'!E99+'Avg Week Mutukula-Kampala'!E99)</f>
        <v>0</v>
      </c>
      <c r="F99" s="46">
        <f>AVERAGE('Avg Week Kampala-Mutukula'!F99+'Avg Week Mutukula-Kampala'!F99)</f>
        <v>0</v>
      </c>
      <c r="G99" s="46">
        <f>AVERAGE('Avg Week Kampala-Mutukula'!G99+'Avg Week Mutukula-Kampala'!G99)</f>
        <v>0</v>
      </c>
      <c r="H99" s="46">
        <f>AVERAGE('Avg Week Kampala-Mutukula'!H99+'Avg Week Mutukula-Kampala'!H99)</f>
        <v>0</v>
      </c>
      <c r="I99" s="46">
        <f>AVERAGE('Avg Week Kampala-Mutukula'!I99+'Avg Week Mutukula-Kampala'!I99)</f>
        <v>0</v>
      </c>
      <c r="J99" s="46">
        <f>AVERAGE('Avg Week Kampala-Mutukula'!J99+'Avg Week Mutukula-Kampala'!J99)</f>
        <v>0</v>
      </c>
      <c r="K99" s="46">
        <f>AVERAGE('Avg Week Kampala-Mutukula'!K99+'Avg Week Mutukula-Kampala'!K99)</f>
        <v>0</v>
      </c>
      <c r="L99" s="46">
        <f>AVERAGE('Avg Week Kampala-Mutukula'!L99+'Avg Week Mutukula-Kampala'!L99)</f>
        <v>0</v>
      </c>
      <c r="M99" s="46">
        <f>AVERAGE('Avg Week Kampala-Mutukula'!M99+'Avg Week Mutukula-Kampala'!M99)</f>
        <v>0</v>
      </c>
      <c r="N99" s="46">
        <f>AVERAGE('Avg Week Kampala-Mutukula'!N99+'Avg Week Mutukula-Kampala'!N99)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2" t="s">
        <v>140</v>
      </c>
      <c r="C100" s="46">
        <f>AVERAGE('Avg Week Kampala-Mutukula'!C100+'Avg Week Mutukula-Kampala'!C100)</f>
        <v>0.33333333333333331</v>
      </c>
      <c r="D100" s="46">
        <f>AVERAGE('Avg Week Kampala-Mutukula'!D100+'Avg Week Mutukula-Kampala'!D100)</f>
        <v>0</v>
      </c>
      <c r="E100" s="46">
        <f>AVERAGE('Avg Week Kampala-Mutukula'!E100+'Avg Week Mutukula-Kampala'!E100)</f>
        <v>0</v>
      </c>
      <c r="F100" s="46">
        <f>AVERAGE('Avg Week Kampala-Mutukula'!F100+'Avg Week Mutukula-Kampala'!F100)</f>
        <v>1</v>
      </c>
      <c r="G100" s="46">
        <f>AVERAGE('Avg Week Kampala-Mutukula'!G100+'Avg Week Mutukula-Kampala'!G100)</f>
        <v>0.66666666666666663</v>
      </c>
      <c r="H100" s="46">
        <f>AVERAGE('Avg Week Kampala-Mutukula'!H100+'Avg Week Mutukula-Kampala'!H100)</f>
        <v>0.66666666666666663</v>
      </c>
      <c r="I100" s="46">
        <f>AVERAGE('Avg Week Kampala-Mutukula'!I100+'Avg Week Mutukula-Kampala'!I100)</f>
        <v>0.33333333333333331</v>
      </c>
      <c r="J100" s="46">
        <f>AVERAGE('Avg Week Kampala-Mutukula'!J100+'Avg Week Mutukula-Kampala'!J100)</f>
        <v>0</v>
      </c>
      <c r="K100" s="46">
        <f>AVERAGE('Avg Week Kampala-Mutukula'!K100+'Avg Week Mutukula-Kampala'!K100)</f>
        <v>1.3333333333333333</v>
      </c>
      <c r="L100" s="46">
        <f>AVERAGE('Avg Week Kampala-Mutukula'!L100+'Avg Week Mutukula-Kampala'!L100)</f>
        <v>0.66666666666666663</v>
      </c>
      <c r="M100" s="46">
        <f>AVERAGE('Avg Week Kampala-Mutukula'!M100+'Avg Week Mutukula-Kampala'!M100)</f>
        <v>0</v>
      </c>
      <c r="N100" s="46">
        <f>AVERAGE('Avg Week Kampala-Mutukula'!N100+'Avg Week Mutukula-Kampala'!N100)</f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20" t="s">
        <v>141</v>
      </c>
      <c r="C101" s="46">
        <f>AVERAGE('Avg Week Kampala-Mutukula'!C101+'Avg Week Mutukula-Kampala'!C101)</f>
        <v>0</v>
      </c>
      <c r="D101" s="46">
        <f>AVERAGE('Avg Week Kampala-Mutukula'!D101+'Avg Week Mutukula-Kampala'!D101)</f>
        <v>0</v>
      </c>
      <c r="E101" s="46">
        <f>AVERAGE('Avg Week Kampala-Mutukula'!E101+'Avg Week Mutukula-Kampala'!E101)</f>
        <v>0</v>
      </c>
      <c r="F101" s="46">
        <f>AVERAGE('Avg Week Kampala-Mutukula'!F101+'Avg Week Mutukula-Kampala'!F101)</f>
        <v>0</v>
      </c>
      <c r="G101" s="46">
        <f>AVERAGE('Avg Week Kampala-Mutukula'!G101+'Avg Week Mutukula-Kampala'!G101)</f>
        <v>0</v>
      </c>
      <c r="H101" s="46">
        <f>AVERAGE('Avg Week Kampala-Mutukula'!H101+'Avg Week Mutukula-Kampala'!H101)</f>
        <v>0</v>
      </c>
      <c r="I101" s="46">
        <f>AVERAGE('Avg Week Kampala-Mutukula'!I101+'Avg Week Mutukula-Kampala'!I101)</f>
        <v>0</v>
      </c>
      <c r="J101" s="46">
        <f>AVERAGE('Avg Week Kampala-Mutukula'!J101+'Avg Week Mutukula-Kampala'!J101)</f>
        <v>0</v>
      </c>
      <c r="K101" s="46">
        <f>AVERAGE('Avg Week Kampala-Mutukula'!K101+'Avg Week Mutukula-Kampala'!K101)</f>
        <v>0</v>
      </c>
      <c r="L101" s="46">
        <f>AVERAGE('Avg Week Kampala-Mutukula'!L101+'Avg Week Mutukula-Kampala'!L101)</f>
        <v>0</v>
      </c>
      <c r="M101" s="46">
        <f>AVERAGE('Avg Week Kampala-Mutukula'!M101+'Avg Week Mutukula-Kampala'!M101)</f>
        <v>0</v>
      </c>
      <c r="N101" s="46">
        <f>AVERAGE('Avg Week Kampala-Mutukula'!N101+'Avg Week Mutukula-Kampala'!N101)</f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21" t="s">
        <v>142</v>
      </c>
      <c r="C102" s="46">
        <f>AVERAGE('Avg Week Kampala-Mutukula'!C102+'Avg Week Mutukula-Kampala'!C102)</f>
        <v>7</v>
      </c>
      <c r="D102" s="46">
        <f>AVERAGE('Avg Week Kampala-Mutukula'!D102+'Avg Week Mutukula-Kampala'!D102)</f>
        <v>0</v>
      </c>
      <c r="E102" s="46">
        <f>AVERAGE('Avg Week Kampala-Mutukula'!E102+'Avg Week Mutukula-Kampala'!E102)</f>
        <v>0</v>
      </c>
      <c r="F102" s="46">
        <f>AVERAGE('Avg Week Kampala-Mutukula'!F102+'Avg Week Mutukula-Kampala'!F102)</f>
        <v>3.6666666666666665</v>
      </c>
      <c r="G102" s="46">
        <f>AVERAGE('Avg Week Kampala-Mutukula'!G102+'Avg Week Mutukula-Kampala'!G102)</f>
        <v>1.3333333333333333</v>
      </c>
      <c r="H102" s="46">
        <f>AVERAGE('Avg Week Kampala-Mutukula'!H102+'Avg Week Mutukula-Kampala'!H102)</f>
        <v>3</v>
      </c>
      <c r="I102" s="46">
        <f>AVERAGE('Avg Week Kampala-Mutukula'!I102+'Avg Week Mutukula-Kampala'!I102)</f>
        <v>2.3333333333333335</v>
      </c>
      <c r="J102" s="46">
        <f>AVERAGE('Avg Week Kampala-Mutukula'!J102+'Avg Week Mutukula-Kampala'!J102)</f>
        <v>3</v>
      </c>
      <c r="K102" s="46">
        <f>AVERAGE('Avg Week Kampala-Mutukula'!K102+'Avg Week Mutukula-Kampala'!K102)</f>
        <v>2.666666666666667</v>
      </c>
      <c r="L102" s="46">
        <f>AVERAGE('Avg Week Kampala-Mutukula'!L102+'Avg Week Mutukula-Kampala'!L102)</f>
        <v>4.333333333333333</v>
      </c>
      <c r="M102" s="46">
        <f>AVERAGE('Avg Week Kampala-Mutukula'!M102+'Avg Week Mutukula-Kampala'!M102)</f>
        <v>0</v>
      </c>
      <c r="N102" s="46">
        <f>AVERAGE('Avg Week Kampala-Mutukula'!N102+'Avg Week Mutukula-Kampala'!N102)</f>
        <v>0</v>
      </c>
      <c r="O102" s="15">
        <f t="shared" si="35"/>
        <v>27.333333333333332</v>
      </c>
      <c r="P102" s="15">
        <f t="shared" si="36"/>
        <v>27.333333333333332</v>
      </c>
      <c r="R102" s="8"/>
      <c r="T102"/>
    </row>
    <row r="103" spans="2:20" ht="23.1" customHeight="1" x14ac:dyDescent="0.25">
      <c r="B103" s="20" t="s">
        <v>143</v>
      </c>
      <c r="C103" s="46">
        <f>AVERAGE('Avg Week Kampala-Mutukula'!C103+'Avg Week Mutukula-Kampala'!C103)</f>
        <v>0</v>
      </c>
      <c r="D103" s="46">
        <f>AVERAGE('Avg Week Kampala-Mutukula'!D103+'Avg Week Mutukula-Kampala'!D103)</f>
        <v>0</v>
      </c>
      <c r="E103" s="46">
        <f>AVERAGE('Avg Week Kampala-Mutukula'!E103+'Avg Week Mutukula-Kampala'!E103)</f>
        <v>0</v>
      </c>
      <c r="F103" s="46">
        <f>AVERAGE('Avg Week Kampala-Mutukula'!F103+'Avg Week Mutukula-Kampala'!F103)</f>
        <v>0</v>
      </c>
      <c r="G103" s="46">
        <f>AVERAGE('Avg Week Kampala-Mutukula'!G103+'Avg Week Mutukula-Kampala'!G103)</f>
        <v>0</v>
      </c>
      <c r="H103" s="46">
        <f>AVERAGE('Avg Week Kampala-Mutukula'!H103+'Avg Week Mutukula-Kampala'!H103)</f>
        <v>0</v>
      </c>
      <c r="I103" s="46">
        <f>AVERAGE('Avg Week Kampala-Mutukula'!I103+'Avg Week Mutukula-Kampala'!I103)</f>
        <v>0</v>
      </c>
      <c r="J103" s="46">
        <f>AVERAGE('Avg Week Kampala-Mutukula'!J103+'Avg Week Mutukula-Kampala'!J103)</f>
        <v>0</v>
      </c>
      <c r="K103" s="46">
        <f>AVERAGE('Avg Week Kampala-Mutukula'!K103+'Avg Week Mutukula-Kampala'!K103)</f>
        <v>0</v>
      </c>
      <c r="L103" s="46">
        <f>AVERAGE('Avg Week Kampala-Mutukula'!L103+'Avg Week Mutukula-Kampala'!L103)</f>
        <v>0</v>
      </c>
      <c r="M103" s="46">
        <f>AVERAGE('Avg Week Kampala-Mutukula'!M103+'Avg Week Mutukula-Kampala'!M103)</f>
        <v>0</v>
      </c>
      <c r="N103" s="46">
        <f>AVERAGE('Avg Week Kampala-Mutukula'!N103+'Avg Week Mutukula-Kampala'!N103)</f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22" t="s">
        <v>144</v>
      </c>
      <c r="C104" s="46">
        <f>AVERAGE('Avg Week Kampala-Mutukula'!C104+'Avg Week Mutukula-Kampala'!C104)</f>
        <v>9.3333333333333321</v>
      </c>
      <c r="D104" s="46">
        <f>AVERAGE('Avg Week Kampala-Mutukula'!D104+'Avg Week Mutukula-Kampala'!D104)</f>
        <v>0</v>
      </c>
      <c r="E104" s="46">
        <f>AVERAGE('Avg Week Kampala-Mutukula'!E104+'Avg Week Mutukula-Kampala'!E104)</f>
        <v>0</v>
      </c>
      <c r="F104" s="46">
        <f>AVERAGE('Avg Week Kampala-Mutukula'!F104+'Avg Week Mutukula-Kampala'!F104)</f>
        <v>3</v>
      </c>
      <c r="G104" s="46">
        <f>AVERAGE('Avg Week Kampala-Mutukula'!G104+'Avg Week Mutukula-Kampala'!G104)</f>
        <v>2</v>
      </c>
      <c r="H104" s="46">
        <f>AVERAGE('Avg Week Kampala-Mutukula'!H104+'Avg Week Mutukula-Kampala'!H104)</f>
        <v>1.3333333333333333</v>
      </c>
      <c r="I104" s="46">
        <f>AVERAGE('Avg Week Kampala-Mutukula'!I104+'Avg Week Mutukula-Kampala'!I104)</f>
        <v>0.66666666666666663</v>
      </c>
      <c r="J104" s="46">
        <f>AVERAGE('Avg Week Kampala-Mutukula'!J104+'Avg Week Mutukula-Kampala'!J104)</f>
        <v>2</v>
      </c>
      <c r="K104" s="46">
        <f>AVERAGE('Avg Week Kampala-Mutukula'!K104+'Avg Week Mutukula-Kampala'!K104)</f>
        <v>1.6666666666666665</v>
      </c>
      <c r="L104" s="46">
        <f>AVERAGE('Avg Week Kampala-Mutukula'!L104+'Avg Week Mutukula-Kampala'!L104)</f>
        <v>8.3333333333333321</v>
      </c>
      <c r="M104" s="46">
        <f>AVERAGE('Avg Week Kampala-Mutukula'!M104+'Avg Week Mutukula-Kampala'!M104)</f>
        <v>0</v>
      </c>
      <c r="N104" s="46">
        <f>AVERAGE('Avg Week Kampala-Mutukula'!N104+'Avg Week Mutukula-Kampala'!N104)</f>
        <v>0</v>
      </c>
      <c r="O104" s="15">
        <f t="shared" si="35"/>
        <v>28.333333333333332</v>
      </c>
      <c r="P104" s="15">
        <f t="shared" si="36"/>
        <v>28.333333333333332</v>
      </c>
      <c r="R104" s="8"/>
      <c r="T104"/>
    </row>
    <row r="105" spans="2:20" ht="23.1" customHeight="1" x14ac:dyDescent="0.25">
      <c r="B105" s="20" t="s">
        <v>145</v>
      </c>
      <c r="C105" s="46">
        <f>AVERAGE('Avg Week Kampala-Mutukula'!C105+'Avg Week Mutukula-Kampala'!C105)</f>
        <v>0</v>
      </c>
      <c r="D105" s="46">
        <f>AVERAGE('Avg Week Kampala-Mutukula'!D105+'Avg Week Mutukula-Kampala'!D105)</f>
        <v>0</v>
      </c>
      <c r="E105" s="46">
        <f>AVERAGE('Avg Week Kampala-Mutukula'!E105+'Avg Week Mutukula-Kampala'!E105)</f>
        <v>0</v>
      </c>
      <c r="F105" s="46">
        <f>AVERAGE('Avg Week Kampala-Mutukula'!F105+'Avg Week Mutukula-Kampala'!F105)</f>
        <v>0</v>
      </c>
      <c r="G105" s="46">
        <f>AVERAGE('Avg Week Kampala-Mutukula'!G105+'Avg Week Mutukula-Kampala'!G105)</f>
        <v>0</v>
      </c>
      <c r="H105" s="46">
        <f>AVERAGE('Avg Week Kampala-Mutukula'!H105+'Avg Week Mutukula-Kampala'!H105)</f>
        <v>0</v>
      </c>
      <c r="I105" s="46">
        <f>AVERAGE('Avg Week Kampala-Mutukula'!I105+'Avg Week Mutukula-Kampala'!I105)</f>
        <v>0</v>
      </c>
      <c r="J105" s="46">
        <f>AVERAGE('Avg Week Kampala-Mutukula'!J105+'Avg Week Mutukula-Kampala'!J105)</f>
        <v>0</v>
      </c>
      <c r="K105" s="46">
        <f>AVERAGE('Avg Week Kampala-Mutukula'!K105+'Avg Week Mutukula-Kampala'!K105)</f>
        <v>0</v>
      </c>
      <c r="L105" s="46">
        <f>AVERAGE('Avg Week Kampala-Mutukula'!L105+'Avg Week Mutukula-Kampala'!L105)</f>
        <v>0</v>
      </c>
      <c r="M105" s="46">
        <f>AVERAGE('Avg Week Kampala-Mutukula'!M105+'Avg Week Mutukula-Kampala'!M105)</f>
        <v>0</v>
      </c>
      <c r="N105" s="46">
        <f>AVERAGE('Avg Week Kampala-Mutukula'!N105+'Avg Week Mutukula-Kampala'!N105)</f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3" t="s">
        <v>18</v>
      </c>
      <c r="C106" s="16">
        <f>SUM(C10:C105)</f>
        <v>309.00000000000006</v>
      </c>
      <c r="D106" s="16">
        <f t="shared" ref="D106:P106" si="37">SUM(D10:D105)</f>
        <v>0</v>
      </c>
      <c r="E106" s="16">
        <f t="shared" si="37"/>
        <v>0</v>
      </c>
      <c r="F106" s="16">
        <f t="shared" si="37"/>
        <v>124.00000000000003</v>
      </c>
      <c r="G106" s="16">
        <f t="shared" si="37"/>
        <v>13.666666666666666</v>
      </c>
      <c r="H106" s="16">
        <f t="shared" si="37"/>
        <v>31.666666666666664</v>
      </c>
      <c r="I106" s="16">
        <f t="shared" si="37"/>
        <v>38.333333333333329</v>
      </c>
      <c r="J106" s="16">
        <f t="shared" si="37"/>
        <v>118.66666666666667</v>
      </c>
      <c r="K106" s="16">
        <f t="shared" si="37"/>
        <v>50.666666666666671</v>
      </c>
      <c r="L106" s="16">
        <f t="shared" si="37"/>
        <v>130.66666666666663</v>
      </c>
      <c r="M106" s="16">
        <f t="shared" si="37"/>
        <v>36.999999999999993</v>
      </c>
      <c r="N106" s="16">
        <f t="shared" si="37"/>
        <v>0</v>
      </c>
      <c r="O106" s="16">
        <f t="shared" si="37"/>
        <v>816.66666666666663</v>
      </c>
      <c r="P106" s="16">
        <f t="shared" si="37"/>
        <v>853.66666666666663</v>
      </c>
      <c r="R106" s="8"/>
      <c r="T106"/>
    </row>
    <row r="107" spans="2:20" ht="23.1" customHeight="1" x14ac:dyDescent="0.25">
      <c r="B107" s="23" t="s">
        <v>93</v>
      </c>
      <c r="C107" s="40">
        <f t="shared" ref="C107:N107" si="38">C106/$P$106</f>
        <v>0.36196798125732144</v>
      </c>
      <c r="D107" s="40">
        <f t="shared" si="38"/>
        <v>0</v>
      </c>
      <c r="E107" s="40">
        <f t="shared" si="38"/>
        <v>0</v>
      </c>
      <c r="F107" s="40">
        <f t="shared" si="38"/>
        <v>0.14525575946895747</v>
      </c>
      <c r="G107" s="40">
        <f t="shared" si="38"/>
        <v>1.6009371339320577E-2</v>
      </c>
      <c r="H107" s="40">
        <f t="shared" si="38"/>
        <v>3.709488481062085E-2</v>
      </c>
      <c r="I107" s="40">
        <f t="shared" si="38"/>
        <v>4.490433424443576E-2</v>
      </c>
      <c r="J107" s="40">
        <f t="shared" si="38"/>
        <v>0.13900819992190552</v>
      </c>
      <c r="K107" s="40">
        <f t="shared" si="38"/>
        <v>5.9351815696993368E-2</v>
      </c>
      <c r="L107" s="40">
        <f t="shared" si="38"/>
        <v>0.15306520890277231</v>
      </c>
      <c r="M107" s="40">
        <f t="shared" si="38"/>
        <v>4.3342444357672781E-2</v>
      </c>
      <c r="N107" s="40">
        <f t="shared" si="38"/>
        <v>0</v>
      </c>
      <c r="R107" s="8"/>
      <c r="T107"/>
    </row>
    <row r="108" spans="2:20" ht="23.1" customHeight="1" x14ac:dyDescent="0.25">
      <c r="B108" s="39" t="s">
        <v>94</v>
      </c>
      <c r="C108" s="41">
        <f>C106/$O$106</f>
        <v>0.37836734693877561</v>
      </c>
      <c r="D108" s="41">
        <f t="shared" ref="D108:N108" si="39">D106/$O$106</f>
        <v>0</v>
      </c>
      <c r="E108" s="41">
        <f t="shared" si="39"/>
        <v>0</v>
      </c>
      <c r="F108" s="41">
        <f t="shared" si="39"/>
        <v>0.1518367346938776</v>
      </c>
      <c r="G108" s="41">
        <f t="shared" si="39"/>
        <v>1.673469387755102E-2</v>
      </c>
      <c r="H108" s="41">
        <f t="shared" si="39"/>
        <v>3.8775510204081633E-2</v>
      </c>
      <c r="I108" s="41">
        <f t="shared" si="39"/>
        <v>4.6938775510204075E-2</v>
      </c>
      <c r="J108" s="41">
        <f t="shared" si="39"/>
        <v>0.14530612244897961</v>
      </c>
      <c r="K108" s="41">
        <f t="shared" si="39"/>
        <v>6.2040816326530621E-2</v>
      </c>
      <c r="L108" s="41">
        <f t="shared" si="39"/>
        <v>0.15999999999999995</v>
      </c>
      <c r="M108" s="41"/>
      <c r="N108" s="41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2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HeadingPairs>
  <TitlesOfParts>
    <vt:vector size="27" baseType="lpstr">
      <vt:lpstr>25.05 Kampala-Mutukula-24h</vt:lpstr>
      <vt:lpstr>25.05 Mutukula-Kampala-24h</vt:lpstr>
      <vt:lpstr>26.05 Kampala-Mutukula-24h</vt:lpstr>
      <vt:lpstr>26.05 Mutukula-Kampala-24h</vt:lpstr>
      <vt:lpstr>27.05 Kampala-Mutukula-24h</vt:lpstr>
      <vt:lpstr>27.05 Mutukula-Kampala-24h </vt:lpstr>
      <vt:lpstr>Avg Week Kampala-Mutukula</vt:lpstr>
      <vt:lpstr>Avg Week Mutukula-Kampala</vt:lpstr>
      <vt:lpstr>Avg Week Mutukula-Kampala-2Dir</vt:lpstr>
      <vt:lpstr>'25.05 Kampala-Mutukula-24h'!Print_Area</vt:lpstr>
      <vt:lpstr>'25.05 Mutukula-Kampala-24h'!Print_Area</vt:lpstr>
      <vt:lpstr>'26.05 Kampala-Mutukula-24h'!Print_Area</vt:lpstr>
      <vt:lpstr>'26.05 Mutukula-Kampala-24h'!Print_Area</vt:lpstr>
      <vt:lpstr>'27.05 Kampala-Mutukula-24h'!Print_Area</vt:lpstr>
      <vt:lpstr>'27.05 Mutukula-Kampala-24h '!Print_Area</vt:lpstr>
      <vt:lpstr>'Avg Week Kampala-Mutukula'!Print_Area</vt:lpstr>
      <vt:lpstr>'Avg Week Mutukula-Kampala'!Print_Area</vt:lpstr>
      <vt:lpstr>'Avg Week Mutukula-Kampala-2Dir'!Print_Area</vt:lpstr>
      <vt:lpstr>'25.05 Kampala-Mutukula-24h'!Print_Titles</vt:lpstr>
      <vt:lpstr>'25.05 Mutukula-Kampala-24h'!Print_Titles</vt:lpstr>
      <vt:lpstr>'26.05 Kampala-Mutukula-24h'!Print_Titles</vt:lpstr>
      <vt:lpstr>'26.05 Mutukula-Kampala-24h'!Print_Titles</vt:lpstr>
      <vt:lpstr>'27.05 Kampala-Mutukula-24h'!Print_Titles</vt:lpstr>
      <vt:lpstr>'27.05 Mutukula-Kampala-24h '!Print_Titles</vt:lpstr>
      <vt:lpstr>'Avg Week Kampala-Mutukula'!Print_Titles</vt:lpstr>
      <vt:lpstr>'Avg Week Mutukula-Kampala'!Print_Titles</vt:lpstr>
      <vt:lpstr>'Avg Week Mutukula-Kampala-2Dir'!Print_Titles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STEWARD CONSULTANCY</cp:lastModifiedBy>
  <cp:lastPrinted>2019-07-25T18:18:41Z</cp:lastPrinted>
  <dcterms:created xsi:type="dcterms:W3CDTF">2010-07-06T07:39:49Z</dcterms:created>
  <dcterms:modified xsi:type="dcterms:W3CDTF">2020-01-16T15:17:21Z</dcterms:modified>
</cp:coreProperties>
</file>