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EDMP\EDMP Analysis\C-4 Analysis Complete-Benard\STN104-ISHAKA-KATUNGURU\MCC\"/>
    </mc:Choice>
  </mc:AlternateContent>
  <xr:revisionPtr revIDLastSave="0" documentId="13_ncr:1_{A4E80512-EA0E-4879-BB9B-5FCBDDF1EBC0}" xr6:coauthVersionLast="45" xr6:coauthVersionMax="45" xr10:uidLastSave="{00000000-0000-0000-0000-000000000000}"/>
  <bookViews>
    <workbookView xWindow="-120" yWindow="-120" windowWidth="20730" windowHeight="11160" tabRatio="890" firstSheet="14" activeTab="16" xr2:uid="{00000000-000D-0000-FFFF-FFFF00000000}"/>
  </bookViews>
  <sheets>
    <sheet name="07.09. Ishaka-Katungulu-24h" sheetId="101" r:id="rId1"/>
    <sheet name="07.09. Katungulu-Ishaka-24h" sheetId="109" r:id="rId2"/>
    <sheet name="08.09 Ishaka-Katungulu-24h" sheetId="105" r:id="rId3"/>
    <sheet name="08.09 Katungulu-Ishaka-24h" sheetId="110" r:id="rId4"/>
    <sheet name="09.09 Ishaka-Katungulu" sheetId="93" r:id="rId5"/>
    <sheet name="09.09 Katungulu-Ishaka" sheetId="94" r:id="rId6"/>
    <sheet name="10.09 Ishaka-Katungulu" sheetId="95" r:id="rId7"/>
    <sheet name="10.09 Katungulu-Ishaka" sheetId="96" r:id="rId8"/>
    <sheet name="11.09 Ishaka-Katungulu" sheetId="97" r:id="rId9"/>
    <sheet name="11.09 Katungulu-Ishaka" sheetId="98" r:id="rId10"/>
    <sheet name="12.09 Ishaka-Katungulu" sheetId="99" r:id="rId11"/>
    <sheet name="12.09 Katungulu-Ishaka" sheetId="100" r:id="rId12"/>
    <sheet name="13.09 Ishaka-Katungulu" sheetId="103" r:id="rId13"/>
    <sheet name="13.09 Katungulu-Ishaka" sheetId="104" r:id="rId14"/>
    <sheet name="Avg Week Ishaka-Katungulu" sheetId="107" r:id="rId15"/>
    <sheet name="Avg Week Katungulu-Ishaka" sheetId="108" r:id="rId16"/>
    <sheet name="Avg Week Katungulu-Ishaka-2Dir" sheetId="111" r:id="rId17"/>
  </sheets>
  <definedNames>
    <definedName name="_xlnm.Print_Area" localSheetId="0">'07.09. Ishaka-Katungulu-24h'!$A$1:$AF$108</definedName>
    <definedName name="_xlnm.Print_Area" localSheetId="1">'07.09. Katungulu-Ishaka-24h'!$A$1:$AF$108</definedName>
    <definedName name="_xlnm.Print_Area" localSheetId="2">'08.09 Ishaka-Katungulu-24h'!$A$1:$AF$108</definedName>
    <definedName name="_xlnm.Print_Area" localSheetId="3">'08.09 Katungulu-Ishaka-24h'!$A$1:$AF$108</definedName>
    <definedName name="_xlnm.Print_Area" localSheetId="4">'09.09 Ishaka-Katungulu'!$A$1:$AF$60</definedName>
    <definedName name="_xlnm.Print_Area" localSheetId="5">'09.09 Katungulu-Ishaka'!$A$1:$AF$60</definedName>
    <definedName name="_xlnm.Print_Area" localSheetId="6">'10.09 Ishaka-Katungulu'!$A$1:$AF$60</definedName>
    <definedName name="_xlnm.Print_Area" localSheetId="7">'10.09 Katungulu-Ishaka'!$A$1:$AF$60</definedName>
    <definedName name="_xlnm.Print_Area" localSheetId="8">'11.09 Ishaka-Katungulu'!$A$1:$AF$60</definedName>
    <definedName name="_xlnm.Print_Area" localSheetId="9">'11.09 Katungulu-Ishaka'!$A$1:$AF$60</definedName>
    <definedName name="_xlnm.Print_Area" localSheetId="10">'12.09 Ishaka-Katungulu'!$A$1:$AF$60</definedName>
    <definedName name="_xlnm.Print_Area" localSheetId="11">'12.09 Katungulu-Ishaka'!$A$1:$AF$60</definedName>
    <definedName name="_xlnm.Print_Area" localSheetId="12">'13.09 Ishaka-Katungulu'!$A$1:$AF$60</definedName>
    <definedName name="_xlnm.Print_Area" localSheetId="13">'13.09 Katungulu-Ishaka'!$A$1:$AF$60</definedName>
    <definedName name="_xlnm.Print_Area" localSheetId="14">'Avg Week Ishaka-Katungulu'!$A$1:$AF$108</definedName>
    <definedName name="_xlnm.Print_Area" localSheetId="15">'Avg Week Katungulu-Ishaka'!$A$1:$AF$108</definedName>
    <definedName name="_xlnm.Print_Area" localSheetId="16">'Avg Week Katungulu-Ishaka-2Dir'!$A$1:$AF$108</definedName>
    <definedName name="_xlnm.Print_Titles" localSheetId="0">'07.09. Ishaka-Katungulu-24h'!$1:$8</definedName>
    <definedName name="_xlnm.Print_Titles" localSheetId="1">'07.09. Katungulu-Ishaka-24h'!$1:$8</definedName>
    <definedName name="_xlnm.Print_Titles" localSheetId="2">'08.09 Ishaka-Katungulu-24h'!$1:$8</definedName>
    <definedName name="_xlnm.Print_Titles" localSheetId="3">'08.09 Katungulu-Ishaka-24h'!$1:$8</definedName>
    <definedName name="_xlnm.Print_Titles" localSheetId="4">'09.09 Ishaka-Katungulu'!$1:$8</definedName>
    <definedName name="_xlnm.Print_Titles" localSheetId="5">'09.09 Katungulu-Ishaka'!$1:$8</definedName>
    <definedName name="_xlnm.Print_Titles" localSheetId="6">'10.09 Ishaka-Katungulu'!$1:$8</definedName>
    <definedName name="_xlnm.Print_Titles" localSheetId="7">'10.09 Katungulu-Ishaka'!$1:$8</definedName>
    <definedName name="_xlnm.Print_Titles" localSheetId="8">'11.09 Ishaka-Katungulu'!$1:$8</definedName>
    <definedName name="_xlnm.Print_Titles" localSheetId="9">'11.09 Katungulu-Ishaka'!$1:$8</definedName>
    <definedName name="_xlnm.Print_Titles" localSheetId="10">'12.09 Ishaka-Katungulu'!$1:$8</definedName>
    <definedName name="_xlnm.Print_Titles" localSheetId="11">'12.09 Katungulu-Ishaka'!$1:$8</definedName>
    <definedName name="_xlnm.Print_Titles" localSheetId="12">'13.09 Ishaka-Katungulu'!$1:$8</definedName>
    <definedName name="_xlnm.Print_Titles" localSheetId="13">'13.09 Katungulu-Ishaka'!$1:$8</definedName>
    <definedName name="_xlnm.Print_Titles" localSheetId="14">'Avg Week Ishaka-Katungulu'!$1:$8</definedName>
    <definedName name="_xlnm.Print_Titles" localSheetId="15">'Avg Week Katungulu-Ishaka'!$1:$8</definedName>
    <definedName name="_xlnm.Print_Titles" localSheetId="16">'Avg Week Katungulu-Ishaka-2Dir'!$1:$8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22" i="107" l="1"/>
  <c r="F66" i="111"/>
  <c r="J79" i="111"/>
  <c r="L81" i="111"/>
  <c r="J83" i="111"/>
  <c r="J87" i="111"/>
  <c r="H93" i="111"/>
  <c r="F95" i="111"/>
  <c r="F99" i="111"/>
  <c r="E58" i="108"/>
  <c r="U22" i="108" s="1"/>
  <c r="F58" i="108"/>
  <c r="G58" i="108"/>
  <c r="H58" i="108"/>
  <c r="I58" i="108"/>
  <c r="Y22" i="108" s="1"/>
  <c r="J58" i="108"/>
  <c r="K58" i="108"/>
  <c r="L58" i="108"/>
  <c r="M58" i="108"/>
  <c r="AC22" i="108" s="1"/>
  <c r="N58" i="108"/>
  <c r="E59" i="108"/>
  <c r="F59" i="108"/>
  <c r="G59" i="108"/>
  <c r="H59" i="108"/>
  <c r="I59" i="108"/>
  <c r="J59" i="108"/>
  <c r="K59" i="108"/>
  <c r="L59" i="108"/>
  <c r="M59" i="108"/>
  <c r="N59" i="108"/>
  <c r="E60" i="108"/>
  <c r="F60" i="108"/>
  <c r="G60" i="108"/>
  <c r="H60" i="108"/>
  <c r="I60" i="108"/>
  <c r="J60" i="108"/>
  <c r="K60" i="108"/>
  <c r="L60" i="108"/>
  <c r="M60" i="108"/>
  <c r="N60" i="108"/>
  <c r="E61" i="108"/>
  <c r="F61" i="108"/>
  <c r="G61" i="108"/>
  <c r="H61" i="108"/>
  <c r="I61" i="108"/>
  <c r="J61" i="108"/>
  <c r="K61" i="108"/>
  <c r="L61" i="108"/>
  <c r="M61" i="108"/>
  <c r="N61" i="108"/>
  <c r="E62" i="108"/>
  <c r="U23" i="108" s="1"/>
  <c r="F62" i="108"/>
  <c r="G62" i="108"/>
  <c r="H62" i="108"/>
  <c r="I62" i="108"/>
  <c r="J62" i="108"/>
  <c r="K62" i="108"/>
  <c r="L62" i="108"/>
  <c r="M62" i="108"/>
  <c r="AC23" i="108" s="1"/>
  <c r="N62" i="108"/>
  <c r="E63" i="108"/>
  <c r="F63" i="108"/>
  <c r="G63" i="108"/>
  <c r="H63" i="108"/>
  <c r="I63" i="108"/>
  <c r="J63" i="108"/>
  <c r="K63" i="108"/>
  <c r="L63" i="108"/>
  <c r="M63" i="108"/>
  <c r="N63" i="108"/>
  <c r="E64" i="108"/>
  <c r="F64" i="108"/>
  <c r="G64" i="108"/>
  <c r="H64" i="108"/>
  <c r="I64" i="108"/>
  <c r="J64" i="108"/>
  <c r="K64" i="108"/>
  <c r="L64" i="108"/>
  <c r="M64" i="108"/>
  <c r="N64" i="108"/>
  <c r="E65" i="108"/>
  <c r="F65" i="108"/>
  <c r="G65" i="108"/>
  <c r="H65" i="108"/>
  <c r="I65" i="108"/>
  <c r="J65" i="108"/>
  <c r="K65" i="108"/>
  <c r="L65" i="108"/>
  <c r="M65" i="108"/>
  <c r="N65" i="108"/>
  <c r="E66" i="108"/>
  <c r="F66" i="108"/>
  <c r="G66" i="108"/>
  <c r="H66" i="108"/>
  <c r="I66" i="108"/>
  <c r="Y24" i="108" s="1"/>
  <c r="J66" i="108"/>
  <c r="K66" i="108"/>
  <c r="L66" i="108"/>
  <c r="M66" i="108"/>
  <c r="N66" i="108"/>
  <c r="E67" i="108"/>
  <c r="F67" i="108"/>
  <c r="G67" i="108"/>
  <c r="H67" i="108"/>
  <c r="I67" i="108"/>
  <c r="J67" i="108"/>
  <c r="K67" i="108"/>
  <c r="L67" i="108"/>
  <c r="M67" i="108"/>
  <c r="N67" i="108"/>
  <c r="E68" i="108"/>
  <c r="F68" i="108"/>
  <c r="G68" i="108"/>
  <c r="H68" i="108"/>
  <c r="I68" i="108"/>
  <c r="J68" i="108"/>
  <c r="K68" i="108"/>
  <c r="L68" i="108"/>
  <c r="M68" i="108"/>
  <c r="N68" i="108"/>
  <c r="E69" i="108"/>
  <c r="F69" i="108"/>
  <c r="G69" i="108"/>
  <c r="H69" i="108"/>
  <c r="I69" i="108"/>
  <c r="J69" i="108"/>
  <c r="K69" i="108"/>
  <c r="L69" i="108"/>
  <c r="M69" i="108"/>
  <c r="N69" i="108"/>
  <c r="E70" i="108"/>
  <c r="U25" i="108" s="1"/>
  <c r="F70" i="108"/>
  <c r="G70" i="108"/>
  <c r="H70" i="108"/>
  <c r="I70" i="108"/>
  <c r="J70" i="108"/>
  <c r="K70" i="108"/>
  <c r="L70" i="108"/>
  <c r="M70" i="108"/>
  <c r="AC25" i="108" s="1"/>
  <c r="N70" i="108"/>
  <c r="E71" i="108"/>
  <c r="F71" i="108"/>
  <c r="G71" i="108"/>
  <c r="H71" i="108"/>
  <c r="I71" i="108"/>
  <c r="J71" i="108"/>
  <c r="K71" i="108"/>
  <c r="L71" i="108"/>
  <c r="M71" i="108"/>
  <c r="N71" i="108"/>
  <c r="E72" i="108"/>
  <c r="F72" i="108"/>
  <c r="G72" i="108"/>
  <c r="H72" i="108"/>
  <c r="I72" i="108"/>
  <c r="J72" i="108"/>
  <c r="K72" i="108"/>
  <c r="L72" i="108"/>
  <c r="M72" i="108"/>
  <c r="N72" i="108"/>
  <c r="E73" i="108"/>
  <c r="F73" i="108"/>
  <c r="G73" i="108"/>
  <c r="H73" i="108"/>
  <c r="I73" i="108"/>
  <c r="J73" i="108"/>
  <c r="K73" i="108"/>
  <c r="L73" i="108"/>
  <c r="M73" i="108"/>
  <c r="N73" i="108"/>
  <c r="E74" i="108"/>
  <c r="F74" i="108"/>
  <c r="G74" i="108"/>
  <c r="H74" i="108"/>
  <c r="I74" i="108"/>
  <c r="Y26" i="108" s="1"/>
  <c r="J74" i="108"/>
  <c r="K74" i="108"/>
  <c r="L74" i="108"/>
  <c r="M74" i="108"/>
  <c r="N74" i="108"/>
  <c r="E75" i="108"/>
  <c r="F75" i="108"/>
  <c r="G75" i="108"/>
  <c r="H75" i="108"/>
  <c r="I75" i="108"/>
  <c r="J75" i="108"/>
  <c r="K75" i="108"/>
  <c r="L75" i="108"/>
  <c r="M75" i="108"/>
  <c r="N75" i="108"/>
  <c r="AD26" i="108" s="1"/>
  <c r="E76" i="108"/>
  <c r="F76" i="108"/>
  <c r="G76" i="108"/>
  <c r="H76" i="108"/>
  <c r="I76" i="108"/>
  <c r="J76" i="108"/>
  <c r="K76" i="108"/>
  <c r="L76" i="108"/>
  <c r="M76" i="108"/>
  <c r="N76" i="108"/>
  <c r="E77" i="108"/>
  <c r="F77" i="108"/>
  <c r="G77" i="108"/>
  <c r="H77" i="108"/>
  <c r="I77" i="108"/>
  <c r="J77" i="108"/>
  <c r="K77" i="108"/>
  <c r="L77" i="108"/>
  <c r="M77" i="108"/>
  <c r="N77" i="108"/>
  <c r="E78" i="108"/>
  <c r="U27" i="108" s="1"/>
  <c r="F78" i="108"/>
  <c r="G78" i="108"/>
  <c r="H78" i="108"/>
  <c r="I78" i="108"/>
  <c r="J78" i="108"/>
  <c r="K78" i="108"/>
  <c r="L78" i="108"/>
  <c r="M78" i="108"/>
  <c r="AC27" i="108" s="1"/>
  <c r="N78" i="108"/>
  <c r="E79" i="108"/>
  <c r="F79" i="108"/>
  <c r="G79" i="108"/>
  <c r="H79" i="108"/>
  <c r="I79" i="108"/>
  <c r="J79" i="108"/>
  <c r="K79" i="108"/>
  <c r="L79" i="108"/>
  <c r="M79" i="108"/>
  <c r="N79" i="108"/>
  <c r="E80" i="108"/>
  <c r="F80" i="108"/>
  <c r="G80" i="108"/>
  <c r="H80" i="108"/>
  <c r="I80" i="108"/>
  <c r="J80" i="108"/>
  <c r="K80" i="108"/>
  <c r="L80" i="108"/>
  <c r="M80" i="108"/>
  <c r="N80" i="108"/>
  <c r="E81" i="108"/>
  <c r="F81" i="108"/>
  <c r="G81" i="108"/>
  <c r="H81" i="108"/>
  <c r="I81" i="108"/>
  <c r="J81" i="108"/>
  <c r="K81" i="108"/>
  <c r="L81" i="108"/>
  <c r="M81" i="108"/>
  <c r="N81" i="108"/>
  <c r="E82" i="108"/>
  <c r="F82" i="108"/>
  <c r="G82" i="108"/>
  <c r="H82" i="108"/>
  <c r="I82" i="108"/>
  <c r="Y28" i="108" s="1"/>
  <c r="J82" i="108"/>
  <c r="K82" i="108"/>
  <c r="L82" i="108"/>
  <c r="M82" i="108"/>
  <c r="N82" i="108"/>
  <c r="E83" i="108"/>
  <c r="F83" i="108"/>
  <c r="G83" i="108"/>
  <c r="H83" i="108"/>
  <c r="I83" i="108"/>
  <c r="J83" i="108"/>
  <c r="K83" i="108"/>
  <c r="L83" i="108"/>
  <c r="M83" i="108"/>
  <c r="N83" i="108"/>
  <c r="E84" i="108"/>
  <c r="F84" i="108"/>
  <c r="G84" i="108"/>
  <c r="H84" i="108"/>
  <c r="I84" i="108"/>
  <c r="J84" i="108"/>
  <c r="K84" i="108"/>
  <c r="L84" i="108"/>
  <c r="M84" i="108"/>
  <c r="N84" i="108"/>
  <c r="E85" i="108"/>
  <c r="F85" i="108"/>
  <c r="G85" i="108"/>
  <c r="H85" i="108"/>
  <c r="I85" i="108"/>
  <c r="J85" i="108"/>
  <c r="K85" i="108"/>
  <c r="L85" i="108"/>
  <c r="M85" i="108"/>
  <c r="N85" i="108"/>
  <c r="E86" i="108"/>
  <c r="U29" i="108" s="1"/>
  <c r="F86" i="108"/>
  <c r="G86" i="108"/>
  <c r="W29" i="108" s="1"/>
  <c r="H86" i="108"/>
  <c r="I86" i="108"/>
  <c r="Y29" i="108" s="1"/>
  <c r="J86" i="108"/>
  <c r="K86" i="108"/>
  <c r="L86" i="108"/>
  <c r="AB29" i="108" s="1"/>
  <c r="M86" i="108"/>
  <c r="AC29" i="108" s="1"/>
  <c r="N86" i="108"/>
  <c r="E87" i="108"/>
  <c r="F87" i="108"/>
  <c r="G87" i="108"/>
  <c r="H87" i="108"/>
  <c r="I87" i="108"/>
  <c r="J87" i="108"/>
  <c r="K87" i="108"/>
  <c r="L87" i="108"/>
  <c r="M87" i="108"/>
  <c r="N87" i="108"/>
  <c r="E88" i="108"/>
  <c r="F88" i="108"/>
  <c r="G88" i="108"/>
  <c r="H88" i="108"/>
  <c r="I88" i="108"/>
  <c r="J88" i="108"/>
  <c r="K88" i="108"/>
  <c r="L88" i="108"/>
  <c r="M88" i="108"/>
  <c r="N88" i="108"/>
  <c r="E89" i="108"/>
  <c r="F89" i="108"/>
  <c r="G89" i="108"/>
  <c r="H89" i="108"/>
  <c r="H89" i="111" s="1"/>
  <c r="I89" i="108"/>
  <c r="J89" i="108"/>
  <c r="K89" i="108"/>
  <c r="L89" i="108"/>
  <c r="M89" i="108"/>
  <c r="N89" i="108"/>
  <c r="E90" i="108"/>
  <c r="F90" i="108"/>
  <c r="G90" i="108"/>
  <c r="H90" i="108"/>
  <c r="I90" i="108"/>
  <c r="Y30" i="108" s="1"/>
  <c r="J90" i="108"/>
  <c r="K90" i="108"/>
  <c r="L90" i="108"/>
  <c r="M90" i="108"/>
  <c r="N90" i="108"/>
  <c r="E91" i="108"/>
  <c r="F91" i="108"/>
  <c r="G91" i="108"/>
  <c r="H91" i="108"/>
  <c r="I91" i="108"/>
  <c r="J91" i="108"/>
  <c r="K91" i="108"/>
  <c r="L91" i="108"/>
  <c r="M91" i="108"/>
  <c r="N91" i="108"/>
  <c r="E92" i="108"/>
  <c r="F92" i="108"/>
  <c r="G92" i="108"/>
  <c r="H92" i="108"/>
  <c r="I92" i="108"/>
  <c r="J92" i="108"/>
  <c r="K92" i="108"/>
  <c r="L92" i="108"/>
  <c r="M92" i="108"/>
  <c r="N92" i="108"/>
  <c r="E93" i="108"/>
  <c r="F93" i="108"/>
  <c r="G93" i="108"/>
  <c r="H93" i="108"/>
  <c r="I93" i="108"/>
  <c r="J93" i="108"/>
  <c r="K93" i="108"/>
  <c r="L93" i="108"/>
  <c r="M93" i="108"/>
  <c r="N93" i="108"/>
  <c r="E94" i="108"/>
  <c r="U31" i="108" s="1"/>
  <c r="F94" i="108"/>
  <c r="G94" i="108"/>
  <c r="H94" i="108"/>
  <c r="I94" i="108"/>
  <c r="Y31" i="108" s="1"/>
  <c r="J94" i="108"/>
  <c r="K94" i="108"/>
  <c r="L94" i="108"/>
  <c r="AB31" i="108" s="1"/>
  <c r="M94" i="108"/>
  <c r="AC31" i="108" s="1"/>
  <c r="N94" i="108"/>
  <c r="E95" i="108"/>
  <c r="F95" i="108"/>
  <c r="G95" i="108"/>
  <c r="H95" i="108"/>
  <c r="I95" i="108"/>
  <c r="J95" i="108"/>
  <c r="K95" i="108"/>
  <c r="L95" i="108"/>
  <c r="M95" i="108"/>
  <c r="N95" i="108"/>
  <c r="E96" i="108"/>
  <c r="F96" i="108"/>
  <c r="G96" i="108"/>
  <c r="H96" i="108"/>
  <c r="I96" i="108"/>
  <c r="J96" i="108"/>
  <c r="K96" i="108"/>
  <c r="L96" i="108"/>
  <c r="M96" i="108"/>
  <c r="N96" i="108"/>
  <c r="E97" i="108"/>
  <c r="F97" i="108"/>
  <c r="G97" i="108"/>
  <c r="H97" i="108"/>
  <c r="I97" i="108"/>
  <c r="J97" i="108"/>
  <c r="K97" i="108"/>
  <c r="L97" i="108"/>
  <c r="M97" i="108"/>
  <c r="N97" i="108"/>
  <c r="E98" i="108"/>
  <c r="F98" i="108"/>
  <c r="G98" i="108"/>
  <c r="H98" i="108"/>
  <c r="X32" i="108" s="1"/>
  <c r="I98" i="108"/>
  <c r="Y32" i="108" s="1"/>
  <c r="J98" i="108"/>
  <c r="K98" i="108"/>
  <c r="L98" i="108"/>
  <c r="M98" i="108"/>
  <c r="AC32" i="108" s="1"/>
  <c r="N98" i="108"/>
  <c r="E99" i="108"/>
  <c r="F99" i="108"/>
  <c r="G99" i="108"/>
  <c r="H99" i="108"/>
  <c r="I99" i="108"/>
  <c r="J99" i="108"/>
  <c r="K99" i="108"/>
  <c r="L99" i="108"/>
  <c r="M99" i="108"/>
  <c r="N99" i="108"/>
  <c r="E100" i="108"/>
  <c r="F100" i="108"/>
  <c r="G100" i="108"/>
  <c r="H100" i="108"/>
  <c r="I100" i="108"/>
  <c r="J100" i="108"/>
  <c r="K100" i="108"/>
  <c r="L100" i="108"/>
  <c r="M100" i="108"/>
  <c r="N100" i="108"/>
  <c r="E101" i="108"/>
  <c r="F101" i="108"/>
  <c r="G101" i="108"/>
  <c r="H101" i="108"/>
  <c r="I101" i="108"/>
  <c r="J101" i="108"/>
  <c r="K101" i="108"/>
  <c r="L101" i="108"/>
  <c r="M101" i="108"/>
  <c r="N101" i="108"/>
  <c r="E102" i="108"/>
  <c r="U33" i="108" s="1"/>
  <c r="F102" i="108"/>
  <c r="G102" i="108"/>
  <c r="H102" i="108"/>
  <c r="I102" i="108"/>
  <c r="Y33" i="108" s="1"/>
  <c r="J102" i="108"/>
  <c r="K102" i="108"/>
  <c r="L102" i="108"/>
  <c r="AB33" i="108" s="1"/>
  <c r="M102" i="108"/>
  <c r="AC33" i="108" s="1"/>
  <c r="N102" i="108"/>
  <c r="E103" i="108"/>
  <c r="F103" i="108"/>
  <c r="G103" i="108"/>
  <c r="H103" i="108"/>
  <c r="I103" i="108"/>
  <c r="J103" i="108"/>
  <c r="K103" i="108"/>
  <c r="L103" i="108"/>
  <c r="M103" i="108"/>
  <c r="N103" i="108"/>
  <c r="E104" i="108"/>
  <c r="F104" i="108"/>
  <c r="G104" i="108"/>
  <c r="H104" i="108"/>
  <c r="I104" i="108"/>
  <c r="J104" i="108"/>
  <c r="K104" i="108"/>
  <c r="L104" i="108"/>
  <c r="M104" i="108"/>
  <c r="N104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E58" i="107"/>
  <c r="F58" i="107"/>
  <c r="F58" i="111" s="1"/>
  <c r="G58" i="107"/>
  <c r="H58" i="107"/>
  <c r="I58" i="107"/>
  <c r="J58" i="107"/>
  <c r="K58" i="107"/>
  <c r="L58" i="107"/>
  <c r="L58" i="111" s="1"/>
  <c r="M58" i="107"/>
  <c r="N58" i="107"/>
  <c r="N58" i="111" s="1"/>
  <c r="E59" i="107"/>
  <c r="E59" i="111" s="1"/>
  <c r="F59" i="107"/>
  <c r="G59" i="107"/>
  <c r="G59" i="111" s="1"/>
  <c r="H59" i="107"/>
  <c r="H59" i="111" s="1"/>
  <c r="I59" i="107"/>
  <c r="I59" i="111" s="1"/>
  <c r="J59" i="107"/>
  <c r="K59" i="107"/>
  <c r="K59" i="111" s="1"/>
  <c r="L59" i="107"/>
  <c r="L59" i="111" s="1"/>
  <c r="M59" i="107"/>
  <c r="M59" i="111" s="1"/>
  <c r="N59" i="107"/>
  <c r="N59" i="111" s="1"/>
  <c r="E60" i="107"/>
  <c r="E60" i="111" s="1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N61" i="111" s="1"/>
  <c r="E62" i="107"/>
  <c r="F62" i="107"/>
  <c r="G62" i="107"/>
  <c r="H62" i="107"/>
  <c r="I62" i="107"/>
  <c r="J62" i="107"/>
  <c r="K62" i="107"/>
  <c r="L62" i="107"/>
  <c r="M62" i="107"/>
  <c r="N62" i="107"/>
  <c r="E63" i="107"/>
  <c r="E63" i="111" s="1"/>
  <c r="F63" i="107"/>
  <c r="G63" i="107"/>
  <c r="G63" i="111" s="1"/>
  <c r="H63" i="107"/>
  <c r="H63" i="111" s="1"/>
  <c r="I63" i="107"/>
  <c r="J63" i="107"/>
  <c r="J63" i="111" s="1"/>
  <c r="K63" i="107"/>
  <c r="K63" i="111" s="1"/>
  <c r="L63" i="107"/>
  <c r="L63" i="111" s="1"/>
  <c r="M63" i="107"/>
  <c r="M63" i="111" s="1"/>
  <c r="N63" i="107"/>
  <c r="E64" i="107"/>
  <c r="E64" i="111" s="1"/>
  <c r="F64" i="107"/>
  <c r="F64" i="111" s="1"/>
  <c r="G64" i="107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M65" i="107"/>
  <c r="M65" i="111" s="1"/>
  <c r="N65" i="107"/>
  <c r="N65" i="111" s="1"/>
  <c r="E66" i="107"/>
  <c r="F66" i="107"/>
  <c r="G66" i="107"/>
  <c r="H66" i="107"/>
  <c r="I66" i="107"/>
  <c r="J66" i="107"/>
  <c r="K66" i="107"/>
  <c r="L66" i="107"/>
  <c r="M66" i="107"/>
  <c r="N66" i="107"/>
  <c r="E67" i="107"/>
  <c r="F67" i="107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N67" i="107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L68" i="107"/>
  <c r="L68" i="111" s="1"/>
  <c r="M68" i="107"/>
  <c r="M68" i="111" s="1"/>
  <c r="N68" i="107"/>
  <c r="N68" i="111" s="1"/>
  <c r="E69" i="107"/>
  <c r="E69" i="111" s="1"/>
  <c r="F69" i="107"/>
  <c r="F69" i="111" s="1"/>
  <c r="G69" i="107"/>
  <c r="G69" i="111" s="1"/>
  <c r="H69" i="107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E70" i="107"/>
  <c r="F70" i="107"/>
  <c r="G70" i="107"/>
  <c r="H70" i="107"/>
  <c r="I70" i="107"/>
  <c r="J70" i="107"/>
  <c r="K70" i="107"/>
  <c r="L70" i="107"/>
  <c r="M70" i="107"/>
  <c r="N70" i="107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E72" i="107"/>
  <c r="E72" i="111" s="1"/>
  <c r="F72" i="107"/>
  <c r="F72" i="111" s="1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M73" i="111" s="1"/>
  <c r="N73" i="107"/>
  <c r="N73" i="111" s="1"/>
  <c r="E74" i="107"/>
  <c r="F74" i="107"/>
  <c r="G74" i="107"/>
  <c r="H74" i="107"/>
  <c r="I74" i="107"/>
  <c r="J74" i="107"/>
  <c r="K74" i="107"/>
  <c r="L74" i="107"/>
  <c r="M74" i="107"/>
  <c r="N74" i="107"/>
  <c r="N74" i="111" s="1"/>
  <c r="AD26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K75" i="107"/>
  <c r="K75" i="111" s="1"/>
  <c r="L75" i="107"/>
  <c r="L75" i="111" s="1"/>
  <c r="M75" i="107"/>
  <c r="M75" i="111" s="1"/>
  <c r="N75" i="107"/>
  <c r="N75" i="111" s="1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N76" i="111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N77" i="111" s="1"/>
  <c r="E78" i="107"/>
  <c r="F78" i="107"/>
  <c r="G78" i="107"/>
  <c r="H78" i="107"/>
  <c r="I78" i="107"/>
  <c r="J78" i="107"/>
  <c r="K78" i="107"/>
  <c r="L78" i="107"/>
  <c r="M78" i="107"/>
  <c r="N78" i="107"/>
  <c r="E79" i="107"/>
  <c r="E79" i="111" s="1"/>
  <c r="F79" i="107"/>
  <c r="F79" i="111" s="1"/>
  <c r="G79" i="107"/>
  <c r="G79" i="111" s="1"/>
  <c r="H79" i="107"/>
  <c r="H79" i="111" s="1"/>
  <c r="I79" i="107"/>
  <c r="I79" i="111" s="1"/>
  <c r="J79" i="107"/>
  <c r="K79" i="107"/>
  <c r="K79" i="111" s="1"/>
  <c r="L79" i="107"/>
  <c r="L79" i="111" s="1"/>
  <c r="M79" i="107"/>
  <c r="M79" i="111" s="1"/>
  <c r="N79" i="107"/>
  <c r="N79" i="111" s="1"/>
  <c r="E80" i="107"/>
  <c r="E80" i="111" s="1"/>
  <c r="F80" i="107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L81" i="107"/>
  <c r="M81" i="107"/>
  <c r="M81" i="111" s="1"/>
  <c r="N81" i="107"/>
  <c r="N81" i="111" s="1"/>
  <c r="E82" i="107"/>
  <c r="U28" i="107" s="1"/>
  <c r="F82" i="107"/>
  <c r="G82" i="107"/>
  <c r="H82" i="107"/>
  <c r="I82" i="107"/>
  <c r="J82" i="107"/>
  <c r="K82" i="107"/>
  <c r="L82" i="107"/>
  <c r="AB28" i="107" s="1"/>
  <c r="M82" i="107"/>
  <c r="AC28" i="107" s="1"/>
  <c r="N82" i="107"/>
  <c r="N82" i="111" s="1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K83" i="107"/>
  <c r="K83" i="111" s="1"/>
  <c r="L83" i="107"/>
  <c r="L83" i="111" s="1"/>
  <c r="M83" i="107"/>
  <c r="M83" i="111" s="1"/>
  <c r="N83" i="107"/>
  <c r="N83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N84" i="111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E86" i="107"/>
  <c r="F86" i="107"/>
  <c r="G86" i="107"/>
  <c r="H86" i="107"/>
  <c r="X29" i="107" s="1"/>
  <c r="I86" i="107"/>
  <c r="Y29" i="107" s="1"/>
  <c r="J86" i="107"/>
  <c r="K86" i="107"/>
  <c r="L86" i="107"/>
  <c r="M86" i="107"/>
  <c r="N86" i="107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K87" i="107"/>
  <c r="K87" i="111" s="1"/>
  <c r="L87" i="107"/>
  <c r="L87" i="111" s="1"/>
  <c r="M87" i="107"/>
  <c r="M87" i="111" s="1"/>
  <c r="N87" i="107"/>
  <c r="N87" i="111" s="1"/>
  <c r="E88" i="107"/>
  <c r="E88" i="111" s="1"/>
  <c r="F88" i="107"/>
  <c r="F88" i="111" s="1"/>
  <c r="G88" i="107"/>
  <c r="G88" i="111" s="1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E89" i="107"/>
  <c r="E89" i="111" s="1"/>
  <c r="F89" i="107"/>
  <c r="F89" i="111" s="1"/>
  <c r="G89" i="107"/>
  <c r="G89" i="111" s="1"/>
  <c r="H89" i="107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E90" i="107"/>
  <c r="U30" i="107" s="1"/>
  <c r="F90" i="107"/>
  <c r="G90" i="107"/>
  <c r="H90" i="107"/>
  <c r="I90" i="107"/>
  <c r="J90" i="107"/>
  <c r="K90" i="107"/>
  <c r="L90" i="107"/>
  <c r="AB30" i="107" s="1"/>
  <c r="M90" i="107"/>
  <c r="AC30" i="107" s="1"/>
  <c r="N90" i="107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N91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K92" i="107"/>
  <c r="K92" i="111" s="1"/>
  <c r="L92" i="107"/>
  <c r="L92" i="111" s="1"/>
  <c r="M92" i="107"/>
  <c r="M92" i="111" s="1"/>
  <c r="N92" i="107"/>
  <c r="N92" i="111" s="1"/>
  <c r="E93" i="107"/>
  <c r="E93" i="111" s="1"/>
  <c r="F93" i="107"/>
  <c r="F93" i="111" s="1"/>
  <c r="G93" i="107"/>
  <c r="H93" i="107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E94" i="107"/>
  <c r="F94" i="107"/>
  <c r="G94" i="107"/>
  <c r="H94" i="107"/>
  <c r="X31" i="107" s="1"/>
  <c r="I94" i="107"/>
  <c r="Y31" i="107" s="1"/>
  <c r="J94" i="107"/>
  <c r="K94" i="107"/>
  <c r="L94" i="107"/>
  <c r="M94" i="107"/>
  <c r="M94" i="111" s="1"/>
  <c r="N94" i="107"/>
  <c r="E95" i="107"/>
  <c r="E95" i="111" s="1"/>
  <c r="F95" i="107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N95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E98" i="107"/>
  <c r="U32" i="107" s="1"/>
  <c r="F98" i="107"/>
  <c r="G98" i="107"/>
  <c r="H98" i="107"/>
  <c r="I98" i="107"/>
  <c r="J98" i="107"/>
  <c r="J98" i="111" s="1"/>
  <c r="K98" i="107"/>
  <c r="L98" i="107"/>
  <c r="AB32" i="107" s="1"/>
  <c r="M98" i="107"/>
  <c r="AC32" i="107" s="1"/>
  <c r="N98" i="107"/>
  <c r="E99" i="107"/>
  <c r="E99" i="111" s="1"/>
  <c r="F99" i="107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N99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E102" i="107"/>
  <c r="F102" i="107"/>
  <c r="G102" i="107"/>
  <c r="H102" i="107"/>
  <c r="X33" i="107" s="1"/>
  <c r="I102" i="107"/>
  <c r="Y33" i="107" s="1"/>
  <c r="J102" i="107"/>
  <c r="K102" i="107"/>
  <c r="L102" i="107"/>
  <c r="M102" i="107"/>
  <c r="AC33" i="107" s="1"/>
  <c r="N102" i="107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M103" i="111" s="1"/>
  <c r="N103" i="107"/>
  <c r="N103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E105" i="107"/>
  <c r="E105" i="111" s="1"/>
  <c r="F105" i="107"/>
  <c r="F105" i="111" s="1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C59" i="107"/>
  <c r="C59" i="111" s="1"/>
  <c r="C60" i="107"/>
  <c r="C61" i="107"/>
  <c r="C62" i="107"/>
  <c r="C63" i="107"/>
  <c r="C64" i="107"/>
  <c r="C64" i="111" s="1"/>
  <c r="C65" i="107"/>
  <c r="C66" i="107"/>
  <c r="C67" i="107"/>
  <c r="C67" i="111" s="1"/>
  <c r="C68" i="107"/>
  <c r="C68" i="111" s="1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4" i="111" s="1"/>
  <c r="C85" i="107"/>
  <c r="C86" i="107"/>
  <c r="C87" i="107"/>
  <c r="C88" i="107"/>
  <c r="C88" i="111" s="1"/>
  <c r="C89" i="107"/>
  <c r="C90" i="107"/>
  <c r="C91" i="107"/>
  <c r="C92" i="107"/>
  <c r="C93" i="107"/>
  <c r="C94" i="107"/>
  <c r="C95" i="107"/>
  <c r="C96" i="107"/>
  <c r="C97" i="107"/>
  <c r="C98" i="107"/>
  <c r="C99" i="107"/>
  <c r="C99" i="111" s="1"/>
  <c r="C100" i="107"/>
  <c r="C100" i="111" s="1"/>
  <c r="C101" i="107"/>
  <c r="C102" i="107"/>
  <c r="C103" i="107"/>
  <c r="C104" i="107"/>
  <c r="C105" i="107"/>
  <c r="C58" i="108"/>
  <c r="C58" i="107"/>
  <c r="C58" i="111" s="1"/>
  <c r="AC31" i="111" l="1"/>
  <c r="S32" i="107"/>
  <c r="C98" i="111"/>
  <c r="S32" i="111" s="1"/>
  <c r="S28" i="107"/>
  <c r="C82" i="111"/>
  <c r="S26" i="107"/>
  <c r="C74" i="111"/>
  <c r="S26" i="111" s="1"/>
  <c r="S24" i="107"/>
  <c r="C66" i="111"/>
  <c r="W33" i="107"/>
  <c r="G102" i="111"/>
  <c r="W33" i="111" s="1"/>
  <c r="AA32" i="107"/>
  <c r="K98" i="111"/>
  <c r="AA32" i="111" s="1"/>
  <c r="W31" i="107"/>
  <c r="G94" i="111"/>
  <c r="W31" i="111" s="1"/>
  <c r="AA30" i="107"/>
  <c r="K90" i="111"/>
  <c r="AA30" i="111" s="1"/>
  <c r="W29" i="107"/>
  <c r="G86" i="111"/>
  <c r="W29" i="111" s="1"/>
  <c r="AA28" i="107"/>
  <c r="K82" i="111"/>
  <c r="AA28" i="111" s="1"/>
  <c r="W27" i="107"/>
  <c r="G78" i="111"/>
  <c r="W27" i="111" s="1"/>
  <c r="AA26" i="107"/>
  <c r="K74" i="111"/>
  <c r="AA26" i="111" s="1"/>
  <c r="W25" i="107"/>
  <c r="G70" i="111"/>
  <c r="W25" i="111" s="1"/>
  <c r="AA24" i="107"/>
  <c r="K66" i="111"/>
  <c r="AA24" i="111" s="1"/>
  <c r="W23" i="107"/>
  <c r="G62" i="111"/>
  <c r="AC30" i="108"/>
  <c r="U30" i="108"/>
  <c r="X28" i="108"/>
  <c r="Y27" i="108"/>
  <c r="AB25" i="108"/>
  <c r="M102" i="111"/>
  <c r="AC33" i="111" s="1"/>
  <c r="M98" i="111"/>
  <c r="AC32" i="111" s="1"/>
  <c r="X25" i="107"/>
  <c r="H70" i="111"/>
  <c r="X25" i="111" s="1"/>
  <c r="K58" i="111"/>
  <c r="AA22" i="111" s="1"/>
  <c r="AA22" i="107"/>
  <c r="C91" i="111"/>
  <c r="S30" i="107"/>
  <c r="C90" i="111"/>
  <c r="C97" i="111"/>
  <c r="C73" i="111"/>
  <c r="AD33" i="107"/>
  <c r="N102" i="111"/>
  <c r="AD33" i="111" s="1"/>
  <c r="Z32" i="111"/>
  <c r="AD31" i="107"/>
  <c r="N94" i="111"/>
  <c r="AD31" i="111" s="1"/>
  <c r="V31" i="107"/>
  <c r="F94" i="111"/>
  <c r="V31" i="111" s="1"/>
  <c r="Z30" i="107"/>
  <c r="J90" i="111"/>
  <c r="AD29" i="107"/>
  <c r="N86" i="111"/>
  <c r="AD29" i="111" s="1"/>
  <c r="V29" i="107"/>
  <c r="F86" i="111"/>
  <c r="V29" i="111" s="1"/>
  <c r="Z28" i="107"/>
  <c r="J82" i="111"/>
  <c r="Z28" i="111" s="1"/>
  <c r="AD27" i="107"/>
  <c r="N78" i="111"/>
  <c r="V27" i="107"/>
  <c r="F78" i="111"/>
  <c r="Z26" i="107"/>
  <c r="J74" i="111"/>
  <c r="Z26" i="111" s="1"/>
  <c r="N70" i="111"/>
  <c r="AD25" i="111" s="1"/>
  <c r="AD25" i="107"/>
  <c r="V25" i="107"/>
  <c r="F70" i="111"/>
  <c r="V25" i="111" s="1"/>
  <c r="Z24" i="107"/>
  <c r="J66" i="111"/>
  <c r="Z24" i="111" s="1"/>
  <c r="N62" i="111"/>
  <c r="AD23" i="107"/>
  <c r="V23" i="107"/>
  <c r="F62" i="111"/>
  <c r="AA25" i="108"/>
  <c r="AC24" i="108"/>
  <c r="U24" i="108"/>
  <c r="X22" i="108"/>
  <c r="I102" i="111"/>
  <c r="Y33" i="111" s="1"/>
  <c r="L98" i="111"/>
  <c r="AB32" i="111" s="1"/>
  <c r="M90" i="111"/>
  <c r="AC30" i="111" s="1"/>
  <c r="X27" i="107"/>
  <c r="H78" i="111"/>
  <c r="X27" i="111" s="1"/>
  <c r="C105" i="111"/>
  <c r="C89" i="111"/>
  <c r="C81" i="111"/>
  <c r="C65" i="111"/>
  <c r="V33" i="107"/>
  <c r="F102" i="111"/>
  <c r="V33" i="111" s="1"/>
  <c r="U33" i="107"/>
  <c r="Y32" i="107"/>
  <c r="AC31" i="107"/>
  <c r="U31" i="107"/>
  <c r="Y30" i="107"/>
  <c r="AC29" i="107"/>
  <c r="U29" i="107"/>
  <c r="Y28" i="107"/>
  <c r="AC27" i="107"/>
  <c r="M78" i="111"/>
  <c r="AC27" i="111" s="1"/>
  <c r="U27" i="107"/>
  <c r="E78" i="111"/>
  <c r="U27" i="111" s="1"/>
  <c r="Y26" i="107"/>
  <c r="I74" i="111"/>
  <c r="Y26" i="111" s="1"/>
  <c r="M70" i="111"/>
  <c r="AC25" i="111" s="1"/>
  <c r="AC25" i="107"/>
  <c r="E70" i="111"/>
  <c r="U25" i="111" s="1"/>
  <c r="U25" i="107"/>
  <c r="H69" i="111"/>
  <c r="K68" i="111"/>
  <c r="N67" i="111"/>
  <c r="F67" i="111"/>
  <c r="V24" i="111" s="1"/>
  <c r="Y24" i="107"/>
  <c r="I66" i="111"/>
  <c r="Y24" i="111" s="1"/>
  <c r="L65" i="111"/>
  <c r="G64" i="111"/>
  <c r="M62" i="111"/>
  <c r="AC23" i="111" s="1"/>
  <c r="AC23" i="107"/>
  <c r="U23" i="107"/>
  <c r="E62" i="111"/>
  <c r="U23" i="111" s="1"/>
  <c r="X22" i="107"/>
  <c r="H58" i="111"/>
  <c r="X22" i="111" s="1"/>
  <c r="C104" i="111"/>
  <c r="C83" i="111"/>
  <c r="C60" i="111"/>
  <c r="S22" i="111" s="1"/>
  <c r="H102" i="111"/>
  <c r="X33" i="111" s="1"/>
  <c r="I98" i="111"/>
  <c r="Y32" i="111" s="1"/>
  <c r="I94" i="111"/>
  <c r="Y31" i="111" s="1"/>
  <c r="L90" i="111"/>
  <c r="AB30" i="111" s="1"/>
  <c r="M86" i="111"/>
  <c r="AC29" i="111" s="1"/>
  <c r="M82" i="111"/>
  <c r="AC28" i="111" s="1"/>
  <c r="S22" i="108"/>
  <c r="AB24" i="107"/>
  <c r="L66" i="111"/>
  <c r="AB24" i="111" s="1"/>
  <c r="C103" i="111"/>
  <c r="C95" i="111"/>
  <c r="C87" i="111"/>
  <c r="C79" i="111"/>
  <c r="C71" i="111"/>
  <c r="C63" i="111"/>
  <c r="AB33" i="107"/>
  <c r="L102" i="111"/>
  <c r="AB33" i="111" s="1"/>
  <c r="X32" i="107"/>
  <c r="H98" i="111"/>
  <c r="X32" i="111" s="1"/>
  <c r="AB31" i="107"/>
  <c r="L94" i="111"/>
  <c r="AB31" i="111" s="1"/>
  <c r="G93" i="111"/>
  <c r="J92" i="111"/>
  <c r="X30" i="107"/>
  <c r="H90" i="111"/>
  <c r="X30" i="111" s="1"/>
  <c r="AB29" i="107"/>
  <c r="L86" i="111"/>
  <c r="AB29" i="111" s="1"/>
  <c r="X28" i="107"/>
  <c r="H82" i="111"/>
  <c r="X28" i="111" s="1"/>
  <c r="K81" i="111"/>
  <c r="N80" i="111"/>
  <c r="F80" i="111"/>
  <c r="AB27" i="107"/>
  <c r="L78" i="111"/>
  <c r="AB27" i="111" s="1"/>
  <c r="H74" i="111"/>
  <c r="X26" i="111" s="1"/>
  <c r="X26" i="107"/>
  <c r="L70" i="111"/>
  <c r="AB25" i="111" s="1"/>
  <c r="AB25" i="107"/>
  <c r="M67" i="111"/>
  <c r="E67" i="111"/>
  <c r="X24" i="107"/>
  <c r="H66" i="111"/>
  <c r="X24" i="111" s="1"/>
  <c r="I63" i="111"/>
  <c r="AB23" i="107"/>
  <c r="L62" i="111"/>
  <c r="AB23" i="111" s="1"/>
  <c r="Z30" i="108"/>
  <c r="AC28" i="108"/>
  <c r="U28" i="108"/>
  <c r="X26" i="108"/>
  <c r="Y25" i="108"/>
  <c r="AB23" i="108"/>
  <c r="C80" i="111"/>
  <c r="E102" i="111"/>
  <c r="U33" i="111" s="1"/>
  <c r="E98" i="111"/>
  <c r="U32" i="111" s="1"/>
  <c r="H94" i="111"/>
  <c r="X31" i="111" s="1"/>
  <c r="I90" i="111"/>
  <c r="Y30" i="111" s="1"/>
  <c r="I86" i="111"/>
  <c r="Y29" i="111" s="1"/>
  <c r="L82" i="111"/>
  <c r="AB28" i="111" s="1"/>
  <c r="X23" i="107"/>
  <c r="H62" i="111"/>
  <c r="X23" i="111" s="1"/>
  <c r="S31" i="107"/>
  <c r="C94" i="111"/>
  <c r="S25" i="107"/>
  <c r="C70" i="111"/>
  <c r="AA33" i="107"/>
  <c r="K102" i="111"/>
  <c r="AA33" i="111" s="1"/>
  <c r="W32" i="107"/>
  <c r="G98" i="111"/>
  <c r="W32" i="111" s="1"/>
  <c r="W28" i="107"/>
  <c r="G82" i="111"/>
  <c r="W28" i="111" s="1"/>
  <c r="K78" i="111"/>
  <c r="AA27" i="107"/>
  <c r="G74" i="111"/>
  <c r="W26" i="111" s="1"/>
  <c r="W26" i="107"/>
  <c r="K70" i="111"/>
  <c r="AA25" i="111" s="1"/>
  <c r="AA25" i="107"/>
  <c r="W24" i="107"/>
  <c r="G66" i="111"/>
  <c r="W24" i="111" s="1"/>
  <c r="AA23" i="107"/>
  <c r="K62" i="111"/>
  <c r="AA23" i="111" s="1"/>
  <c r="AD22" i="111"/>
  <c r="V22" i="111"/>
  <c r="C76" i="111"/>
  <c r="E94" i="111"/>
  <c r="U31" i="111" s="1"/>
  <c r="E90" i="111"/>
  <c r="U30" i="111" s="1"/>
  <c r="H86" i="111"/>
  <c r="X29" i="111" s="1"/>
  <c r="I82" i="111"/>
  <c r="Y28" i="111" s="1"/>
  <c r="Z32" i="107"/>
  <c r="S33" i="107"/>
  <c r="C102" i="111"/>
  <c r="S33" i="111" s="1"/>
  <c r="S29" i="107"/>
  <c r="C86" i="111"/>
  <c r="S29" i="111" s="1"/>
  <c r="S27" i="107"/>
  <c r="C78" i="111"/>
  <c r="S23" i="107"/>
  <c r="C62" i="111"/>
  <c r="S23" i="111" s="1"/>
  <c r="AA31" i="107"/>
  <c r="K94" i="111"/>
  <c r="AA31" i="111" s="1"/>
  <c r="W30" i="107"/>
  <c r="G90" i="111"/>
  <c r="AA29" i="107"/>
  <c r="K86" i="111"/>
  <c r="AA29" i="111" s="1"/>
  <c r="C101" i="111"/>
  <c r="C93" i="111"/>
  <c r="C85" i="111"/>
  <c r="C77" i="111"/>
  <c r="C69" i="111"/>
  <c r="C61" i="111"/>
  <c r="Z33" i="107"/>
  <c r="J102" i="111"/>
  <c r="Z33" i="111" s="1"/>
  <c r="AD32" i="107"/>
  <c r="N98" i="111"/>
  <c r="AD32" i="111" s="1"/>
  <c r="V32" i="107"/>
  <c r="F98" i="111"/>
  <c r="V32" i="111" s="1"/>
  <c r="Z31" i="107"/>
  <c r="J94" i="111"/>
  <c r="Z31" i="111" s="1"/>
  <c r="AD30" i="107"/>
  <c r="N90" i="111"/>
  <c r="AD30" i="111" s="1"/>
  <c r="V30" i="107"/>
  <c r="F90" i="111"/>
  <c r="V30" i="111" s="1"/>
  <c r="Z29" i="107"/>
  <c r="J86" i="111"/>
  <c r="Z29" i="111" s="1"/>
  <c r="AD28" i="111"/>
  <c r="V28" i="107"/>
  <c r="F82" i="111"/>
  <c r="V28" i="111" s="1"/>
  <c r="Z27" i="107"/>
  <c r="J78" i="111"/>
  <c r="Z27" i="111" s="1"/>
  <c r="AD26" i="107"/>
  <c r="V26" i="107"/>
  <c r="F74" i="111"/>
  <c r="V26" i="111" s="1"/>
  <c r="Z25" i="107"/>
  <c r="J70" i="111"/>
  <c r="Z25" i="111" s="1"/>
  <c r="AD24" i="107"/>
  <c r="N66" i="111"/>
  <c r="AD24" i="111" s="1"/>
  <c r="V24" i="107"/>
  <c r="Z23" i="107"/>
  <c r="J62" i="111"/>
  <c r="Z23" i="111" s="1"/>
  <c r="U32" i="108"/>
  <c r="X30" i="108"/>
  <c r="AB27" i="108"/>
  <c r="C96" i="111"/>
  <c r="C75" i="111"/>
  <c r="E86" i="111"/>
  <c r="U29" i="111" s="1"/>
  <c r="E82" i="111"/>
  <c r="U28" i="111" s="1"/>
  <c r="AD28" i="107"/>
  <c r="AB26" i="107"/>
  <c r="L74" i="111"/>
  <c r="AB26" i="111" s="1"/>
  <c r="S22" i="107"/>
  <c r="Y27" i="107"/>
  <c r="I78" i="111"/>
  <c r="Y27" i="111" s="1"/>
  <c r="J75" i="111"/>
  <c r="AC26" i="107"/>
  <c r="M74" i="111"/>
  <c r="AC26" i="111" s="1"/>
  <c r="U26" i="107"/>
  <c r="E74" i="111"/>
  <c r="U26" i="111" s="1"/>
  <c r="Y25" i="107"/>
  <c r="I70" i="111"/>
  <c r="Y25" i="111" s="1"/>
  <c r="AC24" i="107"/>
  <c r="M66" i="111"/>
  <c r="U24" i="107"/>
  <c r="E66" i="111"/>
  <c r="U24" i="111" s="1"/>
  <c r="N63" i="111"/>
  <c r="F63" i="111"/>
  <c r="Y23" i="107"/>
  <c r="I62" i="111"/>
  <c r="Y23" i="111" s="1"/>
  <c r="AB22" i="111"/>
  <c r="AC26" i="108"/>
  <c r="U26" i="108"/>
  <c r="X24" i="108"/>
  <c r="Y23" i="108"/>
  <c r="C92" i="111"/>
  <c r="C72" i="111"/>
  <c r="J58" i="111"/>
  <c r="Z22" i="111" s="1"/>
  <c r="Z22" i="107"/>
  <c r="S33" i="108"/>
  <c r="S29" i="108"/>
  <c r="S27" i="108"/>
  <c r="S25" i="108"/>
  <c r="S23" i="108"/>
  <c r="AA33" i="108"/>
  <c r="W32" i="108"/>
  <c r="AA31" i="108"/>
  <c r="W30" i="108"/>
  <c r="AA29" i="108"/>
  <c r="W28" i="108"/>
  <c r="AA27" i="108"/>
  <c r="W26" i="108"/>
  <c r="W24" i="108"/>
  <c r="AA23" i="108"/>
  <c r="W22" i="108"/>
  <c r="F59" i="111"/>
  <c r="Y22" i="107"/>
  <c r="I58" i="111"/>
  <c r="Y22" i="111" s="1"/>
  <c r="Z33" i="108"/>
  <c r="AD32" i="108"/>
  <c r="V32" i="108"/>
  <c r="Z31" i="108"/>
  <c r="AD30" i="108"/>
  <c r="V30" i="108"/>
  <c r="Z29" i="108"/>
  <c r="AD28" i="108"/>
  <c r="V28" i="108"/>
  <c r="Z27" i="108"/>
  <c r="V26" i="108"/>
  <c r="Z25" i="108"/>
  <c r="AD24" i="108"/>
  <c r="V24" i="108"/>
  <c r="Z23" i="108"/>
  <c r="AD22" i="108"/>
  <c r="V22" i="108"/>
  <c r="S31" i="108"/>
  <c r="W22" i="107"/>
  <c r="G58" i="111"/>
  <c r="W22" i="111" s="1"/>
  <c r="X33" i="108"/>
  <c r="AB32" i="108"/>
  <c r="X31" i="108"/>
  <c r="AB30" i="108"/>
  <c r="X29" i="108"/>
  <c r="AB28" i="108"/>
  <c r="X27" i="108"/>
  <c r="AB26" i="108"/>
  <c r="X25" i="108"/>
  <c r="AB24" i="108"/>
  <c r="X23" i="108"/>
  <c r="AB22" i="108"/>
  <c r="AD22" i="107"/>
  <c r="V22" i="107"/>
  <c r="S32" i="108"/>
  <c r="S30" i="108"/>
  <c r="S28" i="108"/>
  <c r="S26" i="108"/>
  <c r="S24" i="108"/>
  <c r="W33" i="108"/>
  <c r="AA32" i="108"/>
  <c r="W31" i="108"/>
  <c r="AA30" i="108"/>
  <c r="AA28" i="108"/>
  <c r="W27" i="108"/>
  <c r="AA26" i="108"/>
  <c r="W25" i="108"/>
  <c r="AA24" i="108"/>
  <c r="W23" i="108"/>
  <c r="AA22" i="108"/>
  <c r="J59" i="111"/>
  <c r="AC22" i="107"/>
  <c r="M58" i="111"/>
  <c r="AC22" i="111" s="1"/>
  <c r="U22" i="107"/>
  <c r="E58" i="111"/>
  <c r="U22" i="111" s="1"/>
  <c r="AD33" i="108"/>
  <c r="V33" i="108"/>
  <c r="Z32" i="108"/>
  <c r="AD31" i="108"/>
  <c r="V31" i="108"/>
  <c r="AD29" i="108"/>
  <c r="V29" i="108"/>
  <c r="Z28" i="108"/>
  <c r="AD27" i="108"/>
  <c r="V27" i="108"/>
  <c r="Z26" i="108"/>
  <c r="AD25" i="108"/>
  <c r="V25" i="108"/>
  <c r="Z24" i="108"/>
  <c r="AD23" i="108"/>
  <c r="V23" i="108"/>
  <c r="Z22" i="108"/>
  <c r="C3" i="101"/>
  <c r="S25" i="111" l="1"/>
  <c r="AD23" i="111"/>
  <c r="AC24" i="111"/>
  <c r="AA27" i="111"/>
  <c r="V27" i="111"/>
  <c r="W30" i="111"/>
  <c r="S27" i="111"/>
  <c r="S30" i="111"/>
  <c r="S24" i="111"/>
  <c r="S28" i="111"/>
  <c r="AD27" i="111"/>
  <c r="Z30" i="111"/>
  <c r="S31" i="111"/>
  <c r="W23" i="111"/>
  <c r="V23" i="111"/>
  <c r="N106" i="109"/>
  <c r="D105" i="110"/>
  <c r="D105" i="108" s="1"/>
  <c r="D104" i="110"/>
  <c r="D104" i="108" s="1"/>
  <c r="D103" i="110"/>
  <c r="D103" i="108" s="1"/>
  <c r="D102" i="110"/>
  <c r="D102" i="108" s="1"/>
  <c r="D101" i="110"/>
  <c r="D101" i="108" s="1"/>
  <c r="D100" i="110"/>
  <c r="D100" i="108" s="1"/>
  <c r="D99" i="110"/>
  <c r="D99" i="108" s="1"/>
  <c r="D98" i="110"/>
  <c r="D98" i="108" s="1"/>
  <c r="D97" i="110"/>
  <c r="D97" i="108" s="1"/>
  <c r="D96" i="110"/>
  <c r="D96" i="108" s="1"/>
  <c r="D95" i="110"/>
  <c r="D95" i="108" s="1"/>
  <c r="D94" i="110"/>
  <c r="D94" i="108" s="1"/>
  <c r="D93" i="110"/>
  <c r="D93" i="108" s="1"/>
  <c r="D92" i="110"/>
  <c r="D92" i="108" s="1"/>
  <c r="D91" i="110"/>
  <c r="D91" i="108" s="1"/>
  <c r="D90" i="110"/>
  <c r="D90" i="108" s="1"/>
  <c r="D89" i="110"/>
  <c r="D89" i="108" s="1"/>
  <c r="D88" i="110"/>
  <c r="D88" i="108" s="1"/>
  <c r="D87" i="110"/>
  <c r="D87" i="108" s="1"/>
  <c r="D86" i="110"/>
  <c r="D86" i="108" s="1"/>
  <c r="D85" i="110"/>
  <c r="D85" i="108" s="1"/>
  <c r="D84" i="110"/>
  <c r="D84" i="108" s="1"/>
  <c r="D83" i="110"/>
  <c r="D83" i="108" s="1"/>
  <c r="D82" i="110"/>
  <c r="D82" i="108" s="1"/>
  <c r="D81" i="110"/>
  <c r="D81" i="108" s="1"/>
  <c r="D80" i="110"/>
  <c r="D80" i="108" s="1"/>
  <c r="D79" i="110"/>
  <c r="D79" i="108" s="1"/>
  <c r="D78" i="110"/>
  <c r="D78" i="108" s="1"/>
  <c r="D77" i="110"/>
  <c r="D77" i="108" s="1"/>
  <c r="D76" i="110"/>
  <c r="D76" i="108" s="1"/>
  <c r="D75" i="110"/>
  <c r="D75" i="108" s="1"/>
  <c r="D74" i="110"/>
  <c r="D74" i="108" s="1"/>
  <c r="D73" i="110"/>
  <c r="D73" i="108" s="1"/>
  <c r="D72" i="110"/>
  <c r="D72" i="108" s="1"/>
  <c r="D71" i="110"/>
  <c r="D71" i="108" s="1"/>
  <c r="D70" i="110"/>
  <c r="D70" i="108" s="1"/>
  <c r="D69" i="110"/>
  <c r="D69" i="108" s="1"/>
  <c r="D68" i="110"/>
  <c r="D68" i="108" s="1"/>
  <c r="D67" i="110"/>
  <c r="D67" i="108" s="1"/>
  <c r="D66" i="110"/>
  <c r="D66" i="108" s="1"/>
  <c r="D65" i="110"/>
  <c r="D65" i="108" s="1"/>
  <c r="D64" i="110"/>
  <c r="D64" i="108" s="1"/>
  <c r="D63" i="110"/>
  <c r="D63" i="108" s="1"/>
  <c r="D62" i="110"/>
  <c r="D62" i="108" s="1"/>
  <c r="D61" i="110"/>
  <c r="D61" i="108" s="1"/>
  <c r="D60" i="110"/>
  <c r="D60" i="108" s="1"/>
  <c r="D59" i="110"/>
  <c r="D59" i="108" s="1"/>
  <c r="D58" i="110"/>
  <c r="D58" i="108" s="1"/>
  <c r="D57" i="110"/>
  <c r="D56" i="110"/>
  <c r="D55" i="110"/>
  <c r="D54" i="110"/>
  <c r="D53" i="110"/>
  <c r="D52" i="110"/>
  <c r="D51" i="110"/>
  <c r="D50" i="110"/>
  <c r="D49" i="110"/>
  <c r="D48" i="110"/>
  <c r="D47" i="110"/>
  <c r="D46" i="110"/>
  <c r="D45" i="110"/>
  <c r="D44" i="110"/>
  <c r="D43" i="110"/>
  <c r="D42" i="110"/>
  <c r="D41" i="110"/>
  <c r="D40" i="110"/>
  <c r="D39" i="110"/>
  <c r="D38" i="110"/>
  <c r="D37" i="110"/>
  <c r="D36" i="110"/>
  <c r="D35" i="110"/>
  <c r="D34" i="110"/>
  <c r="D33" i="110"/>
  <c r="D32" i="110"/>
  <c r="D31" i="110"/>
  <c r="D30" i="110"/>
  <c r="D29" i="110"/>
  <c r="D28" i="110"/>
  <c r="D27" i="110"/>
  <c r="D26" i="110"/>
  <c r="D25" i="110"/>
  <c r="D24" i="110"/>
  <c r="D23" i="110"/>
  <c r="D22" i="110"/>
  <c r="D21" i="110"/>
  <c r="D20" i="110"/>
  <c r="D19" i="110"/>
  <c r="D18" i="110"/>
  <c r="D17" i="110"/>
  <c r="D16" i="110"/>
  <c r="D15" i="110"/>
  <c r="D14" i="110"/>
  <c r="D13" i="110"/>
  <c r="D12" i="110"/>
  <c r="D11" i="110"/>
  <c r="D10" i="110"/>
  <c r="D105" i="105"/>
  <c r="D105" i="107" s="1"/>
  <c r="D104" i="105"/>
  <c r="D104" i="107" s="1"/>
  <c r="D103" i="105"/>
  <c r="D103" i="107" s="1"/>
  <c r="D102" i="105"/>
  <c r="D102" i="107" s="1"/>
  <c r="D101" i="105"/>
  <c r="D101" i="107" s="1"/>
  <c r="D100" i="105"/>
  <c r="D100" i="107" s="1"/>
  <c r="D99" i="105"/>
  <c r="D99" i="107" s="1"/>
  <c r="D98" i="105"/>
  <c r="D98" i="107" s="1"/>
  <c r="D97" i="105"/>
  <c r="D97" i="107" s="1"/>
  <c r="D96" i="105"/>
  <c r="D96" i="107" s="1"/>
  <c r="D95" i="105"/>
  <c r="D95" i="107" s="1"/>
  <c r="D94" i="105"/>
  <c r="D94" i="107" s="1"/>
  <c r="D93" i="105"/>
  <c r="D93" i="107" s="1"/>
  <c r="D92" i="105"/>
  <c r="D92" i="107" s="1"/>
  <c r="D91" i="105"/>
  <c r="D91" i="107" s="1"/>
  <c r="D90" i="105"/>
  <c r="D90" i="107" s="1"/>
  <c r="D89" i="105"/>
  <c r="D89" i="107" s="1"/>
  <c r="D88" i="105"/>
  <c r="D88" i="107" s="1"/>
  <c r="D87" i="105"/>
  <c r="D87" i="107" s="1"/>
  <c r="D86" i="105"/>
  <c r="D86" i="107" s="1"/>
  <c r="D85" i="105"/>
  <c r="D85" i="107" s="1"/>
  <c r="D84" i="105"/>
  <c r="D84" i="107" s="1"/>
  <c r="D83" i="105"/>
  <c r="D83" i="107" s="1"/>
  <c r="D82" i="105"/>
  <c r="D82" i="107" s="1"/>
  <c r="D81" i="105"/>
  <c r="D81" i="107" s="1"/>
  <c r="D80" i="105"/>
  <c r="D80" i="107" s="1"/>
  <c r="D79" i="105"/>
  <c r="D79" i="107" s="1"/>
  <c r="D78" i="105"/>
  <c r="D78" i="107" s="1"/>
  <c r="D77" i="105"/>
  <c r="D77" i="107" s="1"/>
  <c r="D76" i="105"/>
  <c r="D76" i="107" s="1"/>
  <c r="D75" i="105"/>
  <c r="D75" i="107" s="1"/>
  <c r="D74" i="105"/>
  <c r="D74" i="107" s="1"/>
  <c r="D73" i="105"/>
  <c r="D73" i="107" s="1"/>
  <c r="D72" i="105"/>
  <c r="D72" i="107" s="1"/>
  <c r="D71" i="105"/>
  <c r="D71" i="107" s="1"/>
  <c r="D70" i="105"/>
  <c r="D70" i="107" s="1"/>
  <c r="D69" i="105"/>
  <c r="D69" i="107" s="1"/>
  <c r="D68" i="105"/>
  <c r="D68" i="107" s="1"/>
  <c r="D67" i="105"/>
  <c r="D67" i="107" s="1"/>
  <c r="D66" i="105"/>
  <c r="D66" i="107" s="1"/>
  <c r="D65" i="105"/>
  <c r="D65" i="107" s="1"/>
  <c r="D64" i="105"/>
  <c r="D64" i="107" s="1"/>
  <c r="D63" i="105"/>
  <c r="D63" i="107" s="1"/>
  <c r="D62" i="105"/>
  <c r="D62" i="107" s="1"/>
  <c r="D61" i="105"/>
  <c r="D61" i="107" s="1"/>
  <c r="D60" i="105"/>
  <c r="D60" i="107" s="1"/>
  <c r="D59" i="105"/>
  <c r="D59" i="107" s="1"/>
  <c r="D58" i="105"/>
  <c r="D58" i="107" s="1"/>
  <c r="D57" i="105"/>
  <c r="D56" i="105"/>
  <c r="D55" i="105"/>
  <c r="D54" i="105"/>
  <c r="D53" i="105"/>
  <c r="D52" i="105"/>
  <c r="D51" i="105"/>
  <c r="D50" i="105"/>
  <c r="D49" i="105"/>
  <c r="D48" i="105"/>
  <c r="D47" i="105"/>
  <c r="D46" i="105"/>
  <c r="D45" i="105"/>
  <c r="D44" i="105"/>
  <c r="D43" i="105"/>
  <c r="D42" i="105"/>
  <c r="D41" i="105"/>
  <c r="D40" i="105"/>
  <c r="D39" i="105"/>
  <c r="D38" i="105"/>
  <c r="D37" i="105"/>
  <c r="D36" i="105"/>
  <c r="D35" i="105"/>
  <c r="D34" i="105"/>
  <c r="D33" i="105"/>
  <c r="D32" i="105"/>
  <c r="D31" i="105"/>
  <c r="D30" i="105"/>
  <c r="D29" i="105"/>
  <c r="D28" i="105"/>
  <c r="D27" i="105"/>
  <c r="D26" i="105"/>
  <c r="D25" i="105"/>
  <c r="D24" i="105"/>
  <c r="D23" i="105"/>
  <c r="D22" i="105"/>
  <c r="D21" i="105"/>
  <c r="D20" i="105"/>
  <c r="D19" i="105"/>
  <c r="D18" i="105"/>
  <c r="D17" i="105"/>
  <c r="D16" i="105"/>
  <c r="D15" i="105"/>
  <c r="D14" i="105"/>
  <c r="D13" i="105"/>
  <c r="D12" i="105"/>
  <c r="D11" i="105"/>
  <c r="D10" i="105"/>
  <c r="M106" i="110"/>
  <c r="K106" i="110"/>
  <c r="I106" i="110"/>
  <c r="G106" i="110"/>
  <c r="E106" i="110"/>
  <c r="C106" i="110"/>
  <c r="F106" i="110"/>
  <c r="H106" i="110"/>
  <c r="J106" i="110"/>
  <c r="L106" i="110"/>
  <c r="N106" i="110"/>
  <c r="D99" i="111" l="1"/>
  <c r="P99" i="107"/>
  <c r="O99" i="107"/>
  <c r="P91" i="108"/>
  <c r="O91" i="108"/>
  <c r="D60" i="111"/>
  <c r="O60" i="107"/>
  <c r="P60" i="107"/>
  <c r="D92" i="111"/>
  <c r="P92" i="107"/>
  <c r="O92" i="107"/>
  <c r="P92" i="108"/>
  <c r="O92" i="108"/>
  <c r="D61" i="111"/>
  <c r="O61" i="107"/>
  <c r="P61" i="107"/>
  <c r="D69" i="111"/>
  <c r="P69" i="107"/>
  <c r="O69" i="107"/>
  <c r="D77" i="111"/>
  <c r="O77" i="107"/>
  <c r="P77" i="107"/>
  <c r="D85" i="111"/>
  <c r="P85" i="107"/>
  <c r="O85" i="107"/>
  <c r="D93" i="111"/>
  <c r="P93" i="107"/>
  <c r="O93" i="107"/>
  <c r="D101" i="111"/>
  <c r="O101" i="107"/>
  <c r="P101" i="107"/>
  <c r="P61" i="108"/>
  <c r="O61" i="108"/>
  <c r="O69" i="108"/>
  <c r="P69" i="108"/>
  <c r="P77" i="108"/>
  <c r="O77" i="108"/>
  <c r="P85" i="108"/>
  <c r="O85" i="108"/>
  <c r="P93" i="108"/>
  <c r="O93" i="108"/>
  <c r="P101" i="108"/>
  <c r="O101" i="108"/>
  <c r="D75" i="111"/>
  <c r="P75" i="107"/>
  <c r="O75" i="107"/>
  <c r="P83" i="108"/>
  <c r="O83" i="108"/>
  <c r="D68" i="111"/>
  <c r="P68" i="107"/>
  <c r="O68" i="107"/>
  <c r="P60" i="108"/>
  <c r="O60" i="108"/>
  <c r="O100" i="108"/>
  <c r="P100" i="108"/>
  <c r="T23" i="107"/>
  <c r="D62" i="111"/>
  <c r="P62" i="107"/>
  <c r="O62" i="107"/>
  <c r="D70" i="111"/>
  <c r="T25" i="107"/>
  <c r="P70" i="107"/>
  <c r="O70" i="107"/>
  <c r="D78" i="111"/>
  <c r="T27" i="107"/>
  <c r="P78" i="107"/>
  <c r="O78" i="107"/>
  <c r="T29" i="107"/>
  <c r="D86" i="111"/>
  <c r="P86" i="107"/>
  <c r="O86" i="107"/>
  <c r="T31" i="107"/>
  <c r="D94" i="111"/>
  <c r="P94" i="107"/>
  <c r="O94" i="107"/>
  <c r="T33" i="107"/>
  <c r="D102" i="111"/>
  <c r="P102" i="107"/>
  <c r="O102" i="107"/>
  <c r="AE33" i="107" s="1"/>
  <c r="T23" i="108"/>
  <c r="P62" i="108"/>
  <c r="O62" i="108"/>
  <c r="T25" i="108"/>
  <c r="P70" i="108"/>
  <c r="O70" i="108"/>
  <c r="T27" i="108"/>
  <c r="O78" i="108"/>
  <c r="AE27" i="108" s="1"/>
  <c r="P78" i="108"/>
  <c r="AF27" i="108" s="1"/>
  <c r="T29" i="108"/>
  <c r="P86" i="108"/>
  <c r="O86" i="108"/>
  <c r="T31" i="108"/>
  <c r="P94" i="108"/>
  <c r="O94" i="108"/>
  <c r="T33" i="108"/>
  <c r="P102" i="108"/>
  <c r="O102" i="108"/>
  <c r="D67" i="111"/>
  <c r="P67" i="107"/>
  <c r="O67" i="107"/>
  <c r="P67" i="108"/>
  <c r="O67" i="108"/>
  <c r="D100" i="111"/>
  <c r="O100" i="107"/>
  <c r="P100" i="107"/>
  <c r="P68" i="108"/>
  <c r="O68" i="108"/>
  <c r="D63" i="111"/>
  <c r="P63" i="107"/>
  <c r="O63" i="107"/>
  <c r="D71" i="111"/>
  <c r="P71" i="107"/>
  <c r="O71" i="107"/>
  <c r="D79" i="111"/>
  <c r="O79" i="107"/>
  <c r="P79" i="107"/>
  <c r="D87" i="111"/>
  <c r="P87" i="107"/>
  <c r="O87" i="107"/>
  <c r="D95" i="111"/>
  <c r="P95" i="107"/>
  <c r="O95" i="107"/>
  <c r="D103" i="111"/>
  <c r="O103" i="107"/>
  <c r="P103" i="107"/>
  <c r="O63" i="108"/>
  <c r="P63" i="108"/>
  <c r="P71" i="108"/>
  <c r="O71" i="108"/>
  <c r="P79" i="108"/>
  <c r="O79" i="108"/>
  <c r="P87" i="108"/>
  <c r="O87" i="108"/>
  <c r="O95" i="108"/>
  <c r="P95" i="108"/>
  <c r="P103" i="108"/>
  <c r="O103" i="108"/>
  <c r="D91" i="111"/>
  <c r="P91" i="107"/>
  <c r="O91" i="107"/>
  <c r="P75" i="108"/>
  <c r="O75" i="108"/>
  <c r="D84" i="111"/>
  <c r="O84" i="107"/>
  <c r="P84" i="107"/>
  <c r="O76" i="108"/>
  <c r="P76" i="108"/>
  <c r="D64" i="111"/>
  <c r="P64" i="107"/>
  <c r="O64" i="107"/>
  <c r="D72" i="111"/>
  <c r="O72" i="107"/>
  <c r="P72" i="107"/>
  <c r="D80" i="111"/>
  <c r="O80" i="107"/>
  <c r="P80" i="107"/>
  <c r="D88" i="111"/>
  <c r="P88" i="107"/>
  <c r="O88" i="107"/>
  <c r="D96" i="111"/>
  <c r="O96" i="107"/>
  <c r="P96" i="107"/>
  <c r="D104" i="111"/>
  <c r="P104" i="107"/>
  <c r="O104" i="107"/>
  <c r="O64" i="108"/>
  <c r="P64" i="108"/>
  <c r="O72" i="108"/>
  <c r="P72" i="108"/>
  <c r="P80" i="108"/>
  <c r="O80" i="108"/>
  <c r="P88" i="108"/>
  <c r="O88" i="108"/>
  <c r="O96" i="108"/>
  <c r="P96" i="108"/>
  <c r="O104" i="108"/>
  <c r="P104" i="108"/>
  <c r="D83" i="111"/>
  <c r="P83" i="107"/>
  <c r="O83" i="107"/>
  <c r="O99" i="108"/>
  <c r="P99" i="108"/>
  <c r="D76" i="111"/>
  <c r="O76" i="107"/>
  <c r="P76" i="107"/>
  <c r="O84" i="108"/>
  <c r="P84" i="108"/>
  <c r="D65" i="111"/>
  <c r="P65" i="107"/>
  <c r="O65" i="107"/>
  <c r="D73" i="111"/>
  <c r="O73" i="107"/>
  <c r="P73" i="107"/>
  <c r="D81" i="111"/>
  <c r="P81" i="107"/>
  <c r="O81" i="107"/>
  <c r="D89" i="111"/>
  <c r="O89" i="107"/>
  <c r="P89" i="107"/>
  <c r="D97" i="111"/>
  <c r="P97" i="107"/>
  <c r="O97" i="107"/>
  <c r="D105" i="111"/>
  <c r="P105" i="107"/>
  <c r="O105" i="107"/>
  <c r="O65" i="108"/>
  <c r="P65" i="108"/>
  <c r="P73" i="108"/>
  <c r="O73" i="108"/>
  <c r="P81" i="108"/>
  <c r="O81" i="108"/>
  <c r="P89" i="108"/>
  <c r="O89" i="108"/>
  <c r="P97" i="108"/>
  <c r="O97" i="108"/>
  <c r="O105" i="108"/>
  <c r="P105" i="108"/>
  <c r="D59" i="111"/>
  <c r="P59" i="107"/>
  <c r="O59" i="107"/>
  <c r="P59" i="108"/>
  <c r="O59" i="108"/>
  <c r="T22" i="107"/>
  <c r="D58" i="111"/>
  <c r="O58" i="107"/>
  <c r="P58" i="107"/>
  <c r="T24" i="107"/>
  <c r="D66" i="111"/>
  <c r="P66" i="107"/>
  <c r="AF24" i="107" s="1"/>
  <c r="O66" i="107"/>
  <c r="AE24" i="107" s="1"/>
  <c r="T26" i="107"/>
  <c r="D74" i="111"/>
  <c r="P74" i="107"/>
  <c r="AF26" i="107" s="1"/>
  <c r="O74" i="107"/>
  <c r="T28" i="107"/>
  <c r="D82" i="111"/>
  <c r="P82" i="107"/>
  <c r="O82" i="107"/>
  <c r="T30" i="107"/>
  <c r="D90" i="111"/>
  <c r="P90" i="107"/>
  <c r="AF30" i="107" s="1"/>
  <c r="O90" i="107"/>
  <c r="AE30" i="107" s="1"/>
  <c r="T32" i="107"/>
  <c r="D98" i="111"/>
  <c r="O98" i="107"/>
  <c r="P98" i="107"/>
  <c r="T22" i="108"/>
  <c r="P58" i="108"/>
  <c r="AF22" i="108" s="1"/>
  <c r="O58" i="108"/>
  <c r="T24" i="108"/>
  <c r="O66" i="108"/>
  <c r="AE24" i="108" s="1"/>
  <c r="P66" i="108"/>
  <c r="AF24" i="108" s="1"/>
  <c r="T26" i="108"/>
  <c r="P74" i="108"/>
  <c r="AF26" i="108" s="1"/>
  <c r="O74" i="108"/>
  <c r="AE26" i="108" s="1"/>
  <c r="T28" i="108"/>
  <c r="P82" i="108"/>
  <c r="O82" i="108"/>
  <c r="T30" i="108"/>
  <c r="O90" i="108"/>
  <c r="AE30" i="108" s="1"/>
  <c r="P90" i="108"/>
  <c r="T32" i="108"/>
  <c r="P98" i="108"/>
  <c r="AF32" i="108" s="1"/>
  <c r="O98" i="108"/>
  <c r="AE32" i="108" s="1"/>
  <c r="D106" i="110"/>
  <c r="C3" i="94"/>
  <c r="AF33" i="108" l="1"/>
  <c r="AE29" i="107"/>
  <c r="AF32" i="107"/>
  <c r="AE28" i="107"/>
  <c r="AE31" i="108"/>
  <c r="AF33" i="107"/>
  <c r="AF29" i="107"/>
  <c r="AF25" i="107"/>
  <c r="P61" i="111"/>
  <c r="O61" i="111"/>
  <c r="O60" i="111"/>
  <c r="P60" i="111"/>
  <c r="T30" i="111"/>
  <c r="O90" i="111"/>
  <c r="P90" i="111"/>
  <c r="T27" i="111"/>
  <c r="O78" i="111"/>
  <c r="AE27" i="111" s="1"/>
  <c r="P78" i="111"/>
  <c r="O73" i="111"/>
  <c r="P73" i="111"/>
  <c r="O72" i="111"/>
  <c r="P72" i="111"/>
  <c r="P100" i="111"/>
  <c r="O100" i="111"/>
  <c r="AE25" i="107"/>
  <c r="P85" i="111"/>
  <c r="O85" i="111"/>
  <c r="AE32" i="107"/>
  <c r="AF28" i="107"/>
  <c r="O89" i="111"/>
  <c r="P89" i="111"/>
  <c r="P88" i="111"/>
  <c r="O88" i="111"/>
  <c r="P87" i="111"/>
  <c r="O87" i="111"/>
  <c r="AF31" i="108"/>
  <c r="AE25" i="108"/>
  <c r="T33" i="111"/>
  <c r="P102" i="111"/>
  <c r="O102" i="111"/>
  <c r="T29" i="111"/>
  <c r="P86" i="111"/>
  <c r="O86" i="111"/>
  <c r="P101" i="111"/>
  <c r="O101" i="111"/>
  <c r="P96" i="111"/>
  <c r="O96" i="111"/>
  <c r="AF30" i="108"/>
  <c r="T32" i="111"/>
  <c r="P98" i="111"/>
  <c r="O98" i="111"/>
  <c r="T28" i="111"/>
  <c r="P82" i="111"/>
  <c r="O82" i="111"/>
  <c r="T24" i="111"/>
  <c r="P66" i="111"/>
  <c r="O66" i="111"/>
  <c r="AE24" i="111" s="1"/>
  <c r="O65" i="111"/>
  <c r="P65" i="111"/>
  <c r="P64" i="111"/>
  <c r="O64" i="111"/>
  <c r="O63" i="111"/>
  <c r="P63" i="111"/>
  <c r="AF25" i="108"/>
  <c r="T25" i="111"/>
  <c r="P70" i="111"/>
  <c r="O70" i="111"/>
  <c r="O75" i="111"/>
  <c r="P75" i="111"/>
  <c r="O77" i="111"/>
  <c r="P77" i="111"/>
  <c r="T22" i="111"/>
  <c r="O58" i="111"/>
  <c r="AE22" i="111" s="1"/>
  <c r="P58" i="111"/>
  <c r="P95" i="111"/>
  <c r="O95" i="111"/>
  <c r="P76" i="111"/>
  <c r="O76" i="111"/>
  <c r="P84" i="111"/>
  <c r="O84" i="111"/>
  <c r="O71" i="111"/>
  <c r="P71" i="111"/>
  <c r="O105" i="111"/>
  <c r="P105" i="111"/>
  <c r="O104" i="111"/>
  <c r="P104" i="111"/>
  <c r="O103" i="111"/>
  <c r="P103" i="111"/>
  <c r="AE29" i="108"/>
  <c r="AE31" i="107"/>
  <c r="AE27" i="107"/>
  <c r="AE23" i="107"/>
  <c r="AE28" i="108"/>
  <c r="AE26" i="107"/>
  <c r="AF22" i="107"/>
  <c r="O59" i="111"/>
  <c r="P59" i="111"/>
  <c r="P81" i="111"/>
  <c r="O81" i="111"/>
  <c r="P83" i="111"/>
  <c r="O83" i="111"/>
  <c r="P80" i="111"/>
  <c r="O80" i="111"/>
  <c r="O91" i="111"/>
  <c r="P91" i="111"/>
  <c r="O79" i="111"/>
  <c r="P79" i="111"/>
  <c r="O67" i="111"/>
  <c r="P67" i="111"/>
  <c r="AF29" i="108"/>
  <c r="AE23" i="108"/>
  <c r="AF31" i="107"/>
  <c r="AF27" i="107"/>
  <c r="AF23" i="107"/>
  <c r="O93" i="111"/>
  <c r="P93" i="111"/>
  <c r="T26" i="111"/>
  <c r="P74" i="111"/>
  <c r="O74" i="111"/>
  <c r="AE26" i="111" s="1"/>
  <c r="P97" i="111"/>
  <c r="O97" i="111"/>
  <c r="AF28" i="108"/>
  <c r="AE22" i="108"/>
  <c r="AE22" i="107"/>
  <c r="AE33" i="108"/>
  <c r="AF23" i="108"/>
  <c r="T31" i="111"/>
  <c r="O94" i="111"/>
  <c r="AE31" i="111" s="1"/>
  <c r="P94" i="111"/>
  <c r="T23" i="111"/>
  <c r="O62" i="111"/>
  <c r="AE23" i="111" s="1"/>
  <c r="P62" i="111"/>
  <c r="P68" i="111"/>
  <c r="O68" i="111"/>
  <c r="O69" i="111"/>
  <c r="P69" i="111"/>
  <c r="O92" i="111"/>
  <c r="P92" i="111"/>
  <c r="P99" i="111"/>
  <c r="O99" i="111"/>
  <c r="K6" i="98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AF24" i="111" l="1"/>
  <c r="AF33" i="111"/>
  <c r="AF26" i="111"/>
  <c r="AE28" i="111"/>
  <c r="AE30" i="111"/>
  <c r="AF30" i="111"/>
  <c r="AF23" i="111"/>
  <c r="AF28" i="111"/>
  <c r="AE33" i="111"/>
  <c r="AE25" i="111"/>
  <c r="AE32" i="111"/>
  <c r="AE29" i="111"/>
  <c r="AF31" i="111"/>
  <c r="AF22" i="111"/>
  <c r="AF25" i="111"/>
  <c r="AF32" i="111"/>
  <c r="AF29" i="111"/>
  <c r="AF27" i="111"/>
  <c r="K5" i="104"/>
  <c r="K5" i="108" s="1"/>
  <c r="K5" i="111" s="1"/>
  <c r="K5" i="107"/>
  <c r="K6" i="107"/>
  <c r="K6" i="104"/>
  <c r="K6" i="108" s="1"/>
  <c r="K6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Z19" i="105"/>
  <c r="Y19" i="105"/>
  <c r="X19" i="105"/>
  <c r="X39" i="105" s="1"/>
  <c r="W19" i="105"/>
  <c r="W39" i="105" s="1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X19" i="103"/>
  <c r="W19" i="103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V19" i="10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C19" i="99"/>
  <c r="AB19" i="99"/>
  <c r="AA19" i="99"/>
  <c r="AA27" i="99" s="1"/>
  <c r="Z19" i="99"/>
  <c r="Y19" i="99"/>
  <c r="X19" i="99"/>
  <c r="W19" i="99"/>
  <c r="V19" i="99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Z39" i="105" l="1"/>
  <c r="U39" i="109"/>
  <c r="X27" i="97"/>
  <c r="V27" i="99"/>
  <c r="AD27" i="99"/>
  <c r="V39" i="101"/>
  <c r="W27" i="103"/>
  <c r="AA39" i="105"/>
  <c r="W27" i="99"/>
  <c r="W39" i="101"/>
  <c r="X27" i="103"/>
  <c r="Y39" i="109"/>
  <c r="AD38" i="101"/>
  <c r="Y27" i="103"/>
  <c r="V39" i="105"/>
  <c r="AC39" i="109"/>
  <c r="AA26" i="95"/>
  <c r="AD39" i="105"/>
  <c r="X26" i="98"/>
  <c r="AA39" i="101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C106" i="108" s="1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E106" i="107" s="1"/>
  <c r="F10" i="107"/>
  <c r="G10" i="107"/>
  <c r="G106" i="107" s="1"/>
  <c r="H10" i="107"/>
  <c r="I10" i="107"/>
  <c r="I106" i="107" s="1"/>
  <c r="J10" i="107"/>
  <c r="K10" i="107"/>
  <c r="L10" i="107"/>
  <c r="M10" i="107"/>
  <c r="M106" i="107" s="1"/>
  <c r="N10" i="107"/>
  <c r="C10" i="107"/>
  <c r="C106" i="107" s="1"/>
  <c r="N106" i="108" l="1"/>
  <c r="H106" i="107"/>
  <c r="J106" i="108"/>
  <c r="U38" i="109"/>
  <c r="F106" i="108"/>
  <c r="N106" i="107"/>
  <c r="F106" i="107"/>
  <c r="K106" i="108"/>
  <c r="T26" i="103"/>
  <c r="Z26" i="95"/>
  <c r="T36" i="105"/>
  <c r="I106" i="108"/>
  <c r="Y38" i="105"/>
  <c r="D106" i="107"/>
  <c r="AF28" i="101"/>
  <c r="D106" i="108"/>
  <c r="G106" i="108"/>
  <c r="K106" i="107"/>
  <c r="X36" i="101"/>
  <c r="H106" i="108"/>
  <c r="T19" i="108"/>
  <c r="E106" i="108"/>
  <c r="M106" i="108"/>
  <c r="L106" i="107"/>
  <c r="J106" i="107"/>
  <c r="AF32" i="101"/>
  <c r="L106" i="108"/>
  <c r="S38" i="110"/>
  <c r="W38" i="110"/>
  <c r="AB26" i="98"/>
  <c r="AD26" i="97"/>
  <c r="S35" i="110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AE10" i="110"/>
  <c r="AF10" i="110"/>
  <c r="P106" i="110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Y34" i="108" s="1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Z41" i="107" s="1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U39" i="107" s="1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Y41" i="107" s="1"/>
  <c r="AB38" i="105"/>
  <c r="T38" i="105"/>
  <c r="AD10" i="107"/>
  <c r="V10" i="107"/>
  <c r="AA10" i="107"/>
  <c r="P10" i="107"/>
  <c r="S10" i="107"/>
  <c r="O10" i="107"/>
  <c r="O106" i="107" s="1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S41" i="107" l="1"/>
  <c r="AB41" i="107"/>
  <c r="AC41" i="107"/>
  <c r="AA42" i="110"/>
  <c r="Z41" i="108"/>
  <c r="F106" i="111"/>
  <c r="AD12" i="111"/>
  <c r="P106" i="107"/>
  <c r="P106" i="108"/>
  <c r="O106" i="108"/>
  <c r="X41" i="108"/>
  <c r="T13" i="111"/>
  <c r="AA41" i="107"/>
  <c r="AC41" i="108"/>
  <c r="AD41" i="108"/>
  <c r="N106" i="111"/>
  <c r="V41" i="107"/>
  <c r="AD39" i="107"/>
  <c r="S41" i="108"/>
  <c r="AA41" i="108"/>
  <c r="S42" i="110"/>
  <c r="AD41" i="107"/>
  <c r="W41" i="108"/>
  <c r="Y41" i="108"/>
  <c r="K106" i="111"/>
  <c r="V41" i="108"/>
  <c r="W41" i="107"/>
  <c r="T41" i="107"/>
  <c r="AB41" i="108"/>
  <c r="X41" i="107"/>
  <c r="U41" i="107"/>
  <c r="U41" i="108"/>
  <c r="T41" i="108"/>
  <c r="G106" i="111"/>
  <c r="H106" i="111"/>
  <c r="E106" i="111"/>
  <c r="M106" i="111"/>
  <c r="D106" i="111"/>
  <c r="L106" i="111"/>
  <c r="I106" i="111"/>
  <c r="C106" i="111"/>
  <c r="J106" i="111"/>
  <c r="AE24" i="98"/>
  <c r="V39" i="107"/>
  <c r="AF10" i="108"/>
  <c r="U36" i="107"/>
  <c r="J107" i="109"/>
  <c r="N107" i="109"/>
  <c r="D107" i="110"/>
  <c r="F107" i="110"/>
  <c r="H107" i="110"/>
  <c r="J107" i="110"/>
  <c r="L107" i="110"/>
  <c r="N107" i="110"/>
  <c r="C107" i="110"/>
  <c r="E107" i="110"/>
  <c r="G107" i="110"/>
  <c r="I107" i="110"/>
  <c r="K107" i="110"/>
  <c r="M107" i="110"/>
  <c r="D108" i="110"/>
  <c r="F108" i="110"/>
  <c r="H108" i="110"/>
  <c r="J108" i="110"/>
  <c r="L108" i="110"/>
  <c r="N108" i="110"/>
  <c r="C108" i="110"/>
  <c r="E108" i="110"/>
  <c r="G108" i="110"/>
  <c r="I108" i="110"/>
  <c r="K108" i="110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AA10" i="111"/>
  <c r="AA41" i="111" s="1"/>
  <c r="X34" i="108"/>
  <c r="AE39" i="110"/>
  <c r="W42" i="110"/>
  <c r="Z34" i="108"/>
  <c r="AE36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AE41" i="110"/>
  <c r="AE40" i="110"/>
  <c r="AE37" i="110"/>
  <c r="AE34" i="110"/>
  <c r="Z42" i="110"/>
  <c r="AD42" i="110"/>
  <c r="AF41" i="110"/>
  <c r="AF40" i="110"/>
  <c r="AF37" i="110"/>
  <c r="AF34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Z42" i="107" s="1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Y42" i="107" s="1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Y41" i="111" l="1"/>
  <c r="Y42" i="111" s="1"/>
  <c r="X42" i="107"/>
  <c r="W42" i="108"/>
  <c r="AD42" i="108"/>
  <c r="AB41" i="111"/>
  <c r="Z41" i="111"/>
  <c r="AF41" i="108"/>
  <c r="AB42" i="108"/>
  <c r="AD42" i="107"/>
  <c r="AC42" i="108"/>
  <c r="AE41" i="108"/>
  <c r="AC41" i="111"/>
  <c r="T41" i="111"/>
  <c r="T42" i="107"/>
  <c r="AA42" i="107"/>
  <c r="U41" i="111"/>
  <c r="U42" i="111" s="1"/>
  <c r="V41" i="111"/>
  <c r="V42" i="111" s="1"/>
  <c r="W42" i="107"/>
  <c r="AA42" i="108"/>
  <c r="Z42" i="108"/>
  <c r="S41" i="111"/>
  <c r="S42" i="108"/>
  <c r="AF41" i="107"/>
  <c r="X41" i="111"/>
  <c r="T42" i="108"/>
  <c r="V42" i="108"/>
  <c r="X42" i="108"/>
  <c r="AC42" i="107"/>
  <c r="AE41" i="107"/>
  <c r="AD41" i="111"/>
  <c r="U42" i="108"/>
  <c r="V42" i="107"/>
  <c r="AB42" i="107"/>
  <c r="W41" i="111"/>
  <c r="U42" i="107"/>
  <c r="Y42" i="108"/>
  <c r="S42" i="107"/>
  <c r="O106" i="111"/>
  <c r="P106" i="111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42" i="111" s="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42" i="107" l="1"/>
  <c r="AD42" i="111"/>
  <c r="AF42" i="108"/>
  <c r="AE41" i="111"/>
  <c r="AE42" i="107"/>
  <c r="S42" i="111"/>
  <c r="Z42" i="111"/>
  <c r="T42" i="111"/>
  <c r="AB42" i="111"/>
  <c r="AC42" i="111"/>
  <c r="X42" i="111"/>
  <c r="AF34" i="111"/>
  <c r="AF41" i="111"/>
  <c r="W42" i="111"/>
  <c r="AE42" i="108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F42" i="111" l="1"/>
  <c r="AE42" i="111"/>
</calcChain>
</file>

<file path=xl/sharedStrings.xml><?xml version="1.0" encoding="utf-8"?>
<sst xmlns="http://schemas.openxmlformats.org/spreadsheetml/2006/main" count="2324" uniqueCount="176">
  <si>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</si>
  <si>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</si>
  <si>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</si>
  <si>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</si>
  <si>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</si>
  <si>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</si>
  <si>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</si>
  <si>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</si>
  <si>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</si>
  <si>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</si>
  <si>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</si>
  <si>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</si>
  <si>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</si>
  <si>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</si>
  <si>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</si>
  <si>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</si>
  <si>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</si>
  <si>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</si>
  <si>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</si>
  <si>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</si>
  <si>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</si>
  <si>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</si>
  <si>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</si>
  <si>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</si>
  <si>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</si>
  <si>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</si>
  <si>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</si>
  <si>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</si>
  <si>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</si>
  <si>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</si>
  <si>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</si>
  <si>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</si>
  <si>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</si>
  <si>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</si>
  <si>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</si>
  <si>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</si>
  <si>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</si>
  <si>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</si>
  <si>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</si>
  <si>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</si>
  <si>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</si>
  <si>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</si>
  <si>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</si>
  <si>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</si>
  <si>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</si>
  <si>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</si>
  <si>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</si>
  <si>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</si>
  <si>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</si>
  <si>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</si>
  <si>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</si>
  <si>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</si>
  <si>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</si>
  <si>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</si>
  <si>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</si>
  <si>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</si>
  <si>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</si>
  <si>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</si>
  <si>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</si>
  <si>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</si>
  <si>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</si>
  <si>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</si>
  <si>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</si>
  <si>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</si>
  <si>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</si>
  <si>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</si>
  <si>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</si>
  <si>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</si>
  <si>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</si>
  <si>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</si>
  <si>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</si>
  <si>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</si>
  <si>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</si>
  <si>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</si>
  <si>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</si>
  <si>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</si>
  <si>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</si>
  <si>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</si>
  <si>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</si>
  <si>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</si>
  <si>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</si>
  <si>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</si>
  <si>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</si>
  <si>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</si>
  <si>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</si>
  <si>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</si>
  <si>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</si>
  <si>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</si>
  <si>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</si>
  <si>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</si>
  <si>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</si>
  <si>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</si>
  <si>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</si>
  <si>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</si>
  <si>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</si>
  <si>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</si>
  <si>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</si>
  <si>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</si>
  <si>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</si>
  <si>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</si>
  <si>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</si>
  <si>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</si>
  <si>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</si>
  <si>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</si>
  <si>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</si>
  <si>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</si>
  <si>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</si>
  <si>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</si>
  <si>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</si>
  <si>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</si>
  <si>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</si>
  <si>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</si>
  <si>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</si>
  <si>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</si>
  <si>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</si>
  <si>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</si>
  <si>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</si>
  <si>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</si>
  <si>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</si>
  <si>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</si>
  <si>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</si>
  <si>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</si>
  <si>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</si>
  <si>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</si>
  <si>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</si>
  <si>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</si>
  <si>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</si>
  <si>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</si>
  <si>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</si>
  <si>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</si>
  <si>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</si>
  <si>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</si>
  <si>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</si>
  <si>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</si>
  <si>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</si>
  <si>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</si>
  <si>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</si>
  <si>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</si>
  <si>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</si>
  <si>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</si>
  <si>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</si>
  <si>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</si>
  <si>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</si>
  <si>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</si>
  <si>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</si>
  <si>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</si>
  <si>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</si>
  <si>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</si>
  <si>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</si>
  <si>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</si>
  <si>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</si>
  <si>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</si>
  <si>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</si>
  <si>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</si>
  <si>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</si>
  <si>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</si>
  <si>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</si>
  <si>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</si>
  <si>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</si>
  <si>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</si>
  <si>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</si>
  <si>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</si>
  <si>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xxx</t>
  </si>
  <si>
    <t>AVERAGE WEEK</t>
  </si>
  <si>
    <t>MCC - C4 - STN104 - ISHAKA KATUNGULU ROAD</t>
  </si>
  <si>
    <t>Ishaka</t>
  </si>
  <si>
    <t>Katungulu</t>
  </si>
  <si>
    <t>Rubirizi</t>
  </si>
  <si>
    <t>07.09.19</t>
  </si>
  <si>
    <t>08.09.19</t>
  </si>
  <si>
    <t>09.09.19</t>
  </si>
  <si>
    <t>10.09.19</t>
  </si>
  <si>
    <t>11.09.19</t>
  </si>
  <si>
    <t>12.09.19</t>
  </si>
  <si>
    <t>13.09.19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</si>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</sst>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'07.09. Ishaka-Katungulu-24h'!$AE$9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'07.09. Ishaka-Katungulu-24h'!$R$10:$R$33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'07.09. Ishaka-Katungulu-24h'!$AE$10:$AE$33</c:f>
              <c:numCache>
                <c:formatCode>0</c:formatCode>
                <c:ptCount val="24"/>
                <c:pt idx="0">
                  <c:v>33</c:v>
                </c:pt>
                <c:pt idx="1">
                  <c:v>84</c:v>
                </c:pt>
                <c:pt idx="2">
                  <c:v>69</c:v>
                </c:pt>
                <c:pt idx="3">
                  <c:v>68</c:v>
                </c:pt>
                <c:pt idx="4">
                  <c:v>89</c:v>
                </c:pt>
                <c:pt idx="5">
                  <c:v>81</c:v>
                </c:pt>
                <c:pt idx="6">
                  <c:v>77</c:v>
                </c:pt>
                <c:pt idx="7">
                  <c:v>101</c:v>
                </c:pt>
                <c:pt idx="8">
                  <c:v>79</c:v>
                </c:pt>
                <c:pt idx="9">
                  <c:v>67</c:v>
                </c:pt>
                <c:pt idx="10">
                  <c:v>113</c:v>
                </c:pt>
                <c:pt idx="11">
                  <c:v>95</c:v>
                </c:pt>
                <c:pt idx="12">
                  <c:v>84</c:v>
                </c:pt>
                <c:pt idx="13">
                  <c:v>57</c:v>
                </c:pt>
                <c:pt idx="14">
                  <c:v>41</c:v>
                </c:pt>
                <c:pt idx="15">
                  <c:v>45</c:v>
                </c:pt>
                <c:pt idx="16">
                  <c:v>52</c:v>
                </c:pt>
                <c:pt idx="17">
                  <c:v>16</c:v>
                </c:pt>
                <c:pt idx="18">
                  <c:v>5</c:v>
                </c:pt>
                <c:pt idx="19">
                  <c:v>7</c:v>
                </c:pt>
                <c:pt idx="20">
                  <c:v>1</c:v>
                </c:pt>
                <c:pt idx="21">
                  <c:v>4</c:v>
                </c:pt>
                <c:pt idx="22">
                  <c:v>10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'07.09. Ishaka-Katungulu-24h'!$AF$9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'07.09. Ishaka-Katungulu-24h'!$R$10:$R$33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'07.09. Ishaka-Katungulu-24h'!$AF$10:$AF$33</c:f>
              <c:numCache>
                <c:formatCode>0</c:formatCode>
                <c:ptCount val="24"/>
                <c:pt idx="0">
                  <c:v>78</c:v>
                </c:pt>
                <c:pt idx="1">
                  <c:v>221</c:v>
                </c:pt>
                <c:pt idx="2">
                  <c:v>224</c:v>
                </c:pt>
                <c:pt idx="3">
                  <c:v>243</c:v>
                </c:pt>
                <c:pt idx="4">
                  <c:v>267</c:v>
                </c:pt>
                <c:pt idx="5">
                  <c:v>260</c:v>
                </c:pt>
                <c:pt idx="6">
                  <c:v>261</c:v>
                </c:pt>
                <c:pt idx="7">
                  <c:v>285</c:v>
                </c:pt>
                <c:pt idx="8">
                  <c:v>243</c:v>
                </c:pt>
                <c:pt idx="9">
                  <c:v>163</c:v>
                </c:pt>
                <c:pt idx="10">
                  <c:v>306</c:v>
                </c:pt>
                <c:pt idx="11">
                  <c:v>254</c:v>
                </c:pt>
                <c:pt idx="12">
                  <c:v>260</c:v>
                </c:pt>
                <c:pt idx="13">
                  <c:v>113</c:v>
                </c:pt>
                <c:pt idx="14">
                  <c:v>77</c:v>
                </c:pt>
                <c:pt idx="15">
                  <c:v>65</c:v>
                </c:pt>
                <c:pt idx="16">
                  <c:v>78</c:v>
                </c:pt>
                <c:pt idx="17">
                  <c:v>28</c:v>
                </c:pt>
                <c:pt idx="18">
                  <c:v>11</c:v>
                </c:pt>
                <c:pt idx="19">
                  <c:v>7</c:v>
                </c:pt>
                <c:pt idx="20">
                  <c:v>1</c:v>
                </c:pt>
                <c:pt idx="21">
                  <c:v>4</c:v>
                </c:pt>
                <c:pt idx="22">
                  <c:v>14</c:v>
                </c:pt>
                <c:pt idx="23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922440"/>
        <c:axId val="152922832"/>
      </c:lineChart>
      <c:catAx>
        <c:axId val="1529224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52922832"/>
        <c:crosses val="autoZero"/>
        <c:auto val="1"/>
        <c:lblAlgn val="ctr"/>
        <c:lblOffset val="100"/>
        <c:noMultiLvlLbl val="0"/>
      </c:catAx>
      <c:valAx>
        <c:axId val="152922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5292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'07.09. Ishaka-Katungulu-24h'!$C$9:$N$9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'07.09. Ishaka-Katungulu-24h'!$C$107:$N$107</c:f>
              <c:numCache>
                <c:formatCode>0.0%</c:formatCode>
                <c:ptCount val="12"/>
                <c:pt idx="0">
                  <c:v>0.11403258073735353</c:v>
                </c:pt>
                <c:pt idx="1">
                  <c:v>3.4295513003715347E-2</c:v>
                </c:pt>
                <c:pt idx="2">
                  <c:v>5.3158045155758789E-2</c:v>
                </c:pt>
                <c:pt idx="3">
                  <c:v>6.2303515290082878E-2</c:v>
                </c:pt>
                <c:pt idx="4">
                  <c:v>1.4289797084881394E-3</c:v>
                </c:pt>
                <c:pt idx="5">
                  <c:v>2.5721634752786512E-3</c:v>
                </c:pt>
                <c:pt idx="6">
                  <c:v>2.2292083452414974E-2</c:v>
                </c:pt>
                <c:pt idx="7">
                  <c:v>2.5150042869391254E-2</c:v>
                </c:pt>
                <c:pt idx="8">
                  <c:v>2.9151186053158046E-2</c:v>
                </c:pt>
                <c:pt idx="9">
                  <c:v>2.857959416976279E-2</c:v>
                </c:pt>
                <c:pt idx="10">
                  <c:v>0.62675050014289801</c:v>
                </c:pt>
                <c:pt idx="11">
                  <c:v>2.857959416976279E-4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'07.09. Ishaka-Katungulu-24h'!$C$9:$N$9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'07.09. Ishaka-Katungulu-24h'!$C$108:$N$108</c:f>
              <c:numCache>
                <c:formatCode>0.00%</c:formatCode>
                <c:ptCount val="12"/>
                <c:pt idx="0">
                  <c:v>0.30551301684532928</c:v>
                </c:pt>
                <c:pt idx="1">
                  <c:v>9.1883614088820828E-2</c:v>
                </c:pt>
                <c:pt idx="2">
                  <c:v>0.14241960183767227</c:v>
                </c:pt>
                <c:pt idx="3">
                  <c:v>0.1669218989280245</c:v>
                </c:pt>
                <c:pt idx="4">
                  <c:v>3.8284839203675345E-3</c:v>
                </c:pt>
                <c:pt idx="5">
                  <c:v>6.8912710566615618E-3</c:v>
                </c:pt>
                <c:pt idx="6">
                  <c:v>5.9724349157733538E-2</c:v>
                </c:pt>
                <c:pt idx="7">
                  <c:v>6.738131699846861E-2</c:v>
                </c:pt>
                <c:pt idx="8">
                  <c:v>7.8101071975497705E-2</c:v>
                </c:pt>
                <c:pt idx="9">
                  <c:v>7.6569678407350683E-2</c:v>
                </c:pt>
                <c:pt idx="11">
                  <c:v>7.6569678407350692E-4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'07.09. Katungulu-Ishaka-24h'!$AE$9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'07.09. Katungulu-Ishaka-24h'!$R$10:$R$33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'07.09. Katungulu-Ishaka-24h'!$AE$10:$AE$33</c:f>
              <c:numCache>
                <c:formatCode>0</c:formatCode>
                <c:ptCount val="24"/>
                <c:pt idx="0">
                  <c:v>19</c:v>
                </c:pt>
                <c:pt idx="1">
                  <c:v>34</c:v>
                </c:pt>
                <c:pt idx="2">
                  <c:v>62</c:v>
                </c:pt>
                <c:pt idx="3">
                  <c:v>84</c:v>
                </c:pt>
                <c:pt idx="4">
                  <c:v>74</c:v>
                </c:pt>
                <c:pt idx="5">
                  <c:v>87</c:v>
                </c:pt>
                <c:pt idx="6">
                  <c:v>81</c:v>
                </c:pt>
                <c:pt idx="7">
                  <c:v>90</c:v>
                </c:pt>
                <c:pt idx="8">
                  <c:v>72</c:v>
                </c:pt>
                <c:pt idx="9">
                  <c:v>109</c:v>
                </c:pt>
                <c:pt idx="10">
                  <c:v>136</c:v>
                </c:pt>
                <c:pt idx="11">
                  <c:v>100</c:v>
                </c:pt>
                <c:pt idx="12">
                  <c:v>117</c:v>
                </c:pt>
                <c:pt idx="13">
                  <c:v>75</c:v>
                </c:pt>
                <c:pt idx="14">
                  <c:v>45</c:v>
                </c:pt>
                <c:pt idx="15">
                  <c:v>46</c:v>
                </c:pt>
                <c:pt idx="16">
                  <c:v>39</c:v>
                </c:pt>
                <c:pt idx="17">
                  <c:v>22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20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'07.09. Katungulu-Ishaka-24h'!$AF$9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'07.09. Katungulu-Ishaka-24h'!$R$10:$R$33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'07.09. Katungulu-Ishaka-24h'!$AF$10:$AF$33</c:f>
              <c:numCache>
                <c:formatCode>0</c:formatCode>
                <c:ptCount val="24"/>
                <c:pt idx="0">
                  <c:v>43</c:v>
                </c:pt>
                <c:pt idx="1">
                  <c:v>168</c:v>
                </c:pt>
                <c:pt idx="2">
                  <c:v>264</c:v>
                </c:pt>
                <c:pt idx="3">
                  <c:v>236</c:v>
                </c:pt>
                <c:pt idx="4">
                  <c:v>251</c:v>
                </c:pt>
                <c:pt idx="5">
                  <c:v>266</c:v>
                </c:pt>
                <c:pt idx="6">
                  <c:v>195</c:v>
                </c:pt>
                <c:pt idx="7">
                  <c:v>281</c:v>
                </c:pt>
                <c:pt idx="8">
                  <c:v>240</c:v>
                </c:pt>
                <c:pt idx="9">
                  <c:v>239</c:v>
                </c:pt>
                <c:pt idx="10">
                  <c:v>384</c:v>
                </c:pt>
                <c:pt idx="11">
                  <c:v>291</c:v>
                </c:pt>
                <c:pt idx="12">
                  <c:v>266</c:v>
                </c:pt>
                <c:pt idx="13">
                  <c:v>168</c:v>
                </c:pt>
                <c:pt idx="14">
                  <c:v>104</c:v>
                </c:pt>
                <c:pt idx="15">
                  <c:v>78</c:v>
                </c:pt>
                <c:pt idx="16">
                  <c:v>53</c:v>
                </c:pt>
                <c:pt idx="17">
                  <c:v>36</c:v>
                </c:pt>
                <c:pt idx="18">
                  <c:v>14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24</c:v>
                </c:pt>
                <c:pt idx="23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923616"/>
        <c:axId val="152923224"/>
      </c:lineChart>
      <c:catAx>
        <c:axId val="1529236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52923224"/>
        <c:crosses val="autoZero"/>
        <c:auto val="1"/>
        <c:lblAlgn val="ctr"/>
        <c:lblOffset val="100"/>
        <c:noMultiLvlLbl val="0"/>
      </c:catAx>
      <c:valAx>
        <c:axId val="152923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5292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'07.09. Katungulu-Ishaka-24h'!$C$9:$N$9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'07.09. Katungulu-Ishaka-24h'!$C$107:$N$107</c:f>
              <c:numCache>
                <c:formatCode>0.0%</c:formatCode>
                <c:ptCount val="12"/>
                <c:pt idx="0">
                  <c:v>0.10153677277716795</c:v>
                </c:pt>
                <c:pt idx="1">
                  <c:v>3.1833150384193196E-2</c:v>
                </c:pt>
                <c:pt idx="2">
                  <c:v>4.8572996706915478E-2</c:v>
                </c:pt>
                <c:pt idx="3">
                  <c:v>6.5038419319429205E-2</c:v>
                </c:pt>
                <c:pt idx="4">
                  <c:v>4.3907793633369925E-3</c:v>
                </c:pt>
                <c:pt idx="5">
                  <c:v>4.3907793633369925E-3</c:v>
                </c:pt>
                <c:pt idx="6">
                  <c:v>1.9484083424807903E-2</c:v>
                </c:pt>
                <c:pt idx="7">
                  <c:v>2.7167947310647641E-2</c:v>
                </c:pt>
                <c:pt idx="8">
                  <c:v>4.8572996706915478E-2</c:v>
                </c:pt>
                <c:pt idx="9">
                  <c:v>1.7837541163556531E-2</c:v>
                </c:pt>
                <c:pt idx="10">
                  <c:v>0.63117453347969266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'07.09. Katungulu-Ishaka-24h'!$C$9:$N$9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'07.09. Katungulu-Ishaka-24h'!$C$108:$N$108</c:f>
              <c:numCache>
                <c:formatCode>0.00%</c:formatCode>
                <c:ptCount val="12"/>
                <c:pt idx="0">
                  <c:v>0.27529761904761907</c:v>
                </c:pt>
                <c:pt idx="1">
                  <c:v>8.6309523809523808E-2</c:v>
                </c:pt>
                <c:pt idx="2">
                  <c:v>0.13169642857142858</c:v>
                </c:pt>
                <c:pt idx="3">
                  <c:v>0.17633928571428573</c:v>
                </c:pt>
                <c:pt idx="4">
                  <c:v>1.1904761904761904E-2</c:v>
                </c:pt>
                <c:pt idx="5">
                  <c:v>1.1904761904761904E-2</c:v>
                </c:pt>
                <c:pt idx="6">
                  <c:v>5.2827380952380952E-2</c:v>
                </c:pt>
                <c:pt idx="7">
                  <c:v>7.3660714285714288E-2</c:v>
                </c:pt>
                <c:pt idx="8">
                  <c:v>0.13169642857142858</c:v>
                </c:pt>
                <c:pt idx="9">
                  <c:v>4.836309523809524E-2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'08.09 Ishaka-Katungulu-24h'!$AE$9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'08.09 Ishaka-Katungulu-24h'!$R$10:$R$33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'08.09 Ishaka-Katungulu-24h'!$AE$10:$AE$33</c:f>
              <c:numCache>
                <c:formatCode>0</c:formatCode>
                <c:ptCount val="24"/>
                <c:pt idx="0">
                  <c:v>26</c:v>
                </c:pt>
                <c:pt idx="1">
                  <c:v>71</c:v>
                </c:pt>
                <c:pt idx="2">
                  <c:v>61</c:v>
                </c:pt>
                <c:pt idx="3">
                  <c:v>88</c:v>
                </c:pt>
                <c:pt idx="4">
                  <c:v>61</c:v>
                </c:pt>
                <c:pt idx="5">
                  <c:v>83</c:v>
                </c:pt>
                <c:pt idx="6">
                  <c:v>83</c:v>
                </c:pt>
                <c:pt idx="7">
                  <c:v>51</c:v>
                </c:pt>
                <c:pt idx="8">
                  <c:v>77</c:v>
                </c:pt>
                <c:pt idx="9">
                  <c:v>57</c:v>
                </c:pt>
                <c:pt idx="10">
                  <c:v>54</c:v>
                </c:pt>
                <c:pt idx="11">
                  <c:v>67</c:v>
                </c:pt>
                <c:pt idx="12">
                  <c:v>82</c:v>
                </c:pt>
                <c:pt idx="13">
                  <c:v>50</c:v>
                </c:pt>
                <c:pt idx="14">
                  <c:v>48</c:v>
                </c:pt>
                <c:pt idx="15">
                  <c:v>44</c:v>
                </c:pt>
                <c:pt idx="16">
                  <c:v>19</c:v>
                </c:pt>
                <c:pt idx="17">
                  <c:v>20</c:v>
                </c:pt>
                <c:pt idx="18">
                  <c:v>9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9</c:v>
                </c:pt>
                <c:pt idx="23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'08.09 Ishaka-Katungulu-24h'!$AF$9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'08.09 Ishaka-Katungulu-24h'!$R$10:$R$33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'08.09 Ishaka-Katungulu-24h'!$AF$10:$AF$33</c:f>
              <c:numCache>
                <c:formatCode>0</c:formatCode>
                <c:ptCount val="24"/>
                <c:pt idx="0">
                  <c:v>149</c:v>
                </c:pt>
                <c:pt idx="1">
                  <c:v>369</c:v>
                </c:pt>
                <c:pt idx="2">
                  <c:v>311</c:v>
                </c:pt>
                <c:pt idx="3">
                  <c:v>321</c:v>
                </c:pt>
                <c:pt idx="4">
                  <c:v>290</c:v>
                </c:pt>
                <c:pt idx="5">
                  <c:v>351</c:v>
                </c:pt>
                <c:pt idx="6">
                  <c:v>410</c:v>
                </c:pt>
                <c:pt idx="7">
                  <c:v>253</c:v>
                </c:pt>
                <c:pt idx="8">
                  <c:v>316</c:v>
                </c:pt>
                <c:pt idx="9">
                  <c:v>263</c:v>
                </c:pt>
                <c:pt idx="10">
                  <c:v>344</c:v>
                </c:pt>
                <c:pt idx="11">
                  <c:v>302</c:v>
                </c:pt>
                <c:pt idx="12">
                  <c:v>309</c:v>
                </c:pt>
                <c:pt idx="13">
                  <c:v>185</c:v>
                </c:pt>
                <c:pt idx="14">
                  <c:v>97</c:v>
                </c:pt>
                <c:pt idx="15">
                  <c:v>74</c:v>
                </c:pt>
                <c:pt idx="16">
                  <c:v>35</c:v>
                </c:pt>
                <c:pt idx="17">
                  <c:v>25</c:v>
                </c:pt>
                <c:pt idx="18">
                  <c:v>15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10</c:v>
                </c:pt>
                <c:pt idx="23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51808"/>
        <c:axId val="197954552"/>
      </c:lineChart>
      <c:catAx>
        <c:axId val="197951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7954552"/>
        <c:crosses val="autoZero"/>
        <c:auto val="1"/>
        <c:lblAlgn val="ctr"/>
        <c:lblOffset val="100"/>
        <c:noMultiLvlLbl val="0"/>
      </c:catAx>
      <c:valAx>
        <c:axId val="197954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795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'08.09 Ishaka-Katungulu-24h'!$C$9:$N$9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'08.09 Ishaka-Katungulu-24h'!$C$107:$N$107</c:f>
              <c:numCache>
                <c:formatCode>0.0%</c:formatCode>
                <c:ptCount val="12"/>
                <c:pt idx="0">
                  <c:v>6.9928507596067918E-2</c:v>
                </c:pt>
                <c:pt idx="1">
                  <c:v>2.0107238605898123E-2</c:v>
                </c:pt>
                <c:pt idx="2">
                  <c:v>5.3842716711349416E-2</c:v>
                </c:pt>
                <c:pt idx="3">
                  <c:v>4.0214477211796246E-2</c:v>
                </c:pt>
                <c:pt idx="4">
                  <c:v>4.4682752457551384E-4</c:v>
                </c:pt>
                <c:pt idx="5">
                  <c:v>1.3404825737265416E-3</c:v>
                </c:pt>
                <c:pt idx="6">
                  <c:v>7.8194816800714918E-3</c:v>
                </c:pt>
                <c:pt idx="7">
                  <c:v>1.5415549597855228E-2</c:v>
                </c:pt>
                <c:pt idx="8">
                  <c:v>1.9660411081322611E-2</c:v>
                </c:pt>
                <c:pt idx="9">
                  <c:v>1.675603217158177E-2</c:v>
                </c:pt>
                <c:pt idx="10">
                  <c:v>0.7544682752457551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'08.09 Ishaka-Katungulu-24h'!$C$9:$N$9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'08.09 Ishaka-Katungulu-24h'!$C$108:$N$108</c:f>
              <c:numCache>
                <c:formatCode>0.00%</c:formatCode>
                <c:ptCount val="12"/>
                <c:pt idx="0">
                  <c:v>0.28480436760691535</c:v>
                </c:pt>
                <c:pt idx="1">
                  <c:v>8.1892629663330302E-2</c:v>
                </c:pt>
                <c:pt idx="2">
                  <c:v>0.21929026387625114</c:v>
                </c:pt>
                <c:pt idx="3">
                  <c:v>0.1637852593266606</c:v>
                </c:pt>
                <c:pt idx="4">
                  <c:v>1.8198362147406734E-3</c:v>
                </c:pt>
                <c:pt idx="5">
                  <c:v>5.4595086442220204E-3</c:v>
                </c:pt>
                <c:pt idx="6">
                  <c:v>3.1847133757961783E-2</c:v>
                </c:pt>
                <c:pt idx="7">
                  <c:v>6.2784349408553236E-2</c:v>
                </c:pt>
                <c:pt idx="8">
                  <c:v>8.0072793448589627E-2</c:v>
                </c:pt>
                <c:pt idx="9">
                  <c:v>6.8243858052775247E-2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'08.09 Katungulu-Ishaka-24h'!$AE$9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'08.09 Katungulu-Ishaka-24h'!$R$10:$R$33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'08.09 Katungulu-Ishaka-24h'!$AE$10:$AE$33</c:f>
              <c:numCache>
                <c:formatCode>0</c:formatCode>
                <c:ptCount val="24"/>
                <c:pt idx="0">
                  <c:v>16</c:v>
                </c:pt>
                <c:pt idx="1">
                  <c:v>38</c:v>
                </c:pt>
                <c:pt idx="2">
                  <c:v>59</c:v>
                </c:pt>
                <c:pt idx="3">
                  <c:v>63</c:v>
                </c:pt>
                <c:pt idx="4">
                  <c:v>74</c:v>
                </c:pt>
                <c:pt idx="5">
                  <c:v>67</c:v>
                </c:pt>
                <c:pt idx="6">
                  <c:v>76</c:v>
                </c:pt>
                <c:pt idx="7">
                  <c:v>74</c:v>
                </c:pt>
                <c:pt idx="8">
                  <c:v>87</c:v>
                </c:pt>
                <c:pt idx="9">
                  <c:v>92</c:v>
                </c:pt>
                <c:pt idx="10">
                  <c:v>97</c:v>
                </c:pt>
                <c:pt idx="11">
                  <c:v>73</c:v>
                </c:pt>
                <c:pt idx="12">
                  <c:v>102</c:v>
                </c:pt>
                <c:pt idx="13">
                  <c:v>66</c:v>
                </c:pt>
                <c:pt idx="14">
                  <c:v>57</c:v>
                </c:pt>
                <c:pt idx="15">
                  <c:v>54</c:v>
                </c:pt>
                <c:pt idx="16">
                  <c:v>12</c:v>
                </c:pt>
                <c:pt idx="17">
                  <c:v>21</c:v>
                </c:pt>
                <c:pt idx="18">
                  <c:v>15</c:v>
                </c:pt>
                <c:pt idx="19">
                  <c:v>7</c:v>
                </c:pt>
                <c:pt idx="20">
                  <c:v>1</c:v>
                </c:pt>
                <c:pt idx="21">
                  <c:v>9</c:v>
                </c:pt>
                <c:pt idx="22">
                  <c:v>26</c:v>
                </c:pt>
                <c:pt idx="23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'08.09 Katungulu-Ishaka-24h'!$AF$9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'08.09 Katungulu-Ishaka-24h'!$R$10:$R$33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'08.09 Katungulu-Ishaka-24h'!$AF$10:$AF$33</c:f>
              <c:numCache>
                <c:formatCode>0</c:formatCode>
                <c:ptCount val="24"/>
                <c:pt idx="0">
                  <c:v>120</c:v>
                </c:pt>
                <c:pt idx="1">
                  <c:v>317</c:v>
                </c:pt>
                <c:pt idx="2">
                  <c:v>354</c:v>
                </c:pt>
                <c:pt idx="3">
                  <c:v>323</c:v>
                </c:pt>
                <c:pt idx="4">
                  <c:v>284</c:v>
                </c:pt>
                <c:pt idx="5">
                  <c:v>294</c:v>
                </c:pt>
                <c:pt idx="6">
                  <c:v>340</c:v>
                </c:pt>
                <c:pt idx="7">
                  <c:v>314</c:v>
                </c:pt>
                <c:pt idx="8">
                  <c:v>361</c:v>
                </c:pt>
                <c:pt idx="9">
                  <c:v>369</c:v>
                </c:pt>
                <c:pt idx="10">
                  <c:v>410</c:v>
                </c:pt>
                <c:pt idx="11">
                  <c:v>332</c:v>
                </c:pt>
                <c:pt idx="12">
                  <c:v>431</c:v>
                </c:pt>
                <c:pt idx="13">
                  <c:v>315</c:v>
                </c:pt>
                <c:pt idx="14">
                  <c:v>123</c:v>
                </c:pt>
                <c:pt idx="15">
                  <c:v>83</c:v>
                </c:pt>
                <c:pt idx="16">
                  <c:v>30</c:v>
                </c:pt>
                <c:pt idx="17">
                  <c:v>26</c:v>
                </c:pt>
                <c:pt idx="18">
                  <c:v>26</c:v>
                </c:pt>
                <c:pt idx="19">
                  <c:v>8</c:v>
                </c:pt>
                <c:pt idx="20">
                  <c:v>1</c:v>
                </c:pt>
                <c:pt idx="21">
                  <c:v>9</c:v>
                </c:pt>
                <c:pt idx="22">
                  <c:v>37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55336"/>
        <c:axId val="197952984"/>
      </c:lineChart>
      <c:catAx>
        <c:axId val="1979553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7952984"/>
        <c:crosses val="autoZero"/>
        <c:auto val="1"/>
        <c:lblAlgn val="ctr"/>
        <c:lblOffset val="100"/>
        <c:noMultiLvlLbl val="0"/>
      </c:catAx>
      <c:valAx>
        <c:axId val="1979529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795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'08.09 Katungulu-Ishaka-24h'!$C$9:$N$9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'08.09 Katungulu-Ishaka-24h'!$C$107:$N$107</c:f>
              <c:numCache>
                <c:formatCode>0.0%</c:formatCode>
                <c:ptCount val="12"/>
                <c:pt idx="0">
                  <c:v>7.0751864543438819E-2</c:v>
                </c:pt>
                <c:pt idx="1">
                  <c:v>1.9552509574682523E-2</c:v>
                </c:pt>
                <c:pt idx="2">
                  <c:v>4.9183632332191092E-2</c:v>
                </c:pt>
                <c:pt idx="3">
                  <c:v>3.5476718403547672E-2</c:v>
                </c:pt>
                <c:pt idx="4">
                  <c:v>1.6125781092521669E-3</c:v>
                </c:pt>
                <c:pt idx="5">
                  <c:v>2.2172949002217295E-3</c:v>
                </c:pt>
                <c:pt idx="6">
                  <c:v>1.1086474501108648E-2</c:v>
                </c:pt>
                <c:pt idx="7">
                  <c:v>1.2900624874017335E-2</c:v>
                </c:pt>
                <c:pt idx="8">
                  <c:v>3.063898407579117E-2</c:v>
                </c:pt>
                <c:pt idx="9">
                  <c:v>1.1691191292078211E-2</c:v>
                </c:pt>
                <c:pt idx="10">
                  <c:v>0.75468655513001415</c:v>
                </c:pt>
                <c:pt idx="11">
                  <c:v>2.0157226365652087E-4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'08.09 Katungulu-Ishaka-24h'!$C$9:$N$9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'08.09 Katungulu-Ishaka-24h'!$C$108:$N$108</c:f>
              <c:numCache>
                <c:formatCode>0.00%</c:formatCode>
                <c:ptCount val="12"/>
                <c:pt idx="0">
                  <c:v>0.28841413311421527</c:v>
                </c:pt>
                <c:pt idx="1">
                  <c:v>7.970419063270337E-2</c:v>
                </c:pt>
                <c:pt idx="2">
                  <c:v>0.20049301561216104</c:v>
                </c:pt>
                <c:pt idx="3">
                  <c:v>0.14461791290057519</c:v>
                </c:pt>
                <c:pt idx="4">
                  <c:v>6.5735414954806899E-3</c:v>
                </c:pt>
                <c:pt idx="5">
                  <c:v>9.0386195562859491E-3</c:v>
                </c:pt>
                <c:pt idx="6">
                  <c:v>4.5193097781429742E-2</c:v>
                </c:pt>
                <c:pt idx="7">
                  <c:v>5.2588331963845519E-2</c:v>
                </c:pt>
                <c:pt idx="8">
                  <c:v>0.12489728841413311</c:v>
                </c:pt>
                <c:pt idx="9">
                  <c:v>4.7658175842235001E-2</c:v>
                </c:pt>
                <c:pt idx="11">
                  <c:v>8.2169268693508624E-4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'09.09 Ishaka-Katungulu'!$AE$9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'09.09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'09.09 Ishaka-Katungulu'!$AE$10:$AE$21</c:f>
              <c:numCache>
                <c:formatCode>0</c:formatCode>
                <c:ptCount val="12"/>
                <c:pt idx="0">
                  <c:v>10</c:v>
                </c:pt>
                <c:pt idx="1">
                  <c:v>28</c:v>
                </c:pt>
                <c:pt idx="2">
                  <c:v>36</c:v>
                </c:pt>
                <c:pt idx="3">
                  <c:v>53</c:v>
                </c:pt>
                <c:pt idx="4">
                  <c:v>78</c:v>
                </c:pt>
                <c:pt idx="5">
                  <c:v>67</c:v>
                </c:pt>
                <c:pt idx="6">
                  <c:v>109</c:v>
                </c:pt>
                <c:pt idx="7">
                  <c:v>69</c:v>
                </c:pt>
                <c:pt idx="8">
                  <c:v>56</c:v>
                </c:pt>
                <c:pt idx="9">
                  <c:v>61</c:v>
                </c:pt>
                <c:pt idx="10">
                  <c:v>65</c:v>
                </c:pt>
                <c:pt idx="11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'09.09 Ishaka-Katungulu'!$AF$9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'09.09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'09.09 Ishaka-Katungulu'!$AF$10:$AF$21</c:f>
              <c:numCache>
                <c:formatCode>0</c:formatCode>
                <c:ptCount val="12"/>
                <c:pt idx="0">
                  <c:v>26</c:v>
                </c:pt>
                <c:pt idx="1">
                  <c:v>102</c:v>
                </c:pt>
                <c:pt idx="2">
                  <c:v>151</c:v>
                </c:pt>
                <c:pt idx="3">
                  <c:v>224</c:v>
                </c:pt>
                <c:pt idx="4">
                  <c:v>206</c:v>
                </c:pt>
                <c:pt idx="5">
                  <c:v>181</c:v>
                </c:pt>
                <c:pt idx="6">
                  <c:v>213</c:v>
                </c:pt>
                <c:pt idx="7">
                  <c:v>208</c:v>
                </c:pt>
                <c:pt idx="8">
                  <c:v>197</c:v>
                </c:pt>
                <c:pt idx="9">
                  <c:v>245</c:v>
                </c:pt>
                <c:pt idx="10">
                  <c:v>177</c:v>
                </c:pt>
                <c:pt idx="11">
                  <c:v>228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53768"/>
        <c:axId val="197954160"/>
      </c:lineChart>
      <c:catAx>
        <c:axId val="1979537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7954160"/>
        <c:crosses val="autoZero"/>
        <c:auto val="1"/>
        <c:lblAlgn val="ctr"/>
        <c:lblOffset val="100"/>
        <c:noMultiLvlLbl val="0"/>
      </c:catAx>
      <c:valAx>
        <c:axId val="1979541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795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'09.09 Ishaka-Katungulu'!$C$9:$N$9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'09.09 Ishaka-Katungulu'!$C$59:$N$59</c:f>
              <c:numCache>
                <c:formatCode>0.0%</c:formatCode>
                <c:ptCount val="12"/>
                <c:pt idx="0">
                  <c:v>0.11631139944392957</c:v>
                </c:pt>
                <c:pt idx="1">
                  <c:v>4.6339202965708986E-3</c:v>
                </c:pt>
                <c:pt idx="2">
                  <c:v>5.9314179796107508E-2</c:v>
                </c:pt>
                <c:pt idx="3">
                  <c:v>5.9777571825764597E-2</c:v>
                </c:pt>
                <c:pt idx="4">
                  <c:v>2.7803521779425394E-3</c:v>
                </c:pt>
                <c:pt idx="5">
                  <c:v>9.2678405931417981E-4</c:v>
                </c:pt>
                <c:pt idx="6">
                  <c:v>1.7608897126969416E-2</c:v>
                </c:pt>
                <c:pt idx="7">
                  <c:v>1.6682113067655237E-2</c:v>
                </c:pt>
                <c:pt idx="8">
                  <c:v>5.5607043558850789E-3</c:v>
                </c:pt>
                <c:pt idx="9">
                  <c:v>3.0583873957367932E-2</c:v>
                </c:pt>
                <c:pt idx="10">
                  <c:v>0.68535681186283592</c:v>
                </c:pt>
                <c:pt idx="11">
                  <c:v>4.6339202965708991E-4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'09.09 Ishaka-Katungulu'!$C$9:$N$9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'09.09 Ishaka-Katungulu'!$C$60:$N$60</c:f>
              <c:numCache>
                <c:formatCode>0.00%</c:formatCode>
                <c:ptCount val="12"/>
                <c:pt idx="0">
                  <c:v>0.36966126656848308</c:v>
                </c:pt>
                <c:pt idx="1">
                  <c:v>1.4727540500736377E-2</c:v>
                </c:pt>
                <c:pt idx="2">
                  <c:v>0.18851251840942562</c:v>
                </c:pt>
                <c:pt idx="3">
                  <c:v>0.18998527245949925</c:v>
                </c:pt>
                <c:pt idx="4">
                  <c:v>8.836524300441826E-3</c:v>
                </c:pt>
                <c:pt idx="5">
                  <c:v>2.9455081001472753E-3</c:v>
                </c:pt>
                <c:pt idx="6">
                  <c:v>5.5964653902798235E-2</c:v>
                </c:pt>
                <c:pt idx="7">
                  <c:v>5.3019145802650956E-2</c:v>
                </c:pt>
                <c:pt idx="8">
                  <c:v>1.7673048600883652E-2</c:v>
                </c:pt>
                <c:pt idx="9">
                  <c:v>9.720176730486009E-2</c:v>
                </c:pt>
                <c:pt idx="11">
                  <c:v>1.4727540500736377E-3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'09.09 Katungulu-Ishaka'!$AE$9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'09.09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'09.09 Katungulu-Ishaka'!$AE$10:$AE$21</c:f>
              <c:numCache>
                <c:formatCode>0</c:formatCode>
                <c:ptCount val="12"/>
                <c:pt idx="0">
                  <c:v>14</c:v>
                </c:pt>
                <c:pt idx="1">
                  <c:v>34</c:v>
                </c:pt>
                <c:pt idx="2">
                  <c:v>45</c:v>
                </c:pt>
                <c:pt idx="3">
                  <c:v>58</c:v>
                </c:pt>
                <c:pt idx="4">
                  <c:v>58</c:v>
                </c:pt>
                <c:pt idx="5">
                  <c:v>57</c:v>
                </c:pt>
                <c:pt idx="6">
                  <c:v>97</c:v>
                </c:pt>
                <c:pt idx="7">
                  <c:v>70</c:v>
                </c:pt>
                <c:pt idx="8">
                  <c:v>67</c:v>
                </c:pt>
                <c:pt idx="9">
                  <c:v>112</c:v>
                </c:pt>
                <c:pt idx="10">
                  <c:v>144</c:v>
                </c:pt>
                <c:pt idx="11">
                  <c:v>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'09.09 Katungulu-Ishaka'!$AF$9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'09.09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'09.09 Katungulu-Ishaka'!$AF$10:$AF$21</c:f>
              <c:numCache>
                <c:formatCode>0</c:formatCode>
                <c:ptCount val="12"/>
                <c:pt idx="0">
                  <c:v>41</c:v>
                </c:pt>
                <c:pt idx="1">
                  <c:v>111</c:v>
                </c:pt>
                <c:pt idx="2">
                  <c:v>189</c:v>
                </c:pt>
                <c:pt idx="3">
                  <c:v>221</c:v>
                </c:pt>
                <c:pt idx="4">
                  <c:v>204</c:v>
                </c:pt>
                <c:pt idx="5">
                  <c:v>172</c:v>
                </c:pt>
                <c:pt idx="6">
                  <c:v>225</c:v>
                </c:pt>
                <c:pt idx="7">
                  <c:v>192</c:v>
                </c:pt>
                <c:pt idx="8">
                  <c:v>203</c:v>
                </c:pt>
                <c:pt idx="9">
                  <c:v>295</c:v>
                </c:pt>
                <c:pt idx="10">
                  <c:v>294</c:v>
                </c:pt>
                <c:pt idx="11">
                  <c:v>253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92600"/>
        <c:axId val="199493776"/>
      </c:lineChart>
      <c:catAx>
        <c:axId val="1994926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9493776"/>
        <c:crosses val="autoZero"/>
        <c:auto val="1"/>
        <c:lblAlgn val="ctr"/>
        <c:lblOffset val="100"/>
        <c:noMultiLvlLbl val="0"/>
      </c:catAx>
      <c:valAx>
        <c:axId val="19949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949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'09.09 Katungulu-Ishaka'!$C$9:$N$9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'09.09 Katungulu-Ishaka'!$C$59:$N$59</c:f>
              <c:numCache>
                <c:formatCode>0.0%</c:formatCode>
                <c:ptCount val="12"/>
                <c:pt idx="0">
                  <c:v>0.13791666666666666</c:v>
                </c:pt>
                <c:pt idx="1">
                  <c:v>5.8333333333333336E-3</c:v>
                </c:pt>
                <c:pt idx="2">
                  <c:v>7.6249999999999998E-2</c:v>
                </c:pt>
                <c:pt idx="3">
                  <c:v>7.1249999999999994E-2</c:v>
                </c:pt>
                <c:pt idx="4">
                  <c:v>4.5833333333333334E-3</c:v>
                </c:pt>
                <c:pt idx="5">
                  <c:v>1.6666666666666668E-3</c:v>
                </c:pt>
                <c:pt idx="6">
                  <c:v>2.2083333333333333E-2</c:v>
                </c:pt>
                <c:pt idx="7">
                  <c:v>1.125E-2</c:v>
                </c:pt>
                <c:pt idx="8">
                  <c:v>7.9166666666666673E-3</c:v>
                </c:pt>
                <c:pt idx="9">
                  <c:v>1.5416666666666667E-2</c:v>
                </c:pt>
                <c:pt idx="10">
                  <c:v>0.64583333333333337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'09.09 Katungulu-Ishaka'!$S$9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'09.09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'09.09 Katungulu-Ishaka'!$S$10:$S$21</c:f>
              <c:numCache>
                <c:formatCode>0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13</c:v>
                </c:pt>
                <c:pt idx="3">
                  <c:v>29</c:v>
                </c:pt>
                <c:pt idx="4">
                  <c:v>16</c:v>
                </c:pt>
                <c:pt idx="5">
                  <c:v>22</c:v>
                </c:pt>
                <c:pt idx="6">
                  <c:v>37</c:v>
                </c:pt>
                <c:pt idx="7">
                  <c:v>27</c:v>
                </c:pt>
                <c:pt idx="8">
                  <c:v>31</c:v>
                </c:pt>
                <c:pt idx="9">
                  <c:v>48</c:v>
                </c:pt>
                <c:pt idx="10">
                  <c:v>55</c:v>
                </c:pt>
                <c:pt idx="11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'09.09 Katungulu-Ishaka'!$T$9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'09.09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'09.09 Katungulu-Ishaka'!$T$10:$T$21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'09.09 Katungulu-Ishaka'!$U$9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'09.09 Katungulu-Ishaka'!$U$10:$U$21</c:f>
              <c:numCache>
                <c:formatCode>0</c:formatCode>
                <c:ptCount val="12"/>
                <c:pt idx="0">
                  <c:v>1</c:v>
                </c:pt>
                <c:pt idx="1">
                  <c:v>7</c:v>
                </c:pt>
                <c:pt idx="2">
                  <c:v>9</c:v>
                </c:pt>
                <c:pt idx="3">
                  <c:v>12</c:v>
                </c:pt>
                <c:pt idx="4">
                  <c:v>14</c:v>
                </c:pt>
                <c:pt idx="5">
                  <c:v>6</c:v>
                </c:pt>
                <c:pt idx="6">
                  <c:v>30</c:v>
                </c:pt>
                <c:pt idx="7">
                  <c:v>17</c:v>
                </c:pt>
                <c:pt idx="8">
                  <c:v>9</c:v>
                </c:pt>
                <c:pt idx="9">
                  <c:v>19</c:v>
                </c:pt>
                <c:pt idx="10">
                  <c:v>48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'09.09 Katungulu-Ishaka'!$V$9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'09.09 Katungulu-Ishaka'!$V$10:$V$21</c:f>
              <c:numCache>
                <c:formatCode>0</c:formatCode>
                <c:ptCount val="12"/>
                <c:pt idx="0">
                  <c:v>4</c:v>
                </c:pt>
                <c:pt idx="1">
                  <c:v>13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16</c:v>
                </c:pt>
                <c:pt idx="6">
                  <c:v>14</c:v>
                </c:pt>
                <c:pt idx="7">
                  <c:v>18</c:v>
                </c:pt>
                <c:pt idx="8">
                  <c:v>18</c:v>
                </c:pt>
                <c:pt idx="9">
                  <c:v>15</c:v>
                </c:pt>
                <c:pt idx="10">
                  <c:v>16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'09.09 Katungulu-Ishaka'!$W$9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'09.09 Katungulu-Ishaka'!$W$10:$W$21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'09.09 Katungulu-Ishaka'!$X$9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'09.09 Katungulu-Ishaka'!$X$10:$X$21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'09.09 Katungulu-Ishaka'!$Y$9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'09.09 Katungulu-Ishaka'!$Y$10:$Y$21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7</c:v>
                </c:pt>
                <c:pt idx="10">
                  <c:v>9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'09.09 Katungulu-Ishaka'!$Z$9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'09.09 Katungulu-Ishaka'!$Z$10:$Z$21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'09.09 Katungulu-Ishaka'!$AA$9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'09.09 Katungulu-Ishaka'!$AA$10:$AA$21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'09.09 Katungulu-Ishaka'!$AB$9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'09.09 Katungulu-Ishaka'!$AB$10:$AB$21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'09.09 Katungulu-Ishaka'!$AC$9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'09.09 Katungulu-Ishaka'!$AC$10:$AC$21</c:f>
              <c:numCache>
                <c:formatCode>0</c:formatCode>
                <c:ptCount val="12"/>
                <c:pt idx="0">
                  <c:v>27</c:v>
                </c:pt>
                <c:pt idx="1">
                  <c:v>77</c:v>
                </c:pt>
                <c:pt idx="2">
                  <c:v>144</c:v>
                </c:pt>
                <c:pt idx="3">
                  <c:v>163</c:v>
                </c:pt>
                <c:pt idx="4">
                  <c:v>146</c:v>
                </c:pt>
                <c:pt idx="5">
                  <c:v>115</c:v>
                </c:pt>
                <c:pt idx="6">
                  <c:v>128</c:v>
                </c:pt>
                <c:pt idx="7">
                  <c:v>122</c:v>
                </c:pt>
                <c:pt idx="8">
                  <c:v>136</c:v>
                </c:pt>
                <c:pt idx="9">
                  <c:v>183</c:v>
                </c:pt>
                <c:pt idx="10">
                  <c:v>150</c:v>
                </c:pt>
                <c:pt idx="11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'09.09 Katungulu-Ishaka'!$AD$9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'09.09 Katungulu-Ishaka'!$AD$10:$AD$21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92992"/>
        <c:axId val="199493384"/>
      </c:lineChart>
      <c:catAx>
        <c:axId val="19949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9493384"/>
        <c:crosses val="autoZero"/>
        <c:auto val="1"/>
        <c:lblAlgn val="ctr"/>
        <c:lblOffset val="100"/>
        <c:noMultiLvlLbl val="0"/>
      </c:catAx>
      <c:valAx>
        <c:axId val="19949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949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'09.09 Katungulu-Ishaka'!$C$9:$N$9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'09.09 Katungulu-Ishaka'!$C$60:$N$60</c:f>
              <c:numCache>
                <c:formatCode>0.00%</c:formatCode>
                <c:ptCount val="12"/>
                <c:pt idx="0">
                  <c:v>0.38941176470588235</c:v>
                </c:pt>
                <c:pt idx="1">
                  <c:v>1.6470588235294119E-2</c:v>
                </c:pt>
                <c:pt idx="2">
                  <c:v>0.21529411764705883</c:v>
                </c:pt>
                <c:pt idx="3">
                  <c:v>0.20117647058823529</c:v>
                </c:pt>
                <c:pt idx="4">
                  <c:v>1.2941176470588235E-2</c:v>
                </c:pt>
                <c:pt idx="5">
                  <c:v>4.7058823529411761E-3</c:v>
                </c:pt>
                <c:pt idx="6">
                  <c:v>6.235294117647059E-2</c:v>
                </c:pt>
                <c:pt idx="7">
                  <c:v>3.1764705882352938E-2</c:v>
                </c:pt>
                <c:pt idx="8">
                  <c:v>2.2352941176470589E-2</c:v>
                </c:pt>
                <c:pt idx="9">
                  <c:v>4.3529411764705879E-2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'10.09 Ishaka-Katungulu'!$AE$9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'10.09 Ishaka-Katungulu'!$AE$10:$AE$21</c:f>
              <c:numCache>
                <c:formatCode>0</c:formatCode>
                <c:ptCount val="12"/>
                <c:pt idx="0">
                  <c:v>37</c:v>
                </c:pt>
                <c:pt idx="1">
                  <c:v>56</c:v>
                </c:pt>
                <c:pt idx="2">
                  <c:v>59</c:v>
                </c:pt>
                <c:pt idx="3">
                  <c:v>76</c:v>
                </c:pt>
                <c:pt idx="4">
                  <c:v>53</c:v>
                </c:pt>
                <c:pt idx="5">
                  <c:v>67</c:v>
                </c:pt>
                <c:pt idx="6">
                  <c:v>78</c:v>
                </c:pt>
                <c:pt idx="7">
                  <c:v>61</c:v>
                </c:pt>
                <c:pt idx="8">
                  <c:v>62</c:v>
                </c:pt>
                <c:pt idx="9">
                  <c:v>81</c:v>
                </c:pt>
                <c:pt idx="10">
                  <c:v>67</c:v>
                </c:pt>
                <c:pt idx="11">
                  <c:v>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'10.09 Ishaka-Katungulu'!$AF$9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'10.09 Ishaka-Katungulu'!$AF$10:$AF$21</c:f>
              <c:numCache>
                <c:formatCode>0</c:formatCode>
                <c:ptCount val="12"/>
                <c:pt idx="0">
                  <c:v>72</c:v>
                </c:pt>
                <c:pt idx="1">
                  <c:v>211</c:v>
                </c:pt>
                <c:pt idx="2">
                  <c:v>201</c:v>
                </c:pt>
                <c:pt idx="3">
                  <c:v>246</c:v>
                </c:pt>
                <c:pt idx="4">
                  <c:v>213</c:v>
                </c:pt>
                <c:pt idx="5">
                  <c:v>235</c:v>
                </c:pt>
                <c:pt idx="6">
                  <c:v>233</c:v>
                </c:pt>
                <c:pt idx="7">
                  <c:v>166</c:v>
                </c:pt>
                <c:pt idx="8">
                  <c:v>246</c:v>
                </c:pt>
                <c:pt idx="9">
                  <c:v>232</c:v>
                </c:pt>
                <c:pt idx="10">
                  <c:v>280</c:v>
                </c:pt>
                <c:pt idx="11">
                  <c:v>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89072"/>
        <c:axId val="199489464"/>
      </c:lineChart>
      <c:catAx>
        <c:axId val="1994890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9489464"/>
        <c:crosses val="autoZero"/>
        <c:auto val="1"/>
        <c:lblAlgn val="ctr"/>
        <c:lblOffset val="100"/>
        <c:noMultiLvlLbl val="0"/>
      </c:catAx>
      <c:valAx>
        <c:axId val="199489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948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'10.09 Ishaka-Katungulu'!$C$9:$N$9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'10.09 Ishaka-Katungulu'!$C$59:$N$59</c:f>
              <c:numCache>
                <c:formatCode>0.0%</c:formatCode>
                <c:ptCount val="12"/>
                <c:pt idx="0">
                  <c:v>7.2137404580152678E-2</c:v>
                </c:pt>
                <c:pt idx="1">
                  <c:v>4.1984732824427483E-3</c:v>
                </c:pt>
                <c:pt idx="2">
                  <c:v>6.2213740458015268E-2</c:v>
                </c:pt>
                <c:pt idx="3">
                  <c:v>6.1068702290076333E-2</c:v>
                </c:pt>
                <c:pt idx="4">
                  <c:v>3.816793893129771E-4</c:v>
                </c:pt>
                <c:pt idx="5">
                  <c:v>7.6335877862595419E-4</c:v>
                </c:pt>
                <c:pt idx="6">
                  <c:v>2.6335877862595419E-2</c:v>
                </c:pt>
                <c:pt idx="7">
                  <c:v>1.3358778625954198E-2</c:v>
                </c:pt>
                <c:pt idx="8">
                  <c:v>3.7404580152671757E-2</c:v>
                </c:pt>
                <c:pt idx="9">
                  <c:v>2.2137404580152672E-2</c:v>
                </c:pt>
                <c:pt idx="10">
                  <c:v>0.69961832061068707</c:v>
                </c:pt>
                <c:pt idx="11">
                  <c:v>3.816793893129771E-4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'10.09 Ishaka-Katungulu'!$S$9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'10.09 Ishaka-Katungulu'!$S$10:$S$21</c:f>
              <c:numCache>
                <c:formatCode>0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16</c:v>
                </c:pt>
                <c:pt idx="3">
                  <c:v>24</c:v>
                </c:pt>
                <c:pt idx="4">
                  <c:v>16</c:v>
                </c:pt>
                <c:pt idx="5">
                  <c:v>13</c:v>
                </c:pt>
                <c:pt idx="6">
                  <c:v>19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8</c:v>
                </c:pt>
                <c:pt idx="1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'10.09 Ishaka-Katungulu'!$T$9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'10.09 Ishaka-Katungulu'!$T$10:$T$21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'10.09 Ishaka-Katungulu'!$U$9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'10.09 Ishaka-Katungulu'!$U$10:$U$21</c:f>
              <c:numCache>
                <c:formatCode>0</c:formatCode>
                <c:ptCount val="12"/>
                <c:pt idx="0">
                  <c:v>10</c:v>
                </c:pt>
                <c:pt idx="1">
                  <c:v>7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  <c:pt idx="5">
                  <c:v>7</c:v>
                </c:pt>
                <c:pt idx="6">
                  <c:v>21</c:v>
                </c:pt>
                <c:pt idx="7">
                  <c:v>11</c:v>
                </c:pt>
                <c:pt idx="8">
                  <c:v>17</c:v>
                </c:pt>
                <c:pt idx="9">
                  <c:v>19</c:v>
                </c:pt>
                <c:pt idx="10">
                  <c:v>13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'10.09 Ishaka-Katungulu'!$V$9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'10.09 Ishaka-Katungulu'!$V$10:$V$21</c:f>
              <c:numCache>
                <c:formatCode>0</c:formatCode>
                <c:ptCount val="12"/>
                <c:pt idx="0">
                  <c:v>16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4</c:v>
                </c:pt>
                <c:pt idx="5">
                  <c:v>19</c:v>
                </c:pt>
                <c:pt idx="6">
                  <c:v>12</c:v>
                </c:pt>
                <c:pt idx="7">
                  <c:v>18</c:v>
                </c:pt>
                <c:pt idx="8">
                  <c:v>11</c:v>
                </c:pt>
                <c:pt idx="9">
                  <c:v>14</c:v>
                </c:pt>
                <c:pt idx="10">
                  <c:v>17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'10.09 Ishaka-Katungulu'!$W$9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'10.09 Ishaka-Katungulu'!$W$10:$W$21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'10.09 Ishaka-Katungulu'!$X$9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'10.09 Ishaka-Katungulu'!$X$10:$X$21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'10.09 Ishaka-Katungulu'!$Y$9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'10.09 Ishaka-Katungulu'!$Y$10:$Y$21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11</c:v>
                </c:pt>
                <c:pt idx="7">
                  <c:v>5</c:v>
                </c:pt>
                <c:pt idx="8">
                  <c:v>6</c:v>
                </c:pt>
                <c:pt idx="9">
                  <c:v>11</c:v>
                </c:pt>
                <c:pt idx="10">
                  <c:v>6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'10.09 Ishaka-Katungulu'!$Z$9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'10.09 Ishaka-Katungulu'!$Z$10:$Z$21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6</c:v>
                </c:pt>
                <c:pt idx="7">
                  <c:v>1</c:v>
                </c:pt>
                <c:pt idx="8">
                  <c:v>3</c:v>
                </c:pt>
                <c:pt idx="9">
                  <c:v>11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'10.09 Ishaka-Katungulu'!$AA$9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'10.09 Ishaka-Katungulu'!$AA$10:$AA$21</c:f>
              <c:numCache>
                <c:formatCode>0</c:formatCode>
                <c:ptCount val="12"/>
                <c:pt idx="0">
                  <c:v>1</c:v>
                </c:pt>
                <c:pt idx="1">
                  <c:v>24</c:v>
                </c:pt>
                <c:pt idx="2">
                  <c:v>13</c:v>
                </c:pt>
                <c:pt idx="3">
                  <c:v>14</c:v>
                </c:pt>
                <c:pt idx="4">
                  <c:v>4</c:v>
                </c:pt>
                <c:pt idx="5">
                  <c:v>11</c:v>
                </c:pt>
                <c:pt idx="6">
                  <c:v>1</c:v>
                </c:pt>
                <c:pt idx="7">
                  <c:v>8</c:v>
                </c:pt>
                <c:pt idx="8">
                  <c:v>0</c:v>
                </c:pt>
                <c:pt idx="9">
                  <c:v>3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'10.09 Ishaka-Katungulu'!$AB$9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'10.09 Ishaka-Katungulu'!$AB$10:$AB$21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2</c:v>
                </c:pt>
                <c:pt idx="8">
                  <c:v>8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'10.09 Ishaka-Katungulu'!$AC$9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'10.09 Ishaka-Katungulu'!$AC$10:$AC$21</c:f>
              <c:numCache>
                <c:formatCode>0</c:formatCode>
                <c:ptCount val="12"/>
                <c:pt idx="0">
                  <c:v>35</c:v>
                </c:pt>
                <c:pt idx="1">
                  <c:v>155</c:v>
                </c:pt>
                <c:pt idx="2">
                  <c:v>142</c:v>
                </c:pt>
                <c:pt idx="3">
                  <c:v>170</c:v>
                </c:pt>
                <c:pt idx="4">
                  <c:v>160</c:v>
                </c:pt>
                <c:pt idx="5">
                  <c:v>168</c:v>
                </c:pt>
                <c:pt idx="6">
                  <c:v>155</c:v>
                </c:pt>
                <c:pt idx="7">
                  <c:v>105</c:v>
                </c:pt>
                <c:pt idx="8">
                  <c:v>184</c:v>
                </c:pt>
                <c:pt idx="9">
                  <c:v>151</c:v>
                </c:pt>
                <c:pt idx="10">
                  <c:v>213</c:v>
                </c:pt>
                <c:pt idx="11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'10.09 Ishaka-Katungulu'!$AD$9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'10.09 Ishaka-Katungulu'!$AD$10:$AD$21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91032"/>
        <c:axId val="199491424"/>
      </c:lineChart>
      <c:catAx>
        <c:axId val="199491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9491424"/>
        <c:crosses val="autoZero"/>
        <c:auto val="1"/>
        <c:lblAlgn val="ctr"/>
        <c:lblOffset val="100"/>
        <c:noMultiLvlLbl val="0"/>
      </c:catAx>
      <c:valAx>
        <c:axId val="19949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949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'10.09 Ishaka-Katungulu'!$C$9:$N$9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'10.09 Ishaka-Katungulu'!$C$60:$N$60</c:f>
              <c:numCache>
                <c:formatCode>0.00%</c:formatCode>
                <c:ptCount val="12"/>
                <c:pt idx="0">
                  <c:v>0.24015247776365947</c:v>
                </c:pt>
                <c:pt idx="1">
                  <c:v>1.397712833545108E-2</c:v>
                </c:pt>
                <c:pt idx="2">
                  <c:v>0.2071156289707751</c:v>
                </c:pt>
                <c:pt idx="3">
                  <c:v>0.20330368487928843</c:v>
                </c:pt>
                <c:pt idx="4">
                  <c:v>1.2706480304955528E-3</c:v>
                </c:pt>
                <c:pt idx="5">
                  <c:v>2.5412960609911056E-3</c:v>
                </c:pt>
                <c:pt idx="6">
                  <c:v>8.7674714104193141E-2</c:v>
                </c:pt>
                <c:pt idx="7">
                  <c:v>4.4472681067344345E-2</c:v>
                </c:pt>
                <c:pt idx="8">
                  <c:v>0.12452350698856417</c:v>
                </c:pt>
                <c:pt idx="9">
                  <c:v>7.3697585768742052E-2</c:v>
                </c:pt>
                <c:pt idx="11">
                  <c:v>1.2706480304955528E-3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'10.09 Katungulu-Ishaka'!$AE$9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'10.09 Katungulu-Ishaka'!$AE$10:$AE$21</c:f>
              <c:numCache>
                <c:formatCode>0</c:formatCode>
                <c:ptCount val="12"/>
                <c:pt idx="0">
                  <c:v>22</c:v>
                </c:pt>
                <c:pt idx="1">
                  <c:v>43</c:v>
                </c:pt>
                <c:pt idx="2">
                  <c:v>53</c:v>
                </c:pt>
                <c:pt idx="3">
                  <c:v>100</c:v>
                </c:pt>
                <c:pt idx="4">
                  <c:v>70</c:v>
                </c:pt>
                <c:pt idx="5">
                  <c:v>44</c:v>
                </c:pt>
                <c:pt idx="6">
                  <c:v>86</c:v>
                </c:pt>
                <c:pt idx="7">
                  <c:v>54</c:v>
                </c:pt>
                <c:pt idx="8">
                  <c:v>48</c:v>
                </c:pt>
                <c:pt idx="9">
                  <c:v>64</c:v>
                </c:pt>
                <c:pt idx="10">
                  <c:v>86</c:v>
                </c:pt>
                <c:pt idx="11">
                  <c:v>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'10.09 Katungulu-Ishaka'!$AF$9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'10.09 Katungulu-Ishaka'!$AF$10:$AF$21</c:f>
              <c:numCache>
                <c:formatCode>0</c:formatCode>
                <c:ptCount val="12"/>
                <c:pt idx="0">
                  <c:v>55</c:v>
                </c:pt>
                <c:pt idx="1">
                  <c:v>196</c:v>
                </c:pt>
                <c:pt idx="2">
                  <c:v>224</c:v>
                </c:pt>
                <c:pt idx="3">
                  <c:v>254</c:v>
                </c:pt>
                <c:pt idx="4">
                  <c:v>251</c:v>
                </c:pt>
                <c:pt idx="5">
                  <c:v>244</c:v>
                </c:pt>
                <c:pt idx="6">
                  <c:v>269</c:v>
                </c:pt>
                <c:pt idx="7">
                  <c:v>171</c:v>
                </c:pt>
                <c:pt idx="8">
                  <c:v>178</c:v>
                </c:pt>
                <c:pt idx="9">
                  <c:v>269</c:v>
                </c:pt>
                <c:pt idx="10">
                  <c:v>260</c:v>
                </c:pt>
                <c:pt idx="11">
                  <c:v>286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697128"/>
        <c:axId val="200700264"/>
      </c:lineChart>
      <c:catAx>
        <c:axId val="2006971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0700264"/>
        <c:crosses val="autoZero"/>
        <c:auto val="1"/>
        <c:lblAlgn val="ctr"/>
        <c:lblOffset val="100"/>
        <c:noMultiLvlLbl val="0"/>
      </c:catAx>
      <c:valAx>
        <c:axId val="200700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069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'10.09 Katungulu-Ishaka'!$C$9:$N$9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'10.09 Katungulu-Ishaka'!$C$59:$N$59</c:f>
              <c:numCache>
                <c:formatCode>0.0%</c:formatCode>
                <c:ptCount val="12"/>
                <c:pt idx="0">
                  <c:v>7.6778321415129844E-2</c:v>
                </c:pt>
                <c:pt idx="1">
                  <c:v>3.387278885961611E-3</c:v>
                </c:pt>
                <c:pt idx="2">
                  <c:v>5.1561911930748966E-2</c:v>
                </c:pt>
                <c:pt idx="3">
                  <c:v>6.7369213398569813E-2</c:v>
                </c:pt>
                <c:pt idx="4">
                  <c:v>0</c:v>
                </c:pt>
                <c:pt idx="5">
                  <c:v>7.5272864132480243E-4</c:v>
                </c:pt>
                <c:pt idx="6">
                  <c:v>2.3334587881068874E-2</c:v>
                </c:pt>
                <c:pt idx="7">
                  <c:v>1.0914565299209636E-2</c:v>
                </c:pt>
                <c:pt idx="8">
                  <c:v>2.5969138125705685E-2</c:v>
                </c:pt>
                <c:pt idx="9">
                  <c:v>2.1829130598419271E-2</c:v>
                </c:pt>
                <c:pt idx="10">
                  <c:v>0.71735039518253674</c:v>
                </c:pt>
                <c:pt idx="11">
                  <c:v>7.5272864132480243E-4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'10.09 Katungulu-Ishaka'!$S$9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'10.09 Katungulu-Ishaka'!$S$10:$S$21</c:f>
              <c:numCache>
                <c:formatCode>0</c:formatCode>
                <c:ptCount val="12"/>
                <c:pt idx="0">
                  <c:v>4</c:v>
                </c:pt>
                <c:pt idx="1">
                  <c:v>10</c:v>
                </c:pt>
                <c:pt idx="2">
                  <c:v>13</c:v>
                </c:pt>
                <c:pt idx="3">
                  <c:v>29</c:v>
                </c:pt>
                <c:pt idx="4">
                  <c:v>27</c:v>
                </c:pt>
                <c:pt idx="5">
                  <c:v>11</c:v>
                </c:pt>
                <c:pt idx="6">
                  <c:v>19</c:v>
                </c:pt>
                <c:pt idx="7">
                  <c:v>16</c:v>
                </c:pt>
                <c:pt idx="8">
                  <c:v>19</c:v>
                </c:pt>
                <c:pt idx="9">
                  <c:v>16</c:v>
                </c:pt>
                <c:pt idx="10">
                  <c:v>22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'10.09 Katungulu-Ishaka'!$T$9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'10.09 Katungulu-Ishaka'!$T$10:$T$21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'10.09 Katungulu-Ishaka'!$U$9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'10.09 Katungulu-Ishaka'!$U$10:$U$21</c:f>
              <c:numCache>
                <c:formatCode>0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9</c:v>
                </c:pt>
                <c:pt idx="3">
                  <c:v>15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9</c:v>
                </c:pt>
                <c:pt idx="9">
                  <c:v>16</c:v>
                </c:pt>
                <c:pt idx="10">
                  <c:v>16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'10.09 Katungulu-Ishaka'!$V$9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'10.09 Katungulu-Ishaka'!$V$10:$V$21</c:f>
              <c:numCache>
                <c:formatCode>0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11</c:v>
                </c:pt>
                <c:pt idx="3">
                  <c:v>24</c:v>
                </c:pt>
                <c:pt idx="4">
                  <c:v>14</c:v>
                </c:pt>
                <c:pt idx="5">
                  <c:v>11</c:v>
                </c:pt>
                <c:pt idx="6">
                  <c:v>23</c:v>
                </c:pt>
                <c:pt idx="7">
                  <c:v>11</c:v>
                </c:pt>
                <c:pt idx="8">
                  <c:v>10</c:v>
                </c:pt>
                <c:pt idx="9">
                  <c:v>19</c:v>
                </c:pt>
                <c:pt idx="10">
                  <c:v>16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'10.09 Katungulu-Ishaka'!$W$9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'10.09 Katungulu-Ishaka'!$W$10:$W$21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'10.09 Katungulu-Ishaka'!$X$9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'10.09 Katungulu-Ishaka'!$X$10:$X$21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'10.09 Katungulu-Ishaka'!$Y$9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'10.09 Katungulu-Ishaka'!$Y$10:$Y$21</c:f>
              <c:numCache>
                <c:formatCode>0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3</c:v>
                </c:pt>
                <c:pt idx="3">
                  <c:v>6</c:v>
                </c:pt>
                <c:pt idx="4">
                  <c:v>1</c:v>
                </c:pt>
                <c:pt idx="5">
                  <c:v>4</c:v>
                </c:pt>
                <c:pt idx="6">
                  <c:v>14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11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'10.09 Katungulu-Ishaka'!$Z$9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'10.09 Katungulu-Ishaka'!$Z$10:$Z$21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'10.09 Katungulu-Ishaka'!$AA$9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'10.09 Katungulu-Ishaka'!$AA$10:$AA$21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15</c:v>
                </c:pt>
                <c:pt idx="4">
                  <c:v>9</c:v>
                </c:pt>
                <c:pt idx="5">
                  <c:v>3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</c:v>
                </c:pt>
                <c:pt idx="10">
                  <c:v>2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'10.09 Katungulu-Ishaka'!$AB$9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'10.09 Katungulu-Ishaka'!$AB$10:$AB$21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14</c:v>
                </c:pt>
                <c:pt idx="3">
                  <c:v>8</c:v>
                </c:pt>
                <c:pt idx="4">
                  <c:v>6</c:v>
                </c:pt>
                <c:pt idx="5">
                  <c:v>1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'10.09 Katungulu-Ishaka'!$AC$9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'10.09 Katungulu-Ishaka'!$AC$10:$AC$21</c:f>
              <c:numCache>
                <c:formatCode>0</c:formatCode>
                <c:ptCount val="12"/>
                <c:pt idx="0">
                  <c:v>33</c:v>
                </c:pt>
                <c:pt idx="1">
                  <c:v>153</c:v>
                </c:pt>
                <c:pt idx="2">
                  <c:v>171</c:v>
                </c:pt>
                <c:pt idx="3">
                  <c:v>154</c:v>
                </c:pt>
                <c:pt idx="4">
                  <c:v>181</c:v>
                </c:pt>
                <c:pt idx="5">
                  <c:v>200</c:v>
                </c:pt>
                <c:pt idx="6">
                  <c:v>183</c:v>
                </c:pt>
                <c:pt idx="7">
                  <c:v>117</c:v>
                </c:pt>
                <c:pt idx="8">
                  <c:v>130</c:v>
                </c:pt>
                <c:pt idx="9">
                  <c:v>205</c:v>
                </c:pt>
                <c:pt idx="10">
                  <c:v>174</c:v>
                </c:pt>
                <c:pt idx="11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'10.09 Katungulu-Ishaka'!$AD$9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'10.09 Katungulu-Ishaka'!$AD$10:$AD$21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698304"/>
        <c:axId val="200693992"/>
      </c:lineChart>
      <c:catAx>
        <c:axId val="20069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0693992"/>
        <c:crosses val="autoZero"/>
        <c:auto val="1"/>
        <c:lblAlgn val="ctr"/>
        <c:lblOffset val="100"/>
        <c:noMultiLvlLbl val="0"/>
      </c:catAx>
      <c:valAx>
        <c:axId val="20069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069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'10.09 Katungulu-Ishaka'!$C$9:$N$9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'10.09 Katungulu-Ishaka'!$C$60:$N$60</c:f>
              <c:numCache>
                <c:formatCode>0.00%</c:formatCode>
                <c:ptCount val="12"/>
                <c:pt idx="0">
                  <c:v>0.27163781624500666</c:v>
                </c:pt>
                <c:pt idx="1">
                  <c:v>1.1984021304926764E-2</c:v>
                </c:pt>
                <c:pt idx="2">
                  <c:v>0.18242343541944075</c:v>
                </c:pt>
                <c:pt idx="3">
                  <c:v>0.23834886817576564</c:v>
                </c:pt>
                <c:pt idx="4">
                  <c:v>0</c:v>
                </c:pt>
                <c:pt idx="5">
                  <c:v>2.6631158455392811E-3</c:v>
                </c:pt>
                <c:pt idx="6">
                  <c:v>8.2556591211717711E-2</c:v>
                </c:pt>
                <c:pt idx="7">
                  <c:v>3.8615179760319571E-2</c:v>
                </c:pt>
                <c:pt idx="8">
                  <c:v>9.1877496671105188E-2</c:v>
                </c:pt>
                <c:pt idx="9">
                  <c:v>7.7230359520639141E-2</c:v>
                </c:pt>
                <c:pt idx="11">
                  <c:v>2.6631158455392811E-3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'11.09 Ishaka-Katungulu'!$AE$9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'11.09 Ishaka-Katungulu'!$AE$10:$AE$21</c:f>
              <c:numCache>
                <c:formatCode>0</c:formatCode>
                <c:ptCount val="12"/>
                <c:pt idx="0">
                  <c:v>23</c:v>
                </c:pt>
                <c:pt idx="1">
                  <c:v>71</c:v>
                </c:pt>
                <c:pt idx="2">
                  <c:v>80</c:v>
                </c:pt>
                <c:pt idx="3">
                  <c:v>63</c:v>
                </c:pt>
                <c:pt idx="4">
                  <c:v>49</c:v>
                </c:pt>
                <c:pt idx="5">
                  <c:v>83</c:v>
                </c:pt>
                <c:pt idx="6">
                  <c:v>70</c:v>
                </c:pt>
                <c:pt idx="7">
                  <c:v>75</c:v>
                </c:pt>
                <c:pt idx="8">
                  <c:v>59</c:v>
                </c:pt>
                <c:pt idx="9">
                  <c:v>60</c:v>
                </c:pt>
                <c:pt idx="10">
                  <c:v>106</c:v>
                </c:pt>
                <c:pt idx="11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'11.09 Ishaka-Katungulu'!$AF$9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'11.09 Ishaka-Katungulu'!$AF$10:$AF$21</c:f>
              <c:numCache>
                <c:formatCode>0</c:formatCode>
                <c:ptCount val="12"/>
                <c:pt idx="0">
                  <c:v>62</c:v>
                </c:pt>
                <c:pt idx="1">
                  <c:v>223</c:v>
                </c:pt>
                <c:pt idx="2">
                  <c:v>280</c:v>
                </c:pt>
                <c:pt idx="3">
                  <c:v>247</c:v>
                </c:pt>
                <c:pt idx="4">
                  <c:v>195</c:v>
                </c:pt>
                <c:pt idx="5">
                  <c:v>224</c:v>
                </c:pt>
                <c:pt idx="6">
                  <c:v>261</c:v>
                </c:pt>
                <c:pt idx="7">
                  <c:v>121</c:v>
                </c:pt>
                <c:pt idx="8">
                  <c:v>222</c:v>
                </c:pt>
                <c:pt idx="9">
                  <c:v>233</c:v>
                </c:pt>
                <c:pt idx="10">
                  <c:v>318</c:v>
                </c:pt>
                <c:pt idx="11">
                  <c:v>297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697912"/>
        <c:axId val="200700656"/>
      </c:lineChart>
      <c:catAx>
        <c:axId val="200697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0700656"/>
        <c:crosses val="autoZero"/>
        <c:auto val="1"/>
        <c:lblAlgn val="ctr"/>
        <c:lblOffset val="100"/>
        <c:noMultiLvlLbl val="0"/>
      </c:catAx>
      <c:valAx>
        <c:axId val="2007006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0697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'11.09 Ishaka-Katungulu'!$C$9:$N$9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'11.09 Ishaka-Katungulu'!$C$59:$N$59</c:f>
              <c:numCache>
                <c:formatCode>0.0%</c:formatCode>
                <c:ptCount val="12"/>
                <c:pt idx="0">
                  <c:v>8.0506895266492726E-2</c:v>
                </c:pt>
                <c:pt idx="1">
                  <c:v>5.5907566157286622E-3</c:v>
                </c:pt>
                <c:pt idx="2">
                  <c:v>7.6779724189340287E-2</c:v>
                </c:pt>
                <c:pt idx="3">
                  <c:v>5.7398434588147598E-2</c:v>
                </c:pt>
                <c:pt idx="4">
                  <c:v>2.2363026462914647E-3</c:v>
                </c:pt>
                <c:pt idx="5">
                  <c:v>2.6090197540067088E-3</c:v>
                </c:pt>
                <c:pt idx="6">
                  <c:v>2.6090197540067091E-2</c:v>
                </c:pt>
                <c:pt idx="7">
                  <c:v>1.0063361908311591E-2</c:v>
                </c:pt>
                <c:pt idx="8">
                  <c:v>2.6835631755497576E-2</c:v>
                </c:pt>
                <c:pt idx="9">
                  <c:v>1.8635855385762207E-2</c:v>
                </c:pt>
                <c:pt idx="10">
                  <c:v>0.6932538203503541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'11.09 Ishaka-Katungulu'!$S$9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'11.09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'11.09 Ishaka-Katungulu'!$S$10:$S$21</c:f>
              <c:numCache>
                <c:formatCode>0</c:formatCode>
                <c:ptCount val="12"/>
                <c:pt idx="0">
                  <c:v>6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13</c:v>
                </c:pt>
                <c:pt idx="5">
                  <c:v>23</c:v>
                </c:pt>
                <c:pt idx="6">
                  <c:v>16</c:v>
                </c:pt>
                <c:pt idx="7">
                  <c:v>24</c:v>
                </c:pt>
                <c:pt idx="8">
                  <c:v>12</c:v>
                </c:pt>
                <c:pt idx="9">
                  <c:v>11</c:v>
                </c:pt>
                <c:pt idx="10">
                  <c:v>31</c:v>
                </c:pt>
                <c:pt idx="11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'11.09 Ishaka-Katungulu'!$T$9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'11.09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'11.09 Ishaka-Katungulu'!$T$10:$T$21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'11.09 Ishaka-Katungulu'!$U$9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'11.09 Ishaka-Katungulu'!$U$10:$U$21</c:f>
              <c:numCache>
                <c:formatCode>0</c:formatCode>
                <c:ptCount val="12"/>
                <c:pt idx="0">
                  <c:v>1</c:v>
                </c:pt>
                <c:pt idx="1">
                  <c:v>15</c:v>
                </c:pt>
                <c:pt idx="2">
                  <c:v>22</c:v>
                </c:pt>
                <c:pt idx="3">
                  <c:v>26</c:v>
                </c:pt>
                <c:pt idx="4">
                  <c:v>6</c:v>
                </c:pt>
                <c:pt idx="5">
                  <c:v>18</c:v>
                </c:pt>
                <c:pt idx="6">
                  <c:v>10</c:v>
                </c:pt>
                <c:pt idx="7">
                  <c:v>17</c:v>
                </c:pt>
                <c:pt idx="8">
                  <c:v>15</c:v>
                </c:pt>
                <c:pt idx="9">
                  <c:v>21</c:v>
                </c:pt>
                <c:pt idx="10">
                  <c:v>37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'11.09 Ishaka-Katungulu'!$V$9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'11.09 Ishaka-Katungulu'!$V$10:$V$21</c:f>
              <c:numCache>
                <c:formatCode>0</c:formatCode>
                <c:ptCount val="12"/>
                <c:pt idx="0">
                  <c:v>7</c:v>
                </c:pt>
                <c:pt idx="1">
                  <c:v>14</c:v>
                </c:pt>
                <c:pt idx="2">
                  <c:v>14</c:v>
                </c:pt>
                <c:pt idx="3">
                  <c:v>10</c:v>
                </c:pt>
                <c:pt idx="4">
                  <c:v>15</c:v>
                </c:pt>
                <c:pt idx="5">
                  <c:v>9</c:v>
                </c:pt>
                <c:pt idx="6">
                  <c:v>17</c:v>
                </c:pt>
                <c:pt idx="7">
                  <c:v>16</c:v>
                </c:pt>
                <c:pt idx="8">
                  <c:v>16</c:v>
                </c:pt>
                <c:pt idx="9">
                  <c:v>10</c:v>
                </c:pt>
                <c:pt idx="10">
                  <c:v>9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'11.09 Ishaka-Katungulu'!$W$9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'11.09 Ishaka-Katungulu'!$W$10:$W$21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'11.09 Ishaka-Katungulu'!$X$9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'11.09 Ishaka-Katungulu'!$X$10:$X$21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'11.09 Ishaka-Katungulu'!$Y$9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'11.09 Ishaka-Katungulu'!$Y$10:$Y$21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2</c:v>
                </c:pt>
                <c:pt idx="5">
                  <c:v>6</c:v>
                </c:pt>
                <c:pt idx="6">
                  <c:v>10</c:v>
                </c:pt>
                <c:pt idx="7">
                  <c:v>4</c:v>
                </c:pt>
                <c:pt idx="8">
                  <c:v>8</c:v>
                </c:pt>
                <c:pt idx="9">
                  <c:v>6</c:v>
                </c:pt>
                <c:pt idx="10">
                  <c:v>11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'11.09 Ishaka-Katungulu'!$Z$9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'11.09 Ishaka-Katungulu'!$Z$10:$Z$21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'11.09 Ishaka-Katungulu'!$AA$9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'11.09 Ishaka-Katungulu'!$AA$10:$AA$21</c:f>
              <c:numCache>
                <c:formatCode>0</c:formatCode>
                <c:ptCount val="12"/>
                <c:pt idx="0">
                  <c:v>4</c:v>
                </c:pt>
                <c:pt idx="1">
                  <c:v>12</c:v>
                </c:pt>
                <c:pt idx="2">
                  <c:v>11</c:v>
                </c:pt>
                <c:pt idx="3">
                  <c:v>4</c:v>
                </c:pt>
                <c:pt idx="4">
                  <c:v>6</c:v>
                </c:pt>
                <c:pt idx="5">
                  <c:v>3</c:v>
                </c:pt>
                <c:pt idx="6">
                  <c:v>9</c:v>
                </c:pt>
                <c:pt idx="7">
                  <c:v>9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'11.09 Ishaka-Katungulu'!$AB$9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'11.09 Ishaka-Katungulu'!$AB$10:$AB$21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8</c:v>
                </c:pt>
                <c:pt idx="3">
                  <c:v>1</c:v>
                </c:pt>
                <c:pt idx="4">
                  <c:v>6</c:v>
                </c:pt>
                <c:pt idx="5">
                  <c:v>7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7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'11.09 Ishaka-Katungulu'!$AC$9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'11.09 Ishaka-Katungulu'!$AC$10:$AC$21</c:f>
              <c:numCache>
                <c:formatCode>0</c:formatCode>
                <c:ptCount val="12"/>
                <c:pt idx="0">
                  <c:v>39</c:v>
                </c:pt>
                <c:pt idx="1">
                  <c:v>152</c:v>
                </c:pt>
                <c:pt idx="2">
                  <c:v>200</c:v>
                </c:pt>
                <c:pt idx="3">
                  <c:v>184</c:v>
                </c:pt>
                <c:pt idx="4">
                  <c:v>146</c:v>
                </c:pt>
                <c:pt idx="5">
                  <c:v>141</c:v>
                </c:pt>
                <c:pt idx="6">
                  <c:v>191</c:v>
                </c:pt>
                <c:pt idx="7">
                  <c:v>46</c:v>
                </c:pt>
                <c:pt idx="8">
                  <c:v>163</c:v>
                </c:pt>
                <c:pt idx="9">
                  <c:v>173</c:v>
                </c:pt>
                <c:pt idx="10">
                  <c:v>212</c:v>
                </c:pt>
                <c:pt idx="11">
                  <c:v>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'11.09 Ishaka-Katungulu'!$AD$9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'11.09 Ishaka-Katungulu'!$AD$10:$AD$21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693600"/>
        <c:axId val="200699088"/>
      </c:lineChart>
      <c:catAx>
        <c:axId val="20069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0699088"/>
        <c:crosses val="autoZero"/>
        <c:auto val="1"/>
        <c:lblAlgn val="ctr"/>
        <c:lblOffset val="100"/>
        <c:noMultiLvlLbl val="0"/>
      </c:catAx>
      <c:valAx>
        <c:axId val="20069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069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'11.09 Ishaka-Katungulu'!$C$9:$N$9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'11.09 Ishaka-Katungulu'!$C$60:$N$60</c:f>
              <c:numCache>
                <c:formatCode>0.00%</c:formatCode>
                <c:ptCount val="12"/>
                <c:pt idx="0">
                  <c:v>0.26245443499392468</c:v>
                </c:pt>
                <c:pt idx="1">
                  <c:v>1.8226002430133656E-2</c:v>
                </c:pt>
                <c:pt idx="2">
                  <c:v>0.25030376670716892</c:v>
                </c:pt>
                <c:pt idx="3">
                  <c:v>0.18712029161603888</c:v>
                </c:pt>
                <c:pt idx="4">
                  <c:v>7.2904009720534627E-3</c:v>
                </c:pt>
                <c:pt idx="5">
                  <c:v>8.5054678007290396E-3</c:v>
                </c:pt>
                <c:pt idx="6">
                  <c:v>8.5054678007290399E-2</c:v>
                </c:pt>
                <c:pt idx="7">
                  <c:v>3.2806804374240585E-2</c:v>
                </c:pt>
                <c:pt idx="8">
                  <c:v>8.748481166464156E-2</c:v>
                </c:pt>
                <c:pt idx="9">
                  <c:v>6.0753341433778855E-2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'11.09 Katungulu-Ishaka'!$AE$9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'11.09 Katungulu-Ishaka'!$AE$10:$AE$21</c:f>
              <c:numCache>
                <c:formatCode>0</c:formatCode>
                <c:ptCount val="12"/>
                <c:pt idx="0">
                  <c:v>16</c:v>
                </c:pt>
                <c:pt idx="1">
                  <c:v>44</c:v>
                </c:pt>
                <c:pt idx="2">
                  <c:v>70</c:v>
                </c:pt>
                <c:pt idx="3">
                  <c:v>73</c:v>
                </c:pt>
                <c:pt idx="4">
                  <c:v>75</c:v>
                </c:pt>
                <c:pt idx="5">
                  <c:v>69</c:v>
                </c:pt>
                <c:pt idx="6">
                  <c:v>84</c:v>
                </c:pt>
                <c:pt idx="7">
                  <c:v>98</c:v>
                </c:pt>
                <c:pt idx="8">
                  <c:v>82</c:v>
                </c:pt>
                <c:pt idx="9">
                  <c:v>83</c:v>
                </c:pt>
                <c:pt idx="10">
                  <c:v>80</c:v>
                </c:pt>
                <c:pt idx="11">
                  <c:v>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'11.09 Katungulu-Ishaka'!$AF$9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'11.09 Katungulu-Ishaka'!$AF$10:$AF$21</c:f>
              <c:numCache>
                <c:formatCode>0</c:formatCode>
                <c:ptCount val="12"/>
                <c:pt idx="0">
                  <c:v>39</c:v>
                </c:pt>
                <c:pt idx="1">
                  <c:v>198</c:v>
                </c:pt>
                <c:pt idx="2">
                  <c:v>254</c:v>
                </c:pt>
                <c:pt idx="3">
                  <c:v>250</c:v>
                </c:pt>
                <c:pt idx="4">
                  <c:v>244</c:v>
                </c:pt>
                <c:pt idx="5">
                  <c:v>262</c:v>
                </c:pt>
                <c:pt idx="6">
                  <c:v>241</c:v>
                </c:pt>
                <c:pt idx="7">
                  <c:v>152</c:v>
                </c:pt>
                <c:pt idx="8">
                  <c:v>271</c:v>
                </c:pt>
                <c:pt idx="9">
                  <c:v>250</c:v>
                </c:pt>
                <c:pt idx="10">
                  <c:v>287</c:v>
                </c:pt>
                <c:pt idx="11">
                  <c:v>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80384"/>
        <c:axId val="198374896"/>
      </c:lineChart>
      <c:catAx>
        <c:axId val="1983803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8374896"/>
        <c:crosses val="autoZero"/>
        <c:auto val="1"/>
        <c:lblAlgn val="ctr"/>
        <c:lblOffset val="100"/>
        <c:noMultiLvlLbl val="0"/>
      </c:catAx>
      <c:valAx>
        <c:axId val="198374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838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'11.09 Katungulu-Ishaka'!$C$9:$N$9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'11.09 Katungulu-Ishaka'!$C$59:$N$59</c:f>
              <c:numCache>
                <c:formatCode>0.0%</c:formatCode>
                <c:ptCount val="12"/>
                <c:pt idx="0">
                  <c:v>8.421436383521691E-2</c:v>
                </c:pt>
                <c:pt idx="1">
                  <c:v>4.7393364928909956E-3</c:v>
                </c:pt>
                <c:pt idx="2">
                  <c:v>6.416332482683193E-2</c:v>
                </c:pt>
                <c:pt idx="3">
                  <c:v>6.3798760481224931E-2</c:v>
                </c:pt>
                <c:pt idx="4">
                  <c:v>0</c:v>
                </c:pt>
                <c:pt idx="5">
                  <c:v>1.8228217280349982E-3</c:v>
                </c:pt>
                <c:pt idx="6">
                  <c:v>3.3539919795843968E-2</c:v>
                </c:pt>
                <c:pt idx="7">
                  <c:v>2.1873860736419979E-2</c:v>
                </c:pt>
                <c:pt idx="8">
                  <c:v>1.7499088589135983E-2</c:v>
                </c:pt>
                <c:pt idx="9">
                  <c:v>2.150929639081298E-2</c:v>
                </c:pt>
                <c:pt idx="10">
                  <c:v>0.6864746627779803</c:v>
                </c:pt>
                <c:pt idx="11">
                  <c:v>3.6456434560699962E-4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'11.09 Katungulu-Ishaka'!$C$9:$N$9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'11.09 Katungulu-Ishaka'!$C$60:$N$60</c:f>
              <c:numCache>
                <c:formatCode>0.00%</c:formatCode>
                <c:ptCount val="12"/>
                <c:pt idx="0">
                  <c:v>0.2686046511627907</c:v>
                </c:pt>
                <c:pt idx="1">
                  <c:v>1.5116279069767442E-2</c:v>
                </c:pt>
                <c:pt idx="2">
                  <c:v>0.20465116279069767</c:v>
                </c:pt>
                <c:pt idx="3">
                  <c:v>0.20348837209302326</c:v>
                </c:pt>
                <c:pt idx="4">
                  <c:v>0</c:v>
                </c:pt>
                <c:pt idx="5">
                  <c:v>5.8139534883720929E-3</c:v>
                </c:pt>
                <c:pt idx="6">
                  <c:v>0.10697674418604651</c:v>
                </c:pt>
                <c:pt idx="7">
                  <c:v>6.9767441860465115E-2</c:v>
                </c:pt>
                <c:pt idx="8">
                  <c:v>5.5813953488372092E-2</c:v>
                </c:pt>
                <c:pt idx="9">
                  <c:v>6.86046511627907E-2</c:v>
                </c:pt>
                <c:pt idx="11">
                  <c:v>1.1627906976744186E-3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'12.09 Ishaka-Katungulu'!$AE$9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'12.09 Ishaka-Katungulu'!$AE$10:$AE$21</c:f>
              <c:numCache>
                <c:formatCode>0</c:formatCode>
                <c:ptCount val="12"/>
                <c:pt idx="0">
                  <c:v>22</c:v>
                </c:pt>
                <c:pt idx="1">
                  <c:v>61</c:v>
                </c:pt>
                <c:pt idx="2">
                  <c:v>58</c:v>
                </c:pt>
                <c:pt idx="3">
                  <c:v>73</c:v>
                </c:pt>
                <c:pt idx="4">
                  <c:v>66</c:v>
                </c:pt>
                <c:pt idx="5">
                  <c:v>70</c:v>
                </c:pt>
                <c:pt idx="6">
                  <c:v>61</c:v>
                </c:pt>
                <c:pt idx="7">
                  <c:v>82</c:v>
                </c:pt>
                <c:pt idx="8">
                  <c:v>66</c:v>
                </c:pt>
                <c:pt idx="9">
                  <c:v>82</c:v>
                </c:pt>
                <c:pt idx="10">
                  <c:v>74</c:v>
                </c:pt>
                <c:pt idx="11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'12.09 Ishaka-Katungulu'!$AF$9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'12.09 Ishaka-Katungulu'!$AF$10:$AF$21</c:f>
              <c:numCache>
                <c:formatCode>0</c:formatCode>
                <c:ptCount val="12"/>
                <c:pt idx="0">
                  <c:v>123</c:v>
                </c:pt>
                <c:pt idx="1">
                  <c:v>299</c:v>
                </c:pt>
                <c:pt idx="2">
                  <c:v>309</c:v>
                </c:pt>
                <c:pt idx="3">
                  <c:v>361</c:v>
                </c:pt>
                <c:pt idx="4">
                  <c:v>325</c:v>
                </c:pt>
                <c:pt idx="5">
                  <c:v>254</c:v>
                </c:pt>
                <c:pt idx="6">
                  <c:v>250</c:v>
                </c:pt>
                <c:pt idx="7">
                  <c:v>262</c:v>
                </c:pt>
                <c:pt idx="8">
                  <c:v>223</c:v>
                </c:pt>
                <c:pt idx="9">
                  <c:v>284</c:v>
                </c:pt>
                <c:pt idx="10">
                  <c:v>250</c:v>
                </c:pt>
                <c:pt idx="11">
                  <c:v>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76072"/>
        <c:axId val="198376464"/>
      </c:lineChart>
      <c:catAx>
        <c:axId val="1983760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8376464"/>
        <c:crosses val="autoZero"/>
        <c:auto val="1"/>
        <c:lblAlgn val="ctr"/>
        <c:lblOffset val="100"/>
        <c:noMultiLvlLbl val="0"/>
      </c:catAx>
      <c:valAx>
        <c:axId val="198376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8376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'12.09 Ishaka-Katungulu'!$C$9:$N$9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'12.09 Ishaka-Katungulu'!$C$59:$N$59</c:f>
              <c:numCache>
                <c:formatCode>0.0%</c:formatCode>
                <c:ptCount val="12"/>
                <c:pt idx="0">
                  <c:v>6.2879029684008936E-2</c:v>
                </c:pt>
                <c:pt idx="1">
                  <c:v>4.4685604851579953E-3</c:v>
                </c:pt>
                <c:pt idx="2">
                  <c:v>5.8729652090647941E-2</c:v>
                </c:pt>
                <c:pt idx="3">
                  <c:v>4.9792531120331947E-2</c:v>
                </c:pt>
                <c:pt idx="4">
                  <c:v>0</c:v>
                </c:pt>
                <c:pt idx="5">
                  <c:v>3.1918289179699969E-4</c:v>
                </c:pt>
                <c:pt idx="6">
                  <c:v>2.5853814235556973E-2</c:v>
                </c:pt>
                <c:pt idx="7">
                  <c:v>5.106926268751995E-3</c:v>
                </c:pt>
                <c:pt idx="8">
                  <c:v>1.5959144589849983E-2</c:v>
                </c:pt>
                <c:pt idx="9">
                  <c:v>1.883179061602298E-2</c:v>
                </c:pt>
                <c:pt idx="10">
                  <c:v>0.75805936801787421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'12.09 Ishaka-Katungulu'!$S$9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'12.09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'12.09 Ishaka-Katungulu'!$S$10:$S$21</c:f>
              <c:numCache>
                <c:formatCode>0</c:formatCode>
                <c:ptCount val="12"/>
                <c:pt idx="0">
                  <c:v>4</c:v>
                </c:pt>
                <c:pt idx="1">
                  <c:v>8</c:v>
                </c:pt>
                <c:pt idx="2">
                  <c:v>15</c:v>
                </c:pt>
                <c:pt idx="3">
                  <c:v>16</c:v>
                </c:pt>
                <c:pt idx="4">
                  <c:v>18</c:v>
                </c:pt>
                <c:pt idx="5">
                  <c:v>21</c:v>
                </c:pt>
                <c:pt idx="6">
                  <c:v>20</c:v>
                </c:pt>
                <c:pt idx="7">
                  <c:v>18</c:v>
                </c:pt>
                <c:pt idx="8">
                  <c:v>19</c:v>
                </c:pt>
                <c:pt idx="9">
                  <c:v>24</c:v>
                </c:pt>
                <c:pt idx="10">
                  <c:v>19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'12.09 Ishaka-Katungulu'!$T$9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'12.09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'12.09 Ishaka-Katungulu'!$T$10:$T$21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'12.09 Ishaka-Katungulu'!$U$9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'12.09 Ishaka-Katungulu'!$U$10:$U$21</c:f>
              <c:numCache>
                <c:formatCode>0</c:formatCode>
                <c:ptCount val="12"/>
                <c:pt idx="0">
                  <c:v>1</c:v>
                </c:pt>
                <c:pt idx="1">
                  <c:v>12</c:v>
                </c:pt>
                <c:pt idx="2">
                  <c:v>12</c:v>
                </c:pt>
                <c:pt idx="3">
                  <c:v>21</c:v>
                </c:pt>
                <c:pt idx="4">
                  <c:v>27</c:v>
                </c:pt>
                <c:pt idx="5">
                  <c:v>17</c:v>
                </c:pt>
                <c:pt idx="6">
                  <c:v>10</c:v>
                </c:pt>
                <c:pt idx="7">
                  <c:v>19</c:v>
                </c:pt>
                <c:pt idx="8">
                  <c:v>18</c:v>
                </c:pt>
                <c:pt idx="9">
                  <c:v>20</c:v>
                </c:pt>
                <c:pt idx="10">
                  <c:v>16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'12.09 Ishaka-Katungulu'!$V$9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'12.09 Ishaka-Katungulu'!$V$10:$V$21</c:f>
              <c:numCache>
                <c:formatCode>0</c:formatCode>
                <c:ptCount val="12"/>
                <c:pt idx="0">
                  <c:v>5</c:v>
                </c:pt>
                <c:pt idx="1">
                  <c:v>16</c:v>
                </c:pt>
                <c:pt idx="2">
                  <c:v>12</c:v>
                </c:pt>
                <c:pt idx="3">
                  <c:v>13</c:v>
                </c:pt>
                <c:pt idx="4">
                  <c:v>9</c:v>
                </c:pt>
                <c:pt idx="5">
                  <c:v>13</c:v>
                </c:pt>
                <c:pt idx="6">
                  <c:v>20</c:v>
                </c:pt>
                <c:pt idx="7">
                  <c:v>16</c:v>
                </c:pt>
                <c:pt idx="8">
                  <c:v>10</c:v>
                </c:pt>
                <c:pt idx="9">
                  <c:v>16</c:v>
                </c:pt>
                <c:pt idx="10">
                  <c:v>14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'12.09 Ishaka-Katungulu'!$W$9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'12.09 Ishaka-Katungulu'!$W$10:$W$21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'12.09 Ishaka-Katungulu'!$X$9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'12.09 Ishaka-Katungulu'!$X$10:$X$21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'12.09 Ishaka-Katungulu'!$Y$9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'12.09 Ishaka-Katungulu'!$Y$10:$Y$21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12</c:v>
                </c:pt>
                <c:pt idx="6">
                  <c:v>6</c:v>
                </c:pt>
                <c:pt idx="7">
                  <c:v>13</c:v>
                </c:pt>
                <c:pt idx="8">
                  <c:v>6</c:v>
                </c:pt>
                <c:pt idx="9">
                  <c:v>15</c:v>
                </c:pt>
                <c:pt idx="10">
                  <c:v>11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'12.09 Ishaka-Katungulu'!$Z$9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'12.09 Ishaka-Katungulu'!$Z$10:$Z$21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'12.09 Ishaka-Katungulu'!$AA$9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'12.09 Ishaka-Katungulu'!$AA$10:$AA$21</c:f>
              <c:numCache>
                <c:formatCode>0</c:formatCode>
                <c:ptCount val="12"/>
                <c:pt idx="0">
                  <c:v>6</c:v>
                </c:pt>
                <c:pt idx="1">
                  <c:v>17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8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'12.09 Ishaka-Katungulu'!$AB$9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'12.09 Ishaka-Katungulu'!$AB$10:$AB$21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11</c:v>
                </c:pt>
                <c:pt idx="3">
                  <c:v>11</c:v>
                </c:pt>
                <c:pt idx="4">
                  <c:v>7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'12.09 Ishaka-Katungulu'!$AC$9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'12.09 Ishaka-Katungulu'!$AC$10:$AC$21</c:f>
              <c:numCache>
                <c:formatCode>0</c:formatCode>
                <c:ptCount val="12"/>
                <c:pt idx="0">
                  <c:v>101</c:v>
                </c:pt>
                <c:pt idx="1">
                  <c:v>238</c:v>
                </c:pt>
                <c:pt idx="2">
                  <c:v>251</c:v>
                </c:pt>
                <c:pt idx="3">
                  <c:v>288</c:v>
                </c:pt>
                <c:pt idx="4">
                  <c:v>259</c:v>
                </c:pt>
                <c:pt idx="5">
                  <c:v>184</c:v>
                </c:pt>
                <c:pt idx="6">
                  <c:v>189</c:v>
                </c:pt>
                <c:pt idx="7">
                  <c:v>180</c:v>
                </c:pt>
                <c:pt idx="8">
                  <c:v>157</c:v>
                </c:pt>
                <c:pt idx="9">
                  <c:v>202</c:v>
                </c:pt>
                <c:pt idx="10">
                  <c:v>176</c:v>
                </c:pt>
                <c:pt idx="11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'12.09 Ishaka-Katungulu'!$AD$9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'12.09 Ishaka-Katungulu'!$AD$10:$AD$21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74504"/>
        <c:axId val="198373720"/>
      </c:lineChart>
      <c:catAx>
        <c:axId val="198374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8373720"/>
        <c:crosses val="autoZero"/>
        <c:auto val="1"/>
        <c:lblAlgn val="ctr"/>
        <c:lblOffset val="100"/>
        <c:noMultiLvlLbl val="0"/>
      </c:catAx>
      <c:valAx>
        <c:axId val="19837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837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'12.09 Ishaka-Katungulu'!$C$9:$N$9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'12.09 Ishaka-Katungulu'!$C$60:$N$60</c:f>
              <c:numCache>
                <c:formatCode>0.00%</c:formatCode>
                <c:ptCount val="12"/>
                <c:pt idx="0">
                  <c:v>0.25989445910290238</c:v>
                </c:pt>
                <c:pt idx="1">
                  <c:v>1.8469656992084433E-2</c:v>
                </c:pt>
                <c:pt idx="2">
                  <c:v>0.24274406332453827</c:v>
                </c:pt>
                <c:pt idx="3">
                  <c:v>0.20580474934036938</c:v>
                </c:pt>
                <c:pt idx="4">
                  <c:v>0</c:v>
                </c:pt>
                <c:pt idx="5">
                  <c:v>1.3192612137203166E-3</c:v>
                </c:pt>
                <c:pt idx="6">
                  <c:v>0.10686015831134564</c:v>
                </c:pt>
                <c:pt idx="7">
                  <c:v>2.1108179419525065E-2</c:v>
                </c:pt>
                <c:pt idx="8">
                  <c:v>6.5963060686015831E-2</c:v>
                </c:pt>
                <c:pt idx="9">
                  <c:v>7.7836411609498682E-2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'12.09 Katungulu-Ishaka'!$AE$9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'12.09 Katungulu-Ishaka'!$AE$10:$AE$21</c:f>
              <c:numCache>
                <c:formatCode>0</c:formatCode>
                <c:ptCount val="12"/>
                <c:pt idx="0">
                  <c:v>17</c:v>
                </c:pt>
                <c:pt idx="1">
                  <c:v>26</c:v>
                </c:pt>
                <c:pt idx="2">
                  <c:v>69</c:v>
                </c:pt>
                <c:pt idx="3">
                  <c:v>58</c:v>
                </c:pt>
                <c:pt idx="4">
                  <c:v>69</c:v>
                </c:pt>
                <c:pt idx="5">
                  <c:v>64</c:v>
                </c:pt>
                <c:pt idx="6">
                  <c:v>98</c:v>
                </c:pt>
                <c:pt idx="7">
                  <c:v>77</c:v>
                </c:pt>
                <c:pt idx="8">
                  <c:v>61</c:v>
                </c:pt>
                <c:pt idx="9">
                  <c:v>72</c:v>
                </c:pt>
                <c:pt idx="10">
                  <c:v>83</c:v>
                </c:pt>
                <c:pt idx="11">
                  <c:v>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'12.09 Katungulu-Ishaka'!$AF$9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'12.09 Katungulu-Ishaka'!$AF$10:$AF$21</c:f>
              <c:numCache>
                <c:formatCode>0</c:formatCode>
                <c:ptCount val="12"/>
                <c:pt idx="0">
                  <c:v>86</c:v>
                </c:pt>
                <c:pt idx="1">
                  <c:v>260</c:v>
                </c:pt>
                <c:pt idx="2">
                  <c:v>344</c:v>
                </c:pt>
                <c:pt idx="3">
                  <c:v>375</c:v>
                </c:pt>
                <c:pt idx="4">
                  <c:v>290</c:v>
                </c:pt>
                <c:pt idx="5">
                  <c:v>262</c:v>
                </c:pt>
                <c:pt idx="6">
                  <c:v>341</c:v>
                </c:pt>
                <c:pt idx="7">
                  <c:v>261</c:v>
                </c:pt>
                <c:pt idx="8">
                  <c:v>254</c:v>
                </c:pt>
                <c:pt idx="9">
                  <c:v>264</c:v>
                </c:pt>
                <c:pt idx="10">
                  <c:v>274</c:v>
                </c:pt>
                <c:pt idx="11">
                  <c:v>198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77248"/>
        <c:axId val="198378032"/>
      </c:lineChart>
      <c:catAx>
        <c:axId val="1983772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8378032"/>
        <c:crosses val="autoZero"/>
        <c:auto val="1"/>
        <c:lblAlgn val="ctr"/>
        <c:lblOffset val="100"/>
        <c:noMultiLvlLbl val="0"/>
      </c:catAx>
      <c:valAx>
        <c:axId val="198378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837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'12.09 Katungulu-Ishaka'!$C$9:$N$9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'12.09 Katungulu-Ishaka'!$C$59:$N$59</c:f>
              <c:numCache>
                <c:formatCode>0.0%</c:formatCode>
                <c:ptCount val="12"/>
                <c:pt idx="0">
                  <c:v>6.5440947335618574E-2</c:v>
                </c:pt>
                <c:pt idx="1">
                  <c:v>4.0511062636335304E-3</c:v>
                </c:pt>
                <c:pt idx="2">
                  <c:v>5.8273605484574637E-2</c:v>
                </c:pt>
                <c:pt idx="3">
                  <c:v>4.9859769398566532E-2</c:v>
                </c:pt>
                <c:pt idx="4">
                  <c:v>6.2324711748208163E-4</c:v>
                </c:pt>
                <c:pt idx="5">
                  <c:v>9.348706762231225E-4</c:v>
                </c:pt>
                <c:pt idx="6">
                  <c:v>2.2748519788095979E-2</c:v>
                </c:pt>
                <c:pt idx="7">
                  <c:v>8.7254596447491426E-3</c:v>
                </c:pt>
                <c:pt idx="8">
                  <c:v>1.0283577438454348E-2</c:v>
                </c:pt>
                <c:pt idx="9">
                  <c:v>1.9632284200685572E-2</c:v>
                </c:pt>
                <c:pt idx="10">
                  <c:v>0.75880336553443439</c:v>
                </c:pt>
                <c:pt idx="11">
                  <c:v>6.2324711748208163E-4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'12.09 Katungulu-Ishaka'!$S$9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'12.09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'12.09 Katungulu-Ishaka'!$S$10:$S$21</c:f>
              <c:numCache>
                <c:formatCode>0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22</c:v>
                </c:pt>
                <c:pt idx="3">
                  <c:v>19</c:v>
                </c:pt>
                <c:pt idx="4">
                  <c:v>17</c:v>
                </c:pt>
                <c:pt idx="5">
                  <c:v>14</c:v>
                </c:pt>
                <c:pt idx="6">
                  <c:v>37</c:v>
                </c:pt>
                <c:pt idx="7">
                  <c:v>20</c:v>
                </c:pt>
                <c:pt idx="8">
                  <c:v>12</c:v>
                </c:pt>
                <c:pt idx="9">
                  <c:v>11</c:v>
                </c:pt>
                <c:pt idx="10">
                  <c:v>18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'12.09 Katungulu-Ishaka'!$T$9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'12.09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'12.09 Katungulu-Ishaka'!$T$10:$T$21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'12.09 Katungulu-Ishaka'!$U$9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'12.09 Katungulu-Ishaka'!$U$10:$U$21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16</c:v>
                </c:pt>
                <c:pt idx="3">
                  <c:v>11</c:v>
                </c:pt>
                <c:pt idx="4">
                  <c:v>16</c:v>
                </c:pt>
                <c:pt idx="5">
                  <c:v>15</c:v>
                </c:pt>
                <c:pt idx="6">
                  <c:v>24</c:v>
                </c:pt>
                <c:pt idx="7">
                  <c:v>14</c:v>
                </c:pt>
                <c:pt idx="8">
                  <c:v>21</c:v>
                </c:pt>
                <c:pt idx="9">
                  <c:v>20</c:v>
                </c:pt>
                <c:pt idx="10">
                  <c:v>26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'12.09 Katungulu-Ishaka'!$V$9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'12.09 Katungulu-Ishaka'!$V$10:$V$21</c:f>
              <c:numCache>
                <c:formatCode>0</c:formatCode>
                <c:ptCount val="12"/>
                <c:pt idx="0">
                  <c:v>2</c:v>
                </c:pt>
                <c:pt idx="1">
                  <c:v>9</c:v>
                </c:pt>
                <c:pt idx="2">
                  <c:v>14</c:v>
                </c:pt>
                <c:pt idx="3">
                  <c:v>18</c:v>
                </c:pt>
                <c:pt idx="4">
                  <c:v>19</c:v>
                </c:pt>
                <c:pt idx="5">
                  <c:v>17</c:v>
                </c:pt>
                <c:pt idx="6">
                  <c:v>18</c:v>
                </c:pt>
                <c:pt idx="7">
                  <c:v>16</c:v>
                </c:pt>
                <c:pt idx="8">
                  <c:v>11</c:v>
                </c:pt>
                <c:pt idx="9">
                  <c:v>15</c:v>
                </c:pt>
                <c:pt idx="10">
                  <c:v>9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'12.09 Katungulu-Ishaka'!$W$9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'12.09 Katungulu-Ishaka'!$W$10:$W$21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'12.09 Katungulu-Ishaka'!$X$9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'12.09 Katungulu-Ishaka'!$X$10:$X$21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'12.09 Katungulu-Ishaka'!$Y$9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'12.09 Katungulu-Ishaka'!$Y$10:$Y$21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11</c:v>
                </c:pt>
                <c:pt idx="6">
                  <c:v>6</c:v>
                </c:pt>
                <c:pt idx="7">
                  <c:v>8</c:v>
                </c:pt>
                <c:pt idx="8">
                  <c:v>8</c:v>
                </c:pt>
                <c:pt idx="9">
                  <c:v>18</c:v>
                </c:pt>
                <c:pt idx="10">
                  <c:v>10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'12.09 Katungulu-Ishaka'!$Z$9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'12.09 Katungulu-Ishaka'!$Z$10:$Z$21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6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'12.09 Katungulu-Ishaka'!$AA$9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'12.09 Katungulu-Ishaka'!$AA$10:$AA$21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5</c:v>
                </c:pt>
                <c:pt idx="5">
                  <c:v>1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'12.09 Katungulu-Ishaka'!$AB$9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'12.09 Katungulu-Ishaka'!$AB$10:$AB$21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16</c:v>
                </c:pt>
                <c:pt idx="8">
                  <c:v>4</c:v>
                </c:pt>
                <c:pt idx="9">
                  <c:v>0</c:v>
                </c:pt>
                <c:pt idx="10">
                  <c:v>11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'12.09 Katungulu-Ishaka'!$AC$9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'12.09 Katungulu-Ishaka'!$AC$10:$AC$21</c:f>
              <c:numCache>
                <c:formatCode>0</c:formatCode>
                <c:ptCount val="12"/>
                <c:pt idx="0">
                  <c:v>69</c:v>
                </c:pt>
                <c:pt idx="1">
                  <c:v>234</c:v>
                </c:pt>
                <c:pt idx="2">
                  <c:v>275</c:v>
                </c:pt>
                <c:pt idx="3">
                  <c:v>317</c:v>
                </c:pt>
                <c:pt idx="4">
                  <c:v>221</c:v>
                </c:pt>
                <c:pt idx="5">
                  <c:v>198</c:v>
                </c:pt>
                <c:pt idx="6">
                  <c:v>243</c:v>
                </c:pt>
                <c:pt idx="7">
                  <c:v>184</c:v>
                </c:pt>
                <c:pt idx="8">
                  <c:v>193</c:v>
                </c:pt>
                <c:pt idx="9">
                  <c:v>192</c:v>
                </c:pt>
                <c:pt idx="10">
                  <c:v>191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'12.09 Katungulu-Ishaka'!$AD$9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'12.09 Katungulu-Ishaka'!$AD$10:$AD$21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924320"/>
        <c:axId val="203929024"/>
      </c:lineChart>
      <c:catAx>
        <c:axId val="20392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929024"/>
        <c:crosses val="autoZero"/>
        <c:auto val="1"/>
        <c:lblAlgn val="ctr"/>
        <c:lblOffset val="100"/>
        <c:noMultiLvlLbl val="0"/>
      </c:catAx>
      <c:valAx>
        <c:axId val="2039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92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'12.09 Katungulu-Ishaka'!$C$9:$N$9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'12.09 Katungulu-Ishaka'!$C$60:$N$60</c:f>
              <c:numCache>
                <c:formatCode>0.00%</c:formatCode>
                <c:ptCount val="12"/>
                <c:pt idx="0">
                  <c:v>0.27131782945736432</c:v>
                </c:pt>
                <c:pt idx="1">
                  <c:v>1.6795865633074936E-2</c:v>
                </c:pt>
                <c:pt idx="2">
                  <c:v>0.24160206718346253</c:v>
                </c:pt>
                <c:pt idx="3">
                  <c:v>0.20671834625322996</c:v>
                </c:pt>
                <c:pt idx="4">
                  <c:v>2.5839793281653748E-3</c:v>
                </c:pt>
                <c:pt idx="5">
                  <c:v>3.875968992248062E-3</c:v>
                </c:pt>
                <c:pt idx="6">
                  <c:v>9.4315245478036172E-2</c:v>
                </c:pt>
                <c:pt idx="7">
                  <c:v>3.6175710594315243E-2</c:v>
                </c:pt>
                <c:pt idx="8">
                  <c:v>4.2635658914728682E-2</c:v>
                </c:pt>
                <c:pt idx="9">
                  <c:v>8.1395348837209308E-2</c:v>
                </c:pt>
                <c:pt idx="11">
                  <c:v>2.5839793281653748E-3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'13.09 Ishaka-Katungulu'!$AE$9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'13.09 Ishaka-Katungulu'!$AE$10:$AE$21</c:f>
              <c:numCache>
                <c:formatCode>0</c:formatCode>
                <c:ptCount val="12"/>
                <c:pt idx="0">
                  <c:v>26</c:v>
                </c:pt>
                <c:pt idx="1">
                  <c:v>60</c:v>
                </c:pt>
                <c:pt idx="2">
                  <c:v>45</c:v>
                </c:pt>
                <c:pt idx="3">
                  <c:v>57</c:v>
                </c:pt>
                <c:pt idx="4">
                  <c:v>70</c:v>
                </c:pt>
                <c:pt idx="5">
                  <c:v>65</c:v>
                </c:pt>
                <c:pt idx="6">
                  <c:v>60</c:v>
                </c:pt>
                <c:pt idx="7">
                  <c:v>50</c:v>
                </c:pt>
                <c:pt idx="8">
                  <c:v>60</c:v>
                </c:pt>
                <c:pt idx="9">
                  <c:v>73</c:v>
                </c:pt>
                <c:pt idx="10">
                  <c:v>64</c:v>
                </c:pt>
                <c:pt idx="11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'13.09 Ishaka-Katungulu'!$AF$9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'13.09 Ishaka-Katungulu'!$AF$10:$AF$21</c:f>
              <c:numCache>
                <c:formatCode>0</c:formatCode>
                <c:ptCount val="12"/>
                <c:pt idx="0">
                  <c:v>60</c:v>
                </c:pt>
                <c:pt idx="1">
                  <c:v>138</c:v>
                </c:pt>
                <c:pt idx="2">
                  <c:v>176</c:v>
                </c:pt>
                <c:pt idx="3">
                  <c:v>236</c:v>
                </c:pt>
                <c:pt idx="4">
                  <c:v>289</c:v>
                </c:pt>
                <c:pt idx="5">
                  <c:v>226</c:v>
                </c:pt>
                <c:pt idx="6">
                  <c:v>218</c:v>
                </c:pt>
                <c:pt idx="7">
                  <c:v>178</c:v>
                </c:pt>
                <c:pt idx="8">
                  <c:v>215</c:v>
                </c:pt>
                <c:pt idx="9">
                  <c:v>230</c:v>
                </c:pt>
                <c:pt idx="10">
                  <c:v>239</c:v>
                </c:pt>
                <c:pt idx="11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28240"/>
        <c:axId val="203925888"/>
      </c:lineChart>
      <c:catAx>
        <c:axId val="203928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925888"/>
        <c:crosses val="autoZero"/>
        <c:auto val="1"/>
        <c:lblAlgn val="ctr"/>
        <c:lblOffset val="100"/>
        <c:noMultiLvlLbl val="0"/>
      </c:catAx>
      <c:valAx>
        <c:axId val="203925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92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'13.09 Ishaka-Katungulu'!$C$9:$N$9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'13.09 Ishaka-Katungulu'!$C$59:$N$59</c:f>
              <c:numCache>
                <c:formatCode>0.0%</c:formatCode>
                <c:ptCount val="12"/>
                <c:pt idx="0">
                  <c:v>7.6419213973799124E-2</c:v>
                </c:pt>
                <c:pt idx="1">
                  <c:v>4.3668122270742356E-3</c:v>
                </c:pt>
                <c:pt idx="2">
                  <c:v>6.5502183406113537E-2</c:v>
                </c:pt>
                <c:pt idx="3">
                  <c:v>6.0262008733624452E-2</c:v>
                </c:pt>
                <c:pt idx="4">
                  <c:v>5.2401746724890829E-3</c:v>
                </c:pt>
                <c:pt idx="5">
                  <c:v>9.6069868995633193E-3</c:v>
                </c:pt>
                <c:pt idx="6">
                  <c:v>2.2707423580786028E-2</c:v>
                </c:pt>
                <c:pt idx="7">
                  <c:v>1.6157205240174673E-2</c:v>
                </c:pt>
                <c:pt idx="8">
                  <c:v>1.5283842794759825E-2</c:v>
                </c:pt>
                <c:pt idx="9">
                  <c:v>2.4017467248908297E-2</c:v>
                </c:pt>
                <c:pt idx="10">
                  <c:v>0.70043668122270741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'13.09 Ishaka-Katungulu'!$S$9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'13.09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'13.09 Ishaka-Katungulu'!$S$10:$S$21</c:f>
              <c:numCache>
                <c:formatCode>0</c:formatCode>
                <c:ptCount val="12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11</c:v>
                </c:pt>
                <c:pt idx="4">
                  <c:v>28</c:v>
                </c:pt>
                <c:pt idx="5">
                  <c:v>12</c:v>
                </c:pt>
                <c:pt idx="6">
                  <c:v>14</c:v>
                </c:pt>
                <c:pt idx="7">
                  <c:v>13</c:v>
                </c:pt>
                <c:pt idx="8">
                  <c:v>11</c:v>
                </c:pt>
                <c:pt idx="9">
                  <c:v>24</c:v>
                </c:pt>
                <c:pt idx="10">
                  <c:v>17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'13.09 Ishaka-Katungulu'!$T$9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'13.09 Ishaka-Katungulu'!$R$10:$R$21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'13.09 Ishaka-Katungulu'!$T$10:$T$21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'13.09 Ishaka-Katungulu'!$U$9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'13.09 Ishaka-Katungulu'!$U$10:$U$21</c:f>
              <c:numCache>
                <c:formatCode>0</c:formatCode>
                <c:ptCount val="12"/>
                <c:pt idx="0">
                  <c:v>3</c:v>
                </c:pt>
                <c:pt idx="1">
                  <c:v>15</c:v>
                </c:pt>
                <c:pt idx="2">
                  <c:v>8</c:v>
                </c:pt>
                <c:pt idx="3">
                  <c:v>15</c:v>
                </c:pt>
                <c:pt idx="4">
                  <c:v>19</c:v>
                </c:pt>
                <c:pt idx="5">
                  <c:v>15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13</c:v>
                </c:pt>
                <c:pt idx="10">
                  <c:v>15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'13.09 Ishaka-Katungulu'!$V$9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'13.09 Ishaka-Katungulu'!$V$10:$V$21</c:f>
              <c:numCache>
                <c:formatCode>0</c:formatCode>
                <c:ptCount val="12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13</c:v>
                </c:pt>
                <c:pt idx="4">
                  <c:v>16</c:v>
                </c:pt>
                <c:pt idx="5">
                  <c:v>13</c:v>
                </c:pt>
                <c:pt idx="6">
                  <c:v>19</c:v>
                </c:pt>
                <c:pt idx="7">
                  <c:v>14</c:v>
                </c:pt>
                <c:pt idx="8">
                  <c:v>15</c:v>
                </c:pt>
                <c:pt idx="9">
                  <c:v>13</c:v>
                </c:pt>
                <c:pt idx="10">
                  <c:v>16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'13.09 Ishaka-Katungulu'!$W$9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'13.09 Ishaka-Katungulu'!$W$10:$W$21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6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'13.09 Ishaka-Katungulu'!$X$9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'13.09 Ishaka-Katungulu'!$X$10:$X$21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'13.09 Ishaka-Katungulu'!$Y$9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'13.09 Ishaka-Katungulu'!$Y$10:$Y$21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11</c:v>
                </c:pt>
                <c:pt idx="6">
                  <c:v>2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'13.09 Ishaka-Katungulu'!$Z$9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'13.09 Ishaka-Katungulu'!$Z$10:$Z$21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6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'13.09 Ishaka-Katungulu'!$AA$9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'13.09 Ishaka-Katungulu'!$AA$10:$AA$21</c:f>
              <c:numCache>
                <c:formatCode>0</c:formatCode>
                <c:ptCount val="12"/>
                <c:pt idx="0">
                  <c:v>0</c:v>
                </c:pt>
                <c:pt idx="1">
                  <c:v>15</c:v>
                </c:pt>
                <c:pt idx="2">
                  <c:v>6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2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'13.09 Ishaka-Katungulu'!$AB$9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'13.09 Ishaka-Katungulu'!$AB$10:$AB$21</c:f>
              <c:numCache>
                <c:formatCode>0</c:formatCode>
                <c:ptCount val="12"/>
                <c:pt idx="0">
                  <c:v>5</c:v>
                </c:pt>
                <c:pt idx="1">
                  <c:v>11</c:v>
                </c:pt>
                <c:pt idx="2">
                  <c:v>1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'13.09 Ishaka-Katungulu'!$AC$9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'13.09 Ishaka-Katungulu'!$AC$10:$AC$21</c:f>
              <c:numCache>
                <c:formatCode>0</c:formatCode>
                <c:ptCount val="12"/>
                <c:pt idx="0">
                  <c:v>34</c:v>
                </c:pt>
                <c:pt idx="1">
                  <c:v>78</c:v>
                </c:pt>
                <c:pt idx="2">
                  <c:v>131</c:v>
                </c:pt>
                <c:pt idx="3">
                  <c:v>179</c:v>
                </c:pt>
                <c:pt idx="4">
                  <c:v>219</c:v>
                </c:pt>
                <c:pt idx="5">
                  <c:v>161</c:v>
                </c:pt>
                <c:pt idx="6">
                  <c:v>158</c:v>
                </c:pt>
                <c:pt idx="7">
                  <c:v>128</c:v>
                </c:pt>
                <c:pt idx="8">
                  <c:v>155</c:v>
                </c:pt>
                <c:pt idx="9">
                  <c:v>157</c:v>
                </c:pt>
                <c:pt idx="10">
                  <c:v>175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'13.09 Ishaka-Katungulu'!$AD$9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'13.09 Ishaka-Katungulu'!$AD$10:$AD$21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927064"/>
        <c:axId val="203925496"/>
      </c:lineChart>
      <c:catAx>
        <c:axId val="20392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925496"/>
        <c:crosses val="autoZero"/>
        <c:auto val="1"/>
        <c:lblAlgn val="ctr"/>
        <c:lblOffset val="100"/>
        <c:noMultiLvlLbl val="0"/>
      </c:catAx>
      <c:valAx>
        <c:axId val="20392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927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'13.09 Ishaka-Katungulu'!$C$9:$N$9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'13.09 Ishaka-Katungulu'!$C$60:$N$60</c:f>
              <c:numCache>
                <c:formatCode>0.00%</c:formatCode>
                <c:ptCount val="12"/>
                <c:pt idx="0">
                  <c:v>0.25510204081632654</c:v>
                </c:pt>
                <c:pt idx="1">
                  <c:v>1.4577259475218658E-2</c:v>
                </c:pt>
                <c:pt idx="2">
                  <c:v>0.21865889212827988</c:v>
                </c:pt>
                <c:pt idx="3">
                  <c:v>0.20116618075801748</c:v>
                </c:pt>
                <c:pt idx="4">
                  <c:v>1.7492711370262391E-2</c:v>
                </c:pt>
                <c:pt idx="5">
                  <c:v>3.2069970845481049E-2</c:v>
                </c:pt>
                <c:pt idx="6">
                  <c:v>7.5801749271137031E-2</c:v>
                </c:pt>
                <c:pt idx="7">
                  <c:v>5.393586005830904E-2</c:v>
                </c:pt>
                <c:pt idx="8">
                  <c:v>5.1020408163265307E-2</c:v>
                </c:pt>
                <c:pt idx="9">
                  <c:v>8.0174927113702624E-2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'13.09 Katungulu-Ishaka'!$AE$9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'13.09 Katungulu-Ishaka'!$AE$10:$AE$21</c:f>
              <c:numCache>
                <c:formatCode>0</c:formatCode>
                <c:ptCount val="12"/>
                <c:pt idx="0">
                  <c:v>7</c:v>
                </c:pt>
                <c:pt idx="1">
                  <c:v>33</c:v>
                </c:pt>
                <c:pt idx="2">
                  <c:v>57</c:v>
                </c:pt>
                <c:pt idx="3">
                  <c:v>56</c:v>
                </c:pt>
                <c:pt idx="4">
                  <c:v>65</c:v>
                </c:pt>
                <c:pt idx="5">
                  <c:v>71</c:v>
                </c:pt>
                <c:pt idx="6">
                  <c:v>81</c:v>
                </c:pt>
                <c:pt idx="7">
                  <c:v>51</c:v>
                </c:pt>
                <c:pt idx="8">
                  <c:v>38</c:v>
                </c:pt>
                <c:pt idx="9">
                  <c:v>64</c:v>
                </c:pt>
                <c:pt idx="10">
                  <c:v>57</c:v>
                </c:pt>
                <c:pt idx="11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'13.09 Katungulu-Ishaka'!$AF$9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'13.09 Katungulu-Ishaka'!$AF$10:$AF$21</c:f>
              <c:numCache>
                <c:formatCode>0</c:formatCode>
                <c:ptCount val="12"/>
                <c:pt idx="0">
                  <c:v>35</c:v>
                </c:pt>
                <c:pt idx="1">
                  <c:v>164</c:v>
                </c:pt>
                <c:pt idx="2">
                  <c:v>220</c:v>
                </c:pt>
                <c:pt idx="3">
                  <c:v>291</c:v>
                </c:pt>
                <c:pt idx="4">
                  <c:v>297</c:v>
                </c:pt>
                <c:pt idx="5">
                  <c:v>257</c:v>
                </c:pt>
                <c:pt idx="6">
                  <c:v>306</c:v>
                </c:pt>
                <c:pt idx="7">
                  <c:v>165</c:v>
                </c:pt>
                <c:pt idx="8">
                  <c:v>163</c:v>
                </c:pt>
                <c:pt idx="9">
                  <c:v>205</c:v>
                </c:pt>
                <c:pt idx="10">
                  <c:v>233</c:v>
                </c:pt>
                <c:pt idx="11">
                  <c:v>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28632"/>
        <c:axId val="203930984"/>
      </c:lineChart>
      <c:catAx>
        <c:axId val="2039286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930984"/>
        <c:crosses val="autoZero"/>
        <c:auto val="1"/>
        <c:lblAlgn val="ctr"/>
        <c:lblOffset val="100"/>
        <c:noMultiLvlLbl val="0"/>
      </c:catAx>
      <c:valAx>
        <c:axId val="2039309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92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'13.09 Katungulu-Ishaka'!$C$9:$N$9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'13.09 Katungulu-Ishaka'!$C$59:$N$59</c:f>
              <c:numCache>
                <c:formatCode>0.0%</c:formatCode>
                <c:ptCount val="12"/>
                <c:pt idx="0">
                  <c:v>7.5030254134731744E-2</c:v>
                </c:pt>
                <c:pt idx="1">
                  <c:v>4.4372730939895117E-3</c:v>
                </c:pt>
                <c:pt idx="2">
                  <c:v>5.8894715611133519E-2</c:v>
                </c:pt>
                <c:pt idx="3">
                  <c:v>5.0423557886244454E-2</c:v>
                </c:pt>
                <c:pt idx="4">
                  <c:v>0</c:v>
                </c:pt>
                <c:pt idx="5">
                  <c:v>1.2101653892698668E-3</c:v>
                </c:pt>
                <c:pt idx="6">
                  <c:v>2.581686163775716E-2</c:v>
                </c:pt>
                <c:pt idx="7">
                  <c:v>1.7749092375958047E-2</c:v>
                </c:pt>
                <c:pt idx="8">
                  <c:v>1.1294876966518758E-2</c:v>
                </c:pt>
                <c:pt idx="9">
                  <c:v>2.2993142396127472E-2</c:v>
                </c:pt>
                <c:pt idx="10">
                  <c:v>0.73174667204517951</c:v>
                </c:pt>
                <c:pt idx="11">
                  <c:v>4.0338846308995562E-4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'13.09 Katungulu-Ishaka'!$S$9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'13.09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'13.09 Katungulu-Ishaka'!$S$10:$S$21</c:f>
              <c:numCache>
                <c:formatCode>0</c:formatCode>
                <c:ptCount val="12"/>
                <c:pt idx="0">
                  <c:v>1</c:v>
                </c:pt>
                <c:pt idx="1">
                  <c:v>7</c:v>
                </c:pt>
                <c:pt idx="2">
                  <c:v>8</c:v>
                </c:pt>
                <c:pt idx="3">
                  <c:v>16</c:v>
                </c:pt>
                <c:pt idx="4">
                  <c:v>11</c:v>
                </c:pt>
                <c:pt idx="5">
                  <c:v>28</c:v>
                </c:pt>
                <c:pt idx="6">
                  <c:v>17</c:v>
                </c:pt>
                <c:pt idx="7">
                  <c:v>14</c:v>
                </c:pt>
                <c:pt idx="8">
                  <c:v>19</c:v>
                </c:pt>
                <c:pt idx="9">
                  <c:v>16</c:v>
                </c:pt>
                <c:pt idx="10">
                  <c:v>22</c:v>
                </c:pt>
                <c:pt idx="11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'13.09 Katungulu-Ishaka'!$T$9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'13.09 Katungulu-Ishaka'!$R$10:$R$21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'13.09 Katungulu-Ishaka'!$T$10:$T$21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'13.09 Katungulu-Ishaka'!$U$9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'13.09 Katungulu-Ishaka'!$U$10:$U$21</c:f>
              <c:numCache>
                <c:formatCode>0</c:formatCode>
                <c:ptCount val="12"/>
                <c:pt idx="0">
                  <c:v>1</c:v>
                </c:pt>
                <c:pt idx="1">
                  <c:v>8</c:v>
                </c:pt>
                <c:pt idx="2">
                  <c:v>8</c:v>
                </c:pt>
                <c:pt idx="3">
                  <c:v>12</c:v>
                </c:pt>
                <c:pt idx="4">
                  <c:v>19</c:v>
                </c:pt>
                <c:pt idx="5">
                  <c:v>17</c:v>
                </c:pt>
                <c:pt idx="6">
                  <c:v>24</c:v>
                </c:pt>
                <c:pt idx="7">
                  <c:v>13</c:v>
                </c:pt>
                <c:pt idx="8">
                  <c:v>2</c:v>
                </c:pt>
                <c:pt idx="9">
                  <c:v>8</c:v>
                </c:pt>
                <c:pt idx="10">
                  <c:v>10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'13.09 Katungulu-Ishaka'!$V$9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'13.09 Katungulu-Ishaka'!$V$10:$V$21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18</c:v>
                </c:pt>
                <c:pt idx="3">
                  <c:v>18</c:v>
                </c:pt>
                <c:pt idx="4">
                  <c:v>6</c:v>
                </c:pt>
                <c:pt idx="5">
                  <c:v>13</c:v>
                </c:pt>
                <c:pt idx="6">
                  <c:v>15</c:v>
                </c:pt>
                <c:pt idx="7">
                  <c:v>4</c:v>
                </c:pt>
                <c:pt idx="8">
                  <c:v>4</c:v>
                </c:pt>
                <c:pt idx="9">
                  <c:v>13</c:v>
                </c:pt>
                <c:pt idx="10">
                  <c:v>7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'13.09 Katungulu-Ishaka'!$W$9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'13.09 Katungulu-Ishaka'!$W$10:$W$21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'13.09 Katungulu-Ishaka'!$X$9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'13.09 Katungulu-Ishaka'!$X$10:$X$21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'13.09 Katungulu-Ishaka'!$Y$9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'13.09 Katungulu-Ishaka'!$Y$10:$Y$21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9</c:v>
                </c:pt>
                <c:pt idx="5">
                  <c:v>4</c:v>
                </c:pt>
                <c:pt idx="6">
                  <c:v>8</c:v>
                </c:pt>
                <c:pt idx="7">
                  <c:v>5</c:v>
                </c:pt>
                <c:pt idx="8">
                  <c:v>8</c:v>
                </c:pt>
                <c:pt idx="9">
                  <c:v>12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'13.09 Katungulu-Ishaka'!$Z$9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'13.09 Katungulu-Ishaka'!$Z$10:$Z$21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8</c:v>
                </c:pt>
                <c:pt idx="7">
                  <c:v>11</c:v>
                </c:pt>
                <c:pt idx="8">
                  <c:v>3</c:v>
                </c:pt>
                <c:pt idx="9">
                  <c:v>8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'13.09 Katungulu-Ishaka'!$AA$9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'13.09 Katungulu-Ishaka'!$AA$10:$AA$21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'13.09 Katungulu-Ishaka'!$AB$9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'13.09 Katungulu-Ishaka'!$AB$10:$AB$21</c:f>
              <c:numCache>
                <c:formatCode>0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6</c:v>
                </c:pt>
                <c:pt idx="4">
                  <c:v>10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'13.09 Katungulu-Ishaka'!$AC$9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'13.09 Katungulu-Ishaka'!$AC$10:$AC$21</c:f>
              <c:numCache>
                <c:formatCode>0</c:formatCode>
                <c:ptCount val="12"/>
                <c:pt idx="0">
                  <c:v>28</c:v>
                </c:pt>
                <c:pt idx="1">
                  <c:v>131</c:v>
                </c:pt>
                <c:pt idx="2">
                  <c:v>163</c:v>
                </c:pt>
                <c:pt idx="3">
                  <c:v>235</c:v>
                </c:pt>
                <c:pt idx="4">
                  <c:v>232</c:v>
                </c:pt>
                <c:pt idx="5">
                  <c:v>186</c:v>
                </c:pt>
                <c:pt idx="6">
                  <c:v>225</c:v>
                </c:pt>
                <c:pt idx="7">
                  <c:v>114</c:v>
                </c:pt>
                <c:pt idx="8">
                  <c:v>125</c:v>
                </c:pt>
                <c:pt idx="9">
                  <c:v>141</c:v>
                </c:pt>
                <c:pt idx="10">
                  <c:v>176</c:v>
                </c:pt>
                <c:pt idx="11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'13.09 Katungulu-Ishaka'!$AD$9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'13.09 Katungulu-Ishaka'!$AD$10:$AD$21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930592"/>
        <c:axId val="203923536"/>
      </c:lineChart>
      <c:catAx>
        <c:axId val="20393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923536"/>
        <c:crosses val="autoZero"/>
        <c:auto val="1"/>
        <c:lblAlgn val="ctr"/>
        <c:lblOffset val="100"/>
        <c:noMultiLvlLbl val="0"/>
      </c:catAx>
      <c:valAx>
        <c:axId val="20392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93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'13.09 Katungulu-Ishaka'!$C$9:$N$9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'13.09 Katungulu-Ishaka'!$C$60:$N$60</c:f>
              <c:numCache>
                <c:formatCode>0.00%</c:formatCode>
                <c:ptCount val="12"/>
                <c:pt idx="0">
                  <c:v>0.27969924812030073</c:v>
                </c:pt>
                <c:pt idx="1">
                  <c:v>1.6541353383458645E-2</c:v>
                </c:pt>
                <c:pt idx="2">
                  <c:v>0.21954887218045113</c:v>
                </c:pt>
                <c:pt idx="3">
                  <c:v>0.18796992481203006</c:v>
                </c:pt>
                <c:pt idx="4">
                  <c:v>0</c:v>
                </c:pt>
                <c:pt idx="5">
                  <c:v>4.5112781954887221E-3</c:v>
                </c:pt>
                <c:pt idx="6">
                  <c:v>9.6240601503759404E-2</c:v>
                </c:pt>
                <c:pt idx="7">
                  <c:v>6.616541353383458E-2</c:v>
                </c:pt>
                <c:pt idx="8">
                  <c:v>4.2105263157894736E-2</c:v>
                </c:pt>
                <c:pt idx="9">
                  <c:v>8.5714285714285715E-2</c:v>
                </c:pt>
                <c:pt idx="11">
                  <c:v>1.5037593984962407E-3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Ishaka-Katungulu'!$AE$9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Ishaka-Katungulu'!$R$10:$R$33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Ishaka-Katungulu'!$AE$10:$AE$33</c:f>
              <c:numCache>
                <c:formatCode>0</c:formatCode>
                <c:ptCount val="24"/>
                <c:pt idx="0">
                  <c:v>25.285714285714285</c:v>
                </c:pt>
                <c:pt idx="1">
                  <c:v>61.571428571428569</c:v>
                </c:pt>
                <c:pt idx="2">
                  <c:v>58.285714285714278</c:v>
                </c:pt>
                <c:pt idx="3">
                  <c:v>68.285714285714278</c:v>
                </c:pt>
                <c:pt idx="4">
                  <c:v>66.571428571428569</c:v>
                </c:pt>
                <c:pt idx="5">
                  <c:v>73.714285714285722</c:v>
                </c:pt>
                <c:pt idx="6">
                  <c:v>76.857142857142847</c:v>
                </c:pt>
                <c:pt idx="7">
                  <c:v>69.857142857142861</c:v>
                </c:pt>
                <c:pt idx="8">
                  <c:v>65.571428571428569</c:v>
                </c:pt>
                <c:pt idx="9">
                  <c:v>68.714285714285708</c:v>
                </c:pt>
                <c:pt idx="10">
                  <c:v>77.571428571428584</c:v>
                </c:pt>
                <c:pt idx="11">
                  <c:v>68.857142857142847</c:v>
                </c:pt>
                <c:pt idx="12">
                  <c:v>83</c:v>
                </c:pt>
                <c:pt idx="13">
                  <c:v>53.5</c:v>
                </c:pt>
                <c:pt idx="14">
                  <c:v>44.5</c:v>
                </c:pt>
                <c:pt idx="15">
                  <c:v>44.5</c:v>
                </c:pt>
                <c:pt idx="16">
                  <c:v>35.5</c:v>
                </c:pt>
                <c:pt idx="17">
                  <c:v>18</c:v>
                </c:pt>
                <c:pt idx="18">
                  <c:v>7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9.5</c:v>
                </c:pt>
                <c:pt idx="23">
                  <c:v>28.5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Ishaka-Katungulu'!$AF$9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Ishaka-Katungulu'!$R$10:$R$33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Ishaka-Katungulu'!$AF$10:$AF$33</c:f>
              <c:numCache>
                <c:formatCode>0</c:formatCode>
                <c:ptCount val="24"/>
                <c:pt idx="0">
                  <c:v>81.428571428571431</c:v>
                </c:pt>
                <c:pt idx="1">
                  <c:v>223.28571428571431</c:v>
                </c:pt>
                <c:pt idx="2">
                  <c:v>236</c:v>
                </c:pt>
                <c:pt idx="3">
                  <c:v>268.28571428571433</c:v>
                </c:pt>
                <c:pt idx="4">
                  <c:v>255</c:v>
                </c:pt>
                <c:pt idx="5">
                  <c:v>247.28571428571428</c:v>
                </c:pt>
                <c:pt idx="6">
                  <c:v>263.71428571428567</c:v>
                </c:pt>
                <c:pt idx="7">
                  <c:v>210.42857142857144</c:v>
                </c:pt>
                <c:pt idx="8">
                  <c:v>237.42857142857144</c:v>
                </c:pt>
                <c:pt idx="9">
                  <c:v>235.71428571428572</c:v>
                </c:pt>
                <c:pt idx="10">
                  <c:v>273.42857142857139</c:v>
                </c:pt>
                <c:pt idx="11">
                  <c:v>234.85714285714283</c:v>
                </c:pt>
                <c:pt idx="12">
                  <c:v>284.5</c:v>
                </c:pt>
                <c:pt idx="13">
                  <c:v>149</c:v>
                </c:pt>
                <c:pt idx="14">
                  <c:v>87</c:v>
                </c:pt>
                <c:pt idx="15">
                  <c:v>69.5</c:v>
                </c:pt>
                <c:pt idx="16">
                  <c:v>56.5</c:v>
                </c:pt>
                <c:pt idx="17">
                  <c:v>26.5</c:v>
                </c:pt>
                <c:pt idx="18">
                  <c:v>13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12</c:v>
                </c:pt>
                <c:pt idx="23">
                  <c:v>36.5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18944"/>
        <c:axId val="203112672"/>
      </c:lineChart>
      <c:catAx>
        <c:axId val="203118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112672"/>
        <c:crosses val="autoZero"/>
        <c:auto val="1"/>
        <c:lblAlgn val="ctr"/>
        <c:lblOffset val="100"/>
        <c:noMultiLvlLbl val="0"/>
      </c:catAx>
      <c:valAx>
        <c:axId val="203112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11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9493858169916063E-2"/>
          <c:y val="0.16002814333522994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Ishaka-Katungulu'!$C$9:$N$9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Ishaka-Katungulu'!$C$107:$N$107</c:f>
              <c:numCache>
                <c:formatCode>0.0%</c:formatCode>
                <c:ptCount val="12"/>
                <c:pt idx="0">
                  <c:v>8.7649726475911571E-2</c:v>
                </c:pt>
                <c:pt idx="1">
                  <c:v>1.8099363471823969E-2</c:v>
                </c:pt>
                <c:pt idx="2">
                  <c:v>6.7130335753360595E-2</c:v>
                </c:pt>
                <c:pt idx="3">
                  <c:v>5.6636772212392994E-2</c:v>
                </c:pt>
                <c:pt idx="4">
                  <c:v>1.6065727126675208E-3</c:v>
                </c:pt>
                <c:pt idx="5">
                  <c:v>2.8064181563052897E-3</c:v>
                </c:pt>
                <c:pt idx="6">
                  <c:v>2.0560063449453967E-2</c:v>
                </c:pt>
                <c:pt idx="7">
                  <c:v>1.5679336221096945E-2</c:v>
                </c:pt>
                <c:pt idx="8">
                  <c:v>2.1332845260610498E-2</c:v>
                </c:pt>
                <c:pt idx="9">
                  <c:v>2.6152563398613066E-2</c:v>
                </c:pt>
                <c:pt idx="10">
                  <c:v>0.6822239847070547</c:v>
                </c:pt>
                <c:pt idx="11">
                  <c:v>1.2201818070892563E-4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Ishaka-Katungulu'!$C$9:$N$9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Ishaka-Katungulu'!$C$108:$N$108</c:f>
              <c:numCache>
                <c:formatCode>0.00%</c:formatCode>
                <c:ptCount val="12"/>
                <c:pt idx="0">
                  <c:v>0.27582234736976824</c:v>
                </c:pt>
                <c:pt idx="1">
                  <c:v>5.6956354793293217E-2</c:v>
                </c:pt>
                <c:pt idx="2">
                  <c:v>0.21125047996928195</c:v>
                </c:pt>
                <c:pt idx="3">
                  <c:v>0.17822859337002434</c:v>
                </c:pt>
                <c:pt idx="4">
                  <c:v>5.0556764367080493E-3</c:v>
                </c:pt>
                <c:pt idx="5">
                  <c:v>8.8314347881735551E-3</c:v>
                </c:pt>
                <c:pt idx="6">
                  <c:v>6.4699859209010613E-2</c:v>
                </c:pt>
                <c:pt idx="7">
                  <c:v>4.9340842186100083E-2</c:v>
                </c:pt>
                <c:pt idx="8">
                  <c:v>6.7131703570971452E-2</c:v>
                </c:pt>
                <c:pt idx="9">
                  <c:v>8.2298732881095613E-2</c:v>
                </c:pt>
                <c:pt idx="11">
                  <c:v>3.8397542557276328E-4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Katungulu-Ishaka'!$AE$9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Katungulu-Ishaka'!$R$10:$R$33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Katungulu-Ishaka'!$AE$10:$AE$33</c:f>
              <c:numCache>
                <c:formatCode>0</c:formatCode>
                <c:ptCount val="24"/>
                <c:pt idx="0">
                  <c:v>15.857142857142858</c:v>
                </c:pt>
                <c:pt idx="1">
                  <c:v>36</c:v>
                </c:pt>
                <c:pt idx="2">
                  <c:v>59.285714285714292</c:v>
                </c:pt>
                <c:pt idx="3">
                  <c:v>70.285714285714278</c:v>
                </c:pt>
                <c:pt idx="4">
                  <c:v>69.285714285714292</c:v>
                </c:pt>
                <c:pt idx="5">
                  <c:v>65.571428571428569</c:v>
                </c:pt>
                <c:pt idx="6">
                  <c:v>86.142857142857139</c:v>
                </c:pt>
                <c:pt idx="7">
                  <c:v>73.428571428571431</c:v>
                </c:pt>
                <c:pt idx="8">
                  <c:v>65</c:v>
                </c:pt>
                <c:pt idx="9">
                  <c:v>85.142857142857139</c:v>
                </c:pt>
                <c:pt idx="10">
                  <c:v>97.571428571428584</c:v>
                </c:pt>
                <c:pt idx="11">
                  <c:v>85.571428571428569</c:v>
                </c:pt>
                <c:pt idx="12">
                  <c:v>109.5</c:v>
                </c:pt>
                <c:pt idx="13">
                  <c:v>70.5</c:v>
                </c:pt>
                <c:pt idx="14">
                  <c:v>51</c:v>
                </c:pt>
                <c:pt idx="15">
                  <c:v>50</c:v>
                </c:pt>
                <c:pt idx="16">
                  <c:v>25.5</c:v>
                </c:pt>
                <c:pt idx="17">
                  <c:v>21.5</c:v>
                </c:pt>
                <c:pt idx="18">
                  <c:v>8</c:v>
                </c:pt>
                <c:pt idx="19">
                  <c:v>4.5</c:v>
                </c:pt>
                <c:pt idx="20">
                  <c:v>1.5</c:v>
                </c:pt>
                <c:pt idx="21">
                  <c:v>5</c:v>
                </c:pt>
                <c:pt idx="22">
                  <c:v>23</c:v>
                </c:pt>
                <c:pt idx="23">
                  <c:v>28.5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Katungulu-Ishaka'!$AF$9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Katungulu-Ishaka'!$R$10:$R$33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Katungulu-Ishaka'!$AF$10:$AF$33</c:f>
              <c:numCache>
                <c:formatCode>0</c:formatCode>
                <c:ptCount val="24"/>
                <c:pt idx="0">
                  <c:v>59.857142857142854</c:v>
                </c:pt>
                <c:pt idx="1">
                  <c:v>202</c:v>
                </c:pt>
                <c:pt idx="2">
                  <c:v>264.14285714285717</c:v>
                </c:pt>
                <c:pt idx="3">
                  <c:v>278.57142857142856</c:v>
                </c:pt>
                <c:pt idx="4">
                  <c:v>260.14285714285717</c:v>
                </c:pt>
                <c:pt idx="5">
                  <c:v>251</c:v>
                </c:pt>
                <c:pt idx="6">
                  <c:v>273.85714285714283</c:v>
                </c:pt>
                <c:pt idx="7">
                  <c:v>219.42857142857144</c:v>
                </c:pt>
                <c:pt idx="8">
                  <c:v>238.57142857142858</c:v>
                </c:pt>
                <c:pt idx="9">
                  <c:v>270.14285714285711</c:v>
                </c:pt>
                <c:pt idx="10">
                  <c:v>306</c:v>
                </c:pt>
                <c:pt idx="11">
                  <c:v>256.85714285714283</c:v>
                </c:pt>
                <c:pt idx="12">
                  <c:v>348.5</c:v>
                </c:pt>
                <c:pt idx="13">
                  <c:v>241.5</c:v>
                </c:pt>
                <c:pt idx="14">
                  <c:v>113.5</c:v>
                </c:pt>
                <c:pt idx="15">
                  <c:v>80.5</c:v>
                </c:pt>
                <c:pt idx="16">
                  <c:v>41.5</c:v>
                </c:pt>
                <c:pt idx="17">
                  <c:v>31</c:v>
                </c:pt>
                <c:pt idx="18">
                  <c:v>20</c:v>
                </c:pt>
                <c:pt idx="19">
                  <c:v>5.5</c:v>
                </c:pt>
                <c:pt idx="20">
                  <c:v>1.5</c:v>
                </c:pt>
                <c:pt idx="21">
                  <c:v>5</c:v>
                </c:pt>
                <c:pt idx="22">
                  <c:v>30.5</c:v>
                </c:pt>
                <c:pt idx="23">
                  <c:v>45.5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19728"/>
        <c:axId val="203115416"/>
      </c:lineChart>
      <c:catAx>
        <c:axId val="2031197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115416"/>
        <c:crosses val="autoZero"/>
        <c:auto val="1"/>
        <c:lblAlgn val="ctr"/>
        <c:lblOffset val="100"/>
        <c:noMultiLvlLbl val="0"/>
      </c:catAx>
      <c:valAx>
        <c:axId val="2031154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11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Katungulu-Ishaka'!$C$9:$N$9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Katungulu-Ishaka'!$C$107:$N$107</c:f>
              <c:numCache>
                <c:formatCode>0.0%</c:formatCode>
                <c:ptCount val="12"/>
                <c:pt idx="0">
                  <c:v>8.7700395682785037E-2</c:v>
                </c:pt>
                <c:pt idx="1">
                  <c:v>1.6551801006854789E-2</c:v>
                </c:pt>
                <c:pt idx="2">
                  <c:v>5.9909717449053532E-2</c:v>
                </c:pt>
                <c:pt idx="3">
                  <c:v>5.5934312942356637E-2</c:v>
                </c:pt>
                <c:pt idx="4">
                  <c:v>2.4892719808288907E-3</c:v>
                </c:pt>
                <c:pt idx="5">
                  <c:v>3.0279950214560387E-3</c:v>
                </c:pt>
                <c:pt idx="6">
                  <c:v>1.8855306421950182E-2</c:v>
                </c:pt>
                <c:pt idx="7">
                  <c:v>1.8985343017963632E-2</c:v>
                </c:pt>
                <c:pt idx="8">
                  <c:v>3.2360535750775583E-2</c:v>
                </c:pt>
                <c:pt idx="9">
                  <c:v>1.8000780219576084E-2</c:v>
                </c:pt>
                <c:pt idx="10">
                  <c:v>0.68592446731437307</c:v>
                </c:pt>
                <c:pt idx="11">
                  <c:v>2.6007319202689898E-4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Katungulu-Ishaka'!$C$9:$N$9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Katungulu-Ishaka'!$C$108:$N$108</c:f>
              <c:numCache>
                <c:formatCode>0.00%</c:formatCode>
                <c:ptCount val="12"/>
                <c:pt idx="0">
                  <c:v>0.27923345359910107</c:v>
                </c:pt>
                <c:pt idx="1">
                  <c:v>5.2700065061808729E-2</c:v>
                </c:pt>
                <c:pt idx="2">
                  <c:v>0.19074939374223698</c:v>
                </c:pt>
                <c:pt idx="3">
                  <c:v>0.1780919145915893</c:v>
                </c:pt>
                <c:pt idx="4">
                  <c:v>7.9257112438634904E-3</c:v>
                </c:pt>
                <c:pt idx="5">
                  <c:v>9.6409771100727532E-3</c:v>
                </c:pt>
                <c:pt idx="6">
                  <c:v>6.0034305317324198E-2</c:v>
                </c:pt>
                <c:pt idx="7">
                  <c:v>6.0448335009167825E-2</c:v>
                </c:pt>
                <c:pt idx="8">
                  <c:v>0.10303424617022537</c:v>
                </c:pt>
                <c:pt idx="9">
                  <c:v>5.7313538770923309E-2</c:v>
                </c:pt>
                <c:pt idx="11">
                  <c:v>8.2805938368723012E-4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Katungulu-Ishaka-2Dir'!$C$9:$N$9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Katungulu-Ishaka-2Dir'!$C$107:$N$107</c:f>
              <c:numCache>
                <c:formatCode>0.0%</c:formatCode>
                <c:ptCount val="12"/>
                <c:pt idx="0">
                  <c:v>8.7676206749252472E-2</c:v>
                </c:pt>
                <c:pt idx="1">
                  <c:v>1.729059065667353E-2</c:v>
                </c:pt>
                <c:pt idx="2">
                  <c:v>6.3356762844161404E-2</c:v>
                </c:pt>
                <c:pt idx="3">
                  <c:v>5.6269659430701724E-2</c:v>
                </c:pt>
                <c:pt idx="4">
                  <c:v>2.0678808589957676E-3</c:v>
                </c:pt>
                <c:pt idx="5">
                  <c:v>2.9222166129470703E-3</c:v>
                </c:pt>
                <c:pt idx="6">
                  <c:v>1.9669139062560681E-2</c:v>
                </c:pt>
                <c:pt idx="7">
                  <c:v>1.740709098675779E-2</c:v>
                </c:pt>
                <c:pt idx="8">
                  <c:v>2.7096035105432806E-2</c:v>
                </c:pt>
                <c:pt idx="9">
                  <c:v>2.1892353695002142E-2</c:v>
                </c:pt>
                <c:pt idx="10">
                  <c:v>0.6841578967807076</c:v>
                </c:pt>
                <c:pt idx="11">
                  <c:v>1.9416721680711425E-4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Katungulu-Ishaka-2Dir'!$C$9:$N$9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Katungulu-Ishaka-2Dir'!$C$108:$N$108</c:f>
              <c:numCache>
                <c:formatCode>0.00%</c:formatCode>
                <c:ptCount val="12"/>
                <c:pt idx="0">
                  <c:v>0.27759505732640716</c:v>
                </c:pt>
                <c:pt idx="1">
                  <c:v>5.4744413364891047E-2</c:v>
                </c:pt>
                <c:pt idx="2">
                  <c:v>0.20059631758522123</c:v>
                </c:pt>
                <c:pt idx="3">
                  <c:v>0.17815756308978581</c:v>
                </c:pt>
                <c:pt idx="4">
                  <c:v>6.5471982294900578E-3</c:v>
                </c:pt>
                <c:pt idx="5">
                  <c:v>9.2521439768850113E-3</c:v>
                </c:pt>
                <c:pt idx="6">
                  <c:v>6.2275228229797454E-2</c:v>
                </c:pt>
                <c:pt idx="7">
                  <c:v>5.5113269603172158E-2</c:v>
                </c:pt>
                <c:pt idx="8">
                  <c:v>8.5789813420219505E-2</c:v>
                </c:pt>
                <c:pt idx="9">
                  <c:v>6.9314234776995692E-2</c:v>
                </c:pt>
                <c:pt idx="11">
                  <c:v>6.1476039713521653E-4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Katungulu-Ishaka-2Dir'!$AE$9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Katungulu-Ishaka-2Dir'!$R$10:$R$33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Katungulu-Ishaka-2Dir'!$AE$10:$AE$33</c:f>
              <c:numCache>
                <c:formatCode>0</c:formatCode>
                <c:ptCount val="24"/>
                <c:pt idx="0">
                  <c:v>41.142857142857139</c:v>
                </c:pt>
                <c:pt idx="1">
                  <c:v>97.571428571428555</c:v>
                </c:pt>
                <c:pt idx="2">
                  <c:v>117.57142857142858</c:v>
                </c:pt>
                <c:pt idx="3">
                  <c:v>138.57142857142858</c:v>
                </c:pt>
                <c:pt idx="4">
                  <c:v>135.85714285714286</c:v>
                </c:pt>
                <c:pt idx="5">
                  <c:v>139.28571428571428</c:v>
                </c:pt>
                <c:pt idx="6">
                  <c:v>163</c:v>
                </c:pt>
                <c:pt idx="7">
                  <c:v>143.28571428571428</c:v>
                </c:pt>
                <c:pt idx="8">
                  <c:v>130.57142857142858</c:v>
                </c:pt>
                <c:pt idx="9">
                  <c:v>153.85714285714283</c:v>
                </c:pt>
                <c:pt idx="10">
                  <c:v>175.14285714285714</c:v>
                </c:pt>
                <c:pt idx="11">
                  <c:v>154.42857142857144</c:v>
                </c:pt>
                <c:pt idx="12">
                  <c:v>192.5</c:v>
                </c:pt>
                <c:pt idx="13">
                  <c:v>124</c:v>
                </c:pt>
                <c:pt idx="14">
                  <c:v>95.5</c:v>
                </c:pt>
                <c:pt idx="15">
                  <c:v>94.5</c:v>
                </c:pt>
                <c:pt idx="16">
                  <c:v>61</c:v>
                </c:pt>
                <c:pt idx="17">
                  <c:v>39.5</c:v>
                </c:pt>
                <c:pt idx="18">
                  <c:v>15</c:v>
                </c:pt>
                <c:pt idx="19">
                  <c:v>9.5</c:v>
                </c:pt>
                <c:pt idx="20">
                  <c:v>3.5</c:v>
                </c:pt>
                <c:pt idx="21">
                  <c:v>9</c:v>
                </c:pt>
                <c:pt idx="22">
                  <c:v>32.5</c:v>
                </c:pt>
                <c:pt idx="23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3C-4A16-96E2-36733FA63C20}"/>
            </c:ext>
          </c:extLst>
        </c:ser>
        <c:ser>
          <c:idx val="1"/>
          <c:order val="1"/>
          <c:tx>
            <c:strRef>
              <c:f>'Avg Week Katungulu-Ishaka-2Dir'!$AF$9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Katungulu-Ishaka-2Dir'!$R$10:$R$33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Katungulu-Ishaka-2Dir'!$AF$10:$AF$33</c:f>
              <c:numCache>
                <c:formatCode>0</c:formatCode>
                <c:ptCount val="24"/>
                <c:pt idx="0">
                  <c:v>141.28571428571428</c:v>
                </c:pt>
                <c:pt idx="1">
                  <c:v>425.28571428571422</c:v>
                </c:pt>
                <c:pt idx="2">
                  <c:v>500.14285714285717</c:v>
                </c:pt>
                <c:pt idx="3">
                  <c:v>546.85714285714289</c:v>
                </c:pt>
                <c:pt idx="4">
                  <c:v>515.14285714285711</c:v>
                </c:pt>
                <c:pt idx="5">
                  <c:v>498.28571428571428</c:v>
                </c:pt>
                <c:pt idx="6">
                  <c:v>537.57142857142856</c:v>
                </c:pt>
                <c:pt idx="7">
                  <c:v>429.85714285714283</c:v>
                </c:pt>
                <c:pt idx="8">
                  <c:v>476</c:v>
                </c:pt>
                <c:pt idx="9">
                  <c:v>505.85714285714283</c:v>
                </c:pt>
                <c:pt idx="10">
                  <c:v>579.42857142857133</c:v>
                </c:pt>
                <c:pt idx="11">
                  <c:v>491.71428571428578</c:v>
                </c:pt>
                <c:pt idx="12">
                  <c:v>633</c:v>
                </c:pt>
                <c:pt idx="13">
                  <c:v>390.5</c:v>
                </c:pt>
                <c:pt idx="14">
                  <c:v>200.5</c:v>
                </c:pt>
                <c:pt idx="15">
                  <c:v>150</c:v>
                </c:pt>
                <c:pt idx="16">
                  <c:v>98</c:v>
                </c:pt>
                <c:pt idx="17">
                  <c:v>57.5</c:v>
                </c:pt>
                <c:pt idx="18">
                  <c:v>33</c:v>
                </c:pt>
                <c:pt idx="19">
                  <c:v>10.5</c:v>
                </c:pt>
                <c:pt idx="20">
                  <c:v>3.5</c:v>
                </c:pt>
                <c:pt idx="21">
                  <c:v>9</c:v>
                </c:pt>
                <c:pt idx="22">
                  <c:v>42.5</c:v>
                </c:pt>
                <c:pt idx="23">
                  <c:v>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83C-4A16-96E2-36733FA63C20}"/>
            </c:ext>
          </c:extLst>
        </c:ser>
        <c:ser>
          <c:idx val="5"/>
          <c:order val="2"/>
          <c:tx>
            <c:strRef>
              <c:f>'Avg Week Katungulu-Ishaka-2Dir'!$AC$9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Katungulu-Ishaka-2Dir'!$R$10:$R$33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Katungulu-Ishaka-2Dir'!$AC$10:$AC$33</c:f>
              <c:numCache>
                <c:formatCode>0</c:formatCode>
                <c:ptCount val="24"/>
                <c:pt idx="0">
                  <c:v>100.14285714285714</c:v>
                </c:pt>
                <c:pt idx="1">
                  <c:v>327.71428571428572</c:v>
                </c:pt>
                <c:pt idx="2">
                  <c:v>382.57142857142861</c:v>
                </c:pt>
                <c:pt idx="3">
                  <c:v>408.28571428571428</c:v>
                </c:pt>
                <c:pt idx="4">
                  <c:v>379.28571428571428</c:v>
                </c:pt>
                <c:pt idx="5">
                  <c:v>359</c:v>
                </c:pt>
                <c:pt idx="6">
                  <c:v>374.57142857142856</c:v>
                </c:pt>
                <c:pt idx="7">
                  <c:v>286.57142857142861</c:v>
                </c:pt>
                <c:pt idx="8">
                  <c:v>345.42857142857144</c:v>
                </c:pt>
                <c:pt idx="9">
                  <c:v>352</c:v>
                </c:pt>
                <c:pt idx="10">
                  <c:v>404.28571428571428</c:v>
                </c:pt>
                <c:pt idx="11">
                  <c:v>337.28571428571428</c:v>
                </c:pt>
                <c:pt idx="12">
                  <c:v>440.5</c:v>
                </c:pt>
                <c:pt idx="13">
                  <c:v>266.5</c:v>
                </c:pt>
                <c:pt idx="14">
                  <c:v>105</c:v>
                </c:pt>
                <c:pt idx="15">
                  <c:v>55.5</c:v>
                </c:pt>
                <c:pt idx="16">
                  <c:v>37</c:v>
                </c:pt>
                <c:pt idx="17">
                  <c:v>18</c:v>
                </c:pt>
                <c:pt idx="18">
                  <c:v>18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10</c:v>
                </c:pt>
                <c:pt idx="2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3C-4A16-96E2-36733FA63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Katungulu-Ishaka-2Dir'!$S$9:$AF$9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Katungulu-Ishaka-2Dir'!$S$41:$AF$41</c:f>
              <c:numCache>
                <c:formatCode>_(* #,##0_);_(* \(#,##0\);_(* "-"_);_(@_)</c:formatCode>
                <c:ptCount val="14"/>
                <c:pt idx="0">
                  <c:v>645.07142857142856</c:v>
                </c:pt>
                <c:pt idx="1">
                  <c:v>127.21428571428572</c:v>
                </c:pt>
                <c:pt idx="2">
                  <c:v>466.14285714285717</c:v>
                </c:pt>
                <c:pt idx="3">
                  <c:v>414.00000000000006</c:v>
                </c:pt>
                <c:pt idx="4">
                  <c:v>15.214285714285715</c:v>
                </c:pt>
                <c:pt idx="5">
                  <c:v>21.5</c:v>
                </c:pt>
                <c:pt idx="6">
                  <c:v>144.71428571428569</c:v>
                </c:pt>
                <c:pt idx="7">
                  <c:v>128.07142857142856</c:v>
                </c:pt>
                <c:pt idx="8">
                  <c:v>199.35714285714283</c:v>
                </c:pt>
                <c:pt idx="9">
                  <c:v>161.07142857142856</c:v>
                </c:pt>
                <c:pt idx="10">
                  <c:v>5033.6428571428569</c:v>
                </c:pt>
                <c:pt idx="11">
                  <c:v>1.4285714285714284</c:v>
                </c:pt>
                <c:pt idx="12">
                  <c:v>2323.7857142857142</c:v>
                </c:pt>
                <c:pt idx="13">
                  <c:v>7357.4285714285706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9-4FA5-AD0A-F024DE5C65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Katungulu-Ishaka-2Dir'!$S$9:$AF$9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Katungulu-Ishaka-2Dir'!$S$42:$AF$42</c:f>
              <c:numCache>
                <c:formatCode>0.000</c:formatCode>
                <c:ptCount val="14"/>
                <c:pt idx="0">
                  <c:v>1.3825780771586038</c:v>
                </c:pt>
                <c:pt idx="1">
                  <c:v>2.2042079207920793</c:v>
                </c:pt>
                <c:pt idx="2">
                  <c:v>1.4791477787851315</c:v>
                </c:pt>
                <c:pt idx="3">
                  <c:v>1.3529411764705881</c:v>
                </c:pt>
                <c:pt idx="4">
                  <c:v>1.9722222222222223</c:v>
                </c:pt>
                <c:pt idx="5">
                  <c:v>2.1500000000000004</c:v>
                </c:pt>
                <c:pt idx="6">
                  <c:v>1.1988165680473373</c:v>
                </c:pt>
                <c:pt idx="7">
                  <c:v>1.5895390070921984</c:v>
                </c:pt>
                <c:pt idx="8">
                  <c:v>1.7059902200488997</c:v>
                </c:pt>
                <c:pt idx="9">
                  <c:v>1.4973439575033201</c:v>
                </c:pt>
                <c:pt idx="10">
                  <c:v>1.24068661971831</c:v>
                </c:pt>
                <c:pt idx="11">
                  <c:v>1</c:v>
                </c:pt>
                <c:pt idx="12">
                  <c:v>1.4612378727991377</c:v>
                </c:pt>
                <c:pt idx="13">
                  <c:v>1.3027926742891835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C-4411-ADD7-3508D95909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pn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" Type="http://schemas.openxmlformats.org/officeDocument/2006/relationships/chart" Target="../charts/chart7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" Type="http://schemas.openxmlformats.org/officeDocument/2006/relationships/chart" Target="../charts/chart10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13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1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23.xml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6" Type="http://schemas.openxmlformats.org/officeDocument/2006/relationships/chart" Target="../charts/chart27.xml"/><Relationship Id="rId1" Type="http://schemas.openxmlformats.org/officeDocument/2006/relationships/chart" Target="../charts/chart24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5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6" Type="http://schemas.openxmlformats.org/officeDocument/2006/relationships/chart" Target="../charts/chart31.xml"/><Relationship Id="rId1" Type="http://schemas.openxmlformats.org/officeDocument/2006/relationships/chart" Target="../charts/chart28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pn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6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6349</xdr:rowOff>
    </xdr:from>
    <xdr:to>
      <xdr:col>27</xdr:col>
      <xdr:colOff>666751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58</xdr:row>
      <xdr:rowOff>88901</xdr:rowOff>
    </xdr:from>
    <xdr:to>
      <xdr:col>30</xdr:col>
      <xdr:colOff>31750</xdr:colOff>
      <xdr:row>73</xdr:row>
      <xdr:rowOff>63500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22224</xdr:colOff>
      <xdr:row>58</xdr:row>
      <xdr:rowOff>79376</xdr:rowOff>
    </xdr:from>
    <xdr:to>
      <xdr:col>23</xdr:col>
      <xdr:colOff>698500</xdr:colOff>
      <xdr:row>73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42</xdr:row>
      <xdr:rowOff>276224</xdr:rowOff>
    </xdr:from>
    <xdr:to>
      <xdr:col>27</xdr:col>
      <xdr:colOff>682626</xdr:colOff>
      <xdr:row>58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23</xdr:col>
      <xdr:colOff>698501</xdr:colOff>
      <xdr:row>58</xdr:row>
      <xdr:rowOff>263526</xdr:rowOff>
    </xdr:from>
    <xdr:to>
      <xdr:col>29</xdr:col>
      <xdr:colOff>698501</xdr:colOff>
      <xdr:row>72</xdr:row>
      <xdr:rowOff>238126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15876</xdr:colOff>
      <xdr:row>58</xdr:row>
      <xdr:rowOff>269876</xdr:rowOff>
    </xdr:from>
    <xdr:to>
      <xdr:col>24</xdr:col>
      <xdr:colOff>0</xdr:colOff>
      <xdr:row>72</xdr:row>
      <xdr:rowOff>238125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73025</xdr:rowOff>
    </xdr:from>
    <xdr:to>
      <xdr:col>23</xdr:col>
      <xdr:colOff>650874</xdr:colOff>
      <xdr:row>74</xdr:row>
      <xdr:rowOff>63500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74</xdr:row>
      <xdr:rowOff>79375</xdr:rowOff>
    </xdr:from>
    <xdr:to>
      <xdr:col>24</xdr:col>
      <xdr:colOff>0</xdr:colOff>
      <xdr:row>90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1</xdr:rowOff>
    </xdr:from>
    <xdr:to>
      <xdr:col>30</xdr:col>
      <xdr:colOff>666750</xdr:colOff>
      <xdr:row>58</xdr:row>
      <xdr:rowOff>31751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666750</xdr:colOff>
      <xdr:row>58</xdr:row>
      <xdr:rowOff>63500</xdr:rowOff>
    </xdr:from>
    <xdr:to>
      <xdr:col>30</xdr:col>
      <xdr:colOff>650875</xdr:colOff>
      <xdr:row>74</xdr:row>
      <xdr:rowOff>61913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635000</xdr:colOff>
      <xdr:row>74</xdr:row>
      <xdr:rowOff>63500</xdr:rowOff>
    </xdr:from>
    <xdr:to>
      <xdr:col>31</xdr:col>
      <xdr:colOff>0</xdr:colOff>
      <xdr:row>90</xdr:row>
      <xdr:rowOff>141288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B1:AF174"/>
  <sheetViews>
    <sheetView view="pageBreakPreview" topLeftCell="A40" zoomScale="60" workbookViewId="0">
      <selection activeCell="O5" sqref="O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'09.09 Ishaka-Katungulu'!C3:G3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56" t="str">
        <f>'12.09 Katungulu-Ishaka'!G5:H5</f>
        <v>Rubirizi</v>
      </c>
      <c r="H5" s="57"/>
      <c r="I5" s="14"/>
      <c r="J5" s="2" t="s">
        <v>5</v>
      </c>
      <c r="K5" s="56" t="str">
        <f>'12.09 Katungulu-Ishaka'!K5:L5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'09.09 Ishaka-Katungulu'!D6:E6</f>
        <v>Ishaka</v>
      </c>
      <c r="E6" s="57"/>
      <c r="F6" s="2" t="s">
        <v>2</v>
      </c>
      <c r="G6" s="56" t="str">
        <f>'09.09 Ishaka-Katungulu'!G6:H6</f>
        <v>Katungulu</v>
      </c>
      <c r="H6" s="57"/>
      <c r="J6" s="2" t="s">
        <v>21</v>
      </c>
      <c r="K6" s="56" t="str">
        <f>'12.09 Katungulu-Ishaka'!K6:L6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2</v>
      </c>
      <c r="M10" s="50">
        <v>5</v>
      </c>
      <c r="N10" s="50">
        <v>0</v>
      </c>
      <c r="O10" s="15">
        <f t="shared" ref="O10:O57" si="0">SUM(C10:L10,N10)</f>
        <v>7</v>
      </c>
      <c r="P10" s="15">
        <f t="shared" ref="P10:P57" si="1">SUM(C10:N10)</f>
        <v>12</v>
      </c>
      <c r="R10" s="1" t="s">
        <v>6</v>
      </c>
      <c r="S10" s="17">
        <f t="shared" ref="S10:AF10" si="2">SUM(C10:C13)</f>
        <v>13</v>
      </c>
      <c r="T10" s="17">
        <f>SUM(D10:D13)</f>
        <v>0</v>
      </c>
      <c r="U10" s="17">
        <f t="shared" si="2"/>
        <v>0</v>
      </c>
      <c r="V10" s="17">
        <f t="shared" si="2"/>
        <v>5</v>
      </c>
      <c r="W10" s="17">
        <f t="shared" si="2"/>
        <v>2</v>
      </c>
      <c r="X10" s="17">
        <f t="shared" si="2"/>
        <v>0</v>
      </c>
      <c r="Y10" s="17">
        <f t="shared" si="2"/>
        <v>0</v>
      </c>
      <c r="Z10" s="17">
        <f t="shared" si="2"/>
        <v>6</v>
      </c>
      <c r="AA10" s="17">
        <f t="shared" si="2"/>
        <v>1</v>
      </c>
      <c r="AB10" s="17">
        <f t="shared" si="2"/>
        <v>6</v>
      </c>
      <c r="AC10" s="17">
        <f t="shared" si="2"/>
        <v>45</v>
      </c>
      <c r="AD10" s="17">
        <f t="shared" si="2"/>
        <v>0</v>
      </c>
      <c r="AE10" s="31">
        <f t="shared" si="2"/>
        <v>33</v>
      </c>
      <c r="AF10" s="31">
        <f t="shared" si="2"/>
        <v>78</v>
      </c>
    </row>
    <row r="11" spans="2:32" s="6" customFormat="1" ht="23.1" customHeight="1" x14ac:dyDescent="0.25">
      <c r="B11" s="45" t="s">
        <v>38</v>
      </c>
      <c r="C11" s="50">
        <v>3</v>
      </c>
      <c r="D11" s="50">
        <v>0</v>
      </c>
      <c r="E11" s="50">
        <v>0</v>
      </c>
      <c r="F11" s="50">
        <v>3</v>
      </c>
      <c r="G11" s="50">
        <v>1</v>
      </c>
      <c r="H11" s="50">
        <v>0</v>
      </c>
      <c r="I11" s="50">
        <v>0</v>
      </c>
      <c r="J11" s="50">
        <v>2</v>
      </c>
      <c r="K11" s="50">
        <v>1</v>
      </c>
      <c r="L11" s="50">
        <v>3</v>
      </c>
      <c r="M11" s="50">
        <v>8</v>
      </c>
      <c r="N11" s="50">
        <v>0</v>
      </c>
      <c r="O11" s="15">
        <f t="shared" si="0"/>
        <v>13</v>
      </c>
      <c r="P11" s="15">
        <f t="shared" si="1"/>
        <v>21</v>
      </c>
      <c r="R11" s="1" t="s">
        <v>7</v>
      </c>
      <c r="S11" s="17">
        <f t="shared" ref="S11:AF11" si="3">SUM(C14:C17)</f>
        <v>8</v>
      </c>
      <c r="T11" s="17">
        <f>SUM(D14:D17)</f>
        <v>4</v>
      </c>
      <c r="U11" s="17">
        <f t="shared" si="3"/>
        <v>7</v>
      </c>
      <c r="V11" s="17">
        <f t="shared" si="3"/>
        <v>16</v>
      </c>
      <c r="W11" s="17">
        <f t="shared" si="3"/>
        <v>0</v>
      </c>
      <c r="X11" s="17">
        <f t="shared" si="3"/>
        <v>1</v>
      </c>
      <c r="Y11" s="17">
        <f t="shared" si="3"/>
        <v>3</v>
      </c>
      <c r="Z11" s="17">
        <f t="shared" si="3"/>
        <v>16</v>
      </c>
      <c r="AA11" s="17">
        <f t="shared" si="3"/>
        <v>13</v>
      </c>
      <c r="AB11" s="17">
        <f t="shared" si="3"/>
        <v>15</v>
      </c>
      <c r="AC11" s="17">
        <f t="shared" si="3"/>
        <v>137</v>
      </c>
      <c r="AD11" s="17">
        <f t="shared" si="3"/>
        <v>1</v>
      </c>
      <c r="AE11" s="31">
        <f t="shared" si="3"/>
        <v>84</v>
      </c>
      <c r="AF11" s="31">
        <f t="shared" si="3"/>
        <v>221</v>
      </c>
    </row>
    <row r="12" spans="2:32" ht="23.1" customHeight="1" x14ac:dyDescent="0.25">
      <c r="B12" s="45" t="s">
        <v>39</v>
      </c>
      <c r="C12" s="50">
        <v>3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12</v>
      </c>
      <c r="N12" s="50">
        <v>0</v>
      </c>
      <c r="O12" s="15">
        <f t="shared" si="0"/>
        <v>4</v>
      </c>
      <c r="P12" s="15">
        <f t="shared" si="1"/>
        <v>16</v>
      </c>
      <c r="R12" s="1" t="s">
        <v>8</v>
      </c>
      <c r="S12" s="17">
        <f t="shared" ref="S12:AF12" si="4">SUM(C18:C21)</f>
        <v>19</v>
      </c>
      <c r="T12" s="17">
        <f t="shared" si="4"/>
        <v>6</v>
      </c>
      <c r="U12" s="17">
        <f t="shared" si="4"/>
        <v>11</v>
      </c>
      <c r="V12" s="17">
        <f t="shared" si="4"/>
        <v>13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6</v>
      </c>
      <c r="AA12" s="17">
        <f t="shared" si="4"/>
        <v>12</v>
      </c>
      <c r="AB12" s="17">
        <f t="shared" si="4"/>
        <v>1</v>
      </c>
      <c r="AC12" s="17">
        <f t="shared" si="4"/>
        <v>155</v>
      </c>
      <c r="AD12" s="17">
        <f t="shared" si="4"/>
        <v>0</v>
      </c>
      <c r="AE12" s="31">
        <f t="shared" si="4"/>
        <v>69</v>
      </c>
      <c r="AF12" s="31">
        <f t="shared" si="4"/>
        <v>224</v>
      </c>
    </row>
    <row r="13" spans="2:32" ht="23.1" customHeight="1" x14ac:dyDescent="0.25">
      <c r="B13" s="45" t="s">
        <v>40</v>
      </c>
      <c r="C13" s="50">
        <v>5</v>
      </c>
      <c r="D13" s="50">
        <v>0</v>
      </c>
      <c r="E13" s="50">
        <v>0</v>
      </c>
      <c r="F13" s="50">
        <v>0</v>
      </c>
      <c r="G13" s="50">
        <v>1</v>
      </c>
      <c r="H13" s="50">
        <v>0</v>
      </c>
      <c r="I13" s="50">
        <v>0</v>
      </c>
      <c r="J13" s="50">
        <v>2</v>
      </c>
      <c r="K13" s="50">
        <v>0</v>
      </c>
      <c r="L13" s="50">
        <v>1</v>
      </c>
      <c r="M13" s="50">
        <v>20</v>
      </c>
      <c r="N13" s="50">
        <v>0</v>
      </c>
      <c r="O13" s="15">
        <f t="shared" si="0"/>
        <v>9</v>
      </c>
      <c r="P13" s="15">
        <f t="shared" si="1"/>
        <v>29</v>
      </c>
      <c r="R13" s="1" t="s">
        <v>9</v>
      </c>
      <c r="S13" s="17">
        <f t="shared" ref="S13:AF13" si="5">SUM(C22:C25)</f>
        <v>16</v>
      </c>
      <c r="T13" s="17">
        <f t="shared" si="5"/>
        <v>8</v>
      </c>
      <c r="U13" s="17">
        <f t="shared" si="5"/>
        <v>9</v>
      </c>
      <c r="V13" s="17">
        <f t="shared" si="5"/>
        <v>10</v>
      </c>
      <c r="W13" s="17">
        <f t="shared" si="5"/>
        <v>1</v>
      </c>
      <c r="X13" s="17">
        <f t="shared" si="5"/>
        <v>0</v>
      </c>
      <c r="Y13" s="17">
        <f t="shared" si="5"/>
        <v>1</v>
      </c>
      <c r="Z13" s="17">
        <f t="shared" si="5"/>
        <v>4</v>
      </c>
      <c r="AA13" s="17">
        <f t="shared" si="5"/>
        <v>13</v>
      </c>
      <c r="AB13" s="17">
        <f t="shared" si="5"/>
        <v>6</v>
      </c>
      <c r="AC13" s="17">
        <f t="shared" si="5"/>
        <v>175</v>
      </c>
      <c r="AD13" s="17">
        <f t="shared" si="5"/>
        <v>0</v>
      </c>
      <c r="AE13" s="31">
        <f t="shared" si="5"/>
        <v>68</v>
      </c>
      <c r="AF13" s="31">
        <f t="shared" si="5"/>
        <v>243</v>
      </c>
    </row>
    <row r="14" spans="2:32" ht="23.1" customHeight="1" x14ac:dyDescent="0.25">
      <c r="B14" s="45" t="s">
        <v>41</v>
      </c>
      <c r="C14" s="50">
        <v>3</v>
      </c>
      <c r="D14" s="50">
        <v>1</v>
      </c>
      <c r="E14" s="50">
        <v>2</v>
      </c>
      <c r="F14" s="50">
        <v>4</v>
      </c>
      <c r="G14" s="50">
        <v>0</v>
      </c>
      <c r="H14" s="50">
        <v>0</v>
      </c>
      <c r="I14" s="50">
        <v>1</v>
      </c>
      <c r="J14" s="50">
        <v>2</v>
      </c>
      <c r="K14" s="50">
        <v>3</v>
      </c>
      <c r="L14" s="50">
        <v>4</v>
      </c>
      <c r="M14" s="50">
        <v>23</v>
      </c>
      <c r="N14" s="50">
        <v>0</v>
      </c>
      <c r="O14" s="15">
        <f t="shared" si="0"/>
        <v>20</v>
      </c>
      <c r="P14" s="15">
        <f t="shared" si="1"/>
        <v>43</v>
      </c>
      <c r="R14" s="1" t="s">
        <v>10</v>
      </c>
      <c r="S14" s="17">
        <f t="shared" ref="S14:AF14" si="6">SUM(C26:C29)</f>
        <v>37</v>
      </c>
      <c r="T14" s="17">
        <f t="shared" si="6"/>
        <v>8</v>
      </c>
      <c r="U14" s="17">
        <f t="shared" si="6"/>
        <v>12</v>
      </c>
      <c r="V14" s="17">
        <f t="shared" si="6"/>
        <v>17</v>
      </c>
      <c r="W14" s="17">
        <f t="shared" si="6"/>
        <v>1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4</v>
      </c>
      <c r="AB14" s="17">
        <f t="shared" si="6"/>
        <v>4</v>
      </c>
      <c r="AC14" s="17">
        <f t="shared" si="6"/>
        <v>178</v>
      </c>
      <c r="AD14" s="17">
        <f t="shared" si="6"/>
        <v>0</v>
      </c>
      <c r="AE14" s="31">
        <f t="shared" si="6"/>
        <v>89</v>
      </c>
      <c r="AF14" s="31">
        <f t="shared" si="6"/>
        <v>267</v>
      </c>
    </row>
    <row r="15" spans="2:32" ht="23.1" customHeight="1" x14ac:dyDescent="0.25">
      <c r="B15" s="45" t="s">
        <v>42</v>
      </c>
      <c r="C15" s="50">
        <v>5</v>
      </c>
      <c r="D15" s="50">
        <v>2</v>
      </c>
      <c r="E15" s="50">
        <v>3</v>
      </c>
      <c r="F15" s="50">
        <v>6</v>
      </c>
      <c r="G15" s="50">
        <v>0</v>
      </c>
      <c r="H15" s="50">
        <v>1</v>
      </c>
      <c r="I15" s="50">
        <v>2</v>
      </c>
      <c r="J15" s="50">
        <v>3</v>
      </c>
      <c r="K15" s="50">
        <v>5</v>
      </c>
      <c r="L15" s="50">
        <v>5</v>
      </c>
      <c r="M15" s="50">
        <v>39</v>
      </c>
      <c r="N15" s="50">
        <v>1</v>
      </c>
      <c r="O15" s="15">
        <f t="shared" si="0"/>
        <v>33</v>
      </c>
      <c r="P15" s="15">
        <f t="shared" si="1"/>
        <v>72</v>
      </c>
      <c r="R15" s="1" t="s">
        <v>11</v>
      </c>
      <c r="S15" s="17">
        <f t="shared" ref="S15:AF15" si="7">SUM(C30:C33)</f>
        <v>32</v>
      </c>
      <c r="T15" s="17">
        <f t="shared" si="7"/>
        <v>11</v>
      </c>
      <c r="U15" s="17">
        <f t="shared" si="7"/>
        <v>16</v>
      </c>
      <c r="V15" s="17">
        <f t="shared" si="7"/>
        <v>9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6</v>
      </c>
      <c r="AA15" s="17">
        <f t="shared" si="7"/>
        <v>1</v>
      </c>
      <c r="AB15" s="17">
        <f t="shared" si="7"/>
        <v>2</v>
      </c>
      <c r="AC15" s="17">
        <f t="shared" si="7"/>
        <v>179</v>
      </c>
      <c r="AD15" s="17">
        <f t="shared" si="7"/>
        <v>0</v>
      </c>
      <c r="AE15" s="31">
        <f t="shared" si="7"/>
        <v>81</v>
      </c>
      <c r="AF15" s="31">
        <f t="shared" si="7"/>
        <v>260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1</v>
      </c>
      <c r="F16" s="50">
        <v>2</v>
      </c>
      <c r="G16" s="50">
        <v>0</v>
      </c>
      <c r="H16" s="50">
        <v>0</v>
      </c>
      <c r="I16" s="50">
        <v>0</v>
      </c>
      <c r="J16" s="50">
        <v>4</v>
      </c>
      <c r="K16" s="50">
        <v>2</v>
      </c>
      <c r="L16" s="50">
        <v>2</v>
      </c>
      <c r="M16" s="50">
        <v>28</v>
      </c>
      <c r="N16" s="50">
        <v>0</v>
      </c>
      <c r="O16" s="15">
        <f t="shared" si="0"/>
        <v>11</v>
      </c>
      <c r="P16" s="15">
        <f t="shared" si="1"/>
        <v>39</v>
      </c>
      <c r="R16" s="1" t="s">
        <v>12</v>
      </c>
      <c r="S16" s="17">
        <f t="shared" ref="S16:AF16" si="8">SUM(C34:C37)</f>
        <v>27</v>
      </c>
      <c r="T16" s="17">
        <f t="shared" si="8"/>
        <v>6</v>
      </c>
      <c r="U16" s="17">
        <f t="shared" si="8"/>
        <v>8</v>
      </c>
      <c r="V16" s="17">
        <f t="shared" si="8"/>
        <v>20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8</v>
      </c>
      <c r="AA16" s="17">
        <f t="shared" si="8"/>
        <v>4</v>
      </c>
      <c r="AB16" s="17">
        <f t="shared" si="8"/>
        <v>1</v>
      </c>
      <c r="AC16" s="17">
        <f t="shared" si="8"/>
        <v>184</v>
      </c>
      <c r="AD16" s="17">
        <f t="shared" si="8"/>
        <v>0</v>
      </c>
      <c r="AE16" s="31">
        <f t="shared" si="8"/>
        <v>77</v>
      </c>
      <c r="AF16" s="31">
        <f t="shared" si="8"/>
        <v>261</v>
      </c>
    </row>
    <row r="17" spans="2:32" ht="23.1" customHeight="1" x14ac:dyDescent="0.25">
      <c r="B17" s="45" t="s">
        <v>44</v>
      </c>
      <c r="C17" s="50">
        <v>0</v>
      </c>
      <c r="D17" s="50">
        <v>1</v>
      </c>
      <c r="E17" s="50">
        <v>1</v>
      </c>
      <c r="F17" s="50">
        <v>4</v>
      </c>
      <c r="G17" s="50">
        <v>0</v>
      </c>
      <c r="H17" s="50">
        <v>0</v>
      </c>
      <c r="I17" s="50">
        <v>0</v>
      </c>
      <c r="J17" s="50">
        <v>7</v>
      </c>
      <c r="K17" s="50">
        <v>3</v>
      </c>
      <c r="L17" s="50">
        <v>4</v>
      </c>
      <c r="M17" s="50">
        <v>47</v>
      </c>
      <c r="N17" s="50">
        <v>0</v>
      </c>
      <c r="O17" s="15">
        <f t="shared" si="0"/>
        <v>20</v>
      </c>
      <c r="P17" s="15">
        <f t="shared" si="1"/>
        <v>67</v>
      </c>
      <c r="R17" s="1" t="s">
        <v>13</v>
      </c>
      <c r="S17" s="17">
        <f t="shared" ref="S17:AF17" si="9">SUM(C38:C41)</f>
        <v>32</v>
      </c>
      <c r="T17" s="17">
        <f t="shared" si="9"/>
        <v>9</v>
      </c>
      <c r="U17" s="17">
        <f t="shared" si="9"/>
        <v>14</v>
      </c>
      <c r="V17" s="17">
        <f t="shared" si="9"/>
        <v>16</v>
      </c>
      <c r="W17" s="17">
        <f t="shared" si="9"/>
        <v>0</v>
      </c>
      <c r="X17" s="17">
        <f t="shared" si="9"/>
        <v>0</v>
      </c>
      <c r="Y17" s="17">
        <f t="shared" si="9"/>
        <v>14</v>
      </c>
      <c r="Z17" s="17">
        <f t="shared" si="9"/>
        <v>1</v>
      </c>
      <c r="AA17" s="17">
        <f t="shared" si="9"/>
        <v>13</v>
      </c>
      <c r="AB17" s="17">
        <f t="shared" si="9"/>
        <v>2</v>
      </c>
      <c r="AC17" s="17">
        <f t="shared" si="9"/>
        <v>184</v>
      </c>
      <c r="AD17" s="17">
        <f t="shared" si="9"/>
        <v>0</v>
      </c>
      <c r="AE17" s="31">
        <f t="shared" si="9"/>
        <v>101</v>
      </c>
      <c r="AF17" s="31">
        <f t="shared" si="9"/>
        <v>285</v>
      </c>
    </row>
    <row r="18" spans="2:32" ht="23.1" customHeight="1" x14ac:dyDescent="0.25">
      <c r="B18" s="45" t="s">
        <v>45</v>
      </c>
      <c r="C18" s="50">
        <v>4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2</v>
      </c>
      <c r="K18" s="50">
        <v>0</v>
      </c>
      <c r="L18" s="50">
        <v>0</v>
      </c>
      <c r="M18" s="50">
        <v>27</v>
      </c>
      <c r="N18" s="50">
        <v>0</v>
      </c>
      <c r="O18" s="15">
        <f t="shared" si="0"/>
        <v>7</v>
      </c>
      <c r="P18" s="15">
        <f t="shared" si="1"/>
        <v>34</v>
      </c>
      <c r="R18" s="1" t="s">
        <v>14</v>
      </c>
      <c r="S18" s="17">
        <f t="shared" ref="S18:AF18" si="10">SUM(C42:C45)</f>
        <v>16</v>
      </c>
      <c r="T18" s="17">
        <f t="shared" si="10"/>
        <v>7</v>
      </c>
      <c r="U18" s="17">
        <f t="shared" si="10"/>
        <v>10</v>
      </c>
      <c r="V18" s="17">
        <f t="shared" si="10"/>
        <v>14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9</v>
      </c>
      <c r="AA18" s="17">
        <f t="shared" si="10"/>
        <v>11</v>
      </c>
      <c r="AB18" s="17">
        <f t="shared" si="10"/>
        <v>6</v>
      </c>
      <c r="AC18" s="17">
        <f t="shared" si="10"/>
        <v>164</v>
      </c>
      <c r="AD18" s="17">
        <f t="shared" si="10"/>
        <v>0</v>
      </c>
      <c r="AE18" s="31">
        <f t="shared" si="10"/>
        <v>79</v>
      </c>
      <c r="AF18" s="31">
        <f t="shared" si="10"/>
        <v>243</v>
      </c>
    </row>
    <row r="19" spans="2:32" ht="23.1" customHeight="1" x14ac:dyDescent="0.25">
      <c r="B19" s="45" t="s">
        <v>46</v>
      </c>
      <c r="C19" s="50">
        <v>7</v>
      </c>
      <c r="D19" s="50">
        <v>0</v>
      </c>
      <c r="E19" s="50">
        <v>1</v>
      </c>
      <c r="F19" s="50">
        <v>2</v>
      </c>
      <c r="G19" s="50">
        <v>0</v>
      </c>
      <c r="H19" s="50">
        <v>0</v>
      </c>
      <c r="I19" s="50">
        <v>1</v>
      </c>
      <c r="J19" s="50">
        <v>3</v>
      </c>
      <c r="K19" s="50">
        <v>1</v>
      </c>
      <c r="L19" s="50">
        <v>0</v>
      </c>
      <c r="M19" s="50">
        <v>45</v>
      </c>
      <c r="N19" s="50">
        <v>0</v>
      </c>
      <c r="O19" s="15">
        <f t="shared" si="0"/>
        <v>15</v>
      </c>
      <c r="P19" s="15">
        <f t="shared" si="1"/>
        <v>60</v>
      </c>
      <c r="R19" s="1" t="s">
        <v>15</v>
      </c>
      <c r="S19" s="17">
        <f t="shared" ref="S19:AF19" si="11">SUM(C46:C49)</f>
        <v>26</v>
      </c>
      <c r="T19" s="17">
        <f t="shared" si="11"/>
        <v>6</v>
      </c>
      <c r="U19" s="17">
        <f t="shared" si="11"/>
        <v>10</v>
      </c>
      <c r="V19" s="17">
        <f t="shared" si="11"/>
        <v>11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3</v>
      </c>
      <c r="AA19" s="17">
        <f t="shared" si="11"/>
        <v>4</v>
      </c>
      <c r="AB19" s="17">
        <f t="shared" si="11"/>
        <v>2</v>
      </c>
      <c r="AC19" s="17">
        <f t="shared" si="11"/>
        <v>96</v>
      </c>
      <c r="AD19" s="17">
        <f t="shared" si="11"/>
        <v>0</v>
      </c>
      <c r="AE19" s="31">
        <f t="shared" si="11"/>
        <v>67</v>
      </c>
      <c r="AF19" s="31">
        <f t="shared" si="11"/>
        <v>163</v>
      </c>
    </row>
    <row r="20" spans="2:32" ht="23.1" customHeight="1" x14ac:dyDescent="0.25">
      <c r="B20" s="45" t="s">
        <v>47</v>
      </c>
      <c r="C20" s="50">
        <v>3</v>
      </c>
      <c r="D20" s="50">
        <v>2</v>
      </c>
      <c r="E20" s="50">
        <v>4</v>
      </c>
      <c r="F20" s="50">
        <v>4</v>
      </c>
      <c r="G20" s="50">
        <v>0</v>
      </c>
      <c r="H20" s="50">
        <v>0</v>
      </c>
      <c r="I20" s="50">
        <v>0</v>
      </c>
      <c r="J20" s="50">
        <v>0</v>
      </c>
      <c r="K20" s="50">
        <v>4</v>
      </c>
      <c r="L20" s="50">
        <v>0</v>
      </c>
      <c r="M20" s="50">
        <v>31</v>
      </c>
      <c r="N20" s="50">
        <v>0</v>
      </c>
      <c r="O20" s="15">
        <f t="shared" si="0"/>
        <v>17</v>
      </c>
      <c r="P20" s="15">
        <f t="shared" si="1"/>
        <v>48</v>
      </c>
      <c r="R20" s="1" t="s">
        <v>16</v>
      </c>
      <c r="S20" s="17">
        <f t="shared" ref="S20:AF20" si="12">SUM(C50:C53)</f>
        <v>45</v>
      </c>
      <c r="T20" s="17">
        <f t="shared" si="12"/>
        <v>10</v>
      </c>
      <c r="U20" s="17">
        <f t="shared" si="12"/>
        <v>15</v>
      </c>
      <c r="V20" s="17">
        <f t="shared" si="12"/>
        <v>15</v>
      </c>
      <c r="W20" s="17">
        <f t="shared" si="12"/>
        <v>0</v>
      </c>
      <c r="X20" s="17">
        <f t="shared" si="12"/>
        <v>1</v>
      </c>
      <c r="Y20" s="17">
        <f t="shared" si="12"/>
        <v>9</v>
      </c>
      <c r="Z20" s="17">
        <f t="shared" si="12"/>
        <v>4</v>
      </c>
      <c r="AA20" s="17">
        <f t="shared" si="12"/>
        <v>6</v>
      </c>
      <c r="AB20" s="17">
        <f t="shared" si="12"/>
        <v>8</v>
      </c>
      <c r="AC20" s="17">
        <f t="shared" si="12"/>
        <v>193</v>
      </c>
      <c r="AD20" s="17">
        <f t="shared" si="12"/>
        <v>0</v>
      </c>
      <c r="AE20" s="31">
        <f t="shared" si="12"/>
        <v>113</v>
      </c>
      <c r="AF20" s="31">
        <f t="shared" si="12"/>
        <v>306</v>
      </c>
    </row>
    <row r="21" spans="2:32" ht="23.1" customHeight="1" x14ac:dyDescent="0.25">
      <c r="B21" s="45" t="s">
        <v>48</v>
      </c>
      <c r="C21" s="50">
        <v>5</v>
      </c>
      <c r="D21" s="50">
        <v>4</v>
      </c>
      <c r="E21" s="50">
        <v>6</v>
      </c>
      <c r="F21" s="50">
        <v>6</v>
      </c>
      <c r="G21" s="50">
        <v>0</v>
      </c>
      <c r="H21" s="50">
        <v>0</v>
      </c>
      <c r="I21" s="50">
        <v>0</v>
      </c>
      <c r="J21" s="50">
        <v>1</v>
      </c>
      <c r="K21" s="50">
        <v>7</v>
      </c>
      <c r="L21" s="50">
        <v>1</v>
      </c>
      <c r="M21" s="50">
        <v>52</v>
      </c>
      <c r="N21" s="50">
        <v>0</v>
      </c>
      <c r="O21" s="15">
        <f t="shared" si="0"/>
        <v>30</v>
      </c>
      <c r="P21" s="15">
        <f t="shared" si="1"/>
        <v>82</v>
      </c>
      <c r="R21" s="36" t="s">
        <v>20</v>
      </c>
      <c r="S21" s="34">
        <f t="shared" ref="S21:AF21" si="13">SUM(C54:C57)</f>
        <v>34</v>
      </c>
      <c r="T21" s="17">
        <f t="shared" si="13"/>
        <v>12</v>
      </c>
      <c r="U21" s="17">
        <f t="shared" si="13"/>
        <v>17</v>
      </c>
      <c r="V21" s="17">
        <f t="shared" si="13"/>
        <v>16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5</v>
      </c>
      <c r="AA21" s="17">
        <f t="shared" si="13"/>
        <v>4</v>
      </c>
      <c r="AB21" s="17">
        <f t="shared" si="13"/>
        <v>4</v>
      </c>
      <c r="AC21" s="17">
        <f t="shared" si="13"/>
        <v>159</v>
      </c>
      <c r="AD21" s="17">
        <f t="shared" si="13"/>
        <v>0</v>
      </c>
      <c r="AE21" s="31">
        <f t="shared" si="13"/>
        <v>95</v>
      </c>
      <c r="AF21" s="31">
        <f t="shared" si="13"/>
        <v>254</v>
      </c>
    </row>
    <row r="22" spans="2:32" ht="23.1" customHeight="1" x14ac:dyDescent="0.25">
      <c r="B22" s="45" t="s">
        <v>49</v>
      </c>
      <c r="C22" s="50">
        <v>3</v>
      </c>
      <c r="D22" s="50">
        <v>1</v>
      </c>
      <c r="E22" s="50">
        <v>1</v>
      </c>
      <c r="F22" s="50">
        <v>2</v>
      </c>
      <c r="G22" s="50">
        <v>0</v>
      </c>
      <c r="H22" s="50">
        <v>0</v>
      </c>
      <c r="I22" s="50">
        <v>0</v>
      </c>
      <c r="J22" s="50">
        <v>1</v>
      </c>
      <c r="K22" s="50">
        <v>4</v>
      </c>
      <c r="L22" s="50">
        <v>2</v>
      </c>
      <c r="M22" s="50">
        <v>28</v>
      </c>
      <c r="N22" s="50">
        <v>0</v>
      </c>
      <c r="O22" s="15">
        <f t="shared" si="0"/>
        <v>14</v>
      </c>
      <c r="P22" s="15">
        <f t="shared" si="1"/>
        <v>42</v>
      </c>
      <c r="R22" s="36" t="s">
        <v>146</v>
      </c>
      <c r="S22" s="34">
        <f>SUM(C58:C61)</f>
        <v>32</v>
      </c>
      <c r="T22" s="34">
        <f t="shared" ref="T22:AF22" si="14">SUM(D58:D61)</f>
        <v>11</v>
      </c>
      <c r="U22" s="34">
        <f t="shared" si="14"/>
        <v>18</v>
      </c>
      <c r="V22" s="34">
        <f t="shared" si="14"/>
        <v>13</v>
      </c>
      <c r="W22" s="34">
        <f t="shared" si="14"/>
        <v>0</v>
      </c>
      <c r="X22" s="34">
        <f t="shared" si="14"/>
        <v>2</v>
      </c>
      <c r="Y22" s="34">
        <f t="shared" si="14"/>
        <v>1</v>
      </c>
      <c r="Z22" s="34">
        <f t="shared" si="14"/>
        <v>0</v>
      </c>
      <c r="AA22" s="34">
        <f t="shared" si="14"/>
        <v>6</v>
      </c>
      <c r="AB22" s="34">
        <f t="shared" si="14"/>
        <v>1</v>
      </c>
      <c r="AC22" s="34">
        <f t="shared" si="14"/>
        <v>176</v>
      </c>
      <c r="AD22" s="34">
        <f t="shared" si="14"/>
        <v>0</v>
      </c>
      <c r="AE22" s="31">
        <f t="shared" si="14"/>
        <v>84</v>
      </c>
      <c r="AF22" s="31">
        <f t="shared" si="14"/>
        <v>260</v>
      </c>
    </row>
    <row r="23" spans="2:32" ht="23.1" customHeight="1" x14ac:dyDescent="0.25">
      <c r="B23" s="45" t="s">
        <v>50</v>
      </c>
      <c r="C23" s="50">
        <v>5</v>
      </c>
      <c r="D23" s="50">
        <v>2</v>
      </c>
      <c r="E23" s="50">
        <v>2</v>
      </c>
      <c r="F23" s="50">
        <v>3</v>
      </c>
      <c r="G23" s="50">
        <v>1</v>
      </c>
      <c r="H23" s="50">
        <v>0</v>
      </c>
      <c r="I23" s="50">
        <v>1</v>
      </c>
      <c r="J23" s="50">
        <v>2</v>
      </c>
      <c r="K23" s="50">
        <v>6</v>
      </c>
      <c r="L23" s="50">
        <v>4</v>
      </c>
      <c r="M23" s="50">
        <v>46</v>
      </c>
      <c r="N23" s="50">
        <v>0</v>
      </c>
      <c r="O23" s="15">
        <f t="shared" si="0"/>
        <v>26</v>
      </c>
      <c r="P23" s="15">
        <f t="shared" si="1"/>
        <v>72</v>
      </c>
      <c r="R23" s="36" t="s">
        <v>147</v>
      </c>
      <c r="S23" s="34">
        <f>SUM(C62:C65)</f>
        <v>9</v>
      </c>
      <c r="T23" s="34">
        <f t="shared" ref="T23:AF23" si="15">SUM(D62:D65)</f>
        <v>10</v>
      </c>
      <c r="U23" s="34">
        <f t="shared" si="15"/>
        <v>14</v>
      </c>
      <c r="V23" s="34">
        <f t="shared" si="15"/>
        <v>8</v>
      </c>
      <c r="W23" s="34">
        <f t="shared" si="15"/>
        <v>0</v>
      </c>
      <c r="X23" s="34">
        <f t="shared" si="15"/>
        <v>1</v>
      </c>
      <c r="Y23" s="34">
        <f t="shared" si="15"/>
        <v>5</v>
      </c>
      <c r="Z23" s="34">
        <f t="shared" si="15"/>
        <v>0</v>
      </c>
      <c r="AA23" s="34">
        <f t="shared" si="15"/>
        <v>6</v>
      </c>
      <c r="AB23" s="34">
        <f t="shared" si="15"/>
        <v>4</v>
      </c>
      <c r="AC23" s="34">
        <f t="shared" si="15"/>
        <v>56</v>
      </c>
      <c r="AD23" s="34">
        <f t="shared" si="15"/>
        <v>0</v>
      </c>
      <c r="AE23" s="31">
        <f t="shared" si="15"/>
        <v>57</v>
      </c>
      <c r="AF23" s="31">
        <f t="shared" si="15"/>
        <v>113</v>
      </c>
    </row>
    <row r="24" spans="2:32" ht="23.1" customHeight="1" x14ac:dyDescent="0.25">
      <c r="B24" s="45" t="s">
        <v>51</v>
      </c>
      <c r="C24" s="50">
        <v>3</v>
      </c>
      <c r="D24" s="50">
        <v>2</v>
      </c>
      <c r="E24" s="50">
        <v>2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1</v>
      </c>
      <c r="L24" s="50">
        <v>0</v>
      </c>
      <c r="M24" s="50">
        <v>38</v>
      </c>
      <c r="N24" s="50">
        <v>0</v>
      </c>
      <c r="O24" s="15">
        <f t="shared" si="0"/>
        <v>10</v>
      </c>
      <c r="P24" s="15">
        <f t="shared" si="1"/>
        <v>48</v>
      </c>
      <c r="R24" s="36" t="s">
        <v>148</v>
      </c>
      <c r="S24" s="34">
        <f>SUM(C66:C69)</f>
        <v>11</v>
      </c>
      <c r="T24" s="34">
        <f t="shared" ref="T24:AF24" si="16">SUM(D66:D69)</f>
        <v>2</v>
      </c>
      <c r="U24" s="34">
        <f t="shared" si="16"/>
        <v>4</v>
      </c>
      <c r="V24" s="34">
        <f t="shared" si="16"/>
        <v>12</v>
      </c>
      <c r="W24" s="34">
        <f t="shared" si="16"/>
        <v>0</v>
      </c>
      <c r="X24" s="34">
        <f t="shared" si="16"/>
        <v>0</v>
      </c>
      <c r="Y24" s="34">
        <f t="shared" si="16"/>
        <v>6</v>
      </c>
      <c r="Z24" s="34">
        <f t="shared" si="16"/>
        <v>0</v>
      </c>
      <c r="AA24" s="34">
        <f t="shared" si="16"/>
        <v>0</v>
      </c>
      <c r="AB24" s="34">
        <f t="shared" si="16"/>
        <v>6</v>
      </c>
      <c r="AC24" s="34">
        <f t="shared" si="16"/>
        <v>36</v>
      </c>
      <c r="AD24" s="34">
        <f t="shared" si="16"/>
        <v>0</v>
      </c>
      <c r="AE24" s="31">
        <f t="shared" si="16"/>
        <v>41</v>
      </c>
      <c r="AF24" s="31">
        <f t="shared" si="16"/>
        <v>77</v>
      </c>
    </row>
    <row r="25" spans="2:32" ht="23.1" customHeight="1" x14ac:dyDescent="0.25">
      <c r="B25" s="45" t="s">
        <v>52</v>
      </c>
      <c r="C25" s="50">
        <v>5</v>
      </c>
      <c r="D25" s="50">
        <v>3</v>
      </c>
      <c r="E25" s="50">
        <v>4</v>
      </c>
      <c r="F25" s="50">
        <v>3</v>
      </c>
      <c r="G25" s="50">
        <v>0</v>
      </c>
      <c r="H25" s="50">
        <v>0</v>
      </c>
      <c r="I25" s="50">
        <v>0</v>
      </c>
      <c r="J25" s="50">
        <v>1</v>
      </c>
      <c r="K25" s="50">
        <v>2</v>
      </c>
      <c r="L25" s="50">
        <v>0</v>
      </c>
      <c r="M25" s="50">
        <v>63</v>
      </c>
      <c r="N25" s="50">
        <v>0</v>
      </c>
      <c r="O25" s="15">
        <f t="shared" si="0"/>
        <v>18</v>
      </c>
      <c r="P25" s="15">
        <f t="shared" si="1"/>
        <v>81</v>
      </c>
      <c r="R25" s="36" t="s">
        <v>149</v>
      </c>
      <c r="S25" s="34">
        <f>SUM(C70:C73)</f>
        <v>15</v>
      </c>
      <c r="T25" s="34">
        <f t="shared" ref="T25:AF25" si="17">SUM(D70:D73)</f>
        <v>3</v>
      </c>
      <c r="U25" s="34">
        <f t="shared" si="17"/>
        <v>4</v>
      </c>
      <c r="V25" s="34">
        <f t="shared" si="17"/>
        <v>3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11</v>
      </c>
      <c r="AA25" s="34">
        <f t="shared" si="17"/>
        <v>0</v>
      </c>
      <c r="AB25" s="34">
        <f t="shared" si="17"/>
        <v>8</v>
      </c>
      <c r="AC25" s="34">
        <f t="shared" si="17"/>
        <v>20</v>
      </c>
      <c r="AD25" s="34">
        <f t="shared" si="17"/>
        <v>0</v>
      </c>
      <c r="AE25" s="31">
        <f t="shared" si="17"/>
        <v>45</v>
      </c>
      <c r="AF25" s="31">
        <f t="shared" si="17"/>
        <v>65</v>
      </c>
    </row>
    <row r="26" spans="2:32" ht="23.1" customHeight="1" x14ac:dyDescent="0.25">
      <c r="B26" s="45" t="s">
        <v>53</v>
      </c>
      <c r="C26" s="50">
        <v>7</v>
      </c>
      <c r="D26" s="50">
        <v>2</v>
      </c>
      <c r="E26" s="50">
        <v>2</v>
      </c>
      <c r="F26" s="50">
        <v>4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29</v>
      </c>
      <c r="N26" s="50">
        <v>0</v>
      </c>
      <c r="O26" s="15">
        <f t="shared" si="0"/>
        <v>17</v>
      </c>
      <c r="P26" s="15">
        <f t="shared" si="1"/>
        <v>46</v>
      </c>
      <c r="R26" s="36" t="s">
        <v>150</v>
      </c>
      <c r="S26" s="34">
        <f>SUM(C74:C77)</f>
        <v>9</v>
      </c>
      <c r="T26" s="34">
        <f t="shared" ref="T26:AF26" si="18">SUM(D74:D77)</f>
        <v>3</v>
      </c>
      <c r="U26" s="34">
        <f t="shared" si="18"/>
        <v>5</v>
      </c>
      <c r="V26" s="34">
        <f t="shared" si="18"/>
        <v>13</v>
      </c>
      <c r="W26" s="34">
        <f t="shared" si="18"/>
        <v>0</v>
      </c>
      <c r="X26" s="34">
        <f t="shared" si="18"/>
        <v>1</v>
      </c>
      <c r="Y26" s="34">
        <f t="shared" si="18"/>
        <v>9</v>
      </c>
      <c r="Z26" s="34">
        <f t="shared" si="18"/>
        <v>5</v>
      </c>
      <c r="AA26" s="34">
        <f t="shared" si="18"/>
        <v>1</v>
      </c>
      <c r="AB26" s="34">
        <f t="shared" si="18"/>
        <v>6</v>
      </c>
      <c r="AC26" s="34">
        <f t="shared" si="18"/>
        <v>26</v>
      </c>
      <c r="AD26" s="34">
        <f t="shared" si="18"/>
        <v>0</v>
      </c>
      <c r="AE26" s="31">
        <f t="shared" si="18"/>
        <v>52</v>
      </c>
      <c r="AF26" s="31">
        <f t="shared" si="18"/>
        <v>78</v>
      </c>
    </row>
    <row r="27" spans="2:32" ht="23.1" customHeight="1" x14ac:dyDescent="0.25">
      <c r="B27" s="45" t="s">
        <v>54</v>
      </c>
      <c r="C27" s="50">
        <v>11</v>
      </c>
      <c r="D27" s="50">
        <v>2</v>
      </c>
      <c r="E27" s="50">
        <v>4</v>
      </c>
      <c r="F27" s="50">
        <v>7</v>
      </c>
      <c r="G27" s="50">
        <v>1</v>
      </c>
      <c r="H27" s="50">
        <v>0</v>
      </c>
      <c r="I27" s="50">
        <v>3</v>
      </c>
      <c r="J27" s="50">
        <v>0</v>
      </c>
      <c r="K27" s="50">
        <v>1</v>
      </c>
      <c r="L27" s="50">
        <v>1</v>
      </c>
      <c r="M27" s="50">
        <v>48</v>
      </c>
      <c r="N27" s="50">
        <v>0</v>
      </c>
      <c r="O27" s="15">
        <f t="shared" si="0"/>
        <v>30</v>
      </c>
      <c r="P27" s="15">
        <f t="shared" si="1"/>
        <v>78</v>
      </c>
      <c r="R27" s="36" t="s">
        <v>151</v>
      </c>
      <c r="S27" s="34">
        <f>SUM(C78:C81)</f>
        <v>4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1</v>
      </c>
      <c r="W27" s="34">
        <f t="shared" si="19"/>
        <v>1</v>
      </c>
      <c r="X27" s="34">
        <f t="shared" si="19"/>
        <v>3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5</v>
      </c>
      <c r="AC27" s="34">
        <f t="shared" si="19"/>
        <v>12</v>
      </c>
      <c r="AD27" s="34">
        <f t="shared" si="19"/>
        <v>0</v>
      </c>
      <c r="AE27" s="31">
        <f t="shared" si="19"/>
        <v>16</v>
      </c>
      <c r="AF27" s="31">
        <f t="shared" si="19"/>
        <v>28</v>
      </c>
    </row>
    <row r="28" spans="2:32" ht="23.1" customHeight="1" x14ac:dyDescent="0.25">
      <c r="B28" s="45" t="s">
        <v>55</v>
      </c>
      <c r="C28" s="50">
        <v>7</v>
      </c>
      <c r="D28" s="50">
        <v>2</v>
      </c>
      <c r="E28" s="50">
        <v>2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1</v>
      </c>
      <c r="M28" s="50">
        <v>38</v>
      </c>
      <c r="N28" s="50">
        <v>0</v>
      </c>
      <c r="O28" s="15">
        <f t="shared" si="0"/>
        <v>15</v>
      </c>
      <c r="P28" s="15">
        <f t="shared" si="1"/>
        <v>53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</v>
      </c>
      <c r="AA28" s="34">
        <f t="shared" si="20"/>
        <v>1</v>
      </c>
      <c r="AB28" s="34">
        <f t="shared" si="20"/>
        <v>1</v>
      </c>
      <c r="AC28" s="34">
        <f t="shared" si="20"/>
        <v>6</v>
      </c>
      <c r="AD28" s="34">
        <f t="shared" si="20"/>
        <v>0</v>
      </c>
      <c r="AE28" s="31">
        <f t="shared" si="20"/>
        <v>5</v>
      </c>
      <c r="AF28" s="31">
        <f t="shared" si="20"/>
        <v>11</v>
      </c>
    </row>
    <row r="29" spans="2:32" ht="23.1" customHeight="1" x14ac:dyDescent="0.25">
      <c r="B29" s="45" t="s">
        <v>56</v>
      </c>
      <c r="C29" s="50">
        <v>12</v>
      </c>
      <c r="D29" s="50">
        <v>2</v>
      </c>
      <c r="E29" s="50">
        <v>4</v>
      </c>
      <c r="F29" s="50">
        <v>4</v>
      </c>
      <c r="G29" s="50">
        <v>0</v>
      </c>
      <c r="H29" s="50">
        <v>0</v>
      </c>
      <c r="I29" s="50">
        <v>1</v>
      </c>
      <c r="J29" s="50">
        <v>0</v>
      </c>
      <c r="K29" s="50">
        <v>2</v>
      </c>
      <c r="L29" s="50">
        <v>2</v>
      </c>
      <c r="M29" s="50">
        <v>63</v>
      </c>
      <c r="N29" s="50">
        <v>0</v>
      </c>
      <c r="O29" s="15">
        <f t="shared" si="0"/>
        <v>27</v>
      </c>
      <c r="P29" s="15">
        <f t="shared" si="1"/>
        <v>90</v>
      </c>
      <c r="R29" s="36" t="s">
        <v>153</v>
      </c>
      <c r="S29" s="34">
        <f>SUM(C86:C89)</f>
        <v>3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2</v>
      </c>
      <c r="AA29" s="34">
        <f t="shared" si="21"/>
        <v>0</v>
      </c>
      <c r="AB29" s="34">
        <f t="shared" si="21"/>
        <v>1</v>
      </c>
      <c r="AC29" s="34">
        <f t="shared" si="21"/>
        <v>0</v>
      </c>
      <c r="AD29" s="34">
        <f t="shared" si="21"/>
        <v>0</v>
      </c>
      <c r="AE29" s="31">
        <f t="shared" si="21"/>
        <v>7</v>
      </c>
      <c r="AF29" s="31">
        <f t="shared" si="21"/>
        <v>7</v>
      </c>
    </row>
    <row r="30" spans="2:32" ht="23.1" customHeight="1" x14ac:dyDescent="0.25">
      <c r="B30" s="45" t="s">
        <v>57</v>
      </c>
      <c r="C30" s="50">
        <v>7</v>
      </c>
      <c r="D30" s="50">
        <v>2</v>
      </c>
      <c r="E30" s="50">
        <v>3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40</v>
      </c>
      <c r="N30" s="50">
        <v>0</v>
      </c>
      <c r="O30" s="15">
        <f t="shared" si="0"/>
        <v>14</v>
      </c>
      <c r="P30" s="15">
        <f t="shared" si="1"/>
        <v>54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1</v>
      </c>
      <c r="AF30" s="31">
        <f t="shared" si="22"/>
        <v>1</v>
      </c>
    </row>
    <row r="31" spans="2:32" ht="23.1" customHeight="1" x14ac:dyDescent="0.25">
      <c r="B31" s="46" t="s">
        <v>58</v>
      </c>
      <c r="C31" s="50">
        <v>11</v>
      </c>
      <c r="D31" s="50">
        <v>4</v>
      </c>
      <c r="E31" s="50">
        <v>5</v>
      </c>
      <c r="F31" s="50">
        <v>4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1</v>
      </c>
      <c r="M31" s="50">
        <v>67</v>
      </c>
      <c r="N31" s="50">
        <v>0</v>
      </c>
      <c r="O31" s="15">
        <f t="shared" si="0"/>
        <v>27</v>
      </c>
      <c r="P31" s="15">
        <f t="shared" si="1"/>
        <v>94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1</v>
      </c>
      <c r="AA31" s="34">
        <f t="shared" si="23"/>
        <v>1</v>
      </c>
      <c r="AB31" s="34">
        <f t="shared" si="23"/>
        <v>1</v>
      </c>
      <c r="AC31" s="34">
        <f t="shared" si="23"/>
        <v>0</v>
      </c>
      <c r="AD31" s="34">
        <f t="shared" si="23"/>
        <v>0</v>
      </c>
      <c r="AE31" s="31">
        <f t="shared" si="23"/>
        <v>4</v>
      </c>
      <c r="AF31" s="31">
        <f t="shared" si="23"/>
        <v>4</v>
      </c>
    </row>
    <row r="32" spans="2:32" ht="23.1" customHeight="1" x14ac:dyDescent="0.25">
      <c r="B32" s="46" t="s">
        <v>59</v>
      </c>
      <c r="C32" s="50">
        <v>5</v>
      </c>
      <c r="D32" s="50">
        <v>2</v>
      </c>
      <c r="E32" s="50">
        <v>3</v>
      </c>
      <c r="F32" s="50">
        <v>1</v>
      </c>
      <c r="G32" s="50">
        <v>0</v>
      </c>
      <c r="H32" s="50">
        <v>0</v>
      </c>
      <c r="I32" s="50">
        <v>1</v>
      </c>
      <c r="J32" s="50">
        <v>2</v>
      </c>
      <c r="K32" s="50">
        <v>0</v>
      </c>
      <c r="L32" s="50">
        <v>0</v>
      </c>
      <c r="M32" s="50">
        <v>27</v>
      </c>
      <c r="N32" s="50">
        <v>0</v>
      </c>
      <c r="O32" s="15">
        <f t="shared" si="0"/>
        <v>14</v>
      </c>
      <c r="P32" s="15">
        <f t="shared" si="1"/>
        <v>41</v>
      </c>
      <c r="R32" s="33" t="s">
        <v>156</v>
      </c>
      <c r="S32" s="34">
        <f>SUM(C98:C101)</f>
        <v>1</v>
      </c>
      <c r="T32" s="34">
        <f t="shared" ref="T32:AF32" si="24">SUM(D98:D101)</f>
        <v>1</v>
      </c>
      <c r="U32" s="34">
        <f t="shared" si="24"/>
        <v>2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4</v>
      </c>
      <c r="AC32" s="34">
        <f t="shared" si="24"/>
        <v>4</v>
      </c>
      <c r="AD32" s="34">
        <f t="shared" si="24"/>
        <v>0</v>
      </c>
      <c r="AE32" s="31">
        <f t="shared" si="24"/>
        <v>10</v>
      </c>
      <c r="AF32" s="31">
        <f t="shared" si="24"/>
        <v>14</v>
      </c>
    </row>
    <row r="33" spans="2:32" ht="23.1" customHeight="1" x14ac:dyDescent="0.25">
      <c r="B33" s="45" t="s">
        <v>60</v>
      </c>
      <c r="C33" s="50">
        <v>9</v>
      </c>
      <c r="D33" s="50">
        <v>3</v>
      </c>
      <c r="E33" s="50">
        <v>5</v>
      </c>
      <c r="F33" s="50">
        <v>2</v>
      </c>
      <c r="G33" s="50">
        <v>0</v>
      </c>
      <c r="H33" s="50">
        <v>0</v>
      </c>
      <c r="I33" s="50">
        <v>2</v>
      </c>
      <c r="J33" s="50">
        <v>3</v>
      </c>
      <c r="K33" s="50">
        <v>1</v>
      </c>
      <c r="L33" s="50">
        <v>1</v>
      </c>
      <c r="M33" s="50">
        <v>45</v>
      </c>
      <c r="N33" s="50">
        <v>0</v>
      </c>
      <c r="O33" s="15">
        <f t="shared" si="0"/>
        <v>26</v>
      </c>
      <c r="P33" s="15">
        <f t="shared" si="1"/>
        <v>71</v>
      </c>
      <c r="R33" s="33" t="s">
        <v>157</v>
      </c>
      <c r="S33" s="34">
        <f>SUM(C102:C105)</f>
        <v>9</v>
      </c>
      <c r="T33" s="34">
        <f t="shared" ref="T33:AF33" si="25">SUM(D102:D105)</f>
        <v>3</v>
      </c>
      <c r="U33" s="34">
        <f t="shared" si="25"/>
        <v>5</v>
      </c>
      <c r="V33" s="34">
        <f t="shared" si="25"/>
        <v>4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1</v>
      </c>
      <c r="AB33" s="34">
        <f t="shared" si="25"/>
        <v>6</v>
      </c>
      <c r="AC33" s="34">
        <f t="shared" si="25"/>
        <v>8</v>
      </c>
      <c r="AD33" s="34">
        <f t="shared" si="25"/>
        <v>0</v>
      </c>
      <c r="AE33" s="31">
        <f t="shared" si="25"/>
        <v>28</v>
      </c>
      <c r="AF33" s="31">
        <f t="shared" si="25"/>
        <v>36</v>
      </c>
    </row>
    <row r="34" spans="2:32" ht="23.1" customHeight="1" x14ac:dyDescent="0.25">
      <c r="B34" s="46" t="s">
        <v>61</v>
      </c>
      <c r="C34" s="50">
        <v>6</v>
      </c>
      <c r="D34" s="50">
        <v>1</v>
      </c>
      <c r="E34" s="50">
        <v>1</v>
      </c>
      <c r="F34" s="50">
        <v>4</v>
      </c>
      <c r="G34" s="50">
        <v>0</v>
      </c>
      <c r="H34" s="50">
        <v>0</v>
      </c>
      <c r="I34" s="50">
        <v>0</v>
      </c>
      <c r="J34" s="50">
        <v>2</v>
      </c>
      <c r="K34" s="50">
        <v>0</v>
      </c>
      <c r="L34" s="50">
        <v>0</v>
      </c>
      <c r="M34" s="50">
        <v>28</v>
      </c>
      <c r="N34" s="50">
        <v>0</v>
      </c>
      <c r="O34" s="15">
        <f t="shared" si="0"/>
        <v>14</v>
      </c>
      <c r="P34" s="15">
        <f t="shared" si="1"/>
        <v>42</v>
      </c>
      <c r="R34" s="38" t="s">
        <v>90</v>
      </c>
      <c r="S34" s="39">
        <f t="shared" ref="S34:AF34" si="26">MAX(S10:S12)</f>
        <v>19</v>
      </c>
      <c r="T34" s="39">
        <f t="shared" si="26"/>
        <v>6</v>
      </c>
      <c r="U34" s="39">
        <f t="shared" si="26"/>
        <v>11</v>
      </c>
      <c r="V34" s="39">
        <f t="shared" si="26"/>
        <v>16</v>
      </c>
      <c r="W34" s="39">
        <f t="shared" si="26"/>
        <v>2</v>
      </c>
      <c r="X34" s="39">
        <f t="shared" si="26"/>
        <v>1</v>
      </c>
      <c r="Y34" s="39">
        <f t="shared" si="26"/>
        <v>3</v>
      </c>
      <c r="Z34" s="39">
        <f t="shared" si="26"/>
        <v>16</v>
      </c>
      <c r="AA34" s="39">
        <f t="shared" si="26"/>
        <v>13</v>
      </c>
      <c r="AB34" s="39">
        <f t="shared" si="26"/>
        <v>15</v>
      </c>
      <c r="AC34" s="39">
        <f t="shared" si="26"/>
        <v>155</v>
      </c>
      <c r="AD34" s="39">
        <f t="shared" si="26"/>
        <v>1</v>
      </c>
      <c r="AE34" s="40">
        <f t="shared" si="26"/>
        <v>84</v>
      </c>
      <c r="AF34" s="40">
        <f t="shared" si="26"/>
        <v>224</v>
      </c>
    </row>
    <row r="35" spans="2:32" ht="23.1" customHeight="1" x14ac:dyDescent="0.25">
      <c r="B35" s="46" t="s">
        <v>62</v>
      </c>
      <c r="C35" s="50">
        <v>10</v>
      </c>
      <c r="D35" s="50">
        <v>2</v>
      </c>
      <c r="E35" s="50">
        <v>2</v>
      </c>
      <c r="F35" s="50">
        <v>6</v>
      </c>
      <c r="G35" s="50">
        <v>0</v>
      </c>
      <c r="H35" s="50">
        <v>0</v>
      </c>
      <c r="I35" s="50">
        <v>0</v>
      </c>
      <c r="J35" s="50">
        <v>3</v>
      </c>
      <c r="K35" s="50">
        <v>1</v>
      </c>
      <c r="L35" s="50">
        <v>0</v>
      </c>
      <c r="M35" s="50">
        <v>47</v>
      </c>
      <c r="N35" s="50">
        <v>0</v>
      </c>
      <c r="O35" s="15">
        <f t="shared" si="0"/>
        <v>24</v>
      </c>
      <c r="P35" s="15">
        <f t="shared" si="1"/>
        <v>71</v>
      </c>
      <c r="R35" s="38" t="s">
        <v>91</v>
      </c>
      <c r="S35" s="39">
        <f t="shared" ref="S35:AF35" si="27">MAX(S13:S18)</f>
        <v>37</v>
      </c>
      <c r="T35" s="39">
        <f t="shared" si="27"/>
        <v>11</v>
      </c>
      <c r="U35" s="39">
        <f t="shared" si="27"/>
        <v>16</v>
      </c>
      <c r="V35" s="39">
        <f t="shared" si="27"/>
        <v>20</v>
      </c>
      <c r="W35" s="39">
        <f t="shared" si="27"/>
        <v>1</v>
      </c>
      <c r="X35" s="39">
        <f t="shared" si="27"/>
        <v>0</v>
      </c>
      <c r="Y35" s="39">
        <f t="shared" si="27"/>
        <v>14</v>
      </c>
      <c r="Z35" s="39">
        <f t="shared" si="27"/>
        <v>9</v>
      </c>
      <c r="AA35" s="39">
        <f t="shared" si="27"/>
        <v>13</v>
      </c>
      <c r="AB35" s="39">
        <f t="shared" si="27"/>
        <v>6</v>
      </c>
      <c r="AC35" s="39">
        <f t="shared" si="27"/>
        <v>184</v>
      </c>
      <c r="AD35" s="39">
        <f t="shared" si="27"/>
        <v>0</v>
      </c>
      <c r="AE35" s="40">
        <f t="shared" si="27"/>
        <v>101</v>
      </c>
      <c r="AF35" s="40">
        <f t="shared" si="27"/>
        <v>285</v>
      </c>
    </row>
    <row r="36" spans="2:32" ht="23.1" customHeight="1" x14ac:dyDescent="0.25">
      <c r="B36" s="46" t="s">
        <v>63</v>
      </c>
      <c r="C36" s="50">
        <v>4</v>
      </c>
      <c r="D36" s="50">
        <v>1</v>
      </c>
      <c r="E36" s="50">
        <v>2</v>
      </c>
      <c r="F36" s="50">
        <v>4</v>
      </c>
      <c r="G36" s="50">
        <v>0</v>
      </c>
      <c r="H36" s="50">
        <v>0</v>
      </c>
      <c r="I36" s="50">
        <v>1</v>
      </c>
      <c r="J36" s="50">
        <v>1</v>
      </c>
      <c r="K36" s="50">
        <v>1</v>
      </c>
      <c r="L36" s="50">
        <v>0</v>
      </c>
      <c r="M36" s="50">
        <v>41</v>
      </c>
      <c r="N36" s="50">
        <v>0</v>
      </c>
      <c r="O36" s="15">
        <f t="shared" si="0"/>
        <v>14</v>
      </c>
      <c r="P36" s="15">
        <f t="shared" si="1"/>
        <v>55</v>
      </c>
      <c r="R36" s="38" t="s">
        <v>92</v>
      </c>
      <c r="S36" s="39">
        <f t="shared" ref="S36:AF36" si="28">MAX(S19:S21)</f>
        <v>45</v>
      </c>
      <c r="T36" s="39">
        <f t="shared" si="28"/>
        <v>12</v>
      </c>
      <c r="U36" s="39">
        <f t="shared" si="28"/>
        <v>17</v>
      </c>
      <c r="V36" s="39">
        <f t="shared" si="28"/>
        <v>16</v>
      </c>
      <c r="W36" s="39">
        <f t="shared" si="28"/>
        <v>0</v>
      </c>
      <c r="X36" s="39">
        <f t="shared" si="28"/>
        <v>1</v>
      </c>
      <c r="Y36" s="39">
        <f t="shared" si="28"/>
        <v>9</v>
      </c>
      <c r="Z36" s="39">
        <f t="shared" si="28"/>
        <v>5</v>
      </c>
      <c r="AA36" s="39">
        <f t="shared" si="28"/>
        <v>6</v>
      </c>
      <c r="AB36" s="39">
        <f t="shared" si="28"/>
        <v>8</v>
      </c>
      <c r="AC36" s="39">
        <f t="shared" si="28"/>
        <v>193</v>
      </c>
      <c r="AD36" s="39">
        <f t="shared" si="28"/>
        <v>0</v>
      </c>
      <c r="AE36" s="40">
        <f t="shared" si="28"/>
        <v>113</v>
      </c>
      <c r="AF36" s="40">
        <f t="shared" si="28"/>
        <v>306</v>
      </c>
    </row>
    <row r="37" spans="2:32" ht="23.1" customHeight="1" x14ac:dyDescent="0.25">
      <c r="B37" s="45" t="s">
        <v>64</v>
      </c>
      <c r="C37" s="50">
        <v>7</v>
      </c>
      <c r="D37" s="50">
        <v>2</v>
      </c>
      <c r="E37" s="50">
        <v>3</v>
      </c>
      <c r="F37" s="50">
        <v>6</v>
      </c>
      <c r="G37" s="50">
        <v>0</v>
      </c>
      <c r="H37" s="50">
        <v>0</v>
      </c>
      <c r="I37" s="50">
        <v>2</v>
      </c>
      <c r="J37" s="50">
        <v>2</v>
      </c>
      <c r="K37" s="50">
        <v>2</v>
      </c>
      <c r="L37" s="50">
        <v>1</v>
      </c>
      <c r="M37" s="50">
        <v>68</v>
      </c>
      <c r="N37" s="50">
        <v>0</v>
      </c>
      <c r="O37" s="15">
        <f t="shared" si="0"/>
        <v>25</v>
      </c>
      <c r="P37" s="15">
        <f t="shared" si="1"/>
        <v>93</v>
      </c>
      <c r="R37" s="37" t="s">
        <v>85</v>
      </c>
      <c r="S37" s="35">
        <f t="shared" ref="S37:AF37" si="29">SUM(S10:S12)</f>
        <v>40</v>
      </c>
      <c r="T37" s="16">
        <f t="shared" si="29"/>
        <v>10</v>
      </c>
      <c r="U37" s="16">
        <f t="shared" si="29"/>
        <v>18</v>
      </c>
      <c r="V37" s="16">
        <f t="shared" si="29"/>
        <v>34</v>
      </c>
      <c r="W37" s="16">
        <f t="shared" si="29"/>
        <v>2</v>
      </c>
      <c r="X37" s="16">
        <f t="shared" si="29"/>
        <v>1</v>
      </c>
      <c r="Y37" s="16">
        <f t="shared" si="29"/>
        <v>4</v>
      </c>
      <c r="Z37" s="16">
        <f t="shared" si="29"/>
        <v>28</v>
      </c>
      <c r="AA37" s="16">
        <f t="shared" si="29"/>
        <v>26</v>
      </c>
      <c r="AB37" s="16">
        <f t="shared" si="29"/>
        <v>22</v>
      </c>
      <c r="AC37" s="16">
        <f t="shared" si="29"/>
        <v>337</v>
      </c>
      <c r="AD37" s="16">
        <f t="shared" si="29"/>
        <v>1</v>
      </c>
      <c r="AE37" s="32">
        <f t="shared" si="29"/>
        <v>186</v>
      </c>
      <c r="AF37" s="32">
        <f t="shared" si="29"/>
        <v>523</v>
      </c>
    </row>
    <row r="38" spans="2:32" ht="23.1" customHeight="1" x14ac:dyDescent="0.25">
      <c r="B38" s="46" t="s">
        <v>65</v>
      </c>
      <c r="C38" s="50">
        <v>10</v>
      </c>
      <c r="D38" s="50">
        <v>2</v>
      </c>
      <c r="E38" s="50">
        <v>2</v>
      </c>
      <c r="F38" s="50">
        <v>4</v>
      </c>
      <c r="G38" s="50">
        <v>0</v>
      </c>
      <c r="H38" s="50">
        <v>0</v>
      </c>
      <c r="I38" s="50">
        <v>3</v>
      </c>
      <c r="J38" s="50">
        <v>0</v>
      </c>
      <c r="K38" s="50">
        <v>3</v>
      </c>
      <c r="L38" s="50">
        <v>0</v>
      </c>
      <c r="M38" s="50">
        <v>38</v>
      </c>
      <c r="N38" s="50">
        <v>0</v>
      </c>
      <c r="O38" s="15">
        <f t="shared" si="0"/>
        <v>24</v>
      </c>
      <c r="P38" s="15">
        <f t="shared" si="1"/>
        <v>62</v>
      </c>
      <c r="R38" s="28" t="s">
        <v>86</v>
      </c>
      <c r="S38" s="16">
        <f t="shared" ref="S38:AF38" si="30">SUM(S13:S18)</f>
        <v>160</v>
      </c>
      <c r="T38" s="16">
        <f t="shared" si="30"/>
        <v>49</v>
      </c>
      <c r="U38" s="16">
        <f t="shared" si="30"/>
        <v>69</v>
      </c>
      <c r="V38" s="16">
        <f t="shared" si="30"/>
        <v>86</v>
      </c>
      <c r="W38" s="16">
        <f t="shared" si="30"/>
        <v>2</v>
      </c>
      <c r="X38" s="16">
        <f t="shared" si="30"/>
        <v>0</v>
      </c>
      <c r="Y38" s="16">
        <f t="shared" si="30"/>
        <v>34</v>
      </c>
      <c r="Z38" s="16">
        <f t="shared" si="30"/>
        <v>28</v>
      </c>
      <c r="AA38" s="16">
        <f t="shared" si="30"/>
        <v>46</v>
      </c>
      <c r="AB38" s="16">
        <f t="shared" si="30"/>
        <v>21</v>
      </c>
      <c r="AC38" s="16">
        <f t="shared" si="30"/>
        <v>1064</v>
      </c>
      <c r="AD38" s="16">
        <f t="shared" si="30"/>
        <v>0</v>
      </c>
      <c r="AE38" s="32">
        <f t="shared" si="30"/>
        <v>495</v>
      </c>
      <c r="AF38" s="32">
        <f t="shared" si="30"/>
        <v>1559</v>
      </c>
    </row>
    <row r="39" spans="2:32" ht="23.1" customHeight="1" x14ac:dyDescent="0.25">
      <c r="B39" s="46" t="s">
        <v>66</v>
      </c>
      <c r="C39" s="50">
        <v>16</v>
      </c>
      <c r="D39" s="50">
        <v>2</v>
      </c>
      <c r="E39" s="50">
        <v>4</v>
      </c>
      <c r="F39" s="50">
        <v>6</v>
      </c>
      <c r="G39" s="50">
        <v>0</v>
      </c>
      <c r="H39" s="50">
        <v>0</v>
      </c>
      <c r="I39" s="50">
        <v>5</v>
      </c>
      <c r="J39" s="50">
        <v>1</v>
      </c>
      <c r="K39" s="50">
        <v>5</v>
      </c>
      <c r="L39" s="50">
        <v>1</v>
      </c>
      <c r="M39" s="50">
        <v>64</v>
      </c>
      <c r="N39" s="50">
        <v>0</v>
      </c>
      <c r="O39" s="15">
        <f t="shared" si="0"/>
        <v>40</v>
      </c>
      <c r="P39" s="15">
        <f t="shared" si="1"/>
        <v>104</v>
      </c>
      <c r="R39" s="29" t="s">
        <v>87</v>
      </c>
      <c r="S39" s="16">
        <f t="shared" ref="S39:AF39" si="31">SUM(S19:S21)</f>
        <v>105</v>
      </c>
      <c r="T39" s="16">
        <f t="shared" si="31"/>
        <v>28</v>
      </c>
      <c r="U39" s="16">
        <f t="shared" si="31"/>
        <v>42</v>
      </c>
      <c r="V39" s="16">
        <f t="shared" si="31"/>
        <v>42</v>
      </c>
      <c r="W39" s="16">
        <f t="shared" si="31"/>
        <v>0</v>
      </c>
      <c r="X39" s="16">
        <f t="shared" si="31"/>
        <v>1</v>
      </c>
      <c r="Y39" s="16">
        <f t="shared" si="31"/>
        <v>17</v>
      </c>
      <c r="Z39" s="16">
        <f t="shared" si="31"/>
        <v>12</v>
      </c>
      <c r="AA39" s="16">
        <f t="shared" si="31"/>
        <v>14</v>
      </c>
      <c r="AB39" s="16">
        <f t="shared" si="31"/>
        <v>14</v>
      </c>
      <c r="AC39" s="16">
        <f t="shared" si="31"/>
        <v>448</v>
      </c>
      <c r="AD39" s="16">
        <f t="shared" si="31"/>
        <v>0</v>
      </c>
      <c r="AE39" s="32">
        <f t="shared" si="31"/>
        <v>275</v>
      </c>
      <c r="AF39" s="32">
        <f t="shared" si="31"/>
        <v>723</v>
      </c>
    </row>
    <row r="40" spans="2:32" ht="23.1" customHeight="1" x14ac:dyDescent="0.25">
      <c r="B40" s="46" t="s">
        <v>67</v>
      </c>
      <c r="C40" s="50">
        <v>2</v>
      </c>
      <c r="D40" s="50">
        <v>2</v>
      </c>
      <c r="E40" s="50">
        <v>3</v>
      </c>
      <c r="F40" s="50">
        <v>2</v>
      </c>
      <c r="G40" s="50">
        <v>0</v>
      </c>
      <c r="H40" s="50">
        <v>0</v>
      </c>
      <c r="I40" s="50">
        <v>2</v>
      </c>
      <c r="J40" s="50">
        <v>0</v>
      </c>
      <c r="K40" s="50">
        <v>2</v>
      </c>
      <c r="L40" s="50">
        <v>0</v>
      </c>
      <c r="M40" s="50">
        <v>31</v>
      </c>
      <c r="N40" s="50">
        <v>0</v>
      </c>
      <c r="O40" s="15">
        <f t="shared" si="0"/>
        <v>13</v>
      </c>
      <c r="P40" s="15">
        <f t="shared" si="1"/>
        <v>44</v>
      </c>
      <c r="R40" s="5" t="s">
        <v>17</v>
      </c>
      <c r="S40" s="16">
        <f t="shared" ref="S40:AF40" si="32">SUM(S10:S21)</f>
        <v>305</v>
      </c>
      <c r="T40" s="16">
        <f t="shared" si="32"/>
        <v>87</v>
      </c>
      <c r="U40" s="16">
        <f t="shared" si="32"/>
        <v>129</v>
      </c>
      <c r="V40" s="16">
        <f t="shared" si="32"/>
        <v>162</v>
      </c>
      <c r="W40" s="16">
        <f t="shared" si="32"/>
        <v>4</v>
      </c>
      <c r="X40" s="16">
        <f t="shared" si="32"/>
        <v>2</v>
      </c>
      <c r="Y40" s="16">
        <f t="shared" si="32"/>
        <v>55</v>
      </c>
      <c r="Z40" s="16">
        <f t="shared" si="32"/>
        <v>68</v>
      </c>
      <c r="AA40" s="16">
        <f t="shared" si="32"/>
        <v>86</v>
      </c>
      <c r="AB40" s="16">
        <f t="shared" si="32"/>
        <v>57</v>
      </c>
      <c r="AC40" s="16">
        <f t="shared" si="32"/>
        <v>1849</v>
      </c>
      <c r="AD40" s="16">
        <f t="shared" si="32"/>
        <v>1</v>
      </c>
      <c r="AE40" s="32">
        <f t="shared" si="32"/>
        <v>956</v>
      </c>
      <c r="AF40" s="32">
        <f t="shared" si="32"/>
        <v>2805</v>
      </c>
    </row>
    <row r="41" spans="2:32" ht="23.1" customHeight="1" x14ac:dyDescent="0.25">
      <c r="B41" s="45" t="s">
        <v>68</v>
      </c>
      <c r="C41" s="50">
        <v>4</v>
      </c>
      <c r="D41" s="50">
        <v>3</v>
      </c>
      <c r="E41" s="50">
        <v>5</v>
      </c>
      <c r="F41" s="50">
        <v>4</v>
      </c>
      <c r="G41" s="50">
        <v>0</v>
      </c>
      <c r="H41" s="50">
        <v>0</v>
      </c>
      <c r="I41" s="50">
        <v>4</v>
      </c>
      <c r="J41" s="50">
        <v>0</v>
      </c>
      <c r="K41" s="50">
        <v>3</v>
      </c>
      <c r="L41" s="50">
        <v>1</v>
      </c>
      <c r="M41" s="50">
        <v>51</v>
      </c>
      <c r="N41" s="50">
        <v>0</v>
      </c>
      <c r="O41" s="15">
        <f t="shared" si="0"/>
        <v>24</v>
      </c>
      <c r="P41" s="15">
        <f t="shared" si="1"/>
        <v>75</v>
      </c>
      <c r="R41" s="5" t="s">
        <v>159</v>
      </c>
      <c r="S41" s="16">
        <f>SUM(S10:S33)</f>
        <v>399</v>
      </c>
      <c r="T41" s="16">
        <f t="shared" ref="T41:AF41" si="33">SUM(T10:T33)</f>
        <v>120</v>
      </c>
      <c r="U41" s="16">
        <f t="shared" si="33"/>
        <v>186</v>
      </c>
      <c r="V41" s="16">
        <f t="shared" si="33"/>
        <v>218</v>
      </c>
      <c r="W41" s="16">
        <f t="shared" si="33"/>
        <v>5</v>
      </c>
      <c r="X41" s="16">
        <f t="shared" si="33"/>
        <v>9</v>
      </c>
      <c r="Y41" s="16">
        <f t="shared" si="33"/>
        <v>78</v>
      </c>
      <c r="Z41" s="16">
        <f t="shared" si="33"/>
        <v>88</v>
      </c>
      <c r="AA41" s="16">
        <f t="shared" si="33"/>
        <v>102</v>
      </c>
      <c r="AB41" s="16">
        <f t="shared" si="33"/>
        <v>100</v>
      </c>
      <c r="AC41" s="16">
        <f t="shared" si="33"/>
        <v>2193</v>
      </c>
      <c r="AD41" s="16">
        <f t="shared" si="33"/>
        <v>1</v>
      </c>
      <c r="AE41" s="32">
        <f t="shared" si="33"/>
        <v>1306</v>
      </c>
      <c r="AF41" s="32">
        <f t="shared" si="33"/>
        <v>3499</v>
      </c>
    </row>
    <row r="42" spans="2:32" ht="23.1" customHeight="1" x14ac:dyDescent="0.25">
      <c r="B42" s="46" t="s">
        <v>69</v>
      </c>
      <c r="C42" s="50">
        <v>2</v>
      </c>
      <c r="D42" s="50">
        <v>0</v>
      </c>
      <c r="E42" s="50">
        <v>1</v>
      </c>
      <c r="F42" s="50">
        <v>2</v>
      </c>
      <c r="G42" s="50">
        <v>0</v>
      </c>
      <c r="H42" s="50">
        <v>0</v>
      </c>
      <c r="I42" s="50">
        <v>2</v>
      </c>
      <c r="J42" s="50">
        <v>2</v>
      </c>
      <c r="K42" s="50">
        <v>2</v>
      </c>
      <c r="L42" s="50">
        <v>2</v>
      </c>
      <c r="M42" s="50">
        <v>29</v>
      </c>
      <c r="N42" s="50">
        <v>0</v>
      </c>
      <c r="O42" s="15">
        <f t="shared" si="0"/>
        <v>13</v>
      </c>
      <c r="P42" s="15">
        <f t="shared" si="1"/>
        <v>42</v>
      </c>
      <c r="R42" s="5" t="s">
        <v>160</v>
      </c>
      <c r="S42" s="48">
        <f>S41/S40</f>
        <v>1.3081967213114754</v>
      </c>
      <c r="T42" s="48">
        <f t="shared" ref="T42:AF42" si="34">T41/T40</f>
        <v>1.3793103448275863</v>
      </c>
      <c r="U42" s="48">
        <f t="shared" si="34"/>
        <v>1.441860465116279</v>
      </c>
      <c r="V42" s="48">
        <f t="shared" si="34"/>
        <v>1.345679012345679</v>
      </c>
      <c r="W42" s="48">
        <f t="shared" si="34"/>
        <v>1.25</v>
      </c>
      <c r="X42" s="48">
        <f t="shared" si="34"/>
        <v>4.5</v>
      </c>
      <c r="Y42" s="48">
        <f t="shared" si="34"/>
        <v>1.4181818181818182</v>
      </c>
      <c r="Z42" s="48">
        <f t="shared" si="34"/>
        <v>1.2941176470588236</v>
      </c>
      <c r="AA42" s="48">
        <f t="shared" si="34"/>
        <v>1.1860465116279071</v>
      </c>
      <c r="AB42" s="48">
        <f t="shared" si="34"/>
        <v>1.7543859649122806</v>
      </c>
      <c r="AC42" s="48">
        <f t="shared" si="34"/>
        <v>1.1860465116279071</v>
      </c>
      <c r="AD42" s="48">
        <f t="shared" si="34"/>
        <v>1</v>
      </c>
      <c r="AE42" s="48">
        <f t="shared" si="34"/>
        <v>1.3661087866108788</v>
      </c>
      <c r="AF42" s="48">
        <f t="shared" si="34"/>
        <v>1.2474153297682709</v>
      </c>
    </row>
    <row r="43" spans="2:32" ht="23.1" customHeight="1" x14ac:dyDescent="0.25">
      <c r="B43" s="45" t="s">
        <v>70</v>
      </c>
      <c r="C43" s="50">
        <v>4</v>
      </c>
      <c r="D43" s="50">
        <v>1</v>
      </c>
      <c r="E43" s="50">
        <v>1</v>
      </c>
      <c r="F43" s="50">
        <v>4</v>
      </c>
      <c r="G43" s="50">
        <v>0</v>
      </c>
      <c r="H43" s="50">
        <v>0</v>
      </c>
      <c r="I43" s="50">
        <v>3</v>
      </c>
      <c r="J43" s="50">
        <v>4</v>
      </c>
      <c r="K43" s="50">
        <v>4</v>
      </c>
      <c r="L43" s="50">
        <v>3</v>
      </c>
      <c r="M43" s="50">
        <v>49</v>
      </c>
      <c r="N43" s="50">
        <v>0</v>
      </c>
      <c r="O43" s="15">
        <f t="shared" si="0"/>
        <v>24</v>
      </c>
      <c r="P43" s="15">
        <f t="shared" si="1"/>
        <v>73</v>
      </c>
    </row>
    <row r="44" spans="2:32" ht="23.1" customHeight="1" x14ac:dyDescent="0.25">
      <c r="B44" s="47" t="s">
        <v>71</v>
      </c>
      <c r="C44" s="50">
        <v>4</v>
      </c>
      <c r="D44" s="50">
        <v>2</v>
      </c>
      <c r="E44" s="50">
        <v>3</v>
      </c>
      <c r="F44" s="50">
        <v>3</v>
      </c>
      <c r="G44" s="50">
        <v>0</v>
      </c>
      <c r="H44" s="50">
        <v>0</v>
      </c>
      <c r="I44" s="50">
        <v>0</v>
      </c>
      <c r="J44" s="50">
        <v>1</v>
      </c>
      <c r="K44" s="50">
        <v>2</v>
      </c>
      <c r="L44" s="50">
        <v>0</v>
      </c>
      <c r="M44" s="50">
        <v>32</v>
      </c>
      <c r="N44" s="50">
        <v>0</v>
      </c>
      <c r="O44" s="15">
        <f t="shared" si="0"/>
        <v>15</v>
      </c>
      <c r="P44" s="15">
        <f t="shared" si="1"/>
        <v>47</v>
      </c>
    </row>
    <row r="45" spans="2:32" ht="23.1" customHeight="1" x14ac:dyDescent="0.25">
      <c r="B45" s="45" t="s">
        <v>72</v>
      </c>
      <c r="C45" s="50">
        <v>6</v>
      </c>
      <c r="D45" s="50">
        <v>4</v>
      </c>
      <c r="E45" s="50">
        <v>5</v>
      </c>
      <c r="F45" s="50">
        <v>5</v>
      </c>
      <c r="G45" s="50">
        <v>0</v>
      </c>
      <c r="H45" s="50">
        <v>0</v>
      </c>
      <c r="I45" s="50">
        <v>1</v>
      </c>
      <c r="J45" s="50">
        <v>2</v>
      </c>
      <c r="K45" s="50">
        <v>3</v>
      </c>
      <c r="L45" s="50">
        <v>1</v>
      </c>
      <c r="M45" s="50">
        <v>54</v>
      </c>
      <c r="N45" s="50">
        <v>0</v>
      </c>
      <c r="O45" s="15">
        <f t="shared" si="0"/>
        <v>27</v>
      </c>
      <c r="P45" s="15">
        <f t="shared" si="1"/>
        <v>81</v>
      </c>
    </row>
    <row r="46" spans="2:32" ht="23.1" customHeight="1" x14ac:dyDescent="0.25">
      <c r="B46" s="46" t="s">
        <v>73</v>
      </c>
      <c r="C46" s="50">
        <v>4</v>
      </c>
      <c r="D46" s="50">
        <v>1</v>
      </c>
      <c r="E46" s="50">
        <v>2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1</v>
      </c>
      <c r="L46" s="50">
        <v>0</v>
      </c>
      <c r="M46" s="50">
        <v>12</v>
      </c>
      <c r="N46" s="50">
        <v>0</v>
      </c>
      <c r="O46" s="15">
        <f t="shared" si="0"/>
        <v>9</v>
      </c>
      <c r="P46" s="15">
        <f t="shared" si="1"/>
        <v>21</v>
      </c>
      <c r="R46" s="8"/>
      <c r="T46"/>
    </row>
    <row r="47" spans="2:32" ht="23.1" customHeight="1" x14ac:dyDescent="0.25">
      <c r="B47" s="46" t="s">
        <v>74</v>
      </c>
      <c r="C47" s="50">
        <v>6</v>
      </c>
      <c r="D47" s="50">
        <v>2</v>
      </c>
      <c r="E47" s="50">
        <v>3</v>
      </c>
      <c r="F47" s="50">
        <v>2</v>
      </c>
      <c r="G47" s="50">
        <v>0</v>
      </c>
      <c r="H47" s="50">
        <v>0</v>
      </c>
      <c r="I47" s="50">
        <v>0</v>
      </c>
      <c r="J47" s="50">
        <v>0</v>
      </c>
      <c r="K47" s="50">
        <v>2</v>
      </c>
      <c r="L47" s="50">
        <v>1</v>
      </c>
      <c r="M47" s="50">
        <v>20</v>
      </c>
      <c r="N47" s="50">
        <v>0</v>
      </c>
      <c r="O47" s="15">
        <f t="shared" si="0"/>
        <v>16</v>
      </c>
      <c r="P47" s="15">
        <f t="shared" si="1"/>
        <v>36</v>
      </c>
      <c r="R47" s="8"/>
      <c r="T47"/>
    </row>
    <row r="48" spans="2:32" ht="23.1" customHeight="1" x14ac:dyDescent="0.25">
      <c r="B48" s="46" t="s">
        <v>75</v>
      </c>
      <c r="C48" s="50">
        <v>6</v>
      </c>
      <c r="D48" s="50">
        <v>1</v>
      </c>
      <c r="E48" s="50">
        <v>2</v>
      </c>
      <c r="F48" s="50">
        <v>3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24</v>
      </c>
      <c r="N48" s="50">
        <v>0</v>
      </c>
      <c r="O48" s="15">
        <f t="shared" si="0"/>
        <v>15</v>
      </c>
      <c r="P48" s="15">
        <f t="shared" si="1"/>
        <v>39</v>
      </c>
      <c r="R48" s="8"/>
      <c r="T48"/>
    </row>
    <row r="49" spans="2:20" ht="23.1" customHeight="1" x14ac:dyDescent="0.25">
      <c r="B49" s="45" t="s">
        <v>76</v>
      </c>
      <c r="C49" s="50">
        <v>10</v>
      </c>
      <c r="D49" s="50">
        <v>2</v>
      </c>
      <c r="E49" s="50">
        <v>3</v>
      </c>
      <c r="F49" s="50">
        <v>5</v>
      </c>
      <c r="G49" s="50">
        <v>0</v>
      </c>
      <c r="H49" s="50">
        <v>0</v>
      </c>
      <c r="I49" s="50">
        <v>3</v>
      </c>
      <c r="J49" s="50">
        <v>2</v>
      </c>
      <c r="K49" s="50">
        <v>1</v>
      </c>
      <c r="L49" s="50">
        <v>1</v>
      </c>
      <c r="M49" s="50">
        <v>40</v>
      </c>
      <c r="N49" s="50">
        <v>0</v>
      </c>
      <c r="O49" s="15">
        <f t="shared" si="0"/>
        <v>27</v>
      </c>
      <c r="P49" s="15">
        <f t="shared" si="1"/>
        <v>67</v>
      </c>
      <c r="R49" s="8"/>
      <c r="T49"/>
    </row>
    <row r="50" spans="2:20" ht="23.1" customHeight="1" x14ac:dyDescent="0.25">
      <c r="B50" s="46" t="s">
        <v>77</v>
      </c>
      <c r="C50" s="50">
        <v>8</v>
      </c>
      <c r="D50" s="50">
        <v>3</v>
      </c>
      <c r="E50" s="50">
        <v>5</v>
      </c>
      <c r="F50" s="50">
        <v>2</v>
      </c>
      <c r="G50" s="50">
        <v>0</v>
      </c>
      <c r="H50" s="50">
        <v>0</v>
      </c>
      <c r="I50" s="50">
        <v>2</v>
      </c>
      <c r="J50" s="50">
        <v>1</v>
      </c>
      <c r="K50" s="50">
        <v>0</v>
      </c>
      <c r="L50" s="50">
        <v>2</v>
      </c>
      <c r="M50" s="50">
        <v>34</v>
      </c>
      <c r="N50" s="50">
        <v>0</v>
      </c>
      <c r="O50" s="15">
        <f t="shared" si="0"/>
        <v>23</v>
      </c>
      <c r="P50" s="15">
        <f t="shared" si="1"/>
        <v>57</v>
      </c>
      <c r="R50" s="8"/>
      <c r="T50"/>
    </row>
    <row r="51" spans="2:20" ht="23.1" customHeight="1" x14ac:dyDescent="0.25">
      <c r="B51" s="46" t="s">
        <v>78</v>
      </c>
      <c r="C51" s="50">
        <v>13</v>
      </c>
      <c r="D51" s="50">
        <v>6</v>
      </c>
      <c r="E51" s="50">
        <v>8</v>
      </c>
      <c r="F51" s="50">
        <v>3</v>
      </c>
      <c r="G51" s="50">
        <v>0</v>
      </c>
      <c r="H51" s="50">
        <v>1</v>
      </c>
      <c r="I51" s="50">
        <v>4</v>
      </c>
      <c r="J51" s="50">
        <v>2</v>
      </c>
      <c r="K51" s="50">
        <v>1</v>
      </c>
      <c r="L51" s="50">
        <v>3</v>
      </c>
      <c r="M51" s="50">
        <v>57</v>
      </c>
      <c r="N51" s="50">
        <v>0</v>
      </c>
      <c r="O51" s="15">
        <f t="shared" si="0"/>
        <v>41</v>
      </c>
      <c r="P51" s="15">
        <f t="shared" si="1"/>
        <v>98</v>
      </c>
      <c r="R51" s="8"/>
      <c r="T51"/>
    </row>
    <row r="52" spans="2:20" ht="23.1" customHeight="1" x14ac:dyDescent="0.25">
      <c r="B52" s="46" t="s">
        <v>79</v>
      </c>
      <c r="C52" s="50">
        <v>9</v>
      </c>
      <c r="D52" s="50">
        <v>0</v>
      </c>
      <c r="E52" s="50">
        <v>1</v>
      </c>
      <c r="F52" s="50">
        <v>4</v>
      </c>
      <c r="G52" s="50">
        <v>0</v>
      </c>
      <c r="H52" s="50">
        <v>0</v>
      </c>
      <c r="I52" s="50">
        <v>1</v>
      </c>
      <c r="J52" s="50">
        <v>0</v>
      </c>
      <c r="K52" s="50">
        <v>2</v>
      </c>
      <c r="L52" s="50">
        <v>1</v>
      </c>
      <c r="M52" s="50">
        <v>38</v>
      </c>
      <c r="N52" s="50">
        <v>0</v>
      </c>
      <c r="O52" s="15">
        <f t="shared" si="0"/>
        <v>18</v>
      </c>
      <c r="P52" s="15">
        <f t="shared" si="1"/>
        <v>56</v>
      </c>
      <c r="R52" s="8"/>
      <c r="T52"/>
    </row>
    <row r="53" spans="2:20" ht="23.1" customHeight="1" x14ac:dyDescent="0.25">
      <c r="B53" s="45" t="s">
        <v>80</v>
      </c>
      <c r="C53" s="50">
        <v>15</v>
      </c>
      <c r="D53" s="50">
        <v>1</v>
      </c>
      <c r="E53" s="50">
        <v>1</v>
      </c>
      <c r="F53" s="50">
        <v>6</v>
      </c>
      <c r="G53" s="50">
        <v>0</v>
      </c>
      <c r="H53" s="50">
        <v>0</v>
      </c>
      <c r="I53" s="50">
        <v>2</v>
      </c>
      <c r="J53" s="50">
        <v>1</v>
      </c>
      <c r="K53" s="50">
        <v>3</v>
      </c>
      <c r="L53" s="50">
        <v>2</v>
      </c>
      <c r="M53" s="50">
        <v>64</v>
      </c>
      <c r="N53" s="50">
        <v>0</v>
      </c>
      <c r="O53" s="15">
        <f t="shared" si="0"/>
        <v>31</v>
      </c>
      <c r="P53" s="15">
        <f t="shared" si="1"/>
        <v>95</v>
      </c>
      <c r="R53" s="8"/>
      <c r="T53"/>
    </row>
    <row r="54" spans="2:20" ht="23.1" customHeight="1" x14ac:dyDescent="0.25">
      <c r="B54" s="45" t="s">
        <v>81</v>
      </c>
      <c r="C54" s="50">
        <v>7</v>
      </c>
      <c r="D54" s="50">
        <v>3</v>
      </c>
      <c r="E54" s="50">
        <v>4</v>
      </c>
      <c r="F54" s="50">
        <v>2</v>
      </c>
      <c r="G54" s="50">
        <v>0</v>
      </c>
      <c r="H54" s="50">
        <v>0</v>
      </c>
      <c r="I54" s="50">
        <v>0</v>
      </c>
      <c r="J54" s="50">
        <v>2</v>
      </c>
      <c r="K54" s="50">
        <v>1</v>
      </c>
      <c r="L54" s="50">
        <v>0</v>
      </c>
      <c r="M54" s="50">
        <v>34</v>
      </c>
      <c r="N54" s="50">
        <v>0</v>
      </c>
      <c r="O54" s="15">
        <f t="shared" si="0"/>
        <v>19</v>
      </c>
      <c r="P54" s="15">
        <f t="shared" si="1"/>
        <v>53</v>
      </c>
      <c r="R54" s="8"/>
      <c r="T54"/>
    </row>
    <row r="55" spans="2:20" ht="23.1" customHeight="1" x14ac:dyDescent="0.25">
      <c r="B55" s="45" t="s">
        <v>82</v>
      </c>
      <c r="C55" s="50">
        <v>11</v>
      </c>
      <c r="D55" s="50">
        <v>4</v>
      </c>
      <c r="E55" s="50">
        <v>7</v>
      </c>
      <c r="F55" s="50">
        <v>4</v>
      </c>
      <c r="G55" s="50">
        <v>0</v>
      </c>
      <c r="H55" s="50">
        <v>0</v>
      </c>
      <c r="I55" s="50">
        <v>0</v>
      </c>
      <c r="J55" s="50">
        <v>3</v>
      </c>
      <c r="K55" s="50">
        <v>2</v>
      </c>
      <c r="L55" s="50">
        <v>1</v>
      </c>
      <c r="M55" s="50">
        <v>56</v>
      </c>
      <c r="N55" s="50">
        <v>0</v>
      </c>
      <c r="O55" s="15">
        <f t="shared" si="0"/>
        <v>32</v>
      </c>
      <c r="P55" s="15">
        <f t="shared" si="1"/>
        <v>88</v>
      </c>
      <c r="R55" s="8"/>
      <c r="T55"/>
    </row>
    <row r="56" spans="2:20" ht="23.1" customHeight="1" x14ac:dyDescent="0.25">
      <c r="B56" s="45" t="s">
        <v>83</v>
      </c>
      <c r="C56" s="50">
        <v>6</v>
      </c>
      <c r="D56" s="50">
        <v>2</v>
      </c>
      <c r="E56" s="50">
        <v>2</v>
      </c>
      <c r="F56" s="50">
        <v>4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1</v>
      </c>
      <c r="M56" s="50">
        <v>26</v>
      </c>
      <c r="N56" s="50">
        <v>0</v>
      </c>
      <c r="O56" s="15">
        <f t="shared" si="0"/>
        <v>16</v>
      </c>
      <c r="P56" s="15">
        <f t="shared" si="1"/>
        <v>42</v>
      </c>
      <c r="R56" s="8"/>
      <c r="T56"/>
    </row>
    <row r="57" spans="2:20" ht="23.1" customHeight="1" x14ac:dyDescent="0.25">
      <c r="B57" s="45" t="s">
        <v>84</v>
      </c>
      <c r="C57" s="50">
        <v>10</v>
      </c>
      <c r="D57" s="50">
        <v>3</v>
      </c>
      <c r="E57" s="50">
        <v>4</v>
      </c>
      <c r="F57" s="50">
        <v>6</v>
      </c>
      <c r="G57" s="50">
        <v>0</v>
      </c>
      <c r="H57" s="50">
        <v>0</v>
      </c>
      <c r="I57" s="50">
        <v>2</v>
      </c>
      <c r="J57" s="50">
        <v>0</v>
      </c>
      <c r="K57" s="50">
        <v>1</v>
      </c>
      <c r="L57" s="50">
        <v>2</v>
      </c>
      <c r="M57" s="50">
        <v>43</v>
      </c>
      <c r="N57" s="50">
        <v>0</v>
      </c>
      <c r="O57" s="15">
        <f t="shared" si="0"/>
        <v>28</v>
      </c>
      <c r="P57" s="15">
        <f t="shared" si="1"/>
        <v>71</v>
      </c>
      <c r="R57" s="8"/>
      <c r="T57"/>
    </row>
    <row r="58" spans="2:20" ht="23.1" customHeight="1" x14ac:dyDescent="0.25">
      <c r="B58" s="45" t="s">
        <v>99</v>
      </c>
      <c r="C58" s="50">
        <v>4</v>
      </c>
      <c r="D58" s="50">
        <v>1</v>
      </c>
      <c r="E58" s="50">
        <v>2</v>
      </c>
      <c r="F58" s="50">
        <v>2</v>
      </c>
      <c r="G58" s="50">
        <v>0</v>
      </c>
      <c r="H58" s="50">
        <v>0</v>
      </c>
      <c r="I58" s="50">
        <v>0</v>
      </c>
      <c r="J58" s="50">
        <v>0</v>
      </c>
      <c r="K58" s="50">
        <v>1</v>
      </c>
      <c r="L58" s="50">
        <v>0</v>
      </c>
      <c r="M58" s="50">
        <v>43</v>
      </c>
      <c r="N58" s="50">
        <v>0</v>
      </c>
      <c r="O58" s="15">
        <f t="shared" ref="O58:O105" si="35">SUM(C58:L58,N58)</f>
        <v>10</v>
      </c>
      <c r="P58" s="15">
        <f t="shared" ref="P58:P105" si="36">SUM(C58:N58)</f>
        <v>53</v>
      </c>
      <c r="R58" s="8"/>
      <c r="T58"/>
    </row>
    <row r="59" spans="2:20" ht="23.1" customHeight="1" x14ac:dyDescent="0.25">
      <c r="B59" s="45" t="s">
        <v>100</v>
      </c>
      <c r="C59" s="50">
        <v>7</v>
      </c>
      <c r="D59" s="50">
        <v>2</v>
      </c>
      <c r="E59" s="50">
        <v>3</v>
      </c>
      <c r="F59" s="50">
        <v>3</v>
      </c>
      <c r="G59" s="50">
        <v>0</v>
      </c>
      <c r="H59" s="50">
        <v>1</v>
      </c>
      <c r="I59" s="50">
        <v>0</v>
      </c>
      <c r="J59" s="50">
        <v>0</v>
      </c>
      <c r="K59" s="50">
        <v>2</v>
      </c>
      <c r="L59" s="50">
        <v>0</v>
      </c>
      <c r="M59" s="50">
        <v>72</v>
      </c>
      <c r="N59" s="50">
        <v>0</v>
      </c>
      <c r="O59" s="15">
        <f t="shared" si="35"/>
        <v>18</v>
      </c>
      <c r="P59" s="15">
        <f t="shared" si="36"/>
        <v>90</v>
      </c>
      <c r="R59" s="8"/>
      <c r="T59"/>
    </row>
    <row r="60" spans="2:20" ht="23.1" customHeight="1" x14ac:dyDescent="0.25">
      <c r="B60" s="45" t="s">
        <v>101</v>
      </c>
      <c r="C60" s="50">
        <v>8</v>
      </c>
      <c r="D60" s="50">
        <v>3</v>
      </c>
      <c r="E60" s="50">
        <v>5</v>
      </c>
      <c r="F60" s="50">
        <v>3</v>
      </c>
      <c r="G60" s="50">
        <v>0</v>
      </c>
      <c r="H60" s="50">
        <v>0</v>
      </c>
      <c r="I60" s="50">
        <v>0</v>
      </c>
      <c r="J60" s="50">
        <v>0</v>
      </c>
      <c r="K60" s="50">
        <v>1</v>
      </c>
      <c r="L60" s="50">
        <v>0</v>
      </c>
      <c r="M60" s="50">
        <v>23</v>
      </c>
      <c r="N60" s="50">
        <v>0</v>
      </c>
      <c r="O60" s="15">
        <f t="shared" si="35"/>
        <v>20</v>
      </c>
      <c r="P60" s="15">
        <f t="shared" si="36"/>
        <v>43</v>
      </c>
      <c r="R60" s="8"/>
      <c r="T60"/>
    </row>
    <row r="61" spans="2:20" ht="23.1" customHeight="1" x14ac:dyDescent="0.25">
      <c r="B61" s="45" t="s">
        <v>102</v>
      </c>
      <c r="C61" s="50">
        <v>13</v>
      </c>
      <c r="D61" s="50">
        <v>5</v>
      </c>
      <c r="E61" s="50">
        <v>8</v>
      </c>
      <c r="F61" s="50">
        <v>5</v>
      </c>
      <c r="G61" s="50">
        <v>0</v>
      </c>
      <c r="H61" s="50">
        <v>1</v>
      </c>
      <c r="I61" s="50">
        <v>1</v>
      </c>
      <c r="J61" s="50">
        <v>0</v>
      </c>
      <c r="K61" s="50">
        <v>2</v>
      </c>
      <c r="L61" s="50">
        <v>1</v>
      </c>
      <c r="M61" s="50">
        <v>38</v>
      </c>
      <c r="N61" s="50">
        <v>0</v>
      </c>
      <c r="O61" s="15">
        <f t="shared" si="35"/>
        <v>36</v>
      </c>
      <c r="P61" s="15">
        <f t="shared" si="36"/>
        <v>74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2</v>
      </c>
      <c r="E62" s="50">
        <v>2</v>
      </c>
      <c r="F62" s="50">
        <v>2</v>
      </c>
      <c r="G62" s="50">
        <v>0</v>
      </c>
      <c r="H62" s="50">
        <v>0</v>
      </c>
      <c r="I62" s="50">
        <v>0</v>
      </c>
      <c r="J62" s="50">
        <v>0</v>
      </c>
      <c r="K62" s="50">
        <v>2</v>
      </c>
      <c r="L62" s="50">
        <v>1</v>
      </c>
      <c r="M62" s="50">
        <v>10</v>
      </c>
      <c r="N62" s="50">
        <v>0</v>
      </c>
      <c r="O62" s="15">
        <f t="shared" si="35"/>
        <v>10</v>
      </c>
      <c r="P62" s="15">
        <f t="shared" si="36"/>
        <v>20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3</v>
      </c>
      <c r="E63" s="50">
        <v>4</v>
      </c>
      <c r="F63" s="50">
        <v>3</v>
      </c>
      <c r="G63" s="50">
        <v>0</v>
      </c>
      <c r="H63" s="50">
        <v>1</v>
      </c>
      <c r="I63" s="50">
        <v>0</v>
      </c>
      <c r="J63" s="50">
        <v>0</v>
      </c>
      <c r="K63" s="50">
        <v>4</v>
      </c>
      <c r="L63" s="50">
        <v>2</v>
      </c>
      <c r="M63" s="50">
        <v>16</v>
      </c>
      <c r="N63" s="50">
        <v>0</v>
      </c>
      <c r="O63" s="15">
        <f t="shared" si="35"/>
        <v>19</v>
      </c>
      <c r="P63" s="15">
        <f t="shared" si="36"/>
        <v>35</v>
      </c>
      <c r="R63" s="8"/>
      <c r="T63"/>
    </row>
    <row r="64" spans="2:20" ht="23.1" customHeight="1" x14ac:dyDescent="0.25">
      <c r="B64" s="45" t="s">
        <v>109</v>
      </c>
      <c r="C64" s="50">
        <v>2</v>
      </c>
      <c r="D64" s="50">
        <v>2</v>
      </c>
      <c r="E64" s="50">
        <v>3</v>
      </c>
      <c r="F64" s="50">
        <v>1</v>
      </c>
      <c r="G64" s="50">
        <v>0</v>
      </c>
      <c r="H64" s="50">
        <v>0</v>
      </c>
      <c r="I64" s="50">
        <v>2</v>
      </c>
      <c r="J64" s="50">
        <v>0</v>
      </c>
      <c r="K64" s="50">
        <v>0</v>
      </c>
      <c r="L64" s="50">
        <v>0</v>
      </c>
      <c r="M64" s="50">
        <v>11</v>
      </c>
      <c r="N64" s="50">
        <v>0</v>
      </c>
      <c r="O64" s="15">
        <f t="shared" si="35"/>
        <v>10</v>
      </c>
      <c r="P64" s="15">
        <f t="shared" si="36"/>
        <v>21</v>
      </c>
      <c r="R64" s="8"/>
      <c r="T64"/>
    </row>
    <row r="65" spans="2:20" ht="23.1" customHeight="1" x14ac:dyDescent="0.25">
      <c r="B65" s="45" t="s">
        <v>158</v>
      </c>
      <c r="C65" s="50">
        <v>4</v>
      </c>
      <c r="D65" s="50">
        <v>3</v>
      </c>
      <c r="E65" s="50">
        <v>5</v>
      </c>
      <c r="F65" s="50">
        <v>2</v>
      </c>
      <c r="G65" s="50">
        <v>0</v>
      </c>
      <c r="H65" s="50">
        <v>0</v>
      </c>
      <c r="I65" s="50">
        <v>3</v>
      </c>
      <c r="J65" s="50">
        <v>0</v>
      </c>
      <c r="K65" s="50">
        <v>0</v>
      </c>
      <c r="L65" s="50">
        <v>1</v>
      </c>
      <c r="M65" s="50">
        <v>19</v>
      </c>
      <c r="N65" s="50">
        <v>0</v>
      </c>
      <c r="O65" s="15">
        <f t="shared" si="35"/>
        <v>18</v>
      </c>
      <c r="P65" s="15">
        <f t="shared" si="36"/>
        <v>37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v>1</v>
      </c>
      <c r="E66" s="50">
        <v>1</v>
      </c>
      <c r="F66" s="50">
        <v>4</v>
      </c>
      <c r="G66" s="50">
        <v>0</v>
      </c>
      <c r="H66" s="50">
        <v>0</v>
      </c>
      <c r="I66" s="50">
        <v>2</v>
      </c>
      <c r="J66" s="50">
        <v>0</v>
      </c>
      <c r="K66" s="50">
        <v>0</v>
      </c>
      <c r="L66" s="50">
        <v>2</v>
      </c>
      <c r="M66" s="50">
        <v>7</v>
      </c>
      <c r="N66" s="50">
        <v>0</v>
      </c>
      <c r="O66" s="15">
        <f t="shared" si="35"/>
        <v>14</v>
      </c>
      <c r="P66" s="15">
        <f t="shared" si="36"/>
        <v>21</v>
      </c>
      <c r="R66" s="8"/>
      <c r="T66"/>
    </row>
    <row r="67" spans="2:20" ht="23.1" customHeight="1" x14ac:dyDescent="0.25">
      <c r="B67" s="45" t="s">
        <v>104</v>
      </c>
      <c r="C67" s="50">
        <v>6</v>
      </c>
      <c r="D67" s="50">
        <v>1</v>
      </c>
      <c r="E67" s="50">
        <v>2</v>
      </c>
      <c r="F67" s="50">
        <v>7</v>
      </c>
      <c r="G67" s="50">
        <v>0</v>
      </c>
      <c r="H67" s="50">
        <v>0</v>
      </c>
      <c r="I67" s="50">
        <v>4</v>
      </c>
      <c r="J67" s="50">
        <v>0</v>
      </c>
      <c r="K67" s="50">
        <v>0</v>
      </c>
      <c r="L67" s="50">
        <v>3</v>
      </c>
      <c r="M67" s="50">
        <v>11</v>
      </c>
      <c r="N67" s="50">
        <v>0</v>
      </c>
      <c r="O67" s="15">
        <f t="shared" si="35"/>
        <v>23</v>
      </c>
      <c r="P67" s="15">
        <f t="shared" si="36"/>
        <v>34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7</v>
      </c>
      <c r="N68" s="50">
        <v>0</v>
      </c>
      <c r="O68" s="15">
        <f t="shared" si="35"/>
        <v>0</v>
      </c>
      <c r="P68" s="15">
        <f t="shared" si="36"/>
        <v>7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1</v>
      </c>
      <c r="F69" s="50">
        <v>1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1</v>
      </c>
      <c r="M69" s="50">
        <v>11</v>
      </c>
      <c r="N69" s="50">
        <v>0</v>
      </c>
      <c r="O69" s="15">
        <f t="shared" si="35"/>
        <v>4</v>
      </c>
      <c r="P69" s="15">
        <f t="shared" si="36"/>
        <v>15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0</v>
      </c>
      <c r="F70" s="50">
        <v>1</v>
      </c>
      <c r="G70" s="50">
        <v>0</v>
      </c>
      <c r="H70" s="50">
        <v>0</v>
      </c>
      <c r="I70" s="50">
        <v>0</v>
      </c>
      <c r="J70" s="50">
        <v>3</v>
      </c>
      <c r="K70" s="50">
        <v>0</v>
      </c>
      <c r="L70" s="50">
        <v>1</v>
      </c>
      <c r="M70" s="50">
        <v>4</v>
      </c>
      <c r="N70" s="50">
        <v>0</v>
      </c>
      <c r="O70" s="15">
        <f t="shared" si="35"/>
        <v>7</v>
      </c>
      <c r="P70" s="15">
        <f t="shared" si="36"/>
        <v>11</v>
      </c>
      <c r="R70" s="8"/>
      <c r="T70"/>
    </row>
    <row r="71" spans="2:20" ht="23.1" customHeight="1" x14ac:dyDescent="0.25">
      <c r="B71" s="45" t="s">
        <v>111</v>
      </c>
      <c r="C71" s="50">
        <v>3</v>
      </c>
      <c r="D71" s="50">
        <v>0</v>
      </c>
      <c r="E71" s="50">
        <v>1</v>
      </c>
      <c r="F71" s="50">
        <v>2</v>
      </c>
      <c r="G71" s="50">
        <v>0</v>
      </c>
      <c r="H71" s="50">
        <v>0</v>
      </c>
      <c r="I71" s="50">
        <v>1</v>
      </c>
      <c r="J71" s="50">
        <v>5</v>
      </c>
      <c r="K71" s="50">
        <v>0</v>
      </c>
      <c r="L71" s="50">
        <v>2</v>
      </c>
      <c r="M71" s="50">
        <v>6</v>
      </c>
      <c r="N71" s="50">
        <v>0</v>
      </c>
      <c r="O71" s="15">
        <f t="shared" si="35"/>
        <v>14</v>
      </c>
      <c r="P71" s="15">
        <f t="shared" si="36"/>
        <v>20</v>
      </c>
      <c r="R71" s="8"/>
      <c r="T71"/>
    </row>
    <row r="72" spans="2:20" ht="23.1" customHeight="1" x14ac:dyDescent="0.25">
      <c r="B72" s="45" t="s">
        <v>112</v>
      </c>
      <c r="C72" s="50">
        <v>4</v>
      </c>
      <c r="D72" s="50">
        <v>1</v>
      </c>
      <c r="E72" s="50">
        <v>1</v>
      </c>
      <c r="F72" s="50">
        <v>0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2</v>
      </c>
      <c r="M72" s="50">
        <v>4</v>
      </c>
      <c r="N72" s="50">
        <v>0</v>
      </c>
      <c r="O72" s="15">
        <f t="shared" si="35"/>
        <v>9</v>
      </c>
      <c r="P72" s="15">
        <f t="shared" si="36"/>
        <v>13</v>
      </c>
      <c r="R72" s="8"/>
      <c r="T72"/>
    </row>
    <row r="73" spans="2:20" ht="23.1" customHeight="1" x14ac:dyDescent="0.25">
      <c r="B73" s="45" t="s">
        <v>113</v>
      </c>
      <c r="C73" s="50">
        <v>6</v>
      </c>
      <c r="D73" s="50">
        <v>2</v>
      </c>
      <c r="E73" s="50">
        <v>2</v>
      </c>
      <c r="F73" s="50">
        <v>0</v>
      </c>
      <c r="G73" s="50">
        <v>0</v>
      </c>
      <c r="H73" s="50">
        <v>0</v>
      </c>
      <c r="I73" s="50">
        <v>0</v>
      </c>
      <c r="J73" s="50">
        <v>2</v>
      </c>
      <c r="K73" s="50">
        <v>0</v>
      </c>
      <c r="L73" s="50">
        <v>3</v>
      </c>
      <c r="M73" s="50">
        <v>6</v>
      </c>
      <c r="N73" s="50">
        <v>0</v>
      </c>
      <c r="O73" s="15">
        <f t="shared" si="35"/>
        <v>15</v>
      </c>
      <c r="P73" s="15">
        <f t="shared" si="36"/>
        <v>21</v>
      </c>
      <c r="R73" s="8"/>
      <c r="T73"/>
    </row>
    <row r="74" spans="2:20" ht="23.1" customHeight="1" x14ac:dyDescent="0.25">
      <c r="B74" s="45" t="s">
        <v>114</v>
      </c>
      <c r="C74" s="50">
        <v>3</v>
      </c>
      <c r="D74" s="50">
        <v>1</v>
      </c>
      <c r="E74" s="50">
        <v>1</v>
      </c>
      <c r="F74" s="50">
        <v>4</v>
      </c>
      <c r="G74" s="50">
        <v>0</v>
      </c>
      <c r="H74" s="50">
        <v>0</v>
      </c>
      <c r="I74" s="50">
        <v>2</v>
      </c>
      <c r="J74" s="50">
        <v>2</v>
      </c>
      <c r="K74" s="50">
        <v>0</v>
      </c>
      <c r="L74" s="50">
        <v>2</v>
      </c>
      <c r="M74" s="50">
        <v>6</v>
      </c>
      <c r="N74" s="50">
        <v>0</v>
      </c>
      <c r="O74" s="15">
        <f t="shared" si="35"/>
        <v>15</v>
      </c>
      <c r="P74" s="15">
        <f t="shared" si="36"/>
        <v>21</v>
      </c>
      <c r="R74" s="8"/>
      <c r="T74"/>
    </row>
    <row r="75" spans="2:20" ht="23.1" customHeight="1" x14ac:dyDescent="0.25">
      <c r="B75" s="45" t="s">
        <v>115</v>
      </c>
      <c r="C75" s="50">
        <v>5</v>
      </c>
      <c r="D75" s="50">
        <v>1</v>
      </c>
      <c r="E75" s="50">
        <v>2</v>
      </c>
      <c r="F75" s="50">
        <v>6</v>
      </c>
      <c r="G75" s="50">
        <v>0</v>
      </c>
      <c r="H75" s="50">
        <v>1</v>
      </c>
      <c r="I75" s="50">
        <v>4</v>
      </c>
      <c r="J75" s="50">
        <v>3</v>
      </c>
      <c r="K75" s="50">
        <v>0</v>
      </c>
      <c r="L75" s="50">
        <v>3</v>
      </c>
      <c r="M75" s="50">
        <v>10</v>
      </c>
      <c r="N75" s="50">
        <v>0</v>
      </c>
      <c r="O75" s="15">
        <f t="shared" si="35"/>
        <v>25</v>
      </c>
      <c r="P75" s="15">
        <f t="shared" si="36"/>
        <v>35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1</v>
      </c>
      <c r="F76" s="50">
        <v>1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4</v>
      </c>
      <c r="N76" s="50">
        <v>0</v>
      </c>
      <c r="O76" s="15">
        <f t="shared" si="35"/>
        <v>3</v>
      </c>
      <c r="P76" s="15">
        <f t="shared" si="36"/>
        <v>7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1</v>
      </c>
      <c r="E77" s="50">
        <v>1</v>
      </c>
      <c r="F77" s="50">
        <v>2</v>
      </c>
      <c r="G77" s="50">
        <v>0</v>
      </c>
      <c r="H77" s="50">
        <v>0</v>
      </c>
      <c r="I77" s="50">
        <v>2</v>
      </c>
      <c r="J77" s="50">
        <v>0</v>
      </c>
      <c r="K77" s="50">
        <v>1</v>
      </c>
      <c r="L77" s="50">
        <v>1</v>
      </c>
      <c r="M77" s="50">
        <v>6</v>
      </c>
      <c r="N77" s="50">
        <v>0</v>
      </c>
      <c r="O77" s="15">
        <f t="shared" si="35"/>
        <v>9</v>
      </c>
      <c r="P77" s="15">
        <f t="shared" si="36"/>
        <v>15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1</v>
      </c>
      <c r="P78" s="15">
        <f t="shared" si="36"/>
        <v>3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0</v>
      </c>
      <c r="E79" s="50">
        <v>0</v>
      </c>
      <c r="F79" s="50">
        <v>1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4</v>
      </c>
      <c r="N79" s="50">
        <v>0</v>
      </c>
      <c r="O79" s="15">
        <f t="shared" si="35"/>
        <v>4</v>
      </c>
      <c r="P79" s="15">
        <f t="shared" si="36"/>
        <v>8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1</v>
      </c>
      <c r="I80" s="50">
        <v>0</v>
      </c>
      <c r="J80" s="50">
        <v>0</v>
      </c>
      <c r="K80" s="50">
        <v>0</v>
      </c>
      <c r="L80" s="50">
        <v>2</v>
      </c>
      <c r="M80" s="50">
        <v>2</v>
      </c>
      <c r="N80" s="50">
        <v>0</v>
      </c>
      <c r="O80" s="15">
        <f t="shared" si="35"/>
        <v>3</v>
      </c>
      <c r="P80" s="15">
        <f t="shared" si="36"/>
        <v>5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1</v>
      </c>
      <c r="F81" s="50">
        <v>0</v>
      </c>
      <c r="G81" s="50">
        <v>1</v>
      </c>
      <c r="H81" s="50">
        <v>2</v>
      </c>
      <c r="I81" s="50">
        <v>0</v>
      </c>
      <c r="J81" s="50">
        <v>0</v>
      </c>
      <c r="K81" s="50">
        <v>0</v>
      </c>
      <c r="L81" s="50">
        <v>3</v>
      </c>
      <c r="M81" s="50">
        <v>4</v>
      </c>
      <c r="N81" s="50">
        <v>0</v>
      </c>
      <c r="O81" s="15">
        <f t="shared" si="35"/>
        <v>8</v>
      </c>
      <c r="P81" s="15">
        <f t="shared" si="36"/>
        <v>12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1</v>
      </c>
      <c r="K83" s="50">
        <v>1</v>
      </c>
      <c r="L83" s="50">
        <v>0</v>
      </c>
      <c r="M83" s="50">
        <v>1</v>
      </c>
      <c r="N83" s="50">
        <v>0</v>
      </c>
      <c r="O83" s="15">
        <f t="shared" si="35"/>
        <v>4</v>
      </c>
      <c r="P83" s="15">
        <f t="shared" si="36"/>
        <v>5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2</v>
      </c>
      <c r="N84" s="50">
        <v>0</v>
      </c>
      <c r="O84" s="15">
        <f t="shared" si="35"/>
        <v>0</v>
      </c>
      <c r="P84" s="15">
        <f t="shared" si="36"/>
        <v>2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1</v>
      </c>
      <c r="M85" s="50">
        <v>3</v>
      </c>
      <c r="N85" s="50">
        <v>0</v>
      </c>
      <c r="O85" s="15">
        <f t="shared" si="35"/>
        <v>1</v>
      </c>
      <c r="P85" s="15">
        <f t="shared" si="36"/>
        <v>4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1</v>
      </c>
      <c r="K87" s="50">
        <v>0</v>
      </c>
      <c r="L87" s="50">
        <v>1</v>
      </c>
      <c r="M87" s="50">
        <v>0</v>
      </c>
      <c r="N87" s="50">
        <v>0</v>
      </c>
      <c r="O87" s="15">
        <f t="shared" si="35"/>
        <v>2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2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4</v>
      </c>
      <c r="P89" s="15">
        <f t="shared" si="36"/>
        <v>4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1</v>
      </c>
      <c r="M95" s="50">
        <v>0</v>
      </c>
      <c r="N95" s="50">
        <v>0</v>
      </c>
      <c r="O95" s="15">
        <f t="shared" si="35"/>
        <v>2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1</v>
      </c>
      <c r="L97" s="50">
        <v>0</v>
      </c>
      <c r="M97" s="50">
        <v>0</v>
      </c>
      <c r="N97" s="50">
        <v>0</v>
      </c>
      <c r="O97" s="15">
        <f t="shared" si="35"/>
        <v>2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1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1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1</v>
      </c>
      <c r="E99" s="50">
        <v>1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1</v>
      </c>
      <c r="M99" s="50">
        <v>2</v>
      </c>
      <c r="N99" s="50">
        <v>0</v>
      </c>
      <c r="O99" s="15">
        <f t="shared" si="35"/>
        <v>5</v>
      </c>
      <c r="P99" s="15">
        <f t="shared" si="36"/>
        <v>7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1</v>
      </c>
      <c r="M100" s="50">
        <v>0</v>
      </c>
      <c r="N100" s="50">
        <v>0</v>
      </c>
      <c r="O100" s="15">
        <f t="shared" si="35"/>
        <v>1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2</v>
      </c>
      <c r="M101" s="50">
        <v>1</v>
      </c>
      <c r="N101" s="50">
        <v>0</v>
      </c>
      <c r="O101" s="15">
        <f t="shared" si="35"/>
        <v>3</v>
      </c>
      <c r="P101" s="15">
        <f t="shared" si="36"/>
        <v>4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1</v>
      </c>
      <c r="E102" s="50">
        <v>1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1</v>
      </c>
      <c r="M102" s="50">
        <v>2</v>
      </c>
      <c r="N102" s="50">
        <v>0</v>
      </c>
      <c r="O102" s="15">
        <f t="shared" si="35"/>
        <v>5</v>
      </c>
      <c r="P102" s="15">
        <f t="shared" si="36"/>
        <v>7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1</v>
      </c>
      <c r="E103" s="50">
        <v>2</v>
      </c>
      <c r="F103" s="50">
        <v>2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2</v>
      </c>
      <c r="M103" s="50">
        <v>3</v>
      </c>
      <c r="N103" s="50">
        <v>0</v>
      </c>
      <c r="O103" s="15">
        <f t="shared" si="35"/>
        <v>9</v>
      </c>
      <c r="P103" s="15">
        <f t="shared" si="36"/>
        <v>12</v>
      </c>
      <c r="R103" s="8"/>
      <c r="T103"/>
    </row>
    <row r="104" spans="2:20" ht="23.1" customHeight="1" x14ac:dyDescent="0.25">
      <c r="B104" s="47" t="s">
        <v>144</v>
      </c>
      <c r="C104" s="50">
        <v>2</v>
      </c>
      <c r="D104" s="50">
        <v>0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1</v>
      </c>
      <c r="M104" s="50">
        <v>1</v>
      </c>
      <c r="N104" s="50">
        <v>0</v>
      </c>
      <c r="O104" s="15">
        <f t="shared" si="35"/>
        <v>4</v>
      </c>
      <c r="P104" s="15">
        <f t="shared" si="36"/>
        <v>5</v>
      </c>
      <c r="R104" s="8"/>
      <c r="T104"/>
    </row>
    <row r="105" spans="2:20" ht="23.1" customHeight="1" x14ac:dyDescent="0.25">
      <c r="B105" s="45" t="s">
        <v>145</v>
      </c>
      <c r="C105" s="50">
        <v>4</v>
      </c>
      <c r="D105" s="50">
        <v>1</v>
      </c>
      <c r="E105" s="50">
        <v>1</v>
      </c>
      <c r="F105" s="50">
        <v>1</v>
      </c>
      <c r="G105" s="50">
        <v>0</v>
      </c>
      <c r="H105" s="50">
        <v>0</v>
      </c>
      <c r="I105" s="50">
        <v>0</v>
      </c>
      <c r="J105" s="50">
        <v>0</v>
      </c>
      <c r="K105" s="50">
        <v>1</v>
      </c>
      <c r="L105" s="50">
        <v>2</v>
      </c>
      <c r="M105" s="50">
        <v>2</v>
      </c>
      <c r="N105" s="50">
        <v>0</v>
      </c>
      <c r="O105" s="15">
        <f t="shared" si="35"/>
        <v>10</v>
      </c>
      <c r="P105" s="15">
        <f t="shared" si="36"/>
        <v>12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399</v>
      </c>
      <c r="D106" s="16">
        <f>SUM(D10:D105)</f>
        <v>120</v>
      </c>
      <c r="E106" s="16">
        <f t="shared" ref="E106:P106" si="37">SUM(E10:E105)</f>
        <v>186</v>
      </c>
      <c r="F106" s="16">
        <f t="shared" si="37"/>
        <v>218</v>
      </c>
      <c r="G106" s="16">
        <f t="shared" si="37"/>
        <v>5</v>
      </c>
      <c r="H106" s="16">
        <f t="shared" si="37"/>
        <v>9</v>
      </c>
      <c r="I106" s="16">
        <f t="shared" si="37"/>
        <v>78</v>
      </c>
      <c r="J106" s="16">
        <f t="shared" si="37"/>
        <v>88</v>
      </c>
      <c r="K106" s="16">
        <f t="shared" si="37"/>
        <v>102</v>
      </c>
      <c r="L106" s="16">
        <f t="shared" si="37"/>
        <v>100</v>
      </c>
      <c r="M106" s="16">
        <f t="shared" si="37"/>
        <v>2193</v>
      </c>
      <c r="N106" s="16">
        <f t="shared" si="37"/>
        <v>1</v>
      </c>
      <c r="O106" s="16">
        <f t="shared" si="37"/>
        <v>1306</v>
      </c>
      <c r="P106" s="16">
        <f t="shared" si="37"/>
        <v>3499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0.11403258073735353</v>
      </c>
      <c r="D107" s="43">
        <f t="shared" si="38"/>
        <v>3.4295513003715347E-2</v>
      </c>
      <c r="E107" s="43">
        <f t="shared" si="38"/>
        <v>5.3158045155758789E-2</v>
      </c>
      <c r="F107" s="43">
        <f t="shared" si="38"/>
        <v>6.2303515290082878E-2</v>
      </c>
      <c r="G107" s="43">
        <f t="shared" si="38"/>
        <v>1.4289797084881394E-3</v>
      </c>
      <c r="H107" s="43">
        <f t="shared" si="38"/>
        <v>2.5721634752786512E-3</v>
      </c>
      <c r="I107" s="43">
        <f t="shared" si="38"/>
        <v>2.2292083452414974E-2</v>
      </c>
      <c r="J107" s="43">
        <f t="shared" si="38"/>
        <v>2.5150042869391254E-2</v>
      </c>
      <c r="K107" s="43">
        <f t="shared" si="38"/>
        <v>2.9151186053158046E-2</v>
      </c>
      <c r="L107" s="43">
        <f t="shared" si="38"/>
        <v>2.857959416976279E-2</v>
      </c>
      <c r="M107" s="43">
        <f t="shared" si="38"/>
        <v>0.62675050014289801</v>
      </c>
      <c r="N107" s="43">
        <f t="shared" si="38"/>
        <v>2.857959416976279E-4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0.30551301684532928</v>
      </c>
      <c r="D108" s="44">
        <f t="shared" ref="D108:N108" si="39">D106/$O$106</f>
        <v>9.1883614088820828E-2</v>
      </c>
      <c r="E108" s="44">
        <f t="shared" si="39"/>
        <v>0.14241960183767227</v>
      </c>
      <c r="F108" s="44">
        <f t="shared" si="39"/>
        <v>0.1669218989280245</v>
      </c>
      <c r="G108" s="44">
        <f t="shared" si="39"/>
        <v>3.8284839203675345E-3</v>
      </c>
      <c r="H108" s="44">
        <f t="shared" si="39"/>
        <v>6.8912710566615618E-3</v>
      </c>
      <c r="I108" s="44">
        <f t="shared" si="39"/>
        <v>5.9724349157733538E-2</v>
      </c>
      <c r="J108" s="44">
        <f t="shared" si="39"/>
        <v>6.738131699846861E-2</v>
      </c>
      <c r="K108" s="44">
        <f t="shared" si="39"/>
        <v>7.8101071975497705E-2</v>
      </c>
      <c r="L108" s="44">
        <f t="shared" si="39"/>
        <v>7.6569678407350683E-2</v>
      </c>
      <c r="M108" s="44"/>
      <c r="N108" s="44">
        <f t="shared" si="39"/>
        <v>7.6569678407350692E-4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249977111117893"/>
  </sheetPr>
  <dimension ref="B1:AF174"/>
  <sheetViews>
    <sheetView view="pageBreakPreview" topLeftCell="A40" zoomScale="60" workbookViewId="0">
      <selection activeCell="N35" sqref="N3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'09.09 Ishaka-Katungulu'!C3:G3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'07.09. Ishaka-Katungulu-24h'!D5</f>
        <v>07.09.19</v>
      </c>
      <c r="E5" s="3"/>
      <c r="F5" s="41" t="s">
        <v>1</v>
      </c>
      <c r="G5" s="56" t="str">
        <f>'07.09. Ishaka-Katungulu-24h'!G5:H5</f>
        <v>Rubirizi</v>
      </c>
      <c r="H5" s="57"/>
      <c r="I5" s="14"/>
      <c r="J5" s="2" t="s">
        <v>5</v>
      </c>
      <c r="K5" s="56" t="str">
        <f>'07.09. Ishaka-Katungulu-24h'!K5:L5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'09.09 Katungulu-Ishaka'!D6:E6</f>
        <v>Katungulu</v>
      </c>
      <c r="E6" s="57"/>
      <c r="F6" s="2" t="s">
        <v>2</v>
      </c>
      <c r="G6" s="56" t="str">
        <f>'10.09 Katungulu-Ishaka'!G6:H6</f>
        <v>Ishaka</v>
      </c>
      <c r="H6" s="57"/>
      <c r="J6" s="2" t="s">
        <v>21</v>
      </c>
      <c r="K6" s="56" t="str">
        <f>'07.09. Ishaka-Katungulu-24h'!K6:L6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2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73" si="0">SUM(C10:L10,N10)</f>
        <v>5</v>
      </c>
      <c r="P10" s="15">
        <f t="shared" ref="P10:P73" si="1">SUM(C10:N10)</f>
        <v>7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0</v>
      </c>
      <c r="V10" s="17">
        <f t="shared" si="2"/>
        <v>6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5</v>
      </c>
      <c r="AA10" s="17">
        <f t="shared" si="2"/>
        <v>1</v>
      </c>
      <c r="AB10" s="17">
        <f t="shared" si="2"/>
        <v>4</v>
      </c>
      <c r="AC10" s="17">
        <f t="shared" si="2"/>
        <v>24</v>
      </c>
      <c r="AD10" s="17">
        <f t="shared" si="2"/>
        <v>0</v>
      </c>
      <c r="AE10" s="31">
        <f t="shared" si="2"/>
        <v>19</v>
      </c>
      <c r="AF10" s="31">
        <f t="shared" si="2"/>
        <v>43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0</v>
      </c>
      <c r="F11" s="50">
        <v>3</v>
      </c>
      <c r="G11" s="50">
        <v>0</v>
      </c>
      <c r="H11" s="50">
        <v>0</v>
      </c>
      <c r="I11" s="50">
        <v>0</v>
      </c>
      <c r="J11" s="50">
        <v>3</v>
      </c>
      <c r="K11" s="50">
        <v>0</v>
      </c>
      <c r="L11" s="50">
        <v>1</v>
      </c>
      <c r="M11" s="50">
        <v>3</v>
      </c>
      <c r="N11" s="50">
        <v>0</v>
      </c>
      <c r="O11" s="15">
        <f t="shared" si="0"/>
        <v>9</v>
      </c>
      <c r="P11" s="15">
        <f t="shared" si="1"/>
        <v>12</v>
      </c>
      <c r="R11" s="1" t="s">
        <v>7</v>
      </c>
      <c r="S11" s="17">
        <f t="shared" ref="S11:AF11" si="3">SUM(C14:C17)</f>
        <v>11</v>
      </c>
      <c r="T11" s="17">
        <f t="shared" si="3"/>
        <v>1</v>
      </c>
      <c r="U11" s="17">
        <f t="shared" si="3"/>
        <v>3</v>
      </c>
      <c r="V11" s="17">
        <f t="shared" si="3"/>
        <v>11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134</v>
      </c>
      <c r="AD11" s="17">
        <f t="shared" si="3"/>
        <v>0</v>
      </c>
      <c r="AE11" s="31">
        <f t="shared" si="3"/>
        <v>34</v>
      </c>
      <c r="AF11" s="31">
        <f t="shared" si="3"/>
        <v>168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1</v>
      </c>
      <c r="M12" s="50">
        <v>7</v>
      </c>
      <c r="N12" s="50">
        <v>0</v>
      </c>
      <c r="O12" s="15">
        <f t="shared" si="0"/>
        <v>1</v>
      </c>
      <c r="P12" s="15">
        <f t="shared" si="1"/>
        <v>8</v>
      </c>
      <c r="R12" s="1" t="s">
        <v>8</v>
      </c>
      <c r="S12" s="17">
        <f t="shared" ref="S12:AF12" si="4">SUM(C18:C21)</f>
        <v>22</v>
      </c>
      <c r="T12" s="17">
        <f t="shared" si="4"/>
        <v>4</v>
      </c>
      <c r="U12" s="17">
        <f t="shared" si="4"/>
        <v>7</v>
      </c>
      <c r="V12" s="17">
        <f t="shared" si="4"/>
        <v>13</v>
      </c>
      <c r="W12" s="17">
        <f t="shared" si="4"/>
        <v>6</v>
      </c>
      <c r="X12" s="17">
        <f t="shared" si="4"/>
        <v>2</v>
      </c>
      <c r="Y12" s="17">
        <f t="shared" si="4"/>
        <v>1</v>
      </c>
      <c r="Z12" s="17">
        <f t="shared" si="4"/>
        <v>1</v>
      </c>
      <c r="AA12" s="17">
        <f t="shared" si="4"/>
        <v>0</v>
      </c>
      <c r="AB12" s="17">
        <f t="shared" si="4"/>
        <v>6</v>
      </c>
      <c r="AC12" s="17">
        <f t="shared" si="4"/>
        <v>202</v>
      </c>
      <c r="AD12" s="17">
        <f t="shared" si="4"/>
        <v>0</v>
      </c>
      <c r="AE12" s="31">
        <f t="shared" si="4"/>
        <v>62</v>
      </c>
      <c r="AF12" s="31">
        <f t="shared" si="4"/>
        <v>264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2</v>
      </c>
      <c r="M13" s="50">
        <v>12</v>
      </c>
      <c r="N13" s="50">
        <v>0</v>
      </c>
      <c r="O13" s="15">
        <f t="shared" si="0"/>
        <v>4</v>
      </c>
      <c r="P13" s="15">
        <f t="shared" si="1"/>
        <v>16</v>
      </c>
      <c r="R13" s="1" t="s">
        <v>9</v>
      </c>
      <c r="S13" s="17">
        <f t="shared" ref="S13:AF13" si="5">SUM(C22:C25)</f>
        <v>17</v>
      </c>
      <c r="T13" s="17">
        <f t="shared" si="5"/>
        <v>7</v>
      </c>
      <c r="U13" s="17">
        <f t="shared" si="5"/>
        <v>11</v>
      </c>
      <c r="V13" s="17">
        <f t="shared" si="5"/>
        <v>18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0</v>
      </c>
      <c r="AA13" s="17">
        <f t="shared" si="5"/>
        <v>16</v>
      </c>
      <c r="AB13" s="17">
        <f t="shared" si="5"/>
        <v>7</v>
      </c>
      <c r="AC13" s="17">
        <f t="shared" si="5"/>
        <v>152</v>
      </c>
      <c r="AD13" s="17">
        <f t="shared" si="5"/>
        <v>0</v>
      </c>
      <c r="AE13" s="31">
        <f t="shared" si="5"/>
        <v>84</v>
      </c>
      <c r="AF13" s="31">
        <f t="shared" si="5"/>
        <v>236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1</v>
      </c>
      <c r="F14" s="50">
        <v>2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23</v>
      </c>
      <c r="N14" s="50">
        <v>0</v>
      </c>
      <c r="O14" s="15">
        <f t="shared" si="0"/>
        <v>5</v>
      </c>
      <c r="P14" s="15">
        <f t="shared" si="1"/>
        <v>28</v>
      </c>
      <c r="R14" s="1" t="s">
        <v>10</v>
      </c>
      <c r="S14" s="17">
        <f t="shared" ref="S14:AF14" si="6">SUM(C26:C29)</f>
        <v>19</v>
      </c>
      <c r="T14" s="17">
        <f t="shared" si="6"/>
        <v>6</v>
      </c>
      <c r="U14" s="17">
        <f t="shared" si="6"/>
        <v>9</v>
      </c>
      <c r="V14" s="17">
        <f t="shared" si="6"/>
        <v>22</v>
      </c>
      <c r="W14" s="17">
        <f t="shared" si="6"/>
        <v>0</v>
      </c>
      <c r="X14" s="17">
        <f t="shared" si="6"/>
        <v>1</v>
      </c>
      <c r="Y14" s="17">
        <f t="shared" si="6"/>
        <v>1</v>
      </c>
      <c r="Z14" s="17">
        <f t="shared" si="6"/>
        <v>1</v>
      </c>
      <c r="AA14" s="17">
        <f t="shared" si="6"/>
        <v>10</v>
      </c>
      <c r="AB14" s="17">
        <f t="shared" si="6"/>
        <v>5</v>
      </c>
      <c r="AC14" s="17">
        <f t="shared" si="6"/>
        <v>177</v>
      </c>
      <c r="AD14" s="17">
        <f t="shared" si="6"/>
        <v>0</v>
      </c>
      <c r="AE14" s="31">
        <f t="shared" si="6"/>
        <v>74</v>
      </c>
      <c r="AF14" s="31">
        <f t="shared" si="6"/>
        <v>251</v>
      </c>
    </row>
    <row r="15" spans="2:32" ht="23.1" customHeight="1" x14ac:dyDescent="0.25">
      <c r="B15" s="45" t="s">
        <v>42</v>
      </c>
      <c r="C15" s="50">
        <v>2</v>
      </c>
      <c r="D15" s="50">
        <v>1</v>
      </c>
      <c r="E15" s="50">
        <v>1</v>
      </c>
      <c r="F15" s="50">
        <v>4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39</v>
      </c>
      <c r="N15" s="50">
        <v>0</v>
      </c>
      <c r="O15" s="15">
        <f t="shared" si="0"/>
        <v>10</v>
      </c>
      <c r="P15" s="15">
        <f t="shared" si="1"/>
        <v>49</v>
      </c>
      <c r="R15" s="1" t="s">
        <v>11</v>
      </c>
      <c r="S15" s="17">
        <f t="shared" ref="S15:AF15" si="7">SUM(C30:C33)</f>
        <v>16</v>
      </c>
      <c r="T15" s="17">
        <f t="shared" si="7"/>
        <v>9</v>
      </c>
      <c r="U15" s="17">
        <f t="shared" si="7"/>
        <v>13</v>
      </c>
      <c r="V15" s="17">
        <f t="shared" si="7"/>
        <v>11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14</v>
      </c>
      <c r="AA15" s="17">
        <f t="shared" si="7"/>
        <v>15</v>
      </c>
      <c r="AB15" s="17">
        <f t="shared" si="7"/>
        <v>6</v>
      </c>
      <c r="AC15" s="17">
        <f t="shared" si="7"/>
        <v>179</v>
      </c>
      <c r="AD15" s="17">
        <f t="shared" si="7"/>
        <v>0</v>
      </c>
      <c r="AE15" s="31">
        <f t="shared" si="7"/>
        <v>87</v>
      </c>
      <c r="AF15" s="31">
        <f t="shared" si="7"/>
        <v>266</v>
      </c>
    </row>
    <row r="16" spans="2:32" ht="23.1" customHeight="1" x14ac:dyDescent="0.25">
      <c r="B16" s="45" t="s">
        <v>43</v>
      </c>
      <c r="C16" s="50">
        <v>3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27</v>
      </c>
      <c r="N16" s="50">
        <v>0</v>
      </c>
      <c r="O16" s="15">
        <f t="shared" si="0"/>
        <v>6</v>
      </c>
      <c r="P16" s="15">
        <f t="shared" si="1"/>
        <v>33</v>
      </c>
      <c r="R16" s="1" t="s">
        <v>12</v>
      </c>
      <c r="S16" s="17">
        <f t="shared" ref="S16:AF16" si="8">SUM(C34:C37)</f>
        <v>23</v>
      </c>
      <c r="T16" s="17">
        <f t="shared" si="8"/>
        <v>6</v>
      </c>
      <c r="U16" s="17">
        <f t="shared" si="8"/>
        <v>10</v>
      </c>
      <c r="V16" s="17">
        <f t="shared" si="8"/>
        <v>13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3</v>
      </c>
      <c r="AA16" s="17">
        <f t="shared" si="8"/>
        <v>9</v>
      </c>
      <c r="AB16" s="17">
        <f t="shared" si="8"/>
        <v>9</v>
      </c>
      <c r="AC16" s="17">
        <f t="shared" si="8"/>
        <v>114</v>
      </c>
      <c r="AD16" s="17">
        <f t="shared" si="8"/>
        <v>0</v>
      </c>
      <c r="AE16" s="31">
        <f t="shared" si="8"/>
        <v>81</v>
      </c>
      <c r="AF16" s="31">
        <f t="shared" si="8"/>
        <v>195</v>
      </c>
    </row>
    <row r="17" spans="2:32" ht="23.1" customHeight="1" x14ac:dyDescent="0.25">
      <c r="B17" s="45" t="s">
        <v>44</v>
      </c>
      <c r="C17" s="50">
        <v>5</v>
      </c>
      <c r="D17" s="50">
        <v>0</v>
      </c>
      <c r="E17" s="50">
        <v>1</v>
      </c>
      <c r="F17" s="50">
        <v>3</v>
      </c>
      <c r="G17" s="50">
        <v>0</v>
      </c>
      <c r="H17" s="50">
        <v>0</v>
      </c>
      <c r="I17" s="50">
        <v>2</v>
      </c>
      <c r="J17" s="50">
        <v>1</v>
      </c>
      <c r="K17" s="50">
        <v>1</v>
      </c>
      <c r="L17" s="50">
        <v>0</v>
      </c>
      <c r="M17" s="50">
        <v>45</v>
      </c>
      <c r="N17" s="50">
        <v>0</v>
      </c>
      <c r="O17" s="15">
        <f t="shared" si="0"/>
        <v>13</v>
      </c>
      <c r="P17" s="15">
        <f t="shared" si="1"/>
        <v>58</v>
      </c>
      <c r="R17" s="1" t="s">
        <v>13</v>
      </c>
      <c r="S17" s="17">
        <f t="shared" ref="S17:AF17" si="9">SUM(C38:C41)</f>
        <v>29</v>
      </c>
      <c r="T17" s="17">
        <f t="shared" si="9"/>
        <v>8</v>
      </c>
      <c r="U17" s="17">
        <f t="shared" si="9"/>
        <v>9</v>
      </c>
      <c r="V17" s="17">
        <f t="shared" si="9"/>
        <v>16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6</v>
      </c>
      <c r="AA17" s="17">
        <f t="shared" si="9"/>
        <v>12</v>
      </c>
      <c r="AB17" s="17">
        <f t="shared" si="9"/>
        <v>4</v>
      </c>
      <c r="AC17" s="17">
        <f t="shared" si="9"/>
        <v>191</v>
      </c>
      <c r="AD17" s="17">
        <f t="shared" si="9"/>
        <v>0</v>
      </c>
      <c r="AE17" s="31">
        <f t="shared" si="9"/>
        <v>90</v>
      </c>
      <c r="AF17" s="31">
        <f t="shared" si="9"/>
        <v>281</v>
      </c>
    </row>
    <row r="18" spans="2:32" ht="23.1" customHeight="1" x14ac:dyDescent="0.25">
      <c r="B18" s="45" t="s">
        <v>45</v>
      </c>
      <c r="C18" s="50">
        <v>4</v>
      </c>
      <c r="D18" s="50">
        <v>0</v>
      </c>
      <c r="E18" s="50">
        <v>1</v>
      </c>
      <c r="F18" s="50">
        <v>3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1</v>
      </c>
      <c r="M18" s="50">
        <v>36</v>
      </c>
      <c r="N18" s="50">
        <v>0</v>
      </c>
      <c r="O18" s="15">
        <f t="shared" si="0"/>
        <v>9</v>
      </c>
      <c r="P18" s="15">
        <f t="shared" si="1"/>
        <v>45</v>
      </c>
      <c r="R18" s="1" t="s">
        <v>14</v>
      </c>
      <c r="S18" s="17">
        <f t="shared" ref="S18:AF18" si="10">SUM(C42:C45)</f>
        <v>23</v>
      </c>
      <c r="T18" s="17">
        <f t="shared" si="10"/>
        <v>6</v>
      </c>
      <c r="U18" s="17">
        <f t="shared" si="10"/>
        <v>9</v>
      </c>
      <c r="V18" s="17">
        <f t="shared" si="10"/>
        <v>15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1</v>
      </c>
      <c r="AA18" s="17">
        <f t="shared" si="10"/>
        <v>13</v>
      </c>
      <c r="AB18" s="17">
        <f t="shared" si="10"/>
        <v>1</v>
      </c>
      <c r="AC18" s="17">
        <f t="shared" si="10"/>
        <v>168</v>
      </c>
      <c r="AD18" s="17">
        <f t="shared" si="10"/>
        <v>0</v>
      </c>
      <c r="AE18" s="31">
        <f t="shared" si="10"/>
        <v>72</v>
      </c>
      <c r="AF18" s="31">
        <f t="shared" si="10"/>
        <v>240</v>
      </c>
    </row>
    <row r="19" spans="2:32" ht="23.1" customHeight="1" x14ac:dyDescent="0.25">
      <c r="B19" s="45" t="s">
        <v>46</v>
      </c>
      <c r="C19" s="50">
        <v>7</v>
      </c>
      <c r="D19" s="50">
        <v>1</v>
      </c>
      <c r="E19" s="50">
        <v>1</v>
      </c>
      <c r="F19" s="50">
        <v>5</v>
      </c>
      <c r="G19" s="50">
        <v>0</v>
      </c>
      <c r="H19" s="50">
        <v>1</v>
      </c>
      <c r="I19" s="50">
        <v>0</v>
      </c>
      <c r="J19" s="50">
        <v>0</v>
      </c>
      <c r="K19" s="50">
        <v>0</v>
      </c>
      <c r="L19" s="50">
        <v>2</v>
      </c>
      <c r="M19" s="50">
        <v>60</v>
      </c>
      <c r="N19" s="50">
        <v>0</v>
      </c>
      <c r="O19" s="15">
        <f t="shared" si="0"/>
        <v>17</v>
      </c>
      <c r="P19" s="15">
        <f t="shared" si="1"/>
        <v>77</v>
      </c>
      <c r="R19" s="1" t="s">
        <v>15</v>
      </c>
      <c r="S19" s="17">
        <f t="shared" ref="S19:AF19" si="11">SUM(C46:C49)</f>
        <v>35</v>
      </c>
      <c r="T19" s="17">
        <f t="shared" si="11"/>
        <v>9</v>
      </c>
      <c r="U19" s="17">
        <f t="shared" si="11"/>
        <v>15</v>
      </c>
      <c r="V19" s="17">
        <f t="shared" si="11"/>
        <v>16</v>
      </c>
      <c r="W19" s="17">
        <f t="shared" si="11"/>
        <v>1</v>
      </c>
      <c r="X19" s="17">
        <f t="shared" si="11"/>
        <v>0</v>
      </c>
      <c r="Y19" s="17">
        <f t="shared" si="11"/>
        <v>10</v>
      </c>
      <c r="Z19" s="17">
        <f t="shared" si="11"/>
        <v>13</v>
      </c>
      <c r="AA19" s="17">
        <f t="shared" si="11"/>
        <v>9</v>
      </c>
      <c r="AB19" s="17">
        <f t="shared" si="11"/>
        <v>1</v>
      </c>
      <c r="AC19" s="17">
        <f t="shared" si="11"/>
        <v>130</v>
      </c>
      <c r="AD19" s="17">
        <f t="shared" si="11"/>
        <v>0</v>
      </c>
      <c r="AE19" s="31">
        <f t="shared" si="11"/>
        <v>109</v>
      </c>
      <c r="AF19" s="31">
        <f t="shared" si="11"/>
        <v>239</v>
      </c>
    </row>
    <row r="20" spans="2:32" ht="23.1" customHeight="1" x14ac:dyDescent="0.25">
      <c r="B20" s="45" t="s">
        <v>47</v>
      </c>
      <c r="C20" s="50">
        <v>4</v>
      </c>
      <c r="D20" s="50">
        <v>1</v>
      </c>
      <c r="E20" s="50">
        <v>2</v>
      </c>
      <c r="F20" s="50">
        <v>2</v>
      </c>
      <c r="G20" s="50">
        <v>2</v>
      </c>
      <c r="H20" s="50">
        <v>0</v>
      </c>
      <c r="I20" s="50">
        <v>0</v>
      </c>
      <c r="J20" s="50">
        <v>0</v>
      </c>
      <c r="K20" s="50">
        <v>0</v>
      </c>
      <c r="L20" s="50">
        <v>1</v>
      </c>
      <c r="M20" s="50">
        <v>40</v>
      </c>
      <c r="N20" s="50">
        <v>0</v>
      </c>
      <c r="O20" s="15">
        <f t="shared" si="0"/>
        <v>12</v>
      </c>
      <c r="P20" s="15">
        <f t="shared" si="1"/>
        <v>52</v>
      </c>
      <c r="R20" s="1" t="s">
        <v>16</v>
      </c>
      <c r="S20" s="17">
        <f t="shared" ref="S20:AF20" si="12">SUM(C50:C53)</f>
        <v>49</v>
      </c>
      <c r="T20" s="17">
        <f t="shared" si="12"/>
        <v>16</v>
      </c>
      <c r="U20" s="17">
        <f t="shared" si="12"/>
        <v>23</v>
      </c>
      <c r="V20" s="17">
        <f t="shared" si="12"/>
        <v>12</v>
      </c>
      <c r="W20" s="17">
        <f t="shared" si="12"/>
        <v>0</v>
      </c>
      <c r="X20" s="17">
        <f t="shared" si="12"/>
        <v>0</v>
      </c>
      <c r="Y20" s="17">
        <f t="shared" si="12"/>
        <v>12</v>
      </c>
      <c r="Z20" s="17">
        <f t="shared" si="12"/>
        <v>9</v>
      </c>
      <c r="AA20" s="17">
        <f t="shared" si="12"/>
        <v>14</v>
      </c>
      <c r="AB20" s="17">
        <f t="shared" si="12"/>
        <v>1</v>
      </c>
      <c r="AC20" s="17">
        <f t="shared" si="12"/>
        <v>248</v>
      </c>
      <c r="AD20" s="17">
        <f t="shared" si="12"/>
        <v>0</v>
      </c>
      <c r="AE20" s="31">
        <f t="shared" si="12"/>
        <v>136</v>
      </c>
      <c r="AF20" s="31">
        <f t="shared" si="12"/>
        <v>384</v>
      </c>
    </row>
    <row r="21" spans="2:32" ht="23.1" customHeight="1" x14ac:dyDescent="0.25">
      <c r="B21" s="45" t="s">
        <v>48</v>
      </c>
      <c r="C21" s="50">
        <v>7</v>
      </c>
      <c r="D21" s="50">
        <v>2</v>
      </c>
      <c r="E21" s="50">
        <v>3</v>
      </c>
      <c r="F21" s="50">
        <v>3</v>
      </c>
      <c r="G21" s="50">
        <v>4</v>
      </c>
      <c r="H21" s="50">
        <v>1</v>
      </c>
      <c r="I21" s="50">
        <v>1</v>
      </c>
      <c r="J21" s="50">
        <v>1</v>
      </c>
      <c r="K21" s="50">
        <v>0</v>
      </c>
      <c r="L21" s="50">
        <v>2</v>
      </c>
      <c r="M21" s="50">
        <v>66</v>
      </c>
      <c r="N21" s="50">
        <v>0</v>
      </c>
      <c r="O21" s="15">
        <f t="shared" si="0"/>
        <v>24</v>
      </c>
      <c r="P21" s="15">
        <f t="shared" si="1"/>
        <v>90</v>
      </c>
      <c r="R21" s="36" t="s">
        <v>20</v>
      </c>
      <c r="S21" s="34">
        <f t="shared" ref="S21:AF21" si="13">SUM(C54:C57)</f>
        <v>35</v>
      </c>
      <c r="T21" s="17">
        <f t="shared" si="13"/>
        <v>12</v>
      </c>
      <c r="U21" s="17">
        <f t="shared" si="13"/>
        <v>17</v>
      </c>
      <c r="V21" s="17">
        <f t="shared" si="13"/>
        <v>16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8</v>
      </c>
      <c r="AA21" s="17">
        <f t="shared" si="13"/>
        <v>6</v>
      </c>
      <c r="AB21" s="17">
        <f t="shared" si="13"/>
        <v>0</v>
      </c>
      <c r="AC21" s="17">
        <f t="shared" si="13"/>
        <v>191</v>
      </c>
      <c r="AD21" s="17">
        <f t="shared" si="13"/>
        <v>0</v>
      </c>
      <c r="AE21" s="31">
        <f t="shared" si="13"/>
        <v>100</v>
      </c>
      <c r="AF21" s="31">
        <f t="shared" si="13"/>
        <v>291</v>
      </c>
    </row>
    <row r="22" spans="2:32" ht="23.1" customHeight="1" x14ac:dyDescent="0.25">
      <c r="B22" s="45" t="s">
        <v>49</v>
      </c>
      <c r="C22" s="50">
        <v>4</v>
      </c>
      <c r="D22" s="50">
        <v>2</v>
      </c>
      <c r="E22" s="50">
        <v>2</v>
      </c>
      <c r="F22" s="50">
        <v>2</v>
      </c>
      <c r="G22" s="50">
        <v>0</v>
      </c>
      <c r="H22" s="50">
        <v>0</v>
      </c>
      <c r="I22" s="50">
        <v>1</v>
      </c>
      <c r="J22" s="50">
        <v>0</v>
      </c>
      <c r="K22" s="50">
        <v>4</v>
      </c>
      <c r="L22" s="50">
        <v>0</v>
      </c>
      <c r="M22" s="50">
        <v>29</v>
      </c>
      <c r="N22" s="50">
        <v>0</v>
      </c>
      <c r="O22" s="15">
        <f t="shared" si="0"/>
        <v>15</v>
      </c>
      <c r="P22" s="15">
        <f t="shared" si="1"/>
        <v>44</v>
      </c>
      <c r="R22" s="36" t="s">
        <v>146</v>
      </c>
      <c r="S22" s="34">
        <f>SUM(C58:C61)</f>
        <v>38</v>
      </c>
      <c r="T22" s="34">
        <f t="shared" ref="T22:AF22" si="14">SUM(D58:D61)</f>
        <v>9</v>
      </c>
      <c r="U22" s="34">
        <f t="shared" si="14"/>
        <v>14</v>
      </c>
      <c r="V22" s="34">
        <f t="shared" si="14"/>
        <v>21</v>
      </c>
      <c r="W22" s="34">
        <f t="shared" si="14"/>
        <v>3</v>
      </c>
      <c r="X22" s="34">
        <f t="shared" si="14"/>
        <v>0</v>
      </c>
      <c r="Y22" s="34">
        <f t="shared" si="14"/>
        <v>1</v>
      </c>
      <c r="Z22" s="34">
        <f t="shared" si="14"/>
        <v>7</v>
      </c>
      <c r="AA22" s="34">
        <f t="shared" si="14"/>
        <v>22</v>
      </c>
      <c r="AB22" s="34">
        <f t="shared" si="14"/>
        <v>2</v>
      </c>
      <c r="AC22" s="34">
        <f t="shared" si="14"/>
        <v>149</v>
      </c>
      <c r="AD22" s="34">
        <f t="shared" si="14"/>
        <v>0</v>
      </c>
      <c r="AE22" s="31">
        <f t="shared" si="14"/>
        <v>117</v>
      </c>
      <c r="AF22" s="31">
        <f t="shared" si="14"/>
        <v>266</v>
      </c>
    </row>
    <row r="23" spans="2:32" ht="23.1" customHeight="1" x14ac:dyDescent="0.25">
      <c r="B23" s="45" t="s">
        <v>50</v>
      </c>
      <c r="C23" s="50">
        <v>7</v>
      </c>
      <c r="D23" s="50">
        <v>2</v>
      </c>
      <c r="E23" s="50">
        <v>4</v>
      </c>
      <c r="F23" s="50">
        <v>3</v>
      </c>
      <c r="G23" s="50">
        <v>0</v>
      </c>
      <c r="H23" s="50">
        <v>0</v>
      </c>
      <c r="I23" s="50">
        <v>2</v>
      </c>
      <c r="J23" s="50">
        <v>0</v>
      </c>
      <c r="K23" s="50">
        <v>6</v>
      </c>
      <c r="L23" s="50">
        <v>1</v>
      </c>
      <c r="M23" s="50">
        <v>48</v>
      </c>
      <c r="N23" s="50">
        <v>0</v>
      </c>
      <c r="O23" s="15">
        <f t="shared" si="0"/>
        <v>25</v>
      </c>
      <c r="P23" s="15">
        <f t="shared" si="1"/>
        <v>73</v>
      </c>
      <c r="R23" s="36" t="s">
        <v>147</v>
      </c>
      <c r="S23" s="34">
        <f>SUM(C62:C65)</f>
        <v>11</v>
      </c>
      <c r="T23" s="34">
        <f t="shared" ref="T23:AF23" si="15">SUM(D62:D65)</f>
        <v>9</v>
      </c>
      <c r="U23" s="34">
        <f t="shared" si="15"/>
        <v>15</v>
      </c>
      <c r="V23" s="34">
        <f t="shared" si="15"/>
        <v>14</v>
      </c>
      <c r="W23" s="34">
        <f t="shared" si="15"/>
        <v>1</v>
      </c>
      <c r="X23" s="34">
        <f t="shared" si="15"/>
        <v>6</v>
      </c>
      <c r="Y23" s="34">
        <f t="shared" si="15"/>
        <v>1</v>
      </c>
      <c r="Z23" s="34">
        <f t="shared" si="15"/>
        <v>6</v>
      </c>
      <c r="AA23" s="34">
        <f t="shared" si="15"/>
        <v>8</v>
      </c>
      <c r="AB23" s="34">
        <f t="shared" si="15"/>
        <v>4</v>
      </c>
      <c r="AC23" s="34">
        <f t="shared" si="15"/>
        <v>93</v>
      </c>
      <c r="AD23" s="34">
        <f t="shared" si="15"/>
        <v>0</v>
      </c>
      <c r="AE23" s="31">
        <f t="shared" si="15"/>
        <v>75</v>
      </c>
      <c r="AF23" s="31">
        <f t="shared" si="15"/>
        <v>168</v>
      </c>
    </row>
    <row r="24" spans="2:32" ht="23.1" customHeight="1" x14ac:dyDescent="0.25">
      <c r="B24" s="45" t="s">
        <v>51</v>
      </c>
      <c r="C24" s="50">
        <v>2</v>
      </c>
      <c r="D24" s="50">
        <v>1</v>
      </c>
      <c r="E24" s="50">
        <v>2</v>
      </c>
      <c r="F24" s="50">
        <v>5</v>
      </c>
      <c r="G24" s="50">
        <v>0</v>
      </c>
      <c r="H24" s="50">
        <v>0</v>
      </c>
      <c r="I24" s="50">
        <v>2</v>
      </c>
      <c r="J24" s="50">
        <v>0</v>
      </c>
      <c r="K24" s="50">
        <v>2</v>
      </c>
      <c r="L24" s="50">
        <v>2</v>
      </c>
      <c r="M24" s="50">
        <v>28</v>
      </c>
      <c r="N24" s="50">
        <v>0</v>
      </c>
      <c r="O24" s="15">
        <f t="shared" si="0"/>
        <v>16</v>
      </c>
      <c r="P24" s="15">
        <f t="shared" si="1"/>
        <v>44</v>
      </c>
      <c r="R24" s="36" t="s">
        <v>148</v>
      </c>
      <c r="S24" s="34">
        <f>SUM(C66:C69)</f>
        <v>11</v>
      </c>
      <c r="T24" s="34">
        <f t="shared" ref="T24:AF24" si="16">SUM(D66:D69)</f>
        <v>4</v>
      </c>
      <c r="U24" s="34">
        <f t="shared" si="16"/>
        <v>5</v>
      </c>
      <c r="V24" s="34">
        <f t="shared" si="16"/>
        <v>9</v>
      </c>
      <c r="W24" s="34">
        <f t="shared" si="16"/>
        <v>3</v>
      </c>
      <c r="X24" s="34">
        <f t="shared" si="16"/>
        <v>1</v>
      </c>
      <c r="Y24" s="34">
        <f t="shared" si="16"/>
        <v>0</v>
      </c>
      <c r="Z24" s="34">
        <f t="shared" si="16"/>
        <v>1</v>
      </c>
      <c r="AA24" s="34">
        <f t="shared" si="16"/>
        <v>11</v>
      </c>
      <c r="AB24" s="34">
        <f t="shared" si="16"/>
        <v>0</v>
      </c>
      <c r="AC24" s="34">
        <f t="shared" si="16"/>
        <v>59</v>
      </c>
      <c r="AD24" s="34">
        <f t="shared" si="16"/>
        <v>0</v>
      </c>
      <c r="AE24" s="31">
        <f t="shared" si="16"/>
        <v>45</v>
      </c>
      <c r="AF24" s="31">
        <f t="shared" si="16"/>
        <v>104</v>
      </c>
    </row>
    <row r="25" spans="2:32" ht="23.1" customHeight="1" x14ac:dyDescent="0.25">
      <c r="B25" s="45" t="s">
        <v>52</v>
      </c>
      <c r="C25" s="50">
        <v>4</v>
      </c>
      <c r="D25" s="50">
        <v>2</v>
      </c>
      <c r="E25" s="50">
        <v>3</v>
      </c>
      <c r="F25" s="50">
        <v>8</v>
      </c>
      <c r="G25" s="50">
        <v>0</v>
      </c>
      <c r="H25" s="50">
        <v>0</v>
      </c>
      <c r="I25" s="50">
        <v>3</v>
      </c>
      <c r="J25" s="50">
        <v>0</v>
      </c>
      <c r="K25" s="50">
        <v>4</v>
      </c>
      <c r="L25" s="50">
        <v>4</v>
      </c>
      <c r="M25" s="50">
        <v>47</v>
      </c>
      <c r="N25" s="50">
        <v>0</v>
      </c>
      <c r="O25" s="15">
        <f t="shared" si="0"/>
        <v>28</v>
      </c>
      <c r="P25" s="15">
        <f t="shared" si="1"/>
        <v>75</v>
      </c>
      <c r="R25" s="36" t="s">
        <v>149</v>
      </c>
      <c r="S25" s="34">
        <f>SUM(C70:C73)</f>
        <v>4</v>
      </c>
      <c r="T25" s="34">
        <f t="shared" ref="T25:AF25" si="17">SUM(D70:D73)</f>
        <v>5</v>
      </c>
      <c r="U25" s="34">
        <f t="shared" si="17"/>
        <v>6</v>
      </c>
      <c r="V25" s="34">
        <f t="shared" si="17"/>
        <v>5</v>
      </c>
      <c r="W25" s="34">
        <f t="shared" si="17"/>
        <v>0</v>
      </c>
      <c r="X25" s="34">
        <f t="shared" si="17"/>
        <v>1</v>
      </c>
      <c r="Y25" s="34">
        <f t="shared" si="17"/>
        <v>3</v>
      </c>
      <c r="Z25" s="34">
        <f t="shared" si="17"/>
        <v>8</v>
      </c>
      <c r="AA25" s="34">
        <f t="shared" si="17"/>
        <v>14</v>
      </c>
      <c r="AB25" s="34">
        <f t="shared" si="17"/>
        <v>0</v>
      </c>
      <c r="AC25" s="34">
        <f t="shared" si="17"/>
        <v>32</v>
      </c>
      <c r="AD25" s="34">
        <f t="shared" si="17"/>
        <v>0</v>
      </c>
      <c r="AE25" s="31">
        <f t="shared" si="17"/>
        <v>46</v>
      </c>
      <c r="AF25" s="31">
        <f t="shared" si="17"/>
        <v>78</v>
      </c>
    </row>
    <row r="26" spans="2:32" ht="23.1" customHeight="1" x14ac:dyDescent="0.25">
      <c r="B26" s="45" t="s">
        <v>53</v>
      </c>
      <c r="C26" s="50">
        <v>2</v>
      </c>
      <c r="D26" s="50">
        <v>1</v>
      </c>
      <c r="E26" s="50">
        <v>1</v>
      </c>
      <c r="F26" s="50">
        <v>4</v>
      </c>
      <c r="G26" s="50">
        <v>0</v>
      </c>
      <c r="H26" s="50">
        <v>0</v>
      </c>
      <c r="I26" s="50">
        <v>0</v>
      </c>
      <c r="J26" s="50">
        <v>0</v>
      </c>
      <c r="K26" s="50">
        <v>2</v>
      </c>
      <c r="L26" s="50">
        <v>0</v>
      </c>
      <c r="M26" s="50">
        <v>38</v>
      </c>
      <c r="N26" s="50">
        <v>0</v>
      </c>
      <c r="O26" s="15">
        <f t="shared" si="0"/>
        <v>10</v>
      </c>
      <c r="P26" s="15">
        <f t="shared" si="1"/>
        <v>48</v>
      </c>
      <c r="R26" s="36" t="s">
        <v>150</v>
      </c>
      <c r="S26" s="34">
        <f>SUM(C74:C77)</f>
        <v>5</v>
      </c>
      <c r="T26" s="34">
        <f t="shared" ref="T26:AF26" si="18">SUM(D74:D77)</f>
        <v>4</v>
      </c>
      <c r="U26" s="34">
        <f t="shared" si="18"/>
        <v>5</v>
      </c>
      <c r="V26" s="34">
        <f t="shared" si="18"/>
        <v>1</v>
      </c>
      <c r="W26" s="34">
        <f t="shared" si="18"/>
        <v>2</v>
      </c>
      <c r="X26" s="34">
        <f t="shared" si="18"/>
        <v>1</v>
      </c>
      <c r="Y26" s="34">
        <f t="shared" si="18"/>
        <v>1</v>
      </c>
      <c r="Z26" s="34">
        <f t="shared" si="18"/>
        <v>6</v>
      </c>
      <c r="AA26" s="34">
        <f t="shared" si="18"/>
        <v>13</v>
      </c>
      <c r="AB26" s="34">
        <f t="shared" si="18"/>
        <v>1</v>
      </c>
      <c r="AC26" s="34">
        <f t="shared" si="18"/>
        <v>14</v>
      </c>
      <c r="AD26" s="34">
        <f t="shared" si="18"/>
        <v>0</v>
      </c>
      <c r="AE26" s="31">
        <f t="shared" si="18"/>
        <v>39</v>
      </c>
      <c r="AF26" s="31">
        <f t="shared" si="18"/>
        <v>53</v>
      </c>
    </row>
    <row r="27" spans="2:32" ht="23.1" customHeight="1" x14ac:dyDescent="0.25">
      <c r="B27" s="45" t="s">
        <v>54</v>
      </c>
      <c r="C27" s="50">
        <v>4</v>
      </c>
      <c r="D27" s="50">
        <v>1</v>
      </c>
      <c r="E27" s="50">
        <v>2</v>
      </c>
      <c r="F27" s="50">
        <v>7</v>
      </c>
      <c r="G27" s="50">
        <v>0</v>
      </c>
      <c r="H27" s="50">
        <v>0</v>
      </c>
      <c r="I27" s="50">
        <v>1</v>
      </c>
      <c r="J27" s="50">
        <v>0</v>
      </c>
      <c r="K27" s="50">
        <v>3</v>
      </c>
      <c r="L27" s="50">
        <v>1</v>
      </c>
      <c r="M27" s="50">
        <v>64</v>
      </c>
      <c r="N27" s="50">
        <v>0</v>
      </c>
      <c r="O27" s="15">
        <f t="shared" si="0"/>
        <v>19</v>
      </c>
      <c r="P27" s="15">
        <f t="shared" si="1"/>
        <v>83</v>
      </c>
      <c r="R27" s="36" t="s">
        <v>151</v>
      </c>
      <c r="S27" s="34">
        <f>SUM(C78:C81)</f>
        <v>4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4</v>
      </c>
      <c r="W27" s="34">
        <f t="shared" si="19"/>
        <v>0</v>
      </c>
      <c r="X27" s="34">
        <f t="shared" si="19"/>
        <v>3</v>
      </c>
      <c r="Y27" s="34">
        <f t="shared" si="19"/>
        <v>0</v>
      </c>
      <c r="Z27" s="34">
        <f t="shared" si="19"/>
        <v>8</v>
      </c>
      <c r="AA27" s="34">
        <f t="shared" si="19"/>
        <v>1</v>
      </c>
      <c r="AB27" s="34">
        <f t="shared" si="19"/>
        <v>1</v>
      </c>
      <c r="AC27" s="34">
        <f t="shared" si="19"/>
        <v>14</v>
      </c>
      <c r="AD27" s="34">
        <f t="shared" si="19"/>
        <v>0</v>
      </c>
      <c r="AE27" s="31">
        <f t="shared" si="19"/>
        <v>22</v>
      </c>
      <c r="AF27" s="31">
        <f t="shared" si="19"/>
        <v>36</v>
      </c>
    </row>
    <row r="28" spans="2:32" ht="23.1" customHeight="1" x14ac:dyDescent="0.25">
      <c r="B28" s="45" t="s">
        <v>55</v>
      </c>
      <c r="C28" s="50">
        <v>5</v>
      </c>
      <c r="D28" s="50">
        <v>2</v>
      </c>
      <c r="E28" s="50">
        <v>2</v>
      </c>
      <c r="F28" s="50">
        <v>4</v>
      </c>
      <c r="G28" s="50">
        <v>0</v>
      </c>
      <c r="H28" s="50">
        <v>0</v>
      </c>
      <c r="I28" s="50">
        <v>0</v>
      </c>
      <c r="J28" s="50">
        <v>0</v>
      </c>
      <c r="K28" s="50">
        <v>2</v>
      </c>
      <c r="L28" s="50">
        <v>1</v>
      </c>
      <c r="M28" s="50">
        <v>28</v>
      </c>
      <c r="N28" s="50">
        <v>0</v>
      </c>
      <c r="O28" s="15">
        <f t="shared" si="0"/>
        <v>16</v>
      </c>
      <c r="P28" s="15">
        <f t="shared" si="1"/>
        <v>44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1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13</v>
      </c>
      <c r="AD28" s="34">
        <f t="shared" si="20"/>
        <v>0</v>
      </c>
      <c r="AE28" s="31">
        <f t="shared" si="20"/>
        <v>1</v>
      </c>
      <c r="AF28" s="31">
        <f t="shared" si="20"/>
        <v>14</v>
      </c>
    </row>
    <row r="29" spans="2:32" ht="23.1" customHeight="1" x14ac:dyDescent="0.25">
      <c r="B29" s="45" t="s">
        <v>56</v>
      </c>
      <c r="C29" s="50">
        <v>8</v>
      </c>
      <c r="D29" s="50">
        <v>2</v>
      </c>
      <c r="E29" s="50">
        <v>4</v>
      </c>
      <c r="F29" s="50">
        <v>7</v>
      </c>
      <c r="G29" s="50">
        <v>0</v>
      </c>
      <c r="H29" s="50">
        <v>1</v>
      </c>
      <c r="I29" s="50">
        <v>0</v>
      </c>
      <c r="J29" s="50">
        <v>1</v>
      </c>
      <c r="K29" s="50">
        <v>3</v>
      </c>
      <c r="L29" s="50">
        <v>3</v>
      </c>
      <c r="M29" s="50">
        <v>47</v>
      </c>
      <c r="N29" s="50">
        <v>0</v>
      </c>
      <c r="O29" s="15">
        <f t="shared" si="0"/>
        <v>29</v>
      </c>
      <c r="P29" s="15">
        <f t="shared" si="1"/>
        <v>76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1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2</v>
      </c>
      <c r="AF29" s="31">
        <f t="shared" si="21"/>
        <v>3</v>
      </c>
    </row>
    <row r="30" spans="2:32" ht="23.1" customHeight="1" x14ac:dyDescent="0.25">
      <c r="B30" s="45" t="s">
        <v>57</v>
      </c>
      <c r="C30" s="50">
        <v>4</v>
      </c>
      <c r="D30" s="50">
        <v>2</v>
      </c>
      <c r="E30" s="50">
        <v>3</v>
      </c>
      <c r="F30" s="50">
        <v>2</v>
      </c>
      <c r="G30" s="50">
        <v>0</v>
      </c>
      <c r="H30" s="50">
        <v>0</v>
      </c>
      <c r="I30" s="50">
        <v>0</v>
      </c>
      <c r="J30" s="50">
        <v>3</v>
      </c>
      <c r="K30" s="50">
        <v>4</v>
      </c>
      <c r="L30" s="50">
        <v>0</v>
      </c>
      <c r="M30" s="50">
        <v>41</v>
      </c>
      <c r="N30" s="50">
        <v>0</v>
      </c>
      <c r="O30" s="15">
        <f t="shared" si="0"/>
        <v>18</v>
      </c>
      <c r="P30" s="15">
        <f t="shared" si="1"/>
        <v>59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2</v>
      </c>
      <c r="AF30" s="31">
        <f t="shared" si="22"/>
        <v>2</v>
      </c>
    </row>
    <row r="31" spans="2:32" ht="23.1" customHeight="1" x14ac:dyDescent="0.25">
      <c r="B31" s="46" t="s">
        <v>58</v>
      </c>
      <c r="C31" s="50">
        <v>7</v>
      </c>
      <c r="D31" s="50">
        <v>4</v>
      </c>
      <c r="E31" s="50">
        <v>5</v>
      </c>
      <c r="F31" s="50">
        <v>4</v>
      </c>
      <c r="G31" s="50">
        <v>0</v>
      </c>
      <c r="H31" s="50">
        <v>0</v>
      </c>
      <c r="I31" s="50">
        <v>0</v>
      </c>
      <c r="J31" s="50">
        <v>5</v>
      </c>
      <c r="K31" s="50">
        <v>6</v>
      </c>
      <c r="L31" s="50">
        <v>1</v>
      </c>
      <c r="M31" s="50">
        <v>68</v>
      </c>
      <c r="N31" s="50">
        <v>0</v>
      </c>
      <c r="O31" s="15">
        <f t="shared" si="0"/>
        <v>32</v>
      </c>
      <c r="P31" s="15">
        <f t="shared" si="1"/>
        <v>100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1</v>
      </c>
      <c r="AC31" s="34">
        <f t="shared" si="23"/>
        <v>0</v>
      </c>
      <c r="AD31" s="34">
        <f t="shared" si="23"/>
        <v>0</v>
      </c>
      <c r="AE31" s="31">
        <f t="shared" si="23"/>
        <v>1</v>
      </c>
      <c r="AF31" s="31">
        <f t="shared" si="23"/>
        <v>1</v>
      </c>
    </row>
    <row r="32" spans="2:32" ht="23.1" customHeight="1" x14ac:dyDescent="0.25">
      <c r="B32" s="46" t="s">
        <v>59</v>
      </c>
      <c r="C32" s="50">
        <v>2</v>
      </c>
      <c r="D32" s="50">
        <v>1</v>
      </c>
      <c r="E32" s="50">
        <v>2</v>
      </c>
      <c r="F32" s="50">
        <v>2</v>
      </c>
      <c r="G32" s="50">
        <v>0</v>
      </c>
      <c r="H32" s="50">
        <v>0</v>
      </c>
      <c r="I32" s="50">
        <v>1</v>
      </c>
      <c r="J32" s="50">
        <v>2</v>
      </c>
      <c r="K32" s="50">
        <v>2</v>
      </c>
      <c r="L32" s="50">
        <v>2</v>
      </c>
      <c r="M32" s="50">
        <v>26</v>
      </c>
      <c r="N32" s="50">
        <v>0</v>
      </c>
      <c r="O32" s="15">
        <f t="shared" si="0"/>
        <v>14</v>
      </c>
      <c r="P32" s="15">
        <f t="shared" si="1"/>
        <v>40</v>
      </c>
      <c r="R32" s="33" t="s">
        <v>156</v>
      </c>
      <c r="S32" s="34">
        <f>SUM(C98:C101)</f>
        <v>4</v>
      </c>
      <c r="T32" s="34">
        <f t="shared" ref="T32:AF32" si="24">SUM(D98:D101)</f>
        <v>0</v>
      </c>
      <c r="U32" s="34">
        <f t="shared" si="24"/>
        <v>2</v>
      </c>
      <c r="V32" s="34">
        <f t="shared" si="24"/>
        <v>6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8</v>
      </c>
      <c r="AC32" s="34">
        <f t="shared" si="24"/>
        <v>4</v>
      </c>
      <c r="AD32" s="34">
        <f t="shared" si="24"/>
        <v>0</v>
      </c>
      <c r="AE32" s="31">
        <f t="shared" si="24"/>
        <v>20</v>
      </c>
      <c r="AF32" s="31">
        <f t="shared" si="24"/>
        <v>24</v>
      </c>
    </row>
    <row r="33" spans="2:32" ht="23.1" customHeight="1" x14ac:dyDescent="0.25">
      <c r="B33" s="45" t="s">
        <v>60</v>
      </c>
      <c r="C33" s="50">
        <v>3</v>
      </c>
      <c r="D33" s="50">
        <v>2</v>
      </c>
      <c r="E33" s="50">
        <v>3</v>
      </c>
      <c r="F33" s="50">
        <v>3</v>
      </c>
      <c r="G33" s="50">
        <v>0</v>
      </c>
      <c r="H33" s="50">
        <v>0</v>
      </c>
      <c r="I33" s="50">
        <v>2</v>
      </c>
      <c r="J33" s="50">
        <v>4</v>
      </c>
      <c r="K33" s="50">
        <v>3</v>
      </c>
      <c r="L33" s="50">
        <v>3</v>
      </c>
      <c r="M33" s="50">
        <v>44</v>
      </c>
      <c r="N33" s="50">
        <v>0</v>
      </c>
      <c r="O33" s="15">
        <f t="shared" si="0"/>
        <v>23</v>
      </c>
      <c r="P33" s="15">
        <f t="shared" si="1"/>
        <v>67</v>
      </c>
      <c r="R33" s="33" t="s">
        <v>157</v>
      </c>
      <c r="S33" s="34">
        <f>SUM(C102:C105)</f>
        <v>11</v>
      </c>
      <c r="T33" s="34">
        <f t="shared" ref="T33:AF33" si="25">SUM(D102:D105)</f>
        <v>1</v>
      </c>
      <c r="U33" s="34">
        <f t="shared" si="25"/>
        <v>3</v>
      </c>
      <c r="V33" s="34">
        <f t="shared" si="25"/>
        <v>6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1</v>
      </c>
      <c r="AB33" s="34">
        <f t="shared" si="25"/>
        <v>4</v>
      </c>
      <c r="AC33" s="34">
        <f t="shared" si="25"/>
        <v>11</v>
      </c>
      <c r="AD33" s="34">
        <f t="shared" si="25"/>
        <v>0</v>
      </c>
      <c r="AE33" s="31">
        <f t="shared" si="25"/>
        <v>26</v>
      </c>
      <c r="AF33" s="31">
        <f t="shared" si="25"/>
        <v>37</v>
      </c>
    </row>
    <row r="34" spans="2:32" ht="23.1" customHeight="1" x14ac:dyDescent="0.25">
      <c r="B34" s="46" t="s">
        <v>61</v>
      </c>
      <c r="C34" s="50">
        <v>2</v>
      </c>
      <c r="D34" s="50">
        <v>1</v>
      </c>
      <c r="E34" s="50">
        <v>2</v>
      </c>
      <c r="F34" s="50">
        <v>2</v>
      </c>
      <c r="G34" s="50">
        <v>0</v>
      </c>
      <c r="H34" s="50">
        <v>0</v>
      </c>
      <c r="I34" s="50">
        <v>2</v>
      </c>
      <c r="J34" s="50">
        <v>0</v>
      </c>
      <c r="K34" s="50">
        <v>3</v>
      </c>
      <c r="L34" s="50">
        <v>2</v>
      </c>
      <c r="M34" s="50">
        <v>4</v>
      </c>
      <c r="N34" s="50">
        <v>0</v>
      </c>
      <c r="O34" s="15">
        <f t="shared" si="0"/>
        <v>14</v>
      </c>
      <c r="P34" s="15">
        <f t="shared" si="1"/>
        <v>18</v>
      </c>
      <c r="R34" s="38" t="s">
        <v>90</v>
      </c>
      <c r="S34" s="39">
        <f t="shared" ref="S34:AF34" si="26">MAX(S10:S12)</f>
        <v>22</v>
      </c>
      <c r="T34" s="39">
        <f t="shared" si="26"/>
        <v>4</v>
      </c>
      <c r="U34" s="39">
        <f t="shared" si="26"/>
        <v>7</v>
      </c>
      <c r="V34" s="39">
        <f t="shared" si="26"/>
        <v>13</v>
      </c>
      <c r="W34" s="39">
        <f t="shared" si="26"/>
        <v>6</v>
      </c>
      <c r="X34" s="39">
        <f t="shared" si="26"/>
        <v>2</v>
      </c>
      <c r="Y34" s="39">
        <f t="shared" si="26"/>
        <v>6</v>
      </c>
      <c r="Z34" s="39">
        <f t="shared" si="26"/>
        <v>5</v>
      </c>
      <c r="AA34" s="39">
        <f t="shared" si="26"/>
        <v>1</v>
      </c>
      <c r="AB34" s="39">
        <f t="shared" si="26"/>
        <v>6</v>
      </c>
      <c r="AC34" s="39">
        <f t="shared" si="26"/>
        <v>202</v>
      </c>
      <c r="AD34" s="39">
        <f t="shared" si="26"/>
        <v>0</v>
      </c>
      <c r="AE34" s="40">
        <f t="shared" si="26"/>
        <v>62</v>
      </c>
      <c r="AF34" s="40">
        <f t="shared" si="26"/>
        <v>264</v>
      </c>
    </row>
    <row r="35" spans="2:32" ht="23.1" customHeight="1" x14ac:dyDescent="0.25">
      <c r="B35" s="46" t="s">
        <v>62</v>
      </c>
      <c r="C35" s="50">
        <v>4</v>
      </c>
      <c r="D35" s="50">
        <v>2</v>
      </c>
      <c r="E35" s="50">
        <v>3</v>
      </c>
      <c r="F35" s="50">
        <v>3</v>
      </c>
      <c r="G35" s="50">
        <v>0</v>
      </c>
      <c r="H35" s="50">
        <v>0</v>
      </c>
      <c r="I35" s="50">
        <v>3</v>
      </c>
      <c r="J35" s="50">
        <v>0</v>
      </c>
      <c r="K35" s="50">
        <v>5</v>
      </c>
      <c r="L35" s="50">
        <v>4</v>
      </c>
      <c r="M35" s="50">
        <v>6</v>
      </c>
      <c r="N35" s="50">
        <v>0</v>
      </c>
      <c r="O35" s="15">
        <f t="shared" si="0"/>
        <v>24</v>
      </c>
      <c r="P35" s="15">
        <f t="shared" si="1"/>
        <v>30</v>
      </c>
      <c r="R35" s="38" t="s">
        <v>91</v>
      </c>
      <c r="S35" s="39">
        <f t="shared" ref="S35:AF35" si="27">MAX(S13:S18)</f>
        <v>29</v>
      </c>
      <c r="T35" s="39">
        <f t="shared" si="27"/>
        <v>9</v>
      </c>
      <c r="U35" s="39">
        <f t="shared" si="27"/>
        <v>13</v>
      </c>
      <c r="V35" s="39">
        <f t="shared" si="27"/>
        <v>22</v>
      </c>
      <c r="W35" s="39">
        <f t="shared" si="27"/>
        <v>0</v>
      </c>
      <c r="X35" s="39">
        <f t="shared" si="27"/>
        <v>1</v>
      </c>
      <c r="Y35" s="39">
        <f t="shared" si="27"/>
        <v>8</v>
      </c>
      <c r="Z35" s="39">
        <f t="shared" si="27"/>
        <v>14</v>
      </c>
      <c r="AA35" s="39">
        <f t="shared" si="27"/>
        <v>16</v>
      </c>
      <c r="AB35" s="39">
        <f t="shared" si="27"/>
        <v>9</v>
      </c>
      <c r="AC35" s="39">
        <f t="shared" si="27"/>
        <v>191</v>
      </c>
      <c r="AD35" s="39">
        <f t="shared" si="27"/>
        <v>0</v>
      </c>
      <c r="AE35" s="40">
        <f t="shared" si="27"/>
        <v>90</v>
      </c>
      <c r="AF35" s="40">
        <f t="shared" si="27"/>
        <v>281</v>
      </c>
    </row>
    <row r="36" spans="2:32" ht="23.1" customHeight="1" x14ac:dyDescent="0.25">
      <c r="B36" s="46" t="s">
        <v>63</v>
      </c>
      <c r="C36" s="50">
        <v>6</v>
      </c>
      <c r="D36" s="50">
        <v>1</v>
      </c>
      <c r="E36" s="50">
        <v>2</v>
      </c>
      <c r="F36" s="50">
        <v>3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1</v>
      </c>
      <c r="M36" s="50">
        <v>39</v>
      </c>
      <c r="N36" s="50">
        <v>0</v>
      </c>
      <c r="O36" s="15">
        <f t="shared" si="0"/>
        <v>15</v>
      </c>
      <c r="P36" s="15">
        <f t="shared" si="1"/>
        <v>54</v>
      </c>
      <c r="R36" s="38" t="s">
        <v>92</v>
      </c>
      <c r="S36" s="39">
        <f t="shared" ref="S36:AF36" si="28">MAX(S19:S21)</f>
        <v>49</v>
      </c>
      <c r="T36" s="39">
        <f t="shared" si="28"/>
        <v>16</v>
      </c>
      <c r="U36" s="39">
        <f t="shared" si="28"/>
        <v>23</v>
      </c>
      <c r="V36" s="39">
        <f t="shared" si="28"/>
        <v>16</v>
      </c>
      <c r="W36" s="39">
        <f t="shared" si="28"/>
        <v>1</v>
      </c>
      <c r="X36" s="39">
        <f t="shared" si="28"/>
        <v>0</v>
      </c>
      <c r="Y36" s="39">
        <f t="shared" si="28"/>
        <v>12</v>
      </c>
      <c r="Z36" s="39">
        <f t="shared" si="28"/>
        <v>13</v>
      </c>
      <c r="AA36" s="39">
        <f t="shared" si="28"/>
        <v>14</v>
      </c>
      <c r="AB36" s="39">
        <f t="shared" si="28"/>
        <v>1</v>
      </c>
      <c r="AC36" s="39">
        <f t="shared" si="28"/>
        <v>248</v>
      </c>
      <c r="AD36" s="39">
        <f t="shared" si="28"/>
        <v>0</v>
      </c>
      <c r="AE36" s="40">
        <f t="shared" si="28"/>
        <v>136</v>
      </c>
      <c r="AF36" s="40">
        <f t="shared" si="28"/>
        <v>384</v>
      </c>
    </row>
    <row r="37" spans="2:32" ht="23.1" customHeight="1" x14ac:dyDescent="0.25">
      <c r="B37" s="45" t="s">
        <v>64</v>
      </c>
      <c r="C37" s="50">
        <v>11</v>
      </c>
      <c r="D37" s="50">
        <v>2</v>
      </c>
      <c r="E37" s="50">
        <v>3</v>
      </c>
      <c r="F37" s="50">
        <v>5</v>
      </c>
      <c r="G37" s="50">
        <v>0</v>
      </c>
      <c r="H37" s="50">
        <v>0</v>
      </c>
      <c r="I37" s="50">
        <v>2</v>
      </c>
      <c r="J37" s="50">
        <v>2</v>
      </c>
      <c r="K37" s="50">
        <v>1</v>
      </c>
      <c r="L37" s="50">
        <v>2</v>
      </c>
      <c r="M37" s="50">
        <v>65</v>
      </c>
      <c r="N37" s="50">
        <v>0</v>
      </c>
      <c r="O37" s="15">
        <f t="shared" si="0"/>
        <v>28</v>
      </c>
      <c r="P37" s="15">
        <f t="shared" si="1"/>
        <v>93</v>
      </c>
      <c r="R37" s="37" t="s">
        <v>85</v>
      </c>
      <c r="S37" s="35">
        <f t="shared" ref="S37:AF37" si="29">SUM(S10:S12)</f>
        <v>36</v>
      </c>
      <c r="T37" s="16">
        <f t="shared" si="29"/>
        <v>5</v>
      </c>
      <c r="U37" s="16">
        <f t="shared" si="29"/>
        <v>10</v>
      </c>
      <c r="V37" s="16">
        <f t="shared" si="29"/>
        <v>30</v>
      </c>
      <c r="W37" s="16">
        <f t="shared" si="29"/>
        <v>6</v>
      </c>
      <c r="X37" s="16">
        <f t="shared" si="29"/>
        <v>2</v>
      </c>
      <c r="Y37" s="16">
        <f t="shared" si="29"/>
        <v>7</v>
      </c>
      <c r="Z37" s="16">
        <f t="shared" si="29"/>
        <v>7</v>
      </c>
      <c r="AA37" s="16">
        <f t="shared" si="29"/>
        <v>2</v>
      </c>
      <c r="AB37" s="16">
        <f t="shared" si="29"/>
        <v>10</v>
      </c>
      <c r="AC37" s="16">
        <f t="shared" si="29"/>
        <v>360</v>
      </c>
      <c r="AD37" s="16">
        <f t="shared" si="29"/>
        <v>0</v>
      </c>
      <c r="AE37" s="32">
        <f t="shared" si="29"/>
        <v>115</v>
      </c>
      <c r="AF37" s="32">
        <f t="shared" si="29"/>
        <v>475</v>
      </c>
    </row>
    <row r="38" spans="2:32" ht="23.1" customHeight="1" x14ac:dyDescent="0.25">
      <c r="B38" s="46" t="s">
        <v>65</v>
      </c>
      <c r="C38" s="50">
        <v>5</v>
      </c>
      <c r="D38" s="50">
        <v>1</v>
      </c>
      <c r="E38" s="50">
        <v>1</v>
      </c>
      <c r="F38" s="50">
        <v>2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37</v>
      </c>
      <c r="N38" s="50">
        <v>0</v>
      </c>
      <c r="O38" s="15">
        <f t="shared" si="0"/>
        <v>10</v>
      </c>
      <c r="P38" s="15">
        <f t="shared" si="1"/>
        <v>47</v>
      </c>
      <c r="R38" s="28" t="s">
        <v>86</v>
      </c>
      <c r="S38" s="16">
        <f t="shared" ref="S38:AF38" si="30">SUM(S13:S18)</f>
        <v>127</v>
      </c>
      <c r="T38" s="16">
        <f t="shared" si="30"/>
        <v>42</v>
      </c>
      <c r="U38" s="16">
        <f t="shared" si="30"/>
        <v>61</v>
      </c>
      <c r="V38" s="16">
        <f t="shared" si="30"/>
        <v>95</v>
      </c>
      <c r="W38" s="16">
        <f t="shared" si="30"/>
        <v>0</v>
      </c>
      <c r="X38" s="16">
        <f t="shared" si="30"/>
        <v>1</v>
      </c>
      <c r="Y38" s="16">
        <f t="shared" si="30"/>
        <v>30</v>
      </c>
      <c r="Z38" s="16">
        <f t="shared" si="30"/>
        <v>25</v>
      </c>
      <c r="AA38" s="16">
        <f t="shared" si="30"/>
        <v>75</v>
      </c>
      <c r="AB38" s="16">
        <f t="shared" si="30"/>
        <v>32</v>
      </c>
      <c r="AC38" s="16">
        <f t="shared" si="30"/>
        <v>981</v>
      </c>
      <c r="AD38" s="16">
        <f t="shared" si="30"/>
        <v>0</v>
      </c>
      <c r="AE38" s="32">
        <f t="shared" si="30"/>
        <v>488</v>
      </c>
      <c r="AF38" s="32">
        <f t="shared" si="30"/>
        <v>1469</v>
      </c>
    </row>
    <row r="39" spans="2:32" ht="23.1" customHeight="1" x14ac:dyDescent="0.25">
      <c r="B39" s="46" t="s">
        <v>66</v>
      </c>
      <c r="C39" s="50">
        <v>8</v>
      </c>
      <c r="D39" s="50">
        <v>2</v>
      </c>
      <c r="E39" s="50">
        <v>2</v>
      </c>
      <c r="F39" s="50">
        <v>4</v>
      </c>
      <c r="G39" s="50">
        <v>0</v>
      </c>
      <c r="H39" s="50">
        <v>0</v>
      </c>
      <c r="I39" s="50">
        <v>2</v>
      </c>
      <c r="J39" s="50">
        <v>0</v>
      </c>
      <c r="K39" s="50">
        <v>1</v>
      </c>
      <c r="L39" s="50">
        <v>1</v>
      </c>
      <c r="M39" s="50">
        <v>62</v>
      </c>
      <c r="N39" s="50">
        <v>0</v>
      </c>
      <c r="O39" s="15">
        <f t="shared" si="0"/>
        <v>20</v>
      </c>
      <c r="P39" s="15">
        <f t="shared" si="1"/>
        <v>82</v>
      </c>
      <c r="R39" s="29" t="s">
        <v>87</v>
      </c>
      <c r="S39" s="16">
        <f t="shared" ref="S39:AF39" si="31">SUM(S19:S21)</f>
        <v>119</v>
      </c>
      <c r="T39" s="16">
        <f t="shared" si="31"/>
        <v>37</v>
      </c>
      <c r="U39" s="16">
        <f t="shared" si="31"/>
        <v>55</v>
      </c>
      <c r="V39" s="16">
        <f t="shared" si="31"/>
        <v>44</v>
      </c>
      <c r="W39" s="16">
        <f t="shared" si="31"/>
        <v>1</v>
      </c>
      <c r="X39" s="16">
        <f t="shared" si="31"/>
        <v>0</v>
      </c>
      <c r="Y39" s="16">
        <f t="shared" si="31"/>
        <v>28</v>
      </c>
      <c r="Z39" s="16">
        <f t="shared" si="31"/>
        <v>30</v>
      </c>
      <c r="AA39" s="16">
        <f t="shared" si="31"/>
        <v>29</v>
      </c>
      <c r="AB39" s="16">
        <f t="shared" si="31"/>
        <v>2</v>
      </c>
      <c r="AC39" s="16">
        <f t="shared" si="31"/>
        <v>569</v>
      </c>
      <c r="AD39" s="16">
        <f t="shared" si="31"/>
        <v>0</v>
      </c>
      <c r="AE39" s="32">
        <f t="shared" si="31"/>
        <v>345</v>
      </c>
      <c r="AF39" s="32">
        <f t="shared" si="31"/>
        <v>914</v>
      </c>
    </row>
    <row r="40" spans="2:32" ht="23.1" customHeight="1" x14ac:dyDescent="0.25">
      <c r="B40" s="46" t="s">
        <v>67</v>
      </c>
      <c r="C40" s="50">
        <v>6</v>
      </c>
      <c r="D40" s="50">
        <v>2</v>
      </c>
      <c r="E40" s="50">
        <v>2</v>
      </c>
      <c r="F40" s="50">
        <v>4</v>
      </c>
      <c r="G40" s="50">
        <v>0</v>
      </c>
      <c r="H40" s="50">
        <v>0</v>
      </c>
      <c r="I40" s="50">
        <v>1</v>
      </c>
      <c r="J40" s="50">
        <v>2</v>
      </c>
      <c r="K40" s="50">
        <v>4</v>
      </c>
      <c r="L40" s="50">
        <v>1</v>
      </c>
      <c r="M40" s="50">
        <v>26</v>
      </c>
      <c r="N40" s="50">
        <v>0</v>
      </c>
      <c r="O40" s="15">
        <f t="shared" si="0"/>
        <v>22</v>
      </c>
      <c r="P40" s="15">
        <f t="shared" si="1"/>
        <v>48</v>
      </c>
      <c r="R40" s="5" t="s">
        <v>17</v>
      </c>
      <c r="S40" s="16">
        <f t="shared" ref="S40:AF40" si="32">SUM(S10:S21)</f>
        <v>282</v>
      </c>
      <c r="T40" s="16">
        <f t="shared" si="32"/>
        <v>84</v>
      </c>
      <c r="U40" s="16">
        <f t="shared" si="32"/>
        <v>126</v>
      </c>
      <c r="V40" s="16">
        <f t="shared" si="32"/>
        <v>169</v>
      </c>
      <c r="W40" s="16">
        <f t="shared" si="32"/>
        <v>7</v>
      </c>
      <c r="X40" s="16">
        <f t="shared" si="32"/>
        <v>3</v>
      </c>
      <c r="Y40" s="16">
        <f t="shared" si="32"/>
        <v>65</v>
      </c>
      <c r="Z40" s="16">
        <f t="shared" si="32"/>
        <v>62</v>
      </c>
      <c r="AA40" s="16">
        <f t="shared" si="32"/>
        <v>106</v>
      </c>
      <c r="AB40" s="16">
        <f t="shared" si="32"/>
        <v>44</v>
      </c>
      <c r="AC40" s="16">
        <f t="shared" si="32"/>
        <v>1910</v>
      </c>
      <c r="AD40" s="16">
        <f t="shared" si="32"/>
        <v>0</v>
      </c>
      <c r="AE40" s="32">
        <f t="shared" si="32"/>
        <v>948</v>
      </c>
      <c r="AF40" s="32">
        <f t="shared" si="32"/>
        <v>2858</v>
      </c>
    </row>
    <row r="41" spans="2:32" ht="23.1" customHeight="1" x14ac:dyDescent="0.25">
      <c r="B41" s="45" t="s">
        <v>68</v>
      </c>
      <c r="C41" s="50">
        <v>10</v>
      </c>
      <c r="D41" s="50">
        <v>3</v>
      </c>
      <c r="E41" s="50">
        <v>4</v>
      </c>
      <c r="F41" s="50">
        <v>6</v>
      </c>
      <c r="G41" s="50">
        <v>0</v>
      </c>
      <c r="H41" s="50">
        <v>0</v>
      </c>
      <c r="I41" s="50">
        <v>2</v>
      </c>
      <c r="J41" s="50">
        <v>4</v>
      </c>
      <c r="K41" s="50">
        <v>7</v>
      </c>
      <c r="L41" s="50">
        <v>2</v>
      </c>
      <c r="M41" s="50">
        <v>66</v>
      </c>
      <c r="N41" s="50">
        <v>0</v>
      </c>
      <c r="O41" s="15">
        <f t="shared" si="0"/>
        <v>38</v>
      </c>
      <c r="P41" s="15">
        <f t="shared" si="1"/>
        <v>104</v>
      </c>
      <c r="R41" s="5" t="s">
        <v>159</v>
      </c>
      <c r="S41" s="16">
        <f>SUM(S10:S33)</f>
        <v>370</v>
      </c>
      <c r="T41" s="16">
        <f t="shared" ref="T41:AF41" si="33">SUM(T10:T33)</f>
        <v>116</v>
      </c>
      <c r="U41" s="16">
        <f t="shared" si="33"/>
        <v>177</v>
      </c>
      <c r="V41" s="16">
        <f t="shared" si="33"/>
        <v>237</v>
      </c>
      <c r="W41" s="16">
        <f t="shared" si="33"/>
        <v>16</v>
      </c>
      <c r="X41" s="16">
        <f t="shared" si="33"/>
        <v>16</v>
      </c>
      <c r="Y41" s="16">
        <f t="shared" si="33"/>
        <v>71</v>
      </c>
      <c r="Z41" s="16">
        <f t="shared" si="33"/>
        <v>99</v>
      </c>
      <c r="AA41" s="16">
        <f t="shared" si="33"/>
        <v>177</v>
      </c>
      <c r="AB41" s="16">
        <f t="shared" si="33"/>
        <v>65</v>
      </c>
      <c r="AC41" s="16">
        <f t="shared" si="33"/>
        <v>2300</v>
      </c>
      <c r="AD41" s="16">
        <f t="shared" si="33"/>
        <v>0</v>
      </c>
      <c r="AE41" s="32">
        <f t="shared" si="33"/>
        <v>1344</v>
      </c>
      <c r="AF41" s="32">
        <f t="shared" si="33"/>
        <v>3644</v>
      </c>
    </row>
    <row r="42" spans="2:32" ht="23.1" customHeight="1" x14ac:dyDescent="0.25">
      <c r="B42" s="46" t="s">
        <v>69</v>
      </c>
      <c r="C42" s="50">
        <v>4</v>
      </c>
      <c r="D42" s="50">
        <v>1</v>
      </c>
      <c r="E42" s="50">
        <v>1</v>
      </c>
      <c r="F42" s="50">
        <v>4</v>
      </c>
      <c r="G42" s="50">
        <v>0</v>
      </c>
      <c r="H42" s="50">
        <v>0</v>
      </c>
      <c r="I42" s="50">
        <v>1</v>
      </c>
      <c r="J42" s="50">
        <v>0</v>
      </c>
      <c r="K42" s="50">
        <v>4</v>
      </c>
      <c r="L42" s="50">
        <v>0</v>
      </c>
      <c r="M42" s="50">
        <v>34</v>
      </c>
      <c r="N42" s="50">
        <v>0</v>
      </c>
      <c r="O42" s="15">
        <f t="shared" si="0"/>
        <v>15</v>
      </c>
      <c r="P42" s="15">
        <f t="shared" si="1"/>
        <v>49</v>
      </c>
      <c r="R42" s="5" t="s">
        <v>160</v>
      </c>
      <c r="S42" s="48">
        <f>S41/S40</f>
        <v>1.3120567375886525</v>
      </c>
      <c r="T42" s="48">
        <f t="shared" ref="T42:AF42" si="34">T41/T40</f>
        <v>1.3809523809523809</v>
      </c>
      <c r="U42" s="48">
        <f t="shared" si="34"/>
        <v>1.4047619047619047</v>
      </c>
      <c r="V42" s="48">
        <f t="shared" si="34"/>
        <v>1.4023668639053255</v>
      </c>
      <c r="W42" s="48">
        <f t="shared" si="34"/>
        <v>2.2857142857142856</v>
      </c>
      <c r="X42" s="48">
        <f t="shared" si="34"/>
        <v>5.333333333333333</v>
      </c>
      <c r="Y42" s="48">
        <f t="shared" si="34"/>
        <v>1.0923076923076922</v>
      </c>
      <c r="Z42" s="48">
        <f t="shared" si="34"/>
        <v>1.596774193548387</v>
      </c>
      <c r="AA42" s="48">
        <f t="shared" si="34"/>
        <v>1.6698113207547169</v>
      </c>
      <c r="AB42" s="48">
        <f t="shared" si="34"/>
        <v>1.4772727272727273</v>
      </c>
      <c r="AC42" s="48">
        <f t="shared" si="34"/>
        <v>1.2041884816753927</v>
      </c>
      <c r="AD42" s="48" t="e">
        <f t="shared" si="34"/>
        <v>#DIV/0!</v>
      </c>
      <c r="AE42" s="48">
        <f t="shared" si="34"/>
        <v>1.4177215189873418</v>
      </c>
      <c r="AF42" s="48">
        <f t="shared" si="34"/>
        <v>1.2750174947515744</v>
      </c>
    </row>
    <row r="43" spans="2:32" ht="23.1" customHeight="1" x14ac:dyDescent="0.25">
      <c r="B43" s="45" t="s">
        <v>70</v>
      </c>
      <c r="C43" s="50">
        <v>6</v>
      </c>
      <c r="D43" s="50">
        <v>1</v>
      </c>
      <c r="E43" s="50">
        <v>2</v>
      </c>
      <c r="F43" s="50">
        <v>6</v>
      </c>
      <c r="G43" s="50">
        <v>0</v>
      </c>
      <c r="H43" s="50">
        <v>0</v>
      </c>
      <c r="I43" s="50">
        <v>2</v>
      </c>
      <c r="J43" s="50">
        <v>1</v>
      </c>
      <c r="K43" s="50">
        <v>6</v>
      </c>
      <c r="L43" s="50">
        <v>1</v>
      </c>
      <c r="M43" s="50">
        <v>56</v>
      </c>
      <c r="N43" s="50">
        <v>0</v>
      </c>
      <c r="O43" s="15">
        <f t="shared" si="0"/>
        <v>25</v>
      </c>
      <c r="P43" s="15">
        <f t="shared" si="1"/>
        <v>81</v>
      </c>
    </row>
    <row r="44" spans="2:32" ht="23.1" customHeight="1" x14ac:dyDescent="0.25">
      <c r="B44" s="47" t="s">
        <v>71</v>
      </c>
      <c r="C44" s="50">
        <v>5</v>
      </c>
      <c r="D44" s="50">
        <v>2</v>
      </c>
      <c r="E44" s="50">
        <v>2</v>
      </c>
      <c r="F44" s="50">
        <v>2</v>
      </c>
      <c r="G44" s="50">
        <v>0</v>
      </c>
      <c r="H44" s="50">
        <v>0</v>
      </c>
      <c r="I44" s="50">
        <v>0</v>
      </c>
      <c r="J44" s="50">
        <v>0</v>
      </c>
      <c r="K44" s="50">
        <v>1</v>
      </c>
      <c r="L44" s="50">
        <v>0</v>
      </c>
      <c r="M44" s="50">
        <v>29</v>
      </c>
      <c r="N44" s="50">
        <v>0</v>
      </c>
      <c r="O44" s="15">
        <f t="shared" si="0"/>
        <v>12</v>
      </c>
      <c r="P44" s="15">
        <f t="shared" si="1"/>
        <v>41</v>
      </c>
    </row>
    <row r="45" spans="2:32" ht="23.1" customHeight="1" x14ac:dyDescent="0.25">
      <c r="B45" s="45" t="s">
        <v>72</v>
      </c>
      <c r="C45" s="50">
        <v>8</v>
      </c>
      <c r="D45" s="50">
        <v>2</v>
      </c>
      <c r="E45" s="50">
        <v>4</v>
      </c>
      <c r="F45" s="50">
        <v>3</v>
      </c>
      <c r="G45" s="50">
        <v>0</v>
      </c>
      <c r="H45" s="50">
        <v>0</v>
      </c>
      <c r="I45" s="50">
        <v>1</v>
      </c>
      <c r="J45" s="50">
        <v>0</v>
      </c>
      <c r="K45" s="50">
        <v>2</v>
      </c>
      <c r="L45" s="50">
        <v>0</v>
      </c>
      <c r="M45" s="50">
        <v>49</v>
      </c>
      <c r="N45" s="50">
        <v>0</v>
      </c>
      <c r="O45" s="15">
        <f t="shared" si="0"/>
        <v>20</v>
      </c>
      <c r="P45" s="15">
        <f t="shared" si="1"/>
        <v>69</v>
      </c>
    </row>
    <row r="46" spans="2:32" ht="23.1" customHeight="1" x14ac:dyDescent="0.25">
      <c r="B46" s="46" t="s">
        <v>73</v>
      </c>
      <c r="C46" s="50">
        <v>8</v>
      </c>
      <c r="D46" s="50">
        <v>2</v>
      </c>
      <c r="E46" s="50">
        <v>4</v>
      </c>
      <c r="F46" s="50">
        <v>4</v>
      </c>
      <c r="G46" s="50">
        <v>0</v>
      </c>
      <c r="H46" s="50">
        <v>0</v>
      </c>
      <c r="I46" s="50">
        <v>4</v>
      </c>
      <c r="J46" s="50">
        <v>4</v>
      </c>
      <c r="K46" s="50">
        <v>1</v>
      </c>
      <c r="L46" s="50">
        <v>0</v>
      </c>
      <c r="M46" s="50">
        <v>15</v>
      </c>
      <c r="N46" s="50">
        <v>0</v>
      </c>
      <c r="O46" s="15">
        <f t="shared" si="0"/>
        <v>27</v>
      </c>
      <c r="P46" s="15">
        <f t="shared" si="1"/>
        <v>42</v>
      </c>
      <c r="R46" s="8"/>
      <c r="T46"/>
    </row>
    <row r="47" spans="2:32" ht="23.1" customHeight="1" x14ac:dyDescent="0.25">
      <c r="B47" s="46" t="s">
        <v>74</v>
      </c>
      <c r="C47" s="50">
        <v>13</v>
      </c>
      <c r="D47" s="50">
        <v>4</v>
      </c>
      <c r="E47" s="50">
        <v>6</v>
      </c>
      <c r="F47" s="50">
        <v>7</v>
      </c>
      <c r="G47" s="50">
        <v>0</v>
      </c>
      <c r="H47" s="50">
        <v>0</v>
      </c>
      <c r="I47" s="50">
        <v>6</v>
      </c>
      <c r="J47" s="50">
        <v>6</v>
      </c>
      <c r="K47" s="50">
        <v>2</v>
      </c>
      <c r="L47" s="50">
        <v>0</v>
      </c>
      <c r="M47" s="50">
        <v>25</v>
      </c>
      <c r="N47" s="50">
        <v>0</v>
      </c>
      <c r="O47" s="15">
        <f t="shared" si="0"/>
        <v>44</v>
      </c>
      <c r="P47" s="15">
        <f t="shared" si="1"/>
        <v>69</v>
      </c>
      <c r="R47" s="8"/>
      <c r="T47"/>
    </row>
    <row r="48" spans="2:32" ht="23.1" customHeight="1" x14ac:dyDescent="0.25">
      <c r="B48" s="46" t="s">
        <v>75</v>
      </c>
      <c r="C48" s="50">
        <v>5</v>
      </c>
      <c r="D48" s="50">
        <v>1</v>
      </c>
      <c r="E48" s="50">
        <v>2</v>
      </c>
      <c r="F48" s="50">
        <v>2</v>
      </c>
      <c r="G48" s="50">
        <v>0</v>
      </c>
      <c r="H48" s="50">
        <v>0</v>
      </c>
      <c r="I48" s="50">
        <v>0</v>
      </c>
      <c r="J48" s="50">
        <v>1</v>
      </c>
      <c r="K48" s="50">
        <v>2</v>
      </c>
      <c r="L48" s="50">
        <v>0</v>
      </c>
      <c r="M48" s="50">
        <v>34</v>
      </c>
      <c r="N48" s="50">
        <v>0</v>
      </c>
      <c r="O48" s="15">
        <f t="shared" si="0"/>
        <v>13</v>
      </c>
      <c r="P48" s="15">
        <f t="shared" si="1"/>
        <v>47</v>
      </c>
      <c r="R48" s="8"/>
      <c r="T48"/>
    </row>
    <row r="49" spans="2:20" ht="23.1" customHeight="1" x14ac:dyDescent="0.25">
      <c r="B49" s="45" t="s">
        <v>76</v>
      </c>
      <c r="C49" s="50">
        <v>9</v>
      </c>
      <c r="D49" s="50">
        <v>2</v>
      </c>
      <c r="E49" s="50">
        <v>3</v>
      </c>
      <c r="F49" s="50">
        <v>3</v>
      </c>
      <c r="G49" s="50">
        <v>1</v>
      </c>
      <c r="H49" s="50">
        <v>0</v>
      </c>
      <c r="I49" s="50">
        <v>0</v>
      </c>
      <c r="J49" s="50">
        <v>2</v>
      </c>
      <c r="K49" s="50">
        <v>4</v>
      </c>
      <c r="L49" s="50">
        <v>1</v>
      </c>
      <c r="M49" s="50">
        <v>56</v>
      </c>
      <c r="N49" s="50">
        <v>0</v>
      </c>
      <c r="O49" s="15">
        <f t="shared" si="0"/>
        <v>25</v>
      </c>
      <c r="P49" s="15">
        <f t="shared" si="1"/>
        <v>81</v>
      </c>
      <c r="R49" s="8"/>
      <c r="T49"/>
    </row>
    <row r="50" spans="2:20" ht="23.1" customHeight="1" x14ac:dyDescent="0.25">
      <c r="B50" s="46" t="s">
        <v>77</v>
      </c>
      <c r="C50" s="50">
        <v>7</v>
      </c>
      <c r="D50" s="50">
        <v>3</v>
      </c>
      <c r="E50" s="50">
        <v>4</v>
      </c>
      <c r="F50" s="50">
        <v>2</v>
      </c>
      <c r="G50" s="50">
        <v>0</v>
      </c>
      <c r="H50" s="50">
        <v>0</v>
      </c>
      <c r="I50" s="50">
        <v>2</v>
      </c>
      <c r="J50" s="50">
        <v>1</v>
      </c>
      <c r="K50" s="50">
        <v>4</v>
      </c>
      <c r="L50" s="50">
        <v>0</v>
      </c>
      <c r="M50" s="50">
        <v>59</v>
      </c>
      <c r="N50" s="50">
        <v>0</v>
      </c>
      <c r="O50" s="15">
        <f t="shared" si="0"/>
        <v>23</v>
      </c>
      <c r="P50" s="15">
        <f t="shared" si="1"/>
        <v>82</v>
      </c>
      <c r="R50" s="8"/>
      <c r="T50"/>
    </row>
    <row r="51" spans="2:20" ht="23.1" customHeight="1" x14ac:dyDescent="0.25">
      <c r="B51" s="46" t="s">
        <v>78</v>
      </c>
      <c r="C51" s="50">
        <v>12</v>
      </c>
      <c r="D51" s="50">
        <v>5</v>
      </c>
      <c r="E51" s="50">
        <v>8</v>
      </c>
      <c r="F51" s="50">
        <v>4</v>
      </c>
      <c r="G51" s="50">
        <v>0</v>
      </c>
      <c r="H51" s="50">
        <v>0</v>
      </c>
      <c r="I51" s="50">
        <v>4</v>
      </c>
      <c r="J51" s="50">
        <v>2</v>
      </c>
      <c r="K51" s="50">
        <v>7</v>
      </c>
      <c r="L51" s="50">
        <v>0</v>
      </c>
      <c r="M51" s="50">
        <v>98</v>
      </c>
      <c r="N51" s="50">
        <v>0</v>
      </c>
      <c r="O51" s="15">
        <f t="shared" si="0"/>
        <v>42</v>
      </c>
      <c r="P51" s="15">
        <f t="shared" si="1"/>
        <v>140</v>
      </c>
      <c r="R51" s="8"/>
      <c r="T51"/>
    </row>
    <row r="52" spans="2:20" ht="23.1" customHeight="1" x14ac:dyDescent="0.25">
      <c r="B52" s="46" t="s">
        <v>79</v>
      </c>
      <c r="C52" s="50">
        <v>11</v>
      </c>
      <c r="D52" s="50">
        <v>3</v>
      </c>
      <c r="E52" s="50">
        <v>4</v>
      </c>
      <c r="F52" s="50">
        <v>2</v>
      </c>
      <c r="G52" s="50">
        <v>0</v>
      </c>
      <c r="H52" s="50">
        <v>0</v>
      </c>
      <c r="I52" s="50">
        <v>2</v>
      </c>
      <c r="J52" s="50">
        <v>2</v>
      </c>
      <c r="K52" s="50">
        <v>1</v>
      </c>
      <c r="L52" s="50">
        <v>0</v>
      </c>
      <c r="M52" s="50">
        <v>34</v>
      </c>
      <c r="N52" s="50">
        <v>0</v>
      </c>
      <c r="O52" s="15">
        <f t="shared" si="0"/>
        <v>25</v>
      </c>
      <c r="P52" s="15">
        <f t="shared" si="1"/>
        <v>59</v>
      </c>
      <c r="R52" s="8"/>
      <c r="T52"/>
    </row>
    <row r="53" spans="2:20" ht="23.1" customHeight="1" x14ac:dyDescent="0.25">
      <c r="B53" s="45" t="s">
        <v>80</v>
      </c>
      <c r="C53" s="50">
        <v>19</v>
      </c>
      <c r="D53" s="50">
        <v>5</v>
      </c>
      <c r="E53" s="50">
        <v>7</v>
      </c>
      <c r="F53" s="50">
        <v>4</v>
      </c>
      <c r="G53" s="50">
        <v>0</v>
      </c>
      <c r="H53" s="50">
        <v>0</v>
      </c>
      <c r="I53" s="50">
        <v>4</v>
      </c>
      <c r="J53" s="50">
        <v>4</v>
      </c>
      <c r="K53" s="50">
        <v>2</v>
      </c>
      <c r="L53" s="50">
        <v>1</v>
      </c>
      <c r="M53" s="50">
        <v>57</v>
      </c>
      <c r="N53" s="50">
        <v>0</v>
      </c>
      <c r="O53" s="15">
        <f t="shared" si="0"/>
        <v>46</v>
      </c>
      <c r="P53" s="15">
        <f t="shared" si="1"/>
        <v>103</v>
      </c>
      <c r="R53" s="8"/>
      <c r="T53"/>
    </row>
    <row r="54" spans="2:20" ht="23.1" customHeight="1" x14ac:dyDescent="0.25">
      <c r="B54" s="45" t="s">
        <v>81</v>
      </c>
      <c r="C54" s="50">
        <v>8</v>
      </c>
      <c r="D54" s="50">
        <v>2</v>
      </c>
      <c r="E54" s="50">
        <v>2</v>
      </c>
      <c r="F54" s="50">
        <v>3</v>
      </c>
      <c r="G54" s="50">
        <v>0</v>
      </c>
      <c r="H54" s="50">
        <v>0</v>
      </c>
      <c r="I54" s="50">
        <v>2</v>
      </c>
      <c r="J54" s="50">
        <v>2</v>
      </c>
      <c r="K54" s="50">
        <v>0</v>
      </c>
      <c r="L54" s="50">
        <v>0</v>
      </c>
      <c r="M54" s="50">
        <v>47</v>
      </c>
      <c r="N54" s="50">
        <v>0</v>
      </c>
      <c r="O54" s="15">
        <f t="shared" si="0"/>
        <v>19</v>
      </c>
      <c r="P54" s="15">
        <f t="shared" si="1"/>
        <v>66</v>
      </c>
      <c r="R54" s="8"/>
      <c r="T54"/>
    </row>
    <row r="55" spans="2:20" ht="23.1" customHeight="1" x14ac:dyDescent="0.25">
      <c r="B55" s="45" t="s">
        <v>82</v>
      </c>
      <c r="C55" s="50">
        <v>14</v>
      </c>
      <c r="D55" s="50">
        <v>3</v>
      </c>
      <c r="E55" s="50">
        <v>4</v>
      </c>
      <c r="F55" s="50">
        <v>5</v>
      </c>
      <c r="G55" s="50">
        <v>0</v>
      </c>
      <c r="H55" s="50">
        <v>0</v>
      </c>
      <c r="I55" s="50">
        <v>3</v>
      </c>
      <c r="J55" s="50">
        <v>3</v>
      </c>
      <c r="K55" s="50">
        <v>1</v>
      </c>
      <c r="L55" s="50">
        <v>0</v>
      </c>
      <c r="M55" s="50">
        <v>78</v>
      </c>
      <c r="N55" s="50">
        <v>0</v>
      </c>
      <c r="O55" s="15">
        <f t="shared" si="0"/>
        <v>33</v>
      </c>
      <c r="P55" s="15">
        <f t="shared" si="1"/>
        <v>111</v>
      </c>
      <c r="R55" s="8"/>
      <c r="T55"/>
    </row>
    <row r="56" spans="2:20" ht="23.1" customHeight="1" x14ac:dyDescent="0.25">
      <c r="B56" s="45" t="s">
        <v>83</v>
      </c>
      <c r="C56" s="50">
        <v>5</v>
      </c>
      <c r="D56" s="50">
        <v>3</v>
      </c>
      <c r="E56" s="50">
        <v>4</v>
      </c>
      <c r="F56" s="50">
        <v>3</v>
      </c>
      <c r="G56" s="50">
        <v>0</v>
      </c>
      <c r="H56" s="50">
        <v>0</v>
      </c>
      <c r="I56" s="50">
        <v>0</v>
      </c>
      <c r="J56" s="50">
        <v>1</v>
      </c>
      <c r="K56" s="50">
        <v>2</v>
      </c>
      <c r="L56" s="50">
        <v>0</v>
      </c>
      <c r="M56" s="50">
        <v>25</v>
      </c>
      <c r="N56" s="50">
        <v>0</v>
      </c>
      <c r="O56" s="15">
        <f t="shared" si="0"/>
        <v>18</v>
      </c>
      <c r="P56" s="15">
        <f t="shared" si="1"/>
        <v>43</v>
      </c>
      <c r="R56" s="8"/>
      <c r="T56"/>
    </row>
    <row r="57" spans="2:20" ht="23.1" customHeight="1" x14ac:dyDescent="0.25">
      <c r="B57" s="45" t="s">
        <v>84</v>
      </c>
      <c r="C57" s="50">
        <v>8</v>
      </c>
      <c r="D57" s="50">
        <v>4</v>
      </c>
      <c r="E57" s="50">
        <v>7</v>
      </c>
      <c r="F57" s="50">
        <v>5</v>
      </c>
      <c r="G57" s="50">
        <v>0</v>
      </c>
      <c r="H57" s="50">
        <v>0</v>
      </c>
      <c r="I57" s="50">
        <v>1</v>
      </c>
      <c r="J57" s="50">
        <v>2</v>
      </c>
      <c r="K57" s="50">
        <v>3</v>
      </c>
      <c r="L57" s="50">
        <v>0</v>
      </c>
      <c r="M57" s="50">
        <v>41</v>
      </c>
      <c r="N57" s="50">
        <v>0</v>
      </c>
      <c r="O57" s="15">
        <f t="shared" si="0"/>
        <v>30</v>
      </c>
      <c r="P57" s="15">
        <f t="shared" si="1"/>
        <v>71</v>
      </c>
      <c r="R57" s="8"/>
      <c r="T57"/>
    </row>
    <row r="58" spans="2:20" ht="23.1" customHeight="1" x14ac:dyDescent="0.25">
      <c r="B58" s="45" t="s">
        <v>99</v>
      </c>
      <c r="C58" s="50">
        <v>5</v>
      </c>
      <c r="D58" s="50">
        <v>2</v>
      </c>
      <c r="E58" s="50">
        <v>2</v>
      </c>
      <c r="F58" s="50">
        <v>4</v>
      </c>
      <c r="G58" s="50">
        <v>0</v>
      </c>
      <c r="H58" s="50">
        <v>0</v>
      </c>
      <c r="I58" s="50">
        <v>0</v>
      </c>
      <c r="J58" s="50">
        <v>0</v>
      </c>
      <c r="K58" s="50">
        <v>4</v>
      </c>
      <c r="L58" s="50">
        <v>0</v>
      </c>
      <c r="M58" s="50">
        <v>37</v>
      </c>
      <c r="N58" s="50">
        <v>0</v>
      </c>
      <c r="O58" s="15">
        <f t="shared" si="0"/>
        <v>17</v>
      </c>
      <c r="P58" s="15">
        <f t="shared" si="1"/>
        <v>54</v>
      </c>
      <c r="R58" s="8"/>
      <c r="T58"/>
    </row>
    <row r="59" spans="2:20" ht="23.1" customHeight="1" x14ac:dyDescent="0.25">
      <c r="B59" s="45" t="s">
        <v>100</v>
      </c>
      <c r="C59" s="50">
        <v>9</v>
      </c>
      <c r="D59" s="50">
        <v>2</v>
      </c>
      <c r="E59" s="50">
        <v>4</v>
      </c>
      <c r="F59" s="50">
        <v>6</v>
      </c>
      <c r="G59" s="50">
        <v>0</v>
      </c>
      <c r="H59" s="50">
        <v>0</v>
      </c>
      <c r="I59" s="50">
        <v>1</v>
      </c>
      <c r="J59" s="50">
        <v>1</v>
      </c>
      <c r="K59" s="50">
        <v>7</v>
      </c>
      <c r="L59" s="50">
        <v>1</v>
      </c>
      <c r="M59" s="50">
        <v>62</v>
      </c>
      <c r="N59" s="50">
        <v>0</v>
      </c>
      <c r="O59" s="15">
        <f t="shared" si="0"/>
        <v>31</v>
      </c>
      <c r="P59" s="15">
        <f t="shared" si="1"/>
        <v>93</v>
      </c>
      <c r="R59" s="8"/>
      <c r="T59"/>
    </row>
    <row r="60" spans="2:20" ht="23.1" customHeight="1" x14ac:dyDescent="0.25">
      <c r="B60" s="45" t="s">
        <v>101</v>
      </c>
      <c r="C60" s="50">
        <v>9</v>
      </c>
      <c r="D60" s="50">
        <v>2</v>
      </c>
      <c r="E60" s="50">
        <v>3</v>
      </c>
      <c r="F60" s="50">
        <v>4</v>
      </c>
      <c r="G60" s="50">
        <v>1</v>
      </c>
      <c r="H60" s="50">
        <v>0</v>
      </c>
      <c r="I60" s="50">
        <v>0</v>
      </c>
      <c r="J60" s="50">
        <v>2</v>
      </c>
      <c r="K60" s="50">
        <v>4</v>
      </c>
      <c r="L60" s="50">
        <v>0</v>
      </c>
      <c r="M60" s="50">
        <v>19</v>
      </c>
      <c r="N60" s="50">
        <v>0</v>
      </c>
      <c r="O60" s="15">
        <f t="shared" si="0"/>
        <v>25</v>
      </c>
      <c r="P60" s="15">
        <f t="shared" si="1"/>
        <v>44</v>
      </c>
      <c r="R60" s="8"/>
      <c r="T60"/>
    </row>
    <row r="61" spans="2:20" ht="23.1" customHeight="1" x14ac:dyDescent="0.25">
      <c r="B61" s="45" t="s">
        <v>102</v>
      </c>
      <c r="C61" s="50">
        <v>15</v>
      </c>
      <c r="D61" s="50">
        <v>3</v>
      </c>
      <c r="E61" s="50">
        <v>5</v>
      </c>
      <c r="F61" s="50">
        <v>7</v>
      </c>
      <c r="G61" s="50">
        <v>2</v>
      </c>
      <c r="H61" s="50">
        <v>0</v>
      </c>
      <c r="I61" s="50">
        <v>0</v>
      </c>
      <c r="J61" s="50">
        <v>4</v>
      </c>
      <c r="K61" s="50">
        <v>7</v>
      </c>
      <c r="L61" s="50">
        <v>1</v>
      </c>
      <c r="M61" s="50">
        <v>31</v>
      </c>
      <c r="N61" s="50">
        <v>0</v>
      </c>
      <c r="O61" s="15">
        <f t="shared" si="0"/>
        <v>44</v>
      </c>
      <c r="P61" s="15">
        <f t="shared" si="1"/>
        <v>75</v>
      </c>
      <c r="R61" s="8"/>
      <c r="T61"/>
    </row>
    <row r="62" spans="2:20" ht="23.1" customHeight="1" x14ac:dyDescent="0.25">
      <c r="B62" s="45" t="s">
        <v>107</v>
      </c>
      <c r="C62" s="50">
        <v>3</v>
      </c>
      <c r="D62" s="50">
        <v>3</v>
      </c>
      <c r="E62" s="50">
        <v>5</v>
      </c>
      <c r="F62" s="50">
        <v>4</v>
      </c>
      <c r="G62" s="50">
        <v>0</v>
      </c>
      <c r="H62" s="50">
        <v>1</v>
      </c>
      <c r="I62" s="50">
        <v>0</v>
      </c>
      <c r="J62" s="50">
        <v>1</v>
      </c>
      <c r="K62" s="50">
        <v>2</v>
      </c>
      <c r="L62" s="50">
        <v>0</v>
      </c>
      <c r="M62" s="50">
        <v>17</v>
      </c>
      <c r="N62" s="50">
        <v>0</v>
      </c>
      <c r="O62" s="15">
        <f t="shared" si="0"/>
        <v>19</v>
      </c>
      <c r="P62" s="15">
        <f t="shared" si="1"/>
        <v>36</v>
      </c>
      <c r="R62" s="8"/>
      <c r="T62"/>
    </row>
    <row r="63" spans="2:20" ht="23.1" customHeight="1" x14ac:dyDescent="0.25">
      <c r="B63" s="45" t="s">
        <v>108</v>
      </c>
      <c r="C63" s="50">
        <v>5</v>
      </c>
      <c r="D63" s="50">
        <v>5</v>
      </c>
      <c r="E63" s="50">
        <v>8</v>
      </c>
      <c r="F63" s="50">
        <v>7</v>
      </c>
      <c r="G63" s="50">
        <v>1</v>
      </c>
      <c r="H63" s="50">
        <v>2</v>
      </c>
      <c r="I63" s="50">
        <v>0</v>
      </c>
      <c r="J63" s="50">
        <v>2</v>
      </c>
      <c r="K63" s="50">
        <v>3</v>
      </c>
      <c r="L63" s="50">
        <v>1</v>
      </c>
      <c r="M63" s="50">
        <v>28</v>
      </c>
      <c r="N63" s="50">
        <v>0</v>
      </c>
      <c r="O63" s="15">
        <f t="shared" si="0"/>
        <v>34</v>
      </c>
      <c r="P63" s="15">
        <f t="shared" si="1"/>
        <v>62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1</v>
      </c>
      <c r="F64" s="50">
        <v>1</v>
      </c>
      <c r="G64" s="50">
        <v>0</v>
      </c>
      <c r="H64" s="50">
        <v>1</v>
      </c>
      <c r="I64" s="50">
        <v>0</v>
      </c>
      <c r="J64" s="50">
        <v>1</v>
      </c>
      <c r="K64" s="50">
        <v>1</v>
      </c>
      <c r="L64" s="50">
        <v>1</v>
      </c>
      <c r="M64" s="50">
        <v>18</v>
      </c>
      <c r="N64" s="50">
        <v>0</v>
      </c>
      <c r="O64" s="15">
        <f t="shared" si="0"/>
        <v>7</v>
      </c>
      <c r="P64" s="15">
        <f t="shared" si="1"/>
        <v>25</v>
      </c>
      <c r="R64" s="8"/>
      <c r="T64"/>
    </row>
    <row r="65" spans="2:20" ht="23.1" customHeight="1" x14ac:dyDescent="0.25">
      <c r="B65" s="45" t="s">
        <v>158</v>
      </c>
      <c r="C65" s="50">
        <v>2</v>
      </c>
      <c r="D65" s="50">
        <v>1</v>
      </c>
      <c r="E65" s="50">
        <v>1</v>
      </c>
      <c r="F65" s="50">
        <v>2</v>
      </c>
      <c r="G65" s="50">
        <v>0</v>
      </c>
      <c r="H65" s="50">
        <v>2</v>
      </c>
      <c r="I65" s="50">
        <v>1</v>
      </c>
      <c r="J65" s="50">
        <v>2</v>
      </c>
      <c r="K65" s="50">
        <v>2</v>
      </c>
      <c r="L65" s="50">
        <v>2</v>
      </c>
      <c r="M65" s="50">
        <v>30</v>
      </c>
      <c r="N65" s="50">
        <v>0</v>
      </c>
      <c r="O65" s="15">
        <f t="shared" si="0"/>
        <v>15</v>
      </c>
      <c r="P65" s="15">
        <f t="shared" si="1"/>
        <v>45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v>0</v>
      </c>
      <c r="E66" s="50">
        <v>1</v>
      </c>
      <c r="F66" s="50">
        <v>2</v>
      </c>
      <c r="G66" s="50">
        <v>0</v>
      </c>
      <c r="H66" s="50">
        <v>0</v>
      </c>
      <c r="I66" s="50">
        <v>0</v>
      </c>
      <c r="J66" s="50">
        <v>0</v>
      </c>
      <c r="K66" s="50">
        <v>2</v>
      </c>
      <c r="L66" s="50">
        <v>0</v>
      </c>
      <c r="M66" s="50">
        <v>15</v>
      </c>
      <c r="N66" s="50">
        <v>0</v>
      </c>
      <c r="O66" s="15">
        <f t="shared" si="0"/>
        <v>9</v>
      </c>
      <c r="P66" s="15">
        <f t="shared" si="1"/>
        <v>24</v>
      </c>
      <c r="R66" s="8"/>
      <c r="T66"/>
    </row>
    <row r="67" spans="2:20" ht="23.1" customHeight="1" x14ac:dyDescent="0.25">
      <c r="B67" s="45" t="s">
        <v>104</v>
      </c>
      <c r="C67" s="50">
        <v>6</v>
      </c>
      <c r="D67" s="50">
        <v>1</v>
      </c>
      <c r="E67" s="50">
        <v>1</v>
      </c>
      <c r="F67" s="50">
        <v>4</v>
      </c>
      <c r="G67" s="50">
        <v>0</v>
      </c>
      <c r="H67" s="50">
        <v>1</v>
      </c>
      <c r="I67" s="50">
        <v>0</v>
      </c>
      <c r="J67" s="50">
        <v>0</v>
      </c>
      <c r="K67" s="50">
        <v>3</v>
      </c>
      <c r="L67" s="50">
        <v>0</v>
      </c>
      <c r="M67" s="50">
        <v>25</v>
      </c>
      <c r="N67" s="50">
        <v>0</v>
      </c>
      <c r="O67" s="15">
        <f t="shared" si="0"/>
        <v>16</v>
      </c>
      <c r="P67" s="15">
        <f t="shared" si="1"/>
        <v>41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1</v>
      </c>
      <c r="E68" s="50">
        <v>1</v>
      </c>
      <c r="F68" s="50">
        <v>1</v>
      </c>
      <c r="G68" s="50">
        <v>1</v>
      </c>
      <c r="H68" s="50">
        <v>0</v>
      </c>
      <c r="I68" s="50">
        <v>0</v>
      </c>
      <c r="J68" s="50">
        <v>0</v>
      </c>
      <c r="K68" s="50">
        <v>2</v>
      </c>
      <c r="L68" s="50">
        <v>0</v>
      </c>
      <c r="M68" s="50">
        <v>7</v>
      </c>
      <c r="N68" s="50">
        <v>0</v>
      </c>
      <c r="O68" s="15">
        <f t="shared" si="0"/>
        <v>6</v>
      </c>
      <c r="P68" s="15">
        <f t="shared" si="1"/>
        <v>13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2</v>
      </c>
      <c r="E69" s="50">
        <v>2</v>
      </c>
      <c r="F69" s="50">
        <v>2</v>
      </c>
      <c r="G69" s="50">
        <v>2</v>
      </c>
      <c r="H69" s="50">
        <v>0</v>
      </c>
      <c r="I69" s="50">
        <v>0</v>
      </c>
      <c r="J69" s="50">
        <v>1</v>
      </c>
      <c r="K69" s="50">
        <v>4</v>
      </c>
      <c r="L69" s="50">
        <v>0</v>
      </c>
      <c r="M69" s="50">
        <v>12</v>
      </c>
      <c r="N69" s="50">
        <v>0</v>
      </c>
      <c r="O69" s="15">
        <f t="shared" si="0"/>
        <v>14</v>
      </c>
      <c r="P69" s="15">
        <f t="shared" si="1"/>
        <v>26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1</v>
      </c>
      <c r="E70" s="50">
        <v>1</v>
      </c>
      <c r="F70" s="50">
        <v>2</v>
      </c>
      <c r="G70" s="50">
        <v>0</v>
      </c>
      <c r="H70" s="50">
        <v>0</v>
      </c>
      <c r="I70" s="50">
        <v>1</v>
      </c>
      <c r="J70" s="50">
        <v>1</v>
      </c>
      <c r="K70" s="50">
        <v>0</v>
      </c>
      <c r="L70" s="50">
        <v>0</v>
      </c>
      <c r="M70" s="50">
        <v>5</v>
      </c>
      <c r="N70" s="50">
        <v>0</v>
      </c>
      <c r="O70" s="15">
        <f t="shared" si="0"/>
        <v>6</v>
      </c>
      <c r="P70" s="15">
        <f t="shared" si="1"/>
        <v>11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1</v>
      </c>
      <c r="E71" s="50">
        <v>2</v>
      </c>
      <c r="F71" s="50">
        <v>3</v>
      </c>
      <c r="G71" s="50">
        <v>0</v>
      </c>
      <c r="H71" s="50">
        <v>0</v>
      </c>
      <c r="I71" s="50">
        <v>2</v>
      </c>
      <c r="J71" s="50">
        <v>2</v>
      </c>
      <c r="K71" s="50">
        <v>1</v>
      </c>
      <c r="L71" s="50">
        <v>0</v>
      </c>
      <c r="M71" s="50">
        <v>9</v>
      </c>
      <c r="N71" s="50">
        <v>0</v>
      </c>
      <c r="O71" s="15">
        <f t="shared" si="0"/>
        <v>12</v>
      </c>
      <c r="P71" s="15">
        <f t="shared" si="1"/>
        <v>21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1</v>
      </c>
      <c r="E72" s="50">
        <v>1</v>
      </c>
      <c r="F72" s="50">
        <v>0</v>
      </c>
      <c r="G72" s="50">
        <v>0</v>
      </c>
      <c r="H72" s="50">
        <v>0</v>
      </c>
      <c r="I72" s="50">
        <v>0</v>
      </c>
      <c r="J72" s="50">
        <v>2</v>
      </c>
      <c r="K72" s="50">
        <v>5</v>
      </c>
      <c r="L72" s="50">
        <v>0</v>
      </c>
      <c r="M72" s="50">
        <v>7</v>
      </c>
      <c r="N72" s="50">
        <v>0</v>
      </c>
      <c r="O72" s="15">
        <f t="shared" si="0"/>
        <v>10</v>
      </c>
      <c r="P72" s="15">
        <f t="shared" si="1"/>
        <v>17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2</v>
      </c>
      <c r="E73" s="50">
        <v>2</v>
      </c>
      <c r="F73" s="50">
        <v>0</v>
      </c>
      <c r="G73" s="50">
        <v>0</v>
      </c>
      <c r="H73" s="50">
        <v>1</v>
      </c>
      <c r="I73" s="50">
        <v>0</v>
      </c>
      <c r="J73" s="50">
        <v>3</v>
      </c>
      <c r="K73" s="50">
        <v>8</v>
      </c>
      <c r="L73" s="50">
        <v>0</v>
      </c>
      <c r="M73" s="50">
        <v>11</v>
      </c>
      <c r="N73" s="50">
        <v>0</v>
      </c>
      <c r="O73" s="15">
        <f t="shared" si="0"/>
        <v>18</v>
      </c>
      <c r="P73" s="15">
        <f t="shared" si="1"/>
        <v>29</v>
      </c>
      <c r="R73" s="8"/>
      <c r="T73"/>
    </row>
    <row r="74" spans="2:20" ht="23.1" customHeight="1" x14ac:dyDescent="0.25">
      <c r="B74" s="45" t="s">
        <v>114</v>
      </c>
      <c r="C74" s="50">
        <v>2</v>
      </c>
      <c r="D74" s="50">
        <v>1</v>
      </c>
      <c r="E74" s="50">
        <v>1</v>
      </c>
      <c r="F74" s="50">
        <v>0</v>
      </c>
      <c r="G74" s="50">
        <v>0</v>
      </c>
      <c r="H74" s="50">
        <v>0</v>
      </c>
      <c r="I74" s="50">
        <v>0</v>
      </c>
      <c r="J74" s="50">
        <v>2</v>
      </c>
      <c r="K74" s="50">
        <v>2</v>
      </c>
      <c r="L74" s="50">
        <v>0</v>
      </c>
      <c r="M74" s="50">
        <v>3</v>
      </c>
      <c r="N74" s="50">
        <v>0</v>
      </c>
      <c r="O74" s="15">
        <f t="shared" ref="O74:O105" si="35">SUM(C74:L74,N74)</f>
        <v>8</v>
      </c>
      <c r="P74" s="15">
        <f t="shared" ref="P74:P105" si="36">SUM(C74:N74)</f>
        <v>11</v>
      </c>
      <c r="R74" s="8"/>
      <c r="T74"/>
    </row>
    <row r="75" spans="2:20" ht="23.1" customHeight="1" x14ac:dyDescent="0.25">
      <c r="B75" s="45" t="s">
        <v>115</v>
      </c>
      <c r="C75" s="50">
        <v>3</v>
      </c>
      <c r="D75" s="50">
        <v>2</v>
      </c>
      <c r="E75" s="50">
        <v>2</v>
      </c>
      <c r="F75" s="50">
        <v>1</v>
      </c>
      <c r="G75" s="50">
        <v>1</v>
      </c>
      <c r="H75" s="50">
        <v>0</v>
      </c>
      <c r="I75" s="50">
        <v>1</v>
      </c>
      <c r="J75" s="50">
        <v>3</v>
      </c>
      <c r="K75" s="50">
        <v>3</v>
      </c>
      <c r="L75" s="50">
        <v>1</v>
      </c>
      <c r="M75" s="50">
        <v>5</v>
      </c>
      <c r="N75" s="50">
        <v>0</v>
      </c>
      <c r="O75" s="15">
        <f t="shared" si="35"/>
        <v>17</v>
      </c>
      <c r="P75" s="15">
        <f t="shared" si="36"/>
        <v>22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3</v>
      </c>
      <c r="L76" s="50">
        <v>0</v>
      </c>
      <c r="M76" s="50">
        <v>2</v>
      </c>
      <c r="N76" s="50">
        <v>0</v>
      </c>
      <c r="O76" s="15">
        <f t="shared" si="35"/>
        <v>4</v>
      </c>
      <c r="P76" s="15">
        <f t="shared" si="36"/>
        <v>6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1</v>
      </c>
      <c r="F77" s="50">
        <v>0</v>
      </c>
      <c r="G77" s="50">
        <v>1</v>
      </c>
      <c r="H77" s="50">
        <v>1</v>
      </c>
      <c r="I77" s="50">
        <v>0</v>
      </c>
      <c r="J77" s="50">
        <v>1</v>
      </c>
      <c r="K77" s="50">
        <v>5</v>
      </c>
      <c r="L77" s="50">
        <v>0</v>
      </c>
      <c r="M77" s="50">
        <v>4</v>
      </c>
      <c r="N77" s="50">
        <v>0</v>
      </c>
      <c r="O77" s="15">
        <f t="shared" si="35"/>
        <v>10</v>
      </c>
      <c r="P77" s="15">
        <f t="shared" si="36"/>
        <v>14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0</v>
      </c>
      <c r="G78" s="50">
        <v>0</v>
      </c>
      <c r="H78" s="50">
        <v>1</v>
      </c>
      <c r="I78" s="50">
        <v>0</v>
      </c>
      <c r="J78" s="50">
        <v>2</v>
      </c>
      <c r="K78" s="50">
        <v>0</v>
      </c>
      <c r="L78" s="50">
        <v>0</v>
      </c>
      <c r="M78" s="50">
        <v>3</v>
      </c>
      <c r="N78" s="50">
        <v>0</v>
      </c>
      <c r="O78" s="15">
        <f t="shared" si="35"/>
        <v>4</v>
      </c>
      <c r="P78" s="15">
        <f t="shared" si="36"/>
        <v>7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0</v>
      </c>
      <c r="E79" s="50">
        <v>0</v>
      </c>
      <c r="F79" s="50">
        <v>1</v>
      </c>
      <c r="G79" s="50">
        <v>0</v>
      </c>
      <c r="H79" s="50">
        <v>2</v>
      </c>
      <c r="I79" s="50">
        <v>0</v>
      </c>
      <c r="J79" s="50">
        <v>3</v>
      </c>
      <c r="K79" s="50">
        <v>1</v>
      </c>
      <c r="L79" s="50">
        <v>1</v>
      </c>
      <c r="M79" s="50">
        <v>5</v>
      </c>
      <c r="N79" s="50">
        <v>0</v>
      </c>
      <c r="O79" s="15">
        <f t="shared" si="35"/>
        <v>10</v>
      </c>
      <c r="P79" s="15">
        <f t="shared" si="36"/>
        <v>15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0</v>
      </c>
      <c r="M80" s="50">
        <v>2</v>
      </c>
      <c r="N80" s="50">
        <v>0</v>
      </c>
      <c r="O80" s="15">
        <f t="shared" si="35"/>
        <v>2</v>
      </c>
      <c r="P80" s="15">
        <f t="shared" si="36"/>
        <v>4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1</v>
      </c>
      <c r="F81" s="50">
        <v>2</v>
      </c>
      <c r="G81" s="50">
        <v>0</v>
      </c>
      <c r="H81" s="50">
        <v>0</v>
      </c>
      <c r="I81" s="50">
        <v>0</v>
      </c>
      <c r="J81" s="50">
        <v>2</v>
      </c>
      <c r="K81" s="50">
        <v>0</v>
      </c>
      <c r="L81" s="50">
        <v>0</v>
      </c>
      <c r="M81" s="50">
        <v>4</v>
      </c>
      <c r="N81" s="50">
        <v>0</v>
      </c>
      <c r="O81" s="15">
        <f t="shared" si="35"/>
        <v>6</v>
      </c>
      <c r="P81" s="15">
        <f t="shared" si="36"/>
        <v>10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4</v>
      </c>
      <c r="N84" s="50">
        <v>0</v>
      </c>
      <c r="O84" s="15">
        <f t="shared" si="35"/>
        <v>0</v>
      </c>
      <c r="P84" s="15">
        <f t="shared" si="36"/>
        <v>4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1</v>
      </c>
      <c r="I85" s="50">
        <v>0</v>
      </c>
      <c r="J85" s="50">
        <v>0</v>
      </c>
      <c r="K85" s="50">
        <v>0</v>
      </c>
      <c r="L85" s="50">
        <v>0</v>
      </c>
      <c r="M85" s="50">
        <v>6</v>
      </c>
      <c r="N85" s="50">
        <v>0</v>
      </c>
      <c r="O85" s="15">
        <f t="shared" si="35"/>
        <v>1</v>
      </c>
      <c r="P85" s="15">
        <f t="shared" si="36"/>
        <v>7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</v>
      </c>
      <c r="N87" s="50">
        <v>0</v>
      </c>
      <c r="O87" s="15">
        <f t="shared" si="35"/>
        <v>1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1</v>
      </c>
      <c r="L89" s="50"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1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1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1</v>
      </c>
      <c r="M98" s="50">
        <v>0</v>
      </c>
      <c r="N98" s="50">
        <v>0</v>
      </c>
      <c r="O98" s="15">
        <f t="shared" si="35"/>
        <v>3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1</v>
      </c>
      <c r="F99" s="50">
        <v>2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2</v>
      </c>
      <c r="M99" s="50">
        <v>1</v>
      </c>
      <c r="N99" s="50">
        <v>0</v>
      </c>
      <c r="O99" s="15">
        <f t="shared" si="35"/>
        <v>7</v>
      </c>
      <c r="P99" s="15">
        <f t="shared" si="36"/>
        <v>8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2</v>
      </c>
      <c r="M100" s="50">
        <v>1</v>
      </c>
      <c r="N100" s="50">
        <v>0</v>
      </c>
      <c r="O100" s="15">
        <f t="shared" si="35"/>
        <v>3</v>
      </c>
      <c r="P100" s="15">
        <f t="shared" si="36"/>
        <v>4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1</v>
      </c>
      <c r="F101" s="50">
        <v>2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3</v>
      </c>
      <c r="M101" s="50">
        <v>2</v>
      </c>
      <c r="N101" s="50">
        <v>0</v>
      </c>
      <c r="O101" s="15">
        <f t="shared" si="35"/>
        <v>7</v>
      </c>
      <c r="P101" s="15">
        <f t="shared" si="36"/>
        <v>9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0</v>
      </c>
      <c r="E102" s="50">
        <v>1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</v>
      </c>
      <c r="N102" s="50">
        <v>0</v>
      </c>
      <c r="O102" s="15">
        <f t="shared" si="35"/>
        <v>3</v>
      </c>
      <c r="P102" s="15">
        <f t="shared" si="36"/>
        <v>5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1</v>
      </c>
      <c r="E103" s="50">
        <v>1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1</v>
      </c>
      <c r="M103" s="50">
        <v>3</v>
      </c>
      <c r="N103" s="50">
        <v>0</v>
      </c>
      <c r="O103" s="15">
        <f t="shared" si="35"/>
        <v>7</v>
      </c>
      <c r="P103" s="15">
        <f t="shared" si="36"/>
        <v>10</v>
      </c>
      <c r="R103" s="8"/>
      <c r="T103"/>
    </row>
    <row r="104" spans="2:20" ht="23.1" customHeight="1" x14ac:dyDescent="0.25">
      <c r="B104" s="47" t="s">
        <v>144</v>
      </c>
      <c r="C104" s="50">
        <v>2</v>
      </c>
      <c r="D104" s="50">
        <v>0</v>
      </c>
      <c r="E104" s="50">
        <v>0</v>
      </c>
      <c r="F104" s="50">
        <v>2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1</v>
      </c>
      <c r="M104" s="50">
        <v>2</v>
      </c>
      <c r="N104" s="50">
        <v>0</v>
      </c>
      <c r="O104" s="15">
        <f t="shared" si="35"/>
        <v>5</v>
      </c>
      <c r="P104" s="15">
        <f t="shared" si="36"/>
        <v>7</v>
      </c>
      <c r="R104" s="8"/>
      <c r="T104"/>
    </row>
    <row r="105" spans="2:20" ht="23.1" customHeight="1" x14ac:dyDescent="0.25">
      <c r="B105" s="45" t="s">
        <v>145</v>
      </c>
      <c r="C105" s="50">
        <v>4</v>
      </c>
      <c r="D105" s="50">
        <v>0</v>
      </c>
      <c r="E105" s="50">
        <v>1</v>
      </c>
      <c r="F105" s="50">
        <v>3</v>
      </c>
      <c r="G105" s="50">
        <v>0</v>
      </c>
      <c r="H105" s="50">
        <v>0</v>
      </c>
      <c r="I105" s="50">
        <v>0</v>
      </c>
      <c r="J105" s="50">
        <v>0</v>
      </c>
      <c r="K105" s="50">
        <v>1</v>
      </c>
      <c r="L105" s="50">
        <v>2</v>
      </c>
      <c r="M105" s="50">
        <v>4</v>
      </c>
      <c r="N105" s="50">
        <v>0</v>
      </c>
      <c r="O105" s="15">
        <f t="shared" si="35"/>
        <v>11</v>
      </c>
      <c r="P105" s="15">
        <f t="shared" si="36"/>
        <v>15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370</v>
      </c>
      <c r="D106" s="16">
        <f t="shared" ref="D106:P106" si="37">SUM(D10:D105)</f>
        <v>116</v>
      </c>
      <c r="E106" s="16">
        <f t="shared" si="37"/>
        <v>177</v>
      </c>
      <c r="F106" s="16">
        <f t="shared" si="37"/>
        <v>237</v>
      </c>
      <c r="G106" s="16">
        <f t="shared" si="37"/>
        <v>16</v>
      </c>
      <c r="H106" s="16">
        <f t="shared" si="37"/>
        <v>16</v>
      </c>
      <c r="I106" s="16">
        <f t="shared" si="37"/>
        <v>71</v>
      </c>
      <c r="J106" s="16">
        <f t="shared" si="37"/>
        <v>99</v>
      </c>
      <c r="K106" s="16">
        <f t="shared" si="37"/>
        <v>177</v>
      </c>
      <c r="L106" s="16">
        <f t="shared" si="37"/>
        <v>65</v>
      </c>
      <c r="M106" s="16">
        <f t="shared" si="37"/>
        <v>2300</v>
      </c>
      <c r="N106" s="16">
        <f t="shared" si="37"/>
        <v>0</v>
      </c>
      <c r="O106" s="16">
        <f t="shared" si="37"/>
        <v>1344</v>
      </c>
      <c r="P106" s="16">
        <f t="shared" si="37"/>
        <v>3644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0.10153677277716795</v>
      </c>
      <c r="D107" s="43">
        <f t="shared" si="38"/>
        <v>3.1833150384193196E-2</v>
      </c>
      <c r="E107" s="43">
        <f t="shared" si="38"/>
        <v>4.8572996706915478E-2</v>
      </c>
      <c r="F107" s="43">
        <f t="shared" si="38"/>
        <v>6.5038419319429205E-2</v>
      </c>
      <c r="G107" s="43">
        <f t="shared" si="38"/>
        <v>4.3907793633369925E-3</v>
      </c>
      <c r="H107" s="43">
        <f t="shared" si="38"/>
        <v>4.3907793633369925E-3</v>
      </c>
      <c r="I107" s="43">
        <f t="shared" si="38"/>
        <v>1.9484083424807903E-2</v>
      </c>
      <c r="J107" s="43">
        <f t="shared" si="38"/>
        <v>2.7167947310647641E-2</v>
      </c>
      <c r="K107" s="43">
        <f t="shared" si="38"/>
        <v>4.8572996706915478E-2</v>
      </c>
      <c r="L107" s="43">
        <f t="shared" si="38"/>
        <v>1.7837541163556531E-2</v>
      </c>
      <c r="M107" s="43">
        <f t="shared" si="38"/>
        <v>0.63117453347969266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0.27529761904761907</v>
      </c>
      <c r="D108" s="44">
        <f t="shared" ref="D108:N108" si="39">D106/$O$106</f>
        <v>8.6309523809523808E-2</v>
      </c>
      <c r="E108" s="44">
        <f t="shared" si="39"/>
        <v>0.13169642857142858</v>
      </c>
      <c r="F108" s="44">
        <f t="shared" si="39"/>
        <v>0.17633928571428573</v>
      </c>
      <c r="G108" s="44">
        <f t="shared" si="39"/>
        <v>1.1904761904761904E-2</v>
      </c>
      <c r="H108" s="44">
        <f t="shared" si="39"/>
        <v>1.1904761904761904E-2</v>
      </c>
      <c r="I108" s="44">
        <f t="shared" si="39"/>
        <v>5.2827380952380952E-2</v>
      </c>
      <c r="J108" s="44">
        <f t="shared" si="39"/>
        <v>7.3660714285714288E-2</v>
      </c>
      <c r="K108" s="44">
        <f t="shared" si="39"/>
        <v>0.13169642857142858</v>
      </c>
      <c r="L108" s="44">
        <f t="shared" si="39"/>
        <v>4.836309523809524E-2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B1:AF174"/>
  <sheetViews>
    <sheetView view="pageBreakPreview" topLeftCell="A43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'09.09 Ishaka-Katungulu'!C3:G3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56" t="str">
        <f>'07.09. Katungulu-Ishaka-24h'!G5:H5</f>
        <v>Rubirizi</v>
      </c>
      <c r="H5" s="57"/>
      <c r="I5" s="14"/>
      <c r="J5" s="2" t="s">
        <v>5</v>
      </c>
      <c r="K5" s="56" t="str">
        <f>'07.09. Katungulu-Ishaka-24h'!K5:L5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'09.09 Ishaka-Katungulu'!D6:E6</f>
        <v>Ishaka</v>
      </c>
      <c r="E6" s="57"/>
      <c r="F6" s="2" t="s">
        <v>2</v>
      </c>
      <c r="G6" s="56" t="str">
        <f>'09.09 Ishaka-Katungulu'!G6:H6</f>
        <v>Katungulu</v>
      </c>
      <c r="H6" s="57"/>
      <c r="J6" s="2" t="s">
        <v>21</v>
      </c>
      <c r="K6" s="56" t="str">
        <f>'07.09. Katungulu-Ishaka-24h'!K6:L6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f>ROUND((0.4*E10),0)</f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73" si="0">SUM(C10:L10,N10)</f>
        <v>3</v>
      </c>
      <c r="P10" s="15">
        <f t="shared" ref="P10:P73" si="1">SUM(C10:N10)</f>
        <v>11</v>
      </c>
      <c r="R10" s="1" t="s">
        <v>6</v>
      </c>
      <c r="S10" s="17">
        <f t="shared" ref="S10:AF10" si="2">SUM(C10:C13)</f>
        <v>8</v>
      </c>
      <c r="T10" s="17">
        <f t="shared" si="2"/>
        <v>1</v>
      </c>
      <c r="U10" s="17">
        <f t="shared" si="2"/>
        <v>5</v>
      </c>
      <c r="V10" s="17">
        <f t="shared" si="2"/>
        <v>6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3</v>
      </c>
      <c r="AA10" s="17">
        <f t="shared" si="2"/>
        <v>1</v>
      </c>
      <c r="AB10" s="17">
        <f t="shared" si="2"/>
        <v>2</v>
      </c>
      <c r="AC10" s="17">
        <f t="shared" si="2"/>
        <v>123</v>
      </c>
      <c r="AD10" s="17">
        <f t="shared" si="2"/>
        <v>0</v>
      </c>
      <c r="AE10" s="31">
        <f t="shared" si="2"/>
        <v>26</v>
      </c>
      <c r="AF10" s="31">
        <f t="shared" si="2"/>
        <v>149</v>
      </c>
    </row>
    <row r="11" spans="2:32" s="6" customFormat="1" ht="23.1" customHeight="1" x14ac:dyDescent="0.25">
      <c r="B11" s="45" t="s">
        <v>38</v>
      </c>
      <c r="C11" s="50">
        <v>6</v>
      </c>
      <c r="D11" s="50">
        <f t="shared" ref="D11:D74" si="3">ROUND((0.4*E11),0)</f>
        <v>1</v>
      </c>
      <c r="E11" s="50">
        <v>3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</v>
      </c>
      <c r="M11" s="50">
        <v>21</v>
      </c>
      <c r="N11" s="50">
        <v>0</v>
      </c>
      <c r="O11" s="15">
        <f t="shared" si="0"/>
        <v>11</v>
      </c>
      <c r="P11" s="15">
        <f t="shared" si="1"/>
        <v>32</v>
      </c>
      <c r="R11" s="1" t="s">
        <v>7</v>
      </c>
      <c r="S11" s="17">
        <f t="shared" ref="S11:AF11" si="4">SUM(C14:C17)</f>
        <v>14</v>
      </c>
      <c r="T11" s="17">
        <f t="shared" si="4"/>
        <v>3</v>
      </c>
      <c r="U11" s="17">
        <f t="shared" si="4"/>
        <v>8</v>
      </c>
      <c r="V11" s="17">
        <f t="shared" si="4"/>
        <v>11</v>
      </c>
      <c r="W11" s="17">
        <f t="shared" si="4"/>
        <v>0</v>
      </c>
      <c r="X11" s="17">
        <f t="shared" si="4"/>
        <v>0</v>
      </c>
      <c r="Y11" s="17">
        <f t="shared" si="4"/>
        <v>1</v>
      </c>
      <c r="Z11" s="17">
        <f t="shared" si="4"/>
        <v>7</v>
      </c>
      <c r="AA11" s="17">
        <f t="shared" si="4"/>
        <v>20</v>
      </c>
      <c r="AB11" s="17">
        <f t="shared" si="4"/>
        <v>7</v>
      </c>
      <c r="AC11" s="17">
        <f t="shared" si="4"/>
        <v>298</v>
      </c>
      <c r="AD11" s="17">
        <f t="shared" si="4"/>
        <v>0</v>
      </c>
      <c r="AE11" s="31">
        <f t="shared" si="4"/>
        <v>71</v>
      </c>
      <c r="AF11" s="31">
        <f t="shared" si="4"/>
        <v>369</v>
      </c>
    </row>
    <row r="12" spans="2:32" ht="23.1" customHeight="1" x14ac:dyDescent="0.25">
      <c r="B12" s="45" t="s">
        <v>39</v>
      </c>
      <c r="C12" s="50">
        <v>0</v>
      </c>
      <c r="D12" s="50">
        <f t="shared" si="3"/>
        <v>0</v>
      </c>
      <c r="E12" s="50">
        <v>0</v>
      </c>
      <c r="F12" s="50">
        <v>2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27</v>
      </c>
      <c r="N12" s="50">
        <v>0</v>
      </c>
      <c r="O12" s="15">
        <f t="shared" si="0"/>
        <v>3</v>
      </c>
      <c r="P12" s="15">
        <f t="shared" si="1"/>
        <v>30</v>
      </c>
      <c r="R12" s="1" t="s">
        <v>8</v>
      </c>
      <c r="S12" s="17">
        <f t="shared" ref="S12:AF12" si="5">SUM(C18:C21)</f>
        <v>23</v>
      </c>
      <c r="T12" s="17">
        <f t="shared" si="5"/>
        <v>2</v>
      </c>
      <c r="U12" s="17">
        <f t="shared" si="5"/>
        <v>7</v>
      </c>
      <c r="V12" s="17">
        <f t="shared" si="5"/>
        <v>7</v>
      </c>
      <c r="W12" s="17">
        <f t="shared" si="5"/>
        <v>0</v>
      </c>
      <c r="X12" s="17">
        <f t="shared" si="5"/>
        <v>3</v>
      </c>
      <c r="Y12" s="17">
        <f t="shared" si="5"/>
        <v>2</v>
      </c>
      <c r="Z12" s="17">
        <f t="shared" si="5"/>
        <v>6</v>
      </c>
      <c r="AA12" s="17">
        <f t="shared" si="5"/>
        <v>10</v>
      </c>
      <c r="AB12" s="17">
        <f t="shared" si="5"/>
        <v>1</v>
      </c>
      <c r="AC12" s="17">
        <f t="shared" si="5"/>
        <v>250</v>
      </c>
      <c r="AD12" s="17">
        <f t="shared" si="5"/>
        <v>0</v>
      </c>
      <c r="AE12" s="31">
        <f t="shared" si="5"/>
        <v>61</v>
      </c>
      <c r="AF12" s="31">
        <f t="shared" si="5"/>
        <v>311</v>
      </c>
    </row>
    <row r="13" spans="2:32" ht="23.1" customHeight="1" x14ac:dyDescent="0.25">
      <c r="B13" s="45" t="s">
        <v>40</v>
      </c>
      <c r="C13" s="50">
        <v>0</v>
      </c>
      <c r="D13" s="50">
        <f t="shared" si="3"/>
        <v>0</v>
      </c>
      <c r="E13" s="50">
        <v>1</v>
      </c>
      <c r="F13" s="50">
        <v>4</v>
      </c>
      <c r="G13" s="50">
        <v>0</v>
      </c>
      <c r="H13" s="50">
        <v>0</v>
      </c>
      <c r="I13" s="50">
        <v>0</v>
      </c>
      <c r="J13" s="50">
        <v>2</v>
      </c>
      <c r="K13" s="50">
        <v>1</v>
      </c>
      <c r="L13" s="50">
        <v>1</v>
      </c>
      <c r="M13" s="50">
        <v>67</v>
      </c>
      <c r="N13" s="50">
        <v>0</v>
      </c>
      <c r="O13" s="15">
        <f t="shared" si="0"/>
        <v>9</v>
      </c>
      <c r="P13" s="15">
        <f t="shared" si="1"/>
        <v>76</v>
      </c>
      <c r="R13" s="1" t="s">
        <v>9</v>
      </c>
      <c r="S13" s="17">
        <f t="shared" ref="S13:AF13" si="6">SUM(C22:C25)</f>
        <v>22</v>
      </c>
      <c r="T13" s="17">
        <f t="shared" si="6"/>
        <v>10</v>
      </c>
      <c r="U13" s="17">
        <f t="shared" si="6"/>
        <v>25</v>
      </c>
      <c r="V13" s="17">
        <f t="shared" si="6"/>
        <v>11</v>
      </c>
      <c r="W13" s="17">
        <f t="shared" si="6"/>
        <v>0</v>
      </c>
      <c r="X13" s="17">
        <f t="shared" si="6"/>
        <v>0</v>
      </c>
      <c r="Y13" s="17">
        <f t="shared" si="6"/>
        <v>0</v>
      </c>
      <c r="Z13" s="17">
        <f t="shared" si="6"/>
        <v>8</v>
      </c>
      <c r="AA13" s="17">
        <f t="shared" si="6"/>
        <v>9</v>
      </c>
      <c r="AB13" s="17">
        <f t="shared" si="6"/>
        <v>3</v>
      </c>
      <c r="AC13" s="17">
        <f t="shared" si="6"/>
        <v>233</v>
      </c>
      <c r="AD13" s="17">
        <f t="shared" si="6"/>
        <v>0</v>
      </c>
      <c r="AE13" s="31">
        <f t="shared" si="6"/>
        <v>88</v>
      </c>
      <c r="AF13" s="31">
        <f t="shared" si="6"/>
        <v>321</v>
      </c>
    </row>
    <row r="14" spans="2:32" ht="23.1" customHeight="1" x14ac:dyDescent="0.25">
      <c r="B14" s="45" t="s">
        <v>41</v>
      </c>
      <c r="C14" s="50">
        <v>2</v>
      </c>
      <c r="D14" s="50">
        <f t="shared" si="3"/>
        <v>0</v>
      </c>
      <c r="E14" s="50">
        <v>0</v>
      </c>
      <c r="F14" s="50">
        <v>2</v>
      </c>
      <c r="G14" s="50">
        <v>0</v>
      </c>
      <c r="H14" s="50">
        <v>0</v>
      </c>
      <c r="I14" s="50">
        <v>0</v>
      </c>
      <c r="J14" s="50">
        <v>2</v>
      </c>
      <c r="K14" s="50">
        <v>4</v>
      </c>
      <c r="L14" s="50">
        <v>1</v>
      </c>
      <c r="M14" s="50">
        <v>41</v>
      </c>
      <c r="N14" s="50">
        <v>0</v>
      </c>
      <c r="O14" s="15">
        <f t="shared" si="0"/>
        <v>11</v>
      </c>
      <c r="P14" s="15">
        <f t="shared" si="1"/>
        <v>52</v>
      </c>
      <c r="R14" s="1" t="s">
        <v>10</v>
      </c>
      <c r="S14" s="17">
        <f t="shared" ref="S14:AF14" si="7">SUM(C26:C29)</f>
        <v>19</v>
      </c>
      <c r="T14" s="17">
        <f t="shared" si="7"/>
        <v>7</v>
      </c>
      <c r="U14" s="17">
        <f t="shared" si="7"/>
        <v>18</v>
      </c>
      <c r="V14" s="17">
        <f t="shared" si="7"/>
        <v>8</v>
      </c>
      <c r="W14" s="17">
        <f t="shared" si="7"/>
        <v>0</v>
      </c>
      <c r="X14" s="17">
        <f t="shared" si="7"/>
        <v>0</v>
      </c>
      <c r="Y14" s="17">
        <f t="shared" si="7"/>
        <v>2</v>
      </c>
      <c r="Z14" s="17">
        <f t="shared" si="7"/>
        <v>2</v>
      </c>
      <c r="AA14" s="17">
        <f t="shared" si="7"/>
        <v>0</v>
      </c>
      <c r="AB14" s="17">
        <f t="shared" si="7"/>
        <v>5</v>
      </c>
      <c r="AC14" s="17">
        <f t="shared" si="7"/>
        <v>229</v>
      </c>
      <c r="AD14" s="17">
        <f t="shared" si="7"/>
        <v>0</v>
      </c>
      <c r="AE14" s="31">
        <f t="shared" si="7"/>
        <v>61</v>
      </c>
      <c r="AF14" s="31">
        <f t="shared" si="7"/>
        <v>290</v>
      </c>
    </row>
    <row r="15" spans="2:32" ht="23.1" customHeight="1" x14ac:dyDescent="0.25">
      <c r="B15" s="45" t="s">
        <v>42</v>
      </c>
      <c r="C15" s="50">
        <v>6</v>
      </c>
      <c r="D15" s="50">
        <f t="shared" si="3"/>
        <v>0</v>
      </c>
      <c r="E15" s="50">
        <v>1</v>
      </c>
      <c r="F15" s="50">
        <v>5</v>
      </c>
      <c r="G15" s="50">
        <v>0</v>
      </c>
      <c r="H15" s="50">
        <v>0</v>
      </c>
      <c r="I15" s="50">
        <v>0</v>
      </c>
      <c r="J15" s="50">
        <v>4</v>
      </c>
      <c r="K15" s="50">
        <v>9</v>
      </c>
      <c r="L15" s="50">
        <v>2</v>
      </c>
      <c r="M15" s="50">
        <v>103</v>
      </c>
      <c r="N15" s="50">
        <v>0</v>
      </c>
      <c r="O15" s="15">
        <f t="shared" si="0"/>
        <v>27</v>
      </c>
      <c r="P15" s="15">
        <f t="shared" si="1"/>
        <v>130</v>
      </c>
      <c r="R15" s="1" t="s">
        <v>11</v>
      </c>
      <c r="S15" s="17">
        <f t="shared" ref="S15:AF15" si="8">SUM(C30:C33)</f>
        <v>27</v>
      </c>
      <c r="T15" s="17">
        <f t="shared" si="8"/>
        <v>7</v>
      </c>
      <c r="U15" s="17">
        <f t="shared" si="8"/>
        <v>19</v>
      </c>
      <c r="V15" s="17">
        <f t="shared" si="8"/>
        <v>17</v>
      </c>
      <c r="W15" s="17">
        <f t="shared" si="8"/>
        <v>0</v>
      </c>
      <c r="X15" s="17">
        <f t="shared" si="8"/>
        <v>0</v>
      </c>
      <c r="Y15" s="17">
        <f t="shared" si="8"/>
        <v>4</v>
      </c>
      <c r="Z15" s="17">
        <f t="shared" si="8"/>
        <v>2</v>
      </c>
      <c r="AA15" s="17">
        <f t="shared" si="8"/>
        <v>1</v>
      </c>
      <c r="AB15" s="17">
        <f t="shared" si="8"/>
        <v>6</v>
      </c>
      <c r="AC15" s="17">
        <f t="shared" si="8"/>
        <v>268</v>
      </c>
      <c r="AD15" s="17">
        <f t="shared" si="8"/>
        <v>0</v>
      </c>
      <c r="AE15" s="31">
        <f t="shared" si="8"/>
        <v>83</v>
      </c>
      <c r="AF15" s="31">
        <f t="shared" si="8"/>
        <v>351</v>
      </c>
    </row>
    <row r="16" spans="2:32" ht="23.1" customHeight="1" x14ac:dyDescent="0.25">
      <c r="B16" s="45" t="s">
        <v>43</v>
      </c>
      <c r="C16" s="50">
        <v>2</v>
      </c>
      <c r="D16" s="50">
        <f t="shared" si="3"/>
        <v>1</v>
      </c>
      <c r="E16" s="50">
        <v>2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2</v>
      </c>
      <c r="L16" s="50">
        <v>1</v>
      </c>
      <c r="M16" s="50">
        <v>44</v>
      </c>
      <c r="N16" s="50">
        <v>0</v>
      </c>
      <c r="O16" s="15">
        <f t="shared" si="0"/>
        <v>9</v>
      </c>
      <c r="P16" s="15">
        <f t="shared" si="1"/>
        <v>53</v>
      </c>
      <c r="R16" s="1" t="s">
        <v>12</v>
      </c>
      <c r="S16" s="17">
        <f t="shared" ref="S16:AF16" si="9">SUM(C34:C37)</f>
        <v>38</v>
      </c>
      <c r="T16" s="17">
        <f t="shared" si="9"/>
        <v>3</v>
      </c>
      <c r="U16" s="17">
        <f t="shared" si="9"/>
        <v>9</v>
      </c>
      <c r="V16" s="17">
        <f t="shared" si="9"/>
        <v>12</v>
      </c>
      <c r="W16" s="17">
        <f t="shared" si="9"/>
        <v>0</v>
      </c>
      <c r="X16" s="17">
        <f t="shared" si="9"/>
        <v>1</v>
      </c>
      <c r="Y16" s="17">
        <f t="shared" si="9"/>
        <v>1</v>
      </c>
      <c r="Z16" s="17">
        <f t="shared" si="9"/>
        <v>11</v>
      </c>
      <c r="AA16" s="17">
        <f t="shared" si="9"/>
        <v>6</v>
      </c>
      <c r="AB16" s="17">
        <f t="shared" si="9"/>
        <v>2</v>
      </c>
      <c r="AC16" s="17">
        <f t="shared" si="9"/>
        <v>327</v>
      </c>
      <c r="AD16" s="17">
        <f t="shared" si="9"/>
        <v>0</v>
      </c>
      <c r="AE16" s="31">
        <f t="shared" si="9"/>
        <v>83</v>
      </c>
      <c r="AF16" s="31">
        <f t="shared" si="9"/>
        <v>410</v>
      </c>
    </row>
    <row r="17" spans="2:32" ht="23.1" customHeight="1" x14ac:dyDescent="0.25">
      <c r="B17" s="45" t="s">
        <v>44</v>
      </c>
      <c r="C17" s="50">
        <v>4</v>
      </c>
      <c r="D17" s="50">
        <f t="shared" si="3"/>
        <v>2</v>
      </c>
      <c r="E17" s="50">
        <v>5</v>
      </c>
      <c r="F17" s="50">
        <v>3</v>
      </c>
      <c r="G17" s="50">
        <v>0</v>
      </c>
      <c r="H17" s="50">
        <v>0</v>
      </c>
      <c r="I17" s="50">
        <v>1</v>
      </c>
      <c r="J17" s="50">
        <v>1</v>
      </c>
      <c r="K17" s="50">
        <v>5</v>
      </c>
      <c r="L17" s="50">
        <v>3</v>
      </c>
      <c r="M17" s="50">
        <v>110</v>
      </c>
      <c r="N17" s="50">
        <v>0</v>
      </c>
      <c r="O17" s="15">
        <f t="shared" si="0"/>
        <v>24</v>
      </c>
      <c r="P17" s="15">
        <f t="shared" si="1"/>
        <v>134</v>
      </c>
      <c r="R17" s="1" t="s">
        <v>13</v>
      </c>
      <c r="S17" s="17">
        <f t="shared" ref="S17:AF17" si="10">SUM(C38:C41)</f>
        <v>11</v>
      </c>
      <c r="T17" s="17">
        <f t="shared" si="10"/>
        <v>2</v>
      </c>
      <c r="U17" s="17">
        <f t="shared" si="10"/>
        <v>7</v>
      </c>
      <c r="V17" s="17">
        <f t="shared" si="10"/>
        <v>14</v>
      </c>
      <c r="W17" s="17">
        <f t="shared" si="10"/>
        <v>0</v>
      </c>
      <c r="X17" s="17">
        <f t="shared" si="10"/>
        <v>0</v>
      </c>
      <c r="Y17" s="17">
        <f t="shared" si="10"/>
        <v>4</v>
      </c>
      <c r="Z17" s="17">
        <f t="shared" si="10"/>
        <v>2</v>
      </c>
      <c r="AA17" s="17">
        <f t="shared" si="10"/>
        <v>4</v>
      </c>
      <c r="AB17" s="17">
        <f t="shared" si="10"/>
        <v>7</v>
      </c>
      <c r="AC17" s="17">
        <f t="shared" si="10"/>
        <v>202</v>
      </c>
      <c r="AD17" s="17">
        <f t="shared" si="10"/>
        <v>0</v>
      </c>
      <c r="AE17" s="31">
        <f t="shared" si="10"/>
        <v>51</v>
      </c>
      <c r="AF17" s="31">
        <f t="shared" si="10"/>
        <v>253</v>
      </c>
    </row>
    <row r="18" spans="2:32" ht="23.1" customHeight="1" x14ac:dyDescent="0.25">
      <c r="B18" s="45" t="s">
        <v>45</v>
      </c>
      <c r="C18" s="50">
        <v>4</v>
      </c>
      <c r="D18" s="50">
        <f t="shared" si="3"/>
        <v>0</v>
      </c>
      <c r="E18" s="50">
        <v>1</v>
      </c>
      <c r="F18" s="50">
        <v>2</v>
      </c>
      <c r="G18" s="50">
        <v>0</v>
      </c>
      <c r="H18" s="50">
        <v>1</v>
      </c>
      <c r="I18" s="50">
        <v>0</v>
      </c>
      <c r="J18" s="50">
        <v>1</v>
      </c>
      <c r="K18" s="50">
        <v>1</v>
      </c>
      <c r="L18" s="50">
        <v>0</v>
      </c>
      <c r="M18" s="50">
        <v>38</v>
      </c>
      <c r="N18" s="50">
        <v>0</v>
      </c>
      <c r="O18" s="15">
        <f t="shared" si="0"/>
        <v>10</v>
      </c>
      <c r="P18" s="15">
        <f t="shared" si="1"/>
        <v>48</v>
      </c>
      <c r="R18" s="1" t="s">
        <v>14</v>
      </c>
      <c r="S18" s="17">
        <f t="shared" ref="S18:AF18" si="11">SUM(C42:C45)</f>
        <v>21</v>
      </c>
      <c r="T18" s="17">
        <f t="shared" si="11"/>
        <v>6</v>
      </c>
      <c r="U18" s="17">
        <f t="shared" si="11"/>
        <v>13</v>
      </c>
      <c r="V18" s="17">
        <f t="shared" si="11"/>
        <v>13</v>
      </c>
      <c r="W18" s="17">
        <f t="shared" si="11"/>
        <v>0</v>
      </c>
      <c r="X18" s="17">
        <f t="shared" si="11"/>
        <v>0</v>
      </c>
      <c r="Y18" s="17">
        <f t="shared" si="11"/>
        <v>3</v>
      </c>
      <c r="Z18" s="17">
        <f t="shared" si="11"/>
        <v>7</v>
      </c>
      <c r="AA18" s="17">
        <f t="shared" si="11"/>
        <v>13</v>
      </c>
      <c r="AB18" s="17">
        <f t="shared" si="11"/>
        <v>1</v>
      </c>
      <c r="AC18" s="17">
        <f t="shared" si="11"/>
        <v>239</v>
      </c>
      <c r="AD18" s="17">
        <f t="shared" si="11"/>
        <v>0</v>
      </c>
      <c r="AE18" s="31">
        <f t="shared" si="11"/>
        <v>77</v>
      </c>
      <c r="AF18" s="31">
        <f t="shared" si="11"/>
        <v>316</v>
      </c>
    </row>
    <row r="19" spans="2:32" ht="23.1" customHeight="1" x14ac:dyDescent="0.25">
      <c r="B19" s="45" t="s">
        <v>46</v>
      </c>
      <c r="C19" s="50">
        <v>11</v>
      </c>
      <c r="D19" s="50">
        <f t="shared" si="3"/>
        <v>1</v>
      </c>
      <c r="E19" s="50">
        <v>2</v>
      </c>
      <c r="F19" s="50">
        <v>4</v>
      </c>
      <c r="G19" s="50">
        <v>0</v>
      </c>
      <c r="H19" s="50">
        <v>2</v>
      </c>
      <c r="I19" s="50">
        <v>1</v>
      </c>
      <c r="J19" s="50">
        <v>2</v>
      </c>
      <c r="K19" s="50">
        <v>3</v>
      </c>
      <c r="L19" s="50">
        <v>0</v>
      </c>
      <c r="M19" s="50">
        <v>94</v>
      </c>
      <c r="N19" s="50">
        <v>0</v>
      </c>
      <c r="O19" s="15">
        <f t="shared" si="0"/>
        <v>26</v>
      </c>
      <c r="P19" s="15">
        <f t="shared" si="1"/>
        <v>120</v>
      </c>
      <c r="R19" s="1" t="s">
        <v>15</v>
      </c>
      <c r="S19" s="17">
        <f t="shared" ref="S19:AF19" si="12">SUM(C46:C49)</f>
        <v>14</v>
      </c>
      <c r="T19" s="17">
        <f t="shared" si="12"/>
        <v>6</v>
      </c>
      <c r="U19" s="17">
        <f t="shared" si="12"/>
        <v>15</v>
      </c>
      <c r="V19" s="17">
        <f t="shared" si="12"/>
        <v>10</v>
      </c>
      <c r="W19" s="17">
        <f t="shared" si="12"/>
        <v>0</v>
      </c>
      <c r="X19" s="17">
        <f t="shared" si="12"/>
        <v>0</v>
      </c>
      <c r="Y19" s="17">
        <f t="shared" si="12"/>
        <v>1</v>
      </c>
      <c r="Z19" s="17">
        <f t="shared" si="12"/>
        <v>1</v>
      </c>
      <c r="AA19" s="17">
        <f t="shared" si="12"/>
        <v>3</v>
      </c>
      <c r="AB19" s="17">
        <f t="shared" si="12"/>
        <v>7</v>
      </c>
      <c r="AC19" s="17">
        <f t="shared" si="12"/>
        <v>206</v>
      </c>
      <c r="AD19" s="17">
        <f t="shared" si="12"/>
        <v>0</v>
      </c>
      <c r="AE19" s="31">
        <f t="shared" si="12"/>
        <v>57</v>
      </c>
      <c r="AF19" s="31">
        <f t="shared" si="12"/>
        <v>263</v>
      </c>
    </row>
    <row r="20" spans="2:32" ht="23.1" customHeight="1" x14ac:dyDescent="0.25">
      <c r="B20" s="45" t="s">
        <v>47</v>
      </c>
      <c r="C20" s="50">
        <v>2</v>
      </c>
      <c r="D20" s="50">
        <f t="shared" si="3"/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1</v>
      </c>
      <c r="K20" s="50">
        <v>2</v>
      </c>
      <c r="L20" s="50">
        <v>0</v>
      </c>
      <c r="M20" s="50">
        <v>34</v>
      </c>
      <c r="N20" s="50">
        <v>0</v>
      </c>
      <c r="O20" s="15">
        <f t="shared" si="0"/>
        <v>6</v>
      </c>
      <c r="P20" s="15">
        <f t="shared" si="1"/>
        <v>40</v>
      </c>
      <c r="R20" s="1" t="s">
        <v>16</v>
      </c>
      <c r="S20" s="17">
        <f t="shared" ref="S20:AF20" si="13">SUM(C50:C53)</f>
        <v>24</v>
      </c>
      <c r="T20" s="17">
        <f t="shared" si="13"/>
        <v>0</v>
      </c>
      <c r="U20" s="17">
        <f t="shared" si="13"/>
        <v>2</v>
      </c>
      <c r="V20" s="17">
        <f t="shared" si="13"/>
        <v>10</v>
      </c>
      <c r="W20" s="17">
        <f t="shared" si="13"/>
        <v>0</v>
      </c>
      <c r="X20" s="17">
        <f t="shared" si="13"/>
        <v>0</v>
      </c>
      <c r="Y20" s="17">
        <f t="shared" si="13"/>
        <v>4</v>
      </c>
      <c r="Z20" s="17">
        <f t="shared" si="13"/>
        <v>5</v>
      </c>
      <c r="AA20" s="17">
        <f t="shared" si="13"/>
        <v>8</v>
      </c>
      <c r="AB20" s="17">
        <f t="shared" si="13"/>
        <v>1</v>
      </c>
      <c r="AC20" s="17">
        <f t="shared" si="13"/>
        <v>290</v>
      </c>
      <c r="AD20" s="17">
        <f t="shared" si="13"/>
        <v>0</v>
      </c>
      <c r="AE20" s="31">
        <f t="shared" si="13"/>
        <v>54</v>
      </c>
      <c r="AF20" s="31">
        <f t="shared" si="13"/>
        <v>344</v>
      </c>
    </row>
    <row r="21" spans="2:32" ht="23.1" customHeight="1" x14ac:dyDescent="0.25">
      <c r="B21" s="45" t="s">
        <v>48</v>
      </c>
      <c r="C21" s="50">
        <v>6</v>
      </c>
      <c r="D21" s="50">
        <f t="shared" si="3"/>
        <v>1</v>
      </c>
      <c r="E21" s="50">
        <v>3</v>
      </c>
      <c r="F21" s="50">
        <v>1</v>
      </c>
      <c r="G21" s="50">
        <v>0</v>
      </c>
      <c r="H21" s="50">
        <v>0</v>
      </c>
      <c r="I21" s="50">
        <v>1</v>
      </c>
      <c r="J21" s="50">
        <v>2</v>
      </c>
      <c r="K21" s="50">
        <v>4</v>
      </c>
      <c r="L21" s="50">
        <v>1</v>
      </c>
      <c r="M21" s="50">
        <v>84</v>
      </c>
      <c r="N21" s="50">
        <v>0</v>
      </c>
      <c r="O21" s="15">
        <f t="shared" si="0"/>
        <v>19</v>
      </c>
      <c r="P21" s="15">
        <f t="shared" si="1"/>
        <v>103</v>
      </c>
      <c r="R21" s="36" t="s">
        <v>20</v>
      </c>
      <c r="S21" s="34">
        <f t="shared" ref="S21:AF21" si="14">SUM(C54:C57)</f>
        <v>20</v>
      </c>
      <c r="T21" s="17">
        <f t="shared" si="14"/>
        <v>6</v>
      </c>
      <c r="U21" s="17">
        <f t="shared" si="14"/>
        <v>13</v>
      </c>
      <c r="V21" s="17">
        <f t="shared" si="14"/>
        <v>14</v>
      </c>
      <c r="W21" s="17">
        <f t="shared" si="14"/>
        <v>0</v>
      </c>
      <c r="X21" s="17">
        <f t="shared" si="14"/>
        <v>1</v>
      </c>
      <c r="Y21" s="17">
        <f t="shared" si="14"/>
        <v>3</v>
      </c>
      <c r="Z21" s="17">
        <f t="shared" si="14"/>
        <v>4</v>
      </c>
      <c r="AA21" s="17">
        <f t="shared" si="14"/>
        <v>2</v>
      </c>
      <c r="AB21" s="17">
        <f t="shared" si="14"/>
        <v>4</v>
      </c>
      <c r="AC21" s="17">
        <f t="shared" si="14"/>
        <v>235</v>
      </c>
      <c r="AD21" s="17">
        <f t="shared" si="14"/>
        <v>0</v>
      </c>
      <c r="AE21" s="31">
        <f t="shared" si="14"/>
        <v>67</v>
      </c>
      <c r="AF21" s="31">
        <f t="shared" si="14"/>
        <v>302</v>
      </c>
    </row>
    <row r="22" spans="2:32" ht="23.1" customHeight="1" x14ac:dyDescent="0.25">
      <c r="B22" s="45" t="s">
        <v>49</v>
      </c>
      <c r="C22" s="50">
        <v>2</v>
      </c>
      <c r="D22" s="50">
        <f t="shared" si="3"/>
        <v>1</v>
      </c>
      <c r="E22" s="50">
        <v>3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2</v>
      </c>
      <c r="L22" s="50">
        <v>1</v>
      </c>
      <c r="M22" s="50">
        <v>32</v>
      </c>
      <c r="N22" s="50">
        <v>0</v>
      </c>
      <c r="O22" s="15">
        <f t="shared" si="0"/>
        <v>10</v>
      </c>
      <c r="P22" s="15">
        <f t="shared" si="1"/>
        <v>42</v>
      </c>
      <c r="R22" s="36" t="s">
        <v>146</v>
      </c>
      <c r="S22" s="34">
        <f>SUM(C58:C61)</f>
        <v>16</v>
      </c>
      <c r="T22" s="34">
        <f t="shared" ref="T22:AF22" si="15">SUM(D58:D61)</f>
        <v>14</v>
      </c>
      <c r="U22" s="34">
        <f t="shared" si="15"/>
        <v>36</v>
      </c>
      <c r="V22" s="34">
        <f t="shared" si="15"/>
        <v>6</v>
      </c>
      <c r="W22" s="34">
        <f t="shared" si="15"/>
        <v>0</v>
      </c>
      <c r="X22" s="34">
        <f t="shared" si="15"/>
        <v>0</v>
      </c>
      <c r="Y22" s="34">
        <f t="shared" si="15"/>
        <v>2</v>
      </c>
      <c r="Z22" s="34">
        <f t="shared" si="15"/>
        <v>0</v>
      </c>
      <c r="AA22" s="34">
        <f t="shared" si="15"/>
        <v>3</v>
      </c>
      <c r="AB22" s="34">
        <f t="shared" si="15"/>
        <v>5</v>
      </c>
      <c r="AC22" s="34">
        <f t="shared" si="15"/>
        <v>227</v>
      </c>
      <c r="AD22" s="34">
        <f t="shared" si="15"/>
        <v>0</v>
      </c>
      <c r="AE22" s="31">
        <f t="shared" si="15"/>
        <v>82</v>
      </c>
      <c r="AF22" s="31">
        <f t="shared" si="15"/>
        <v>309</v>
      </c>
    </row>
    <row r="23" spans="2:32" ht="23.1" customHeight="1" x14ac:dyDescent="0.25">
      <c r="B23" s="45" t="s">
        <v>50</v>
      </c>
      <c r="C23" s="50">
        <v>6</v>
      </c>
      <c r="D23" s="50">
        <f t="shared" si="3"/>
        <v>3</v>
      </c>
      <c r="E23" s="50">
        <v>8</v>
      </c>
      <c r="F23" s="50">
        <v>2</v>
      </c>
      <c r="G23" s="50">
        <v>0</v>
      </c>
      <c r="H23" s="50">
        <v>0</v>
      </c>
      <c r="I23" s="50">
        <v>0</v>
      </c>
      <c r="J23" s="50">
        <v>1</v>
      </c>
      <c r="K23" s="50">
        <v>4</v>
      </c>
      <c r="L23" s="50">
        <v>2</v>
      </c>
      <c r="M23" s="50">
        <v>81</v>
      </c>
      <c r="N23" s="50">
        <v>0</v>
      </c>
      <c r="O23" s="15">
        <f t="shared" si="0"/>
        <v>26</v>
      </c>
      <c r="P23" s="15">
        <f t="shared" si="1"/>
        <v>107</v>
      </c>
      <c r="R23" s="36" t="s">
        <v>147</v>
      </c>
      <c r="S23" s="34">
        <f>SUM(C62:C65)</f>
        <v>18</v>
      </c>
      <c r="T23" s="34">
        <f t="shared" ref="T23:AF23" si="16">SUM(D62:D65)</f>
        <v>4</v>
      </c>
      <c r="U23" s="34">
        <f t="shared" si="16"/>
        <v>11</v>
      </c>
      <c r="V23" s="34">
        <f t="shared" si="16"/>
        <v>9</v>
      </c>
      <c r="W23" s="34">
        <f t="shared" si="16"/>
        <v>1</v>
      </c>
      <c r="X23" s="34">
        <f t="shared" si="16"/>
        <v>0</v>
      </c>
      <c r="Y23" s="34">
        <f t="shared" si="16"/>
        <v>3</v>
      </c>
      <c r="Z23" s="34">
        <f t="shared" si="16"/>
        <v>4</v>
      </c>
      <c r="AA23" s="34">
        <f t="shared" si="16"/>
        <v>0</v>
      </c>
      <c r="AB23" s="34">
        <f t="shared" si="16"/>
        <v>0</v>
      </c>
      <c r="AC23" s="34">
        <f t="shared" si="16"/>
        <v>135</v>
      </c>
      <c r="AD23" s="34">
        <f t="shared" si="16"/>
        <v>0</v>
      </c>
      <c r="AE23" s="31">
        <f t="shared" si="16"/>
        <v>50</v>
      </c>
      <c r="AF23" s="31">
        <f t="shared" si="16"/>
        <v>185</v>
      </c>
    </row>
    <row r="24" spans="2:32" ht="23.1" customHeight="1" x14ac:dyDescent="0.25">
      <c r="B24" s="45" t="s">
        <v>51</v>
      </c>
      <c r="C24" s="50">
        <v>4</v>
      </c>
      <c r="D24" s="50">
        <f t="shared" si="3"/>
        <v>2</v>
      </c>
      <c r="E24" s="50">
        <v>4</v>
      </c>
      <c r="F24" s="50">
        <v>2</v>
      </c>
      <c r="G24" s="50">
        <v>0</v>
      </c>
      <c r="H24" s="50">
        <v>0</v>
      </c>
      <c r="I24" s="50">
        <v>0</v>
      </c>
      <c r="J24" s="50">
        <v>2</v>
      </c>
      <c r="K24" s="50">
        <v>1</v>
      </c>
      <c r="L24" s="50">
        <v>0</v>
      </c>
      <c r="M24" s="50">
        <v>34</v>
      </c>
      <c r="N24" s="50">
        <v>0</v>
      </c>
      <c r="O24" s="15">
        <f t="shared" si="0"/>
        <v>15</v>
      </c>
      <c r="P24" s="15">
        <f t="shared" si="1"/>
        <v>49</v>
      </c>
      <c r="R24" s="36" t="s">
        <v>148</v>
      </c>
      <c r="S24" s="34">
        <f>SUM(C66:C69)</f>
        <v>12</v>
      </c>
      <c r="T24" s="34">
        <f t="shared" ref="T24:AF24" si="17">SUM(D66:D69)</f>
        <v>7</v>
      </c>
      <c r="U24" s="34">
        <f t="shared" si="17"/>
        <v>17</v>
      </c>
      <c r="V24" s="34">
        <f t="shared" si="17"/>
        <v>9</v>
      </c>
      <c r="W24" s="34">
        <f t="shared" si="17"/>
        <v>0</v>
      </c>
      <c r="X24" s="34">
        <f t="shared" si="17"/>
        <v>0</v>
      </c>
      <c r="Y24" s="34">
        <f t="shared" si="17"/>
        <v>1</v>
      </c>
      <c r="Z24" s="34">
        <f t="shared" si="17"/>
        <v>0</v>
      </c>
      <c r="AA24" s="34">
        <f t="shared" si="17"/>
        <v>1</v>
      </c>
      <c r="AB24" s="34">
        <f t="shared" si="17"/>
        <v>1</v>
      </c>
      <c r="AC24" s="34">
        <f t="shared" si="17"/>
        <v>49</v>
      </c>
      <c r="AD24" s="34">
        <f t="shared" si="17"/>
        <v>0</v>
      </c>
      <c r="AE24" s="31">
        <f t="shared" si="17"/>
        <v>48</v>
      </c>
      <c r="AF24" s="31">
        <f t="shared" si="17"/>
        <v>97</v>
      </c>
    </row>
    <row r="25" spans="2:32" ht="23.1" customHeight="1" x14ac:dyDescent="0.25">
      <c r="B25" s="45" t="s">
        <v>52</v>
      </c>
      <c r="C25" s="50">
        <v>10</v>
      </c>
      <c r="D25" s="50">
        <f t="shared" si="3"/>
        <v>4</v>
      </c>
      <c r="E25" s="50">
        <v>10</v>
      </c>
      <c r="F25" s="50">
        <v>6</v>
      </c>
      <c r="G25" s="50">
        <v>0</v>
      </c>
      <c r="H25" s="50">
        <v>0</v>
      </c>
      <c r="I25" s="50">
        <v>0</v>
      </c>
      <c r="J25" s="50">
        <v>5</v>
      </c>
      <c r="K25" s="50">
        <v>2</v>
      </c>
      <c r="L25" s="50">
        <v>0</v>
      </c>
      <c r="M25" s="50">
        <v>86</v>
      </c>
      <c r="N25" s="50">
        <v>0</v>
      </c>
      <c r="O25" s="15">
        <f t="shared" si="0"/>
        <v>37</v>
      </c>
      <c r="P25" s="15">
        <f t="shared" si="1"/>
        <v>123</v>
      </c>
      <c r="R25" s="36" t="s">
        <v>149</v>
      </c>
      <c r="S25" s="34">
        <f>SUM(C70:C73)</f>
        <v>8</v>
      </c>
      <c r="T25" s="34">
        <f t="shared" ref="T25:AF25" si="18">SUM(D70:D73)</f>
        <v>7</v>
      </c>
      <c r="U25" s="34">
        <f t="shared" si="18"/>
        <v>16</v>
      </c>
      <c r="V25" s="34">
        <f t="shared" si="18"/>
        <v>7</v>
      </c>
      <c r="W25" s="34">
        <f t="shared" si="18"/>
        <v>1</v>
      </c>
      <c r="X25" s="34">
        <f t="shared" si="18"/>
        <v>1</v>
      </c>
      <c r="Y25" s="34">
        <f t="shared" si="18"/>
        <v>1</v>
      </c>
      <c r="Z25" s="34">
        <f t="shared" si="18"/>
        <v>3</v>
      </c>
      <c r="AA25" s="34">
        <f t="shared" si="18"/>
        <v>0</v>
      </c>
      <c r="AB25" s="34">
        <f t="shared" si="18"/>
        <v>0</v>
      </c>
      <c r="AC25" s="34">
        <f t="shared" si="18"/>
        <v>30</v>
      </c>
      <c r="AD25" s="34">
        <f t="shared" si="18"/>
        <v>0</v>
      </c>
      <c r="AE25" s="31">
        <f t="shared" si="18"/>
        <v>44</v>
      </c>
      <c r="AF25" s="31">
        <f t="shared" si="18"/>
        <v>74</v>
      </c>
    </row>
    <row r="26" spans="2:32" ht="23.1" customHeight="1" x14ac:dyDescent="0.25">
      <c r="B26" s="45" t="s">
        <v>53</v>
      </c>
      <c r="C26" s="50">
        <v>2</v>
      </c>
      <c r="D26" s="50">
        <f t="shared" si="3"/>
        <v>1</v>
      </c>
      <c r="E26" s="50">
        <v>3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1</v>
      </c>
      <c r="M26" s="50">
        <v>32</v>
      </c>
      <c r="N26" s="50">
        <v>0</v>
      </c>
      <c r="O26" s="15">
        <f t="shared" si="0"/>
        <v>8</v>
      </c>
      <c r="P26" s="15">
        <f t="shared" si="1"/>
        <v>40</v>
      </c>
      <c r="R26" s="36" t="s">
        <v>150</v>
      </c>
      <c r="S26" s="34">
        <f>SUM(C74:C77)</f>
        <v>4</v>
      </c>
      <c r="T26" s="34">
        <f t="shared" ref="T26:AF26" si="19">SUM(D74:D77)</f>
        <v>1</v>
      </c>
      <c r="U26" s="34">
        <f t="shared" si="19"/>
        <v>4</v>
      </c>
      <c r="V26" s="34">
        <f t="shared" si="19"/>
        <v>5</v>
      </c>
      <c r="W26" s="34">
        <f t="shared" si="19"/>
        <v>0</v>
      </c>
      <c r="X26" s="34">
        <f t="shared" si="19"/>
        <v>0</v>
      </c>
      <c r="Y26" s="34">
        <f t="shared" si="19"/>
        <v>0</v>
      </c>
      <c r="Z26" s="34">
        <f t="shared" si="19"/>
        <v>0</v>
      </c>
      <c r="AA26" s="34">
        <f t="shared" si="19"/>
        <v>4</v>
      </c>
      <c r="AB26" s="34">
        <f t="shared" si="19"/>
        <v>1</v>
      </c>
      <c r="AC26" s="34">
        <f t="shared" si="19"/>
        <v>16</v>
      </c>
      <c r="AD26" s="34">
        <f t="shared" si="19"/>
        <v>0</v>
      </c>
      <c r="AE26" s="31">
        <f t="shared" si="19"/>
        <v>19</v>
      </c>
      <c r="AF26" s="31">
        <f t="shared" si="19"/>
        <v>35</v>
      </c>
    </row>
    <row r="27" spans="2:32" ht="23.1" customHeight="1" x14ac:dyDescent="0.25">
      <c r="B27" s="45" t="s">
        <v>54</v>
      </c>
      <c r="C27" s="50">
        <v>6</v>
      </c>
      <c r="D27" s="50">
        <f t="shared" si="3"/>
        <v>3</v>
      </c>
      <c r="E27" s="50">
        <v>8</v>
      </c>
      <c r="F27" s="50">
        <v>3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3</v>
      </c>
      <c r="M27" s="50">
        <v>81</v>
      </c>
      <c r="N27" s="50">
        <v>0</v>
      </c>
      <c r="O27" s="15">
        <f t="shared" si="0"/>
        <v>25</v>
      </c>
      <c r="P27" s="15">
        <f t="shared" si="1"/>
        <v>106</v>
      </c>
      <c r="R27" s="36" t="s">
        <v>151</v>
      </c>
      <c r="S27" s="34">
        <f>SUM(C78:C81)</f>
        <v>1</v>
      </c>
      <c r="T27" s="34">
        <f t="shared" ref="T27:AF27" si="20">SUM(D78:D81)</f>
        <v>1</v>
      </c>
      <c r="U27" s="34">
        <f t="shared" si="20"/>
        <v>4</v>
      </c>
      <c r="V27" s="34">
        <f t="shared" si="20"/>
        <v>4</v>
      </c>
      <c r="W27" s="34">
        <f t="shared" si="20"/>
        <v>0</v>
      </c>
      <c r="X27" s="34">
        <f t="shared" si="20"/>
        <v>0</v>
      </c>
      <c r="Y27" s="34">
        <f t="shared" si="20"/>
        <v>3</v>
      </c>
      <c r="Z27" s="34">
        <f t="shared" si="20"/>
        <v>3</v>
      </c>
      <c r="AA27" s="34">
        <f t="shared" si="20"/>
        <v>0</v>
      </c>
      <c r="AB27" s="34">
        <f t="shared" si="20"/>
        <v>4</v>
      </c>
      <c r="AC27" s="34">
        <f t="shared" si="20"/>
        <v>5</v>
      </c>
      <c r="AD27" s="34">
        <f t="shared" si="20"/>
        <v>0</v>
      </c>
      <c r="AE27" s="31">
        <f t="shared" si="20"/>
        <v>20</v>
      </c>
      <c r="AF27" s="31">
        <f t="shared" si="20"/>
        <v>25</v>
      </c>
    </row>
    <row r="28" spans="2:32" ht="23.1" customHeight="1" x14ac:dyDescent="0.25">
      <c r="B28" s="45" t="s">
        <v>55</v>
      </c>
      <c r="C28" s="50">
        <v>3</v>
      </c>
      <c r="D28" s="50">
        <f t="shared" si="3"/>
        <v>1</v>
      </c>
      <c r="E28" s="50">
        <v>2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33</v>
      </c>
      <c r="N28" s="50">
        <v>0</v>
      </c>
      <c r="O28" s="15">
        <f t="shared" si="0"/>
        <v>7</v>
      </c>
      <c r="P28" s="15">
        <f t="shared" si="1"/>
        <v>40</v>
      </c>
      <c r="R28" s="36" t="s">
        <v>152</v>
      </c>
      <c r="S28" s="34">
        <f>SUM(C82:C85)</f>
        <v>2</v>
      </c>
      <c r="T28" s="34">
        <f t="shared" ref="T28:AF28" si="21">SUM(D82:D85)</f>
        <v>1</v>
      </c>
      <c r="U28" s="34">
        <f t="shared" si="21"/>
        <v>4</v>
      </c>
      <c r="V28" s="34">
        <f t="shared" si="21"/>
        <v>0</v>
      </c>
      <c r="W28" s="34">
        <f t="shared" si="21"/>
        <v>0</v>
      </c>
      <c r="X28" s="34">
        <f t="shared" si="21"/>
        <v>0</v>
      </c>
      <c r="Y28" s="34">
        <f t="shared" si="21"/>
        <v>0</v>
      </c>
      <c r="Z28" s="34">
        <f t="shared" si="21"/>
        <v>1</v>
      </c>
      <c r="AA28" s="34">
        <f t="shared" si="21"/>
        <v>0</v>
      </c>
      <c r="AB28" s="34">
        <f t="shared" si="21"/>
        <v>1</v>
      </c>
      <c r="AC28" s="34">
        <f t="shared" si="21"/>
        <v>6</v>
      </c>
      <c r="AD28" s="34">
        <f t="shared" si="21"/>
        <v>0</v>
      </c>
      <c r="AE28" s="31">
        <f t="shared" si="21"/>
        <v>9</v>
      </c>
      <c r="AF28" s="31">
        <f t="shared" si="21"/>
        <v>15</v>
      </c>
    </row>
    <row r="29" spans="2:32" ht="23.1" customHeight="1" x14ac:dyDescent="0.25">
      <c r="B29" s="45" t="s">
        <v>56</v>
      </c>
      <c r="C29" s="50">
        <v>8</v>
      </c>
      <c r="D29" s="50">
        <f t="shared" si="3"/>
        <v>2</v>
      </c>
      <c r="E29" s="50">
        <v>5</v>
      </c>
      <c r="F29" s="50">
        <v>3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1</v>
      </c>
      <c r="M29" s="50">
        <v>83</v>
      </c>
      <c r="N29" s="50">
        <v>0</v>
      </c>
      <c r="O29" s="15">
        <f t="shared" si="0"/>
        <v>21</v>
      </c>
      <c r="P29" s="15">
        <f t="shared" si="1"/>
        <v>104</v>
      </c>
      <c r="R29" s="36" t="s">
        <v>153</v>
      </c>
      <c r="S29" s="34">
        <f>SUM(C86:C89)</f>
        <v>0</v>
      </c>
      <c r="T29" s="34">
        <f t="shared" ref="T29:AF29" si="22">SUM(D86:D89)</f>
        <v>0</v>
      </c>
      <c r="U29" s="34">
        <f t="shared" si="22"/>
        <v>1</v>
      </c>
      <c r="V29" s="34">
        <f t="shared" si="22"/>
        <v>0</v>
      </c>
      <c r="W29" s="34">
        <f t="shared" si="22"/>
        <v>0</v>
      </c>
      <c r="X29" s="34">
        <f t="shared" si="22"/>
        <v>0</v>
      </c>
      <c r="Y29" s="34">
        <f t="shared" si="22"/>
        <v>0</v>
      </c>
      <c r="Z29" s="34">
        <f t="shared" si="22"/>
        <v>0</v>
      </c>
      <c r="AA29" s="34">
        <f t="shared" si="22"/>
        <v>1</v>
      </c>
      <c r="AB29" s="34">
        <f t="shared" si="22"/>
        <v>1</v>
      </c>
      <c r="AC29" s="34">
        <f t="shared" si="22"/>
        <v>0</v>
      </c>
      <c r="AD29" s="34">
        <f t="shared" si="22"/>
        <v>0</v>
      </c>
      <c r="AE29" s="31">
        <f t="shared" si="22"/>
        <v>3</v>
      </c>
      <c r="AF29" s="31">
        <f t="shared" si="22"/>
        <v>3</v>
      </c>
    </row>
    <row r="30" spans="2:32" ht="23.1" customHeight="1" x14ac:dyDescent="0.25">
      <c r="B30" s="45" t="s">
        <v>57</v>
      </c>
      <c r="C30" s="50">
        <v>4</v>
      </c>
      <c r="D30" s="50">
        <f t="shared" si="3"/>
        <v>1</v>
      </c>
      <c r="E30" s="50">
        <v>2</v>
      </c>
      <c r="F30" s="50">
        <v>3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1</v>
      </c>
      <c r="M30" s="50">
        <v>42</v>
      </c>
      <c r="N30" s="50">
        <v>0</v>
      </c>
      <c r="O30" s="15">
        <f t="shared" si="0"/>
        <v>12</v>
      </c>
      <c r="P30" s="15">
        <f t="shared" si="1"/>
        <v>54</v>
      </c>
      <c r="R30" s="36" t="s">
        <v>154</v>
      </c>
      <c r="S30" s="34">
        <f>SUM(C90:C93)</f>
        <v>0</v>
      </c>
      <c r="T30" s="34">
        <f t="shared" ref="T30:AF30" si="23">SUM(D90:D93)</f>
        <v>0</v>
      </c>
      <c r="U30" s="34">
        <f t="shared" si="23"/>
        <v>0</v>
      </c>
      <c r="V30" s="34">
        <f t="shared" si="23"/>
        <v>0</v>
      </c>
      <c r="W30" s="34">
        <f t="shared" si="23"/>
        <v>0</v>
      </c>
      <c r="X30" s="34">
        <f t="shared" si="23"/>
        <v>0</v>
      </c>
      <c r="Y30" s="34">
        <f t="shared" si="23"/>
        <v>0</v>
      </c>
      <c r="Z30" s="34">
        <f t="shared" si="23"/>
        <v>0</v>
      </c>
      <c r="AA30" s="34">
        <f t="shared" si="23"/>
        <v>0</v>
      </c>
      <c r="AB30" s="34">
        <f t="shared" si="23"/>
        <v>3</v>
      </c>
      <c r="AC30" s="34">
        <f t="shared" si="23"/>
        <v>0</v>
      </c>
      <c r="AD30" s="34">
        <f t="shared" si="23"/>
        <v>0</v>
      </c>
      <c r="AE30" s="31">
        <f t="shared" si="23"/>
        <v>3</v>
      </c>
      <c r="AF30" s="31">
        <f t="shared" si="23"/>
        <v>3</v>
      </c>
    </row>
    <row r="31" spans="2:32" ht="23.1" customHeight="1" x14ac:dyDescent="0.25">
      <c r="B31" s="46" t="s">
        <v>58</v>
      </c>
      <c r="C31" s="50">
        <v>10</v>
      </c>
      <c r="D31" s="50">
        <f t="shared" si="3"/>
        <v>2</v>
      </c>
      <c r="E31" s="50">
        <v>6</v>
      </c>
      <c r="F31" s="50">
        <v>7</v>
      </c>
      <c r="G31" s="50">
        <v>0</v>
      </c>
      <c r="H31" s="50">
        <v>0</v>
      </c>
      <c r="I31" s="50">
        <v>2</v>
      </c>
      <c r="J31" s="50">
        <v>1</v>
      </c>
      <c r="K31" s="50">
        <v>0</v>
      </c>
      <c r="L31" s="50">
        <v>2</v>
      </c>
      <c r="M31" s="50">
        <v>104</v>
      </c>
      <c r="N31" s="50">
        <v>0</v>
      </c>
      <c r="O31" s="15">
        <f t="shared" si="0"/>
        <v>30</v>
      </c>
      <c r="P31" s="15">
        <f t="shared" si="1"/>
        <v>134</v>
      </c>
      <c r="R31" s="36" t="s">
        <v>155</v>
      </c>
      <c r="S31" s="34">
        <f>SUM(C94:C97)</f>
        <v>0</v>
      </c>
      <c r="T31" s="34">
        <f t="shared" ref="T31:AF31" si="24">SUM(D94:D97)</f>
        <v>0</v>
      </c>
      <c r="U31" s="34">
        <f t="shared" si="24"/>
        <v>1</v>
      </c>
      <c r="V31" s="34">
        <f t="shared" si="24"/>
        <v>0</v>
      </c>
      <c r="W31" s="34">
        <f t="shared" si="24"/>
        <v>0</v>
      </c>
      <c r="X31" s="34">
        <f t="shared" si="24"/>
        <v>0</v>
      </c>
      <c r="Y31" s="34">
        <f t="shared" si="24"/>
        <v>0</v>
      </c>
      <c r="Z31" s="34">
        <f t="shared" si="24"/>
        <v>0</v>
      </c>
      <c r="AA31" s="34">
        <f t="shared" si="24"/>
        <v>1</v>
      </c>
      <c r="AB31" s="34">
        <f t="shared" si="24"/>
        <v>2</v>
      </c>
      <c r="AC31" s="34">
        <f t="shared" si="24"/>
        <v>0</v>
      </c>
      <c r="AD31" s="34">
        <f t="shared" si="24"/>
        <v>0</v>
      </c>
      <c r="AE31" s="31">
        <f t="shared" si="24"/>
        <v>4</v>
      </c>
      <c r="AF31" s="31">
        <f t="shared" si="24"/>
        <v>4</v>
      </c>
    </row>
    <row r="32" spans="2:32" ht="23.1" customHeight="1" x14ac:dyDescent="0.25">
      <c r="B32" s="46" t="s">
        <v>59</v>
      </c>
      <c r="C32" s="50">
        <v>4</v>
      </c>
      <c r="D32" s="50">
        <f t="shared" si="3"/>
        <v>1</v>
      </c>
      <c r="E32" s="50">
        <v>3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1</v>
      </c>
      <c r="M32" s="50">
        <v>35</v>
      </c>
      <c r="N32" s="50">
        <v>0</v>
      </c>
      <c r="O32" s="15">
        <f t="shared" si="0"/>
        <v>11</v>
      </c>
      <c r="P32" s="15">
        <f t="shared" si="1"/>
        <v>46</v>
      </c>
      <c r="R32" s="33" t="s">
        <v>156</v>
      </c>
      <c r="S32" s="34">
        <f>SUM(C98:C101)</f>
        <v>1</v>
      </c>
      <c r="T32" s="34">
        <f t="shared" ref="T32:AF32" si="25">SUM(D98:D101)</f>
        <v>0</v>
      </c>
      <c r="U32" s="34">
        <f t="shared" si="25"/>
        <v>0</v>
      </c>
      <c r="V32" s="34">
        <f t="shared" si="25"/>
        <v>3</v>
      </c>
      <c r="W32" s="34">
        <f t="shared" si="25"/>
        <v>0</v>
      </c>
      <c r="X32" s="34">
        <f t="shared" si="25"/>
        <v>0</v>
      </c>
      <c r="Y32" s="34">
        <f t="shared" si="25"/>
        <v>0</v>
      </c>
      <c r="Z32" s="34">
        <f t="shared" si="25"/>
        <v>0</v>
      </c>
      <c r="AA32" s="34">
        <f t="shared" si="25"/>
        <v>1</v>
      </c>
      <c r="AB32" s="34">
        <f t="shared" si="25"/>
        <v>4</v>
      </c>
      <c r="AC32" s="34">
        <f t="shared" si="25"/>
        <v>1</v>
      </c>
      <c r="AD32" s="34">
        <f t="shared" si="25"/>
        <v>0</v>
      </c>
      <c r="AE32" s="31">
        <f t="shared" si="25"/>
        <v>9</v>
      </c>
      <c r="AF32" s="31">
        <f t="shared" si="25"/>
        <v>10</v>
      </c>
    </row>
    <row r="33" spans="2:32" ht="23.1" customHeight="1" x14ac:dyDescent="0.25">
      <c r="B33" s="45" t="s">
        <v>60</v>
      </c>
      <c r="C33" s="50">
        <v>9</v>
      </c>
      <c r="D33" s="50">
        <f t="shared" si="3"/>
        <v>3</v>
      </c>
      <c r="E33" s="50">
        <v>8</v>
      </c>
      <c r="F33" s="50">
        <v>5</v>
      </c>
      <c r="G33" s="50">
        <v>0</v>
      </c>
      <c r="H33" s="50">
        <v>0</v>
      </c>
      <c r="I33" s="50">
        <v>1</v>
      </c>
      <c r="J33" s="50">
        <v>1</v>
      </c>
      <c r="K33" s="50">
        <v>1</v>
      </c>
      <c r="L33" s="50">
        <v>2</v>
      </c>
      <c r="M33" s="50">
        <v>87</v>
      </c>
      <c r="N33" s="50">
        <v>0</v>
      </c>
      <c r="O33" s="15">
        <f t="shared" si="0"/>
        <v>30</v>
      </c>
      <c r="P33" s="15">
        <f t="shared" si="1"/>
        <v>117</v>
      </c>
      <c r="R33" s="33" t="s">
        <v>157</v>
      </c>
      <c r="S33" s="34">
        <f>SUM(C102:C105)</f>
        <v>10</v>
      </c>
      <c r="T33" s="34">
        <f t="shared" ref="T33:AF33" si="26">SUM(D102:D105)</f>
        <v>2</v>
      </c>
      <c r="U33" s="34">
        <f t="shared" si="26"/>
        <v>6</v>
      </c>
      <c r="V33" s="34">
        <f t="shared" si="26"/>
        <v>4</v>
      </c>
      <c r="W33" s="34">
        <f t="shared" si="26"/>
        <v>0</v>
      </c>
      <c r="X33" s="34">
        <f t="shared" si="26"/>
        <v>0</v>
      </c>
      <c r="Y33" s="34">
        <f t="shared" si="26"/>
        <v>0</v>
      </c>
      <c r="Z33" s="34">
        <f t="shared" si="26"/>
        <v>0</v>
      </c>
      <c r="AA33" s="34">
        <f t="shared" si="26"/>
        <v>0</v>
      </c>
      <c r="AB33" s="34">
        <f t="shared" si="26"/>
        <v>7</v>
      </c>
      <c r="AC33" s="34">
        <f t="shared" si="26"/>
        <v>8</v>
      </c>
      <c r="AD33" s="34">
        <f t="shared" si="26"/>
        <v>0</v>
      </c>
      <c r="AE33" s="31">
        <f t="shared" si="26"/>
        <v>29</v>
      </c>
      <c r="AF33" s="31">
        <f t="shared" si="26"/>
        <v>37</v>
      </c>
    </row>
    <row r="34" spans="2:32" ht="23.1" customHeight="1" x14ac:dyDescent="0.25">
      <c r="B34" s="46" t="s">
        <v>61</v>
      </c>
      <c r="C34" s="50">
        <v>5</v>
      </c>
      <c r="D34" s="50">
        <f t="shared" si="3"/>
        <v>0</v>
      </c>
      <c r="E34" s="50">
        <v>0</v>
      </c>
      <c r="F34" s="50">
        <v>2</v>
      </c>
      <c r="G34" s="50">
        <v>0</v>
      </c>
      <c r="H34" s="50">
        <v>0</v>
      </c>
      <c r="I34" s="50">
        <v>0</v>
      </c>
      <c r="J34" s="50">
        <v>1</v>
      </c>
      <c r="K34" s="50">
        <v>1</v>
      </c>
      <c r="L34" s="50">
        <v>0</v>
      </c>
      <c r="M34" s="50">
        <v>46</v>
      </c>
      <c r="N34" s="50">
        <v>0</v>
      </c>
      <c r="O34" s="15">
        <f t="shared" si="0"/>
        <v>9</v>
      </c>
      <c r="P34" s="15">
        <f t="shared" si="1"/>
        <v>55</v>
      </c>
      <c r="R34" s="38" t="s">
        <v>90</v>
      </c>
      <c r="S34" s="39">
        <f t="shared" ref="S34:AF34" si="27">MAX(S10:S12)</f>
        <v>23</v>
      </c>
      <c r="T34" s="39">
        <f t="shared" si="27"/>
        <v>3</v>
      </c>
      <c r="U34" s="39">
        <f t="shared" si="27"/>
        <v>8</v>
      </c>
      <c r="V34" s="39">
        <f t="shared" si="27"/>
        <v>11</v>
      </c>
      <c r="W34" s="39">
        <f t="shared" si="27"/>
        <v>0</v>
      </c>
      <c r="X34" s="39">
        <f t="shared" si="27"/>
        <v>3</v>
      </c>
      <c r="Y34" s="39">
        <f t="shared" si="27"/>
        <v>2</v>
      </c>
      <c r="Z34" s="39">
        <f t="shared" si="27"/>
        <v>7</v>
      </c>
      <c r="AA34" s="39">
        <f t="shared" si="27"/>
        <v>20</v>
      </c>
      <c r="AB34" s="39">
        <f t="shared" si="27"/>
        <v>7</v>
      </c>
      <c r="AC34" s="39">
        <f t="shared" si="27"/>
        <v>298</v>
      </c>
      <c r="AD34" s="39">
        <f t="shared" si="27"/>
        <v>0</v>
      </c>
      <c r="AE34" s="40">
        <f t="shared" si="27"/>
        <v>71</v>
      </c>
      <c r="AF34" s="40">
        <f t="shared" si="27"/>
        <v>369</v>
      </c>
    </row>
    <row r="35" spans="2:32" ht="23.1" customHeight="1" x14ac:dyDescent="0.25">
      <c r="B35" s="46" t="s">
        <v>62</v>
      </c>
      <c r="C35" s="50">
        <v>12</v>
      </c>
      <c r="D35" s="50">
        <f t="shared" si="3"/>
        <v>0</v>
      </c>
      <c r="E35" s="50">
        <v>1</v>
      </c>
      <c r="F35" s="50">
        <v>4</v>
      </c>
      <c r="G35" s="50">
        <v>0</v>
      </c>
      <c r="H35" s="50">
        <v>0</v>
      </c>
      <c r="I35" s="50">
        <v>0</v>
      </c>
      <c r="J35" s="50">
        <v>3</v>
      </c>
      <c r="K35" s="50">
        <v>2</v>
      </c>
      <c r="L35" s="50">
        <v>1</v>
      </c>
      <c r="M35" s="50">
        <v>114</v>
      </c>
      <c r="N35" s="50">
        <v>0</v>
      </c>
      <c r="O35" s="15">
        <f t="shared" si="0"/>
        <v>23</v>
      </c>
      <c r="P35" s="15">
        <f t="shared" si="1"/>
        <v>137</v>
      </c>
      <c r="R35" s="38" t="s">
        <v>91</v>
      </c>
      <c r="S35" s="39">
        <f t="shared" ref="S35:AF35" si="28">MAX(S13:S18)</f>
        <v>38</v>
      </c>
      <c r="T35" s="39">
        <f t="shared" si="28"/>
        <v>10</v>
      </c>
      <c r="U35" s="39">
        <f t="shared" si="28"/>
        <v>25</v>
      </c>
      <c r="V35" s="39">
        <f t="shared" si="28"/>
        <v>17</v>
      </c>
      <c r="W35" s="39">
        <f t="shared" si="28"/>
        <v>0</v>
      </c>
      <c r="X35" s="39">
        <f t="shared" si="28"/>
        <v>1</v>
      </c>
      <c r="Y35" s="39">
        <f t="shared" si="28"/>
        <v>4</v>
      </c>
      <c r="Z35" s="39">
        <f t="shared" si="28"/>
        <v>11</v>
      </c>
      <c r="AA35" s="39">
        <f t="shared" si="28"/>
        <v>13</v>
      </c>
      <c r="AB35" s="39">
        <f t="shared" si="28"/>
        <v>7</v>
      </c>
      <c r="AC35" s="39">
        <f t="shared" si="28"/>
        <v>327</v>
      </c>
      <c r="AD35" s="39">
        <f t="shared" si="28"/>
        <v>0</v>
      </c>
      <c r="AE35" s="40">
        <f t="shared" si="28"/>
        <v>88</v>
      </c>
      <c r="AF35" s="40">
        <f t="shared" si="28"/>
        <v>410</v>
      </c>
    </row>
    <row r="36" spans="2:32" ht="23.1" customHeight="1" x14ac:dyDescent="0.25">
      <c r="B36" s="46" t="s">
        <v>63</v>
      </c>
      <c r="C36" s="50">
        <v>6</v>
      </c>
      <c r="D36" s="50">
        <f t="shared" si="3"/>
        <v>1</v>
      </c>
      <c r="E36" s="50">
        <v>2</v>
      </c>
      <c r="F36" s="50">
        <v>2</v>
      </c>
      <c r="G36" s="50">
        <v>0</v>
      </c>
      <c r="H36" s="50">
        <v>0</v>
      </c>
      <c r="I36" s="50">
        <v>0</v>
      </c>
      <c r="J36" s="50">
        <v>2</v>
      </c>
      <c r="K36" s="50">
        <v>1</v>
      </c>
      <c r="L36" s="50">
        <v>0</v>
      </c>
      <c r="M36" s="50">
        <v>48</v>
      </c>
      <c r="N36" s="50">
        <v>0</v>
      </c>
      <c r="O36" s="15">
        <f t="shared" si="0"/>
        <v>14</v>
      </c>
      <c r="P36" s="15">
        <f t="shared" si="1"/>
        <v>62</v>
      </c>
      <c r="R36" s="38" t="s">
        <v>92</v>
      </c>
      <c r="S36" s="39">
        <f t="shared" ref="S36:AF36" si="29">MAX(S19:S21)</f>
        <v>24</v>
      </c>
      <c r="T36" s="39">
        <f t="shared" si="29"/>
        <v>6</v>
      </c>
      <c r="U36" s="39">
        <f t="shared" si="29"/>
        <v>15</v>
      </c>
      <c r="V36" s="39">
        <f t="shared" si="29"/>
        <v>14</v>
      </c>
      <c r="W36" s="39">
        <f t="shared" si="29"/>
        <v>0</v>
      </c>
      <c r="X36" s="39">
        <f t="shared" si="29"/>
        <v>1</v>
      </c>
      <c r="Y36" s="39">
        <f t="shared" si="29"/>
        <v>4</v>
      </c>
      <c r="Z36" s="39">
        <f t="shared" si="29"/>
        <v>5</v>
      </c>
      <c r="AA36" s="39">
        <f t="shared" si="29"/>
        <v>8</v>
      </c>
      <c r="AB36" s="39">
        <f t="shared" si="29"/>
        <v>7</v>
      </c>
      <c r="AC36" s="39">
        <f t="shared" si="29"/>
        <v>290</v>
      </c>
      <c r="AD36" s="39">
        <f t="shared" si="29"/>
        <v>0</v>
      </c>
      <c r="AE36" s="40">
        <f t="shared" si="29"/>
        <v>67</v>
      </c>
      <c r="AF36" s="40">
        <f t="shared" si="29"/>
        <v>344</v>
      </c>
    </row>
    <row r="37" spans="2:32" ht="23.1" customHeight="1" x14ac:dyDescent="0.25">
      <c r="B37" s="45" t="s">
        <v>64</v>
      </c>
      <c r="C37" s="50">
        <v>15</v>
      </c>
      <c r="D37" s="50">
        <f t="shared" si="3"/>
        <v>2</v>
      </c>
      <c r="E37" s="50">
        <v>6</v>
      </c>
      <c r="F37" s="50">
        <v>4</v>
      </c>
      <c r="G37" s="50">
        <v>0</v>
      </c>
      <c r="H37" s="50">
        <v>1</v>
      </c>
      <c r="I37" s="50">
        <v>1</v>
      </c>
      <c r="J37" s="50">
        <v>5</v>
      </c>
      <c r="K37" s="50">
        <v>2</v>
      </c>
      <c r="L37" s="50">
        <v>1</v>
      </c>
      <c r="M37" s="50">
        <v>119</v>
      </c>
      <c r="N37" s="50">
        <v>0</v>
      </c>
      <c r="O37" s="15">
        <f t="shared" si="0"/>
        <v>37</v>
      </c>
      <c r="P37" s="15">
        <f t="shared" si="1"/>
        <v>156</v>
      </c>
      <c r="R37" s="37" t="s">
        <v>85</v>
      </c>
      <c r="S37" s="35">
        <f t="shared" ref="S37:AF37" si="30">SUM(S10:S12)</f>
        <v>45</v>
      </c>
      <c r="T37" s="16">
        <f t="shared" si="30"/>
        <v>6</v>
      </c>
      <c r="U37" s="16">
        <f t="shared" si="30"/>
        <v>20</v>
      </c>
      <c r="V37" s="16">
        <f t="shared" si="30"/>
        <v>24</v>
      </c>
      <c r="W37" s="16">
        <f t="shared" si="30"/>
        <v>0</v>
      </c>
      <c r="X37" s="16">
        <f t="shared" si="30"/>
        <v>3</v>
      </c>
      <c r="Y37" s="16">
        <f t="shared" si="30"/>
        <v>3</v>
      </c>
      <c r="Z37" s="16">
        <f t="shared" si="30"/>
        <v>16</v>
      </c>
      <c r="AA37" s="16">
        <f t="shared" si="30"/>
        <v>31</v>
      </c>
      <c r="AB37" s="16">
        <f t="shared" si="30"/>
        <v>10</v>
      </c>
      <c r="AC37" s="16">
        <f t="shared" si="30"/>
        <v>671</v>
      </c>
      <c r="AD37" s="16">
        <f t="shared" si="30"/>
        <v>0</v>
      </c>
      <c r="AE37" s="32">
        <f t="shared" si="30"/>
        <v>158</v>
      </c>
      <c r="AF37" s="32">
        <f t="shared" si="30"/>
        <v>829</v>
      </c>
    </row>
    <row r="38" spans="2:32" ht="23.1" customHeight="1" x14ac:dyDescent="0.25">
      <c r="B38" s="46" t="s">
        <v>65</v>
      </c>
      <c r="C38" s="50">
        <v>0</v>
      </c>
      <c r="D38" s="50">
        <f t="shared" si="3"/>
        <v>0</v>
      </c>
      <c r="E38" s="50">
        <v>1</v>
      </c>
      <c r="F38" s="50">
        <v>3</v>
      </c>
      <c r="G38" s="50">
        <v>0</v>
      </c>
      <c r="H38" s="50">
        <v>0</v>
      </c>
      <c r="I38" s="50">
        <v>0</v>
      </c>
      <c r="J38" s="50">
        <v>0</v>
      </c>
      <c r="K38" s="50">
        <v>1</v>
      </c>
      <c r="L38" s="50">
        <v>1</v>
      </c>
      <c r="M38" s="50">
        <v>29</v>
      </c>
      <c r="N38" s="50">
        <v>0</v>
      </c>
      <c r="O38" s="15">
        <f t="shared" si="0"/>
        <v>6</v>
      </c>
      <c r="P38" s="15">
        <f t="shared" si="1"/>
        <v>35</v>
      </c>
      <c r="R38" s="28" t="s">
        <v>86</v>
      </c>
      <c r="S38" s="16">
        <f t="shared" ref="S38:AF38" si="31">SUM(S13:S18)</f>
        <v>138</v>
      </c>
      <c r="T38" s="16">
        <f t="shared" si="31"/>
        <v>35</v>
      </c>
      <c r="U38" s="16">
        <f t="shared" si="31"/>
        <v>91</v>
      </c>
      <c r="V38" s="16">
        <f t="shared" si="31"/>
        <v>75</v>
      </c>
      <c r="W38" s="16">
        <f t="shared" si="31"/>
        <v>0</v>
      </c>
      <c r="X38" s="16">
        <f t="shared" si="31"/>
        <v>1</v>
      </c>
      <c r="Y38" s="16">
        <f t="shared" si="31"/>
        <v>14</v>
      </c>
      <c r="Z38" s="16">
        <f t="shared" si="31"/>
        <v>32</v>
      </c>
      <c r="AA38" s="16">
        <f t="shared" si="31"/>
        <v>33</v>
      </c>
      <c r="AB38" s="16">
        <f t="shared" si="31"/>
        <v>24</v>
      </c>
      <c r="AC38" s="16">
        <f t="shared" si="31"/>
        <v>1498</v>
      </c>
      <c r="AD38" s="16">
        <f t="shared" si="31"/>
        <v>0</v>
      </c>
      <c r="AE38" s="32">
        <f t="shared" si="31"/>
        <v>443</v>
      </c>
      <c r="AF38" s="32">
        <f t="shared" si="31"/>
        <v>1941</v>
      </c>
    </row>
    <row r="39" spans="2:32" ht="23.1" customHeight="1" x14ac:dyDescent="0.25">
      <c r="B39" s="46" t="s">
        <v>66</v>
      </c>
      <c r="C39" s="50">
        <v>1</v>
      </c>
      <c r="D39" s="50">
        <f t="shared" si="3"/>
        <v>1</v>
      </c>
      <c r="E39" s="50">
        <v>2</v>
      </c>
      <c r="F39" s="50">
        <v>7</v>
      </c>
      <c r="G39" s="50">
        <v>0</v>
      </c>
      <c r="H39" s="50">
        <v>0</v>
      </c>
      <c r="I39" s="50">
        <v>1</v>
      </c>
      <c r="J39" s="50">
        <v>1</v>
      </c>
      <c r="K39" s="50">
        <v>2</v>
      </c>
      <c r="L39" s="50">
        <v>3</v>
      </c>
      <c r="M39" s="50">
        <v>72</v>
      </c>
      <c r="N39" s="50">
        <v>0</v>
      </c>
      <c r="O39" s="15">
        <f t="shared" si="0"/>
        <v>18</v>
      </c>
      <c r="P39" s="15">
        <f t="shared" si="1"/>
        <v>90</v>
      </c>
      <c r="R39" s="29" t="s">
        <v>87</v>
      </c>
      <c r="S39" s="16">
        <f t="shared" ref="S39:AF39" si="32">SUM(S19:S21)</f>
        <v>58</v>
      </c>
      <c r="T39" s="16">
        <f t="shared" si="32"/>
        <v>12</v>
      </c>
      <c r="U39" s="16">
        <f t="shared" si="32"/>
        <v>30</v>
      </c>
      <c r="V39" s="16">
        <f t="shared" si="32"/>
        <v>34</v>
      </c>
      <c r="W39" s="16">
        <f t="shared" si="32"/>
        <v>0</v>
      </c>
      <c r="X39" s="16">
        <f t="shared" si="32"/>
        <v>1</v>
      </c>
      <c r="Y39" s="16">
        <f t="shared" si="32"/>
        <v>8</v>
      </c>
      <c r="Z39" s="16">
        <f t="shared" si="32"/>
        <v>10</v>
      </c>
      <c r="AA39" s="16">
        <f t="shared" si="32"/>
        <v>13</v>
      </c>
      <c r="AB39" s="16">
        <f t="shared" si="32"/>
        <v>12</v>
      </c>
      <c r="AC39" s="16">
        <f t="shared" si="32"/>
        <v>731</v>
      </c>
      <c r="AD39" s="16">
        <f t="shared" si="32"/>
        <v>0</v>
      </c>
      <c r="AE39" s="32">
        <f t="shared" si="32"/>
        <v>178</v>
      </c>
      <c r="AF39" s="32">
        <f t="shared" si="32"/>
        <v>909</v>
      </c>
    </row>
    <row r="40" spans="2:32" ht="23.1" customHeight="1" x14ac:dyDescent="0.25">
      <c r="B40" s="46" t="s">
        <v>67</v>
      </c>
      <c r="C40" s="50">
        <v>3</v>
      </c>
      <c r="D40" s="50">
        <f t="shared" si="3"/>
        <v>0</v>
      </c>
      <c r="E40" s="50">
        <v>1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1</v>
      </c>
      <c r="M40" s="50">
        <v>29</v>
      </c>
      <c r="N40" s="50">
        <v>0</v>
      </c>
      <c r="O40" s="15">
        <f t="shared" si="0"/>
        <v>7</v>
      </c>
      <c r="P40" s="15">
        <f t="shared" si="1"/>
        <v>36</v>
      </c>
      <c r="R40" s="5" t="s">
        <v>17</v>
      </c>
      <c r="S40" s="16">
        <f t="shared" ref="S40:AF40" si="33">SUM(S10:S21)</f>
        <v>241</v>
      </c>
      <c r="T40" s="16">
        <f t="shared" si="33"/>
        <v>53</v>
      </c>
      <c r="U40" s="16">
        <f t="shared" si="33"/>
        <v>141</v>
      </c>
      <c r="V40" s="16">
        <f t="shared" si="33"/>
        <v>133</v>
      </c>
      <c r="W40" s="16">
        <f t="shared" si="33"/>
        <v>0</v>
      </c>
      <c r="X40" s="16">
        <f t="shared" si="33"/>
        <v>5</v>
      </c>
      <c r="Y40" s="16">
        <f t="shared" si="33"/>
        <v>25</v>
      </c>
      <c r="Z40" s="16">
        <f t="shared" si="33"/>
        <v>58</v>
      </c>
      <c r="AA40" s="16">
        <f t="shared" si="33"/>
        <v>77</v>
      </c>
      <c r="AB40" s="16">
        <f t="shared" si="33"/>
        <v>46</v>
      </c>
      <c r="AC40" s="16">
        <f t="shared" si="33"/>
        <v>2900</v>
      </c>
      <c r="AD40" s="16">
        <f t="shared" si="33"/>
        <v>0</v>
      </c>
      <c r="AE40" s="32">
        <f t="shared" si="33"/>
        <v>779</v>
      </c>
      <c r="AF40" s="32">
        <f t="shared" si="33"/>
        <v>3679</v>
      </c>
    </row>
    <row r="41" spans="2:32" ht="23.1" customHeight="1" x14ac:dyDescent="0.25">
      <c r="B41" s="45" t="s">
        <v>68</v>
      </c>
      <c r="C41" s="50">
        <v>7</v>
      </c>
      <c r="D41" s="50">
        <f t="shared" si="3"/>
        <v>1</v>
      </c>
      <c r="E41" s="50">
        <v>3</v>
      </c>
      <c r="F41" s="50">
        <v>3</v>
      </c>
      <c r="G41" s="50">
        <v>0</v>
      </c>
      <c r="H41" s="50">
        <v>0</v>
      </c>
      <c r="I41" s="50">
        <v>2</v>
      </c>
      <c r="J41" s="50">
        <v>1</v>
      </c>
      <c r="K41" s="50">
        <v>1</v>
      </c>
      <c r="L41" s="50">
        <v>2</v>
      </c>
      <c r="M41" s="50">
        <v>72</v>
      </c>
      <c r="N41" s="50">
        <v>0</v>
      </c>
      <c r="O41" s="15">
        <f t="shared" si="0"/>
        <v>20</v>
      </c>
      <c r="P41" s="15">
        <f t="shared" si="1"/>
        <v>92</v>
      </c>
      <c r="R41" s="5" t="s">
        <v>159</v>
      </c>
      <c r="S41" s="16">
        <f>SUM(S10:S33)</f>
        <v>313</v>
      </c>
      <c r="T41" s="16">
        <f t="shared" ref="T41:AF41" si="34">SUM(T10:T33)</f>
        <v>90</v>
      </c>
      <c r="U41" s="16">
        <f t="shared" si="34"/>
        <v>241</v>
      </c>
      <c r="V41" s="16">
        <f t="shared" si="34"/>
        <v>180</v>
      </c>
      <c r="W41" s="16">
        <f t="shared" si="34"/>
        <v>2</v>
      </c>
      <c r="X41" s="16">
        <f t="shared" si="34"/>
        <v>6</v>
      </c>
      <c r="Y41" s="16">
        <f t="shared" si="34"/>
        <v>35</v>
      </c>
      <c r="Z41" s="16">
        <f t="shared" si="34"/>
        <v>69</v>
      </c>
      <c r="AA41" s="16">
        <f t="shared" si="34"/>
        <v>88</v>
      </c>
      <c r="AB41" s="16">
        <f t="shared" si="34"/>
        <v>75</v>
      </c>
      <c r="AC41" s="16">
        <f t="shared" si="34"/>
        <v>3377</v>
      </c>
      <c r="AD41" s="16">
        <f t="shared" si="34"/>
        <v>0</v>
      </c>
      <c r="AE41" s="32">
        <f t="shared" si="34"/>
        <v>1099</v>
      </c>
      <c r="AF41" s="32">
        <f t="shared" si="34"/>
        <v>4476</v>
      </c>
    </row>
    <row r="42" spans="2:32" ht="23.1" customHeight="1" x14ac:dyDescent="0.25">
      <c r="B42" s="46" t="s">
        <v>69</v>
      </c>
      <c r="C42" s="50">
        <v>4</v>
      </c>
      <c r="D42" s="50">
        <f t="shared" si="3"/>
        <v>1</v>
      </c>
      <c r="E42" s="50">
        <v>2</v>
      </c>
      <c r="F42" s="50">
        <v>2</v>
      </c>
      <c r="G42" s="50">
        <v>0</v>
      </c>
      <c r="H42" s="50">
        <v>0</v>
      </c>
      <c r="I42" s="50">
        <v>1</v>
      </c>
      <c r="J42" s="50">
        <v>1</v>
      </c>
      <c r="K42" s="50">
        <v>2</v>
      </c>
      <c r="L42" s="50">
        <v>0</v>
      </c>
      <c r="M42" s="50">
        <v>34</v>
      </c>
      <c r="N42" s="50">
        <v>0</v>
      </c>
      <c r="O42" s="15">
        <f t="shared" si="0"/>
        <v>13</v>
      </c>
      <c r="P42" s="15">
        <f t="shared" si="1"/>
        <v>47</v>
      </c>
      <c r="R42" s="5" t="s">
        <v>160</v>
      </c>
      <c r="S42" s="48">
        <f>S41/S40</f>
        <v>1.2987551867219918</v>
      </c>
      <c r="T42" s="48">
        <f t="shared" ref="T42:AF42" si="35">T41/T40</f>
        <v>1.6981132075471699</v>
      </c>
      <c r="U42" s="48">
        <f t="shared" si="35"/>
        <v>1.7092198581560283</v>
      </c>
      <c r="V42" s="48">
        <f t="shared" si="35"/>
        <v>1.3533834586466165</v>
      </c>
      <c r="W42" s="48" t="e">
        <f t="shared" si="35"/>
        <v>#DIV/0!</v>
      </c>
      <c r="X42" s="48">
        <f t="shared" si="35"/>
        <v>1.2</v>
      </c>
      <c r="Y42" s="48">
        <f t="shared" si="35"/>
        <v>1.4</v>
      </c>
      <c r="Z42" s="48">
        <f t="shared" si="35"/>
        <v>1.1896551724137931</v>
      </c>
      <c r="AA42" s="48">
        <f t="shared" si="35"/>
        <v>1.1428571428571428</v>
      </c>
      <c r="AB42" s="48">
        <f t="shared" si="35"/>
        <v>1.6304347826086956</v>
      </c>
      <c r="AC42" s="48">
        <f t="shared" si="35"/>
        <v>1.1644827586206896</v>
      </c>
      <c r="AD42" s="48" t="e">
        <f t="shared" si="35"/>
        <v>#DIV/0!</v>
      </c>
      <c r="AE42" s="48">
        <f t="shared" si="35"/>
        <v>1.4107830551989731</v>
      </c>
      <c r="AF42" s="48">
        <f t="shared" si="35"/>
        <v>1.2166349551508562</v>
      </c>
    </row>
    <row r="43" spans="2:32" ht="23.1" customHeight="1" x14ac:dyDescent="0.25">
      <c r="B43" s="45" t="s">
        <v>70</v>
      </c>
      <c r="C43" s="50">
        <v>9</v>
      </c>
      <c r="D43" s="50">
        <f t="shared" si="3"/>
        <v>2</v>
      </c>
      <c r="E43" s="50">
        <v>4</v>
      </c>
      <c r="F43" s="50">
        <v>5</v>
      </c>
      <c r="G43" s="50">
        <v>0</v>
      </c>
      <c r="H43" s="50">
        <v>0</v>
      </c>
      <c r="I43" s="50">
        <v>2</v>
      </c>
      <c r="J43" s="50">
        <v>3</v>
      </c>
      <c r="K43" s="50">
        <v>5</v>
      </c>
      <c r="L43" s="50">
        <v>0</v>
      </c>
      <c r="M43" s="50">
        <v>85</v>
      </c>
      <c r="N43" s="50">
        <v>0</v>
      </c>
      <c r="O43" s="15">
        <f t="shared" si="0"/>
        <v>30</v>
      </c>
      <c r="P43" s="15">
        <f t="shared" si="1"/>
        <v>115</v>
      </c>
    </row>
    <row r="44" spans="2:32" ht="23.1" customHeight="1" x14ac:dyDescent="0.25">
      <c r="B44" s="47" t="s">
        <v>71</v>
      </c>
      <c r="C44" s="50">
        <v>2</v>
      </c>
      <c r="D44" s="50">
        <f t="shared" si="3"/>
        <v>1</v>
      </c>
      <c r="E44" s="50">
        <v>2</v>
      </c>
      <c r="F44" s="50">
        <v>2</v>
      </c>
      <c r="G44" s="50">
        <v>0</v>
      </c>
      <c r="H44" s="50">
        <v>0</v>
      </c>
      <c r="I44" s="50">
        <v>0</v>
      </c>
      <c r="J44" s="50">
        <v>1</v>
      </c>
      <c r="K44" s="50">
        <v>2</v>
      </c>
      <c r="L44" s="50">
        <v>0</v>
      </c>
      <c r="M44" s="50">
        <v>34</v>
      </c>
      <c r="N44" s="50">
        <v>0</v>
      </c>
      <c r="O44" s="15">
        <f t="shared" si="0"/>
        <v>10</v>
      </c>
      <c r="P44" s="15">
        <f t="shared" si="1"/>
        <v>44</v>
      </c>
    </row>
    <row r="45" spans="2:32" ht="23.1" customHeight="1" x14ac:dyDescent="0.25">
      <c r="B45" s="45" t="s">
        <v>72</v>
      </c>
      <c r="C45" s="50">
        <v>6</v>
      </c>
      <c r="D45" s="50">
        <f t="shared" si="3"/>
        <v>2</v>
      </c>
      <c r="E45" s="50">
        <v>5</v>
      </c>
      <c r="F45" s="50">
        <v>4</v>
      </c>
      <c r="G45" s="50">
        <v>0</v>
      </c>
      <c r="H45" s="50">
        <v>0</v>
      </c>
      <c r="I45" s="50">
        <v>0</v>
      </c>
      <c r="J45" s="50">
        <v>2</v>
      </c>
      <c r="K45" s="50">
        <v>4</v>
      </c>
      <c r="L45" s="50">
        <v>1</v>
      </c>
      <c r="M45" s="50">
        <v>86</v>
      </c>
      <c r="N45" s="50">
        <v>0</v>
      </c>
      <c r="O45" s="15">
        <f t="shared" si="0"/>
        <v>24</v>
      </c>
      <c r="P45" s="15">
        <f t="shared" si="1"/>
        <v>110</v>
      </c>
    </row>
    <row r="46" spans="2:32" ht="23.1" customHeight="1" x14ac:dyDescent="0.25">
      <c r="B46" s="46" t="s">
        <v>73</v>
      </c>
      <c r="C46" s="50">
        <v>2</v>
      </c>
      <c r="D46" s="50">
        <f t="shared" si="3"/>
        <v>1</v>
      </c>
      <c r="E46" s="50">
        <v>2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1</v>
      </c>
      <c r="L46" s="50">
        <v>1</v>
      </c>
      <c r="M46" s="50">
        <v>24</v>
      </c>
      <c r="N46" s="50">
        <v>0</v>
      </c>
      <c r="O46" s="15">
        <f t="shared" si="0"/>
        <v>8</v>
      </c>
      <c r="P46" s="15">
        <f t="shared" si="1"/>
        <v>32</v>
      </c>
      <c r="R46" s="8"/>
      <c r="T46"/>
    </row>
    <row r="47" spans="2:32" ht="23.1" customHeight="1" x14ac:dyDescent="0.25">
      <c r="B47" s="46" t="s">
        <v>74</v>
      </c>
      <c r="C47" s="50">
        <v>5</v>
      </c>
      <c r="D47" s="50">
        <f t="shared" si="3"/>
        <v>2</v>
      </c>
      <c r="E47" s="50">
        <v>5</v>
      </c>
      <c r="F47" s="50">
        <v>3</v>
      </c>
      <c r="G47" s="50">
        <v>0</v>
      </c>
      <c r="H47" s="50">
        <v>0</v>
      </c>
      <c r="I47" s="50">
        <v>0</v>
      </c>
      <c r="J47" s="50">
        <v>1</v>
      </c>
      <c r="K47" s="50">
        <v>2</v>
      </c>
      <c r="L47" s="50">
        <v>2</v>
      </c>
      <c r="M47" s="50">
        <v>59</v>
      </c>
      <c r="N47" s="50">
        <v>0</v>
      </c>
      <c r="O47" s="15">
        <f t="shared" si="0"/>
        <v>20</v>
      </c>
      <c r="P47" s="15">
        <f t="shared" si="1"/>
        <v>79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f t="shared" si="3"/>
        <v>1</v>
      </c>
      <c r="E48" s="50">
        <v>2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1</v>
      </c>
      <c r="M48" s="50">
        <v>35</v>
      </c>
      <c r="N48" s="50">
        <v>0</v>
      </c>
      <c r="O48" s="15">
        <f t="shared" si="0"/>
        <v>8</v>
      </c>
      <c r="P48" s="15">
        <f t="shared" si="1"/>
        <v>43</v>
      </c>
      <c r="R48" s="8"/>
      <c r="T48"/>
    </row>
    <row r="49" spans="2:20" ht="23.1" customHeight="1" x14ac:dyDescent="0.25">
      <c r="B49" s="45" t="s">
        <v>76</v>
      </c>
      <c r="C49" s="50">
        <v>5</v>
      </c>
      <c r="D49" s="50">
        <f t="shared" si="3"/>
        <v>2</v>
      </c>
      <c r="E49" s="50">
        <v>6</v>
      </c>
      <c r="F49" s="50">
        <v>4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3</v>
      </c>
      <c r="M49" s="50">
        <v>88</v>
      </c>
      <c r="N49" s="50">
        <v>0</v>
      </c>
      <c r="O49" s="15">
        <f t="shared" si="0"/>
        <v>21</v>
      </c>
      <c r="P49" s="15">
        <f t="shared" si="1"/>
        <v>109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f t="shared" si="3"/>
        <v>0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0</v>
      </c>
      <c r="M50" s="50">
        <v>43</v>
      </c>
      <c r="N50" s="50">
        <v>0</v>
      </c>
      <c r="O50" s="15">
        <f t="shared" si="0"/>
        <v>6</v>
      </c>
      <c r="P50" s="15">
        <f t="shared" si="1"/>
        <v>49</v>
      </c>
      <c r="R50" s="8"/>
      <c r="T50"/>
    </row>
    <row r="51" spans="2:20" ht="23.1" customHeight="1" x14ac:dyDescent="0.25">
      <c r="B51" s="46" t="s">
        <v>78</v>
      </c>
      <c r="C51" s="50">
        <v>9</v>
      </c>
      <c r="D51" s="50">
        <f t="shared" si="3"/>
        <v>0</v>
      </c>
      <c r="E51" s="50">
        <v>1</v>
      </c>
      <c r="F51" s="50">
        <v>3</v>
      </c>
      <c r="G51" s="50">
        <v>0</v>
      </c>
      <c r="H51" s="50">
        <v>0</v>
      </c>
      <c r="I51" s="50">
        <v>1</v>
      </c>
      <c r="J51" s="50">
        <v>1</v>
      </c>
      <c r="K51" s="50">
        <v>3</v>
      </c>
      <c r="L51" s="50">
        <v>0</v>
      </c>
      <c r="M51" s="50">
        <v>108</v>
      </c>
      <c r="N51" s="50">
        <v>0</v>
      </c>
      <c r="O51" s="15">
        <f t="shared" si="0"/>
        <v>18</v>
      </c>
      <c r="P51" s="15">
        <f t="shared" si="1"/>
        <v>126</v>
      </c>
      <c r="R51" s="8"/>
      <c r="T51"/>
    </row>
    <row r="52" spans="2:20" ht="23.1" customHeight="1" x14ac:dyDescent="0.25">
      <c r="B52" s="46" t="s">
        <v>79</v>
      </c>
      <c r="C52" s="50">
        <v>3</v>
      </c>
      <c r="D52" s="50">
        <f t="shared" si="3"/>
        <v>0</v>
      </c>
      <c r="E52" s="50">
        <v>0</v>
      </c>
      <c r="F52" s="50">
        <v>2</v>
      </c>
      <c r="G52" s="50">
        <v>0</v>
      </c>
      <c r="H52" s="50">
        <v>0</v>
      </c>
      <c r="I52" s="50">
        <v>1</v>
      </c>
      <c r="J52" s="50">
        <v>1</v>
      </c>
      <c r="K52" s="50">
        <v>1</v>
      </c>
      <c r="L52" s="50">
        <v>0</v>
      </c>
      <c r="M52" s="50">
        <v>40</v>
      </c>
      <c r="N52" s="50">
        <v>0</v>
      </c>
      <c r="O52" s="15">
        <f t="shared" si="0"/>
        <v>8</v>
      </c>
      <c r="P52" s="15">
        <f t="shared" si="1"/>
        <v>48</v>
      </c>
      <c r="R52" s="8"/>
      <c r="T52"/>
    </row>
    <row r="53" spans="2:20" ht="23.1" customHeight="1" x14ac:dyDescent="0.25">
      <c r="B53" s="45" t="s">
        <v>80</v>
      </c>
      <c r="C53" s="50">
        <v>8</v>
      </c>
      <c r="D53" s="50">
        <f t="shared" si="3"/>
        <v>0</v>
      </c>
      <c r="E53" s="50">
        <v>1</v>
      </c>
      <c r="F53" s="50">
        <v>4</v>
      </c>
      <c r="G53" s="50">
        <v>0</v>
      </c>
      <c r="H53" s="50">
        <v>0</v>
      </c>
      <c r="I53" s="50">
        <v>2</v>
      </c>
      <c r="J53" s="50">
        <v>3</v>
      </c>
      <c r="K53" s="50">
        <v>3</v>
      </c>
      <c r="L53" s="50">
        <v>1</v>
      </c>
      <c r="M53" s="50">
        <v>99</v>
      </c>
      <c r="N53" s="50">
        <v>0</v>
      </c>
      <c r="O53" s="15">
        <f t="shared" si="0"/>
        <v>22</v>
      </c>
      <c r="P53" s="15">
        <f t="shared" si="1"/>
        <v>121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f t="shared" si="3"/>
        <v>1</v>
      </c>
      <c r="E54" s="50">
        <v>2</v>
      </c>
      <c r="F54" s="50">
        <v>2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38</v>
      </c>
      <c r="N54" s="50">
        <v>0</v>
      </c>
      <c r="O54" s="15">
        <f t="shared" si="0"/>
        <v>10</v>
      </c>
      <c r="P54" s="15">
        <f t="shared" si="1"/>
        <v>48</v>
      </c>
      <c r="R54" s="8"/>
      <c r="T54"/>
    </row>
    <row r="55" spans="2:20" ht="23.1" customHeight="1" x14ac:dyDescent="0.25">
      <c r="B55" s="45" t="s">
        <v>82</v>
      </c>
      <c r="C55" s="50">
        <v>7</v>
      </c>
      <c r="D55" s="50">
        <f t="shared" si="3"/>
        <v>2</v>
      </c>
      <c r="E55" s="50">
        <v>5</v>
      </c>
      <c r="F55" s="50">
        <v>5</v>
      </c>
      <c r="G55" s="50">
        <v>0</v>
      </c>
      <c r="H55" s="50">
        <v>0</v>
      </c>
      <c r="I55" s="50">
        <v>2</v>
      </c>
      <c r="J55" s="50">
        <v>3</v>
      </c>
      <c r="K55" s="50">
        <v>1</v>
      </c>
      <c r="L55" s="50">
        <v>1</v>
      </c>
      <c r="M55" s="50">
        <v>96</v>
      </c>
      <c r="N55" s="50">
        <v>0</v>
      </c>
      <c r="O55" s="15">
        <f t="shared" si="0"/>
        <v>26</v>
      </c>
      <c r="P55" s="15">
        <f t="shared" si="1"/>
        <v>122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f t="shared" si="3"/>
        <v>1</v>
      </c>
      <c r="E56" s="50">
        <v>2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1</v>
      </c>
      <c r="M56" s="50">
        <v>29</v>
      </c>
      <c r="N56" s="50">
        <v>0</v>
      </c>
      <c r="O56" s="15">
        <f t="shared" si="0"/>
        <v>9</v>
      </c>
      <c r="P56" s="15">
        <f t="shared" si="1"/>
        <v>38</v>
      </c>
      <c r="R56" s="8"/>
      <c r="T56"/>
    </row>
    <row r="57" spans="2:20" ht="23.1" customHeight="1" x14ac:dyDescent="0.25">
      <c r="B57" s="45" t="s">
        <v>84</v>
      </c>
      <c r="C57" s="50">
        <v>7</v>
      </c>
      <c r="D57" s="50">
        <f t="shared" si="3"/>
        <v>2</v>
      </c>
      <c r="E57" s="50">
        <v>4</v>
      </c>
      <c r="F57" s="50">
        <v>5</v>
      </c>
      <c r="G57" s="50">
        <v>0</v>
      </c>
      <c r="H57" s="50">
        <v>1</v>
      </c>
      <c r="I57" s="50">
        <v>0</v>
      </c>
      <c r="J57" s="50">
        <v>0</v>
      </c>
      <c r="K57" s="50">
        <v>1</v>
      </c>
      <c r="L57" s="50">
        <v>2</v>
      </c>
      <c r="M57" s="50">
        <v>72</v>
      </c>
      <c r="N57" s="50">
        <v>0</v>
      </c>
      <c r="O57" s="15">
        <f t="shared" si="0"/>
        <v>22</v>
      </c>
      <c r="P57" s="15">
        <f t="shared" si="1"/>
        <v>94</v>
      </c>
      <c r="R57" s="8"/>
      <c r="T57"/>
    </row>
    <row r="58" spans="2:20" ht="23.1" customHeight="1" x14ac:dyDescent="0.25">
      <c r="B58" s="45" t="s">
        <v>99</v>
      </c>
      <c r="C58" s="50">
        <v>3</v>
      </c>
      <c r="D58" s="50">
        <f t="shared" si="3"/>
        <v>2</v>
      </c>
      <c r="E58" s="50">
        <v>4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1</v>
      </c>
      <c r="L58" s="50">
        <v>0</v>
      </c>
      <c r="M58" s="50">
        <v>31</v>
      </c>
      <c r="N58" s="50">
        <v>0</v>
      </c>
      <c r="O58" s="15">
        <f t="shared" si="0"/>
        <v>10</v>
      </c>
      <c r="P58" s="15">
        <f t="shared" si="1"/>
        <v>41</v>
      </c>
      <c r="R58" s="8"/>
      <c r="T58"/>
    </row>
    <row r="59" spans="2:20" ht="23.1" customHeight="1" x14ac:dyDescent="0.25">
      <c r="B59" s="45" t="s">
        <v>100</v>
      </c>
      <c r="C59" s="50">
        <v>7</v>
      </c>
      <c r="D59" s="50">
        <f t="shared" si="3"/>
        <v>4</v>
      </c>
      <c r="E59" s="50">
        <v>11</v>
      </c>
      <c r="F59" s="50">
        <v>0</v>
      </c>
      <c r="G59" s="50">
        <v>0</v>
      </c>
      <c r="H59" s="50">
        <v>0</v>
      </c>
      <c r="I59" s="50">
        <v>1</v>
      </c>
      <c r="J59" s="50">
        <v>0</v>
      </c>
      <c r="K59" s="50">
        <v>2</v>
      </c>
      <c r="L59" s="50">
        <v>1</v>
      </c>
      <c r="M59" s="50">
        <v>77</v>
      </c>
      <c r="N59" s="50">
        <v>0</v>
      </c>
      <c r="O59" s="15">
        <f t="shared" si="0"/>
        <v>26</v>
      </c>
      <c r="P59" s="15">
        <f t="shared" si="1"/>
        <v>103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f t="shared" si="3"/>
        <v>2</v>
      </c>
      <c r="E60" s="50">
        <v>6</v>
      </c>
      <c r="F60" s="50">
        <v>2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1</v>
      </c>
      <c r="M60" s="50">
        <v>34</v>
      </c>
      <c r="N60" s="50">
        <v>0</v>
      </c>
      <c r="O60" s="15">
        <f t="shared" si="0"/>
        <v>13</v>
      </c>
      <c r="P60" s="15">
        <f t="shared" si="1"/>
        <v>47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f t="shared" si="3"/>
        <v>6</v>
      </c>
      <c r="E61" s="50">
        <v>15</v>
      </c>
      <c r="F61" s="50">
        <v>4</v>
      </c>
      <c r="G61" s="50">
        <v>0</v>
      </c>
      <c r="H61" s="50">
        <v>0</v>
      </c>
      <c r="I61" s="50">
        <v>1</v>
      </c>
      <c r="J61" s="50">
        <v>0</v>
      </c>
      <c r="K61" s="50">
        <v>0</v>
      </c>
      <c r="L61" s="50">
        <v>3</v>
      </c>
      <c r="M61" s="50">
        <v>85</v>
      </c>
      <c r="N61" s="50">
        <v>0</v>
      </c>
      <c r="O61" s="15">
        <f t="shared" si="0"/>
        <v>33</v>
      </c>
      <c r="P61" s="15">
        <f t="shared" si="1"/>
        <v>118</v>
      </c>
      <c r="R61" s="8"/>
      <c r="T61"/>
    </row>
    <row r="62" spans="2:20" ht="23.1" customHeight="1" x14ac:dyDescent="0.25">
      <c r="B62" s="45" t="s">
        <v>107</v>
      </c>
      <c r="C62" s="50">
        <v>4</v>
      </c>
      <c r="D62" s="50">
        <f t="shared" si="3"/>
        <v>1</v>
      </c>
      <c r="E62" s="50">
        <v>2</v>
      </c>
      <c r="F62" s="50">
        <v>2</v>
      </c>
      <c r="G62" s="50">
        <v>0</v>
      </c>
      <c r="H62" s="50">
        <v>0</v>
      </c>
      <c r="I62" s="50">
        <v>1</v>
      </c>
      <c r="J62" s="50">
        <v>1</v>
      </c>
      <c r="K62" s="50">
        <v>0</v>
      </c>
      <c r="L62" s="50">
        <v>0</v>
      </c>
      <c r="M62" s="50">
        <v>22</v>
      </c>
      <c r="N62" s="50">
        <v>0</v>
      </c>
      <c r="O62" s="15">
        <f t="shared" si="0"/>
        <v>11</v>
      </c>
      <c r="P62" s="15">
        <f t="shared" si="1"/>
        <v>33</v>
      </c>
      <c r="R62" s="8"/>
      <c r="T62"/>
    </row>
    <row r="63" spans="2:20" ht="23.1" customHeight="1" x14ac:dyDescent="0.25">
      <c r="B63" s="45" t="s">
        <v>108</v>
      </c>
      <c r="C63" s="50">
        <v>11</v>
      </c>
      <c r="D63" s="50">
        <f t="shared" si="3"/>
        <v>2</v>
      </c>
      <c r="E63" s="50">
        <v>5</v>
      </c>
      <c r="F63" s="50">
        <v>4</v>
      </c>
      <c r="G63" s="50">
        <v>1</v>
      </c>
      <c r="H63" s="50">
        <v>0</v>
      </c>
      <c r="I63" s="50">
        <v>2</v>
      </c>
      <c r="J63" s="50">
        <v>2</v>
      </c>
      <c r="K63" s="50">
        <v>0</v>
      </c>
      <c r="L63" s="50">
        <v>0</v>
      </c>
      <c r="M63" s="50">
        <v>56</v>
      </c>
      <c r="N63" s="50">
        <v>0</v>
      </c>
      <c r="O63" s="15">
        <f t="shared" si="0"/>
        <v>27</v>
      </c>
      <c r="P63" s="15">
        <f t="shared" si="1"/>
        <v>83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f t="shared" si="3"/>
        <v>0</v>
      </c>
      <c r="E64" s="50">
        <v>1</v>
      </c>
      <c r="F64" s="50">
        <v>1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16</v>
      </c>
      <c r="N64" s="50">
        <v>0</v>
      </c>
      <c r="O64" s="15">
        <f t="shared" si="0"/>
        <v>3</v>
      </c>
      <c r="P64" s="15">
        <f t="shared" si="1"/>
        <v>19</v>
      </c>
      <c r="R64" s="8"/>
      <c r="T64"/>
    </row>
    <row r="65" spans="2:20" ht="23.1" customHeight="1" x14ac:dyDescent="0.25">
      <c r="B65" s="45" t="s">
        <v>158</v>
      </c>
      <c r="C65" s="50">
        <v>2</v>
      </c>
      <c r="D65" s="50">
        <f t="shared" si="3"/>
        <v>1</v>
      </c>
      <c r="E65" s="50">
        <v>3</v>
      </c>
      <c r="F65" s="50">
        <v>2</v>
      </c>
      <c r="G65" s="50">
        <v>0</v>
      </c>
      <c r="H65" s="50">
        <v>0</v>
      </c>
      <c r="I65" s="50">
        <v>0</v>
      </c>
      <c r="J65" s="50">
        <v>1</v>
      </c>
      <c r="K65" s="50">
        <v>0</v>
      </c>
      <c r="L65" s="50">
        <v>0</v>
      </c>
      <c r="M65" s="50">
        <v>41</v>
      </c>
      <c r="N65" s="50">
        <v>0</v>
      </c>
      <c r="O65" s="15">
        <f t="shared" si="0"/>
        <v>9</v>
      </c>
      <c r="P65" s="15">
        <f t="shared" si="1"/>
        <v>50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f t="shared" si="3"/>
        <v>1</v>
      </c>
      <c r="E66" s="50">
        <v>3</v>
      </c>
      <c r="F66" s="50">
        <v>1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9</v>
      </c>
      <c r="N66" s="50">
        <v>0</v>
      </c>
      <c r="O66" s="15">
        <f t="shared" si="0"/>
        <v>6</v>
      </c>
      <c r="P66" s="15">
        <f t="shared" si="1"/>
        <v>15</v>
      </c>
      <c r="R66" s="8"/>
      <c r="T66"/>
    </row>
    <row r="67" spans="2:20" ht="23.1" customHeight="1" x14ac:dyDescent="0.25">
      <c r="B67" s="45" t="s">
        <v>104</v>
      </c>
      <c r="C67" s="50">
        <v>3</v>
      </c>
      <c r="D67" s="50">
        <f t="shared" si="3"/>
        <v>3</v>
      </c>
      <c r="E67" s="50">
        <v>7</v>
      </c>
      <c r="F67" s="50">
        <v>2</v>
      </c>
      <c r="G67" s="50">
        <v>0</v>
      </c>
      <c r="H67" s="50">
        <v>0</v>
      </c>
      <c r="I67" s="50">
        <v>0</v>
      </c>
      <c r="J67" s="50">
        <v>0</v>
      </c>
      <c r="K67" s="50">
        <v>1</v>
      </c>
      <c r="L67" s="50">
        <v>0</v>
      </c>
      <c r="M67" s="50">
        <v>22</v>
      </c>
      <c r="N67" s="50">
        <v>0</v>
      </c>
      <c r="O67" s="15">
        <f t="shared" si="0"/>
        <v>16</v>
      </c>
      <c r="P67" s="15">
        <f t="shared" si="1"/>
        <v>38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f t="shared" si="3"/>
        <v>1</v>
      </c>
      <c r="E68" s="50">
        <v>2</v>
      </c>
      <c r="F68" s="50">
        <v>2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5</v>
      </c>
      <c r="N68" s="50">
        <v>0</v>
      </c>
      <c r="O68" s="15">
        <f t="shared" si="0"/>
        <v>7</v>
      </c>
      <c r="P68" s="15">
        <f t="shared" si="1"/>
        <v>12</v>
      </c>
      <c r="R68" s="8"/>
      <c r="T68"/>
    </row>
    <row r="69" spans="2:20" ht="23.1" customHeight="1" x14ac:dyDescent="0.25">
      <c r="B69" s="45" t="s">
        <v>106</v>
      </c>
      <c r="C69" s="50">
        <v>6</v>
      </c>
      <c r="D69" s="50">
        <f t="shared" si="3"/>
        <v>2</v>
      </c>
      <c r="E69" s="50">
        <v>5</v>
      </c>
      <c r="F69" s="50">
        <v>4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1</v>
      </c>
      <c r="M69" s="50">
        <v>13</v>
      </c>
      <c r="N69" s="50">
        <v>0</v>
      </c>
      <c r="O69" s="15">
        <f t="shared" si="0"/>
        <v>19</v>
      </c>
      <c r="P69" s="15">
        <f t="shared" si="1"/>
        <v>32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f t="shared" si="3"/>
        <v>1</v>
      </c>
      <c r="E70" s="50">
        <v>3</v>
      </c>
      <c r="F70" s="50">
        <v>2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4</v>
      </c>
      <c r="N70" s="50">
        <v>0</v>
      </c>
      <c r="O70" s="15">
        <f t="shared" si="0"/>
        <v>8</v>
      </c>
      <c r="P70" s="15">
        <f t="shared" si="1"/>
        <v>12</v>
      </c>
      <c r="R70" s="8"/>
      <c r="T70"/>
    </row>
    <row r="71" spans="2:20" ht="23.1" customHeight="1" x14ac:dyDescent="0.25">
      <c r="B71" s="45" t="s">
        <v>111</v>
      </c>
      <c r="C71" s="50">
        <v>5</v>
      </c>
      <c r="D71" s="50">
        <f t="shared" si="3"/>
        <v>3</v>
      </c>
      <c r="E71" s="50">
        <v>7</v>
      </c>
      <c r="F71" s="50">
        <v>4</v>
      </c>
      <c r="G71" s="50">
        <v>1</v>
      </c>
      <c r="H71" s="50">
        <v>1</v>
      </c>
      <c r="I71" s="50">
        <v>1</v>
      </c>
      <c r="J71" s="50">
        <v>0</v>
      </c>
      <c r="K71" s="50">
        <v>0</v>
      </c>
      <c r="L71" s="50">
        <v>0</v>
      </c>
      <c r="M71" s="50">
        <v>9</v>
      </c>
      <c r="N71" s="50">
        <v>0</v>
      </c>
      <c r="O71" s="15">
        <f t="shared" si="0"/>
        <v>22</v>
      </c>
      <c r="P71" s="15">
        <f t="shared" si="1"/>
        <v>31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f t="shared" si="3"/>
        <v>1</v>
      </c>
      <c r="E72" s="50">
        <v>2</v>
      </c>
      <c r="F72" s="50">
        <v>0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0</v>
      </c>
      <c r="M72" s="50">
        <v>5</v>
      </c>
      <c r="N72" s="50">
        <v>0</v>
      </c>
      <c r="O72" s="15">
        <f t="shared" si="0"/>
        <v>4</v>
      </c>
      <c r="P72" s="15">
        <f t="shared" si="1"/>
        <v>9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f t="shared" si="3"/>
        <v>2</v>
      </c>
      <c r="E73" s="50">
        <v>4</v>
      </c>
      <c r="F73" s="50">
        <v>1</v>
      </c>
      <c r="G73" s="50">
        <v>0</v>
      </c>
      <c r="H73" s="50">
        <v>0</v>
      </c>
      <c r="I73" s="50">
        <v>0</v>
      </c>
      <c r="J73" s="50">
        <v>2</v>
      </c>
      <c r="K73" s="50">
        <v>0</v>
      </c>
      <c r="L73" s="50">
        <v>0</v>
      </c>
      <c r="M73" s="50">
        <v>12</v>
      </c>
      <c r="N73" s="50">
        <v>0</v>
      </c>
      <c r="O73" s="15">
        <f t="shared" si="0"/>
        <v>10</v>
      </c>
      <c r="P73" s="15">
        <f t="shared" si="1"/>
        <v>22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f t="shared" si="3"/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1</v>
      </c>
      <c r="L74" s="50">
        <v>0</v>
      </c>
      <c r="M74" s="50">
        <v>3</v>
      </c>
      <c r="N74" s="50">
        <v>0</v>
      </c>
      <c r="O74" s="15">
        <f t="shared" ref="O74:O105" si="36">SUM(C74:L74,N74)</f>
        <v>1</v>
      </c>
      <c r="P74" s="15">
        <f t="shared" ref="P74:P105" si="37">SUM(C74:N74)</f>
        <v>4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f t="shared" ref="D75:D87" si="38">ROUND((0.4*E75),0)</f>
        <v>0</v>
      </c>
      <c r="E75" s="50">
        <v>1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2</v>
      </c>
      <c r="L75" s="50">
        <v>1</v>
      </c>
      <c r="M75" s="50">
        <v>7</v>
      </c>
      <c r="N75" s="50">
        <v>0</v>
      </c>
      <c r="O75" s="15">
        <f t="shared" si="36"/>
        <v>6</v>
      </c>
      <c r="P75" s="15">
        <f t="shared" si="37"/>
        <v>13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f t="shared" si="38"/>
        <v>0</v>
      </c>
      <c r="E76" s="50">
        <v>1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6"/>
        <v>3</v>
      </c>
      <c r="P76" s="15">
        <f t="shared" si="37"/>
        <v>5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f t="shared" si="38"/>
        <v>1</v>
      </c>
      <c r="E77" s="50">
        <v>2</v>
      </c>
      <c r="F77" s="50">
        <v>3</v>
      </c>
      <c r="G77" s="50">
        <v>0</v>
      </c>
      <c r="H77" s="50">
        <v>0</v>
      </c>
      <c r="I77" s="50">
        <v>0</v>
      </c>
      <c r="J77" s="50">
        <v>0</v>
      </c>
      <c r="K77" s="50">
        <v>1</v>
      </c>
      <c r="L77" s="50">
        <v>0</v>
      </c>
      <c r="M77" s="50">
        <v>4</v>
      </c>
      <c r="N77" s="50">
        <v>0</v>
      </c>
      <c r="O77" s="15">
        <f t="shared" si="36"/>
        <v>9</v>
      </c>
      <c r="P77" s="15">
        <f t="shared" si="37"/>
        <v>13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f t="shared" si="38"/>
        <v>0</v>
      </c>
      <c r="E78" s="50">
        <v>1</v>
      </c>
      <c r="F78" s="50">
        <v>1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6"/>
        <v>3</v>
      </c>
      <c r="P78" s="15">
        <f t="shared" si="37"/>
        <v>4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f t="shared" si="38"/>
        <v>1</v>
      </c>
      <c r="E79" s="50">
        <v>2</v>
      </c>
      <c r="F79" s="50">
        <v>2</v>
      </c>
      <c r="G79" s="50">
        <v>0</v>
      </c>
      <c r="H79" s="50">
        <v>0</v>
      </c>
      <c r="I79" s="50">
        <v>2</v>
      </c>
      <c r="J79" s="50">
        <v>0</v>
      </c>
      <c r="K79" s="50">
        <v>0</v>
      </c>
      <c r="L79" s="50">
        <v>1</v>
      </c>
      <c r="M79" s="50">
        <v>3</v>
      </c>
      <c r="N79" s="50">
        <v>0</v>
      </c>
      <c r="O79" s="15">
        <f t="shared" si="36"/>
        <v>9</v>
      </c>
      <c r="P79" s="15">
        <f t="shared" si="37"/>
        <v>12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f t="shared" si="38"/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1</v>
      </c>
      <c r="M80" s="50">
        <v>0</v>
      </c>
      <c r="N80" s="50">
        <v>0</v>
      </c>
      <c r="O80" s="15">
        <f t="shared" si="36"/>
        <v>2</v>
      </c>
      <c r="P80" s="15">
        <f t="shared" si="37"/>
        <v>2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f t="shared" si="38"/>
        <v>0</v>
      </c>
      <c r="E81" s="50">
        <v>1</v>
      </c>
      <c r="F81" s="50">
        <v>1</v>
      </c>
      <c r="G81" s="50">
        <v>0</v>
      </c>
      <c r="H81" s="50">
        <v>0</v>
      </c>
      <c r="I81" s="50">
        <v>0</v>
      </c>
      <c r="J81" s="50">
        <v>2</v>
      </c>
      <c r="K81" s="50">
        <v>0</v>
      </c>
      <c r="L81" s="50">
        <v>2</v>
      </c>
      <c r="M81" s="50">
        <v>1</v>
      </c>
      <c r="N81" s="50">
        <v>0</v>
      </c>
      <c r="O81" s="15">
        <f t="shared" si="36"/>
        <v>6</v>
      </c>
      <c r="P81" s="15">
        <f t="shared" si="37"/>
        <v>7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f t="shared" si="38"/>
        <v>0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</v>
      </c>
      <c r="N82" s="50">
        <v>0</v>
      </c>
      <c r="O82" s="15">
        <f t="shared" si="36"/>
        <v>1</v>
      </c>
      <c r="P82" s="15">
        <f t="shared" si="37"/>
        <v>3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f t="shared" si="38"/>
        <v>1</v>
      </c>
      <c r="E83" s="50">
        <v>3</v>
      </c>
      <c r="F83" s="50">
        <v>0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v>0</v>
      </c>
      <c r="M83" s="50">
        <v>4</v>
      </c>
      <c r="N83" s="50">
        <v>0</v>
      </c>
      <c r="O83" s="15">
        <f t="shared" si="36"/>
        <v>6</v>
      </c>
      <c r="P83" s="15">
        <f t="shared" si="37"/>
        <v>10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f t="shared" si="38"/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6"/>
        <v>0</v>
      </c>
      <c r="P84" s="15">
        <f t="shared" si="37"/>
        <v>0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f t="shared" si="38"/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1</v>
      </c>
      <c r="M85" s="50">
        <v>0</v>
      </c>
      <c r="N85" s="50">
        <v>0</v>
      </c>
      <c r="O85" s="15">
        <f t="shared" si="36"/>
        <v>2</v>
      </c>
      <c r="P85" s="15">
        <f t="shared" si="37"/>
        <v>2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f t="shared" si="38"/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6"/>
        <v>0</v>
      </c>
      <c r="P86" s="15">
        <f t="shared" si="37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f t="shared" si="38"/>
        <v>0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1</v>
      </c>
      <c r="L87" s="50">
        <v>0</v>
      </c>
      <c r="M87" s="50">
        <v>0</v>
      </c>
      <c r="N87" s="50">
        <v>0</v>
      </c>
      <c r="O87" s="15">
        <f t="shared" si="36"/>
        <v>2</v>
      </c>
      <c r="P87" s="15">
        <f t="shared" si="37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f>ROUND((0.4*E88),0)</f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6"/>
        <v>0</v>
      </c>
      <c r="P88" s="15">
        <f t="shared" si="37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f>ROUND((0.4*E89),0)</f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1</v>
      </c>
      <c r="M89" s="50">
        <v>0</v>
      </c>
      <c r="N89" s="50">
        <v>0</v>
      </c>
      <c r="O89" s="15">
        <f t="shared" si="36"/>
        <v>1</v>
      </c>
      <c r="P89" s="15">
        <f t="shared" si="37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f>ROUND((0.4*E90),0)</f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1</v>
      </c>
      <c r="M90" s="50">
        <v>0</v>
      </c>
      <c r="N90" s="50">
        <v>0</v>
      </c>
      <c r="O90" s="15">
        <f t="shared" si="36"/>
        <v>1</v>
      </c>
      <c r="P90" s="15">
        <f t="shared" si="37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f t="shared" ref="D91:D105" si="39">ROUND((0.4*E91),0)</f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2</v>
      </c>
      <c r="M91" s="50">
        <v>0</v>
      </c>
      <c r="N91" s="50">
        <v>0</v>
      </c>
      <c r="O91" s="15">
        <f t="shared" si="36"/>
        <v>2</v>
      </c>
      <c r="P91" s="15">
        <f t="shared" si="37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f t="shared" si="39"/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6"/>
        <v>0</v>
      </c>
      <c r="P92" s="15">
        <f t="shared" si="37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f t="shared" si="39"/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6"/>
        <v>0</v>
      </c>
      <c r="P93" s="15">
        <f t="shared" si="37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f t="shared" si="39"/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6"/>
        <v>0</v>
      </c>
      <c r="P94" s="15">
        <f t="shared" si="37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f t="shared" si="39"/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1</v>
      </c>
      <c r="L95" s="50">
        <v>1</v>
      </c>
      <c r="M95" s="50">
        <v>0</v>
      </c>
      <c r="N95" s="50">
        <v>0</v>
      </c>
      <c r="O95" s="15">
        <f t="shared" si="36"/>
        <v>3</v>
      </c>
      <c r="P95" s="15">
        <f t="shared" si="37"/>
        <v>3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f t="shared" si="39"/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6"/>
        <v>0</v>
      </c>
      <c r="P96" s="15">
        <f t="shared" si="37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f t="shared" si="39"/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1</v>
      </c>
      <c r="M97" s="50">
        <v>0</v>
      </c>
      <c r="N97" s="50">
        <v>0</v>
      </c>
      <c r="O97" s="15">
        <f t="shared" si="36"/>
        <v>1</v>
      </c>
      <c r="P97" s="15">
        <f t="shared" si="37"/>
        <v>1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f t="shared" si="39"/>
        <v>0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1</v>
      </c>
      <c r="M98" s="50">
        <v>0</v>
      </c>
      <c r="N98" s="50">
        <v>0</v>
      </c>
      <c r="O98" s="15">
        <f t="shared" si="36"/>
        <v>2</v>
      </c>
      <c r="P98" s="15">
        <f t="shared" si="37"/>
        <v>2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f t="shared" si="39"/>
        <v>0</v>
      </c>
      <c r="E99" s="50">
        <v>0</v>
      </c>
      <c r="F99" s="50">
        <v>2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2</v>
      </c>
      <c r="M99" s="50">
        <v>1</v>
      </c>
      <c r="N99" s="50">
        <v>0</v>
      </c>
      <c r="O99" s="15">
        <f t="shared" si="36"/>
        <v>5</v>
      </c>
      <c r="P99" s="15">
        <f t="shared" si="37"/>
        <v>6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f t="shared" si="39"/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6"/>
        <v>0</v>
      </c>
      <c r="P100" s="15">
        <f t="shared" si="37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f t="shared" si="39"/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1</v>
      </c>
      <c r="L101" s="50">
        <v>1</v>
      </c>
      <c r="M101" s="50">
        <v>0</v>
      </c>
      <c r="N101" s="50">
        <v>0</v>
      </c>
      <c r="O101" s="15">
        <f t="shared" si="36"/>
        <v>2</v>
      </c>
      <c r="P101" s="15">
        <f t="shared" si="37"/>
        <v>2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f t="shared" si="39"/>
        <v>0</v>
      </c>
      <c r="E102" s="50">
        <v>1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1</v>
      </c>
      <c r="M102" s="50">
        <v>1</v>
      </c>
      <c r="N102" s="50">
        <v>0</v>
      </c>
      <c r="O102" s="15">
        <f t="shared" si="36"/>
        <v>4</v>
      </c>
      <c r="P102" s="15">
        <f t="shared" si="37"/>
        <v>5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f t="shared" si="39"/>
        <v>1</v>
      </c>
      <c r="E103" s="50">
        <v>2</v>
      </c>
      <c r="F103" s="50">
        <v>2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2</v>
      </c>
      <c r="M103" s="50">
        <v>3</v>
      </c>
      <c r="N103" s="50">
        <v>0</v>
      </c>
      <c r="O103" s="15">
        <f t="shared" si="36"/>
        <v>10</v>
      </c>
      <c r="P103" s="15">
        <f t="shared" si="37"/>
        <v>13</v>
      </c>
      <c r="R103" s="8"/>
      <c r="T103"/>
    </row>
    <row r="104" spans="2:20" ht="23.1" customHeight="1" x14ac:dyDescent="0.25">
      <c r="B104" s="47" t="s">
        <v>144</v>
      </c>
      <c r="C104" s="50">
        <v>2</v>
      </c>
      <c r="D104" s="50">
        <f t="shared" si="39"/>
        <v>0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1</v>
      </c>
      <c r="M104" s="50">
        <v>1</v>
      </c>
      <c r="N104" s="50">
        <v>0</v>
      </c>
      <c r="O104" s="15">
        <f t="shared" si="36"/>
        <v>4</v>
      </c>
      <c r="P104" s="15">
        <f t="shared" si="37"/>
        <v>5</v>
      </c>
      <c r="R104" s="8"/>
      <c r="T104"/>
    </row>
    <row r="105" spans="2:20" ht="23.1" customHeight="1" x14ac:dyDescent="0.25">
      <c r="B105" s="45" t="s">
        <v>145</v>
      </c>
      <c r="C105" s="50">
        <v>4</v>
      </c>
      <c r="D105" s="50">
        <f t="shared" si="39"/>
        <v>1</v>
      </c>
      <c r="E105" s="50">
        <v>2</v>
      </c>
      <c r="F105" s="50">
        <v>1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3</v>
      </c>
      <c r="M105" s="50">
        <v>3</v>
      </c>
      <c r="N105" s="50">
        <v>0</v>
      </c>
      <c r="O105" s="15">
        <f t="shared" si="36"/>
        <v>11</v>
      </c>
      <c r="P105" s="15">
        <f t="shared" si="37"/>
        <v>14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313</v>
      </c>
      <c r="D106" s="16">
        <f t="shared" ref="D106:P106" si="40">SUM(D10:D105)</f>
        <v>90</v>
      </c>
      <c r="E106" s="16">
        <f t="shared" si="40"/>
        <v>241</v>
      </c>
      <c r="F106" s="16">
        <f t="shared" si="40"/>
        <v>180</v>
      </c>
      <c r="G106" s="16">
        <f t="shared" si="40"/>
        <v>2</v>
      </c>
      <c r="H106" s="16">
        <f t="shared" si="40"/>
        <v>6</v>
      </c>
      <c r="I106" s="16">
        <f t="shared" si="40"/>
        <v>35</v>
      </c>
      <c r="J106" s="16">
        <f t="shared" si="40"/>
        <v>69</v>
      </c>
      <c r="K106" s="16">
        <f t="shared" si="40"/>
        <v>88</v>
      </c>
      <c r="L106" s="16">
        <f t="shared" si="40"/>
        <v>75</v>
      </c>
      <c r="M106" s="16">
        <f t="shared" si="40"/>
        <v>3377</v>
      </c>
      <c r="N106" s="16">
        <f t="shared" si="40"/>
        <v>0</v>
      </c>
      <c r="O106" s="16">
        <f t="shared" si="40"/>
        <v>1099</v>
      </c>
      <c r="P106" s="16">
        <f t="shared" si="40"/>
        <v>4476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41">C106/$P$106</f>
        <v>6.9928507596067918E-2</v>
      </c>
      <c r="D107" s="43">
        <f t="shared" si="41"/>
        <v>2.0107238605898123E-2</v>
      </c>
      <c r="E107" s="43">
        <f t="shared" si="41"/>
        <v>5.3842716711349416E-2</v>
      </c>
      <c r="F107" s="43">
        <f t="shared" si="41"/>
        <v>4.0214477211796246E-2</v>
      </c>
      <c r="G107" s="43">
        <f t="shared" si="41"/>
        <v>4.4682752457551384E-4</v>
      </c>
      <c r="H107" s="43">
        <f t="shared" si="41"/>
        <v>1.3404825737265416E-3</v>
      </c>
      <c r="I107" s="43">
        <f t="shared" si="41"/>
        <v>7.8194816800714918E-3</v>
      </c>
      <c r="J107" s="43">
        <f t="shared" si="41"/>
        <v>1.5415549597855228E-2</v>
      </c>
      <c r="K107" s="43">
        <f t="shared" si="41"/>
        <v>1.9660411081322611E-2</v>
      </c>
      <c r="L107" s="43">
        <f t="shared" si="41"/>
        <v>1.675603217158177E-2</v>
      </c>
      <c r="M107" s="43">
        <f t="shared" si="41"/>
        <v>0.7544682752457551</v>
      </c>
      <c r="N107" s="43">
        <f t="shared" si="41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0.28480436760691535</v>
      </c>
      <c r="D108" s="44">
        <f t="shared" ref="D108:N108" si="42">D106/$O$106</f>
        <v>8.1892629663330302E-2</v>
      </c>
      <c r="E108" s="44">
        <f t="shared" si="42"/>
        <v>0.21929026387625114</v>
      </c>
      <c r="F108" s="44">
        <f t="shared" si="42"/>
        <v>0.1637852593266606</v>
      </c>
      <c r="G108" s="44">
        <f t="shared" si="42"/>
        <v>1.8198362147406734E-3</v>
      </c>
      <c r="H108" s="44">
        <f t="shared" si="42"/>
        <v>5.4595086442220204E-3</v>
      </c>
      <c r="I108" s="44">
        <f t="shared" si="42"/>
        <v>3.1847133757961783E-2</v>
      </c>
      <c r="J108" s="44">
        <f t="shared" si="42"/>
        <v>6.2784349408553236E-2</v>
      </c>
      <c r="K108" s="44">
        <f t="shared" si="42"/>
        <v>8.0072793448589627E-2</v>
      </c>
      <c r="L108" s="44">
        <f t="shared" si="42"/>
        <v>6.8243858052775247E-2</v>
      </c>
      <c r="M108" s="44"/>
      <c r="N108" s="44">
        <f t="shared" si="42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249977111117893"/>
  </sheetPr>
  <dimension ref="B1:AF174"/>
  <sheetViews>
    <sheetView view="pageBreakPreview" topLeftCell="A43" zoomScale="60" workbookViewId="0">
      <selection activeCell="L25" sqref="L2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'09.09 Ishaka-Katungulu'!C3:G3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'08.09 Ishaka-Katungulu-24h'!D5</f>
        <v>08.09.19</v>
      </c>
      <c r="E5" s="3"/>
      <c r="F5" s="41" t="s">
        <v>1</v>
      </c>
      <c r="G5" s="56" t="str">
        <f>'08.09 Ishaka-Katungulu-24h'!G5:H5</f>
        <v>Rubirizi</v>
      </c>
      <c r="H5" s="57"/>
      <c r="I5" s="14"/>
      <c r="J5" s="2" t="s">
        <v>5</v>
      </c>
      <c r="K5" s="56" t="str">
        <f>'08.09 Ishaka-Katungulu-24h'!K5:L5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'09.09 Katungulu-Ishaka'!D6:E6</f>
        <v>Katungulu</v>
      </c>
      <c r="E6" s="57"/>
      <c r="F6" s="2" t="s">
        <v>2</v>
      </c>
      <c r="G6" s="56" t="str">
        <f>'09.09 Katungulu-Ishaka'!G6:H6</f>
        <v>Ishaka</v>
      </c>
      <c r="H6" s="57"/>
      <c r="J6" s="2" t="s">
        <v>21</v>
      </c>
      <c r="K6" s="56" t="str">
        <f>'08.09 Ishaka-Katungulu-24h'!K6:L6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f>ROUND((0.4*E10),0)</f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73" si="0">SUM(C10:L10,N10)</f>
        <v>2</v>
      </c>
      <c r="P10" s="15">
        <f t="shared" ref="P10:P73" si="1">SUM(C10:N10)</f>
        <v>10</v>
      </c>
      <c r="R10" s="1" t="s">
        <v>6</v>
      </c>
      <c r="S10" s="17">
        <f t="shared" ref="S10:AF10" si="2">SUM(C10:C13)</f>
        <v>7</v>
      </c>
      <c r="T10" s="17">
        <f t="shared" si="2"/>
        <v>1</v>
      </c>
      <c r="U10" s="17">
        <f t="shared" si="2"/>
        <v>3</v>
      </c>
      <c r="V10" s="17">
        <f t="shared" si="2"/>
        <v>5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104</v>
      </c>
      <c r="AD10" s="17">
        <f t="shared" si="2"/>
        <v>0</v>
      </c>
      <c r="AE10" s="31">
        <f t="shared" si="2"/>
        <v>16</v>
      </c>
      <c r="AF10" s="31">
        <f t="shared" si="2"/>
        <v>120</v>
      </c>
    </row>
    <row r="11" spans="2:32" s="6" customFormat="1" ht="23.1" customHeight="1" x14ac:dyDescent="0.25">
      <c r="B11" s="45" t="s">
        <v>38</v>
      </c>
      <c r="C11" s="50">
        <v>4</v>
      </c>
      <c r="D11" s="50">
        <f t="shared" ref="D11:D74" si="3">ROUND((0.4*E11),0)</f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20</v>
      </c>
      <c r="N11" s="50">
        <v>0</v>
      </c>
      <c r="O11" s="15">
        <f t="shared" si="0"/>
        <v>5</v>
      </c>
      <c r="P11" s="15">
        <f t="shared" si="1"/>
        <v>25</v>
      </c>
      <c r="R11" s="1" t="s">
        <v>7</v>
      </c>
      <c r="S11" s="17">
        <f t="shared" ref="S11:AF11" si="4">SUM(C14:C17)</f>
        <v>9</v>
      </c>
      <c r="T11" s="17">
        <f t="shared" si="4"/>
        <v>1</v>
      </c>
      <c r="U11" s="17">
        <f t="shared" si="4"/>
        <v>5</v>
      </c>
      <c r="V11" s="17">
        <f t="shared" si="4"/>
        <v>7</v>
      </c>
      <c r="W11" s="17">
        <f t="shared" si="4"/>
        <v>1</v>
      </c>
      <c r="X11" s="17">
        <f t="shared" si="4"/>
        <v>0</v>
      </c>
      <c r="Y11" s="17">
        <f t="shared" si="4"/>
        <v>5</v>
      </c>
      <c r="Z11" s="17">
        <f t="shared" si="4"/>
        <v>7</v>
      </c>
      <c r="AA11" s="17">
        <f t="shared" si="4"/>
        <v>0</v>
      </c>
      <c r="AB11" s="17">
        <f t="shared" si="4"/>
        <v>3</v>
      </c>
      <c r="AC11" s="17">
        <f t="shared" si="4"/>
        <v>279</v>
      </c>
      <c r="AD11" s="17">
        <f t="shared" si="4"/>
        <v>0</v>
      </c>
      <c r="AE11" s="31">
        <f t="shared" si="4"/>
        <v>38</v>
      </c>
      <c r="AF11" s="31">
        <f t="shared" si="4"/>
        <v>317</v>
      </c>
    </row>
    <row r="12" spans="2:32" ht="23.1" customHeight="1" x14ac:dyDescent="0.25">
      <c r="B12" s="45" t="s">
        <v>39</v>
      </c>
      <c r="C12" s="50">
        <v>0</v>
      </c>
      <c r="D12" s="50">
        <f t="shared" si="3"/>
        <v>0</v>
      </c>
      <c r="E12" s="50">
        <v>1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22</v>
      </c>
      <c r="N12" s="50">
        <v>0</v>
      </c>
      <c r="O12" s="15">
        <f t="shared" si="0"/>
        <v>2</v>
      </c>
      <c r="P12" s="15">
        <f t="shared" si="1"/>
        <v>24</v>
      </c>
      <c r="R12" s="1" t="s">
        <v>8</v>
      </c>
      <c r="S12" s="17">
        <f t="shared" ref="S12:AF12" si="5">SUM(C18:C21)</f>
        <v>14</v>
      </c>
      <c r="T12" s="17">
        <f t="shared" si="5"/>
        <v>4</v>
      </c>
      <c r="U12" s="17">
        <f t="shared" si="5"/>
        <v>11</v>
      </c>
      <c r="V12" s="17">
        <f t="shared" si="5"/>
        <v>11</v>
      </c>
      <c r="W12" s="17">
        <f t="shared" si="5"/>
        <v>0</v>
      </c>
      <c r="X12" s="17">
        <f t="shared" si="5"/>
        <v>2</v>
      </c>
      <c r="Y12" s="17">
        <f t="shared" si="5"/>
        <v>6</v>
      </c>
      <c r="Z12" s="17">
        <f t="shared" si="5"/>
        <v>1</v>
      </c>
      <c r="AA12" s="17">
        <f t="shared" si="5"/>
        <v>4</v>
      </c>
      <c r="AB12" s="17">
        <f t="shared" si="5"/>
        <v>6</v>
      </c>
      <c r="AC12" s="17">
        <f t="shared" si="5"/>
        <v>295</v>
      </c>
      <c r="AD12" s="17">
        <f t="shared" si="5"/>
        <v>0</v>
      </c>
      <c r="AE12" s="31">
        <f t="shared" si="5"/>
        <v>59</v>
      </c>
      <c r="AF12" s="31">
        <f t="shared" si="5"/>
        <v>354</v>
      </c>
    </row>
    <row r="13" spans="2:32" ht="23.1" customHeight="1" x14ac:dyDescent="0.25">
      <c r="B13" s="45" t="s">
        <v>40</v>
      </c>
      <c r="C13" s="50">
        <v>1</v>
      </c>
      <c r="D13" s="50">
        <f t="shared" si="3"/>
        <v>1</v>
      </c>
      <c r="E13" s="50">
        <v>2</v>
      </c>
      <c r="F13" s="50">
        <v>3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54</v>
      </c>
      <c r="N13" s="50">
        <v>0</v>
      </c>
      <c r="O13" s="15">
        <f t="shared" si="0"/>
        <v>7</v>
      </c>
      <c r="P13" s="15">
        <f t="shared" si="1"/>
        <v>61</v>
      </c>
      <c r="R13" s="1" t="s">
        <v>9</v>
      </c>
      <c r="S13" s="17">
        <f t="shared" ref="S13:AF13" si="6">SUM(C22:C25)</f>
        <v>17</v>
      </c>
      <c r="T13" s="17">
        <f t="shared" si="6"/>
        <v>3</v>
      </c>
      <c r="U13" s="17">
        <f t="shared" si="6"/>
        <v>7</v>
      </c>
      <c r="V13" s="17">
        <f t="shared" si="6"/>
        <v>12</v>
      </c>
      <c r="W13" s="17">
        <f t="shared" si="6"/>
        <v>0</v>
      </c>
      <c r="X13" s="17">
        <f t="shared" si="6"/>
        <v>1</v>
      </c>
      <c r="Y13" s="17">
        <f t="shared" si="6"/>
        <v>0</v>
      </c>
      <c r="Z13" s="17">
        <f t="shared" si="6"/>
        <v>4</v>
      </c>
      <c r="AA13" s="17">
        <f t="shared" si="6"/>
        <v>10</v>
      </c>
      <c r="AB13" s="17">
        <f t="shared" si="6"/>
        <v>8</v>
      </c>
      <c r="AC13" s="17">
        <f t="shared" si="6"/>
        <v>260</v>
      </c>
      <c r="AD13" s="17">
        <f t="shared" si="6"/>
        <v>1</v>
      </c>
      <c r="AE13" s="31">
        <f t="shared" si="6"/>
        <v>63</v>
      </c>
      <c r="AF13" s="31">
        <f t="shared" si="6"/>
        <v>323</v>
      </c>
    </row>
    <row r="14" spans="2:32" ht="23.1" customHeight="1" x14ac:dyDescent="0.25">
      <c r="B14" s="45" t="s">
        <v>41</v>
      </c>
      <c r="C14" s="50">
        <v>2</v>
      </c>
      <c r="D14" s="50">
        <f t="shared" si="3"/>
        <v>0</v>
      </c>
      <c r="E14" s="50">
        <v>1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37</v>
      </c>
      <c r="N14" s="50">
        <v>0</v>
      </c>
      <c r="O14" s="15">
        <f t="shared" si="0"/>
        <v>4</v>
      </c>
      <c r="P14" s="15">
        <f t="shared" si="1"/>
        <v>41</v>
      </c>
      <c r="R14" s="1" t="s">
        <v>10</v>
      </c>
      <c r="S14" s="17">
        <f t="shared" ref="S14:AF14" si="7">SUM(C26:C29)</f>
        <v>23</v>
      </c>
      <c r="T14" s="17">
        <f t="shared" si="7"/>
        <v>4</v>
      </c>
      <c r="U14" s="17">
        <f t="shared" si="7"/>
        <v>11</v>
      </c>
      <c r="V14" s="17">
        <f t="shared" si="7"/>
        <v>11</v>
      </c>
      <c r="W14" s="17">
        <f t="shared" si="7"/>
        <v>0</v>
      </c>
      <c r="X14" s="17">
        <f t="shared" si="7"/>
        <v>0</v>
      </c>
      <c r="Y14" s="17">
        <f t="shared" si="7"/>
        <v>1</v>
      </c>
      <c r="Z14" s="17">
        <f t="shared" si="7"/>
        <v>4</v>
      </c>
      <c r="AA14" s="17">
        <f t="shared" si="7"/>
        <v>13</v>
      </c>
      <c r="AB14" s="17">
        <f t="shared" si="7"/>
        <v>7</v>
      </c>
      <c r="AC14" s="17">
        <f t="shared" si="7"/>
        <v>210</v>
      </c>
      <c r="AD14" s="17">
        <f t="shared" si="7"/>
        <v>0</v>
      </c>
      <c r="AE14" s="31">
        <f t="shared" si="7"/>
        <v>74</v>
      </c>
      <c r="AF14" s="31">
        <f t="shared" si="7"/>
        <v>284</v>
      </c>
    </row>
    <row r="15" spans="2:32" ht="23.1" customHeight="1" x14ac:dyDescent="0.25">
      <c r="B15" s="45" t="s">
        <v>42</v>
      </c>
      <c r="C15" s="50">
        <v>4</v>
      </c>
      <c r="D15" s="50">
        <f t="shared" si="3"/>
        <v>1</v>
      </c>
      <c r="E15" s="50">
        <v>3</v>
      </c>
      <c r="F15" s="50">
        <v>3</v>
      </c>
      <c r="G15" s="50">
        <v>1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92</v>
      </c>
      <c r="N15" s="50">
        <v>0</v>
      </c>
      <c r="O15" s="15">
        <f t="shared" si="0"/>
        <v>13</v>
      </c>
      <c r="P15" s="15">
        <f t="shared" si="1"/>
        <v>105</v>
      </c>
      <c r="R15" s="1" t="s">
        <v>11</v>
      </c>
      <c r="S15" s="17">
        <f t="shared" ref="S15:AF15" si="8">SUM(C30:C33)</f>
        <v>18</v>
      </c>
      <c r="T15" s="17">
        <f t="shared" si="8"/>
        <v>7</v>
      </c>
      <c r="U15" s="17">
        <f t="shared" si="8"/>
        <v>17</v>
      </c>
      <c r="V15" s="17">
        <f t="shared" si="8"/>
        <v>9</v>
      </c>
      <c r="W15" s="17">
        <f t="shared" si="8"/>
        <v>1</v>
      </c>
      <c r="X15" s="17">
        <f t="shared" si="8"/>
        <v>0</v>
      </c>
      <c r="Y15" s="17">
        <f t="shared" si="8"/>
        <v>2</v>
      </c>
      <c r="Z15" s="17">
        <f t="shared" si="8"/>
        <v>4</v>
      </c>
      <c r="AA15" s="17">
        <f t="shared" si="8"/>
        <v>8</v>
      </c>
      <c r="AB15" s="17">
        <f t="shared" si="8"/>
        <v>1</v>
      </c>
      <c r="AC15" s="17">
        <f t="shared" si="8"/>
        <v>227</v>
      </c>
      <c r="AD15" s="17">
        <f t="shared" si="8"/>
        <v>0</v>
      </c>
      <c r="AE15" s="31">
        <f t="shared" si="8"/>
        <v>67</v>
      </c>
      <c r="AF15" s="31">
        <f t="shared" si="8"/>
        <v>294</v>
      </c>
    </row>
    <row r="16" spans="2:32" ht="23.1" customHeight="1" x14ac:dyDescent="0.25">
      <c r="B16" s="45" t="s">
        <v>43</v>
      </c>
      <c r="C16" s="50">
        <v>1</v>
      </c>
      <c r="D16" s="50">
        <f t="shared" si="3"/>
        <v>0</v>
      </c>
      <c r="E16" s="50">
        <v>0</v>
      </c>
      <c r="F16" s="50">
        <v>1</v>
      </c>
      <c r="G16" s="50">
        <v>0</v>
      </c>
      <c r="H16" s="50">
        <v>0</v>
      </c>
      <c r="I16" s="50">
        <v>1</v>
      </c>
      <c r="J16" s="50">
        <v>2</v>
      </c>
      <c r="K16" s="50">
        <v>0</v>
      </c>
      <c r="L16" s="50">
        <v>1</v>
      </c>
      <c r="M16" s="50">
        <v>43</v>
      </c>
      <c r="N16" s="50">
        <v>0</v>
      </c>
      <c r="O16" s="15">
        <f t="shared" si="0"/>
        <v>6</v>
      </c>
      <c r="P16" s="15">
        <f t="shared" si="1"/>
        <v>49</v>
      </c>
      <c r="R16" s="1" t="s">
        <v>12</v>
      </c>
      <c r="S16" s="17">
        <f t="shared" ref="S16:AF16" si="9">SUM(C34:C37)</f>
        <v>27</v>
      </c>
      <c r="T16" s="17">
        <f t="shared" si="9"/>
        <v>6</v>
      </c>
      <c r="U16" s="17">
        <f t="shared" si="9"/>
        <v>14</v>
      </c>
      <c r="V16" s="17">
        <f t="shared" si="9"/>
        <v>14</v>
      </c>
      <c r="W16" s="17">
        <f t="shared" si="9"/>
        <v>0</v>
      </c>
      <c r="X16" s="17">
        <f t="shared" si="9"/>
        <v>0</v>
      </c>
      <c r="Y16" s="17">
        <f t="shared" si="9"/>
        <v>4</v>
      </c>
      <c r="Z16" s="17">
        <f t="shared" si="9"/>
        <v>2</v>
      </c>
      <c r="AA16" s="17">
        <f t="shared" si="9"/>
        <v>5</v>
      </c>
      <c r="AB16" s="17">
        <f t="shared" si="9"/>
        <v>4</v>
      </c>
      <c r="AC16" s="17">
        <f t="shared" si="9"/>
        <v>264</v>
      </c>
      <c r="AD16" s="17">
        <f t="shared" si="9"/>
        <v>0</v>
      </c>
      <c r="AE16" s="31">
        <f t="shared" si="9"/>
        <v>76</v>
      </c>
      <c r="AF16" s="31">
        <f t="shared" si="9"/>
        <v>340</v>
      </c>
    </row>
    <row r="17" spans="2:32" ht="23.1" customHeight="1" x14ac:dyDescent="0.25">
      <c r="B17" s="45" t="s">
        <v>44</v>
      </c>
      <c r="C17" s="50">
        <v>2</v>
      </c>
      <c r="D17" s="50">
        <f t="shared" si="3"/>
        <v>0</v>
      </c>
      <c r="E17" s="50">
        <v>1</v>
      </c>
      <c r="F17" s="50">
        <v>2</v>
      </c>
      <c r="G17" s="50">
        <v>0</v>
      </c>
      <c r="H17" s="50">
        <v>0</v>
      </c>
      <c r="I17" s="50">
        <v>3</v>
      </c>
      <c r="J17" s="50">
        <v>5</v>
      </c>
      <c r="K17" s="50">
        <v>0</v>
      </c>
      <c r="L17" s="50">
        <v>2</v>
      </c>
      <c r="M17" s="50">
        <v>107</v>
      </c>
      <c r="N17" s="50">
        <v>0</v>
      </c>
      <c r="O17" s="15">
        <f t="shared" si="0"/>
        <v>15</v>
      </c>
      <c r="P17" s="15">
        <f t="shared" si="1"/>
        <v>122</v>
      </c>
      <c r="R17" s="1" t="s">
        <v>13</v>
      </c>
      <c r="S17" s="17">
        <f t="shared" ref="S17:AF17" si="10">SUM(C38:C41)</f>
        <v>28</v>
      </c>
      <c r="T17" s="17">
        <f t="shared" si="10"/>
        <v>7</v>
      </c>
      <c r="U17" s="17">
        <f t="shared" si="10"/>
        <v>16</v>
      </c>
      <c r="V17" s="17">
        <f t="shared" si="10"/>
        <v>10</v>
      </c>
      <c r="W17" s="17">
        <f t="shared" si="10"/>
        <v>1</v>
      </c>
      <c r="X17" s="17">
        <f t="shared" si="10"/>
        <v>0</v>
      </c>
      <c r="Y17" s="17">
        <f t="shared" si="10"/>
        <v>2</v>
      </c>
      <c r="Z17" s="17">
        <f t="shared" si="10"/>
        <v>4</v>
      </c>
      <c r="AA17" s="17">
        <f t="shared" si="10"/>
        <v>3</v>
      </c>
      <c r="AB17" s="17">
        <f t="shared" si="10"/>
        <v>3</v>
      </c>
      <c r="AC17" s="17">
        <f t="shared" si="10"/>
        <v>240</v>
      </c>
      <c r="AD17" s="17">
        <f t="shared" si="10"/>
        <v>0</v>
      </c>
      <c r="AE17" s="31">
        <f t="shared" si="10"/>
        <v>74</v>
      </c>
      <c r="AF17" s="31">
        <f t="shared" si="10"/>
        <v>314</v>
      </c>
    </row>
    <row r="18" spans="2:32" ht="23.1" customHeight="1" x14ac:dyDescent="0.25">
      <c r="B18" s="45" t="s">
        <v>45</v>
      </c>
      <c r="C18" s="50">
        <v>2</v>
      </c>
      <c r="D18" s="50">
        <f t="shared" si="3"/>
        <v>0</v>
      </c>
      <c r="E18" s="50">
        <v>1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1</v>
      </c>
      <c r="M18" s="50">
        <v>43</v>
      </c>
      <c r="N18" s="50">
        <v>0</v>
      </c>
      <c r="O18" s="15">
        <f t="shared" si="0"/>
        <v>7</v>
      </c>
      <c r="P18" s="15">
        <f t="shared" si="1"/>
        <v>50</v>
      </c>
      <c r="R18" s="1" t="s">
        <v>14</v>
      </c>
      <c r="S18" s="17">
        <f t="shared" ref="S18:AF18" si="11">SUM(C42:C45)</f>
        <v>26</v>
      </c>
      <c r="T18" s="17">
        <f t="shared" si="11"/>
        <v>7</v>
      </c>
      <c r="U18" s="17">
        <f t="shared" si="11"/>
        <v>16</v>
      </c>
      <c r="V18" s="17">
        <f t="shared" si="11"/>
        <v>10</v>
      </c>
      <c r="W18" s="17">
        <f t="shared" si="11"/>
        <v>1</v>
      </c>
      <c r="X18" s="17">
        <f t="shared" si="11"/>
        <v>3</v>
      </c>
      <c r="Y18" s="17">
        <f t="shared" si="11"/>
        <v>6</v>
      </c>
      <c r="Z18" s="17">
        <f t="shared" si="11"/>
        <v>3</v>
      </c>
      <c r="AA18" s="17">
        <f t="shared" si="11"/>
        <v>11</v>
      </c>
      <c r="AB18" s="17">
        <f t="shared" si="11"/>
        <v>4</v>
      </c>
      <c r="AC18" s="17">
        <f t="shared" si="11"/>
        <v>274</v>
      </c>
      <c r="AD18" s="17">
        <f t="shared" si="11"/>
        <v>0</v>
      </c>
      <c r="AE18" s="31">
        <f t="shared" si="11"/>
        <v>87</v>
      </c>
      <c r="AF18" s="31">
        <f t="shared" si="11"/>
        <v>361</v>
      </c>
    </row>
    <row r="19" spans="2:32" ht="23.1" customHeight="1" x14ac:dyDescent="0.25">
      <c r="B19" s="45" t="s">
        <v>46</v>
      </c>
      <c r="C19" s="50">
        <v>4</v>
      </c>
      <c r="D19" s="50">
        <f t="shared" si="3"/>
        <v>1</v>
      </c>
      <c r="E19" s="50">
        <v>2</v>
      </c>
      <c r="F19" s="50">
        <v>5</v>
      </c>
      <c r="G19" s="50">
        <v>0</v>
      </c>
      <c r="H19" s="50">
        <v>1</v>
      </c>
      <c r="I19" s="50">
        <v>2</v>
      </c>
      <c r="J19" s="50">
        <v>0</v>
      </c>
      <c r="K19" s="50">
        <v>1</v>
      </c>
      <c r="L19" s="50">
        <v>2</v>
      </c>
      <c r="M19" s="50">
        <v>108</v>
      </c>
      <c r="N19" s="50">
        <v>0</v>
      </c>
      <c r="O19" s="15">
        <f t="shared" si="0"/>
        <v>18</v>
      </c>
      <c r="P19" s="15">
        <f t="shared" si="1"/>
        <v>126</v>
      </c>
      <c r="R19" s="1" t="s">
        <v>15</v>
      </c>
      <c r="S19" s="17">
        <f t="shared" ref="S19:AF19" si="12">SUM(C46:C49)</f>
        <v>18</v>
      </c>
      <c r="T19" s="17">
        <f t="shared" si="12"/>
        <v>9</v>
      </c>
      <c r="U19" s="17">
        <f t="shared" si="12"/>
        <v>22</v>
      </c>
      <c r="V19" s="17">
        <f t="shared" si="12"/>
        <v>14</v>
      </c>
      <c r="W19" s="17">
        <f t="shared" si="12"/>
        <v>1</v>
      </c>
      <c r="X19" s="17">
        <f t="shared" si="12"/>
        <v>3</v>
      </c>
      <c r="Y19" s="17">
        <f t="shared" si="12"/>
        <v>4</v>
      </c>
      <c r="Z19" s="17">
        <f t="shared" si="12"/>
        <v>1</v>
      </c>
      <c r="AA19" s="17">
        <f t="shared" si="12"/>
        <v>16</v>
      </c>
      <c r="AB19" s="17">
        <f t="shared" si="12"/>
        <v>4</v>
      </c>
      <c r="AC19" s="17">
        <f t="shared" si="12"/>
        <v>277</v>
      </c>
      <c r="AD19" s="17">
        <f t="shared" si="12"/>
        <v>0</v>
      </c>
      <c r="AE19" s="31">
        <f t="shared" si="12"/>
        <v>92</v>
      </c>
      <c r="AF19" s="31">
        <f t="shared" si="12"/>
        <v>369</v>
      </c>
    </row>
    <row r="20" spans="2:32" ht="23.1" customHeight="1" x14ac:dyDescent="0.25">
      <c r="B20" s="45" t="s">
        <v>47</v>
      </c>
      <c r="C20" s="50">
        <v>2</v>
      </c>
      <c r="D20" s="50">
        <f t="shared" si="3"/>
        <v>1</v>
      </c>
      <c r="E20" s="50">
        <v>2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1</v>
      </c>
      <c r="L20" s="50">
        <v>1</v>
      </c>
      <c r="M20" s="50">
        <v>41</v>
      </c>
      <c r="N20" s="50">
        <v>0</v>
      </c>
      <c r="O20" s="15">
        <f t="shared" si="0"/>
        <v>9</v>
      </c>
      <c r="P20" s="15">
        <f t="shared" si="1"/>
        <v>50</v>
      </c>
      <c r="R20" s="1" t="s">
        <v>16</v>
      </c>
      <c r="S20" s="17">
        <f t="shared" ref="S20:AF20" si="13">SUM(C50:C53)</f>
        <v>33</v>
      </c>
      <c r="T20" s="17">
        <f t="shared" si="13"/>
        <v>9</v>
      </c>
      <c r="U20" s="17">
        <f t="shared" si="13"/>
        <v>21</v>
      </c>
      <c r="V20" s="17">
        <f t="shared" si="13"/>
        <v>13</v>
      </c>
      <c r="W20" s="17">
        <f t="shared" si="13"/>
        <v>0</v>
      </c>
      <c r="X20" s="17">
        <f t="shared" si="13"/>
        <v>0</v>
      </c>
      <c r="Y20" s="17">
        <f t="shared" si="13"/>
        <v>9</v>
      </c>
      <c r="Z20" s="17">
        <f t="shared" si="13"/>
        <v>3</v>
      </c>
      <c r="AA20" s="17">
        <f t="shared" si="13"/>
        <v>6</v>
      </c>
      <c r="AB20" s="17">
        <f t="shared" si="13"/>
        <v>3</v>
      </c>
      <c r="AC20" s="17">
        <f t="shared" si="13"/>
        <v>313</v>
      </c>
      <c r="AD20" s="17">
        <f t="shared" si="13"/>
        <v>0</v>
      </c>
      <c r="AE20" s="31">
        <f t="shared" si="13"/>
        <v>97</v>
      </c>
      <c r="AF20" s="31">
        <f t="shared" si="13"/>
        <v>410</v>
      </c>
    </row>
    <row r="21" spans="2:32" ht="23.1" customHeight="1" x14ac:dyDescent="0.25">
      <c r="B21" s="45" t="s">
        <v>48</v>
      </c>
      <c r="C21" s="50">
        <v>6</v>
      </c>
      <c r="D21" s="50">
        <f t="shared" si="3"/>
        <v>2</v>
      </c>
      <c r="E21" s="50">
        <v>6</v>
      </c>
      <c r="F21" s="50">
        <v>3</v>
      </c>
      <c r="G21" s="50">
        <v>0</v>
      </c>
      <c r="H21" s="50">
        <v>1</v>
      </c>
      <c r="I21" s="50">
        <v>2</v>
      </c>
      <c r="J21" s="50">
        <v>1</v>
      </c>
      <c r="K21" s="50">
        <v>2</v>
      </c>
      <c r="L21" s="50">
        <v>2</v>
      </c>
      <c r="M21" s="50">
        <v>103</v>
      </c>
      <c r="N21" s="50">
        <v>0</v>
      </c>
      <c r="O21" s="15">
        <f t="shared" si="0"/>
        <v>25</v>
      </c>
      <c r="P21" s="15">
        <f t="shared" si="1"/>
        <v>128</v>
      </c>
      <c r="R21" s="36" t="s">
        <v>20</v>
      </c>
      <c r="S21" s="34">
        <f t="shared" ref="S21:AF21" si="14">SUM(C54:C57)</f>
        <v>28</v>
      </c>
      <c r="T21" s="17">
        <f t="shared" si="14"/>
        <v>2</v>
      </c>
      <c r="U21" s="17">
        <f t="shared" si="14"/>
        <v>7</v>
      </c>
      <c r="V21" s="17">
        <f t="shared" si="14"/>
        <v>15</v>
      </c>
      <c r="W21" s="17">
        <f t="shared" si="14"/>
        <v>0</v>
      </c>
      <c r="X21" s="17">
        <f t="shared" si="14"/>
        <v>0</v>
      </c>
      <c r="Y21" s="17">
        <f t="shared" si="14"/>
        <v>7</v>
      </c>
      <c r="Z21" s="17">
        <f t="shared" si="14"/>
        <v>4</v>
      </c>
      <c r="AA21" s="17">
        <f t="shared" si="14"/>
        <v>9</v>
      </c>
      <c r="AB21" s="17">
        <f t="shared" si="14"/>
        <v>1</v>
      </c>
      <c r="AC21" s="17">
        <f t="shared" si="14"/>
        <v>259</v>
      </c>
      <c r="AD21" s="17">
        <f t="shared" si="14"/>
        <v>0</v>
      </c>
      <c r="AE21" s="31">
        <f t="shared" si="14"/>
        <v>73</v>
      </c>
      <c r="AF21" s="31">
        <f t="shared" si="14"/>
        <v>332</v>
      </c>
    </row>
    <row r="22" spans="2:32" ht="23.1" customHeight="1" x14ac:dyDescent="0.25">
      <c r="B22" s="45" t="s">
        <v>49</v>
      </c>
      <c r="C22" s="50">
        <v>3</v>
      </c>
      <c r="D22" s="50">
        <f t="shared" si="3"/>
        <v>1</v>
      </c>
      <c r="E22" s="50">
        <v>2</v>
      </c>
      <c r="F22" s="50">
        <v>1</v>
      </c>
      <c r="G22" s="50">
        <v>0</v>
      </c>
      <c r="H22" s="50">
        <v>0</v>
      </c>
      <c r="I22" s="50">
        <v>0</v>
      </c>
      <c r="J22" s="50">
        <v>1</v>
      </c>
      <c r="K22" s="50">
        <v>2</v>
      </c>
      <c r="L22" s="50">
        <v>1</v>
      </c>
      <c r="M22" s="50">
        <v>38</v>
      </c>
      <c r="N22" s="50">
        <v>0</v>
      </c>
      <c r="O22" s="15">
        <f t="shared" si="0"/>
        <v>11</v>
      </c>
      <c r="P22" s="15">
        <f t="shared" si="1"/>
        <v>49</v>
      </c>
      <c r="R22" s="36" t="s">
        <v>146</v>
      </c>
      <c r="S22" s="34">
        <f>SUM(C58:C61)</f>
        <v>37</v>
      </c>
      <c r="T22" s="34">
        <f t="shared" ref="T22:AF22" si="15">SUM(D58:D61)</f>
        <v>7</v>
      </c>
      <c r="U22" s="34">
        <f t="shared" si="15"/>
        <v>18</v>
      </c>
      <c r="V22" s="34">
        <f t="shared" si="15"/>
        <v>4</v>
      </c>
      <c r="W22" s="34">
        <f t="shared" si="15"/>
        <v>3</v>
      </c>
      <c r="X22" s="34">
        <f t="shared" si="15"/>
        <v>0</v>
      </c>
      <c r="Y22" s="34">
        <f t="shared" si="15"/>
        <v>5</v>
      </c>
      <c r="Z22" s="34">
        <f t="shared" si="15"/>
        <v>3</v>
      </c>
      <c r="AA22" s="34">
        <f t="shared" si="15"/>
        <v>25</v>
      </c>
      <c r="AB22" s="34">
        <f t="shared" si="15"/>
        <v>0</v>
      </c>
      <c r="AC22" s="34">
        <f t="shared" si="15"/>
        <v>329</v>
      </c>
      <c r="AD22" s="34">
        <f t="shared" si="15"/>
        <v>0</v>
      </c>
      <c r="AE22" s="31">
        <f t="shared" si="15"/>
        <v>102</v>
      </c>
      <c r="AF22" s="31">
        <f t="shared" si="15"/>
        <v>431</v>
      </c>
    </row>
    <row r="23" spans="2:32" ht="23.1" customHeight="1" x14ac:dyDescent="0.25">
      <c r="B23" s="45" t="s">
        <v>50</v>
      </c>
      <c r="C23" s="50">
        <v>7</v>
      </c>
      <c r="D23" s="50">
        <f t="shared" si="3"/>
        <v>2</v>
      </c>
      <c r="E23" s="50">
        <v>4</v>
      </c>
      <c r="F23" s="50">
        <v>3</v>
      </c>
      <c r="G23" s="50">
        <v>0</v>
      </c>
      <c r="H23" s="50">
        <v>1</v>
      </c>
      <c r="I23" s="50">
        <v>0</v>
      </c>
      <c r="J23" s="50">
        <v>3</v>
      </c>
      <c r="K23" s="50">
        <v>4</v>
      </c>
      <c r="L23" s="50">
        <v>2</v>
      </c>
      <c r="M23" s="50">
        <v>96</v>
      </c>
      <c r="N23" s="50">
        <v>0</v>
      </c>
      <c r="O23" s="15">
        <f t="shared" si="0"/>
        <v>26</v>
      </c>
      <c r="P23" s="15">
        <f t="shared" si="1"/>
        <v>122</v>
      </c>
      <c r="R23" s="36" t="s">
        <v>147</v>
      </c>
      <c r="S23" s="34">
        <f>SUM(C62:C65)</f>
        <v>13</v>
      </c>
      <c r="T23" s="34">
        <f t="shared" ref="T23:AF23" si="16">SUM(D62:D65)</f>
        <v>6</v>
      </c>
      <c r="U23" s="34">
        <f t="shared" si="16"/>
        <v>15</v>
      </c>
      <c r="V23" s="34">
        <f t="shared" si="16"/>
        <v>8</v>
      </c>
      <c r="W23" s="34">
        <f t="shared" si="16"/>
        <v>0</v>
      </c>
      <c r="X23" s="34">
        <f t="shared" si="16"/>
        <v>0</v>
      </c>
      <c r="Y23" s="34">
        <f t="shared" si="16"/>
        <v>3</v>
      </c>
      <c r="Z23" s="34">
        <f t="shared" si="16"/>
        <v>13</v>
      </c>
      <c r="AA23" s="34">
        <f t="shared" si="16"/>
        <v>8</v>
      </c>
      <c r="AB23" s="34">
        <f t="shared" si="16"/>
        <v>0</v>
      </c>
      <c r="AC23" s="34">
        <f t="shared" si="16"/>
        <v>249</v>
      </c>
      <c r="AD23" s="34">
        <f t="shared" si="16"/>
        <v>0</v>
      </c>
      <c r="AE23" s="31">
        <f t="shared" si="16"/>
        <v>66</v>
      </c>
      <c r="AF23" s="31">
        <f t="shared" si="16"/>
        <v>315</v>
      </c>
    </row>
    <row r="24" spans="2:32" ht="23.1" customHeight="1" x14ac:dyDescent="0.25">
      <c r="B24" s="45" t="s">
        <v>51</v>
      </c>
      <c r="C24" s="50">
        <v>2</v>
      </c>
      <c r="D24" s="50">
        <f t="shared" si="3"/>
        <v>0</v>
      </c>
      <c r="E24" s="50">
        <v>0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1</v>
      </c>
      <c r="L24" s="50">
        <v>2</v>
      </c>
      <c r="M24" s="50">
        <v>36</v>
      </c>
      <c r="N24" s="50">
        <v>0</v>
      </c>
      <c r="O24" s="15">
        <f t="shared" si="0"/>
        <v>7</v>
      </c>
      <c r="P24" s="15">
        <f t="shared" si="1"/>
        <v>43</v>
      </c>
      <c r="R24" s="36" t="s">
        <v>148</v>
      </c>
      <c r="S24" s="34">
        <f>SUM(C66:C69)</f>
        <v>14</v>
      </c>
      <c r="T24" s="34">
        <f t="shared" ref="T24:AF24" si="17">SUM(D66:D69)</f>
        <v>9</v>
      </c>
      <c r="U24" s="34">
        <f t="shared" si="17"/>
        <v>20</v>
      </c>
      <c r="V24" s="34">
        <f t="shared" si="17"/>
        <v>2</v>
      </c>
      <c r="W24" s="34">
        <f t="shared" si="17"/>
        <v>0</v>
      </c>
      <c r="X24" s="34">
        <f t="shared" si="17"/>
        <v>0</v>
      </c>
      <c r="Y24" s="34">
        <f t="shared" si="17"/>
        <v>0</v>
      </c>
      <c r="Z24" s="34">
        <f t="shared" si="17"/>
        <v>1</v>
      </c>
      <c r="AA24" s="34">
        <f t="shared" si="17"/>
        <v>10</v>
      </c>
      <c r="AB24" s="34">
        <f t="shared" si="17"/>
        <v>1</v>
      </c>
      <c r="AC24" s="34">
        <f t="shared" si="17"/>
        <v>66</v>
      </c>
      <c r="AD24" s="34">
        <f t="shared" si="17"/>
        <v>0</v>
      </c>
      <c r="AE24" s="31">
        <f t="shared" si="17"/>
        <v>57</v>
      </c>
      <c r="AF24" s="31">
        <f t="shared" si="17"/>
        <v>123</v>
      </c>
    </row>
    <row r="25" spans="2:32" ht="23.1" customHeight="1" x14ac:dyDescent="0.25">
      <c r="B25" s="45" t="s">
        <v>52</v>
      </c>
      <c r="C25" s="50">
        <v>5</v>
      </c>
      <c r="D25" s="50">
        <f t="shared" si="3"/>
        <v>0</v>
      </c>
      <c r="E25" s="50">
        <v>1</v>
      </c>
      <c r="F25" s="50">
        <v>6</v>
      </c>
      <c r="G25" s="50">
        <v>0</v>
      </c>
      <c r="H25" s="50">
        <v>0</v>
      </c>
      <c r="I25" s="50">
        <v>0</v>
      </c>
      <c r="J25" s="50">
        <v>0</v>
      </c>
      <c r="K25" s="50">
        <v>3</v>
      </c>
      <c r="L25" s="50">
        <v>3</v>
      </c>
      <c r="M25" s="50">
        <v>90</v>
      </c>
      <c r="N25" s="50">
        <v>1</v>
      </c>
      <c r="O25" s="15">
        <f t="shared" si="0"/>
        <v>19</v>
      </c>
      <c r="P25" s="15">
        <f t="shared" si="1"/>
        <v>109</v>
      </c>
      <c r="R25" s="36" t="s">
        <v>149</v>
      </c>
      <c r="S25" s="34">
        <f>SUM(C70:C73)</f>
        <v>13</v>
      </c>
      <c r="T25" s="34">
        <f t="shared" ref="T25:AF25" si="18">SUM(D70:D73)</f>
        <v>9</v>
      </c>
      <c r="U25" s="34">
        <f t="shared" si="18"/>
        <v>20</v>
      </c>
      <c r="V25" s="34">
        <f t="shared" si="18"/>
        <v>1</v>
      </c>
      <c r="W25" s="34">
        <f t="shared" si="18"/>
        <v>0</v>
      </c>
      <c r="X25" s="34">
        <f t="shared" si="18"/>
        <v>0</v>
      </c>
      <c r="Y25" s="34">
        <f t="shared" si="18"/>
        <v>0</v>
      </c>
      <c r="Z25" s="34">
        <f t="shared" si="18"/>
        <v>4</v>
      </c>
      <c r="AA25" s="34">
        <f t="shared" si="18"/>
        <v>7</v>
      </c>
      <c r="AB25" s="34">
        <f t="shared" si="18"/>
        <v>0</v>
      </c>
      <c r="AC25" s="34">
        <f t="shared" si="18"/>
        <v>29</v>
      </c>
      <c r="AD25" s="34">
        <f t="shared" si="18"/>
        <v>0</v>
      </c>
      <c r="AE25" s="31">
        <f t="shared" si="18"/>
        <v>54</v>
      </c>
      <c r="AF25" s="31">
        <f t="shared" si="18"/>
        <v>83</v>
      </c>
    </row>
    <row r="26" spans="2:32" ht="23.1" customHeight="1" x14ac:dyDescent="0.25">
      <c r="B26" s="45" t="s">
        <v>53</v>
      </c>
      <c r="C26" s="50">
        <v>4</v>
      </c>
      <c r="D26" s="50">
        <f t="shared" si="3"/>
        <v>0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1</v>
      </c>
      <c r="K26" s="50">
        <v>3</v>
      </c>
      <c r="L26" s="50">
        <v>0</v>
      </c>
      <c r="M26" s="50">
        <v>34</v>
      </c>
      <c r="N26" s="50">
        <v>0</v>
      </c>
      <c r="O26" s="15">
        <f t="shared" si="0"/>
        <v>10</v>
      </c>
      <c r="P26" s="15">
        <f t="shared" si="1"/>
        <v>44</v>
      </c>
      <c r="R26" s="36" t="s">
        <v>150</v>
      </c>
      <c r="S26" s="34">
        <f>SUM(C74:C77)</f>
        <v>2</v>
      </c>
      <c r="T26" s="34">
        <f t="shared" ref="T26:AF26" si="19">SUM(D74:D77)</f>
        <v>0</v>
      </c>
      <c r="U26" s="34">
        <f t="shared" si="19"/>
        <v>1</v>
      </c>
      <c r="V26" s="34">
        <f t="shared" si="19"/>
        <v>4</v>
      </c>
      <c r="W26" s="34">
        <f t="shared" si="19"/>
        <v>0</v>
      </c>
      <c r="X26" s="34">
        <f t="shared" si="19"/>
        <v>1</v>
      </c>
      <c r="Y26" s="34">
        <f t="shared" si="19"/>
        <v>1</v>
      </c>
      <c r="Z26" s="34">
        <f t="shared" si="19"/>
        <v>0</v>
      </c>
      <c r="AA26" s="34">
        <f t="shared" si="19"/>
        <v>2</v>
      </c>
      <c r="AB26" s="34">
        <f t="shared" si="19"/>
        <v>1</v>
      </c>
      <c r="AC26" s="34">
        <f t="shared" si="19"/>
        <v>18</v>
      </c>
      <c r="AD26" s="34">
        <f t="shared" si="19"/>
        <v>0</v>
      </c>
      <c r="AE26" s="31">
        <f t="shared" si="19"/>
        <v>12</v>
      </c>
      <c r="AF26" s="31">
        <f t="shared" si="19"/>
        <v>30</v>
      </c>
    </row>
    <row r="27" spans="2:32" ht="23.1" customHeight="1" x14ac:dyDescent="0.25">
      <c r="B27" s="45" t="s">
        <v>54</v>
      </c>
      <c r="C27" s="50">
        <v>9</v>
      </c>
      <c r="D27" s="50">
        <f t="shared" si="3"/>
        <v>1</v>
      </c>
      <c r="E27" s="50">
        <v>2</v>
      </c>
      <c r="F27" s="50">
        <v>2</v>
      </c>
      <c r="G27" s="50">
        <v>0</v>
      </c>
      <c r="H27" s="50">
        <v>0</v>
      </c>
      <c r="I27" s="50">
        <v>1</v>
      </c>
      <c r="J27" s="50">
        <v>2</v>
      </c>
      <c r="K27" s="50">
        <v>7</v>
      </c>
      <c r="L27" s="50">
        <v>1</v>
      </c>
      <c r="M27" s="50">
        <v>86</v>
      </c>
      <c r="N27" s="50">
        <v>0</v>
      </c>
      <c r="O27" s="15">
        <f t="shared" si="0"/>
        <v>25</v>
      </c>
      <c r="P27" s="15">
        <f t="shared" si="1"/>
        <v>111</v>
      </c>
      <c r="R27" s="36" t="s">
        <v>151</v>
      </c>
      <c r="S27" s="34">
        <f>SUM(C78:C81)</f>
        <v>1</v>
      </c>
      <c r="T27" s="34">
        <f t="shared" ref="T27:AF27" si="20">SUM(D78:D81)</f>
        <v>3</v>
      </c>
      <c r="U27" s="34">
        <f t="shared" si="20"/>
        <v>6</v>
      </c>
      <c r="V27" s="34">
        <f t="shared" si="20"/>
        <v>8</v>
      </c>
      <c r="W27" s="34">
        <f t="shared" si="20"/>
        <v>0</v>
      </c>
      <c r="X27" s="34">
        <f t="shared" si="20"/>
        <v>1</v>
      </c>
      <c r="Y27" s="34">
        <f t="shared" si="20"/>
        <v>0</v>
      </c>
      <c r="Z27" s="34">
        <f t="shared" si="20"/>
        <v>2</v>
      </c>
      <c r="AA27" s="34">
        <f t="shared" si="20"/>
        <v>0</v>
      </c>
      <c r="AB27" s="34">
        <f t="shared" si="20"/>
        <v>0</v>
      </c>
      <c r="AC27" s="34">
        <f t="shared" si="20"/>
        <v>5</v>
      </c>
      <c r="AD27" s="34">
        <f t="shared" si="20"/>
        <v>0</v>
      </c>
      <c r="AE27" s="31">
        <f t="shared" si="20"/>
        <v>21</v>
      </c>
      <c r="AF27" s="31">
        <f t="shared" si="20"/>
        <v>26</v>
      </c>
    </row>
    <row r="28" spans="2:32" ht="23.1" customHeight="1" x14ac:dyDescent="0.25">
      <c r="B28" s="45" t="s">
        <v>55</v>
      </c>
      <c r="C28" s="50">
        <v>3</v>
      </c>
      <c r="D28" s="50">
        <f t="shared" si="3"/>
        <v>1</v>
      </c>
      <c r="E28" s="50">
        <v>2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2</v>
      </c>
      <c r="M28" s="50">
        <v>26</v>
      </c>
      <c r="N28" s="50">
        <v>0</v>
      </c>
      <c r="O28" s="15">
        <f t="shared" si="0"/>
        <v>11</v>
      </c>
      <c r="P28" s="15">
        <f t="shared" si="1"/>
        <v>37</v>
      </c>
      <c r="R28" s="36" t="s">
        <v>152</v>
      </c>
      <c r="S28" s="34">
        <f>SUM(C82:C85)</f>
        <v>2</v>
      </c>
      <c r="T28" s="34">
        <f t="shared" ref="T28:AF28" si="21">SUM(D82:D85)</f>
        <v>1</v>
      </c>
      <c r="U28" s="34">
        <f t="shared" si="21"/>
        <v>4</v>
      </c>
      <c r="V28" s="34">
        <f t="shared" si="21"/>
        <v>4</v>
      </c>
      <c r="W28" s="34">
        <f t="shared" si="21"/>
        <v>0</v>
      </c>
      <c r="X28" s="34">
        <f t="shared" si="21"/>
        <v>0</v>
      </c>
      <c r="Y28" s="34">
        <f t="shared" si="21"/>
        <v>0</v>
      </c>
      <c r="Z28" s="34">
        <f t="shared" si="21"/>
        <v>3</v>
      </c>
      <c r="AA28" s="34">
        <f t="shared" si="21"/>
        <v>1</v>
      </c>
      <c r="AB28" s="34">
        <f t="shared" si="21"/>
        <v>0</v>
      </c>
      <c r="AC28" s="34">
        <f t="shared" si="21"/>
        <v>11</v>
      </c>
      <c r="AD28" s="34">
        <f t="shared" si="21"/>
        <v>0</v>
      </c>
      <c r="AE28" s="31">
        <f t="shared" si="21"/>
        <v>15</v>
      </c>
      <c r="AF28" s="31">
        <f t="shared" si="21"/>
        <v>26</v>
      </c>
    </row>
    <row r="29" spans="2:32" ht="23.1" customHeight="1" x14ac:dyDescent="0.25">
      <c r="B29" s="45" t="s">
        <v>56</v>
      </c>
      <c r="C29" s="50">
        <v>7</v>
      </c>
      <c r="D29" s="50">
        <f t="shared" si="3"/>
        <v>2</v>
      </c>
      <c r="E29" s="50">
        <v>6</v>
      </c>
      <c r="F29" s="50">
        <v>6</v>
      </c>
      <c r="G29" s="50">
        <v>0</v>
      </c>
      <c r="H29" s="50">
        <v>0</v>
      </c>
      <c r="I29" s="50">
        <v>0</v>
      </c>
      <c r="J29" s="50">
        <v>1</v>
      </c>
      <c r="K29" s="50">
        <v>2</v>
      </c>
      <c r="L29" s="50">
        <v>4</v>
      </c>
      <c r="M29" s="50">
        <v>64</v>
      </c>
      <c r="N29" s="50">
        <v>0</v>
      </c>
      <c r="O29" s="15">
        <f t="shared" si="0"/>
        <v>28</v>
      </c>
      <c r="P29" s="15">
        <f t="shared" si="1"/>
        <v>92</v>
      </c>
      <c r="R29" s="36" t="s">
        <v>153</v>
      </c>
      <c r="S29" s="34">
        <f>SUM(C86:C89)</f>
        <v>0</v>
      </c>
      <c r="T29" s="34">
        <f t="shared" ref="T29:AF29" si="22">SUM(D86:D89)</f>
        <v>0</v>
      </c>
      <c r="U29" s="34">
        <f t="shared" si="22"/>
        <v>1</v>
      </c>
      <c r="V29" s="34">
        <f t="shared" si="22"/>
        <v>0</v>
      </c>
      <c r="W29" s="34">
        <f t="shared" si="22"/>
        <v>0</v>
      </c>
      <c r="X29" s="34">
        <f t="shared" si="22"/>
        <v>0</v>
      </c>
      <c r="Y29" s="34">
        <f t="shared" si="22"/>
        <v>0</v>
      </c>
      <c r="Z29" s="34">
        <f t="shared" si="22"/>
        <v>0</v>
      </c>
      <c r="AA29" s="34">
        <f t="shared" si="22"/>
        <v>3</v>
      </c>
      <c r="AB29" s="34">
        <f t="shared" si="22"/>
        <v>3</v>
      </c>
      <c r="AC29" s="34">
        <f t="shared" si="22"/>
        <v>1</v>
      </c>
      <c r="AD29" s="34">
        <f t="shared" si="22"/>
        <v>0</v>
      </c>
      <c r="AE29" s="31">
        <f t="shared" si="22"/>
        <v>7</v>
      </c>
      <c r="AF29" s="31">
        <f t="shared" si="22"/>
        <v>8</v>
      </c>
    </row>
    <row r="30" spans="2:32" ht="23.1" customHeight="1" x14ac:dyDescent="0.25">
      <c r="B30" s="45" t="s">
        <v>57</v>
      </c>
      <c r="C30" s="50">
        <v>2</v>
      </c>
      <c r="D30" s="50">
        <f t="shared" si="3"/>
        <v>1</v>
      </c>
      <c r="E30" s="50">
        <v>2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29</v>
      </c>
      <c r="N30" s="50">
        <v>0</v>
      </c>
      <c r="O30" s="15">
        <f t="shared" si="0"/>
        <v>7</v>
      </c>
      <c r="P30" s="15">
        <f t="shared" si="1"/>
        <v>36</v>
      </c>
      <c r="R30" s="36" t="s">
        <v>154</v>
      </c>
      <c r="S30" s="34">
        <f>SUM(C90:C93)</f>
        <v>0</v>
      </c>
      <c r="T30" s="34">
        <f t="shared" ref="T30:AF30" si="23">SUM(D90:D93)</f>
        <v>0</v>
      </c>
      <c r="U30" s="34">
        <f t="shared" si="23"/>
        <v>0</v>
      </c>
      <c r="V30" s="34">
        <f t="shared" si="23"/>
        <v>0</v>
      </c>
      <c r="W30" s="34">
        <f t="shared" si="23"/>
        <v>0</v>
      </c>
      <c r="X30" s="34">
        <f t="shared" si="23"/>
        <v>0</v>
      </c>
      <c r="Y30" s="34">
        <f t="shared" si="23"/>
        <v>0</v>
      </c>
      <c r="Z30" s="34">
        <f t="shared" si="23"/>
        <v>0</v>
      </c>
      <c r="AA30" s="34">
        <f t="shared" si="23"/>
        <v>0</v>
      </c>
      <c r="AB30" s="34">
        <f t="shared" si="23"/>
        <v>1</v>
      </c>
      <c r="AC30" s="34">
        <f t="shared" si="23"/>
        <v>0</v>
      </c>
      <c r="AD30" s="34">
        <f t="shared" si="23"/>
        <v>0</v>
      </c>
      <c r="AE30" s="31">
        <f t="shared" si="23"/>
        <v>1</v>
      </c>
      <c r="AF30" s="31">
        <f t="shared" si="23"/>
        <v>1</v>
      </c>
    </row>
    <row r="31" spans="2:32" ht="23.1" customHeight="1" x14ac:dyDescent="0.25">
      <c r="B31" s="46" t="s">
        <v>58</v>
      </c>
      <c r="C31" s="50">
        <v>6</v>
      </c>
      <c r="D31" s="50">
        <f t="shared" si="3"/>
        <v>2</v>
      </c>
      <c r="E31" s="50">
        <v>4</v>
      </c>
      <c r="F31" s="50">
        <v>4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1</v>
      </c>
      <c r="M31" s="50">
        <v>73</v>
      </c>
      <c r="N31" s="50">
        <v>0</v>
      </c>
      <c r="O31" s="15">
        <f t="shared" si="0"/>
        <v>18</v>
      </c>
      <c r="P31" s="15">
        <f t="shared" si="1"/>
        <v>91</v>
      </c>
      <c r="R31" s="36" t="s">
        <v>155</v>
      </c>
      <c r="S31" s="34">
        <f>SUM(C94:C97)</f>
        <v>4</v>
      </c>
      <c r="T31" s="34">
        <f t="shared" ref="T31:AF31" si="24">SUM(D94:D97)</f>
        <v>0</v>
      </c>
      <c r="U31" s="34">
        <f t="shared" si="24"/>
        <v>0</v>
      </c>
      <c r="V31" s="34">
        <f t="shared" si="24"/>
        <v>0</v>
      </c>
      <c r="W31" s="34">
        <f t="shared" si="24"/>
        <v>0</v>
      </c>
      <c r="X31" s="34">
        <f t="shared" si="24"/>
        <v>0</v>
      </c>
      <c r="Y31" s="34">
        <f t="shared" si="24"/>
        <v>0</v>
      </c>
      <c r="Z31" s="34">
        <f t="shared" si="24"/>
        <v>0</v>
      </c>
      <c r="AA31" s="34">
        <f t="shared" si="24"/>
        <v>3</v>
      </c>
      <c r="AB31" s="34">
        <f t="shared" si="24"/>
        <v>2</v>
      </c>
      <c r="AC31" s="34">
        <f t="shared" si="24"/>
        <v>0</v>
      </c>
      <c r="AD31" s="34">
        <f t="shared" si="24"/>
        <v>0</v>
      </c>
      <c r="AE31" s="31">
        <f t="shared" si="24"/>
        <v>9</v>
      </c>
      <c r="AF31" s="31">
        <f t="shared" si="24"/>
        <v>9</v>
      </c>
    </row>
    <row r="32" spans="2:32" ht="23.1" customHeight="1" x14ac:dyDescent="0.25">
      <c r="B32" s="46" t="s">
        <v>59</v>
      </c>
      <c r="C32" s="50">
        <v>3</v>
      </c>
      <c r="D32" s="50">
        <f t="shared" si="3"/>
        <v>1</v>
      </c>
      <c r="E32" s="50">
        <v>3</v>
      </c>
      <c r="F32" s="50">
        <v>1</v>
      </c>
      <c r="G32" s="50">
        <v>0</v>
      </c>
      <c r="H32" s="50">
        <v>0</v>
      </c>
      <c r="I32" s="50">
        <v>0</v>
      </c>
      <c r="J32" s="50">
        <v>1</v>
      </c>
      <c r="K32" s="50">
        <v>2</v>
      </c>
      <c r="L32" s="50">
        <v>0</v>
      </c>
      <c r="M32" s="50">
        <v>36</v>
      </c>
      <c r="N32" s="50">
        <v>0</v>
      </c>
      <c r="O32" s="15">
        <f t="shared" si="0"/>
        <v>11</v>
      </c>
      <c r="P32" s="15">
        <f t="shared" si="1"/>
        <v>47</v>
      </c>
      <c r="R32" s="33" t="s">
        <v>156</v>
      </c>
      <c r="S32" s="34">
        <f>SUM(C98:C101)</f>
        <v>7</v>
      </c>
      <c r="T32" s="34">
        <f t="shared" ref="T32:AF32" si="25">SUM(D98:D101)</f>
        <v>1</v>
      </c>
      <c r="U32" s="34">
        <f t="shared" si="25"/>
        <v>4</v>
      </c>
      <c r="V32" s="34">
        <f t="shared" si="25"/>
        <v>5</v>
      </c>
      <c r="W32" s="34">
        <f t="shared" si="25"/>
        <v>0</v>
      </c>
      <c r="X32" s="34">
        <f t="shared" si="25"/>
        <v>0</v>
      </c>
      <c r="Y32" s="34">
        <f t="shared" si="25"/>
        <v>0</v>
      </c>
      <c r="Z32" s="34">
        <f t="shared" si="25"/>
        <v>0</v>
      </c>
      <c r="AA32" s="34">
        <f t="shared" si="25"/>
        <v>5</v>
      </c>
      <c r="AB32" s="34">
        <f t="shared" si="25"/>
        <v>4</v>
      </c>
      <c r="AC32" s="34">
        <f t="shared" si="25"/>
        <v>11</v>
      </c>
      <c r="AD32" s="34">
        <f t="shared" si="25"/>
        <v>0</v>
      </c>
      <c r="AE32" s="31">
        <f t="shared" si="25"/>
        <v>26</v>
      </c>
      <c r="AF32" s="31">
        <f t="shared" si="25"/>
        <v>37</v>
      </c>
    </row>
    <row r="33" spans="2:32" ht="23.1" customHeight="1" x14ac:dyDescent="0.25">
      <c r="B33" s="45" t="s">
        <v>60</v>
      </c>
      <c r="C33" s="50">
        <v>7</v>
      </c>
      <c r="D33" s="50">
        <f t="shared" si="3"/>
        <v>3</v>
      </c>
      <c r="E33" s="50">
        <v>8</v>
      </c>
      <c r="F33" s="50">
        <v>2</v>
      </c>
      <c r="G33" s="50">
        <v>1</v>
      </c>
      <c r="H33" s="50">
        <v>0</v>
      </c>
      <c r="I33" s="50">
        <v>1</v>
      </c>
      <c r="J33" s="50">
        <v>3</v>
      </c>
      <c r="K33" s="50">
        <v>6</v>
      </c>
      <c r="L33" s="50">
        <v>0</v>
      </c>
      <c r="M33" s="50">
        <v>89</v>
      </c>
      <c r="N33" s="50">
        <v>0</v>
      </c>
      <c r="O33" s="15">
        <f t="shared" si="0"/>
        <v>31</v>
      </c>
      <c r="P33" s="15">
        <f t="shared" si="1"/>
        <v>120</v>
      </c>
      <c r="R33" s="33" t="s">
        <v>157</v>
      </c>
      <c r="S33" s="34">
        <f>SUM(C102:C105)</f>
        <v>10</v>
      </c>
      <c r="T33" s="34">
        <f t="shared" ref="T33:AF33" si="26">SUM(D102:D105)</f>
        <v>1</v>
      </c>
      <c r="U33" s="34">
        <f t="shared" si="26"/>
        <v>5</v>
      </c>
      <c r="V33" s="34">
        <f t="shared" si="26"/>
        <v>9</v>
      </c>
      <c r="W33" s="34">
        <f t="shared" si="26"/>
        <v>0</v>
      </c>
      <c r="X33" s="34">
        <f t="shared" si="26"/>
        <v>0</v>
      </c>
      <c r="Y33" s="34">
        <f t="shared" si="26"/>
        <v>0</v>
      </c>
      <c r="Z33" s="34">
        <f t="shared" si="26"/>
        <v>1</v>
      </c>
      <c r="AA33" s="34">
        <f t="shared" si="26"/>
        <v>3</v>
      </c>
      <c r="AB33" s="34">
        <f t="shared" si="26"/>
        <v>2</v>
      </c>
      <c r="AC33" s="34">
        <f t="shared" si="26"/>
        <v>23</v>
      </c>
      <c r="AD33" s="34">
        <f t="shared" si="26"/>
        <v>0</v>
      </c>
      <c r="AE33" s="31">
        <f t="shared" si="26"/>
        <v>31</v>
      </c>
      <c r="AF33" s="31">
        <f t="shared" si="26"/>
        <v>54</v>
      </c>
    </row>
    <row r="34" spans="2:32" ht="23.1" customHeight="1" x14ac:dyDescent="0.25">
      <c r="B34" s="46" t="s">
        <v>61</v>
      </c>
      <c r="C34" s="50">
        <v>3</v>
      </c>
      <c r="D34" s="50">
        <f t="shared" si="3"/>
        <v>1</v>
      </c>
      <c r="E34" s="50">
        <v>2</v>
      </c>
      <c r="F34" s="50">
        <v>2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34</v>
      </c>
      <c r="N34" s="50">
        <v>0</v>
      </c>
      <c r="O34" s="15">
        <f t="shared" si="0"/>
        <v>9</v>
      </c>
      <c r="P34" s="15">
        <f t="shared" si="1"/>
        <v>43</v>
      </c>
      <c r="R34" s="38" t="s">
        <v>90</v>
      </c>
      <c r="S34" s="39">
        <f t="shared" ref="S34:AF34" si="27">MAX(S10:S12)</f>
        <v>14</v>
      </c>
      <c r="T34" s="39">
        <f t="shared" si="27"/>
        <v>4</v>
      </c>
      <c r="U34" s="39">
        <f t="shared" si="27"/>
        <v>11</v>
      </c>
      <c r="V34" s="39">
        <f t="shared" si="27"/>
        <v>11</v>
      </c>
      <c r="W34" s="39">
        <f t="shared" si="27"/>
        <v>1</v>
      </c>
      <c r="X34" s="39">
        <f t="shared" si="27"/>
        <v>2</v>
      </c>
      <c r="Y34" s="39">
        <f t="shared" si="27"/>
        <v>6</v>
      </c>
      <c r="Z34" s="39">
        <f t="shared" si="27"/>
        <v>7</v>
      </c>
      <c r="AA34" s="39">
        <f t="shared" si="27"/>
        <v>4</v>
      </c>
      <c r="AB34" s="39">
        <f t="shared" si="27"/>
        <v>6</v>
      </c>
      <c r="AC34" s="39">
        <f t="shared" si="27"/>
        <v>295</v>
      </c>
      <c r="AD34" s="39">
        <f t="shared" si="27"/>
        <v>0</v>
      </c>
      <c r="AE34" s="40">
        <f t="shared" si="27"/>
        <v>59</v>
      </c>
      <c r="AF34" s="40">
        <f t="shared" si="27"/>
        <v>354</v>
      </c>
    </row>
    <row r="35" spans="2:32" ht="23.1" customHeight="1" x14ac:dyDescent="0.25">
      <c r="B35" s="46" t="s">
        <v>62</v>
      </c>
      <c r="C35" s="50">
        <v>7</v>
      </c>
      <c r="D35" s="50">
        <f t="shared" si="3"/>
        <v>2</v>
      </c>
      <c r="E35" s="50">
        <v>6</v>
      </c>
      <c r="F35" s="50">
        <v>4</v>
      </c>
      <c r="G35" s="50">
        <v>0</v>
      </c>
      <c r="H35" s="50">
        <v>0</v>
      </c>
      <c r="I35" s="50">
        <v>2</v>
      </c>
      <c r="J35" s="50">
        <v>1</v>
      </c>
      <c r="K35" s="50">
        <v>1</v>
      </c>
      <c r="L35" s="50">
        <v>0</v>
      </c>
      <c r="M35" s="50">
        <v>86</v>
      </c>
      <c r="N35" s="50">
        <v>0</v>
      </c>
      <c r="O35" s="15">
        <f t="shared" si="0"/>
        <v>23</v>
      </c>
      <c r="P35" s="15">
        <f t="shared" si="1"/>
        <v>109</v>
      </c>
      <c r="R35" s="38" t="s">
        <v>91</v>
      </c>
      <c r="S35" s="39">
        <f t="shared" ref="S35:AF35" si="28">MAX(S13:S18)</f>
        <v>28</v>
      </c>
      <c r="T35" s="39">
        <f t="shared" si="28"/>
        <v>7</v>
      </c>
      <c r="U35" s="39">
        <f t="shared" si="28"/>
        <v>17</v>
      </c>
      <c r="V35" s="39">
        <f t="shared" si="28"/>
        <v>14</v>
      </c>
      <c r="W35" s="39">
        <f t="shared" si="28"/>
        <v>1</v>
      </c>
      <c r="X35" s="39">
        <f t="shared" si="28"/>
        <v>3</v>
      </c>
      <c r="Y35" s="39">
        <f t="shared" si="28"/>
        <v>6</v>
      </c>
      <c r="Z35" s="39">
        <f t="shared" si="28"/>
        <v>4</v>
      </c>
      <c r="AA35" s="39">
        <f t="shared" si="28"/>
        <v>13</v>
      </c>
      <c r="AB35" s="39">
        <f t="shared" si="28"/>
        <v>8</v>
      </c>
      <c r="AC35" s="39">
        <f t="shared" si="28"/>
        <v>274</v>
      </c>
      <c r="AD35" s="39">
        <f t="shared" si="28"/>
        <v>1</v>
      </c>
      <c r="AE35" s="40">
        <f t="shared" si="28"/>
        <v>87</v>
      </c>
      <c r="AF35" s="40">
        <f t="shared" si="28"/>
        <v>361</v>
      </c>
    </row>
    <row r="36" spans="2:32" ht="23.1" customHeight="1" x14ac:dyDescent="0.25">
      <c r="B36" s="46" t="s">
        <v>63</v>
      </c>
      <c r="C36" s="50">
        <v>5</v>
      </c>
      <c r="D36" s="50">
        <f t="shared" si="3"/>
        <v>1</v>
      </c>
      <c r="E36" s="50">
        <v>2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1</v>
      </c>
      <c r="M36" s="50">
        <v>41</v>
      </c>
      <c r="N36" s="50">
        <v>0</v>
      </c>
      <c r="O36" s="15">
        <f t="shared" si="0"/>
        <v>12</v>
      </c>
      <c r="P36" s="15">
        <f t="shared" si="1"/>
        <v>53</v>
      </c>
      <c r="R36" s="38" t="s">
        <v>92</v>
      </c>
      <c r="S36" s="39">
        <f t="shared" ref="S36:AF36" si="29">MAX(S19:S21)</f>
        <v>33</v>
      </c>
      <c r="T36" s="39">
        <f t="shared" si="29"/>
        <v>9</v>
      </c>
      <c r="U36" s="39">
        <f t="shared" si="29"/>
        <v>22</v>
      </c>
      <c r="V36" s="39">
        <f t="shared" si="29"/>
        <v>15</v>
      </c>
      <c r="W36" s="39">
        <f t="shared" si="29"/>
        <v>1</v>
      </c>
      <c r="X36" s="39">
        <f t="shared" si="29"/>
        <v>3</v>
      </c>
      <c r="Y36" s="39">
        <f t="shared" si="29"/>
        <v>9</v>
      </c>
      <c r="Z36" s="39">
        <f t="shared" si="29"/>
        <v>4</v>
      </c>
      <c r="AA36" s="39">
        <f t="shared" si="29"/>
        <v>16</v>
      </c>
      <c r="AB36" s="39">
        <f t="shared" si="29"/>
        <v>4</v>
      </c>
      <c r="AC36" s="39">
        <f t="shared" si="29"/>
        <v>313</v>
      </c>
      <c r="AD36" s="39">
        <f t="shared" si="29"/>
        <v>0</v>
      </c>
      <c r="AE36" s="40">
        <f t="shared" si="29"/>
        <v>97</v>
      </c>
      <c r="AF36" s="40">
        <f t="shared" si="29"/>
        <v>410</v>
      </c>
    </row>
    <row r="37" spans="2:32" ht="23.1" customHeight="1" x14ac:dyDescent="0.25">
      <c r="B37" s="45" t="s">
        <v>64</v>
      </c>
      <c r="C37" s="50">
        <v>12</v>
      </c>
      <c r="D37" s="50">
        <f t="shared" si="3"/>
        <v>2</v>
      </c>
      <c r="E37" s="50">
        <v>4</v>
      </c>
      <c r="F37" s="50">
        <v>6</v>
      </c>
      <c r="G37" s="50">
        <v>0</v>
      </c>
      <c r="H37" s="50">
        <v>0</v>
      </c>
      <c r="I37" s="50">
        <v>1</v>
      </c>
      <c r="J37" s="50">
        <v>1</v>
      </c>
      <c r="K37" s="50">
        <v>3</v>
      </c>
      <c r="L37" s="50">
        <v>3</v>
      </c>
      <c r="M37" s="50">
        <v>103</v>
      </c>
      <c r="N37" s="50">
        <v>0</v>
      </c>
      <c r="O37" s="15">
        <f t="shared" si="0"/>
        <v>32</v>
      </c>
      <c r="P37" s="15">
        <f t="shared" si="1"/>
        <v>135</v>
      </c>
      <c r="R37" s="37" t="s">
        <v>85</v>
      </c>
      <c r="S37" s="35">
        <f t="shared" ref="S37:AF37" si="30">SUM(S10:S12)</f>
        <v>30</v>
      </c>
      <c r="T37" s="16">
        <f t="shared" si="30"/>
        <v>6</v>
      </c>
      <c r="U37" s="16">
        <f t="shared" si="30"/>
        <v>19</v>
      </c>
      <c r="V37" s="16">
        <f t="shared" si="30"/>
        <v>23</v>
      </c>
      <c r="W37" s="16">
        <f t="shared" si="30"/>
        <v>1</v>
      </c>
      <c r="X37" s="16">
        <f t="shared" si="30"/>
        <v>2</v>
      </c>
      <c r="Y37" s="16">
        <f t="shared" si="30"/>
        <v>11</v>
      </c>
      <c r="Z37" s="16">
        <f t="shared" si="30"/>
        <v>8</v>
      </c>
      <c r="AA37" s="16">
        <f t="shared" si="30"/>
        <v>4</v>
      </c>
      <c r="AB37" s="16">
        <f t="shared" si="30"/>
        <v>9</v>
      </c>
      <c r="AC37" s="16">
        <f t="shared" si="30"/>
        <v>678</v>
      </c>
      <c r="AD37" s="16">
        <f t="shared" si="30"/>
        <v>0</v>
      </c>
      <c r="AE37" s="32">
        <f t="shared" si="30"/>
        <v>113</v>
      </c>
      <c r="AF37" s="32">
        <f t="shared" si="30"/>
        <v>791</v>
      </c>
    </row>
    <row r="38" spans="2:32" ht="23.1" customHeight="1" x14ac:dyDescent="0.25">
      <c r="B38" s="46" t="s">
        <v>65</v>
      </c>
      <c r="C38" s="50">
        <v>5</v>
      </c>
      <c r="D38" s="50">
        <f t="shared" si="3"/>
        <v>1</v>
      </c>
      <c r="E38" s="50">
        <v>3</v>
      </c>
      <c r="F38" s="50">
        <v>2</v>
      </c>
      <c r="G38" s="50">
        <v>0</v>
      </c>
      <c r="H38" s="50">
        <v>0</v>
      </c>
      <c r="I38" s="50">
        <v>0</v>
      </c>
      <c r="J38" s="50">
        <v>1</v>
      </c>
      <c r="K38" s="50">
        <v>0</v>
      </c>
      <c r="L38" s="50">
        <v>0</v>
      </c>
      <c r="M38" s="50">
        <v>30</v>
      </c>
      <c r="N38" s="50">
        <v>0</v>
      </c>
      <c r="O38" s="15">
        <f t="shared" si="0"/>
        <v>12</v>
      </c>
      <c r="P38" s="15">
        <f t="shared" si="1"/>
        <v>42</v>
      </c>
      <c r="R38" s="28" t="s">
        <v>86</v>
      </c>
      <c r="S38" s="16">
        <f t="shared" ref="S38:AF38" si="31">SUM(S13:S18)</f>
        <v>139</v>
      </c>
      <c r="T38" s="16">
        <f t="shared" si="31"/>
        <v>34</v>
      </c>
      <c r="U38" s="16">
        <f t="shared" si="31"/>
        <v>81</v>
      </c>
      <c r="V38" s="16">
        <f t="shared" si="31"/>
        <v>66</v>
      </c>
      <c r="W38" s="16">
        <f t="shared" si="31"/>
        <v>3</v>
      </c>
      <c r="X38" s="16">
        <f t="shared" si="31"/>
        <v>4</v>
      </c>
      <c r="Y38" s="16">
        <f t="shared" si="31"/>
        <v>15</v>
      </c>
      <c r="Z38" s="16">
        <f t="shared" si="31"/>
        <v>21</v>
      </c>
      <c r="AA38" s="16">
        <f t="shared" si="31"/>
        <v>50</v>
      </c>
      <c r="AB38" s="16">
        <f t="shared" si="31"/>
        <v>27</v>
      </c>
      <c r="AC38" s="16">
        <f t="shared" si="31"/>
        <v>1475</v>
      </c>
      <c r="AD38" s="16">
        <f t="shared" si="31"/>
        <v>1</v>
      </c>
      <c r="AE38" s="32">
        <f t="shared" si="31"/>
        <v>441</v>
      </c>
      <c r="AF38" s="32">
        <f t="shared" si="31"/>
        <v>1916</v>
      </c>
    </row>
    <row r="39" spans="2:32" ht="23.1" customHeight="1" x14ac:dyDescent="0.25">
      <c r="B39" s="46" t="s">
        <v>66</v>
      </c>
      <c r="C39" s="50">
        <v>12</v>
      </c>
      <c r="D39" s="50">
        <f t="shared" si="3"/>
        <v>3</v>
      </c>
      <c r="E39" s="50">
        <v>7</v>
      </c>
      <c r="F39" s="50">
        <v>4</v>
      </c>
      <c r="G39" s="50">
        <v>0</v>
      </c>
      <c r="H39" s="50">
        <v>0</v>
      </c>
      <c r="I39" s="50">
        <v>1</v>
      </c>
      <c r="J39" s="50">
        <v>3</v>
      </c>
      <c r="K39" s="50">
        <v>0</v>
      </c>
      <c r="L39" s="50">
        <v>0</v>
      </c>
      <c r="M39" s="50">
        <v>76</v>
      </c>
      <c r="N39" s="50">
        <v>0</v>
      </c>
      <c r="O39" s="15">
        <f t="shared" si="0"/>
        <v>30</v>
      </c>
      <c r="P39" s="15">
        <f t="shared" si="1"/>
        <v>106</v>
      </c>
      <c r="R39" s="29" t="s">
        <v>87</v>
      </c>
      <c r="S39" s="16">
        <f t="shared" ref="S39:AF39" si="32">SUM(S19:S21)</f>
        <v>79</v>
      </c>
      <c r="T39" s="16">
        <f t="shared" si="32"/>
        <v>20</v>
      </c>
      <c r="U39" s="16">
        <f t="shared" si="32"/>
        <v>50</v>
      </c>
      <c r="V39" s="16">
        <f t="shared" si="32"/>
        <v>42</v>
      </c>
      <c r="W39" s="16">
        <f t="shared" si="32"/>
        <v>1</v>
      </c>
      <c r="X39" s="16">
        <f t="shared" si="32"/>
        <v>3</v>
      </c>
      <c r="Y39" s="16">
        <f t="shared" si="32"/>
        <v>20</v>
      </c>
      <c r="Z39" s="16">
        <f t="shared" si="32"/>
        <v>8</v>
      </c>
      <c r="AA39" s="16">
        <f t="shared" si="32"/>
        <v>31</v>
      </c>
      <c r="AB39" s="16">
        <f t="shared" si="32"/>
        <v>8</v>
      </c>
      <c r="AC39" s="16">
        <f t="shared" si="32"/>
        <v>849</v>
      </c>
      <c r="AD39" s="16">
        <f t="shared" si="32"/>
        <v>0</v>
      </c>
      <c r="AE39" s="32">
        <f t="shared" si="32"/>
        <v>262</v>
      </c>
      <c r="AF39" s="32">
        <f t="shared" si="32"/>
        <v>1111</v>
      </c>
    </row>
    <row r="40" spans="2:32" ht="23.1" customHeight="1" x14ac:dyDescent="0.25">
      <c r="B40" s="46" t="s">
        <v>67</v>
      </c>
      <c r="C40" s="50">
        <v>3</v>
      </c>
      <c r="D40" s="50">
        <f t="shared" si="3"/>
        <v>1</v>
      </c>
      <c r="E40" s="50">
        <v>2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1</v>
      </c>
      <c r="L40" s="50">
        <v>1</v>
      </c>
      <c r="M40" s="50">
        <v>38</v>
      </c>
      <c r="N40" s="50">
        <v>0</v>
      </c>
      <c r="O40" s="15">
        <f t="shared" si="0"/>
        <v>9</v>
      </c>
      <c r="P40" s="15">
        <f t="shared" si="1"/>
        <v>47</v>
      </c>
      <c r="R40" s="5" t="s">
        <v>17</v>
      </c>
      <c r="S40" s="16">
        <f t="shared" ref="S40:AF40" si="33">SUM(S10:S21)</f>
        <v>248</v>
      </c>
      <c r="T40" s="16">
        <f t="shared" si="33"/>
        <v>60</v>
      </c>
      <c r="U40" s="16">
        <f t="shared" si="33"/>
        <v>150</v>
      </c>
      <c r="V40" s="16">
        <f t="shared" si="33"/>
        <v>131</v>
      </c>
      <c r="W40" s="16">
        <f t="shared" si="33"/>
        <v>5</v>
      </c>
      <c r="X40" s="16">
        <f t="shared" si="33"/>
        <v>9</v>
      </c>
      <c r="Y40" s="16">
        <f t="shared" si="33"/>
        <v>46</v>
      </c>
      <c r="Z40" s="16">
        <f t="shared" si="33"/>
        <v>37</v>
      </c>
      <c r="AA40" s="16">
        <f t="shared" si="33"/>
        <v>85</v>
      </c>
      <c r="AB40" s="16">
        <f t="shared" si="33"/>
        <v>44</v>
      </c>
      <c r="AC40" s="16">
        <f t="shared" si="33"/>
        <v>3002</v>
      </c>
      <c r="AD40" s="16">
        <f t="shared" si="33"/>
        <v>1</v>
      </c>
      <c r="AE40" s="32">
        <f t="shared" si="33"/>
        <v>816</v>
      </c>
      <c r="AF40" s="32">
        <f t="shared" si="33"/>
        <v>3818</v>
      </c>
    </row>
    <row r="41" spans="2:32" ht="23.1" customHeight="1" x14ac:dyDescent="0.25">
      <c r="B41" s="45" t="s">
        <v>68</v>
      </c>
      <c r="C41" s="50">
        <v>8</v>
      </c>
      <c r="D41" s="50">
        <f t="shared" si="3"/>
        <v>2</v>
      </c>
      <c r="E41" s="50">
        <v>4</v>
      </c>
      <c r="F41" s="50">
        <v>3</v>
      </c>
      <c r="G41" s="50">
        <v>1</v>
      </c>
      <c r="H41" s="50">
        <v>0</v>
      </c>
      <c r="I41" s="50">
        <v>1</v>
      </c>
      <c r="J41" s="50">
        <v>0</v>
      </c>
      <c r="K41" s="50">
        <v>2</v>
      </c>
      <c r="L41" s="50">
        <v>2</v>
      </c>
      <c r="M41" s="50">
        <v>96</v>
      </c>
      <c r="N41" s="50">
        <v>0</v>
      </c>
      <c r="O41" s="15">
        <f t="shared" si="0"/>
        <v>23</v>
      </c>
      <c r="P41" s="15">
        <f t="shared" si="1"/>
        <v>119</v>
      </c>
      <c r="R41" s="5" t="s">
        <v>159</v>
      </c>
      <c r="S41" s="16">
        <f>SUM(S10:S33)</f>
        <v>351</v>
      </c>
      <c r="T41" s="16">
        <f t="shared" ref="T41:AF41" si="34">SUM(T10:T33)</f>
        <v>97</v>
      </c>
      <c r="U41" s="16">
        <f t="shared" si="34"/>
        <v>244</v>
      </c>
      <c r="V41" s="16">
        <f t="shared" si="34"/>
        <v>176</v>
      </c>
      <c r="W41" s="16">
        <f t="shared" si="34"/>
        <v>8</v>
      </c>
      <c r="X41" s="16">
        <f t="shared" si="34"/>
        <v>11</v>
      </c>
      <c r="Y41" s="16">
        <f t="shared" si="34"/>
        <v>55</v>
      </c>
      <c r="Z41" s="16">
        <f t="shared" si="34"/>
        <v>64</v>
      </c>
      <c r="AA41" s="16">
        <f t="shared" si="34"/>
        <v>152</v>
      </c>
      <c r="AB41" s="16">
        <f t="shared" si="34"/>
        <v>58</v>
      </c>
      <c r="AC41" s="16">
        <f t="shared" si="34"/>
        <v>3744</v>
      </c>
      <c r="AD41" s="16">
        <f t="shared" si="34"/>
        <v>1</v>
      </c>
      <c r="AE41" s="32">
        <f t="shared" si="34"/>
        <v>1217</v>
      </c>
      <c r="AF41" s="32">
        <f t="shared" si="34"/>
        <v>4961</v>
      </c>
    </row>
    <row r="42" spans="2:32" ht="23.1" customHeight="1" x14ac:dyDescent="0.25">
      <c r="B42" s="46" t="s">
        <v>69</v>
      </c>
      <c r="C42" s="50">
        <v>3</v>
      </c>
      <c r="D42" s="50">
        <f t="shared" si="3"/>
        <v>1</v>
      </c>
      <c r="E42" s="50">
        <v>3</v>
      </c>
      <c r="F42" s="50">
        <v>2</v>
      </c>
      <c r="G42" s="50">
        <v>0</v>
      </c>
      <c r="H42" s="50">
        <v>1</v>
      </c>
      <c r="I42" s="50">
        <v>0</v>
      </c>
      <c r="J42" s="50">
        <v>1</v>
      </c>
      <c r="K42" s="50">
        <v>2</v>
      </c>
      <c r="L42" s="50">
        <v>1</v>
      </c>
      <c r="M42" s="50">
        <v>37</v>
      </c>
      <c r="N42" s="50">
        <v>0</v>
      </c>
      <c r="O42" s="15">
        <f t="shared" si="0"/>
        <v>14</v>
      </c>
      <c r="P42" s="15">
        <f t="shared" si="1"/>
        <v>51</v>
      </c>
      <c r="R42" s="5" t="s">
        <v>160</v>
      </c>
      <c r="S42" s="48">
        <f>S41/S40</f>
        <v>1.4153225806451613</v>
      </c>
      <c r="T42" s="48">
        <f t="shared" ref="T42:AF42" si="35">T41/T40</f>
        <v>1.6166666666666667</v>
      </c>
      <c r="U42" s="48">
        <f t="shared" si="35"/>
        <v>1.6266666666666667</v>
      </c>
      <c r="V42" s="48">
        <f t="shared" si="35"/>
        <v>1.3435114503816794</v>
      </c>
      <c r="W42" s="48">
        <f t="shared" si="35"/>
        <v>1.6</v>
      </c>
      <c r="X42" s="48">
        <f t="shared" si="35"/>
        <v>1.2222222222222223</v>
      </c>
      <c r="Y42" s="48">
        <f t="shared" si="35"/>
        <v>1.1956521739130435</v>
      </c>
      <c r="Z42" s="48">
        <f t="shared" si="35"/>
        <v>1.7297297297297298</v>
      </c>
      <c r="AA42" s="48">
        <f t="shared" si="35"/>
        <v>1.7882352941176471</v>
      </c>
      <c r="AB42" s="48">
        <f t="shared" si="35"/>
        <v>1.3181818181818181</v>
      </c>
      <c r="AC42" s="48">
        <f t="shared" si="35"/>
        <v>1.2471685542971351</v>
      </c>
      <c r="AD42" s="48">
        <f t="shared" si="35"/>
        <v>1</v>
      </c>
      <c r="AE42" s="48">
        <f t="shared" si="35"/>
        <v>1.491421568627451</v>
      </c>
      <c r="AF42" s="48">
        <f t="shared" si="35"/>
        <v>1.2993713986380304</v>
      </c>
    </row>
    <row r="43" spans="2:32" ht="23.1" customHeight="1" x14ac:dyDescent="0.25">
      <c r="B43" s="45" t="s">
        <v>70</v>
      </c>
      <c r="C43" s="50">
        <v>8</v>
      </c>
      <c r="D43" s="50">
        <f t="shared" si="3"/>
        <v>3</v>
      </c>
      <c r="E43" s="50">
        <v>7</v>
      </c>
      <c r="F43" s="50">
        <v>4</v>
      </c>
      <c r="G43" s="50">
        <v>1</v>
      </c>
      <c r="H43" s="50">
        <v>2</v>
      </c>
      <c r="I43" s="50">
        <v>0</v>
      </c>
      <c r="J43" s="50">
        <v>2</v>
      </c>
      <c r="K43" s="50">
        <v>5</v>
      </c>
      <c r="L43" s="50">
        <v>2</v>
      </c>
      <c r="M43" s="50">
        <v>93</v>
      </c>
      <c r="N43" s="50">
        <v>0</v>
      </c>
      <c r="O43" s="15">
        <f t="shared" si="0"/>
        <v>34</v>
      </c>
      <c r="P43" s="15">
        <f t="shared" si="1"/>
        <v>127</v>
      </c>
    </row>
    <row r="44" spans="2:32" ht="23.1" customHeight="1" x14ac:dyDescent="0.25">
      <c r="B44" s="47" t="s">
        <v>71</v>
      </c>
      <c r="C44" s="50">
        <v>4</v>
      </c>
      <c r="D44" s="50">
        <f t="shared" si="3"/>
        <v>1</v>
      </c>
      <c r="E44" s="50">
        <v>2</v>
      </c>
      <c r="F44" s="50">
        <v>1</v>
      </c>
      <c r="G44" s="50">
        <v>0</v>
      </c>
      <c r="H44" s="50">
        <v>0</v>
      </c>
      <c r="I44" s="50">
        <v>2</v>
      </c>
      <c r="J44" s="50">
        <v>0</v>
      </c>
      <c r="K44" s="50">
        <v>1</v>
      </c>
      <c r="L44" s="50">
        <v>0</v>
      </c>
      <c r="M44" s="50">
        <v>41</v>
      </c>
      <c r="N44" s="50">
        <v>0</v>
      </c>
      <c r="O44" s="15">
        <f t="shared" si="0"/>
        <v>11</v>
      </c>
      <c r="P44" s="15">
        <f t="shared" si="1"/>
        <v>52</v>
      </c>
    </row>
    <row r="45" spans="2:32" ht="23.1" customHeight="1" x14ac:dyDescent="0.25">
      <c r="B45" s="45" t="s">
        <v>72</v>
      </c>
      <c r="C45" s="50">
        <v>11</v>
      </c>
      <c r="D45" s="50">
        <f t="shared" si="3"/>
        <v>2</v>
      </c>
      <c r="E45" s="50">
        <v>4</v>
      </c>
      <c r="F45" s="50">
        <v>3</v>
      </c>
      <c r="G45" s="50">
        <v>0</v>
      </c>
      <c r="H45" s="50">
        <v>0</v>
      </c>
      <c r="I45" s="50">
        <v>4</v>
      </c>
      <c r="J45" s="50">
        <v>0</v>
      </c>
      <c r="K45" s="50">
        <v>3</v>
      </c>
      <c r="L45" s="50">
        <v>1</v>
      </c>
      <c r="M45" s="50">
        <v>103</v>
      </c>
      <c r="N45" s="50">
        <v>0</v>
      </c>
      <c r="O45" s="15">
        <f t="shared" si="0"/>
        <v>28</v>
      </c>
      <c r="P45" s="15">
        <f t="shared" si="1"/>
        <v>131</v>
      </c>
    </row>
    <row r="46" spans="2:32" ht="23.1" customHeight="1" x14ac:dyDescent="0.25">
      <c r="B46" s="46" t="s">
        <v>73</v>
      </c>
      <c r="C46" s="50">
        <v>3</v>
      </c>
      <c r="D46" s="50">
        <f t="shared" si="3"/>
        <v>1</v>
      </c>
      <c r="E46" s="50">
        <v>2</v>
      </c>
      <c r="F46" s="50">
        <v>2</v>
      </c>
      <c r="G46" s="50">
        <v>0</v>
      </c>
      <c r="H46" s="50">
        <v>1</v>
      </c>
      <c r="I46" s="50">
        <v>1</v>
      </c>
      <c r="J46" s="50">
        <v>0</v>
      </c>
      <c r="K46" s="50">
        <v>3</v>
      </c>
      <c r="L46" s="50">
        <v>1</v>
      </c>
      <c r="M46" s="50">
        <v>42</v>
      </c>
      <c r="N46" s="50">
        <v>0</v>
      </c>
      <c r="O46" s="15">
        <f t="shared" si="0"/>
        <v>14</v>
      </c>
      <c r="P46" s="15">
        <f t="shared" si="1"/>
        <v>56</v>
      </c>
      <c r="R46" s="8"/>
      <c r="T46"/>
    </row>
    <row r="47" spans="2:32" ht="23.1" customHeight="1" x14ac:dyDescent="0.25">
      <c r="B47" s="46" t="s">
        <v>74</v>
      </c>
      <c r="C47" s="50">
        <v>8</v>
      </c>
      <c r="D47" s="50">
        <f t="shared" si="3"/>
        <v>2</v>
      </c>
      <c r="E47" s="50">
        <v>6</v>
      </c>
      <c r="F47" s="50">
        <v>5</v>
      </c>
      <c r="G47" s="50">
        <v>1</v>
      </c>
      <c r="H47" s="50">
        <v>2</v>
      </c>
      <c r="I47" s="50">
        <v>2</v>
      </c>
      <c r="J47" s="50">
        <v>1</v>
      </c>
      <c r="K47" s="50">
        <v>7</v>
      </c>
      <c r="L47" s="50">
        <v>2</v>
      </c>
      <c r="M47" s="50">
        <v>106</v>
      </c>
      <c r="N47" s="50">
        <v>0</v>
      </c>
      <c r="O47" s="15">
        <f t="shared" si="0"/>
        <v>36</v>
      </c>
      <c r="P47" s="15">
        <f t="shared" si="1"/>
        <v>142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f t="shared" si="3"/>
        <v>2</v>
      </c>
      <c r="E48" s="50">
        <v>4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2</v>
      </c>
      <c r="L48" s="50">
        <v>0</v>
      </c>
      <c r="M48" s="50">
        <v>37</v>
      </c>
      <c r="N48" s="50">
        <v>0</v>
      </c>
      <c r="O48" s="15">
        <f t="shared" si="0"/>
        <v>12</v>
      </c>
      <c r="P48" s="15">
        <f t="shared" si="1"/>
        <v>49</v>
      </c>
      <c r="R48" s="8"/>
      <c r="T48"/>
    </row>
    <row r="49" spans="2:20" ht="23.1" customHeight="1" x14ac:dyDescent="0.25">
      <c r="B49" s="45" t="s">
        <v>76</v>
      </c>
      <c r="C49" s="50">
        <v>5</v>
      </c>
      <c r="D49" s="50">
        <f t="shared" si="3"/>
        <v>4</v>
      </c>
      <c r="E49" s="50">
        <v>10</v>
      </c>
      <c r="F49" s="50">
        <v>5</v>
      </c>
      <c r="G49" s="50">
        <v>0</v>
      </c>
      <c r="H49" s="50">
        <v>0</v>
      </c>
      <c r="I49" s="50">
        <v>1</v>
      </c>
      <c r="J49" s="50">
        <v>0</v>
      </c>
      <c r="K49" s="50">
        <v>4</v>
      </c>
      <c r="L49" s="50">
        <v>1</v>
      </c>
      <c r="M49" s="50">
        <v>92</v>
      </c>
      <c r="N49" s="50">
        <v>0</v>
      </c>
      <c r="O49" s="15">
        <f t="shared" si="0"/>
        <v>30</v>
      </c>
      <c r="P49" s="15">
        <f t="shared" si="1"/>
        <v>122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f t="shared" si="3"/>
        <v>1</v>
      </c>
      <c r="E50" s="50">
        <v>2</v>
      </c>
      <c r="F50" s="50">
        <v>2</v>
      </c>
      <c r="G50" s="50">
        <v>0</v>
      </c>
      <c r="H50" s="50">
        <v>0</v>
      </c>
      <c r="I50" s="50">
        <v>0</v>
      </c>
      <c r="J50" s="50">
        <v>1</v>
      </c>
      <c r="K50" s="50">
        <v>2</v>
      </c>
      <c r="L50" s="50">
        <v>1</v>
      </c>
      <c r="M50" s="50">
        <v>48</v>
      </c>
      <c r="N50" s="50">
        <v>0</v>
      </c>
      <c r="O50" s="15">
        <f t="shared" si="0"/>
        <v>13</v>
      </c>
      <c r="P50" s="15">
        <f t="shared" si="1"/>
        <v>61</v>
      </c>
      <c r="R50" s="8"/>
      <c r="T50"/>
    </row>
    <row r="51" spans="2:20" ht="23.1" customHeight="1" x14ac:dyDescent="0.25">
      <c r="B51" s="46" t="s">
        <v>78</v>
      </c>
      <c r="C51" s="50">
        <v>11</v>
      </c>
      <c r="D51" s="50">
        <f t="shared" si="3"/>
        <v>2</v>
      </c>
      <c r="E51" s="50">
        <v>6</v>
      </c>
      <c r="F51" s="50">
        <v>4</v>
      </c>
      <c r="G51" s="50">
        <v>0</v>
      </c>
      <c r="H51" s="50">
        <v>0</v>
      </c>
      <c r="I51" s="50">
        <v>1</v>
      </c>
      <c r="J51" s="50">
        <v>2</v>
      </c>
      <c r="K51" s="50">
        <v>4</v>
      </c>
      <c r="L51" s="50">
        <v>2</v>
      </c>
      <c r="M51" s="50">
        <v>119</v>
      </c>
      <c r="N51" s="50">
        <v>0</v>
      </c>
      <c r="O51" s="15">
        <f t="shared" si="0"/>
        <v>32</v>
      </c>
      <c r="P51" s="15">
        <f t="shared" si="1"/>
        <v>151</v>
      </c>
      <c r="R51" s="8"/>
      <c r="T51"/>
    </row>
    <row r="52" spans="2:20" ht="23.1" customHeight="1" x14ac:dyDescent="0.25">
      <c r="B52" s="46" t="s">
        <v>79</v>
      </c>
      <c r="C52" s="50">
        <v>5</v>
      </c>
      <c r="D52" s="50">
        <f t="shared" si="3"/>
        <v>2</v>
      </c>
      <c r="E52" s="50">
        <v>4</v>
      </c>
      <c r="F52" s="50">
        <v>2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42</v>
      </c>
      <c r="N52" s="50">
        <v>0</v>
      </c>
      <c r="O52" s="15">
        <f t="shared" si="0"/>
        <v>15</v>
      </c>
      <c r="P52" s="15">
        <f t="shared" si="1"/>
        <v>57</v>
      </c>
      <c r="R52" s="8"/>
      <c r="T52"/>
    </row>
    <row r="53" spans="2:20" ht="23.1" customHeight="1" x14ac:dyDescent="0.25">
      <c r="B53" s="45" t="s">
        <v>80</v>
      </c>
      <c r="C53" s="50">
        <v>13</v>
      </c>
      <c r="D53" s="50">
        <f t="shared" si="3"/>
        <v>4</v>
      </c>
      <c r="E53" s="50">
        <v>9</v>
      </c>
      <c r="F53" s="50">
        <v>5</v>
      </c>
      <c r="G53" s="50">
        <v>0</v>
      </c>
      <c r="H53" s="50">
        <v>0</v>
      </c>
      <c r="I53" s="50">
        <v>6</v>
      </c>
      <c r="J53" s="50">
        <v>0</v>
      </c>
      <c r="K53" s="50">
        <v>0</v>
      </c>
      <c r="L53" s="50">
        <v>0</v>
      </c>
      <c r="M53" s="50">
        <v>104</v>
      </c>
      <c r="N53" s="50">
        <v>0</v>
      </c>
      <c r="O53" s="15">
        <f t="shared" si="0"/>
        <v>37</v>
      </c>
      <c r="P53" s="15">
        <f t="shared" si="1"/>
        <v>141</v>
      </c>
      <c r="R53" s="8"/>
      <c r="T53"/>
    </row>
    <row r="54" spans="2:20" ht="23.1" customHeight="1" x14ac:dyDescent="0.25">
      <c r="B54" s="45" t="s">
        <v>81</v>
      </c>
      <c r="C54" s="50">
        <v>4</v>
      </c>
      <c r="D54" s="50">
        <f t="shared" si="3"/>
        <v>0</v>
      </c>
      <c r="E54" s="50">
        <v>1</v>
      </c>
      <c r="F54" s="50">
        <v>2</v>
      </c>
      <c r="G54" s="50">
        <v>0</v>
      </c>
      <c r="H54" s="50">
        <v>0</v>
      </c>
      <c r="I54" s="50">
        <v>1</v>
      </c>
      <c r="J54" s="50">
        <v>1</v>
      </c>
      <c r="K54" s="50">
        <v>2</v>
      </c>
      <c r="L54" s="50">
        <v>0</v>
      </c>
      <c r="M54" s="50">
        <v>39</v>
      </c>
      <c r="N54" s="50">
        <v>0</v>
      </c>
      <c r="O54" s="15">
        <f t="shared" si="0"/>
        <v>11</v>
      </c>
      <c r="P54" s="15">
        <f t="shared" si="1"/>
        <v>50</v>
      </c>
      <c r="R54" s="8"/>
      <c r="T54"/>
    </row>
    <row r="55" spans="2:20" ht="23.1" customHeight="1" x14ac:dyDescent="0.25">
      <c r="B55" s="45" t="s">
        <v>82</v>
      </c>
      <c r="C55" s="50">
        <v>10</v>
      </c>
      <c r="D55" s="50">
        <f t="shared" si="3"/>
        <v>1</v>
      </c>
      <c r="E55" s="50">
        <v>2</v>
      </c>
      <c r="F55" s="50">
        <v>6</v>
      </c>
      <c r="G55" s="50">
        <v>0</v>
      </c>
      <c r="H55" s="50">
        <v>0</v>
      </c>
      <c r="I55" s="50">
        <v>3</v>
      </c>
      <c r="J55" s="50">
        <v>2</v>
      </c>
      <c r="K55" s="50">
        <v>4</v>
      </c>
      <c r="L55" s="50">
        <v>0</v>
      </c>
      <c r="M55" s="50">
        <v>98</v>
      </c>
      <c r="N55" s="50">
        <v>0</v>
      </c>
      <c r="O55" s="15">
        <f t="shared" si="0"/>
        <v>28</v>
      </c>
      <c r="P55" s="15">
        <f t="shared" si="1"/>
        <v>126</v>
      </c>
      <c r="R55" s="8"/>
      <c r="T55"/>
    </row>
    <row r="56" spans="2:20" ht="23.1" customHeight="1" x14ac:dyDescent="0.25">
      <c r="B56" s="45" t="s">
        <v>83</v>
      </c>
      <c r="C56" s="50">
        <v>4</v>
      </c>
      <c r="D56" s="50">
        <f t="shared" si="3"/>
        <v>0</v>
      </c>
      <c r="E56" s="50">
        <v>1</v>
      </c>
      <c r="F56" s="50">
        <v>2</v>
      </c>
      <c r="G56" s="50">
        <v>0</v>
      </c>
      <c r="H56" s="50">
        <v>0</v>
      </c>
      <c r="I56" s="50">
        <v>1</v>
      </c>
      <c r="J56" s="50">
        <v>0</v>
      </c>
      <c r="K56" s="50">
        <v>1</v>
      </c>
      <c r="L56" s="50">
        <v>0</v>
      </c>
      <c r="M56" s="50">
        <v>35</v>
      </c>
      <c r="N56" s="50">
        <v>0</v>
      </c>
      <c r="O56" s="15">
        <f t="shared" si="0"/>
        <v>9</v>
      </c>
      <c r="P56" s="15">
        <f t="shared" si="1"/>
        <v>44</v>
      </c>
      <c r="R56" s="8"/>
      <c r="T56"/>
    </row>
    <row r="57" spans="2:20" ht="23.1" customHeight="1" x14ac:dyDescent="0.25">
      <c r="B57" s="45" t="s">
        <v>84</v>
      </c>
      <c r="C57" s="50">
        <v>10</v>
      </c>
      <c r="D57" s="50">
        <f t="shared" si="3"/>
        <v>1</v>
      </c>
      <c r="E57" s="50">
        <v>3</v>
      </c>
      <c r="F57" s="50">
        <v>5</v>
      </c>
      <c r="G57" s="50">
        <v>0</v>
      </c>
      <c r="H57" s="50">
        <v>0</v>
      </c>
      <c r="I57" s="50">
        <v>2</v>
      </c>
      <c r="J57" s="50">
        <v>1</v>
      </c>
      <c r="K57" s="50">
        <v>2</v>
      </c>
      <c r="L57" s="50">
        <v>1</v>
      </c>
      <c r="M57" s="50">
        <v>87</v>
      </c>
      <c r="N57" s="50">
        <v>0</v>
      </c>
      <c r="O57" s="15">
        <f t="shared" si="0"/>
        <v>25</v>
      </c>
      <c r="P57" s="15">
        <f t="shared" si="1"/>
        <v>112</v>
      </c>
      <c r="R57" s="8"/>
      <c r="T57"/>
    </row>
    <row r="58" spans="2:20" ht="23.1" customHeight="1" x14ac:dyDescent="0.25">
      <c r="B58" s="45" t="s">
        <v>99</v>
      </c>
      <c r="C58" s="50">
        <v>5</v>
      </c>
      <c r="D58" s="50">
        <f t="shared" si="3"/>
        <v>1</v>
      </c>
      <c r="E58" s="50">
        <v>2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2</v>
      </c>
      <c r="L58" s="50">
        <v>0</v>
      </c>
      <c r="M58" s="50">
        <v>46</v>
      </c>
      <c r="N58" s="50">
        <v>0</v>
      </c>
      <c r="O58" s="15">
        <f t="shared" si="0"/>
        <v>10</v>
      </c>
      <c r="P58" s="15">
        <f t="shared" si="1"/>
        <v>56</v>
      </c>
      <c r="R58" s="8"/>
      <c r="T58"/>
    </row>
    <row r="59" spans="2:20" ht="23.1" customHeight="1" x14ac:dyDescent="0.25">
      <c r="B59" s="45" t="s">
        <v>100</v>
      </c>
      <c r="C59" s="50">
        <v>12</v>
      </c>
      <c r="D59" s="50">
        <f t="shared" si="3"/>
        <v>2</v>
      </c>
      <c r="E59" s="50">
        <v>5</v>
      </c>
      <c r="F59" s="50">
        <v>0</v>
      </c>
      <c r="G59" s="50">
        <v>0</v>
      </c>
      <c r="H59" s="50">
        <v>0</v>
      </c>
      <c r="I59" s="50">
        <v>1</v>
      </c>
      <c r="J59" s="50">
        <v>0</v>
      </c>
      <c r="K59" s="50">
        <v>6</v>
      </c>
      <c r="L59" s="50">
        <v>0</v>
      </c>
      <c r="M59" s="50">
        <v>116</v>
      </c>
      <c r="N59" s="50">
        <v>0</v>
      </c>
      <c r="O59" s="15">
        <f t="shared" si="0"/>
        <v>26</v>
      </c>
      <c r="P59" s="15">
        <f t="shared" si="1"/>
        <v>142</v>
      </c>
      <c r="R59" s="8"/>
      <c r="T59"/>
    </row>
    <row r="60" spans="2:20" ht="23.1" customHeight="1" x14ac:dyDescent="0.25">
      <c r="B60" s="45" t="s">
        <v>101</v>
      </c>
      <c r="C60" s="50">
        <v>6</v>
      </c>
      <c r="D60" s="50">
        <f t="shared" si="3"/>
        <v>1</v>
      </c>
      <c r="E60" s="50">
        <v>3</v>
      </c>
      <c r="F60" s="50">
        <v>1</v>
      </c>
      <c r="G60" s="50">
        <v>1</v>
      </c>
      <c r="H60" s="50">
        <v>0</v>
      </c>
      <c r="I60" s="50">
        <v>1</v>
      </c>
      <c r="J60" s="50">
        <v>1</v>
      </c>
      <c r="K60" s="50">
        <v>5</v>
      </c>
      <c r="L60" s="50">
        <v>0</v>
      </c>
      <c r="M60" s="50">
        <v>48</v>
      </c>
      <c r="N60" s="50">
        <v>0</v>
      </c>
      <c r="O60" s="15">
        <f t="shared" si="0"/>
        <v>19</v>
      </c>
      <c r="P60" s="15">
        <f t="shared" si="1"/>
        <v>67</v>
      </c>
      <c r="R60" s="8"/>
      <c r="T60"/>
    </row>
    <row r="61" spans="2:20" ht="23.1" customHeight="1" x14ac:dyDescent="0.25">
      <c r="B61" s="45" t="s">
        <v>102</v>
      </c>
      <c r="C61" s="50">
        <v>14</v>
      </c>
      <c r="D61" s="50">
        <f t="shared" si="3"/>
        <v>3</v>
      </c>
      <c r="E61" s="50">
        <v>8</v>
      </c>
      <c r="F61" s="50">
        <v>3</v>
      </c>
      <c r="G61" s="50">
        <v>2</v>
      </c>
      <c r="H61" s="50">
        <v>0</v>
      </c>
      <c r="I61" s="50">
        <v>3</v>
      </c>
      <c r="J61" s="50">
        <v>2</v>
      </c>
      <c r="K61" s="50">
        <v>12</v>
      </c>
      <c r="L61" s="50">
        <v>0</v>
      </c>
      <c r="M61" s="50">
        <v>119</v>
      </c>
      <c r="N61" s="50">
        <v>0</v>
      </c>
      <c r="O61" s="15">
        <f t="shared" si="0"/>
        <v>47</v>
      </c>
      <c r="P61" s="15">
        <f t="shared" si="1"/>
        <v>166</v>
      </c>
      <c r="R61" s="8"/>
      <c r="T61"/>
    </row>
    <row r="62" spans="2:20" ht="23.1" customHeight="1" x14ac:dyDescent="0.25">
      <c r="B62" s="45" t="s">
        <v>107</v>
      </c>
      <c r="C62" s="50">
        <v>4</v>
      </c>
      <c r="D62" s="50">
        <f t="shared" si="3"/>
        <v>2</v>
      </c>
      <c r="E62" s="50">
        <v>4</v>
      </c>
      <c r="F62" s="50">
        <v>2</v>
      </c>
      <c r="G62" s="50">
        <v>0</v>
      </c>
      <c r="H62" s="50">
        <v>0</v>
      </c>
      <c r="I62" s="50">
        <v>1</v>
      </c>
      <c r="J62" s="50">
        <v>3</v>
      </c>
      <c r="K62" s="50">
        <v>2</v>
      </c>
      <c r="L62" s="50">
        <v>0</v>
      </c>
      <c r="M62" s="50">
        <v>36</v>
      </c>
      <c r="N62" s="50">
        <v>0</v>
      </c>
      <c r="O62" s="15">
        <f t="shared" si="0"/>
        <v>18</v>
      </c>
      <c r="P62" s="15">
        <f t="shared" si="1"/>
        <v>54</v>
      </c>
      <c r="R62" s="8"/>
      <c r="T62"/>
    </row>
    <row r="63" spans="2:20" ht="23.1" customHeight="1" x14ac:dyDescent="0.25">
      <c r="B63" s="45" t="s">
        <v>108</v>
      </c>
      <c r="C63" s="50">
        <v>9</v>
      </c>
      <c r="D63" s="50">
        <f t="shared" si="3"/>
        <v>4</v>
      </c>
      <c r="E63" s="50">
        <v>10</v>
      </c>
      <c r="F63" s="50">
        <v>6</v>
      </c>
      <c r="G63" s="50">
        <v>0</v>
      </c>
      <c r="H63" s="50">
        <v>0</v>
      </c>
      <c r="I63" s="50">
        <v>2</v>
      </c>
      <c r="J63" s="50">
        <v>7</v>
      </c>
      <c r="K63" s="50">
        <v>5</v>
      </c>
      <c r="L63" s="50">
        <v>0</v>
      </c>
      <c r="M63" s="50">
        <v>91</v>
      </c>
      <c r="N63" s="50">
        <v>0</v>
      </c>
      <c r="O63" s="15">
        <f t="shared" si="0"/>
        <v>43</v>
      </c>
      <c r="P63" s="15">
        <f t="shared" si="1"/>
        <v>134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f t="shared" si="3"/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1</v>
      </c>
      <c r="K64" s="50">
        <v>0</v>
      </c>
      <c r="L64" s="50">
        <v>0</v>
      </c>
      <c r="M64" s="50">
        <v>35</v>
      </c>
      <c r="N64" s="50">
        <v>0</v>
      </c>
      <c r="O64" s="15">
        <f t="shared" si="0"/>
        <v>1</v>
      </c>
      <c r="P64" s="15">
        <f t="shared" si="1"/>
        <v>36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f t="shared" si="3"/>
        <v>0</v>
      </c>
      <c r="E65" s="50">
        <v>1</v>
      </c>
      <c r="F65" s="50">
        <v>0</v>
      </c>
      <c r="G65" s="50">
        <v>0</v>
      </c>
      <c r="H65" s="50">
        <v>0</v>
      </c>
      <c r="I65" s="50">
        <v>0</v>
      </c>
      <c r="J65" s="50">
        <v>2</v>
      </c>
      <c r="K65" s="50">
        <v>1</v>
      </c>
      <c r="L65" s="50">
        <v>0</v>
      </c>
      <c r="M65" s="50">
        <v>87</v>
      </c>
      <c r="N65" s="50">
        <v>0</v>
      </c>
      <c r="O65" s="15">
        <f t="shared" si="0"/>
        <v>4</v>
      </c>
      <c r="P65" s="15">
        <f t="shared" si="1"/>
        <v>91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f t="shared" si="3"/>
        <v>1</v>
      </c>
      <c r="E66" s="50">
        <v>2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2</v>
      </c>
      <c r="L66" s="50">
        <v>0</v>
      </c>
      <c r="M66" s="50">
        <v>11</v>
      </c>
      <c r="N66" s="50">
        <v>0</v>
      </c>
      <c r="O66" s="15">
        <f t="shared" si="0"/>
        <v>7</v>
      </c>
      <c r="P66" s="15">
        <f t="shared" si="1"/>
        <v>18</v>
      </c>
      <c r="R66" s="8"/>
      <c r="T66"/>
    </row>
    <row r="67" spans="2:20" ht="23.1" customHeight="1" x14ac:dyDescent="0.25">
      <c r="B67" s="45" t="s">
        <v>104</v>
      </c>
      <c r="C67" s="50">
        <v>4</v>
      </c>
      <c r="D67" s="50">
        <f t="shared" si="3"/>
        <v>2</v>
      </c>
      <c r="E67" s="50">
        <v>5</v>
      </c>
      <c r="F67" s="50">
        <v>1</v>
      </c>
      <c r="G67" s="50">
        <v>0</v>
      </c>
      <c r="H67" s="50">
        <v>0</v>
      </c>
      <c r="I67" s="50">
        <v>0</v>
      </c>
      <c r="J67" s="50">
        <v>0</v>
      </c>
      <c r="K67" s="50">
        <v>5</v>
      </c>
      <c r="L67" s="50">
        <v>1</v>
      </c>
      <c r="M67" s="50">
        <v>27</v>
      </c>
      <c r="N67" s="50">
        <v>0</v>
      </c>
      <c r="O67" s="15">
        <f t="shared" si="0"/>
        <v>18</v>
      </c>
      <c r="P67" s="15">
        <f t="shared" si="1"/>
        <v>45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f t="shared" si="3"/>
        <v>2</v>
      </c>
      <c r="E68" s="50">
        <v>4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1</v>
      </c>
      <c r="L68" s="50">
        <v>0</v>
      </c>
      <c r="M68" s="50">
        <v>8</v>
      </c>
      <c r="N68" s="50">
        <v>0</v>
      </c>
      <c r="O68" s="15">
        <f t="shared" si="0"/>
        <v>9</v>
      </c>
      <c r="P68" s="15">
        <f t="shared" si="1"/>
        <v>17</v>
      </c>
      <c r="R68" s="8"/>
      <c r="T68"/>
    </row>
    <row r="69" spans="2:20" ht="23.1" customHeight="1" x14ac:dyDescent="0.25">
      <c r="B69" s="45" t="s">
        <v>106</v>
      </c>
      <c r="C69" s="50">
        <v>6</v>
      </c>
      <c r="D69" s="50">
        <f t="shared" si="3"/>
        <v>4</v>
      </c>
      <c r="E69" s="50">
        <v>9</v>
      </c>
      <c r="F69" s="50">
        <v>1</v>
      </c>
      <c r="G69" s="50">
        <v>0</v>
      </c>
      <c r="H69" s="50">
        <v>0</v>
      </c>
      <c r="I69" s="50">
        <v>0</v>
      </c>
      <c r="J69" s="50">
        <v>1</v>
      </c>
      <c r="K69" s="50">
        <v>2</v>
      </c>
      <c r="L69" s="50">
        <v>0</v>
      </c>
      <c r="M69" s="50">
        <v>20</v>
      </c>
      <c r="N69" s="50">
        <v>0</v>
      </c>
      <c r="O69" s="15">
        <f t="shared" si="0"/>
        <v>23</v>
      </c>
      <c r="P69" s="15">
        <f t="shared" si="1"/>
        <v>43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f t="shared" si="3"/>
        <v>2</v>
      </c>
      <c r="E70" s="50">
        <v>4</v>
      </c>
      <c r="F70" s="50">
        <v>0</v>
      </c>
      <c r="G70" s="50">
        <v>0</v>
      </c>
      <c r="H70" s="50">
        <v>0</v>
      </c>
      <c r="I70" s="50">
        <v>0</v>
      </c>
      <c r="J70" s="50">
        <v>1</v>
      </c>
      <c r="K70" s="50">
        <v>1</v>
      </c>
      <c r="L70" s="50">
        <v>0</v>
      </c>
      <c r="M70" s="50">
        <v>4</v>
      </c>
      <c r="N70" s="50">
        <v>0</v>
      </c>
      <c r="O70" s="15">
        <f t="shared" si="0"/>
        <v>10</v>
      </c>
      <c r="P70" s="15">
        <f t="shared" si="1"/>
        <v>14</v>
      </c>
      <c r="R70" s="8"/>
      <c r="T70"/>
    </row>
    <row r="71" spans="2:20" ht="23.1" customHeight="1" x14ac:dyDescent="0.25">
      <c r="B71" s="45" t="s">
        <v>111</v>
      </c>
      <c r="C71" s="50">
        <v>4</v>
      </c>
      <c r="D71" s="50">
        <f t="shared" si="3"/>
        <v>4</v>
      </c>
      <c r="E71" s="50">
        <v>10</v>
      </c>
      <c r="F71" s="50">
        <v>1</v>
      </c>
      <c r="G71" s="50">
        <v>0</v>
      </c>
      <c r="H71" s="50">
        <v>0</v>
      </c>
      <c r="I71" s="50">
        <v>0</v>
      </c>
      <c r="J71" s="50">
        <v>3</v>
      </c>
      <c r="K71" s="50">
        <v>3</v>
      </c>
      <c r="L71" s="50">
        <v>0</v>
      </c>
      <c r="M71" s="50">
        <v>10</v>
      </c>
      <c r="N71" s="50">
        <v>0</v>
      </c>
      <c r="O71" s="15">
        <f t="shared" si="0"/>
        <v>25</v>
      </c>
      <c r="P71" s="15">
        <f t="shared" si="1"/>
        <v>35</v>
      </c>
      <c r="R71" s="8"/>
      <c r="T71"/>
    </row>
    <row r="72" spans="2:20" ht="23.1" customHeight="1" x14ac:dyDescent="0.25">
      <c r="B72" s="45" t="s">
        <v>112</v>
      </c>
      <c r="C72" s="50">
        <v>2</v>
      </c>
      <c r="D72" s="50">
        <f t="shared" si="3"/>
        <v>1</v>
      </c>
      <c r="E72" s="50">
        <v>2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1</v>
      </c>
      <c r="L72" s="50">
        <v>0</v>
      </c>
      <c r="M72" s="50">
        <v>4</v>
      </c>
      <c r="N72" s="50">
        <v>0</v>
      </c>
      <c r="O72" s="15">
        <f t="shared" si="0"/>
        <v>6</v>
      </c>
      <c r="P72" s="15">
        <f t="shared" si="1"/>
        <v>10</v>
      </c>
      <c r="R72" s="8"/>
      <c r="T72"/>
    </row>
    <row r="73" spans="2:20" ht="23.1" customHeight="1" x14ac:dyDescent="0.25">
      <c r="B73" s="45" t="s">
        <v>113</v>
      </c>
      <c r="C73" s="50">
        <v>5</v>
      </c>
      <c r="D73" s="50">
        <f t="shared" si="3"/>
        <v>2</v>
      </c>
      <c r="E73" s="50">
        <v>4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2</v>
      </c>
      <c r="L73" s="50">
        <v>0</v>
      </c>
      <c r="M73" s="50">
        <v>11</v>
      </c>
      <c r="N73" s="50">
        <v>0</v>
      </c>
      <c r="O73" s="15">
        <f t="shared" si="0"/>
        <v>13</v>
      </c>
      <c r="P73" s="15">
        <f t="shared" si="1"/>
        <v>24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f t="shared" si="3"/>
        <v>0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3</v>
      </c>
      <c r="N74" s="50">
        <v>0</v>
      </c>
      <c r="O74" s="15">
        <f t="shared" ref="O74:O105" si="36">SUM(C74:L74,N74)</f>
        <v>1</v>
      </c>
      <c r="P74" s="15">
        <f t="shared" ref="P74:P105" si="37">SUM(C74:N74)</f>
        <v>4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f t="shared" ref="D75:D87" si="38">ROUND((0.4*E75),0)</f>
        <v>0</v>
      </c>
      <c r="E75" s="50">
        <v>1</v>
      </c>
      <c r="F75" s="50">
        <v>2</v>
      </c>
      <c r="G75" s="50">
        <v>0</v>
      </c>
      <c r="H75" s="50">
        <v>0</v>
      </c>
      <c r="I75" s="50">
        <v>1</v>
      </c>
      <c r="J75" s="50">
        <v>0</v>
      </c>
      <c r="K75" s="50">
        <v>1</v>
      </c>
      <c r="L75" s="50">
        <v>1</v>
      </c>
      <c r="M75" s="50">
        <v>8</v>
      </c>
      <c r="N75" s="50">
        <v>0</v>
      </c>
      <c r="O75" s="15">
        <f t="shared" si="36"/>
        <v>7</v>
      </c>
      <c r="P75" s="15">
        <f t="shared" si="37"/>
        <v>15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f t="shared" si="38"/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6"/>
        <v>0</v>
      </c>
      <c r="P76" s="15">
        <f t="shared" si="37"/>
        <v>2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f t="shared" si="38"/>
        <v>0</v>
      </c>
      <c r="E77" s="50">
        <v>0</v>
      </c>
      <c r="F77" s="50">
        <v>1</v>
      </c>
      <c r="G77" s="50">
        <v>0</v>
      </c>
      <c r="H77" s="50">
        <v>1</v>
      </c>
      <c r="I77" s="50">
        <v>0</v>
      </c>
      <c r="J77" s="50">
        <v>0</v>
      </c>
      <c r="K77" s="50">
        <v>1</v>
      </c>
      <c r="L77" s="50">
        <v>0</v>
      </c>
      <c r="M77" s="50">
        <v>5</v>
      </c>
      <c r="N77" s="50">
        <v>0</v>
      </c>
      <c r="O77" s="15">
        <f t="shared" si="36"/>
        <v>4</v>
      </c>
      <c r="P77" s="15">
        <f t="shared" si="37"/>
        <v>9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f t="shared" si="38"/>
        <v>1</v>
      </c>
      <c r="E78" s="50">
        <v>2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6"/>
        <v>3</v>
      </c>
      <c r="P78" s="15">
        <f t="shared" si="37"/>
        <v>3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f t="shared" si="38"/>
        <v>2</v>
      </c>
      <c r="E79" s="50">
        <v>4</v>
      </c>
      <c r="F79" s="50">
        <v>1</v>
      </c>
      <c r="G79" s="50">
        <v>0</v>
      </c>
      <c r="H79" s="50">
        <v>1</v>
      </c>
      <c r="I79" s="50">
        <v>0</v>
      </c>
      <c r="J79" s="50">
        <v>1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6"/>
        <v>10</v>
      </c>
      <c r="P79" s="15">
        <f t="shared" si="37"/>
        <v>11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f t="shared" si="38"/>
        <v>0</v>
      </c>
      <c r="E80" s="50">
        <v>0</v>
      </c>
      <c r="F80" s="50">
        <v>2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6"/>
        <v>2</v>
      </c>
      <c r="P80" s="15">
        <f t="shared" si="37"/>
        <v>3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f t="shared" si="38"/>
        <v>0</v>
      </c>
      <c r="E81" s="50">
        <v>0</v>
      </c>
      <c r="F81" s="50">
        <v>5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3</v>
      </c>
      <c r="N81" s="50">
        <v>0</v>
      </c>
      <c r="O81" s="15">
        <f t="shared" si="36"/>
        <v>6</v>
      </c>
      <c r="P81" s="15">
        <f t="shared" si="37"/>
        <v>9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f t="shared" si="38"/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</v>
      </c>
      <c r="N82" s="50">
        <v>0</v>
      </c>
      <c r="O82" s="15">
        <f t="shared" si="36"/>
        <v>0</v>
      </c>
      <c r="P82" s="15">
        <f t="shared" si="37"/>
        <v>2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f t="shared" si="38"/>
        <v>0</v>
      </c>
      <c r="E83" s="50">
        <v>0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5</v>
      </c>
      <c r="N83" s="50">
        <v>0</v>
      </c>
      <c r="O83" s="15">
        <f t="shared" si="36"/>
        <v>2</v>
      </c>
      <c r="P83" s="15">
        <f t="shared" si="37"/>
        <v>7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f t="shared" si="38"/>
        <v>0</v>
      </c>
      <c r="E84" s="50">
        <v>1</v>
      </c>
      <c r="F84" s="50">
        <v>1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6"/>
        <v>3</v>
      </c>
      <c r="P84" s="15">
        <f t="shared" si="37"/>
        <v>4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f t="shared" si="38"/>
        <v>1</v>
      </c>
      <c r="E85" s="50">
        <v>3</v>
      </c>
      <c r="F85" s="50">
        <v>2</v>
      </c>
      <c r="G85" s="50">
        <v>0</v>
      </c>
      <c r="H85" s="50">
        <v>0</v>
      </c>
      <c r="I85" s="50">
        <v>0</v>
      </c>
      <c r="J85" s="50">
        <v>2</v>
      </c>
      <c r="K85" s="50">
        <v>1</v>
      </c>
      <c r="L85" s="50">
        <v>0</v>
      </c>
      <c r="M85" s="50">
        <v>3</v>
      </c>
      <c r="N85" s="50">
        <v>0</v>
      </c>
      <c r="O85" s="15">
        <f t="shared" si="36"/>
        <v>10</v>
      </c>
      <c r="P85" s="15">
        <f t="shared" si="37"/>
        <v>13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f t="shared" si="38"/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1</v>
      </c>
      <c r="L86" s="50">
        <v>1</v>
      </c>
      <c r="M86" s="50">
        <v>0</v>
      </c>
      <c r="N86" s="50">
        <v>0</v>
      </c>
      <c r="O86" s="15">
        <f t="shared" si="36"/>
        <v>2</v>
      </c>
      <c r="P86" s="15">
        <f t="shared" si="37"/>
        <v>2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f t="shared" si="38"/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2</v>
      </c>
      <c r="L87" s="50">
        <v>2</v>
      </c>
      <c r="M87" s="50">
        <v>1</v>
      </c>
      <c r="N87" s="50">
        <v>0</v>
      </c>
      <c r="O87" s="15">
        <f t="shared" si="36"/>
        <v>4</v>
      </c>
      <c r="P87" s="15">
        <f t="shared" si="37"/>
        <v>5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f>ROUND((0.4*E88),0)</f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6"/>
        <v>0</v>
      </c>
      <c r="P88" s="15">
        <f t="shared" si="37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f>ROUND((0.4*E89),0)</f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6"/>
        <v>1</v>
      </c>
      <c r="P89" s="15">
        <f t="shared" si="37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f>ROUND((0.4*E90),0)</f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6"/>
        <v>0</v>
      </c>
      <c r="P90" s="15">
        <f t="shared" si="37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f t="shared" ref="D91:D105" si="39">ROUND((0.4*E91),0)</f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1</v>
      </c>
      <c r="M91" s="50">
        <v>0</v>
      </c>
      <c r="N91" s="50">
        <v>0</v>
      </c>
      <c r="O91" s="15">
        <f t="shared" si="36"/>
        <v>1</v>
      </c>
      <c r="P91" s="15">
        <f t="shared" si="37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f t="shared" si="39"/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6"/>
        <v>0</v>
      </c>
      <c r="P92" s="15">
        <f t="shared" si="37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f t="shared" si="39"/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6"/>
        <v>0</v>
      </c>
      <c r="P93" s="15">
        <f t="shared" si="37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f t="shared" si="39"/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6"/>
        <v>0</v>
      </c>
      <c r="P94" s="15">
        <f t="shared" si="37"/>
        <v>0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f t="shared" si="39"/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1</v>
      </c>
      <c r="M95" s="50">
        <v>0</v>
      </c>
      <c r="N95" s="50">
        <v>0</v>
      </c>
      <c r="O95" s="15">
        <f t="shared" si="36"/>
        <v>2</v>
      </c>
      <c r="P95" s="15">
        <f t="shared" si="37"/>
        <v>2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f t="shared" si="39"/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1</v>
      </c>
      <c r="L96" s="50">
        <v>0</v>
      </c>
      <c r="M96" s="50">
        <v>0</v>
      </c>
      <c r="N96" s="50">
        <v>0</v>
      </c>
      <c r="O96" s="15">
        <f t="shared" si="36"/>
        <v>2</v>
      </c>
      <c r="P96" s="15">
        <f t="shared" si="37"/>
        <v>2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f t="shared" si="39"/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2</v>
      </c>
      <c r="L97" s="50">
        <v>1</v>
      </c>
      <c r="M97" s="50">
        <v>0</v>
      </c>
      <c r="N97" s="50">
        <v>0</v>
      </c>
      <c r="O97" s="15">
        <f t="shared" si="36"/>
        <v>5</v>
      </c>
      <c r="P97" s="15">
        <f t="shared" si="37"/>
        <v>5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f t="shared" si="39"/>
        <v>0</v>
      </c>
      <c r="E98" s="50">
        <v>1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1</v>
      </c>
      <c r="L98" s="50">
        <v>0</v>
      </c>
      <c r="M98" s="50">
        <v>1</v>
      </c>
      <c r="N98" s="50">
        <v>0</v>
      </c>
      <c r="O98" s="15">
        <f t="shared" si="36"/>
        <v>3</v>
      </c>
      <c r="P98" s="15">
        <f t="shared" si="37"/>
        <v>4</v>
      </c>
      <c r="R98" s="8"/>
      <c r="T98"/>
    </row>
    <row r="99" spans="2:20" ht="23.1" customHeight="1" x14ac:dyDescent="0.25">
      <c r="B99" s="45" t="s">
        <v>139</v>
      </c>
      <c r="C99" s="50">
        <v>3</v>
      </c>
      <c r="D99" s="50">
        <f t="shared" si="39"/>
        <v>1</v>
      </c>
      <c r="E99" s="50">
        <v>2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3</v>
      </c>
      <c r="L99" s="50">
        <v>1</v>
      </c>
      <c r="M99" s="50">
        <v>3</v>
      </c>
      <c r="N99" s="50">
        <v>0</v>
      </c>
      <c r="O99" s="15">
        <f t="shared" si="36"/>
        <v>11</v>
      </c>
      <c r="P99" s="15">
        <f t="shared" si="37"/>
        <v>14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f t="shared" si="39"/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1</v>
      </c>
      <c r="M100" s="50">
        <v>2</v>
      </c>
      <c r="N100" s="50">
        <v>0</v>
      </c>
      <c r="O100" s="15">
        <f t="shared" si="36"/>
        <v>3</v>
      </c>
      <c r="P100" s="15">
        <f t="shared" si="37"/>
        <v>5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f t="shared" si="39"/>
        <v>0</v>
      </c>
      <c r="E101" s="50">
        <v>1</v>
      </c>
      <c r="F101" s="50">
        <v>3</v>
      </c>
      <c r="G101" s="50">
        <v>0</v>
      </c>
      <c r="H101" s="50">
        <v>0</v>
      </c>
      <c r="I101" s="50">
        <v>0</v>
      </c>
      <c r="J101" s="50">
        <v>0</v>
      </c>
      <c r="K101" s="50">
        <v>1</v>
      </c>
      <c r="L101" s="50">
        <v>2</v>
      </c>
      <c r="M101" s="50">
        <v>5</v>
      </c>
      <c r="N101" s="50">
        <v>0</v>
      </c>
      <c r="O101" s="15">
        <f t="shared" si="36"/>
        <v>9</v>
      </c>
      <c r="P101" s="15">
        <f t="shared" si="37"/>
        <v>14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f t="shared" si="39"/>
        <v>0</v>
      </c>
      <c r="E102" s="50">
        <v>1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1</v>
      </c>
      <c r="L102" s="50">
        <v>0</v>
      </c>
      <c r="M102" s="50">
        <v>2</v>
      </c>
      <c r="N102" s="50">
        <v>0</v>
      </c>
      <c r="O102" s="15">
        <f t="shared" si="36"/>
        <v>5</v>
      </c>
      <c r="P102" s="15">
        <f t="shared" si="37"/>
        <v>7</v>
      </c>
      <c r="R102" s="8"/>
      <c r="T102"/>
    </row>
    <row r="103" spans="2:20" ht="23.1" customHeight="1" x14ac:dyDescent="0.25">
      <c r="B103" s="45" t="s">
        <v>143</v>
      </c>
      <c r="C103" s="50">
        <v>4</v>
      </c>
      <c r="D103" s="50">
        <f t="shared" si="39"/>
        <v>1</v>
      </c>
      <c r="E103" s="50">
        <v>3</v>
      </c>
      <c r="F103" s="50">
        <v>2</v>
      </c>
      <c r="G103" s="50">
        <v>0</v>
      </c>
      <c r="H103" s="50">
        <v>0</v>
      </c>
      <c r="I103" s="50">
        <v>0</v>
      </c>
      <c r="J103" s="50">
        <v>0</v>
      </c>
      <c r="K103" s="50">
        <v>2</v>
      </c>
      <c r="L103" s="50">
        <v>1</v>
      </c>
      <c r="M103" s="50">
        <v>4</v>
      </c>
      <c r="N103" s="50">
        <v>0</v>
      </c>
      <c r="O103" s="15">
        <f t="shared" si="36"/>
        <v>13</v>
      </c>
      <c r="P103" s="15">
        <f t="shared" si="37"/>
        <v>17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f t="shared" si="39"/>
        <v>0</v>
      </c>
      <c r="E104" s="50">
        <v>0</v>
      </c>
      <c r="F104" s="50">
        <v>2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5</v>
      </c>
      <c r="N104" s="50">
        <v>0</v>
      </c>
      <c r="O104" s="15">
        <f t="shared" si="36"/>
        <v>3</v>
      </c>
      <c r="P104" s="15">
        <f t="shared" si="37"/>
        <v>8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f t="shared" si="39"/>
        <v>0</v>
      </c>
      <c r="E105" s="50">
        <v>1</v>
      </c>
      <c r="F105" s="50">
        <v>4</v>
      </c>
      <c r="G105" s="50">
        <v>0</v>
      </c>
      <c r="H105" s="50">
        <v>0</v>
      </c>
      <c r="I105" s="50">
        <v>0</v>
      </c>
      <c r="J105" s="50">
        <v>1</v>
      </c>
      <c r="K105" s="50">
        <v>0</v>
      </c>
      <c r="L105" s="50">
        <v>1</v>
      </c>
      <c r="M105" s="50">
        <v>12</v>
      </c>
      <c r="N105" s="50">
        <v>0</v>
      </c>
      <c r="O105" s="15">
        <f t="shared" si="36"/>
        <v>10</v>
      </c>
      <c r="P105" s="15">
        <f t="shared" si="37"/>
        <v>22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351</v>
      </c>
      <c r="D106" s="16">
        <f t="shared" ref="D106:P106" si="40">SUM(D10:D105)</f>
        <v>97</v>
      </c>
      <c r="E106" s="16">
        <f t="shared" si="40"/>
        <v>244</v>
      </c>
      <c r="F106" s="16">
        <f t="shared" si="40"/>
        <v>176</v>
      </c>
      <c r="G106" s="16">
        <f t="shared" si="40"/>
        <v>8</v>
      </c>
      <c r="H106" s="16">
        <f t="shared" si="40"/>
        <v>11</v>
      </c>
      <c r="I106" s="16">
        <f t="shared" si="40"/>
        <v>55</v>
      </c>
      <c r="J106" s="16">
        <f t="shared" si="40"/>
        <v>64</v>
      </c>
      <c r="K106" s="16">
        <f t="shared" si="40"/>
        <v>152</v>
      </c>
      <c r="L106" s="16">
        <f t="shared" si="40"/>
        <v>58</v>
      </c>
      <c r="M106" s="16">
        <f t="shared" si="40"/>
        <v>3744</v>
      </c>
      <c r="N106" s="16">
        <f t="shared" si="40"/>
        <v>1</v>
      </c>
      <c r="O106" s="16">
        <f t="shared" si="40"/>
        <v>1217</v>
      </c>
      <c r="P106" s="16">
        <f t="shared" si="40"/>
        <v>4961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41">C106/$P$106</f>
        <v>7.0751864543438819E-2</v>
      </c>
      <c r="D107" s="43">
        <f t="shared" si="41"/>
        <v>1.9552509574682523E-2</v>
      </c>
      <c r="E107" s="43">
        <f t="shared" si="41"/>
        <v>4.9183632332191092E-2</v>
      </c>
      <c r="F107" s="43">
        <f t="shared" si="41"/>
        <v>3.5476718403547672E-2</v>
      </c>
      <c r="G107" s="43">
        <f t="shared" si="41"/>
        <v>1.6125781092521669E-3</v>
      </c>
      <c r="H107" s="43">
        <f t="shared" si="41"/>
        <v>2.2172949002217295E-3</v>
      </c>
      <c r="I107" s="43">
        <f t="shared" si="41"/>
        <v>1.1086474501108648E-2</v>
      </c>
      <c r="J107" s="43">
        <f t="shared" si="41"/>
        <v>1.2900624874017335E-2</v>
      </c>
      <c r="K107" s="43">
        <f t="shared" si="41"/>
        <v>3.063898407579117E-2</v>
      </c>
      <c r="L107" s="43">
        <f t="shared" si="41"/>
        <v>1.1691191292078211E-2</v>
      </c>
      <c r="M107" s="43">
        <f t="shared" si="41"/>
        <v>0.75468655513001415</v>
      </c>
      <c r="N107" s="43">
        <f t="shared" si="41"/>
        <v>2.0157226365652087E-4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0.28841413311421527</v>
      </c>
      <c r="D108" s="44">
        <f t="shared" ref="D108:N108" si="42">D106/$O$106</f>
        <v>7.970419063270337E-2</v>
      </c>
      <c r="E108" s="44">
        <f t="shared" si="42"/>
        <v>0.20049301561216104</v>
      </c>
      <c r="F108" s="44">
        <f t="shared" si="42"/>
        <v>0.14461791290057519</v>
      </c>
      <c r="G108" s="44">
        <f t="shared" si="42"/>
        <v>6.5735414954806899E-3</v>
      </c>
      <c r="H108" s="44">
        <f t="shared" si="42"/>
        <v>9.0386195562859491E-3</v>
      </c>
      <c r="I108" s="44">
        <f t="shared" si="42"/>
        <v>4.5193097781429742E-2</v>
      </c>
      <c r="J108" s="44">
        <f t="shared" si="42"/>
        <v>5.2588331963845519E-2</v>
      </c>
      <c r="K108" s="44">
        <f t="shared" si="42"/>
        <v>0.12489728841413311</v>
      </c>
      <c r="L108" s="44">
        <f t="shared" si="42"/>
        <v>4.7658175842235001E-2</v>
      </c>
      <c r="M108" s="44"/>
      <c r="N108" s="44">
        <f t="shared" si="42"/>
        <v>8.2169268693508624E-4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1" t="s">
        <v>96</v>
      </c>
      <c r="C3" s="63" t="s">
        <v>164</v>
      </c>
      <c r="D3" s="63"/>
      <c r="E3" s="63"/>
      <c r="F3" s="63"/>
      <c r="G3" s="63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1" t="s">
        <v>167</v>
      </c>
      <c r="H5" s="62"/>
      <c r="I5" s="14"/>
      <c r="J5" s="2" t="s">
        <v>5</v>
      </c>
      <c r="K5" s="61" t="s">
        <v>162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165</v>
      </c>
      <c r="E6" s="62"/>
      <c r="F6" s="2" t="s">
        <v>2</v>
      </c>
      <c r="G6" s="61" t="s">
        <v>166</v>
      </c>
      <c r="H6" s="62"/>
      <c r="J6" s="2" t="s">
        <v>21</v>
      </c>
      <c r="K6" s="61" t="s">
        <v>162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3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0</v>
      </c>
      <c r="V10" s="17">
        <f t="shared" si="2"/>
        <v>1</v>
      </c>
      <c r="W10" s="17">
        <f t="shared" si="2"/>
        <v>1</v>
      </c>
      <c r="X10" s="17">
        <f t="shared" si="2"/>
        <v>0</v>
      </c>
      <c r="Y10" s="17">
        <f t="shared" si="2"/>
        <v>0</v>
      </c>
      <c r="Z10" s="17">
        <f t="shared" si="2"/>
        <v>3</v>
      </c>
      <c r="AA10" s="17">
        <f t="shared" si="2"/>
        <v>0</v>
      </c>
      <c r="AB10" s="17">
        <f t="shared" si="2"/>
        <v>1</v>
      </c>
      <c r="AC10" s="17">
        <f t="shared" si="2"/>
        <v>16</v>
      </c>
      <c r="AD10" s="17">
        <f t="shared" si="2"/>
        <v>0</v>
      </c>
      <c r="AE10" s="31">
        <f t="shared" si="2"/>
        <v>10</v>
      </c>
      <c r="AF10" s="31">
        <f t="shared" si="2"/>
        <v>26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1</v>
      </c>
      <c r="H11" s="50">
        <v>0</v>
      </c>
      <c r="I11" s="50">
        <v>0</v>
      </c>
      <c r="J11" s="50">
        <v>2</v>
      </c>
      <c r="K11" s="50">
        <v>0</v>
      </c>
      <c r="L11" s="50">
        <v>1</v>
      </c>
      <c r="M11" s="50">
        <v>3</v>
      </c>
      <c r="N11" s="50">
        <v>0</v>
      </c>
      <c r="O11" s="15">
        <f t="shared" si="0"/>
        <v>5</v>
      </c>
      <c r="P11" s="15">
        <f t="shared" si="1"/>
        <v>8</v>
      </c>
      <c r="R11" s="1" t="s">
        <v>7</v>
      </c>
      <c r="S11" s="17">
        <f t="shared" ref="S11:AF11" si="3">SUM(C14:C17)</f>
        <v>8</v>
      </c>
      <c r="T11" s="17">
        <f t="shared" si="3"/>
        <v>0</v>
      </c>
      <c r="U11" s="17">
        <f t="shared" si="3"/>
        <v>0</v>
      </c>
      <c r="V11" s="17">
        <f t="shared" si="3"/>
        <v>7</v>
      </c>
      <c r="W11" s="17">
        <f t="shared" si="3"/>
        <v>1</v>
      </c>
      <c r="X11" s="17">
        <f t="shared" si="3"/>
        <v>0</v>
      </c>
      <c r="Y11" s="17">
        <f t="shared" si="3"/>
        <v>3</v>
      </c>
      <c r="Z11" s="17">
        <f t="shared" si="3"/>
        <v>8</v>
      </c>
      <c r="AA11" s="17">
        <f t="shared" si="3"/>
        <v>1</v>
      </c>
      <c r="AB11" s="17">
        <f t="shared" si="3"/>
        <v>0</v>
      </c>
      <c r="AC11" s="17">
        <f t="shared" si="3"/>
        <v>74</v>
      </c>
      <c r="AD11" s="17">
        <f t="shared" si="3"/>
        <v>0</v>
      </c>
      <c r="AE11" s="31">
        <f t="shared" si="3"/>
        <v>28</v>
      </c>
      <c r="AF11" s="31">
        <f t="shared" si="3"/>
        <v>102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1</v>
      </c>
      <c r="P12" s="15">
        <f t="shared" si="1"/>
        <v>5</v>
      </c>
      <c r="R12" s="1" t="s">
        <v>8</v>
      </c>
      <c r="S12" s="17">
        <f t="shared" ref="S12:AF12" si="4">SUM(C18:C21)</f>
        <v>12</v>
      </c>
      <c r="T12" s="17">
        <f t="shared" si="4"/>
        <v>0</v>
      </c>
      <c r="U12" s="17">
        <f t="shared" si="4"/>
        <v>6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3</v>
      </c>
      <c r="AA12" s="17">
        <f t="shared" si="4"/>
        <v>1</v>
      </c>
      <c r="AB12" s="17">
        <f t="shared" si="4"/>
        <v>7</v>
      </c>
      <c r="AC12" s="17">
        <f t="shared" si="4"/>
        <v>115</v>
      </c>
      <c r="AD12" s="17">
        <f t="shared" si="4"/>
        <v>0</v>
      </c>
      <c r="AE12" s="31">
        <f t="shared" si="4"/>
        <v>36</v>
      </c>
      <c r="AF12" s="31">
        <f t="shared" si="4"/>
        <v>151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3</v>
      </c>
      <c r="P13" s="15">
        <f t="shared" si="1"/>
        <v>10</v>
      </c>
      <c r="R13" s="1" t="s">
        <v>9</v>
      </c>
      <c r="S13" s="17">
        <f t="shared" ref="S13:AF13" si="5">SUM(C22:C25)</f>
        <v>25</v>
      </c>
      <c r="T13" s="17">
        <f t="shared" si="5"/>
        <v>0</v>
      </c>
      <c r="U13" s="17">
        <f t="shared" si="5"/>
        <v>6</v>
      </c>
      <c r="V13" s="17">
        <f t="shared" si="5"/>
        <v>9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3</v>
      </c>
      <c r="AA13" s="17">
        <f t="shared" si="5"/>
        <v>0</v>
      </c>
      <c r="AB13" s="17">
        <f t="shared" si="5"/>
        <v>6</v>
      </c>
      <c r="AC13" s="17">
        <f t="shared" si="5"/>
        <v>171</v>
      </c>
      <c r="AD13" s="17">
        <f t="shared" si="5"/>
        <v>0</v>
      </c>
      <c r="AE13" s="31">
        <f t="shared" si="5"/>
        <v>53</v>
      </c>
      <c r="AF13" s="31">
        <f t="shared" si="5"/>
        <v>224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14</v>
      </c>
      <c r="N14" s="50">
        <v>0</v>
      </c>
      <c r="O14" s="15">
        <f t="shared" si="0"/>
        <v>2</v>
      </c>
      <c r="P14" s="15">
        <f t="shared" si="1"/>
        <v>16</v>
      </c>
      <c r="R14" s="1" t="s">
        <v>10</v>
      </c>
      <c r="S14" s="17">
        <f t="shared" ref="S14:AF14" si="6">SUM(C26:C29)</f>
        <v>29</v>
      </c>
      <c r="T14" s="17">
        <f t="shared" si="6"/>
        <v>2</v>
      </c>
      <c r="U14" s="17">
        <f t="shared" si="6"/>
        <v>16</v>
      </c>
      <c r="V14" s="17">
        <f t="shared" si="6"/>
        <v>11</v>
      </c>
      <c r="W14" s="17">
        <f t="shared" si="6"/>
        <v>1</v>
      </c>
      <c r="X14" s="17">
        <f t="shared" si="6"/>
        <v>0</v>
      </c>
      <c r="Y14" s="17">
        <f t="shared" si="6"/>
        <v>4</v>
      </c>
      <c r="Z14" s="17">
        <f t="shared" si="6"/>
        <v>5</v>
      </c>
      <c r="AA14" s="17">
        <f t="shared" si="6"/>
        <v>1</v>
      </c>
      <c r="AB14" s="17">
        <f t="shared" si="6"/>
        <v>9</v>
      </c>
      <c r="AC14" s="17">
        <f t="shared" si="6"/>
        <v>128</v>
      </c>
      <c r="AD14" s="17">
        <f t="shared" si="6"/>
        <v>0</v>
      </c>
      <c r="AE14" s="31">
        <f t="shared" si="6"/>
        <v>78</v>
      </c>
      <c r="AF14" s="31">
        <f t="shared" si="6"/>
        <v>206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1</v>
      </c>
      <c r="G15" s="50">
        <v>1</v>
      </c>
      <c r="H15" s="50">
        <v>0</v>
      </c>
      <c r="I15" s="50">
        <v>0</v>
      </c>
      <c r="J15" s="50">
        <v>2</v>
      </c>
      <c r="K15" s="50">
        <v>0</v>
      </c>
      <c r="L15" s="50">
        <v>0</v>
      </c>
      <c r="M15" s="50">
        <v>23</v>
      </c>
      <c r="N15" s="50">
        <v>0</v>
      </c>
      <c r="O15" s="15">
        <f t="shared" si="0"/>
        <v>6</v>
      </c>
      <c r="P15" s="15">
        <f t="shared" si="1"/>
        <v>29</v>
      </c>
      <c r="R15" s="1" t="s">
        <v>11</v>
      </c>
      <c r="S15" s="17">
        <f t="shared" ref="S15:AF15" si="7">SUM(C30:C33)</f>
        <v>32</v>
      </c>
      <c r="T15" s="17">
        <f t="shared" si="7"/>
        <v>2</v>
      </c>
      <c r="U15" s="17">
        <f t="shared" si="7"/>
        <v>17</v>
      </c>
      <c r="V15" s="17">
        <f t="shared" si="7"/>
        <v>11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1</v>
      </c>
      <c r="AB15" s="17">
        <f t="shared" si="7"/>
        <v>2</v>
      </c>
      <c r="AC15" s="17">
        <f t="shared" si="7"/>
        <v>114</v>
      </c>
      <c r="AD15" s="17">
        <f t="shared" si="7"/>
        <v>0</v>
      </c>
      <c r="AE15" s="31">
        <f t="shared" si="7"/>
        <v>67</v>
      </c>
      <c r="AF15" s="31">
        <f t="shared" si="7"/>
        <v>181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1</v>
      </c>
      <c r="J16" s="50">
        <v>2</v>
      </c>
      <c r="K16" s="50">
        <v>0</v>
      </c>
      <c r="L16" s="50">
        <v>0</v>
      </c>
      <c r="M16" s="50">
        <v>14</v>
      </c>
      <c r="N16" s="50">
        <v>0</v>
      </c>
      <c r="O16" s="15">
        <f t="shared" si="0"/>
        <v>7</v>
      </c>
      <c r="P16" s="15">
        <f t="shared" si="1"/>
        <v>21</v>
      </c>
      <c r="R16" s="1" t="s">
        <v>12</v>
      </c>
      <c r="S16" s="17">
        <f t="shared" ref="S16:AF16" si="8">SUM(C34:C37)</f>
        <v>30</v>
      </c>
      <c r="T16" s="17">
        <f t="shared" si="8"/>
        <v>4</v>
      </c>
      <c r="U16" s="17">
        <f t="shared" si="8"/>
        <v>31</v>
      </c>
      <c r="V16" s="17">
        <f t="shared" si="8"/>
        <v>15</v>
      </c>
      <c r="W16" s="17">
        <f t="shared" si="8"/>
        <v>3</v>
      </c>
      <c r="X16" s="17">
        <f t="shared" si="8"/>
        <v>2</v>
      </c>
      <c r="Y16" s="17">
        <f t="shared" si="8"/>
        <v>4</v>
      </c>
      <c r="Z16" s="17">
        <f t="shared" si="8"/>
        <v>4</v>
      </c>
      <c r="AA16" s="17">
        <f t="shared" si="8"/>
        <v>3</v>
      </c>
      <c r="AB16" s="17">
        <f t="shared" si="8"/>
        <v>12</v>
      </c>
      <c r="AC16" s="17">
        <f t="shared" si="8"/>
        <v>104</v>
      </c>
      <c r="AD16" s="17">
        <f t="shared" si="8"/>
        <v>1</v>
      </c>
      <c r="AE16" s="31">
        <f t="shared" si="8"/>
        <v>109</v>
      </c>
      <c r="AF16" s="31">
        <f t="shared" si="8"/>
        <v>213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0</v>
      </c>
      <c r="F17" s="50">
        <v>4</v>
      </c>
      <c r="G17" s="50">
        <v>0</v>
      </c>
      <c r="H17" s="50">
        <v>0</v>
      </c>
      <c r="I17" s="50">
        <v>2</v>
      </c>
      <c r="J17" s="50">
        <v>3</v>
      </c>
      <c r="K17" s="50">
        <v>1</v>
      </c>
      <c r="L17" s="50">
        <v>0</v>
      </c>
      <c r="M17" s="50">
        <v>23</v>
      </c>
      <c r="N17" s="50">
        <v>0</v>
      </c>
      <c r="O17" s="15">
        <f t="shared" si="0"/>
        <v>13</v>
      </c>
      <c r="P17" s="15">
        <f t="shared" si="1"/>
        <v>36</v>
      </c>
      <c r="R17" s="1" t="s">
        <v>13</v>
      </c>
      <c r="S17" s="17">
        <f t="shared" ref="S17:AF17" si="9">SUM(C38:C41)</f>
        <v>21</v>
      </c>
      <c r="T17" s="17">
        <f t="shared" si="9"/>
        <v>1</v>
      </c>
      <c r="U17" s="17">
        <f t="shared" si="9"/>
        <v>13</v>
      </c>
      <c r="V17" s="17">
        <f t="shared" si="9"/>
        <v>21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1</v>
      </c>
      <c r="AA17" s="17">
        <f t="shared" si="9"/>
        <v>1</v>
      </c>
      <c r="AB17" s="17">
        <f t="shared" si="9"/>
        <v>8</v>
      </c>
      <c r="AC17" s="17">
        <f t="shared" si="9"/>
        <v>139</v>
      </c>
      <c r="AD17" s="17">
        <f t="shared" si="9"/>
        <v>0</v>
      </c>
      <c r="AE17" s="31">
        <f t="shared" si="9"/>
        <v>69</v>
      </c>
      <c r="AF17" s="31">
        <f t="shared" si="9"/>
        <v>208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2</v>
      </c>
      <c r="M18" s="50">
        <v>14</v>
      </c>
      <c r="N18" s="50">
        <v>0</v>
      </c>
      <c r="O18" s="15">
        <f t="shared" si="0"/>
        <v>5</v>
      </c>
      <c r="P18" s="15">
        <f t="shared" si="1"/>
        <v>19</v>
      </c>
      <c r="R18" s="1" t="s">
        <v>14</v>
      </c>
      <c r="S18" s="17">
        <f t="shared" ref="S18:AF18" si="10">SUM(C42:C45)</f>
        <v>22</v>
      </c>
      <c r="T18" s="17">
        <f t="shared" si="10"/>
        <v>0</v>
      </c>
      <c r="U18" s="17">
        <f t="shared" si="10"/>
        <v>12</v>
      </c>
      <c r="V18" s="17">
        <f t="shared" si="10"/>
        <v>13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1</v>
      </c>
      <c r="AA18" s="17">
        <f t="shared" si="10"/>
        <v>0</v>
      </c>
      <c r="AB18" s="17">
        <f t="shared" si="10"/>
        <v>5</v>
      </c>
      <c r="AC18" s="17">
        <f t="shared" si="10"/>
        <v>141</v>
      </c>
      <c r="AD18" s="17">
        <f t="shared" si="10"/>
        <v>0</v>
      </c>
      <c r="AE18" s="31">
        <f t="shared" si="10"/>
        <v>56</v>
      </c>
      <c r="AF18" s="31">
        <f t="shared" si="10"/>
        <v>197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2</v>
      </c>
      <c r="K19" s="50">
        <v>1</v>
      </c>
      <c r="L19" s="50">
        <v>4</v>
      </c>
      <c r="M19" s="50">
        <v>23</v>
      </c>
      <c r="N19" s="50">
        <v>0</v>
      </c>
      <c r="O19" s="15">
        <f t="shared" si="0"/>
        <v>13</v>
      </c>
      <c r="P19" s="15">
        <f t="shared" si="1"/>
        <v>36</v>
      </c>
      <c r="R19" s="1" t="s">
        <v>15</v>
      </c>
      <c r="S19" s="17">
        <f t="shared" ref="S19:AF19" si="11">SUM(C46:C49)</f>
        <v>29</v>
      </c>
      <c r="T19" s="17">
        <f t="shared" si="11"/>
        <v>0</v>
      </c>
      <c r="U19" s="17">
        <f t="shared" si="11"/>
        <v>9</v>
      </c>
      <c r="V19" s="17">
        <f t="shared" si="11"/>
        <v>11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0</v>
      </c>
      <c r="AA19" s="17">
        <f t="shared" si="11"/>
        <v>3</v>
      </c>
      <c r="AB19" s="17">
        <f t="shared" si="11"/>
        <v>4</v>
      </c>
      <c r="AC19" s="17">
        <f t="shared" si="11"/>
        <v>184</v>
      </c>
      <c r="AD19" s="17">
        <f t="shared" si="11"/>
        <v>0</v>
      </c>
      <c r="AE19" s="31">
        <f t="shared" si="11"/>
        <v>61</v>
      </c>
      <c r="AF19" s="31">
        <f t="shared" si="11"/>
        <v>245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2</v>
      </c>
      <c r="F20" s="50">
        <v>2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29</v>
      </c>
      <c r="N20" s="50">
        <v>0</v>
      </c>
      <c r="O20" s="15">
        <f t="shared" si="0"/>
        <v>6</v>
      </c>
      <c r="P20" s="15">
        <f t="shared" si="1"/>
        <v>35</v>
      </c>
      <c r="R20" s="1" t="s">
        <v>16</v>
      </c>
      <c r="S20" s="17">
        <f t="shared" ref="S20:AF20" si="12">SUM(C50:C53)</f>
        <v>16</v>
      </c>
      <c r="T20" s="17">
        <f t="shared" si="12"/>
        <v>1</v>
      </c>
      <c r="U20" s="17">
        <f t="shared" si="12"/>
        <v>14</v>
      </c>
      <c r="V20" s="17">
        <f t="shared" si="12"/>
        <v>15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3</v>
      </c>
      <c r="AA20" s="17">
        <f t="shared" si="12"/>
        <v>1</v>
      </c>
      <c r="AB20" s="17">
        <f t="shared" si="12"/>
        <v>9</v>
      </c>
      <c r="AC20" s="17">
        <f t="shared" si="12"/>
        <v>112</v>
      </c>
      <c r="AD20" s="17">
        <f t="shared" si="12"/>
        <v>0</v>
      </c>
      <c r="AE20" s="31">
        <f t="shared" si="12"/>
        <v>65</v>
      </c>
      <c r="AF20" s="31">
        <f t="shared" si="12"/>
        <v>177</v>
      </c>
    </row>
    <row r="21" spans="2:32" ht="23.1" customHeight="1" x14ac:dyDescent="0.25">
      <c r="B21" s="23" t="s">
        <v>48</v>
      </c>
      <c r="C21" s="50">
        <v>4</v>
      </c>
      <c r="D21" s="50">
        <v>0</v>
      </c>
      <c r="E21" s="50">
        <v>3</v>
      </c>
      <c r="F21" s="50">
        <v>3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1</v>
      </c>
      <c r="M21" s="50">
        <v>49</v>
      </c>
      <c r="N21" s="50">
        <v>0</v>
      </c>
      <c r="O21" s="15">
        <f t="shared" si="0"/>
        <v>12</v>
      </c>
      <c r="P21" s="15">
        <f t="shared" si="1"/>
        <v>61</v>
      </c>
      <c r="R21" s="36" t="s">
        <v>20</v>
      </c>
      <c r="S21" s="34">
        <f t="shared" ref="S21:AF21" si="13">SUM(C54:C57)</f>
        <v>23</v>
      </c>
      <c r="T21" s="17">
        <f t="shared" si="13"/>
        <v>0</v>
      </c>
      <c r="U21" s="17">
        <f t="shared" si="13"/>
        <v>4</v>
      </c>
      <c r="V21" s="17">
        <f t="shared" si="13"/>
        <v>9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4</v>
      </c>
      <c r="AA21" s="17">
        <f t="shared" si="13"/>
        <v>0</v>
      </c>
      <c r="AB21" s="17">
        <f t="shared" si="13"/>
        <v>3</v>
      </c>
      <c r="AC21" s="17">
        <f t="shared" si="13"/>
        <v>181</v>
      </c>
      <c r="AD21" s="17">
        <f t="shared" si="13"/>
        <v>0</v>
      </c>
      <c r="AE21" s="31">
        <f t="shared" si="13"/>
        <v>47</v>
      </c>
      <c r="AF21" s="31">
        <f t="shared" si="13"/>
        <v>228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2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1</v>
      </c>
      <c r="M22" s="50">
        <v>26</v>
      </c>
      <c r="N22" s="50">
        <v>0</v>
      </c>
      <c r="O22" s="15">
        <f t="shared" si="0"/>
        <v>6</v>
      </c>
      <c r="P22" s="15">
        <f t="shared" si="1"/>
        <v>32</v>
      </c>
      <c r="R22" s="38" t="s">
        <v>90</v>
      </c>
      <c r="S22" s="39">
        <f>MAX(S10:S12)</f>
        <v>12</v>
      </c>
      <c r="T22" s="39">
        <f t="shared" ref="T22:AF22" si="14">MAX(T10:T12)</f>
        <v>0</v>
      </c>
      <c r="U22" s="39">
        <f t="shared" si="14"/>
        <v>6</v>
      </c>
      <c r="V22" s="39">
        <f t="shared" si="14"/>
        <v>7</v>
      </c>
      <c r="W22" s="39">
        <f t="shared" si="14"/>
        <v>1</v>
      </c>
      <c r="X22" s="39">
        <f t="shared" si="14"/>
        <v>0</v>
      </c>
      <c r="Y22" s="39">
        <f t="shared" si="14"/>
        <v>3</v>
      </c>
      <c r="Z22" s="39">
        <f t="shared" si="14"/>
        <v>8</v>
      </c>
      <c r="AA22" s="39">
        <f t="shared" si="14"/>
        <v>1</v>
      </c>
      <c r="AB22" s="39">
        <f t="shared" si="14"/>
        <v>7</v>
      </c>
      <c r="AC22" s="39">
        <f t="shared" si="14"/>
        <v>115</v>
      </c>
      <c r="AD22" s="39">
        <f t="shared" si="14"/>
        <v>0</v>
      </c>
      <c r="AE22" s="40">
        <f t="shared" si="14"/>
        <v>36</v>
      </c>
      <c r="AF22" s="40">
        <f t="shared" si="14"/>
        <v>151</v>
      </c>
    </row>
    <row r="23" spans="2:32" ht="23.1" customHeight="1" x14ac:dyDescent="0.25">
      <c r="B23" s="23" t="s">
        <v>50</v>
      </c>
      <c r="C23" s="50">
        <v>4</v>
      </c>
      <c r="D23" s="50">
        <v>0</v>
      </c>
      <c r="E23" s="50">
        <v>3</v>
      </c>
      <c r="F23" s="50">
        <v>1</v>
      </c>
      <c r="G23" s="50">
        <v>0</v>
      </c>
      <c r="H23" s="50">
        <v>0</v>
      </c>
      <c r="I23" s="50">
        <v>1</v>
      </c>
      <c r="J23" s="50">
        <v>2</v>
      </c>
      <c r="K23" s="50">
        <v>0</v>
      </c>
      <c r="L23" s="50">
        <v>2</v>
      </c>
      <c r="M23" s="50">
        <v>43</v>
      </c>
      <c r="N23" s="50">
        <v>0</v>
      </c>
      <c r="O23" s="15">
        <f t="shared" si="0"/>
        <v>13</v>
      </c>
      <c r="P23" s="15">
        <f t="shared" si="1"/>
        <v>56</v>
      </c>
      <c r="R23" s="38" t="s">
        <v>91</v>
      </c>
      <c r="S23" s="39">
        <f>MAX(S13:S18)</f>
        <v>32</v>
      </c>
      <c r="T23" s="39">
        <f t="shared" ref="T23:AF23" si="15">MAX(T13:T18)</f>
        <v>4</v>
      </c>
      <c r="U23" s="39">
        <f t="shared" si="15"/>
        <v>31</v>
      </c>
      <c r="V23" s="39">
        <f t="shared" si="15"/>
        <v>21</v>
      </c>
      <c r="W23" s="39">
        <f t="shared" si="15"/>
        <v>3</v>
      </c>
      <c r="X23" s="39">
        <f t="shared" si="15"/>
        <v>2</v>
      </c>
      <c r="Y23" s="39">
        <f t="shared" si="15"/>
        <v>4</v>
      </c>
      <c r="Z23" s="39">
        <f t="shared" si="15"/>
        <v>5</v>
      </c>
      <c r="AA23" s="39">
        <f t="shared" si="15"/>
        <v>3</v>
      </c>
      <c r="AB23" s="39">
        <f t="shared" si="15"/>
        <v>12</v>
      </c>
      <c r="AC23" s="39">
        <f t="shared" si="15"/>
        <v>171</v>
      </c>
      <c r="AD23" s="39">
        <f t="shared" si="15"/>
        <v>1</v>
      </c>
      <c r="AE23" s="40">
        <f t="shared" si="15"/>
        <v>109</v>
      </c>
      <c r="AF23" s="40">
        <f t="shared" si="15"/>
        <v>224</v>
      </c>
    </row>
    <row r="24" spans="2:32" ht="23.1" customHeight="1" x14ac:dyDescent="0.25">
      <c r="B24" s="23" t="s">
        <v>51</v>
      </c>
      <c r="C24" s="50">
        <v>7</v>
      </c>
      <c r="D24" s="50">
        <v>0</v>
      </c>
      <c r="E24" s="50">
        <v>0</v>
      </c>
      <c r="F24" s="50">
        <v>3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1</v>
      </c>
      <c r="M24" s="50">
        <v>38</v>
      </c>
      <c r="N24" s="50">
        <v>0</v>
      </c>
      <c r="O24" s="15">
        <f t="shared" si="0"/>
        <v>12</v>
      </c>
      <c r="P24" s="15">
        <f t="shared" si="1"/>
        <v>50</v>
      </c>
      <c r="R24" s="38" t="s">
        <v>92</v>
      </c>
      <c r="S24" s="39">
        <f>MAX(S19:S21)</f>
        <v>29</v>
      </c>
      <c r="T24" s="39">
        <f t="shared" ref="T24:AF24" si="16">MAX(T19:T21)</f>
        <v>1</v>
      </c>
      <c r="U24" s="39">
        <f t="shared" si="16"/>
        <v>14</v>
      </c>
      <c r="V24" s="39">
        <f t="shared" si="16"/>
        <v>15</v>
      </c>
      <c r="W24" s="39">
        <f t="shared" si="16"/>
        <v>0</v>
      </c>
      <c r="X24" s="39">
        <f t="shared" si="16"/>
        <v>0</v>
      </c>
      <c r="Y24" s="39">
        <f t="shared" si="16"/>
        <v>6</v>
      </c>
      <c r="Z24" s="39">
        <f t="shared" si="16"/>
        <v>4</v>
      </c>
      <c r="AA24" s="39">
        <f t="shared" si="16"/>
        <v>3</v>
      </c>
      <c r="AB24" s="39">
        <f t="shared" si="16"/>
        <v>9</v>
      </c>
      <c r="AC24" s="39">
        <f t="shared" si="16"/>
        <v>184</v>
      </c>
      <c r="AD24" s="39">
        <f t="shared" si="16"/>
        <v>0</v>
      </c>
      <c r="AE24" s="40">
        <f t="shared" si="16"/>
        <v>65</v>
      </c>
      <c r="AF24" s="40">
        <f t="shared" si="16"/>
        <v>245</v>
      </c>
    </row>
    <row r="25" spans="2:32" ht="23.1" customHeight="1" x14ac:dyDescent="0.25">
      <c r="B25" s="23" t="s">
        <v>52</v>
      </c>
      <c r="C25" s="50">
        <v>12</v>
      </c>
      <c r="D25" s="50">
        <v>0</v>
      </c>
      <c r="E25" s="50">
        <v>1</v>
      </c>
      <c r="F25" s="50">
        <v>5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2</v>
      </c>
      <c r="M25" s="50">
        <v>64</v>
      </c>
      <c r="N25" s="50">
        <v>0</v>
      </c>
      <c r="O25" s="15">
        <f t="shared" si="0"/>
        <v>22</v>
      </c>
      <c r="P25" s="15">
        <f t="shared" si="1"/>
        <v>86</v>
      </c>
      <c r="R25" s="37" t="s">
        <v>85</v>
      </c>
      <c r="S25" s="35">
        <f t="shared" ref="S25:AF25" si="17">SUM(S10:S12)</f>
        <v>24</v>
      </c>
      <c r="T25" s="16">
        <f t="shared" si="17"/>
        <v>0</v>
      </c>
      <c r="U25" s="16">
        <f t="shared" si="17"/>
        <v>6</v>
      </c>
      <c r="V25" s="16">
        <f t="shared" si="17"/>
        <v>14</v>
      </c>
      <c r="W25" s="16">
        <f t="shared" si="17"/>
        <v>2</v>
      </c>
      <c r="X25" s="16">
        <f t="shared" si="17"/>
        <v>0</v>
      </c>
      <c r="Y25" s="16">
        <f t="shared" si="17"/>
        <v>4</v>
      </c>
      <c r="Z25" s="16">
        <f t="shared" si="17"/>
        <v>14</v>
      </c>
      <c r="AA25" s="16">
        <f t="shared" si="17"/>
        <v>2</v>
      </c>
      <c r="AB25" s="16">
        <f t="shared" si="17"/>
        <v>8</v>
      </c>
      <c r="AC25" s="16">
        <f t="shared" si="17"/>
        <v>205</v>
      </c>
      <c r="AD25" s="16">
        <f t="shared" si="17"/>
        <v>0</v>
      </c>
      <c r="AE25" s="32">
        <f t="shared" si="17"/>
        <v>74</v>
      </c>
      <c r="AF25" s="32">
        <f t="shared" si="17"/>
        <v>279</v>
      </c>
    </row>
    <row r="26" spans="2:32" ht="23.1" customHeight="1" x14ac:dyDescent="0.25">
      <c r="B26" s="23" t="s">
        <v>53</v>
      </c>
      <c r="C26" s="50">
        <v>7</v>
      </c>
      <c r="D26" s="50">
        <v>0</v>
      </c>
      <c r="E26" s="50">
        <v>4</v>
      </c>
      <c r="F26" s="50">
        <v>2</v>
      </c>
      <c r="G26" s="50">
        <v>0</v>
      </c>
      <c r="H26" s="50">
        <v>0</v>
      </c>
      <c r="I26" s="50">
        <v>1</v>
      </c>
      <c r="J26" s="50">
        <v>2</v>
      </c>
      <c r="K26" s="50">
        <v>0</v>
      </c>
      <c r="L26" s="50">
        <v>1</v>
      </c>
      <c r="M26" s="50">
        <v>31</v>
      </c>
      <c r="N26" s="50">
        <v>0</v>
      </c>
      <c r="O26" s="15">
        <f t="shared" si="0"/>
        <v>17</v>
      </c>
      <c r="P26" s="15">
        <f t="shared" si="1"/>
        <v>48</v>
      </c>
      <c r="R26" s="28" t="s">
        <v>86</v>
      </c>
      <c r="S26" s="16">
        <f t="shared" ref="S26:AF26" si="18">SUM(S13:S18)</f>
        <v>159</v>
      </c>
      <c r="T26" s="16">
        <f t="shared" si="18"/>
        <v>9</v>
      </c>
      <c r="U26" s="16">
        <f t="shared" si="18"/>
        <v>95</v>
      </c>
      <c r="V26" s="16">
        <f t="shared" si="18"/>
        <v>80</v>
      </c>
      <c r="W26" s="16">
        <f t="shared" si="18"/>
        <v>4</v>
      </c>
      <c r="X26" s="16">
        <f t="shared" si="18"/>
        <v>2</v>
      </c>
      <c r="Y26" s="16">
        <f t="shared" si="18"/>
        <v>19</v>
      </c>
      <c r="Z26" s="16">
        <f t="shared" si="18"/>
        <v>15</v>
      </c>
      <c r="AA26" s="16">
        <f t="shared" si="18"/>
        <v>6</v>
      </c>
      <c r="AB26" s="16">
        <f t="shared" si="18"/>
        <v>42</v>
      </c>
      <c r="AC26" s="16">
        <f t="shared" si="18"/>
        <v>797</v>
      </c>
      <c r="AD26" s="16">
        <f t="shared" si="18"/>
        <v>1</v>
      </c>
      <c r="AE26" s="32">
        <f t="shared" si="18"/>
        <v>432</v>
      </c>
      <c r="AF26" s="32">
        <f t="shared" si="18"/>
        <v>1229</v>
      </c>
    </row>
    <row r="27" spans="2:32" ht="23.1" customHeight="1" x14ac:dyDescent="0.25">
      <c r="B27" s="23" t="s">
        <v>54</v>
      </c>
      <c r="C27" s="50">
        <v>11</v>
      </c>
      <c r="D27" s="50">
        <v>1</v>
      </c>
      <c r="E27" s="50">
        <v>5</v>
      </c>
      <c r="F27" s="50">
        <v>3</v>
      </c>
      <c r="G27" s="50">
        <v>1</v>
      </c>
      <c r="H27" s="50">
        <v>0</v>
      </c>
      <c r="I27" s="50">
        <v>2</v>
      </c>
      <c r="J27" s="50">
        <v>3</v>
      </c>
      <c r="K27" s="50">
        <v>1</v>
      </c>
      <c r="L27" s="50">
        <v>2</v>
      </c>
      <c r="M27" s="50">
        <v>52</v>
      </c>
      <c r="N27" s="50">
        <v>0</v>
      </c>
      <c r="O27" s="15">
        <f t="shared" si="0"/>
        <v>29</v>
      </c>
      <c r="P27" s="15">
        <f t="shared" si="1"/>
        <v>81</v>
      </c>
      <c r="R27" s="29" t="s">
        <v>87</v>
      </c>
      <c r="S27" s="16">
        <f t="shared" ref="S27:AF27" si="19">SUM(S19:S21)</f>
        <v>68</v>
      </c>
      <c r="T27" s="16">
        <f t="shared" si="19"/>
        <v>1</v>
      </c>
      <c r="U27" s="16">
        <f t="shared" si="19"/>
        <v>27</v>
      </c>
      <c r="V27" s="16">
        <f t="shared" si="19"/>
        <v>35</v>
      </c>
      <c r="W27" s="16">
        <f t="shared" si="19"/>
        <v>0</v>
      </c>
      <c r="X27" s="16">
        <f t="shared" si="19"/>
        <v>0</v>
      </c>
      <c r="Y27" s="16">
        <f t="shared" si="19"/>
        <v>15</v>
      </c>
      <c r="Z27" s="16">
        <f t="shared" si="19"/>
        <v>7</v>
      </c>
      <c r="AA27" s="16">
        <f t="shared" si="19"/>
        <v>4</v>
      </c>
      <c r="AB27" s="16">
        <f t="shared" si="19"/>
        <v>16</v>
      </c>
      <c r="AC27" s="16">
        <f t="shared" si="19"/>
        <v>477</v>
      </c>
      <c r="AD27" s="16">
        <f t="shared" si="19"/>
        <v>0</v>
      </c>
      <c r="AE27" s="32">
        <f t="shared" si="19"/>
        <v>173</v>
      </c>
      <c r="AF27" s="32">
        <f t="shared" si="19"/>
        <v>650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3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2</v>
      </c>
      <c r="M28" s="50">
        <v>17</v>
      </c>
      <c r="N28" s="50">
        <v>0</v>
      </c>
      <c r="O28" s="15">
        <f t="shared" si="0"/>
        <v>11</v>
      </c>
      <c r="P28" s="15">
        <f t="shared" si="1"/>
        <v>28</v>
      </c>
      <c r="R28" s="5" t="s">
        <v>17</v>
      </c>
      <c r="S28" s="16">
        <f t="shared" ref="S28:AF28" si="20">SUM(S10:S21)</f>
        <v>251</v>
      </c>
      <c r="T28" s="16">
        <f t="shared" si="20"/>
        <v>10</v>
      </c>
      <c r="U28" s="16">
        <f t="shared" si="20"/>
        <v>128</v>
      </c>
      <c r="V28" s="16">
        <f t="shared" si="20"/>
        <v>129</v>
      </c>
      <c r="W28" s="16">
        <f t="shared" si="20"/>
        <v>6</v>
      </c>
      <c r="X28" s="16">
        <f t="shared" si="20"/>
        <v>2</v>
      </c>
      <c r="Y28" s="16">
        <f t="shared" si="20"/>
        <v>38</v>
      </c>
      <c r="Z28" s="16">
        <f t="shared" si="20"/>
        <v>36</v>
      </c>
      <c r="AA28" s="16">
        <f t="shared" si="20"/>
        <v>12</v>
      </c>
      <c r="AB28" s="16">
        <f t="shared" si="20"/>
        <v>66</v>
      </c>
      <c r="AC28" s="16">
        <f t="shared" si="20"/>
        <v>1479</v>
      </c>
      <c r="AD28" s="16">
        <f t="shared" si="20"/>
        <v>1</v>
      </c>
      <c r="AE28" s="32">
        <f t="shared" si="20"/>
        <v>679</v>
      </c>
      <c r="AF28" s="32">
        <f t="shared" si="20"/>
        <v>2158</v>
      </c>
    </row>
    <row r="29" spans="2:32" ht="23.1" customHeight="1" x14ac:dyDescent="0.25">
      <c r="B29" s="23" t="s">
        <v>56</v>
      </c>
      <c r="C29" s="50">
        <v>7</v>
      </c>
      <c r="D29" s="50">
        <v>1</v>
      </c>
      <c r="E29" s="50">
        <v>4</v>
      </c>
      <c r="F29" s="50">
        <v>4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4</v>
      </c>
      <c r="M29" s="50">
        <v>28</v>
      </c>
      <c r="N29" s="50">
        <v>0</v>
      </c>
      <c r="O29" s="15">
        <f t="shared" si="0"/>
        <v>21</v>
      </c>
      <c r="P29" s="15">
        <f t="shared" si="1"/>
        <v>49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0</v>
      </c>
      <c r="E30" s="50">
        <v>3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23</v>
      </c>
      <c r="N30" s="50">
        <v>0</v>
      </c>
      <c r="O30" s="15">
        <f t="shared" si="0"/>
        <v>11</v>
      </c>
      <c r="P30" s="15">
        <f t="shared" si="1"/>
        <v>34</v>
      </c>
    </row>
    <row r="31" spans="2:32" ht="23.1" customHeight="1" x14ac:dyDescent="0.25">
      <c r="B31" s="24" t="s">
        <v>58</v>
      </c>
      <c r="C31" s="50">
        <v>10</v>
      </c>
      <c r="D31" s="50">
        <v>1</v>
      </c>
      <c r="E31" s="50">
        <v>4</v>
      </c>
      <c r="F31" s="50">
        <v>4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1</v>
      </c>
      <c r="M31" s="50">
        <v>38</v>
      </c>
      <c r="N31" s="50">
        <v>0</v>
      </c>
      <c r="O31" s="15">
        <f t="shared" si="0"/>
        <v>22</v>
      </c>
      <c r="P31" s="15">
        <f t="shared" si="1"/>
        <v>60</v>
      </c>
    </row>
    <row r="32" spans="2:32" ht="23.1" customHeight="1" x14ac:dyDescent="0.25">
      <c r="B32" s="24" t="s">
        <v>59</v>
      </c>
      <c r="C32" s="50">
        <v>6</v>
      </c>
      <c r="D32" s="50">
        <v>0</v>
      </c>
      <c r="E32" s="50">
        <v>4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20</v>
      </c>
      <c r="N32" s="50">
        <v>0</v>
      </c>
      <c r="O32" s="15">
        <f t="shared" si="0"/>
        <v>12</v>
      </c>
      <c r="P32" s="15">
        <f t="shared" si="1"/>
        <v>32</v>
      </c>
    </row>
    <row r="33" spans="2:20" ht="23.1" customHeight="1" x14ac:dyDescent="0.25">
      <c r="B33" s="23" t="s">
        <v>60</v>
      </c>
      <c r="C33" s="50">
        <v>10</v>
      </c>
      <c r="D33" s="50">
        <v>1</v>
      </c>
      <c r="E33" s="50">
        <v>6</v>
      </c>
      <c r="F33" s="50">
        <v>3</v>
      </c>
      <c r="G33" s="50">
        <v>0</v>
      </c>
      <c r="H33" s="50">
        <v>0</v>
      </c>
      <c r="I33" s="50">
        <v>0</v>
      </c>
      <c r="J33" s="50">
        <v>0</v>
      </c>
      <c r="K33" s="50">
        <v>1</v>
      </c>
      <c r="L33" s="50">
        <v>1</v>
      </c>
      <c r="M33" s="50">
        <v>33</v>
      </c>
      <c r="N33" s="50">
        <v>0</v>
      </c>
      <c r="O33" s="15">
        <f t="shared" si="0"/>
        <v>22</v>
      </c>
      <c r="P33" s="15">
        <f t="shared" si="1"/>
        <v>55</v>
      </c>
    </row>
    <row r="34" spans="2:20" ht="23.1" customHeight="1" x14ac:dyDescent="0.25">
      <c r="B34" s="24" t="s">
        <v>61</v>
      </c>
      <c r="C34" s="50">
        <v>6</v>
      </c>
      <c r="D34" s="50">
        <v>0</v>
      </c>
      <c r="E34" s="50">
        <v>4</v>
      </c>
      <c r="F34" s="50">
        <v>2</v>
      </c>
      <c r="G34" s="50">
        <v>1</v>
      </c>
      <c r="H34" s="50">
        <v>0</v>
      </c>
      <c r="I34" s="50">
        <v>1</v>
      </c>
      <c r="J34" s="50">
        <v>1</v>
      </c>
      <c r="K34" s="50">
        <v>0</v>
      </c>
      <c r="L34" s="50">
        <v>1</v>
      </c>
      <c r="M34" s="50">
        <v>18</v>
      </c>
      <c r="N34" s="50">
        <v>0</v>
      </c>
      <c r="O34" s="15">
        <f t="shared" si="0"/>
        <v>16</v>
      </c>
      <c r="P34" s="15">
        <f t="shared" si="1"/>
        <v>34</v>
      </c>
    </row>
    <row r="35" spans="2:20" ht="23.1" customHeight="1" x14ac:dyDescent="0.25">
      <c r="B35" s="24" t="s">
        <v>62</v>
      </c>
      <c r="C35" s="50">
        <v>10</v>
      </c>
      <c r="D35" s="50">
        <v>1</v>
      </c>
      <c r="E35" s="50">
        <v>6</v>
      </c>
      <c r="F35" s="50">
        <v>3</v>
      </c>
      <c r="G35" s="50">
        <v>2</v>
      </c>
      <c r="H35" s="50">
        <v>1</v>
      </c>
      <c r="I35" s="50">
        <v>2</v>
      </c>
      <c r="J35" s="50">
        <v>2</v>
      </c>
      <c r="K35" s="50">
        <v>0</v>
      </c>
      <c r="L35" s="50">
        <v>2</v>
      </c>
      <c r="M35" s="50">
        <v>30</v>
      </c>
      <c r="N35" s="50">
        <v>0</v>
      </c>
      <c r="O35" s="15">
        <f t="shared" si="0"/>
        <v>29</v>
      </c>
      <c r="P35" s="15">
        <f t="shared" si="1"/>
        <v>59</v>
      </c>
    </row>
    <row r="36" spans="2:20" ht="23.1" customHeight="1" x14ac:dyDescent="0.25">
      <c r="B36" s="24" t="s">
        <v>63</v>
      </c>
      <c r="C36" s="50">
        <v>5</v>
      </c>
      <c r="D36" s="50">
        <v>1</v>
      </c>
      <c r="E36" s="50">
        <v>8</v>
      </c>
      <c r="F36" s="50">
        <v>4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4</v>
      </c>
      <c r="M36" s="50">
        <v>21</v>
      </c>
      <c r="N36" s="50">
        <v>0</v>
      </c>
      <c r="O36" s="15">
        <f t="shared" si="0"/>
        <v>23</v>
      </c>
      <c r="P36" s="15">
        <f t="shared" si="1"/>
        <v>44</v>
      </c>
    </row>
    <row r="37" spans="2:20" ht="23.1" customHeight="1" x14ac:dyDescent="0.25">
      <c r="B37" s="23" t="s">
        <v>64</v>
      </c>
      <c r="C37" s="50">
        <v>9</v>
      </c>
      <c r="D37" s="50">
        <v>2</v>
      </c>
      <c r="E37" s="50">
        <v>13</v>
      </c>
      <c r="F37" s="50">
        <v>6</v>
      </c>
      <c r="G37" s="50">
        <v>0</v>
      </c>
      <c r="H37" s="50">
        <v>1</v>
      </c>
      <c r="I37" s="50">
        <v>1</v>
      </c>
      <c r="J37" s="50">
        <v>1</v>
      </c>
      <c r="K37" s="50">
        <v>2</v>
      </c>
      <c r="L37" s="50">
        <v>5</v>
      </c>
      <c r="M37" s="50">
        <v>35</v>
      </c>
      <c r="N37" s="50">
        <v>1</v>
      </c>
      <c r="O37" s="15">
        <f t="shared" si="0"/>
        <v>41</v>
      </c>
      <c r="P37" s="15">
        <f t="shared" si="1"/>
        <v>76</v>
      </c>
    </row>
    <row r="38" spans="2:20" ht="23.1" customHeight="1" x14ac:dyDescent="0.25">
      <c r="B38" s="24" t="s">
        <v>65</v>
      </c>
      <c r="C38" s="50">
        <v>7</v>
      </c>
      <c r="D38" s="50">
        <v>0</v>
      </c>
      <c r="E38" s="50">
        <v>3</v>
      </c>
      <c r="F38" s="50">
        <v>5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1</v>
      </c>
      <c r="M38" s="50">
        <v>29</v>
      </c>
      <c r="N38" s="50">
        <v>0</v>
      </c>
      <c r="O38" s="15">
        <f t="shared" si="0"/>
        <v>16</v>
      </c>
      <c r="P38" s="15">
        <f t="shared" si="1"/>
        <v>45</v>
      </c>
    </row>
    <row r="39" spans="2:20" ht="23.1" customHeight="1" x14ac:dyDescent="0.25">
      <c r="B39" s="24" t="s">
        <v>66</v>
      </c>
      <c r="C39" s="50">
        <v>11</v>
      </c>
      <c r="D39" s="50">
        <v>1</v>
      </c>
      <c r="E39" s="50">
        <v>5</v>
      </c>
      <c r="F39" s="50">
        <v>8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2</v>
      </c>
      <c r="M39" s="50">
        <v>48</v>
      </c>
      <c r="N39" s="50">
        <v>0</v>
      </c>
      <c r="O39" s="15">
        <f t="shared" si="0"/>
        <v>28</v>
      </c>
      <c r="P39" s="15">
        <f t="shared" si="1"/>
        <v>76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2</v>
      </c>
      <c r="F40" s="50">
        <v>3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2</v>
      </c>
      <c r="M40" s="50">
        <v>23</v>
      </c>
      <c r="N40" s="50">
        <v>0</v>
      </c>
      <c r="O40" s="15">
        <f t="shared" si="0"/>
        <v>9</v>
      </c>
      <c r="P40" s="15">
        <f t="shared" si="1"/>
        <v>32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3</v>
      </c>
      <c r="F41" s="50">
        <v>5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3</v>
      </c>
      <c r="M41" s="50">
        <v>39</v>
      </c>
      <c r="N41" s="50">
        <v>0</v>
      </c>
      <c r="O41" s="15">
        <f t="shared" si="0"/>
        <v>16</v>
      </c>
      <c r="P41" s="15">
        <f t="shared" si="1"/>
        <v>55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2</v>
      </c>
      <c r="F42" s="50">
        <v>4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2</v>
      </c>
      <c r="M42" s="50">
        <v>28</v>
      </c>
      <c r="N42" s="50">
        <v>0</v>
      </c>
      <c r="O42" s="15">
        <f t="shared" si="0"/>
        <v>14</v>
      </c>
      <c r="P42" s="15">
        <f t="shared" si="1"/>
        <v>42</v>
      </c>
    </row>
    <row r="43" spans="2:20" ht="23.1" customHeight="1" x14ac:dyDescent="0.25">
      <c r="B43" s="23" t="s">
        <v>70</v>
      </c>
      <c r="C43" s="50">
        <v>9</v>
      </c>
      <c r="D43" s="50">
        <v>0</v>
      </c>
      <c r="E43" s="50">
        <v>4</v>
      </c>
      <c r="F43" s="50">
        <v>6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3</v>
      </c>
      <c r="M43" s="50">
        <v>46</v>
      </c>
      <c r="N43" s="50">
        <v>0</v>
      </c>
      <c r="O43" s="15">
        <f t="shared" si="0"/>
        <v>25</v>
      </c>
      <c r="P43" s="15">
        <f t="shared" si="1"/>
        <v>71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2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25</v>
      </c>
      <c r="N44" s="50">
        <v>0</v>
      </c>
      <c r="O44" s="15">
        <f t="shared" si="0"/>
        <v>6</v>
      </c>
      <c r="P44" s="15">
        <f t="shared" si="1"/>
        <v>31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4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42</v>
      </c>
      <c r="N45" s="50">
        <v>0</v>
      </c>
      <c r="O45" s="15">
        <f t="shared" si="0"/>
        <v>11</v>
      </c>
      <c r="P45" s="15">
        <f t="shared" si="1"/>
        <v>53</v>
      </c>
    </row>
    <row r="46" spans="2:20" ht="23.1" customHeight="1" x14ac:dyDescent="0.25">
      <c r="B46" s="24" t="s">
        <v>73</v>
      </c>
      <c r="C46" s="50">
        <v>8</v>
      </c>
      <c r="D46" s="50">
        <v>0</v>
      </c>
      <c r="E46" s="50">
        <v>1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1</v>
      </c>
      <c r="L46" s="50">
        <v>1</v>
      </c>
      <c r="M46" s="50">
        <v>29</v>
      </c>
      <c r="N46" s="50">
        <v>0</v>
      </c>
      <c r="O46" s="15">
        <f t="shared" si="0"/>
        <v>13</v>
      </c>
      <c r="P46" s="15">
        <f t="shared" si="1"/>
        <v>42</v>
      </c>
      <c r="R46" s="8"/>
      <c r="T46"/>
    </row>
    <row r="47" spans="2:20" ht="23.1" customHeight="1" x14ac:dyDescent="0.25">
      <c r="B47" s="24" t="s">
        <v>74</v>
      </c>
      <c r="C47" s="50">
        <v>13</v>
      </c>
      <c r="D47" s="50">
        <v>0</v>
      </c>
      <c r="E47" s="50">
        <v>2</v>
      </c>
      <c r="F47" s="50">
        <v>3</v>
      </c>
      <c r="G47" s="50">
        <v>0</v>
      </c>
      <c r="H47" s="50">
        <v>0</v>
      </c>
      <c r="I47" s="50">
        <v>0</v>
      </c>
      <c r="J47" s="50">
        <v>0</v>
      </c>
      <c r="K47" s="50">
        <v>2</v>
      </c>
      <c r="L47" s="50">
        <v>2</v>
      </c>
      <c r="M47" s="50">
        <v>48</v>
      </c>
      <c r="N47" s="50">
        <v>0</v>
      </c>
      <c r="O47" s="15">
        <f t="shared" si="0"/>
        <v>22</v>
      </c>
      <c r="P47" s="15">
        <f t="shared" si="1"/>
        <v>70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2</v>
      </c>
      <c r="F48" s="50">
        <v>2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40</v>
      </c>
      <c r="N48" s="50">
        <v>0</v>
      </c>
      <c r="O48" s="15">
        <f t="shared" si="0"/>
        <v>9</v>
      </c>
      <c r="P48" s="15">
        <f t="shared" si="1"/>
        <v>49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0</v>
      </c>
      <c r="E49" s="50">
        <v>4</v>
      </c>
      <c r="F49" s="50">
        <v>4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1</v>
      </c>
      <c r="M49" s="50">
        <v>67</v>
      </c>
      <c r="N49" s="50">
        <v>0</v>
      </c>
      <c r="O49" s="15">
        <f t="shared" si="0"/>
        <v>17</v>
      </c>
      <c r="P49" s="15">
        <f t="shared" si="1"/>
        <v>84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4</v>
      </c>
      <c r="F50" s="50">
        <v>4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1</v>
      </c>
      <c r="M50" s="50">
        <v>35</v>
      </c>
      <c r="N50" s="50">
        <v>0</v>
      </c>
      <c r="O50" s="15">
        <f t="shared" si="0"/>
        <v>13</v>
      </c>
      <c r="P50" s="15">
        <f t="shared" si="1"/>
        <v>48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1</v>
      </c>
      <c r="E51" s="50">
        <v>5</v>
      </c>
      <c r="F51" s="50">
        <v>6</v>
      </c>
      <c r="G51" s="50">
        <v>0</v>
      </c>
      <c r="H51" s="50">
        <v>0</v>
      </c>
      <c r="I51" s="50">
        <v>4</v>
      </c>
      <c r="J51" s="50">
        <v>0</v>
      </c>
      <c r="K51" s="50">
        <v>1</v>
      </c>
      <c r="L51" s="50">
        <v>2</v>
      </c>
      <c r="M51" s="50">
        <v>58</v>
      </c>
      <c r="N51" s="50">
        <v>0</v>
      </c>
      <c r="O51" s="15">
        <f t="shared" si="0"/>
        <v>23</v>
      </c>
      <c r="P51" s="15">
        <f t="shared" si="1"/>
        <v>81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2</v>
      </c>
      <c r="F52" s="50">
        <v>2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2</v>
      </c>
      <c r="M52" s="50">
        <v>7</v>
      </c>
      <c r="N52" s="50">
        <v>0</v>
      </c>
      <c r="O52" s="15">
        <f t="shared" si="0"/>
        <v>11</v>
      </c>
      <c r="P52" s="15">
        <f t="shared" si="1"/>
        <v>18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0</v>
      </c>
      <c r="E53" s="50">
        <v>3</v>
      </c>
      <c r="F53" s="50">
        <v>3</v>
      </c>
      <c r="G53" s="50">
        <v>0</v>
      </c>
      <c r="H53" s="50">
        <v>0</v>
      </c>
      <c r="I53" s="50">
        <v>0</v>
      </c>
      <c r="J53" s="50">
        <v>2</v>
      </c>
      <c r="K53" s="50">
        <v>0</v>
      </c>
      <c r="L53" s="50">
        <v>4</v>
      </c>
      <c r="M53" s="50">
        <v>12</v>
      </c>
      <c r="N53" s="50">
        <v>0</v>
      </c>
      <c r="O53" s="15">
        <f t="shared" si="0"/>
        <v>18</v>
      </c>
      <c r="P53" s="15">
        <f t="shared" si="1"/>
        <v>30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0</v>
      </c>
      <c r="F54" s="50">
        <v>2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28</v>
      </c>
      <c r="N54" s="50">
        <v>0</v>
      </c>
      <c r="O54" s="15">
        <f t="shared" si="0"/>
        <v>8</v>
      </c>
      <c r="P54" s="15">
        <f t="shared" si="1"/>
        <v>36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0</v>
      </c>
      <c r="E55" s="50">
        <v>1</v>
      </c>
      <c r="F55" s="50">
        <v>4</v>
      </c>
      <c r="G55" s="50">
        <v>0</v>
      </c>
      <c r="H55" s="50">
        <v>0</v>
      </c>
      <c r="I55" s="50">
        <v>2</v>
      </c>
      <c r="J55" s="50">
        <v>2</v>
      </c>
      <c r="K55" s="50">
        <v>0</v>
      </c>
      <c r="L55" s="50">
        <v>0</v>
      </c>
      <c r="M55" s="50">
        <v>46</v>
      </c>
      <c r="N55" s="50">
        <v>0</v>
      </c>
      <c r="O55" s="15">
        <f t="shared" si="0"/>
        <v>15</v>
      </c>
      <c r="P55" s="15">
        <f t="shared" si="1"/>
        <v>61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0</v>
      </c>
      <c r="E56" s="50">
        <v>1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1</v>
      </c>
      <c r="M56" s="50">
        <v>40</v>
      </c>
      <c r="N56" s="50">
        <v>0</v>
      </c>
      <c r="O56" s="15">
        <f t="shared" si="0"/>
        <v>8</v>
      </c>
      <c r="P56" s="15">
        <f t="shared" si="1"/>
        <v>48</v>
      </c>
      <c r="R56" s="8"/>
      <c r="T56"/>
    </row>
    <row r="57" spans="2:20" ht="23.1" customHeight="1" x14ac:dyDescent="0.25">
      <c r="B57" s="23" t="s">
        <v>84</v>
      </c>
      <c r="C57" s="50">
        <v>8</v>
      </c>
      <c r="D57" s="50">
        <v>0</v>
      </c>
      <c r="E57" s="50">
        <v>2</v>
      </c>
      <c r="F57" s="50">
        <v>2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2</v>
      </c>
      <c r="M57" s="50">
        <v>67</v>
      </c>
      <c r="N57" s="50">
        <v>0</v>
      </c>
      <c r="O57" s="15">
        <f t="shared" si="0"/>
        <v>16</v>
      </c>
      <c r="P57" s="15">
        <f t="shared" si="1"/>
        <v>83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251</v>
      </c>
      <c r="D58" s="16">
        <f t="shared" si="21"/>
        <v>10</v>
      </c>
      <c r="E58" s="16">
        <f t="shared" si="21"/>
        <v>128</v>
      </c>
      <c r="F58" s="16">
        <f t="shared" si="21"/>
        <v>129</v>
      </c>
      <c r="G58" s="16">
        <f t="shared" si="21"/>
        <v>6</v>
      </c>
      <c r="H58" s="16">
        <f t="shared" si="21"/>
        <v>2</v>
      </c>
      <c r="I58" s="16">
        <f t="shared" si="21"/>
        <v>38</v>
      </c>
      <c r="J58" s="16">
        <f t="shared" si="21"/>
        <v>36</v>
      </c>
      <c r="K58" s="16">
        <f t="shared" si="21"/>
        <v>12</v>
      </c>
      <c r="L58" s="16">
        <f t="shared" si="21"/>
        <v>66</v>
      </c>
      <c r="M58" s="16">
        <f t="shared" si="21"/>
        <v>1479</v>
      </c>
      <c r="N58" s="16">
        <f t="shared" si="21"/>
        <v>1</v>
      </c>
      <c r="O58" s="16">
        <f t="shared" si="21"/>
        <v>679</v>
      </c>
      <c r="P58" s="16">
        <f t="shared" si="21"/>
        <v>2158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0.11631139944392957</v>
      </c>
      <c r="D59" s="43">
        <f t="shared" si="22"/>
        <v>4.6339202965708986E-3</v>
      </c>
      <c r="E59" s="43">
        <f t="shared" si="22"/>
        <v>5.9314179796107508E-2</v>
      </c>
      <c r="F59" s="43">
        <f t="shared" si="22"/>
        <v>5.9777571825764597E-2</v>
      </c>
      <c r="G59" s="43">
        <f t="shared" si="22"/>
        <v>2.7803521779425394E-3</v>
      </c>
      <c r="H59" s="43">
        <f t="shared" si="22"/>
        <v>9.2678405931417981E-4</v>
      </c>
      <c r="I59" s="43">
        <f t="shared" si="22"/>
        <v>1.7608897126969416E-2</v>
      </c>
      <c r="J59" s="43">
        <f t="shared" si="22"/>
        <v>1.6682113067655237E-2</v>
      </c>
      <c r="K59" s="43">
        <f t="shared" si="22"/>
        <v>5.5607043558850789E-3</v>
      </c>
      <c r="L59" s="43">
        <f t="shared" si="22"/>
        <v>3.0583873957367932E-2</v>
      </c>
      <c r="M59" s="43">
        <f t="shared" si="22"/>
        <v>0.68535681186283592</v>
      </c>
      <c r="N59" s="43">
        <f t="shared" si="22"/>
        <v>4.6339202965708991E-4</v>
      </c>
      <c r="R59" s="8"/>
      <c r="T59"/>
    </row>
    <row r="60" spans="2:20" ht="23.1" customHeight="1" x14ac:dyDescent="0.25">
      <c r="B60" s="42" t="s">
        <v>94</v>
      </c>
      <c r="C60" s="44">
        <f>C58/$O$58</f>
        <v>0.36966126656848308</v>
      </c>
      <c r="D60" s="44">
        <f t="shared" ref="D60:N60" si="23">D58/$O$58</f>
        <v>1.4727540500736377E-2</v>
      </c>
      <c r="E60" s="44">
        <f t="shared" si="23"/>
        <v>0.18851251840942562</v>
      </c>
      <c r="F60" s="44">
        <f t="shared" si="23"/>
        <v>0.18998527245949925</v>
      </c>
      <c r="G60" s="44">
        <f t="shared" si="23"/>
        <v>8.836524300441826E-3</v>
      </c>
      <c r="H60" s="44">
        <f t="shared" si="23"/>
        <v>2.9455081001472753E-3</v>
      </c>
      <c r="I60" s="44">
        <f t="shared" si="23"/>
        <v>5.5964653902798235E-2</v>
      </c>
      <c r="J60" s="44">
        <f t="shared" si="23"/>
        <v>5.3019145802650956E-2</v>
      </c>
      <c r="K60" s="44">
        <f t="shared" si="23"/>
        <v>1.7673048600883652E-2</v>
      </c>
      <c r="L60" s="44">
        <f t="shared" si="23"/>
        <v>9.720176730486009E-2</v>
      </c>
      <c r="M60" s="44"/>
      <c r="N60" s="44">
        <f t="shared" si="23"/>
        <v>1.4727540500736377E-3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M58" sqref="M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'09.09 Ishaka-Katungulu'!C3:G3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'09.09 Ishaka-Katungulu'!D5</f>
        <v>09.09.19</v>
      </c>
      <c r="E5" s="3"/>
      <c r="F5" s="41" t="s">
        <v>1</v>
      </c>
      <c r="G5" s="64" t="str">
        <f>'09.09 Ishaka-Katungulu'!G5:H5</f>
        <v>Rubirizi</v>
      </c>
      <c r="H5" s="65"/>
      <c r="I5" s="14"/>
      <c r="J5" s="2" t="s">
        <v>5</v>
      </c>
      <c r="K5" s="64" t="str">
        <f>'09.09 Ishaka-Katungulu'!K5:L5</f>
        <v>xxx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166</v>
      </c>
      <c r="E6" s="62"/>
      <c r="F6" s="2" t="s">
        <v>2</v>
      </c>
      <c r="G6" s="61" t="s">
        <v>165</v>
      </c>
      <c r="H6" s="62"/>
      <c r="J6" s="2" t="s">
        <v>21</v>
      </c>
      <c r="K6" s="64" t="str">
        <f>'09.09 Ishaka-Katungulu'!K6:L6</f>
        <v>xxx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2</v>
      </c>
      <c r="R10" s="1" t="s">
        <v>6</v>
      </c>
      <c r="S10" s="17">
        <f t="shared" ref="S10:AF10" si="2">SUM(C10:C13)</f>
        <v>7</v>
      </c>
      <c r="T10" s="17">
        <f t="shared" si="2"/>
        <v>0</v>
      </c>
      <c r="U10" s="17">
        <f t="shared" si="2"/>
        <v>1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27</v>
      </c>
      <c r="AD10" s="17">
        <f t="shared" si="2"/>
        <v>0</v>
      </c>
      <c r="AE10" s="31">
        <f t="shared" si="2"/>
        <v>14</v>
      </c>
      <c r="AF10" s="31">
        <f t="shared" si="2"/>
        <v>41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2</v>
      </c>
      <c r="P11" s="15">
        <f t="shared" si="1"/>
        <v>5</v>
      </c>
      <c r="R11" s="1" t="s">
        <v>7</v>
      </c>
      <c r="S11" s="17">
        <f t="shared" ref="S11:AF11" si="3">SUM(C14:C17)</f>
        <v>8</v>
      </c>
      <c r="T11" s="17">
        <f t="shared" si="3"/>
        <v>0</v>
      </c>
      <c r="U11" s="17">
        <f t="shared" si="3"/>
        <v>7</v>
      </c>
      <c r="V11" s="17">
        <f t="shared" si="3"/>
        <v>13</v>
      </c>
      <c r="W11" s="17">
        <f t="shared" si="3"/>
        <v>0</v>
      </c>
      <c r="X11" s="17">
        <f t="shared" si="3"/>
        <v>1</v>
      </c>
      <c r="Y11" s="17">
        <f t="shared" si="3"/>
        <v>4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77</v>
      </c>
      <c r="AD11" s="17">
        <f t="shared" si="3"/>
        <v>0</v>
      </c>
      <c r="AE11" s="31">
        <f t="shared" si="3"/>
        <v>34</v>
      </c>
      <c r="AF11" s="31">
        <f t="shared" si="3"/>
        <v>111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3</v>
      </c>
      <c r="P12" s="15">
        <f t="shared" si="1"/>
        <v>11</v>
      </c>
      <c r="R12" s="1" t="s">
        <v>8</v>
      </c>
      <c r="S12" s="17">
        <f t="shared" ref="S12:AF12" si="4">SUM(C18:C21)</f>
        <v>13</v>
      </c>
      <c r="T12" s="17">
        <f t="shared" si="4"/>
        <v>0</v>
      </c>
      <c r="U12" s="17">
        <f t="shared" si="4"/>
        <v>9</v>
      </c>
      <c r="V12" s="17">
        <f t="shared" si="4"/>
        <v>13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1</v>
      </c>
      <c r="AA12" s="17">
        <f t="shared" si="4"/>
        <v>0</v>
      </c>
      <c r="AB12" s="17">
        <f t="shared" si="4"/>
        <v>7</v>
      </c>
      <c r="AC12" s="17">
        <f t="shared" si="4"/>
        <v>144</v>
      </c>
      <c r="AD12" s="17">
        <f t="shared" si="4"/>
        <v>0</v>
      </c>
      <c r="AE12" s="31">
        <f t="shared" si="4"/>
        <v>45</v>
      </c>
      <c r="AF12" s="31">
        <f t="shared" si="4"/>
        <v>189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1</v>
      </c>
      <c r="F13" s="50">
        <v>2</v>
      </c>
      <c r="G13" s="50">
        <v>0</v>
      </c>
      <c r="H13" s="50">
        <v>0</v>
      </c>
      <c r="I13" s="50">
        <v>0</v>
      </c>
      <c r="J13" s="50">
        <v>1</v>
      </c>
      <c r="K13" s="50">
        <v>1</v>
      </c>
      <c r="L13" s="50">
        <v>0</v>
      </c>
      <c r="M13" s="50">
        <v>14</v>
      </c>
      <c r="N13" s="50">
        <v>0</v>
      </c>
      <c r="O13" s="15">
        <f t="shared" si="0"/>
        <v>9</v>
      </c>
      <c r="P13" s="15">
        <f t="shared" si="1"/>
        <v>23</v>
      </c>
      <c r="R13" s="1" t="s">
        <v>9</v>
      </c>
      <c r="S13" s="17">
        <f t="shared" ref="S13:AF13" si="5">SUM(C22:C25)</f>
        <v>29</v>
      </c>
      <c r="T13" s="17">
        <f t="shared" si="5"/>
        <v>1</v>
      </c>
      <c r="U13" s="17">
        <f t="shared" si="5"/>
        <v>12</v>
      </c>
      <c r="V13" s="17">
        <f t="shared" si="5"/>
        <v>9</v>
      </c>
      <c r="W13" s="17">
        <f t="shared" si="5"/>
        <v>0</v>
      </c>
      <c r="X13" s="17">
        <f t="shared" si="5"/>
        <v>2</v>
      </c>
      <c r="Y13" s="17">
        <f t="shared" si="5"/>
        <v>4</v>
      </c>
      <c r="Z13" s="17">
        <f t="shared" si="5"/>
        <v>0</v>
      </c>
      <c r="AA13" s="17">
        <f t="shared" si="5"/>
        <v>0</v>
      </c>
      <c r="AB13" s="17">
        <f t="shared" si="5"/>
        <v>1</v>
      </c>
      <c r="AC13" s="17">
        <f t="shared" si="5"/>
        <v>163</v>
      </c>
      <c r="AD13" s="17">
        <f t="shared" si="5"/>
        <v>0</v>
      </c>
      <c r="AE13" s="31">
        <f t="shared" si="5"/>
        <v>58</v>
      </c>
      <c r="AF13" s="31">
        <f t="shared" si="5"/>
        <v>221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2</v>
      </c>
      <c r="F14" s="50">
        <v>3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12</v>
      </c>
      <c r="N14" s="50">
        <v>0</v>
      </c>
      <c r="O14" s="15">
        <f t="shared" si="0"/>
        <v>7</v>
      </c>
      <c r="P14" s="15">
        <f t="shared" si="1"/>
        <v>19</v>
      </c>
      <c r="R14" s="1" t="s">
        <v>10</v>
      </c>
      <c r="S14" s="17">
        <f t="shared" ref="S14:AF14" si="6">SUM(C26:C29)</f>
        <v>16</v>
      </c>
      <c r="T14" s="17">
        <f t="shared" si="6"/>
        <v>2</v>
      </c>
      <c r="U14" s="17">
        <f t="shared" si="6"/>
        <v>14</v>
      </c>
      <c r="V14" s="17">
        <f t="shared" si="6"/>
        <v>11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4</v>
      </c>
      <c r="AA14" s="17">
        <f t="shared" si="6"/>
        <v>4</v>
      </c>
      <c r="AB14" s="17">
        <f t="shared" si="6"/>
        <v>6</v>
      </c>
      <c r="AC14" s="17">
        <f t="shared" si="6"/>
        <v>146</v>
      </c>
      <c r="AD14" s="17">
        <f t="shared" si="6"/>
        <v>0</v>
      </c>
      <c r="AE14" s="31">
        <f t="shared" si="6"/>
        <v>58</v>
      </c>
      <c r="AF14" s="31">
        <f t="shared" si="6"/>
        <v>204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4</v>
      </c>
      <c r="F15" s="50">
        <v>5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20</v>
      </c>
      <c r="N15" s="50">
        <v>0</v>
      </c>
      <c r="O15" s="15">
        <f t="shared" si="0"/>
        <v>13</v>
      </c>
      <c r="P15" s="15">
        <f t="shared" si="1"/>
        <v>33</v>
      </c>
      <c r="R15" s="1" t="s">
        <v>11</v>
      </c>
      <c r="S15" s="17">
        <f t="shared" ref="S15:AF15" si="7">SUM(C30:C33)</f>
        <v>22</v>
      </c>
      <c r="T15" s="17">
        <f t="shared" si="7"/>
        <v>0</v>
      </c>
      <c r="U15" s="17">
        <f t="shared" si="7"/>
        <v>6</v>
      </c>
      <c r="V15" s="17">
        <f t="shared" si="7"/>
        <v>16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0</v>
      </c>
      <c r="AA15" s="17">
        <f t="shared" si="7"/>
        <v>1</v>
      </c>
      <c r="AB15" s="17">
        <f t="shared" si="7"/>
        <v>6</v>
      </c>
      <c r="AC15" s="17">
        <f t="shared" si="7"/>
        <v>115</v>
      </c>
      <c r="AD15" s="17">
        <f t="shared" si="7"/>
        <v>0</v>
      </c>
      <c r="AE15" s="31">
        <f t="shared" si="7"/>
        <v>57</v>
      </c>
      <c r="AF15" s="31">
        <f t="shared" si="7"/>
        <v>172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17</v>
      </c>
      <c r="N16" s="50">
        <v>0</v>
      </c>
      <c r="O16" s="15">
        <f t="shared" si="0"/>
        <v>4</v>
      </c>
      <c r="P16" s="15">
        <f t="shared" si="1"/>
        <v>21</v>
      </c>
      <c r="R16" s="1" t="s">
        <v>12</v>
      </c>
      <c r="S16" s="17">
        <f t="shared" ref="S16:AF16" si="8">SUM(C34:C37)</f>
        <v>37</v>
      </c>
      <c r="T16" s="17">
        <f t="shared" si="8"/>
        <v>2</v>
      </c>
      <c r="U16" s="17">
        <f t="shared" si="8"/>
        <v>30</v>
      </c>
      <c r="V16" s="17">
        <f t="shared" si="8"/>
        <v>14</v>
      </c>
      <c r="W16" s="17">
        <f t="shared" si="8"/>
        <v>1</v>
      </c>
      <c r="X16" s="17">
        <f t="shared" si="8"/>
        <v>0</v>
      </c>
      <c r="Y16" s="17">
        <f t="shared" si="8"/>
        <v>4</v>
      </c>
      <c r="Z16" s="17">
        <f t="shared" si="8"/>
        <v>4</v>
      </c>
      <c r="AA16" s="17">
        <f t="shared" si="8"/>
        <v>1</v>
      </c>
      <c r="AB16" s="17">
        <f t="shared" si="8"/>
        <v>4</v>
      </c>
      <c r="AC16" s="17">
        <f t="shared" si="8"/>
        <v>128</v>
      </c>
      <c r="AD16" s="17">
        <f t="shared" si="8"/>
        <v>0</v>
      </c>
      <c r="AE16" s="31">
        <f t="shared" si="8"/>
        <v>97</v>
      </c>
      <c r="AF16" s="31">
        <f t="shared" si="8"/>
        <v>225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1</v>
      </c>
      <c r="F17" s="50">
        <v>3</v>
      </c>
      <c r="G17" s="50">
        <v>0</v>
      </c>
      <c r="H17" s="50">
        <v>1</v>
      </c>
      <c r="I17" s="50">
        <v>2</v>
      </c>
      <c r="J17" s="50">
        <v>0</v>
      </c>
      <c r="K17" s="50">
        <v>1</v>
      </c>
      <c r="L17" s="50">
        <v>0</v>
      </c>
      <c r="M17" s="50">
        <v>28</v>
      </c>
      <c r="N17" s="50">
        <v>0</v>
      </c>
      <c r="O17" s="15">
        <f t="shared" si="0"/>
        <v>10</v>
      </c>
      <c r="P17" s="15">
        <f t="shared" si="1"/>
        <v>38</v>
      </c>
      <c r="R17" s="1" t="s">
        <v>13</v>
      </c>
      <c r="S17" s="17">
        <f t="shared" ref="S17:AF17" si="9">SUM(C38:C41)</f>
        <v>27</v>
      </c>
      <c r="T17" s="17">
        <f t="shared" si="9"/>
        <v>2</v>
      </c>
      <c r="U17" s="17">
        <f t="shared" si="9"/>
        <v>17</v>
      </c>
      <c r="V17" s="17">
        <f t="shared" si="9"/>
        <v>18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1</v>
      </c>
      <c r="AA17" s="17">
        <f t="shared" si="9"/>
        <v>0</v>
      </c>
      <c r="AB17" s="17">
        <f t="shared" si="9"/>
        <v>3</v>
      </c>
      <c r="AC17" s="17">
        <f t="shared" si="9"/>
        <v>122</v>
      </c>
      <c r="AD17" s="17">
        <f t="shared" si="9"/>
        <v>0</v>
      </c>
      <c r="AE17" s="31">
        <f t="shared" si="9"/>
        <v>70</v>
      </c>
      <c r="AF17" s="31">
        <f t="shared" si="9"/>
        <v>192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2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1</v>
      </c>
      <c r="M18" s="50">
        <v>23</v>
      </c>
      <c r="N18" s="50">
        <v>0</v>
      </c>
      <c r="O18" s="15">
        <f t="shared" si="0"/>
        <v>5</v>
      </c>
      <c r="P18" s="15">
        <f t="shared" si="1"/>
        <v>28</v>
      </c>
      <c r="R18" s="1" t="s">
        <v>14</v>
      </c>
      <c r="S18" s="17">
        <f t="shared" ref="S18:AF18" si="10">SUM(C42:C45)</f>
        <v>31</v>
      </c>
      <c r="T18" s="17">
        <f t="shared" si="10"/>
        <v>1</v>
      </c>
      <c r="U18" s="17">
        <f t="shared" si="10"/>
        <v>9</v>
      </c>
      <c r="V18" s="17">
        <f t="shared" si="10"/>
        <v>18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4</v>
      </c>
      <c r="AA18" s="17">
        <f t="shared" si="10"/>
        <v>0</v>
      </c>
      <c r="AB18" s="17">
        <f t="shared" si="10"/>
        <v>1</v>
      </c>
      <c r="AC18" s="17">
        <f t="shared" si="10"/>
        <v>136</v>
      </c>
      <c r="AD18" s="17">
        <f t="shared" si="10"/>
        <v>0</v>
      </c>
      <c r="AE18" s="31">
        <f t="shared" si="10"/>
        <v>67</v>
      </c>
      <c r="AF18" s="31">
        <f t="shared" si="10"/>
        <v>203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4</v>
      </c>
      <c r="F19" s="50">
        <v>2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2</v>
      </c>
      <c r="M19" s="50">
        <v>38</v>
      </c>
      <c r="N19" s="50">
        <v>0</v>
      </c>
      <c r="O19" s="15">
        <f t="shared" si="0"/>
        <v>11</v>
      </c>
      <c r="P19" s="15">
        <f t="shared" si="1"/>
        <v>49</v>
      </c>
      <c r="R19" s="1" t="s">
        <v>15</v>
      </c>
      <c r="S19" s="17">
        <f t="shared" ref="S19:AF19" si="11">SUM(C46:C49)</f>
        <v>48</v>
      </c>
      <c r="T19" s="17">
        <f t="shared" si="11"/>
        <v>1</v>
      </c>
      <c r="U19" s="17">
        <f t="shared" si="11"/>
        <v>19</v>
      </c>
      <c r="V19" s="17">
        <f t="shared" si="11"/>
        <v>15</v>
      </c>
      <c r="W19" s="17">
        <f t="shared" si="11"/>
        <v>0</v>
      </c>
      <c r="X19" s="17">
        <f t="shared" si="11"/>
        <v>1</v>
      </c>
      <c r="Y19" s="17">
        <f t="shared" si="11"/>
        <v>7</v>
      </c>
      <c r="Z19" s="17">
        <f t="shared" si="11"/>
        <v>5</v>
      </c>
      <c r="AA19" s="17">
        <f t="shared" si="11"/>
        <v>11</v>
      </c>
      <c r="AB19" s="17">
        <f t="shared" si="11"/>
        <v>5</v>
      </c>
      <c r="AC19" s="17">
        <f t="shared" si="11"/>
        <v>183</v>
      </c>
      <c r="AD19" s="17">
        <f t="shared" si="11"/>
        <v>0</v>
      </c>
      <c r="AE19" s="31">
        <f t="shared" si="11"/>
        <v>112</v>
      </c>
      <c r="AF19" s="31">
        <f t="shared" si="11"/>
        <v>295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1</v>
      </c>
      <c r="F20" s="50">
        <v>4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1</v>
      </c>
      <c r="M20" s="50">
        <v>31</v>
      </c>
      <c r="N20" s="50">
        <v>0</v>
      </c>
      <c r="O20" s="15">
        <f t="shared" si="0"/>
        <v>10</v>
      </c>
      <c r="P20" s="15">
        <f t="shared" si="1"/>
        <v>41</v>
      </c>
      <c r="R20" s="1" t="s">
        <v>16</v>
      </c>
      <c r="S20" s="17">
        <f t="shared" ref="S20:AF20" si="12">SUM(C50:C53)</f>
        <v>55</v>
      </c>
      <c r="T20" s="17">
        <f t="shared" si="12"/>
        <v>4</v>
      </c>
      <c r="U20" s="17">
        <f t="shared" si="12"/>
        <v>48</v>
      </c>
      <c r="V20" s="17">
        <f t="shared" si="12"/>
        <v>16</v>
      </c>
      <c r="W20" s="17">
        <f t="shared" si="12"/>
        <v>6</v>
      </c>
      <c r="X20" s="17">
        <f t="shared" si="12"/>
        <v>0</v>
      </c>
      <c r="Y20" s="17">
        <f t="shared" si="12"/>
        <v>9</v>
      </c>
      <c r="Z20" s="17">
        <f t="shared" si="12"/>
        <v>4</v>
      </c>
      <c r="AA20" s="17">
        <f t="shared" si="12"/>
        <v>0</v>
      </c>
      <c r="AB20" s="17">
        <f t="shared" si="12"/>
        <v>2</v>
      </c>
      <c r="AC20" s="17">
        <f t="shared" si="12"/>
        <v>150</v>
      </c>
      <c r="AD20" s="17">
        <f t="shared" si="12"/>
        <v>0</v>
      </c>
      <c r="AE20" s="31">
        <f t="shared" si="12"/>
        <v>144</v>
      </c>
      <c r="AF20" s="31">
        <f t="shared" si="12"/>
        <v>294</v>
      </c>
    </row>
    <row r="21" spans="2:32" ht="23.1" customHeight="1" x14ac:dyDescent="0.25">
      <c r="B21" s="23" t="s">
        <v>48</v>
      </c>
      <c r="C21" s="50">
        <v>6</v>
      </c>
      <c r="D21" s="50">
        <v>0</v>
      </c>
      <c r="E21" s="50">
        <v>2</v>
      </c>
      <c r="F21" s="50">
        <v>6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3</v>
      </c>
      <c r="M21" s="50">
        <v>52</v>
      </c>
      <c r="N21" s="50">
        <v>0</v>
      </c>
      <c r="O21" s="15">
        <f t="shared" si="0"/>
        <v>19</v>
      </c>
      <c r="P21" s="15">
        <f t="shared" si="1"/>
        <v>71</v>
      </c>
      <c r="R21" s="36" t="s">
        <v>20</v>
      </c>
      <c r="S21" s="34">
        <f t="shared" ref="S21:AF21" si="13">SUM(C54:C57)</f>
        <v>38</v>
      </c>
      <c r="T21" s="17">
        <f t="shared" si="13"/>
        <v>1</v>
      </c>
      <c r="U21" s="17">
        <f t="shared" si="13"/>
        <v>11</v>
      </c>
      <c r="V21" s="17">
        <f t="shared" si="13"/>
        <v>24</v>
      </c>
      <c r="W21" s="17">
        <f t="shared" si="13"/>
        <v>4</v>
      </c>
      <c r="X21" s="17">
        <f t="shared" si="13"/>
        <v>0</v>
      </c>
      <c r="Y21" s="17">
        <f t="shared" si="13"/>
        <v>11</v>
      </c>
      <c r="Z21" s="17">
        <f t="shared" si="13"/>
        <v>3</v>
      </c>
      <c r="AA21" s="17">
        <f t="shared" si="13"/>
        <v>0</v>
      </c>
      <c r="AB21" s="17">
        <f t="shared" si="13"/>
        <v>2</v>
      </c>
      <c r="AC21" s="17">
        <f t="shared" si="13"/>
        <v>159</v>
      </c>
      <c r="AD21" s="17">
        <f t="shared" si="13"/>
        <v>0</v>
      </c>
      <c r="AE21" s="31">
        <f t="shared" si="13"/>
        <v>94</v>
      </c>
      <c r="AF21" s="31">
        <f t="shared" si="13"/>
        <v>253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2</v>
      </c>
      <c r="F22" s="50">
        <v>2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30</v>
      </c>
      <c r="N22" s="50">
        <v>0</v>
      </c>
      <c r="O22" s="15">
        <f t="shared" si="0"/>
        <v>8</v>
      </c>
      <c r="P22" s="15">
        <f t="shared" si="1"/>
        <v>38</v>
      </c>
      <c r="R22" s="38" t="s">
        <v>90</v>
      </c>
      <c r="S22" s="39">
        <f>MAX(S10:S12)</f>
        <v>13</v>
      </c>
      <c r="T22" s="39">
        <f t="shared" ref="T22:AF22" si="14">MAX(T10:T12)</f>
        <v>0</v>
      </c>
      <c r="U22" s="39">
        <f t="shared" si="14"/>
        <v>9</v>
      </c>
      <c r="V22" s="39">
        <f t="shared" si="14"/>
        <v>13</v>
      </c>
      <c r="W22" s="39">
        <f t="shared" si="14"/>
        <v>0</v>
      </c>
      <c r="X22" s="39">
        <f t="shared" si="14"/>
        <v>1</v>
      </c>
      <c r="Y22" s="39">
        <f t="shared" si="14"/>
        <v>4</v>
      </c>
      <c r="Z22" s="39">
        <f t="shared" si="14"/>
        <v>1</v>
      </c>
      <c r="AA22" s="39">
        <f t="shared" si="14"/>
        <v>1</v>
      </c>
      <c r="AB22" s="39">
        <f t="shared" si="14"/>
        <v>7</v>
      </c>
      <c r="AC22" s="39">
        <f t="shared" si="14"/>
        <v>144</v>
      </c>
      <c r="AD22" s="39">
        <f t="shared" si="14"/>
        <v>0</v>
      </c>
      <c r="AE22" s="40">
        <f t="shared" si="14"/>
        <v>45</v>
      </c>
      <c r="AF22" s="40">
        <f t="shared" si="14"/>
        <v>189</v>
      </c>
    </row>
    <row r="23" spans="2:32" ht="23.1" customHeight="1" x14ac:dyDescent="0.25">
      <c r="B23" s="23" t="s">
        <v>50</v>
      </c>
      <c r="C23" s="50">
        <v>6</v>
      </c>
      <c r="D23" s="50">
        <v>0</v>
      </c>
      <c r="E23" s="50">
        <v>4</v>
      </c>
      <c r="F23" s="50">
        <v>4</v>
      </c>
      <c r="G23" s="50">
        <v>0</v>
      </c>
      <c r="H23" s="50">
        <v>1</v>
      </c>
      <c r="I23" s="50">
        <v>1</v>
      </c>
      <c r="J23" s="50">
        <v>0</v>
      </c>
      <c r="K23" s="50">
        <v>0</v>
      </c>
      <c r="L23" s="50">
        <v>0</v>
      </c>
      <c r="M23" s="50">
        <v>50</v>
      </c>
      <c r="N23" s="50">
        <v>0</v>
      </c>
      <c r="O23" s="15">
        <f t="shared" si="0"/>
        <v>16</v>
      </c>
      <c r="P23" s="15">
        <f t="shared" si="1"/>
        <v>66</v>
      </c>
      <c r="R23" s="38" t="s">
        <v>91</v>
      </c>
      <c r="S23" s="39">
        <f>MAX(S13:S18)</f>
        <v>37</v>
      </c>
      <c r="T23" s="39">
        <f t="shared" ref="T23:AF23" si="15">MAX(T13:T18)</f>
        <v>2</v>
      </c>
      <c r="U23" s="39">
        <f t="shared" si="15"/>
        <v>30</v>
      </c>
      <c r="V23" s="39">
        <f t="shared" si="15"/>
        <v>18</v>
      </c>
      <c r="W23" s="39">
        <f t="shared" si="15"/>
        <v>1</v>
      </c>
      <c r="X23" s="39">
        <f t="shared" si="15"/>
        <v>2</v>
      </c>
      <c r="Y23" s="39">
        <f t="shared" si="15"/>
        <v>6</v>
      </c>
      <c r="Z23" s="39">
        <f t="shared" si="15"/>
        <v>4</v>
      </c>
      <c r="AA23" s="39">
        <f t="shared" si="15"/>
        <v>4</v>
      </c>
      <c r="AB23" s="39">
        <f t="shared" si="15"/>
        <v>6</v>
      </c>
      <c r="AC23" s="39">
        <f t="shared" si="15"/>
        <v>163</v>
      </c>
      <c r="AD23" s="39">
        <f t="shared" si="15"/>
        <v>0</v>
      </c>
      <c r="AE23" s="40">
        <f t="shared" si="15"/>
        <v>97</v>
      </c>
      <c r="AF23" s="40">
        <f t="shared" si="15"/>
        <v>225</v>
      </c>
    </row>
    <row r="24" spans="2:32" ht="23.1" customHeight="1" x14ac:dyDescent="0.25">
      <c r="B24" s="23" t="s">
        <v>51</v>
      </c>
      <c r="C24" s="50">
        <v>7</v>
      </c>
      <c r="D24" s="50">
        <v>0</v>
      </c>
      <c r="E24" s="50">
        <v>2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31</v>
      </c>
      <c r="N24" s="50">
        <v>0</v>
      </c>
      <c r="O24" s="15">
        <f t="shared" si="0"/>
        <v>11</v>
      </c>
      <c r="P24" s="15">
        <f t="shared" si="1"/>
        <v>42</v>
      </c>
      <c r="R24" s="38" t="s">
        <v>92</v>
      </c>
      <c r="S24" s="39">
        <f>MAX(S19:S21)</f>
        <v>55</v>
      </c>
      <c r="T24" s="39">
        <f t="shared" ref="T24:AF24" si="16">MAX(T19:T21)</f>
        <v>4</v>
      </c>
      <c r="U24" s="39">
        <f t="shared" si="16"/>
        <v>48</v>
      </c>
      <c r="V24" s="39">
        <f t="shared" si="16"/>
        <v>24</v>
      </c>
      <c r="W24" s="39">
        <f t="shared" si="16"/>
        <v>6</v>
      </c>
      <c r="X24" s="39">
        <f t="shared" si="16"/>
        <v>1</v>
      </c>
      <c r="Y24" s="39">
        <f t="shared" si="16"/>
        <v>11</v>
      </c>
      <c r="Z24" s="39">
        <f t="shared" si="16"/>
        <v>5</v>
      </c>
      <c r="AA24" s="39">
        <f t="shared" si="16"/>
        <v>11</v>
      </c>
      <c r="AB24" s="39">
        <f t="shared" si="16"/>
        <v>5</v>
      </c>
      <c r="AC24" s="39">
        <f t="shared" si="16"/>
        <v>183</v>
      </c>
      <c r="AD24" s="39">
        <f t="shared" si="16"/>
        <v>0</v>
      </c>
      <c r="AE24" s="40">
        <f t="shared" si="16"/>
        <v>144</v>
      </c>
      <c r="AF24" s="40">
        <f t="shared" si="16"/>
        <v>295</v>
      </c>
    </row>
    <row r="25" spans="2:32" ht="23.1" customHeight="1" x14ac:dyDescent="0.25">
      <c r="B25" s="23" t="s">
        <v>52</v>
      </c>
      <c r="C25" s="50">
        <v>12</v>
      </c>
      <c r="D25" s="50">
        <v>1</v>
      </c>
      <c r="E25" s="50">
        <v>4</v>
      </c>
      <c r="F25" s="50">
        <v>2</v>
      </c>
      <c r="G25" s="50">
        <v>0</v>
      </c>
      <c r="H25" s="50">
        <v>1</v>
      </c>
      <c r="I25" s="50">
        <v>2</v>
      </c>
      <c r="J25" s="50">
        <v>0</v>
      </c>
      <c r="K25" s="50">
        <v>0</v>
      </c>
      <c r="L25" s="50">
        <v>1</v>
      </c>
      <c r="M25" s="50">
        <v>52</v>
      </c>
      <c r="N25" s="50">
        <v>0</v>
      </c>
      <c r="O25" s="15">
        <f t="shared" si="0"/>
        <v>23</v>
      </c>
      <c r="P25" s="15">
        <f t="shared" si="1"/>
        <v>75</v>
      </c>
      <c r="R25" s="37" t="s">
        <v>85</v>
      </c>
      <c r="S25" s="35">
        <f t="shared" ref="S25:AF25" si="17">SUM(S10:S12)</f>
        <v>28</v>
      </c>
      <c r="T25" s="16">
        <f t="shared" si="17"/>
        <v>0</v>
      </c>
      <c r="U25" s="16">
        <f t="shared" si="17"/>
        <v>17</v>
      </c>
      <c r="V25" s="16">
        <f t="shared" si="17"/>
        <v>30</v>
      </c>
      <c r="W25" s="16">
        <f t="shared" si="17"/>
        <v>0</v>
      </c>
      <c r="X25" s="16">
        <f t="shared" si="17"/>
        <v>1</v>
      </c>
      <c r="Y25" s="16">
        <f t="shared" si="17"/>
        <v>6</v>
      </c>
      <c r="Z25" s="16">
        <f t="shared" si="17"/>
        <v>2</v>
      </c>
      <c r="AA25" s="16">
        <f t="shared" si="17"/>
        <v>2</v>
      </c>
      <c r="AB25" s="16">
        <f t="shared" si="17"/>
        <v>7</v>
      </c>
      <c r="AC25" s="16">
        <f t="shared" si="17"/>
        <v>248</v>
      </c>
      <c r="AD25" s="16">
        <f t="shared" si="17"/>
        <v>0</v>
      </c>
      <c r="AE25" s="32">
        <f t="shared" si="17"/>
        <v>93</v>
      </c>
      <c r="AF25" s="32">
        <f t="shared" si="17"/>
        <v>341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2</v>
      </c>
      <c r="F26" s="50">
        <v>4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1</v>
      </c>
      <c r="M26" s="50">
        <v>33</v>
      </c>
      <c r="N26" s="50">
        <v>0</v>
      </c>
      <c r="O26" s="15">
        <f t="shared" si="0"/>
        <v>10</v>
      </c>
      <c r="P26" s="15">
        <f t="shared" si="1"/>
        <v>43</v>
      </c>
      <c r="R26" s="28" t="s">
        <v>86</v>
      </c>
      <c r="S26" s="16">
        <f t="shared" ref="S26:AF26" si="18">SUM(S13:S18)</f>
        <v>162</v>
      </c>
      <c r="T26" s="16">
        <f t="shared" si="18"/>
        <v>8</v>
      </c>
      <c r="U26" s="16">
        <f t="shared" si="18"/>
        <v>88</v>
      </c>
      <c r="V26" s="16">
        <f t="shared" si="18"/>
        <v>86</v>
      </c>
      <c r="W26" s="16">
        <f t="shared" si="18"/>
        <v>1</v>
      </c>
      <c r="X26" s="16">
        <f t="shared" si="18"/>
        <v>2</v>
      </c>
      <c r="Y26" s="16">
        <f t="shared" si="18"/>
        <v>20</v>
      </c>
      <c r="Z26" s="16">
        <f t="shared" si="18"/>
        <v>13</v>
      </c>
      <c r="AA26" s="16">
        <f t="shared" si="18"/>
        <v>6</v>
      </c>
      <c r="AB26" s="16">
        <f t="shared" si="18"/>
        <v>21</v>
      </c>
      <c r="AC26" s="16">
        <f t="shared" si="18"/>
        <v>810</v>
      </c>
      <c r="AD26" s="16">
        <f t="shared" si="18"/>
        <v>0</v>
      </c>
      <c r="AE26" s="32">
        <f t="shared" si="18"/>
        <v>407</v>
      </c>
      <c r="AF26" s="32">
        <f t="shared" si="18"/>
        <v>1217</v>
      </c>
    </row>
    <row r="27" spans="2:32" ht="23.1" customHeight="1" x14ac:dyDescent="0.25">
      <c r="B27" s="23" t="s">
        <v>54</v>
      </c>
      <c r="C27" s="50">
        <v>4</v>
      </c>
      <c r="D27" s="50">
        <v>1</v>
      </c>
      <c r="E27" s="50">
        <v>4</v>
      </c>
      <c r="F27" s="50">
        <v>6</v>
      </c>
      <c r="G27" s="50">
        <v>0</v>
      </c>
      <c r="H27" s="50">
        <v>0</v>
      </c>
      <c r="I27" s="50">
        <v>1</v>
      </c>
      <c r="J27" s="50">
        <v>3</v>
      </c>
      <c r="K27" s="50">
        <v>1</v>
      </c>
      <c r="L27" s="50">
        <v>2</v>
      </c>
      <c r="M27" s="50">
        <v>55</v>
      </c>
      <c r="N27" s="50">
        <v>0</v>
      </c>
      <c r="O27" s="15">
        <f t="shared" si="0"/>
        <v>22</v>
      </c>
      <c r="P27" s="15">
        <f t="shared" si="1"/>
        <v>77</v>
      </c>
      <c r="R27" s="29" t="s">
        <v>87</v>
      </c>
      <c r="S27" s="16">
        <f t="shared" ref="S27:AF27" si="19">SUM(S19:S21)</f>
        <v>141</v>
      </c>
      <c r="T27" s="16">
        <f t="shared" si="19"/>
        <v>6</v>
      </c>
      <c r="U27" s="16">
        <f t="shared" si="19"/>
        <v>78</v>
      </c>
      <c r="V27" s="16">
        <f t="shared" si="19"/>
        <v>55</v>
      </c>
      <c r="W27" s="16">
        <f t="shared" si="19"/>
        <v>10</v>
      </c>
      <c r="X27" s="16">
        <f t="shared" si="19"/>
        <v>1</v>
      </c>
      <c r="Y27" s="16">
        <f t="shared" si="19"/>
        <v>27</v>
      </c>
      <c r="Z27" s="16">
        <f t="shared" si="19"/>
        <v>12</v>
      </c>
      <c r="AA27" s="16">
        <f t="shared" si="19"/>
        <v>11</v>
      </c>
      <c r="AB27" s="16">
        <f t="shared" si="19"/>
        <v>9</v>
      </c>
      <c r="AC27" s="16">
        <f t="shared" si="19"/>
        <v>492</v>
      </c>
      <c r="AD27" s="16">
        <f t="shared" si="19"/>
        <v>0</v>
      </c>
      <c r="AE27" s="32">
        <f t="shared" si="19"/>
        <v>350</v>
      </c>
      <c r="AF27" s="32">
        <f t="shared" si="19"/>
        <v>842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3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1</v>
      </c>
      <c r="M28" s="50">
        <v>22</v>
      </c>
      <c r="N28" s="50">
        <v>0</v>
      </c>
      <c r="O28" s="15">
        <f t="shared" si="0"/>
        <v>9</v>
      </c>
      <c r="P28" s="15">
        <f t="shared" si="1"/>
        <v>31</v>
      </c>
      <c r="R28" s="5" t="s">
        <v>17</v>
      </c>
      <c r="S28" s="16">
        <f t="shared" ref="S28:AF28" si="20">SUM(S10:S21)</f>
        <v>331</v>
      </c>
      <c r="T28" s="16">
        <f t="shared" si="20"/>
        <v>14</v>
      </c>
      <c r="U28" s="16">
        <f t="shared" si="20"/>
        <v>183</v>
      </c>
      <c r="V28" s="16">
        <f t="shared" si="20"/>
        <v>171</v>
      </c>
      <c r="W28" s="16">
        <f t="shared" si="20"/>
        <v>11</v>
      </c>
      <c r="X28" s="16">
        <f t="shared" si="20"/>
        <v>4</v>
      </c>
      <c r="Y28" s="16">
        <f t="shared" si="20"/>
        <v>53</v>
      </c>
      <c r="Z28" s="16">
        <f t="shared" si="20"/>
        <v>27</v>
      </c>
      <c r="AA28" s="16">
        <f t="shared" si="20"/>
        <v>19</v>
      </c>
      <c r="AB28" s="16">
        <f t="shared" si="20"/>
        <v>37</v>
      </c>
      <c r="AC28" s="16">
        <f t="shared" si="20"/>
        <v>1550</v>
      </c>
      <c r="AD28" s="16">
        <f t="shared" si="20"/>
        <v>0</v>
      </c>
      <c r="AE28" s="32">
        <f t="shared" si="20"/>
        <v>850</v>
      </c>
      <c r="AF28" s="32">
        <f t="shared" si="20"/>
        <v>2400</v>
      </c>
    </row>
    <row r="29" spans="2:32" ht="23.1" customHeight="1" x14ac:dyDescent="0.25">
      <c r="B29" s="23" t="s">
        <v>56</v>
      </c>
      <c r="C29" s="50">
        <v>6</v>
      </c>
      <c r="D29" s="50">
        <v>1</v>
      </c>
      <c r="E29" s="50">
        <v>5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2</v>
      </c>
      <c r="L29" s="50">
        <v>2</v>
      </c>
      <c r="M29" s="50">
        <v>36</v>
      </c>
      <c r="N29" s="50">
        <v>0</v>
      </c>
      <c r="O29" s="15">
        <f t="shared" si="0"/>
        <v>17</v>
      </c>
      <c r="P29" s="15">
        <f t="shared" si="1"/>
        <v>53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2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1</v>
      </c>
      <c r="M30" s="50">
        <v>23</v>
      </c>
      <c r="N30" s="50">
        <v>0</v>
      </c>
      <c r="O30" s="15">
        <f t="shared" si="0"/>
        <v>9</v>
      </c>
      <c r="P30" s="15">
        <f t="shared" si="1"/>
        <v>32</v>
      </c>
    </row>
    <row r="31" spans="2:32" ht="23.1" customHeight="1" x14ac:dyDescent="0.25">
      <c r="B31" s="24" t="s">
        <v>58</v>
      </c>
      <c r="C31" s="50">
        <v>7</v>
      </c>
      <c r="D31" s="50">
        <v>0</v>
      </c>
      <c r="E31" s="50">
        <v>3</v>
      </c>
      <c r="F31" s="50">
        <v>4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2</v>
      </c>
      <c r="M31" s="50">
        <v>38</v>
      </c>
      <c r="N31" s="50">
        <v>0</v>
      </c>
      <c r="O31" s="15">
        <f t="shared" si="0"/>
        <v>17</v>
      </c>
      <c r="P31" s="15">
        <f t="shared" si="1"/>
        <v>55</v>
      </c>
    </row>
    <row r="32" spans="2:32" ht="23.1" customHeight="1" x14ac:dyDescent="0.25">
      <c r="B32" s="24" t="s">
        <v>59</v>
      </c>
      <c r="C32" s="50">
        <v>4</v>
      </c>
      <c r="D32" s="50">
        <v>0</v>
      </c>
      <c r="E32" s="50">
        <v>0</v>
      </c>
      <c r="F32" s="50">
        <v>4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1</v>
      </c>
      <c r="M32" s="50">
        <v>20</v>
      </c>
      <c r="N32" s="50">
        <v>0</v>
      </c>
      <c r="O32" s="15">
        <f t="shared" si="0"/>
        <v>11</v>
      </c>
      <c r="P32" s="15">
        <f t="shared" si="1"/>
        <v>31</v>
      </c>
    </row>
    <row r="33" spans="2:20" ht="23.1" customHeight="1" x14ac:dyDescent="0.25">
      <c r="B33" s="23" t="s">
        <v>60</v>
      </c>
      <c r="C33" s="50">
        <v>7</v>
      </c>
      <c r="D33" s="50">
        <v>0</v>
      </c>
      <c r="E33" s="50">
        <v>1</v>
      </c>
      <c r="F33" s="50">
        <v>6</v>
      </c>
      <c r="G33" s="50">
        <v>0</v>
      </c>
      <c r="H33" s="50">
        <v>0</v>
      </c>
      <c r="I33" s="50">
        <v>3</v>
      </c>
      <c r="J33" s="50">
        <v>0</v>
      </c>
      <c r="K33" s="50">
        <v>1</v>
      </c>
      <c r="L33" s="50">
        <v>2</v>
      </c>
      <c r="M33" s="50">
        <v>34</v>
      </c>
      <c r="N33" s="50">
        <v>0</v>
      </c>
      <c r="O33" s="15">
        <f t="shared" si="0"/>
        <v>20</v>
      </c>
      <c r="P33" s="15">
        <f t="shared" si="1"/>
        <v>54</v>
      </c>
    </row>
    <row r="34" spans="2:20" ht="23.1" customHeight="1" x14ac:dyDescent="0.25">
      <c r="B34" s="24" t="s">
        <v>61</v>
      </c>
      <c r="C34" s="50">
        <v>8</v>
      </c>
      <c r="D34" s="50">
        <v>0</v>
      </c>
      <c r="E34" s="50">
        <v>6</v>
      </c>
      <c r="F34" s="50">
        <v>2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1</v>
      </c>
      <c r="M34" s="50">
        <v>19</v>
      </c>
      <c r="N34" s="50">
        <v>0</v>
      </c>
      <c r="O34" s="15">
        <f t="shared" si="0"/>
        <v>19</v>
      </c>
      <c r="P34" s="15">
        <f t="shared" si="1"/>
        <v>38</v>
      </c>
    </row>
    <row r="35" spans="2:20" ht="23.1" customHeight="1" x14ac:dyDescent="0.25">
      <c r="B35" s="24" t="s">
        <v>62</v>
      </c>
      <c r="C35" s="50">
        <v>13</v>
      </c>
      <c r="D35" s="50">
        <v>1</v>
      </c>
      <c r="E35" s="50">
        <v>10</v>
      </c>
      <c r="F35" s="50">
        <v>4</v>
      </c>
      <c r="G35" s="50">
        <v>1</v>
      </c>
      <c r="H35" s="50">
        <v>0</v>
      </c>
      <c r="I35" s="50">
        <v>2</v>
      </c>
      <c r="J35" s="50">
        <v>2</v>
      </c>
      <c r="K35" s="50">
        <v>0</v>
      </c>
      <c r="L35" s="50">
        <v>2</v>
      </c>
      <c r="M35" s="50">
        <v>31</v>
      </c>
      <c r="N35" s="50">
        <v>0</v>
      </c>
      <c r="O35" s="15">
        <f t="shared" si="0"/>
        <v>35</v>
      </c>
      <c r="P35" s="15">
        <f t="shared" si="1"/>
        <v>66</v>
      </c>
    </row>
    <row r="36" spans="2:20" ht="23.1" customHeight="1" x14ac:dyDescent="0.25">
      <c r="B36" s="24" t="s">
        <v>63</v>
      </c>
      <c r="C36" s="50">
        <v>6</v>
      </c>
      <c r="D36" s="50">
        <v>0</v>
      </c>
      <c r="E36" s="50">
        <v>5</v>
      </c>
      <c r="F36" s="50">
        <v>3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29</v>
      </c>
      <c r="N36" s="50">
        <v>0</v>
      </c>
      <c r="O36" s="15">
        <f t="shared" si="0"/>
        <v>14</v>
      </c>
      <c r="P36" s="15">
        <f t="shared" si="1"/>
        <v>43</v>
      </c>
    </row>
    <row r="37" spans="2:20" ht="23.1" customHeight="1" x14ac:dyDescent="0.25">
      <c r="B37" s="23" t="s">
        <v>64</v>
      </c>
      <c r="C37" s="50">
        <v>10</v>
      </c>
      <c r="D37" s="50">
        <v>1</v>
      </c>
      <c r="E37" s="50">
        <v>9</v>
      </c>
      <c r="F37" s="50">
        <v>5</v>
      </c>
      <c r="G37" s="50">
        <v>0</v>
      </c>
      <c r="H37" s="50">
        <v>0</v>
      </c>
      <c r="I37" s="50">
        <v>1</v>
      </c>
      <c r="J37" s="50">
        <v>1</v>
      </c>
      <c r="K37" s="50">
        <v>1</v>
      </c>
      <c r="L37" s="50">
        <v>1</v>
      </c>
      <c r="M37" s="50">
        <v>49</v>
      </c>
      <c r="N37" s="50">
        <v>0</v>
      </c>
      <c r="O37" s="15">
        <f t="shared" si="0"/>
        <v>29</v>
      </c>
      <c r="P37" s="15">
        <f t="shared" si="1"/>
        <v>78</v>
      </c>
    </row>
    <row r="38" spans="2:20" ht="23.1" customHeight="1" x14ac:dyDescent="0.25">
      <c r="B38" s="24" t="s">
        <v>65</v>
      </c>
      <c r="C38" s="50">
        <v>8</v>
      </c>
      <c r="D38" s="50">
        <v>0</v>
      </c>
      <c r="E38" s="50">
        <v>3</v>
      </c>
      <c r="F38" s="50">
        <v>4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17</v>
      </c>
      <c r="N38" s="50">
        <v>0</v>
      </c>
      <c r="O38" s="15">
        <f t="shared" si="0"/>
        <v>15</v>
      </c>
      <c r="P38" s="15">
        <f t="shared" si="1"/>
        <v>32</v>
      </c>
    </row>
    <row r="39" spans="2:20" ht="23.1" customHeight="1" x14ac:dyDescent="0.25">
      <c r="B39" s="24" t="s">
        <v>66</v>
      </c>
      <c r="C39" s="50">
        <v>13</v>
      </c>
      <c r="D39" s="50">
        <v>1</v>
      </c>
      <c r="E39" s="50">
        <v>5</v>
      </c>
      <c r="F39" s="50">
        <v>6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28</v>
      </c>
      <c r="N39" s="50">
        <v>0</v>
      </c>
      <c r="O39" s="15">
        <f t="shared" si="0"/>
        <v>26</v>
      </c>
      <c r="P39" s="15">
        <f t="shared" si="1"/>
        <v>54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3</v>
      </c>
      <c r="F40" s="50">
        <v>3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1</v>
      </c>
      <c r="M40" s="50">
        <v>29</v>
      </c>
      <c r="N40" s="50">
        <v>0</v>
      </c>
      <c r="O40" s="15">
        <f t="shared" si="0"/>
        <v>9</v>
      </c>
      <c r="P40" s="15">
        <f t="shared" si="1"/>
        <v>38</v>
      </c>
    </row>
    <row r="41" spans="2:20" ht="23.1" customHeight="1" x14ac:dyDescent="0.25">
      <c r="B41" s="23" t="s">
        <v>68</v>
      </c>
      <c r="C41" s="50">
        <v>4</v>
      </c>
      <c r="D41" s="50">
        <v>1</v>
      </c>
      <c r="E41" s="50">
        <v>6</v>
      </c>
      <c r="F41" s="50">
        <v>5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2</v>
      </c>
      <c r="M41" s="50">
        <v>48</v>
      </c>
      <c r="N41" s="50">
        <v>0</v>
      </c>
      <c r="O41" s="15">
        <f t="shared" si="0"/>
        <v>20</v>
      </c>
      <c r="P41" s="15">
        <f t="shared" si="1"/>
        <v>68</v>
      </c>
    </row>
    <row r="42" spans="2:20" ht="23.1" customHeight="1" x14ac:dyDescent="0.25">
      <c r="B42" s="24" t="s">
        <v>69</v>
      </c>
      <c r="C42" s="50">
        <v>7</v>
      </c>
      <c r="D42" s="50">
        <v>0</v>
      </c>
      <c r="E42" s="50">
        <v>2</v>
      </c>
      <c r="F42" s="50">
        <v>2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25</v>
      </c>
      <c r="N42" s="50">
        <v>0</v>
      </c>
      <c r="O42" s="15">
        <f t="shared" si="0"/>
        <v>13</v>
      </c>
      <c r="P42" s="15">
        <f t="shared" si="1"/>
        <v>38</v>
      </c>
    </row>
    <row r="43" spans="2:20" ht="23.1" customHeight="1" x14ac:dyDescent="0.25">
      <c r="B43" s="23" t="s">
        <v>70</v>
      </c>
      <c r="C43" s="50">
        <v>11</v>
      </c>
      <c r="D43" s="50">
        <v>1</v>
      </c>
      <c r="E43" s="50">
        <v>4</v>
      </c>
      <c r="F43" s="50">
        <v>3</v>
      </c>
      <c r="G43" s="50">
        <v>0</v>
      </c>
      <c r="H43" s="50">
        <v>0</v>
      </c>
      <c r="I43" s="50">
        <v>2</v>
      </c>
      <c r="J43" s="50">
        <v>2</v>
      </c>
      <c r="K43" s="50">
        <v>0</v>
      </c>
      <c r="L43" s="50">
        <v>0</v>
      </c>
      <c r="M43" s="50">
        <v>42</v>
      </c>
      <c r="N43" s="50">
        <v>0</v>
      </c>
      <c r="O43" s="15">
        <f t="shared" si="0"/>
        <v>23</v>
      </c>
      <c r="P43" s="15">
        <f t="shared" si="1"/>
        <v>65</v>
      </c>
    </row>
    <row r="44" spans="2:20" ht="23.1" customHeight="1" x14ac:dyDescent="0.25">
      <c r="B44" s="25" t="s">
        <v>71</v>
      </c>
      <c r="C44" s="50">
        <v>5</v>
      </c>
      <c r="D44" s="50">
        <v>0</v>
      </c>
      <c r="E44" s="50">
        <v>1</v>
      </c>
      <c r="F44" s="50">
        <v>5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26</v>
      </c>
      <c r="N44" s="50">
        <v>0</v>
      </c>
      <c r="O44" s="15">
        <f t="shared" si="0"/>
        <v>11</v>
      </c>
      <c r="P44" s="15">
        <f t="shared" si="1"/>
        <v>37</v>
      </c>
    </row>
    <row r="45" spans="2:20" ht="23.1" customHeight="1" x14ac:dyDescent="0.25">
      <c r="B45" s="23" t="s">
        <v>72</v>
      </c>
      <c r="C45" s="50">
        <v>8</v>
      </c>
      <c r="D45" s="50">
        <v>0</v>
      </c>
      <c r="E45" s="50">
        <v>2</v>
      </c>
      <c r="F45" s="50">
        <v>8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1</v>
      </c>
      <c r="M45" s="50">
        <v>43</v>
      </c>
      <c r="N45" s="50">
        <v>0</v>
      </c>
      <c r="O45" s="15">
        <f t="shared" si="0"/>
        <v>20</v>
      </c>
      <c r="P45" s="15">
        <f t="shared" si="1"/>
        <v>63</v>
      </c>
    </row>
    <row r="46" spans="2:20" ht="23.1" customHeight="1" x14ac:dyDescent="0.25">
      <c r="B46" s="24" t="s">
        <v>73</v>
      </c>
      <c r="C46" s="50">
        <v>8</v>
      </c>
      <c r="D46" s="50">
        <v>0</v>
      </c>
      <c r="E46" s="50">
        <v>2</v>
      </c>
      <c r="F46" s="50">
        <v>4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37</v>
      </c>
      <c r="N46" s="50">
        <v>0</v>
      </c>
      <c r="O46" s="15">
        <f t="shared" si="0"/>
        <v>14</v>
      </c>
      <c r="P46" s="15">
        <f t="shared" si="1"/>
        <v>51</v>
      </c>
      <c r="R46" s="8"/>
      <c r="T46"/>
    </row>
    <row r="47" spans="2:20" ht="23.1" customHeight="1" x14ac:dyDescent="0.25">
      <c r="B47" s="24" t="s">
        <v>74</v>
      </c>
      <c r="C47" s="50">
        <v>13</v>
      </c>
      <c r="D47" s="50">
        <v>0</v>
      </c>
      <c r="E47" s="50">
        <v>4</v>
      </c>
      <c r="F47" s="50">
        <v>6</v>
      </c>
      <c r="G47" s="50">
        <v>0</v>
      </c>
      <c r="H47" s="50">
        <v>1</v>
      </c>
      <c r="I47" s="50">
        <v>1</v>
      </c>
      <c r="J47" s="50">
        <v>0</v>
      </c>
      <c r="K47" s="50">
        <v>1</v>
      </c>
      <c r="L47" s="50">
        <v>0</v>
      </c>
      <c r="M47" s="50">
        <v>62</v>
      </c>
      <c r="N47" s="50">
        <v>0</v>
      </c>
      <c r="O47" s="15">
        <f t="shared" si="0"/>
        <v>26</v>
      </c>
      <c r="P47" s="15">
        <f t="shared" si="1"/>
        <v>88</v>
      </c>
      <c r="R47" s="8"/>
      <c r="T47"/>
    </row>
    <row r="48" spans="2:20" ht="23.1" customHeight="1" x14ac:dyDescent="0.25">
      <c r="B48" s="24" t="s">
        <v>75</v>
      </c>
      <c r="C48" s="50">
        <v>10</v>
      </c>
      <c r="D48" s="50">
        <v>0</v>
      </c>
      <c r="E48" s="50">
        <v>5</v>
      </c>
      <c r="F48" s="50">
        <v>2</v>
      </c>
      <c r="G48" s="50">
        <v>0</v>
      </c>
      <c r="H48" s="50">
        <v>0</v>
      </c>
      <c r="I48" s="50">
        <v>2</v>
      </c>
      <c r="J48" s="50">
        <v>2</v>
      </c>
      <c r="K48" s="50">
        <v>4</v>
      </c>
      <c r="L48" s="50">
        <v>2</v>
      </c>
      <c r="M48" s="50">
        <v>31</v>
      </c>
      <c r="N48" s="50">
        <v>0</v>
      </c>
      <c r="O48" s="15">
        <f t="shared" si="0"/>
        <v>27</v>
      </c>
      <c r="P48" s="15">
        <f t="shared" si="1"/>
        <v>58</v>
      </c>
      <c r="R48" s="8"/>
      <c r="T48"/>
    </row>
    <row r="49" spans="2:20" ht="23.1" customHeight="1" x14ac:dyDescent="0.25">
      <c r="B49" s="23" t="s">
        <v>76</v>
      </c>
      <c r="C49" s="50">
        <v>17</v>
      </c>
      <c r="D49" s="50">
        <v>1</v>
      </c>
      <c r="E49" s="50">
        <v>8</v>
      </c>
      <c r="F49" s="50">
        <v>3</v>
      </c>
      <c r="G49" s="50">
        <v>0</v>
      </c>
      <c r="H49" s="50">
        <v>0</v>
      </c>
      <c r="I49" s="50">
        <v>4</v>
      </c>
      <c r="J49" s="50">
        <v>3</v>
      </c>
      <c r="K49" s="50">
        <v>6</v>
      </c>
      <c r="L49" s="50">
        <v>3</v>
      </c>
      <c r="M49" s="50">
        <v>53</v>
      </c>
      <c r="N49" s="50">
        <v>0</v>
      </c>
      <c r="O49" s="15">
        <f t="shared" si="0"/>
        <v>45</v>
      </c>
      <c r="P49" s="15">
        <f t="shared" si="1"/>
        <v>98</v>
      </c>
      <c r="R49" s="8"/>
      <c r="T49"/>
    </row>
    <row r="50" spans="2:20" ht="23.1" customHeight="1" x14ac:dyDescent="0.25">
      <c r="B50" s="24" t="s">
        <v>77</v>
      </c>
      <c r="C50" s="50">
        <v>8</v>
      </c>
      <c r="D50" s="50">
        <v>0</v>
      </c>
      <c r="E50" s="50">
        <v>6</v>
      </c>
      <c r="F50" s="50">
        <v>2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32</v>
      </c>
      <c r="N50" s="50">
        <v>0</v>
      </c>
      <c r="O50" s="15">
        <f t="shared" si="0"/>
        <v>18</v>
      </c>
      <c r="P50" s="15">
        <f t="shared" si="1"/>
        <v>50</v>
      </c>
      <c r="R50" s="8"/>
      <c r="T50"/>
    </row>
    <row r="51" spans="2:20" ht="23.1" customHeight="1" x14ac:dyDescent="0.25">
      <c r="B51" s="24" t="s">
        <v>78</v>
      </c>
      <c r="C51" s="50">
        <v>13</v>
      </c>
      <c r="D51" s="50">
        <v>1</v>
      </c>
      <c r="E51" s="50">
        <v>10</v>
      </c>
      <c r="F51" s="50">
        <v>4</v>
      </c>
      <c r="G51" s="50">
        <v>0</v>
      </c>
      <c r="H51" s="50">
        <v>0</v>
      </c>
      <c r="I51" s="50">
        <v>2</v>
      </c>
      <c r="J51" s="50">
        <v>2</v>
      </c>
      <c r="K51" s="50">
        <v>0</v>
      </c>
      <c r="L51" s="50">
        <v>1</v>
      </c>
      <c r="M51" s="50">
        <v>54</v>
      </c>
      <c r="N51" s="50">
        <v>0</v>
      </c>
      <c r="O51" s="15">
        <f t="shared" si="0"/>
        <v>33</v>
      </c>
      <c r="P51" s="15">
        <f t="shared" si="1"/>
        <v>87</v>
      </c>
      <c r="R51" s="8"/>
      <c r="T51"/>
    </row>
    <row r="52" spans="2:20" ht="23.1" customHeight="1" x14ac:dyDescent="0.25">
      <c r="B52" s="24" t="s">
        <v>79</v>
      </c>
      <c r="C52" s="50">
        <v>13</v>
      </c>
      <c r="D52" s="50">
        <v>1</v>
      </c>
      <c r="E52" s="50">
        <v>12</v>
      </c>
      <c r="F52" s="50">
        <v>4</v>
      </c>
      <c r="G52" s="50">
        <v>2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24</v>
      </c>
      <c r="N52" s="50">
        <v>0</v>
      </c>
      <c r="O52" s="15">
        <f t="shared" si="0"/>
        <v>34</v>
      </c>
      <c r="P52" s="15">
        <f t="shared" si="1"/>
        <v>58</v>
      </c>
      <c r="R52" s="8"/>
      <c r="T52"/>
    </row>
    <row r="53" spans="2:20" ht="23.1" customHeight="1" x14ac:dyDescent="0.25">
      <c r="B53" s="23" t="s">
        <v>80</v>
      </c>
      <c r="C53" s="50">
        <v>21</v>
      </c>
      <c r="D53" s="50">
        <v>2</v>
      </c>
      <c r="E53" s="50">
        <v>20</v>
      </c>
      <c r="F53" s="50">
        <v>6</v>
      </c>
      <c r="G53" s="50">
        <v>4</v>
      </c>
      <c r="H53" s="50">
        <v>0</v>
      </c>
      <c r="I53" s="50">
        <v>4</v>
      </c>
      <c r="J53" s="50">
        <v>1</v>
      </c>
      <c r="K53" s="50">
        <v>0</v>
      </c>
      <c r="L53" s="50">
        <v>1</v>
      </c>
      <c r="M53" s="50">
        <v>40</v>
      </c>
      <c r="N53" s="50">
        <v>0</v>
      </c>
      <c r="O53" s="15">
        <f t="shared" si="0"/>
        <v>59</v>
      </c>
      <c r="P53" s="15">
        <f t="shared" si="1"/>
        <v>99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0</v>
      </c>
      <c r="E54" s="50">
        <v>2</v>
      </c>
      <c r="F54" s="50">
        <v>8</v>
      </c>
      <c r="G54" s="50">
        <v>1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26</v>
      </c>
      <c r="N54" s="50">
        <v>0</v>
      </c>
      <c r="O54" s="15">
        <f t="shared" si="0"/>
        <v>20</v>
      </c>
      <c r="P54" s="15">
        <f t="shared" si="1"/>
        <v>46</v>
      </c>
      <c r="R54" s="8"/>
      <c r="T54"/>
    </row>
    <row r="55" spans="2:20" ht="23.1" customHeight="1" x14ac:dyDescent="0.25">
      <c r="B55" s="23" t="s">
        <v>82</v>
      </c>
      <c r="C55" s="50">
        <v>12</v>
      </c>
      <c r="D55" s="50">
        <v>0</v>
      </c>
      <c r="E55" s="50">
        <v>3</v>
      </c>
      <c r="F55" s="50">
        <v>13</v>
      </c>
      <c r="G55" s="50">
        <v>2</v>
      </c>
      <c r="H55" s="50">
        <v>0</v>
      </c>
      <c r="I55" s="50">
        <v>3</v>
      </c>
      <c r="J55" s="50">
        <v>0</v>
      </c>
      <c r="K55" s="50">
        <v>0</v>
      </c>
      <c r="L55" s="50">
        <v>1</v>
      </c>
      <c r="M55" s="50">
        <v>43</v>
      </c>
      <c r="N55" s="50">
        <v>0</v>
      </c>
      <c r="O55" s="15">
        <f t="shared" si="0"/>
        <v>34</v>
      </c>
      <c r="P55" s="15">
        <f t="shared" si="1"/>
        <v>77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0</v>
      </c>
      <c r="E56" s="50">
        <v>2</v>
      </c>
      <c r="F56" s="50">
        <v>1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34</v>
      </c>
      <c r="N56" s="50">
        <v>0</v>
      </c>
      <c r="O56" s="15">
        <f t="shared" si="0"/>
        <v>13</v>
      </c>
      <c r="P56" s="15">
        <f t="shared" si="1"/>
        <v>47</v>
      </c>
      <c r="R56" s="8"/>
      <c r="T56"/>
    </row>
    <row r="57" spans="2:20" ht="23.1" customHeight="1" x14ac:dyDescent="0.25">
      <c r="B57" s="23" t="s">
        <v>84</v>
      </c>
      <c r="C57" s="50">
        <v>12</v>
      </c>
      <c r="D57" s="50">
        <v>1</v>
      </c>
      <c r="E57" s="50">
        <v>4</v>
      </c>
      <c r="F57" s="50">
        <v>2</v>
      </c>
      <c r="G57" s="50">
        <v>1</v>
      </c>
      <c r="H57" s="50">
        <v>0</v>
      </c>
      <c r="I57" s="50">
        <v>4</v>
      </c>
      <c r="J57" s="50">
        <v>2</v>
      </c>
      <c r="K57" s="50">
        <v>0</v>
      </c>
      <c r="L57" s="50">
        <v>1</v>
      </c>
      <c r="M57" s="50">
        <v>56</v>
      </c>
      <c r="N57" s="50">
        <v>0</v>
      </c>
      <c r="O57" s="15">
        <f t="shared" si="0"/>
        <v>27</v>
      </c>
      <c r="P57" s="15">
        <f t="shared" si="1"/>
        <v>83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331</v>
      </c>
      <c r="D58" s="16">
        <f t="shared" si="21"/>
        <v>14</v>
      </c>
      <c r="E58" s="16">
        <f t="shared" si="21"/>
        <v>183</v>
      </c>
      <c r="F58" s="16">
        <f t="shared" si="21"/>
        <v>171</v>
      </c>
      <c r="G58" s="16">
        <f t="shared" si="21"/>
        <v>11</v>
      </c>
      <c r="H58" s="16">
        <f t="shared" si="21"/>
        <v>4</v>
      </c>
      <c r="I58" s="16">
        <f t="shared" si="21"/>
        <v>53</v>
      </c>
      <c r="J58" s="16">
        <f t="shared" si="21"/>
        <v>27</v>
      </c>
      <c r="K58" s="16">
        <f t="shared" si="21"/>
        <v>19</v>
      </c>
      <c r="L58" s="16">
        <f t="shared" si="21"/>
        <v>37</v>
      </c>
      <c r="M58" s="16">
        <f t="shared" si="21"/>
        <v>1550</v>
      </c>
      <c r="N58" s="16">
        <f t="shared" si="21"/>
        <v>0</v>
      </c>
      <c r="O58" s="16">
        <f t="shared" si="21"/>
        <v>850</v>
      </c>
      <c r="P58" s="16">
        <f t="shared" si="21"/>
        <v>2400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0.13791666666666666</v>
      </c>
      <c r="D59" s="43">
        <f t="shared" si="22"/>
        <v>5.8333333333333336E-3</v>
      </c>
      <c r="E59" s="43">
        <f t="shared" si="22"/>
        <v>7.6249999999999998E-2</v>
      </c>
      <c r="F59" s="43">
        <f t="shared" si="22"/>
        <v>7.1249999999999994E-2</v>
      </c>
      <c r="G59" s="43">
        <f t="shared" si="22"/>
        <v>4.5833333333333334E-3</v>
      </c>
      <c r="H59" s="43">
        <f t="shared" si="22"/>
        <v>1.6666666666666668E-3</v>
      </c>
      <c r="I59" s="43">
        <f t="shared" si="22"/>
        <v>2.2083333333333333E-2</v>
      </c>
      <c r="J59" s="43">
        <f t="shared" si="22"/>
        <v>1.125E-2</v>
      </c>
      <c r="K59" s="43">
        <f t="shared" si="22"/>
        <v>7.9166666666666673E-3</v>
      </c>
      <c r="L59" s="43">
        <f t="shared" si="22"/>
        <v>1.5416666666666667E-2</v>
      </c>
      <c r="M59" s="43">
        <f t="shared" si="22"/>
        <v>0.64583333333333337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0.38941176470588235</v>
      </c>
      <c r="D60" s="44">
        <f t="shared" ref="D60:N60" si="23">D58/$O$58</f>
        <v>1.6470588235294119E-2</v>
      </c>
      <c r="E60" s="44">
        <f t="shared" si="23"/>
        <v>0.21529411764705883</v>
      </c>
      <c r="F60" s="44">
        <f t="shared" si="23"/>
        <v>0.20117647058823529</v>
      </c>
      <c r="G60" s="44">
        <f t="shared" si="23"/>
        <v>1.2941176470588235E-2</v>
      </c>
      <c r="H60" s="44">
        <f t="shared" si="23"/>
        <v>4.7058823529411761E-3</v>
      </c>
      <c r="I60" s="44">
        <f t="shared" si="23"/>
        <v>6.235294117647059E-2</v>
      </c>
      <c r="J60" s="44">
        <f t="shared" si="23"/>
        <v>3.1764705882352938E-2</v>
      </c>
      <c r="K60" s="44">
        <f t="shared" si="23"/>
        <v>2.2352941176470589E-2</v>
      </c>
      <c r="L60" s="44">
        <f t="shared" si="23"/>
        <v>4.3529411764705879E-2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'09.09 Ishaka-Katungulu'!C3:G3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56" t="str">
        <f>'09.09 Ishaka-Katungulu'!G5:H5</f>
        <v>Rubirizi</v>
      </c>
      <c r="H5" s="57"/>
      <c r="I5" s="14"/>
      <c r="J5" s="2" t="s">
        <v>5</v>
      </c>
      <c r="K5" s="56" t="str">
        <f>'09.09 Ishaka-Katungulu'!K5:L5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'09.09 Ishaka-Katungulu'!D6:E6</f>
        <v>Ishaka</v>
      </c>
      <c r="E6" s="57"/>
      <c r="F6" s="2" t="s">
        <v>2</v>
      </c>
      <c r="G6" s="56" t="str">
        <f>'09.09 Ishaka-Katungulu'!G6:H6</f>
        <v>Katungulu</v>
      </c>
      <c r="H6" s="57"/>
      <c r="J6" s="2" t="s">
        <v>21</v>
      </c>
      <c r="K6" s="56" t="str">
        <f>'09.09 Ishaka-Katungulu'!K6:L6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2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6</v>
      </c>
      <c r="T10" s="17">
        <f t="shared" si="2"/>
        <v>0</v>
      </c>
      <c r="U10" s="17">
        <f t="shared" si="2"/>
        <v>10</v>
      </c>
      <c r="V10" s="17">
        <f t="shared" si="2"/>
        <v>16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2</v>
      </c>
      <c r="AA10" s="17">
        <f t="shared" si="2"/>
        <v>1</v>
      </c>
      <c r="AB10" s="17">
        <f t="shared" si="2"/>
        <v>2</v>
      </c>
      <c r="AC10" s="17">
        <f t="shared" si="2"/>
        <v>35</v>
      </c>
      <c r="AD10" s="17">
        <f t="shared" si="2"/>
        <v>0</v>
      </c>
      <c r="AE10" s="31">
        <f t="shared" si="2"/>
        <v>37</v>
      </c>
      <c r="AF10" s="31">
        <f t="shared" si="2"/>
        <v>72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3</v>
      </c>
      <c r="F11" s="50">
        <v>5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1</v>
      </c>
      <c r="M11" s="50">
        <v>4</v>
      </c>
      <c r="N11" s="50">
        <v>0</v>
      </c>
      <c r="O11" s="15">
        <f t="shared" si="0"/>
        <v>12</v>
      </c>
      <c r="P11" s="15">
        <f t="shared" si="1"/>
        <v>16</v>
      </c>
      <c r="R11" s="1" t="s">
        <v>7</v>
      </c>
      <c r="S11" s="17">
        <f t="shared" ref="S11:AF11" si="3">SUM(C14:C17)</f>
        <v>9</v>
      </c>
      <c r="T11" s="17">
        <f t="shared" si="3"/>
        <v>0</v>
      </c>
      <c r="U11" s="17">
        <f t="shared" si="3"/>
        <v>7</v>
      </c>
      <c r="V11" s="17">
        <f t="shared" si="3"/>
        <v>11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2</v>
      </c>
      <c r="AA11" s="17">
        <f t="shared" si="3"/>
        <v>24</v>
      </c>
      <c r="AB11" s="17">
        <f t="shared" si="3"/>
        <v>3</v>
      </c>
      <c r="AC11" s="17">
        <f t="shared" si="3"/>
        <v>155</v>
      </c>
      <c r="AD11" s="17">
        <f t="shared" si="3"/>
        <v>0</v>
      </c>
      <c r="AE11" s="31">
        <f t="shared" si="3"/>
        <v>56</v>
      </c>
      <c r="AF11" s="31">
        <f t="shared" si="3"/>
        <v>211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2</v>
      </c>
      <c r="F12" s="50">
        <v>3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11</v>
      </c>
      <c r="N12" s="50">
        <v>0</v>
      </c>
      <c r="O12" s="15">
        <f t="shared" si="0"/>
        <v>6</v>
      </c>
      <c r="P12" s="15">
        <f t="shared" si="1"/>
        <v>17</v>
      </c>
      <c r="R12" s="1" t="s">
        <v>8</v>
      </c>
      <c r="S12" s="17">
        <f t="shared" ref="S12:AF12" si="4">SUM(C18:C21)</f>
        <v>16</v>
      </c>
      <c r="T12" s="17">
        <f t="shared" si="4"/>
        <v>1</v>
      </c>
      <c r="U12" s="17">
        <f t="shared" si="4"/>
        <v>13</v>
      </c>
      <c r="V12" s="17">
        <f t="shared" si="4"/>
        <v>9</v>
      </c>
      <c r="W12" s="17">
        <f t="shared" si="4"/>
        <v>0</v>
      </c>
      <c r="X12" s="17">
        <f t="shared" si="4"/>
        <v>1</v>
      </c>
      <c r="Y12" s="17">
        <f t="shared" si="4"/>
        <v>5</v>
      </c>
      <c r="Z12" s="17">
        <f t="shared" si="4"/>
        <v>0</v>
      </c>
      <c r="AA12" s="17">
        <f t="shared" si="4"/>
        <v>13</v>
      </c>
      <c r="AB12" s="17">
        <f t="shared" si="4"/>
        <v>1</v>
      </c>
      <c r="AC12" s="17">
        <f t="shared" si="4"/>
        <v>142</v>
      </c>
      <c r="AD12" s="17">
        <f t="shared" si="4"/>
        <v>0</v>
      </c>
      <c r="AE12" s="31">
        <f t="shared" si="4"/>
        <v>59</v>
      </c>
      <c r="AF12" s="31">
        <f t="shared" si="4"/>
        <v>201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3</v>
      </c>
      <c r="F13" s="50">
        <v>5</v>
      </c>
      <c r="G13" s="50">
        <v>0</v>
      </c>
      <c r="H13" s="50">
        <v>0</v>
      </c>
      <c r="I13" s="50">
        <v>0</v>
      </c>
      <c r="J13" s="50">
        <v>1</v>
      </c>
      <c r="K13" s="50">
        <v>1</v>
      </c>
      <c r="L13" s="50">
        <v>1</v>
      </c>
      <c r="M13" s="50">
        <v>18</v>
      </c>
      <c r="N13" s="50">
        <v>0</v>
      </c>
      <c r="O13" s="15">
        <f t="shared" si="0"/>
        <v>13</v>
      </c>
      <c r="P13" s="15">
        <f t="shared" si="1"/>
        <v>31</v>
      </c>
      <c r="R13" s="1" t="s">
        <v>9</v>
      </c>
      <c r="S13" s="17">
        <f t="shared" ref="S13:AF13" si="5">SUM(C22:C25)</f>
        <v>24</v>
      </c>
      <c r="T13" s="17">
        <f t="shared" si="5"/>
        <v>2</v>
      </c>
      <c r="U13" s="17">
        <f t="shared" si="5"/>
        <v>16</v>
      </c>
      <c r="V13" s="17">
        <f t="shared" si="5"/>
        <v>9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0</v>
      </c>
      <c r="AA13" s="17">
        <f t="shared" si="5"/>
        <v>14</v>
      </c>
      <c r="AB13" s="17">
        <f t="shared" si="5"/>
        <v>7</v>
      </c>
      <c r="AC13" s="17">
        <f t="shared" si="5"/>
        <v>170</v>
      </c>
      <c r="AD13" s="17">
        <f t="shared" si="5"/>
        <v>0</v>
      </c>
      <c r="AE13" s="31">
        <f t="shared" si="5"/>
        <v>76</v>
      </c>
      <c r="AF13" s="31">
        <f t="shared" si="5"/>
        <v>246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2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5</v>
      </c>
      <c r="L14" s="50">
        <v>0</v>
      </c>
      <c r="M14" s="50">
        <v>25</v>
      </c>
      <c r="N14" s="50">
        <v>0</v>
      </c>
      <c r="O14" s="15">
        <f t="shared" si="0"/>
        <v>9</v>
      </c>
      <c r="P14" s="15">
        <f t="shared" si="1"/>
        <v>34</v>
      </c>
      <c r="R14" s="1" t="s">
        <v>10</v>
      </c>
      <c r="S14" s="17">
        <f t="shared" ref="S14:AF14" si="6">SUM(C26:C29)</f>
        <v>16</v>
      </c>
      <c r="T14" s="17">
        <f t="shared" si="6"/>
        <v>1</v>
      </c>
      <c r="U14" s="17">
        <f t="shared" si="6"/>
        <v>15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3</v>
      </c>
      <c r="AA14" s="17">
        <f t="shared" si="6"/>
        <v>4</v>
      </c>
      <c r="AB14" s="17">
        <f t="shared" si="6"/>
        <v>6</v>
      </c>
      <c r="AC14" s="17">
        <f t="shared" si="6"/>
        <v>160</v>
      </c>
      <c r="AD14" s="17">
        <f t="shared" si="6"/>
        <v>0</v>
      </c>
      <c r="AE14" s="31">
        <f t="shared" si="6"/>
        <v>53</v>
      </c>
      <c r="AF14" s="31">
        <f t="shared" si="6"/>
        <v>213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4</v>
      </c>
      <c r="F15" s="50">
        <v>4</v>
      </c>
      <c r="G15" s="50">
        <v>0</v>
      </c>
      <c r="H15" s="50">
        <v>0</v>
      </c>
      <c r="I15" s="50">
        <v>0</v>
      </c>
      <c r="J15" s="50">
        <v>1</v>
      </c>
      <c r="K15" s="50">
        <v>9</v>
      </c>
      <c r="L15" s="50">
        <v>0</v>
      </c>
      <c r="M15" s="50">
        <v>41</v>
      </c>
      <c r="N15" s="50">
        <v>0</v>
      </c>
      <c r="O15" s="15">
        <f t="shared" si="0"/>
        <v>19</v>
      </c>
      <c r="P15" s="15">
        <f t="shared" si="1"/>
        <v>60</v>
      </c>
      <c r="R15" s="1" t="s">
        <v>11</v>
      </c>
      <c r="S15" s="17">
        <f t="shared" ref="S15:AF15" si="7">SUM(C30:C33)</f>
        <v>13</v>
      </c>
      <c r="T15" s="17">
        <f t="shared" si="7"/>
        <v>0</v>
      </c>
      <c r="U15" s="17">
        <f t="shared" si="7"/>
        <v>7</v>
      </c>
      <c r="V15" s="17">
        <f t="shared" si="7"/>
        <v>19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0</v>
      </c>
      <c r="AA15" s="17">
        <f t="shared" si="7"/>
        <v>11</v>
      </c>
      <c r="AB15" s="17">
        <f t="shared" si="7"/>
        <v>8</v>
      </c>
      <c r="AC15" s="17">
        <f t="shared" si="7"/>
        <v>168</v>
      </c>
      <c r="AD15" s="17">
        <f t="shared" si="7"/>
        <v>1</v>
      </c>
      <c r="AE15" s="31">
        <f t="shared" si="7"/>
        <v>67</v>
      </c>
      <c r="AF15" s="31">
        <f t="shared" si="7"/>
        <v>235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4</v>
      </c>
      <c r="L16" s="50">
        <v>1</v>
      </c>
      <c r="M16" s="50">
        <v>32</v>
      </c>
      <c r="N16" s="50">
        <v>0</v>
      </c>
      <c r="O16" s="15">
        <f t="shared" si="0"/>
        <v>10</v>
      </c>
      <c r="P16" s="15">
        <f t="shared" si="1"/>
        <v>42</v>
      </c>
      <c r="R16" s="1" t="s">
        <v>12</v>
      </c>
      <c r="S16" s="17">
        <f t="shared" ref="S16:AF16" si="8">SUM(C34:C37)</f>
        <v>19</v>
      </c>
      <c r="T16" s="17">
        <f t="shared" si="8"/>
        <v>2</v>
      </c>
      <c r="U16" s="17">
        <f t="shared" si="8"/>
        <v>21</v>
      </c>
      <c r="V16" s="17">
        <f t="shared" si="8"/>
        <v>12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6</v>
      </c>
      <c r="AA16" s="17">
        <f t="shared" si="8"/>
        <v>1</v>
      </c>
      <c r="AB16" s="17">
        <f t="shared" si="8"/>
        <v>6</v>
      </c>
      <c r="AC16" s="17">
        <f t="shared" si="8"/>
        <v>155</v>
      </c>
      <c r="AD16" s="17">
        <f t="shared" si="8"/>
        <v>0</v>
      </c>
      <c r="AE16" s="31">
        <f t="shared" si="8"/>
        <v>78</v>
      </c>
      <c r="AF16" s="31">
        <f t="shared" si="8"/>
        <v>233</v>
      </c>
    </row>
    <row r="17" spans="2:32" ht="23.1" customHeight="1" x14ac:dyDescent="0.25">
      <c r="B17" s="23" t="s">
        <v>44</v>
      </c>
      <c r="C17" s="50">
        <v>5</v>
      </c>
      <c r="D17" s="50">
        <v>0</v>
      </c>
      <c r="E17" s="50">
        <v>1</v>
      </c>
      <c r="F17" s="50">
        <v>3</v>
      </c>
      <c r="G17" s="50">
        <v>0</v>
      </c>
      <c r="H17" s="50">
        <v>0</v>
      </c>
      <c r="I17" s="50">
        <v>0</v>
      </c>
      <c r="J17" s="50">
        <v>1</v>
      </c>
      <c r="K17" s="50">
        <v>6</v>
      </c>
      <c r="L17" s="50">
        <v>2</v>
      </c>
      <c r="M17" s="50">
        <v>57</v>
      </c>
      <c r="N17" s="50">
        <v>0</v>
      </c>
      <c r="O17" s="15">
        <f t="shared" si="0"/>
        <v>18</v>
      </c>
      <c r="P17" s="15">
        <f t="shared" si="1"/>
        <v>75</v>
      </c>
      <c r="R17" s="1" t="s">
        <v>13</v>
      </c>
      <c r="S17" s="17">
        <f t="shared" ref="S17:AF17" si="9">SUM(C38:C41)</f>
        <v>16</v>
      </c>
      <c r="T17" s="17">
        <f t="shared" si="9"/>
        <v>0</v>
      </c>
      <c r="U17" s="17">
        <f t="shared" si="9"/>
        <v>11</v>
      </c>
      <c r="V17" s="17">
        <f t="shared" si="9"/>
        <v>18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1</v>
      </c>
      <c r="AA17" s="17">
        <f t="shared" si="9"/>
        <v>8</v>
      </c>
      <c r="AB17" s="17">
        <f t="shared" si="9"/>
        <v>2</v>
      </c>
      <c r="AC17" s="17">
        <f t="shared" si="9"/>
        <v>105</v>
      </c>
      <c r="AD17" s="17">
        <f t="shared" si="9"/>
        <v>0</v>
      </c>
      <c r="AE17" s="31">
        <f t="shared" si="9"/>
        <v>61</v>
      </c>
      <c r="AF17" s="31">
        <f t="shared" si="9"/>
        <v>166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3</v>
      </c>
      <c r="F18" s="50">
        <v>1</v>
      </c>
      <c r="G18" s="50">
        <v>0</v>
      </c>
      <c r="H18" s="50">
        <v>0</v>
      </c>
      <c r="I18" s="50">
        <v>2</v>
      </c>
      <c r="J18" s="50">
        <v>0</v>
      </c>
      <c r="K18" s="50">
        <v>1</v>
      </c>
      <c r="L18" s="50">
        <v>0</v>
      </c>
      <c r="M18" s="50">
        <v>41</v>
      </c>
      <c r="N18" s="50">
        <v>0</v>
      </c>
      <c r="O18" s="15">
        <f t="shared" si="0"/>
        <v>10</v>
      </c>
      <c r="P18" s="15">
        <f t="shared" si="1"/>
        <v>51</v>
      </c>
      <c r="R18" s="1" t="s">
        <v>14</v>
      </c>
      <c r="S18" s="17">
        <f t="shared" ref="S18:AF18" si="10">SUM(C42:C45)</f>
        <v>16</v>
      </c>
      <c r="T18" s="17">
        <f t="shared" si="10"/>
        <v>1</v>
      </c>
      <c r="U18" s="17">
        <f t="shared" si="10"/>
        <v>17</v>
      </c>
      <c r="V18" s="17">
        <f t="shared" si="10"/>
        <v>11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3</v>
      </c>
      <c r="AA18" s="17">
        <f t="shared" si="10"/>
        <v>0</v>
      </c>
      <c r="AB18" s="17">
        <f t="shared" si="10"/>
        <v>8</v>
      </c>
      <c r="AC18" s="17">
        <f t="shared" si="10"/>
        <v>184</v>
      </c>
      <c r="AD18" s="17">
        <f t="shared" si="10"/>
        <v>0</v>
      </c>
      <c r="AE18" s="31">
        <f t="shared" si="10"/>
        <v>62</v>
      </c>
      <c r="AF18" s="31">
        <f t="shared" si="10"/>
        <v>246</v>
      </c>
    </row>
    <row r="19" spans="2:32" ht="23.1" customHeight="1" x14ac:dyDescent="0.25">
      <c r="B19" s="23" t="s">
        <v>46</v>
      </c>
      <c r="C19" s="50">
        <v>5</v>
      </c>
      <c r="D19" s="50">
        <v>1</v>
      </c>
      <c r="E19" s="50">
        <v>4</v>
      </c>
      <c r="F19" s="50">
        <v>2</v>
      </c>
      <c r="G19" s="50">
        <v>0</v>
      </c>
      <c r="H19" s="50">
        <v>1</v>
      </c>
      <c r="I19" s="50">
        <v>3</v>
      </c>
      <c r="J19" s="50">
        <v>0</v>
      </c>
      <c r="K19" s="50">
        <v>2</v>
      </c>
      <c r="L19" s="50">
        <v>0</v>
      </c>
      <c r="M19" s="50">
        <v>69</v>
      </c>
      <c r="N19" s="50">
        <v>0</v>
      </c>
      <c r="O19" s="15">
        <f t="shared" si="0"/>
        <v>18</v>
      </c>
      <c r="P19" s="15">
        <f t="shared" si="1"/>
        <v>87</v>
      </c>
      <c r="R19" s="1" t="s">
        <v>15</v>
      </c>
      <c r="S19" s="17">
        <f t="shared" ref="S19:AF19" si="11">SUM(C46:C49)</f>
        <v>16</v>
      </c>
      <c r="T19" s="17">
        <f t="shared" si="11"/>
        <v>2</v>
      </c>
      <c r="U19" s="17">
        <f t="shared" si="11"/>
        <v>19</v>
      </c>
      <c r="V19" s="17">
        <f t="shared" si="11"/>
        <v>14</v>
      </c>
      <c r="W19" s="17">
        <f t="shared" si="11"/>
        <v>1</v>
      </c>
      <c r="X19" s="17">
        <f t="shared" si="11"/>
        <v>0</v>
      </c>
      <c r="Y19" s="17">
        <f t="shared" si="11"/>
        <v>11</v>
      </c>
      <c r="Z19" s="17">
        <f t="shared" si="11"/>
        <v>11</v>
      </c>
      <c r="AA19" s="17">
        <f t="shared" si="11"/>
        <v>3</v>
      </c>
      <c r="AB19" s="17">
        <f t="shared" si="11"/>
        <v>4</v>
      </c>
      <c r="AC19" s="17">
        <f t="shared" si="11"/>
        <v>151</v>
      </c>
      <c r="AD19" s="17">
        <f t="shared" si="11"/>
        <v>0</v>
      </c>
      <c r="AE19" s="31">
        <f t="shared" si="11"/>
        <v>81</v>
      </c>
      <c r="AF19" s="31">
        <f t="shared" si="11"/>
        <v>232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2</v>
      </c>
      <c r="F20" s="50">
        <v>2</v>
      </c>
      <c r="G20" s="50">
        <v>0</v>
      </c>
      <c r="H20" s="50">
        <v>0</v>
      </c>
      <c r="I20" s="50">
        <v>0</v>
      </c>
      <c r="J20" s="50">
        <v>0</v>
      </c>
      <c r="K20" s="50">
        <v>4</v>
      </c>
      <c r="L20" s="50">
        <v>0</v>
      </c>
      <c r="M20" s="50">
        <v>12</v>
      </c>
      <c r="N20" s="50">
        <v>0</v>
      </c>
      <c r="O20" s="15">
        <f t="shared" si="0"/>
        <v>11</v>
      </c>
      <c r="P20" s="15">
        <f t="shared" si="1"/>
        <v>23</v>
      </c>
      <c r="R20" s="1" t="s">
        <v>16</v>
      </c>
      <c r="S20" s="17">
        <f t="shared" ref="S20:AF20" si="12">SUM(C50:C53)</f>
        <v>8</v>
      </c>
      <c r="T20" s="17">
        <f t="shared" si="12"/>
        <v>1</v>
      </c>
      <c r="U20" s="17">
        <f t="shared" si="12"/>
        <v>13</v>
      </c>
      <c r="V20" s="17">
        <f t="shared" si="12"/>
        <v>17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7</v>
      </c>
      <c r="AA20" s="17">
        <f t="shared" si="12"/>
        <v>10</v>
      </c>
      <c r="AB20" s="17">
        <f t="shared" si="12"/>
        <v>5</v>
      </c>
      <c r="AC20" s="17">
        <f t="shared" si="12"/>
        <v>213</v>
      </c>
      <c r="AD20" s="17">
        <f t="shared" si="12"/>
        <v>0</v>
      </c>
      <c r="AE20" s="31">
        <f t="shared" si="12"/>
        <v>67</v>
      </c>
      <c r="AF20" s="31">
        <f t="shared" si="12"/>
        <v>280</v>
      </c>
    </row>
    <row r="21" spans="2:32" ht="23.1" customHeight="1" x14ac:dyDescent="0.25">
      <c r="B21" s="23" t="s">
        <v>48</v>
      </c>
      <c r="C21" s="50">
        <v>5</v>
      </c>
      <c r="D21" s="50">
        <v>0</v>
      </c>
      <c r="E21" s="50">
        <v>4</v>
      </c>
      <c r="F21" s="50">
        <v>4</v>
      </c>
      <c r="G21" s="50">
        <v>0</v>
      </c>
      <c r="H21" s="50">
        <v>0</v>
      </c>
      <c r="I21" s="50">
        <v>0</v>
      </c>
      <c r="J21" s="50">
        <v>0</v>
      </c>
      <c r="K21" s="50">
        <v>6</v>
      </c>
      <c r="L21" s="50">
        <v>1</v>
      </c>
      <c r="M21" s="50">
        <v>20</v>
      </c>
      <c r="N21" s="50">
        <v>0</v>
      </c>
      <c r="O21" s="15">
        <f t="shared" si="0"/>
        <v>20</v>
      </c>
      <c r="P21" s="15">
        <f t="shared" si="1"/>
        <v>40</v>
      </c>
      <c r="R21" s="36" t="s">
        <v>20</v>
      </c>
      <c r="S21" s="34">
        <f t="shared" ref="S21:AF21" si="13">SUM(C54:C57)</f>
        <v>30</v>
      </c>
      <c r="T21" s="17">
        <f t="shared" si="13"/>
        <v>1</v>
      </c>
      <c r="U21" s="17">
        <f t="shared" si="13"/>
        <v>14</v>
      </c>
      <c r="V21" s="17">
        <f t="shared" si="13"/>
        <v>20</v>
      </c>
      <c r="W21" s="17">
        <f t="shared" si="13"/>
        <v>0</v>
      </c>
      <c r="X21" s="17">
        <f t="shared" si="13"/>
        <v>1</v>
      </c>
      <c r="Y21" s="17">
        <f t="shared" si="13"/>
        <v>9</v>
      </c>
      <c r="Z21" s="17">
        <f t="shared" si="13"/>
        <v>0</v>
      </c>
      <c r="AA21" s="17">
        <f t="shared" si="13"/>
        <v>9</v>
      </c>
      <c r="AB21" s="17">
        <f t="shared" si="13"/>
        <v>6</v>
      </c>
      <c r="AC21" s="17">
        <f t="shared" si="13"/>
        <v>195</v>
      </c>
      <c r="AD21" s="17">
        <f t="shared" si="13"/>
        <v>0</v>
      </c>
      <c r="AE21" s="31">
        <f t="shared" si="13"/>
        <v>90</v>
      </c>
      <c r="AF21" s="31">
        <f t="shared" si="13"/>
        <v>285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3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5</v>
      </c>
      <c r="L22" s="50">
        <v>2</v>
      </c>
      <c r="M22" s="50">
        <v>40</v>
      </c>
      <c r="N22" s="50">
        <v>0</v>
      </c>
      <c r="O22" s="15">
        <f t="shared" si="0"/>
        <v>15</v>
      </c>
      <c r="P22" s="15">
        <f t="shared" si="1"/>
        <v>55</v>
      </c>
      <c r="R22" s="38" t="s">
        <v>90</v>
      </c>
      <c r="S22" s="39">
        <f>MAX(S10:S12)</f>
        <v>16</v>
      </c>
      <c r="T22" s="39">
        <f t="shared" ref="T22:AF22" si="14">MAX(T10:T12)</f>
        <v>1</v>
      </c>
      <c r="U22" s="39">
        <f t="shared" si="14"/>
        <v>13</v>
      </c>
      <c r="V22" s="39">
        <f t="shared" si="14"/>
        <v>16</v>
      </c>
      <c r="W22" s="39">
        <f t="shared" si="14"/>
        <v>0</v>
      </c>
      <c r="X22" s="39">
        <f t="shared" si="14"/>
        <v>1</v>
      </c>
      <c r="Y22" s="39">
        <f t="shared" si="14"/>
        <v>5</v>
      </c>
      <c r="Z22" s="39">
        <f t="shared" si="14"/>
        <v>2</v>
      </c>
      <c r="AA22" s="39">
        <f t="shared" si="14"/>
        <v>24</v>
      </c>
      <c r="AB22" s="39">
        <f t="shared" si="14"/>
        <v>3</v>
      </c>
      <c r="AC22" s="39">
        <f t="shared" si="14"/>
        <v>155</v>
      </c>
      <c r="AD22" s="39">
        <f t="shared" si="14"/>
        <v>0</v>
      </c>
      <c r="AE22" s="40">
        <f t="shared" si="14"/>
        <v>59</v>
      </c>
      <c r="AF22" s="40">
        <f t="shared" si="14"/>
        <v>211</v>
      </c>
    </row>
    <row r="23" spans="2:32" ht="23.1" customHeight="1" x14ac:dyDescent="0.25">
      <c r="B23" s="23" t="s">
        <v>50</v>
      </c>
      <c r="C23" s="50">
        <v>7</v>
      </c>
      <c r="D23" s="50">
        <v>1</v>
      </c>
      <c r="E23" s="50">
        <v>4</v>
      </c>
      <c r="F23" s="50">
        <v>3</v>
      </c>
      <c r="G23" s="50">
        <v>0</v>
      </c>
      <c r="H23" s="50">
        <v>0</v>
      </c>
      <c r="I23" s="50">
        <v>1</v>
      </c>
      <c r="J23" s="50">
        <v>0</v>
      </c>
      <c r="K23" s="50">
        <v>8</v>
      </c>
      <c r="L23" s="50">
        <v>4</v>
      </c>
      <c r="M23" s="50">
        <v>66</v>
      </c>
      <c r="N23" s="50">
        <v>0</v>
      </c>
      <c r="O23" s="15">
        <f t="shared" si="0"/>
        <v>28</v>
      </c>
      <c r="P23" s="15">
        <f t="shared" si="1"/>
        <v>94</v>
      </c>
      <c r="R23" s="38" t="s">
        <v>91</v>
      </c>
      <c r="S23" s="39">
        <f>MAX(S13:S18)</f>
        <v>24</v>
      </c>
      <c r="T23" s="39">
        <f t="shared" ref="T23:AF23" si="15">MAX(T13:T18)</f>
        <v>2</v>
      </c>
      <c r="U23" s="39">
        <f t="shared" si="15"/>
        <v>21</v>
      </c>
      <c r="V23" s="39">
        <f t="shared" si="15"/>
        <v>19</v>
      </c>
      <c r="W23" s="39">
        <f t="shared" si="15"/>
        <v>0</v>
      </c>
      <c r="X23" s="39">
        <f t="shared" si="15"/>
        <v>0</v>
      </c>
      <c r="Y23" s="39">
        <f t="shared" si="15"/>
        <v>11</v>
      </c>
      <c r="Z23" s="39">
        <f t="shared" si="15"/>
        <v>6</v>
      </c>
      <c r="AA23" s="39">
        <f t="shared" si="15"/>
        <v>14</v>
      </c>
      <c r="AB23" s="39">
        <f t="shared" si="15"/>
        <v>8</v>
      </c>
      <c r="AC23" s="39">
        <f t="shared" si="15"/>
        <v>184</v>
      </c>
      <c r="AD23" s="39">
        <f t="shared" si="15"/>
        <v>1</v>
      </c>
      <c r="AE23" s="40">
        <f t="shared" si="15"/>
        <v>78</v>
      </c>
      <c r="AF23" s="40">
        <f t="shared" si="15"/>
        <v>246</v>
      </c>
    </row>
    <row r="24" spans="2:32" ht="23.1" customHeight="1" x14ac:dyDescent="0.25">
      <c r="B24" s="23" t="s">
        <v>51</v>
      </c>
      <c r="C24" s="50">
        <v>5</v>
      </c>
      <c r="D24" s="50">
        <v>0</v>
      </c>
      <c r="E24" s="50">
        <v>4</v>
      </c>
      <c r="F24" s="50">
        <v>2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24</v>
      </c>
      <c r="N24" s="50">
        <v>0</v>
      </c>
      <c r="O24" s="15">
        <f t="shared" si="0"/>
        <v>12</v>
      </c>
      <c r="P24" s="15">
        <f t="shared" si="1"/>
        <v>36</v>
      </c>
      <c r="R24" s="38" t="s">
        <v>92</v>
      </c>
      <c r="S24" s="39">
        <f>MAX(S19:S21)</f>
        <v>30</v>
      </c>
      <c r="T24" s="39">
        <f t="shared" ref="T24:AF24" si="16">MAX(T19:T21)</f>
        <v>2</v>
      </c>
      <c r="U24" s="39">
        <f t="shared" si="16"/>
        <v>19</v>
      </c>
      <c r="V24" s="39">
        <f t="shared" si="16"/>
        <v>20</v>
      </c>
      <c r="W24" s="39">
        <f t="shared" si="16"/>
        <v>1</v>
      </c>
      <c r="X24" s="39">
        <f t="shared" si="16"/>
        <v>1</v>
      </c>
      <c r="Y24" s="39">
        <f t="shared" si="16"/>
        <v>11</v>
      </c>
      <c r="Z24" s="39">
        <f t="shared" si="16"/>
        <v>11</v>
      </c>
      <c r="AA24" s="39">
        <f t="shared" si="16"/>
        <v>10</v>
      </c>
      <c r="AB24" s="39">
        <f t="shared" si="16"/>
        <v>6</v>
      </c>
      <c r="AC24" s="39">
        <f t="shared" si="16"/>
        <v>213</v>
      </c>
      <c r="AD24" s="39">
        <f t="shared" si="16"/>
        <v>0</v>
      </c>
      <c r="AE24" s="40">
        <f t="shared" si="16"/>
        <v>90</v>
      </c>
      <c r="AF24" s="40">
        <f t="shared" si="16"/>
        <v>285</v>
      </c>
    </row>
    <row r="25" spans="2:32" ht="23.1" customHeight="1" x14ac:dyDescent="0.25">
      <c r="B25" s="23" t="s">
        <v>52</v>
      </c>
      <c r="C25" s="50">
        <v>8</v>
      </c>
      <c r="D25" s="50">
        <v>1</v>
      </c>
      <c r="E25" s="50">
        <v>5</v>
      </c>
      <c r="F25" s="50">
        <v>3</v>
      </c>
      <c r="G25" s="50">
        <v>0</v>
      </c>
      <c r="H25" s="50">
        <v>0</v>
      </c>
      <c r="I25" s="50">
        <v>2</v>
      </c>
      <c r="J25" s="50">
        <v>0</v>
      </c>
      <c r="K25" s="50">
        <v>1</v>
      </c>
      <c r="L25" s="50">
        <v>1</v>
      </c>
      <c r="M25" s="50">
        <v>40</v>
      </c>
      <c r="N25" s="50">
        <v>0</v>
      </c>
      <c r="O25" s="15">
        <f t="shared" si="0"/>
        <v>21</v>
      </c>
      <c r="P25" s="15">
        <f t="shared" si="1"/>
        <v>61</v>
      </c>
      <c r="R25" s="37" t="s">
        <v>85</v>
      </c>
      <c r="S25" s="35">
        <f t="shared" ref="S25:AF25" si="17">SUM(S10:S12)</f>
        <v>31</v>
      </c>
      <c r="T25" s="16">
        <f t="shared" si="17"/>
        <v>1</v>
      </c>
      <c r="U25" s="16">
        <f t="shared" si="17"/>
        <v>30</v>
      </c>
      <c r="V25" s="16">
        <f t="shared" si="17"/>
        <v>36</v>
      </c>
      <c r="W25" s="16">
        <f t="shared" si="17"/>
        <v>0</v>
      </c>
      <c r="X25" s="16">
        <f t="shared" si="17"/>
        <v>1</v>
      </c>
      <c r="Y25" s="16">
        <f t="shared" si="17"/>
        <v>5</v>
      </c>
      <c r="Z25" s="16">
        <f t="shared" si="17"/>
        <v>4</v>
      </c>
      <c r="AA25" s="16">
        <f t="shared" si="17"/>
        <v>38</v>
      </c>
      <c r="AB25" s="16">
        <f t="shared" si="17"/>
        <v>6</v>
      </c>
      <c r="AC25" s="16">
        <f t="shared" si="17"/>
        <v>332</v>
      </c>
      <c r="AD25" s="16">
        <f t="shared" si="17"/>
        <v>0</v>
      </c>
      <c r="AE25" s="32">
        <f t="shared" si="17"/>
        <v>152</v>
      </c>
      <c r="AF25" s="32">
        <f t="shared" si="17"/>
        <v>484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4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2</v>
      </c>
      <c r="M26" s="50">
        <v>32</v>
      </c>
      <c r="N26" s="50">
        <v>0</v>
      </c>
      <c r="O26" s="15">
        <f t="shared" si="0"/>
        <v>12</v>
      </c>
      <c r="P26" s="15">
        <f t="shared" si="1"/>
        <v>44</v>
      </c>
      <c r="R26" s="28" t="s">
        <v>86</v>
      </c>
      <c r="S26" s="16">
        <f t="shared" ref="S26:AF26" si="18">SUM(S13:S18)</f>
        <v>104</v>
      </c>
      <c r="T26" s="16">
        <f t="shared" si="18"/>
        <v>6</v>
      </c>
      <c r="U26" s="16">
        <f t="shared" si="18"/>
        <v>87</v>
      </c>
      <c r="V26" s="16">
        <f t="shared" si="18"/>
        <v>73</v>
      </c>
      <c r="W26" s="16">
        <f t="shared" si="18"/>
        <v>0</v>
      </c>
      <c r="X26" s="16">
        <f t="shared" si="18"/>
        <v>0</v>
      </c>
      <c r="Y26" s="16">
        <f t="shared" si="18"/>
        <v>38</v>
      </c>
      <c r="Z26" s="16">
        <f t="shared" si="18"/>
        <v>13</v>
      </c>
      <c r="AA26" s="16">
        <f t="shared" si="18"/>
        <v>38</v>
      </c>
      <c r="AB26" s="16">
        <f t="shared" si="18"/>
        <v>37</v>
      </c>
      <c r="AC26" s="16">
        <f t="shared" si="18"/>
        <v>942</v>
      </c>
      <c r="AD26" s="16">
        <f t="shared" si="18"/>
        <v>1</v>
      </c>
      <c r="AE26" s="32">
        <f t="shared" si="18"/>
        <v>397</v>
      </c>
      <c r="AF26" s="32">
        <f t="shared" si="18"/>
        <v>1339</v>
      </c>
    </row>
    <row r="27" spans="2:32" ht="23.1" customHeight="1" x14ac:dyDescent="0.25">
      <c r="B27" s="23" t="s">
        <v>54</v>
      </c>
      <c r="C27" s="50">
        <v>6</v>
      </c>
      <c r="D27" s="50">
        <v>1</v>
      </c>
      <c r="E27" s="50">
        <v>5</v>
      </c>
      <c r="F27" s="50">
        <v>2</v>
      </c>
      <c r="G27" s="50">
        <v>0</v>
      </c>
      <c r="H27" s="50">
        <v>0</v>
      </c>
      <c r="I27" s="50">
        <v>2</v>
      </c>
      <c r="J27" s="50">
        <v>0</v>
      </c>
      <c r="K27" s="50">
        <v>1</v>
      </c>
      <c r="L27" s="50">
        <v>4</v>
      </c>
      <c r="M27" s="50">
        <v>54</v>
      </c>
      <c r="N27" s="50">
        <v>0</v>
      </c>
      <c r="O27" s="15">
        <f t="shared" si="0"/>
        <v>21</v>
      </c>
      <c r="P27" s="15">
        <f t="shared" si="1"/>
        <v>75</v>
      </c>
      <c r="R27" s="29" t="s">
        <v>87</v>
      </c>
      <c r="S27" s="16">
        <f t="shared" ref="S27:AF27" si="19">SUM(S19:S21)</f>
        <v>54</v>
      </c>
      <c r="T27" s="16">
        <f t="shared" si="19"/>
        <v>4</v>
      </c>
      <c r="U27" s="16">
        <f t="shared" si="19"/>
        <v>46</v>
      </c>
      <c r="V27" s="16">
        <f t="shared" si="19"/>
        <v>51</v>
      </c>
      <c r="W27" s="16">
        <f t="shared" si="19"/>
        <v>1</v>
      </c>
      <c r="X27" s="16">
        <f t="shared" si="19"/>
        <v>1</v>
      </c>
      <c r="Y27" s="16">
        <f t="shared" si="19"/>
        <v>26</v>
      </c>
      <c r="Z27" s="16">
        <f t="shared" si="19"/>
        <v>18</v>
      </c>
      <c r="AA27" s="16">
        <f t="shared" si="19"/>
        <v>22</v>
      </c>
      <c r="AB27" s="16">
        <f t="shared" si="19"/>
        <v>15</v>
      </c>
      <c r="AC27" s="16">
        <f t="shared" si="19"/>
        <v>559</v>
      </c>
      <c r="AD27" s="16">
        <f t="shared" si="19"/>
        <v>0</v>
      </c>
      <c r="AE27" s="32">
        <f t="shared" si="19"/>
        <v>238</v>
      </c>
      <c r="AF27" s="32">
        <f t="shared" si="19"/>
        <v>797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2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1</v>
      </c>
      <c r="L28" s="50">
        <v>0</v>
      </c>
      <c r="M28" s="50">
        <v>28</v>
      </c>
      <c r="N28" s="50">
        <v>0</v>
      </c>
      <c r="O28" s="15">
        <f t="shared" si="0"/>
        <v>6</v>
      </c>
      <c r="P28" s="15">
        <f t="shared" si="1"/>
        <v>34</v>
      </c>
      <c r="R28" s="5" t="s">
        <v>17</v>
      </c>
      <c r="S28" s="16">
        <f t="shared" ref="S28:AF28" si="20">SUM(S10:S21)</f>
        <v>189</v>
      </c>
      <c r="T28" s="16">
        <f t="shared" si="20"/>
        <v>11</v>
      </c>
      <c r="U28" s="16">
        <f t="shared" si="20"/>
        <v>163</v>
      </c>
      <c r="V28" s="16">
        <f t="shared" si="20"/>
        <v>160</v>
      </c>
      <c r="W28" s="16">
        <f t="shared" si="20"/>
        <v>1</v>
      </c>
      <c r="X28" s="16">
        <f t="shared" si="20"/>
        <v>2</v>
      </c>
      <c r="Y28" s="16">
        <f t="shared" si="20"/>
        <v>69</v>
      </c>
      <c r="Z28" s="16">
        <f t="shared" si="20"/>
        <v>35</v>
      </c>
      <c r="AA28" s="16">
        <f t="shared" si="20"/>
        <v>98</v>
      </c>
      <c r="AB28" s="16">
        <f t="shared" si="20"/>
        <v>58</v>
      </c>
      <c r="AC28" s="16">
        <f t="shared" si="20"/>
        <v>1833</v>
      </c>
      <c r="AD28" s="16">
        <f t="shared" si="20"/>
        <v>1</v>
      </c>
      <c r="AE28" s="32">
        <f t="shared" si="20"/>
        <v>787</v>
      </c>
      <c r="AF28" s="32">
        <f t="shared" si="20"/>
        <v>2620</v>
      </c>
    </row>
    <row r="29" spans="2:32" ht="23.1" customHeight="1" x14ac:dyDescent="0.25">
      <c r="B29" s="23" t="s">
        <v>56</v>
      </c>
      <c r="C29" s="50">
        <v>4</v>
      </c>
      <c r="D29" s="50">
        <v>0</v>
      </c>
      <c r="E29" s="50">
        <v>4</v>
      </c>
      <c r="F29" s="50">
        <v>1</v>
      </c>
      <c r="G29" s="50">
        <v>0</v>
      </c>
      <c r="H29" s="50">
        <v>0</v>
      </c>
      <c r="I29" s="50">
        <v>1</v>
      </c>
      <c r="J29" s="50">
        <v>2</v>
      </c>
      <c r="K29" s="50">
        <v>2</v>
      </c>
      <c r="L29" s="50">
        <v>0</v>
      </c>
      <c r="M29" s="50">
        <v>46</v>
      </c>
      <c r="N29" s="50">
        <v>0</v>
      </c>
      <c r="O29" s="15">
        <f t="shared" si="0"/>
        <v>14</v>
      </c>
      <c r="P29" s="15">
        <f t="shared" si="1"/>
        <v>60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2</v>
      </c>
      <c r="G30" s="50">
        <v>0</v>
      </c>
      <c r="H30" s="50">
        <v>0</v>
      </c>
      <c r="I30" s="50">
        <v>1</v>
      </c>
      <c r="J30" s="50">
        <v>0</v>
      </c>
      <c r="K30" s="50">
        <v>2</v>
      </c>
      <c r="L30" s="50">
        <v>0</v>
      </c>
      <c r="M30" s="50">
        <v>29</v>
      </c>
      <c r="N30" s="50">
        <v>0</v>
      </c>
      <c r="O30" s="15">
        <f t="shared" si="0"/>
        <v>6</v>
      </c>
      <c r="P30" s="15">
        <f t="shared" si="1"/>
        <v>35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1</v>
      </c>
      <c r="F31" s="50">
        <v>4</v>
      </c>
      <c r="G31" s="50">
        <v>0</v>
      </c>
      <c r="H31" s="50">
        <v>0</v>
      </c>
      <c r="I31" s="50">
        <v>2</v>
      </c>
      <c r="J31" s="50">
        <v>0</v>
      </c>
      <c r="K31" s="50">
        <v>4</v>
      </c>
      <c r="L31" s="50">
        <v>1</v>
      </c>
      <c r="M31" s="50">
        <v>48</v>
      </c>
      <c r="N31" s="50">
        <v>0</v>
      </c>
      <c r="O31" s="15">
        <f t="shared" si="0"/>
        <v>14</v>
      </c>
      <c r="P31" s="15">
        <f t="shared" si="1"/>
        <v>62</v>
      </c>
    </row>
    <row r="32" spans="2:32" ht="23.1" customHeight="1" x14ac:dyDescent="0.25">
      <c r="B32" s="24" t="s">
        <v>59</v>
      </c>
      <c r="C32" s="50">
        <v>4</v>
      </c>
      <c r="D32" s="50">
        <v>0</v>
      </c>
      <c r="E32" s="50">
        <v>2</v>
      </c>
      <c r="F32" s="50">
        <v>5</v>
      </c>
      <c r="G32" s="50">
        <v>0</v>
      </c>
      <c r="H32" s="50">
        <v>0</v>
      </c>
      <c r="I32" s="50">
        <v>2</v>
      </c>
      <c r="J32" s="50">
        <v>0</v>
      </c>
      <c r="K32" s="50">
        <v>2</v>
      </c>
      <c r="L32" s="50">
        <v>3</v>
      </c>
      <c r="M32" s="50">
        <v>34</v>
      </c>
      <c r="N32" s="50">
        <v>0</v>
      </c>
      <c r="O32" s="15">
        <f t="shared" si="0"/>
        <v>18</v>
      </c>
      <c r="P32" s="15">
        <f t="shared" si="1"/>
        <v>52</v>
      </c>
    </row>
    <row r="33" spans="2:20" ht="23.1" customHeight="1" x14ac:dyDescent="0.25">
      <c r="B33" s="23" t="s">
        <v>60</v>
      </c>
      <c r="C33" s="50">
        <v>6</v>
      </c>
      <c r="D33" s="50">
        <v>0</v>
      </c>
      <c r="E33" s="50">
        <v>4</v>
      </c>
      <c r="F33" s="50">
        <v>8</v>
      </c>
      <c r="G33" s="50">
        <v>0</v>
      </c>
      <c r="H33" s="50">
        <v>0</v>
      </c>
      <c r="I33" s="50">
        <v>3</v>
      </c>
      <c r="J33" s="50">
        <v>0</v>
      </c>
      <c r="K33" s="50">
        <v>3</v>
      </c>
      <c r="L33" s="50">
        <v>4</v>
      </c>
      <c r="M33" s="50">
        <v>57</v>
      </c>
      <c r="N33" s="50">
        <v>1</v>
      </c>
      <c r="O33" s="15">
        <f t="shared" si="0"/>
        <v>29</v>
      </c>
      <c r="P33" s="15">
        <f t="shared" si="1"/>
        <v>86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5</v>
      </c>
      <c r="F34" s="50">
        <v>2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2</v>
      </c>
      <c r="M34" s="50">
        <v>27</v>
      </c>
      <c r="N34" s="50">
        <v>0</v>
      </c>
      <c r="O34" s="15">
        <f t="shared" si="0"/>
        <v>13</v>
      </c>
      <c r="P34" s="15">
        <f t="shared" si="1"/>
        <v>40</v>
      </c>
    </row>
    <row r="35" spans="2:20" ht="23.1" customHeight="1" x14ac:dyDescent="0.25">
      <c r="B35" s="24" t="s">
        <v>62</v>
      </c>
      <c r="C35" s="50">
        <v>3</v>
      </c>
      <c r="D35" s="50">
        <v>1</v>
      </c>
      <c r="E35" s="50">
        <v>7</v>
      </c>
      <c r="F35" s="50">
        <v>4</v>
      </c>
      <c r="G35" s="50">
        <v>0</v>
      </c>
      <c r="H35" s="50">
        <v>0</v>
      </c>
      <c r="I35" s="50">
        <v>4</v>
      </c>
      <c r="J35" s="50">
        <v>0</v>
      </c>
      <c r="K35" s="50">
        <v>0</v>
      </c>
      <c r="L35" s="50">
        <v>3</v>
      </c>
      <c r="M35" s="50">
        <v>45</v>
      </c>
      <c r="N35" s="50">
        <v>0</v>
      </c>
      <c r="O35" s="15">
        <f t="shared" si="0"/>
        <v>22</v>
      </c>
      <c r="P35" s="15">
        <f t="shared" si="1"/>
        <v>67</v>
      </c>
    </row>
    <row r="36" spans="2:20" ht="23.1" customHeight="1" x14ac:dyDescent="0.25">
      <c r="B36" s="24" t="s">
        <v>63</v>
      </c>
      <c r="C36" s="50">
        <v>5</v>
      </c>
      <c r="D36" s="50">
        <v>0</v>
      </c>
      <c r="E36" s="50">
        <v>4</v>
      </c>
      <c r="F36" s="50">
        <v>2</v>
      </c>
      <c r="G36" s="50">
        <v>0</v>
      </c>
      <c r="H36" s="50">
        <v>0</v>
      </c>
      <c r="I36" s="50">
        <v>2</v>
      </c>
      <c r="J36" s="50">
        <v>2</v>
      </c>
      <c r="K36" s="50">
        <v>0</v>
      </c>
      <c r="L36" s="50">
        <v>0</v>
      </c>
      <c r="M36" s="50">
        <v>31</v>
      </c>
      <c r="N36" s="50">
        <v>0</v>
      </c>
      <c r="O36" s="15">
        <f t="shared" si="0"/>
        <v>15</v>
      </c>
      <c r="P36" s="15">
        <f t="shared" si="1"/>
        <v>46</v>
      </c>
    </row>
    <row r="37" spans="2:20" ht="23.1" customHeight="1" x14ac:dyDescent="0.25">
      <c r="B37" s="23" t="s">
        <v>64</v>
      </c>
      <c r="C37" s="50">
        <v>9</v>
      </c>
      <c r="D37" s="50">
        <v>1</v>
      </c>
      <c r="E37" s="50">
        <v>5</v>
      </c>
      <c r="F37" s="50">
        <v>4</v>
      </c>
      <c r="G37" s="50">
        <v>0</v>
      </c>
      <c r="H37" s="50">
        <v>0</v>
      </c>
      <c r="I37" s="50">
        <v>3</v>
      </c>
      <c r="J37" s="50">
        <v>4</v>
      </c>
      <c r="K37" s="50">
        <v>1</v>
      </c>
      <c r="L37" s="50">
        <v>1</v>
      </c>
      <c r="M37" s="50">
        <v>52</v>
      </c>
      <c r="N37" s="50">
        <v>0</v>
      </c>
      <c r="O37" s="15">
        <f t="shared" si="0"/>
        <v>28</v>
      </c>
      <c r="P37" s="15">
        <f t="shared" si="1"/>
        <v>80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2</v>
      </c>
      <c r="F38" s="50">
        <v>5</v>
      </c>
      <c r="G38" s="50">
        <v>0</v>
      </c>
      <c r="H38" s="50">
        <v>0</v>
      </c>
      <c r="I38" s="50">
        <v>2</v>
      </c>
      <c r="J38" s="50">
        <v>0</v>
      </c>
      <c r="K38" s="50">
        <v>2</v>
      </c>
      <c r="L38" s="50">
        <v>0</v>
      </c>
      <c r="M38" s="50">
        <v>25</v>
      </c>
      <c r="N38" s="50">
        <v>0</v>
      </c>
      <c r="O38" s="15">
        <f t="shared" si="0"/>
        <v>16</v>
      </c>
      <c r="P38" s="15">
        <f t="shared" si="1"/>
        <v>41</v>
      </c>
    </row>
    <row r="39" spans="2:20" ht="23.1" customHeight="1" x14ac:dyDescent="0.25">
      <c r="B39" s="24" t="s">
        <v>66</v>
      </c>
      <c r="C39" s="50">
        <v>8</v>
      </c>
      <c r="D39" s="50">
        <v>0</v>
      </c>
      <c r="E39" s="50">
        <v>3</v>
      </c>
      <c r="F39" s="50">
        <v>8</v>
      </c>
      <c r="G39" s="50">
        <v>0</v>
      </c>
      <c r="H39" s="50">
        <v>0</v>
      </c>
      <c r="I39" s="50">
        <v>3</v>
      </c>
      <c r="J39" s="50">
        <v>0</v>
      </c>
      <c r="K39" s="50">
        <v>3</v>
      </c>
      <c r="L39" s="50">
        <v>1</v>
      </c>
      <c r="M39" s="50">
        <v>42</v>
      </c>
      <c r="N39" s="50">
        <v>0</v>
      </c>
      <c r="O39" s="15">
        <f t="shared" si="0"/>
        <v>26</v>
      </c>
      <c r="P39" s="15">
        <f t="shared" si="1"/>
        <v>68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2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1</v>
      </c>
      <c r="L40" s="50">
        <v>0</v>
      </c>
      <c r="M40" s="50">
        <v>14</v>
      </c>
      <c r="N40" s="50">
        <v>0</v>
      </c>
      <c r="O40" s="15">
        <f t="shared" si="0"/>
        <v>6</v>
      </c>
      <c r="P40" s="15">
        <f t="shared" si="1"/>
        <v>20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4</v>
      </c>
      <c r="F41" s="50">
        <v>3</v>
      </c>
      <c r="G41" s="50">
        <v>0</v>
      </c>
      <c r="H41" s="50">
        <v>0</v>
      </c>
      <c r="I41" s="50">
        <v>0</v>
      </c>
      <c r="J41" s="50">
        <v>1</v>
      </c>
      <c r="K41" s="50">
        <v>2</v>
      </c>
      <c r="L41" s="50">
        <v>1</v>
      </c>
      <c r="M41" s="50">
        <v>24</v>
      </c>
      <c r="N41" s="50">
        <v>0</v>
      </c>
      <c r="O41" s="15">
        <f t="shared" si="0"/>
        <v>13</v>
      </c>
      <c r="P41" s="15">
        <f t="shared" si="1"/>
        <v>37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2</v>
      </c>
      <c r="F42" s="50">
        <v>2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2</v>
      </c>
      <c r="M42" s="50">
        <v>32</v>
      </c>
      <c r="N42" s="50">
        <v>0</v>
      </c>
      <c r="O42" s="15">
        <f t="shared" si="0"/>
        <v>11</v>
      </c>
      <c r="P42" s="15">
        <f t="shared" si="1"/>
        <v>43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3</v>
      </c>
      <c r="F43" s="50">
        <v>4</v>
      </c>
      <c r="G43" s="50">
        <v>0</v>
      </c>
      <c r="H43" s="50">
        <v>0</v>
      </c>
      <c r="I43" s="50">
        <v>3</v>
      </c>
      <c r="J43" s="50">
        <v>2</v>
      </c>
      <c r="K43" s="50">
        <v>0</v>
      </c>
      <c r="L43" s="50">
        <v>3</v>
      </c>
      <c r="M43" s="50">
        <v>54</v>
      </c>
      <c r="N43" s="50">
        <v>0</v>
      </c>
      <c r="O43" s="15">
        <f t="shared" si="0"/>
        <v>19</v>
      </c>
      <c r="P43" s="15">
        <f t="shared" si="1"/>
        <v>73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5</v>
      </c>
      <c r="F44" s="50">
        <v>2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1</v>
      </c>
      <c r="M44" s="50">
        <v>37</v>
      </c>
      <c r="N44" s="50">
        <v>0</v>
      </c>
      <c r="O44" s="15">
        <f t="shared" si="0"/>
        <v>12</v>
      </c>
      <c r="P44" s="15">
        <f t="shared" si="1"/>
        <v>49</v>
      </c>
    </row>
    <row r="45" spans="2:20" ht="23.1" customHeight="1" x14ac:dyDescent="0.25">
      <c r="B45" s="23" t="s">
        <v>72</v>
      </c>
      <c r="C45" s="50">
        <v>6</v>
      </c>
      <c r="D45" s="50">
        <v>1</v>
      </c>
      <c r="E45" s="50">
        <v>7</v>
      </c>
      <c r="F45" s="50">
        <v>3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2</v>
      </c>
      <c r="M45" s="50">
        <v>61</v>
      </c>
      <c r="N45" s="50">
        <v>0</v>
      </c>
      <c r="O45" s="15">
        <f t="shared" si="0"/>
        <v>20</v>
      </c>
      <c r="P45" s="15">
        <f t="shared" si="1"/>
        <v>81</v>
      </c>
    </row>
    <row r="46" spans="2:20" ht="23.1" customHeight="1" x14ac:dyDescent="0.25">
      <c r="B46" s="24" t="s">
        <v>73</v>
      </c>
      <c r="C46" s="50">
        <v>4</v>
      </c>
      <c r="D46" s="50">
        <v>0</v>
      </c>
      <c r="E46" s="50">
        <v>4</v>
      </c>
      <c r="F46" s="50">
        <v>2</v>
      </c>
      <c r="G46" s="50">
        <v>0</v>
      </c>
      <c r="H46" s="50">
        <v>0</v>
      </c>
      <c r="I46" s="50">
        <v>2</v>
      </c>
      <c r="J46" s="50">
        <v>2</v>
      </c>
      <c r="K46" s="50">
        <v>1</v>
      </c>
      <c r="L46" s="50">
        <v>1</v>
      </c>
      <c r="M46" s="50">
        <v>32</v>
      </c>
      <c r="N46" s="50">
        <v>0</v>
      </c>
      <c r="O46" s="15">
        <f t="shared" si="0"/>
        <v>16</v>
      </c>
      <c r="P46" s="15">
        <f t="shared" si="1"/>
        <v>48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1</v>
      </c>
      <c r="E47" s="50">
        <v>5</v>
      </c>
      <c r="F47" s="50">
        <v>4</v>
      </c>
      <c r="G47" s="50">
        <v>1</v>
      </c>
      <c r="H47" s="50">
        <v>0</v>
      </c>
      <c r="I47" s="50">
        <v>4</v>
      </c>
      <c r="J47" s="50">
        <v>4</v>
      </c>
      <c r="K47" s="50">
        <v>2</v>
      </c>
      <c r="L47" s="50">
        <v>2</v>
      </c>
      <c r="M47" s="50">
        <v>53</v>
      </c>
      <c r="N47" s="50">
        <v>0</v>
      </c>
      <c r="O47" s="15">
        <f t="shared" si="0"/>
        <v>29</v>
      </c>
      <c r="P47" s="15">
        <f t="shared" si="1"/>
        <v>82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4</v>
      </c>
      <c r="F48" s="50">
        <v>3</v>
      </c>
      <c r="G48" s="50">
        <v>0</v>
      </c>
      <c r="H48" s="50">
        <v>0</v>
      </c>
      <c r="I48" s="50">
        <v>2</v>
      </c>
      <c r="J48" s="50">
        <v>2</v>
      </c>
      <c r="K48" s="50">
        <v>0</v>
      </c>
      <c r="L48" s="50">
        <v>0</v>
      </c>
      <c r="M48" s="50">
        <v>25</v>
      </c>
      <c r="N48" s="50">
        <v>0</v>
      </c>
      <c r="O48" s="15">
        <f t="shared" si="0"/>
        <v>13</v>
      </c>
      <c r="P48" s="15">
        <f t="shared" si="1"/>
        <v>38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1</v>
      </c>
      <c r="E49" s="50">
        <v>6</v>
      </c>
      <c r="F49" s="50">
        <v>5</v>
      </c>
      <c r="G49" s="50">
        <v>0</v>
      </c>
      <c r="H49" s="50">
        <v>0</v>
      </c>
      <c r="I49" s="50">
        <v>3</v>
      </c>
      <c r="J49" s="50">
        <v>3</v>
      </c>
      <c r="K49" s="50">
        <v>0</v>
      </c>
      <c r="L49" s="50">
        <v>1</v>
      </c>
      <c r="M49" s="50">
        <v>41</v>
      </c>
      <c r="N49" s="50">
        <v>0</v>
      </c>
      <c r="O49" s="15">
        <f t="shared" si="0"/>
        <v>23</v>
      </c>
      <c r="P49" s="15">
        <f t="shared" si="1"/>
        <v>64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3</v>
      </c>
      <c r="F50" s="50">
        <v>5</v>
      </c>
      <c r="G50" s="50">
        <v>0</v>
      </c>
      <c r="H50" s="50">
        <v>0</v>
      </c>
      <c r="I50" s="50">
        <v>1</v>
      </c>
      <c r="J50" s="50">
        <v>2</v>
      </c>
      <c r="K50" s="50">
        <v>2</v>
      </c>
      <c r="L50" s="50">
        <v>2</v>
      </c>
      <c r="M50" s="50">
        <v>48</v>
      </c>
      <c r="N50" s="50">
        <v>0</v>
      </c>
      <c r="O50" s="15">
        <f t="shared" si="0"/>
        <v>16</v>
      </c>
      <c r="P50" s="15">
        <f t="shared" si="1"/>
        <v>64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1</v>
      </c>
      <c r="E51" s="50">
        <v>4</v>
      </c>
      <c r="F51" s="50">
        <v>9</v>
      </c>
      <c r="G51" s="50">
        <v>0</v>
      </c>
      <c r="H51" s="50">
        <v>0</v>
      </c>
      <c r="I51" s="50">
        <v>2</v>
      </c>
      <c r="J51" s="50">
        <v>4</v>
      </c>
      <c r="K51" s="50">
        <v>3</v>
      </c>
      <c r="L51" s="50">
        <v>3</v>
      </c>
      <c r="M51" s="50">
        <v>80</v>
      </c>
      <c r="N51" s="50">
        <v>0</v>
      </c>
      <c r="O51" s="15">
        <f t="shared" si="0"/>
        <v>28</v>
      </c>
      <c r="P51" s="15">
        <f t="shared" si="1"/>
        <v>108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2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2</v>
      </c>
      <c r="L52" s="50">
        <v>0</v>
      </c>
      <c r="M52" s="50">
        <v>32</v>
      </c>
      <c r="N52" s="50">
        <v>0</v>
      </c>
      <c r="O52" s="15">
        <f t="shared" si="0"/>
        <v>8</v>
      </c>
      <c r="P52" s="15">
        <f t="shared" si="1"/>
        <v>40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4</v>
      </c>
      <c r="F53" s="50">
        <v>2</v>
      </c>
      <c r="G53" s="50">
        <v>0</v>
      </c>
      <c r="H53" s="50">
        <v>0</v>
      </c>
      <c r="I53" s="50">
        <v>2</v>
      </c>
      <c r="J53" s="50">
        <v>1</v>
      </c>
      <c r="K53" s="50">
        <v>3</v>
      </c>
      <c r="L53" s="50">
        <v>0</v>
      </c>
      <c r="M53" s="50">
        <v>53</v>
      </c>
      <c r="N53" s="50">
        <v>0</v>
      </c>
      <c r="O53" s="15">
        <f t="shared" si="0"/>
        <v>15</v>
      </c>
      <c r="P53" s="15">
        <f t="shared" si="1"/>
        <v>68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0</v>
      </c>
      <c r="F54" s="50">
        <v>4</v>
      </c>
      <c r="G54" s="50">
        <v>0</v>
      </c>
      <c r="H54" s="50">
        <v>0</v>
      </c>
      <c r="I54" s="50">
        <v>2</v>
      </c>
      <c r="J54" s="50">
        <v>0</v>
      </c>
      <c r="K54" s="50">
        <v>1</v>
      </c>
      <c r="L54" s="50">
        <v>1</v>
      </c>
      <c r="M54" s="50">
        <v>40</v>
      </c>
      <c r="N54" s="50">
        <v>0</v>
      </c>
      <c r="O54" s="15">
        <f t="shared" si="0"/>
        <v>12</v>
      </c>
      <c r="P54" s="15">
        <f t="shared" si="1"/>
        <v>52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0</v>
      </c>
      <c r="E55" s="50">
        <v>1</v>
      </c>
      <c r="F55" s="50">
        <v>6</v>
      </c>
      <c r="G55" s="50">
        <v>0</v>
      </c>
      <c r="H55" s="50">
        <v>0</v>
      </c>
      <c r="I55" s="50">
        <v>4</v>
      </c>
      <c r="J55" s="50">
        <v>0</v>
      </c>
      <c r="K55" s="50">
        <v>2</v>
      </c>
      <c r="L55" s="50">
        <v>2</v>
      </c>
      <c r="M55" s="50">
        <v>67</v>
      </c>
      <c r="N55" s="50">
        <v>0</v>
      </c>
      <c r="O55" s="15">
        <f t="shared" si="0"/>
        <v>22</v>
      </c>
      <c r="P55" s="15">
        <f t="shared" si="1"/>
        <v>89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0</v>
      </c>
      <c r="E56" s="50">
        <v>5</v>
      </c>
      <c r="F56" s="50">
        <v>4</v>
      </c>
      <c r="G56" s="50">
        <v>0</v>
      </c>
      <c r="H56" s="50">
        <v>0</v>
      </c>
      <c r="I56" s="50">
        <v>1</v>
      </c>
      <c r="J56" s="50">
        <v>0</v>
      </c>
      <c r="K56" s="50">
        <v>2</v>
      </c>
      <c r="L56" s="50">
        <v>1</v>
      </c>
      <c r="M56" s="50">
        <v>33</v>
      </c>
      <c r="N56" s="50">
        <v>0</v>
      </c>
      <c r="O56" s="15">
        <f t="shared" si="0"/>
        <v>20</v>
      </c>
      <c r="P56" s="15">
        <f t="shared" si="1"/>
        <v>53</v>
      </c>
      <c r="R56" s="8"/>
      <c r="T56"/>
    </row>
    <row r="57" spans="2:20" ht="23.1" customHeight="1" x14ac:dyDescent="0.25">
      <c r="B57" s="23" t="s">
        <v>84</v>
      </c>
      <c r="C57" s="50">
        <v>12</v>
      </c>
      <c r="D57" s="50">
        <v>1</v>
      </c>
      <c r="E57" s="50">
        <v>8</v>
      </c>
      <c r="F57" s="50">
        <v>6</v>
      </c>
      <c r="G57" s="50">
        <v>0</v>
      </c>
      <c r="H57" s="50">
        <v>1</v>
      </c>
      <c r="I57" s="50">
        <v>2</v>
      </c>
      <c r="J57" s="50">
        <v>0</v>
      </c>
      <c r="K57" s="50">
        <v>4</v>
      </c>
      <c r="L57" s="50">
        <v>2</v>
      </c>
      <c r="M57" s="50">
        <v>55</v>
      </c>
      <c r="N57" s="50">
        <v>0</v>
      </c>
      <c r="O57" s="15">
        <f t="shared" si="0"/>
        <v>36</v>
      </c>
      <c r="P57" s="15">
        <f t="shared" si="1"/>
        <v>91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189</v>
      </c>
      <c r="D58" s="16">
        <f t="shared" si="21"/>
        <v>11</v>
      </c>
      <c r="E58" s="16">
        <f t="shared" si="21"/>
        <v>163</v>
      </c>
      <c r="F58" s="16">
        <f t="shared" si="21"/>
        <v>160</v>
      </c>
      <c r="G58" s="16">
        <f t="shared" si="21"/>
        <v>1</v>
      </c>
      <c r="H58" s="16">
        <f t="shared" si="21"/>
        <v>2</v>
      </c>
      <c r="I58" s="16">
        <f t="shared" si="21"/>
        <v>69</v>
      </c>
      <c r="J58" s="16">
        <f t="shared" si="21"/>
        <v>35</v>
      </c>
      <c r="K58" s="16">
        <f t="shared" si="21"/>
        <v>98</v>
      </c>
      <c r="L58" s="16">
        <f t="shared" si="21"/>
        <v>58</v>
      </c>
      <c r="M58" s="16">
        <f t="shared" si="21"/>
        <v>1833</v>
      </c>
      <c r="N58" s="16">
        <f t="shared" si="21"/>
        <v>1</v>
      </c>
      <c r="O58" s="16">
        <f t="shared" si="21"/>
        <v>787</v>
      </c>
      <c r="P58" s="16">
        <f t="shared" si="21"/>
        <v>2620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7.2137404580152678E-2</v>
      </c>
      <c r="D59" s="43">
        <f t="shared" si="22"/>
        <v>4.1984732824427483E-3</v>
      </c>
      <c r="E59" s="43">
        <f t="shared" si="22"/>
        <v>6.2213740458015268E-2</v>
      </c>
      <c r="F59" s="43">
        <f t="shared" si="22"/>
        <v>6.1068702290076333E-2</v>
      </c>
      <c r="G59" s="43">
        <f t="shared" si="22"/>
        <v>3.816793893129771E-4</v>
      </c>
      <c r="H59" s="43">
        <f t="shared" si="22"/>
        <v>7.6335877862595419E-4</v>
      </c>
      <c r="I59" s="43">
        <f t="shared" si="22"/>
        <v>2.6335877862595419E-2</v>
      </c>
      <c r="J59" s="43">
        <f t="shared" si="22"/>
        <v>1.3358778625954198E-2</v>
      </c>
      <c r="K59" s="43">
        <f t="shared" si="22"/>
        <v>3.7404580152671757E-2</v>
      </c>
      <c r="L59" s="43">
        <f t="shared" si="22"/>
        <v>2.2137404580152672E-2</v>
      </c>
      <c r="M59" s="43">
        <f t="shared" si="22"/>
        <v>0.69961832061068707</v>
      </c>
      <c r="N59" s="43">
        <f t="shared" si="22"/>
        <v>3.816793893129771E-4</v>
      </c>
      <c r="R59" s="8"/>
      <c r="T59"/>
    </row>
    <row r="60" spans="2:20" ht="23.1" customHeight="1" x14ac:dyDescent="0.25">
      <c r="B60" s="42" t="s">
        <v>94</v>
      </c>
      <c r="C60" s="44">
        <f>C58/$O$58</f>
        <v>0.24015247776365947</v>
      </c>
      <c r="D60" s="44">
        <f t="shared" ref="D60:N60" si="23">D58/$O$58</f>
        <v>1.397712833545108E-2</v>
      </c>
      <c r="E60" s="44">
        <f t="shared" si="23"/>
        <v>0.2071156289707751</v>
      </c>
      <c r="F60" s="44">
        <f t="shared" si="23"/>
        <v>0.20330368487928843</v>
      </c>
      <c r="G60" s="44">
        <f t="shared" si="23"/>
        <v>1.2706480304955528E-3</v>
      </c>
      <c r="H60" s="44">
        <f t="shared" si="23"/>
        <v>2.5412960609911056E-3</v>
      </c>
      <c r="I60" s="44">
        <f t="shared" si="23"/>
        <v>8.7674714104193141E-2</v>
      </c>
      <c r="J60" s="44">
        <f t="shared" si="23"/>
        <v>4.4472681067344345E-2</v>
      </c>
      <c r="K60" s="44">
        <f t="shared" si="23"/>
        <v>0.12452350698856417</v>
      </c>
      <c r="L60" s="44">
        <f t="shared" si="23"/>
        <v>7.3697585768742052E-2</v>
      </c>
      <c r="M60" s="44"/>
      <c r="N60" s="44">
        <f t="shared" si="23"/>
        <v>1.2706480304955528E-3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26"/>
  <sheetViews>
    <sheetView view="pageBreakPreview" zoomScale="60" workbookViewId="0">
      <selection activeCell="L58" sqref="L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'09.09 Katungulu-Ishaka'!C3:G3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'10.09 Ishaka-Katungulu'!D5</f>
        <v>10.09.19</v>
      </c>
      <c r="E5" s="3"/>
      <c r="F5" s="41" t="s">
        <v>1</v>
      </c>
      <c r="G5" s="56" t="str">
        <f>'09.09 Ishaka-Katungulu'!G5:H5</f>
        <v>Rubirizi</v>
      </c>
      <c r="H5" s="57"/>
      <c r="I5" s="14"/>
      <c r="J5" s="2" t="s">
        <v>5</v>
      </c>
      <c r="K5" s="56" t="str">
        <f>'09.09 Ishaka-Katungulu'!K5:L5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'09.09 Katungulu-Ishaka'!D6:E6</f>
        <v>Katungulu</v>
      </c>
      <c r="E6" s="57"/>
      <c r="F6" s="2" t="s">
        <v>2</v>
      </c>
      <c r="G6" s="56" t="str">
        <f>'09.09 Katungulu-Ishaka'!G6:H6</f>
        <v>Ishaka</v>
      </c>
      <c r="H6" s="57"/>
      <c r="J6" s="2" t="s">
        <v>21</v>
      </c>
      <c r="K6" s="56" t="str">
        <f>'09.09 Ishaka-Katungulu'!K6:L6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1</v>
      </c>
      <c r="M10" s="50">
        <v>4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2</v>
      </c>
      <c r="V10" s="17">
        <f t="shared" si="2"/>
        <v>11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4</v>
      </c>
      <c r="AC10" s="17">
        <f t="shared" si="2"/>
        <v>33</v>
      </c>
      <c r="AD10" s="17">
        <f t="shared" si="2"/>
        <v>0</v>
      </c>
      <c r="AE10" s="31">
        <f t="shared" si="2"/>
        <v>22</v>
      </c>
      <c r="AF10" s="31">
        <f t="shared" si="2"/>
        <v>55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1</v>
      </c>
      <c r="F11" s="50">
        <v>3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2</v>
      </c>
      <c r="M11" s="50">
        <v>7</v>
      </c>
      <c r="N11" s="50">
        <v>0</v>
      </c>
      <c r="O11" s="15">
        <f t="shared" si="0"/>
        <v>8</v>
      </c>
      <c r="P11" s="15">
        <f t="shared" si="1"/>
        <v>15</v>
      </c>
      <c r="R11" s="1" t="s">
        <v>7</v>
      </c>
      <c r="S11" s="17">
        <f t="shared" ref="S11:AF11" si="3">SUM(C14:C17)</f>
        <v>10</v>
      </c>
      <c r="T11" s="17">
        <f t="shared" si="3"/>
        <v>0</v>
      </c>
      <c r="U11" s="17">
        <f t="shared" si="3"/>
        <v>8</v>
      </c>
      <c r="V11" s="17">
        <f t="shared" si="3"/>
        <v>10</v>
      </c>
      <c r="W11" s="17">
        <f t="shared" si="3"/>
        <v>0</v>
      </c>
      <c r="X11" s="17">
        <f t="shared" si="3"/>
        <v>1</v>
      </c>
      <c r="Y11" s="17">
        <f t="shared" si="3"/>
        <v>6</v>
      </c>
      <c r="Z11" s="17">
        <f t="shared" si="3"/>
        <v>3</v>
      </c>
      <c r="AA11" s="17">
        <f t="shared" si="3"/>
        <v>4</v>
      </c>
      <c r="AB11" s="17">
        <f t="shared" si="3"/>
        <v>1</v>
      </c>
      <c r="AC11" s="17">
        <f t="shared" si="3"/>
        <v>153</v>
      </c>
      <c r="AD11" s="17">
        <f t="shared" si="3"/>
        <v>0</v>
      </c>
      <c r="AE11" s="31">
        <f t="shared" si="3"/>
        <v>43</v>
      </c>
      <c r="AF11" s="31">
        <f t="shared" si="3"/>
        <v>196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2</v>
      </c>
      <c r="P12" s="15">
        <f t="shared" si="1"/>
        <v>10</v>
      </c>
      <c r="R12" s="1" t="s">
        <v>8</v>
      </c>
      <c r="S12" s="17">
        <f t="shared" ref="S12:AF12" si="4">SUM(C18:C21)</f>
        <v>13</v>
      </c>
      <c r="T12" s="17">
        <f t="shared" si="4"/>
        <v>0</v>
      </c>
      <c r="U12" s="17">
        <f t="shared" si="4"/>
        <v>9</v>
      </c>
      <c r="V12" s="17">
        <f t="shared" si="4"/>
        <v>11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1</v>
      </c>
      <c r="AA12" s="17">
        <f t="shared" si="4"/>
        <v>1</v>
      </c>
      <c r="AB12" s="17">
        <f t="shared" si="4"/>
        <v>14</v>
      </c>
      <c r="AC12" s="17">
        <f t="shared" si="4"/>
        <v>171</v>
      </c>
      <c r="AD12" s="17">
        <f t="shared" si="4"/>
        <v>1</v>
      </c>
      <c r="AE12" s="31">
        <f t="shared" si="4"/>
        <v>53</v>
      </c>
      <c r="AF12" s="31">
        <f t="shared" si="4"/>
        <v>224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4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1</v>
      </c>
      <c r="M13" s="50">
        <v>14</v>
      </c>
      <c r="N13" s="50">
        <v>0</v>
      </c>
      <c r="O13" s="15">
        <f t="shared" si="0"/>
        <v>8</v>
      </c>
      <c r="P13" s="15">
        <f t="shared" si="1"/>
        <v>22</v>
      </c>
      <c r="R13" s="1" t="s">
        <v>9</v>
      </c>
      <c r="S13" s="17">
        <f t="shared" ref="S13:AF13" si="5">SUM(C22:C25)</f>
        <v>29</v>
      </c>
      <c r="T13" s="17">
        <f t="shared" si="5"/>
        <v>1</v>
      </c>
      <c r="U13" s="17">
        <f t="shared" si="5"/>
        <v>15</v>
      </c>
      <c r="V13" s="17">
        <f t="shared" si="5"/>
        <v>24</v>
      </c>
      <c r="W13" s="17">
        <f t="shared" si="5"/>
        <v>0</v>
      </c>
      <c r="X13" s="17">
        <f t="shared" si="5"/>
        <v>1</v>
      </c>
      <c r="Y13" s="17">
        <f t="shared" si="5"/>
        <v>6</v>
      </c>
      <c r="Z13" s="17">
        <f t="shared" si="5"/>
        <v>0</v>
      </c>
      <c r="AA13" s="17">
        <f t="shared" si="5"/>
        <v>15</v>
      </c>
      <c r="AB13" s="17">
        <f t="shared" si="5"/>
        <v>8</v>
      </c>
      <c r="AC13" s="17">
        <f t="shared" si="5"/>
        <v>154</v>
      </c>
      <c r="AD13" s="17">
        <f t="shared" si="5"/>
        <v>1</v>
      </c>
      <c r="AE13" s="31">
        <f t="shared" si="5"/>
        <v>100</v>
      </c>
      <c r="AF13" s="31">
        <f t="shared" si="5"/>
        <v>254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1</v>
      </c>
      <c r="F14" s="50">
        <v>2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20</v>
      </c>
      <c r="N14" s="50">
        <v>0</v>
      </c>
      <c r="O14" s="15">
        <f t="shared" si="0"/>
        <v>7</v>
      </c>
      <c r="P14" s="15">
        <f t="shared" si="1"/>
        <v>27</v>
      </c>
      <c r="R14" s="1" t="s">
        <v>10</v>
      </c>
      <c r="S14" s="17">
        <f t="shared" ref="S14:AF14" si="6">SUM(C26:C29)</f>
        <v>27</v>
      </c>
      <c r="T14" s="17">
        <f t="shared" si="6"/>
        <v>0</v>
      </c>
      <c r="U14" s="17">
        <f t="shared" si="6"/>
        <v>12</v>
      </c>
      <c r="V14" s="17">
        <f t="shared" si="6"/>
        <v>14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1</v>
      </c>
      <c r="AA14" s="17">
        <f t="shared" si="6"/>
        <v>9</v>
      </c>
      <c r="AB14" s="17">
        <f t="shared" si="6"/>
        <v>6</v>
      </c>
      <c r="AC14" s="17">
        <f t="shared" si="6"/>
        <v>181</v>
      </c>
      <c r="AD14" s="17">
        <f t="shared" si="6"/>
        <v>0</v>
      </c>
      <c r="AE14" s="31">
        <f t="shared" si="6"/>
        <v>70</v>
      </c>
      <c r="AF14" s="31">
        <f t="shared" si="6"/>
        <v>251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2</v>
      </c>
      <c r="F15" s="50">
        <v>3</v>
      </c>
      <c r="G15" s="50">
        <v>0</v>
      </c>
      <c r="H15" s="50">
        <v>0</v>
      </c>
      <c r="I15" s="50">
        <v>2</v>
      </c>
      <c r="J15" s="50">
        <v>2</v>
      </c>
      <c r="K15" s="50">
        <v>1</v>
      </c>
      <c r="L15" s="50">
        <v>0</v>
      </c>
      <c r="M15" s="50">
        <v>34</v>
      </c>
      <c r="N15" s="50">
        <v>0</v>
      </c>
      <c r="O15" s="15">
        <f t="shared" si="0"/>
        <v>13</v>
      </c>
      <c r="P15" s="15">
        <f t="shared" si="1"/>
        <v>47</v>
      </c>
      <c r="R15" s="1" t="s">
        <v>11</v>
      </c>
      <c r="S15" s="17">
        <f t="shared" ref="S15:AF15" si="7">SUM(C30:C33)</f>
        <v>11</v>
      </c>
      <c r="T15" s="17">
        <f t="shared" si="7"/>
        <v>1</v>
      </c>
      <c r="U15" s="17">
        <f t="shared" si="7"/>
        <v>12</v>
      </c>
      <c r="V15" s="17">
        <f t="shared" si="7"/>
        <v>11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1</v>
      </c>
      <c r="AA15" s="17">
        <f t="shared" si="7"/>
        <v>3</v>
      </c>
      <c r="AB15" s="17">
        <f t="shared" si="7"/>
        <v>1</v>
      </c>
      <c r="AC15" s="17">
        <f t="shared" si="7"/>
        <v>200</v>
      </c>
      <c r="AD15" s="17">
        <f t="shared" si="7"/>
        <v>0</v>
      </c>
      <c r="AE15" s="31">
        <f t="shared" si="7"/>
        <v>44</v>
      </c>
      <c r="AF15" s="31">
        <f t="shared" si="7"/>
        <v>244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2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1</v>
      </c>
      <c r="L16" s="50">
        <v>0</v>
      </c>
      <c r="M16" s="50">
        <v>37</v>
      </c>
      <c r="N16" s="50">
        <v>0</v>
      </c>
      <c r="O16" s="15">
        <f t="shared" si="0"/>
        <v>8</v>
      </c>
      <c r="P16" s="15">
        <f t="shared" si="1"/>
        <v>45</v>
      </c>
      <c r="R16" s="1" t="s">
        <v>12</v>
      </c>
      <c r="S16" s="17">
        <f t="shared" ref="S16:AF16" si="8">SUM(C34:C37)</f>
        <v>19</v>
      </c>
      <c r="T16" s="17">
        <f t="shared" si="8"/>
        <v>1</v>
      </c>
      <c r="U16" s="17">
        <f t="shared" si="8"/>
        <v>12</v>
      </c>
      <c r="V16" s="17">
        <f t="shared" si="8"/>
        <v>23</v>
      </c>
      <c r="W16" s="17">
        <f t="shared" si="8"/>
        <v>0</v>
      </c>
      <c r="X16" s="17">
        <f t="shared" si="8"/>
        <v>0</v>
      </c>
      <c r="Y16" s="17">
        <f t="shared" si="8"/>
        <v>14</v>
      </c>
      <c r="Z16" s="17">
        <f t="shared" si="8"/>
        <v>4</v>
      </c>
      <c r="AA16" s="17">
        <f t="shared" si="8"/>
        <v>8</v>
      </c>
      <c r="AB16" s="17">
        <f t="shared" si="8"/>
        <v>5</v>
      </c>
      <c r="AC16" s="17">
        <f t="shared" si="8"/>
        <v>183</v>
      </c>
      <c r="AD16" s="17">
        <f t="shared" si="8"/>
        <v>0</v>
      </c>
      <c r="AE16" s="31">
        <f t="shared" si="8"/>
        <v>86</v>
      </c>
      <c r="AF16" s="31">
        <f t="shared" si="8"/>
        <v>269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3</v>
      </c>
      <c r="F17" s="50">
        <v>3</v>
      </c>
      <c r="G17" s="50">
        <v>0</v>
      </c>
      <c r="H17" s="50">
        <v>1</v>
      </c>
      <c r="I17" s="50">
        <v>2</v>
      </c>
      <c r="J17" s="50">
        <v>0</v>
      </c>
      <c r="K17" s="50">
        <v>2</v>
      </c>
      <c r="L17" s="50">
        <v>1</v>
      </c>
      <c r="M17" s="50">
        <v>62</v>
      </c>
      <c r="N17" s="50">
        <v>0</v>
      </c>
      <c r="O17" s="15">
        <f t="shared" si="0"/>
        <v>15</v>
      </c>
      <c r="P17" s="15">
        <f t="shared" si="1"/>
        <v>77</v>
      </c>
      <c r="R17" s="1" t="s">
        <v>13</v>
      </c>
      <c r="S17" s="17">
        <f t="shared" ref="S17:AF17" si="9">SUM(C38:C41)</f>
        <v>16</v>
      </c>
      <c r="T17" s="17">
        <f t="shared" si="9"/>
        <v>1</v>
      </c>
      <c r="U17" s="17">
        <f t="shared" si="9"/>
        <v>13</v>
      </c>
      <c r="V17" s="17">
        <f t="shared" si="9"/>
        <v>11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1</v>
      </c>
      <c r="AA17" s="17">
        <f t="shared" si="9"/>
        <v>8</v>
      </c>
      <c r="AB17" s="17">
        <f t="shared" si="9"/>
        <v>0</v>
      </c>
      <c r="AC17" s="17">
        <f t="shared" si="9"/>
        <v>117</v>
      </c>
      <c r="AD17" s="17">
        <f t="shared" si="9"/>
        <v>0</v>
      </c>
      <c r="AE17" s="31">
        <f t="shared" si="9"/>
        <v>54</v>
      </c>
      <c r="AF17" s="31">
        <f t="shared" si="9"/>
        <v>171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2</v>
      </c>
      <c r="F18" s="50">
        <v>3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2</v>
      </c>
      <c r="M18" s="50">
        <v>36</v>
      </c>
      <c r="N18" s="50">
        <v>0</v>
      </c>
      <c r="O18" s="15">
        <f t="shared" si="0"/>
        <v>10</v>
      </c>
      <c r="P18" s="15">
        <f t="shared" si="1"/>
        <v>46</v>
      </c>
      <c r="R18" s="1" t="s">
        <v>14</v>
      </c>
      <c r="S18" s="17">
        <f t="shared" ref="S18:AF18" si="10">SUM(C42:C45)</f>
        <v>19</v>
      </c>
      <c r="T18" s="17">
        <f t="shared" si="10"/>
        <v>0</v>
      </c>
      <c r="U18" s="17">
        <f t="shared" si="10"/>
        <v>9</v>
      </c>
      <c r="V18" s="17">
        <f t="shared" si="10"/>
        <v>10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8</v>
      </c>
      <c r="AB18" s="17">
        <f t="shared" si="10"/>
        <v>0</v>
      </c>
      <c r="AC18" s="17">
        <f t="shared" si="10"/>
        <v>130</v>
      </c>
      <c r="AD18" s="17">
        <f t="shared" si="10"/>
        <v>0</v>
      </c>
      <c r="AE18" s="31">
        <f t="shared" si="10"/>
        <v>48</v>
      </c>
      <c r="AF18" s="31">
        <f t="shared" si="10"/>
        <v>178</v>
      </c>
    </row>
    <row r="19" spans="2:32" ht="23.1" customHeight="1" x14ac:dyDescent="0.25">
      <c r="B19" s="23" t="s">
        <v>46</v>
      </c>
      <c r="C19" s="50">
        <v>5</v>
      </c>
      <c r="D19" s="50">
        <v>0</v>
      </c>
      <c r="E19" s="50">
        <v>4</v>
      </c>
      <c r="F19" s="50">
        <v>5</v>
      </c>
      <c r="G19" s="50">
        <v>0</v>
      </c>
      <c r="H19" s="50">
        <v>0</v>
      </c>
      <c r="I19" s="50">
        <v>0</v>
      </c>
      <c r="J19" s="50">
        <v>1</v>
      </c>
      <c r="K19" s="50">
        <v>1</v>
      </c>
      <c r="L19" s="50">
        <v>3</v>
      </c>
      <c r="M19" s="50">
        <v>60</v>
      </c>
      <c r="N19" s="50">
        <v>0</v>
      </c>
      <c r="O19" s="15">
        <f t="shared" si="0"/>
        <v>19</v>
      </c>
      <c r="P19" s="15">
        <f t="shared" si="1"/>
        <v>79</v>
      </c>
      <c r="R19" s="1" t="s">
        <v>15</v>
      </c>
      <c r="S19" s="17">
        <f t="shared" ref="S19:AF19" si="11">SUM(C46:C49)</f>
        <v>16</v>
      </c>
      <c r="T19" s="17">
        <f t="shared" si="11"/>
        <v>2</v>
      </c>
      <c r="U19" s="17">
        <f t="shared" si="11"/>
        <v>16</v>
      </c>
      <c r="V19" s="17">
        <f t="shared" si="11"/>
        <v>19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6</v>
      </c>
      <c r="AA19" s="17">
        <f t="shared" si="11"/>
        <v>1</v>
      </c>
      <c r="AB19" s="17">
        <f t="shared" si="11"/>
        <v>0</v>
      </c>
      <c r="AC19" s="17">
        <f t="shared" si="11"/>
        <v>205</v>
      </c>
      <c r="AD19" s="17">
        <f t="shared" si="11"/>
        <v>0</v>
      </c>
      <c r="AE19" s="31">
        <f t="shared" si="11"/>
        <v>64</v>
      </c>
      <c r="AF19" s="31">
        <f t="shared" si="11"/>
        <v>269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4</v>
      </c>
      <c r="M20" s="50">
        <v>28</v>
      </c>
      <c r="N20" s="50">
        <v>0</v>
      </c>
      <c r="O20" s="15">
        <f t="shared" si="0"/>
        <v>9</v>
      </c>
      <c r="P20" s="15">
        <f t="shared" si="1"/>
        <v>37</v>
      </c>
      <c r="R20" s="1" t="s">
        <v>16</v>
      </c>
      <c r="S20" s="17">
        <f t="shared" ref="S20:AF20" si="12">SUM(C50:C53)</f>
        <v>22</v>
      </c>
      <c r="T20" s="17">
        <f t="shared" si="12"/>
        <v>2</v>
      </c>
      <c r="U20" s="17">
        <f t="shared" si="12"/>
        <v>16</v>
      </c>
      <c r="V20" s="17">
        <f t="shared" si="12"/>
        <v>16</v>
      </c>
      <c r="W20" s="17">
        <f t="shared" si="12"/>
        <v>0</v>
      </c>
      <c r="X20" s="17">
        <f t="shared" si="12"/>
        <v>0</v>
      </c>
      <c r="Y20" s="17">
        <f t="shared" si="12"/>
        <v>11</v>
      </c>
      <c r="Z20" s="17">
        <f t="shared" si="12"/>
        <v>6</v>
      </c>
      <c r="AA20" s="17">
        <f t="shared" si="12"/>
        <v>2</v>
      </c>
      <c r="AB20" s="17">
        <f t="shared" si="12"/>
        <v>11</v>
      </c>
      <c r="AC20" s="17">
        <f t="shared" si="12"/>
        <v>174</v>
      </c>
      <c r="AD20" s="17">
        <f t="shared" si="12"/>
        <v>0</v>
      </c>
      <c r="AE20" s="31">
        <f t="shared" si="12"/>
        <v>86</v>
      </c>
      <c r="AF20" s="31">
        <f t="shared" si="12"/>
        <v>260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2</v>
      </c>
      <c r="F21" s="50">
        <v>2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5</v>
      </c>
      <c r="M21" s="50">
        <v>47</v>
      </c>
      <c r="N21" s="50">
        <v>1</v>
      </c>
      <c r="O21" s="15">
        <f t="shared" si="0"/>
        <v>15</v>
      </c>
      <c r="P21" s="15">
        <f t="shared" si="1"/>
        <v>62</v>
      </c>
      <c r="R21" s="36" t="s">
        <v>20</v>
      </c>
      <c r="S21" s="34">
        <f t="shared" ref="S21:AF21" si="13">SUM(C54:C57)</f>
        <v>18</v>
      </c>
      <c r="T21" s="17">
        <f t="shared" si="13"/>
        <v>1</v>
      </c>
      <c r="U21" s="17">
        <f t="shared" si="13"/>
        <v>13</v>
      </c>
      <c r="V21" s="17">
        <f t="shared" si="13"/>
        <v>19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6</v>
      </c>
      <c r="AA21" s="17">
        <f t="shared" si="13"/>
        <v>10</v>
      </c>
      <c r="AB21" s="17">
        <f t="shared" si="13"/>
        <v>8</v>
      </c>
      <c r="AC21" s="17">
        <f t="shared" si="13"/>
        <v>205</v>
      </c>
      <c r="AD21" s="17">
        <f t="shared" si="13"/>
        <v>0</v>
      </c>
      <c r="AE21" s="31">
        <f t="shared" si="13"/>
        <v>81</v>
      </c>
      <c r="AF21" s="31">
        <f t="shared" si="13"/>
        <v>286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4</v>
      </c>
      <c r="F22" s="50">
        <v>5</v>
      </c>
      <c r="G22" s="50">
        <v>0</v>
      </c>
      <c r="H22" s="50">
        <v>0</v>
      </c>
      <c r="I22" s="50">
        <v>2</v>
      </c>
      <c r="J22" s="50">
        <v>0</v>
      </c>
      <c r="K22" s="50">
        <v>4</v>
      </c>
      <c r="L22" s="50">
        <v>3</v>
      </c>
      <c r="M22" s="50">
        <v>34</v>
      </c>
      <c r="N22" s="50">
        <v>0</v>
      </c>
      <c r="O22" s="15">
        <f t="shared" si="0"/>
        <v>22</v>
      </c>
      <c r="P22" s="15">
        <f t="shared" si="1"/>
        <v>56</v>
      </c>
      <c r="R22" s="38" t="s">
        <v>90</v>
      </c>
      <c r="S22" s="39">
        <f>MAX(S10:S12)</f>
        <v>13</v>
      </c>
      <c r="T22" s="39">
        <f t="shared" ref="T22:AF22" si="14">MAX(T10:T12)</f>
        <v>0</v>
      </c>
      <c r="U22" s="39">
        <f t="shared" si="14"/>
        <v>9</v>
      </c>
      <c r="V22" s="39">
        <f t="shared" si="14"/>
        <v>11</v>
      </c>
      <c r="W22" s="39">
        <f t="shared" si="14"/>
        <v>0</v>
      </c>
      <c r="X22" s="39">
        <f t="shared" si="14"/>
        <v>1</v>
      </c>
      <c r="Y22" s="39">
        <f t="shared" si="14"/>
        <v>6</v>
      </c>
      <c r="Z22" s="39">
        <f t="shared" si="14"/>
        <v>3</v>
      </c>
      <c r="AA22" s="39">
        <f t="shared" si="14"/>
        <v>4</v>
      </c>
      <c r="AB22" s="39">
        <f t="shared" si="14"/>
        <v>14</v>
      </c>
      <c r="AC22" s="39">
        <f t="shared" si="14"/>
        <v>171</v>
      </c>
      <c r="AD22" s="39">
        <f t="shared" si="14"/>
        <v>1</v>
      </c>
      <c r="AE22" s="40">
        <f t="shared" si="14"/>
        <v>53</v>
      </c>
      <c r="AF22" s="40">
        <f t="shared" si="14"/>
        <v>224</v>
      </c>
    </row>
    <row r="23" spans="2:32" ht="23.1" customHeight="1" x14ac:dyDescent="0.25">
      <c r="B23" s="23" t="s">
        <v>50</v>
      </c>
      <c r="C23" s="50">
        <v>7</v>
      </c>
      <c r="D23" s="50">
        <v>1</v>
      </c>
      <c r="E23" s="50">
        <v>5</v>
      </c>
      <c r="F23" s="50">
        <v>9</v>
      </c>
      <c r="G23" s="50">
        <v>0</v>
      </c>
      <c r="H23" s="50">
        <v>1</v>
      </c>
      <c r="I23" s="50">
        <v>3</v>
      </c>
      <c r="J23" s="50">
        <v>0</v>
      </c>
      <c r="K23" s="50">
        <v>6</v>
      </c>
      <c r="L23" s="50">
        <v>4</v>
      </c>
      <c r="M23" s="50">
        <v>56</v>
      </c>
      <c r="N23" s="50">
        <v>1</v>
      </c>
      <c r="O23" s="15">
        <f t="shared" si="0"/>
        <v>37</v>
      </c>
      <c r="P23" s="15">
        <f t="shared" si="1"/>
        <v>93</v>
      </c>
      <c r="R23" s="38" t="s">
        <v>91</v>
      </c>
      <c r="S23" s="39">
        <f>MAX(S13:S18)</f>
        <v>29</v>
      </c>
      <c r="T23" s="39">
        <f t="shared" ref="T23:AF23" si="15">MAX(T13:T18)</f>
        <v>1</v>
      </c>
      <c r="U23" s="39">
        <f t="shared" si="15"/>
        <v>15</v>
      </c>
      <c r="V23" s="39">
        <f t="shared" si="15"/>
        <v>24</v>
      </c>
      <c r="W23" s="39">
        <f t="shared" si="15"/>
        <v>0</v>
      </c>
      <c r="X23" s="39">
        <f t="shared" si="15"/>
        <v>1</v>
      </c>
      <c r="Y23" s="39">
        <f t="shared" si="15"/>
        <v>14</v>
      </c>
      <c r="Z23" s="39">
        <f t="shared" si="15"/>
        <v>4</v>
      </c>
      <c r="AA23" s="39">
        <f t="shared" si="15"/>
        <v>15</v>
      </c>
      <c r="AB23" s="39">
        <f t="shared" si="15"/>
        <v>8</v>
      </c>
      <c r="AC23" s="39">
        <f t="shared" si="15"/>
        <v>200</v>
      </c>
      <c r="AD23" s="39">
        <f t="shared" si="15"/>
        <v>1</v>
      </c>
      <c r="AE23" s="40">
        <f t="shared" si="15"/>
        <v>100</v>
      </c>
      <c r="AF23" s="40">
        <f t="shared" si="15"/>
        <v>269</v>
      </c>
    </row>
    <row r="24" spans="2:32" ht="23.1" customHeight="1" x14ac:dyDescent="0.25">
      <c r="B24" s="23" t="s">
        <v>51</v>
      </c>
      <c r="C24" s="50">
        <v>7</v>
      </c>
      <c r="D24" s="50">
        <v>0</v>
      </c>
      <c r="E24" s="50">
        <v>2</v>
      </c>
      <c r="F24" s="50">
        <v>4</v>
      </c>
      <c r="G24" s="50">
        <v>0</v>
      </c>
      <c r="H24" s="50">
        <v>0</v>
      </c>
      <c r="I24" s="50">
        <v>0</v>
      </c>
      <c r="J24" s="50">
        <v>0</v>
      </c>
      <c r="K24" s="50">
        <v>2</v>
      </c>
      <c r="L24" s="50">
        <v>0</v>
      </c>
      <c r="M24" s="50">
        <v>24</v>
      </c>
      <c r="N24" s="50">
        <v>0</v>
      </c>
      <c r="O24" s="15">
        <f t="shared" si="0"/>
        <v>15</v>
      </c>
      <c r="P24" s="15">
        <f t="shared" si="1"/>
        <v>39</v>
      </c>
      <c r="R24" s="38" t="s">
        <v>92</v>
      </c>
      <c r="S24" s="39">
        <f>MAX(S19:S21)</f>
        <v>22</v>
      </c>
      <c r="T24" s="39">
        <f t="shared" ref="T24:AF24" si="16">MAX(T19:T21)</f>
        <v>2</v>
      </c>
      <c r="U24" s="39">
        <f t="shared" si="16"/>
        <v>16</v>
      </c>
      <c r="V24" s="39">
        <f t="shared" si="16"/>
        <v>19</v>
      </c>
      <c r="W24" s="39">
        <f t="shared" si="16"/>
        <v>0</v>
      </c>
      <c r="X24" s="39">
        <f t="shared" si="16"/>
        <v>0</v>
      </c>
      <c r="Y24" s="39">
        <f t="shared" si="16"/>
        <v>11</v>
      </c>
      <c r="Z24" s="39">
        <f t="shared" si="16"/>
        <v>6</v>
      </c>
      <c r="AA24" s="39">
        <f t="shared" si="16"/>
        <v>10</v>
      </c>
      <c r="AB24" s="39">
        <f t="shared" si="16"/>
        <v>11</v>
      </c>
      <c r="AC24" s="39">
        <f t="shared" si="16"/>
        <v>205</v>
      </c>
      <c r="AD24" s="39">
        <f t="shared" si="16"/>
        <v>0</v>
      </c>
      <c r="AE24" s="40">
        <f t="shared" si="16"/>
        <v>86</v>
      </c>
      <c r="AF24" s="40">
        <f t="shared" si="16"/>
        <v>286</v>
      </c>
    </row>
    <row r="25" spans="2:32" ht="23.1" customHeight="1" x14ac:dyDescent="0.25">
      <c r="B25" s="23" t="s">
        <v>52</v>
      </c>
      <c r="C25" s="50">
        <v>11</v>
      </c>
      <c r="D25" s="50">
        <v>0</v>
      </c>
      <c r="E25" s="50">
        <v>4</v>
      </c>
      <c r="F25" s="50">
        <v>6</v>
      </c>
      <c r="G25" s="50">
        <v>0</v>
      </c>
      <c r="H25" s="50">
        <v>0</v>
      </c>
      <c r="I25" s="50">
        <v>1</v>
      </c>
      <c r="J25" s="50">
        <v>0</v>
      </c>
      <c r="K25" s="50">
        <v>3</v>
      </c>
      <c r="L25" s="50">
        <v>1</v>
      </c>
      <c r="M25" s="50">
        <v>40</v>
      </c>
      <c r="N25" s="50">
        <v>0</v>
      </c>
      <c r="O25" s="15">
        <f t="shared" si="0"/>
        <v>26</v>
      </c>
      <c r="P25" s="15">
        <f t="shared" si="1"/>
        <v>66</v>
      </c>
      <c r="R25" s="37" t="s">
        <v>85</v>
      </c>
      <c r="S25" s="35">
        <f t="shared" ref="S25:AF25" si="17">SUM(S10:S12)</f>
        <v>27</v>
      </c>
      <c r="T25" s="16">
        <f t="shared" si="17"/>
        <v>0</v>
      </c>
      <c r="U25" s="16">
        <f t="shared" si="17"/>
        <v>19</v>
      </c>
      <c r="V25" s="16">
        <f t="shared" si="17"/>
        <v>32</v>
      </c>
      <c r="W25" s="16">
        <f t="shared" si="17"/>
        <v>0</v>
      </c>
      <c r="X25" s="16">
        <f t="shared" si="17"/>
        <v>1</v>
      </c>
      <c r="Y25" s="16">
        <f t="shared" si="17"/>
        <v>10</v>
      </c>
      <c r="Z25" s="16">
        <f t="shared" si="17"/>
        <v>4</v>
      </c>
      <c r="AA25" s="16">
        <f t="shared" si="17"/>
        <v>5</v>
      </c>
      <c r="AB25" s="16">
        <f t="shared" si="17"/>
        <v>19</v>
      </c>
      <c r="AC25" s="16">
        <f t="shared" si="17"/>
        <v>357</v>
      </c>
      <c r="AD25" s="16">
        <f t="shared" si="17"/>
        <v>1</v>
      </c>
      <c r="AE25" s="32">
        <f t="shared" si="17"/>
        <v>118</v>
      </c>
      <c r="AF25" s="32">
        <f t="shared" si="17"/>
        <v>475</v>
      </c>
    </row>
    <row r="26" spans="2:32" ht="23.1" customHeight="1" x14ac:dyDescent="0.25">
      <c r="B26" s="23" t="s">
        <v>53</v>
      </c>
      <c r="C26" s="50">
        <v>5</v>
      </c>
      <c r="D26" s="50">
        <v>0</v>
      </c>
      <c r="E26" s="50">
        <v>2</v>
      </c>
      <c r="F26" s="50">
        <v>3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1</v>
      </c>
      <c r="M26" s="50">
        <v>40</v>
      </c>
      <c r="N26" s="50">
        <v>0</v>
      </c>
      <c r="O26" s="15">
        <f t="shared" si="0"/>
        <v>12</v>
      </c>
      <c r="P26" s="15">
        <f t="shared" si="1"/>
        <v>52</v>
      </c>
      <c r="R26" s="28" t="s">
        <v>86</v>
      </c>
      <c r="S26" s="16">
        <f t="shared" ref="S26:AF26" si="18">SUM(S13:S18)</f>
        <v>121</v>
      </c>
      <c r="T26" s="16">
        <f t="shared" si="18"/>
        <v>4</v>
      </c>
      <c r="U26" s="16">
        <f t="shared" si="18"/>
        <v>73</v>
      </c>
      <c r="V26" s="16">
        <f t="shared" si="18"/>
        <v>93</v>
      </c>
      <c r="W26" s="16">
        <f t="shared" si="18"/>
        <v>0</v>
      </c>
      <c r="X26" s="16">
        <f t="shared" si="18"/>
        <v>1</v>
      </c>
      <c r="Y26" s="16">
        <f t="shared" si="18"/>
        <v>31</v>
      </c>
      <c r="Z26" s="16">
        <f t="shared" si="18"/>
        <v>7</v>
      </c>
      <c r="AA26" s="16">
        <f t="shared" si="18"/>
        <v>51</v>
      </c>
      <c r="AB26" s="16">
        <f t="shared" si="18"/>
        <v>20</v>
      </c>
      <c r="AC26" s="16">
        <f t="shared" si="18"/>
        <v>965</v>
      </c>
      <c r="AD26" s="16">
        <f t="shared" si="18"/>
        <v>1</v>
      </c>
      <c r="AE26" s="32">
        <f t="shared" si="18"/>
        <v>402</v>
      </c>
      <c r="AF26" s="32">
        <f t="shared" si="18"/>
        <v>1367</v>
      </c>
    </row>
    <row r="27" spans="2:32" ht="23.1" customHeight="1" x14ac:dyDescent="0.25">
      <c r="B27" s="23" t="s">
        <v>54</v>
      </c>
      <c r="C27" s="50">
        <v>8</v>
      </c>
      <c r="D27" s="50">
        <v>0</v>
      </c>
      <c r="E27" s="50">
        <v>4</v>
      </c>
      <c r="F27" s="50">
        <v>5</v>
      </c>
      <c r="G27" s="50">
        <v>0</v>
      </c>
      <c r="H27" s="50">
        <v>0</v>
      </c>
      <c r="I27" s="50">
        <v>1</v>
      </c>
      <c r="J27" s="50">
        <v>1</v>
      </c>
      <c r="K27" s="50">
        <v>2</v>
      </c>
      <c r="L27" s="50">
        <v>2</v>
      </c>
      <c r="M27" s="50">
        <v>66</v>
      </c>
      <c r="N27" s="50">
        <v>0</v>
      </c>
      <c r="O27" s="15">
        <f t="shared" si="0"/>
        <v>23</v>
      </c>
      <c r="P27" s="15">
        <f t="shared" si="1"/>
        <v>89</v>
      </c>
      <c r="R27" s="29" t="s">
        <v>87</v>
      </c>
      <c r="S27" s="16">
        <f t="shared" ref="S27:AF27" si="19">SUM(S19:S21)</f>
        <v>56</v>
      </c>
      <c r="T27" s="16">
        <f t="shared" si="19"/>
        <v>5</v>
      </c>
      <c r="U27" s="16">
        <f t="shared" si="19"/>
        <v>45</v>
      </c>
      <c r="V27" s="16">
        <f t="shared" si="19"/>
        <v>54</v>
      </c>
      <c r="W27" s="16">
        <f t="shared" si="19"/>
        <v>0</v>
      </c>
      <c r="X27" s="16">
        <f t="shared" si="19"/>
        <v>0</v>
      </c>
      <c r="Y27" s="16">
        <f t="shared" si="19"/>
        <v>21</v>
      </c>
      <c r="Z27" s="16">
        <f t="shared" si="19"/>
        <v>18</v>
      </c>
      <c r="AA27" s="16">
        <f t="shared" si="19"/>
        <v>13</v>
      </c>
      <c r="AB27" s="16">
        <f t="shared" si="19"/>
        <v>19</v>
      </c>
      <c r="AC27" s="16">
        <f t="shared" si="19"/>
        <v>584</v>
      </c>
      <c r="AD27" s="16">
        <f t="shared" si="19"/>
        <v>0</v>
      </c>
      <c r="AE27" s="32">
        <f t="shared" si="19"/>
        <v>231</v>
      </c>
      <c r="AF27" s="32">
        <f t="shared" si="19"/>
        <v>815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2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2</v>
      </c>
      <c r="L28" s="50">
        <v>1</v>
      </c>
      <c r="M28" s="50">
        <v>28</v>
      </c>
      <c r="N28" s="50">
        <v>0</v>
      </c>
      <c r="O28" s="15">
        <f t="shared" si="0"/>
        <v>12</v>
      </c>
      <c r="P28" s="15">
        <f t="shared" si="1"/>
        <v>40</v>
      </c>
      <c r="R28" s="5" t="s">
        <v>17</v>
      </c>
      <c r="S28" s="16">
        <f t="shared" ref="S28:AF28" si="20">SUM(S10:S21)</f>
        <v>204</v>
      </c>
      <c r="T28" s="16">
        <f t="shared" si="20"/>
        <v>9</v>
      </c>
      <c r="U28" s="16">
        <f t="shared" si="20"/>
        <v>137</v>
      </c>
      <c r="V28" s="16">
        <f t="shared" si="20"/>
        <v>179</v>
      </c>
      <c r="W28" s="16">
        <f t="shared" si="20"/>
        <v>0</v>
      </c>
      <c r="X28" s="16">
        <f t="shared" si="20"/>
        <v>2</v>
      </c>
      <c r="Y28" s="16">
        <f t="shared" si="20"/>
        <v>62</v>
      </c>
      <c r="Z28" s="16">
        <f t="shared" si="20"/>
        <v>29</v>
      </c>
      <c r="AA28" s="16">
        <f t="shared" si="20"/>
        <v>69</v>
      </c>
      <c r="AB28" s="16">
        <f t="shared" si="20"/>
        <v>58</v>
      </c>
      <c r="AC28" s="16">
        <f t="shared" si="20"/>
        <v>1906</v>
      </c>
      <c r="AD28" s="16">
        <f t="shared" si="20"/>
        <v>2</v>
      </c>
      <c r="AE28" s="32">
        <f t="shared" si="20"/>
        <v>751</v>
      </c>
      <c r="AF28" s="32">
        <f t="shared" si="20"/>
        <v>2657</v>
      </c>
    </row>
    <row r="29" spans="2:32" ht="23.1" customHeight="1" x14ac:dyDescent="0.25">
      <c r="B29" s="23" t="s">
        <v>56</v>
      </c>
      <c r="C29" s="50">
        <v>9</v>
      </c>
      <c r="D29" s="50">
        <v>0</v>
      </c>
      <c r="E29" s="50">
        <v>4</v>
      </c>
      <c r="F29" s="50">
        <v>4</v>
      </c>
      <c r="G29" s="50">
        <v>0</v>
      </c>
      <c r="H29" s="50">
        <v>0</v>
      </c>
      <c r="I29" s="50">
        <v>0</v>
      </c>
      <c r="J29" s="50">
        <v>0</v>
      </c>
      <c r="K29" s="50">
        <v>4</v>
      </c>
      <c r="L29" s="50">
        <v>2</v>
      </c>
      <c r="M29" s="50">
        <v>47</v>
      </c>
      <c r="N29" s="50">
        <v>0</v>
      </c>
      <c r="O29" s="15">
        <f t="shared" si="0"/>
        <v>23</v>
      </c>
      <c r="P29" s="15">
        <f t="shared" si="1"/>
        <v>70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2</v>
      </c>
      <c r="F30" s="50">
        <v>2</v>
      </c>
      <c r="G30" s="50">
        <v>0</v>
      </c>
      <c r="H30" s="50">
        <v>0</v>
      </c>
      <c r="I30" s="50">
        <v>1</v>
      </c>
      <c r="J30" s="50">
        <v>0</v>
      </c>
      <c r="K30" s="50">
        <v>1</v>
      </c>
      <c r="L30" s="50">
        <v>0</v>
      </c>
      <c r="M30" s="50">
        <v>30</v>
      </c>
      <c r="N30" s="50">
        <v>0</v>
      </c>
      <c r="O30" s="15">
        <f t="shared" si="0"/>
        <v>8</v>
      </c>
      <c r="P30" s="15">
        <f t="shared" si="1"/>
        <v>38</v>
      </c>
    </row>
    <row r="31" spans="2:32" ht="23.1" customHeight="1" x14ac:dyDescent="0.25">
      <c r="B31" s="24" t="s">
        <v>58</v>
      </c>
      <c r="C31" s="50">
        <v>4</v>
      </c>
      <c r="D31" s="50">
        <v>0</v>
      </c>
      <c r="E31" s="50">
        <v>3</v>
      </c>
      <c r="F31" s="50">
        <v>3</v>
      </c>
      <c r="G31" s="50">
        <v>0</v>
      </c>
      <c r="H31" s="50">
        <v>0</v>
      </c>
      <c r="I31" s="50">
        <v>2</v>
      </c>
      <c r="J31" s="50">
        <v>1</v>
      </c>
      <c r="K31" s="50">
        <v>2</v>
      </c>
      <c r="L31" s="50">
        <v>1</v>
      </c>
      <c r="M31" s="50">
        <v>50</v>
      </c>
      <c r="N31" s="50">
        <v>0</v>
      </c>
      <c r="O31" s="15">
        <f t="shared" si="0"/>
        <v>16</v>
      </c>
      <c r="P31" s="15">
        <f t="shared" si="1"/>
        <v>66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3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45</v>
      </c>
      <c r="N32" s="50">
        <v>0</v>
      </c>
      <c r="O32" s="15">
        <f t="shared" si="0"/>
        <v>7</v>
      </c>
      <c r="P32" s="15">
        <f t="shared" si="1"/>
        <v>52</v>
      </c>
    </row>
    <row r="33" spans="2:20" ht="23.1" customHeight="1" x14ac:dyDescent="0.25">
      <c r="B33" s="23" t="s">
        <v>60</v>
      </c>
      <c r="C33" s="50">
        <v>3</v>
      </c>
      <c r="D33" s="50">
        <v>1</v>
      </c>
      <c r="E33" s="50">
        <v>4</v>
      </c>
      <c r="F33" s="50">
        <v>4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75</v>
      </c>
      <c r="N33" s="50">
        <v>0</v>
      </c>
      <c r="O33" s="15">
        <f t="shared" si="0"/>
        <v>13</v>
      </c>
      <c r="P33" s="15">
        <f t="shared" si="1"/>
        <v>88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3</v>
      </c>
      <c r="F34" s="50">
        <v>5</v>
      </c>
      <c r="G34" s="50">
        <v>0</v>
      </c>
      <c r="H34" s="50">
        <v>0</v>
      </c>
      <c r="I34" s="50">
        <v>4</v>
      </c>
      <c r="J34" s="50">
        <v>0</v>
      </c>
      <c r="K34" s="50">
        <v>1</v>
      </c>
      <c r="L34" s="50">
        <v>0</v>
      </c>
      <c r="M34" s="50">
        <v>31</v>
      </c>
      <c r="N34" s="50">
        <v>0</v>
      </c>
      <c r="O34" s="15">
        <f t="shared" si="0"/>
        <v>15</v>
      </c>
      <c r="P34" s="15">
        <f t="shared" si="1"/>
        <v>46</v>
      </c>
    </row>
    <row r="35" spans="2:20" ht="23.1" customHeight="1" x14ac:dyDescent="0.25">
      <c r="B35" s="24" t="s">
        <v>62</v>
      </c>
      <c r="C35" s="50">
        <v>4</v>
      </c>
      <c r="D35" s="50">
        <v>1</v>
      </c>
      <c r="E35" s="50">
        <v>4</v>
      </c>
      <c r="F35" s="50">
        <v>8</v>
      </c>
      <c r="G35" s="50">
        <v>0</v>
      </c>
      <c r="H35" s="50">
        <v>0</v>
      </c>
      <c r="I35" s="50">
        <v>7</v>
      </c>
      <c r="J35" s="50">
        <v>1</v>
      </c>
      <c r="K35" s="50">
        <v>2</v>
      </c>
      <c r="L35" s="50">
        <v>0</v>
      </c>
      <c r="M35" s="50">
        <v>51</v>
      </c>
      <c r="N35" s="50">
        <v>0</v>
      </c>
      <c r="O35" s="15">
        <f t="shared" si="0"/>
        <v>27</v>
      </c>
      <c r="P35" s="15">
        <f t="shared" si="1"/>
        <v>78</v>
      </c>
    </row>
    <row r="36" spans="2:20" ht="23.1" customHeight="1" x14ac:dyDescent="0.25">
      <c r="B36" s="24" t="s">
        <v>63</v>
      </c>
      <c r="C36" s="50">
        <v>5</v>
      </c>
      <c r="D36" s="50">
        <v>0</v>
      </c>
      <c r="E36" s="50">
        <v>2</v>
      </c>
      <c r="F36" s="50">
        <v>4</v>
      </c>
      <c r="G36" s="50">
        <v>0</v>
      </c>
      <c r="H36" s="50">
        <v>0</v>
      </c>
      <c r="I36" s="50">
        <v>1</v>
      </c>
      <c r="J36" s="50">
        <v>1</v>
      </c>
      <c r="K36" s="50">
        <v>2</v>
      </c>
      <c r="L36" s="50">
        <v>2</v>
      </c>
      <c r="M36" s="50">
        <v>38</v>
      </c>
      <c r="N36" s="50">
        <v>0</v>
      </c>
      <c r="O36" s="15">
        <f t="shared" si="0"/>
        <v>17</v>
      </c>
      <c r="P36" s="15">
        <f t="shared" si="1"/>
        <v>55</v>
      </c>
    </row>
    <row r="37" spans="2:20" ht="23.1" customHeight="1" x14ac:dyDescent="0.25">
      <c r="B37" s="23" t="s">
        <v>64</v>
      </c>
      <c r="C37" s="50">
        <v>8</v>
      </c>
      <c r="D37" s="50">
        <v>0</v>
      </c>
      <c r="E37" s="50">
        <v>3</v>
      </c>
      <c r="F37" s="50">
        <v>6</v>
      </c>
      <c r="G37" s="50">
        <v>0</v>
      </c>
      <c r="H37" s="50">
        <v>0</v>
      </c>
      <c r="I37" s="50">
        <v>2</v>
      </c>
      <c r="J37" s="50">
        <v>2</v>
      </c>
      <c r="K37" s="50">
        <v>3</v>
      </c>
      <c r="L37" s="50">
        <v>3</v>
      </c>
      <c r="M37" s="50">
        <v>63</v>
      </c>
      <c r="N37" s="50">
        <v>0</v>
      </c>
      <c r="O37" s="15">
        <f t="shared" si="0"/>
        <v>27</v>
      </c>
      <c r="P37" s="15">
        <f t="shared" si="1"/>
        <v>90</v>
      </c>
    </row>
    <row r="38" spans="2:20" ht="23.1" customHeight="1" x14ac:dyDescent="0.25">
      <c r="B38" s="24" t="s">
        <v>65</v>
      </c>
      <c r="C38" s="50">
        <v>4</v>
      </c>
      <c r="D38" s="50">
        <v>0</v>
      </c>
      <c r="E38" s="50">
        <v>4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1</v>
      </c>
      <c r="L38" s="50">
        <v>0</v>
      </c>
      <c r="M38" s="50">
        <v>19</v>
      </c>
      <c r="N38" s="50">
        <v>0</v>
      </c>
      <c r="O38" s="15">
        <f t="shared" si="0"/>
        <v>10</v>
      </c>
      <c r="P38" s="15">
        <f t="shared" si="1"/>
        <v>29</v>
      </c>
    </row>
    <row r="39" spans="2:20" ht="23.1" customHeight="1" x14ac:dyDescent="0.25">
      <c r="B39" s="24" t="s">
        <v>66</v>
      </c>
      <c r="C39" s="50">
        <v>7</v>
      </c>
      <c r="D39" s="50">
        <v>1</v>
      </c>
      <c r="E39" s="50">
        <v>6</v>
      </c>
      <c r="F39" s="50">
        <v>2</v>
      </c>
      <c r="G39" s="50">
        <v>0</v>
      </c>
      <c r="H39" s="50">
        <v>0</v>
      </c>
      <c r="I39" s="50">
        <v>1</v>
      </c>
      <c r="J39" s="50">
        <v>0</v>
      </c>
      <c r="K39" s="50">
        <v>2</v>
      </c>
      <c r="L39" s="50">
        <v>0</v>
      </c>
      <c r="M39" s="50">
        <v>31</v>
      </c>
      <c r="N39" s="50">
        <v>0</v>
      </c>
      <c r="O39" s="15">
        <f t="shared" si="0"/>
        <v>19</v>
      </c>
      <c r="P39" s="15">
        <f t="shared" si="1"/>
        <v>50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1</v>
      </c>
      <c r="F40" s="50">
        <v>3</v>
      </c>
      <c r="G40" s="50">
        <v>0</v>
      </c>
      <c r="H40" s="50">
        <v>0</v>
      </c>
      <c r="I40" s="50">
        <v>1</v>
      </c>
      <c r="J40" s="50">
        <v>0</v>
      </c>
      <c r="K40" s="50">
        <v>2</v>
      </c>
      <c r="L40" s="50">
        <v>0</v>
      </c>
      <c r="M40" s="50">
        <v>28</v>
      </c>
      <c r="N40" s="50">
        <v>0</v>
      </c>
      <c r="O40" s="15">
        <f t="shared" si="0"/>
        <v>9</v>
      </c>
      <c r="P40" s="15">
        <f t="shared" si="1"/>
        <v>37</v>
      </c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2</v>
      </c>
      <c r="F41" s="50">
        <v>5</v>
      </c>
      <c r="G41" s="50">
        <v>0</v>
      </c>
      <c r="H41" s="50">
        <v>0</v>
      </c>
      <c r="I41" s="50">
        <v>2</v>
      </c>
      <c r="J41" s="50">
        <v>1</v>
      </c>
      <c r="K41" s="50">
        <v>3</v>
      </c>
      <c r="L41" s="50">
        <v>0</v>
      </c>
      <c r="M41" s="50">
        <v>39</v>
      </c>
      <c r="N41" s="50">
        <v>0</v>
      </c>
      <c r="O41" s="15">
        <f t="shared" si="0"/>
        <v>16</v>
      </c>
      <c r="P41" s="15">
        <f t="shared" si="1"/>
        <v>55</v>
      </c>
    </row>
    <row r="42" spans="2:20" ht="23.1" customHeight="1" x14ac:dyDescent="0.25">
      <c r="B42" s="24" t="s">
        <v>69</v>
      </c>
      <c r="C42" s="50">
        <v>6</v>
      </c>
      <c r="D42" s="50">
        <v>0</v>
      </c>
      <c r="E42" s="50">
        <v>2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23</v>
      </c>
      <c r="N42" s="50">
        <v>0</v>
      </c>
      <c r="O42" s="15">
        <f t="shared" si="0"/>
        <v>11</v>
      </c>
      <c r="P42" s="15">
        <f t="shared" si="1"/>
        <v>34</v>
      </c>
    </row>
    <row r="43" spans="2:20" ht="23.1" customHeight="1" x14ac:dyDescent="0.25">
      <c r="B43" s="23" t="s">
        <v>70</v>
      </c>
      <c r="C43" s="50">
        <v>10</v>
      </c>
      <c r="D43" s="50">
        <v>0</v>
      </c>
      <c r="E43" s="50">
        <v>4</v>
      </c>
      <c r="F43" s="50">
        <v>3</v>
      </c>
      <c r="G43" s="50">
        <v>0</v>
      </c>
      <c r="H43" s="50">
        <v>0</v>
      </c>
      <c r="I43" s="50">
        <v>1</v>
      </c>
      <c r="J43" s="50">
        <v>0</v>
      </c>
      <c r="K43" s="50">
        <v>2</v>
      </c>
      <c r="L43" s="50">
        <v>0</v>
      </c>
      <c r="M43" s="50">
        <v>38</v>
      </c>
      <c r="N43" s="50">
        <v>0</v>
      </c>
      <c r="O43" s="15">
        <f t="shared" si="0"/>
        <v>20</v>
      </c>
      <c r="P43" s="15">
        <f t="shared" si="1"/>
        <v>58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1</v>
      </c>
      <c r="F44" s="50">
        <v>2</v>
      </c>
      <c r="G44" s="50">
        <v>0</v>
      </c>
      <c r="H44" s="50">
        <v>0</v>
      </c>
      <c r="I44" s="50">
        <v>0</v>
      </c>
      <c r="J44" s="50">
        <v>0</v>
      </c>
      <c r="K44" s="50">
        <v>2</v>
      </c>
      <c r="L44" s="50">
        <v>0</v>
      </c>
      <c r="M44" s="50">
        <v>26</v>
      </c>
      <c r="N44" s="50">
        <v>0</v>
      </c>
      <c r="O44" s="15">
        <f t="shared" si="0"/>
        <v>6</v>
      </c>
      <c r="P44" s="15">
        <f t="shared" si="1"/>
        <v>32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2</v>
      </c>
      <c r="F45" s="50">
        <v>3</v>
      </c>
      <c r="G45" s="50">
        <v>0</v>
      </c>
      <c r="H45" s="50">
        <v>0</v>
      </c>
      <c r="I45" s="50">
        <v>1</v>
      </c>
      <c r="J45" s="50">
        <v>0</v>
      </c>
      <c r="K45" s="50">
        <v>3</v>
      </c>
      <c r="L45" s="50">
        <v>0</v>
      </c>
      <c r="M45" s="50">
        <v>43</v>
      </c>
      <c r="N45" s="50">
        <v>0</v>
      </c>
      <c r="O45" s="15">
        <f t="shared" si="0"/>
        <v>11</v>
      </c>
      <c r="P45" s="15">
        <f t="shared" si="1"/>
        <v>54</v>
      </c>
    </row>
    <row r="46" spans="2:20" ht="23.1" customHeight="1" x14ac:dyDescent="0.25">
      <c r="B46" s="24" t="s">
        <v>73</v>
      </c>
      <c r="C46" s="50">
        <v>1</v>
      </c>
      <c r="D46" s="50">
        <v>1</v>
      </c>
      <c r="E46" s="50">
        <v>4</v>
      </c>
      <c r="F46" s="50">
        <v>5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46</v>
      </c>
      <c r="N46" s="50">
        <v>0</v>
      </c>
      <c r="O46" s="15">
        <f t="shared" si="0"/>
        <v>13</v>
      </c>
      <c r="P46" s="15">
        <f t="shared" si="1"/>
        <v>59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7</v>
      </c>
      <c r="F47" s="50">
        <v>8</v>
      </c>
      <c r="G47" s="50">
        <v>0</v>
      </c>
      <c r="H47" s="50">
        <v>0</v>
      </c>
      <c r="I47" s="50">
        <v>2</v>
      </c>
      <c r="J47" s="50">
        <v>2</v>
      </c>
      <c r="K47" s="50">
        <v>0</v>
      </c>
      <c r="L47" s="50">
        <v>0</v>
      </c>
      <c r="M47" s="50">
        <v>76</v>
      </c>
      <c r="N47" s="50">
        <v>0</v>
      </c>
      <c r="O47" s="15">
        <f t="shared" si="0"/>
        <v>22</v>
      </c>
      <c r="P47" s="15">
        <f t="shared" si="1"/>
        <v>98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0</v>
      </c>
      <c r="E48" s="50">
        <v>2</v>
      </c>
      <c r="F48" s="50">
        <v>2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31</v>
      </c>
      <c r="N48" s="50">
        <v>0</v>
      </c>
      <c r="O48" s="15">
        <f t="shared" si="0"/>
        <v>10</v>
      </c>
      <c r="P48" s="15">
        <f t="shared" si="1"/>
        <v>41</v>
      </c>
      <c r="R48" s="8"/>
      <c r="T48"/>
    </row>
    <row r="49" spans="2:20" ht="23.1" customHeight="1" x14ac:dyDescent="0.25">
      <c r="B49" s="23" t="s">
        <v>76</v>
      </c>
      <c r="C49" s="50">
        <v>8</v>
      </c>
      <c r="D49" s="50">
        <v>0</v>
      </c>
      <c r="E49" s="50">
        <v>3</v>
      </c>
      <c r="F49" s="50">
        <v>4</v>
      </c>
      <c r="G49" s="50">
        <v>0</v>
      </c>
      <c r="H49" s="50">
        <v>0</v>
      </c>
      <c r="I49" s="50">
        <v>1</v>
      </c>
      <c r="J49" s="50">
        <v>2</v>
      </c>
      <c r="K49" s="50">
        <v>1</v>
      </c>
      <c r="L49" s="50">
        <v>0</v>
      </c>
      <c r="M49" s="50">
        <v>52</v>
      </c>
      <c r="N49" s="50">
        <v>0</v>
      </c>
      <c r="O49" s="15">
        <f t="shared" si="0"/>
        <v>19</v>
      </c>
      <c r="P49" s="15">
        <f t="shared" si="1"/>
        <v>71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3</v>
      </c>
      <c r="F50" s="50">
        <v>3</v>
      </c>
      <c r="G50" s="50">
        <v>0</v>
      </c>
      <c r="H50" s="50">
        <v>0</v>
      </c>
      <c r="I50" s="50">
        <v>2</v>
      </c>
      <c r="J50" s="50">
        <v>2</v>
      </c>
      <c r="K50" s="50">
        <v>0</v>
      </c>
      <c r="L50" s="50">
        <v>2</v>
      </c>
      <c r="M50" s="50">
        <v>31</v>
      </c>
      <c r="N50" s="50">
        <v>0</v>
      </c>
      <c r="O50" s="15">
        <f t="shared" si="0"/>
        <v>14</v>
      </c>
      <c r="P50" s="15">
        <f t="shared" si="1"/>
        <v>45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1</v>
      </c>
      <c r="E51" s="50">
        <v>4</v>
      </c>
      <c r="F51" s="50">
        <v>5</v>
      </c>
      <c r="G51" s="50">
        <v>0</v>
      </c>
      <c r="H51" s="50">
        <v>0</v>
      </c>
      <c r="I51" s="50">
        <v>3</v>
      </c>
      <c r="J51" s="50">
        <v>3</v>
      </c>
      <c r="K51" s="50">
        <v>1</v>
      </c>
      <c r="L51" s="50">
        <v>4</v>
      </c>
      <c r="M51" s="50">
        <v>53</v>
      </c>
      <c r="N51" s="50">
        <v>0</v>
      </c>
      <c r="O51" s="15">
        <f t="shared" si="0"/>
        <v>25</v>
      </c>
      <c r="P51" s="15">
        <f t="shared" si="1"/>
        <v>78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0</v>
      </c>
      <c r="E52" s="50">
        <v>4</v>
      </c>
      <c r="F52" s="50">
        <v>3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2</v>
      </c>
      <c r="M52" s="50">
        <v>34</v>
      </c>
      <c r="N52" s="50">
        <v>0</v>
      </c>
      <c r="O52" s="15">
        <f t="shared" si="0"/>
        <v>17</v>
      </c>
      <c r="P52" s="15">
        <f t="shared" si="1"/>
        <v>51</v>
      </c>
      <c r="R52" s="8"/>
      <c r="T52"/>
    </row>
    <row r="53" spans="2:20" ht="23.1" customHeight="1" x14ac:dyDescent="0.25">
      <c r="B53" s="23" t="s">
        <v>80</v>
      </c>
      <c r="C53" s="50">
        <v>10</v>
      </c>
      <c r="D53" s="50">
        <v>1</v>
      </c>
      <c r="E53" s="50">
        <v>5</v>
      </c>
      <c r="F53" s="50">
        <v>5</v>
      </c>
      <c r="G53" s="50">
        <v>0</v>
      </c>
      <c r="H53" s="50">
        <v>0</v>
      </c>
      <c r="I53" s="50">
        <v>4</v>
      </c>
      <c r="J53" s="50">
        <v>1</v>
      </c>
      <c r="K53" s="50">
        <v>1</v>
      </c>
      <c r="L53" s="50">
        <v>3</v>
      </c>
      <c r="M53" s="50">
        <v>56</v>
      </c>
      <c r="N53" s="50">
        <v>0</v>
      </c>
      <c r="O53" s="15">
        <f t="shared" si="0"/>
        <v>30</v>
      </c>
      <c r="P53" s="15">
        <f t="shared" si="1"/>
        <v>86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2</v>
      </c>
      <c r="F54" s="50">
        <v>4</v>
      </c>
      <c r="G54" s="50">
        <v>0</v>
      </c>
      <c r="H54" s="50">
        <v>0</v>
      </c>
      <c r="I54" s="50">
        <v>1</v>
      </c>
      <c r="J54" s="50">
        <v>2</v>
      </c>
      <c r="K54" s="50">
        <v>2</v>
      </c>
      <c r="L54" s="50">
        <v>1</v>
      </c>
      <c r="M54" s="50">
        <v>36</v>
      </c>
      <c r="N54" s="50">
        <v>0</v>
      </c>
      <c r="O54" s="15">
        <f t="shared" si="0"/>
        <v>16</v>
      </c>
      <c r="P54" s="15">
        <f t="shared" si="1"/>
        <v>52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0</v>
      </c>
      <c r="E55" s="50">
        <v>4</v>
      </c>
      <c r="F55" s="50">
        <v>7</v>
      </c>
      <c r="G55" s="50">
        <v>0</v>
      </c>
      <c r="H55" s="50">
        <v>0</v>
      </c>
      <c r="I55" s="50">
        <v>2</v>
      </c>
      <c r="J55" s="50">
        <v>4</v>
      </c>
      <c r="K55" s="50">
        <v>3</v>
      </c>
      <c r="L55" s="50">
        <v>2</v>
      </c>
      <c r="M55" s="50">
        <v>60</v>
      </c>
      <c r="N55" s="50">
        <v>0</v>
      </c>
      <c r="O55" s="15">
        <f t="shared" si="0"/>
        <v>28</v>
      </c>
      <c r="P55" s="15">
        <f t="shared" si="1"/>
        <v>88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3</v>
      </c>
      <c r="F56" s="50">
        <v>3</v>
      </c>
      <c r="G56" s="50">
        <v>0</v>
      </c>
      <c r="H56" s="50">
        <v>0</v>
      </c>
      <c r="I56" s="50">
        <v>1</v>
      </c>
      <c r="J56" s="50">
        <v>0</v>
      </c>
      <c r="K56" s="50">
        <v>2</v>
      </c>
      <c r="L56" s="50">
        <v>2</v>
      </c>
      <c r="M56" s="50">
        <v>41</v>
      </c>
      <c r="N56" s="50">
        <v>0</v>
      </c>
      <c r="O56" s="15">
        <f t="shared" si="0"/>
        <v>14</v>
      </c>
      <c r="P56" s="15">
        <f t="shared" si="1"/>
        <v>55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1</v>
      </c>
      <c r="E57" s="50">
        <v>4</v>
      </c>
      <c r="F57" s="50">
        <v>5</v>
      </c>
      <c r="G57" s="50">
        <v>0</v>
      </c>
      <c r="H57" s="50">
        <v>0</v>
      </c>
      <c r="I57" s="50">
        <v>2</v>
      </c>
      <c r="J57" s="50">
        <v>0</v>
      </c>
      <c r="K57" s="50">
        <v>3</v>
      </c>
      <c r="L57" s="50">
        <v>3</v>
      </c>
      <c r="M57" s="50">
        <v>68</v>
      </c>
      <c r="N57" s="50">
        <v>0</v>
      </c>
      <c r="O57" s="15">
        <f t="shared" si="0"/>
        <v>23</v>
      </c>
      <c r="P57" s="15">
        <f t="shared" si="1"/>
        <v>91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204</v>
      </c>
      <c r="D58" s="16">
        <f t="shared" si="21"/>
        <v>9</v>
      </c>
      <c r="E58" s="16">
        <f t="shared" si="21"/>
        <v>137</v>
      </c>
      <c r="F58" s="16">
        <f t="shared" si="21"/>
        <v>179</v>
      </c>
      <c r="G58" s="16">
        <f t="shared" si="21"/>
        <v>0</v>
      </c>
      <c r="H58" s="16">
        <f t="shared" si="21"/>
        <v>2</v>
      </c>
      <c r="I58" s="16">
        <f t="shared" si="21"/>
        <v>62</v>
      </c>
      <c r="J58" s="16">
        <f t="shared" si="21"/>
        <v>29</v>
      </c>
      <c r="K58" s="16">
        <f t="shared" si="21"/>
        <v>69</v>
      </c>
      <c r="L58" s="16">
        <f t="shared" si="21"/>
        <v>58</v>
      </c>
      <c r="M58" s="16">
        <f t="shared" si="21"/>
        <v>1906</v>
      </c>
      <c r="N58" s="16">
        <f t="shared" si="21"/>
        <v>2</v>
      </c>
      <c r="O58" s="16">
        <f t="shared" si="21"/>
        <v>751</v>
      </c>
      <c r="P58" s="16">
        <f t="shared" si="21"/>
        <v>2657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7.6778321415129844E-2</v>
      </c>
      <c r="D59" s="43">
        <f t="shared" si="22"/>
        <v>3.387278885961611E-3</v>
      </c>
      <c r="E59" s="43">
        <f t="shared" si="22"/>
        <v>5.1561911930748966E-2</v>
      </c>
      <c r="F59" s="43">
        <f t="shared" si="22"/>
        <v>6.7369213398569813E-2</v>
      </c>
      <c r="G59" s="43">
        <f t="shared" si="22"/>
        <v>0</v>
      </c>
      <c r="H59" s="43">
        <f t="shared" si="22"/>
        <v>7.5272864132480243E-4</v>
      </c>
      <c r="I59" s="43">
        <f t="shared" si="22"/>
        <v>2.3334587881068874E-2</v>
      </c>
      <c r="J59" s="43">
        <f t="shared" si="22"/>
        <v>1.0914565299209636E-2</v>
      </c>
      <c r="K59" s="43">
        <f t="shared" si="22"/>
        <v>2.5969138125705685E-2</v>
      </c>
      <c r="L59" s="43">
        <f t="shared" si="22"/>
        <v>2.1829130598419271E-2</v>
      </c>
      <c r="M59" s="43">
        <f t="shared" si="22"/>
        <v>0.71735039518253674</v>
      </c>
      <c r="N59" s="43">
        <f t="shared" si="22"/>
        <v>7.5272864132480243E-4</v>
      </c>
      <c r="R59" s="8"/>
      <c r="T59"/>
    </row>
    <row r="60" spans="2:20" ht="23.1" customHeight="1" x14ac:dyDescent="0.25">
      <c r="B60" s="42" t="s">
        <v>94</v>
      </c>
      <c r="C60" s="44">
        <f>C58/$O$58</f>
        <v>0.27163781624500666</v>
      </c>
      <c r="D60" s="44">
        <f t="shared" ref="D60:N60" si="23">D58/$O$58</f>
        <v>1.1984021304926764E-2</v>
      </c>
      <c r="E60" s="44">
        <f t="shared" si="23"/>
        <v>0.18242343541944075</v>
      </c>
      <c r="F60" s="44">
        <f t="shared" si="23"/>
        <v>0.23834886817576564</v>
      </c>
      <c r="G60" s="44">
        <f t="shared" si="23"/>
        <v>0</v>
      </c>
      <c r="H60" s="44">
        <f t="shared" si="23"/>
        <v>2.6631158455392811E-3</v>
      </c>
      <c r="I60" s="44">
        <f t="shared" si="23"/>
        <v>8.2556591211717711E-2</v>
      </c>
      <c r="J60" s="44">
        <f t="shared" si="23"/>
        <v>3.8615179760319571E-2</v>
      </c>
      <c r="K60" s="44">
        <f t="shared" si="23"/>
        <v>9.1877496671105188E-2</v>
      </c>
      <c r="L60" s="44">
        <f t="shared" si="23"/>
        <v>7.7230359520639141E-2</v>
      </c>
      <c r="M60" s="44"/>
      <c r="N60" s="44">
        <f t="shared" si="23"/>
        <v>2.6631158455392811E-3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'09.09 Ishaka-Katungulu'!C3:G3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56" t="str">
        <f>'09.09 Ishaka-Katungulu'!G5:H5</f>
        <v>Rubirizi</v>
      </c>
      <c r="H5" s="57"/>
      <c r="I5" s="14"/>
      <c r="J5" s="2" t="s">
        <v>5</v>
      </c>
      <c r="K5" s="56" t="str">
        <f>'09.09 Ishaka-Katungulu'!K5:L5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'09.09 Ishaka-Katungulu'!D6:E6</f>
        <v>Ishaka</v>
      </c>
      <c r="E6" s="57"/>
      <c r="F6" s="2" t="s">
        <v>2</v>
      </c>
      <c r="G6" s="56" t="str">
        <f>'09.09 Ishaka-Katungulu'!G6:H6</f>
        <v>Katungulu</v>
      </c>
      <c r="H6" s="57"/>
      <c r="J6" s="2" t="s">
        <v>21</v>
      </c>
      <c r="K6" s="56" t="str">
        <f>'09.09 Ishaka-Katungulu'!K6:L6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1</v>
      </c>
      <c r="M10" s="50">
        <v>2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3</v>
      </c>
      <c r="R10" s="1" t="s">
        <v>6</v>
      </c>
      <c r="S10" s="17">
        <f t="shared" ref="S10:AF10" si="2">SUM(C10:C13)</f>
        <v>6</v>
      </c>
      <c r="T10" s="17">
        <f t="shared" si="2"/>
        <v>0</v>
      </c>
      <c r="U10" s="17">
        <f t="shared" si="2"/>
        <v>1</v>
      </c>
      <c r="V10" s="17">
        <f t="shared" si="2"/>
        <v>7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1</v>
      </c>
      <c r="AA10" s="17">
        <f t="shared" si="2"/>
        <v>4</v>
      </c>
      <c r="AB10" s="17">
        <f t="shared" si="2"/>
        <v>3</v>
      </c>
      <c r="AC10" s="17">
        <f t="shared" si="2"/>
        <v>39</v>
      </c>
      <c r="AD10" s="17">
        <f t="shared" si="2"/>
        <v>0</v>
      </c>
      <c r="AE10" s="31">
        <f t="shared" si="2"/>
        <v>23</v>
      </c>
      <c r="AF10" s="31">
        <f t="shared" si="2"/>
        <v>62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2</v>
      </c>
      <c r="M11" s="50">
        <v>3</v>
      </c>
      <c r="N11" s="50">
        <v>0</v>
      </c>
      <c r="O11" s="15">
        <f t="shared" si="0"/>
        <v>5</v>
      </c>
      <c r="P11" s="15">
        <f t="shared" si="1"/>
        <v>8</v>
      </c>
      <c r="R11" s="1" t="s">
        <v>7</v>
      </c>
      <c r="S11" s="17">
        <f t="shared" ref="S11:AF11" si="3">SUM(C14:C17)</f>
        <v>18</v>
      </c>
      <c r="T11" s="17">
        <f t="shared" si="3"/>
        <v>1</v>
      </c>
      <c r="U11" s="17">
        <f t="shared" si="3"/>
        <v>15</v>
      </c>
      <c r="V11" s="17">
        <f t="shared" si="3"/>
        <v>14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5</v>
      </c>
      <c r="AA11" s="17">
        <f t="shared" si="3"/>
        <v>12</v>
      </c>
      <c r="AB11" s="17">
        <f t="shared" si="3"/>
        <v>2</v>
      </c>
      <c r="AC11" s="17">
        <f t="shared" si="3"/>
        <v>152</v>
      </c>
      <c r="AD11" s="17">
        <f t="shared" si="3"/>
        <v>0</v>
      </c>
      <c r="AE11" s="31">
        <f t="shared" si="3"/>
        <v>71</v>
      </c>
      <c r="AF11" s="31">
        <f t="shared" si="3"/>
        <v>223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1</v>
      </c>
      <c r="L12" s="50">
        <v>0</v>
      </c>
      <c r="M12" s="50">
        <v>13</v>
      </c>
      <c r="N12" s="50">
        <v>0</v>
      </c>
      <c r="O12" s="15">
        <f t="shared" si="0"/>
        <v>5</v>
      </c>
      <c r="P12" s="15">
        <f t="shared" si="1"/>
        <v>18</v>
      </c>
      <c r="R12" s="1" t="s">
        <v>8</v>
      </c>
      <c r="S12" s="17">
        <f t="shared" ref="S12:AF12" si="4">SUM(C18:C21)</f>
        <v>16</v>
      </c>
      <c r="T12" s="17">
        <f t="shared" si="4"/>
        <v>2</v>
      </c>
      <c r="U12" s="17">
        <f t="shared" si="4"/>
        <v>22</v>
      </c>
      <c r="V12" s="17">
        <f t="shared" si="4"/>
        <v>14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1</v>
      </c>
      <c r="AA12" s="17">
        <f t="shared" si="4"/>
        <v>11</v>
      </c>
      <c r="AB12" s="17">
        <f t="shared" si="4"/>
        <v>8</v>
      </c>
      <c r="AC12" s="17">
        <f t="shared" si="4"/>
        <v>200</v>
      </c>
      <c r="AD12" s="17">
        <f t="shared" si="4"/>
        <v>0</v>
      </c>
      <c r="AE12" s="31">
        <f t="shared" si="4"/>
        <v>80</v>
      </c>
      <c r="AF12" s="31">
        <f t="shared" si="4"/>
        <v>280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1</v>
      </c>
      <c r="F13" s="50">
        <v>4</v>
      </c>
      <c r="G13" s="50">
        <v>0</v>
      </c>
      <c r="H13" s="50">
        <v>0</v>
      </c>
      <c r="I13" s="50">
        <v>1</v>
      </c>
      <c r="J13" s="50">
        <v>1</v>
      </c>
      <c r="K13" s="50">
        <v>2</v>
      </c>
      <c r="L13" s="50">
        <v>0</v>
      </c>
      <c r="M13" s="50">
        <v>21</v>
      </c>
      <c r="N13" s="50">
        <v>0</v>
      </c>
      <c r="O13" s="15">
        <f t="shared" si="0"/>
        <v>12</v>
      </c>
      <c r="P13" s="15">
        <f t="shared" si="1"/>
        <v>33</v>
      </c>
      <c r="R13" s="1" t="s">
        <v>9</v>
      </c>
      <c r="S13" s="17">
        <f t="shared" ref="S13:AF13" si="5">SUM(C22:C25)</f>
        <v>14</v>
      </c>
      <c r="T13" s="17">
        <f t="shared" si="5"/>
        <v>2</v>
      </c>
      <c r="U13" s="17">
        <f t="shared" si="5"/>
        <v>26</v>
      </c>
      <c r="V13" s="17">
        <f t="shared" si="5"/>
        <v>10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0</v>
      </c>
      <c r="AA13" s="17">
        <f t="shared" si="5"/>
        <v>4</v>
      </c>
      <c r="AB13" s="17">
        <f t="shared" si="5"/>
        <v>1</v>
      </c>
      <c r="AC13" s="17">
        <f t="shared" si="5"/>
        <v>184</v>
      </c>
      <c r="AD13" s="17">
        <f t="shared" si="5"/>
        <v>0</v>
      </c>
      <c r="AE13" s="31">
        <f t="shared" si="5"/>
        <v>63</v>
      </c>
      <c r="AF13" s="31">
        <f t="shared" si="5"/>
        <v>247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4</v>
      </c>
      <c r="F14" s="50">
        <v>2</v>
      </c>
      <c r="G14" s="50">
        <v>0</v>
      </c>
      <c r="H14" s="50">
        <v>0</v>
      </c>
      <c r="I14" s="50">
        <v>1</v>
      </c>
      <c r="J14" s="50">
        <v>2</v>
      </c>
      <c r="K14" s="50">
        <v>4</v>
      </c>
      <c r="L14" s="50">
        <v>0</v>
      </c>
      <c r="M14" s="50">
        <v>24</v>
      </c>
      <c r="N14" s="50">
        <v>0</v>
      </c>
      <c r="O14" s="15">
        <f t="shared" si="0"/>
        <v>16</v>
      </c>
      <c r="P14" s="15">
        <f t="shared" si="1"/>
        <v>40</v>
      </c>
      <c r="R14" s="1" t="s">
        <v>10</v>
      </c>
      <c r="S14" s="17">
        <f t="shared" ref="S14:AF14" si="6">SUM(C26:C29)</f>
        <v>13</v>
      </c>
      <c r="T14" s="17">
        <f t="shared" si="6"/>
        <v>0</v>
      </c>
      <c r="U14" s="17">
        <f t="shared" si="6"/>
        <v>6</v>
      </c>
      <c r="V14" s="17">
        <f t="shared" si="6"/>
        <v>15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1</v>
      </c>
      <c r="AA14" s="17">
        <f t="shared" si="6"/>
        <v>6</v>
      </c>
      <c r="AB14" s="17">
        <f t="shared" si="6"/>
        <v>6</v>
      </c>
      <c r="AC14" s="17">
        <f t="shared" si="6"/>
        <v>146</v>
      </c>
      <c r="AD14" s="17">
        <f t="shared" si="6"/>
        <v>0</v>
      </c>
      <c r="AE14" s="31">
        <f t="shared" si="6"/>
        <v>49</v>
      </c>
      <c r="AF14" s="31">
        <f t="shared" si="6"/>
        <v>195</v>
      </c>
    </row>
    <row r="15" spans="2:32" ht="23.1" customHeight="1" x14ac:dyDescent="0.25">
      <c r="B15" s="23" t="s">
        <v>42</v>
      </c>
      <c r="C15" s="50">
        <v>5</v>
      </c>
      <c r="D15" s="50">
        <v>1</v>
      </c>
      <c r="E15" s="50">
        <v>6</v>
      </c>
      <c r="F15" s="50">
        <v>4</v>
      </c>
      <c r="G15" s="50">
        <v>0</v>
      </c>
      <c r="H15" s="50">
        <v>0</v>
      </c>
      <c r="I15" s="50">
        <v>2</v>
      </c>
      <c r="J15" s="50">
        <v>3</v>
      </c>
      <c r="K15" s="50">
        <v>7</v>
      </c>
      <c r="L15" s="50">
        <v>1</v>
      </c>
      <c r="M15" s="50">
        <v>40</v>
      </c>
      <c r="N15" s="50">
        <v>0</v>
      </c>
      <c r="O15" s="15">
        <f t="shared" si="0"/>
        <v>29</v>
      </c>
      <c r="P15" s="15">
        <f t="shared" si="1"/>
        <v>69</v>
      </c>
      <c r="R15" s="1" t="s">
        <v>11</v>
      </c>
      <c r="S15" s="17">
        <f t="shared" ref="S15:AF15" si="7">SUM(C30:C33)</f>
        <v>23</v>
      </c>
      <c r="T15" s="17">
        <f t="shared" si="7"/>
        <v>1</v>
      </c>
      <c r="U15" s="17">
        <f t="shared" si="7"/>
        <v>18</v>
      </c>
      <c r="V15" s="17">
        <f t="shared" si="7"/>
        <v>9</v>
      </c>
      <c r="W15" s="17">
        <f t="shared" si="7"/>
        <v>5</v>
      </c>
      <c r="X15" s="17">
        <f t="shared" si="7"/>
        <v>5</v>
      </c>
      <c r="Y15" s="17">
        <f t="shared" si="7"/>
        <v>6</v>
      </c>
      <c r="Z15" s="17">
        <f t="shared" si="7"/>
        <v>6</v>
      </c>
      <c r="AA15" s="17">
        <f t="shared" si="7"/>
        <v>3</v>
      </c>
      <c r="AB15" s="17">
        <f t="shared" si="7"/>
        <v>7</v>
      </c>
      <c r="AC15" s="17">
        <f t="shared" si="7"/>
        <v>141</v>
      </c>
      <c r="AD15" s="17">
        <f t="shared" si="7"/>
        <v>0</v>
      </c>
      <c r="AE15" s="31">
        <f t="shared" si="7"/>
        <v>83</v>
      </c>
      <c r="AF15" s="31">
        <f t="shared" si="7"/>
        <v>224</v>
      </c>
    </row>
    <row r="16" spans="2:32" ht="23.1" customHeight="1" x14ac:dyDescent="0.25">
      <c r="B16" s="23" t="s">
        <v>43</v>
      </c>
      <c r="C16" s="50">
        <v>4</v>
      </c>
      <c r="D16" s="50">
        <v>0</v>
      </c>
      <c r="E16" s="50">
        <v>2</v>
      </c>
      <c r="F16" s="50">
        <v>3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33</v>
      </c>
      <c r="N16" s="50">
        <v>0</v>
      </c>
      <c r="O16" s="15">
        <f t="shared" si="0"/>
        <v>9</v>
      </c>
      <c r="P16" s="15">
        <f t="shared" si="1"/>
        <v>42</v>
      </c>
      <c r="R16" s="1" t="s">
        <v>12</v>
      </c>
      <c r="S16" s="17">
        <f t="shared" ref="S16:AF16" si="8">SUM(C34:C37)</f>
        <v>16</v>
      </c>
      <c r="T16" s="17">
        <f t="shared" si="8"/>
        <v>0</v>
      </c>
      <c r="U16" s="17">
        <f t="shared" si="8"/>
        <v>10</v>
      </c>
      <c r="V16" s="17">
        <f t="shared" si="8"/>
        <v>17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4</v>
      </c>
      <c r="AA16" s="17">
        <f t="shared" si="8"/>
        <v>9</v>
      </c>
      <c r="AB16" s="17">
        <f t="shared" si="8"/>
        <v>4</v>
      </c>
      <c r="AC16" s="17">
        <f t="shared" si="8"/>
        <v>191</v>
      </c>
      <c r="AD16" s="17">
        <f t="shared" si="8"/>
        <v>0</v>
      </c>
      <c r="AE16" s="31">
        <f t="shared" si="8"/>
        <v>70</v>
      </c>
      <c r="AF16" s="31">
        <f t="shared" si="8"/>
        <v>261</v>
      </c>
    </row>
    <row r="17" spans="2:32" ht="23.1" customHeight="1" x14ac:dyDescent="0.25">
      <c r="B17" s="23" t="s">
        <v>44</v>
      </c>
      <c r="C17" s="50">
        <v>6</v>
      </c>
      <c r="D17" s="50">
        <v>0</v>
      </c>
      <c r="E17" s="50">
        <v>3</v>
      </c>
      <c r="F17" s="50">
        <v>5</v>
      </c>
      <c r="G17" s="50">
        <v>0</v>
      </c>
      <c r="H17" s="50">
        <v>0</v>
      </c>
      <c r="I17" s="50">
        <v>1</v>
      </c>
      <c r="J17" s="50">
        <v>0</v>
      </c>
      <c r="K17" s="50">
        <v>1</v>
      </c>
      <c r="L17" s="50">
        <v>1</v>
      </c>
      <c r="M17" s="50">
        <v>55</v>
      </c>
      <c r="N17" s="50">
        <v>0</v>
      </c>
      <c r="O17" s="15">
        <f t="shared" si="0"/>
        <v>17</v>
      </c>
      <c r="P17" s="15">
        <f t="shared" si="1"/>
        <v>72</v>
      </c>
      <c r="R17" s="1" t="s">
        <v>13</v>
      </c>
      <c r="S17" s="17">
        <f t="shared" ref="S17:AF17" si="9">SUM(C38:C41)</f>
        <v>24</v>
      </c>
      <c r="T17" s="17">
        <f t="shared" si="9"/>
        <v>2</v>
      </c>
      <c r="U17" s="17">
        <f t="shared" si="9"/>
        <v>17</v>
      </c>
      <c r="V17" s="17">
        <f t="shared" si="9"/>
        <v>16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2</v>
      </c>
      <c r="AA17" s="17">
        <f t="shared" si="9"/>
        <v>9</v>
      </c>
      <c r="AB17" s="17">
        <f t="shared" si="9"/>
        <v>1</v>
      </c>
      <c r="AC17" s="17">
        <f t="shared" si="9"/>
        <v>46</v>
      </c>
      <c r="AD17" s="17">
        <f t="shared" si="9"/>
        <v>0</v>
      </c>
      <c r="AE17" s="31">
        <f t="shared" si="9"/>
        <v>75</v>
      </c>
      <c r="AF17" s="31">
        <f t="shared" si="9"/>
        <v>121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4</v>
      </c>
      <c r="F18" s="50">
        <v>2</v>
      </c>
      <c r="G18" s="50">
        <v>0</v>
      </c>
      <c r="H18" s="50">
        <v>0</v>
      </c>
      <c r="I18" s="50">
        <v>2</v>
      </c>
      <c r="J18" s="50">
        <v>0</v>
      </c>
      <c r="K18" s="50">
        <v>3</v>
      </c>
      <c r="L18" s="50">
        <v>1</v>
      </c>
      <c r="M18" s="50">
        <v>34</v>
      </c>
      <c r="N18" s="50">
        <v>0</v>
      </c>
      <c r="O18" s="15">
        <f t="shared" si="0"/>
        <v>13</v>
      </c>
      <c r="P18" s="15">
        <f t="shared" si="1"/>
        <v>47</v>
      </c>
      <c r="R18" s="1" t="s">
        <v>14</v>
      </c>
      <c r="S18" s="17">
        <f t="shared" ref="S18:AF18" si="10">SUM(C42:C45)</f>
        <v>12</v>
      </c>
      <c r="T18" s="17">
        <f t="shared" si="10"/>
        <v>1</v>
      </c>
      <c r="U18" s="17">
        <f t="shared" si="10"/>
        <v>15</v>
      </c>
      <c r="V18" s="17">
        <f t="shared" si="10"/>
        <v>16</v>
      </c>
      <c r="W18" s="17">
        <f t="shared" si="10"/>
        <v>1</v>
      </c>
      <c r="X18" s="17">
        <f t="shared" si="10"/>
        <v>1</v>
      </c>
      <c r="Y18" s="17">
        <f t="shared" si="10"/>
        <v>8</v>
      </c>
      <c r="Z18" s="17">
        <f t="shared" si="10"/>
        <v>0</v>
      </c>
      <c r="AA18" s="17">
        <f t="shared" si="10"/>
        <v>2</v>
      </c>
      <c r="AB18" s="17">
        <f t="shared" si="10"/>
        <v>3</v>
      </c>
      <c r="AC18" s="17">
        <f t="shared" si="10"/>
        <v>163</v>
      </c>
      <c r="AD18" s="17">
        <f t="shared" si="10"/>
        <v>0</v>
      </c>
      <c r="AE18" s="31">
        <f t="shared" si="10"/>
        <v>59</v>
      </c>
      <c r="AF18" s="31">
        <f t="shared" si="10"/>
        <v>222</v>
      </c>
    </row>
    <row r="19" spans="2:32" ht="23.1" customHeight="1" x14ac:dyDescent="0.25">
      <c r="B19" s="23" t="s">
        <v>46</v>
      </c>
      <c r="C19" s="50">
        <v>2</v>
      </c>
      <c r="D19" s="50">
        <v>1</v>
      </c>
      <c r="E19" s="50">
        <v>6</v>
      </c>
      <c r="F19" s="50">
        <v>4</v>
      </c>
      <c r="G19" s="50">
        <v>0</v>
      </c>
      <c r="H19" s="50">
        <v>0</v>
      </c>
      <c r="I19" s="50">
        <v>4</v>
      </c>
      <c r="J19" s="50">
        <v>0</v>
      </c>
      <c r="K19" s="50">
        <v>5</v>
      </c>
      <c r="L19" s="50">
        <v>2</v>
      </c>
      <c r="M19" s="50">
        <v>56</v>
      </c>
      <c r="N19" s="50">
        <v>0</v>
      </c>
      <c r="O19" s="15">
        <f t="shared" si="0"/>
        <v>24</v>
      </c>
      <c r="P19" s="15">
        <f t="shared" si="1"/>
        <v>80</v>
      </c>
      <c r="R19" s="1" t="s">
        <v>15</v>
      </c>
      <c r="S19" s="17">
        <f t="shared" ref="S19:AF19" si="11">SUM(C46:C49)</f>
        <v>11</v>
      </c>
      <c r="T19" s="17">
        <f t="shared" si="11"/>
        <v>2</v>
      </c>
      <c r="U19" s="17">
        <f t="shared" si="11"/>
        <v>21</v>
      </c>
      <c r="V19" s="17">
        <f t="shared" si="11"/>
        <v>10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0</v>
      </c>
      <c r="AA19" s="17">
        <f t="shared" si="11"/>
        <v>3</v>
      </c>
      <c r="AB19" s="17">
        <f t="shared" si="11"/>
        <v>7</v>
      </c>
      <c r="AC19" s="17">
        <f t="shared" si="11"/>
        <v>173</v>
      </c>
      <c r="AD19" s="17">
        <f t="shared" si="11"/>
        <v>0</v>
      </c>
      <c r="AE19" s="31">
        <f t="shared" si="11"/>
        <v>60</v>
      </c>
      <c r="AF19" s="31">
        <f t="shared" si="11"/>
        <v>233</v>
      </c>
    </row>
    <row r="20" spans="2:32" ht="23.1" customHeight="1" x14ac:dyDescent="0.25">
      <c r="B20" s="23" t="s">
        <v>47</v>
      </c>
      <c r="C20" s="50">
        <v>5</v>
      </c>
      <c r="D20" s="50">
        <v>0</v>
      </c>
      <c r="E20" s="50">
        <v>5</v>
      </c>
      <c r="F20" s="50">
        <v>3</v>
      </c>
      <c r="G20" s="50">
        <v>0</v>
      </c>
      <c r="H20" s="50">
        <v>0</v>
      </c>
      <c r="I20" s="50">
        <v>0</v>
      </c>
      <c r="J20" s="50">
        <v>0</v>
      </c>
      <c r="K20" s="50">
        <v>1</v>
      </c>
      <c r="L20" s="50">
        <v>2</v>
      </c>
      <c r="M20" s="50">
        <v>41</v>
      </c>
      <c r="N20" s="50">
        <v>0</v>
      </c>
      <c r="O20" s="15">
        <f t="shared" si="0"/>
        <v>16</v>
      </c>
      <c r="P20" s="15">
        <f t="shared" si="1"/>
        <v>57</v>
      </c>
      <c r="R20" s="1" t="s">
        <v>16</v>
      </c>
      <c r="S20" s="17">
        <f t="shared" ref="S20:AF20" si="12">SUM(C50:C53)</f>
        <v>31</v>
      </c>
      <c r="T20" s="17">
        <f t="shared" si="12"/>
        <v>3</v>
      </c>
      <c r="U20" s="17">
        <f t="shared" si="12"/>
        <v>37</v>
      </c>
      <c r="V20" s="17">
        <f t="shared" si="12"/>
        <v>9</v>
      </c>
      <c r="W20" s="17">
        <f t="shared" si="12"/>
        <v>0</v>
      </c>
      <c r="X20" s="17">
        <f t="shared" si="12"/>
        <v>0</v>
      </c>
      <c r="Y20" s="17">
        <f t="shared" si="12"/>
        <v>11</v>
      </c>
      <c r="Z20" s="17">
        <f t="shared" si="12"/>
        <v>6</v>
      </c>
      <c r="AA20" s="17">
        <f t="shared" si="12"/>
        <v>4</v>
      </c>
      <c r="AB20" s="17">
        <f t="shared" si="12"/>
        <v>5</v>
      </c>
      <c r="AC20" s="17">
        <f t="shared" si="12"/>
        <v>212</v>
      </c>
      <c r="AD20" s="17">
        <f t="shared" si="12"/>
        <v>0</v>
      </c>
      <c r="AE20" s="31">
        <f t="shared" si="12"/>
        <v>106</v>
      </c>
      <c r="AF20" s="31">
        <f t="shared" si="12"/>
        <v>318</v>
      </c>
    </row>
    <row r="21" spans="2:32" ht="23.1" customHeight="1" x14ac:dyDescent="0.25">
      <c r="B21" s="23" t="s">
        <v>48</v>
      </c>
      <c r="C21" s="50">
        <v>8</v>
      </c>
      <c r="D21" s="50">
        <v>1</v>
      </c>
      <c r="E21" s="50">
        <v>7</v>
      </c>
      <c r="F21" s="50">
        <v>5</v>
      </c>
      <c r="G21" s="50">
        <v>0</v>
      </c>
      <c r="H21" s="50">
        <v>0</v>
      </c>
      <c r="I21" s="50">
        <v>0</v>
      </c>
      <c r="J21" s="50">
        <v>1</v>
      </c>
      <c r="K21" s="50">
        <v>2</v>
      </c>
      <c r="L21" s="50">
        <v>3</v>
      </c>
      <c r="M21" s="50">
        <v>69</v>
      </c>
      <c r="N21" s="50">
        <v>0</v>
      </c>
      <c r="O21" s="15">
        <f t="shared" si="0"/>
        <v>27</v>
      </c>
      <c r="P21" s="15">
        <f t="shared" si="1"/>
        <v>96</v>
      </c>
      <c r="R21" s="36" t="s">
        <v>20</v>
      </c>
      <c r="S21" s="34">
        <f t="shared" ref="S21:AF21" si="13">SUM(C54:C57)</f>
        <v>32</v>
      </c>
      <c r="T21" s="17">
        <f t="shared" si="13"/>
        <v>1</v>
      </c>
      <c r="U21" s="17">
        <f t="shared" si="13"/>
        <v>18</v>
      </c>
      <c r="V21" s="17">
        <f t="shared" si="13"/>
        <v>17</v>
      </c>
      <c r="W21" s="17">
        <f t="shared" si="13"/>
        <v>0</v>
      </c>
      <c r="X21" s="17">
        <f t="shared" si="13"/>
        <v>1</v>
      </c>
      <c r="Y21" s="17">
        <f t="shared" si="13"/>
        <v>6</v>
      </c>
      <c r="Z21" s="17">
        <f t="shared" si="13"/>
        <v>1</v>
      </c>
      <c r="AA21" s="17">
        <f t="shared" si="13"/>
        <v>5</v>
      </c>
      <c r="AB21" s="17">
        <f t="shared" si="13"/>
        <v>3</v>
      </c>
      <c r="AC21" s="17">
        <f t="shared" si="13"/>
        <v>213</v>
      </c>
      <c r="AD21" s="17">
        <f t="shared" si="13"/>
        <v>0</v>
      </c>
      <c r="AE21" s="31">
        <f t="shared" si="13"/>
        <v>84</v>
      </c>
      <c r="AF21" s="31">
        <f t="shared" si="13"/>
        <v>297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5</v>
      </c>
      <c r="F22" s="50">
        <v>2</v>
      </c>
      <c r="G22" s="50">
        <v>0</v>
      </c>
      <c r="H22" s="50">
        <v>0</v>
      </c>
      <c r="I22" s="50">
        <v>1</v>
      </c>
      <c r="J22" s="50">
        <v>0</v>
      </c>
      <c r="K22" s="50">
        <v>1</v>
      </c>
      <c r="L22" s="50">
        <v>0</v>
      </c>
      <c r="M22" s="50">
        <v>40</v>
      </c>
      <c r="N22" s="50">
        <v>0</v>
      </c>
      <c r="O22" s="15">
        <f t="shared" si="0"/>
        <v>13</v>
      </c>
      <c r="P22" s="15">
        <f t="shared" si="1"/>
        <v>53</v>
      </c>
      <c r="R22" s="38" t="s">
        <v>90</v>
      </c>
      <c r="S22" s="39">
        <f>MAX(S10:S12)</f>
        <v>18</v>
      </c>
      <c r="T22" s="39">
        <f t="shared" ref="T22:AF22" si="14">MAX(T10:T12)</f>
        <v>2</v>
      </c>
      <c r="U22" s="39">
        <f t="shared" si="14"/>
        <v>22</v>
      </c>
      <c r="V22" s="39">
        <f t="shared" si="14"/>
        <v>14</v>
      </c>
      <c r="W22" s="39">
        <f t="shared" si="14"/>
        <v>0</v>
      </c>
      <c r="X22" s="39">
        <f t="shared" si="14"/>
        <v>0</v>
      </c>
      <c r="Y22" s="39">
        <f t="shared" si="14"/>
        <v>6</v>
      </c>
      <c r="Z22" s="39">
        <f t="shared" si="14"/>
        <v>5</v>
      </c>
      <c r="AA22" s="39">
        <f t="shared" si="14"/>
        <v>12</v>
      </c>
      <c r="AB22" s="39">
        <f t="shared" si="14"/>
        <v>8</v>
      </c>
      <c r="AC22" s="39">
        <f t="shared" si="14"/>
        <v>200</v>
      </c>
      <c r="AD22" s="39">
        <f t="shared" si="14"/>
        <v>0</v>
      </c>
      <c r="AE22" s="40">
        <f t="shared" si="14"/>
        <v>80</v>
      </c>
      <c r="AF22" s="40">
        <f t="shared" si="14"/>
        <v>280</v>
      </c>
    </row>
    <row r="23" spans="2:32" ht="23.1" customHeight="1" x14ac:dyDescent="0.25">
      <c r="B23" s="23" t="s">
        <v>50</v>
      </c>
      <c r="C23" s="50">
        <v>7</v>
      </c>
      <c r="D23" s="50">
        <v>1</v>
      </c>
      <c r="E23" s="50">
        <v>8</v>
      </c>
      <c r="F23" s="50">
        <v>3</v>
      </c>
      <c r="G23" s="50">
        <v>0</v>
      </c>
      <c r="H23" s="50">
        <v>0</v>
      </c>
      <c r="I23" s="50">
        <v>2</v>
      </c>
      <c r="J23" s="50">
        <v>0</v>
      </c>
      <c r="K23" s="50">
        <v>2</v>
      </c>
      <c r="L23" s="50">
        <v>0</v>
      </c>
      <c r="M23" s="50">
        <v>66</v>
      </c>
      <c r="N23" s="50">
        <v>0</v>
      </c>
      <c r="O23" s="15">
        <f t="shared" si="0"/>
        <v>23</v>
      </c>
      <c r="P23" s="15">
        <f t="shared" si="1"/>
        <v>89</v>
      </c>
      <c r="R23" s="38" t="s">
        <v>91</v>
      </c>
      <c r="S23" s="39">
        <f>MAX(S13:S18)</f>
        <v>24</v>
      </c>
      <c r="T23" s="39">
        <f t="shared" ref="T23:AF23" si="15">MAX(T13:T18)</f>
        <v>2</v>
      </c>
      <c r="U23" s="39">
        <f t="shared" si="15"/>
        <v>26</v>
      </c>
      <c r="V23" s="39">
        <f t="shared" si="15"/>
        <v>17</v>
      </c>
      <c r="W23" s="39">
        <f t="shared" si="15"/>
        <v>5</v>
      </c>
      <c r="X23" s="39">
        <f t="shared" si="15"/>
        <v>5</v>
      </c>
      <c r="Y23" s="39">
        <f t="shared" si="15"/>
        <v>10</v>
      </c>
      <c r="Z23" s="39">
        <f t="shared" si="15"/>
        <v>6</v>
      </c>
      <c r="AA23" s="39">
        <f t="shared" si="15"/>
        <v>9</v>
      </c>
      <c r="AB23" s="39">
        <f t="shared" si="15"/>
        <v>7</v>
      </c>
      <c r="AC23" s="39">
        <f t="shared" si="15"/>
        <v>191</v>
      </c>
      <c r="AD23" s="39">
        <f t="shared" si="15"/>
        <v>0</v>
      </c>
      <c r="AE23" s="40">
        <f t="shared" si="15"/>
        <v>83</v>
      </c>
      <c r="AF23" s="40">
        <f t="shared" si="15"/>
        <v>261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5</v>
      </c>
      <c r="F24" s="50">
        <v>2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29</v>
      </c>
      <c r="N24" s="50">
        <v>0</v>
      </c>
      <c r="O24" s="15">
        <f t="shared" si="0"/>
        <v>9</v>
      </c>
      <c r="P24" s="15">
        <f t="shared" si="1"/>
        <v>38</v>
      </c>
      <c r="R24" s="38" t="s">
        <v>92</v>
      </c>
      <c r="S24" s="39">
        <f>MAX(S19:S21)</f>
        <v>32</v>
      </c>
      <c r="T24" s="39">
        <f t="shared" ref="T24:AF24" si="16">MAX(T19:T21)</f>
        <v>3</v>
      </c>
      <c r="U24" s="39">
        <f t="shared" si="16"/>
        <v>37</v>
      </c>
      <c r="V24" s="39">
        <f t="shared" si="16"/>
        <v>17</v>
      </c>
      <c r="W24" s="39">
        <f t="shared" si="16"/>
        <v>0</v>
      </c>
      <c r="X24" s="39">
        <f t="shared" si="16"/>
        <v>1</v>
      </c>
      <c r="Y24" s="39">
        <f t="shared" si="16"/>
        <v>11</v>
      </c>
      <c r="Z24" s="39">
        <f t="shared" si="16"/>
        <v>6</v>
      </c>
      <c r="AA24" s="39">
        <f t="shared" si="16"/>
        <v>5</v>
      </c>
      <c r="AB24" s="39">
        <f t="shared" si="16"/>
        <v>7</v>
      </c>
      <c r="AC24" s="39">
        <f t="shared" si="16"/>
        <v>213</v>
      </c>
      <c r="AD24" s="39">
        <f t="shared" si="16"/>
        <v>0</v>
      </c>
      <c r="AE24" s="40">
        <f t="shared" si="16"/>
        <v>106</v>
      </c>
      <c r="AF24" s="40">
        <f t="shared" si="16"/>
        <v>318</v>
      </c>
    </row>
    <row r="25" spans="2:32" ht="23.1" customHeight="1" x14ac:dyDescent="0.25">
      <c r="B25" s="23" t="s">
        <v>52</v>
      </c>
      <c r="C25" s="50">
        <v>2</v>
      </c>
      <c r="D25" s="50">
        <v>1</v>
      </c>
      <c r="E25" s="50">
        <v>8</v>
      </c>
      <c r="F25" s="50">
        <v>3</v>
      </c>
      <c r="G25" s="50">
        <v>0</v>
      </c>
      <c r="H25" s="50">
        <v>0</v>
      </c>
      <c r="I25" s="50">
        <v>2</v>
      </c>
      <c r="J25" s="50">
        <v>0</v>
      </c>
      <c r="K25" s="50">
        <v>1</v>
      </c>
      <c r="L25" s="50">
        <v>1</v>
      </c>
      <c r="M25" s="50">
        <v>49</v>
      </c>
      <c r="N25" s="50">
        <v>0</v>
      </c>
      <c r="O25" s="15">
        <f t="shared" si="0"/>
        <v>18</v>
      </c>
      <c r="P25" s="15">
        <f t="shared" si="1"/>
        <v>67</v>
      </c>
      <c r="R25" s="37" t="s">
        <v>85</v>
      </c>
      <c r="S25" s="35">
        <f t="shared" ref="S25:AF25" si="17">SUM(S10:S12)</f>
        <v>40</v>
      </c>
      <c r="T25" s="16">
        <f t="shared" si="17"/>
        <v>3</v>
      </c>
      <c r="U25" s="16">
        <f t="shared" si="17"/>
        <v>38</v>
      </c>
      <c r="V25" s="16">
        <f t="shared" si="17"/>
        <v>35</v>
      </c>
      <c r="W25" s="16">
        <f t="shared" si="17"/>
        <v>0</v>
      </c>
      <c r="X25" s="16">
        <f t="shared" si="17"/>
        <v>0</v>
      </c>
      <c r="Y25" s="16">
        <f t="shared" si="17"/>
        <v>11</v>
      </c>
      <c r="Z25" s="16">
        <f t="shared" si="17"/>
        <v>7</v>
      </c>
      <c r="AA25" s="16">
        <f t="shared" si="17"/>
        <v>27</v>
      </c>
      <c r="AB25" s="16">
        <f t="shared" si="17"/>
        <v>13</v>
      </c>
      <c r="AC25" s="16">
        <f t="shared" si="17"/>
        <v>391</v>
      </c>
      <c r="AD25" s="16">
        <f t="shared" si="17"/>
        <v>0</v>
      </c>
      <c r="AE25" s="32">
        <f t="shared" si="17"/>
        <v>174</v>
      </c>
      <c r="AF25" s="32">
        <f t="shared" si="17"/>
        <v>565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1</v>
      </c>
      <c r="F26" s="50">
        <v>4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0</v>
      </c>
      <c r="M26" s="50">
        <v>36</v>
      </c>
      <c r="N26" s="50">
        <v>0</v>
      </c>
      <c r="O26" s="15">
        <f t="shared" si="0"/>
        <v>10</v>
      </c>
      <c r="P26" s="15">
        <f t="shared" si="1"/>
        <v>46</v>
      </c>
      <c r="R26" s="28" t="s">
        <v>86</v>
      </c>
      <c r="S26" s="16">
        <f t="shared" ref="S26:AF26" si="18">SUM(S13:S18)</f>
        <v>102</v>
      </c>
      <c r="T26" s="16">
        <f t="shared" si="18"/>
        <v>6</v>
      </c>
      <c r="U26" s="16">
        <f t="shared" si="18"/>
        <v>92</v>
      </c>
      <c r="V26" s="16">
        <f t="shared" si="18"/>
        <v>83</v>
      </c>
      <c r="W26" s="16">
        <f t="shared" si="18"/>
        <v>6</v>
      </c>
      <c r="X26" s="16">
        <f t="shared" si="18"/>
        <v>6</v>
      </c>
      <c r="Y26" s="16">
        <f t="shared" si="18"/>
        <v>36</v>
      </c>
      <c r="Z26" s="16">
        <f t="shared" si="18"/>
        <v>13</v>
      </c>
      <c r="AA26" s="16">
        <f t="shared" si="18"/>
        <v>33</v>
      </c>
      <c r="AB26" s="16">
        <f t="shared" si="18"/>
        <v>22</v>
      </c>
      <c r="AC26" s="16">
        <f t="shared" si="18"/>
        <v>871</v>
      </c>
      <c r="AD26" s="16">
        <f t="shared" si="18"/>
        <v>0</v>
      </c>
      <c r="AE26" s="32">
        <f t="shared" si="18"/>
        <v>399</v>
      </c>
      <c r="AF26" s="32">
        <f t="shared" si="18"/>
        <v>1270</v>
      </c>
    </row>
    <row r="27" spans="2:32" ht="23.1" customHeight="1" x14ac:dyDescent="0.25">
      <c r="B27" s="23" t="s">
        <v>54</v>
      </c>
      <c r="C27" s="50">
        <v>6</v>
      </c>
      <c r="D27" s="50">
        <v>0</v>
      </c>
      <c r="E27" s="50">
        <v>2</v>
      </c>
      <c r="F27" s="50">
        <v>6</v>
      </c>
      <c r="G27" s="50">
        <v>0</v>
      </c>
      <c r="H27" s="50">
        <v>0</v>
      </c>
      <c r="I27" s="50">
        <v>1</v>
      </c>
      <c r="J27" s="50">
        <v>1</v>
      </c>
      <c r="K27" s="50">
        <v>2</v>
      </c>
      <c r="L27" s="50">
        <v>1</v>
      </c>
      <c r="M27" s="50">
        <v>60</v>
      </c>
      <c r="N27" s="50">
        <v>0</v>
      </c>
      <c r="O27" s="15">
        <f t="shared" si="0"/>
        <v>19</v>
      </c>
      <c r="P27" s="15">
        <f t="shared" si="1"/>
        <v>79</v>
      </c>
      <c r="R27" s="29" t="s">
        <v>87</v>
      </c>
      <c r="S27" s="16">
        <f t="shared" ref="S27:AF27" si="19">SUM(S19:S21)</f>
        <v>74</v>
      </c>
      <c r="T27" s="16">
        <f t="shared" si="19"/>
        <v>6</v>
      </c>
      <c r="U27" s="16">
        <f t="shared" si="19"/>
        <v>76</v>
      </c>
      <c r="V27" s="16">
        <f t="shared" si="19"/>
        <v>36</v>
      </c>
      <c r="W27" s="16">
        <f t="shared" si="19"/>
        <v>0</v>
      </c>
      <c r="X27" s="16">
        <f t="shared" si="19"/>
        <v>1</v>
      </c>
      <c r="Y27" s="16">
        <f t="shared" si="19"/>
        <v>23</v>
      </c>
      <c r="Z27" s="16">
        <f t="shared" si="19"/>
        <v>7</v>
      </c>
      <c r="AA27" s="16">
        <f t="shared" si="19"/>
        <v>12</v>
      </c>
      <c r="AB27" s="16">
        <f t="shared" si="19"/>
        <v>15</v>
      </c>
      <c r="AC27" s="16">
        <f t="shared" si="19"/>
        <v>598</v>
      </c>
      <c r="AD27" s="16">
        <f t="shared" si="19"/>
        <v>0</v>
      </c>
      <c r="AE27" s="32">
        <f t="shared" si="19"/>
        <v>250</v>
      </c>
      <c r="AF27" s="32">
        <f t="shared" si="19"/>
        <v>848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1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2</v>
      </c>
      <c r="M28" s="50">
        <v>19</v>
      </c>
      <c r="N28" s="50">
        <v>0</v>
      </c>
      <c r="O28" s="15">
        <f t="shared" si="0"/>
        <v>7</v>
      </c>
      <c r="P28" s="15">
        <f t="shared" si="1"/>
        <v>26</v>
      </c>
      <c r="R28" s="5" t="s">
        <v>17</v>
      </c>
      <c r="S28" s="16">
        <f t="shared" ref="S28:AF28" si="20">SUM(S10:S21)</f>
        <v>216</v>
      </c>
      <c r="T28" s="16">
        <f t="shared" si="20"/>
        <v>15</v>
      </c>
      <c r="U28" s="16">
        <f t="shared" si="20"/>
        <v>206</v>
      </c>
      <c r="V28" s="16">
        <f t="shared" si="20"/>
        <v>154</v>
      </c>
      <c r="W28" s="16">
        <f t="shared" si="20"/>
        <v>6</v>
      </c>
      <c r="X28" s="16">
        <f t="shared" si="20"/>
        <v>7</v>
      </c>
      <c r="Y28" s="16">
        <f t="shared" si="20"/>
        <v>70</v>
      </c>
      <c r="Z28" s="16">
        <f t="shared" si="20"/>
        <v>27</v>
      </c>
      <c r="AA28" s="16">
        <f t="shared" si="20"/>
        <v>72</v>
      </c>
      <c r="AB28" s="16">
        <f t="shared" si="20"/>
        <v>50</v>
      </c>
      <c r="AC28" s="16">
        <f t="shared" si="20"/>
        <v>1860</v>
      </c>
      <c r="AD28" s="16">
        <f t="shared" si="20"/>
        <v>0</v>
      </c>
      <c r="AE28" s="32">
        <f t="shared" si="20"/>
        <v>823</v>
      </c>
      <c r="AF28" s="32">
        <f t="shared" si="20"/>
        <v>2683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2</v>
      </c>
      <c r="F29" s="50">
        <v>3</v>
      </c>
      <c r="G29" s="50">
        <v>0</v>
      </c>
      <c r="H29" s="50">
        <v>0</v>
      </c>
      <c r="I29" s="50">
        <v>1</v>
      </c>
      <c r="J29" s="50">
        <v>0</v>
      </c>
      <c r="K29" s="50">
        <v>2</v>
      </c>
      <c r="L29" s="50">
        <v>3</v>
      </c>
      <c r="M29" s="50">
        <v>31</v>
      </c>
      <c r="N29" s="50">
        <v>0</v>
      </c>
      <c r="O29" s="15">
        <f t="shared" si="0"/>
        <v>13</v>
      </c>
      <c r="P29" s="15">
        <f t="shared" si="1"/>
        <v>44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5</v>
      </c>
      <c r="F30" s="50">
        <v>3</v>
      </c>
      <c r="G30" s="50">
        <v>0</v>
      </c>
      <c r="H30" s="50">
        <v>2</v>
      </c>
      <c r="I30" s="50">
        <v>2</v>
      </c>
      <c r="J30" s="50">
        <v>1</v>
      </c>
      <c r="K30" s="50">
        <v>0</v>
      </c>
      <c r="L30" s="50">
        <v>1</v>
      </c>
      <c r="M30" s="50">
        <v>28</v>
      </c>
      <c r="N30" s="50">
        <v>0</v>
      </c>
      <c r="O30" s="15">
        <f t="shared" si="0"/>
        <v>18</v>
      </c>
      <c r="P30" s="15">
        <f t="shared" si="1"/>
        <v>46</v>
      </c>
    </row>
    <row r="31" spans="2:32" ht="23.1" customHeight="1" x14ac:dyDescent="0.25">
      <c r="B31" s="24" t="s">
        <v>58</v>
      </c>
      <c r="C31" s="50">
        <v>6</v>
      </c>
      <c r="D31" s="50">
        <v>1</v>
      </c>
      <c r="E31" s="50">
        <v>7</v>
      </c>
      <c r="F31" s="50">
        <v>5</v>
      </c>
      <c r="G31" s="50">
        <v>1</v>
      </c>
      <c r="H31" s="50">
        <v>3</v>
      </c>
      <c r="I31" s="50">
        <v>3</v>
      </c>
      <c r="J31" s="50">
        <v>2</v>
      </c>
      <c r="K31" s="50">
        <v>0</v>
      </c>
      <c r="L31" s="50">
        <v>2</v>
      </c>
      <c r="M31" s="50">
        <v>47</v>
      </c>
      <c r="N31" s="50">
        <v>0</v>
      </c>
      <c r="O31" s="15">
        <f t="shared" si="0"/>
        <v>30</v>
      </c>
      <c r="P31" s="15">
        <f t="shared" si="1"/>
        <v>77</v>
      </c>
    </row>
    <row r="32" spans="2:32" ht="23.1" customHeight="1" x14ac:dyDescent="0.25">
      <c r="B32" s="24" t="s">
        <v>59</v>
      </c>
      <c r="C32" s="50">
        <v>4</v>
      </c>
      <c r="D32" s="50">
        <v>0</v>
      </c>
      <c r="E32" s="50">
        <v>2</v>
      </c>
      <c r="F32" s="50">
        <v>0</v>
      </c>
      <c r="G32" s="50">
        <v>1</v>
      </c>
      <c r="H32" s="50">
        <v>0</v>
      </c>
      <c r="I32" s="50">
        <v>0</v>
      </c>
      <c r="J32" s="50">
        <v>1</v>
      </c>
      <c r="K32" s="50">
        <v>1</v>
      </c>
      <c r="L32" s="50">
        <v>1</v>
      </c>
      <c r="M32" s="50">
        <v>19</v>
      </c>
      <c r="N32" s="50">
        <v>0</v>
      </c>
      <c r="O32" s="15">
        <f t="shared" si="0"/>
        <v>10</v>
      </c>
      <c r="P32" s="15">
        <f t="shared" si="1"/>
        <v>29</v>
      </c>
    </row>
    <row r="33" spans="2:20" ht="23.1" customHeight="1" x14ac:dyDescent="0.25">
      <c r="B33" s="23" t="s">
        <v>60</v>
      </c>
      <c r="C33" s="50">
        <v>9</v>
      </c>
      <c r="D33" s="50">
        <v>0</v>
      </c>
      <c r="E33" s="50">
        <v>4</v>
      </c>
      <c r="F33" s="50">
        <v>1</v>
      </c>
      <c r="G33" s="50">
        <v>3</v>
      </c>
      <c r="H33" s="50">
        <v>0</v>
      </c>
      <c r="I33" s="50">
        <v>1</v>
      </c>
      <c r="J33" s="50">
        <v>2</v>
      </c>
      <c r="K33" s="50">
        <v>2</v>
      </c>
      <c r="L33" s="50">
        <v>3</v>
      </c>
      <c r="M33" s="50">
        <v>47</v>
      </c>
      <c r="N33" s="50">
        <v>0</v>
      </c>
      <c r="O33" s="15">
        <f t="shared" si="0"/>
        <v>25</v>
      </c>
      <c r="P33" s="15">
        <f t="shared" si="1"/>
        <v>72</v>
      </c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2</v>
      </c>
      <c r="F34" s="50">
        <v>2</v>
      </c>
      <c r="G34" s="50">
        <v>0</v>
      </c>
      <c r="H34" s="50">
        <v>0</v>
      </c>
      <c r="I34" s="50">
        <v>2</v>
      </c>
      <c r="J34" s="50">
        <v>0</v>
      </c>
      <c r="K34" s="50">
        <v>2</v>
      </c>
      <c r="L34" s="50">
        <v>1</v>
      </c>
      <c r="M34" s="50">
        <v>46</v>
      </c>
      <c r="N34" s="50">
        <v>0</v>
      </c>
      <c r="O34" s="15">
        <f t="shared" si="0"/>
        <v>13</v>
      </c>
      <c r="P34" s="15">
        <f t="shared" si="1"/>
        <v>59</v>
      </c>
    </row>
    <row r="35" spans="2:20" ht="23.1" customHeight="1" x14ac:dyDescent="0.25">
      <c r="B35" s="24" t="s">
        <v>62</v>
      </c>
      <c r="C35" s="50">
        <v>6</v>
      </c>
      <c r="D35" s="50">
        <v>0</v>
      </c>
      <c r="E35" s="50">
        <v>3</v>
      </c>
      <c r="F35" s="50">
        <v>4</v>
      </c>
      <c r="G35" s="50">
        <v>0</v>
      </c>
      <c r="H35" s="50">
        <v>0</v>
      </c>
      <c r="I35" s="50">
        <v>3</v>
      </c>
      <c r="J35" s="50">
        <v>1</v>
      </c>
      <c r="K35" s="50">
        <v>4</v>
      </c>
      <c r="L35" s="50">
        <v>2</v>
      </c>
      <c r="M35" s="50">
        <v>76</v>
      </c>
      <c r="N35" s="50">
        <v>0</v>
      </c>
      <c r="O35" s="15">
        <f t="shared" si="0"/>
        <v>23</v>
      </c>
      <c r="P35" s="15">
        <f t="shared" si="1"/>
        <v>99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2</v>
      </c>
      <c r="F36" s="50">
        <v>4</v>
      </c>
      <c r="G36" s="50">
        <v>0</v>
      </c>
      <c r="H36" s="50">
        <v>0</v>
      </c>
      <c r="I36" s="50">
        <v>2</v>
      </c>
      <c r="J36" s="50">
        <v>1</v>
      </c>
      <c r="K36" s="50">
        <v>1</v>
      </c>
      <c r="L36" s="50">
        <v>0</v>
      </c>
      <c r="M36" s="50">
        <v>26</v>
      </c>
      <c r="N36" s="50">
        <v>0</v>
      </c>
      <c r="O36" s="15">
        <f t="shared" si="0"/>
        <v>12</v>
      </c>
      <c r="P36" s="15">
        <f t="shared" si="1"/>
        <v>38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3</v>
      </c>
      <c r="F37" s="50">
        <v>7</v>
      </c>
      <c r="G37" s="50">
        <v>0</v>
      </c>
      <c r="H37" s="50">
        <v>0</v>
      </c>
      <c r="I37" s="50">
        <v>3</v>
      </c>
      <c r="J37" s="50">
        <v>2</v>
      </c>
      <c r="K37" s="50">
        <v>2</v>
      </c>
      <c r="L37" s="50">
        <v>1</v>
      </c>
      <c r="M37" s="50">
        <v>43</v>
      </c>
      <c r="N37" s="50">
        <v>0</v>
      </c>
      <c r="O37" s="15">
        <f t="shared" si="0"/>
        <v>22</v>
      </c>
      <c r="P37" s="15">
        <f t="shared" si="1"/>
        <v>65</v>
      </c>
    </row>
    <row r="38" spans="2:20" ht="23.1" customHeight="1" x14ac:dyDescent="0.25">
      <c r="B38" s="24" t="s">
        <v>65</v>
      </c>
      <c r="C38" s="50">
        <v>3</v>
      </c>
      <c r="D38" s="50">
        <v>0</v>
      </c>
      <c r="E38" s="50">
        <v>4</v>
      </c>
      <c r="F38" s="50">
        <v>2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</v>
      </c>
      <c r="N38" s="50">
        <v>0</v>
      </c>
      <c r="O38" s="15">
        <f t="shared" si="0"/>
        <v>10</v>
      </c>
      <c r="P38" s="15">
        <f t="shared" si="1"/>
        <v>11</v>
      </c>
    </row>
    <row r="39" spans="2:20" ht="23.1" customHeight="1" x14ac:dyDescent="0.25">
      <c r="B39" s="24" t="s">
        <v>66</v>
      </c>
      <c r="C39" s="50">
        <v>5</v>
      </c>
      <c r="D39" s="50">
        <v>1</v>
      </c>
      <c r="E39" s="50">
        <v>6</v>
      </c>
      <c r="F39" s="50">
        <v>4</v>
      </c>
      <c r="G39" s="50">
        <v>0</v>
      </c>
      <c r="H39" s="50">
        <v>0</v>
      </c>
      <c r="I39" s="50">
        <v>2</v>
      </c>
      <c r="J39" s="50">
        <v>1</v>
      </c>
      <c r="K39" s="50">
        <v>1</v>
      </c>
      <c r="L39" s="50">
        <v>0</v>
      </c>
      <c r="M39" s="50">
        <v>2</v>
      </c>
      <c r="N39" s="50">
        <v>0</v>
      </c>
      <c r="O39" s="15">
        <f t="shared" si="0"/>
        <v>20</v>
      </c>
      <c r="P39" s="15">
        <f t="shared" si="1"/>
        <v>22</v>
      </c>
    </row>
    <row r="40" spans="2:20" ht="23.1" customHeight="1" x14ac:dyDescent="0.25">
      <c r="B40" s="24" t="s">
        <v>67</v>
      </c>
      <c r="C40" s="50">
        <v>6</v>
      </c>
      <c r="D40" s="50">
        <v>0</v>
      </c>
      <c r="E40" s="50">
        <v>3</v>
      </c>
      <c r="F40" s="50">
        <v>4</v>
      </c>
      <c r="G40" s="50">
        <v>0</v>
      </c>
      <c r="H40" s="50">
        <v>0</v>
      </c>
      <c r="I40" s="50">
        <v>0</v>
      </c>
      <c r="J40" s="50">
        <v>0</v>
      </c>
      <c r="K40" s="50">
        <v>3</v>
      </c>
      <c r="L40" s="50">
        <v>0</v>
      </c>
      <c r="M40" s="50">
        <v>16</v>
      </c>
      <c r="N40" s="50">
        <v>0</v>
      </c>
      <c r="O40" s="15">
        <f t="shared" si="0"/>
        <v>16</v>
      </c>
      <c r="P40" s="15">
        <f t="shared" si="1"/>
        <v>32</v>
      </c>
    </row>
    <row r="41" spans="2:20" ht="23.1" customHeight="1" x14ac:dyDescent="0.25">
      <c r="B41" s="23" t="s">
        <v>68</v>
      </c>
      <c r="C41" s="50">
        <v>10</v>
      </c>
      <c r="D41" s="50">
        <v>1</v>
      </c>
      <c r="E41" s="50">
        <v>4</v>
      </c>
      <c r="F41" s="50">
        <v>6</v>
      </c>
      <c r="G41" s="50">
        <v>0</v>
      </c>
      <c r="H41" s="50">
        <v>0</v>
      </c>
      <c r="I41" s="50">
        <v>1</v>
      </c>
      <c r="J41" s="50">
        <v>1</v>
      </c>
      <c r="K41" s="50">
        <v>5</v>
      </c>
      <c r="L41" s="50">
        <v>1</v>
      </c>
      <c r="M41" s="50">
        <v>27</v>
      </c>
      <c r="N41" s="50">
        <v>0</v>
      </c>
      <c r="O41" s="15">
        <f t="shared" si="0"/>
        <v>29</v>
      </c>
      <c r="P41" s="15">
        <f t="shared" si="1"/>
        <v>56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2</v>
      </c>
      <c r="F42" s="50">
        <v>4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1</v>
      </c>
      <c r="M42" s="50">
        <v>32</v>
      </c>
      <c r="N42" s="50">
        <v>0</v>
      </c>
      <c r="O42" s="15">
        <f t="shared" si="0"/>
        <v>10</v>
      </c>
      <c r="P42" s="15">
        <f t="shared" si="1"/>
        <v>42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3</v>
      </c>
      <c r="F43" s="50">
        <v>7</v>
      </c>
      <c r="G43" s="50">
        <v>1</v>
      </c>
      <c r="H43" s="50">
        <v>1</v>
      </c>
      <c r="I43" s="50">
        <v>2</v>
      </c>
      <c r="J43" s="50">
        <v>0</v>
      </c>
      <c r="K43" s="50">
        <v>1</v>
      </c>
      <c r="L43" s="50">
        <v>2</v>
      </c>
      <c r="M43" s="50">
        <v>54</v>
      </c>
      <c r="N43" s="50">
        <v>0</v>
      </c>
      <c r="O43" s="15">
        <f t="shared" si="0"/>
        <v>21</v>
      </c>
      <c r="P43" s="15">
        <f t="shared" si="1"/>
        <v>75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4</v>
      </c>
      <c r="F44" s="50">
        <v>2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29</v>
      </c>
      <c r="N44" s="50">
        <v>0</v>
      </c>
      <c r="O44" s="15">
        <f t="shared" si="0"/>
        <v>10</v>
      </c>
      <c r="P44" s="15">
        <f t="shared" si="1"/>
        <v>39</v>
      </c>
    </row>
    <row r="45" spans="2:20" ht="23.1" customHeight="1" x14ac:dyDescent="0.25">
      <c r="B45" s="23" t="s">
        <v>72</v>
      </c>
      <c r="C45" s="50">
        <v>4</v>
      </c>
      <c r="D45" s="50">
        <v>1</v>
      </c>
      <c r="E45" s="50">
        <v>6</v>
      </c>
      <c r="F45" s="50">
        <v>3</v>
      </c>
      <c r="G45" s="50">
        <v>0</v>
      </c>
      <c r="H45" s="50">
        <v>0</v>
      </c>
      <c r="I45" s="50">
        <v>3</v>
      </c>
      <c r="J45" s="50">
        <v>0</v>
      </c>
      <c r="K45" s="50">
        <v>1</v>
      </c>
      <c r="L45" s="50">
        <v>0</v>
      </c>
      <c r="M45" s="50">
        <v>48</v>
      </c>
      <c r="N45" s="50">
        <v>0</v>
      </c>
      <c r="O45" s="15">
        <f t="shared" si="0"/>
        <v>18</v>
      </c>
      <c r="P45" s="15">
        <f t="shared" si="1"/>
        <v>66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4</v>
      </c>
      <c r="F46" s="50">
        <v>2</v>
      </c>
      <c r="G46" s="50">
        <v>0</v>
      </c>
      <c r="H46" s="50">
        <v>0</v>
      </c>
      <c r="I46" s="50">
        <v>2</v>
      </c>
      <c r="J46" s="50">
        <v>0</v>
      </c>
      <c r="K46" s="50">
        <v>1</v>
      </c>
      <c r="L46" s="50">
        <v>0</v>
      </c>
      <c r="M46" s="50">
        <v>28</v>
      </c>
      <c r="N46" s="50">
        <v>0</v>
      </c>
      <c r="O46" s="15">
        <f t="shared" si="0"/>
        <v>11</v>
      </c>
      <c r="P46" s="15">
        <f t="shared" si="1"/>
        <v>39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1</v>
      </c>
      <c r="E47" s="50">
        <v>5</v>
      </c>
      <c r="F47" s="50">
        <v>3</v>
      </c>
      <c r="G47" s="50">
        <v>0</v>
      </c>
      <c r="H47" s="50">
        <v>0</v>
      </c>
      <c r="I47" s="50">
        <v>3</v>
      </c>
      <c r="J47" s="50">
        <v>0</v>
      </c>
      <c r="K47" s="50">
        <v>2</v>
      </c>
      <c r="L47" s="50">
        <v>1</v>
      </c>
      <c r="M47" s="50">
        <v>47</v>
      </c>
      <c r="N47" s="50">
        <v>0</v>
      </c>
      <c r="O47" s="15">
        <f t="shared" si="0"/>
        <v>18</v>
      </c>
      <c r="P47" s="15">
        <f t="shared" si="1"/>
        <v>65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5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2</v>
      </c>
      <c r="M48" s="50">
        <v>37</v>
      </c>
      <c r="N48" s="50">
        <v>0</v>
      </c>
      <c r="O48" s="15">
        <f t="shared" si="0"/>
        <v>11</v>
      </c>
      <c r="P48" s="15">
        <f t="shared" si="1"/>
        <v>48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1</v>
      </c>
      <c r="E49" s="50">
        <v>7</v>
      </c>
      <c r="F49" s="50">
        <v>3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4</v>
      </c>
      <c r="M49" s="50">
        <v>61</v>
      </c>
      <c r="N49" s="50">
        <v>0</v>
      </c>
      <c r="O49" s="15">
        <f t="shared" si="0"/>
        <v>20</v>
      </c>
      <c r="P49" s="15">
        <f t="shared" si="1"/>
        <v>81</v>
      </c>
      <c r="R49" s="8"/>
      <c r="T49"/>
    </row>
    <row r="50" spans="2:20" ht="23.1" customHeight="1" x14ac:dyDescent="0.25">
      <c r="B50" s="24" t="s">
        <v>77</v>
      </c>
      <c r="C50" s="50">
        <v>8</v>
      </c>
      <c r="D50" s="50">
        <v>0</v>
      </c>
      <c r="E50" s="50">
        <v>7</v>
      </c>
      <c r="F50" s="50">
        <v>1</v>
      </c>
      <c r="G50" s="50">
        <v>0</v>
      </c>
      <c r="H50" s="50">
        <v>0</v>
      </c>
      <c r="I50" s="50">
        <v>2</v>
      </c>
      <c r="J50" s="50">
        <v>1</v>
      </c>
      <c r="K50" s="50">
        <v>0</v>
      </c>
      <c r="L50" s="50">
        <v>0</v>
      </c>
      <c r="M50" s="50">
        <v>40</v>
      </c>
      <c r="N50" s="50">
        <v>0</v>
      </c>
      <c r="O50" s="15">
        <f t="shared" si="0"/>
        <v>19</v>
      </c>
      <c r="P50" s="15">
        <f t="shared" si="1"/>
        <v>59</v>
      </c>
      <c r="R50" s="8"/>
      <c r="T50"/>
    </row>
    <row r="51" spans="2:20" ht="23.1" customHeight="1" x14ac:dyDescent="0.25">
      <c r="B51" s="24" t="s">
        <v>78</v>
      </c>
      <c r="C51" s="50">
        <v>13</v>
      </c>
      <c r="D51" s="50">
        <v>1</v>
      </c>
      <c r="E51" s="50">
        <v>10</v>
      </c>
      <c r="F51" s="50">
        <v>2</v>
      </c>
      <c r="G51" s="50">
        <v>0</v>
      </c>
      <c r="H51" s="50">
        <v>0</v>
      </c>
      <c r="I51" s="50">
        <v>3</v>
      </c>
      <c r="J51" s="50">
        <v>2</v>
      </c>
      <c r="K51" s="50">
        <v>1</v>
      </c>
      <c r="L51" s="50">
        <v>0</v>
      </c>
      <c r="M51" s="50">
        <v>66</v>
      </c>
      <c r="N51" s="50">
        <v>0</v>
      </c>
      <c r="O51" s="15">
        <f t="shared" si="0"/>
        <v>32</v>
      </c>
      <c r="P51" s="15">
        <f t="shared" si="1"/>
        <v>98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1</v>
      </c>
      <c r="E52" s="50">
        <v>7</v>
      </c>
      <c r="F52" s="50">
        <v>2</v>
      </c>
      <c r="G52" s="50">
        <v>0</v>
      </c>
      <c r="H52" s="50">
        <v>0</v>
      </c>
      <c r="I52" s="50">
        <v>2</v>
      </c>
      <c r="J52" s="50">
        <v>1</v>
      </c>
      <c r="K52" s="50">
        <v>1</v>
      </c>
      <c r="L52" s="50">
        <v>2</v>
      </c>
      <c r="M52" s="50">
        <v>40</v>
      </c>
      <c r="N52" s="50">
        <v>0</v>
      </c>
      <c r="O52" s="15">
        <f t="shared" si="0"/>
        <v>20</v>
      </c>
      <c r="P52" s="15">
        <f t="shared" si="1"/>
        <v>60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1</v>
      </c>
      <c r="E53" s="50">
        <v>13</v>
      </c>
      <c r="F53" s="50">
        <v>4</v>
      </c>
      <c r="G53" s="50">
        <v>0</v>
      </c>
      <c r="H53" s="50">
        <v>0</v>
      </c>
      <c r="I53" s="50">
        <v>4</v>
      </c>
      <c r="J53" s="50">
        <v>2</v>
      </c>
      <c r="K53" s="50">
        <v>2</v>
      </c>
      <c r="L53" s="50">
        <v>3</v>
      </c>
      <c r="M53" s="50">
        <v>66</v>
      </c>
      <c r="N53" s="50">
        <v>0</v>
      </c>
      <c r="O53" s="15">
        <f t="shared" si="0"/>
        <v>35</v>
      </c>
      <c r="P53" s="15">
        <f t="shared" si="1"/>
        <v>101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0</v>
      </c>
      <c r="E54" s="50">
        <v>2</v>
      </c>
      <c r="F54" s="50">
        <v>4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1</v>
      </c>
      <c r="M54" s="50">
        <v>43</v>
      </c>
      <c r="N54" s="50">
        <v>0</v>
      </c>
      <c r="O54" s="15">
        <f t="shared" si="0"/>
        <v>13</v>
      </c>
      <c r="P54" s="15">
        <f t="shared" si="1"/>
        <v>56</v>
      </c>
      <c r="R54" s="8"/>
      <c r="T54"/>
    </row>
    <row r="55" spans="2:20" ht="23.1" customHeight="1" x14ac:dyDescent="0.25">
      <c r="B55" s="23" t="s">
        <v>82</v>
      </c>
      <c r="C55" s="50">
        <v>10</v>
      </c>
      <c r="D55" s="50">
        <v>0</v>
      </c>
      <c r="E55" s="50">
        <v>3</v>
      </c>
      <c r="F55" s="50">
        <v>7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2</v>
      </c>
      <c r="M55" s="50">
        <v>72</v>
      </c>
      <c r="N55" s="50">
        <v>0</v>
      </c>
      <c r="O55" s="15">
        <f t="shared" si="0"/>
        <v>23</v>
      </c>
      <c r="P55" s="15">
        <f t="shared" si="1"/>
        <v>95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0</v>
      </c>
      <c r="E56" s="50">
        <v>5</v>
      </c>
      <c r="F56" s="50">
        <v>2</v>
      </c>
      <c r="G56" s="50">
        <v>0</v>
      </c>
      <c r="H56" s="50">
        <v>0</v>
      </c>
      <c r="I56" s="50">
        <v>2</v>
      </c>
      <c r="J56" s="50">
        <v>0</v>
      </c>
      <c r="K56" s="50">
        <v>2</v>
      </c>
      <c r="L56" s="50">
        <v>0</v>
      </c>
      <c r="M56" s="50">
        <v>37</v>
      </c>
      <c r="N56" s="50">
        <v>0</v>
      </c>
      <c r="O56" s="15">
        <f t="shared" si="0"/>
        <v>17</v>
      </c>
      <c r="P56" s="15">
        <f t="shared" si="1"/>
        <v>54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1</v>
      </c>
      <c r="E57" s="50">
        <v>8</v>
      </c>
      <c r="F57" s="50">
        <v>4</v>
      </c>
      <c r="G57" s="50">
        <v>0</v>
      </c>
      <c r="H57" s="50">
        <v>1</v>
      </c>
      <c r="I57" s="50">
        <v>3</v>
      </c>
      <c r="J57" s="50">
        <v>1</v>
      </c>
      <c r="K57" s="50">
        <v>3</v>
      </c>
      <c r="L57" s="50">
        <v>0</v>
      </c>
      <c r="M57" s="50">
        <v>61</v>
      </c>
      <c r="N57" s="50">
        <v>0</v>
      </c>
      <c r="O57" s="15">
        <f t="shared" si="0"/>
        <v>31</v>
      </c>
      <c r="P57" s="15">
        <f t="shared" si="1"/>
        <v>92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216</v>
      </c>
      <c r="D58" s="16">
        <f t="shared" si="21"/>
        <v>15</v>
      </c>
      <c r="E58" s="16">
        <f t="shared" si="21"/>
        <v>206</v>
      </c>
      <c r="F58" s="16">
        <f t="shared" si="21"/>
        <v>154</v>
      </c>
      <c r="G58" s="16">
        <f t="shared" si="21"/>
        <v>6</v>
      </c>
      <c r="H58" s="16">
        <f t="shared" si="21"/>
        <v>7</v>
      </c>
      <c r="I58" s="16">
        <f t="shared" si="21"/>
        <v>70</v>
      </c>
      <c r="J58" s="16">
        <f t="shared" si="21"/>
        <v>27</v>
      </c>
      <c r="K58" s="16">
        <f t="shared" si="21"/>
        <v>72</v>
      </c>
      <c r="L58" s="16">
        <f t="shared" si="21"/>
        <v>50</v>
      </c>
      <c r="M58" s="16">
        <f t="shared" si="21"/>
        <v>1860</v>
      </c>
      <c r="N58" s="16">
        <f t="shared" si="21"/>
        <v>0</v>
      </c>
      <c r="O58" s="16">
        <f t="shared" si="21"/>
        <v>823</v>
      </c>
      <c r="P58" s="16">
        <f t="shared" si="21"/>
        <v>2683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8.0506895266492726E-2</v>
      </c>
      <c r="D59" s="43">
        <f t="shared" si="22"/>
        <v>5.5907566157286622E-3</v>
      </c>
      <c r="E59" s="43">
        <f t="shared" si="22"/>
        <v>7.6779724189340287E-2</v>
      </c>
      <c r="F59" s="43">
        <f t="shared" si="22"/>
        <v>5.7398434588147598E-2</v>
      </c>
      <c r="G59" s="43">
        <f t="shared" si="22"/>
        <v>2.2363026462914647E-3</v>
      </c>
      <c r="H59" s="43">
        <f t="shared" si="22"/>
        <v>2.6090197540067088E-3</v>
      </c>
      <c r="I59" s="43">
        <f t="shared" si="22"/>
        <v>2.6090197540067091E-2</v>
      </c>
      <c r="J59" s="43">
        <f t="shared" si="22"/>
        <v>1.0063361908311591E-2</v>
      </c>
      <c r="K59" s="43">
        <f t="shared" si="22"/>
        <v>2.6835631755497576E-2</v>
      </c>
      <c r="L59" s="43">
        <f t="shared" si="22"/>
        <v>1.8635855385762207E-2</v>
      </c>
      <c r="M59" s="43">
        <f t="shared" si="22"/>
        <v>0.6932538203503541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0.26245443499392468</v>
      </c>
      <c r="D60" s="44">
        <f t="shared" ref="D60:N60" si="23">D58/$O$58</f>
        <v>1.8226002430133656E-2</v>
      </c>
      <c r="E60" s="44">
        <f t="shared" si="23"/>
        <v>0.25030376670716892</v>
      </c>
      <c r="F60" s="44">
        <f t="shared" si="23"/>
        <v>0.18712029161603888</v>
      </c>
      <c r="G60" s="44">
        <f t="shared" si="23"/>
        <v>7.2904009720534627E-3</v>
      </c>
      <c r="H60" s="44">
        <f t="shared" si="23"/>
        <v>8.5054678007290396E-3</v>
      </c>
      <c r="I60" s="44">
        <f t="shared" si="23"/>
        <v>8.5054678007290399E-2</v>
      </c>
      <c r="J60" s="44">
        <f t="shared" si="23"/>
        <v>3.2806804374240585E-2</v>
      </c>
      <c r="K60" s="44">
        <f t="shared" si="23"/>
        <v>8.748481166464156E-2</v>
      </c>
      <c r="L60" s="44">
        <f t="shared" si="23"/>
        <v>6.0753341433778855E-2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topLeftCell="A3" zoomScale="60" workbookViewId="0">
      <selection activeCell="L24" sqref="L2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'09.09 Katungulu-Ishaka'!C3:G3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'11.09 Ishaka-Katungulu'!D5</f>
        <v>11.09.19</v>
      </c>
      <c r="E5" s="3"/>
      <c r="F5" s="41" t="s">
        <v>1</v>
      </c>
      <c r="G5" s="56" t="str">
        <f>'09.09 Ishaka-Katungulu'!G5:H5</f>
        <v>Rubirizi</v>
      </c>
      <c r="H5" s="57"/>
      <c r="I5" s="14"/>
      <c r="J5" s="2" t="s">
        <v>5</v>
      </c>
      <c r="K5" s="56" t="str">
        <f>'09.09 Ishaka-Katungulu'!K5:L5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'09.09 Katungulu-Ishaka'!D6:E6</f>
        <v>Katungulu</v>
      </c>
      <c r="E6" s="57"/>
      <c r="F6" s="2" t="s">
        <v>2</v>
      </c>
      <c r="G6" s="56" t="str">
        <f>'09.09 Katungulu-Ishaka'!G6:H6</f>
        <v>Ishaka</v>
      </c>
      <c r="H6" s="57"/>
      <c r="J6" s="2" t="s">
        <v>21</v>
      </c>
      <c r="K6" s="56" t="str">
        <f>'09.09 Ishaka-Katungulu'!K6:L6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2</v>
      </c>
      <c r="V10" s="17">
        <f t="shared" si="2"/>
        <v>6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4</v>
      </c>
      <c r="AC10" s="17">
        <f t="shared" si="2"/>
        <v>23</v>
      </c>
      <c r="AD10" s="17">
        <f t="shared" si="2"/>
        <v>0</v>
      </c>
      <c r="AE10" s="31">
        <f t="shared" si="2"/>
        <v>16</v>
      </c>
      <c r="AF10" s="31">
        <f t="shared" si="2"/>
        <v>39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1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</v>
      </c>
      <c r="M11" s="50">
        <v>3</v>
      </c>
      <c r="N11" s="50">
        <v>0</v>
      </c>
      <c r="O11" s="15">
        <f t="shared" si="0"/>
        <v>6</v>
      </c>
      <c r="P11" s="15">
        <f t="shared" si="1"/>
        <v>9</v>
      </c>
      <c r="R11" s="1" t="s">
        <v>7</v>
      </c>
      <c r="S11" s="17">
        <f t="shared" ref="S11:AF11" si="3">SUM(C14:C17)</f>
        <v>11</v>
      </c>
      <c r="T11" s="17">
        <f t="shared" si="3"/>
        <v>0</v>
      </c>
      <c r="U11" s="17">
        <f t="shared" si="3"/>
        <v>6</v>
      </c>
      <c r="V11" s="17">
        <f t="shared" si="3"/>
        <v>14</v>
      </c>
      <c r="W11" s="17">
        <f t="shared" si="3"/>
        <v>0</v>
      </c>
      <c r="X11" s="17">
        <f t="shared" si="3"/>
        <v>2</v>
      </c>
      <c r="Y11" s="17">
        <f t="shared" si="3"/>
        <v>4</v>
      </c>
      <c r="Z11" s="17">
        <f t="shared" si="3"/>
        <v>0</v>
      </c>
      <c r="AA11" s="17">
        <f t="shared" si="3"/>
        <v>2</v>
      </c>
      <c r="AB11" s="17">
        <f t="shared" si="3"/>
        <v>5</v>
      </c>
      <c r="AC11" s="17">
        <f t="shared" si="3"/>
        <v>154</v>
      </c>
      <c r="AD11" s="17">
        <f t="shared" si="3"/>
        <v>0</v>
      </c>
      <c r="AE11" s="31">
        <f t="shared" si="3"/>
        <v>44</v>
      </c>
      <c r="AF11" s="31">
        <f t="shared" si="3"/>
        <v>198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1</v>
      </c>
      <c r="M12" s="50">
        <v>7</v>
      </c>
      <c r="N12" s="50">
        <v>0</v>
      </c>
      <c r="O12" s="15">
        <f t="shared" si="0"/>
        <v>2</v>
      </c>
      <c r="P12" s="15">
        <f t="shared" si="1"/>
        <v>9</v>
      </c>
      <c r="R12" s="1" t="s">
        <v>8</v>
      </c>
      <c r="S12" s="17">
        <f t="shared" ref="S12:AF12" si="4">SUM(C18:C21)</f>
        <v>11</v>
      </c>
      <c r="T12" s="17">
        <f t="shared" si="4"/>
        <v>1</v>
      </c>
      <c r="U12" s="17">
        <f t="shared" si="4"/>
        <v>17</v>
      </c>
      <c r="V12" s="17">
        <f t="shared" si="4"/>
        <v>21</v>
      </c>
      <c r="W12" s="17">
        <f t="shared" si="4"/>
        <v>0</v>
      </c>
      <c r="X12" s="17">
        <f t="shared" si="4"/>
        <v>2</v>
      </c>
      <c r="Y12" s="17">
        <f t="shared" si="4"/>
        <v>4</v>
      </c>
      <c r="Z12" s="17">
        <f t="shared" si="4"/>
        <v>0</v>
      </c>
      <c r="AA12" s="17">
        <f t="shared" si="4"/>
        <v>1</v>
      </c>
      <c r="AB12" s="17">
        <f t="shared" si="4"/>
        <v>12</v>
      </c>
      <c r="AC12" s="17">
        <f t="shared" si="4"/>
        <v>184</v>
      </c>
      <c r="AD12" s="17">
        <f t="shared" si="4"/>
        <v>1</v>
      </c>
      <c r="AE12" s="31">
        <f t="shared" si="4"/>
        <v>70</v>
      </c>
      <c r="AF12" s="31">
        <f t="shared" si="4"/>
        <v>254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2</v>
      </c>
      <c r="M13" s="50">
        <v>11</v>
      </c>
      <c r="N13" s="50">
        <v>0</v>
      </c>
      <c r="O13" s="15">
        <f t="shared" si="0"/>
        <v>6</v>
      </c>
      <c r="P13" s="15">
        <f t="shared" si="1"/>
        <v>17</v>
      </c>
      <c r="R13" s="1" t="s">
        <v>9</v>
      </c>
      <c r="S13" s="17">
        <f t="shared" ref="S13:AF13" si="5">SUM(C22:C25)</f>
        <v>23</v>
      </c>
      <c r="T13" s="17">
        <f t="shared" si="5"/>
        <v>1</v>
      </c>
      <c r="U13" s="17">
        <f t="shared" si="5"/>
        <v>11</v>
      </c>
      <c r="V13" s="17">
        <f t="shared" si="5"/>
        <v>15</v>
      </c>
      <c r="W13" s="17">
        <f t="shared" si="5"/>
        <v>0</v>
      </c>
      <c r="X13" s="17">
        <f t="shared" si="5"/>
        <v>0</v>
      </c>
      <c r="Y13" s="17">
        <f t="shared" si="5"/>
        <v>9</v>
      </c>
      <c r="Z13" s="17">
        <f t="shared" si="5"/>
        <v>1</v>
      </c>
      <c r="AA13" s="17">
        <f t="shared" si="5"/>
        <v>5</v>
      </c>
      <c r="AB13" s="17">
        <f t="shared" si="5"/>
        <v>8</v>
      </c>
      <c r="AC13" s="17">
        <f t="shared" si="5"/>
        <v>177</v>
      </c>
      <c r="AD13" s="17">
        <f t="shared" si="5"/>
        <v>0</v>
      </c>
      <c r="AE13" s="31">
        <f t="shared" si="5"/>
        <v>73</v>
      </c>
      <c r="AF13" s="31">
        <f t="shared" si="5"/>
        <v>250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2</v>
      </c>
      <c r="F14" s="50">
        <v>2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1</v>
      </c>
      <c r="M14" s="50">
        <v>26</v>
      </c>
      <c r="N14" s="50">
        <v>0</v>
      </c>
      <c r="O14" s="15">
        <f t="shared" si="0"/>
        <v>8</v>
      </c>
      <c r="P14" s="15">
        <f t="shared" si="1"/>
        <v>34</v>
      </c>
      <c r="R14" s="1" t="s">
        <v>10</v>
      </c>
      <c r="S14" s="17">
        <f t="shared" ref="S14:AF14" si="6">SUM(C26:C29)</f>
        <v>25</v>
      </c>
      <c r="T14" s="17">
        <f t="shared" si="6"/>
        <v>2</v>
      </c>
      <c r="U14" s="17">
        <f t="shared" si="6"/>
        <v>17</v>
      </c>
      <c r="V14" s="17">
        <f t="shared" si="6"/>
        <v>13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2</v>
      </c>
      <c r="AA14" s="17">
        <f t="shared" si="6"/>
        <v>6</v>
      </c>
      <c r="AB14" s="17">
        <f t="shared" si="6"/>
        <v>5</v>
      </c>
      <c r="AC14" s="17">
        <f t="shared" si="6"/>
        <v>169</v>
      </c>
      <c r="AD14" s="17">
        <f t="shared" si="6"/>
        <v>0</v>
      </c>
      <c r="AE14" s="31">
        <f t="shared" si="6"/>
        <v>75</v>
      </c>
      <c r="AF14" s="31">
        <f t="shared" si="6"/>
        <v>244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3</v>
      </c>
      <c r="F15" s="50">
        <v>4</v>
      </c>
      <c r="G15" s="50">
        <v>0</v>
      </c>
      <c r="H15" s="50">
        <v>1</v>
      </c>
      <c r="I15" s="50">
        <v>2</v>
      </c>
      <c r="J15" s="50">
        <v>0</v>
      </c>
      <c r="K15" s="50">
        <v>1</v>
      </c>
      <c r="L15" s="50">
        <v>3</v>
      </c>
      <c r="M15" s="50">
        <v>43</v>
      </c>
      <c r="N15" s="50">
        <v>0</v>
      </c>
      <c r="O15" s="15">
        <f t="shared" si="0"/>
        <v>17</v>
      </c>
      <c r="P15" s="15">
        <f t="shared" si="1"/>
        <v>60</v>
      </c>
      <c r="R15" s="1" t="s">
        <v>11</v>
      </c>
      <c r="S15" s="17">
        <f t="shared" ref="S15:AF15" si="7">SUM(C30:C33)</f>
        <v>30</v>
      </c>
      <c r="T15" s="17">
        <f t="shared" si="7"/>
        <v>0</v>
      </c>
      <c r="U15" s="17">
        <f t="shared" si="7"/>
        <v>9</v>
      </c>
      <c r="V15" s="17">
        <f t="shared" si="7"/>
        <v>16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6</v>
      </c>
      <c r="AA15" s="17">
        <f t="shared" si="7"/>
        <v>2</v>
      </c>
      <c r="AB15" s="17">
        <f t="shared" si="7"/>
        <v>2</v>
      </c>
      <c r="AC15" s="17">
        <f t="shared" si="7"/>
        <v>193</v>
      </c>
      <c r="AD15" s="17">
        <f t="shared" si="7"/>
        <v>0</v>
      </c>
      <c r="AE15" s="31">
        <f t="shared" si="7"/>
        <v>69</v>
      </c>
      <c r="AF15" s="31">
        <f t="shared" si="7"/>
        <v>262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0</v>
      </c>
      <c r="F16" s="50">
        <v>3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32</v>
      </c>
      <c r="N16" s="50">
        <v>0</v>
      </c>
      <c r="O16" s="15">
        <f t="shared" si="0"/>
        <v>5</v>
      </c>
      <c r="P16" s="15">
        <f t="shared" si="1"/>
        <v>37</v>
      </c>
      <c r="R16" s="1" t="s">
        <v>12</v>
      </c>
      <c r="S16" s="17">
        <f t="shared" ref="S16:AF16" si="8">SUM(C34:C37)</f>
        <v>11</v>
      </c>
      <c r="T16" s="17">
        <f t="shared" si="8"/>
        <v>2</v>
      </c>
      <c r="U16" s="17">
        <f t="shared" si="8"/>
        <v>25</v>
      </c>
      <c r="V16" s="17">
        <f t="shared" si="8"/>
        <v>12</v>
      </c>
      <c r="W16" s="17">
        <f t="shared" si="8"/>
        <v>0</v>
      </c>
      <c r="X16" s="17">
        <f t="shared" si="8"/>
        <v>1</v>
      </c>
      <c r="Y16" s="17">
        <f t="shared" si="8"/>
        <v>7</v>
      </c>
      <c r="Z16" s="17">
        <f t="shared" si="8"/>
        <v>10</v>
      </c>
      <c r="AA16" s="17">
        <f t="shared" si="8"/>
        <v>11</v>
      </c>
      <c r="AB16" s="17">
        <f t="shared" si="8"/>
        <v>5</v>
      </c>
      <c r="AC16" s="17">
        <f t="shared" si="8"/>
        <v>157</v>
      </c>
      <c r="AD16" s="17">
        <f t="shared" si="8"/>
        <v>0</v>
      </c>
      <c r="AE16" s="31">
        <f t="shared" si="8"/>
        <v>84</v>
      </c>
      <c r="AF16" s="31">
        <f t="shared" si="8"/>
        <v>241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1</v>
      </c>
      <c r="F17" s="50">
        <v>5</v>
      </c>
      <c r="G17" s="50">
        <v>0</v>
      </c>
      <c r="H17" s="50">
        <v>1</v>
      </c>
      <c r="I17" s="50">
        <v>1</v>
      </c>
      <c r="J17" s="50">
        <v>0</v>
      </c>
      <c r="K17" s="50">
        <v>1</v>
      </c>
      <c r="L17" s="50">
        <v>1</v>
      </c>
      <c r="M17" s="50">
        <v>53</v>
      </c>
      <c r="N17" s="50">
        <v>0</v>
      </c>
      <c r="O17" s="15">
        <f t="shared" si="0"/>
        <v>14</v>
      </c>
      <c r="P17" s="15">
        <f t="shared" si="1"/>
        <v>67</v>
      </c>
      <c r="R17" s="1" t="s">
        <v>13</v>
      </c>
      <c r="S17" s="17">
        <f t="shared" ref="S17:AF17" si="9">SUM(C38:C41)</f>
        <v>40</v>
      </c>
      <c r="T17" s="17">
        <f t="shared" si="9"/>
        <v>1</v>
      </c>
      <c r="U17" s="17">
        <f t="shared" si="9"/>
        <v>18</v>
      </c>
      <c r="V17" s="17">
        <f t="shared" si="9"/>
        <v>16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10</v>
      </c>
      <c r="AA17" s="17">
        <f t="shared" si="9"/>
        <v>3</v>
      </c>
      <c r="AB17" s="17">
        <f t="shared" si="9"/>
        <v>6</v>
      </c>
      <c r="AC17" s="17">
        <f t="shared" si="9"/>
        <v>54</v>
      </c>
      <c r="AD17" s="17">
        <f t="shared" si="9"/>
        <v>0</v>
      </c>
      <c r="AE17" s="31">
        <f t="shared" si="9"/>
        <v>98</v>
      </c>
      <c r="AF17" s="31">
        <f t="shared" si="9"/>
        <v>152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2</v>
      </c>
      <c r="F18" s="50">
        <v>4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2</v>
      </c>
      <c r="M18" s="50">
        <v>32</v>
      </c>
      <c r="N18" s="50">
        <v>0</v>
      </c>
      <c r="O18" s="15">
        <f t="shared" si="0"/>
        <v>8</v>
      </c>
      <c r="P18" s="15">
        <f t="shared" si="1"/>
        <v>40</v>
      </c>
      <c r="R18" s="1" t="s">
        <v>14</v>
      </c>
      <c r="S18" s="17">
        <f t="shared" ref="S18:AF18" si="10">SUM(C42:C45)</f>
        <v>18</v>
      </c>
      <c r="T18" s="17">
        <f t="shared" si="10"/>
        <v>2</v>
      </c>
      <c r="U18" s="17">
        <f t="shared" si="10"/>
        <v>16</v>
      </c>
      <c r="V18" s="17">
        <f t="shared" si="10"/>
        <v>12</v>
      </c>
      <c r="W18" s="17">
        <f t="shared" si="10"/>
        <v>0</v>
      </c>
      <c r="X18" s="17">
        <f t="shared" si="10"/>
        <v>0</v>
      </c>
      <c r="Y18" s="17">
        <f t="shared" si="10"/>
        <v>11</v>
      </c>
      <c r="Z18" s="17">
        <f t="shared" si="10"/>
        <v>11</v>
      </c>
      <c r="AA18" s="17">
        <f t="shared" si="10"/>
        <v>6</v>
      </c>
      <c r="AB18" s="17">
        <f t="shared" si="10"/>
        <v>6</v>
      </c>
      <c r="AC18" s="17">
        <f t="shared" si="10"/>
        <v>189</v>
      </c>
      <c r="AD18" s="17">
        <f t="shared" si="10"/>
        <v>0</v>
      </c>
      <c r="AE18" s="31">
        <f t="shared" si="10"/>
        <v>82</v>
      </c>
      <c r="AF18" s="31">
        <f t="shared" si="10"/>
        <v>271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3</v>
      </c>
      <c r="F19" s="50">
        <v>7</v>
      </c>
      <c r="G19" s="50">
        <v>0</v>
      </c>
      <c r="H19" s="50">
        <v>1</v>
      </c>
      <c r="I19" s="50">
        <v>1</v>
      </c>
      <c r="J19" s="50">
        <v>0</v>
      </c>
      <c r="K19" s="50">
        <v>1</v>
      </c>
      <c r="L19" s="50">
        <v>3</v>
      </c>
      <c r="M19" s="50">
        <v>53</v>
      </c>
      <c r="N19" s="50">
        <v>0</v>
      </c>
      <c r="O19" s="15">
        <f t="shared" si="0"/>
        <v>17</v>
      </c>
      <c r="P19" s="15">
        <f t="shared" si="1"/>
        <v>70</v>
      </c>
      <c r="R19" s="1" t="s">
        <v>15</v>
      </c>
      <c r="S19" s="17">
        <f t="shared" ref="S19:AF19" si="11">SUM(C46:C49)</f>
        <v>24</v>
      </c>
      <c r="T19" s="17">
        <f t="shared" si="11"/>
        <v>0</v>
      </c>
      <c r="U19" s="17">
        <f t="shared" si="11"/>
        <v>11</v>
      </c>
      <c r="V19" s="17">
        <f t="shared" si="11"/>
        <v>19</v>
      </c>
      <c r="W19" s="17">
        <f t="shared" si="11"/>
        <v>0</v>
      </c>
      <c r="X19" s="17">
        <f t="shared" si="11"/>
        <v>0</v>
      </c>
      <c r="Y19" s="17">
        <f t="shared" si="11"/>
        <v>18</v>
      </c>
      <c r="Z19" s="17">
        <f t="shared" si="11"/>
        <v>4</v>
      </c>
      <c r="AA19" s="17">
        <f t="shared" si="11"/>
        <v>6</v>
      </c>
      <c r="AB19" s="17">
        <f t="shared" si="11"/>
        <v>1</v>
      </c>
      <c r="AC19" s="17">
        <f t="shared" si="11"/>
        <v>167</v>
      </c>
      <c r="AD19" s="17">
        <f t="shared" si="11"/>
        <v>0</v>
      </c>
      <c r="AE19" s="31">
        <f t="shared" si="11"/>
        <v>83</v>
      </c>
      <c r="AF19" s="31">
        <f t="shared" si="11"/>
        <v>250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5</v>
      </c>
      <c r="F20" s="50">
        <v>4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3</v>
      </c>
      <c r="M20" s="50">
        <v>37</v>
      </c>
      <c r="N20" s="50">
        <v>0</v>
      </c>
      <c r="O20" s="15">
        <f t="shared" si="0"/>
        <v>17</v>
      </c>
      <c r="P20" s="15">
        <f t="shared" si="1"/>
        <v>54</v>
      </c>
      <c r="R20" s="1" t="s">
        <v>16</v>
      </c>
      <c r="S20" s="17">
        <f t="shared" ref="S20:AF20" si="12">SUM(C50:C53)</f>
        <v>14</v>
      </c>
      <c r="T20" s="17">
        <f t="shared" si="12"/>
        <v>2</v>
      </c>
      <c r="U20" s="17">
        <f t="shared" si="12"/>
        <v>22</v>
      </c>
      <c r="V20" s="17">
        <f t="shared" si="12"/>
        <v>20</v>
      </c>
      <c r="W20" s="17">
        <f t="shared" si="12"/>
        <v>0</v>
      </c>
      <c r="X20" s="17">
        <f t="shared" si="12"/>
        <v>0</v>
      </c>
      <c r="Y20" s="17">
        <f t="shared" si="12"/>
        <v>11</v>
      </c>
      <c r="Z20" s="17">
        <f t="shared" si="12"/>
        <v>8</v>
      </c>
      <c r="AA20" s="17">
        <f t="shared" si="12"/>
        <v>1</v>
      </c>
      <c r="AB20" s="17">
        <f t="shared" si="12"/>
        <v>2</v>
      </c>
      <c r="AC20" s="17">
        <f t="shared" si="12"/>
        <v>207</v>
      </c>
      <c r="AD20" s="17">
        <f t="shared" si="12"/>
        <v>0</v>
      </c>
      <c r="AE20" s="31">
        <f t="shared" si="12"/>
        <v>80</v>
      </c>
      <c r="AF20" s="31">
        <f t="shared" si="12"/>
        <v>287</v>
      </c>
    </row>
    <row r="21" spans="2:32" ht="23.1" customHeight="1" x14ac:dyDescent="0.25">
      <c r="B21" s="23" t="s">
        <v>48</v>
      </c>
      <c r="C21" s="50">
        <v>6</v>
      </c>
      <c r="D21" s="50">
        <v>1</v>
      </c>
      <c r="E21" s="50">
        <v>7</v>
      </c>
      <c r="F21" s="50">
        <v>6</v>
      </c>
      <c r="G21" s="50">
        <v>0</v>
      </c>
      <c r="H21" s="50">
        <v>1</v>
      </c>
      <c r="I21" s="50">
        <v>2</v>
      </c>
      <c r="J21" s="50">
        <v>0</v>
      </c>
      <c r="K21" s="50">
        <v>0</v>
      </c>
      <c r="L21" s="50">
        <v>4</v>
      </c>
      <c r="M21" s="50">
        <v>62</v>
      </c>
      <c r="N21" s="50">
        <v>1</v>
      </c>
      <c r="O21" s="15">
        <f t="shared" si="0"/>
        <v>28</v>
      </c>
      <c r="P21" s="15">
        <f t="shared" si="1"/>
        <v>90</v>
      </c>
      <c r="R21" s="36" t="s">
        <v>20</v>
      </c>
      <c r="S21" s="34">
        <f t="shared" ref="S21:AF21" si="13">SUM(C54:C57)</f>
        <v>20</v>
      </c>
      <c r="T21" s="17">
        <f t="shared" si="13"/>
        <v>2</v>
      </c>
      <c r="U21" s="17">
        <f t="shared" si="13"/>
        <v>22</v>
      </c>
      <c r="V21" s="17">
        <f t="shared" si="13"/>
        <v>11</v>
      </c>
      <c r="W21" s="17">
        <f t="shared" si="13"/>
        <v>0</v>
      </c>
      <c r="X21" s="17">
        <f t="shared" si="13"/>
        <v>0</v>
      </c>
      <c r="Y21" s="17">
        <f t="shared" si="13"/>
        <v>15</v>
      </c>
      <c r="Z21" s="17">
        <f t="shared" si="13"/>
        <v>8</v>
      </c>
      <c r="AA21" s="17">
        <f t="shared" si="13"/>
        <v>5</v>
      </c>
      <c r="AB21" s="17">
        <f t="shared" si="13"/>
        <v>3</v>
      </c>
      <c r="AC21" s="17">
        <f t="shared" si="13"/>
        <v>209</v>
      </c>
      <c r="AD21" s="17">
        <f t="shared" si="13"/>
        <v>0</v>
      </c>
      <c r="AE21" s="31">
        <f t="shared" si="13"/>
        <v>86</v>
      </c>
      <c r="AF21" s="31">
        <f t="shared" si="13"/>
        <v>295</v>
      </c>
    </row>
    <row r="22" spans="2:32" ht="23.1" customHeight="1" x14ac:dyDescent="0.25">
      <c r="B22" s="23" t="s">
        <v>49</v>
      </c>
      <c r="C22" s="50">
        <v>5</v>
      </c>
      <c r="D22" s="50">
        <v>0</v>
      </c>
      <c r="E22" s="50">
        <v>0</v>
      </c>
      <c r="F22" s="50">
        <v>4</v>
      </c>
      <c r="G22" s="50">
        <v>0</v>
      </c>
      <c r="H22" s="50">
        <v>0</v>
      </c>
      <c r="I22" s="50">
        <v>0</v>
      </c>
      <c r="J22" s="50">
        <v>0</v>
      </c>
      <c r="K22" s="50">
        <v>2</v>
      </c>
      <c r="L22" s="50">
        <v>2</v>
      </c>
      <c r="M22" s="50">
        <v>38</v>
      </c>
      <c r="N22" s="50">
        <v>0</v>
      </c>
      <c r="O22" s="15">
        <f t="shared" si="0"/>
        <v>13</v>
      </c>
      <c r="P22" s="15">
        <f t="shared" si="1"/>
        <v>51</v>
      </c>
      <c r="R22" s="38" t="s">
        <v>90</v>
      </c>
      <c r="S22" s="39">
        <f>MAX(S10:S12)</f>
        <v>11</v>
      </c>
      <c r="T22" s="39">
        <f t="shared" ref="T22:AF22" si="14">MAX(T10:T12)</f>
        <v>1</v>
      </c>
      <c r="U22" s="39">
        <f t="shared" si="14"/>
        <v>17</v>
      </c>
      <c r="V22" s="39">
        <f t="shared" si="14"/>
        <v>21</v>
      </c>
      <c r="W22" s="39">
        <f t="shared" si="14"/>
        <v>0</v>
      </c>
      <c r="X22" s="39">
        <f t="shared" si="14"/>
        <v>2</v>
      </c>
      <c r="Y22" s="39">
        <f t="shared" si="14"/>
        <v>4</v>
      </c>
      <c r="Z22" s="39">
        <f t="shared" si="14"/>
        <v>0</v>
      </c>
      <c r="AA22" s="39">
        <f t="shared" si="14"/>
        <v>2</v>
      </c>
      <c r="AB22" s="39">
        <f t="shared" si="14"/>
        <v>12</v>
      </c>
      <c r="AC22" s="39">
        <f t="shared" si="14"/>
        <v>184</v>
      </c>
      <c r="AD22" s="39">
        <f t="shared" si="14"/>
        <v>1</v>
      </c>
      <c r="AE22" s="40">
        <f t="shared" si="14"/>
        <v>70</v>
      </c>
      <c r="AF22" s="40">
        <f t="shared" si="14"/>
        <v>254</v>
      </c>
    </row>
    <row r="23" spans="2:32" ht="23.1" customHeight="1" x14ac:dyDescent="0.25">
      <c r="B23" s="23" t="s">
        <v>50</v>
      </c>
      <c r="C23" s="50">
        <v>8</v>
      </c>
      <c r="D23" s="50">
        <v>0</v>
      </c>
      <c r="E23" s="50">
        <v>1</v>
      </c>
      <c r="F23" s="50">
        <v>6</v>
      </c>
      <c r="G23" s="50">
        <v>0</v>
      </c>
      <c r="H23" s="50">
        <v>0</v>
      </c>
      <c r="I23" s="50">
        <v>1</v>
      </c>
      <c r="J23" s="50">
        <v>0</v>
      </c>
      <c r="K23" s="50">
        <v>3</v>
      </c>
      <c r="L23" s="50">
        <v>3</v>
      </c>
      <c r="M23" s="50">
        <v>64</v>
      </c>
      <c r="N23" s="50">
        <v>0</v>
      </c>
      <c r="O23" s="15">
        <f t="shared" si="0"/>
        <v>22</v>
      </c>
      <c r="P23" s="15">
        <f t="shared" si="1"/>
        <v>86</v>
      </c>
      <c r="R23" s="38" t="s">
        <v>91</v>
      </c>
      <c r="S23" s="39">
        <f>MAX(S13:S18)</f>
        <v>40</v>
      </c>
      <c r="T23" s="39">
        <f t="shared" ref="T23:AF23" si="15">MAX(T13:T18)</f>
        <v>2</v>
      </c>
      <c r="U23" s="39">
        <f t="shared" si="15"/>
        <v>25</v>
      </c>
      <c r="V23" s="39">
        <f t="shared" si="15"/>
        <v>16</v>
      </c>
      <c r="W23" s="39">
        <f t="shared" si="15"/>
        <v>0</v>
      </c>
      <c r="X23" s="39">
        <f t="shared" si="15"/>
        <v>1</v>
      </c>
      <c r="Y23" s="39">
        <f t="shared" si="15"/>
        <v>11</v>
      </c>
      <c r="Z23" s="39">
        <f t="shared" si="15"/>
        <v>11</v>
      </c>
      <c r="AA23" s="39">
        <f t="shared" si="15"/>
        <v>11</v>
      </c>
      <c r="AB23" s="39">
        <f t="shared" si="15"/>
        <v>8</v>
      </c>
      <c r="AC23" s="39">
        <f t="shared" si="15"/>
        <v>193</v>
      </c>
      <c r="AD23" s="39">
        <f t="shared" si="15"/>
        <v>0</v>
      </c>
      <c r="AE23" s="40">
        <f t="shared" si="15"/>
        <v>98</v>
      </c>
      <c r="AF23" s="40">
        <f t="shared" si="15"/>
        <v>271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4</v>
      </c>
      <c r="F24" s="50">
        <v>2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1</v>
      </c>
      <c r="M24" s="50">
        <v>28</v>
      </c>
      <c r="N24" s="50">
        <v>0</v>
      </c>
      <c r="O24" s="15">
        <f t="shared" si="0"/>
        <v>14</v>
      </c>
      <c r="P24" s="15">
        <f t="shared" si="1"/>
        <v>42</v>
      </c>
      <c r="R24" s="38" t="s">
        <v>92</v>
      </c>
      <c r="S24" s="39">
        <f>MAX(S19:S21)</f>
        <v>24</v>
      </c>
      <c r="T24" s="39">
        <f t="shared" ref="T24:AF24" si="16">MAX(T19:T21)</f>
        <v>2</v>
      </c>
      <c r="U24" s="39">
        <f t="shared" si="16"/>
        <v>22</v>
      </c>
      <c r="V24" s="39">
        <f t="shared" si="16"/>
        <v>20</v>
      </c>
      <c r="W24" s="39">
        <f t="shared" si="16"/>
        <v>0</v>
      </c>
      <c r="X24" s="39">
        <f t="shared" si="16"/>
        <v>0</v>
      </c>
      <c r="Y24" s="39">
        <f t="shared" si="16"/>
        <v>18</v>
      </c>
      <c r="Z24" s="39">
        <f t="shared" si="16"/>
        <v>8</v>
      </c>
      <c r="AA24" s="39">
        <f t="shared" si="16"/>
        <v>6</v>
      </c>
      <c r="AB24" s="39">
        <f t="shared" si="16"/>
        <v>3</v>
      </c>
      <c r="AC24" s="39">
        <f t="shared" si="16"/>
        <v>209</v>
      </c>
      <c r="AD24" s="39">
        <f t="shared" si="16"/>
        <v>0</v>
      </c>
      <c r="AE24" s="40">
        <f t="shared" si="16"/>
        <v>86</v>
      </c>
      <c r="AF24" s="40">
        <f t="shared" si="16"/>
        <v>295</v>
      </c>
    </row>
    <row r="25" spans="2:32" ht="23.1" customHeight="1" x14ac:dyDescent="0.25">
      <c r="B25" s="23" t="s">
        <v>52</v>
      </c>
      <c r="C25" s="50">
        <v>6</v>
      </c>
      <c r="D25" s="50">
        <v>1</v>
      </c>
      <c r="E25" s="50">
        <v>6</v>
      </c>
      <c r="F25" s="50">
        <v>3</v>
      </c>
      <c r="G25" s="50">
        <v>0</v>
      </c>
      <c r="H25" s="50">
        <v>0</v>
      </c>
      <c r="I25" s="50">
        <v>5</v>
      </c>
      <c r="J25" s="50">
        <v>1</v>
      </c>
      <c r="K25" s="50">
        <v>0</v>
      </c>
      <c r="L25" s="50">
        <v>2</v>
      </c>
      <c r="M25" s="50">
        <v>47</v>
      </c>
      <c r="N25" s="50">
        <v>0</v>
      </c>
      <c r="O25" s="15">
        <f t="shared" si="0"/>
        <v>24</v>
      </c>
      <c r="P25" s="15">
        <f t="shared" si="1"/>
        <v>71</v>
      </c>
      <c r="R25" s="37" t="s">
        <v>85</v>
      </c>
      <c r="S25" s="35">
        <f t="shared" ref="S25:AF25" si="17">SUM(S10:S12)</f>
        <v>26</v>
      </c>
      <c r="T25" s="16">
        <f t="shared" si="17"/>
        <v>1</v>
      </c>
      <c r="U25" s="16">
        <f t="shared" si="17"/>
        <v>25</v>
      </c>
      <c r="V25" s="16">
        <f t="shared" si="17"/>
        <v>41</v>
      </c>
      <c r="W25" s="16">
        <f t="shared" si="17"/>
        <v>0</v>
      </c>
      <c r="X25" s="16">
        <f t="shared" si="17"/>
        <v>4</v>
      </c>
      <c r="Y25" s="16">
        <f t="shared" si="17"/>
        <v>8</v>
      </c>
      <c r="Z25" s="16">
        <f t="shared" si="17"/>
        <v>0</v>
      </c>
      <c r="AA25" s="16">
        <f t="shared" si="17"/>
        <v>3</v>
      </c>
      <c r="AB25" s="16">
        <f t="shared" si="17"/>
        <v>21</v>
      </c>
      <c r="AC25" s="16">
        <f t="shared" si="17"/>
        <v>361</v>
      </c>
      <c r="AD25" s="16">
        <f t="shared" si="17"/>
        <v>1</v>
      </c>
      <c r="AE25" s="32">
        <f t="shared" si="17"/>
        <v>130</v>
      </c>
      <c r="AF25" s="32">
        <f t="shared" si="17"/>
        <v>491</v>
      </c>
    </row>
    <row r="26" spans="2:32" ht="23.1" customHeight="1" x14ac:dyDescent="0.25">
      <c r="B26" s="23" t="s">
        <v>53</v>
      </c>
      <c r="C26" s="50">
        <v>5</v>
      </c>
      <c r="D26" s="50">
        <v>0</v>
      </c>
      <c r="E26" s="50">
        <v>3</v>
      </c>
      <c r="F26" s="50">
        <v>4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2</v>
      </c>
      <c r="M26" s="50">
        <v>34</v>
      </c>
      <c r="N26" s="50">
        <v>0</v>
      </c>
      <c r="O26" s="15">
        <f t="shared" si="0"/>
        <v>14</v>
      </c>
      <c r="P26" s="15">
        <f t="shared" si="1"/>
        <v>48</v>
      </c>
      <c r="R26" s="28" t="s">
        <v>86</v>
      </c>
      <c r="S26" s="16">
        <f t="shared" ref="S26:AF26" si="18">SUM(S13:S18)</f>
        <v>147</v>
      </c>
      <c r="T26" s="16">
        <f t="shared" si="18"/>
        <v>8</v>
      </c>
      <c r="U26" s="16">
        <f t="shared" si="18"/>
        <v>96</v>
      </c>
      <c r="V26" s="16">
        <f t="shared" si="18"/>
        <v>84</v>
      </c>
      <c r="W26" s="16">
        <f t="shared" si="18"/>
        <v>0</v>
      </c>
      <c r="X26" s="16">
        <f t="shared" si="18"/>
        <v>1</v>
      </c>
      <c r="Y26" s="16">
        <f t="shared" si="18"/>
        <v>40</v>
      </c>
      <c r="Z26" s="16">
        <f t="shared" si="18"/>
        <v>40</v>
      </c>
      <c r="AA26" s="16">
        <f t="shared" si="18"/>
        <v>33</v>
      </c>
      <c r="AB26" s="16">
        <f t="shared" si="18"/>
        <v>32</v>
      </c>
      <c r="AC26" s="16">
        <f t="shared" si="18"/>
        <v>939</v>
      </c>
      <c r="AD26" s="16">
        <f t="shared" si="18"/>
        <v>0</v>
      </c>
      <c r="AE26" s="32">
        <f t="shared" si="18"/>
        <v>481</v>
      </c>
      <c r="AF26" s="32">
        <f t="shared" si="18"/>
        <v>1420</v>
      </c>
    </row>
    <row r="27" spans="2:32" ht="23.1" customHeight="1" x14ac:dyDescent="0.25">
      <c r="B27" s="23" t="s">
        <v>54</v>
      </c>
      <c r="C27" s="50">
        <v>9</v>
      </c>
      <c r="D27" s="50">
        <v>1</v>
      </c>
      <c r="E27" s="50">
        <v>4</v>
      </c>
      <c r="F27" s="50">
        <v>6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3</v>
      </c>
      <c r="M27" s="50">
        <v>57</v>
      </c>
      <c r="N27" s="50">
        <v>0</v>
      </c>
      <c r="O27" s="15">
        <f t="shared" si="0"/>
        <v>24</v>
      </c>
      <c r="P27" s="15">
        <f t="shared" si="1"/>
        <v>81</v>
      </c>
      <c r="R27" s="29" t="s">
        <v>87</v>
      </c>
      <c r="S27" s="16">
        <f t="shared" ref="S27:AF27" si="19">SUM(S19:S21)</f>
        <v>58</v>
      </c>
      <c r="T27" s="16">
        <f t="shared" si="19"/>
        <v>4</v>
      </c>
      <c r="U27" s="16">
        <f t="shared" si="19"/>
        <v>55</v>
      </c>
      <c r="V27" s="16">
        <f t="shared" si="19"/>
        <v>50</v>
      </c>
      <c r="W27" s="16">
        <f t="shared" si="19"/>
        <v>0</v>
      </c>
      <c r="X27" s="16">
        <f t="shared" si="19"/>
        <v>0</v>
      </c>
      <c r="Y27" s="16">
        <f t="shared" si="19"/>
        <v>44</v>
      </c>
      <c r="Z27" s="16">
        <f t="shared" si="19"/>
        <v>20</v>
      </c>
      <c r="AA27" s="16">
        <f t="shared" si="19"/>
        <v>12</v>
      </c>
      <c r="AB27" s="16">
        <f t="shared" si="19"/>
        <v>6</v>
      </c>
      <c r="AC27" s="16">
        <f t="shared" si="19"/>
        <v>583</v>
      </c>
      <c r="AD27" s="16">
        <f t="shared" si="19"/>
        <v>0</v>
      </c>
      <c r="AE27" s="32">
        <f t="shared" si="19"/>
        <v>249</v>
      </c>
      <c r="AF27" s="32">
        <f t="shared" si="19"/>
        <v>832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4</v>
      </c>
      <c r="F28" s="50">
        <v>1</v>
      </c>
      <c r="G28" s="50">
        <v>0</v>
      </c>
      <c r="H28" s="50">
        <v>0</v>
      </c>
      <c r="I28" s="50">
        <v>2</v>
      </c>
      <c r="J28" s="50">
        <v>0</v>
      </c>
      <c r="K28" s="50">
        <v>2</v>
      </c>
      <c r="L28" s="50">
        <v>0</v>
      </c>
      <c r="M28" s="50">
        <v>29</v>
      </c>
      <c r="N28" s="50">
        <v>0</v>
      </c>
      <c r="O28" s="15">
        <f t="shared" si="0"/>
        <v>13</v>
      </c>
      <c r="P28" s="15">
        <f t="shared" si="1"/>
        <v>42</v>
      </c>
      <c r="R28" s="5" t="s">
        <v>17</v>
      </c>
      <c r="S28" s="16">
        <f t="shared" ref="S28:AF28" si="20">SUM(S10:S21)</f>
        <v>231</v>
      </c>
      <c r="T28" s="16">
        <f t="shared" si="20"/>
        <v>13</v>
      </c>
      <c r="U28" s="16">
        <f t="shared" si="20"/>
        <v>176</v>
      </c>
      <c r="V28" s="16">
        <f t="shared" si="20"/>
        <v>175</v>
      </c>
      <c r="W28" s="16">
        <f t="shared" si="20"/>
        <v>0</v>
      </c>
      <c r="X28" s="16">
        <f t="shared" si="20"/>
        <v>5</v>
      </c>
      <c r="Y28" s="16">
        <f t="shared" si="20"/>
        <v>92</v>
      </c>
      <c r="Z28" s="16">
        <f t="shared" si="20"/>
        <v>60</v>
      </c>
      <c r="AA28" s="16">
        <f t="shared" si="20"/>
        <v>48</v>
      </c>
      <c r="AB28" s="16">
        <f t="shared" si="20"/>
        <v>59</v>
      </c>
      <c r="AC28" s="16">
        <f t="shared" si="20"/>
        <v>1883</v>
      </c>
      <c r="AD28" s="16">
        <f t="shared" si="20"/>
        <v>1</v>
      </c>
      <c r="AE28" s="32">
        <f t="shared" si="20"/>
        <v>860</v>
      </c>
      <c r="AF28" s="32">
        <f t="shared" si="20"/>
        <v>2743</v>
      </c>
    </row>
    <row r="29" spans="2:32" ht="23.1" customHeight="1" x14ac:dyDescent="0.25">
      <c r="B29" s="23" t="s">
        <v>56</v>
      </c>
      <c r="C29" s="50">
        <v>7</v>
      </c>
      <c r="D29" s="50">
        <v>1</v>
      </c>
      <c r="E29" s="50">
        <v>6</v>
      </c>
      <c r="F29" s="50">
        <v>2</v>
      </c>
      <c r="G29" s="50">
        <v>0</v>
      </c>
      <c r="H29" s="50">
        <v>0</v>
      </c>
      <c r="I29" s="50">
        <v>3</v>
      </c>
      <c r="J29" s="50">
        <v>1</v>
      </c>
      <c r="K29" s="50">
        <v>4</v>
      </c>
      <c r="L29" s="50">
        <v>0</v>
      </c>
      <c r="M29" s="50">
        <v>49</v>
      </c>
      <c r="N29" s="50">
        <v>0</v>
      </c>
      <c r="O29" s="15">
        <f t="shared" si="0"/>
        <v>24</v>
      </c>
      <c r="P29" s="15">
        <f t="shared" si="1"/>
        <v>73</v>
      </c>
      <c r="R29"/>
      <c r="S29" s="20"/>
      <c r="T29" s="19"/>
    </row>
    <row r="30" spans="2:32" ht="23.1" customHeight="1" x14ac:dyDescent="0.25">
      <c r="B30" s="23" t="s">
        <v>57</v>
      </c>
      <c r="C30" s="50">
        <v>8</v>
      </c>
      <c r="D30" s="50">
        <v>0</v>
      </c>
      <c r="E30" s="50">
        <v>2</v>
      </c>
      <c r="F30" s="50">
        <v>3</v>
      </c>
      <c r="G30" s="50">
        <v>0</v>
      </c>
      <c r="H30" s="50">
        <v>0</v>
      </c>
      <c r="I30" s="50">
        <v>1</v>
      </c>
      <c r="J30" s="50">
        <v>2</v>
      </c>
      <c r="K30" s="50">
        <v>0</v>
      </c>
      <c r="L30" s="50">
        <v>0</v>
      </c>
      <c r="M30" s="50">
        <v>41</v>
      </c>
      <c r="N30" s="50">
        <v>0</v>
      </c>
      <c r="O30" s="15">
        <f t="shared" si="0"/>
        <v>16</v>
      </c>
      <c r="P30" s="15">
        <f t="shared" si="1"/>
        <v>57</v>
      </c>
    </row>
    <row r="31" spans="2:32" ht="23.1" customHeight="1" x14ac:dyDescent="0.25">
      <c r="B31" s="24" t="s">
        <v>58</v>
      </c>
      <c r="C31" s="50">
        <v>14</v>
      </c>
      <c r="D31" s="50">
        <v>0</v>
      </c>
      <c r="E31" s="50">
        <v>4</v>
      </c>
      <c r="F31" s="50">
        <v>5</v>
      </c>
      <c r="G31" s="50">
        <v>0</v>
      </c>
      <c r="H31" s="50">
        <v>0</v>
      </c>
      <c r="I31" s="50">
        <v>2</v>
      </c>
      <c r="J31" s="50">
        <v>3</v>
      </c>
      <c r="K31" s="50">
        <v>1</v>
      </c>
      <c r="L31" s="50">
        <v>1</v>
      </c>
      <c r="M31" s="50">
        <v>69</v>
      </c>
      <c r="N31" s="50">
        <v>0</v>
      </c>
      <c r="O31" s="15">
        <f t="shared" si="0"/>
        <v>30</v>
      </c>
      <c r="P31" s="15">
        <f t="shared" si="1"/>
        <v>99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1</v>
      </c>
      <c r="F32" s="50">
        <v>3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31</v>
      </c>
      <c r="N32" s="50">
        <v>0</v>
      </c>
      <c r="O32" s="15">
        <f t="shared" si="0"/>
        <v>7</v>
      </c>
      <c r="P32" s="15">
        <f t="shared" si="1"/>
        <v>38</v>
      </c>
    </row>
    <row r="33" spans="2:20" ht="23.1" customHeight="1" x14ac:dyDescent="0.25">
      <c r="B33" s="23" t="s">
        <v>60</v>
      </c>
      <c r="C33" s="50">
        <v>5</v>
      </c>
      <c r="D33" s="50">
        <v>0</v>
      </c>
      <c r="E33" s="50">
        <v>2</v>
      </c>
      <c r="F33" s="50">
        <v>5</v>
      </c>
      <c r="G33" s="50">
        <v>0</v>
      </c>
      <c r="H33" s="50">
        <v>0</v>
      </c>
      <c r="I33" s="50">
        <v>1</v>
      </c>
      <c r="J33" s="50">
        <v>1</v>
      </c>
      <c r="K33" s="50">
        <v>1</v>
      </c>
      <c r="L33" s="50">
        <v>1</v>
      </c>
      <c r="M33" s="50">
        <v>52</v>
      </c>
      <c r="N33" s="50">
        <v>0</v>
      </c>
      <c r="O33" s="15">
        <f t="shared" si="0"/>
        <v>16</v>
      </c>
      <c r="P33" s="15">
        <f t="shared" si="1"/>
        <v>68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6</v>
      </c>
      <c r="F34" s="50">
        <v>2</v>
      </c>
      <c r="G34" s="50">
        <v>0</v>
      </c>
      <c r="H34" s="50">
        <v>0</v>
      </c>
      <c r="I34" s="50">
        <v>2</v>
      </c>
      <c r="J34" s="50">
        <v>2</v>
      </c>
      <c r="K34" s="50">
        <v>2</v>
      </c>
      <c r="L34" s="50">
        <v>0</v>
      </c>
      <c r="M34" s="50">
        <v>38</v>
      </c>
      <c r="N34" s="50">
        <v>0</v>
      </c>
      <c r="O34" s="15">
        <f t="shared" si="0"/>
        <v>15</v>
      </c>
      <c r="P34" s="15">
        <f t="shared" si="1"/>
        <v>53</v>
      </c>
    </row>
    <row r="35" spans="2:20" ht="23.1" customHeight="1" x14ac:dyDescent="0.25">
      <c r="B35" s="24" t="s">
        <v>62</v>
      </c>
      <c r="C35" s="50">
        <v>2</v>
      </c>
      <c r="D35" s="50">
        <v>1</v>
      </c>
      <c r="E35" s="50">
        <v>9</v>
      </c>
      <c r="F35" s="50">
        <v>4</v>
      </c>
      <c r="G35" s="50">
        <v>0</v>
      </c>
      <c r="H35" s="50">
        <v>1</v>
      </c>
      <c r="I35" s="50">
        <v>4</v>
      </c>
      <c r="J35" s="50">
        <v>3</v>
      </c>
      <c r="K35" s="50">
        <v>3</v>
      </c>
      <c r="L35" s="50">
        <v>0</v>
      </c>
      <c r="M35" s="50">
        <v>63</v>
      </c>
      <c r="N35" s="50">
        <v>0</v>
      </c>
      <c r="O35" s="15">
        <f t="shared" si="0"/>
        <v>27</v>
      </c>
      <c r="P35" s="15">
        <f t="shared" si="1"/>
        <v>90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4</v>
      </c>
      <c r="F36" s="50">
        <v>2</v>
      </c>
      <c r="G36" s="50">
        <v>0</v>
      </c>
      <c r="H36" s="50">
        <v>0</v>
      </c>
      <c r="I36" s="50">
        <v>0</v>
      </c>
      <c r="J36" s="50">
        <v>2</v>
      </c>
      <c r="K36" s="50">
        <v>2</v>
      </c>
      <c r="L36" s="50">
        <v>2</v>
      </c>
      <c r="M36" s="50">
        <v>21</v>
      </c>
      <c r="N36" s="50">
        <v>0</v>
      </c>
      <c r="O36" s="15">
        <f t="shared" si="0"/>
        <v>15</v>
      </c>
      <c r="P36" s="15">
        <f t="shared" si="1"/>
        <v>36</v>
      </c>
    </row>
    <row r="37" spans="2:20" ht="23.1" customHeight="1" x14ac:dyDescent="0.25">
      <c r="B37" s="23" t="s">
        <v>64</v>
      </c>
      <c r="C37" s="50">
        <v>5</v>
      </c>
      <c r="D37" s="50">
        <v>1</v>
      </c>
      <c r="E37" s="50">
        <v>6</v>
      </c>
      <c r="F37" s="50">
        <v>4</v>
      </c>
      <c r="G37" s="50">
        <v>0</v>
      </c>
      <c r="H37" s="50">
        <v>0</v>
      </c>
      <c r="I37" s="50">
        <v>1</v>
      </c>
      <c r="J37" s="50">
        <v>3</v>
      </c>
      <c r="K37" s="50">
        <v>4</v>
      </c>
      <c r="L37" s="50">
        <v>3</v>
      </c>
      <c r="M37" s="50">
        <v>35</v>
      </c>
      <c r="N37" s="50">
        <v>0</v>
      </c>
      <c r="O37" s="15">
        <f t="shared" si="0"/>
        <v>27</v>
      </c>
      <c r="P37" s="15">
        <f t="shared" si="1"/>
        <v>62</v>
      </c>
    </row>
    <row r="38" spans="2:20" ht="23.1" customHeight="1" x14ac:dyDescent="0.25">
      <c r="B38" s="24" t="s">
        <v>65</v>
      </c>
      <c r="C38" s="50">
        <v>7</v>
      </c>
      <c r="D38" s="50">
        <v>0</v>
      </c>
      <c r="E38" s="50">
        <v>2</v>
      </c>
      <c r="F38" s="50">
        <v>2</v>
      </c>
      <c r="G38" s="50">
        <v>0</v>
      </c>
      <c r="H38" s="50">
        <v>0</v>
      </c>
      <c r="I38" s="50">
        <v>0</v>
      </c>
      <c r="J38" s="50">
        <v>2</v>
      </c>
      <c r="K38" s="50">
        <v>0</v>
      </c>
      <c r="L38" s="50">
        <v>2</v>
      </c>
      <c r="M38" s="50">
        <v>0</v>
      </c>
      <c r="N38" s="50">
        <v>0</v>
      </c>
      <c r="O38" s="15">
        <f t="shared" si="0"/>
        <v>15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12</v>
      </c>
      <c r="D39" s="50">
        <v>0</v>
      </c>
      <c r="E39" s="50">
        <v>4</v>
      </c>
      <c r="F39" s="50">
        <v>4</v>
      </c>
      <c r="G39" s="50">
        <v>0</v>
      </c>
      <c r="H39" s="50">
        <v>0</v>
      </c>
      <c r="I39" s="50">
        <v>1</v>
      </c>
      <c r="J39" s="50">
        <v>3</v>
      </c>
      <c r="K39" s="50">
        <v>0</v>
      </c>
      <c r="L39" s="50">
        <v>3</v>
      </c>
      <c r="M39" s="50">
        <v>0</v>
      </c>
      <c r="N39" s="50">
        <v>0</v>
      </c>
      <c r="O39" s="15">
        <f t="shared" si="0"/>
        <v>27</v>
      </c>
      <c r="P39" s="15">
        <f t="shared" si="1"/>
        <v>27</v>
      </c>
    </row>
    <row r="40" spans="2:20" ht="23.1" customHeight="1" x14ac:dyDescent="0.25">
      <c r="B40" s="24" t="s">
        <v>67</v>
      </c>
      <c r="C40" s="50">
        <v>8</v>
      </c>
      <c r="D40" s="50">
        <v>0</v>
      </c>
      <c r="E40" s="50">
        <v>5</v>
      </c>
      <c r="F40" s="50">
        <v>4</v>
      </c>
      <c r="G40" s="50">
        <v>0</v>
      </c>
      <c r="H40" s="50">
        <v>0</v>
      </c>
      <c r="I40" s="50">
        <v>1</v>
      </c>
      <c r="J40" s="50">
        <v>2</v>
      </c>
      <c r="K40" s="50">
        <v>1</v>
      </c>
      <c r="L40" s="50">
        <v>0</v>
      </c>
      <c r="M40" s="50">
        <v>20</v>
      </c>
      <c r="N40" s="50">
        <v>0</v>
      </c>
      <c r="O40" s="15">
        <f t="shared" si="0"/>
        <v>21</v>
      </c>
      <c r="P40" s="15">
        <f t="shared" si="1"/>
        <v>41</v>
      </c>
    </row>
    <row r="41" spans="2:20" ht="23.1" customHeight="1" x14ac:dyDescent="0.25">
      <c r="B41" s="23" t="s">
        <v>68</v>
      </c>
      <c r="C41" s="50">
        <v>13</v>
      </c>
      <c r="D41" s="50">
        <v>1</v>
      </c>
      <c r="E41" s="50">
        <v>7</v>
      </c>
      <c r="F41" s="50">
        <v>6</v>
      </c>
      <c r="G41" s="50">
        <v>0</v>
      </c>
      <c r="H41" s="50">
        <v>0</v>
      </c>
      <c r="I41" s="50">
        <v>2</v>
      </c>
      <c r="J41" s="50">
        <v>3</v>
      </c>
      <c r="K41" s="50">
        <v>2</v>
      </c>
      <c r="L41" s="50">
        <v>1</v>
      </c>
      <c r="M41" s="50">
        <v>34</v>
      </c>
      <c r="N41" s="50">
        <v>0</v>
      </c>
      <c r="O41" s="15">
        <f t="shared" si="0"/>
        <v>35</v>
      </c>
      <c r="P41" s="15">
        <f t="shared" si="1"/>
        <v>69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3</v>
      </c>
      <c r="F42" s="50">
        <v>2</v>
      </c>
      <c r="G42" s="50">
        <v>0</v>
      </c>
      <c r="H42" s="50">
        <v>0</v>
      </c>
      <c r="I42" s="50">
        <v>2</v>
      </c>
      <c r="J42" s="50">
        <v>2</v>
      </c>
      <c r="K42" s="50">
        <v>2</v>
      </c>
      <c r="L42" s="50">
        <v>0</v>
      </c>
      <c r="M42" s="50">
        <v>34</v>
      </c>
      <c r="N42" s="50">
        <v>0</v>
      </c>
      <c r="O42" s="15">
        <f t="shared" si="0"/>
        <v>16</v>
      </c>
      <c r="P42" s="15">
        <f t="shared" si="1"/>
        <v>50</v>
      </c>
    </row>
    <row r="43" spans="2:20" ht="23.1" customHeight="1" x14ac:dyDescent="0.25">
      <c r="B43" s="23" t="s">
        <v>70</v>
      </c>
      <c r="C43" s="50">
        <v>8</v>
      </c>
      <c r="D43" s="50">
        <v>1</v>
      </c>
      <c r="E43" s="50">
        <v>4</v>
      </c>
      <c r="F43" s="50">
        <v>4</v>
      </c>
      <c r="G43" s="50">
        <v>0</v>
      </c>
      <c r="H43" s="50">
        <v>0</v>
      </c>
      <c r="I43" s="50">
        <v>3</v>
      </c>
      <c r="J43" s="50">
        <v>4</v>
      </c>
      <c r="K43" s="50">
        <v>4</v>
      </c>
      <c r="L43" s="50">
        <v>0</v>
      </c>
      <c r="M43" s="50">
        <v>57</v>
      </c>
      <c r="N43" s="50">
        <v>0</v>
      </c>
      <c r="O43" s="15">
        <f t="shared" si="0"/>
        <v>28</v>
      </c>
      <c r="P43" s="15">
        <f t="shared" si="1"/>
        <v>85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4</v>
      </c>
      <c r="F44" s="50">
        <v>2</v>
      </c>
      <c r="G44" s="50">
        <v>0</v>
      </c>
      <c r="H44" s="50">
        <v>0</v>
      </c>
      <c r="I44" s="50">
        <v>2</v>
      </c>
      <c r="J44" s="50">
        <v>2</v>
      </c>
      <c r="K44" s="50">
        <v>0</v>
      </c>
      <c r="L44" s="50">
        <v>2</v>
      </c>
      <c r="M44" s="50">
        <v>37</v>
      </c>
      <c r="N44" s="50">
        <v>0</v>
      </c>
      <c r="O44" s="15">
        <f t="shared" si="0"/>
        <v>14</v>
      </c>
      <c r="P44" s="15">
        <f t="shared" si="1"/>
        <v>51</v>
      </c>
    </row>
    <row r="45" spans="2:20" ht="23.1" customHeight="1" x14ac:dyDescent="0.25">
      <c r="B45" s="23" t="s">
        <v>72</v>
      </c>
      <c r="C45" s="50">
        <v>3</v>
      </c>
      <c r="D45" s="50">
        <v>1</v>
      </c>
      <c r="E45" s="50">
        <v>5</v>
      </c>
      <c r="F45" s="50">
        <v>4</v>
      </c>
      <c r="G45" s="50">
        <v>0</v>
      </c>
      <c r="H45" s="50">
        <v>0</v>
      </c>
      <c r="I45" s="50">
        <v>4</v>
      </c>
      <c r="J45" s="50">
        <v>3</v>
      </c>
      <c r="K45" s="50">
        <v>0</v>
      </c>
      <c r="L45" s="50">
        <v>4</v>
      </c>
      <c r="M45" s="50">
        <v>61</v>
      </c>
      <c r="N45" s="50">
        <v>0</v>
      </c>
      <c r="O45" s="15">
        <f t="shared" si="0"/>
        <v>24</v>
      </c>
      <c r="P45" s="15">
        <f t="shared" si="1"/>
        <v>85</v>
      </c>
    </row>
    <row r="46" spans="2:20" ht="23.1" customHeight="1" x14ac:dyDescent="0.25">
      <c r="B46" s="24" t="s">
        <v>73</v>
      </c>
      <c r="C46" s="50">
        <v>4</v>
      </c>
      <c r="D46" s="50">
        <v>0</v>
      </c>
      <c r="E46" s="50">
        <v>2</v>
      </c>
      <c r="F46" s="50">
        <v>4</v>
      </c>
      <c r="G46" s="50">
        <v>0</v>
      </c>
      <c r="H46" s="50">
        <v>0</v>
      </c>
      <c r="I46" s="50">
        <v>2</v>
      </c>
      <c r="J46" s="50">
        <v>1</v>
      </c>
      <c r="K46" s="50">
        <v>1</v>
      </c>
      <c r="L46" s="50">
        <v>0</v>
      </c>
      <c r="M46" s="50">
        <v>25</v>
      </c>
      <c r="N46" s="50">
        <v>0</v>
      </c>
      <c r="O46" s="15">
        <f t="shared" si="0"/>
        <v>14</v>
      </c>
      <c r="P46" s="15">
        <f t="shared" si="1"/>
        <v>39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0</v>
      </c>
      <c r="E47" s="50">
        <v>4</v>
      </c>
      <c r="F47" s="50">
        <v>7</v>
      </c>
      <c r="G47" s="50">
        <v>0</v>
      </c>
      <c r="H47" s="50">
        <v>0</v>
      </c>
      <c r="I47" s="50">
        <v>3</v>
      </c>
      <c r="J47" s="50">
        <v>2</v>
      </c>
      <c r="K47" s="50">
        <v>2</v>
      </c>
      <c r="L47" s="50">
        <v>0</v>
      </c>
      <c r="M47" s="50">
        <v>41</v>
      </c>
      <c r="N47" s="50">
        <v>0</v>
      </c>
      <c r="O47" s="15">
        <f t="shared" si="0"/>
        <v>25</v>
      </c>
      <c r="P47" s="15">
        <f t="shared" si="1"/>
        <v>66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0</v>
      </c>
      <c r="E48" s="50">
        <v>2</v>
      </c>
      <c r="F48" s="50">
        <v>3</v>
      </c>
      <c r="G48" s="50">
        <v>0</v>
      </c>
      <c r="H48" s="50">
        <v>0</v>
      </c>
      <c r="I48" s="50">
        <v>5</v>
      </c>
      <c r="J48" s="50">
        <v>0</v>
      </c>
      <c r="K48" s="50">
        <v>1</v>
      </c>
      <c r="L48" s="50">
        <v>0</v>
      </c>
      <c r="M48" s="50">
        <v>38</v>
      </c>
      <c r="N48" s="50">
        <v>0</v>
      </c>
      <c r="O48" s="15">
        <f t="shared" si="0"/>
        <v>16</v>
      </c>
      <c r="P48" s="15">
        <f t="shared" si="1"/>
        <v>54</v>
      </c>
      <c r="R48" s="8"/>
      <c r="T48"/>
    </row>
    <row r="49" spans="2:20" ht="23.1" customHeight="1" x14ac:dyDescent="0.25">
      <c r="B49" s="23" t="s">
        <v>76</v>
      </c>
      <c r="C49" s="50">
        <v>8</v>
      </c>
      <c r="D49" s="50">
        <v>0</v>
      </c>
      <c r="E49" s="50">
        <v>3</v>
      </c>
      <c r="F49" s="50">
        <v>5</v>
      </c>
      <c r="G49" s="50">
        <v>0</v>
      </c>
      <c r="H49" s="50">
        <v>0</v>
      </c>
      <c r="I49" s="50">
        <v>8</v>
      </c>
      <c r="J49" s="50">
        <v>1</v>
      </c>
      <c r="K49" s="50">
        <v>2</v>
      </c>
      <c r="L49" s="50">
        <v>1</v>
      </c>
      <c r="M49" s="50">
        <v>63</v>
      </c>
      <c r="N49" s="50">
        <v>0</v>
      </c>
      <c r="O49" s="15">
        <f t="shared" si="0"/>
        <v>28</v>
      </c>
      <c r="P49" s="15">
        <f t="shared" si="1"/>
        <v>91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5</v>
      </c>
      <c r="F50" s="50">
        <v>4</v>
      </c>
      <c r="G50" s="50">
        <v>0</v>
      </c>
      <c r="H50" s="50">
        <v>0</v>
      </c>
      <c r="I50" s="50">
        <v>2</v>
      </c>
      <c r="J50" s="50">
        <v>2</v>
      </c>
      <c r="K50" s="50">
        <v>0</v>
      </c>
      <c r="L50" s="50">
        <v>0</v>
      </c>
      <c r="M50" s="50">
        <v>34</v>
      </c>
      <c r="N50" s="50">
        <v>0</v>
      </c>
      <c r="O50" s="15">
        <f t="shared" si="0"/>
        <v>15</v>
      </c>
      <c r="P50" s="15">
        <f t="shared" si="1"/>
        <v>49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1</v>
      </c>
      <c r="E51" s="50">
        <v>8</v>
      </c>
      <c r="F51" s="50">
        <v>6</v>
      </c>
      <c r="G51" s="50">
        <v>0</v>
      </c>
      <c r="H51" s="50">
        <v>0</v>
      </c>
      <c r="I51" s="50">
        <v>4</v>
      </c>
      <c r="J51" s="50">
        <v>3</v>
      </c>
      <c r="K51" s="50">
        <v>0</v>
      </c>
      <c r="L51" s="50">
        <v>1</v>
      </c>
      <c r="M51" s="50">
        <v>56</v>
      </c>
      <c r="N51" s="50">
        <v>0</v>
      </c>
      <c r="O51" s="15">
        <f t="shared" si="0"/>
        <v>27</v>
      </c>
      <c r="P51" s="15">
        <f t="shared" si="1"/>
        <v>83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4</v>
      </c>
      <c r="F52" s="50">
        <v>4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44</v>
      </c>
      <c r="N52" s="50">
        <v>0</v>
      </c>
      <c r="O52" s="15">
        <f t="shared" si="0"/>
        <v>14</v>
      </c>
      <c r="P52" s="15">
        <f t="shared" si="1"/>
        <v>58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1</v>
      </c>
      <c r="E53" s="50">
        <v>5</v>
      </c>
      <c r="F53" s="50">
        <v>6</v>
      </c>
      <c r="G53" s="50">
        <v>0</v>
      </c>
      <c r="H53" s="50">
        <v>0</v>
      </c>
      <c r="I53" s="50">
        <v>3</v>
      </c>
      <c r="J53" s="50">
        <v>2</v>
      </c>
      <c r="K53" s="50">
        <v>1</v>
      </c>
      <c r="L53" s="50">
        <v>1</v>
      </c>
      <c r="M53" s="50">
        <v>73</v>
      </c>
      <c r="N53" s="50">
        <v>0</v>
      </c>
      <c r="O53" s="15">
        <f t="shared" si="0"/>
        <v>24</v>
      </c>
      <c r="P53" s="15">
        <f t="shared" si="1"/>
        <v>97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5</v>
      </c>
      <c r="F54" s="50">
        <v>2</v>
      </c>
      <c r="G54" s="50">
        <v>0</v>
      </c>
      <c r="H54" s="50">
        <v>0</v>
      </c>
      <c r="I54" s="50">
        <v>2</v>
      </c>
      <c r="J54" s="50">
        <v>2</v>
      </c>
      <c r="K54" s="50">
        <v>0</v>
      </c>
      <c r="L54" s="50">
        <v>0</v>
      </c>
      <c r="M54" s="50">
        <v>37</v>
      </c>
      <c r="N54" s="50">
        <v>0</v>
      </c>
      <c r="O54" s="15">
        <f t="shared" si="0"/>
        <v>15</v>
      </c>
      <c r="P54" s="15">
        <f t="shared" si="1"/>
        <v>52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1</v>
      </c>
      <c r="E55" s="50">
        <v>7</v>
      </c>
      <c r="F55" s="50">
        <v>3</v>
      </c>
      <c r="G55" s="50">
        <v>0</v>
      </c>
      <c r="H55" s="50">
        <v>0</v>
      </c>
      <c r="I55" s="50">
        <v>3</v>
      </c>
      <c r="J55" s="50">
        <v>3</v>
      </c>
      <c r="K55" s="50">
        <v>0</v>
      </c>
      <c r="L55" s="50">
        <v>0</v>
      </c>
      <c r="M55" s="50">
        <v>62</v>
      </c>
      <c r="N55" s="50">
        <v>0</v>
      </c>
      <c r="O55" s="15">
        <f t="shared" si="0"/>
        <v>23</v>
      </c>
      <c r="P55" s="15">
        <f t="shared" si="1"/>
        <v>85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4</v>
      </c>
      <c r="F56" s="50">
        <v>2</v>
      </c>
      <c r="G56" s="50">
        <v>0</v>
      </c>
      <c r="H56" s="50">
        <v>0</v>
      </c>
      <c r="I56" s="50">
        <v>4</v>
      </c>
      <c r="J56" s="50">
        <v>1</v>
      </c>
      <c r="K56" s="50">
        <v>2</v>
      </c>
      <c r="L56" s="50">
        <v>1</v>
      </c>
      <c r="M56" s="50">
        <v>41</v>
      </c>
      <c r="N56" s="50">
        <v>0</v>
      </c>
      <c r="O56" s="15">
        <f t="shared" si="0"/>
        <v>18</v>
      </c>
      <c r="P56" s="15">
        <f t="shared" si="1"/>
        <v>59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1</v>
      </c>
      <c r="E57" s="50">
        <v>6</v>
      </c>
      <c r="F57" s="50">
        <v>4</v>
      </c>
      <c r="G57" s="50">
        <v>0</v>
      </c>
      <c r="H57" s="50">
        <v>0</v>
      </c>
      <c r="I57" s="50">
        <v>6</v>
      </c>
      <c r="J57" s="50">
        <v>2</v>
      </c>
      <c r="K57" s="50">
        <v>3</v>
      </c>
      <c r="L57" s="50">
        <v>2</v>
      </c>
      <c r="M57" s="50">
        <v>69</v>
      </c>
      <c r="N57" s="50">
        <v>0</v>
      </c>
      <c r="O57" s="15">
        <f t="shared" si="0"/>
        <v>30</v>
      </c>
      <c r="P57" s="15">
        <f t="shared" si="1"/>
        <v>99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231</v>
      </c>
      <c r="D58" s="16">
        <f t="shared" si="21"/>
        <v>13</v>
      </c>
      <c r="E58" s="16">
        <f t="shared" si="21"/>
        <v>176</v>
      </c>
      <c r="F58" s="16">
        <f t="shared" si="21"/>
        <v>175</v>
      </c>
      <c r="G58" s="16">
        <f t="shared" si="21"/>
        <v>0</v>
      </c>
      <c r="H58" s="16">
        <f t="shared" si="21"/>
        <v>5</v>
      </c>
      <c r="I58" s="16">
        <f t="shared" si="21"/>
        <v>92</v>
      </c>
      <c r="J58" s="16">
        <f t="shared" si="21"/>
        <v>60</v>
      </c>
      <c r="K58" s="16">
        <f t="shared" si="21"/>
        <v>48</v>
      </c>
      <c r="L58" s="16">
        <f t="shared" si="21"/>
        <v>59</v>
      </c>
      <c r="M58" s="16">
        <f t="shared" si="21"/>
        <v>1883</v>
      </c>
      <c r="N58" s="16">
        <f t="shared" si="21"/>
        <v>1</v>
      </c>
      <c r="O58" s="16">
        <f t="shared" si="21"/>
        <v>860</v>
      </c>
      <c r="P58" s="16">
        <f t="shared" si="21"/>
        <v>2743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8.421436383521691E-2</v>
      </c>
      <c r="D59" s="43">
        <f t="shared" si="22"/>
        <v>4.7393364928909956E-3</v>
      </c>
      <c r="E59" s="43">
        <f t="shared" si="22"/>
        <v>6.416332482683193E-2</v>
      </c>
      <c r="F59" s="43">
        <f t="shared" si="22"/>
        <v>6.3798760481224931E-2</v>
      </c>
      <c r="G59" s="43">
        <f t="shared" si="22"/>
        <v>0</v>
      </c>
      <c r="H59" s="43">
        <f t="shared" si="22"/>
        <v>1.8228217280349982E-3</v>
      </c>
      <c r="I59" s="43">
        <f t="shared" si="22"/>
        <v>3.3539919795843968E-2</v>
      </c>
      <c r="J59" s="43">
        <f t="shared" si="22"/>
        <v>2.1873860736419979E-2</v>
      </c>
      <c r="K59" s="43">
        <f t="shared" si="22"/>
        <v>1.7499088589135983E-2</v>
      </c>
      <c r="L59" s="43">
        <f t="shared" si="22"/>
        <v>2.150929639081298E-2</v>
      </c>
      <c r="M59" s="43">
        <f t="shared" si="22"/>
        <v>0.6864746627779803</v>
      </c>
      <c r="N59" s="43">
        <f t="shared" si="22"/>
        <v>3.6456434560699962E-4</v>
      </c>
      <c r="R59" s="8"/>
      <c r="T59"/>
    </row>
    <row r="60" spans="2:20" ht="23.1" customHeight="1" x14ac:dyDescent="0.25">
      <c r="B60" s="42" t="s">
        <v>94</v>
      </c>
      <c r="C60" s="44">
        <f>C58/$O$58</f>
        <v>0.2686046511627907</v>
      </c>
      <c r="D60" s="44">
        <f t="shared" ref="D60:N60" si="23">D58/$O$58</f>
        <v>1.5116279069767442E-2</v>
      </c>
      <c r="E60" s="44">
        <f t="shared" si="23"/>
        <v>0.20465116279069767</v>
      </c>
      <c r="F60" s="44">
        <f t="shared" si="23"/>
        <v>0.20348837209302326</v>
      </c>
      <c r="G60" s="44">
        <f t="shared" si="23"/>
        <v>0</v>
      </c>
      <c r="H60" s="44">
        <f t="shared" si="23"/>
        <v>5.8139534883720929E-3</v>
      </c>
      <c r="I60" s="44">
        <f t="shared" si="23"/>
        <v>0.10697674418604651</v>
      </c>
      <c r="J60" s="44">
        <f t="shared" si="23"/>
        <v>6.9767441860465115E-2</v>
      </c>
      <c r="K60" s="44">
        <f t="shared" si="23"/>
        <v>5.5813953488372092E-2</v>
      </c>
      <c r="L60" s="44">
        <f t="shared" si="23"/>
        <v>6.86046511627907E-2</v>
      </c>
      <c r="M60" s="44"/>
      <c r="N60" s="44">
        <f t="shared" si="23"/>
        <v>1.1627906976744186E-3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topLeftCell="B1" zoomScale="60" workbookViewId="0">
      <selection activeCell="O5" sqref="O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'09.09 Ishaka-Katungulu'!C3:G3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56" t="str">
        <f>'11.09 Katungulu-Ishaka'!G5:H5</f>
        <v>Rubirizi</v>
      </c>
      <c r="H5" s="57"/>
      <c r="I5" s="14"/>
      <c r="J5" s="2" t="s">
        <v>5</v>
      </c>
      <c r="K5" s="56" t="str">
        <f>'11.09 Katungulu-Ishaka'!K5:L5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'09.09 Ishaka-Katungulu'!D6:E6</f>
        <v>Ishaka</v>
      </c>
      <c r="E6" s="57"/>
      <c r="F6" s="2" t="s">
        <v>2</v>
      </c>
      <c r="G6" s="56" t="str">
        <f>'09.09 Ishaka-Katungulu'!G6:H6</f>
        <v>Katungulu</v>
      </c>
      <c r="H6" s="57"/>
      <c r="J6" s="2" t="s">
        <v>21</v>
      </c>
      <c r="K6" s="56" t="str">
        <f>'11.09 Katungulu-Ishaka'!K6:L6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8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10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1</v>
      </c>
      <c r="V10" s="17">
        <f t="shared" si="2"/>
        <v>5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6</v>
      </c>
      <c r="AB10" s="17">
        <f t="shared" si="2"/>
        <v>5</v>
      </c>
      <c r="AC10" s="17">
        <f t="shared" si="2"/>
        <v>101</v>
      </c>
      <c r="AD10" s="17">
        <f t="shared" si="2"/>
        <v>0</v>
      </c>
      <c r="AE10" s="31">
        <f t="shared" si="2"/>
        <v>22</v>
      </c>
      <c r="AF10" s="31">
        <f t="shared" si="2"/>
        <v>123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2</v>
      </c>
      <c r="L11" s="50">
        <v>0</v>
      </c>
      <c r="M11" s="50">
        <v>13</v>
      </c>
      <c r="N11" s="50">
        <v>0</v>
      </c>
      <c r="O11" s="15">
        <f t="shared" si="0"/>
        <v>5</v>
      </c>
      <c r="P11" s="15">
        <f t="shared" si="1"/>
        <v>18</v>
      </c>
      <c r="R11" s="1" t="s">
        <v>7</v>
      </c>
      <c r="S11" s="17">
        <f t="shared" ref="S11:AF11" si="3">SUM(C14:C17)</f>
        <v>8</v>
      </c>
      <c r="T11" s="17">
        <f t="shared" si="3"/>
        <v>0</v>
      </c>
      <c r="U11" s="17">
        <f t="shared" si="3"/>
        <v>12</v>
      </c>
      <c r="V11" s="17">
        <f t="shared" si="3"/>
        <v>16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3</v>
      </c>
      <c r="AA11" s="17">
        <f t="shared" si="3"/>
        <v>17</v>
      </c>
      <c r="AB11" s="17">
        <f t="shared" si="3"/>
        <v>2</v>
      </c>
      <c r="AC11" s="17">
        <f t="shared" si="3"/>
        <v>238</v>
      </c>
      <c r="AD11" s="17">
        <f t="shared" si="3"/>
        <v>0</v>
      </c>
      <c r="AE11" s="31">
        <f t="shared" si="3"/>
        <v>61</v>
      </c>
      <c r="AF11" s="31">
        <f t="shared" si="3"/>
        <v>299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1</v>
      </c>
      <c r="L12" s="50">
        <v>2</v>
      </c>
      <c r="M12" s="50">
        <v>30</v>
      </c>
      <c r="N12" s="50">
        <v>0</v>
      </c>
      <c r="O12" s="15">
        <f t="shared" si="0"/>
        <v>5</v>
      </c>
      <c r="P12" s="15">
        <f t="shared" si="1"/>
        <v>35</v>
      </c>
      <c r="R12" s="1" t="s">
        <v>8</v>
      </c>
      <c r="S12" s="17">
        <f t="shared" ref="S12:AF12" si="4">SUM(C18:C21)</f>
        <v>15</v>
      </c>
      <c r="T12" s="17">
        <f t="shared" si="4"/>
        <v>1</v>
      </c>
      <c r="U12" s="17">
        <f t="shared" si="4"/>
        <v>12</v>
      </c>
      <c r="V12" s="17">
        <f t="shared" si="4"/>
        <v>12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2</v>
      </c>
      <c r="AA12" s="17">
        <f t="shared" si="4"/>
        <v>1</v>
      </c>
      <c r="AB12" s="17">
        <f t="shared" si="4"/>
        <v>11</v>
      </c>
      <c r="AC12" s="17">
        <f t="shared" si="4"/>
        <v>251</v>
      </c>
      <c r="AD12" s="17">
        <f t="shared" si="4"/>
        <v>0</v>
      </c>
      <c r="AE12" s="31">
        <f t="shared" si="4"/>
        <v>58</v>
      </c>
      <c r="AF12" s="31">
        <f t="shared" si="4"/>
        <v>309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3</v>
      </c>
      <c r="G13" s="50">
        <v>0</v>
      </c>
      <c r="H13" s="50">
        <v>0</v>
      </c>
      <c r="I13" s="50">
        <v>1</v>
      </c>
      <c r="J13" s="50">
        <v>0</v>
      </c>
      <c r="K13" s="50">
        <v>2</v>
      </c>
      <c r="L13" s="50">
        <v>3</v>
      </c>
      <c r="M13" s="50">
        <v>50</v>
      </c>
      <c r="N13" s="50">
        <v>0</v>
      </c>
      <c r="O13" s="15">
        <f t="shared" si="0"/>
        <v>10</v>
      </c>
      <c r="P13" s="15">
        <f t="shared" si="1"/>
        <v>60</v>
      </c>
      <c r="R13" s="1" t="s">
        <v>9</v>
      </c>
      <c r="S13" s="17">
        <f t="shared" ref="S13:AF13" si="5">SUM(C22:C25)</f>
        <v>16</v>
      </c>
      <c r="T13" s="17">
        <f t="shared" si="5"/>
        <v>2</v>
      </c>
      <c r="U13" s="17">
        <f t="shared" si="5"/>
        <v>21</v>
      </c>
      <c r="V13" s="17">
        <f t="shared" si="5"/>
        <v>13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3</v>
      </c>
      <c r="AA13" s="17">
        <f t="shared" si="5"/>
        <v>1</v>
      </c>
      <c r="AB13" s="17">
        <f t="shared" si="5"/>
        <v>11</v>
      </c>
      <c r="AC13" s="17">
        <f t="shared" si="5"/>
        <v>288</v>
      </c>
      <c r="AD13" s="17">
        <f t="shared" si="5"/>
        <v>0</v>
      </c>
      <c r="AE13" s="31">
        <f t="shared" si="5"/>
        <v>73</v>
      </c>
      <c r="AF13" s="31">
        <f t="shared" si="5"/>
        <v>361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2</v>
      </c>
      <c r="F14" s="50">
        <v>4</v>
      </c>
      <c r="G14" s="50">
        <v>0</v>
      </c>
      <c r="H14" s="50">
        <v>0</v>
      </c>
      <c r="I14" s="50">
        <v>0</v>
      </c>
      <c r="J14" s="50">
        <v>1</v>
      </c>
      <c r="K14" s="50">
        <v>4</v>
      </c>
      <c r="L14" s="50">
        <v>0</v>
      </c>
      <c r="M14" s="50">
        <v>41</v>
      </c>
      <c r="N14" s="50">
        <v>0</v>
      </c>
      <c r="O14" s="15">
        <f t="shared" si="0"/>
        <v>13</v>
      </c>
      <c r="P14" s="15">
        <f t="shared" si="1"/>
        <v>54</v>
      </c>
      <c r="R14" s="1" t="s">
        <v>10</v>
      </c>
      <c r="S14" s="17">
        <f t="shared" ref="S14:AF14" si="6">SUM(C26:C29)</f>
        <v>18</v>
      </c>
      <c r="T14" s="17">
        <f t="shared" si="6"/>
        <v>2</v>
      </c>
      <c r="U14" s="17">
        <f t="shared" si="6"/>
        <v>27</v>
      </c>
      <c r="V14" s="17">
        <f t="shared" si="6"/>
        <v>9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1</v>
      </c>
      <c r="AA14" s="17">
        <f t="shared" si="6"/>
        <v>1</v>
      </c>
      <c r="AB14" s="17">
        <f t="shared" si="6"/>
        <v>7</v>
      </c>
      <c r="AC14" s="17">
        <f t="shared" si="6"/>
        <v>259</v>
      </c>
      <c r="AD14" s="17">
        <f t="shared" si="6"/>
        <v>0</v>
      </c>
      <c r="AE14" s="31">
        <f t="shared" si="6"/>
        <v>66</v>
      </c>
      <c r="AF14" s="31">
        <f t="shared" si="6"/>
        <v>325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4</v>
      </c>
      <c r="F15" s="50">
        <v>6</v>
      </c>
      <c r="G15" s="50">
        <v>0</v>
      </c>
      <c r="H15" s="50">
        <v>0</v>
      </c>
      <c r="I15" s="50">
        <v>0</v>
      </c>
      <c r="J15" s="50">
        <v>2</v>
      </c>
      <c r="K15" s="50">
        <v>7</v>
      </c>
      <c r="L15" s="50">
        <v>1</v>
      </c>
      <c r="M15" s="50">
        <v>85</v>
      </c>
      <c r="N15" s="50">
        <v>0</v>
      </c>
      <c r="O15" s="15">
        <f t="shared" si="0"/>
        <v>23</v>
      </c>
      <c r="P15" s="15">
        <f t="shared" si="1"/>
        <v>108</v>
      </c>
      <c r="R15" s="1" t="s">
        <v>11</v>
      </c>
      <c r="S15" s="17">
        <f t="shared" ref="S15:AF15" si="7">SUM(C30:C33)</f>
        <v>21</v>
      </c>
      <c r="T15" s="17">
        <f t="shared" si="7"/>
        <v>2</v>
      </c>
      <c r="U15" s="17">
        <f t="shared" si="7"/>
        <v>17</v>
      </c>
      <c r="V15" s="17">
        <f t="shared" si="7"/>
        <v>13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0</v>
      </c>
      <c r="AA15" s="17">
        <f t="shared" si="7"/>
        <v>1</v>
      </c>
      <c r="AB15" s="17">
        <f t="shared" si="7"/>
        <v>4</v>
      </c>
      <c r="AC15" s="17">
        <f t="shared" si="7"/>
        <v>184</v>
      </c>
      <c r="AD15" s="17">
        <f t="shared" si="7"/>
        <v>0</v>
      </c>
      <c r="AE15" s="31">
        <f t="shared" si="7"/>
        <v>70</v>
      </c>
      <c r="AF15" s="31">
        <f t="shared" si="7"/>
        <v>254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2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2</v>
      </c>
      <c r="L16" s="50">
        <v>0</v>
      </c>
      <c r="M16" s="50">
        <v>42</v>
      </c>
      <c r="N16" s="50">
        <v>0</v>
      </c>
      <c r="O16" s="15">
        <f t="shared" si="0"/>
        <v>8</v>
      </c>
      <c r="P16" s="15">
        <f t="shared" si="1"/>
        <v>50</v>
      </c>
      <c r="R16" s="1" t="s">
        <v>12</v>
      </c>
      <c r="S16" s="17">
        <f t="shared" ref="S16:AF16" si="8">SUM(C34:C37)</f>
        <v>20</v>
      </c>
      <c r="T16" s="17">
        <f t="shared" si="8"/>
        <v>0</v>
      </c>
      <c r="U16" s="17">
        <f t="shared" si="8"/>
        <v>10</v>
      </c>
      <c r="V16" s="17">
        <f t="shared" si="8"/>
        <v>20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0</v>
      </c>
      <c r="AA16" s="17">
        <f t="shared" si="8"/>
        <v>1</v>
      </c>
      <c r="AB16" s="17">
        <f t="shared" si="8"/>
        <v>4</v>
      </c>
      <c r="AC16" s="17">
        <f t="shared" si="8"/>
        <v>189</v>
      </c>
      <c r="AD16" s="17">
        <f t="shared" si="8"/>
        <v>0</v>
      </c>
      <c r="AE16" s="31">
        <f t="shared" si="8"/>
        <v>61</v>
      </c>
      <c r="AF16" s="31">
        <f t="shared" si="8"/>
        <v>250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4</v>
      </c>
      <c r="F17" s="50">
        <v>4</v>
      </c>
      <c r="G17" s="50">
        <v>0</v>
      </c>
      <c r="H17" s="50">
        <v>0</v>
      </c>
      <c r="I17" s="50">
        <v>2</v>
      </c>
      <c r="J17" s="50">
        <v>0</v>
      </c>
      <c r="K17" s="50">
        <v>4</v>
      </c>
      <c r="L17" s="50">
        <v>1</v>
      </c>
      <c r="M17" s="50">
        <v>70</v>
      </c>
      <c r="N17" s="50">
        <v>0</v>
      </c>
      <c r="O17" s="15">
        <f t="shared" si="0"/>
        <v>17</v>
      </c>
      <c r="P17" s="15">
        <f t="shared" si="1"/>
        <v>87</v>
      </c>
      <c r="R17" s="1" t="s">
        <v>13</v>
      </c>
      <c r="S17" s="17">
        <f t="shared" ref="S17:AF17" si="9">SUM(C38:C41)</f>
        <v>18</v>
      </c>
      <c r="T17" s="17">
        <f t="shared" si="9"/>
        <v>2</v>
      </c>
      <c r="U17" s="17">
        <f t="shared" si="9"/>
        <v>19</v>
      </c>
      <c r="V17" s="17">
        <f t="shared" si="9"/>
        <v>16</v>
      </c>
      <c r="W17" s="17">
        <f t="shared" si="9"/>
        <v>0</v>
      </c>
      <c r="X17" s="17">
        <f t="shared" si="9"/>
        <v>0</v>
      </c>
      <c r="Y17" s="17">
        <f t="shared" si="9"/>
        <v>13</v>
      </c>
      <c r="Z17" s="17">
        <f t="shared" si="9"/>
        <v>4</v>
      </c>
      <c r="AA17" s="17">
        <f t="shared" si="9"/>
        <v>6</v>
      </c>
      <c r="AB17" s="17">
        <f t="shared" si="9"/>
        <v>4</v>
      </c>
      <c r="AC17" s="17">
        <f t="shared" si="9"/>
        <v>180</v>
      </c>
      <c r="AD17" s="17">
        <f t="shared" si="9"/>
        <v>0</v>
      </c>
      <c r="AE17" s="31">
        <f t="shared" si="9"/>
        <v>82</v>
      </c>
      <c r="AF17" s="31">
        <f t="shared" si="9"/>
        <v>262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1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2</v>
      </c>
      <c r="M18" s="50">
        <v>35</v>
      </c>
      <c r="N18" s="50">
        <v>0</v>
      </c>
      <c r="O18" s="15">
        <f t="shared" si="0"/>
        <v>7</v>
      </c>
      <c r="P18" s="15">
        <f t="shared" si="1"/>
        <v>42</v>
      </c>
      <c r="R18" s="1" t="s">
        <v>14</v>
      </c>
      <c r="S18" s="17">
        <f t="shared" ref="S18:AF18" si="10">SUM(C42:C45)</f>
        <v>19</v>
      </c>
      <c r="T18" s="17">
        <f t="shared" si="10"/>
        <v>1</v>
      </c>
      <c r="U18" s="17">
        <f t="shared" si="10"/>
        <v>18</v>
      </c>
      <c r="V18" s="17">
        <f t="shared" si="10"/>
        <v>10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1</v>
      </c>
      <c r="AA18" s="17">
        <f t="shared" si="10"/>
        <v>5</v>
      </c>
      <c r="AB18" s="17">
        <f t="shared" si="10"/>
        <v>6</v>
      </c>
      <c r="AC18" s="17">
        <f t="shared" si="10"/>
        <v>157</v>
      </c>
      <c r="AD18" s="17">
        <f t="shared" si="10"/>
        <v>0</v>
      </c>
      <c r="AE18" s="31">
        <f t="shared" si="10"/>
        <v>66</v>
      </c>
      <c r="AF18" s="31">
        <f t="shared" si="10"/>
        <v>223</v>
      </c>
    </row>
    <row r="19" spans="2:32" ht="23.1" customHeight="1" x14ac:dyDescent="0.25">
      <c r="B19" s="23" t="s">
        <v>46</v>
      </c>
      <c r="C19" s="50">
        <v>3</v>
      </c>
      <c r="D19" s="50">
        <v>0</v>
      </c>
      <c r="E19" s="50">
        <v>2</v>
      </c>
      <c r="F19" s="50">
        <v>4</v>
      </c>
      <c r="G19" s="50">
        <v>0</v>
      </c>
      <c r="H19" s="50">
        <v>0</v>
      </c>
      <c r="I19" s="50">
        <v>1</v>
      </c>
      <c r="J19" s="50">
        <v>1</v>
      </c>
      <c r="K19" s="50">
        <v>1</v>
      </c>
      <c r="L19" s="50">
        <v>3</v>
      </c>
      <c r="M19" s="50">
        <v>59</v>
      </c>
      <c r="N19" s="50">
        <v>0</v>
      </c>
      <c r="O19" s="15">
        <f t="shared" si="0"/>
        <v>15</v>
      </c>
      <c r="P19" s="15">
        <f t="shared" si="1"/>
        <v>74</v>
      </c>
      <c r="R19" s="1" t="s">
        <v>15</v>
      </c>
      <c r="S19" s="17">
        <f t="shared" ref="S19:AF19" si="11">SUM(C46:C49)</f>
        <v>24</v>
      </c>
      <c r="T19" s="17">
        <f t="shared" si="11"/>
        <v>2</v>
      </c>
      <c r="U19" s="17">
        <f t="shared" si="11"/>
        <v>20</v>
      </c>
      <c r="V19" s="17">
        <f t="shared" si="11"/>
        <v>16</v>
      </c>
      <c r="W19" s="17">
        <f t="shared" si="11"/>
        <v>0</v>
      </c>
      <c r="X19" s="17">
        <f t="shared" si="11"/>
        <v>0</v>
      </c>
      <c r="Y19" s="17">
        <f t="shared" si="11"/>
        <v>15</v>
      </c>
      <c r="Z19" s="17">
        <f t="shared" si="11"/>
        <v>1</v>
      </c>
      <c r="AA19" s="17">
        <f t="shared" si="11"/>
        <v>3</v>
      </c>
      <c r="AB19" s="17">
        <f t="shared" si="11"/>
        <v>1</v>
      </c>
      <c r="AC19" s="17">
        <f t="shared" si="11"/>
        <v>202</v>
      </c>
      <c r="AD19" s="17">
        <f t="shared" si="11"/>
        <v>0</v>
      </c>
      <c r="AE19" s="31">
        <f t="shared" si="11"/>
        <v>82</v>
      </c>
      <c r="AF19" s="31">
        <f t="shared" si="11"/>
        <v>284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4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2</v>
      </c>
      <c r="M20" s="50">
        <v>59</v>
      </c>
      <c r="N20" s="50">
        <v>0</v>
      </c>
      <c r="O20" s="15">
        <f t="shared" si="0"/>
        <v>13</v>
      </c>
      <c r="P20" s="15">
        <f t="shared" si="1"/>
        <v>72</v>
      </c>
      <c r="R20" s="1" t="s">
        <v>16</v>
      </c>
      <c r="S20" s="17">
        <f t="shared" ref="S20:AF20" si="12">SUM(C50:C53)</f>
        <v>19</v>
      </c>
      <c r="T20" s="17">
        <f t="shared" si="12"/>
        <v>2</v>
      </c>
      <c r="U20" s="17">
        <f t="shared" si="12"/>
        <v>16</v>
      </c>
      <c r="V20" s="17">
        <f t="shared" si="12"/>
        <v>14</v>
      </c>
      <c r="W20" s="17">
        <f t="shared" si="12"/>
        <v>0</v>
      </c>
      <c r="X20" s="17">
        <f t="shared" si="12"/>
        <v>0</v>
      </c>
      <c r="Y20" s="17">
        <f t="shared" si="12"/>
        <v>11</v>
      </c>
      <c r="Z20" s="17">
        <f t="shared" si="12"/>
        <v>1</v>
      </c>
      <c r="AA20" s="17">
        <f t="shared" si="12"/>
        <v>8</v>
      </c>
      <c r="AB20" s="17">
        <f t="shared" si="12"/>
        <v>3</v>
      </c>
      <c r="AC20" s="17">
        <f t="shared" si="12"/>
        <v>176</v>
      </c>
      <c r="AD20" s="17">
        <f t="shared" si="12"/>
        <v>0</v>
      </c>
      <c r="AE20" s="31">
        <f t="shared" si="12"/>
        <v>74</v>
      </c>
      <c r="AF20" s="31">
        <f t="shared" si="12"/>
        <v>250</v>
      </c>
    </row>
    <row r="21" spans="2:32" ht="23.1" customHeight="1" x14ac:dyDescent="0.25">
      <c r="B21" s="23" t="s">
        <v>48</v>
      </c>
      <c r="C21" s="50">
        <v>6</v>
      </c>
      <c r="D21" s="50">
        <v>1</v>
      </c>
      <c r="E21" s="50">
        <v>5</v>
      </c>
      <c r="F21" s="50">
        <v>4</v>
      </c>
      <c r="G21" s="50">
        <v>0</v>
      </c>
      <c r="H21" s="50">
        <v>0</v>
      </c>
      <c r="I21" s="50">
        <v>2</v>
      </c>
      <c r="J21" s="50">
        <v>1</v>
      </c>
      <c r="K21" s="50">
        <v>0</v>
      </c>
      <c r="L21" s="50">
        <v>4</v>
      </c>
      <c r="M21" s="50">
        <v>98</v>
      </c>
      <c r="N21" s="50">
        <v>0</v>
      </c>
      <c r="O21" s="15">
        <f t="shared" si="0"/>
        <v>23</v>
      </c>
      <c r="P21" s="15">
        <f t="shared" si="1"/>
        <v>121</v>
      </c>
      <c r="R21" s="36" t="s">
        <v>20</v>
      </c>
      <c r="S21" s="34">
        <f t="shared" ref="S21:AF21" si="13">SUM(C54:C57)</f>
        <v>15</v>
      </c>
      <c r="T21" s="17">
        <f t="shared" si="13"/>
        <v>0</v>
      </c>
      <c r="U21" s="17">
        <f t="shared" si="13"/>
        <v>11</v>
      </c>
      <c r="V21" s="17">
        <f t="shared" si="13"/>
        <v>12</v>
      </c>
      <c r="W21" s="17">
        <f t="shared" si="13"/>
        <v>0</v>
      </c>
      <c r="X21" s="17">
        <f t="shared" si="13"/>
        <v>1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1</v>
      </c>
      <c r="AC21" s="17">
        <f t="shared" si="13"/>
        <v>150</v>
      </c>
      <c r="AD21" s="17">
        <f t="shared" si="13"/>
        <v>0</v>
      </c>
      <c r="AE21" s="31">
        <f t="shared" si="13"/>
        <v>43</v>
      </c>
      <c r="AF21" s="31">
        <f t="shared" si="13"/>
        <v>193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5</v>
      </c>
      <c r="F22" s="50">
        <v>1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2</v>
      </c>
      <c r="M22" s="50">
        <v>47</v>
      </c>
      <c r="N22" s="50">
        <v>0</v>
      </c>
      <c r="O22" s="15">
        <f t="shared" si="0"/>
        <v>12</v>
      </c>
      <c r="P22" s="15">
        <f t="shared" si="1"/>
        <v>59</v>
      </c>
      <c r="R22" s="38" t="s">
        <v>90</v>
      </c>
      <c r="S22" s="39">
        <f>MAX(S10:S12)</f>
        <v>15</v>
      </c>
      <c r="T22" s="39">
        <f t="shared" ref="T22:AF22" si="14">MAX(T10:T12)</f>
        <v>1</v>
      </c>
      <c r="U22" s="39">
        <f t="shared" si="14"/>
        <v>12</v>
      </c>
      <c r="V22" s="39">
        <f t="shared" si="14"/>
        <v>16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3</v>
      </c>
      <c r="AA22" s="39">
        <f t="shared" si="14"/>
        <v>17</v>
      </c>
      <c r="AB22" s="39">
        <f t="shared" si="14"/>
        <v>11</v>
      </c>
      <c r="AC22" s="39">
        <f t="shared" si="14"/>
        <v>251</v>
      </c>
      <c r="AD22" s="39">
        <f t="shared" si="14"/>
        <v>0</v>
      </c>
      <c r="AE22" s="40">
        <f t="shared" si="14"/>
        <v>61</v>
      </c>
      <c r="AF22" s="40">
        <f t="shared" si="14"/>
        <v>309</v>
      </c>
    </row>
    <row r="23" spans="2:32" ht="23.1" customHeight="1" x14ac:dyDescent="0.25">
      <c r="B23" s="23" t="s">
        <v>50</v>
      </c>
      <c r="C23" s="50">
        <v>4</v>
      </c>
      <c r="D23" s="50">
        <v>1</v>
      </c>
      <c r="E23" s="50">
        <v>7</v>
      </c>
      <c r="F23" s="50">
        <v>2</v>
      </c>
      <c r="G23" s="50">
        <v>0</v>
      </c>
      <c r="H23" s="50">
        <v>0</v>
      </c>
      <c r="I23" s="50">
        <v>3</v>
      </c>
      <c r="J23" s="50">
        <v>0</v>
      </c>
      <c r="K23" s="50">
        <v>1</v>
      </c>
      <c r="L23" s="50">
        <v>4</v>
      </c>
      <c r="M23" s="50">
        <v>78</v>
      </c>
      <c r="N23" s="50">
        <v>0</v>
      </c>
      <c r="O23" s="15">
        <f t="shared" si="0"/>
        <v>22</v>
      </c>
      <c r="P23" s="15">
        <f t="shared" si="1"/>
        <v>100</v>
      </c>
      <c r="R23" s="38" t="s">
        <v>91</v>
      </c>
      <c r="S23" s="39">
        <f>MAX(S13:S18)</f>
        <v>21</v>
      </c>
      <c r="T23" s="39">
        <f t="shared" ref="T23:AF23" si="15">MAX(T13:T18)</f>
        <v>2</v>
      </c>
      <c r="U23" s="39">
        <f t="shared" si="15"/>
        <v>27</v>
      </c>
      <c r="V23" s="39">
        <f t="shared" si="15"/>
        <v>20</v>
      </c>
      <c r="W23" s="39">
        <f t="shared" si="15"/>
        <v>0</v>
      </c>
      <c r="X23" s="39">
        <f t="shared" si="15"/>
        <v>0</v>
      </c>
      <c r="Y23" s="39">
        <f t="shared" si="15"/>
        <v>13</v>
      </c>
      <c r="Z23" s="39">
        <f t="shared" si="15"/>
        <v>4</v>
      </c>
      <c r="AA23" s="39">
        <f t="shared" si="15"/>
        <v>6</v>
      </c>
      <c r="AB23" s="39">
        <f t="shared" si="15"/>
        <v>11</v>
      </c>
      <c r="AC23" s="39">
        <f t="shared" si="15"/>
        <v>288</v>
      </c>
      <c r="AD23" s="39">
        <f t="shared" si="15"/>
        <v>0</v>
      </c>
      <c r="AE23" s="40">
        <f t="shared" si="15"/>
        <v>82</v>
      </c>
      <c r="AF23" s="40">
        <f t="shared" si="15"/>
        <v>361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4</v>
      </c>
      <c r="F24" s="50">
        <v>4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2</v>
      </c>
      <c r="M24" s="50">
        <v>61</v>
      </c>
      <c r="N24" s="50">
        <v>0</v>
      </c>
      <c r="O24" s="15">
        <f t="shared" si="0"/>
        <v>15</v>
      </c>
      <c r="P24" s="15">
        <f t="shared" si="1"/>
        <v>76</v>
      </c>
      <c r="R24" s="38" t="s">
        <v>92</v>
      </c>
      <c r="S24" s="39">
        <f>MAX(S19:S21)</f>
        <v>24</v>
      </c>
      <c r="T24" s="39">
        <f t="shared" ref="T24:AF24" si="16">MAX(T19:T21)</f>
        <v>2</v>
      </c>
      <c r="U24" s="39">
        <f t="shared" si="16"/>
        <v>20</v>
      </c>
      <c r="V24" s="39">
        <f t="shared" si="16"/>
        <v>16</v>
      </c>
      <c r="W24" s="39">
        <f t="shared" si="16"/>
        <v>0</v>
      </c>
      <c r="X24" s="39">
        <f t="shared" si="16"/>
        <v>1</v>
      </c>
      <c r="Y24" s="39">
        <f t="shared" si="16"/>
        <v>15</v>
      </c>
      <c r="Z24" s="39">
        <f t="shared" si="16"/>
        <v>1</v>
      </c>
      <c r="AA24" s="39">
        <f t="shared" si="16"/>
        <v>8</v>
      </c>
      <c r="AB24" s="39">
        <f t="shared" si="16"/>
        <v>3</v>
      </c>
      <c r="AC24" s="39">
        <f t="shared" si="16"/>
        <v>202</v>
      </c>
      <c r="AD24" s="39">
        <f t="shared" si="16"/>
        <v>0</v>
      </c>
      <c r="AE24" s="40">
        <f t="shared" si="16"/>
        <v>82</v>
      </c>
      <c r="AF24" s="40">
        <f t="shared" si="16"/>
        <v>284</v>
      </c>
    </row>
    <row r="25" spans="2:32" ht="23.1" customHeight="1" x14ac:dyDescent="0.25">
      <c r="B25" s="23" t="s">
        <v>52</v>
      </c>
      <c r="C25" s="50">
        <v>6</v>
      </c>
      <c r="D25" s="50">
        <v>1</v>
      </c>
      <c r="E25" s="50">
        <v>5</v>
      </c>
      <c r="F25" s="50">
        <v>6</v>
      </c>
      <c r="G25" s="50">
        <v>0</v>
      </c>
      <c r="H25" s="50">
        <v>0</v>
      </c>
      <c r="I25" s="50">
        <v>1</v>
      </c>
      <c r="J25" s="50">
        <v>2</v>
      </c>
      <c r="K25" s="50">
        <v>0</v>
      </c>
      <c r="L25" s="50">
        <v>3</v>
      </c>
      <c r="M25" s="50">
        <v>102</v>
      </c>
      <c r="N25" s="50">
        <v>0</v>
      </c>
      <c r="O25" s="15">
        <f t="shared" si="0"/>
        <v>24</v>
      </c>
      <c r="P25" s="15">
        <f t="shared" si="1"/>
        <v>126</v>
      </c>
      <c r="R25" s="37" t="s">
        <v>85</v>
      </c>
      <c r="S25" s="35">
        <f t="shared" ref="S25:AF25" si="17">SUM(S10:S12)</f>
        <v>27</v>
      </c>
      <c r="T25" s="16">
        <f t="shared" si="17"/>
        <v>1</v>
      </c>
      <c r="U25" s="16">
        <f t="shared" si="17"/>
        <v>25</v>
      </c>
      <c r="V25" s="16">
        <f t="shared" si="17"/>
        <v>33</v>
      </c>
      <c r="W25" s="16">
        <f t="shared" si="17"/>
        <v>0</v>
      </c>
      <c r="X25" s="16">
        <f t="shared" si="17"/>
        <v>0</v>
      </c>
      <c r="Y25" s="16">
        <f t="shared" si="17"/>
        <v>8</v>
      </c>
      <c r="Z25" s="16">
        <f t="shared" si="17"/>
        <v>5</v>
      </c>
      <c r="AA25" s="16">
        <f t="shared" si="17"/>
        <v>24</v>
      </c>
      <c r="AB25" s="16">
        <f t="shared" si="17"/>
        <v>18</v>
      </c>
      <c r="AC25" s="16">
        <f t="shared" si="17"/>
        <v>590</v>
      </c>
      <c r="AD25" s="16">
        <f t="shared" si="17"/>
        <v>0</v>
      </c>
      <c r="AE25" s="32">
        <f t="shared" si="17"/>
        <v>141</v>
      </c>
      <c r="AF25" s="32">
        <f t="shared" si="17"/>
        <v>731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4</v>
      </c>
      <c r="F26" s="50">
        <v>3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2</v>
      </c>
      <c r="M26" s="50">
        <v>56</v>
      </c>
      <c r="N26" s="50">
        <v>0</v>
      </c>
      <c r="O26" s="15">
        <f t="shared" si="0"/>
        <v>11</v>
      </c>
      <c r="P26" s="15">
        <f t="shared" si="1"/>
        <v>67</v>
      </c>
      <c r="R26" s="28" t="s">
        <v>86</v>
      </c>
      <c r="S26" s="16">
        <f t="shared" ref="S26:AF26" si="18">SUM(S13:S18)</f>
        <v>112</v>
      </c>
      <c r="T26" s="16">
        <f t="shared" si="18"/>
        <v>9</v>
      </c>
      <c r="U26" s="16">
        <f t="shared" si="18"/>
        <v>112</v>
      </c>
      <c r="V26" s="16">
        <f t="shared" si="18"/>
        <v>81</v>
      </c>
      <c r="W26" s="16">
        <f t="shared" si="18"/>
        <v>0</v>
      </c>
      <c r="X26" s="16">
        <f t="shared" si="18"/>
        <v>0</v>
      </c>
      <c r="Y26" s="16">
        <f t="shared" si="18"/>
        <v>44</v>
      </c>
      <c r="Z26" s="16">
        <f t="shared" si="18"/>
        <v>9</v>
      </c>
      <c r="AA26" s="16">
        <f t="shared" si="18"/>
        <v>15</v>
      </c>
      <c r="AB26" s="16">
        <f t="shared" si="18"/>
        <v>36</v>
      </c>
      <c r="AC26" s="16">
        <f t="shared" si="18"/>
        <v>1257</v>
      </c>
      <c r="AD26" s="16">
        <f t="shared" si="18"/>
        <v>0</v>
      </c>
      <c r="AE26" s="32">
        <f t="shared" si="18"/>
        <v>418</v>
      </c>
      <c r="AF26" s="32">
        <f t="shared" si="18"/>
        <v>1675</v>
      </c>
    </row>
    <row r="27" spans="2:32" ht="23.1" customHeight="1" x14ac:dyDescent="0.25">
      <c r="B27" s="23" t="s">
        <v>54</v>
      </c>
      <c r="C27" s="50">
        <v>3</v>
      </c>
      <c r="D27" s="50">
        <v>1</v>
      </c>
      <c r="E27" s="50">
        <v>6</v>
      </c>
      <c r="F27" s="50">
        <v>5</v>
      </c>
      <c r="G27" s="50">
        <v>0</v>
      </c>
      <c r="H27" s="50">
        <v>0</v>
      </c>
      <c r="I27" s="50">
        <v>0</v>
      </c>
      <c r="J27" s="50">
        <v>0</v>
      </c>
      <c r="K27" s="50">
        <v>1</v>
      </c>
      <c r="L27" s="50">
        <v>4</v>
      </c>
      <c r="M27" s="50">
        <v>93</v>
      </c>
      <c r="N27" s="50">
        <v>0</v>
      </c>
      <c r="O27" s="15">
        <f t="shared" si="0"/>
        <v>20</v>
      </c>
      <c r="P27" s="15">
        <f t="shared" si="1"/>
        <v>113</v>
      </c>
      <c r="R27" s="29" t="s">
        <v>87</v>
      </c>
      <c r="S27" s="16">
        <f t="shared" ref="S27:AF27" si="19">SUM(S19:S21)</f>
        <v>58</v>
      </c>
      <c r="T27" s="16">
        <f t="shared" si="19"/>
        <v>4</v>
      </c>
      <c r="U27" s="16">
        <f t="shared" si="19"/>
        <v>47</v>
      </c>
      <c r="V27" s="16">
        <f t="shared" si="19"/>
        <v>42</v>
      </c>
      <c r="W27" s="16">
        <f t="shared" si="19"/>
        <v>0</v>
      </c>
      <c r="X27" s="16">
        <f t="shared" si="19"/>
        <v>1</v>
      </c>
      <c r="Y27" s="16">
        <f t="shared" si="19"/>
        <v>29</v>
      </c>
      <c r="Z27" s="16">
        <f t="shared" si="19"/>
        <v>2</v>
      </c>
      <c r="AA27" s="16">
        <f t="shared" si="19"/>
        <v>11</v>
      </c>
      <c r="AB27" s="16">
        <f t="shared" si="19"/>
        <v>5</v>
      </c>
      <c r="AC27" s="16">
        <f t="shared" si="19"/>
        <v>528</v>
      </c>
      <c r="AD27" s="16">
        <f t="shared" si="19"/>
        <v>0</v>
      </c>
      <c r="AE27" s="32">
        <f t="shared" si="19"/>
        <v>199</v>
      </c>
      <c r="AF27" s="32">
        <f t="shared" si="19"/>
        <v>727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7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41</v>
      </c>
      <c r="N28" s="50">
        <v>0</v>
      </c>
      <c r="O28" s="15">
        <f t="shared" si="0"/>
        <v>12</v>
      </c>
      <c r="P28" s="15">
        <f t="shared" si="1"/>
        <v>53</v>
      </c>
      <c r="R28" s="5" t="s">
        <v>17</v>
      </c>
      <c r="S28" s="16">
        <f t="shared" ref="S28:AF28" si="20">SUM(S10:S21)</f>
        <v>197</v>
      </c>
      <c r="T28" s="16">
        <f t="shared" si="20"/>
        <v>14</v>
      </c>
      <c r="U28" s="16">
        <f t="shared" si="20"/>
        <v>184</v>
      </c>
      <c r="V28" s="16">
        <f t="shared" si="20"/>
        <v>156</v>
      </c>
      <c r="W28" s="16">
        <f t="shared" si="20"/>
        <v>0</v>
      </c>
      <c r="X28" s="16">
        <f t="shared" si="20"/>
        <v>1</v>
      </c>
      <c r="Y28" s="16">
        <f t="shared" si="20"/>
        <v>81</v>
      </c>
      <c r="Z28" s="16">
        <f t="shared" si="20"/>
        <v>16</v>
      </c>
      <c r="AA28" s="16">
        <f t="shared" si="20"/>
        <v>50</v>
      </c>
      <c r="AB28" s="16">
        <f t="shared" si="20"/>
        <v>59</v>
      </c>
      <c r="AC28" s="16">
        <f t="shared" si="20"/>
        <v>2375</v>
      </c>
      <c r="AD28" s="16">
        <f t="shared" si="20"/>
        <v>0</v>
      </c>
      <c r="AE28" s="32">
        <f t="shared" si="20"/>
        <v>758</v>
      </c>
      <c r="AF28" s="32">
        <f t="shared" si="20"/>
        <v>3133</v>
      </c>
    </row>
    <row r="29" spans="2:32" ht="23.1" customHeight="1" x14ac:dyDescent="0.25">
      <c r="B29" s="23" t="s">
        <v>56</v>
      </c>
      <c r="C29" s="50">
        <v>8</v>
      </c>
      <c r="D29" s="50">
        <v>1</v>
      </c>
      <c r="E29" s="50">
        <v>10</v>
      </c>
      <c r="F29" s="50">
        <v>1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1</v>
      </c>
      <c r="M29" s="50">
        <v>69</v>
      </c>
      <c r="N29" s="50">
        <v>0</v>
      </c>
      <c r="O29" s="15">
        <f t="shared" si="0"/>
        <v>23</v>
      </c>
      <c r="P29" s="15">
        <f t="shared" si="1"/>
        <v>92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0</v>
      </c>
      <c r="E30" s="50">
        <v>3</v>
      </c>
      <c r="F30" s="50">
        <v>2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35</v>
      </c>
      <c r="N30" s="50">
        <v>0</v>
      </c>
      <c r="O30" s="15">
        <f t="shared" si="0"/>
        <v>12</v>
      </c>
      <c r="P30" s="15">
        <f t="shared" si="1"/>
        <v>47</v>
      </c>
    </row>
    <row r="31" spans="2:32" ht="23.1" customHeight="1" x14ac:dyDescent="0.25">
      <c r="B31" s="24" t="s">
        <v>58</v>
      </c>
      <c r="C31" s="50">
        <v>8</v>
      </c>
      <c r="D31" s="50">
        <v>1</v>
      </c>
      <c r="E31" s="50">
        <v>4</v>
      </c>
      <c r="F31" s="50">
        <v>3</v>
      </c>
      <c r="G31" s="50">
        <v>0</v>
      </c>
      <c r="H31" s="50">
        <v>0</v>
      </c>
      <c r="I31" s="50">
        <v>4</v>
      </c>
      <c r="J31" s="50">
        <v>0</v>
      </c>
      <c r="K31" s="50">
        <v>1</v>
      </c>
      <c r="L31" s="50">
        <v>1</v>
      </c>
      <c r="M31" s="50">
        <v>59</v>
      </c>
      <c r="N31" s="50">
        <v>0</v>
      </c>
      <c r="O31" s="15">
        <f t="shared" si="0"/>
        <v>22</v>
      </c>
      <c r="P31" s="15">
        <f t="shared" si="1"/>
        <v>81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4</v>
      </c>
      <c r="F32" s="50">
        <v>3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1</v>
      </c>
      <c r="M32" s="50">
        <v>34</v>
      </c>
      <c r="N32" s="50">
        <v>0</v>
      </c>
      <c r="O32" s="15">
        <f t="shared" si="0"/>
        <v>13</v>
      </c>
      <c r="P32" s="15">
        <f t="shared" si="1"/>
        <v>47</v>
      </c>
    </row>
    <row r="33" spans="2:20" ht="23.1" customHeight="1" x14ac:dyDescent="0.25">
      <c r="B33" s="23" t="s">
        <v>60</v>
      </c>
      <c r="C33" s="50">
        <v>5</v>
      </c>
      <c r="D33" s="50">
        <v>1</v>
      </c>
      <c r="E33" s="50">
        <v>6</v>
      </c>
      <c r="F33" s="50">
        <v>5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v>2</v>
      </c>
      <c r="M33" s="50">
        <v>56</v>
      </c>
      <c r="N33" s="50">
        <v>0</v>
      </c>
      <c r="O33" s="15">
        <f t="shared" si="0"/>
        <v>23</v>
      </c>
      <c r="P33" s="15">
        <f t="shared" si="1"/>
        <v>79</v>
      </c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2</v>
      </c>
      <c r="F34" s="50">
        <v>4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1</v>
      </c>
      <c r="M34" s="50">
        <v>39</v>
      </c>
      <c r="N34" s="50">
        <v>0</v>
      </c>
      <c r="O34" s="15">
        <f t="shared" si="0"/>
        <v>11</v>
      </c>
      <c r="P34" s="15">
        <f t="shared" si="1"/>
        <v>50</v>
      </c>
    </row>
    <row r="35" spans="2:20" ht="23.1" customHeight="1" x14ac:dyDescent="0.25">
      <c r="B35" s="24" t="s">
        <v>62</v>
      </c>
      <c r="C35" s="50">
        <v>6</v>
      </c>
      <c r="D35" s="50">
        <v>0</v>
      </c>
      <c r="E35" s="50">
        <v>3</v>
      </c>
      <c r="F35" s="50">
        <v>6</v>
      </c>
      <c r="G35" s="50">
        <v>0</v>
      </c>
      <c r="H35" s="50">
        <v>0</v>
      </c>
      <c r="I35" s="50">
        <v>0</v>
      </c>
      <c r="J35" s="50">
        <v>0</v>
      </c>
      <c r="K35" s="50">
        <v>1</v>
      </c>
      <c r="L35" s="50">
        <v>2</v>
      </c>
      <c r="M35" s="50">
        <v>65</v>
      </c>
      <c r="N35" s="50">
        <v>0</v>
      </c>
      <c r="O35" s="15">
        <f t="shared" si="0"/>
        <v>18</v>
      </c>
      <c r="P35" s="15">
        <f t="shared" si="1"/>
        <v>83</v>
      </c>
    </row>
    <row r="36" spans="2:20" ht="23.1" customHeight="1" x14ac:dyDescent="0.25">
      <c r="B36" s="24" t="s">
        <v>63</v>
      </c>
      <c r="C36" s="50">
        <v>4</v>
      </c>
      <c r="D36" s="50">
        <v>0</v>
      </c>
      <c r="E36" s="50">
        <v>2</v>
      </c>
      <c r="F36" s="50">
        <v>4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32</v>
      </c>
      <c r="N36" s="50">
        <v>0</v>
      </c>
      <c r="O36" s="15">
        <f t="shared" si="0"/>
        <v>12</v>
      </c>
      <c r="P36" s="15">
        <f t="shared" si="1"/>
        <v>44</v>
      </c>
    </row>
    <row r="37" spans="2:20" ht="23.1" customHeight="1" x14ac:dyDescent="0.25">
      <c r="B37" s="23" t="s">
        <v>64</v>
      </c>
      <c r="C37" s="50">
        <v>6</v>
      </c>
      <c r="D37" s="50">
        <v>0</v>
      </c>
      <c r="E37" s="50">
        <v>3</v>
      </c>
      <c r="F37" s="50">
        <v>6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1</v>
      </c>
      <c r="M37" s="50">
        <v>53</v>
      </c>
      <c r="N37" s="50">
        <v>0</v>
      </c>
      <c r="O37" s="15">
        <f t="shared" si="0"/>
        <v>20</v>
      </c>
      <c r="P37" s="15">
        <f t="shared" si="1"/>
        <v>73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4</v>
      </c>
      <c r="F38" s="50">
        <v>3</v>
      </c>
      <c r="G38" s="50">
        <v>0</v>
      </c>
      <c r="H38" s="50">
        <v>0</v>
      </c>
      <c r="I38" s="50">
        <v>4</v>
      </c>
      <c r="J38" s="50">
        <v>1</v>
      </c>
      <c r="K38" s="50">
        <v>2</v>
      </c>
      <c r="L38" s="50">
        <v>1</v>
      </c>
      <c r="M38" s="50">
        <v>31</v>
      </c>
      <c r="N38" s="50">
        <v>0</v>
      </c>
      <c r="O38" s="15">
        <f t="shared" si="0"/>
        <v>20</v>
      </c>
      <c r="P38" s="15">
        <f t="shared" si="1"/>
        <v>51</v>
      </c>
    </row>
    <row r="39" spans="2:20" ht="23.1" customHeight="1" x14ac:dyDescent="0.25">
      <c r="B39" s="24" t="s">
        <v>66</v>
      </c>
      <c r="C39" s="50">
        <v>8</v>
      </c>
      <c r="D39" s="50">
        <v>1</v>
      </c>
      <c r="E39" s="50">
        <v>5</v>
      </c>
      <c r="F39" s="50">
        <v>5</v>
      </c>
      <c r="G39" s="50">
        <v>0</v>
      </c>
      <c r="H39" s="50">
        <v>0</v>
      </c>
      <c r="I39" s="50">
        <v>6</v>
      </c>
      <c r="J39" s="50">
        <v>2</v>
      </c>
      <c r="K39" s="50">
        <v>4</v>
      </c>
      <c r="L39" s="50">
        <v>2</v>
      </c>
      <c r="M39" s="50">
        <v>51</v>
      </c>
      <c r="N39" s="50">
        <v>0</v>
      </c>
      <c r="O39" s="15">
        <f t="shared" si="0"/>
        <v>33</v>
      </c>
      <c r="P39" s="15">
        <f t="shared" si="1"/>
        <v>84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4</v>
      </c>
      <c r="F40" s="50">
        <v>3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37</v>
      </c>
      <c r="N40" s="50">
        <v>0</v>
      </c>
      <c r="O40" s="15">
        <f t="shared" si="0"/>
        <v>10</v>
      </c>
      <c r="P40" s="15">
        <f t="shared" si="1"/>
        <v>47</v>
      </c>
    </row>
    <row r="41" spans="2:20" ht="23.1" customHeight="1" x14ac:dyDescent="0.25">
      <c r="B41" s="23" t="s">
        <v>68</v>
      </c>
      <c r="C41" s="50">
        <v>3</v>
      </c>
      <c r="D41" s="50">
        <v>1</v>
      </c>
      <c r="E41" s="50">
        <v>6</v>
      </c>
      <c r="F41" s="50">
        <v>5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1</v>
      </c>
      <c r="M41" s="50">
        <v>61</v>
      </c>
      <c r="N41" s="50">
        <v>0</v>
      </c>
      <c r="O41" s="15">
        <f t="shared" si="0"/>
        <v>19</v>
      </c>
      <c r="P41" s="15">
        <f t="shared" si="1"/>
        <v>80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2</v>
      </c>
      <c r="F42" s="50">
        <v>2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1</v>
      </c>
      <c r="M42" s="50">
        <v>34</v>
      </c>
      <c r="N42" s="50">
        <v>0</v>
      </c>
      <c r="O42" s="15">
        <f t="shared" si="0"/>
        <v>12</v>
      </c>
      <c r="P42" s="15">
        <f t="shared" si="1"/>
        <v>46</v>
      </c>
    </row>
    <row r="43" spans="2:20" ht="23.1" customHeight="1" x14ac:dyDescent="0.25">
      <c r="B43" s="23" t="s">
        <v>70</v>
      </c>
      <c r="C43" s="50">
        <v>9</v>
      </c>
      <c r="D43" s="50">
        <v>0</v>
      </c>
      <c r="E43" s="50">
        <v>4</v>
      </c>
      <c r="F43" s="50">
        <v>3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2</v>
      </c>
      <c r="M43" s="50">
        <v>56</v>
      </c>
      <c r="N43" s="50">
        <v>0</v>
      </c>
      <c r="O43" s="15">
        <f t="shared" si="0"/>
        <v>21</v>
      </c>
      <c r="P43" s="15">
        <f t="shared" si="1"/>
        <v>77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5</v>
      </c>
      <c r="F44" s="50">
        <v>2</v>
      </c>
      <c r="G44" s="50">
        <v>0</v>
      </c>
      <c r="H44" s="50">
        <v>0</v>
      </c>
      <c r="I44" s="50">
        <v>0</v>
      </c>
      <c r="J44" s="50">
        <v>0</v>
      </c>
      <c r="K44" s="50">
        <v>2</v>
      </c>
      <c r="L44" s="50">
        <v>1</v>
      </c>
      <c r="M44" s="50">
        <v>25</v>
      </c>
      <c r="N44" s="50">
        <v>0</v>
      </c>
      <c r="O44" s="15">
        <f t="shared" si="0"/>
        <v>12</v>
      </c>
      <c r="P44" s="15">
        <f t="shared" si="1"/>
        <v>37</v>
      </c>
    </row>
    <row r="45" spans="2:20" ht="23.1" customHeight="1" x14ac:dyDescent="0.25">
      <c r="B45" s="23" t="s">
        <v>72</v>
      </c>
      <c r="C45" s="50">
        <v>3</v>
      </c>
      <c r="D45" s="50">
        <v>1</v>
      </c>
      <c r="E45" s="50">
        <v>7</v>
      </c>
      <c r="F45" s="50">
        <v>3</v>
      </c>
      <c r="G45" s="50">
        <v>0</v>
      </c>
      <c r="H45" s="50">
        <v>0</v>
      </c>
      <c r="I45" s="50">
        <v>1</v>
      </c>
      <c r="J45" s="50">
        <v>1</v>
      </c>
      <c r="K45" s="50">
        <v>3</v>
      </c>
      <c r="L45" s="50">
        <v>2</v>
      </c>
      <c r="M45" s="50">
        <v>42</v>
      </c>
      <c r="N45" s="50">
        <v>0</v>
      </c>
      <c r="O45" s="15">
        <f t="shared" si="0"/>
        <v>21</v>
      </c>
      <c r="P45" s="15">
        <f t="shared" si="1"/>
        <v>63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5</v>
      </c>
      <c r="F46" s="50">
        <v>2</v>
      </c>
      <c r="G46" s="50">
        <v>0</v>
      </c>
      <c r="H46" s="50">
        <v>0</v>
      </c>
      <c r="I46" s="50">
        <v>2</v>
      </c>
      <c r="J46" s="50">
        <v>0</v>
      </c>
      <c r="K46" s="50">
        <v>1</v>
      </c>
      <c r="L46" s="50">
        <v>0</v>
      </c>
      <c r="M46" s="50">
        <v>30</v>
      </c>
      <c r="N46" s="50">
        <v>0</v>
      </c>
      <c r="O46" s="15">
        <f t="shared" si="0"/>
        <v>12</v>
      </c>
      <c r="P46" s="15">
        <f t="shared" si="1"/>
        <v>42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1</v>
      </c>
      <c r="E47" s="50">
        <v>8</v>
      </c>
      <c r="F47" s="50">
        <v>4</v>
      </c>
      <c r="G47" s="50">
        <v>0</v>
      </c>
      <c r="H47" s="50">
        <v>0</v>
      </c>
      <c r="I47" s="50">
        <v>3</v>
      </c>
      <c r="J47" s="50">
        <v>0</v>
      </c>
      <c r="K47" s="50">
        <v>2</v>
      </c>
      <c r="L47" s="50">
        <v>1</v>
      </c>
      <c r="M47" s="50">
        <v>50</v>
      </c>
      <c r="N47" s="50">
        <v>0</v>
      </c>
      <c r="O47" s="15">
        <f t="shared" si="0"/>
        <v>23</v>
      </c>
      <c r="P47" s="15">
        <f t="shared" si="1"/>
        <v>73</v>
      </c>
      <c r="R47" s="8"/>
      <c r="T47"/>
    </row>
    <row r="48" spans="2:20" ht="23.1" customHeight="1" x14ac:dyDescent="0.25">
      <c r="B48" s="24" t="s">
        <v>75</v>
      </c>
      <c r="C48" s="50">
        <v>7</v>
      </c>
      <c r="D48" s="50">
        <v>0</v>
      </c>
      <c r="E48" s="50">
        <v>3</v>
      </c>
      <c r="F48" s="50">
        <v>4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46</v>
      </c>
      <c r="N48" s="50">
        <v>0</v>
      </c>
      <c r="O48" s="15">
        <f t="shared" si="0"/>
        <v>18</v>
      </c>
      <c r="P48" s="15">
        <f t="shared" si="1"/>
        <v>64</v>
      </c>
      <c r="R48" s="8"/>
      <c r="T48"/>
    </row>
    <row r="49" spans="2:20" ht="23.1" customHeight="1" x14ac:dyDescent="0.25">
      <c r="B49" s="23" t="s">
        <v>76</v>
      </c>
      <c r="C49" s="50">
        <v>11</v>
      </c>
      <c r="D49" s="50">
        <v>1</v>
      </c>
      <c r="E49" s="50">
        <v>4</v>
      </c>
      <c r="F49" s="50">
        <v>6</v>
      </c>
      <c r="G49" s="50">
        <v>0</v>
      </c>
      <c r="H49" s="50">
        <v>0</v>
      </c>
      <c r="I49" s="50">
        <v>6</v>
      </c>
      <c r="J49" s="50">
        <v>1</v>
      </c>
      <c r="K49" s="50">
        <v>0</v>
      </c>
      <c r="L49" s="50">
        <v>0</v>
      </c>
      <c r="M49" s="50">
        <v>76</v>
      </c>
      <c r="N49" s="50">
        <v>0</v>
      </c>
      <c r="O49" s="15">
        <f t="shared" si="0"/>
        <v>29</v>
      </c>
      <c r="P49" s="15">
        <f t="shared" si="1"/>
        <v>105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0</v>
      </c>
      <c r="E50" s="50">
        <v>4</v>
      </c>
      <c r="F50" s="50">
        <v>1</v>
      </c>
      <c r="G50" s="50">
        <v>0</v>
      </c>
      <c r="H50" s="50">
        <v>0</v>
      </c>
      <c r="I50" s="50">
        <v>2</v>
      </c>
      <c r="J50" s="50">
        <v>0</v>
      </c>
      <c r="K50" s="50">
        <v>2</v>
      </c>
      <c r="L50" s="50">
        <v>1</v>
      </c>
      <c r="M50" s="50">
        <v>47</v>
      </c>
      <c r="N50" s="50">
        <v>0</v>
      </c>
      <c r="O50" s="15">
        <f t="shared" si="0"/>
        <v>15</v>
      </c>
      <c r="P50" s="15">
        <f t="shared" si="1"/>
        <v>62</v>
      </c>
      <c r="R50" s="8"/>
      <c r="T50"/>
    </row>
    <row r="51" spans="2:20" ht="23.1" customHeight="1" x14ac:dyDescent="0.25">
      <c r="B51" s="24" t="s">
        <v>78</v>
      </c>
      <c r="C51" s="50">
        <v>8</v>
      </c>
      <c r="D51" s="50">
        <v>1</v>
      </c>
      <c r="E51" s="50">
        <v>5</v>
      </c>
      <c r="F51" s="50">
        <v>2</v>
      </c>
      <c r="G51" s="50">
        <v>0</v>
      </c>
      <c r="H51" s="50">
        <v>0</v>
      </c>
      <c r="I51" s="50">
        <v>3</v>
      </c>
      <c r="J51" s="50">
        <v>1</v>
      </c>
      <c r="K51" s="50">
        <v>3</v>
      </c>
      <c r="L51" s="50">
        <v>2</v>
      </c>
      <c r="M51" s="50">
        <v>79</v>
      </c>
      <c r="N51" s="50">
        <v>0</v>
      </c>
      <c r="O51" s="15">
        <f t="shared" si="0"/>
        <v>25</v>
      </c>
      <c r="P51" s="15">
        <f t="shared" si="1"/>
        <v>104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3</v>
      </c>
      <c r="F52" s="50">
        <v>4</v>
      </c>
      <c r="G52" s="50">
        <v>0</v>
      </c>
      <c r="H52" s="50">
        <v>0</v>
      </c>
      <c r="I52" s="50">
        <v>2</v>
      </c>
      <c r="J52" s="50">
        <v>0</v>
      </c>
      <c r="K52" s="50">
        <v>1</v>
      </c>
      <c r="L52" s="50">
        <v>0</v>
      </c>
      <c r="M52" s="50">
        <v>19</v>
      </c>
      <c r="N52" s="50">
        <v>0</v>
      </c>
      <c r="O52" s="15">
        <f t="shared" si="0"/>
        <v>12</v>
      </c>
      <c r="P52" s="15">
        <f t="shared" si="1"/>
        <v>31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1</v>
      </c>
      <c r="E53" s="50">
        <v>4</v>
      </c>
      <c r="F53" s="50">
        <v>7</v>
      </c>
      <c r="G53" s="50">
        <v>0</v>
      </c>
      <c r="H53" s="50">
        <v>0</v>
      </c>
      <c r="I53" s="50">
        <v>4</v>
      </c>
      <c r="J53" s="50">
        <v>0</v>
      </c>
      <c r="K53" s="50">
        <v>2</v>
      </c>
      <c r="L53" s="50">
        <v>0</v>
      </c>
      <c r="M53" s="50">
        <v>31</v>
      </c>
      <c r="N53" s="50">
        <v>0</v>
      </c>
      <c r="O53" s="15">
        <f t="shared" si="0"/>
        <v>22</v>
      </c>
      <c r="P53" s="15">
        <f t="shared" si="1"/>
        <v>53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2</v>
      </c>
      <c r="F54" s="50">
        <v>2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12</v>
      </c>
      <c r="N54" s="50">
        <v>0</v>
      </c>
      <c r="O54" s="15">
        <f t="shared" si="0"/>
        <v>6</v>
      </c>
      <c r="P54" s="15">
        <f t="shared" si="1"/>
        <v>18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4</v>
      </c>
      <c r="F55" s="50">
        <v>4</v>
      </c>
      <c r="G55" s="50">
        <v>0</v>
      </c>
      <c r="H55" s="50">
        <v>1</v>
      </c>
      <c r="I55" s="50">
        <v>0</v>
      </c>
      <c r="J55" s="50">
        <v>0</v>
      </c>
      <c r="K55" s="50">
        <v>0</v>
      </c>
      <c r="L55" s="50">
        <v>0</v>
      </c>
      <c r="M55" s="50">
        <v>20</v>
      </c>
      <c r="N55" s="50">
        <v>0</v>
      </c>
      <c r="O55" s="15">
        <f t="shared" si="0"/>
        <v>12</v>
      </c>
      <c r="P55" s="15">
        <f t="shared" si="1"/>
        <v>32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2</v>
      </c>
      <c r="F56" s="50">
        <v>2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44</v>
      </c>
      <c r="N56" s="50">
        <v>0</v>
      </c>
      <c r="O56" s="15">
        <f t="shared" si="0"/>
        <v>9</v>
      </c>
      <c r="P56" s="15">
        <f t="shared" si="1"/>
        <v>53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0</v>
      </c>
      <c r="E57" s="50">
        <v>3</v>
      </c>
      <c r="F57" s="50">
        <v>4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1</v>
      </c>
      <c r="M57" s="50">
        <v>74</v>
      </c>
      <c r="N57" s="50">
        <v>0</v>
      </c>
      <c r="O57" s="15">
        <f t="shared" si="0"/>
        <v>16</v>
      </c>
      <c r="P57" s="15">
        <f t="shared" si="1"/>
        <v>90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197</v>
      </c>
      <c r="D58" s="16">
        <f t="shared" si="21"/>
        <v>14</v>
      </c>
      <c r="E58" s="16">
        <f t="shared" si="21"/>
        <v>184</v>
      </c>
      <c r="F58" s="16">
        <f t="shared" si="21"/>
        <v>156</v>
      </c>
      <c r="G58" s="16">
        <f t="shared" si="21"/>
        <v>0</v>
      </c>
      <c r="H58" s="16">
        <f t="shared" si="21"/>
        <v>1</v>
      </c>
      <c r="I58" s="16">
        <f t="shared" si="21"/>
        <v>81</v>
      </c>
      <c r="J58" s="16">
        <f t="shared" si="21"/>
        <v>16</v>
      </c>
      <c r="K58" s="16">
        <f t="shared" si="21"/>
        <v>50</v>
      </c>
      <c r="L58" s="16">
        <f t="shared" si="21"/>
        <v>59</v>
      </c>
      <c r="M58" s="16">
        <f t="shared" si="21"/>
        <v>2375</v>
      </c>
      <c r="N58" s="16">
        <f t="shared" si="21"/>
        <v>0</v>
      </c>
      <c r="O58" s="16">
        <f t="shared" si="21"/>
        <v>758</v>
      </c>
      <c r="P58" s="16">
        <f t="shared" si="21"/>
        <v>3133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6.2879029684008936E-2</v>
      </c>
      <c r="D59" s="43">
        <f t="shared" si="22"/>
        <v>4.4685604851579953E-3</v>
      </c>
      <c r="E59" s="43">
        <f t="shared" si="22"/>
        <v>5.8729652090647941E-2</v>
      </c>
      <c r="F59" s="43">
        <f t="shared" si="22"/>
        <v>4.9792531120331947E-2</v>
      </c>
      <c r="G59" s="43">
        <f t="shared" si="22"/>
        <v>0</v>
      </c>
      <c r="H59" s="43">
        <f t="shared" si="22"/>
        <v>3.1918289179699969E-4</v>
      </c>
      <c r="I59" s="43">
        <f t="shared" si="22"/>
        <v>2.5853814235556973E-2</v>
      </c>
      <c r="J59" s="43">
        <f t="shared" si="22"/>
        <v>5.106926268751995E-3</v>
      </c>
      <c r="K59" s="43">
        <f t="shared" si="22"/>
        <v>1.5959144589849983E-2</v>
      </c>
      <c r="L59" s="43">
        <f t="shared" si="22"/>
        <v>1.883179061602298E-2</v>
      </c>
      <c r="M59" s="43">
        <f t="shared" si="22"/>
        <v>0.75805936801787421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0.25989445910290238</v>
      </c>
      <c r="D60" s="44">
        <f t="shared" ref="D60:N60" si="23">D58/$O$58</f>
        <v>1.8469656992084433E-2</v>
      </c>
      <c r="E60" s="44">
        <f t="shared" si="23"/>
        <v>0.24274406332453827</v>
      </c>
      <c r="F60" s="44">
        <f t="shared" si="23"/>
        <v>0.20580474934036938</v>
      </c>
      <c r="G60" s="44">
        <f t="shared" si="23"/>
        <v>0</v>
      </c>
      <c r="H60" s="44">
        <f t="shared" si="23"/>
        <v>1.3192612137203166E-3</v>
      </c>
      <c r="I60" s="44">
        <f t="shared" si="23"/>
        <v>0.10686015831134564</v>
      </c>
      <c r="J60" s="44">
        <f t="shared" si="23"/>
        <v>2.1108179419525065E-2</v>
      </c>
      <c r="K60" s="44">
        <f t="shared" si="23"/>
        <v>6.5963060686015831E-2</v>
      </c>
      <c r="L60" s="44">
        <f t="shared" si="23"/>
        <v>7.7836411609498682E-2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zoomScale="60" workbookViewId="0">
      <selection activeCell="L57" sqref="L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'09.09 Katungulu-Ishaka'!C3:G3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'12.09 Ishaka-Katungulu'!D5</f>
        <v>12.09.19</v>
      </c>
      <c r="E5" s="3"/>
      <c r="F5" s="41" t="s">
        <v>1</v>
      </c>
      <c r="G5" s="56" t="str">
        <f>'12.09 Ishaka-Katungulu'!G5:H5</f>
        <v>Rubirizi</v>
      </c>
      <c r="H5" s="57"/>
      <c r="I5" s="14"/>
      <c r="J5" s="2" t="s">
        <v>5</v>
      </c>
      <c r="K5" s="56" t="str">
        <f>'12.09 Ishaka-Katungulu'!K5:L5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'09.09 Katungulu-Ishaka'!D6:E6</f>
        <v>Katungulu</v>
      </c>
      <c r="E6" s="57"/>
      <c r="F6" s="2" t="s">
        <v>2</v>
      </c>
      <c r="G6" s="56" t="str">
        <f>'09.09 Katungulu-Ishaka'!G6:H6</f>
        <v>Ishaka</v>
      </c>
      <c r="H6" s="57"/>
      <c r="J6" s="2" t="s">
        <v>21</v>
      </c>
      <c r="K6" s="56" t="str">
        <f>'12.09 Ishaka-Katungulu'!K6:L6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8</v>
      </c>
      <c r="T10" s="17">
        <f t="shared" si="2"/>
        <v>0</v>
      </c>
      <c r="U10" s="17">
        <f t="shared" si="2"/>
        <v>3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69</v>
      </c>
      <c r="AD10" s="17">
        <f t="shared" si="2"/>
        <v>0</v>
      </c>
      <c r="AE10" s="31">
        <f t="shared" si="2"/>
        <v>17</v>
      </c>
      <c r="AF10" s="31">
        <f t="shared" si="2"/>
        <v>86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3</v>
      </c>
      <c r="P11" s="15">
        <f t="shared" si="1"/>
        <v>10</v>
      </c>
      <c r="R11" s="1" t="s">
        <v>7</v>
      </c>
      <c r="S11" s="17">
        <f t="shared" ref="S11:AF11" si="3">SUM(C14:C17)</f>
        <v>6</v>
      </c>
      <c r="T11" s="17">
        <f t="shared" si="3"/>
        <v>0</v>
      </c>
      <c r="U11" s="17">
        <f t="shared" si="3"/>
        <v>7</v>
      </c>
      <c r="V11" s="17">
        <f t="shared" si="3"/>
        <v>9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4</v>
      </c>
      <c r="AA11" s="17">
        <f t="shared" si="3"/>
        <v>0</v>
      </c>
      <c r="AB11" s="17">
        <f t="shared" si="3"/>
        <v>0</v>
      </c>
      <c r="AC11" s="17">
        <f t="shared" si="3"/>
        <v>234</v>
      </c>
      <c r="AD11" s="17">
        <f t="shared" si="3"/>
        <v>0</v>
      </c>
      <c r="AE11" s="31">
        <f t="shared" si="3"/>
        <v>26</v>
      </c>
      <c r="AF11" s="31">
        <f t="shared" si="3"/>
        <v>260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22</v>
      </c>
      <c r="N12" s="50">
        <v>0</v>
      </c>
      <c r="O12" s="15">
        <f t="shared" si="0"/>
        <v>4</v>
      </c>
      <c r="P12" s="15">
        <f t="shared" si="1"/>
        <v>26</v>
      </c>
      <c r="R12" s="1" t="s">
        <v>8</v>
      </c>
      <c r="S12" s="17">
        <f t="shared" ref="S12:AF12" si="4">SUM(C18:C21)</f>
        <v>22</v>
      </c>
      <c r="T12" s="17">
        <f t="shared" si="4"/>
        <v>1</v>
      </c>
      <c r="U12" s="17">
        <f t="shared" si="4"/>
        <v>16</v>
      </c>
      <c r="V12" s="17">
        <f t="shared" si="4"/>
        <v>14</v>
      </c>
      <c r="W12" s="17">
        <f t="shared" si="4"/>
        <v>0</v>
      </c>
      <c r="X12" s="17">
        <f t="shared" si="4"/>
        <v>1</v>
      </c>
      <c r="Y12" s="17">
        <f t="shared" si="4"/>
        <v>2</v>
      </c>
      <c r="Z12" s="17">
        <f t="shared" si="4"/>
        <v>4</v>
      </c>
      <c r="AA12" s="17">
        <f t="shared" si="4"/>
        <v>1</v>
      </c>
      <c r="AB12" s="17">
        <f t="shared" si="4"/>
        <v>8</v>
      </c>
      <c r="AC12" s="17">
        <f t="shared" si="4"/>
        <v>275</v>
      </c>
      <c r="AD12" s="17">
        <f t="shared" si="4"/>
        <v>0</v>
      </c>
      <c r="AE12" s="31">
        <f t="shared" si="4"/>
        <v>69</v>
      </c>
      <c r="AF12" s="31">
        <f t="shared" si="4"/>
        <v>344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2</v>
      </c>
      <c r="F13" s="50">
        <v>1</v>
      </c>
      <c r="G13" s="50">
        <v>0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36</v>
      </c>
      <c r="N13" s="50">
        <v>0</v>
      </c>
      <c r="O13" s="15">
        <f t="shared" si="0"/>
        <v>9</v>
      </c>
      <c r="P13" s="15">
        <f t="shared" si="1"/>
        <v>45</v>
      </c>
      <c r="R13" s="1" t="s">
        <v>9</v>
      </c>
      <c r="S13" s="17">
        <f t="shared" ref="S13:AF13" si="5">SUM(C22:C25)</f>
        <v>19</v>
      </c>
      <c r="T13" s="17">
        <f t="shared" si="5"/>
        <v>1</v>
      </c>
      <c r="U13" s="17">
        <f t="shared" si="5"/>
        <v>11</v>
      </c>
      <c r="V13" s="17">
        <f t="shared" si="5"/>
        <v>18</v>
      </c>
      <c r="W13" s="17">
        <f t="shared" si="5"/>
        <v>0</v>
      </c>
      <c r="X13" s="17">
        <f t="shared" si="5"/>
        <v>1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6</v>
      </c>
      <c r="AC13" s="17">
        <f t="shared" si="5"/>
        <v>317</v>
      </c>
      <c r="AD13" s="17">
        <f t="shared" si="5"/>
        <v>0</v>
      </c>
      <c r="AE13" s="31">
        <f t="shared" si="5"/>
        <v>58</v>
      </c>
      <c r="AF13" s="31">
        <f t="shared" si="5"/>
        <v>375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2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44</v>
      </c>
      <c r="N14" s="50">
        <v>0</v>
      </c>
      <c r="O14" s="15">
        <f t="shared" si="0"/>
        <v>6</v>
      </c>
      <c r="P14" s="15">
        <f t="shared" si="1"/>
        <v>50</v>
      </c>
      <c r="R14" s="1" t="s">
        <v>10</v>
      </c>
      <c r="S14" s="17">
        <f t="shared" ref="S14:AF14" si="6">SUM(C26:C29)</f>
        <v>17</v>
      </c>
      <c r="T14" s="17">
        <f t="shared" si="6"/>
        <v>1</v>
      </c>
      <c r="U14" s="17">
        <f t="shared" si="6"/>
        <v>16</v>
      </c>
      <c r="V14" s="17">
        <f t="shared" si="6"/>
        <v>19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4</v>
      </c>
      <c r="AA14" s="17">
        <f t="shared" si="6"/>
        <v>5</v>
      </c>
      <c r="AB14" s="17">
        <f t="shared" si="6"/>
        <v>6</v>
      </c>
      <c r="AC14" s="17">
        <f t="shared" si="6"/>
        <v>221</v>
      </c>
      <c r="AD14" s="17">
        <f t="shared" si="6"/>
        <v>0</v>
      </c>
      <c r="AE14" s="31">
        <f t="shared" si="6"/>
        <v>69</v>
      </c>
      <c r="AF14" s="31">
        <f t="shared" si="6"/>
        <v>290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4</v>
      </c>
      <c r="F15" s="50">
        <v>4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73</v>
      </c>
      <c r="N15" s="50">
        <v>0</v>
      </c>
      <c r="O15" s="15">
        <f t="shared" si="0"/>
        <v>12</v>
      </c>
      <c r="P15" s="15">
        <f t="shared" si="1"/>
        <v>85</v>
      </c>
      <c r="R15" s="1" t="s">
        <v>11</v>
      </c>
      <c r="S15" s="17">
        <f t="shared" ref="S15:AF15" si="7">SUM(C30:C33)</f>
        <v>14</v>
      </c>
      <c r="T15" s="17">
        <f t="shared" si="7"/>
        <v>1</v>
      </c>
      <c r="U15" s="17">
        <f t="shared" si="7"/>
        <v>15</v>
      </c>
      <c r="V15" s="17">
        <f t="shared" si="7"/>
        <v>17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1</v>
      </c>
      <c r="AA15" s="17">
        <f t="shared" si="7"/>
        <v>1</v>
      </c>
      <c r="AB15" s="17">
        <f t="shared" si="7"/>
        <v>4</v>
      </c>
      <c r="AC15" s="17">
        <f t="shared" si="7"/>
        <v>198</v>
      </c>
      <c r="AD15" s="17">
        <f t="shared" si="7"/>
        <v>0</v>
      </c>
      <c r="AE15" s="31">
        <f t="shared" si="7"/>
        <v>64</v>
      </c>
      <c r="AF15" s="31">
        <f t="shared" si="7"/>
        <v>262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44</v>
      </c>
      <c r="N16" s="50">
        <v>0</v>
      </c>
      <c r="O16" s="15">
        <f t="shared" si="0"/>
        <v>2</v>
      </c>
      <c r="P16" s="15">
        <f t="shared" si="1"/>
        <v>46</v>
      </c>
      <c r="R16" s="1" t="s">
        <v>12</v>
      </c>
      <c r="S16" s="17">
        <f t="shared" ref="S16:AF16" si="8">SUM(C34:C37)</f>
        <v>37</v>
      </c>
      <c r="T16" s="17">
        <f t="shared" si="8"/>
        <v>2</v>
      </c>
      <c r="U16" s="17">
        <f t="shared" si="8"/>
        <v>24</v>
      </c>
      <c r="V16" s="17">
        <f t="shared" si="8"/>
        <v>18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0</v>
      </c>
      <c r="AA16" s="17">
        <f t="shared" si="8"/>
        <v>5</v>
      </c>
      <c r="AB16" s="17">
        <f t="shared" si="8"/>
        <v>6</v>
      </c>
      <c r="AC16" s="17">
        <f t="shared" si="8"/>
        <v>243</v>
      </c>
      <c r="AD16" s="17">
        <f t="shared" si="8"/>
        <v>0</v>
      </c>
      <c r="AE16" s="31">
        <f t="shared" si="8"/>
        <v>98</v>
      </c>
      <c r="AF16" s="31">
        <f t="shared" si="8"/>
        <v>341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1</v>
      </c>
      <c r="F17" s="50">
        <v>2</v>
      </c>
      <c r="G17" s="50">
        <v>0</v>
      </c>
      <c r="H17" s="50">
        <v>0</v>
      </c>
      <c r="I17" s="50">
        <v>0</v>
      </c>
      <c r="J17" s="50">
        <v>2</v>
      </c>
      <c r="K17" s="50">
        <v>0</v>
      </c>
      <c r="L17" s="50">
        <v>0</v>
      </c>
      <c r="M17" s="50">
        <v>73</v>
      </c>
      <c r="N17" s="50">
        <v>0</v>
      </c>
      <c r="O17" s="15">
        <f t="shared" si="0"/>
        <v>6</v>
      </c>
      <c r="P17" s="15">
        <f t="shared" si="1"/>
        <v>79</v>
      </c>
      <c r="R17" s="1" t="s">
        <v>13</v>
      </c>
      <c r="S17" s="17">
        <f t="shared" ref="S17:AF17" si="9">SUM(C38:C41)</f>
        <v>20</v>
      </c>
      <c r="T17" s="17">
        <f t="shared" si="9"/>
        <v>1</v>
      </c>
      <c r="U17" s="17">
        <f t="shared" si="9"/>
        <v>14</v>
      </c>
      <c r="V17" s="17">
        <f t="shared" si="9"/>
        <v>16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0</v>
      </c>
      <c r="AA17" s="17">
        <f t="shared" si="9"/>
        <v>0</v>
      </c>
      <c r="AB17" s="17">
        <f t="shared" si="9"/>
        <v>16</v>
      </c>
      <c r="AC17" s="17">
        <f t="shared" si="9"/>
        <v>184</v>
      </c>
      <c r="AD17" s="17">
        <f t="shared" si="9"/>
        <v>2</v>
      </c>
      <c r="AE17" s="31">
        <f t="shared" si="9"/>
        <v>77</v>
      </c>
      <c r="AF17" s="31">
        <f t="shared" si="9"/>
        <v>261</v>
      </c>
    </row>
    <row r="18" spans="2:32" ht="23.1" customHeight="1" x14ac:dyDescent="0.25">
      <c r="B18" s="23" t="s">
        <v>45</v>
      </c>
      <c r="C18" s="50">
        <v>5</v>
      </c>
      <c r="D18" s="50">
        <v>0</v>
      </c>
      <c r="E18" s="50">
        <v>1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2</v>
      </c>
      <c r="M18" s="50">
        <v>55</v>
      </c>
      <c r="N18" s="50">
        <v>0</v>
      </c>
      <c r="O18" s="15">
        <f t="shared" si="0"/>
        <v>10</v>
      </c>
      <c r="P18" s="15">
        <f t="shared" si="1"/>
        <v>65</v>
      </c>
      <c r="R18" s="1" t="s">
        <v>14</v>
      </c>
      <c r="S18" s="17">
        <f t="shared" ref="S18:AF18" si="10">SUM(C42:C45)</f>
        <v>12</v>
      </c>
      <c r="T18" s="17">
        <f t="shared" si="10"/>
        <v>2</v>
      </c>
      <c r="U18" s="17">
        <f t="shared" si="10"/>
        <v>21</v>
      </c>
      <c r="V18" s="17">
        <f t="shared" si="10"/>
        <v>11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3</v>
      </c>
      <c r="AA18" s="17">
        <f t="shared" si="10"/>
        <v>0</v>
      </c>
      <c r="AB18" s="17">
        <f t="shared" si="10"/>
        <v>4</v>
      </c>
      <c r="AC18" s="17">
        <f t="shared" si="10"/>
        <v>193</v>
      </c>
      <c r="AD18" s="17">
        <f t="shared" si="10"/>
        <v>0</v>
      </c>
      <c r="AE18" s="31">
        <f t="shared" si="10"/>
        <v>61</v>
      </c>
      <c r="AF18" s="31">
        <f t="shared" si="10"/>
        <v>254</v>
      </c>
    </row>
    <row r="19" spans="2:32" ht="23.1" customHeight="1" x14ac:dyDescent="0.25">
      <c r="B19" s="23" t="s">
        <v>46</v>
      </c>
      <c r="C19" s="50">
        <v>9</v>
      </c>
      <c r="D19" s="50">
        <v>0</v>
      </c>
      <c r="E19" s="50">
        <v>2</v>
      </c>
      <c r="F19" s="50">
        <v>4</v>
      </c>
      <c r="G19" s="50">
        <v>0</v>
      </c>
      <c r="H19" s="50">
        <v>1</v>
      </c>
      <c r="I19" s="50">
        <v>1</v>
      </c>
      <c r="J19" s="50">
        <v>1</v>
      </c>
      <c r="K19" s="50">
        <v>0</v>
      </c>
      <c r="L19" s="50">
        <v>3</v>
      </c>
      <c r="M19" s="50">
        <v>91</v>
      </c>
      <c r="N19" s="50">
        <v>0</v>
      </c>
      <c r="O19" s="15">
        <f t="shared" si="0"/>
        <v>21</v>
      </c>
      <c r="P19" s="15">
        <f t="shared" si="1"/>
        <v>112</v>
      </c>
      <c r="R19" s="1" t="s">
        <v>15</v>
      </c>
      <c r="S19" s="17">
        <f t="shared" ref="S19:AF19" si="11">SUM(C46:C49)</f>
        <v>11</v>
      </c>
      <c r="T19" s="17">
        <f t="shared" si="11"/>
        <v>1</v>
      </c>
      <c r="U19" s="17">
        <f t="shared" si="11"/>
        <v>20</v>
      </c>
      <c r="V19" s="17">
        <f t="shared" si="11"/>
        <v>15</v>
      </c>
      <c r="W19" s="17">
        <f t="shared" si="11"/>
        <v>0</v>
      </c>
      <c r="X19" s="17">
        <f t="shared" si="11"/>
        <v>0</v>
      </c>
      <c r="Y19" s="17">
        <f t="shared" si="11"/>
        <v>18</v>
      </c>
      <c r="Z19" s="17">
        <f t="shared" si="11"/>
        <v>6</v>
      </c>
      <c r="AA19" s="17">
        <f t="shared" si="11"/>
        <v>1</v>
      </c>
      <c r="AB19" s="17">
        <f t="shared" si="11"/>
        <v>0</v>
      </c>
      <c r="AC19" s="17">
        <f t="shared" si="11"/>
        <v>192</v>
      </c>
      <c r="AD19" s="17">
        <f t="shared" si="11"/>
        <v>0</v>
      </c>
      <c r="AE19" s="31">
        <f t="shared" si="11"/>
        <v>72</v>
      </c>
      <c r="AF19" s="31">
        <f t="shared" si="11"/>
        <v>264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5</v>
      </c>
      <c r="F20" s="50">
        <v>3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1</v>
      </c>
      <c r="M20" s="50">
        <v>42</v>
      </c>
      <c r="N20" s="50">
        <v>0</v>
      </c>
      <c r="O20" s="15">
        <f t="shared" si="0"/>
        <v>13</v>
      </c>
      <c r="P20" s="15">
        <f t="shared" si="1"/>
        <v>55</v>
      </c>
      <c r="R20" s="1" t="s">
        <v>16</v>
      </c>
      <c r="S20" s="17">
        <f t="shared" ref="S20:AF20" si="12">SUM(C50:C53)</f>
        <v>18</v>
      </c>
      <c r="T20" s="17">
        <f t="shared" si="12"/>
        <v>2</v>
      </c>
      <c r="U20" s="17">
        <f t="shared" si="12"/>
        <v>26</v>
      </c>
      <c r="V20" s="17">
        <f t="shared" si="12"/>
        <v>9</v>
      </c>
      <c r="W20" s="17">
        <f t="shared" si="12"/>
        <v>1</v>
      </c>
      <c r="X20" s="17">
        <f t="shared" si="12"/>
        <v>1</v>
      </c>
      <c r="Y20" s="17">
        <f t="shared" si="12"/>
        <v>10</v>
      </c>
      <c r="Z20" s="17">
        <f t="shared" si="12"/>
        <v>1</v>
      </c>
      <c r="AA20" s="17">
        <f t="shared" si="12"/>
        <v>4</v>
      </c>
      <c r="AB20" s="17">
        <f t="shared" si="12"/>
        <v>11</v>
      </c>
      <c r="AC20" s="17">
        <f t="shared" si="12"/>
        <v>191</v>
      </c>
      <c r="AD20" s="17">
        <f t="shared" si="12"/>
        <v>0</v>
      </c>
      <c r="AE20" s="31">
        <f t="shared" si="12"/>
        <v>83</v>
      </c>
      <c r="AF20" s="31">
        <f t="shared" si="12"/>
        <v>274</v>
      </c>
    </row>
    <row r="21" spans="2:32" ht="23.1" customHeight="1" x14ac:dyDescent="0.25">
      <c r="B21" s="23" t="s">
        <v>48</v>
      </c>
      <c r="C21" s="50">
        <v>5</v>
      </c>
      <c r="D21" s="50">
        <v>1</v>
      </c>
      <c r="E21" s="50">
        <v>8</v>
      </c>
      <c r="F21" s="50">
        <v>5</v>
      </c>
      <c r="G21" s="50">
        <v>0</v>
      </c>
      <c r="H21" s="50">
        <v>0</v>
      </c>
      <c r="I21" s="50">
        <v>1</v>
      </c>
      <c r="J21" s="50">
        <v>2</v>
      </c>
      <c r="K21" s="50">
        <v>1</v>
      </c>
      <c r="L21" s="50">
        <v>2</v>
      </c>
      <c r="M21" s="50">
        <v>87</v>
      </c>
      <c r="N21" s="50">
        <v>0</v>
      </c>
      <c r="O21" s="15">
        <f t="shared" si="0"/>
        <v>25</v>
      </c>
      <c r="P21" s="15">
        <f t="shared" si="1"/>
        <v>112</v>
      </c>
      <c r="R21" s="36" t="s">
        <v>20</v>
      </c>
      <c r="S21" s="34">
        <f t="shared" ref="S21:AF21" si="13">SUM(C54:C57)</f>
        <v>26</v>
      </c>
      <c r="T21" s="17">
        <f t="shared" si="13"/>
        <v>1</v>
      </c>
      <c r="U21" s="17">
        <f t="shared" si="13"/>
        <v>14</v>
      </c>
      <c r="V21" s="17">
        <f t="shared" si="13"/>
        <v>12</v>
      </c>
      <c r="W21" s="17">
        <f t="shared" si="13"/>
        <v>1</v>
      </c>
      <c r="X21" s="17">
        <f t="shared" si="13"/>
        <v>0</v>
      </c>
      <c r="Y21" s="17">
        <f t="shared" si="13"/>
        <v>4</v>
      </c>
      <c r="Z21" s="17">
        <f t="shared" si="13"/>
        <v>4</v>
      </c>
      <c r="AA21" s="17">
        <f t="shared" si="13"/>
        <v>16</v>
      </c>
      <c r="AB21" s="17">
        <f t="shared" si="13"/>
        <v>2</v>
      </c>
      <c r="AC21" s="17">
        <f t="shared" si="13"/>
        <v>118</v>
      </c>
      <c r="AD21" s="17">
        <f t="shared" si="13"/>
        <v>0</v>
      </c>
      <c r="AE21" s="31">
        <f t="shared" si="13"/>
        <v>80</v>
      </c>
      <c r="AF21" s="31">
        <f t="shared" si="13"/>
        <v>198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1</v>
      </c>
      <c r="F22" s="50">
        <v>5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1</v>
      </c>
      <c r="M22" s="50">
        <v>60</v>
      </c>
      <c r="N22" s="50">
        <v>0</v>
      </c>
      <c r="O22" s="15">
        <f t="shared" si="0"/>
        <v>10</v>
      </c>
      <c r="P22" s="15">
        <f t="shared" si="1"/>
        <v>70</v>
      </c>
      <c r="R22" s="38" t="s">
        <v>90</v>
      </c>
      <c r="S22" s="39">
        <f>MAX(S10:S12)</f>
        <v>22</v>
      </c>
      <c r="T22" s="39">
        <f t="shared" ref="T22:AF22" si="14">MAX(T10:T12)</f>
        <v>1</v>
      </c>
      <c r="U22" s="39">
        <f t="shared" si="14"/>
        <v>16</v>
      </c>
      <c r="V22" s="39">
        <f t="shared" si="14"/>
        <v>14</v>
      </c>
      <c r="W22" s="39">
        <f t="shared" si="14"/>
        <v>0</v>
      </c>
      <c r="X22" s="39">
        <f t="shared" si="14"/>
        <v>1</v>
      </c>
      <c r="Y22" s="39">
        <f t="shared" si="14"/>
        <v>3</v>
      </c>
      <c r="Z22" s="39">
        <f t="shared" si="14"/>
        <v>4</v>
      </c>
      <c r="AA22" s="39">
        <f t="shared" si="14"/>
        <v>1</v>
      </c>
      <c r="AB22" s="39">
        <f t="shared" si="14"/>
        <v>8</v>
      </c>
      <c r="AC22" s="39">
        <f t="shared" si="14"/>
        <v>275</v>
      </c>
      <c r="AD22" s="39">
        <f t="shared" si="14"/>
        <v>0</v>
      </c>
      <c r="AE22" s="40">
        <f t="shared" si="14"/>
        <v>69</v>
      </c>
      <c r="AF22" s="40">
        <f t="shared" si="14"/>
        <v>344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2</v>
      </c>
      <c r="F23" s="50">
        <v>8</v>
      </c>
      <c r="G23" s="50">
        <v>0</v>
      </c>
      <c r="H23" s="50">
        <v>1</v>
      </c>
      <c r="I23" s="50">
        <v>1</v>
      </c>
      <c r="J23" s="50">
        <v>0</v>
      </c>
      <c r="K23" s="50">
        <v>0</v>
      </c>
      <c r="L23" s="50">
        <v>2</v>
      </c>
      <c r="M23" s="50">
        <v>100</v>
      </c>
      <c r="N23" s="50">
        <v>0</v>
      </c>
      <c r="O23" s="15">
        <f t="shared" si="0"/>
        <v>19</v>
      </c>
      <c r="P23" s="15">
        <f t="shared" si="1"/>
        <v>119</v>
      </c>
      <c r="R23" s="38" t="s">
        <v>91</v>
      </c>
      <c r="S23" s="39">
        <f>MAX(S13:S18)</f>
        <v>37</v>
      </c>
      <c r="T23" s="39">
        <f t="shared" ref="T23:AF23" si="15">MAX(T13:T18)</f>
        <v>2</v>
      </c>
      <c r="U23" s="39">
        <f t="shared" si="15"/>
        <v>24</v>
      </c>
      <c r="V23" s="39">
        <f t="shared" si="15"/>
        <v>19</v>
      </c>
      <c r="W23" s="39">
        <f t="shared" si="15"/>
        <v>0</v>
      </c>
      <c r="X23" s="39">
        <f t="shared" si="15"/>
        <v>1</v>
      </c>
      <c r="Y23" s="39">
        <f t="shared" si="15"/>
        <v>11</v>
      </c>
      <c r="Z23" s="39">
        <f t="shared" si="15"/>
        <v>4</v>
      </c>
      <c r="AA23" s="39">
        <f t="shared" si="15"/>
        <v>5</v>
      </c>
      <c r="AB23" s="39">
        <f t="shared" si="15"/>
        <v>16</v>
      </c>
      <c r="AC23" s="39">
        <f t="shared" si="15"/>
        <v>317</v>
      </c>
      <c r="AD23" s="39">
        <f t="shared" si="15"/>
        <v>2</v>
      </c>
      <c r="AE23" s="40">
        <f t="shared" si="15"/>
        <v>98</v>
      </c>
      <c r="AF23" s="40">
        <f t="shared" si="15"/>
        <v>375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3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1</v>
      </c>
      <c r="M24" s="50">
        <v>59</v>
      </c>
      <c r="N24" s="50">
        <v>0</v>
      </c>
      <c r="O24" s="15">
        <f t="shared" si="0"/>
        <v>10</v>
      </c>
      <c r="P24" s="15">
        <f t="shared" si="1"/>
        <v>69</v>
      </c>
      <c r="R24" s="38" t="s">
        <v>92</v>
      </c>
      <c r="S24" s="39">
        <f>MAX(S19:S21)</f>
        <v>26</v>
      </c>
      <c r="T24" s="39">
        <f t="shared" ref="T24:AF24" si="16">MAX(T19:T21)</f>
        <v>2</v>
      </c>
      <c r="U24" s="39">
        <f t="shared" si="16"/>
        <v>26</v>
      </c>
      <c r="V24" s="39">
        <f t="shared" si="16"/>
        <v>15</v>
      </c>
      <c r="W24" s="39">
        <f t="shared" si="16"/>
        <v>1</v>
      </c>
      <c r="X24" s="39">
        <f t="shared" si="16"/>
        <v>1</v>
      </c>
      <c r="Y24" s="39">
        <f t="shared" si="16"/>
        <v>18</v>
      </c>
      <c r="Z24" s="39">
        <f t="shared" si="16"/>
        <v>6</v>
      </c>
      <c r="AA24" s="39">
        <f t="shared" si="16"/>
        <v>16</v>
      </c>
      <c r="AB24" s="39">
        <f t="shared" si="16"/>
        <v>11</v>
      </c>
      <c r="AC24" s="39">
        <f t="shared" si="16"/>
        <v>192</v>
      </c>
      <c r="AD24" s="39">
        <f t="shared" si="16"/>
        <v>0</v>
      </c>
      <c r="AE24" s="40">
        <f t="shared" si="16"/>
        <v>83</v>
      </c>
      <c r="AF24" s="40">
        <f t="shared" si="16"/>
        <v>274</v>
      </c>
    </row>
    <row r="25" spans="2:32" ht="23.1" customHeight="1" x14ac:dyDescent="0.25">
      <c r="B25" s="23" t="s">
        <v>52</v>
      </c>
      <c r="C25" s="50">
        <v>7</v>
      </c>
      <c r="D25" s="50">
        <v>1</v>
      </c>
      <c r="E25" s="50">
        <v>5</v>
      </c>
      <c r="F25" s="50">
        <v>3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2</v>
      </c>
      <c r="M25" s="50">
        <v>98</v>
      </c>
      <c r="N25" s="50">
        <v>0</v>
      </c>
      <c r="O25" s="15">
        <f t="shared" si="0"/>
        <v>19</v>
      </c>
      <c r="P25" s="15">
        <f t="shared" si="1"/>
        <v>117</v>
      </c>
      <c r="R25" s="37" t="s">
        <v>85</v>
      </c>
      <c r="S25" s="35">
        <f t="shared" ref="S25:AF25" si="17">SUM(S10:S12)</f>
        <v>36</v>
      </c>
      <c r="T25" s="16">
        <f t="shared" si="17"/>
        <v>1</v>
      </c>
      <c r="U25" s="16">
        <f t="shared" si="17"/>
        <v>26</v>
      </c>
      <c r="V25" s="16">
        <f t="shared" si="17"/>
        <v>25</v>
      </c>
      <c r="W25" s="16">
        <f t="shared" si="17"/>
        <v>0</v>
      </c>
      <c r="X25" s="16">
        <f t="shared" si="17"/>
        <v>1</v>
      </c>
      <c r="Y25" s="16">
        <f t="shared" si="17"/>
        <v>5</v>
      </c>
      <c r="Z25" s="16">
        <f t="shared" si="17"/>
        <v>9</v>
      </c>
      <c r="AA25" s="16">
        <f t="shared" si="17"/>
        <v>1</v>
      </c>
      <c r="AB25" s="16">
        <f t="shared" si="17"/>
        <v>8</v>
      </c>
      <c r="AC25" s="16">
        <f t="shared" si="17"/>
        <v>578</v>
      </c>
      <c r="AD25" s="16">
        <f t="shared" si="17"/>
        <v>0</v>
      </c>
      <c r="AE25" s="32">
        <f t="shared" si="17"/>
        <v>112</v>
      </c>
      <c r="AF25" s="32">
        <f t="shared" si="17"/>
        <v>690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4</v>
      </c>
      <c r="F26" s="50">
        <v>3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42</v>
      </c>
      <c r="N26" s="50">
        <v>0</v>
      </c>
      <c r="O26" s="15">
        <f t="shared" si="0"/>
        <v>8</v>
      </c>
      <c r="P26" s="15">
        <f t="shared" si="1"/>
        <v>50</v>
      </c>
      <c r="R26" s="28" t="s">
        <v>86</v>
      </c>
      <c r="S26" s="16">
        <f t="shared" ref="S26:AF26" si="18">SUM(S13:S18)</f>
        <v>119</v>
      </c>
      <c r="T26" s="16">
        <f t="shared" si="18"/>
        <v>8</v>
      </c>
      <c r="U26" s="16">
        <f t="shared" si="18"/>
        <v>101</v>
      </c>
      <c r="V26" s="16">
        <f t="shared" si="18"/>
        <v>99</v>
      </c>
      <c r="W26" s="16">
        <f t="shared" si="18"/>
        <v>0</v>
      </c>
      <c r="X26" s="16">
        <f t="shared" si="18"/>
        <v>1</v>
      </c>
      <c r="Y26" s="16">
        <f t="shared" si="18"/>
        <v>36</v>
      </c>
      <c r="Z26" s="16">
        <f t="shared" si="18"/>
        <v>8</v>
      </c>
      <c r="AA26" s="16">
        <f t="shared" si="18"/>
        <v>11</v>
      </c>
      <c r="AB26" s="16">
        <f t="shared" si="18"/>
        <v>42</v>
      </c>
      <c r="AC26" s="16">
        <f t="shared" si="18"/>
        <v>1356</v>
      </c>
      <c r="AD26" s="16">
        <f t="shared" si="18"/>
        <v>2</v>
      </c>
      <c r="AE26" s="32">
        <f t="shared" si="18"/>
        <v>427</v>
      </c>
      <c r="AF26" s="32">
        <f t="shared" si="18"/>
        <v>1783</v>
      </c>
    </row>
    <row r="27" spans="2:32" ht="23.1" customHeight="1" x14ac:dyDescent="0.25">
      <c r="B27" s="23" t="s">
        <v>54</v>
      </c>
      <c r="C27" s="50">
        <v>2</v>
      </c>
      <c r="D27" s="50">
        <v>1</v>
      </c>
      <c r="E27" s="50">
        <v>6</v>
      </c>
      <c r="F27" s="50">
        <v>5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87</v>
      </c>
      <c r="N27" s="50">
        <v>0</v>
      </c>
      <c r="O27" s="15">
        <f t="shared" si="0"/>
        <v>16</v>
      </c>
      <c r="P27" s="15">
        <f t="shared" si="1"/>
        <v>103</v>
      </c>
      <c r="R27" s="29" t="s">
        <v>87</v>
      </c>
      <c r="S27" s="16">
        <f t="shared" ref="S27:AF27" si="19">SUM(S19:S21)</f>
        <v>55</v>
      </c>
      <c r="T27" s="16">
        <f t="shared" si="19"/>
        <v>4</v>
      </c>
      <c r="U27" s="16">
        <f t="shared" si="19"/>
        <v>60</v>
      </c>
      <c r="V27" s="16">
        <f t="shared" si="19"/>
        <v>36</v>
      </c>
      <c r="W27" s="16">
        <f t="shared" si="19"/>
        <v>2</v>
      </c>
      <c r="X27" s="16">
        <f t="shared" si="19"/>
        <v>1</v>
      </c>
      <c r="Y27" s="16">
        <f t="shared" si="19"/>
        <v>32</v>
      </c>
      <c r="Z27" s="16">
        <f t="shared" si="19"/>
        <v>11</v>
      </c>
      <c r="AA27" s="16">
        <f t="shared" si="19"/>
        <v>21</v>
      </c>
      <c r="AB27" s="16">
        <f t="shared" si="19"/>
        <v>13</v>
      </c>
      <c r="AC27" s="16">
        <f t="shared" si="19"/>
        <v>501</v>
      </c>
      <c r="AD27" s="16">
        <f t="shared" si="19"/>
        <v>0</v>
      </c>
      <c r="AE27" s="32">
        <f t="shared" si="19"/>
        <v>235</v>
      </c>
      <c r="AF27" s="32">
        <f t="shared" si="19"/>
        <v>736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2</v>
      </c>
      <c r="F28" s="50">
        <v>4</v>
      </c>
      <c r="G28" s="50">
        <v>0</v>
      </c>
      <c r="H28" s="50">
        <v>0</v>
      </c>
      <c r="I28" s="50">
        <v>0</v>
      </c>
      <c r="J28" s="50">
        <v>1</v>
      </c>
      <c r="K28" s="50">
        <v>2</v>
      </c>
      <c r="L28" s="50">
        <v>2</v>
      </c>
      <c r="M28" s="50">
        <v>34</v>
      </c>
      <c r="N28" s="50">
        <v>0</v>
      </c>
      <c r="O28" s="15">
        <f t="shared" si="0"/>
        <v>16</v>
      </c>
      <c r="P28" s="15">
        <f t="shared" si="1"/>
        <v>50</v>
      </c>
      <c r="R28" s="5" t="s">
        <v>17</v>
      </c>
      <c r="S28" s="16">
        <f t="shared" ref="S28:AF28" si="20">SUM(S10:S21)</f>
        <v>210</v>
      </c>
      <c r="T28" s="16">
        <f t="shared" si="20"/>
        <v>13</v>
      </c>
      <c r="U28" s="16">
        <f t="shared" si="20"/>
        <v>187</v>
      </c>
      <c r="V28" s="16">
        <f t="shared" si="20"/>
        <v>160</v>
      </c>
      <c r="W28" s="16">
        <f t="shared" si="20"/>
        <v>2</v>
      </c>
      <c r="X28" s="16">
        <f t="shared" si="20"/>
        <v>3</v>
      </c>
      <c r="Y28" s="16">
        <f t="shared" si="20"/>
        <v>73</v>
      </c>
      <c r="Z28" s="16">
        <f t="shared" si="20"/>
        <v>28</v>
      </c>
      <c r="AA28" s="16">
        <f t="shared" si="20"/>
        <v>33</v>
      </c>
      <c r="AB28" s="16">
        <f t="shared" si="20"/>
        <v>63</v>
      </c>
      <c r="AC28" s="16">
        <f t="shared" si="20"/>
        <v>2435</v>
      </c>
      <c r="AD28" s="16">
        <f t="shared" si="20"/>
        <v>2</v>
      </c>
      <c r="AE28" s="32">
        <f t="shared" si="20"/>
        <v>774</v>
      </c>
      <c r="AF28" s="32">
        <f t="shared" si="20"/>
        <v>3209</v>
      </c>
    </row>
    <row r="29" spans="2:32" ht="23.1" customHeight="1" x14ac:dyDescent="0.25">
      <c r="B29" s="23" t="s">
        <v>56</v>
      </c>
      <c r="C29" s="50">
        <v>9</v>
      </c>
      <c r="D29" s="50">
        <v>0</v>
      </c>
      <c r="E29" s="50">
        <v>4</v>
      </c>
      <c r="F29" s="50">
        <v>7</v>
      </c>
      <c r="G29" s="50">
        <v>0</v>
      </c>
      <c r="H29" s="50">
        <v>0</v>
      </c>
      <c r="I29" s="50">
        <v>0</v>
      </c>
      <c r="J29" s="50">
        <v>2</v>
      </c>
      <c r="K29" s="50">
        <v>3</v>
      </c>
      <c r="L29" s="50">
        <v>4</v>
      </c>
      <c r="M29" s="50">
        <v>58</v>
      </c>
      <c r="N29" s="50">
        <v>0</v>
      </c>
      <c r="O29" s="15">
        <f t="shared" si="0"/>
        <v>29</v>
      </c>
      <c r="P29" s="15">
        <f t="shared" si="1"/>
        <v>87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2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1</v>
      </c>
      <c r="M30" s="50">
        <v>40</v>
      </c>
      <c r="N30" s="50">
        <v>0</v>
      </c>
      <c r="O30" s="15">
        <f t="shared" si="0"/>
        <v>9</v>
      </c>
      <c r="P30" s="15">
        <f t="shared" si="1"/>
        <v>49</v>
      </c>
    </row>
    <row r="31" spans="2:32" ht="23.1" customHeight="1" x14ac:dyDescent="0.25">
      <c r="B31" s="24" t="s">
        <v>58</v>
      </c>
      <c r="C31" s="50">
        <v>7</v>
      </c>
      <c r="D31" s="50">
        <v>0</v>
      </c>
      <c r="E31" s="50">
        <v>3</v>
      </c>
      <c r="F31" s="50">
        <v>4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2</v>
      </c>
      <c r="M31" s="50">
        <v>66</v>
      </c>
      <c r="N31" s="50">
        <v>0</v>
      </c>
      <c r="O31" s="15">
        <f t="shared" si="0"/>
        <v>17</v>
      </c>
      <c r="P31" s="15">
        <f t="shared" si="1"/>
        <v>83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4</v>
      </c>
      <c r="F32" s="50">
        <v>4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34</v>
      </c>
      <c r="N32" s="50">
        <v>0</v>
      </c>
      <c r="O32" s="15">
        <f t="shared" si="0"/>
        <v>13</v>
      </c>
      <c r="P32" s="15">
        <f t="shared" si="1"/>
        <v>47</v>
      </c>
    </row>
    <row r="33" spans="2:20" ht="23.1" customHeight="1" x14ac:dyDescent="0.25">
      <c r="B33" s="23" t="s">
        <v>60</v>
      </c>
      <c r="C33" s="50">
        <v>2</v>
      </c>
      <c r="D33" s="50">
        <v>1</v>
      </c>
      <c r="E33" s="50">
        <v>6</v>
      </c>
      <c r="F33" s="50">
        <v>7</v>
      </c>
      <c r="G33" s="50">
        <v>0</v>
      </c>
      <c r="H33" s="50">
        <v>0</v>
      </c>
      <c r="I33" s="50">
        <v>7</v>
      </c>
      <c r="J33" s="50">
        <v>0</v>
      </c>
      <c r="K33" s="50">
        <v>1</v>
      </c>
      <c r="L33" s="50">
        <v>1</v>
      </c>
      <c r="M33" s="50">
        <v>58</v>
      </c>
      <c r="N33" s="50">
        <v>0</v>
      </c>
      <c r="O33" s="15">
        <f t="shared" si="0"/>
        <v>25</v>
      </c>
      <c r="P33" s="15">
        <f t="shared" si="1"/>
        <v>83</v>
      </c>
    </row>
    <row r="34" spans="2:20" ht="23.1" customHeight="1" x14ac:dyDescent="0.25">
      <c r="B34" s="24" t="s">
        <v>61</v>
      </c>
      <c r="C34" s="50">
        <v>11</v>
      </c>
      <c r="D34" s="50">
        <v>0</v>
      </c>
      <c r="E34" s="50">
        <v>5</v>
      </c>
      <c r="F34" s="50">
        <v>5</v>
      </c>
      <c r="G34" s="50">
        <v>0</v>
      </c>
      <c r="H34" s="50">
        <v>0</v>
      </c>
      <c r="I34" s="50">
        <v>2</v>
      </c>
      <c r="J34" s="50">
        <v>0</v>
      </c>
      <c r="K34" s="50">
        <v>2</v>
      </c>
      <c r="L34" s="50">
        <v>0</v>
      </c>
      <c r="M34" s="50">
        <v>61</v>
      </c>
      <c r="N34" s="50">
        <v>0</v>
      </c>
      <c r="O34" s="15">
        <f t="shared" si="0"/>
        <v>25</v>
      </c>
      <c r="P34" s="15">
        <f t="shared" si="1"/>
        <v>86</v>
      </c>
    </row>
    <row r="35" spans="2:20" ht="23.1" customHeight="1" x14ac:dyDescent="0.25">
      <c r="B35" s="24" t="s">
        <v>62</v>
      </c>
      <c r="C35" s="50">
        <v>18</v>
      </c>
      <c r="D35" s="50">
        <v>1</v>
      </c>
      <c r="E35" s="50">
        <v>8</v>
      </c>
      <c r="F35" s="50">
        <v>8</v>
      </c>
      <c r="G35" s="50">
        <v>0</v>
      </c>
      <c r="H35" s="50">
        <v>0</v>
      </c>
      <c r="I35" s="50">
        <v>4</v>
      </c>
      <c r="J35" s="50">
        <v>0</v>
      </c>
      <c r="K35" s="50">
        <v>3</v>
      </c>
      <c r="L35" s="50">
        <v>1</v>
      </c>
      <c r="M35" s="50">
        <v>102</v>
      </c>
      <c r="N35" s="50">
        <v>0</v>
      </c>
      <c r="O35" s="15">
        <f t="shared" si="0"/>
        <v>43</v>
      </c>
      <c r="P35" s="15">
        <f t="shared" si="1"/>
        <v>145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4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2</v>
      </c>
      <c r="M36" s="50">
        <v>30</v>
      </c>
      <c r="N36" s="50">
        <v>0</v>
      </c>
      <c r="O36" s="15">
        <f t="shared" si="0"/>
        <v>11</v>
      </c>
      <c r="P36" s="15">
        <f t="shared" si="1"/>
        <v>41</v>
      </c>
    </row>
    <row r="37" spans="2:20" ht="23.1" customHeight="1" x14ac:dyDescent="0.25">
      <c r="B37" s="23" t="s">
        <v>64</v>
      </c>
      <c r="C37" s="50">
        <v>5</v>
      </c>
      <c r="D37" s="50">
        <v>1</v>
      </c>
      <c r="E37" s="50">
        <v>7</v>
      </c>
      <c r="F37" s="50">
        <v>3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3</v>
      </c>
      <c r="M37" s="50">
        <v>50</v>
      </c>
      <c r="N37" s="50">
        <v>0</v>
      </c>
      <c r="O37" s="15">
        <f t="shared" si="0"/>
        <v>19</v>
      </c>
      <c r="P37" s="15">
        <f t="shared" si="1"/>
        <v>69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3</v>
      </c>
      <c r="F38" s="50">
        <v>3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4</v>
      </c>
      <c r="M38" s="50">
        <v>38</v>
      </c>
      <c r="N38" s="50">
        <v>0</v>
      </c>
      <c r="O38" s="15">
        <f t="shared" si="0"/>
        <v>13</v>
      </c>
      <c r="P38" s="15">
        <f t="shared" si="1"/>
        <v>51</v>
      </c>
    </row>
    <row r="39" spans="2:20" ht="23.1" customHeight="1" x14ac:dyDescent="0.25">
      <c r="B39" s="24" t="s">
        <v>66</v>
      </c>
      <c r="C39" s="50">
        <v>4</v>
      </c>
      <c r="D39" s="50">
        <v>1</v>
      </c>
      <c r="E39" s="50">
        <v>5</v>
      </c>
      <c r="F39" s="50">
        <v>5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5</v>
      </c>
      <c r="M39" s="50">
        <v>63</v>
      </c>
      <c r="N39" s="50">
        <v>1</v>
      </c>
      <c r="O39" s="15">
        <f t="shared" si="0"/>
        <v>23</v>
      </c>
      <c r="P39" s="15">
        <f t="shared" si="1"/>
        <v>86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2</v>
      </c>
      <c r="F40" s="50">
        <v>3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3</v>
      </c>
      <c r="M40" s="50">
        <v>31</v>
      </c>
      <c r="N40" s="50">
        <v>0</v>
      </c>
      <c r="O40" s="15">
        <f t="shared" si="0"/>
        <v>15</v>
      </c>
      <c r="P40" s="15">
        <f t="shared" si="1"/>
        <v>46</v>
      </c>
    </row>
    <row r="41" spans="2:20" ht="23.1" customHeight="1" x14ac:dyDescent="0.25">
      <c r="B41" s="23" t="s">
        <v>68</v>
      </c>
      <c r="C41" s="50">
        <v>9</v>
      </c>
      <c r="D41" s="50">
        <v>0</v>
      </c>
      <c r="E41" s="50">
        <v>4</v>
      </c>
      <c r="F41" s="50">
        <v>5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4</v>
      </c>
      <c r="M41" s="50">
        <v>52</v>
      </c>
      <c r="N41" s="50">
        <v>1</v>
      </c>
      <c r="O41" s="15">
        <f t="shared" si="0"/>
        <v>26</v>
      </c>
      <c r="P41" s="15">
        <f t="shared" si="1"/>
        <v>78</v>
      </c>
    </row>
    <row r="42" spans="2:20" ht="23.1" customHeight="1" x14ac:dyDescent="0.25">
      <c r="B42" s="24" t="s">
        <v>69</v>
      </c>
      <c r="C42" s="50">
        <v>4</v>
      </c>
      <c r="D42" s="50">
        <v>0</v>
      </c>
      <c r="E42" s="50">
        <v>4</v>
      </c>
      <c r="F42" s="50">
        <v>1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43</v>
      </c>
      <c r="N42" s="50">
        <v>0</v>
      </c>
      <c r="O42" s="15">
        <f t="shared" si="0"/>
        <v>12</v>
      </c>
      <c r="P42" s="15">
        <f t="shared" si="1"/>
        <v>55</v>
      </c>
    </row>
    <row r="43" spans="2:20" ht="23.1" customHeight="1" x14ac:dyDescent="0.25">
      <c r="B43" s="23" t="s">
        <v>70</v>
      </c>
      <c r="C43" s="50">
        <v>7</v>
      </c>
      <c r="D43" s="50">
        <v>1</v>
      </c>
      <c r="E43" s="50">
        <v>7</v>
      </c>
      <c r="F43" s="50">
        <v>2</v>
      </c>
      <c r="G43" s="50">
        <v>0</v>
      </c>
      <c r="H43" s="50">
        <v>0</v>
      </c>
      <c r="I43" s="50">
        <v>3</v>
      </c>
      <c r="J43" s="50">
        <v>2</v>
      </c>
      <c r="K43" s="50">
        <v>0</v>
      </c>
      <c r="L43" s="50">
        <v>1</v>
      </c>
      <c r="M43" s="50">
        <v>72</v>
      </c>
      <c r="N43" s="50">
        <v>0</v>
      </c>
      <c r="O43" s="15">
        <f t="shared" si="0"/>
        <v>23</v>
      </c>
      <c r="P43" s="15">
        <f t="shared" si="1"/>
        <v>95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4</v>
      </c>
      <c r="F44" s="50">
        <v>3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1</v>
      </c>
      <c r="M44" s="50">
        <v>29</v>
      </c>
      <c r="N44" s="50">
        <v>0</v>
      </c>
      <c r="O44" s="15">
        <f t="shared" si="0"/>
        <v>9</v>
      </c>
      <c r="P44" s="15">
        <f t="shared" si="1"/>
        <v>38</v>
      </c>
    </row>
    <row r="45" spans="2:20" ht="23.1" customHeight="1" x14ac:dyDescent="0.25">
      <c r="B45" s="23" t="s">
        <v>72</v>
      </c>
      <c r="C45" s="50">
        <v>1</v>
      </c>
      <c r="D45" s="50">
        <v>1</v>
      </c>
      <c r="E45" s="50">
        <v>6</v>
      </c>
      <c r="F45" s="50">
        <v>5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2</v>
      </c>
      <c r="M45" s="50">
        <v>49</v>
      </c>
      <c r="N45" s="50">
        <v>0</v>
      </c>
      <c r="O45" s="15">
        <f t="shared" si="0"/>
        <v>17</v>
      </c>
      <c r="P45" s="15">
        <f t="shared" si="1"/>
        <v>66</v>
      </c>
    </row>
    <row r="46" spans="2:20" ht="23.1" customHeight="1" x14ac:dyDescent="0.25">
      <c r="B46" s="24" t="s">
        <v>73</v>
      </c>
      <c r="C46" s="50">
        <v>4</v>
      </c>
      <c r="D46" s="50">
        <v>0</v>
      </c>
      <c r="E46" s="50">
        <v>2</v>
      </c>
      <c r="F46" s="50">
        <v>4</v>
      </c>
      <c r="G46" s="50">
        <v>0</v>
      </c>
      <c r="H46" s="50">
        <v>0</v>
      </c>
      <c r="I46" s="50">
        <v>4</v>
      </c>
      <c r="J46" s="50">
        <v>0</v>
      </c>
      <c r="K46" s="50">
        <v>0</v>
      </c>
      <c r="L46" s="50">
        <v>0</v>
      </c>
      <c r="M46" s="50">
        <v>32</v>
      </c>
      <c r="N46" s="50">
        <v>0</v>
      </c>
      <c r="O46" s="15">
        <f t="shared" si="0"/>
        <v>14</v>
      </c>
      <c r="P46" s="15">
        <f t="shared" si="1"/>
        <v>46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0</v>
      </c>
      <c r="E47" s="50">
        <v>4</v>
      </c>
      <c r="F47" s="50">
        <v>6</v>
      </c>
      <c r="G47" s="50">
        <v>0</v>
      </c>
      <c r="H47" s="50">
        <v>0</v>
      </c>
      <c r="I47" s="50">
        <v>6</v>
      </c>
      <c r="J47" s="50">
        <v>0</v>
      </c>
      <c r="K47" s="50">
        <v>1</v>
      </c>
      <c r="L47" s="50">
        <v>0</v>
      </c>
      <c r="M47" s="50">
        <v>53</v>
      </c>
      <c r="N47" s="50">
        <v>0</v>
      </c>
      <c r="O47" s="15">
        <f t="shared" si="0"/>
        <v>24</v>
      </c>
      <c r="P47" s="15">
        <f t="shared" si="1"/>
        <v>77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5</v>
      </c>
      <c r="F48" s="50">
        <v>2</v>
      </c>
      <c r="G48" s="50">
        <v>0</v>
      </c>
      <c r="H48" s="50">
        <v>0</v>
      </c>
      <c r="I48" s="50">
        <v>3</v>
      </c>
      <c r="J48" s="50">
        <v>2</v>
      </c>
      <c r="K48" s="50">
        <v>0</v>
      </c>
      <c r="L48" s="50">
        <v>0</v>
      </c>
      <c r="M48" s="50">
        <v>40</v>
      </c>
      <c r="N48" s="50">
        <v>0</v>
      </c>
      <c r="O48" s="15">
        <f t="shared" si="0"/>
        <v>12</v>
      </c>
      <c r="P48" s="15">
        <f t="shared" si="1"/>
        <v>52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1</v>
      </c>
      <c r="E49" s="50">
        <v>9</v>
      </c>
      <c r="F49" s="50">
        <v>3</v>
      </c>
      <c r="G49" s="50">
        <v>0</v>
      </c>
      <c r="H49" s="50">
        <v>0</v>
      </c>
      <c r="I49" s="50">
        <v>5</v>
      </c>
      <c r="J49" s="50">
        <v>4</v>
      </c>
      <c r="K49" s="50">
        <v>0</v>
      </c>
      <c r="L49" s="50">
        <v>0</v>
      </c>
      <c r="M49" s="50">
        <v>67</v>
      </c>
      <c r="N49" s="50">
        <v>0</v>
      </c>
      <c r="O49" s="15">
        <f t="shared" si="0"/>
        <v>22</v>
      </c>
      <c r="P49" s="15">
        <f t="shared" si="1"/>
        <v>89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5</v>
      </c>
      <c r="F50" s="50">
        <v>2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2</v>
      </c>
      <c r="M50" s="50">
        <v>50</v>
      </c>
      <c r="N50" s="50">
        <v>0</v>
      </c>
      <c r="O50" s="15">
        <f t="shared" si="0"/>
        <v>14</v>
      </c>
      <c r="P50" s="15">
        <f t="shared" si="1"/>
        <v>64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1</v>
      </c>
      <c r="E51" s="50">
        <v>8</v>
      </c>
      <c r="F51" s="50">
        <v>4</v>
      </c>
      <c r="G51" s="50">
        <v>1</v>
      </c>
      <c r="H51" s="50">
        <v>1</v>
      </c>
      <c r="I51" s="50">
        <v>3</v>
      </c>
      <c r="J51" s="50">
        <v>1</v>
      </c>
      <c r="K51" s="50">
        <v>1</v>
      </c>
      <c r="L51" s="50">
        <v>3</v>
      </c>
      <c r="M51" s="50">
        <v>83</v>
      </c>
      <c r="N51" s="50">
        <v>0</v>
      </c>
      <c r="O51" s="15">
        <f t="shared" si="0"/>
        <v>28</v>
      </c>
      <c r="P51" s="15">
        <f t="shared" si="1"/>
        <v>111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5</v>
      </c>
      <c r="F52" s="50">
        <v>1</v>
      </c>
      <c r="G52" s="50">
        <v>0</v>
      </c>
      <c r="H52" s="50">
        <v>0</v>
      </c>
      <c r="I52" s="50">
        <v>2</v>
      </c>
      <c r="J52" s="50">
        <v>0</v>
      </c>
      <c r="K52" s="50">
        <v>1</v>
      </c>
      <c r="L52" s="50">
        <v>2</v>
      </c>
      <c r="M52" s="50">
        <v>22</v>
      </c>
      <c r="N52" s="50">
        <v>0</v>
      </c>
      <c r="O52" s="15">
        <f t="shared" si="0"/>
        <v>15</v>
      </c>
      <c r="P52" s="15">
        <f t="shared" si="1"/>
        <v>37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1</v>
      </c>
      <c r="E53" s="50">
        <v>8</v>
      </c>
      <c r="F53" s="50">
        <v>2</v>
      </c>
      <c r="G53" s="50">
        <v>0</v>
      </c>
      <c r="H53" s="50">
        <v>0</v>
      </c>
      <c r="I53" s="50">
        <v>3</v>
      </c>
      <c r="J53" s="50">
        <v>0</v>
      </c>
      <c r="K53" s="50">
        <v>2</v>
      </c>
      <c r="L53" s="50">
        <v>4</v>
      </c>
      <c r="M53" s="50">
        <v>36</v>
      </c>
      <c r="N53" s="50">
        <v>0</v>
      </c>
      <c r="O53" s="15">
        <f t="shared" si="0"/>
        <v>26</v>
      </c>
      <c r="P53" s="15">
        <f t="shared" si="1"/>
        <v>62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0</v>
      </c>
      <c r="E54" s="50">
        <v>2</v>
      </c>
      <c r="F54" s="50">
        <v>2</v>
      </c>
      <c r="G54" s="50">
        <v>0</v>
      </c>
      <c r="H54" s="50">
        <v>0</v>
      </c>
      <c r="I54" s="50">
        <v>1</v>
      </c>
      <c r="J54" s="50">
        <v>1</v>
      </c>
      <c r="K54" s="50">
        <v>1</v>
      </c>
      <c r="L54" s="50">
        <v>0</v>
      </c>
      <c r="M54" s="50">
        <v>12</v>
      </c>
      <c r="N54" s="50">
        <v>0</v>
      </c>
      <c r="O54" s="15">
        <f t="shared" si="0"/>
        <v>13</v>
      </c>
      <c r="P54" s="15">
        <f t="shared" si="1"/>
        <v>25</v>
      </c>
      <c r="R54" s="8"/>
      <c r="T54"/>
    </row>
    <row r="55" spans="2:20" ht="23.1" customHeight="1" x14ac:dyDescent="0.25">
      <c r="B55" s="23" t="s">
        <v>82</v>
      </c>
      <c r="C55" s="50">
        <v>10</v>
      </c>
      <c r="D55" s="50">
        <v>0</v>
      </c>
      <c r="E55" s="50">
        <v>4</v>
      </c>
      <c r="F55" s="50">
        <v>4</v>
      </c>
      <c r="G55" s="50">
        <v>1</v>
      </c>
      <c r="H55" s="50">
        <v>0</v>
      </c>
      <c r="I55" s="50">
        <v>2</v>
      </c>
      <c r="J55" s="50">
        <v>2</v>
      </c>
      <c r="K55" s="50">
        <v>2</v>
      </c>
      <c r="L55" s="50">
        <v>1</v>
      </c>
      <c r="M55" s="50">
        <v>20</v>
      </c>
      <c r="N55" s="50">
        <v>0</v>
      </c>
      <c r="O55" s="15">
        <f t="shared" si="0"/>
        <v>26</v>
      </c>
      <c r="P55" s="15">
        <f t="shared" si="1"/>
        <v>46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3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5</v>
      </c>
      <c r="L56" s="50">
        <v>0</v>
      </c>
      <c r="M56" s="50">
        <v>32</v>
      </c>
      <c r="N56" s="50">
        <v>0</v>
      </c>
      <c r="O56" s="15">
        <f t="shared" si="0"/>
        <v>14</v>
      </c>
      <c r="P56" s="15">
        <f t="shared" si="1"/>
        <v>46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1</v>
      </c>
      <c r="E57" s="50">
        <v>5</v>
      </c>
      <c r="F57" s="50">
        <v>4</v>
      </c>
      <c r="G57" s="50">
        <v>0</v>
      </c>
      <c r="H57" s="50">
        <v>0</v>
      </c>
      <c r="I57" s="50">
        <v>1</v>
      </c>
      <c r="J57" s="50">
        <v>1</v>
      </c>
      <c r="K57" s="50">
        <v>8</v>
      </c>
      <c r="L57" s="50">
        <v>1</v>
      </c>
      <c r="M57" s="50">
        <v>54</v>
      </c>
      <c r="N57" s="50">
        <v>0</v>
      </c>
      <c r="O57" s="15">
        <f t="shared" si="0"/>
        <v>27</v>
      </c>
      <c r="P57" s="15">
        <f t="shared" si="1"/>
        <v>81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210</v>
      </c>
      <c r="D58" s="16">
        <f t="shared" si="21"/>
        <v>13</v>
      </c>
      <c r="E58" s="16">
        <f t="shared" si="21"/>
        <v>187</v>
      </c>
      <c r="F58" s="16">
        <f t="shared" si="21"/>
        <v>160</v>
      </c>
      <c r="G58" s="16">
        <f t="shared" si="21"/>
        <v>2</v>
      </c>
      <c r="H58" s="16">
        <f t="shared" si="21"/>
        <v>3</v>
      </c>
      <c r="I58" s="16">
        <f t="shared" si="21"/>
        <v>73</v>
      </c>
      <c r="J58" s="16">
        <f t="shared" si="21"/>
        <v>28</v>
      </c>
      <c r="K58" s="16">
        <f t="shared" si="21"/>
        <v>33</v>
      </c>
      <c r="L58" s="16">
        <f t="shared" si="21"/>
        <v>63</v>
      </c>
      <c r="M58" s="16">
        <f t="shared" si="21"/>
        <v>2435</v>
      </c>
      <c r="N58" s="16">
        <f t="shared" si="21"/>
        <v>2</v>
      </c>
      <c r="O58" s="16">
        <f t="shared" si="21"/>
        <v>774</v>
      </c>
      <c r="P58" s="16">
        <f t="shared" si="21"/>
        <v>3209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6.5440947335618574E-2</v>
      </c>
      <c r="D59" s="43">
        <f t="shared" si="22"/>
        <v>4.0511062636335304E-3</v>
      </c>
      <c r="E59" s="43">
        <f t="shared" si="22"/>
        <v>5.8273605484574637E-2</v>
      </c>
      <c r="F59" s="43">
        <f t="shared" si="22"/>
        <v>4.9859769398566532E-2</v>
      </c>
      <c r="G59" s="43">
        <f t="shared" si="22"/>
        <v>6.2324711748208163E-4</v>
      </c>
      <c r="H59" s="43">
        <f t="shared" si="22"/>
        <v>9.348706762231225E-4</v>
      </c>
      <c r="I59" s="43">
        <f t="shared" si="22"/>
        <v>2.2748519788095979E-2</v>
      </c>
      <c r="J59" s="43">
        <f t="shared" si="22"/>
        <v>8.7254596447491426E-3</v>
      </c>
      <c r="K59" s="43">
        <f t="shared" si="22"/>
        <v>1.0283577438454348E-2</v>
      </c>
      <c r="L59" s="43">
        <f t="shared" si="22"/>
        <v>1.9632284200685572E-2</v>
      </c>
      <c r="M59" s="43">
        <f t="shared" si="22"/>
        <v>0.75880336553443439</v>
      </c>
      <c r="N59" s="43">
        <f t="shared" si="22"/>
        <v>6.2324711748208163E-4</v>
      </c>
      <c r="R59" s="8"/>
      <c r="T59"/>
    </row>
    <row r="60" spans="2:20" ht="23.1" customHeight="1" x14ac:dyDescent="0.25">
      <c r="B60" s="42" t="s">
        <v>94</v>
      </c>
      <c r="C60" s="44">
        <f>C58/$O$58</f>
        <v>0.27131782945736432</v>
      </c>
      <c r="D60" s="44">
        <f t="shared" ref="D60:N60" si="23">D58/$O$58</f>
        <v>1.6795865633074936E-2</v>
      </c>
      <c r="E60" s="44">
        <f t="shared" si="23"/>
        <v>0.24160206718346253</v>
      </c>
      <c r="F60" s="44">
        <f t="shared" si="23"/>
        <v>0.20671834625322996</v>
      </c>
      <c r="G60" s="44">
        <f t="shared" si="23"/>
        <v>2.5839793281653748E-3</v>
      </c>
      <c r="H60" s="44">
        <f t="shared" si="23"/>
        <v>3.875968992248062E-3</v>
      </c>
      <c r="I60" s="44">
        <f t="shared" si="23"/>
        <v>9.4315245478036172E-2</v>
      </c>
      <c r="J60" s="44">
        <f t="shared" si="23"/>
        <v>3.6175710594315243E-2</v>
      </c>
      <c r="K60" s="44">
        <f t="shared" si="23"/>
        <v>4.2635658914728682E-2</v>
      </c>
      <c r="L60" s="44">
        <f t="shared" si="23"/>
        <v>8.1395348837209308E-2</v>
      </c>
      <c r="M60" s="44"/>
      <c r="N60" s="44">
        <f t="shared" si="23"/>
        <v>2.5839793281653748E-3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zoomScale="60" workbookViewId="0">
      <selection activeCell="P6" sqref="P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'09.09 Ishaka-Katungulu'!C3:G3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174</v>
      </c>
      <c r="E5" s="3"/>
      <c r="F5" s="41" t="s">
        <v>1</v>
      </c>
      <c r="G5" s="56" t="str">
        <f>'08.09 Katungulu-Ishaka-24h'!G5:H5</f>
        <v>Rubirizi</v>
      </c>
      <c r="H5" s="57"/>
      <c r="I5" s="14"/>
      <c r="J5" s="2" t="s">
        <v>5</v>
      </c>
      <c r="K5" s="56" t="str">
        <f>'08.09 Katungulu-Ishaka-24h'!K5:L5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'09.09 Ishaka-Katungulu'!D6:E6</f>
        <v>Ishaka</v>
      </c>
      <c r="E6" s="57"/>
      <c r="F6" s="2" t="s">
        <v>2</v>
      </c>
      <c r="G6" s="56" t="str">
        <f>'09.09 Ishaka-Katungulu'!G6:H6</f>
        <v>Katungulu</v>
      </c>
      <c r="H6" s="57"/>
      <c r="J6" s="2" t="s">
        <v>21</v>
      </c>
      <c r="K6" s="56" t="str">
        <f>'08.09 Katungulu-Ishaka-24h'!K6:L6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3</v>
      </c>
      <c r="V10" s="17">
        <f t="shared" si="2"/>
        <v>8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6</v>
      </c>
      <c r="AA10" s="17">
        <f t="shared" si="2"/>
        <v>0</v>
      </c>
      <c r="AB10" s="17">
        <f t="shared" si="2"/>
        <v>5</v>
      </c>
      <c r="AC10" s="17">
        <f t="shared" si="2"/>
        <v>34</v>
      </c>
      <c r="AD10" s="17">
        <f t="shared" si="2"/>
        <v>0</v>
      </c>
      <c r="AE10" s="31">
        <f t="shared" si="2"/>
        <v>26</v>
      </c>
      <c r="AF10" s="31">
        <f t="shared" si="2"/>
        <v>60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2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8</v>
      </c>
      <c r="N11" s="50">
        <v>0</v>
      </c>
      <c r="O11" s="15">
        <f t="shared" si="0"/>
        <v>4</v>
      </c>
      <c r="P11" s="15">
        <f t="shared" si="1"/>
        <v>12</v>
      </c>
      <c r="R11" s="1" t="s">
        <v>7</v>
      </c>
      <c r="S11" s="17">
        <f t="shared" ref="S11:AF11" si="3">SUM(C14:C17)</f>
        <v>8</v>
      </c>
      <c r="T11" s="17">
        <f t="shared" si="3"/>
        <v>1</v>
      </c>
      <c r="U11" s="17">
        <f t="shared" si="3"/>
        <v>15</v>
      </c>
      <c r="V11" s="17">
        <f t="shared" si="3"/>
        <v>4</v>
      </c>
      <c r="W11" s="17">
        <f t="shared" si="3"/>
        <v>1</v>
      </c>
      <c r="X11" s="17">
        <f t="shared" si="3"/>
        <v>0</v>
      </c>
      <c r="Y11" s="17">
        <f t="shared" si="3"/>
        <v>1</v>
      </c>
      <c r="Z11" s="17">
        <f t="shared" si="3"/>
        <v>4</v>
      </c>
      <c r="AA11" s="17">
        <f t="shared" si="3"/>
        <v>15</v>
      </c>
      <c r="AB11" s="17">
        <f t="shared" si="3"/>
        <v>11</v>
      </c>
      <c r="AC11" s="17">
        <f t="shared" si="3"/>
        <v>78</v>
      </c>
      <c r="AD11" s="17">
        <f t="shared" si="3"/>
        <v>0</v>
      </c>
      <c r="AE11" s="31">
        <f t="shared" si="3"/>
        <v>60</v>
      </c>
      <c r="AF11" s="31">
        <f t="shared" si="3"/>
        <v>138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2</v>
      </c>
      <c r="G12" s="50">
        <v>0</v>
      </c>
      <c r="H12" s="50">
        <v>0</v>
      </c>
      <c r="I12" s="50">
        <v>0</v>
      </c>
      <c r="J12" s="50">
        <v>2</v>
      </c>
      <c r="K12" s="50">
        <v>0</v>
      </c>
      <c r="L12" s="50">
        <v>2</v>
      </c>
      <c r="M12" s="50">
        <v>8</v>
      </c>
      <c r="N12" s="50">
        <v>0</v>
      </c>
      <c r="O12" s="15">
        <f t="shared" si="0"/>
        <v>8</v>
      </c>
      <c r="P12" s="15">
        <f t="shared" si="1"/>
        <v>16</v>
      </c>
      <c r="R12" s="1" t="s">
        <v>8</v>
      </c>
      <c r="S12" s="17">
        <f t="shared" ref="S12:AF12" si="4">SUM(C18:C21)</f>
        <v>16</v>
      </c>
      <c r="T12" s="17">
        <f t="shared" si="4"/>
        <v>0</v>
      </c>
      <c r="U12" s="17">
        <f t="shared" si="4"/>
        <v>8</v>
      </c>
      <c r="V12" s="17">
        <f t="shared" si="4"/>
        <v>2</v>
      </c>
      <c r="W12" s="17">
        <f t="shared" si="4"/>
        <v>1</v>
      </c>
      <c r="X12" s="17">
        <f t="shared" si="4"/>
        <v>6</v>
      </c>
      <c r="Y12" s="17">
        <f t="shared" si="4"/>
        <v>2</v>
      </c>
      <c r="Z12" s="17">
        <f t="shared" si="4"/>
        <v>3</v>
      </c>
      <c r="AA12" s="17">
        <f t="shared" si="4"/>
        <v>6</v>
      </c>
      <c r="AB12" s="17">
        <f t="shared" si="4"/>
        <v>1</v>
      </c>
      <c r="AC12" s="17">
        <f t="shared" si="4"/>
        <v>131</v>
      </c>
      <c r="AD12" s="17">
        <f t="shared" si="4"/>
        <v>0</v>
      </c>
      <c r="AE12" s="31">
        <f t="shared" si="4"/>
        <v>45</v>
      </c>
      <c r="AF12" s="31">
        <f t="shared" si="4"/>
        <v>176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2</v>
      </c>
      <c r="F13" s="50">
        <v>3</v>
      </c>
      <c r="G13" s="50">
        <v>0</v>
      </c>
      <c r="H13" s="50">
        <v>0</v>
      </c>
      <c r="I13" s="50">
        <v>0</v>
      </c>
      <c r="J13" s="50">
        <v>3</v>
      </c>
      <c r="K13" s="50">
        <v>0</v>
      </c>
      <c r="L13" s="50">
        <v>3</v>
      </c>
      <c r="M13" s="50">
        <v>13</v>
      </c>
      <c r="N13" s="50">
        <v>0</v>
      </c>
      <c r="O13" s="15">
        <f t="shared" si="0"/>
        <v>13</v>
      </c>
      <c r="P13" s="15">
        <f t="shared" si="1"/>
        <v>26</v>
      </c>
      <c r="R13" s="1" t="s">
        <v>9</v>
      </c>
      <c r="S13" s="17">
        <f t="shared" ref="S13:AF13" si="5">SUM(C22:C25)</f>
        <v>11</v>
      </c>
      <c r="T13" s="17">
        <f t="shared" si="5"/>
        <v>1</v>
      </c>
      <c r="U13" s="17">
        <f t="shared" si="5"/>
        <v>15</v>
      </c>
      <c r="V13" s="17">
        <f t="shared" si="5"/>
        <v>13</v>
      </c>
      <c r="W13" s="17">
        <f t="shared" si="5"/>
        <v>0</v>
      </c>
      <c r="X13" s="17">
        <f t="shared" si="5"/>
        <v>3</v>
      </c>
      <c r="Y13" s="17">
        <f t="shared" si="5"/>
        <v>4</v>
      </c>
      <c r="Z13" s="17">
        <f t="shared" si="5"/>
        <v>1</v>
      </c>
      <c r="AA13" s="17">
        <f t="shared" si="5"/>
        <v>1</v>
      </c>
      <c r="AB13" s="17">
        <f t="shared" si="5"/>
        <v>8</v>
      </c>
      <c r="AC13" s="17">
        <f t="shared" si="5"/>
        <v>179</v>
      </c>
      <c r="AD13" s="17">
        <f t="shared" si="5"/>
        <v>0</v>
      </c>
      <c r="AE13" s="31">
        <f t="shared" si="5"/>
        <v>57</v>
      </c>
      <c r="AF13" s="31">
        <f t="shared" si="5"/>
        <v>236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4</v>
      </c>
      <c r="L14" s="50">
        <v>2</v>
      </c>
      <c r="M14" s="50">
        <v>6</v>
      </c>
      <c r="N14" s="50">
        <v>0</v>
      </c>
      <c r="O14" s="15">
        <f t="shared" si="0"/>
        <v>10</v>
      </c>
      <c r="P14" s="15">
        <f t="shared" si="1"/>
        <v>16</v>
      </c>
      <c r="R14" s="1" t="s">
        <v>10</v>
      </c>
      <c r="S14" s="17">
        <f t="shared" ref="S14:AF14" si="6">SUM(C26:C29)</f>
        <v>28</v>
      </c>
      <c r="T14" s="17">
        <f t="shared" si="6"/>
        <v>1</v>
      </c>
      <c r="U14" s="17">
        <f t="shared" si="6"/>
        <v>19</v>
      </c>
      <c r="V14" s="17">
        <f t="shared" si="6"/>
        <v>16</v>
      </c>
      <c r="W14" s="17">
        <f t="shared" si="6"/>
        <v>2</v>
      </c>
      <c r="X14" s="17">
        <f t="shared" si="6"/>
        <v>1</v>
      </c>
      <c r="Y14" s="17">
        <f t="shared" si="6"/>
        <v>1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219</v>
      </c>
      <c r="AD14" s="17">
        <f t="shared" si="6"/>
        <v>0</v>
      </c>
      <c r="AE14" s="31">
        <f t="shared" si="6"/>
        <v>70</v>
      </c>
      <c r="AF14" s="31">
        <f t="shared" si="6"/>
        <v>289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3</v>
      </c>
      <c r="F15" s="50">
        <v>1</v>
      </c>
      <c r="G15" s="50">
        <v>0</v>
      </c>
      <c r="H15" s="50">
        <v>0</v>
      </c>
      <c r="I15" s="50">
        <v>0</v>
      </c>
      <c r="J15" s="50">
        <v>1</v>
      </c>
      <c r="K15" s="50">
        <v>6</v>
      </c>
      <c r="L15" s="50">
        <v>4</v>
      </c>
      <c r="M15" s="50">
        <v>10</v>
      </c>
      <c r="N15" s="50">
        <v>0</v>
      </c>
      <c r="O15" s="15">
        <f t="shared" si="0"/>
        <v>18</v>
      </c>
      <c r="P15" s="15">
        <f t="shared" si="1"/>
        <v>28</v>
      </c>
      <c r="R15" s="1" t="s">
        <v>11</v>
      </c>
      <c r="S15" s="17">
        <f t="shared" ref="S15:AF15" si="7">SUM(C30:C33)</f>
        <v>12</v>
      </c>
      <c r="T15" s="17">
        <f t="shared" si="7"/>
        <v>1</v>
      </c>
      <c r="U15" s="17">
        <f t="shared" si="7"/>
        <v>15</v>
      </c>
      <c r="V15" s="17">
        <f t="shared" si="7"/>
        <v>13</v>
      </c>
      <c r="W15" s="17">
        <f t="shared" si="7"/>
        <v>6</v>
      </c>
      <c r="X15" s="17">
        <f t="shared" si="7"/>
        <v>6</v>
      </c>
      <c r="Y15" s="17">
        <f t="shared" si="7"/>
        <v>11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161</v>
      </c>
      <c r="AD15" s="17">
        <f t="shared" si="7"/>
        <v>0</v>
      </c>
      <c r="AE15" s="31">
        <f t="shared" si="7"/>
        <v>65</v>
      </c>
      <c r="AF15" s="31">
        <f t="shared" si="7"/>
        <v>226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4</v>
      </c>
      <c r="F16" s="50">
        <v>1</v>
      </c>
      <c r="G16" s="50">
        <v>0</v>
      </c>
      <c r="H16" s="50">
        <v>0</v>
      </c>
      <c r="I16" s="50">
        <v>0</v>
      </c>
      <c r="J16" s="50">
        <v>1</v>
      </c>
      <c r="K16" s="50">
        <v>2</v>
      </c>
      <c r="L16" s="50">
        <v>2</v>
      </c>
      <c r="M16" s="50">
        <v>23</v>
      </c>
      <c r="N16" s="50">
        <v>0</v>
      </c>
      <c r="O16" s="15">
        <f t="shared" si="0"/>
        <v>11</v>
      </c>
      <c r="P16" s="15">
        <f t="shared" si="1"/>
        <v>34</v>
      </c>
      <c r="R16" s="1" t="s">
        <v>12</v>
      </c>
      <c r="S16" s="17">
        <f t="shared" ref="S16:AF16" si="8">SUM(C34:C37)</f>
        <v>14</v>
      </c>
      <c r="T16" s="17">
        <f t="shared" si="8"/>
        <v>1</v>
      </c>
      <c r="U16" s="17">
        <f t="shared" si="8"/>
        <v>11</v>
      </c>
      <c r="V16" s="17">
        <f t="shared" si="8"/>
        <v>19</v>
      </c>
      <c r="W16" s="17">
        <f t="shared" si="8"/>
        <v>1</v>
      </c>
      <c r="X16" s="17">
        <f t="shared" si="8"/>
        <v>0</v>
      </c>
      <c r="Y16" s="17">
        <f t="shared" si="8"/>
        <v>2</v>
      </c>
      <c r="Z16" s="17">
        <f t="shared" si="8"/>
        <v>4</v>
      </c>
      <c r="AA16" s="17">
        <f t="shared" si="8"/>
        <v>4</v>
      </c>
      <c r="AB16" s="17">
        <f t="shared" si="8"/>
        <v>4</v>
      </c>
      <c r="AC16" s="17">
        <f t="shared" si="8"/>
        <v>158</v>
      </c>
      <c r="AD16" s="17">
        <f t="shared" si="8"/>
        <v>0</v>
      </c>
      <c r="AE16" s="31">
        <f t="shared" si="8"/>
        <v>60</v>
      </c>
      <c r="AF16" s="31">
        <f t="shared" si="8"/>
        <v>218</v>
      </c>
    </row>
    <row r="17" spans="2:32" ht="23.1" customHeight="1" x14ac:dyDescent="0.25">
      <c r="B17" s="23" t="s">
        <v>44</v>
      </c>
      <c r="C17" s="50">
        <v>2</v>
      </c>
      <c r="D17" s="50">
        <v>1</v>
      </c>
      <c r="E17" s="50">
        <v>6</v>
      </c>
      <c r="F17" s="50">
        <v>2</v>
      </c>
      <c r="G17" s="50">
        <v>1</v>
      </c>
      <c r="H17" s="50">
        <v>0</v>
      </c>
      <c r="I17" s="50">
        <v>1</v>
      </c>
      <c r="J17" s="50">
        <v>2</v>
      </c>
      <c r="K17" s="50">
        <v>3</v>
      </c>
      <c r="L17" s="50">
        <v>3</v>
      </c>
      <c r="M17" s="50">
        <v>39</v>
      </c>
      <c r="N17" s="50">
        <v>0</v>
      </c>
      <c r="O17" s="15">
        <f t="shared" si="0"/>
        <v>21</v>
      </c>
      <c r="P17" s="15">
        <f t="shared" si="1"/>
        <v>60</v>
      </c>
      <c r="R17" s="1" t="s">
        <v>13</v>
      </c>
      <c r="S17" s="17">
        <f t="shared" ref="S17:AF17" si="9">SUM(C38:C41)</f>
        <v>13</v>
      </c>
      <c r="T17" s="17">
        <f t="shared" si="9"/>
        <v>1</v>
      </c>
      <c r="U17" s="17">
        <f t="shared" si="9"/>
        <v>11</v>
      </c>
      <c r="V17" s="17">
        <f t="shared" si="9"/>
        <v>14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2</v>
      </c>
      <c r="AA17" s="17">
        <f t="shared" si="9"/>
        <v>2</v>
      </c>
      <c r="AB17" s="17">
        <f t="shared" si="9"/>
        <v>1</v>
      </c>
      <c r="AC17" s="17">
        <f t="shared" si="9"/>
        <v>128</v>
      </c>
      <c r="AD17" s="17">
        <f t="shared" si="9"/>
        <v>0</v>
      </c>
      <c r="AE17" s="31">
        <f t="shared" si="9"/>
        <v>50</v>
      </c>
      <c r="AF17" s="31">
        <f t="shared" si="9"/>
        <v>178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2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2</v>
      </c>
      <c r="L18" s="50">
        <v>0</v>
      </c>
      <c r="M18" s="50">
        <v>26</v>
      </c>
      <c r="N18" s="50">
        <v>0</v>
      </c>
      <c r="O18" s="15">
        <f t="shared" si="0"/>
        <v>7</v>
      </c>
      <c r="P18" s="15">
        <f t="shared" si="1"/>
        <v>33</v>
      </c>
      <c r="R18" s="1" t="s">
        <v>14</v>
      </c>
      <c r="S18" s="17">
        <f t="shared" ref="S18:AF18" si="10">SUM(C42:C45)</f>
        <v>11</v>
      </c>
      <c r="T18" s="17">
        <f t="shared" si="10"/>
        <v>1</v>
      </c>
      <c r="U18" s="17">
        <f t="shared" si="10"/>
        <v>11</v>
      </c>
      <c r="V18" s="17">
        <f t="shared" si="10"/>
        <v>15</v>
      </c>
      <c r="W18" s="17">
        <f t="shared" si="10"/>
        <v>0</v>
      </c>
      <c r="X18" s="17">
        <f t="shared" si="10"/>
        <v>3</v>
      </c>
      <c r="Y18" s="17">
        <f t="shared" si="10"/>
        <v>4</v>
      </c>
      <c r="Z18" s="17">
        <f t="shared" si="10"/>
        <v>3</v>
      </c>
      <c r="AA18" s="17">
        <f t="shared" si="10"/>
        <v>6</v>
      </c>
      <c r="AB18" s="17">
        <f t="shared" si="10"/>
        <v>6</v>
      </c>
      <c r="AC18" s="17">
        <f t="shared" si="10"/>
        <v>155</v>
      </c>
      <c r="AD18" s="17">
        <f t="shared" si="10"/>
        <v>0</v>
      </c>
      <c r="AE18" s="31">
        <f t="shared" si="10"/>
        <v>60</v>
      </c>
      <c r="AF18" s="31">
        <f t="shared" si="10"/>
        <v>215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3</v>
      </c>
      <c r="F19" s="50">
        <v>1</v>
      </c>
      <c r="G19" s="50">
        <v>0</v>
      </c>
      <c r="H19" s="50">
        <v>1</v>
      </c>
      <c r="I19" s="50">
        <v>1</v>
      </c>
      <c r="J19" s="50">
        <v>2</v>
      </c>
      <c r="K19" s="50">
        <v>4</v>
      </c>
      <c r="L19" s="50">
        <v>0</v>
      </c>
      <c r="M19" s="50">
        <v>44</v>
      </c>
      <c r="N19" s="50">
        <v>0</v>
      </c>
      <c r="O19" s="15">
        <f t="shared" si="0"/>
        <v>16</v>
      </c>
      <c r="P19" s="15">
        <f t="shared" si="1"/>
        <v>60</v>
      </c>
      <c r="R19" s="1" t="s">
        <v>15</v>
      </c>
      <c r="S19" s="17">
        <f t="shared" ref="S19:AF19" si="11">SUM(C46:C49)</f>
        <v>24</v>
      </c>
      <c r="T19" s="17">
        <f t="shared" si="11"/>
        <v>1</v>
      </c>
      <c r="U19" s="17">
        <f t="shared" si="11"/>
        <v>13</v>
      </c>
      <c r="V19" s="17">
        <f t="shared" si="11"/>
        <v>13</v>
      </c>
      <c r="W19" s="17">
        <f t="shared" si="11"/>
        <v>0</v>
      </c>
      <c r="X19" s="17">
        <f t="shared" si="11"/>
        <v>3</v>
      </c>
      <c r="Y19" s="17">
        <f t="shared" si="11"/>
        <v>6</v>
      </c>
      <c r="Z19" s="17">
        <f t="shared" si="11"/>
        <v>6</v>
      </c>
      <c r="AA19" s="17">
        <f t="shared" si="11"/>
        <v>0</v>
      </c>
      <c r="AB19" s="17">
        <f t="shared" si="11"/>
        <v>7</v>
      </c>
      <c r="AC19" s="17">
        <f t="shared" si="11"/>
        <v>157</v>
      </c>
      <c r="AD19" s="17">
        <f t="shared" si="11"/>
        <v>0</v>
      </c>
      <c r="AE19" s="31">
        <f t="shared" si="11"/>
        <v>73</v>
      </c>
      <c r="AF19" s="31">
        <f t="shared" si="11"/>
        <v>230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1</v>
      </c>
      <c r="F20" s="50">
        <v>0</v>
      </c>
      <c r="G20" s="50">
        <v>0</v>
      </c>
      <c r="H20" s="50">
        <v>2</v>
      </c>
      <c r="I20" s="50">
        <v>0</v>
      </c>
      <c r="J20" s="50">
        <v>0</v>
      </c>
      <c r="K20" s="50">
        <v>0</v>
      </c>
      <c r="L20" s="50">
        <v>0</v>
      </c>
      <c r="M20" s="50">
        <v>23</v>
      </c>
      <c r="N20" s="50">
        <v>0</v>
      </c>
      <c r="O20" s="15">
        <f t="shared" si="0"/>
        <v>7</v>
      </c>
      <c r="P20" s="15">
        <f t="shared" si="1"/>
        <v>30</v>
      </c>
      <c r="R20" s="1" t="s">
        <v>16</v>
      </c>
      <c r="S20" s="17">
        <f t="shared" ref="S20:AF20" si="12">SUM(C50:C53)</f>
        <v>17</v>
      </c>
      <c r="T20" s="17">
        <f t="shared" si="12"/>
        <v>1</v>
      </c>
      <c r="U20" s="17">
        <f t="shared" si="12"/>
        <v>15</v>
      </c>
      <c r="V20" s="17">
        <f t="shared" si="12"/>
        <v>16</v>
      </c>
      <c r="W20" s="17">
        <f t="shared" si="12"/>
        <v>1</v>
      </c>
      <c r="X20" s="17">
        <f t="shared" si="12"/>
        <v>0</v>
      </c>
      <c r="Y20" s="17">
        <f t="shared" si="12"/>
        <v>4</v>
      </c>
      <c r="Z20" s="17">
        <f t="shared" si="12"/>
        <v>4</v>
      </c>
      <c r="AA20" s="17">
        <f t="shared" si="12"/>
        <v>0</v>
      </c>
      <c r="AB20" s="17">
        <f t="shared" si="12"/>
        <v>6</v>
      </c>
      <c r="AC20" s="17">
        <f t="shared" si="12"/>
        <v>175</v>
      </c>
      <c r="AD20" s="17">
        <f t="shared" si="12"/>
        <v>0</v>
      </c>
      <c r="AE20" s="31">
        <f t="shared" si="12"/>
        <v>64</v>
      </c>
      <c r="AF20" s="31">
        <f t="shared" si="12"/>
        <v>239</v>
      </c>
    </row>
    <row r="21" spans="2:32" ht="23.1" customHeight="1" x14ac:dyDescent="0.25">
      <c r="B21" s="23" t="s">
        <v>48</v>
      </c>
      <c r="C21" s="50">
        <v>6</v>
      </c>
      <c r="D21" s="50">
        <v>0</v>
      </c>
      <c r="E21" s="50">
        <v>2</v>
      </c>
      <c r="F21" s="50">
        <v>1</v>
      </c>
      <c r="G21" s="50">
        <v>1</v>
      </c>
      <c r="H21" s="50">
        <v>3</v>
      </c>
      <c r="I21" s="50">
        <v>1</v>
      </c>
      <c r="J21" s="50">
        <v>0</v>
      </c>
      <c r="K21" s="50">
        <v>0</v>
      </c>
      <c r="L21" s="50">
        <v>1</v>
      </c>
      <c r="M21" s="50">
        <v>38</v>
      </c>
      <c r="N21" s="50">
        <v>0</v>
      </c>
      <c r="O21" s="15">
        <f t="shared" si="0"/>
        <v>15</v>
      </c>
      <c r="P21" s="15">
        <f t="shared" si="1"/>
        <v>53</v>
      </c>
      <c r="R21" s="36" t="s">
        <v>20</v>
      </c>
      <c r="S21" s="34">
        <f t="shared" ref="S21:AF21" si="13">SUM(C54:C57)</f>
        <v>17</v>
      </c>
      <c r="T21" s="17">
        <f t="shared" si="13"/>
        <v>1</v>
      </c>
      <c r="U21" s="17">
        <f t="shared" si="13"/>
        <v>14</v>
      </c>
      <c r="V21" s="17">
        <f t="shared" si="13"/>
        <v>5</v>
      </c>
      <c r="W21" s="17">
        <f t="shared" si="13"/>
        <v>0</v>
      </c>
      <c r="X21" s="17">
        <f t="shared" si="13"/>
        <v>0</v>
      </c>
      <c r="Y21" s="17">
        <f t="shared" si="13"/>
        <v>11</v>
      </c>
      <c r="Z21" s="17">
        <f t="shared" si="13"/>
        <v>1</v>
      </c>
      <c r="AA21" s="17">
        <f t="shared" si="13"/>
        <v>1</v>
      </c>
      <c r="AB21" s="17">
        <f t="shared" si="13"/>
        <v>6</v>
      </c>
      <c r="AC21" s="17">
        <f t="shared" si="13"/>
        <v>29</v>
      </c>
      <c r="AD21" s="17">
        <f t="shared" si="13"/>
        <v>0</v>
      </c>
      <c r="AE21" s="31">
        <f t="shared" si="13"/>
        <v>56</v>
      </c>
      <c r="AF21" s="31">
        <f t="shared" si="13"/>
        <v>85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4</v>
      </c>
      <c r="F22" s="50">
        <v>3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2</v>
      </c>
      <c r="M22" s="50">
        <v>38</v>
      </c>
      <c r="N22" s="50">
        <v>0</v>
      </c>
      <c r="O22" s="15">
        <f t="shared" si="0"/>
        <v>12</v>
      </c>
      <c r="P22" s="15">
        <f t="shared" si="1"/>
        <v>50</v>
      </c>
      <c r="R22" s="38" t="s">
        <v>90</v>
      </c>
      <c r="S22" s="39">
        <f>MAX(S10:S12)</f>
        <v>16</v>
      </c>
      <c r="T22" s="39">
        <f t="shared" ref="T22:AF22" si="14">MAX(T10:T12)</f>
        <v>1</v>
      </c>
      <c r="U22" s="39">
        <f t="shared" si="14"/>
        <v>15</v>
      </c>
      <c r="V22" s="39">
        <f t="shared" si="14"/>
        <v>8</v>
      </c>
      <c r="W22" s="39">
        <f t="shared" si="14"/>
        <v>1</v>
      </c>
      <c r="X22" s="39">
        <f t="shared" si="14"/>
        <v>6</v>
      </c>
      <c r="Y22" s="39">
        <f t="shared" si="14"/>
        <v>2</v>
      </c>
      <c r="Z22" s="39">
        <f t="shared" si="14"/>
        <v>6</v>
      </c>
      <c r="AA22" s="39">
        <f t="shared" si="14"/>
        <v>15</v>
      </c>
      <c r="AB22" s="39">
        <f t="shared" si="14"/>
        <v>11</v>
      </c>
      <c r="AC22" s="39">
        <f t="shared" si="14"/>
        <v>131</v>
      </c>
      <c r="AD22" s="39">
        <f t="shared" si="14"/>
        <v>0</v>
      </c>
      <c r="AE22" s="40">
        <f t="shared" si="14"/>
        <v>60</v>
      </c>
      <c r="AF22" s="40">
        <f t="shared" si="14"/>
        <v>176</v>
      </c>
    </row>
    <row r="23" spans="2:32" ht="23.1" customHeight="1" x14ac:dyDescent="0.25">
      <c r="B23" s="23" t="s">
        <v>50</v>
      </c>
      <c r="C23" s="50">
        <v>3</v>
      </c>
      <c r="D23" s="50">
        <v>1</v>
      </c>
      <c r="E23" s="50">
        <v>6</v>
      </c>
      <c r="F23" s="50">
        <v>5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3</v>
      </c>
      <c r="M23" s="50">
        <v>63</v>
      </c>
      <c r="N23" s="50">
        <v>0</v>
      </c>
      <c r="O23" s="15">
        <f t="shared" si="0"/>
        <v>20</v>
      </c>
      <c r="P23" s="15">
        <f t="shared" si="1"/>
        <v>83</v>
      </c>
      <c r="R23" s="38" t="s">
        <v>91</v>
      </c>
      <c r="S23" s="39">
        <f>MAX(S13:S18)</f>
        <v>28</v>
      </c>
      <c r="T23" s="39">
        <f t="shared" ref="T23:AF23" si="15">MAX(T13:T18)</f>
        <v>1</v>
      </c>
      <c r="U23" s="39">
        <f t="shared" si="15"/>
        <v>19</v>
      </c>
      <c r="V23" s="39">
        <f t="shared" si="15"/>
        <v>19</v>
      </c>
      <c r="W23" s="39">
        <f t="shared" si="15"/>
        <v>6</v>
      </c>
      <c r="X23" s="39">
        <f t="shared" si="15"/>
        <v>6</v>
      </c>
      <c r="Y23" s="39">
        <f t="shared" si="15"/>
        <v>11</v>
      </c>
      <c r="Z23" s="39">
        <f t="shared" si="15"/>
        <v>4</v>
      </c>
      <c r="AA23" s="39">
        <f t="shared" si="15"/>
        <v>6</v>
      </c>
      <c r="AB23" s="39">
        <f t="shared" si="15"/>
        <v>8</v>
      </c>
      <c r="AC23" s="39">
        <f t="shared" si="15"/>
        <v>219</v>
      </c>
      <c r="AD23" s="39">
        <f t="shared" si="15"/>
        <v>0</v>
      </c>
      <c r="AE23" s="40">
        <f t="shared" si="15"/>
        <v>70</v>
      </c>
      <c r="AF23" s="40">
        <f t="shared" si="15"/>
        <v>289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2</v>
      </c>
      <c r="F24" s="50">
        <v>2</v>
      </c>
      <c r="G24" s="50">
        <v>0</v>
      </c>
      <c r="H24" s="50">
        <v>1</v>
      </c>
      <c r="I24" s="50">
        <v>0</v>
      </c>
      <c r="J24" s="50">
        <v>0</v>
      </c>
      <c r="K24" s="50">
        <v>0</v>
      </c>
      <c r="L24" s="50">
        <v>1</v>
      </c>
      <c r="M24" s="50">
        <v>30</v>
      </c>
      <c r="N24" s="50">
        <v>0</v>
      </c>
      <c r="O24" s="15">
        <f t="shared" si="0"/>
        <v>8</v>
      </c>
      <c r="P24" s="15">
        <f t="shared" si="1"/>
        <v>38</v>
      </c>
      <c r="R24" s="38" t="s">
        <v>92</v>
      </c>
      <c r="S24" s="39">
        <f>MAX(S19:S21)</f>
        <v>24</v>
      </c>
      <c r="T24" s="39">
        <f t="shared" ref="T24:AF24" si="16">MAX(T19:T21)</f>
        <v>1</v>
      </c>
      <c r="U24" s="39">
        <f t="shared" si="16"/>
        <v>15</v>
      </c>
      <c r="V24" s="39">
        <f t="shared" si="16"/>
        <v>16</v>
      </c>
      <c r="W24" s="39">
        <f t="shared" si="16"/>
        <v>1</v>
      </c>
      <c r="X24" s="39">
        <f t="shared" si="16"/>
        <v>3</v>
      </c>
      <c r="Y24" s="39">
        <f t="shared" si="16"/>
        <v>11</v>
      </c>
      <c r="Z24" s="39">
        <f t="shared" si="16"/>
        <v>6</v>
      </c>
      <c r="AA24" s="39">
        <f t="shared" si="16"/>
        <v>1</v>
      </c>
      <c r="AB24" s="39">
        <f t="shared" si="16"/>
        <v>7</v>
      </c>
      <c r="AC24" s="39">
        <f t="shared" si="16"/>
        <v>175</v>
      </c>
      <c r="AD24" s="39">
        <f t="shared" si="16"/>
        <v>0</v>
      </c>
      <c r="AE24" s="40">
        <f t="shared" si="16"/>
        <v>73</v>
      </c>
      <c r="AF24" s="40">
        <f t="shared" si="16"/>
        <v>239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3</v>
      </c>
      <c r="F25" s="50">
        <v>3</v>
      </c>
      <c r="G25" s="50">
        <v>0</v>
      </c>
      <c r="H25" s="50">
        <v>2</v>
      </c>
      <c r="I25" s="50">
        <v>1</v>
      </c>
      <c r="J25" s="50">
        <v>1</v>
      </c>
      <c r="K25" s="50">
        <v>1</v>
      </c>
      <c r="L25" s="50">
        <v>2</v>
      </c>
      <c r="M25" s="50">
        <v>48</v>
      </c>
      <c r="N25" s="50">
        <v>0</v>
      </c>
      <c r="O25" s="15">
        <f t="shared" si="0"/>
        <v>17</v>
      </c>
      <c r="P25" s="15">
        <f t="shared" si="1"/>
        <v>65</v>
      </c>
      <c r="R25" s="37" t="s">
        <v>85</v>
      </c>
      <c r="S25" s="35">
        <f t="shared" ref="S25:AF25" si="17">SUM(S10:S12)</f>
        <v>28</v>
      </c>
      <c r="T25" s="16">
        <f t="shared" si="17"/>
        <v>1</v>
      </c>
      <c r="U25" s="16">
        <f t="shared" si="17"/>
        <v>26</v>
      </c>
      <c r="V25" s="16">
        <f t="shared" si="17"/>
        <v>14</v>
      </c>
      <c r="W25" s="16">
        <f t="shared" si="17"/>
        <v>2</v>
      </c>
      <c r="X25" s="16">
        <f t="shared" si="17"/>
        <v>6</v>
      </c>
      <c r="Y25" s="16">
        <f t="shared" si="17"/>
        <v>3</v>
      </c>
      <c r="Z25" s="16">
        <f t="shared" si="17"/>
        <v>13</v>
      </c>
      <c r="AA25" s="16">
        <f t="shared" si="17"/>
        <v>21</v>
      </c>
      <c r="AB25" s="16">
        <f t="shared" si="17"/>
        <v>17</v>
      </c>
      <c r="AC25" s="16">
        <f t="shared" si="17"/>
        <v>243</v>
      </c>
      <c r="AD25" s="16">
        <f t="shared" si="17"/>
        <v>0</v>
      </c>
      <c r="AE25" s="32">
        <f t="shared" si="17"/>
        <v>131</v>
      </c>
      <c r="AF25" s="32">
        <f t="shared" si="17"/>
        <v>374</v>
      </c>
    </row>
    <row r="26" spans="2:32" ht="23.1" customHeight="1" x14ac:dyDescent="0.25">
      <c r="B26" s="23" t="s">
        <v>53</v>
      </c>
      <c r="C26" s="50">
        <v>5</v>
      </c>
      <c r="D26" s="50">
        <v>0</v>
      </c>
      <c r="E26" s="50">
        <v>2</v>
      </c>
      <c r="F26" s="50">
        <v>3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36</v>
      </c>
      <c r="N26" s="50">
        <v>0</v>
      </c>
      <c r="O26" s="15">
        <f t="shared" si="0"/>
        <v>10</v>
      </c>
      <c r="P26" s="15">
        <f t="shared" si="1"/>
        <v>46</v>
      </c>
      <c r="R26" s="28" t="s">
        <v>86</v>
      </c>
      <c r="S26" s="16">
        <f t="shared" ref="S26:AF26" si="18">SUM(S13:S18)</f>
        <v>89</v>
      </c>
      <c r="T26" s="16">
        <f t="shared" si="18"/>
        <v>6</v>
      </c>
      <c r="U26" s="16">
        <f t="shared" si="18"/>
        <v>82</v>
      </c>
      <c r="V26" s="16">
        <f t="shared" si="18"/>
        <v>90</v>
      </c>
      <c r="W26" s="16">
        <f t="shared" si="18"/>
        <v>9</v>
      </c>
      <c r="X26" s="16">
        <f t="shared" si="18"/>
        <v>13</v>
      </c>
      <c r="Y26" s="16">
        <f t="shared" si="18"/>
        <v>28</v>
      </c>
      <c r="Z26" s="16">
        <f t="shared" si="18"/>
        <v>13</v>
      </c>
      <c r="AA26" s="16">
        <f t="shared" si="18"/>
        <v>13</v>
      </c>
      <c r="AB26" s="16">
        <f t="shared" si="18"/>
        <v>19</v>
      </c>
      <c r="AC26" s="16">
        <f t="shared" si="18"/>
        <v>1000</v>
      </c>
      <c r="AD26" s="16">
        <f t="shared" si="18"/>
        <v>0</v>
      </c>
      <c r="AE26" s="32">
        <f t="shared" si="18"/>
        <v>362</v>
      </c>
      <c r="AF26" s="32">
        <f t="shared" si="18"/>
        <v>1362</v>
      </c>
    </row>
    <row r="27" spans="2:32" ht="23.1" customHeight="1" x14ac:dyDescent="0.25">
      <c r="B27" s="23" t="s">
        <v>54</v>
      </c>
      <c r="C27" s="50">
        <v>9</v>
      </c>
      <c r="D27" s="50">
        <v>0</v>
      </c>
      <c r="E27" s="50">
        <v>3</v>
      </c>
      <c r="F27" s="50">
        <v>5</v>
      </c>
      <c r="G27" s="50">
        <v>1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60</v>
      </c>
      <c r="N27" s="50">
        <v>0</v>
      </c>
      <c r="O27" s="15">
        <f t="shared" si="0"/>
        <v>20</v>
      </c>
      <c r="P27" s="15">
        <f t="shared" si="1"/>
        <v>80</v>
      </c>
      <c r="R27" s="29" t="s">
        <v>87</v>
      </c>
      <c r="S27" s="16">
        <f t="shared" ref="S27:AF27" si="19">SUM(S19:S21)</f>
        <v>58</v>
      </c>
      <c r="T27" s="16">
        <f t="shared" si="19"/>
        <v>3</v>
      </c>
      <c r="U27" s="16">
        <f t="shared" si="19"/>
        <v>42</v>
      </c>
      <c r="V27" s="16">
        <f t="shared" si="19"/>
        <v>34</v>
      </c>
      <c r="W27" s="16">
        <f t="shared" si="19"/>
        <v>1</v>
      </c>
      <c r="X27" s="16">
        <f t="shared" si="19"/>
        <v>3</v>
      </c>
      <c r="Y27" s="16">
        <f t="shared" si="19"/>
        <v>21</v>
      </c>
      <c r="Z27" s="16">
        <f t="shared" si="19"/>
        <v>11</v>
      </c>
      <c r="AA27" s="16">
        <f t="shared" si="19"/>
        <v>1</v>
      </c>
      <c r="AB27" s="16">
        <f t="shared" si="19"/>
        <v>19</v>
      </c>
      <c r="AC27" s="16">
        <f t="shared" si="19"/>
        <v>361</v>
      </c>
      <c r="AD27" s="16">
        <f t="shared" si="19"/>
        <v>0</v>
      </c>
      <c r="AE27" s="32">
        <f t="shared" si="19"/>
        <v>193</v>
      </c>
      <c r="AF27" s="32">
        <f t="shared" si="19"/>
        <v>554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5</v>
      </c>
      <c r="F28" s="50">
        <v>3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46</v>
      </c>
      <c r="N28" s="50">
        <v>0</v>
      </c>
      <c r="O28" s="15">
        <f t="shared" si="0"/>
        <v>13</v>
      </c>
      <c r="P28" s="15">
        <f t="shared" si="1"/>
        <v>59</v>
      </c>
      <c r="R28" s="5" t="s">
        <v>17</v>
      </c>
      <c r="S28" s="16">
        <f t="shared" ref="S28:AF28" si="20">SUM(S10:S21)</f>
        <v>175</v>
      </c>
      <c r="T28" s="16">
        <f t="shared" si="20"/>
        <v>10</v>
      </c>
      <c r="U28" s="16">
        <f t="shared" si="20"/>
        <v>150</v>
      </c>
      <c r="V28" s="16">
        <f t="shared" si="20"/>
        <v>138</v>
      </c>
      <c r="W28" s="16">
        <f t="shared" si="20"/>
        <v>12</v>
      </c>
      <c r="X28" s="16">
        <f t="shared" si="20"/>
        <v>22</v>
      </c>
      <c r="Y28" s="16">
        <f t="shared" si="20"/>
        <v>52</v>
      </c>
      <c r="Z28" s="16">
        <f t="shared" si="20"/>
        <v>37</v>
      </c>
      <c r="AA28" s="16">
        <f t="shared" si="20"/>
        <v>35</v>
      </c>
      <c r="AB28" s="16">
        <f t="shared" si="20"/>
        <v>55</v>
      </c>
      <c r="AC28" s="16">
        <f t="shared" si="20"/>
        <v>1604</v>
      </c>
      <c r="AD28" s="16">
        <f t="shared" si="20"/>
        <v>0</v>
      </c>
      <c r="AE28" s="32">
        <f t="shared" si="20"/>
        <v>686</v>
      </c>
      <c r="AF28" s="32">
        <f t="shared" si="20"/>
        <v>2290</v>
      </c>
    </row>
    <row r="29" spans="2:32" ht="23.1" customHeight="1" x14ac:dyDescent="0.25">
      <c r="B29" s="23" t="s">
        <v>56</v>
      </c>
      <c r="C29" s="50">
        <v>9</v>
      </c>
      <c r="D29" s="50">
        <v>1</v>
      </c>
      <c r="E29" s="50">
        <v>9</v>
      </c>
      <c r="F29" s="50">
        <v>5</v>
      </c>
      <c r="G29" s="50">
        <v>1</v>
      </c>
      <c r="H29" s="50">
        <v>1</v>
      </c>
      <c r="I29" s="50">
        <v>0</v>
      </c>
      <c r="J29" s="50">
        <v>1</v>
      </c>
      <c r="K29" s="50">
        <v>0</v>
      </c>
      <c r="L29" s="50">
        <v>0</v>
      </c>
      <c r="M29" s="50">
        <v>77</v>
      </c>
      <c r="N29" s="50">
        <v>0</v>
      </c>
      <c r="O29" s="15">
        <f t="shared" si="0"/>
        <v>27</v>
      </c>
      <c r="P29" s="15">
        <f t="shared" si="1"/>
        <v>104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2</v>
      </c>
      <c r="F30" s="50">
        <v>3</v>
      </c>
      <c r="G30" s="50">
        <v>1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31</v>
      </c>
      <c r="N30" s="50">
        <v>0</v>
      </c>
      <c r="O30" s="15">
        <f t="shared" si="0"/>
        <v>9</v>
      </c>
      <c r="P30" s="15">
        <f t="shared" si="1"/>
        <v>40</v>
      </c>
    </row>
    <row r="31" spans="2:32" ht="23.1" customHeight="1" x14ac:dyDescent="0.25">
      <c r="B31" s="24" t="s">
        <v>58</v>
      </c>
      <c r="C31" s="50">
        <v>4</v>
      </c>
      <c r="D31" s="50">
        <v>0</v>
      </c>
      <c r="E31" s="50">
        <v>3</v>
      </c>
      <c r="F31" s="50">
        <v>5</v>
      </c>
      <c r="G31" s="50">
        <v>2</v>
      </c>
      <c r="H31" s="50">
        <v>1</v>
      </c>
      <c r="I31" s="50">
        <v>2</v>
      </c>
      <c r="J31" s="50">
        <v>1</v>
      </c>
      <c r="K31" s="50">
        <v>0</v>
      </c>
      <c r="L31" s="50">
        <v>0</v>
      </c>
      <c r="M31" s="50">
        <v>52</v>
      </c>
      <c r="N31" s="50">
        <v>0</v>
      </c>
      <c r="O31" s="15">
        <f t="shared" si="0"/>
        <v>18</v>
      </c>
      <c r="P31" s="15">
        <f t="shared" si="1"/>
        <v>70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4</v>
      </c>
      <c r="F32" s="50">
        <v>2</v>
      </c>
      <c r="G32" s="50">
        <v>1</v>
      </c>
      <c r="H32" s="50">
        <v>2</v>
      </c>
      <c r="I32" s="50">
        <v>3</v>
      </c>
      <c r="J32" s="50">
        <v>0</v>
      </c>
      <c r="K32" s="50">
        <v>0</v>
      </c>
      <c r="L32" s="50">
        <v>0</v>
      </c>
      <c r="M32" s="50">
        <v>29</v>
      </c>
      <c r="N32" s="50">
        <v>0</v>
      </c>
      <c r="O32" s="15">
        <f t="shared" si="0"/>
        <v>14</v>
      </c>
      <c r="P32" s="15">
        <f t="shared" si="1"/>
        <v>43</v>
      </c>
    </row>
    <row r="33" spans="2:20" ht="23.1" customHeight="1" x14ac:dyDescent="0.25">
      <c r="B33" s="23" t="s">
        <v>60</v>
      </c>
      <c r="C33" s="50">
        <v>4</v>
      </c>
      <c r="D33" s="50">
        <v>1</v>
      </c>
      <c r="E33" s="50">
        <v>6</v>
      </c>
      <c r="F33" s="50">
        <v>3</v>
      </c>
      <c r="G33" s="50">
        <v>2</v>
      </c>
      <c r="H33" s="50">
        <v>3</v>
      </c>
      <c r="I33" s="50">
        <v>5</v>
      </c>
      <c r="J33" s="50">
        <v>0</v>
      </c>
      <c r="K33" s="50">
        <v>0</v>
      </c>
      <c r="L33" s="50">
        <v>0</v>
      </c>
      <c r="M33" s="50">
        <v>49</v>
      </c>
      <c r="N33" s="50">
        <v>0</v>
      </c>
      <c r="O33" s="15">
        <f t="shared" si="0"/>
        <v>24</v>
      </c>
      <c r="P33" s="15">
        <f t="shared" si="1"/>
        <v>73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1</v>
      </c>
      <c r="F34" s="50">
        <v>4</v>
      </c>
      <c r="G34" s="50">
        <v>0</v>
      </c>
      <c r="H34" s="50">
        <v>0</v>
      </c>
      <c r="I34" s="50">
        <v>0</v>
      </c>
      <c r="J34" s="50">
        <v>1</v>
      </c>
      <c r="K34" s="50">
        <v>1</v>
      </c>
      <c r="L34" s="50">
        <v>0</v>
      </c>
      <c r="M34" s="50">
        <v>34</v>
      </c>
      <c r="N34" s="50">
        <v>0</v>
      </c>
      <c r="O34" s="15">
        <f t="shared" si="0"/>
        <v>9</v>
      </c>
      <c r="P34" s="15">
        <f t="shared" si="1"/>
        <v>43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2</v>
      </c>
      <c r="F35" s="50">
        <v>7</v>
      </c>
      <c r="G35" s="50">
        <v>1</v>
      </c>
      <c r="H35" s="50">
        <v>0</v>
      </c>
      <c r="I35" s="50">
        <v>1</v>
      </c>
      <c r="J35" s="50">
        <v>2</v>
      </c>
      <c r="K35" s="50">
        <v>2</v>
      </c>
      <c r="L35" s="50">
        <v>1</v>
      </c>
      <c r="M35" s="50">
        <v>57</v>
      </c>
      <c r="N35" s="50">
        <v>0</v>
      </c>
      <c r="O35" s="15">
        <f t="shared" si="0"/>
        <v>20</v>
      </c>
      <c r="P35" s="15">
        <f t="shared" si="1"/>
        <v>77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3</v>
      </c>
      <c r="F36" s="50">
        <v>3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1</v>
      </c>
      <c r="M36" s="50">
        <v>25</v>
      </c>
      <c r="N36" s="50">
        <v>0</v>
      </c>
      <c r="O36" s="15">
        <f t="shared" si="0"/>
        <v>10</v>
      </c>
      <c r="P36" s="15">
        <f t="shared" si="1"/>
        <v>35</v>
      </c>
    </row>
    <row r="37" spans="2:20" ht="23.1" customHeight="1" x14ac:dyDescent="0.25">
      <c r="B37" s="23" t="s">
        <v>64</v>
      </c>
      <c r="C37" s="50">
        <v>5</v>
      </c>
      <c r="D37" s="50">
        <v>1</v>
      </c>
      <c r="E37" s="50">
        <v>5</v>
      </c>
      <c r="F37" s="50">
        <v>5</v>
      </c>
      <c r="G37" s="50">
        <v>0</v>
      </c>
      <c r="H37" s="50">
        <v>0</v>
      </c>
      <c r="I37" s="50">
        <v>1</v>
      </c>
      <c r="J37" s="50">
        <v>1</v>
      </c>
      <c r="K37" s="50">
        <v>1</v>
      </c>
      <c r="L37" s="50">
        <v>2</v>
      </c>
      <c r="M37" s="50">
        <v>42</v>
      </c>
      <c r="N37" s="50">
        <v>0</v>
      </c>
      <c r="O37" s="15">
        <f t="shared" si="0"/>
        <v>21</v>
      </c>
      <c r="P37" s="15">
        <f t="shared" si="1"/>
        <v>63</v>
      </c>
    </row>
    <row r="38" spans="2:20" ht="23.1" customHeight="1" x14ac:dyDescent="0.25">
      <c r="B38" s="24" t="s">
        <v>65</v>
      </c>
      <c r="C38" s="50">
        <v>3</v>
      </c>
      <c r="D38" s="50">
        <v>0</v>
      </c>
      <c r="E38" s="50">
        <v>1</v>
      </c>
      <c r="F38" s="50">
        <v>2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29</v>
      </c>
      <c r="N38" s="50">
        <v>0</v>
      </c>
      <c r="O38" s="15">
        <f t="shared" si="0"/>
        <v>8</v>
      </c>
      <c r="P38" s="15">
        <f t="shared" si="1"/>
        <v>37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2</v>
      </c>
      <c r="F39" s="50">
        <v>4</v>
      </c>
      <c r="G39" s="50">
        <v>0</v>
      </c>
      <c r="H39" s="50">
        <v>0</v>
      </c>
      <c r="I39" s="50">
        <v>3</v>
      </c>
      <c r="J39" s="50">
        <v>1</v>
      </c>
      <c r="K39" s="50">
        <v>1</v>
      </c>
      <c r="L39" s="50">
        <v>0</v>
      </c>
      <c r="M39" s="50">
        <v>48</v>
      </c>
      <c r="N39" s="50">
        <v>0</v>
      </c>
      <c r="O39" s="15">
        <f t="shared" si="0"/>
        <v>16</v>
      </c>
      <c r="P39" s="15">
        <f t="shared" si="1"/>
        <v>64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3</v>
      </c>
      <c r="F40" s="50">
        <v>3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19</v>
      </c>
      <c r="N40" s="50">
        <v>0</v>
      </c>
      <c r="O40" s="15">
        <f t="shared" si="0"/>
        <v>8</v>
      </c>
      <c r="P40" s="15">
        <f t="shared" si="1"/>
        <v>27</v>
      </c>
    </row>
    <row r="41" spans="2:20" ht="23.1" customHeight="1" x14ac:dyDescent="0.25">
      <c r="B41" s="23" t="s">
        <v>68</v>
      </c>
      <c r="C41" s="50">
        <v>3</v>
      </c>
      <c r="D41" s="50">
        <v>1</v>
      </c>
      <c r="E41" s="50">
        <v>5</v>
      </c>
      <c r="F41" s="50">
        <v>5</v>
      </c>
      <c r="G41" s="50">
        <v>0</v>
      </c>
      <c r="H41" s="50">
        <v>0</v>
      </c>
      <c r="I41" s="50">
        <v>1</v>
      </c>
      <c r="J41" s="50">
        <v>1</v>
      </c>
      <c r="K41" s="50">
        <v>1</v>
      </c>
      <c r="L41" s="50">
        <v>1</v>
      </c>
      <c r="M41" s="50">
        <v>32</v>
      </c>
      <c r="N41" s="50">
        <v>0</v>
      </c>
      <c r="O41" s="15">
        <f t="shared" si="0"/>
        <v>18</v>
      </c>
      <c r="P41" s="15">
        <f t="shared" si="1"/>
        <v>50</v>
      </c>
    </row>
    <row r="42" spans="2:20" ht="23.1" customHeight="1" x14ac:dyDescent="0.25">
      <c r="B42" s="24" t="s">
        <v>69</v>
      </c>
      <c r="C42" s="50">
        <v>4</v>
      </c>
      <c r="D42" s="50">
        <v>0</v>
      </c>
      <c r="E42" s="50">
        <v>4</v>
      </c>
      <c r="F42" s="50">
        <v>4</v>
      </c>
      <c r="G42" s="50">
        <v>0</v>
      </c>
      <c r="H42" s="50">
        <v>0</v>
      </c>
      <c r="I42" s="50">
        <v>1</v>
      </c>
      <c r="J42" s="50">
        <v>0</v>
      </c>
      <c r="K42" s="50">
        <v>1</v>
      </c>
      <c r="L42" s="50">
        <v>1</v>
      </c>
      <c r="M42" s="50">
        <v>29</v>
      </c>
      <c r="N42" s="50">
        <v>0</v>
      </c>
      <c r="O42" s="15">
        <f t="shared" si="0"/>
        <v>15</v>
      </c>
      <c r="P42" s="15">
        <f t="shared" si="1"/>
        <v>44</v>
      </c>
    </row>
    <row r="43" spans="2:20" ht="23.1" customHeight="1" x14ac:dyDescent="0.25">
      <c r="B43" s="23" t="s">
        <v>70</v>
      </c>
      <c r="C43" s="50">
        <v>6</v>
      </c>
      <c r="D43" s="50">
        <v>1</v>
      </c>
      <c r="E43" s="50">
        <v>6</v>
      </c>
      <c r="F43" s="50">
        <v>6</v>
      </c>
      <c r="G43" s="50">
        <v>0</v>
      </c>
      <c r="H43" s="50">
        <v>0</v>
      </c>
      <c r="I43" s="50">
        <v>2</v>
      </c>
      <c r="J43" s="50">
        <v>0</v>
      </c>
      <c r="K43" s="50">
        <v>2</v>
      </c>
      <c r="L43" s="50">
        <v>2</v>
      </c>
      <c r="M43" s="50">
        <v>49</v>
      </c>
      <c r="N43" s="50">
        <v>0</v>
      </c>
      <c r="O43" s="15">
        <f t="shared" si="0"/>
        <v>25</v>
      </c>
      <c r="P43" s="15">
        <f t="shared" si="1"/>
        <v>74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2</v>
      </c>
      <c r="G44" s="50">
        <v>0</v>
      </c>
      <c r="H44" s="50">
        <v>1</v>
      </c>
      <c r="I44" s="50">
        <v>0</v>
      </c>
      <c r="J44" s="50">
        <v>1</v>
      </c>
      <c r="K44" s="50">
        <v>1</v>
      </c>
      <c r="L44" s="50">
        <v>1</v>
      </c>
      <c r="M44" s="50">
        <v>29</v>
      </c>
      <c r="N44" s="50">
        <v>0</v>
      </c>
      <c r="O44" s="15">
        <f t="shared" si="0"/>
        <v>6</v>
      </c>
      <c r="P44" s="15">
        <f t="shared" si="1"/>
        <v>35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1</v>
      </c>
      <c r="F45" s="50">
        <v>3</v>
      </c>
      <c r="G45" s="50">
        <v>0</v>
      </c>
      <c r="H45" s="50">
        <v>2</v>
      </c>
      <c r="I45" s="50">
        <v>1</v>
      </c>
      <c r="J45" s="50">
        <v>2</v>
      </c>
      <c r="K45" s="50">
        <v>2</v>
      </c>
      <c r="L45" s="50">
        <v>2</v>
      </c>
      <c r="M45" s="50">
        <v>48</v>
      </c>
      <c r="N45" s="50">
        <v>0</v>
      </c>
      <c r="O45" s="15">
        <f t="shared" si="0"/>
        <v>14</v>
      </c>
      <c r="P45" s="15">
        <f t="shared" si="1"/>
        <v>62</v>
      </c>
    </row>
    <row r="46" spans="2:20" ht="23.1" customHeight="1" x14ac:dyDescent="0.25">
      <c r="B46" s="24" t="s">
        <v>73</v>
      </c>
      <c r="C46" s="50">
        <v>5</v>
      </c>
      <c r="D46" s="50">
        <v>0</v>
      </c>
      <c r="E46" s="50">
        <v>4</v>
      </c>
      <c r="F46" s="50">
        <v>2</v>
      </c>
      <c r="G46" s="50">
        <v>0</v>
      </c>
      <c r="H46" s="50">
        <v>1</v>
      </c>
      <c r="I46" s="50">
        <v>0</v>
      </c>
      <c r="J46" s="50">
        <v>1</v>
      </c>
      <c r="K46" s="50">
        <v>0</v>
      </c>
      <c r="L46" s="50">
        <v>0</v>
      </c>
      <c r="M46" s="50">
        <v>24</v>
      </c>
      <c r="N46" s="50">
        <v>0</v>
      </c>
      <c r="O46" s="15">
        <f t="shared" si="0"/>
        <v>13</v>
      </c>
      <c r="P46" s="15">
        <f t="shared" si="1"/>
        <v>37</v>
      </c>
      <c r="R46" s="8"/>
      <c r="T46"/>
    </row>
    <row r="47" spans="2:20" ht="23.1" customHeight="1" x14ac:dyDescent="0.25">
      <c r="B47" s="24" t="s">
        <v>74</v>
      </c>
      <c r="C47" s="50">
        <v>8</v>
      </c>
      <c r="D47" s="50">
        <v>1</v>
      </c>
      <c r="E47" s="50">
        <v>6</v>
      </c>
      <c r="F47" s="50">
        <v>3</v>
      </c>
      <c r="G47" s="50">
        <v>0</v>
      </c>
      <c r="H47" s="50">
        <v>2</v>
      </c>
      <c r="I47" s="50">
        <v>0</v>
      </c>
      <c r="J47" s="50">
        <v>2</v>
      </c>
      <c r="K47" s="50">
        <v>0</v>
      </c>
      <c r="L47" s="50">
        <v>1</v>
      </c>
      <c r="M47" s="50">
        <v>40</v>
      </c>
      <c r="N47" s="50">
        <v>0</v>
      </c>
      <c r="O47" s="15">
        <f t="shared" si="0"/>
        <v>23</v>
      </c>
      <c r="P47" s="15">
        <f t="shared" si="1"/>
        <v>63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0</v>
      </c>
      <c r="E48" s="50">
        <v>1</v>
      </c>
      <c r="F48" s="50">
        <v>3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2</v>
      </c>
      <c r="M48" s="50">
        <v>35</v>
      </c>
      <c r="N48" s="50">
        <v>0</v>
      </c>
      <c r="O48" s="15">
        <f t="shared" si="0"/>
        <v>13</v>
      </c>
      <c r="P48" s="15">
        <f t="shared" si="1"/>
        <v>48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0</v>
      </c>
      <c r="E49" s="50">
        <v>2</v>
      </c>
      <c r="F49" s="50">
        <v>5</v>
      </c>
      <c r="G49" s="50">
        <v>0</v>
      </c>
      <c r="H49" s="50">
        <v>0</v>
      </c>
      <c r="I49" s="50">
        <v>4</v>
      </c>
      <c r="J49" s="50">
        <v>2</v>
      </c>
      <c r="K49" s="50">
        <v>0</v>
      </c>
      <c r="L49" s="50">
        <v>4</v>
      </c>
      <c r="M49" s="50">
        <v>58</v>
      </c>
      <c r="N49" s="50">
        <v>0</v>
      </c>
      <c r="O49" s="15">
        <f t="shared" si="0"/>
        <v>24</v>
      </c>
      <c r="P49" s="15">
        <f t="shared" si="1"/>
        <v>82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4</v>
      </c>
      <c r="F50" s="50">
        <v>3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2</v>
      </c>
      <c r="M50" s="50">
        <v>37</v>
      </c>
      <c r="N50" s="50">
        <v>0</v>
      </c>
      <c r="O50" s="15">
        <f t="shared" si="0"/>
        <v>12</v>
      </c>
      <c r="P50" s="15">
        <f t="shared" si="1"/>
        <v>49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1</v>
      </c>
      <c r="E51" s="50">
        <v>6</v>
      </c>
      <c r="F51" s="50">
        <v>5</v>
      </c>
      <c r="G51" s="50">
        <v>0</v>
      </c>
      <c r="H51" s="50">
        <v>0</v>
      </c>
      <c r="I51" s="50">
        <v>1</v>
      </c>
      <c r="J51" s="50">
        <v>2</v>
      </c>
      <c r="K51" s="50">
        <v>0</v>
      </c>
      <c r="L51" s="50">
        <v>3</v>
      </c>
      <c r="M51" s="50">
        <v>61</v>
      </c>
      <c r="N51" s="50">
        <v>0</v>
      </c>
      <c r="O51" s="15">
        <f t="shared" si="0"/>
        <v>22</v>
      </c>
      <c r="P51" s="15">
        <f t="shared" si="1"/>
        <v>83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2</v>
      </c>
      <c r="F52" s="50">
        <v>3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29</v>
      </c>
      <c r="N52" s="50">
        <v>0</v>
      </c>
      <c r="O52" s="15">
        <f t="shared" si="0"/>
        <v>10</v>
      </c>
      <c r="P52" s="15">
        <f t="shared" si="1"/>
        <v>39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0</v>
      </c>
      <c r="E53" s="50">
        <v>3</v>
      </c>
      <c r="F53" s="50">
        <v>5</v>
      </c>
      <c r="G53" s="50">
        <v>1</v>
      </c>
      <c r="H53" s="50">
        <v>0</v>
      </c>
      <c r="I53" s="50">
        <v>2</v>
      </c>
      <c r="J53" s="50">
        <v>1</v>
      </c>
      <c r="K53" s="50">
        <v>0</v>
      </c>
      <c r="L53" s="50">
        <v>1</v>
      </c>
      <c r="M53" s="50">
        <v>48</v>
      </c>
      <c r="N53" s="50">
        <v>0</v>
      </c>
      <c r="O53" s="15">
        <f t="shared" si="0"/>
        <v>20</v>
      </c>
      <c r="P53" s="15">
        <f t="shared" si="1"/>
        <v>68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0</v>
      </c>
      <c r="E54" s="50">
        <v>4</v>
      </c>
      <c r="F54" s="50">
        <v>2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2</v>
      </c>
      <c r="M54" s="50">
        <v>3</v>
      </c>
      <c r="N54" s="50">
        <v>0</v>
      </c>
      <c r="O54" s="15">
        <f t="shared" si="0"/>
        <v>15</v>
      </c>
      <c r="P54" s="15">
        <f t="shared" si="1"/>
        <v>18</v>
      </c>
      <c r="R54" s="8"/>
      <c r="T54"/>
    </row>
    <row r="55" spans="2:20" ht="23.1" customHeight="1" x14ac:dyDescent="0.25">
      <c r="B55" s="23" t="s">
        <v>82</v>
      </c>
      <c r="C55" s="50">
        <v>9</v>
      </c>
      <c r="D55" s="50">
        <v>1</v>
      </c>
      <c r="E55" s="50">
        <v>7</v>
      </c>
      <c r="F55" s="50">
        <v>3</v>
      </c>
      <c r="G55" s="50">
        <v>0</v>
      </c>
      <c r="H55" s="50">
        <v>0</v>
      </c>
      <c r="I55" s="50">
        <v>4</v>
      </c>
      <c r="J55" s="50">
        <v>1</v>
      </c>
      <c r="K55" s="50">
        <v>0</v>
      </c>
      <c r="L55" s="50">
        <v>3</v>
      </c>
      <c r="M55" s="50">
        <v>5</v>
      </c>
      <c r="N55" s="50">
        <v>0</v>
      </c>
      <c r="O55" s="15">
        <f t="shared" si="0"/>
        <v>28</v>
      </c>
      <c r="P55" s="15">
        <f t="shared" si="1"/>
        <v>33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8</v>
      </c>
      <c r="N56" s="50">
        <v>0</v>
      </c>
      <c r="O56" s="15">
        <f t="shared" si="0"/>
        <v>4</v>
      </c>
      <c r="P56" s="15">
        <f t="shared" si="1"/>
        <v>12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2</v>
      </c>
      <c r="F57" s="50">
        <v>0</v>
      </c>
      <c r="G57" s="50">
        <v>0</v>
      </c>
      <c r="H57" s="50">
        <v>0</v>
      </c>
      <c r="I57" s="50">
        <v>3</v>
      </c>
      <c r="J57" s="50">
        <v>0</v>
      </c>
      <c r="K57" s="50">
        <v>1</v>
      </c>
      <c r="L57" s="50">
        <v>1</v>
      </c>
      <c r="M57" s="50">
        <v>13</v>
      </c>
      <c r="N57" s="50">
        <v>0</v>
      </c>
      <c r="O57" s="15">
        <f t="shared" si="0"/>
        <v>9</v>
      </c>
      <c r="P57" s="15">
        <f t="shared" si="1"/>
        <v>22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175</v>
      </c>
      <c r="D58" s="16">
        <f t="shared" si="21"/>
        <v>10</v>
      </c>
      <c r="E58" s="16">
        <f t="shared" si="21"/>
        <v>150</v>
      </c>
      <c r="F58" s="16">
        <f t="shared" si="21"/>
        <v>138</v>
      </c>
      <c r="G58" s="16">
        <f t="shared" si="21"/>
        <v>12</v>
      </c>
      <c r="H58" s="16">
        <f t="shared" si="21"/>
        <v>22</v>
      </c>
      <c r="I58" s="16">
        <f t="shared" si="21"/>
        <v>52</v>
      </c>
      <c r="J58" s="16">
        <f t="shared" si="21"/>
        <v>37</v>
      </c>
      <c r="K58" s="16">
        <f t="shared" si="21"/>
        <v>35</v>
      </c>
      <c r="L58" s="16">
        <f t="shared" si="21"/>
        <v>55</v>
      </c>
      <c r="M58" s="16">
        <f t="shared" si="21"/>
        <v>1604</v>
      </c>
      <c r="N58" s="16">
        <f t="shared" si="21"/>
        <v>0</v>
      </c>
      <c r="O58" s="16">
        <f t="shared" si="21"/>
        <v>686</v>
      </c>
      <c r="P58" s="16">
        <f t="shared" si="21"/>
        <v>2290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7.6419213973799124E-2</v>
      </c>
      <c r="D59" s="43">
        <f t="shared" si="22"/>
        <v>4.3668122270742356E-3</v>
      </c>
      <c r="E59" s="43">
        <f t="shared" si="22"/>
        <v>6.5502183406113537E-2</v>
      </c>
      <c r="F59" s="43">
        <f t="shared" si="22"/>
        <v>6.0262008733624452E-2</v>
      </c>
      <c r="G59" s="43">
        <f t="shared" si="22"/>
        <v>5.2401746724890829E-3</v>
      </c>
      <c r="H59" s="43">
        <f t="shared" si="22"/>
        <v>9.6069868995633193E-3</v>
      </c>
      <c r="I59" s="43">
        <f t="shared" si="22"/>
        <v>2.2707423580786028E-2</v>
      </c>
      <c r="J59" s="43">
        <f t="shared" si="22"/>
        <v>1.6157205240174673E-2</v>
      </c>
      <c r="K59" s="43">
        <f t="shared" si="22"/>
        <v>1.5283842794759825E-2</v>
      </c>
      <c r="L59" s="43">
        <f t="shared" si="22"/>
        <v>2.4017467248908297E-2</v>
      </c>
      <c r="M59" s="43">
        <f t="shared" si="22"/>
        <v>0.70043668122270741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0.25510204081632654</v>
      </c>
      <c r="D60" s="44">
        <f t="shared" ref="D60:N60" si="23">D58/$O$58</f>
        <v>1.4577259475218658E-2</v>
      </c>
      <c r="E60" s="44">
        <f t="shared" si="23"/>
        <v>0.21865889212827988</v>
      </c>
      <c r="F60" s="44">
        <f t="shared" si="23"/>
        <v>0.20116618075801748</v>
      </c>
      <c r="G60" s="44">
        <f t="shared" si="23"/>
        <v>1.7492711370262391E-2</v>
      </c>
      <c r="H60" s="44">
        <f t="shared" si="23"/>
        <v>3.2069970845481049E-2</v>
      </c>
      <c r="I60" s="44">
        <f t="shared" si="23"/>
        <v>7.5801749271137031E-2</v>
      </c>
      <c r="J60" s="44">
        <f t="shared" si="23"/>
        <v>5.393586005830904E-2</v>
      </c>
      <c r="K60" s="44">
        <f t="shared" si="23"/>
        <v>5.1020408163265307E-2</v>
      </c>
      <c r="L60" s="44">
        <f t="shared" si="23"/>
        <v>8.0174927113702624E-2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zoomScale="60" workbookViewId="0">
      <selection activeCell="R7" sqref="R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'09.09 Katungulu-Ishaka'!C3:G3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'13.09 Ishaka-Katungulu'!D5</f>
        <v>13.09.19</v>
      </c>
      <c r="E5" s="3"/>
      <c r="F5" s="41" t="s">
        <v>1</v>
      </c>
      <c r="G5" s="56" t="str">
        <f>'13.09 Ishaka-Katungulu'!G5:H5</f>
        <v>Rubirizi</v>
      </c>
      <c r="H5" s="57"/>
      <c r="I5" s="14"/>
      <c r="J5" s="2" t="s">
        <v>5</v>
      </c>
      <c r="K5" s="56" t="str">
        <f>'13.09 Ishaka-Katungulu'!K5:L5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'09.09 Katungulu-Ishaka'!D6:E6</f>
        <v>Katungulu</v>
      </c>
      <c r="E6" s="57"/>
      <c r="F6" s="2" t="s">
        <v>2</v>
      </c>
      <c r="G6" s="56" t="str">
        <f>'09.09 Katungulu-Ishaka'!G6:H6</f>
        <v>Ishaka</v>
      </c>
      <c r="H6" s="57"/>
      <c r="J6" s="2" t="s">
        <v>21</v>
      </c>
      <c r="K6" s="56" t="str">
        <f>'13.09 Ishaka-Katungulu'!K6:L6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2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1</v>
      </c>
      <c r="V10" s="17">
        <f t="shared" si="2"/>
        <v>3</v>
      </c>
      <c r="W10" s="17">
        <f t="shared" si="2"/>
        <v>0</v>
      </c>
      <c r="X10" s="17">
        <f t="shared" si="2"/>
        <v>1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1</v>
      </c>
      <c r="AC10" s="17">
        <f t="shared" si="2"/>
        <v>28</v>
      </c>
      <c r="AD10" s="17">
        <f t="shared" si="2"/>
        <v>0</v>
      </c>
      <c r="AE10" s="31">
        <f t="shared" si="2"/>
        <v>7</v>
      </c>
      <c r="AF10" s="31">
        <f t="shared" si="2"/>
        <v>35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1</v>
      </c>
      <c r="P11" s="15">
        <f t="shared" si="1"/>
        <v>5</v>
      </c>
      <c r="R11" s="1" t="s">
        <v>7</v>
      </c>
      <c r="S11" s="17">
        <f t="shared" ref="S11:AF11" si="3">SUM(C14:C17)</f>
        <v>7</v>
      </c>
      <c r="T11" s="17">
        <f t="shared" si="3"/>
        <v>1</v>
      </c>
      <c r="U11" s="17">
        <f t="shared" si="3"/>
        <v>8</v>
      </c>
      <c r="V11" s="17">
        <f t="shared" si="3"/>
        <v>8</v>
      </c>
      <c r="W11" s="17">
        <f t="shared" si="3"/>
        <v>0</v>
      </c>
      <c r="X11" s="17">
        <f t="shared" si="3"/>
        <v>1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6</v>
      </c>
      <c r="AC11" s="17">
        <f t="shared" si="3"/>
        <v>131</v>
      </c>
      <c r="AD11" s="17">
        <f t="shared" si="3"/>
        <v>0</v>
      </c>
      <c r="AE11" s="31">
        <f t="shared" si="3"/>
        <v>33</v>
      </c>
      <c r="AF11" s="31">
        <f t="shared" si="3"/>
        <v>164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1</v>
      </c>
      <c r="P12" s="15">
        <f t="shared" si="1"/>
        <v>9</v>
      </c>
      <c r="R12" s="1" t="s">
        <v>8</v>
      </c>
      <c r="S12" s="17">
        <f t="shared" ref="S12:AF12" si="4">SUM(C18:C21)</f>
        <v>8</v>
      </c>
      <c r="T12" s="17">
        <f t="shared" si="4"/>
        <v>0</v>
      </c>
      <c r="U12" s="17">
        <f t="shared" si="4"/>
        <v>8</v>
      </c>
      <c r="V12" s="17">
        <f t="shared" si="4"/>
        <v>18</v>
      </c>
      <c r="W12" s="17">
        <f t="shared" si="4"/>
        <v>0</v>
      </c>
      <c r="X12" s="17">
        <f t="shared" si="4"/>
        <v>1</v>
      </c>
      <c r="Y12" s="17">
        <f t="shared" si="4"/>
        <v>4</v>
      </c>
      <c r="Z12" s="17">
        <f t="shared" si="4"/>
        <v>3</v>
      </c>
      <c r="AA12" s="17">
        <f t="shared" si="4"/>
        <v>3</v>
      </c>
      <c r="AB12" s="17">
        <f t="shared" si="4"/>
        <v>12</v>
      </c>
      <c r="AC12" s="17">
        <f t="shared" si="4"/>
        <v>163</v>
      </c>
      <c r="AD12" s="17">
        <f t="shared" si="4"/>
        <v>0</v>
      </c>
      <c r="AE12" s="31">
        <f t="shared" si="4"/>
        <v>57</v>
      </c>
      <c r="AF12" s="31">
        <f t="shared" si="4"/>
        <v>220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2</v>
      </c>
      <c r="G13" s="50">
        <v>0</v>
      </c>
      <c r="H13" s="50">
        <v>1</v>
      </c>
      <c r="I13" s="50">
        <v>0</v>
      </c>
      <c r="J13" s="50">
        <v>0</v>
      </c>
      <c r="K13" s="50">
        <v>0</v>
      </c>
      <c r="L13" s="50">
        <v>1</v>
      </c>
      <c r="M13" s="50">
        <v>14</v>
      </c>
      <c r="N13" s="50">
        <v>0</v>
      </c>
      <c r="O13" s="15">
        <f t="shared" si="0"/>
        <v>5</v>
      </c>
      <c r="P13" s="15">
        <f t="shared" si="1"/>
        <v>19</v>
      </c>
      <c r="R13" s="1" t="s">
        <v>9</v>
      </c>
      <c r="S13" s="17">
        <f t="shared" ref="S13:AF13" si="5">SUM(C22:C25)</f>
        <v>16</v>
      </c>
      <c r="T13" s="17">
        <f t="shared" si="5"/>
        <v>0</v>
      </c>
      <c r="U13" s="17">
        <f t="shared" si="5"/>
        <v>12</v>
      </c>
      <c r="V13" s="17">
        <f t="shared" si="5"/>
        <v>18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0</v>
      </c>
      <c r="AA13" s="17">
        <f t="shared" si="5"/>
        <v>0</v>
      </c>
      <c r="AB13" s="17">
        <f t="shared" si="5"/>
        <v>6</v>
      </c>
      <c r="AC13" s="17">
        <f t="shared" si="5"/>
        <v>235</v>
      </c>
      <c r="AD13" s="17">
        <f t="shared" si="5"/>
        <v>0</v>
      </c>
      <c r="AE13" s="31">
        <f t="shared" si="5"/>
        <v>56</v>
      </c>
      <c r="AF13" s="31">
        <f t="shared" si="5"/>
        <v>291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1</v>
      </c>
      <c r="M14" s="50">
        <v>17</v>
      </c>
      <c r="N14" s="50">
        <v>0</v>
      </c>
      <c r="O14" s="15">
        <f t="shared" si="0"/>
        <v>4</v>
      </c>
      <c r="P14" s="15">
        <f t="shared" si="1"/>
        <v>21</v>
      </c>
      <c r="R14" s="1" t="s">
        <v>10</v>
      </c>
      <c r="S14" s="17">
        <f t="shared" ref="S14:AF14" si="6">SUM(C26:C29)</f>
        <v>11</v>
      </c>
      <c r="T14" s="17">
        <f t="shared" si="6"/>
        <v>1</v>
      </c>
      <c r="U14" s="17">
        <f t="shared" si="6"/>
        <v>19</v>
      </c>
      <c r="V14" s="17">
        <f t="shared" si="6"/>
        <v>6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0</v>
      </c>
      <c r="AA14" s="17">
        <f t="shared" si="6"/>
        <v>8</v>
      </c>
      <c r="AB14" s="17">
        <f t="shared" si="6"/>
        <v>10</v>
      </c>
      <c r="AC14" s="17">
        <f t="shared" si="6"/>
        <v>232</v>
      </c>
      <c r="AD14" s="17">
        <f t="shared" si="6"/>
        <v>1</v>
      </c>
      <c r="AE14" s="31">
        <f t="shared" si="6"/>
        <v>65</v>
      </c>
      <c r="AF14" s="31">
        <f t="shared" si="6"/>
        <v>297</v>
      </c>
    </row>
    <row r="15" spans="2:32" ht="23.1" customHeight="1" x14ac:dyDescent="0.25">
      <c r="B15" s="23" t="s">
        <v>42</v>
      </c>
      <c r="C15" s="50">
        <v>4</v>
      </c>
      <c r="D15" s="50">
        <v>0</v>
      </c>
      <c r="E15" s="50">
        <v>1</v>
      </c>
      <c r="F15" s="50">
        <v>2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2</v>
      </c>
      <c r="M15" s="50">
        <v>28</v>
      </c>
      <c r="N15" s="50">
        <v>0</v>
      </c>
      <c r="O15" s="15">
        <f t="shared" si="0"/>
        <v>10</v>
      </c>
      <c r="P15" s="15">
        <f t="shared" si="1"/>
        <v>38</v>
      </c>
      <c r="R15" s="1" t="s">
        <v>11</v>
      </c>
      <c r="S15" s="17">
        <f t="shared" ref="S15:AF15" si="7">SUM(C30:C33)</f>
        <v>28</v>
      </c>
      <c r="T15" s="17">
        <f t="shared" si="7"/>
        <v>2</v>
      </c>
      <c r="U15" s="17">
        <f t="shared" si="7"/>
        <v>17</v>
      </c>
      <c r="V15" s="17">
        <f t="shared" si="7"/>
        <v>13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4</v>
      </c>
      <c r="AA15" s="17">
        <f t="shared" si="7"/>
        <v>0</v>
      </c>
      <c r="AB15" s="17">
        <f t="shared" si="7"/>
        <v>3</v>
      </c>
      <c r="AC15" s="17">
        <f t="shared" si="7"/>
        <v>186</v>
      </c>
      <c r="AD15" s="17">
        <f t="shared" si="7"/>
        <v>0</v>
      </c>
      <c r="AE15" s="31">
        <f t="shared" si="7"/>
        <v>71</v>
      </c>
      <c r="AF15" s="31">
        <f t="shared" si="7"/>
        <v>257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3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1</v>
      </c>
      <c r="M16" s="50">
        <v>32</v>
      </c>
      <c r="N16" s="50">
        <v>0</v>
      </c>
      <c r="O16" s="15">
        <f t="shared" si="0"/>
        <v>6</v>
      </c>
      <c r="P16" s="15">
        <f t="shared" si="1"/>
        <v>38</v>
      </c>
      <c r="R16" s="1" t="s">
        <v>12</v>
      </c>
      <c r="S16" s="17">
        <f t="shared" ref="S16:AF16" si="8">SUM(C34:C37)</f>
        <v>17</v>
      </c>
      <c r="T16" s="17">
        <f t="shared" si="8"/>
        <v>2</v>
      </c>
      <c r="U16" s="17">
        <f t="shared" si="8"/>
        <v>24</v>
      </c>
      <c r="V16" s="17">
        <f t="shared" si="8"/>
        <v>15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8</v>
      </c>
      <c r="AA16" s="17">
        <f t="shared" si="8"/>
        <v>1</v>
      </c>
      <c r="AB16" s="17">
        <f t="shared" si="8"/>
        <v>6</v>
      </c>
      <c r="AC16" s="17">
        <f t="shared" si="8"/>
        <v>225</v>
      </c>
      <c r="AD16" s="17">
        <f t="shared" si="8"/>
        <v>0</v>
      </c>
      <c r="AE16" s="31">
        <f t="shared" si="8"/>
        <v>81</v>
      </c>
      <c r="AF16" s="31">
        <f t="shared" si="8"/>
        <v>306</v>
      </c>
    </row>
    <row r="17" spans="2:32" ht="23.1" customHeight="1" x14ac:dyDescent="0.25">
      <c r="B17" s="23" t="s">
        <v>44</v>
      </c>
      <c r="C17" s="50">
        <v>1</v>
      </c>
      <c r="D17" s="50">
        <v>1</v>
      </c>
      <c r="E17" s="50">
        <v>4</v>
      </c>
      <c r="F17" s="50">
        <v>3</v>
      </c>
      <c r="G17" s="50">
        <v>0</v>
      </c>
      <c r="H17" s="50">
        <v>1</v>
      </c>
      <c r="I17" s="50">
        <v>1</v>
      </c>
      <c r="J17" s="50">
        <v>0</v>
      </c>
      <c r="K17" s="50">
        <v>0</v>
      </c>
      <c r="L17" s="50">
        <v>2</v>
      </c>
      <c r="M17" s="50">
        <v>54</v>
      </c>
      <c r="N17" s="50">
        <v>0</v>
      </c>
      <c r="O17" s="15">
        <f t="shared" si="0"/>
        <v>13</v>
      </c>
      <c r="P17" s="15">
        <f t="shared" si="1"/>
        <v>67</v>
      </c>
      <c r="R17" s="1" t="s">
        <v>13</v>
      </c>
      <c r="S17" s="17">
        <f t="shared" ref="S17:AF17" si="9">SUM(C38:C41)</f>
        <v>14</v>
      </c>
      <c r="T17" s="17">
        <f t="shared" si="9"/>
        <v>1</v>
      </c>
      <c r="U17" s="17">
        <f t="shared" si="9"/>
        <v>13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11</v>
      </c>
      <c r="AA17" s="17">
        <f t="shared" si="9"/>
        <v>0</v>
      </c>
      <c r="AB17" s="17">
        <f t="shared" si="9"/>
        <v>3</v>
      </c>
      <c r="AC17" s="17">
        <f t="shared" si="9"/>
        <v>114</v>
      </c>
      <c r="AD17" s="17">
        <f t="shared" si="9"/>
        <v>0</v>
      </c>
      <c r="AE17" s="31">
        <f t="shared" si="9"/>
        <v>51</v>
      </c>
      <c r="AF17" s="31">
        <f t="shared" si="9"/>
        <v>165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1</v>
      </c>
      <c r="F18" s="50">
        <v>3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2</v>
      </c>
      <c r="M18" s="50">
        <v>35</v>
      </c>
      <c r="N18" s="50">
        <v>0</v>
      </c>
      <c r="O18" s="15">
        <f t="shared" si="0"/>
        <v>9</v>
      </c>
      <c r="P18" s="15">
        <f t="shared" si="1"/>
        <v>44</v>
      </c>
      <c r="R18" s="1" t="s">
        <v>14</v>
      </c>
      <c r="S18" s="17">
        <f t="shared" ref="S18:AF18" si="10">SUM(C42:C45)</f>
        <v>19</v>
      </c>
      <c r="T18" s="17">
        <f t="shared" si="10"/>
        <v>0</v>
      </c>
      <c r="U18" s="17">
        <f t="shared" si="10"/>
        <v>2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3</v>
      </c>
      <c r="AA18" s="17">
        <f t="shared" si="10"/>
        <v>1</v>
      </c>
      <c r="AB18" s="17">
        <f t="shared" si="10"/>
        <v>1</v>
      </c>
      <c r="AC18" s="17">
        <f t="shared" si="10"/>
        <v>125</v>
      </c>
      <c r="AD18" s="17">
        <f t="shared" si="10"/>
        <v>0</v>
      </c>
      <c r="AE18" s="31">
        <f t="shared" si="10"/>
        <v>38</v>
      </c>
      <c r="AF18" s="31">
        <f t="shared" si="10"/>
        <v>163</v>
      </c>
    </row>
    <row r="19" spans="2:32" ht="23.1" customHeight="1" x14ac:dyDescent="0.25">
      <c r="B19" s="23" t="s">
        <v>46</v>
      </c>
      <c r="C19" s="50">
        <v>3</v>
      </c>
      <c r="D19" s="50">
        <v>0</v>
      </c>
      <c r="E19" s="50">
        <v>2</v>
      </c>
      <c r="F19" s="50">
        <v>5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4</v>
      </c>
      <c r="M19" s="50">
        <v>58</v>
      </c>
      <c r="N19" s="50">
        <v>0</v>
      </c>
      <c r="O19" s="15">
        <f t="shared" si="0"/>
        <v>16</v>
      </c>
      <c r="P19" s="15">
        <f t="shared" si="1"/>
        <v>74</v>
      </c>
      <c r="R19" s="1" t="s">
        <v>15</v>
      </c>
      <c r="S19" s="17">
        <f t="shared" ref="S19:AF19" si="11">SUM(C46:C49)</f>
        <v>16</v>
      </c>
      <c r="T19" s="17">
        <f t="shared" si="11"/>
        <v>1</v>
      </c>
      <c r="U19" s="17">
        <f t="shared" si="11"/>
        <v>8</v>
      </c>
      <c r="V19" s="17">
        <f t="shared" si="11"/>
        <v>13</v>
      </c>
      <c r="W19" s="17">
        <f t="shared" si="11"/>
        <v>0</v>
      </c>
      <c r="X19" s="17">
        <f t="shared" si="11"/>
        <v>0</v>
      </c>
      <c r="Y19" s="17">
        <f t="shared" si="11"/>
        <v>12</v>
      </c>
      <c r="Z19" s="17">
        <f t="shared" si="11"/>
        <v>8</v>
      </c>
      <c r="AA19" s="17">
        <f t="shared" si="11"/>
        <v>2</v>
      </c>
      <c r="AB19" s="17">
        <f t="shared" si="11"/>
        <v>4</v>
      </c>
      <c r="AC19" s="17">
        <f t="shared" si="11"/>
        <v>141</v>
      </c>
      <c r="AD19" s="17">
        <f t="shared" si="11"/>
        <v>0</v>
      </c>
      <c r="AE19" s="31">
        <f t="shared" si="11"/>
        <v>64</v>
      </c>
      <c r="AF19" s="31">
        <f t="shared" si="11"/>
        <v>205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2</v>
      </c>
      <c r="F20" s="50">
        <v>4</v>
      </c>
      <c r="G20" s="50">
        <v>0</v>
      </c>
      <c r="H20" s="50">
        <v>0</v>
      </c>
      <c r="I20" s="50">
        <v>0</v>
      </c>
      <c r="J20" s="50">
        <v>1</v>
      </c>
      <c r="K20" s="50">
        <v>1</v>
      </c>
      <c r="L20" s="50">
        <v>2</v>
      </c>
      <c r="M20" s="50">
        <v>26</v>
      </c>
      <c r="N20" s="50">
        <v>0</v>
      </c>
      <c r="O20" s="15">
        <f t="shared" si="0"/>
        <v>11</v>
      </c>
      <c r="P20" s="15">
        <f t="shared" si="1"/>
        <v>37</v>
      </c>
      <c r="R20" s="1" t="s">
        <v>16</v>
      </c>
      <c r="S20" s="17">
        <f t="shared" ref="S20:AF20" si="12">SUM(C50:C53)</f>
        <v>22</v>
      </c>
      <c r="T20" s="17">
        <f t="shared" si="12"/>
        <v>1</v>
      </c>
      <c r="U20" s="17">
        <f t="shared" si="12"/>
        <v>10</v>
      </c>
      <c r="V20" s="17">
        <f t="shared" si="12"/>
        <v>7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2</v>
      </c>
      <c r="AA20" s="17">
        <f t="shared" si="12"/>
        <v>6</v>
      </c>
      <c r="AB20" s="17">
        <f t="shared" si="12"/>
        <v>5</v>
      </c>
      <c r="AC20" s="17">
        <f t="shared" si="12"/>
        <v>176</v>
      </c>
      <c r="AD20" s="17">
        <f t="shared" si="12"/>
        <v>0</v>
      </c>
      <c r="AE20" s="31">
        <f t="shared" si="12"/>
        <v>57</v>
      </c>
      <c r="AF20" s="31">
        <f t="shared" si="12"/>
        <v>233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3</v>
      </c>
      <c r="F21" s="50">
        <v>6</v>
      </c>
      <c r="G21" s="50">
        <v>0</v>
      </c>
      <c r="H21" s="50">
        <v>1</v>
      </c>
      <c r="I21" s="50">
        <v>1</v>
      </c>
      <c r="J21" s="50">
        <v>2</v>
      </c>
      <c r="K21" s="50">
        <v>2</v>
      </c>
      <c r="L21" s="50">
        <v>4</v>
      </c>
      <c r="M21" s="50">
        <v>44</v>
      </c>
      <c r="N21" s="50">
        <v>0</v>
      </c>
      <c r="O21" s="15">
        <f t="shared" si="0"/>
        <v>21</v>
      </c>
      <c r="P21" s="15">
        <f t="shared" si="1"/>
        <v>65</v>
      </c>
      <c r="R21" s="36" t="s">
        <v>20</v>
      </c>
      <c r="S21" s="34">
        <f t="shared" ref="S21:AF21" si="13">SUM(C54:C57)</f>
        <v>27</v>
      </c>
      <c r="T21" s="17">
        <f t="shared" si="13"/>
        <v>2</v>
      </c>
      <c r="U21" s="17">
        <f t="shared" si="13"/>
        <v>24</v>
      </c>
      <c r="V21" s="17">
        <f t="shared" si="13"/>
        <v>16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5</v>
      </c>
      <c r="AA21" s="17">
        <f t="shared" si="13"/>
        <v>7</v>
      </c>
      <c r="AB21" s="17">
        <f t="shared" si="13"/>
        <v>0</v>
      </c>
      <c r="AC21" s="17">
        <f t="shared" si="13"/>
        <v>58</v>
      </c>
      <c r="AD21" s="17">
        <f t="shared" si="13"/>
        <v>0</v>
      </c>
      <c r="AE21" s="31">
        <f t="shared" si="13"/>
        <v>85</v>
      </c>
      <c r="AF21" s="31">
        <f t="shared" si="13"/>
        <v>143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2</v>
      </c>
      <c r="F22" s="50">
        <v>4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1</v>
      </c>
      <c r="M22" s="50">
        <v>52</v>
      </c>
      <c r="N22" s="50">
        <v>0</v>
      </c>
      <c r="O22" s="15">
        <f t="shared" si="0"/>
        <v>9</v>
      </c>
      <c r="P22" s="15">
        <f t="shared" si="1"/>
        <v>61</v>
      </c>
      <c r="R22" s="38" t="s">
        <v>90</v>
      </c>
      <c r="S22" s="39">
        <f>MAX(S10:S12)</f>
        <v>8</v>
      </c>
      <c r="T22" s="39">
        <f t="shared" ref="T22:AF22" si="14">MAX(T10:T12)</f>
        <v>1</v>
      </c>
      <c r="U22" s="39">
        <f t="shared" si="14"/>
        <v>8</v>
      </c>
      <c r="V22" s="39">
        <f t="shared" si="14"/>
        <v>18</v>
      </c>
      <c r="W22" s="39">
        <f t="shared" si="14"/>
        <v>0</v>
      </c>
      <c r="X22" s="39">
        <f t="shared" si="14"/>
        <v>1</v>
      </c>
      <c r="Y22" s="39">
        <f t="shared" si="14"/>
        <v>4</v>
      </c>
      <c r="Z22" s="39">
        <f t="shared" si="14"/>
        <v>3</v>
      </c>
      <c r="AA22" s="39">
        <f t="shared" si="14"/>
        <v>3</v>
      </c>
      <c r="AB22" s="39">
        <f t="shared" si="14"/>
        <v>12</v>
      </c>
      <c r="AC22" s="39">
        <f t="shared" si="14"/>
        <v>163</v>
      </c>
      <c r="AD22" s="39">
        <f t="shared" si="14"/>
        <v>0</v>
      </c>
      <c r="AE22" s="40">
        <f t="shared" si="14"/>
        <v>57</v>
      </c>
      <c r="AF22" s="40">
        <f t="shared" si="14"/>
        <v>220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4</v>
      </c>
      <c r="F23" s="50">
        <v>6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2</v>
      </c>
      <c r="M23" s="50">
        <v>87</v>
      </c>
      <c r="N23" s="50">
        <v>0</v>
      </c>
      <c r="O23" s="15">
        <f t="shared" si="0"/>
        <v>16</v>
      </c>
      <c r="P23" s="15">
        <f t="shared" si="1"/>
        <v>103</v>
      </c>
      <c r="R23" s="38" t="s">
        <v>91</v>
      </c>
      <c r="S23" s="39">
        <f>MAX(S13:S18)</f>
        <v>28</v>
      </c>
      <c r="T23" s="39">
        <f t="shared" ref="T23:AF23" si="15">MAX(T13:T18)</f>
        <v>2</v>
      </c>
      <c r="U23" s="39">
        <f t="shared" si="15"/>
        <v>24</v>
      </c>
      <c r="V23" s="39">
        <f t="shared" si="15"/>
        <v>18</v>
      </c>
      <c r="W23" s="39">
        <f t="shared" si="15"/>
        <v>0</v>
      </c>
      <c r="X23" s="39">
        <f t="shared" si="15"/>
        <v>0</v>
      </c>
      <c r="Y23" s="39">
        <f t="shared" si="15"/>
        <v>9</v>
      </c>
      <c r="Z23" s="39">
        <f t="shared" si="15"/>
        <v>11</v>
      </c>
      <c r="AA23" s="39">
        <f t="shared" si="15"/>
        <v>8</v>
      </c>
      <c r="AB23" s="39">
        <f t="shared" si="15"/>
        <v>10</v>
      </c>
      <c r="AC23" s="39">
        <f t="shared" si="15"/>
        <v>235</v>
      </c>
      <c r="AD23" s="39">
        <f t="shared" si="15"/>
        <v>1</v>
      </c>
      <c r="AE23" s="40">
        <f t="shared" si="15"/>
        <v>81</v>
      </c>
      <c r="AF23" s="40">
        <f t="shared" si="15"/>
        <v>306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2</v>
      </c>
      <c r="F24" s="50">
        <v>3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1</v>
      </c>
      <c r="M24" s="50">
        <v>36</v>
      </c>
      <c r="N24" s="50">
        <v>0</v>
      </c>
      <c r="O24" s="15">
        <f t="shared" si="0"/>
        <v>11</v>
      </c>
      <c r="P24" s="15">
        <f t="shared" si="1"/>
        <v>47</v>
      </c>
      <c r="R24" s="38" t="s">
        <v>92</v>
      </c>
      <c r="S24" s="39">
        <f>MAX(S19:S21)</f>
        <v>27</v>
      </c>
      <c r="T24" s="39">
        <f t="shared" ref="T24:AF24" si="16">MAX(T19:T21)</f>
        <v>2</v>
      </c>
      <c r="U24" s="39">
        <f t="shared" si="16"/>
        <v>24</v>
      </c>
      <c r="V24" s="39">
        <f t="shared" si="16"/>
        <v>16</v>
      </c>
      <c r="W24" s="39">
        <f t="shared" si="16"/>
        <v>0</v>
      </c>
      <c r="X24" s="39">
        <f t="shared" si="16"/>
        <v>0</v>
      </c>
      <c r="Y24" s="39">
        <f t="shared" si="16"/>
        <v>12</v>
      </c>
      <c r="Z24" s="39">
        <f t="shared" si="16"/>
        <v>8</v>
      </c>
      <c r="AA24" s="39">
        <f t="shared" si="16"/>
        <v>7</v>
      </c>
      <c r="AB24" s="39">
        <f t="shared" si="16"/>
        <v>5</v>
      </c>
      <c r="AC24" s="39">
        <f t="shared" si="16"/>
        <v>176</v>
      </c>
      <c r="AD24" s="39">
        <f t="shared" si="16"/>
        <v>0</v>
      </c>
      <c r="AE24" s="40">
        <f t="shared" si="16"/>
        <v>85</v>
      </c>
      <c r="AF24" s="40">
        <f t="shared" si="16"/>
        <v>233</v>
      </c>
    </row>
    <row r="25" spans="2:32" ht="23.1" customHeight="1" x14ac:dyDescent="0.25">
      <c r="B25" s="23" t="s">
        <v>52</v>
      </c>
      <c r="C25" s="50">
        <v>7</v>
      </c>
      <c r="D25" s="50">
        <v>0</v>
      </c>
      <c r="E25" s="50">
        <v>4</v>
      </c>
      <c r="F25" s="50">
        <v>5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2</v>
      </c>
      <c r="M25" s="50">
        <v>60</v>
      </c>
      <c r="N25" s="50">
        <v>0</v>
      </c>
      <c r="O25" s="15">
        <f t="shared" si="0"/>
        <v>20</v>
      </c>
      <c r="P25" s="15">
        <f t="shared" si="1"/>
        <v>80</v>
      </c>
      <c r="R25" s="37" t="s">
        <v>85</v>
      </c>
      <c r="S25" s="35">
        <f t="shared" ref="S25:AF25" si="17">SUM(S10:S12)</f>
        <v>16</v>
      </c>
      <c r="T25" s="16">
        <f t="shared" si="17"/>
        <v>1</v>
      </c>
      <c r="U25" s="16">
        <f t="shared" si="17"/>
        <v>17</v>
      </c>
      <c r="V25" s="16">
        <f t="shared" si="17"/>
        <v>29</v>
      </c>
      <c r="W25" s="16">
        <f t="shared" si="17"/>
        <v>0</v>
      </c>
      <c r="X25" s="16">
        <f t="shared" si="17"/>
        <v>3</v>
      </c>
      <c r="Y25" s="16">
        <f t="shared" si="17"/>
        <v>6</v>
      </c>
      <c r="Z25" s="16">
        <f t="shared" si="17"/>
        <v>3</v>
      </c>
      <c r="AA25" s="16">
        <f t="shared" si="17"/>
        <v>3</v>
      </c>
      <c r="AB25" s="16">
        <f t="shared" si="17"/>
        <v>19</v>
      </c>
      <c r="AC25" s="16">
        <f t="shared" si="17"/>
        <v>322</v>
      </c>
      <c r="AD25" s="16">
        <f t="shared" si="17"/>
        <v>0</v>
      </c>
      <c r="AE25" s="32">
        <f t="shared" si="17"/>
        <v>97</v>
      </c>
      <c r="AF25" s="32">
        <f t="shared" si="17"/>
        <v>419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2</v>
      </c>
      <c r="F26" s="50">
        <v>2</v>
      </c>
      <c r="G26" s="50">
        <v>0</v>
      </c>
      <c r="H26" s="50">
        <v>0</v>
      </c>
      <c r="I26" s="50">
        <v>2</v>
      </c>
      <c r="J26" s="50">
        <v>0</v>
      </c>
      <c r="K26" s="50">
        <v>1</v>
      </c>
      <c r="L26" s="50">
        <v>1</v>
      </c>
      <c r="M26" s="50">
        <v>42</v>
      </c>
      <c r="N26" s="50">
        <v>0</v>
      </c>
      <c r="O26" s="15">
        <f t="shared" si="0"/>
        <v>10</v>
      </c>
      <c r="P26" s="15">
        <f t="shared" si="1"/>
        <v>52</v>
      </c>
      <c r="R26" s="28" t="s">
        <v>86</v>
      </c>
      <c r="S26" s="16">
        <f t="shared" ref="S26:AF26" si="18">SUM(S13:S18)</f>
        <v>105</v>
      </c>
      <c r="T26" s="16">
        <f t="shared" si="18"/>
        <v>6</v>
      </c>
      <c r="U26" s="16">
        <f t="shared" si="18"/>
        <v>87</v>
      </c>
      <c r="V26" s="16">
        <f t="shared" si="18"/>
        <v>60</v>
      </c>
      <c r="W26" s="16">
        <f t="shared" si="18"/>
        <v>0</v>
      </c>
      <c r="X26" s="16">
        <f t="shared" si="18"/>
        <v>0</v>
      </c>
      <c r="Y26" s="16">
        <f t="shared" si="18"/>
        <v>38</v>
      </c>
      <c r="Z26" s="16">
        <f t="shared" si="18"/>
        <v>26</v>
      </c>
      <c r="AA26" s="16">
        <f t="shared" si="18"/>
        <v>10</v>
      </c>
      <c r="AB26" s="16">
        <f t="shared" si="18"/>
        <v>29</v>
      </c>
      <c r="AC26" s="16">
        <f t="shared" si="18"/>
        <v>1117</v>
      </c>
      <c r="AD26" s="16">
        <f t="shared" si="18"/>
        <v>1</v>
      </c>
      <c r="AE26" s="32">
        <f t="shared" si="18"/>
        <v>362</v>
      </c>
      <c r="AF26" s="32">
        <f t="shared" si="18"/>
        <v>1479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4</v>
      </c>
      <c r="F27" s="50">
        <v>3</v>
      </c>
      <c r="G27" s="50">
        <v>0</v>
      </c>
      <c r="H27" s="50">
        <v>0</v>
      </c>
      <c r="I27" s="50">
        <v>4</v>
      </c>
      <c r="J27" s="50">
        <v>0</v>
      </c>
      <c r="K27" s="50">
        <v>2</v>
      </c>
      <c r="L27" s="50">
        <v>2</v>
      </c>
      <c r="M27" s="50">
        <v>70</v>
      </c>
      <c r="N27" s="50">
        <v>0</v>
      </c>
      <c r="O27" s="15">
        <f t="shared" si="0"/>
        <v>18</v>
      </c>
      <c r="P27" s="15">
        <f t="shared" si="1"/>
        <v>88</v>
      </c>
      <c r="R27" s="29" t="s">
        <v>87</v>
      </c>
      <c r="S27" s="16">
        <f t="shared" ref="S27:AF27" si="19">SUM(S19:S21)</f>
        <v>65</v>
      </c>
      <c r="T27" s="16">
        <f t="shared" si="19"/>
        <v>4</v>
      </c>
      <c r="U27" s="16">
        <f t="shared" si="19"/>
        <v>42</v>
      </c>
      <c r="V27" s="16">
        <f t="shared" si="19"/>
        <v>36</v>
      </c>
      <c r="W27" s="16">
        <f t="shared" si="19"/>
        <v>0</v>
      </c>
      <c r="X27" s="16">
        <f t="shared" si="19"/>
        <v>0</v>
      </c>
      <c r="Y27" s="16">
        <f t="shared" si="19"/>
        <v>20</v>
      </c>
      <c r="Z27" s="16">
        <f t="shared" si="19"/>
        <v>15</v>
      </c>
      <c r="AA27" s="16">
        <f t="shared" si="19"/>
        <v>15</v>
      </c>
      <c r="AB27" s="16">
        <f t="shared" si="19"/>
        <v>9</v>
      </c>
      <c r="AC27" s="16">
        <f t="shared" si="19"/>
        <v>375</v>
      </c>
      <c r="AD27" s="16">
        <f t="shared" si="19"/>
        <v>0</v>
      </c>
      <c r="AE27" s="32">
        <f t="shared" si="19"/>
        <v>206</v>
      </c>
      <c r="AF27" s="32">
        <f t="shared" si="19"/>
        <v>581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5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2</v>
      </c>
      <c r="L28" s="50">
        <v>3</v>
      </c>
      <c r="M28" s="50">
        <v>45</v>
      </c>
      <c r="N28" s="50">
        <v>0</v>
      </c>
      <c r="O28" s="15">
        <f t="shared" si="0"/>
        <v>13</v>
      </c>
      <c r="P28" s="15">
        <f t="shared" si="1"/>
        <v>58</v>
      </c>
      <c r="R28" s="5" t="s">
        <v>17</v>
      </c>
      <c r="S28" s="16">
        <f t="shared" ref="S28:AF28" si="20">SUM(S10:S21)</f>
        <v>186</v>
      </c>
      <c r="T28" s="16">
        <f t="shared" si="20"/>
        <v>11</v>
      </c>
      <c r="U28" s="16">
        <f t="shared" si="20"/>
        <v>146</v>
      </c>
      <c r="V28" s="16">
        <f t="shared" si="20"/>
        <v>125</v>
      </c>
      <c r="W28" s="16">
        <f t="shared" si="20"/>
        <v>0</v>
      </c>
      <c r="X28" s="16">
        <f t="shared" si="20"/>
        <v>3</v>
      </c>
      <c r="Y28" s="16">
        <f t="shared" si="20"/>
        <v>64</v>
      </c>
      <c r="Z28" s="16">
        <f t="shared" si="20"/>
        <v>44</v>
      </c>
      <c r="AA28" s="16">
        <f t="shared" si="20"/>
        <v>28</v>
      </c>
      <c r="AB28" s="16">
        <f t="shared" si="20"/>
        <v>57</v>
      </c>
      <c r="AC28" s="16">
        <f t="shared" si="20"/>
        <v>1814</v>
      </c>
      <c r="AD28" s="16">
        <f t="shared" si="20"/>
        <v>1</v>
      </c>
      <c r="AE28" s="32">
        <f t="shared" si="20"/>
        <v>665</v>
      </c>
      <c r="AF28" s="32">
        <f t="shared" si="20"/>
        <v>2479</v>
      </c>
    </row>
    <row r="29" spans="2:32" ht="23.1" customHeight="1" x14ac:dyDescent="0.25">
      <c r="B29" s="23" t="s">
        <v>56</v>
      </c>
      <c r="C29" s="50">
        <v>4</v>
      </c>
      <c r="D29" s="50">
        <v>1</v>
      </c>
      <c r="E29" s="50">
        <v>8</v>
      </c>
      <c r="F29" s="50">
        <v>1</v>
      </c>
      <c r="G29" s="50">
        <v>0</v>
      </c>
      <c r="H29" s="50">
        <v>0</v>
      </c>
      <c r="I29" s="50">
        <v>2</v>
      </c>
      <c r="J29" s="50">
        <v>0</v>
      </c>
      <c r="K29" s="50">
        <v>3</v>
      </c>
      <c r="L29" s="50">
        <v>4</v>
      </c>
      <c r="M29" s="50">
        <v>75</v>
      </c>
      <c r="N29" s="50">
        <v>1</v>
      </c>
      <c r="O29" s="15">
        <f t="shared" si="0"/>
        <v>24</v>
      </c>
      <c r="P29" s="15">
        <f t="shared" si="1"/>
        <v>99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0</v>
      </c>
      <c r="E30" s="50">
        <v>3</v>
      </c>
      <c r="F30" s="50">
        <v>4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1</v>
      </c>
      <c r="M30" s="50">
        <v>36</v>
      </c>
      <c r="N30" s="50">
        <v>0</v>
      </c>
      <c r="O30" s="15">
        <f t="shared" si="0"/>
        <v>13</v>
      </c>
      <c r="P30" s="15">
        <f t="shared" si="1"/>
        <v>49</v>
      </c>
    </row>
    <row r="31" spans="2:32" ht="23.1" customHeight="1" x14ac:dyDescent="0.25">
      <c r="B31" s="24" t="s">
        <v>58</v>
      </c>
      <c r="C31" s="50">
        <v>9</v>
      </c>
      <c r="D31" s="50">
        <v>1</v>
      </c>
      <c r="E31" s="50">
        <v>4</v>
      </c>
      <c r="F31" s="50">
        <v>6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2</v>
      </c>
      <c r="M31" s="50">
        <v>60</v>
      </c>
      <c r="N31" s="50">
        <v>0</v>
      </c>
      <c r="O31" s="15">
        <f t="shared" si="0"/>
        <v>24</v>
      </c>
      <c r="P31" s="15">
        <f t="shared" si="1"/>
        <v>84</v>
      </c>
    </row>
    <row r="32" spans="2:32" ht="23.1" customHeight="1" x14ac:dyDescent="0.25">
      <c r="B32" s="24" t="s">
        <v>59</v>
      </c>
      <c r="C32" s="50">
        <v>5</v>
      </c>
      <c r="D32" s="50">
        <v>0</v>
      </c>
      <c r="E32" s="50">
        <v>4</v>
      </c>
      <c r="F32" s="50">
        <v>1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34</v>
      </c>
      <c r="N32" s="50">
        <v>0</v>
      </c>
      <c r="O32" s="15">
        <f t="shared" si="0"/>
        <v>12</v>
      </c>
      <c r="P32" s="15">
        <f t="shared" si="1"/>
        <v>46</v>
      </c>
    </row>
    <row r="33" spans="2:20" ht="23.1" customHeight="1" x14ac:dyDescent="0.25">
      <c r="B33" s="23" t="s">
        <v>60</v>
      </c>
      <c r="C33" s="50">
        <v>9</v>
      </c>
      <c r="D33" s="50">
        <v>1</v>
      </c>
      <c r="E33" s="50">
        <v>6</v>
      </c>
      <c r="F33" s="50">
        <v>2</v>
      </c>
      <c r="G33" s="50">
        <v>0</v>
      </c>
      <c r="H33" s="50">
        <v>0</v>
      </c>
      <c r="I33" s="50">
        <v>2</v>
      </c>
      <c r="J33" s="50">
        <v>2</v>
      </c>
      <c r="K33" s="50">
        <v>0</v>
      </c>
      <c r="L33" s="50">
        <v>0</v>
      </c>
      <c r="M33" s="50">
        <v>56</v>
      </c>
      <c r="N33" s="50">
        <v>0</v>
      </c>
      <c r="O33" s="15">
        <f t="shared" si="0"/>
        <v>22</v>
      </c>
      <c r="P33" s="15">
        <f t="shared" si="1"/>
        <v>78</v>
      </c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7</v>
      </c>
      <c r="F34" s="50">
        <v>4</v>
      </c>
      <c r="G34" s="50">
        <v>0</v>
      </c>
      <c r="H34" s="50">
        <v>0</v>
      </c>
      <c r="I34" s="50">
        <v>2</v>
      </c>
      <c r="J34" s="50">
        <v>2</v>
      </c>
      <c r="K34" s="50">
        <v>0</v>
      </c>
      <c r="L34" s="50">
        <v>2</v>
      </c>
      <c r="M34" s="50">
        <v>53</v>
      </c>
      <c r="N34" s="50">
        <v>0</v>
      </c>
      <c r="O34" s="15">
        <f t="shared" si="0"/>
        <v>21</v>
      </c>
      <c r="P34" s="15">
        <f t="shared" si="1"/>
        <v>74</v>
      </c>
    </row>
    <row r="35" spans="2:20" ht="23.1" customHeight="1" x14ac:dyDescent="0.25">
      <c r="B35" s="24" t="s">
        <v>62</v>
      </c>
      <c r="C35" s="50">
        <v>7</v>
      </c>
      <c r="D35" s="50">
        <v>1</v>
      </c>
      <c r="E35" s="50">
        <v>10</v>
      </c>
      <c r="F35" s="50">
        <v>6</v>
      </c>
      <c r="G35" s="50">
        <v>0</v>
      </c>
      <c r="H35" s="50">
        <v>0</v>
      </c>
      <c r="I35" s="50">
        <v>3</v>
      </c>
      <c r="J35" s="50">
        <v>3</v>
      </c>
      <c r="K35" s="50">
        <v>0</v>
      </c>
      <c r="L35" s="50">
        <v>3</v>
      </c>
      <c r="M35" s="50">
        <v>87</v>
      </c>
      <c r="N35" s="50">
        <v>0</v>
      </c>
      <c r="O35" s="15">
        <f t="shared" si="0"/>
        <v>33</v>
      </c>
      <c r="P35" s="15">
        <f t="shared" si="1"/>
        <v>120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3</v>
      </c>
      <c r="F36" s="50">
        <v>2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32</v>
      </c>
      <c r="N36" s="50">
        <v>0</v>
      </c>
      <c r="O36" s="15">
        <f t="shared" si="0"/>
        <v>9</v>
      </c>
      <c r="P36" s="15">
        <f t="shared" si="1"/>
        <v>41</v>
      </c>
    </row>
    <row r="37" spans="2:20" ht="23.1" customHeight="1" x14ac:dyDescent="0.25">
      <c r="B37" s="23" t="s">
        <v>64</v>
      </c>
      <c r="C37" s="50">
        <v>4</v>
      </c>
      <c r="D37" s="50">
        <v>1</v>
      </c>
      <c r="E37" s="50">
        <v>4</v>
      </c>
      <c r="F37" s="50">
        <v>3</v>
      </c>
      <c r="G37" s="50">
        <v>0</v>
      </c>
      <c r="H37" s="50">
        <v>0</v>
      </c>
      <c r="I37" s="50">
        <v>2</v>
      </c>
      <c r="J37" s="50">
        <v>2</v>
      </c>
      <c r="K37" s="50">
        <v>1</v>
      </c>
      <c r="L37" s="50">
        <v>1</v>
      </c>
      <c r="M37" s="50">
        <v>53</v>
      </c>
      <c r="N37" s="50">
        <v>0</v>
      </c>
      <c r="O37" s="15">
        <f t="shared" si="0"/>
        <v>18</v>
      </c>
      <c r="P37" s="15">
        <f t="shared" si="1"/>
        <v>71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3</v>
      </c>
      <c r="F38" s="50">
        <v>1</v>
      </c>
      <c r="G38" s="50">
        <v>0</v>
      </c>
      <c r="H38" s="50">
        <v>0</v>
      </c>
      <c r="I38" s="50">
        <v>2</v>
      </c>
      <c r="J38" s="50">
        <v>2</v>
      </c>
      <c r="K38" s="50">
        <v>0</v>
      </c>
      <c r="L38" s="50">
        <v>1</v>
      </c>
      <c r="M38" s="50">
        <v>31</v>
      </c>
      <c r="N38" s="50">
        <v>0</v>
      </c>
      <c r="O38" s="15">
        <f t="shared" si="0"/>
        <v>14</v>
      </c>
      <c r="P38" s="15">
        <f t="shared" si="1"/>
        <v>45</v>
      </c>
    </row>
    <row r="39" spans="2:20" ht="23.1" customHeight="1" x14ac:dyDescent="0.25">
      <c r="B39" s="24" t="s">
        <v>66</v>
      </c>
      <c r="C39" s="50">
        <v>9</v>
      </c>
      <c r="D39" s="50">
        <v>1</v>
      </c>
      <c r="E39" s="50">
        <v>4</v>
      </c>
      <c r="F39" s="50">
        <v>2</v>
      </c>
      <c r="G39" s="50">
        <v>0</v>
      </c>
      <c r="H39" s="50">
        <v>0</v>
      </c>
      <c r="I39" s="50">
        <v>3</v>
      </c>
      <c r="J39" s="50">
        <v>4</v>
      </c>
      <c r="K39" s="50">
        <v>0</v>
      </c>
      <c r="L39" s="50">
        <v>2</v>
      </c>
      <c r="M39" s="50">
        <v>51</v>
      </c>
      <c r="N39" s="50">
        <v>0</v>
      </c>
      <c r="O39" s="15">
        <f t="shared" si="0"/>
        <v>25</v>
      </c>
      <c r="P39" s="15">
        <f t="shared" si="1"/>
        <v>76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2</v>
      </c>
      <c r="F40" s="50">
        <v>0</v>
      </c>
      <c r="G40" s="50">
        <v>0</v>
      </c>
      <c r="H40" s="50">
        <v>0</v>
      </c>
      <c r="I40" s="50">
        <v>0</v>
      </c>
      <c r="J40" s="50">
        <v>2</v>
      </c>
      <c r="K40" s="50">
        <v>0</v>
      </c>
      <c r="L40" s="50">
        <v>0</v>
      </c>
      <c r="M40" s="50">
        <v>12</v>
      </c>
      <c r="N40" s="50">
        <v>0</v>
      </c>
      <c r="O40" s="15">
        <f t="shared" si="0"/>
        <v>4</v>
      </c>
      <c r="P40" s="15">
        <f t="shared" si="1"/>
        <v>16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4</v>
      </c>
      <c r="F41" s="50">
        <v>1</v>
      </c>
      <c r="G41" s="50">
        <v>0</v>
      </c>
      <c r="H41" s="50">
        <v>0</v>
      </c>
      <c r="I41" s="50">
        <v>0</v>
      </c>
      <c r="J41" s="50">
        <v>3</v>
      </c>
      <c r="K41" s="50">
        <v>0</v>
      </c>
      <c r="L41" s="50">
        <v>0</v>
      </c>
      <c r="M41" s="50">
        <v>20</v>
      </c>
      <c r="N41" s="50">
        <v>0</v>
      </c>
      <c r="O41" s="15">
        <f t="shared" si="0"/>
        <v>8</v>
      </c>
      <c r="P41" s="15">
        <f t="shared" si="1"/>
        <v>28</v>
      </c>
    </row>
    <row r="42" spans="2:20" ht="23.1" customHeight="1" x14ac:dyDescent="0.25">
      <c r="B42" s="24" t="s">
        <v>69</v>
      </c>
      <c r="C42" s="50">
        <v>4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27</v>
      </c>
      <c r="N42" s="50">
        <v>0</v>
      </c>
      <c r="O42" s="15">
        <f t="shared" si="0"/>
        <v>8</v>
      </c>
      <c r="P42" s="15">
        <f t="shared" si="1"/>
        <v>35</v>
      </c>
    </row>
    <row r="43" spans="2:20" ht="23.1" customHeight="1" x14ac:dyDescent="0.25">
      <c r="B43" s="23" t="s">
        <v>70</v>
      </c>
      <c r="C43" s="50">
        <v>7</v>
      </c>
      <c r="D43" s="50">
        <v>0</v>
      </c>
      <c r="E43" s="50">
        <v>1</v>
      </c>
      <c r="F43" s="50">
        <v>2</v>
      </c>
      <c r="G43" s="50">
        <v>0</v>
      </c>
      <c r="H43" s="50">
        <v>0</v>
      </c>
      <c r="I43" s="50">
        <v>5</v>
      </c>
      <c r="J43" s="50">
        <v>0</v>
      </c>
      <c r="K43" s="50">
        <v>1</v>
      </c>
      <c r="L43" s="50">
        <v>1</v>
      </c>
      <c r="M43" s="50">
        <v>45</v>
      </c>
      <c r="N43" s="50">
        <v>0</v>
      </c>
      <c r="O43" s="15">
        <f t="shared" si="0"/>
        <v>17</v>
      </c>
      <c r="P43" s="15">
        <f t="shared" si="1"/>
        <v>62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20</v>
      </c>
      <c r="N44" s="50">
        <v>0</v>
      </c>
      <c r="O44" s="15">
        <f t="shared" si="0"/>
        <v>4</v>
      </c>
      <c r="P44" s="15">
        <f t="shared" si="1"/>
        <v>24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2</v>
      </c>
      <c r="K45" s="50">
        <v>0</v>
      </c>
      <c r="L45" s="50">
        <v>0</v>
      </c>
      <c r="M45" s="50">
        <v>33</v>
      </c>
      <c r="N45" s="50">
        <v>0</v>
      </c>
      <c r="O45" s="15">
        <f t="shared" si="0"/>
        <v>9</v>
      </c>
      <c r="P45" s="15">
        <f t="shared" si="1"/>
        <v>42</v>
      </c>
    </row>
    <row r="46" spans="2:20" ht="23.1" customHeight="1" x14ac:dyDescent="0.25">
      <c r="B46" s="24" t="s">
        <v>73</v>
      </c>
      <c r="C46" s="50">
        <v>4</v>
      </c>
      <c r="D46" s="50">
        <v>0</v>
      </c>
      <c r="E46" s="50">
        <v>0</v>
      </c>
      <c r="F46" s="50">
        <v>4</v>
      </c>
      <c r="G46" s="50">
        <v>0</v>
      </c>
      <c r="H46" s="50">
        <v>0</v>
      </c>
      <c r="I46" s="50">
        <v>4</v>
      </c>
      <c r="J46" s="50">
        <v>1</v>
      </c>
      <c r="K46" s="50">
        <v>0</v>
      </c>
      <c r="L46" s="50">
        <v>1</v>
      </c>
      <c r="M46" s="50">
        <v>29</v>
      </c>
      <c r="N46" s="50">
        <v>0</v>
      </c>
      <c r="O46" s="15">
        <f t="shared" si="0"/>
        <v>14</v>
      </c>
      <c r="P46" s="15">
        <f t="shared" si="1"/>
        <v>43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0</v>
      </c>
      <c r="E47" s="50">
        <v>1</v>
      </c>
      <c r="F47" s="50">
        <v>6</v>
      </c>
      <c r="G47" s="50">
        <v>0</v>
      </c>
      <c r="H47" s="50">
        <v>0</v>
      </c>
      <c r="I47" s="50">
        <v>7</v>
      </c>
      <c r="J47" s="50">
        <v>2</v>
      </c>
      <c r="K47" s="50">
        <v>1</v>
      </c>
      <c r="L47" s="50">
        <v>2</v>
      </c>
      <c r="M47" s="50">
        <v>48</v>
      </c>
      <c r="N47" s="50">
        <v>0</v>
      </c>
      <c r="O47" s="15">
        <f t="shared" si="0"/>
        <v>25</v>
      </c>
      <c r="P47" s="15">
        <f t="shared" si="1"/>
        <v>73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3</v>
      </c>
      <c r="F48" s="50">
        <v>1</v>
      </c>
      <c r="G48" s="50">
        <v>0</v>
      </c>
      <c r="H48" s="50">
        <v>0</v>
      </c>
      <c r="I48" s="50">
        <v>0</v>
      </c>
      <c r="J48" s="50">
        <v>2</v>
      </c>
      <c r="K48" s="50">
        <v>0</v>
      </c>
      <c r="L48" s="50">
        <v>0</v>
      </c>
      <c r="M48" s="50">
        <v>24</v>
      </c>
      <c r="N48" s="50">
        <v>0</v>
      </c>
      <c r="O48" s="15">
        <f t="shared" si="0"/>
        <v>8</v>
      </c>
      <c r="P48" s="15">
        <f t="shared" si="1"/>
        <v>32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1</v>
      </c>
      <c r="E49" s="50">
        <v>4</v>
      </c>
      <c r="F49" s="50">
        <v>2</v>
      </c>
      <c r="G49" s="50">
        <v>0</v>
      </c>
      <c r="H49" s="50">
        <v>0</v>
      </c>
      <c r="I49" s="50">
        <v>1</v>
      </c>
      <c r="J49" s="50">
        <v>3</v>
      </c>
      <c r="K49" s="50">
        <v>1</v>
      </c>
      <c r="L49" s="50">
        <v>1</v>
      </c>
      <c r="M49" s="50">
        <v>40</v>
      </c>
      <c r="N49" s="50">
        <v>0</v>
      </c>
      <c r="O49" s="15">
        <f t="shared" si="0"/>
        <v>17</v>
      </c>
      <c r="P49" s="15">
        <f t="shared" si="1"/>
        <v>57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3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2</v>
      </c>
      <c r="M50" s="50">
        <v>36</v>
      </c>
      <c r="N50" s="50">
        <v>0</v>
      </c>
      <c r="O50" s="15">
        <f t="shared" si="0"/>
        <v>11</v>
      </c>
      <c r="P50" s="15">
        <f t="shared" si="1"/>
        <v>47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1</v>
      </c>
      <c r="E51" s="50">
        <v>4</v>
      </c>
      <c r="F51" s="50">
        <v>4</v>
      </c>
      <c r="G51" s="50">
        <v>0</v>
      </c>
      <c r="H51" s="50">
        <v>0</v>
      </c>
      <c r="I51" s="50">
        <v>1</v>
      </c>
      <c r="J51" s="50">
        <v>1</v>
      </c>
      <c r="K51" s="50">
        <v>2</v>
      </c>
      <c r="L51" s="50">
        <v>3</v>
      </c>
      <c r="M51" s="50">
        <v>60</v>
      </c>
      <c r="N51" s="50">
        <v>0</v>
      </c>
      <c r="O51" s="15">
        <f t="shared" si="0"/>
        <v>21</v>
      </c>
      <c r="P51" s="15">
        <f t="shared" si="1"/>
        <v>81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1</v>
      </c>
      <c r="L52" s="50">
        <v>0</v>
      </c>
      <c r="M52" s="50">
        <v>30</v>
      </c>
      <c r="N52" s="50">
        <v>0</v>
      </c>
      <c r="O52" s="15">
        <f t="shared" si="0"/>
        <v>8</v>
      </c>
      <c r="P52" s="15">
        <f t="shared" si="1"/>
        <v>38</v>
      </c>
      <c r="R52" s="8"/>
      <c r="T52"/>
    </row>
    <row r="53" spans="2:20" ht="23.1" customHeight="1" x14ac:dyDescent="0.25">
      <c r="B53" s="23" t="s">
        <v>80</v>
      </c>
      <c r="C53" s="50">
        <v>9</v>
      </c>
      <c r="D53" s="50">
        <v>0</v>
      </c>
      <c r="E53" s="50">
        <v>2</v>
      </c>
      <c r="F53" s="50">
        <v>1</v>
      </c>
      <c r="G53" s="50">
        <v>0</v>
      </c>
      <c r="H53" s="50">
        <v>0</v>
      </c>
      <c r="I53" s="50">
        <v>2</v>
      </c>
      <c r="J53" s="50">
        <v>1</v>
      </c>
      <c r="K53" s="50">
        <v>2</v>
      </c>
      <c r="L53" s="50">
        <v>0</v>
      </c>
      <c r="M53" s="50">
        <v>50</v>
      </c>
      <c r="N53" s="50">
        <v>0</v>
      </c>
      <c r="O53" s="15">
        <f t="shared" si="0"/>
        <v>17</v>
      </c>
      <c r="P53" s="15">
        <f t="shared" si="1"/>
        <v>67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0</v>
      </c>
      <c r="E54" s="50">
        <v>7</v>
      </c>
      <c r="F54" s="50">
        <v>5</v>
      </c>
      <c r="G54" s="50">
        <v>0</v>
      </c>
      <c r="H54" s="50">
        <v>0</v>
      </c>
      <c r="I54" s="50">
        <v>0</v>
      </c>
      <c r="J54" s="50">
        <v>2</v>
      </c>
      <c r="K54" s="50">
        <v>2</v>
      </c>
      <c r="L54" s="50">
        <v>0</v>
      </c>
      <c r="M54" s="50">
        <v>9</v>
      </c>
      <c r="N54" s="50">
        <v>0</v>
      </c>
      <c r="O54" s="15">
        <f t="shared" si="0"/>
        <v>21</v>
      </c>
      <c r="P54" s="15">
        <f t="shared" si="1"/>
        <v>30</v>
      </c>
      <c r="R54" s="8"/>
      <c r="T54"/>
    </row>
    <row r="55" spans="2:20" ht="23.1" customHeight="1" x14ac:dyDescent="0.25">
      <c r="B55" s="23" t="s">
        <v>82</v>
      </c>
      <c r="C55" s="50">
        <v>9</v>
      </c>
      <c r="D55" s="50">
        <v>1</v>
      </c>
      <c r="E55" s="50">
        <v>10</v>
      </c>
      <c r="F55" s="50">
        <v>8</v>
      </c>
      <c r="G55" s="50">
        <v>0</v>
      </c>
      <c r="H55" s="50">
        <v>0</v>
      </c>
      <c r="I55" s="50">
        <v>1</v>
      </c>
      <c r="J55" s="50">
        <v>3</v>
      </c>
      <c r="K55" s="50">
        <v>4</v>
      </c>
      <c r="L55" s="50">
        <v>0</v>
      </c>
      <c r="M55" s="50">
        <v>15</v>
      </c>
      <c r="N55" s="50">
        <v>0</v>
      </c>
      <c r="O55" s="15">
        <f t="shared" si="0"/>
        <v>36</v>
      </c>
      <c r="P55" s="15">
        <f t="shared" si="1"/>
        <v>51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0</v>
      </c>
      <c r="E56" s="50">
        <v>3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13</v>
      </c>
      <c r="N56" s="50">
        <v>0</v>
      </c>
      <c r="O56" s="15">
        <f t="shared" si="0"/>
        <v>10</v>
      </c>
      <c r="P56" s="15">
        <f t="shared" si="1"/>
        <v>23</v>
      </c>
      <c r="R56" s="8"/>
      <c r="T56"/>
    </row>
    <row r="57" spans="2:20" ht="23.1" customHeight="1" x14ac:dyDescent="0.25">
      <c r="B57" s="23" t="s">
        <v>84</v>
      </c>
      <c r="C57" s="50">
        <v>8</v>
      </c>
      <c r="D57" s="50">
        <v>1</v>
      </c>
      <c r="E57" s="50">
        <v>4</v>
      </c>
      <c r="F57" s="50">
        <v>2</v>
      </c>
      <c r="G57" s="50">
        <v>0</v>
      </c>
      <c r="H57" s="50">
        <v>0</v>
      </c>
      <c r="I57" s="50">
        <v>2</v>
      </c>
      <c r="J57" s="50">
        <v>0</v>
      </c>
      <c r="K57" s="50">
        <v>1</v>
      </c>
      <c r="L57" s="50">
        <v>0</v>
      </c>
      <c r="M57" s="50">
        <v>21</v>
      </c>
      <c r="N57" s="50">
        <v>0</v>
      </c>
      <c r="O57" s="15">
        <f t="shared" si="0"/>
        <v>18</v>
      </c>
      <c r="P57" s="15">
        <f t="shared" si="1"/>
        <v>39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186</v>
      </c>
      <c r="D58" s="16">
        <f t="shared" si="21"/>
        <v>11</v>
      </c>
      <c r="E58" s="16">
        <f t="shared" si="21"/>
        <v>146</v>
      </c>
      <c r="F58" s="16">
        <f t="shared" si="21"/>
        <v>125</v>
      </c>
      <c r="G58" s="16">
        <f t="shared" si="21"/>
        <v>0</v>
      </c>
      <c r="H58" s="16">
        <f t="shared" si="21"/>
        <v>3</v>
      </c>
      <c r="I58" s="16">
        <f t="shared" si="21"/>
        <v>64</v>
      </c>
      <c r="J58" s="16">
        <f t="shared" si="21"/>
        <v>44</v>
      </c>
      <c r="K58" s="16">
        <f t="shared" si="21"/>
        <v>28</v>
      </c>
      <c r="L58" s="16">
        <f t="shared" si="21"/>
        <v>57</v>
      </c>
      <c r="M58" s="16">
        <f t="shared" si="21"/>
        <v>1814</v>
      </c>
      <c r="N58" s="16">
        <f t="shared" si="21"/>
        <v>1</v>
      </c>
      <c r="O58" s="16">
        <f t="shared" si="21"/>
        <v>665</v>
      </c>
      <c r="P58" s="16">
        <f t="shared" si="21"/>
        <v>2479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7.5030254134731744E-2</v>
      </c>
      <c r="D59" s="43">
        <f t="shared" si="22"/>
        <v>4.4372730939895117E-3</v>
      </c>
      <c r="E59" s="43">
        <f t="shared" si="22"/>
        <v>5.8894715611133519E-2</v>
      </c>
      <c r="F59" s="43">
        <f t="shared" si="22"/>
        <v>5.0423557886244454E-2</v>
      </c>
      <c r="G59" s="43">
        <f t="shared" si="22"/>
        <v>0</v>
      </c>
      <c r="H59" s="43">
        <f t="shared" si="22"/>
        <v>1.2101653892698668E-3</v>
      </c>
      <c r="I59" s="43">
        <f t="shared" si="22"/>
        <v>2.581686163775716E-2</v>
      </c>
      <c r="J59" s="43">
        <f t="shared" si="22"/>
        <v>1.7749092375958047E-2</v>
      </c>
      <c r="K59" s="43">
        <f t="shared" si="22"/>
        <v>1.1294876966518758E-2</v>
      </c>
      <c r="L59" s="43">
        <f t="shared" si="22"/>
        <v>2.2993142396127472E-2</v>
      </c>
      <c r="M59" s="43">
        <f t="shared" si="22"/>
        <v>0.73174667204517951</v>
      </c>
      <c r="N59" s="43">
        <f t="shared" si="22"/>
        <v>4.0338846308995562E-4</v>
      </c>
      <c r="R59" s="8"/>
      <c r="T59"/>
    </row>
    <row r="60" spans="2:20" ht="23.1" customHeight="1" x14ac:dyDescent="0.25">
      <c r="B60" s="42" t="s">
        <v>94</v>
      </c>
      <c r="C60" s="44">
        <f>C58/$O$58</f>
        <v>0.27969924812030073</v>
      </c>
      <c r="D60" s="44">
        <f t="shared" ref="D60:N60" si="23">D58/$O$58</f>
        <v>1.6541353383458645E-2</v>
      </c>
      <c r="E60" s="44">
        <f t="shared" si="23"/>
        <v>0.21954887218045113</v>
      </c>
      <c r="F60" s="44">
        <f t="shared" si="23"/>
        <v>0.18796992481203006</v>
      </c>
      <c r="G60" s="44">
        <f t="shared" si="23"/>
        <v>0</v>
      </c>
      <c r="H60" s="44">
        <f t="shared" si="23"/>
        <v>4.5112781954887221E-3</v>
      </c>
      <c r="I60" s="44">
        <f t="shared" si="23"/>
        <v>9.6240601503759404E-2</v>
      </c>
      <c r="J60" s="44">
        <f t="shared" si="23"/>
        <v>6.616541353383458E-2</v>
      </c>
      <c r="K60" s="44">
        <f t="shared" si="23"/>
        <v>4.2105263157894736E-2</v>
      </c>
      <c r="L60" s="44">
        <f t="shared" si="23"/>
        <v>8.5714285714285715E-2</v>
      </c>
      <c r="M60" s="44"/>
      <c r="N60" s="44">
        <f t="shared" si="23"/>
        <v>1.5037593984962407E-3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L58" zoomScale="60" workbookViewId="0">
      <selection activeCell="AA77" sqref="AA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'13.09 Katungulu-Ishaka'!C3:G3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163</v>
      </c>
      <c r="E5" s="67"/>
      <c r="F5" s="41" t="s">
        <v>1</v>
      </c>
      <c r="G5" s="56" t="str">
        <f>'13.09 Ishaka-Katungulu'!G5:H5</f>
        <v>Rubirizi</v>
      </c>
      <c r="H5" s="57"/>
      <c r="I5" s="14"/>
      <c r="J5" s="2" t="s">
        <v>5</v>
      </c>
      <c r="K5" s="56" t="str">
        <f>'13.09 Ishaka-Katungulu'!K5:L5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'13.09 Ishaka-Katungulu'!D6:E6</f>
        <v>Ishaka</v>
      </c>
      <c r="E6" s="57"/>
      <c r="F6" s="2" t="s">
        <v>2</v>
      </c>
      <c r="G6" s="56" t="str">
        <f>'13.09 Ishaka-Katungulu'!G6:H6</f>
        <v>Katungulu</v>
      </c>
      <c r="H6" s="57"/>
      <c r="J6" s="2" t="s">
        <v>21</v>
      </c>
      <c r="K6" s="56" t="str">
        <f>'13.09 Ishaka-Katungulu'!K6:L6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AVERAGE('09.09 Ishaka-Katungulu'!C10,'10.09 Ishaka-Katungulu'!C10,'11.09 Ishaka-Katungulu'!C10,'12.09 Ishaka-Katungulu'!C10,'07.09. Ishaka-Katungulu-24h'!C10,'08.09 Ishaka-Katungulu-24h'!C10,'13.09 Ishaka-Katungulu'!C10)</f>
        <v>0.8571428571428571</v>
      </c>
      <c r="D10" s="49">
        <f>AVERAGE('09.09 Ishaka-Katungulu'!D10,'10.09 Ishaka-Katungulu'!D10,'11.09 Ishaka-Katungulu'!D10,'12.09 Ishaka-Katungulu'!D10,'07.09. Ishaka-Katungulu-24h'!D10,'08.09 Ishaka-Katungulu-24h'!D10,'13.09 Ishaka-Katungulu'!D10)</f>
        <v>0</v>
      </c>
      <c r="E10" s="49">
        <f>AVERAGE('09.09 Ishaka-Katungulu'!E10,'10.09 Ishaka-Katungulu'!E10,'11.09 Ishaka-Katungulu'!E10,'12.09 Ishaka-Katungulu'!E10,'07.09. Ishaka-Katungulu-24h'!E10,'08.09 Ishaka-Katungulu-24h'!E10,'13.09 Ishaka-Katungulu'!E10)</f>
        <v>0.42857142857142855</v>
      </c>
      <c r="F10" s="49">
        <f>AVERAGE('09.09 Ishaka-Katungulu'!F10,'10.09 Ishaka-Katungulu'!F10,'11.09 Ishaka-Katungulu'!F10,'12.09 Ishaka-Katungulu'!F10,'07.09. Ishaka-Katungulu-24h'!F10,'08.09 Ishaka-Katungulu-24h'!F10,'13.09 Ishaka-Katungulu'!F10)</f>
        <v>0.8571428571428571</v>
      </c>
      <c r="G10" s="49">
        <f>AVERAGE('09.09 Ishaka-Katungulu'!G10,'10.09 Ishaka-Katungulu'!G10,'11.09 Ishaka-Katungulu'!G10,'12.09 Ishaka-Katungulu'!G10,'07.09. Ishaka-Katungulu-24h'!G10,'08.09 Ishaka-Katungulu-24h'!G10,'13.09 Ishaka-Katungulu'!G10)</f>
        <v>0</v>
      </c>
      <c r="H10" s="49">
        <f>AVERAGE('09.09 Ishaka-Katungulu'!H10,'10.09 Ishaka-Katungulu'!H10,'11.09 Ishaka-Katungulu'!H10,'12.09 Ishaka-Katungulu'!H10,'07.09. Ishaka-Katungulu-24h'!H10,'08.09 Ishaka-Katungulu-24h'!H10,'13.09 Ishaka-Katungulu'!H10)</f>
        <v>0</v>
      </c>
      <c r="I10" s="49">
        <f>AVERAGE('09.09 Ishaka-Katungulu'!I10,'10.09 Ishaka-Katungulu'!I10,'11.09 Ishaka-Katungulu'!I10,'12.09 Ishaka-Katungulu'!I10,'07.09. Ishaka-Katungulu-24h'!I10,'08.09 Ishaka-Katungulu-24h'!I10,'13.09 Ishaka-Katungulu'!I10)</f>
        <v>0</v>
      </c>
      <c r="J10" s="49">
        <f>AVERAGE('09.09 Ishaka-Katungulu'!J10,'10.09 Ishaka-Katungulu'!J10,'11.09 Ishaka-Katungulu'!J10,'12.09 Ishaka-Katungulu'!J10,'07.09. Ishaka-Katungulu-24h'!J10,'08.09 Ishaka-Katungulu-24h'!J10,'13.09 Ishaka-Katungulu'!J10)</f>
        <v>0.2857142857142857</v>
      </c>
      <c r="K10" s="49">
        <f>AVERAGE('09.09 Ishaka-Katungulu'!K10,'10.09 Ishaka-Katungulu'!K10,'11.09 Ishaka-Katungulu'!K10,'12.09 Ishaka-Katungulu'!K10,'07.09. Ishaka-Katungulu-24h'!K10,'08.09 Ishaka-Katungulu-24h'!K10,'13.09 Ishaka-Katungulu'!K10)</f>
        <v>0.14285714285714285</v>
      </c>
      <c r="L10" s="49">
        <f>AVERAGE('09.09 Ishaka-Katungulu'!L10,'10.09 Ishaka-Katungulu'!L10,'11.09 Ishaka-Katungulu'!L10,'12.09 Ishaka-Katungulu'!L10,'07.09. Ishaka-Katungulu-24h'!L10,'08.09 Ishaka-Katungulu-24h'!L10,'13.09 Ishaka-Katungulu'!L10)</f>
        <v>0.42857142857142855</v>
      </c>
      <c r="M10" s="49">
        <f>AVERAGE('09.09 Ishaka-Katungulu'!M10,'10.09 Ishaka-Katungulu'!M10,'11.09 Ishaka-Katungulu'!M10,'12.09 Ishaka-Katungulu'!M10,'07.09. Ishaka-Katungulu-24h'!M10,'08.09 Ishaka-Katungulu-24h'!M10,'13.09 Ishaka-Katungulu'!M10)</f>
        <v>4.5714285714285712</v>
      </c>
      <c r="N10" s="49">
        <f>AVERAGE('09.09 Ishaka-Katungulu'!N10,'10.09 Ishaka-Katungulu'!N10,'11.09 Ishaka-Katungulu'!N10,'12.09 Ishaka-Katungulu'!N10,'07.09. Ishaka-Katungulu-24h'!N10,'08.09 Ishaka-Katungulu-24h'!N10,'13.09 Ishaka-Katungulu'!N10)</f>
        <v>0</v>
      </c>
      <c r="O10" s="15">
        <f t="shared" ref="O10:O73" si="0">SUM(C10:L10,N10)</f>
        <v>2.9999999999999996</v>
      </c>
      <c r="P10" s="15">
        <f t="shared" ref="P10:P73" si="1">SUM(C10:N10)</f>
        <v>7.5714285714285712</v>
      </c>
      <c r="R10" s="1" t="s">
        <v>6</v>
      </c>
      <c r="S10" s="17">
        <f t="shared" ref="S10:AF10" si="2">SUM(C10:C13)</f>
        <v>6.4285714285714288</v>
      </c>
      <c r="T10" s="17">
        <f t="shared" si="2"/>
        <v>0.14285714285714285</v>
      </c>
      <c r="U10" s="17">
        <f t="shared" si="2"/>
        <v>2.8571428571428572</v>
      </c>
      <c r="V10" s="17">
        <f t="shared" si="2"/>
        <v>6.8571428571428577</v>
      </c>
      <c r="W10" s="17">
        <f t="shared" si="2"/>
        <v>0.42857142857142855</v>
      </c>
      <c r="X10" s="17">
        <f t="shared" si="2"/>
        <v>0</v>
      </c>
      <c r="Y10" s="17">
        <f t="shared" si="2"/>
        <v>0.2857142857142857</v>
      </c>
      <c r="Z10" s="17">
        <f t="shared" si="2"/>
        <v>3</v>
      </c>
      <c r="AA10" s="17">
        <f t="shared" si="2"/>
        <v>1.857142857142857</v>
      </c>
      <c r="AB10" s="17">
        <f t="shared" si="2"/>
        <v>3.4285714285714288</v>
      </c>
      <c r="AC10" s="17">
        <f t="shared" si="2"/>
        <v>56.142857142857139</v>
      </c>
      <c r="AD10" s="17">
        <f t="shared" si="2"/>
        <v>0</v>
      </c>
      <c r="AE10" s="31">
        <f t="shared" si="2"/>
        <v>25.285714285714285</v>
      </c>
      <c r="AF10" s="31">
        <f t="shared" si="2"/>
        <v>81.428571428571431</v>
      </c>
    </row>
    <row r="11" spans="2:32" s="6" customFormat="1" ht="23.1" customHeight="1" x14ac:dyDescent="0.25">
      <c r="B11" s="23" t="s">
        <v>38</v>
      </c>
      <c r="C11" s="49">
        <f>AVERAGE('09.09 Ishaka-Katungulu'!C11,'10.09 Ishaka-Katungulu'!C11,'11.09 Ishaka-Katungulu'!C11,'12.09 Ishaka-Katungulu'!C11,'07.09. Ishaka-Katungulu-24h'!C11,'08.09 Ishaka-Katungulu-24h'!C11,'13.09 Ishaka-Katungulu'!C11)</f>
        <v>2.2857142857142856</v>
      </c>
      <c r="D11" s="49">
        <f>AVERAGE('09.09 Ishaka-Katungulu'!D11,'10.09 Ishaka-Katungulu'!D11,'11.09 Ishaka-Katungulu'!D11,'12.09 Ishaka-Katungulu'!D11,'07.09. Ishaka-Katungulu-24h'!D11,'08.09 Ishaka-Katungulu-24h'!D11,'13.09 Ishaka-Katungulu'!D11)</f>
        <v>0.14285714285714285</v>
      </c>
      <c r="E11" s="49">
        <f>AVERAGE('09.09 Ishaka-Katungulu'!E11,'10.09 Ishaka-Katungulu'!E11,'11.09 Ishaka-Katungulu'!E11,'12.09 Ishaka-Katungulu'!E11,'07.09. Ishaka-Katungulu-24h'!E11,'08.09 Ishaka-Katungulu-24h'!E11,'13.09 Ishaka-Katungulu'!E11)</f>
        <v>1</v>
      </c>
      <c r="F11" s="49">
        <f>AVERAGE('09.09 Ishaka-Katungulu'!F11,'10.09 Ishaka-Katungulu'!F11,'11.09 Ishaka-Katungulu'!F11,'12.09 Ishaka-Katungulu'!F11,'07.09. Ishaka-Katungulu-24h'!F11,'08.09 Ishaka-Katungulu-24h'!F11,'13.09 Ishaka-Katungulu'!F11)</f>
        <v>1.5714285714285714</v>
      </c>
      <c r="G11" s="49">
        <f>AVERAGE('09.09 Ishaka-Katungulu'!G11,'10.09 Ishaka-Katungulu'!G11,'11.09 Ishaka-Katungulu'!G11,'12.09 Ishaka-Katungulu'!G11,'07.09. Ishaka-Katungulu-24h'!G11,'08.09 Ishaka-Katungulu-24h'!G11,'13.09 Ishaka-Katungulu'!G11)</f>
        <v>0.2857142857142857</v>
      </c>
      <c r="H11" s="49">
        <f>AVERAGE('09.09 Ishaka-Katungulu'!H11,'10.09 Ishaka-Katungulu'!H11,'11.09 Ishaka-Katungulu'!H11,'12.09 Ishaka-Katungulu'!H11,'07.09. Ishaka-Katungulu-24h'!H11,'08.09 Ishaka-Katungulu-24h'!H11,'13.09 Ishaka-Katungulu'!H11)</f>
        <v>0</v>
      </c>
      <c r="I11" s="49">
        <f>AVERAGE('09.09 Ishaka-Katungulu'!I11,'10.09 Ishaka-Katungulu'!I11,'11.09 Ishaka-Katungulu'!I11,'12.09 Ishaka-Katungulu'!I11,'07.09. Ishaka-Katungulu-24h'!I11,'08.09 Ishaka-Katungulu-24h'!I11,'13.09 Ishaka-Katungulu'!I11)</f>
        <v>0</v>
      </c>
      <c r="J11" s="49">
        <f>AVERAGE('09.09 Ishaka-Katungulu'!J11,'10.09 Ishaka-Katungulu'!J11,'11.09 Ishaka-Katungulu'!J11,'12.09 Ishaka-Katungulu'!J11,'07.09. Ishaka-Katungulu-24h'!J11,'08.09 Ishaka-Katungulu-24h'!J11,'13.09 Ishaka-Katungulu'!J11)</f>
        <v>0.8571428571428571</v>
      </c>
      <c r="K11" s="49">
        <f>AVERAGE('09.09 Ishaka-Katungulu'!K11,'10.09 Ishaka-Katungulu'!K11,'11.09 Ishaka-Katungulu'!K11,'12.09 Ishaka-Katungulu'!K11,'07.09. Ishaka-Katungulu-24h'!K11,'08.09 Ishaka-Katungulu-24h'!K11,'13.09 Ishaka-Katungulu'!K11)</f>
        <v>0.5714285714285714</v>
      </c>
      <c r="L11" s="49">
        <f>AVERAGE('09.09 Ishaka-Katungulu'!L11,'10.09 Ishaka-Katungulu'!L11,'11.09 Ishaka-Katungulu'!L11,'12.09 Ishaka-Katungulu'!L11,'07.09. Ishaka-Katungulu-24h'!L11,'08.09 Ishaka-Katungulu-24h'!L11,'13.09 Ishaka-Katungulu'!L11)</f>
        <v>1.1428571428571428</v>
      </c>
      <c r="M11" s="49">
        <f>AVERAGE('09.09 Ishaka-Katungulu'!M11,'10.09 Ishaka-Katungulu'!M11,'11.09 Ishaka-Katungulu'!M11,'12.09 Ishaka-Katungulu'!M11,'07.09. Ishaka-Katungulu-24h'!M11,'08.09 Ishaka-Katungulu-24h'!M11,'13.09 Ishaka-Katungulu'!M11)</f>
        <v>8.5714285714285712</v>
      </c>
      <c r="N11" s="49">
        <f>AVERAGE('09.09 Ishaka-Katungulu'!N11,'10.09 Ishaka-Katungulu'!N11,'11.09 Ishaka-Katungulu'!N11,'12.09 Ishaka-Katungulu'!N11,'07.09. Ishaka-Katungulu-24h'!N11,'08.09 Ishaka-Katungulu-24h'!N11,'13.09 Ishaka-Katungulu'!N11)</f>
        <v>0</v>
      </c>
      <c r="O11" s="15">
        <f t="shared" si="0"/>
        <v>7.8571428571428559</v>
      </c>
      <c r="P11" s="15">
        <f t="shared" si="1"/>
        <v>16.428571428571427</v>
      </c>
      <c r="R11" s="1" t="s">
        <v>7</v>
      </c>
      <c r="S11" s="17">
        <f t="shared" ref="S11:AF11" si="3">SUM(C14:C17)</f>
        <v>10.428571428571429</v>
      </c>
      <c r="T11" s="17">
        <f t="shared" si="3"/>
        <v>1.2857142857142856</v>
      </c>
      <c r="U11" s="17">
        <f t="shared" si="3"/>
        <v>9.1428571428571423</v>
      </c>
      <c r="V11" s="17">
        <f t="shared" si="3"/>
        <v>11.285714285714286</v>
      </c>
      <c r="W11" s="17">
        <f t="shared" si="3"/>
        <v>0.2857142857142857</v>
      </c>
      <c r="X11" s="17">
        <f t="shared" si="3"/>
        <v>0.14285714285714285</v>
      </c>
      <c r="Y11" s="17">
        <f t="shared" si="3"/>
        <v>2.1428571428571428</v>
      </c>
      <c r="Z11" s="17">
        <f t="shared" si="3"/>
        <v>6.4285714285714288</v>
      </c>
      <c r="AA11" s="17">
        <f t="shared" si="3"/>
        <v>14.571428571428569</v>
      </c>
      <c r="AB11" s="17">
        <f t="shared" si="3"/>
        <v>5.7142857142857144</v>
      </c>
      <c r="AC11" s="17">
        <f t="shared" si="3"/>
        <v>161.71428571428572</v>
      </c>
      <c r="AD11" s="17">
        <f t="shared" si="3"/>
        <v>0.14285714285714285</v>
      </c>
      <c r="AE11" s="31">
        <f t="shared" si="3"/>
        <v>61.571428571428569</v>
      </c>
      <c r="AF11" s="31">
        <f t="shared" si="3"/>
        <v>223.28571428571431</v>
      </c>
    </row>
    <row r="12" spans="2:32" ht="23.1" customHeight="1" x14ac:dyDescent="0.25">
      <c r="B12" s="23" t="s">
        <v>39</v>
      </c>
      <c r="C12" s="49">
        <f>AVERAGE('09.09 Ishaka-Katungulu'!C12,'10.09 Ishaka-Katungulu'!C12,'11.09 Ishaka-Katungulu'!C12,'12.09 Ishaka-Katungulu'!C12,'07.09. Ishaka-Katungulu-24h'!C12,'08.09 Ishaka-Katungulu-24h'!C12,'13.09 Ishaka-Katungulu'!C12)</f>
        <v>1.1428571428571428</v>
      </c>
      <c r="D12" s="49">
        <f>AVERAGE('09.09 Ishaka-Katungulu'!D12,'10.09 Ishaka-Katungulu'!D12,'11.09 Ishaka-Katungulu'!D12,'12.09 Ishaka-Katungulu'!D12,'07.09. Ishaka-Katungulu-24h'!D12,'08.09 Ishaka-Katungulu-24h'!D12,'13.09 Ishaka-Katungulu'!D12)</f>
        <v>0</v>
      </c>
      <c r="E12" s="49">
        <f>AVERAGE('09.09 Ishaka-Katungulu'!E12,'10.09 Ishaka-Katungulu'!E12,'11.09 Ishaka-Katungulu'!E12,'12.09 Ishaka-Katungulu'!E12,'07.09. Ishaka-Katungulu-24h'!E12,'08.09 Ishaka-Katungulu-24h'!E12,'13.09 Ishaka-Katungulu'!E12)</f>
        <v>0.42857142857142855</v>
      </c>
      <c r="F12" s="49">
        <f>AVERAGE('09.09 Ishaka-Katungulu'!F12,'10.09 Ishaka-Katungulu'!F12,'11.09 Ishaka-Katungulu'!F12,'12.09 Ishaka-Katungulu'!F12,'07.09. Ishaka-Katungulu-24h'!F12,'08.09 Ishaka-Katungulu-24h'!F12,'13.09 Ishaka-Katungulu'!F12)</f>
        <v>1.5714285714285714</v>
      </c>
      <c r="G12" s="49">
        <f>AVERAGE('09.09 Ishaka-Katungulu'!G12,'10.09 Ishaka-Katungulu'!G12,'11.09 Ishaka-Katungulu'!G12,'12.09 Ishaka-Katungulu'!G12,'07.09. Ishaka-Katungulu-24h'!G12,'08.09 Ishaka-Katungulu-24h'!G12,'13.09 Ishaka-Katungulu'!G12)</f>
        <v>0</v>
      </c>
      <c r="H12" s="49">
        <f>AVERAGE('09.09 Ishaka-Katungulu'!H12,'10.09 Ishaka-Katungulu'!H12,'11.09 Ishaka-Katungulu'!H12,'12.09 Ishaka-Katungulu'!H12,'07.09. Ishaka-Katungulu-24h'!H12,'08.09 Ishaka-Katungulu-24h'!H12,'13.09 Ishaka-Katungulu'!H12)</f>
        <v>0</v>
      </c>
      <c r="I12" s="49">
        <f>AVERAGE('09.09 Ishaka-Katungulu'!I12,'10.09 Ishaka-Katungulu'!I12,'11.09 Ishaka-Katungulu'!I12,'12.09 Ishaka-Katungulu'!I12,'07.09. Ishaka-Katungulu-24h'!I12,'08.09 Ishaka-Katungulu-24h'!I12,'13.09 Ishaka-Katungulu'!I12)</f>
        <v>0</v>
      </c>
      <c r="J12" s="49">
        <f>AVERAGE('09.09 Ishaka-Katungulu'!J12,'10.09 Ishaka-Katungulu'!J12,'11.09 Ishaka-Katungulu'!J12,'12.09 Ishaka-Katungulu'!J12,'07.09. Ishaka-Katungulu-24h'!J12,'08.09 Ishaka-Katungulu-24h'!J12,'13.09 Ishaka-Katungulu'!J12)</f>
        <v>0.5714285714285714</v>
      </c>
      <c r="K12" s="49">
        <f>AVERAGE('09.09 Ishaka-Katungulu'!K12,'10.09 Ishaka-Katungulu'!K12,'11.09 Ishaka-Katungulu'!K12,'12.09 Ishaka-Katungulu'!K12,'07.09. Ishaka-Katungulu-24h'!K12,'08.09 Ishaka-Katungulu-24h'!K12,'13.09 Ishaka-Katungulu'!K12)</f>
        <v>0.2857142857142857</v>
      </c>
      <c r="L12" s="49">
        <f>AVERAGE('09.09 Ishaka-Katungulu'!L12,'10.09 Ishaka-Katungulu'!L12,'11.09 Ishaka-Katungulu'!L12,'12.09 Ishaka-Katungulu'!L12,'07.09. Ishaka-Katungulu-24h'!L12,'08.09 Ishaka-Katungulu-24h'!L12,'13.09 Ishaka-Katungulu'!L12)</f>
        <v>0.5714285714285714</v>
      </c>
      <c r="M12" s="49">
        <f>AVERAGE('09.09 Ishaka-Katungulu'!M12,'10.09 Ishaka-Katungulu'!M12,'11.09 Ishaka-Katungulu'!M12,'12.09 Ishaka-Katungulu'!M12,'07.09. Ishaka-Katungulu-24h'!M12,'08.09 Ishaka-Katungulu-24h'!M12,'13.09 Ishaka-Katungulu'!M12)</f>
        <v>15</v>
      </c>
      <c r="N12" s="49">
        <f>AVERAGE('09.09 Ishaka-Katungulu'!N12,'10.09 Ishaka-Katungulu'!N12,'11.09 Ishaka-Katungulu'!N12,'12.09 Ishaka-Katungulu'!N12,'07.09. Ishaka-Katungulu-24h'!N12,'08.09 Ishaka-Katungulu-24h'!N12,'13.09 Ishaka-Katungulu'!N12)</f>
        <v>0</v>
      </c>
      <c r="O12" s="15">
        <f t="shared" si="0"/>
        <v>4.5714285714285712</v>
      </c>
      <c r="P12" s="15">
        <f t="shared" si="1"/>
        <v>19.571428571428569</v>
      </c>
      <c r="R12" s="1" t="s">
        <v>8</v>
      </c>
      <c r="S12" s="17">
        <f t="shared" ref="S12:AF12" si="4">SUM(C18:C21)</f>
        <v>16.714285714285715</v>
      </c>
      <c r="T12" s="17">
        <f t="shared" si="4"/>
        <v>1.7142857142857142</v>
      </c>
      <c r="U12" s="17">
        <f t="shared" si="4"/>
        <v>11.285714285714285</v>
      </c>
      <c r="V12" s="17">
        <f t="shared" si="4"/>
        <v>9</v>
      </c>
      <c r="W12" s="17">
        <f t="shared" si="4"/>
        <v>0.14285714285714285</v>
      </c>
      <c r="X12" s="17">
        <f t="shared" si="4"/>
        <v>1.4285714285714284</v>
      </c>
      <c r="Y12" s="17">
        <f t="shared" si="4"/>
        <v>3</v>
      </c>
      <c r="Z12" s="17">
        <f t="shared" si="4"/>
        <v>3</v>
      </c>
      <c r="AA12" s="17">
        <f t="shared" si="4"/>
        <v>7.7142857142857144</v>
      </c>
      <c r="AB12" s="17">
        <f t="shared" si="4"/>
        <v>4.2857142857142856</v>
      </c>
      <c r="AC12" s="17">
        <f t="shared" si="4"/>
        <v>177.71428571428572</v>
      </c>
      <c r="AD12" s="17">
        <f t="shared" si="4"/>
        <v>0</v>
      </c>
      <c r="AE12" s="31">
        <f t="shared" si="4"/>
        <v>58.285714285714278</v>
      </c>
      <c r="AF12" s="31">
        <f t="shared" si="4"/>
        <v>236</v>
      </c>
    </row>
    <row r="13" spans="2:32" ht="23.1" customHeight="1" x14ac:dyDescent="0.25">
      <c r="B13" s="23" t="s">
        <v>40</v>
      </c>
      <c r="C13" s="49">
        <f>AVERAGE('09.09 Ishaka-Katungulu'!C13,'10.09 Ishaka-Katungulu'!C13,'11.09 Ishaka-Katungulu'!C13,'12.09 Ishaka-Katungulu'!C13,'07.09. Ishaka-Katungulu-24h'!C13,'08.09 Ishaka-Katungulu-24h'!C13,'13.09 Ishaka-Katungulu'!C13)</f>
        <v>2.1428571428571428</v>
      </c>
      <c r="D13" s="49">
        <f>AVERAGE('09.09 Ishaka-Katungulu'!D13,'10.09 Ishaka-Katungulu'!D13,'11.09 Ishaka-Katungulu'!D13,'12.09 Ishaka-Katungulu'!D13,'07.09. Ishaka-Katungulu-24h'!D13,'08.09 Ishaka-Katungulu-24h'!D13,'13.09 Ishaka-Katungulu'!D13)</f>
        <v>0</v>
      </c>
      <c r="E13" s="49">
        <f>AVERAGE('09.09 Ishaka-Katungulu'!E13,'10.09 Ishaka-Katungulu'!E13,'11.09 Ishaka-Katungulu'!E13,'12.09 Ishaka-Katungulu'!E13,'07.09. Ishaka-Katungulu-24h'!E13,'08.09 Ishaka-Katungulu-24h'!E13,'13.09 Ishaka-Katungulu'!E13)</f>
        <v>1</v>
      </c>
      <c r="F13" s="49">
        <f>AVERAGE('09.09 Ishaka-Katungulu'!F13,'10.09 Ishaka-Katungulu'!F13,'11.09 Ishaka-Katungulu'!F13,'12.09 Ishaka-Katungulu'!F13,'07.09. Ishaka-Katungulu-24h'!F13,'08.09 Ishaka-Katungulu-24h'!F13,'13.09 Ishaka-Katungulu'!F13)</f>
        <v>2.8571428571428572</v>
      </c>
      <c r="G13" s="49">
        <f>AVERAGE('09.09 Ishaka-Katungulu'!G13,'10.09 Ishaka-Katungulu'!G13,'11.09 Ishaka-Katungulu'!G13,'12.09 Ishaka-Katungulu'!G13,'07.09. Ishaka-Katungulu-24h'!G13,'08.09 Ishaka-Katungulu-24h'!G13,'13.09 Ishaka-Katungulu'!G13)</f>
        <v>0.14285714285714285</v>
      </c>
      <c r="H13" s="49">
        <f>AVERAGE('09.09 Ishaka-Katungulu'!H13,'10.09 Ishaka-Katungulu'!H13,'11.09 Ishaka-Katungulu'!H13,'12.09 Ishaka-Katungulu'!H13,'07.09. Ishaka-Katungulu-24h'!H13,'08.09 Ishaka-Katungulu-24h'!H13,'13.09 Ishaka-Katungulu'!H13)</f>
        <v>0</v>
      </c>
      <c r="I13" s="49">
        <f>AVERAGE('09.09 Ishaka-Katungulu'!I13,'10.09 Ishaka-Katungulu'!I13,'11.09 Ishaka-Katungulu'!I13,'12.09 Ishaka-Katungulu'!I13,'07.09. Ishaka-Katungulu-24h'!I13,'08.09 Ishaka-Katungulu-24h'!I13,'13.09 Ishaka-Katungulu'!I13)</f>
        <v>0.2857142857142857</v>
      </c>
      <c r="J13" s="49">
        <f>AVERAGE('09.09 Ishaka-Katungulu'!J13,'10.09 Ishaka-Katungulu'!J13,'11.09 Ishaka-Katungulu'!J13,'12.09 Ishaka-Katungulu'!J13,'07.09. Ishaka-Katungulu-24h'!J13,'08.09 Ishaka-Katungulu-24h'!J13,'13.09 Ishaka-Katungulu'!J13)</f>
        <v>1.2857142857142858</v>
      </c>
      <c r="K13" s="49">
        <f>AVERAGE('09.09 Ishaka-Katungulu'!K13,'10.09 Ishaka-Katungulu'!K13,'11.09 Ishaka-Katungulu'!K13,'12.09 Ishaka-Katungulu'!K13,'07.09. Ishaka-Katungulu-24h'!K13,'08.09 Ishaka-Katungulu-24h'!K13,'13.09 Ishaka-Katungulu'!K13)</f>
        <v>0.8571428571428571</v>
      </c>
      <c r="L13" s="49">
        <f>AVERAGE('09.09 Ishaka-Katungulu'!L13,'10.09 Ishaka-Katungulu'!L13,'11.09 Ishaka-Katungulu'!L13,'12.09 Ishaka-Katungulu'!L13,'07.09. Ishaka-Katungulu-24h'!L13,'08.09 Ishaka-Katungulu-24h'!L13,'13.09 Ishaka-Katungulu'!L13)</f>
        <v>1.2857142857142858</v>
      </c>
      <c r="M13" s="49">
        <f>AVERAGE('09.09 Ishaka-Katungulu'!M13,'10.09 Ishaka-Katungulu'!M13,'11.09 Ishaka-Katungulu'!M13,'12.09 Ishaka-Katungulu'!M13,'07.09. Ishaka-Katungulu-24h'!M13,'08.09 Ishaka-Katungulu-24h'!M13,'13.09 Ishaka-Katungulu'!M13)</f>
        <v>28</v>
      </c>
      <c r="N13" s="49">
        <f>AVERAGE('09.09 Ishaka-Katungulu'!N13,'10.09 Ishaka-Katungulu'!N13,'11.09 Ishaka-Katungulu'!N13,'12.09 Ishaka-Katungulu'!N13,'07.09. Ishaka-Katungulu-24h'!N13,'08.09 Ishaka-Katungulu-24h'!N13,'13.09 Ishaka-Katungulu'!N13)</f>
        <v>0</v>
      </c>
      <c r="O13" s="15">
        <f t="shared" si="0"/>
        <v>9.8571428571428577</v>
      </c>
      <c r="P13" s="15">
        <f t="shared" si="1"/>
        <v>37.857142857142861</v>
      </c>
      <c r="R13" s="1" t="s">
        <v>9</v>
      </c>
      <c r="S13" s="17">
        <f t="shared" ref="S13:AF13" si="5">SUM(C22:C25)</f>
        <v>18.285714285714288</v>
      </c>
      <c r="T13" s="17">
        <f t="shared" si="5"/>
        <v>3.5714285714285721</v>
      </c>
      <c r="U13" s="17">
        <f t="shared" si="5"/>
        <v>16.857142857142858</v>
      </c>
      <c r="V13" s="17">
        <f t="shared" si="5"/>
        <v>10.714285714285715</v>
      </c>
      <c r="W13" s="17">
        <f t="shared" si="5"/>
        <v>0.14285714285714285</v>
      </c>
      <c r="X13" s="17">
        <f t="shared" si="5"/>
        <v>0.42857142857142855</v>
      </c>
      <c r="Y13" s="17">
        <f t="shared" si="5"/>
        <v>3.5714285714285712</v>
      </c>
      <c r="Z13" s="17">
        <f t="shared" si="5"/>
        <v>2.7142857142857144</v>
      </c>
      <c r="AA13" s="17">
        <f t="shared" si="5"/>
        <v>6</v>
      </c>
      <c r="AB13" s="17">
        <f t="shared" si="5"/>
        <v>6</v>
      </c>
      <c r="AC13" s="17">
        <f t="shared" si="5"/>
        <v>200</v>
      </c>
      <c r="AD13" s="17">
        <f t="shared" si="5"/>
        <v>0</v>
      </c>
      <c r="AE13" s="31">
        <f t="shared" si="5"/>
        <v>68.285714285714278</v>
      </c>
      <c r="AF13" s="31">
        <f t="shared" si="5"/>
        <v>268.28571428571433</v>
      </c>
    </row>
    <row r="14" spans="2:32" ht="23.1" customHeight="1" x14ac:dyDescent="0.25">
      <c r="B14" s="23" t="s">
        <v>41</v>
      </c>
      <c r="C14" s="49">
        <f>AVERAGE('09.09 Ishaka-Katungulu'!C14,'10.09 Ishaka-Katungulu'!C14,'11.09 Ishaka-Katungulu'!C14,'12.09 Ishaka-Katungulu'!C14,'07.09. Ishaka-Katungulu-24h'!C14,'08.09 Ishaka-Katungulu-24h'!C14,'13.09 Ishaka-Katungulu'!C14)</f>
        <v>1.8571428571428572</v>
      </c>
      <c r="D14" s="49">
        <f>AVERAGE('09.09 Ishaka-Katungulu'!D14,'10.09 Ishaka-Katungulu'!D14,'11.09 Ishaka-Katungulu'!D14,'12.09 Ishaka-Katungulu'!D14,'07.09. Ishaka-Katungulu-24h'!D14,'08.09 Ishaka-Katungulu-24h'!D14,'13.09 Ishaka-Katungulu'!D14)</f>
        <v>0.14285714285714285</v>
      </c>
      <c r="E14" s="49">
        <f>AVERAGE('09.09 Ishaka-Katungulu'!E14,'10.09 Ishaka-Katungulu'!E14,'11.09 Ishaka-Katungulu'!E14,'12.09 Ishaka-Katungulu'!E14,'07.09. Ishaka-Katungulu-24h'!E14,'08.09 Ishaka-Katungulu-24h'!E14,'13.09 Ishaka-Katungulu'!E14)</f>
        <v>1.7142857142857142</v>
      </c>
      <c r="F14" s="49">
        <f>AVERAGE('09.09 Ishaka-Katungulu'!F14,'10.09 Ishaka-Katungulu'!F14,'11.09 Ishaka-Katungulu'!F14,'12.09 Ishaka-Katungulu'!F14,'07.09. Ishaka-Katungulu-24h'!F14,'08.09 Ishaka-Katungulu-24h'!F14,'13.09 Ishaka-Katungulu'!F14)</f>
        <v>2</v>
      </c>
      <c r="G14" s="49">
        <f>AVERAGE('09.09 Ishaka-Katungulu'!G14,'10.09 Ishaka-Katungulu'!G14,'11.09 Ishaka-Katungulu'!G14,'12.09 Ishaka-Katungulu'!G14,'07.09. Ishaka-Katungulu-24h'!G14,'08.09 Ishaka-Katungulu-24h'!G14,'13.09 Ishaka-Katungulu'!G14)</f>
        <v>0</v>
      </c>
      <c r="H14" s="49">
        <f>AVERAGE('09.09 Ishaka-Katungulu'!H14,'10.09 Ishaka-Katungulu'!H14,'11.09 Ishaka-Katungulu'!H14,'12.09 Ishaka-Katungulu'!H14,'07.09. Ishaka-Katungulu-24h'!H14,'08.09 Ishaka-Katungulu-24h'!H14,'13.09 Ishaka-Katungulu'!H14)</f>
        <v>0</v>
      </c>
      <c r="I14" s="49">
        <f>AVERAGE('09.09 Ishaka-Katungulu'!I14,'10.09 Ishaka-Katungulu'!I14,'11.09 Ishaka-Katungulu'!I14,'12.09 Ishaka-Katungulu'!I14,'07.09. Ishaka-Katungulu-24h'!I14,'08.09 Ishaka-Katungulu-24h'!I14,'13.09 Ishaka-Katungulu'!I14)</f>
        <v>0.2857142857142857</v>
      </c>
      <c r="J14" s="49">
        <f>AVERAGE('09.09 Ishaka-Katungulu'!J14,'10.09 Ishaka-Katungulu'!J14,'11.09 Ishaka-Katungulu'!J14,'12.09 Ishaka-Katungulu'!J14,'07.09. Ishaka-Katungulu-24h'!J14,'08.09 Ishaka-Katungulu-24h'!J14,'13.09 Ishaka-Katungulu'!J14)</f>
        <v>1.1428571428571428</v>
      </c>
      <c r="K14" s="49">
        <f>AVERAGE('09.09 Ishaka-Katungulu'!K14,'10.09 Ishaka-Katungulu'!K14,'11.09 Ishaka-Katungulu'!K14,'12.09 Ishaka-Katungulu'!K14,'07.09. Ishaka-Katungulu-24h'!K14,'08.09 Ishaka-Katungulu-24h'!K14,'13.09 Ishaka-Katungulu'!K14)</f>
        <v>3.4285714285714284</v>
      </c>
      <c r="L14" s="49">
        <f>AVERAGE('09.09 Ishaka-Katungulu'!L14,'10.09 Ishaka-Katungulu'!L14,'11.09 Ishaka-Katungulu'!L14,'12.09 Ishaka-Katungulu'!L14,'07.09. Ishaka-Katungulu-24h'!L14,'08.09 Ishaka-Katungulu-24h'!L14,'13.09 Ishaka-Katungulu'!L14)</f>
        <v>1</v>
      </c>
      <c r="M14" s="49">
        <f>AVERAGE('09.09 Ishaka-Katungulu'!M14,'10.09 Ishaka-Katungulu'!M14,'11.09 Ishaka-Katungulu'!M14,'12.09 Ishaka-Katungulu'!M14,'07.09. Ishaka-Katungulu-24h'!M14,'08.09 Ishaka-Katungulu-24h'!M14,'13.09 Ishaka-Katungulu'!M14)</f>
        <v>24.857142857142858</v>
      </c>
      <c r="N14" s="49">
        <f>AVERAGE('09.09 Ishaka-Katungulu'!N14,'10.09 Ishaka-Katungulu'!N14,'11.09 Ishaka-Katungulu'!N14,'12.09 Ishaka-Katungulu'!N14,'07.09. Ishaka-Katungulu-24h'!N14,'08.09 Ishaka-Katungulu-24h'!N14,'13.09 Ishaka-Katungulu'!N14)</f>
        <v>0</v>
      </c>
      <c r="O14" s="15">
        <f t="shared" si="0"/>
        <v>11.571428571428571</v>
      </c>
      <c r="P14" s="15">
        <f t="shared" si="1"/>
        <v>36.428571428571431</v>
      </c>
      <c r="R14" s="1" t="s">
        <v>10</v>
      </c>
      <c r="S14" s="17">
        <f t="shared" ref="S14:AF14" si="6">SUM(C26:C29)</f>
        <v>22.857142857142858</v>
      </c>
      <c r="T14" s="17">
        <f t="shared" si="6"/>
        <v>3</v>
      </c>
      <c r="U14" s="17">
        <f t="shared" si="6"/>
        <v>16.142857142857142</v>
      </c>
      <c r="V14" s="17">
        <f t="shared" si="6"/>
        <v>11.428571428571429</v>
      </c>
      <c r="W14" s="17">
        <f t="shared" si="6"/>
        <v>0.5714285714285714</v>
      </c>
      <c r="X14" s="17">
        <f t="shared" si="6"/>
        <v>0.14285714285714285</v>
      </c>
      <c r="Y14" s="17">
        <f t="shared" si="6"/>
        <v>2.8571428571428572</v>
      </c>
      <c r="Z14" s="17">
        <f t="shared" si="6"/>
        <v>2</v>
      </c>
      <c r="AA14" s="17">
        <f t="shared" si="6"/>
        <v>2.2857142857142856</v>
      </c>
      <c r="AB14" s="17">
        <f t="shared" si="6"/>
        <v>5.2857142857142856</v>
      </c>
      <c r="AC14" s="17">
        <f t="shared" si="6"/>
        <v>188.42857142857144</v>
      </c>
      <c r="AD14" s="17">
        <f t="shared" si="6"/>
        <v>0</v>
      </c>
      <c r="AE14" s="31">
        <f t="shared" si="6"/>
        <v>66.571428571428569</v>
      </c>
      <c r="AF14" s="31">
        <f t="shared" si="6"/>
        <v>255</v>
      </c>
    </row>
    <row r="15" spans="2:32" ht="23.1" customHeight="1" x14ac:dyDescent="0.25">
      <c r="B15" s="23" t="s">
        <v>42</v>
      </c>
      <c r="C15" s="49">
        <f>AVERAGE('09.09 Ishaka-Katungulu'!C15,'10.09 Ishaka-Katungulu'!C15,'11.09 Ishaka-Katungulu'!C15,'12.09 Ishaka-Katungulu'!C15,'07.09. Ishaka-Katungulu-24h'!C15,'08.09 Ishaka-Katungulu-24h'!C15,'13.09 Ishaka-Katungulu'!C15)</f>
        <v>3.5714285714285716</v>
      </c>
      <c r="D15" s="49">
        <f>AVERAGE('09.09 Ishaka-Katungulu'!D15,'10.09 Ishaka-Katungulu'!D15,'11.09 Ishaka-Katungulu'!D15,'12.09 Ishaka-Katungulu'!D15,'07.09. Ishaka-Katungulu-24h'!D15,'08.09 Ishaka-Katungulu-24h'!D15,'13.09 Ishaka-Katungulu'!D15)</f>
        <v>0.42857142857142855</v>
      </c>
      <c r="E15" s="49">
        <f>AVERAGE('09.09 Ishaka-Katungulu'!E15,'10.09 Ishaka-Katungulu'!E15,'11.09 Ishaka-Katungulu'!E15,'12.09 Ishaka-Katungulu'!E15,'07.09. Ishaka-Katungulu-24h'!E15,'08.09 Ishaka-Katungulu-24h'!E15,'13.09 Ishaka-Katungulu'!E15)</f>
        <v>3</v>
      </c>
      <c r="F15" s="49">
        <f>AVERAGE('09.09 Ishaka-Katungulu'!F15,'10.09 Ishaka-Katungulu'!F15,'11.09 Ishaka-Katungulu'!F15,'12.09 Ishaka-Katungulu'!F15,'07.09. Ishaka-Katungulu-24h'!F15,'08.09 Ishaka-Katungulu-24h'!F15,'13.09 Ishaka-Katungulu'!F15)</f>
        <v>3.8571428571428572</v>
      </c>
      <c r="G15" s="49">
        <f>AVERAGE('09.09 Ishaka-Katungulu'!G15,'10.09 Ishaka-Katungulu'!G15,'11.09 Ishaka-Katungulu'!G15,'12.09 Ishaka-Katungulu'!G15,'07.09. Ishaka-Katungulu-24h'!G15,'08.09 Ishaka-Katungulu-24h'!G15,'13.09 Ishaka-Katungulu'!G15)</f>
        <v>0.14285714285714285</v>
      </c>
      <c r="H15" s="49">
        <f>AVERAGE('09.09 Ishaka-Katungulu'!H15,'10.09 Ishaka-Katungulu'!H15,'11.09 Ishaka-Katungulu'!H15,'12.09 Ishaka-Katungulu'!H15,'07.09. Ishaka-Katungulu-24h'!H15,'08.09 Ishaka-Katungulu-24h'!H15,'13.09 Ishaka-Katungulu'!H15)</f>
        <v>0.14285714285714285</v>
      </c>
      <c r="I15" s="49">
        <f>AVERAGE('09.09 Ishaka-Katungulu'!I15,'10.09 Ishaka-Katungulu'!I15,'11.09 Ishaka-Katungulu'!I15,'12.09 Ishaka-Katungulu'!I15,'07.09. Ishaka-Katungulu-24h'!I15,'08.09 Ishaka-Katungulu-24h'!I15,'13.09 Ishaka-Katungulu'!I15)</f>
        <v>0.5714285714285714</v>
      </c>
      <c r="J15" s="49">
        <f>AVERAGE('09.09 Ishaka-Katungulu'!J15,'10.09 Ishaka-Katungulu'!J15,'11.09 Ishaka-Katungulu'!J15,'12.09 Ishaka-Katungulu'!J15,'07.09. Ishaka-Katungulu-24h'!J15,'08.09 Ishaka-Katungulu-24h'!J15,'13.09 Ishaka-Katungulu'!J15)</f>
        <v>2.2857142857142856</v>
      </c>
      <c r="K15" s="49">
        <f>AVERAGE('09.09 Ishaka-Katungulu'!K15,'10.09 Ishaka-Katungulu'!K15,'11.09 Ishaka-Katungulu'!K15,'12.09 Ishaka-Katungulu'!K15,'07.09. Ishaka-Katungulu-24h'!K15,'08.09 Ishaka-Katungulu-24h'!K15,'13.09 Ishaka-Katungulu'!K15)</f>
        <v>6.1428571428571432</v>
      </c>
      <c r="L15" s="49">
        <f>AVERAGE('09.09 Ishaka-Katungulu'!L15,'10.09 Ishaka-Katungulu'!L15,'11.09 Ishaka-Katungulu'!L15,'12.09 Ishaka-Katungulu'!L15,'07.09. Ishaka-Katungulu-24h'!L15,'08.09 Ishaka-Katungulu-24h'!L15,'13.09 Ishaka-Katungulu'!L15)</f>
        <v>1.8571428571428572</v>
      </c>
      <c r="M15" s="49">
        <f>AVERAGE('09.09 Ishaka-Katungulu'!M15,'10.09 Ishaka-Katungulu'!M15,'11.09 Ishaka-Katungulu'!M15,'12.09 Ishaka-Katungulu'!M15,'07.09. Ishaka-Katungulu-24h'!M15,'08.09 Ishaka-Katungulu-24h'!M15,'13.09 Ishaka-Katungulu'!M15)</f>
        <v>48.714285714285715</v>
      </c>
      <c r="N15" s="49">
        <f>AVERAGE('09.09 Ishaka-Katungulu'!N15,'10.09 Ishaka-Katungulu'!N15,'11.09 Ishaka-Katungulu'!N15,'12.09 Ishaka-Katungulu'!N15,'07.09. Ishaka-Katungulu-24h'!N15,'08.09 Ishaka-Katungulu-24h'!N15,'13.09 Ishaka-Katungulu'!N15)</f>
        <v>0.14285714285714285</v>
      </c>
      <c r="O15" s="15">
        <f t="shared" si="0"/>
        <v>22.142857142857142</v>
      </c>
      <c r="P15" s="15">
        <f t="shared" si="1"/>
        <v>70.857142857142861</v>
      </c>
      <c r="R15" s="1" t="s">
        <v>11</v>
      </c>
      <c r="S15" s="17">
        <f t="shared" ref="S15:AF15" si="7">SUM(C30:C33)</f>
        <v>22.857142857142858</v>
      </c>
      <c r="T15" s="17">
        <f t="shared" si="7"/>
        <v>3.4285714285714288</v>
      </c>
      <c r="U15" s="17">
        <f t="shared" si="7"/>
        <v>15.571428571428571</v>
      </c>
      <c r="V15" s="17">
        <f t="shared" si="7"/>
        <v>13</v>
      </c>
      <c r="W15" s="17">
        <f t="shared" si="7"/>
        <v>1.5714285714285714</v>
      </c>
      <c r="X15" s="17">
        <f t="shared" si="7"/>
        <v>1.5714285714285714</v>
      </c>
      <c r="Y15" s="17">
        <f t="shared" si="7"/>
        <v>6.5714285714285712</v>
      </c>
      <c r="Z15" s="17">
        <f t="shared" si="7"/>
        <v>2.2857142857142856</v>
      </c>
      <c r="AA15" s="17">
        <f t="shared" si="7"/>
        <v>2.5714285714285712</v>
      </c>
      <c r="AB15" s="17">
        <f t="shared" si="7"/>
        <v>4.1428571428571423</v>
      </c>
      <c r="AC15" s="17">
        <f t="shared" si="7"/>
        <v>173.57142857142856</v>
      </c>
      <c r="AD15" s="17">
        <f t="shared" si="7"/>
        <v>0.14285714285714285</v>
      </c>
      <c r="AE15" s="31">
        <f t="shared" si="7"/>
        <v>73.714285714285722</v>
      </c>
      <c r="AF15" s="31">
        <f t="shared" si="7"/>
        <v>247.28571428571428</v>
      </c>
    </row>
    <row r="16" spans="2:32" ht="23.1" customHeight="1" x14ac:dyDescent="0.25">
      <c r="B16" s="23" t="s">
        <v>43</v>
      </c>
      <c r="C16" s="49">
        <f>AVERAGE('09.09 Ishaka-Katungulu'!C16,'10.09 Ishaka-Katungulu'!C16,'11.09 Ishaka-Katungulu'!C16,'12.09 Ishaka-Katungulu'!C16,'07.09. Ishaka-Katungulu-24h'!C16,'08.09 Ishaka-Katungulu-24h'!C16,'13.09 Ishaka-Katungulu'!C16)</f>
        <v>1.8571428571428572</v>
      </c>
      <c r="D16" s="49">
        <f>AVERAGE('09.09 Ishaka-Katungulu'!D16,'10.09 Ishaka-Katungulu'!D16,'11.09 Ishaka-Katungulu'!D16,'12.09 Ishaka-Katungulu'!D16,'07.09. Ishaka-Katungulu-24h'!D16,'08.09 Ishaka-Katungulu-24h'!D16,'13.09 Ishaka-Katungulu'!D16)</f>
        <v>0.14285714285714285</v>
      </c>
      <c r="E16" s="49">
        <f>AVERAGE('09.09 Ishaka-Katungulu'!E16,'10.09 Ishaka-Katungulu'!E16,'11.09 Ishaka-Katungulu'!E16,'12.09 Ishaka-Katungulu'!E16,'07.09. Ishaka-Katungulu-24h'!E16,'08.09 Ishaka-Katungulu-24h'!E16,'13.09 Ishaka-Katungulu'!E16)</f>
        <v>1.5714285714285714</v>
      </c>
      <c r="F16" s="49">
        <f>AVERAGE('09.09 Ishaka-Katungulu'!F16,'10.09 Ishaka-Katungulu'!F16,'11.09 Ishaka-Katungulu'!F16,'12.09 Ishaka-Katungulu'!F16,'07.09. Ishaka-Katungulu-24h'!F16,'08.09 Ishaka-Katungulu-24h'!F16,'13.09 Ishaka-Katungulu'!F16)</f>
        <v>1.8571428571428572</v>
      </c>
      <c r="G16" s="49">
        <f>AVERAGE('09.09 Ishaka-Katungulu'!G16,'10.09 Ishaka-Katungulu'!G16,'11.09 Ishaka-Katungulu'!G16,'12.09 Ishaka-Katungulu'!G16,'07.09. Ishaka-Katungulu-24h'!G16,'08.09 Ishaka-Katungulu-24h'!G16,'13.09 Ishaka-Katungulu'!G16)</f>
        <v>0</v>
      </c>
      <c r="H16" s="49">
        <f>AVERAGE('09.09 Ishaka-Katungulu'!H16,'10.09 Ishaka-Katungulu'!H16,'11.09 Ishaka-Katungulu'!H16,'12.09 Ishaka-Katungulu'!H16,'07.09. Ishaka-Katungulu-24h'!H16,'08.09 Ishaka-Katungulu-24h'!H16,'13.09 Ishaka-Katungulu'!H16)</f>
        <v>0</v>
      </c>
      <c r="I16" s="49">
        <f>AVERAGE('09.09 Ishaka-Katungulu'!I16,'10.09 Ishaka-Katungulu'!I16,'11.09 Ishaka-Katungulu'!I16,'12.09 Ishaka-Katungulu'!I16,'07.09. Ishaka-Katungulu-24h'!I16,'08.09 Ishaka-Katungulu-24h'!I16,'13.09 Ishaka-Katungulu'!I16)</f>
        <v>0.2857142857142857</v>
      </c>
      <c r="J16" s="49">
        <f>AVERAGE('09.09 Ishaka-Katungulu'!J16,'10.09 Ishaka-Katungulu'!J16,'11.09 Ishaka-Katungulu'!J16,'12.09 Ishaka-Katungulu'!J16,'07.09. Ishaka-Katungulu-24h'!J16,'08.09 Ishaka-Katungulu-24h'!J16,'13.09 Ishaka-Katungulu'!J16)</f>
        <v>1</v>
      </c>
      <c r="K16" s="49">
        <f>AVERAGE('09.09 Ishaka-Katungulu'!K16,'10.09 Ishaka-Katungulu'!K16,'11.09 Ishaka-Katungulu'!K16,'12.09 Ishaka-Katungulu'!K16,'07.09. Ishaka-Katungulu-24h'!K16,'08.09 Ishaka-Katungulu-24h'!K16,'13.09 Ishaka-Katungulu'!K16)</f>
        <v>1.7142857142857142</v>
      </c>
      <c r="L16" s="49">
        <f>AVERAGE('09.09 Ishaka-Katungulu'!L16,'10.09 Ishaka-Katungulu'!L16,'11.09 Ishaka-Katungulu'!L16,'12.09 Ishaka-Katungulu'!L16,'07.09. Ishaka-Katungulu-24h'!L16,'08.09 Ishaka-Katungulu-24h'!L16,'13.09 Ishaka-Katungulu'!L16)</f>
        <v>0.8571428571428571</v>
      </c>
      <c r="M16" s="49">
        <f>AVERAGE('09.09 Ishaka-Katungulu'!M16,'10.09 Ishaka-Katungulu'!M16,'11.09 Ishaka-Katungulu'!M16,'12.09 Ishaka-Katungulu'!M16,'07.09. Ishaka-Katungulu-24h'!M16,'08.09 Ishaka-Katungulu-24h'!M16,'13.09 Ishaka-Katungulu'!M16)</f>
        <v>30.857142857142858</v>
      </c>
      <c r="N16" s="49">
        <f>AVERAGE('09.09 Ishaka-Katungulu'!N16,'10.09 Ishaka-Katungulu'!N16,'11.09 Ishaka-Katungulu'!N16,'12.09 Ishaka-Katungulu'!N16,'07.09. Ishaka-Katungulu-24h'!N16,'08.09 Ishaka-Katungulu-24h'!N16,'13.09 Ishaka-Katungulu'!N16)</f>
        <v>0</v>
      </c>
      <c r="O16" s="15">
        <f t="shared" si="0"/>
        <v>9.2857142857142865</v>
      </c>
      <c r="P16" s="15">
        <f t="shared" si="1"/>
        <v>40.142857142857146</v>
      </c>
      <c r="R16" s="1" t="s">
        <v>12</v>
      </c>
      <c r="S16" s="17">
        <f t="shared" ref="S16:AF16" si="8">SUM(C34:C37)</f>
        <v>23.428571428571431</v>
      </c>
      <c r="T16" s="17">
        <f t="shared" si="8"/>
        <v>2.2857142857142856</v>
      </c>
      <c r="U16" s="17">
        <f t="shared" si="8"/>
        <v>14.285714285714286</v>
      </c>
      <c r="V16" s="17">
        <f t="shared" si="8"/>
        <v>16.428571428571431</v>
      </c>
      <c r="W16" s="17">
        <f t="shared" si="8"/>
        <v>0.5714285714285714</v>
      </c>
      <c r="X16" s="17">
        <f t="shared" si="8"/>
        <v>0.42857142857142855</v>
      </c>
      <c r="Y16" s="17">
        <f t="shared" si="8"/>
        <v>5.2857142857142856</v>
      </c>
      <c r="Z16" s="17">
        <f t="shared" si="8"/>
        <v>5.2857142857142856</v>
      </c>
      <c r="AA16" s="17">
        <f t="shared" si="8"/>
        <v>4</v>
      </c>
      <c r="AB16" s="17">
        <f t="shared" si="8"/>
        <v>4.7142857142857144</v>
      </c>
      <c r="AC16" s="17">
        <f t="shared" si="8"/>
        <v>186.85714285714286</v>
      </c>
      <c r="AD16" s="17">
        <f t="shared" si="8"/>
        <v>0.14285714285714285</v>
      </c>
      <c r="AE16" s="31">
        <f t="shared" si="8"/>
        <v>76.857142857142847</v>
      </c>
      <c r="AF16" s="31">
        <f t="shared" si="8"/>
        <v>263.71428571428567</v>
      </c>
    </row>
    <row r="17" spans="2:32" ht="23.1" customHeight="1" x14ac:dyDescent="0.25">
      <c r="B17" s="23" t="s">
        <v>44</v>
      </c>
      <c r="C17" s="49">
        <f>AVERAGE('09.09 Ishaka-Katungulu'!C17,'10.09 Ishaka-Katungulu'!C17,'11.09 Ishaka-Katungulu'!C17,'12.09 Ishaka-Katungulu'!C17,'07.09. Ishaka-Katungulu-24h'!C17,'08.09 Ishaka-Katungulu-24h'!C17,'13.09 Ishaka-Katungulu'!C17)</f>
        <v>3.1428571428571428</v>
      </c>
      <c r="D17" s="49">
        <f>AVERAGE('09.09 Ishaka-Katungulu'!D17,'10.09 Ishaka-Katungulu'!D17,'11.09 Ishaka-Katungulu'!D17,'12.09 Ishaka-Katungulu'!D17,'07.09. Ishaka-Katungulu-24h'!D17,'08.09 Ishaka-Katungulu-24h'!D17,'13.09 Ishaka-Katungulu'!D17)</f>
        <v>0.5714285714285714</v>
      </c>
      <c r="E17" s="49">
        <f>AVERAGE('09.09 Ishaka-Katungulu'!E17,'10.09 Ishaka-Katungulu'!E17,'11.09 Ishaka-Katungulu'!E17,'12.09 Ishaka-Katungulu'!E17,'07.09. Ishaka-Katungulu-24h'!E17,'08.09 Ishaka-Katungulu-24h'!E17,'13.09 Ishaka-Katungulu'!E17)</f>
        <v>2.8571428571428572</v>
      </c>
      <c r="F17" s="49">
        <f>AVERAGE('09.09 Ishaka-Katungulu'!F17,'10.09 Ishaka-Katungulu'!F17,'11.09 Ishaka-Katungulu'!F17,'12.09 Ishaka-Katungulu'!F17,'07.09. Ishaka-Katungulu-24h'!F17,'08.09 Ishaka-Katungulu-24h'!F17,'13.09 Ishaka-Katungulu'!F17)</f>
        <v>3.5714285714285716</v>
      </c>
      <c r="G17" s="49">
        <f>AVERAGE('09.09 Ishaka-Katungulu'!G17,'10.09 Ishaka-Katungulu'!G17,'11.09 Ishaka-Katungulu'!G17,'12.09 Ishaka-Katungulu'!G17,'07.09. Ishaka-Katungulu-24h'!G17,'08.09 Ishaka-Katungulu-24h'!G17,'13.09 Ishaka-Katungulu'!G17)</f>
        <v>0.14285714285714285</v>
      </c>
      <c r="H17" s="49">
        <f>AVERAGE('09.09 Ishaka-Katungulu'!H17,'10.09 Ishaka-Katungulu'!H17,'11.09 Ishaka-Katungulu'!H17,'12.09 Ishaka-Katungulu'!H17,'07.09. Ishaka-Katungulu-24h'!H17,'08.09 Ishaka-Katungulu-24h'!H17,'13.09 Ishaka-Katungulu'!H17)</f>
        <v>0</v>
      </c>
      <c r="I17" s="49">
        <f>AVERAGE('09.09 Ishaka-Katungulu'!I17,'10.09 Ishaka-Katungulu'!I17,'11.09 Ishaka-Katungulu'!I17,'12.09 Ishaka-Katungulu'!I17,'07.09. Ishaka-Katungulu-24h'!I17,'08.09 Ishaka-Katungulu-24h'!I17,'13.09 Ishaka-Katungulu'!I17)</f>
        <v>1</v>
      </c>
      <c r="J17" s="49">
        <f>AVERAGE('09.09 Ishaka-Katungulu'!J17,'10.09 Ishaka-Katungulu'!J17,'11.09 Ishaka-Katungulu'!J17,'12.09 Ishaka-Katungulu'!J17,'07.09. Ishaka-Katungulu-24h'!J17,'08.09 Ishaka-Katungulu-24h'!J17,'13.09 Ishaka-Katungulu'!J17)</f>
        <v>2</v>
      </c>
      <c r="K17" s="49">
        <f>AVERAGE('09.09 Ishaka-Katungulu'!K17,'10.09 Ishaka-Katungulu'!K17,'11.09 Ishaka-Katungulu'!K17,'12.09 Ishaka-Katungulu'!K17,'07.09. Ishaka-Katungulu-24h'!K17,'08.09 Ishaka-Katungulu-24h'!K17,'13.09 Ishaka-Katungulu'!K17)</f>
        <v>3.2857142857142856</v>
      </c>
      <c r="L17" s="49">
        <f>AVERAGE('09.09 Ishaka-Katungulu'!L17,'10.09 Ishaka-Katungulu'!L17,'11.09 Ishaka-Katungulu'!L17,'12.09 Ishaka-Katungulu'!L17,'07.09. Ishaka-Katungulu-24h'!L17,'08.09 Ishaka-Katungulu-24h'!L17,'13.09 Ishaka-Katungulu'!L17)</f>
        <v>2</v>
      </c>
      <c r="M17" s="49">
        <f>AVERAGE('09.09 Ishaka-Katungulu'!M17,'10.09 Ishaka-Katungulu'!M17,'11.09 Ishaka-Katungulu'!M17,'12.09 Ishaka-Katungulu'!M17,'07.09. Ishaka-Katungulu-24h'!M17,'08.09 Ishaka-Katungulu-24h'!M17,'13.09 Ishaka-Katungulu'!M17)</f>
        <v>57.285714285714285</v>
      </c>
      <c r="N17" s="49">
        <f>AVERAGE('09.09 Ishaka-Katungulu'!N17,'10.09 Ishaka-Katungulu'!N17,'11.09 Ishaka-Katungulu'!N17,'12.09 Ishaka-Katungulu'!N17,'07.09. Ishaka-Katungulu-24h'!N17,'08.09 Ishaka-Katungulu-24h'!N17,'13.09 Ishaka-Katungulu'!N17)</f>
        <v>0</v>
      </c>
      <c r="O17" s="15">
        <f t="shared" si="0"/>
        <v>18.571428571428569</v>
      </c>
      <c r="P17" s="15">
        <f t="shared" si="1"/>
        <v>75.857142857142861</v>
      </c>
      <c r="R17" s="1" t="s">
        <v>13</v>
      </c>
      <c r="S17" s="17">
        <f t="shared" ref="S17:AF17" si="9">SUM(C38:C41)</f>
        <v>19.285714285714285</v>
      </c>
      <c r="T17" s="17">
        <f t="shared" si="9"/>
        <v>2.4285714285714284</v>
      </c>
      <c r="U17" s="17">
        <f t="shared" si="9"/>
        <v>13.142857142857142</v>
      </c>
      <c r="V17" s="17">
        <f t="shared" si="9"/>
        <v>16.428571428571431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1.8571428571428572</v>
      </c>
      <c r="AA17" s="17">
        <f t="shared" si="9"/>
        <v>6.1428571428571423</v>
      </c>
      <c r="AB17" s="17">
        <f t="shared" si="9"/>
        <v>3.5714285714285712</v>
      </c>
      <c r="AC17" s="17">
        <f t="shared" si="9"/>
        <v>140.57142857142858</v>
      </c>
      <c r="AD17" s="17">
        <f t="shared" si="9"/>
        <v>0</v>
      </c>
      <c r="AE17" s="31">
        <f t="shared" si="9"/>
        <v>69.857142857142861</v>
      </c>
      <c r="AF17" s="31">
        <f t="shared" si="9"/>
        <v>210.42857142857144</v>
      </c>
    </row>
    <row r="18" spans="2:32" ht="23.1" customHeight="1" x14ac:dyDescent="0.25">
      <c r="B18" s="23" t="s">
        <v>45</v>
      </c>
      <c r="C18" s="49">
        <f>AVERAGE('09.09 Ishaka-Katungulu'!C18,'10.09 Ishaka-Katungulu'!C18,'11.09 Ishaka-Katungulu'!C18,'12.09 Ishaka-Katungulu'!C18,'07.09. Ishaka-Katungulu-24h'!C18,'08.09 Ishaka-Katungulu-24h'!C18,'13.09 Ishaka-Katungulu'!C18)</f>
        <v>2.5714285714285716</v>
      </c>
      <c r="D18" s="49">
        <f>AVERAGE('09.09 Ishaka-Katungulu'!D18,'10.09 Ishaka-Katungulu'!D18,'11.09 Ishaka-Katungulu'!D18,'12.09 Ishaka-Katungulu'!D18,'07.09. Ishaka-Katungulu-24h'!D18,'08.09 Ishaka-Katungulu-24h'!D18,'13.09 Ishaka-Katungulu'!D18)</f>
        <v>0</v>
      </c>
      <c r="E18" s="49">
        <f>AVERAGE('09.09 Ishaka-Katungulu'!E18,'10.09 Ishaka-Katungulu'!E18,'11.09 Ishaka-Katungulu'!E18,'12.09 Ishaka-Katungulu'!E18,'07.09. Ishaka-Katungulu-24h'!E18,'08.09 Ishaka-Katungulu-24h'!E18,'13.09 Ishaka-Katungulu'!E18)</f>
        <v>1.5714285714285714</v>
      </c>
      <c r="F18" s="49">
        <f>AVERAGE('09.09 Ishaka-Katungulu'!F18,'10.09 Ishaka-Katungulu'!F18,'11.09 Ishaka-Katungulu'!F18,'12.09 Ishaka-Katungulu'!F18,'07.09. Ishaka-Katungulu-24h'!F18,'08.09 Ishaka-Katungulu-24h'!F18,'13.09 Ishaka-Katungulu'!F18)</f>
        <v>1.1428571428571428</v>
      </c>
      <c r="G18" s="49">
        <f>AVERAGE('09.09 Ishaka-Katungulu'!G18,'10.09 Ishaka-Katungulu'!G18,'11.09 Ishaka-Katungulu'!G18,'12.09 Ishaka-Katungulu'!G18,'07.09. Ishaka-Katungulu-24h'!G18,'08.09 Ishaka-Katungulu-24h'!G18,'13.09 Ishaka-Katungulu'!G18)</f>
        <v>0</v>
      </c>
      <c r="H18" s="49">
        <f>AVERAGE('09.09 Ishaka-Katungulu'!H18,'10.09 Ishaka-Katungulu'!H18,'11.09 Ishaka-Katungulu'!H18,'12.09 Ishaka-Katungulu'!H18,'07.09. Ishaka-Katungulu-24h'!H18,'08.09 Ishaka-Katungulu-24h'!H18,'13.09 Ishaka-Katungulu'!H18)</f>
        <v>0.14285714285714285</v>
      </c>
      <c r="I18" s="49">
        <f>AVERAGE('09.09 Ishaka-Katungulu'!I18,'10.09 Ishaka-Katungulu'!I18,'11.09 Ishaka-Katungulu'!I18,'12.09 Ishaka-Katungulu'!I18,'07.09. Ishaka-Katungulu-24h'!I18,'08.09 Ishaka-Katungulu-24h'!I18,'13.09 Ishaka-Katungulu'!I18)</f>
        <v>0.5714285714285714</v>
      </c>
      <c r="J18" s="49">
        <f>AVERAGE('09.09 Ishaka-Katungulu'!J18,'10.09 Ishaka-Katungulu'!J18,'11.09 Ishaka-Katungulu'!J18,'12.09 Ishaka-Katungulu'!J18,'07.09. Ishaka-Katungulu-24h'!J18,'08.09 Ishaka-Katungulu-24h'!J18,'13.09 Ishaka-Katungulu'!J18)</f>
        <v>0.7142857142857143</v>
      </c>
      <c r="K18" s="49">
        <f>AVERAGE('09.09 Ishaka-Katungulu'!K18,'10.09 Ishaka-Katungulu'!K18,'11.09 Ishaka-Katungulu'!K18,'12.09 Ishaka-Katungulu'!K18,'07.09. Ishaka-Katungulu-24h'!K18,'08.09 Ishaka-Katungulu-24h'!K18,'13.09 Ishaka-Katungulu'!K18)</f>
        <v>1</v>
      </c>
      <c r="L18" s="49">
        <f>AVERAGE('09.09 Ishaka-Katungulu'!L18,'10.09 Ishaka-Katungulu'!L18,'11.09 Ishaka-Katungulu'!L18,'12.09 Ishaka-Katungulu'!L18,'07.09. Ishaka-Katungulu-24h'!L18,'08.09 Ishaka-Katungulu-24h'!L18,'13.09 Ishaka-Katungulu'!L18)</f>
        <v>0.7142857142857143</v>
      </c>
      <c r="M18" s="49">
        <f>AVERAGE('09.09 Ishaka-Katungulu'!M18,'10.09 Ishaka-Katungulu'!M18,'11.09 Ishaka-Katungulu'!M18,'12.09 Ishaka-Katungulu'!M18,'07.09. Ishaka-Katungulu-24h'!M18,'08.09 Ishaka-Katungulu-24h'!M18,'13.09 Ishaka-Katungulu'!M18)</f>
        <v>30.714285714285715</v>
      </c>
      <c r="N18" s="49">
        <f>AVERAGE('09.09 Ishaka-Katungulu'!N18,'10.09 Ishaka-Katungulu'!N18,'11.09 Ishaka-Katungulu'!N18,'12.09 Ishaka-Katungulu'!N18,'07.09. Ishaka-Katungulu-24h'!N18,'08.09 Ishaka-Katungulu-24h'!N18,'13.09 Ishaka-Katungulu'!N18)</f>
        <v>0</v>
      </c>
      <c r="O18" s="15">
        <f t="shared" si="0"/>
        <v>8.4285714285714288</v>
      </c>
      <c r="P18" s="15">
        <f t="shared" si="1"/>
        <v>39.142857142857146</v>
      </c>
      <c r="R18" s="1" t="s">
        <v>14</v>
      </c>
      <c r="S18" s="17">
        <f t="shared" ref="S18:AF18" si="10">SUM(C42:C45)</f>
        <v>16.714285714285715</v>
      </c>
      <c r="T18" s="17">
        <f t="shared" si="10"/>
        <v>2.4285714285714288</v>
      </c>
      <c r="U18" s="17">
        <f t="shared" si="10"/>
        <v>13.714285714285715</v>
      </c>
      <c r="V18" s="17">
        <f t="shared" si="10"/>
        <v>13.142857142857142</v>
      </c>
      <c r="W18" s="17">
        <f t="shared" si="10"/>
        <v>0.14285714285714285</v>
      </c>
      <c r="X18" s="17">
        <f t="shared" si="10"/>
        <v>0.5714285714285714</v>
      </c>
      <c r="Y18" s="17">
        <f t="shared" si="10"/>
        <v>5.1428571428571423</v>
      </c>
      <c r="Z18" s="17">
        <f t="shared" si="10"/>
        <v>3.4285714285714284</v>
      </c>
      <c r="AA18" s="17">
        <f t="shared" si="10"/>
        <v>5.2857142857142856</v>
      </c>
      <c r="AB18" s="17">
        <f t="shared" si="10"/>
        <v>5</v>
      </c>
      <c r="AC18" s="17">
        <f t="shared" si="10"/>
        <v>171.85714285714286</v>
      </c>
      <c r="AD18" s="17">
        <f t="shared" si="10"/>
        <v>0</v>
      </c>
      <c r="AE18" s="31">
        <f t="shared" si="10"/>
        <v>65.571428571428569</v>
      </c>
      <c r="AF18" s="31">
        <f t="shared" si="10"/>
        <v>237.42857142857144</v>
      </c>
    </row>
    <row r="19" spans="2:32" ht="23.1" customHeight="1" x14ac:dyDescent="0.25">
      <c r="B19" s="23" t="s">
        <v>46</v>
      </c>
      <c r="C19" s="49">
        <f>AVERAGE('09.09 Ishaka-Katungulu'!C19,'10.09 Ishaka-Katungulu'!C19,'11.09 Ishaka-Katungulu'!C19,'12.09 Ishaka-Katungulu'!C19,'07.09. Ishaka-Katungulu-24h'!C19,'08.09 Ishaka-Katungulu-24h'!C19,'13.09 Ishaka-Katungulu'!C19)</f>
        <v>5.1428571428571432</v>
      </c>
      <c r="D19" s="49">
        <f>AVERAGE('09.09 Ishaka-Katungulu'!D19,'10.09 Ishaka-Katungulu'!D19,'11.09 Ishaka-Katungulu'!D19,'12.09 Ishaka-Katungulu'!D19,'07.09. Ishaka-Katungulu-24h'!D19,'08.09 Ishaka-Katungulu-24h'!D19,'13.09 Ishaka-Katungulu'!D19)</f>
        <v>0.42857142857142855</v>
      </c>
      <c r="E19" s="49">
        <f>AVERAGE('09.09 Ishaka-Katungulu'!E19,'10.09 Ishaka-Katungulu'!E19,'11.09 Ishaka-Katungulu'!E19,'12.09 Ishaka-Katungulu'!E19,'07.09. Ishaka-Katungulu-24h'!E19,'08.09 Ishaka-Katungulu-24h'!E19,'13.09 Ishaka-Katungulu'!E19)</f>
        <v>2.7142857142857144</v>
      </c>
      <c r="F19" s="49">
        <f>AVERAGE('09.09 Ishaka-Katungulu'!F19,'10.09 Ishaka-Katungulu'!F19,'11.09 Ishaka-Katungulu'!F19,'12.09 Ishaka-Katungulu'!F19,'07.09. Ishaka-Katungulu-24h'!F19,'08.09 Ishaka-Katungulu-24h'!F19,'13.09 Ishaka-Katungulu'!F19)</f>
        <v>2.5714285714285716</v>
      </c>
      <c r="G19" s="49">
        <f>AVERAGE('09.09 Ishaka-Katungulu'!G19,'10.09 Ishaka-Katungulu'!G19,'11.09 Ishaka-Katungulu'!G19,'12.09 Ishaka-Katungulu'!G19,'07.09. Ishaka-Katungulu-24h'!G19,'08.09 Ishaka-Katungulu-24h'!G19,'13.09 Ishaka-Katungulu'!G19)</f>
        <v>0</v>
      </c>
      <c r="H19" s="49">
        <f>AVERAGE('09.09 Ishaka-Katungulu'!H19,'10.09 Ishaka-Katungulu'!H19,'11.09 Ishaka-Katungulu'!H19,'12.09 Ishaka-Katungulu'!H19,'07.09. Ishaka-Katungulu-24h'!H19,'08.09 Ishaka-Katungulu-24h'!H19,'13.09 Ishaka-Katungulu'!H19)</f>
        <v>0.5714285714285714</v>
      </c>
      <c r="I19" s="49">
        <f>AVERAGE('09.09 Ishaka-Katungulu'!I19,'10.09 Ishaka-Katungulu'!I19,'11.09 Ishaka-Katungulu'!I19,'12.09 Ishaka-Katungulu'!I19,'07.09. Ishaka-Katungulu-24h'!I19,'08.09 Ishaka-Katungulu-24h'!I19,'13.09 Ishaka-Katungulu'!I19)</f>
        <v>1.5714285714285714</v>
      </c>
      <c r="J19" s="49">
        <f>AVERAGE('09.09 Ishaka-Katungulu'!J19,'10.09 Ishaka-Katungulu'!J19,'11.09 Ishaka-Katungulu'!J19,'12.09 Ishaka-Katungulu'!J19,'07.09. Ishaka-Katungulu-24h'!J19,'08.09 Ishaka-Katungulu-24h'!J19,'13.09 Ishaka-Katungulu'!J19)</f>
        <v>1.4285714285714286</v>
      </c>
      <c r="K19" s="49">
        <f>AVERAGE('09.09 Ishaka-Katungulu'!K19,'10.09 Ishaka-Katungulu'!K19,'11.09 Ishaka-Katungulu'!K19,'12.09 Ishaka-Katungulu'!K19,'07.09. Ishaka-Katungulu-24h'!K19,'08.09 Ishaka-Katungulu-24h'!K19,'13.09 Ishaka-Katungulu'!K19)</f>
        <v>2.4285714285714284</v>
      </c>
      <c r="L19" s="49">
        <f>AVERAGE('09.09 Ishaka-Katungulu'!L19,'10.09 Ishaka-Katungulu'!L19,'11.09 Ishaka-Katungulu'!L19,'12.09 Ishaka-Katungulu'!L19,'07.09. Ishaka-Katungulu-24h'!L19,'08.09 Ishaka-Katungulu-24h'!L19,'13.09 Ishaka-Katungulu'!L19)</f>
        <v>1.2857142857142858</v>
      </c>
      <c r="M19" s="49">
        <f>AVERAGE('09.09 Ishaka-Katungulu'!M19,'10.09 Ishaka-Katungulu'!M19,'11.09 Ishaka-Katungulu'!M19,'12.09 Ishaka-Katungulu'!M19,'07.09. Ishaka-Katungulu-24h'!M19,'08.09 Ishaka-Katungulu-24h'!M19,'13.09 Ishaka-Katungulu'!M19)</f>
        <v>55.714285714285715</v>
      </c>
      <c r="N19" s="49">
        <f>AVERAGE('09.09 Ishaka-Katungulu'!N19,'10.09 Ishaka-Katungulu'!N19,'11.09 Ishaka-Katungulu'!N19,'12.09 Ishaka-Katungulu'!N19,'07.09. Ishaka-Katungulu-24h'!N19,'08.09 Ishaka-Katungulu-24h'!N19,'13.09 Ishaka-Katungulu'!N19)</f>
        <v>0</v>
      </c>
      <c r="O19" s="15">
        <f t="shared" si="0"/>
        <v>18.142857142857142</v>
      </c>
      <c r="P19" s="15">
        <f t="shared" si="1"/>
        <v>73.857142857142861</v>
      </c>
      <c r="R19" s="1" t="s">
        <v>15</v>
      </c>
      <c r="S19" s="17">
        <f t="shared" ref="S19:AF19" si="11">SUM(C46:C49)</f>
        <v>20.571428571428569</v>
      </c>
      <c r="T19" s="17">
        <f t="shared" si="11"/>
        <v>2.714285714285714</v>
      </c>
      <c r="U19" s="17">
        <f t="shared" si="11"/>
        <v>15.285714285714286</v>
      </c>
      <c r="V19" s="17">
        <f t="shared" si="11"/>
        <v>12.142857142857142</v>
      </c>
      <c r="W19" s="17">
        <f t="shared" si="11"/>
        <v>0.14285714285714285</v>
      </c>
      <c r="X19" s="17">
        <f t="shared" si="11"/>
        <v>0.42857142857142855</v>
      </c>
      <c r="Y19" s="17">
        <f t="shared" si="11"/>
        <v>7</v>
      </c>
      <c r="Z19" s="17">
        <f t="shared" si="11"/>
        <v>3.1428571428571428</v>
      </c>
      <c r="AA19" s="17">
        <f t="shared" si="11"/>
        <v>2.714285714285714</v>
      </c>
      <c r="AB19" s="17">
        <f t="shared" si="11"/>
        <v>4.5714285714285712</v>
      </c>
      <c r="AC19" s="17">
        <f t="shared" si="11"/>
        <v>167</v>
      </c>
      <c r="AD19" s="17">
        <f t="shared" si="11"/>
        <v>0</v>
      </c>
      <c r="AE19" s="31">
        <f t="shared" si="11"/>
        <v>68.714285714285708</v>
      </c>
      <c r="AF19" s="31">
        <f t="shared" si="11"/>
        <v>235.71428571428572</v>
      </c>
    </row>
    <row r="20" spans="2:32" ht="23.1" customHeight="1" x14ac:dyDescent="0.25">
      <c r="B20" s="23" t="s">
        <v>47</v>
      </c>
      <c r="C20" s="49">
        <f>AVERAGE('09.09 Ishaka-Katungulu'!C20,'10.09 Ishaka-Katungulu'!C20,'11.09 Ishaka-Katungulu'!C20,'12.09 Ishaka-Katungulu'!C20,'07.09. Ishaka-Katungulu-24h'!C20,'08.09 Ishaka-Katungulu-24h'!C20,'13.09 Ishaka-Katungulu'!C20)</f>
        <v>3.2857142857142856</v>
      </c>
      <c r="D20" s="49">
        <f>AVERAGE('09.09 Ishaka-Katungulu'!D20,'10.09 Ishaka-Katungulu'!D20,'11.09 Ishaka-Katungulu'!D20,'12.09 Ishaka-Katungulu'!D20,'07.09. Ishaka-Katungulu-24h'!D20,'08.09 Ishaka-Katungulu-24h'!D20,'13.09 Ishaka-Katungulu'!D20)</f>
        <v>0.2857142857142857</v>
      </c>
      <c r="E20" s="49">
        <f>AVERAGE('09.09 Ishaka-Katungulu'!E20,'10.09 Ishaka-Katungulu'!E20,'11.09 Ishaka-Katungulu'!E20,'12.09 Ishaka-Katungulu'!E20,'07.09. Ishaka-Katungulu-24h'!E20,'08.09 Ishaka-Katungulu-24h'!E20,'13.09 Ishaka-Katungulu'!E20)</f>
        <v>2.7142857142857144</v>
      </c>
      <c r="F20" s="49">
        <f>AVERAGE('09.09 Ishaka-Katungulu'!F20,'10.09 Ishaka-Katungulu'!F20,'11.09 Ishaka-Katungulu'!F20,'12.09 Ishaka-Katungulu'!F20,'07.09. Ishaka-Katungulu-24h'!F20,'08.09 Ishaka-Katungulu-24h'!F20,'13.09 Ishaka-Katungulu'!F20)</f>
        <v>1.8571428571428572</v>
      </c>
      <c r="G20" s="49">
        <f>AVERAGE('09.09 Ishaka-Katungulu'!G20,'10.09 Ishaka-Katungulu'!G20,'11.09 Ishaka-Katungulu'!G20,'12.09 Ishaka-Katungulu'!G20,'07.09. Ishaka-Katungulu-24h'!G20,'08.09 Ishaka-Katungulu-24h'!G20,'13.09 Ishaka-Katungulu'!G20)</f>
        <v>0</v>
      </c>
      <c r="H20" s="49">
        <f>AVERAGE('09.09 Ishaka-Katungulu'!H20,'10.09 Ishaka-Katungulu'!H20,'11.09 Ishaka-Katungulu'!H20,'12.09 Ishaka-Katungulu'!H20,'07.09. Ishaka-Katungulu-24h'!H20,'08.09 Ishaka-Katungulu-24h'!H20,'13.09 Ishaka-Katungulu'!H20)</f>
        <v>0.2857142857142857</v>
      </c>
      <c r="I20" s="49">
        <f>AVERAGE('09.09 Ishaka-Katungulu'!I20,'10.09 Ishaka-Katungulu'!I20,'11.09 Ishaka-Katungulu'!I20,'12.09 Ishaka-Katungulu'!I20,'07.09. Ishaka-Katungulu-24h'!I20,'08.09 Ishaka-Katungulu-24h'!I20,'13.09 Ishaka-Katungulu'!I20)</f>
        <v>0.14285714285714285</v>
      </c>
      <c r="J20" s="49">
        <f>AVERAGE('09.09 Ishaka-Katungulu'!J20,'10.09 Ishaka-Katungulu'!J20,'11.09 Ishaka-Katungulu'!J20,'12.09 Ishaka-Katungulu'!J20,'07.09. Ishaka-Katungulu-24h'!J20,'08.09 Ishaka-Katungulu-24h'!J20,'13.09 Ishaka-Katungulu'!J20)</f>
        <v>0.14285714285714285</v>
      </c>
      <c r="K20" s="49">
        <f>AVERAGE('09.09 Ishaka-Katungulu'!K20,'10.09 Ishaka-Katungulu'!K20,'11.09 Ishaka-Katungulu'!K20,'12.09 Ishaka-Katungulu'!K20,'07.09. Ishaka-Katungulu-24h'!K20,'08.09 Ishaka-Katungulu-24h'!K20,'13.09 Ishaka-Katungulu'!K20)</f>
        <v>1.5714285714285714</v>
      </c>
      <c r="L20" s="49">
        <f>AVERAGE('09.09 Ishaka-Katungulu'!L20,'10.09 Ishaka-Katungulu'!L20,'11.09 Ishaka-Katungulu'!L20,'12.09 Ishaka-Katungulu'!L20,'07.09. Ishaka-Katungulu-24h'!L20,'08.09 Ishaka-Katungulu-24h'!L20,'13.09 Ishaka-Katungulu'!L20)</f>
        <v>0.5714285714285714</v>
      </c>
      <c r="M20" s="49">
        <f>AVERAGE('09.09 Ishaka-Katungulu'!M20,'10.09 Ishaka-Katungulu'!M20,'11.09 Ishaka-Katungulu'!M20,'12.09 Ishaka-Katungulu'!M20,'07.09. Ishaka-Katungulu-24h'!M20,'08.09 Ishaka-Katungulu-24h'!M20,'13.09 Ishaka-Katungulu'!M20)</f>
        <v>32.714285714285715</v>
      </c>
      <c r="N20" s="49">
        <f>AVERAGE('09.09 Ishaka-Katungulu'!N20,'10.09 Ishaka-Katungulu'!N20,'11.09 Ishaka-Katungulu'!N20,'12.09 Ishaka-Katungulu'!N20,'07.09. Ishaka-Katungulu-24h'!N20,'08.09 Ishaka-Katungulu-24h'!N20,'13.09 Ishaka-Katungulu'!N20)</f>
        <v>0</v>
      </c>
      <c r="O20" s="15">
        <f t="shared" si="0"/>
        <v>10.857142857142856</v>
      </c>
      <c r="P20" s="15">
        <f t="shared" si="1"/>
        <v>43.571428571428569</v>
      </c>
      <c r="R20" s="1" t="s">
        <v>16</v>
      </c>
      <c r="S20" s="17">
        <f t="shared" ref="S20:AF20" si="12">SUM(C50:C53)</f>
        <v>22.857142857142858</v>
      </c>
      <c r="T20" s="17">
        <f t="shared" si="12"/>
        <v>2.5714285714285712</v>
      </c>
      <c r="U20" s="17">
        <f t="shared" si="12"/>
        <v>16</v>
      </c>
      <c r="V20" s="17">
        <f t="shared" si="12"/>
        <v>13.714285714285714</v>
      </c>
      <c r="W20" s="17">
        <f t="shared" si="12"/>
        <v>0.14285714285714285</v>
      </c>
      <c r="X20" s="17">
        <f t="shared" si="12"/>
        <v>0.14285714285714285</v>
      </c>
      <c r="Y20" s="17">
        <f t="shared" si="12"/>
        <v>7.2857142857142856</v>
      </c>
      <c r="Z20" s="17">
        <f t="shared" si="12"/>
        <v>4.2857142857142856</v>
      </c>
      <c r="AA20" s="17">
        <f t="shared" si="12"/>
        <v>5.2857142857142856</v>
      </c>
      <c r="AB20" s="17">
        <f t="shared" si="12"/>
        <v>5.2857142857142856</v>
      </c>
      <c r="AC20" s="17">
        <f t="shared" si="12"/>
        <v>195.85714285714283</v>
      </c>
      <c r="AD20" s="17">
        <f t="shared" si="12"/>
        <v>0</v>
      </c>
      <c r="AE20" s="31">
        <f t="shared" si="12"/>
        <v>77.571428571428584</v>
      </c>
      <c r="AF20" s="31">
        <f t="shared" si="12"/>
        <v>273.42857142857139</v>
      </c>
    </row>
    <row r="21" spans="2:32" ht="23.1" customHeight="1" x14ac:dyDescent="0.25">
      <c r="B21" s="23" t="s">
        <v>48</v>
      </c>
      <c r="C21" s="49">
        <f>AVERAGE('09.09 Ishaka-Katungulu'!C21,'10.09 Ishaka-Katungulu'!C21,'11.09 Ishaka-Katungulu'!C21,'12.09 Ishaka-Katungulu'!C21,'07.09. Ishaka-Katungulu-24h'!C21,'08.09 Ishaka-Katungulu-24h'!C21,'13.09 Ishaka-Katungulu'!C21)</f>
        <v>5.7142857142857144</v>
      </c>
      <c r="D21" s="49">
        <f>AVERAGE('09.09 Ishaka-Katungulu'!D21,'10.09 Ishaka-Katungulu'!D21,'11.09 Ishaka-Katungulu'!D21,'12.09 Ishaka-Katungulu'!D21,'07.09. Ishaka-Katungulu-24h'!D21,'08.09 Ishaka-Katungulu-24h'!D21,'13.09 Ishaka-Katungulu'!D21)</f>
        <v>1</v>
      </c>
      <c r="E21" s="49">
        <f>AVERAGE('09.09 Ishaka-Katungulu'!E21,'10.09 Ishaka-Katungulu'!E21,'11.09 Ishaka-Katungulu'!E21,'12.09 Ishaka-Katungulu'!E21,'07.09. Ishaka-Katungulu-24h'!E21,'08.09 Ishaka-Katungulu-24h'!E21,'13.09 Ishaka-Katungulu'!E21)</f>
        <v>4.2857142857142856</v>
      </c>
      <c r="F21" s="49">
        <f>AVERAGE('09.09 Ishaka-Katungulu'!F21,'10.09 Ishaka-Katungulu'!F21,'11.09 Ishaka-Katungulu'!F21,'12.09 Ishaka-Katungulu'!F21,'07.09. Ishaka-Katungulu-24h'!F21,'08.09 Ishaka-Katungulu-24h'!F21,'13.09 Ishaka-Katungulu'!F21)</f>
        <v>3.4285714285714284</v>
      </c>
      <c r="G21" s="49">
        <f>AVERAGE('09.09 Ishaka-Katungulu'!G21,'10.09 Ishaka-Katungulu'!G21,'11.09 Ishaka-Katungulu'!G21,'12.09 Ishaka-Katungulu'!G21,'07.09. Ishaka-Katungulu-24h'!G21,'08.09 Ishaka-Katungulu-24h'!G21,'13.09 Ishaka-Katungulu'!G21)</f>
        <v>0.14285714285714285</v>
      </c>
      <c r="H21" s="49">
        <f>AVERAGE('09.09 Ishaka-Katungulu'!H21,'10.09 Ishaka-Katungulu'!H21,'11.09 Ishaka-Katungulu'!H21,'12.09 Ishaka-Katungulu'!H21,'07.09. Ishaka-Katungulu-24h'!H21,'08.09 Ishaka-Katungulu-24h'!H21,'13.09 Ishaka-Katungulu'!H21)</f>
        <v>0.42857142857142855</v>
      </c>
      <c r="I21" s="49">
        <f>AVERAGE('09.09 Ishaka-Katungulu'!I21,'10.09 Ishaka-Katungulu'!I21,'11.09 Ishaka-Katungulu'!I21,'12.09 Ishaka-Katungulu'!I21,'07.09. Ishaka-Katungulu-24h'!I21,'08.09 Ishaka-Katungulu-24h'!I21,'13.09 Ishaka-Katungulu'!I21)</f>
        <v>0.7142857142857143</v>
      </c>
      <c r="J21" s="49">
        <f>AVERAGE('09.09 Ishaka-Katungulu'!J21,'10.09 Ishaka-Katungulu'!J21,'11.09 Ishaka-Katungulu'!J21,'12.09 Ishaka-Katungulu'!J21,'07.09. Ishaka-Katungulu-24h'!J21,'08.09 Ishaka-Katungulu-24h'!J21,'13.09 Ishaka-Katungulu'!J21)</f>
        <v>0.7142857142857143</v>
      </c>
      <c r="K21" s="49">
        <f>AVERAGE('09.09 Ishaka-Katungulu'!K21,'10.09 Ishaka-Katungulu'!K21,'11.09 Ishaka-Katungulu'!K21,'12.09 Ishaka-Katungulu'!K21,'07.09. Ishaka-Katungulu-24h'!K21,'08.09 Ishaka-Katungulu-24h'!K21,'13.09 Ishaka-Katungulu'!K21)</f>
        <v>2.7142857142857144</v>
      </c>
      <c r="L21" s="49">
        <f>AVERAGE('09.09 Ishaka-Katungulu'!L21,'10.09 Ishaka-Katungulu'!L21,'11.09 Ishaka-Katungulu'!L21,'12.09 Ishaka-Katungulu'!L21,'07.09. Ishaka-Katungulu-24h'!L21,'08.09 Ishaka-Katungulu-24h'!L21,'13.09 Ishaka-Katungulu'!L21)</f>
        <v>1.7142857142857142</v>
      </c>
      <c r="M21" s="49">
        <f>AVERAGE('09.09 Ishaka-Katungulu'!M21,'10.09 Ishaka-Katungulu'!M21,'11.09 Ishaka-Katungulu'!M21,'12.09 Ishaka-Katungulu'!M21,'07.09. Ishaka-Katungulu-24h'!M21,'08.09 Ishaka-Katungulu-24h'!M21,'13.09 Ishaka-Katungulu'!M21)</f>
        <v>58.571428571428569</v>
      </c>
      <c r="N21" s="49">
        <f>AVERAGE('09.09 Ishaka-Katungulu'!N21,'10.09 Ishaka-Katungulu'!N21,'11.09 Ishaka-Katungulu'!N21,'12.09 Ishaka-Katungulu'!N21,'07.09. Ishaka-Katungulu-24h'!N21,'08.09 Ishaka-Katungulu-24h'!N21,'13.09 Ishaka-Katungulu'!N21)</f>
        <v>0</v>
      </c>
      <c r="O21" s="15">
        <f t="shared" si="0"/>
        <v>20.857142857142858</v>
      </c>
      <c r="P21" s="15">
        <f t="shared" si="1"/>
        <v>79.428571428571431</v>
      </c>
      <c r="R21" s="36" t="s">
        <v>20</v>
      </c>
      <c r="S21" s="34">
        <f t="shared" ref="S21:AF21" si="13">SUM(C54:C57)</f>
        <v>24.428571428571427</v>
      </c>
      <c r="T21" s="17">
        <f t="shared" si="13"/>
        <v>3</v>
      </c>
      <c r="U21" s="17">
        <f t="shared" si="13"/>
        <v>13</v>
      </c>
      <c r="V21" s="17">
        <f t="shared" si="13"/>
        <v>13.285714285714286</v>
      </c>
      <c r="W21" s="17">
        <f t="shared" si="13"/>
        <v>0</v>
      </c>
      <c r="X21" s="17">
        <f t="shared" si="13"/>
        <v>0.5714285714285714</v>
      </c>
      <c r="Y21" s="17">
        <f t="shared" si="13"/>
        <v>5.5714285714285712</v>
      </c>
      <c r="Z21" s="17">
        <f t="shared" si="13"/>
        <v>2.1428571428571428</v>
      </c>
      <c r="AA21" s="17">
        <f t="shared" si="13"/>
        <v>3</v>
      </c>
      <c r="AB21" s="17">
        <f t="shared" si="13"/>
        <v>3.8571428571428577</v>
      </c>
      <c r="AC21" s="17">
        <f t="shared" si="13"/>
        <v>166</v>
      </c>
      <c r="AD21" s="17">
        <f t="shared" si="13"/>
        <v>0</v>
      </c>
      <c r="AE21" s="31">
        <f t="shared" si="13"/>
        <v>68.857142857142847</v>
      </c>
      <c r="AF21" s="31">
        <f t="shared" si="13"/>
        <v>234.85714285714283</v>
      </c>
    </row>
    <row r="22" spans="2:32" ht="23.1" customHeight="1" x14ac:dyDescent="0.25">
      <c r="B22" s="23" t="s">
        <v>49</v>
      </c>
      <c r="C22" s="49">
        <f>AVERAGE('09.09 Ishaka-Katungulu'!C22,'10.09 Ishaka-Katungulu'!C22,'11.09 Ishaka-Katungulu'!C22,'12.09 Ishaka-Katungulu'!C22,'07.09. Ishaka-Katungulu-24h'!C22,'08.09 Ishaka-Katungulu-24h'!C22,'13.09 Ishaka-Katungulu'!C22)</f>
        <v>2.7142857142857144</v>
      </c>
      <c r="D22" s="49">
        <f>AVERAGE('09.09 Ishaka-Katungulu'!D22,'10.09 Ishaka-Katungulu'!D22,'11.09 Ishaka-Katungulu'!D22,'12.09 Ishaka-Katungulu'!D22,'07.09. Ishaka-Katungulu-24h'!D22,'08.09 Ishaka-Katungulu-24h'!D22,'13.09 Ishaka-Katungulu'!D22)</f>
        <v>0.2857142857142857</v>
      </c>
      <c r="E22" s="49">
        <f>AVERAGE('09.09 Ishaka-Katungulu'!E22,'10.09 Ishaka-Katungulu'!E22,'11.09 Ishaka-Katungulu'!E22,'12.09 Ishaka-Katungulu'!E22,'07.09. Ishaka-Katungulu-24h'!E22,'08.09 Ishaka-Katungulu-24h'!E22,'13.09 Ishaka-Katungulu'!E22)</f>
        <v>3.2857142857142856</v>
      </c>
      <c r="F22" s="49">
        <f>AVERAGE('09.09 Ishaka-Katungulu'!F22,'10.09 Ishaka-Katungulu'!F22,'11.09 Ishaka-Katungulu'!F22,'12.09 Ishaka-Katungulu'!F22,'07.09. Ishaka-Katungulu-24h'!F22,'08.09 Ishaka-Katungulu-24h'!F22,'13.09 Ishaka-Katungulu'!F22)</f>
        <v>1.4285714285714286</v>
      </c>
      <c r="G22" s="49">
        <f>AVERAGE('09.09 Ishaka-Katungulu'!G22,'10.09 Ishaka-Katungulu'!G22,'11.09 Ishaka-Katungulu'!G22,'12.09 Ishaka-Katungulu'!G22,'07.09. Ishaka-Katungulu-24h'!G22,'08.09 Ishaka-Katungulu-24h'!G22,'13.09 Ishaka-Katungulu'!G22)</f>
        <v>0</v>
      </c>
      <c r="H22" s="49">
        <f>AVERAGE('09.09 Ishaka-Katungulu'!H22,'10.09 Ishaka-Katungulu'!H22,'11.09 Ishaka-Katungulu'!H22,'12.09 Ishaka-Katungulu'!H22,'07.09. Ishaka-Katungulu-24h'!H22,'08.09 Ishaka-Katungulu-24h'!H22,'13.09 Ishaka-Katungulu'!H22)</f>
        <v>0</v>
      </c>
      <c r="I22" s="49">
        <f>AVERAGE('09.09 Ishaka-Katungulu'!I22,'10.09 Ishaka-Katungulu'!I22,'11.09 Ishaka-Katungulu'!I22,'12.09 Ishaka-Katungulu'!I22,'07.09. Ishaka-Katungulu-24h'!I22,'08.09 Ishaka-Katungulu-24h'!I22,'13.09 Ishaka-Katungulu'!I22)</f>
        <v>0.5714285714285714</v>
      </c>
      <c r="J22" s="49">
        <f>AVERAGE('09.09 Ishaka-Katungulu'!J22,'10.09 Ishaka-Katungulu'!J22,'11.09 Ishaka-Katungulu'!J22,'12.09 Ishaka-Katungulu'!J22,'07.09. Ishaka-Katungulu-24h'!J22,'08.09 Ishaka-Katungulu-24h'!J22,'13.09 Ishaka-Katungulu'!J22)</f>
        <v>0.2857142857142857</v>
      </c>
      <c r="K22" s="49">
        <f>AVERAGE('09.09 Ishaka-Katungulu'!K22,'10.09 Ishaka-Katungulu'!K22,'11.09 Ishaka-Katungulu'!K22,'12.09 Ishaka-Katungulu'!K22,'07.09. Ishaka-Katungulu-24h'!K22,'08.09 Ishaka-Katungulu-24h'!K22,'13.09 Ishaka-Katungulu'!K22)</f>
        <v>1.7142857142857142</v>
      </c>
      <c r="L22" s="49">
        <f>AVERAGE('09.09 Ishaka-Katungulu'!L22,'10.09 Ishaka-Katungulu'!L22,'11.09 Ishaka-Katungulu'!L22,'12.09 Ishaka-Katungulu'!L22,'07.09. Ishaka-Katungulu-24h'!L22,'08.09 Ishaka-Katungulu-24h'!L22,'13.09 Ishaka-Katungulu'!L22)</f>
        <v>1.4285714285714286</v>
      </c>
      <c r="M22" s="49">
        <f>AVERAGE('09.09 Ishaka-Katungulu'!M22,'10.09 Ishaka-Katungulu'!M22,'11.09 Ishaka-Katungulu'!M22,'12.09 Ishaka-Katungulu'!M22,'07.09. Ishaka-Katungulu-24h'!M22,'08.09 Ishaka-Katungulu-24h'!M22,'13.09 Ishaka-Katungulu'!M22)</f>
        <v>35.857142857142854</v>
      </c>
      <c r="N22" s="49">
        <f>AVERAGE('09.09 Ishaka-Katungulu'!N22,'10.09 Ishaka-Katungulu'!N22,'11.09 Ishaka-Katungulu'!N22,'12.09 Ishaka-Katungulu'!N22,'07.09. Ishaka-Katungulu-24h'!N22,'08.09 Ishaka-Katungulu-24h'!N22,'13.09 Ishaka-Katungulu'!N22)</f>
        <v>0</v>
      </c>
      <c r="O22" s="15">
        <f t="shared" si="0"/>
        <v>11.714285714285715</v>
      </c>
      <c r="P22" s="15">
        <f t="shared" si="1"/>
        <v>47.571428571428569</v>
      </c>
      <c r="R22" s="1" t="s">
        <v>146</v>
      </c>
      <c r="S22" s="34">
        <f>SUM(C58:C61)</f>
        <v>24</v>
      </c>
      <c r="T22" s="34">
        <f t="shared" ref="T22:AF22" si="14">SUM(D58:D61)</f>
        <v>12.5</v>
      </c>
      <c r="U22" s="34">
        <f t="shared" si="14"/>
        <v>27</v>
      </c>
      <c r="V22" s="34">
        <f t="shared" si="14"/>
        <v>9.5</v>
      </c>
      <c r="W22" s="34">
        <f t="shared" si="14"/>
        <v>0</v>
      </c>
      <c r="X22" s="34">
        <f t="shared" si="14"/>
        <v>1</v>
      </c>
      <c r="Y22" s="34">
        <f t="shared" si="14"/>
        <v>1.5</v>
      </c>
      <c r="Z22" s="34">
        <f t="shared" si="14"/>
        <v>0</v>
      </c>
      <c r="AA22" s="34">
        <f t="shared" si="14"/>
        <v>4.5</v>
      </c>
      <c r="AB22" s="34">
        <f t="shared" si="14"/>
        <v>3</v>
      </c>
      <c r="AC22" s="34">
        <f t="shared" si="14"/>
        <v>201.5</v>
      </c>
      <c r="AD22" s="34">
        <f t="shared" si="14"/>
        <v>0</v>
      </c>
      <c r="AE22" s="31">
        <f t="shared" si="14"/>
        <v>83</v>
      </c>
      <c r="AF22" s="31">
        <f t="shared" si="14"/>
        <v>284.5</v>
      </c>
    </row>
    <row r="23" spans="2:32" ht="23.1" customHeight="1" x14ac:dyDescent="0.25">
      <c r="B23" s="23" t="s">
        <v>50</v>
      </c>
      <c r="C23" s="49">
        <f>AVERAGE('09.09 Ishaka-Katungulu'!C23,'10.09 Ishaka-Katungulu'!C23,'11.09 Ishaka-Katungulu'!C23,'12.09 Ishaka-Katungulu'!C23,'07.09. Ishaka-Katungulu-24h'!C23,'08.09 Ishaka-Katungulu-24h'!C23,'13.09 Ishaka-Katungulu'!C23)</f>
        <v>5.1428571428571432</v>
      </c>
      <c r="D23" s="49">
        <f>AVERAGE('09.09 Ishaka-Katungulu'!D23,'10.09 Ishaka-Katungulu'!D23,'11.09 Ishaka-Katungulu'!D23,'12.09 Ishaka-Katungulu'!D23,'07.09. Ishaka-Katungulu-24h'!D23,'08.09 Ishaka-Katungulu-24h'!D23,'13.09 Ishaka-Katungulu'!D23)</f>
        <v>1.2857142857142858</v>
      </c>
      <c r="E23" s="49">
        <f>AVERAGE('09.09 Ishaka-Katungulu'!E23,'10.09 Ishaka-Katungulu'!E23,'11.09 Ishaka-Katungulu'!E23,'12.09 Ishaka-Katungulu'!E23,'07.09. Ishaka-Katungulu-24h'!E23,'08.09 Ishaka-Katungulu-24h'!E23,'13.09 Ishaka-Katungulu'!E23)</f>
        <v>5.4285714285714288</v>
      </c>
      <c r="F23" s="49">
        <f>AVERAGE('09.09 Ishaka-Katungulu'!F23,'10.09 Ishaka-Katungulu'!F23,'11.09 Ishaka-Katungulu'!F23,'12.09 Ishaka-Katungulu'!F23,'07.09. Ishaka-Katungulu-24h'!F23,'08.09 Ishaka-Katungulu-24h'!F23,'13.09 Ishaka-Katungulu'!F23)</f>
        <v>2.7142857142857144</v>
      </c>
      <c r="G23" s="49">
        <f>AVERAGE('09.09 Ishaka-Katungulu'!G23,'10.09 Ishaka-Katungulu'!G23,'11.09 Ishaka-Katungulu'!G23,'12.09 Ishaka-Katungulu'!G23,'07.09. Ishaka-Katungulu-24h'!G23,'08.09 Ishaka-Katungulu-24h'!G23,'13.09 Ishaka-Katungulu'!G23)</f>
        <v>0.14285714285714285</v>
      </c>
      <c r="H23" s="49">
        <f>AVERAGE('09.09 Ishaka-Katungulu'!H23,'10.09 Ishaka-Katungulu'!H23,'11.09 Ishaka-Katungulu'!H23,'12.09 Ishaka-Katungulu'!H23,'07.09. Ishaka-Katungulu-24h'!H23,'08.09 Ishaka-Katungulu-24h'!H23,'13.09 Ishaka-Katungulu'!H23)</f>
        <v>0</v>
      </c>
      <c r="I23" s="49">
        <f>AVERAGE('09.09 Ishaka-Katungulu'!I23,'10.09 Ishaka-Katungulu'!I23,'11.09 Ishaka-Katungulu'!I23,'12.09 Ishaka-Katungulu'!I23,'07.09. Ishaka-Katungulu-24h'!I23,'08.09 Ishaka-Katungulu-24h'!I23,'13.09 Ishaka-Katungulu'!I23)</f>
        <v>1.4285714285714286</v>
      </c>
      <c r="J23" s="49">
        <f>AVERAGE('09.09 Ishaka-Katungulu'!J23,'10.09 Ishaka-Katungulu'!J23,'11.09 Ishaka-Katungulu'!J23,'12.09 Ishaka-Katungulu'!J23,'07.09. Ishaka-Katungulu-24h'!J23,'08.09 Ishaka-Katungulu-24h'!J23,'13.09 Ishaka-Katungulu'!J23)</f>
        <v>0.7142857142857143</v>
      </c>
      <c r="K23" s="49">
        <f>AVERAGE('09.09 Ishaka-Katungulu'!K23,'10.09 Ishaka-Katungulu'!K23,'11.09 Ishaka-Katungulu'!K23,'12.09 Ishaka-Katungulu'!K23,'07.09. Ishaka-Katungulu-24h'!K23,'08.09 Ishaka-Katungulu-24h'!K23,'13.09 Ishaka-Katungulu'!K23)</f>
        <v>3</v>
      </c>
      <c r="L23" s="49">
        <f>AVERAGE('09.09 Ishaka-Katungulu'!L23,'10.09 Ishaka-Katungulu'!L23,'11.09 Ishaka-Katungulu'!L23,'12.09 Ishaka-Katungulu'!L23,'07.09. Ishaka-Katungulu-24h'!L23,'08.09 Ishaka-Katungulu-24h'!L23,'13.09 Ishaka-Katungulu'!L23)</f>
        <v>2.7142857142857144</v>
      </c>
      <c r="M23" s="49">
        <f>AVERAGE('09.09 Ishaka-Katungulu'!M23,'10.09 Ishaka-Katungulu'!M23,'11.09 Ishaka-Katungulu'!M23,'12.09 Ishaka-Katungulu'!M23,'07.09. Ishaka-Katungulu-24h'!M23,'08.09 Ishaka-Katungulu-24h'!M23,'13.09 Ishaka-Katungulu'!M23)</f>
        <v>63.285714285714285</v>
      </c>
      <c r="N23" s="49">
        <f>AVERAGE('09.09 Ishaka-Katungulu'!N23,'10.09 Ishaka-Katungulu'!N23,'11.09 Ishaka-Katungulu'!N23,'12.09 Ishaka-Katungulu'!N23,'07.09. Ishaka-Katungulu-24h'!N23,'08.09 Ishaka-Katungulu-24h'!N23,'13.09 Ishaka-Katungulu'!N23)</f>
        <v>0</v>
      </c>
      <c r="O23" s="15">
        <f t="shared" si="0"/>
        <v>22.571428571428573</v>
      </c>
      <c r="P23" s="15">
        <f t="shared" si="1"/>
        <v>85.857142857142861</v>
      </c>
      <c r="R23" s="1" t="s">
        <v>147</v>
      </c>
      <c r="S23" s="34">
        <f>SUM(C62:C65)</f>
        <v>13.5</v>
      </c>
      <c r="T23" s="34">
        <f t="shared" ref="T23:AF23" si="15">SUM(D62:D65)</f>
        <v>7</v>
      </c>
      <c r="U23" s="34">
        <f t="shared" si="15"/>
        <v>12.5</v>
      </c>
      <c r="V23" s="34">
        <f t="shared" si="15"/>
        <v>8.5</v>
      </c>
      <c r="W23" s="34">
        <f t="shared" si="15"/>
        <v>0.5</v>
      </c>
      <c r="X23" s="34">
        <f t="shared" si="15"/>
        <v>0.5</v>
      </c>
      <c r="Y23" s="34">
        <f t="shared" si="15"/>
        <v>4</v>
      </c>
      <c r="Z23" s="34">
        <f t="shared" si="15"/>
        <v>2</v>
      </c>
      <c r="AA23" s="34">
        <f t="shared" si="15"/>
        <v>3</v>
      </c>
      <c r="AB23" s="34">
        <f t="shared" si="15"/>
        <v>2</v>
      </c>
      <c r="AC23" s="34">
        <f t="shared" si="15"/>
        <v>95.5</v>
      </c>
      <c r="AD23" s="34">
        <f t="shared" si="15"/>
        <v>0</v>
      </c>
      <c r="AE23" s="31">
        <f t="shared" si="15"/>
        <v>53.5</v>
      </c>
      <c r="AF23" s="31">
        <f t="shared" si="15"/>
        <v>149</v>
      </c>
    </row>
    <row r="24" spans="2:32" ht="23.1" customHeight="1" x14ac:dyDescent="0.25">
      <c r="B24" s="23" t="s">
        <v>51</v>
      </c>
      <c r="C24" s="49">
        <f>AVERAGE('09.09 Ishaka-Katungulu'!C24,'10.09 Ishaka-Katungulu'!C24,'11.09 Ishaka-Katungulu'!C24,'12.09 Ishaka-Katungulu'!C24,'07.09. Ishaka-Katungulu-24h'!C24,'08.09 Ishaka-Katungulu-24h'!C24,'13.09 Ishaka-Katungulu'!C24)</f>
        <v>3.7142857142857144</v>
      </c>
      <c r="D24" s="49">
        <f>AVERAGE('09.09 Ishaka-Katungulu'!D24,'10.09 Ishaka-Katungulu'!D24,'11.09 Ishaka-Katungulu'!D24,'12.09 Ishaka-Katungulu'!D24,'07.09. Ishaka-Katungulu-24h'!D24,'08.09 Ishaka-Katungulu-24h'!D24,'13.09 Ishaka-Katungulu'!D24)</f>
        <v>0.5714285714285714</v>
      </c>
      <c r="E24" s="49">
        <f>AVERAGE('09.09 Ishaka-Katungulu'!E24,'10.09 Ishaka-Katungulu'!E24,'11.09 Ishaka-Katungulu'!E24,'12.09 Ishaka-Katungulu'!E24,'07.09. Ishaka-Katungulu-24h'!E24,'08.09 Ishaka-Katungulu-24h'!E24,'13.09 Ishaka-Katungulu'!E24)</f>
        <v>3</v>
      </c>
      <c r="F24" s="49">
        <f>AVERAGE('09.09 Ishaka-Katungulu'!F24,'10.09 Ishaka-Katungulu'!F24,'11.09 Ishaka-Katungulu'!F24,'12.09 Ishaka-Katungulu'!F24,'07.09. Ishaka-Katungulu-24h'!F24,'08.09 Ishaka-Katungulu-24h'!F24,'13.09 Ishaka-Katungulu'!F24)</f>
        <v>2.4285714285714284</v>
      </c>
      <c r="G24" s="49">
        <f>AVERAGE('09.09 Ishaka-Katungulu'!G24,'10.09 Ishaka-Katungulu'!G24,'11.09 Ishaka-Katungulu'!G24,'12.09 Ishaka-Katungulu'!G24,'07.09. Ishaka-Katungulu-24h'!G24,'08.09 Ishaka-Katungulu-24h'!G24,'13.09 Ishaka-Katungulu'!G24)</f>
        <v>0</v>
      </c>
      <c r="H24" s="49">
        <f>AVERAGE('09.09 Ishaka-Katungulu'!H24,'10.09 Ishaka-Katungulu'!H24,'11.09 Ishaka-Katungulu'!H24,'12.09 Ishaka-Katungulu'!H24,'07.09. Ishaka-Katungulu-24h'!H24,'08.09 Ishaka-Katungulu-24h'!H24,'13.09 Ishaka-Katungulu'!H24)</f>
        <v>0.14285714285714285</v>
      </c>
      <c r="I24" s="49">
        <f>AVERAGE('09.09 Ishaka-Katungulu'!I24,'10.09 Ishaka-Katungulu'!I24,'11.09 Ishaka-Katungulu'!I24,'12.09 Ishaka-Katungulu'!I24,'07.09. Ishaka-Katungulu-24h'!I24,'08.09 Ishaka-Katungulu-24h'!I24,'13.09 Ishaka-Katungulu'!I24)</f>
        <v>0.42857142857142855</v>
      </c>
      <c r="J24" s="49">
        <f>AVERAGE('09.09 Ishaka-Katungulu'!J24,'10.09 Ishaka-Katungulu'!J24,'11.09 Ishaka-Katungulu'!J24,'12.09 Ishaka-Katungulu'!J24,'07.09. Ishaka-Katungulu-24h'!J24,'08.09 Ishaka-Katungulu-24h'!J24,'13.09 Ishaka-Katungulu'!J24)</f>
        <v>0.42857142857142855</v>
      </c>
      <c r="K24" s="49">
        <f>AVERAGE('09.09 Ishaka-Katungulu'!K24,'10.09 Ishaka-Katungulu'!K24,'11.09 Ishaka-Katungulu'!K24,'12.09 Ishaka-Katungulu'!K24,'07.09. Ishaka-Katungulu-24h'!K24,'08.09 Ishaka-Katungulu-24h'!K24,'13.09 Ishaka-Katungulu'!K24)</f>
        <v>0.2857142857142857</v>
      </c>
      <c r="L24" s="49">
        <f>AVERAGE('09.09 Ishaka-Katungulu'!L24,'10.09 Ishaka-Katungulu'!L24,'11.09 Ishaka-Katungulu'!L24,'12.09 Ishaka-Katungulu'!L24,'07.09. Ishaka-Katungulu-24h'!L24,'08.09 Ishaka-Katungulu-24h'!L24,'13.09 Ishaka-Katungulu'!L24)</f>
        <v>0.5714285714285714</v>
      </c>
      <c r="M24" s="49">
        <f>AVERAGE('09.09 Ishaka-Katungulu'!M24,'10.09 Ishaka-Katungulu'!M24,'11.09 Ishaka-Katungulu'!M24,'12.09 Ishaka-Katungulu'!M24,'07.09. Ishaka-Katungulu-24h'!M24,'08.09 Ishaka-Katungulu-24h'!M24,'13.09 Ishaka-Katungulu'!M24)</f>
        <v>36.285714285714285</v>
      </c>
      <c r="N24" s="49">
        <f>AVERAGE('09.09 Ishaka-Katungulu'!N24,'10.09 Ishaka-Katungulu'!N24,'11.09 Ishaka-Katungulu'!N24,'12.09 Ishaka-Katungulu'!N24,'07.09. Ishaka-Katungulu-24h'!N24,'08.09 Ishaka-Katungulu-24h'!N24,'13.09 Ishaka-Katungulu'!N24)</f>
        <v>0</v>
      </c>
      <c r="O24" s="15">
        <f t="shared" si="0"/>
        <v>11.571428571428571</v>
      </c>
      <c r="P24" s="15">
        <f t="shared" si="1"/>
        <v>47.857142857142854</v>
      </c>
      <c r="R24" s="1" t="s">
        <v>148</v>
      </c>
      <c r="S24" s="34">
        <f>SUM(C66:C69)</f>
        <v>11.5</v>
      </c>
      <c r="T24" s="34">
        <f t="shared" ref="T24:AF24" si="16">SUM(D66:D69)</f>
        <v>4.5</v>
      </c>
      <c r="U24" s="34">
        <f t="shared" si="16"/>
        <v>10.5</v>
      </c>
      <c r="V24" s="34">
        <f t="shared" si="16"/>
        <v>10.5</v>
      </c>
      <c r="W24" s="34">
        <f t="shared" si="16"/>
        <v>0</v>
      </c>
      <c r="X24" s="34">
        <f t="shared" si="16"/>
        <v>0</v>
      </c>
      <c r="Y24" s="34">
        <f t="shared" si="16"/>
        <v>3.5</v>
      </c>
      <c r="Z24" s="34">
        <f t="shared" si="16"/>
        <v>0</v>
      </c>
      <c r="AA24" s="34">
        <f t="shared" si="16"/>
        <v>0.5</v>
      </c>
      <c r="AB24" s="34">
        <f t="shared" si="16"/>
        <v>3.5</v>
      </c>
      <c r="AC24" s="34">
        <f t="shared" si="16"/>
        <v>42.5</v>
      </c>
      <c r="AD24" s="34">
        <f t="shared" si="16"/>
        <v>0</v>
      </c>
      <c r="AE24" s="31">
        <f t="shared" si="16"/>
        <v>44.5</v>
      </c>
      <c r="AF24" s="31">
        <f t="shared" si="16"/>
        <v>87</v>
      </c>
    </row>
    <row r="25" spans="2:32" ht="23.1" customHeight="1" x14ac:dyDescent="0.25">
      <c r="B25" s="23" t="s">
        <v>52</v>
      </c>
      <c r="C25" s="49">
        <f>AVERAGE('09.09 Ishaka-Katungulu'!C25,'10.09 Ishaka-Katungulu'!C25,'11.09 Ishaka-Katungulu'!C25,'12.09 Ishaka-Katungulu'!C25,'07.09. Ishaka-Katungulu-24h'!C25,'08.09 Ishaka-Katungulu-24h'!C25,'13.09 Ishaka-Katungulu'!C25)</f>
        <v>6.7142857142857144</v>
      </c>
      <c r="D25" s="49">
        <f>AVERAGE('09.09 Ishaka-Katungulu'!D25,'10.09 Ishaka-Katungulu'!D25,'11.09 Ishaka-Katungulu'!D25,'12.09 Ishaka-Katungulu'!D25,'07.09. Ishaka-Katungulu-24h'!D25,'08.09 Ishaka-Katungulu-24h'!D25,'13.09 Ishaka-Katungulu'!D25)</f>
        <v>1.4285714285714286</v>
      </c>
      <c r="E25" s="49">
        <f>AVERAGE('09.09 Ishaka-Katungulu'!E25,'10.09 Ishaka-Katungulu'!E25,'11.09 Ishaka-Katungulu'!E25,'12.09 Ishaka-Katungulu'!E25,'07.09. Ishaka-Katungulu-24h'!E25,'08.09 Ishaka-Katungulu-24h'!E25,'13.09 Ishaka-Katungulu'!E25)</f>
        <v>5.1428571428571432</v>
      </c>
      <c r="F25" s="49">
        <f>AVERAGE('09.09 Ishaka-Katungulu'!F25,'10.09 Ishaka-Katungulu'!F25,'11.09 Ishaka-Katungulu'!F25,'12.09 Ishaka-Katungulu'!F25,'07.09. Ishaka-Katungulu-24h'!F25,'08.09 Ishaka-Katungulu-24h'!F25,'13.09 Ishaka-Katungulu'!F25)</f>
        <v>4.1428571428571432</v>
      </c>
      <c r="G25" s="49">
        <f>AVERAGE('09.09 Ishaka-Katungulu'!G25,'10.09 Ishaka-Katungulu'!G25,'11.09 Ishaka-Katungulu'!G25,'12.09 Ishaka-Katungulu'!G25,'07.09. Ishaka-Katungulu-24h'!G25,'08.09 Ishaka-Katungulu-24h'!G25,'13.09 Ishaka-Katungulu'!G25)</f>
        <v>0</v>
      </c>
      <c r="H25" s="49">
        <f>AVERAGE('09.09 Ishaka-Katungulu'!H25,'10.09 Ishaka-Katungulu'!H25,'11.09 Ishaka-Katungulu'!H25,'12.09 Ishaka-Katungulu'!H25,'07.09. Ishaka-Katungulu-24h'!H25,'08.09 Ishaka-Katungulu-24h'!H25,'13.09 Ishaka-Katungulu'!H25)</f>
        <v>0.2857142857142857</v>
      </c>
      <c r="I25" s="49">
        <f>AVERAGE('09.09 Ishaka-Katungulu'!I25,'10.09 Ishaka-Katungulu'!I25,'11.09 Ishaka-Katungulu'!I25,'12.09 Ishaka-Katungulu'!I25,'07.09. Ishaka-Katungulu-24h'!I25,'08.09 Ishaka-Katungulu-24h'!I25,'13.09 Ishaka-Katungulu'!I25)</f>
        <v>1.1428571428571428</v>
      </c>
      <c r="J25" s="49">
        <f>AVERAGE('09.09 Ishaka-Katungulu'!J25,'10.09 Ishaka-Katungulu'!J25,'11.09 Ishaka-Katungulu'!J25,'12.09 Ishaka-Katungulu'!J25,'07.09. Ishaka-Katungulu-24h'!J25,'08.09 Ishaka-Katungulu-24h'!J25,'13.09 Ishaka-Katungulu'!J25)</f>
        <v>1.2857142857142858</v>
      </c>
      <c r="K25" s="49">
        <f>AVERAGE('09.09 Ishaka-Katungulu'!K25,'10.09 Ishaka-Katungulu'!K25,'11.09 Ishaka-Katungulu'!K25,'12.09 Ishaka-Katungulu'!K25,'07.09. Ishaka-Katungulu-24h'!K25,'08.09 Ishaka-Katungulu-24h'!K25,'13.09 Ishaka-Katungulu'!K25)</f>
        <v>1</v>
      </c>
      <c r="L25" s="49">
        <f>AVERAGE('09.09 Ishaka-Katungulu'!L25,'10.09 Ishaka-Katungulu'!L25,'11.09 Ishaka-Katungulu'!L25,'12.09 Ishaka-Katungulu'!L25,'07.09. Ishaka-Katungulu-24h'!L25,'08.09 Ishaka-Katungulu-24h'!L25,'13.09 Ishaka-Katungulu'!L25)</f>
        <v>1.2857142857142858</v>
      </c>
      <c r="M25" s="49">
        <f>AVERAGE('09.09 Ishaka-Katungulu'!M25,'10.09 Ishaka-Katungulu'!M25,'11.09 Ishaka-Katungulu'!M25,'12.09 Ishaka-Katungulu'!M25,'07.09. Ishaka-Katungulu-24h'!M25,'08.09 Ishaka-Katungulu-24h'!M25,'13.09 Ishaka-Katungulu'!M25)</f>
        <v>64.571428571428569</v>
      </c>
      <c r="N25" s="49">
        <f>AVERAGE('09.09 Ishaka-Katungulu'!N25,'10.09 Ishaka-Katungulu'!N25,'11.09 Ishaka-Katungulu'!N25,'12.09 Ishaka-Katungulu'!N25,'07.09. Ishaka-Katungulu-24h'!N25,'08.09 Ishaka-Katungulu-24h'!N25,'13.09 Ishaka-Katungulu'!N25)</f>
        <v>0</v>
      </c>
      <c r="O25" s="15">
        <f t="shared" si="0"/>
        <v>22.428571428571423</v>
      </c>
      <c r="P25" s="15">
        <f t="shared" si="1"/>
        <v>87</v>
      </c>
      <c r="R25" s="1" t="s">
        <v>149</v>
      </c>
      <c r="S25" s="34">
        <f>SUM(C70:C73)</f>
        <v>11.5</v>
      </c>
      <c r="T25" s="34">
        <f t="shared" ref="T25:AF25" si="17">SUM(D70:D73)</f>
        <v>5</v>
      </c>
      <c r="U25" s="34">
        <f t="shared" si="17"/>
        <v>10</v>
      </c>
      <c r="V25" s="34">
        <f t="shared" si="17"/>
        <v>5</v>
      </c>
      <c r="W25" s="34">
        <f t="shared" si="17"/>
        <v>0.5</v>
      </c>
      <c r="X25" s="34">
        <f t="shared" si="17"/>
        <v>0.5</v>
      </c>
      <c r="Y25" s="34">
        <f t="shared" si="17"/>
        <v>1</v>
      </c>
      <c r="Z25" s="34">
        <f t="shared" si="17"/>
        <v>7</v>
      </c>
      <c r="AA25" s="34">
        <f t="shared" si="17"/>
        <v>0</v>
      </c>
      <c r="AB25" s="34">
        <f t="shared" si="17"/>
        <v>4</v>
      </c>
      <c r="AC25" s="34">
        <f t="shared" si="17"/>
        <v>25</v>
      </c>
      <c r="AD25" s="34">
        <f t="shared" si="17"/>
        <v>0</v>
      </c>
      <c r="AE25" s="31">
        <f t="shared" si="17"/>
        <v>44.5</v>
      </c>
      <c r="AF25" s="31">
        <f t="shared" si="17"/>
        <v>69.5</v>
      </c>
    </row>
    <row r="26" spans="2:32" ht="23.1" customHeight="1" x14ac:dyDescent="0.25">
      <c r="B26" s="23" t="s">
        <v>53</v>
      </c>
      <c r="C26" s="49">
        <f>AVERAGE('09.09 Ishaka-Katungulu'!C26,'10.09 Ishaka-Katungulu'!C26,'11.09 Ishaka-Katungulu'!C26,'12.09 Ishaka-Katungulu'!C26,'07.09. Ishaka-Katungulu-24h'!C26,'08.09 Ishaka-Katungulu-24h'!C26,'13.09 Ishaka-Katungulu'!C26)</f>
        <v>4.4285714285714288</v>
      </c>
      <c r="D26" s="49">
        <f>AVERAGE('09.09 Ishaka-Katungulu'!D26,'10.09 Ishaka-Katungulu'!D26,'11.09 Ishaka-Katungulu'!D26,'12.09 Ishaka-Katungulu'!D26,'07.09. Ishaka-Katungulu-24h'!D26,'08.09 Ishaka-Katungulu-24h'!D26,'13.09 Ishaka-Katungulu'!D26)</f>
        <v>0.42857142857142855</v>
      </c>
      <c r="E26" s="49">
        <f>AVERAGE('09.09 Ishaka-Katungulu'!E26,'10.09 Ishaka-Katungulu'!E26,'11.09 Ishaka-Katungulu'!E26,'12.09 Ishaka-Katungulu'!E26,'07.09. Ishaka-Katungulu-24h'!E26,'08.09 Ishaka-Katungulu-24h'!E26,'13.09 Ishaka-Katungulu'!E26)</f>
        <v>2.8571428571428572</v>
      </c>
      <c r="F26" s="49">
        <f>AVERAGE('09.09 Ishaka-Katungulu'!F26,'10.09 Ishaka-Katungulu'!F26,'11.09 Ishaka-Katungulu'!F26,'12.09 Ishaka-Katungulu'!F26,'07.09. Ishaka-Katungulu-24h'!F26,'08.09 Ishaka-Katungulu-24h'!F26,'13.09 Ishaka-Katungulu'!F26)</f>
        <v>2.5714285714285716</v>
      </c>
      <c r="G26" s="49">
        <f>AVERAGE('09.09 Ishaka-Katungulu'!G26,'10.09 Ishaka-Katungulu'!G26,'11.09 Ishaka-Katungulu'!G26,'12.09 Ishaka-Katungulu'!G26,'07.09. Ishaka-Katungulu-24h'!G26,'08.09 Ishaka-Katungulu-24h'!G26,'13.09 Ishaka-Katungulu'!G26)</f>
        <v>0</v>
      </c>
      <c r="H26" s="49">
        <f>AVERAGE('09.09 Ishaka-Katungulu'!H26,'10.09 Ishaka-Katungulu'!H26,'11.09 Ishaka-Katungulu'!H26,'12.09 Ishaka-Katungulu'!H26,'07.09. Ishaka-Katungulu-24h'!H26,'08.09 Ishaka-Katungulu-24h'!H26,'13.09 Ishaka-Katungulu'!H26)</f>
        <v>0</v>
      </c>
      <c r="I26" s="49">
        <f>AVERAGE('09.09 Ishaka-Katungulu'!I26,'10.09 Ishaka-Katungulu'!I26,'11.09 Ishaka-Katungulu'!I26,'12.09 Ishaka-Katungulu'!I26,'07.09. Ishaka-Katungulu-24h'!I26,'08.09 Ishaka-Katungulu-24h'!I26,'13.09 Ishaka-Katungulu'!I26)</f>
        <v>0.5714285714285714</v>
      </c>
      <c r="J26" s="49">
        <f>AVERAGE('09.09 Ishaka-Katungulu'!J26,'10.09 Ishaka-Katungulu'!J26,'11.09 Ishaka-Katungulu'!J26,'12.09 Ishaka-Katungulu'!J26,'07.09. Ishaka-Katungulu-24h'!J26,'08.09 Ishaka-Katungulu-24h'!J26,'13.09 Ishaka-Katungulu'!J26)</f>
        <v>0.2857142857142857</v>
      </c>
      <c r="K26" s="49">
        <f>AVERAGE('09.09 Ishaka-Katungulu'!K26,'10.09 Ishaka-Katungulu'!K26,'11.09 Ishaka-Katungulu'!K26,'12.09 Ishaka-Katungulu'!K26,'07.09. Ishaka-Katungulu-24h'!K26,'08.09 Ishaka-Katungulu-24h'!K26,'13.09 Ishaka-Katungulu'!K26)</f>
        <v>0.14285714285714285</v>
      </c>
      <c r="L26" s="49">
        <f>AVERAGE('09.09 Ishaka-Katungulu'!L26,'10.09 Ishaka-Katungulu'!L26,'11.09 Ishaka-Katungulu'!L26,'12.09 Ishaka-Katungulu'!L26,'07.09. Ishaka-Katungulu-24h'!L26,'08.09 Ishaka-Katungulu-24h'!L26,'13.09 Ishaka-Katungulu'!L26)</f>
        <v>0.8571428571428571</v>
      </c>
      <c r="M26" s="49">
        <f>AVERAGE('09.09 Ishaka-Katungulu'!M26,'10.09 Ishaka-Katungulu'!M26,'11.09 Ishaka-Katungulu'!M26,'12.09 Ishaka-Katungulu'!M26,'07.09. Ishaka-Katungulu-24h'!M26,'08.09 Ishaka-Katungulu-24h'!M26,'13.09 Ishaka-Katungulu'!M26)</f>
        <v>36</v>
      </c>
      <c r="N26" s="49">
        <f>AVERAGE('09.09 Ishaka-Katungulu'!N26,'10.09 Ishaka-Katungulu'!N26,'11.09 Ishaka-Katungulu'!N26,'12.09 Ishaka-Katungulu'!N26,'07.09. Ishaka-Katungulu-24h'!N26,'08.09 Ishaka-Katungulu-24h'!N26,'13.09 Ishaka-Katungulu'!N26)</f>
        <v>0</v>
      </c>
      <c r="O26" s="15">
        <f t="shared" si="0"/>
        <v>12.142857142857144</v>
      </c>
      <c r="P26" s="15">
        <f t="shared" si="1"/>
        <v>48.142857142857146</v>
      </c>
      <c r="R26" s="1" t="s">
        <v>150</v>
      </c>
      <c r="S26" s="34">
        <f>SUM(C74:C77)</f>
        <v>6.5</v>
      </c>
      <c r="T26" s="34">
        <f t="shared" ref="T26:AF26" si="18">SUM(D74:D77)</f>
        <v>2</v>
      </c>
      <c r="U26" s="34">
        <f t="shared" si="18"/>
        <v>4.5</v>
      </c>
      <c r="V26" s="34">
        <f t="shared" si="18"/>
        <v>9</v>
      </c>
      <c r="W26" s="34">
        <f t="shared" si="18"/>
        <v>0</v>
      </c>
      <c r="X26" s="34">
        <f t="shared" si="18"/>
        <v>0.5</v>
      </c>
      <c r="Y26" s="34">
        <f t="shared" si="18"/>
        <v>4.5</v>
      </c>
      <c r="Z26" s="34">
        <f t="shared" si="18"/>
        <v>2.5</v>
      </c>
      <c r="AA26" s="34">
        <f t="shared" si="18"/>
        <v>2.5</v>
      </c>
      <c r="AB26" s="34">
        <f t="shared" si="18"/>
        <v>3.5</v>
      </c>
      <c r="AC26" s="34">
        <f t="shared" si="18"/>
        <v>21</v>
      </c>
      <c r="AD26" s="34">
        <f t="shared" si="18"/>
        <v>0</v>
      </c>
      <c r="AE26" s="31">
        <f t="shared" si="18"/>
        <v>35.5</v>
      </c>
      <c r="AF26" s="31">
        <f t="shared" si="18"/>
        <v>56.5</v>
      </c>
    </row>
    <row r="27" spans="2:32" ht="23.1" customHeight="1" x14ac:dyDescent="0.25">
      <c r="B27" s="23" t="s">
        <v>54</v>
      </c>
      <c r="C27" s="49">
        <f>AVERAGE('09.09 Ishaka-Katungulu'!C27,'10.09 Ishaka-Katungulu'!C27,'11.09 Ishaka-Katungulu'!C27,'12.09 Ishaka-Katungulu'!C27,'07.09. Ishaka-Katungulu-24h'!C27,'08.09 Ishaka-Katungulu-24h'!C27,'13.09 Ishaka-Katungulu'!C27)</f>
        <v>7.4285714285714288</v>
      </c>
      <c r="D27" s="49">
        <f>AVERAGE('09.09 Ishaka-Katungulu'!D27,'10.09 Ishaka-Katungulu'!D27,'11.09 Ishaka-Katungulu'!D27,'12.09 Ishaka-Katungulu'!D27,'07.09. Ishaka-Katungulu-24h'!D27,'08.09 Ishaka-Katungulu-24h'!D27,'13.09 Ishaka-Katungulu'!D27)</f>
        <v>1.1428571428571428</v>
      </c>
      <c r="E27" s="49">
        <f>AVERAGE('09.09 Ishaka-Katungulu'!E27,'10.09 Ishaka-Katungulu'!E27,'11.09 Ishaka-Katungulu'!E27,'12.09 Ishaka-Katungulu'!E27,'07.09. Ishaka-Katungulu-24h'!E27,'08.09 Ishaka-Katungulu-24h'!E27,'13.09 Ishaka-Katungulu'!E27)</f>
        <v>4.7142857142857144</v>
      </c>
      <c r="F27" s="49">
        <f>AVERAGE('09.09 Ishaka-Katungulu'!F27,'10.09 Ishaka-Katungulu'!F27,'11.09 Ishaka-Katungulu'!F27,'12.09 Ishaka-Katungulu'!F27,'07.09. Ishaka-Katungulu-24h'!F27,'08.09 Ishaka-Katungulu-24h'!F27,'13.09 Ishaka-Katungulu'!F27)</f>
        <v>4.4285714285714288</v>
      </c>
      <c r="G27" s="49">
        <f>AVERAGE('09.09 Ishaka-Katungulu'!G27,'10.09 Ishaka-Katungulu'!G27,'11.09 Ishaka-Katungulu'!G27,'12.09 Ishaka-Katungulu'!G27,'07.09. Ishaka-Katungulu-24h'!G27,'08.09 Ishaka-Katungulu-24h'!G27,'13.09 Ishaka-Katungulu'!G27)</f>
        <v>0.42857142857142855</v>
      </c>
      <c r="H27" s="49">
        <f>AVERAGE('09.09 Ishaka-Katungulu'!H27,'10.09 Ishaka-Katungulu'!H27,'11.09 Ishaka-Katungulu'!H27,'12.09 Ishaka-Katungulu'!H27,'07.09. Ishaka-Katungulu-24h'!H27,'08.09 Ishaka-Katungulu-24h'!H27,'13.09 Ishaka-Katungulu'!H27)</f>
        <v>0</v>
      </c>
      <c r="I27" s="49">
        <f>AVERAGE('09.09 Ishaka-Katungulu'!I27,'10.09 Ishaka-Katungulu'!I27,'11.09 Ishaka-Katungulu'!I27,'12.09 Ishaka-Katungulu'!I27,'07.09. Ishaka-Katungulu-24h'!I27,'08.09 Ishaka-Katungulu-24h'!I27,'13.09 Ishaka-Katungulu'!I27)</f>
        <v>1.4285714285714286</v>
      </c>
      <c r="J27" s="49">
        <f>AVERAGE('09.09 Ishaka-Katungulu'!J27,'10.09 Ishaka-Katungulu'!J27,'11.09 Ishaka-Katungulu'!J27,'12.09 Ishaka-Katungulu'!J27,'07.09. Ishaka-Katungulu-24h'!J27,'08.09 Ishaka-Katungulu-24h'!J27,'13.09 Ishaka-Katungulu'!J27)</f>
        <v>0.8571428571428571</v>
      </c>
      <c r="K27" s="49">
        <f>AVERAGE('09.09 Ishaka-Katungulu'!K27,'10.09 Ishaka-Katungulu'!K27,'11.09 Ishaka-Katungulu'!K27,'12.09 Ishaka-Katungulu'!K27,'07.09. Ishaka-Katungulu-24h'!K27,'08.09 Ishaka-Katungulu-24h'!K27,'13.09 Ishaka-Katungulu'!K27)</f>
        <v>0.8571428571428571</v>
      </c>
      <c r="L27" s="49">
        <f>AVERAGE('09.09 Ishaka-Katungulu'!L27,'10.09 Ishaka-Katungulu'!L27,'11.09 Ishaka-Katungulu'!L27,'12.09 Ishaka-Katungulu'!L27,'07.09. Ishaka-Katungulu-24h'!L27,'08.09 Ishaka-Katungulu-24h'!L27,'13.09 Ishaka-Katungulu'!L27)</f>
        <v>2.1428571428571428</v>
      </c>
      <c r="M27" s="49">
        <f>AVERAGE('09.09 Ishaka-Katungulu'!M27,'10.09 Ishaka-Katungulu'!M27,'11.09 Ishaka-Katungulu'!M27,'12.09 Ishaka-Katungulu'!M27,'07.09. Ishaka-Katungulu-24h'!M27,'08.09 Ishaka-Katungulu-24h'!M27,'13.09 Ishaka-Katungulu'!M27)</f>
        <v>64</v>
      </c>
      <c r="N27" s="49">
        <f>AVERAGE('09.09 Ishaka-Katungulu'!N27,'10.09 Ishaka-Katungulu'!N27,'11.09 Ishaka-Katungulu'!N27,'12.09 Ishaka-Katungulu'!N27,'07.09. Ishaka-Katungulu-24h'!N27,'08.09 Ishaka-Katungulu-24h'!N27,'13.09 Ishaka-Katungulu'!N27)</f>
        <v>0</v>
      </c>
      <c r="O27" s="15">
        <f t="shared" si="0"/>
        <v>23.428571428571427</v>
      </c>
      <c r="P27" s="15">
        <f t="shared" si="1"/>
        <v>87.428571428571431</v>
      </c>
      <c r="R27" s="1" t="s">
        <v>151</v>
      </c>
      <c r="S27" s="34">
        <f>SUM(C78:C81)</f>
        <v>2.5</v>
      </c>
      <c r="T27" s="34">
        <f t="shared" ref="T27:AF27" si="19">SUM(D78:D81)</f>
        <v>0.5</v>
      </c>
      <c r="U27" s="34">
        <f t="shared" si="19"/>
        <v>2.5</v>
      </c>
      <c r="V27" s="34">
        <f t="shared" si="19"/>
        <v>2.5</v>
      </c>
      <c r="W27" s="34">
        <f t="shared" si="19"/>
        <v>0.5</v>
      </c>
      <c r="X27" s="34">
        <f t="shared" si="19"/>
        <v>1.5</v>
      </c>
      <c r="Y27" s="34">
        <f t="shared" si="19"/>
        <v>2</v>
      </c>
      <c r="Z27" s="34">
        <f t="shared" si="19"/>
        <v>1.5</v>
      </c>
      <c r="AA27" s="34">
        <f t="shared" si="19"/>
        <v>0</v>
      </c>
      <c r="AB27" s="34">
        <f t="shared" si="19"/>
        <v>4.5</v>
      </c>
      <c r="AC27" s="34">
        <f t="shared" si="19"/>
        <v>8.5</v>
      </c>
      <c r="AD27" s="34">
        <f t="shared" si="19"/>
        <v>0</v>
      </c>
      <c r="AE27" s="31">
        <f t="shared" si="19"/>
        <v>18</v>
      </c>
      <c r="AF27" s="31">
        <f t="shared" si="19"/>
        <v>26.5</v>
      </c>
    </row>
    <row r="28" spans="2:32" ht="23.1" customHeight="1" x14ac:dyDescent="0.25">
      <c r="B28" s="23" t="s">
        <v>55</v>
      </c>
      <c r="C28" s="49">
        <f>AVERAGE('09.09 Ishaka-Katungulu'!C28,'10.09 Ishaka-Katungulu'!C28,'11.09 Ishaka-Katungulu'!C28,'12.09 Ishaka-Katungulu'!C28,'07.09. Ishaka-Katungulu-24h'!C28,'08.09 Ishaka-Katungulu-24h'!C28,'13.09 Ishaka-Katungulu'!C28)</f>
        <v>3.8571428571428572</v>
      </c>
      <c r="D28" s="49">
        <f>AVERAGE('09.09 Ishaka-Katungulu'!D28,'10.09 Ishaka-Katungulu'!D28,'11.09 Ishaka-Katungulu'!D28,'12.09 Ishaka-Katungulu'!D28,'07.09. Ishaka-Katungulu-24h'!D28,'08.09 Ishaka-Katungulu-24h'!D28,'13.09 Ishaka-Katungulu'!D28)</f>
        <v>0.42857142857142855</v>
      </c>
      <c r="E28" s="49">
        <f>AVERAGE('09.09 Ishaka-Katungulu'!E28,'10.09 Ishaka-Katungulu'!E28,'11.09 Ishaka-Katungulu'!E28,'12.09 Ishaka-Katungulu'!E28,'07.09. Ishaka-Katungulu-24h'!E28,'08.09 Ishaka-Katungulu-24h'!E28,'13.09 Ishaka-Katungulu'!E28)</f>
        <v>3.1428571428571428</v>
      </c>
      <c r="F28" s="49">
        <f>AVERAGE('09.09 Ishaka-Katungulu'!F28,'10.09 Ishaka-Katungulu'!F28,'11.09 Ishaka-Katungulu'!F28,'12.09 Ishaka-Katungulu'!F28,'07.09. Ishaka-Katungulu-24h'!F28,'08.09 Ishaka-Katungulu-24h'!F28,'13.09 Ishaka-Katungulu'!F28)</f>
        <v>1.4285714285714286</v>
      </c>
      <c r="G28" s="49">
        <f>AVERAGE('09.09 Ishaka-Katungulu'!G28,'10.09 Ishaka-Katungulu'!G28,'11.09 Ishaka-Katungulu'!G28,'12.09 Ishaka-Katungulu'!G28,'07.09. Ishaka-Katungulu-24h'!G28,'08.09 Ishaka-Katungulu-24h'!G28,'13.09 Ishaka-Katungulu'!G28)</f>
        <v>0</v>
      </c>
      <c r="H28" s="49">
        <f>AVERAGE('09.09 Ishaka-Katungulu'!H28,'10.09 Ishaka-Katungulu'!H28,'11.09 Ishaka-Katungulu'!H28,'12.09 Ishaka-Katungulu'!H28,'07.09. Ishaka-Katungulu-24h'!H28,'08.09 Ishaka-Katungulu-24h'!H28,'13.09 Ishaka-Katungulu'!H28)</f>
        <v>0</v>
      </c>
      <c r="I28" s="49">
        <f>AVERAGE('09.09 Ishaka-Katungulu'!I28,'10.09 Ishaka-Katungulu'!I28,'11.09 Ishaka-Katungulu'!I28,'12.09 Ishaka-Katungulu'!I28,'07.09. Ishaka-Katungulu-24h'!I28,'08.09 Ishaka-Katungulu-24h'!I28,'13.09 Ishaka-Katungulu'!I28)</f>
        <v>0</v>
      </c>
      <c r="J28" s="49">
        <f>AVERAGE('09.09 Ishaka-Katungulu'!J28,'10.09 Ishaka-Katungulu'!J28,'11.09 Ishaka-Katungulu'!J28,'12.09 Ishaka-Katungulu'!J28,'07.09. Ishaka-Katungulu-24h'!J28,'08.09 Ishaka-Katungulu-24h'!J28,'13.09 Ishaka-Katungulu'!J28)</f>
        <v>0.14285714285714285</v>
      </c>
      <c r="K28" s="49">
        <f>AVERAGE('09.09 Ishaka-Katungulu'!K28,'10.09 Ishaka-Katungulu'!K28,'11.09 Ishaka-Katungulu'!K28,'12.09 Ishaka-Katungulu'!K28,'07.09. Ishaka-Katungulu-24h'!K28,'08.09 Ishaka-Katungulu-24h'!K28,'13.09 Ishaka-Katungulu'!K28)</f>
        <v>0.42857142857142855</v>
      </c>
      <c r="L28" s="49">
        <f>AVERAGE('09.09 Ishaka-Katungulu'!L28,'10.09 Ishaka-Katungulu'!L28,'11.09 Ishaka-Katungulu'!L28,'12.09 Ishaka-Katungulu'!L28,'07.09. Ishaka-Katungulu-24h'!L28,'08.09 Ishaka-Katungulu-24h'!L28,'13.09 Ishaka-Katungulu'!L28)</f>
        <v>0.7142857142857143</v>
      </c>
      <c r="M28" s="49">
        <f>AVERAGE('09.09 Ishaka-Katungulu'!M28,'10.09 Ishaka-Katungulu'!M28,'11.09 Ishaka-Katungulu'!M28,'12.09 Ishaka-Katungulu'!M28,'07.09. Ishaka-Katungulu-24h'!M28,'08.09 Ishaka-Katungulu-24h'!M28,'13.09 Ishaka-Katungulu'!M28)</f>
        <v>31.714285714285715</v>
      </c>
      <c r="N28" s="49">
        <f>AVERAGE('09.09 Ishaka-Katungulu'!N28,'10.09 Ishaka-Katungulu'!N28,'11.09 Ishaka-Katungulu'!N28,'12.09 Ishaka-Katungulu'!N28,'07.09. Ishaka-Katungulu-24h'!N28,'08.09 Ishaka-Katungulu-24h'!N28,'13.09 Ishaka-Katungulu'!N28)</f>
        <v>0</v>
      </c>
      <c r="O28" s="15">
        <f t="shared" si="0"/>
        <v>10.142857142857142</v>
      </c>
      <c r="P28" s="15">
        <f t="shared" si="1"/>
        <v>41.857142857142861</v>
      </c>
      <c r="R28" s="1" t="s">
        <v>152</v>
      </c>
      <c r="S28" s="34">
        <f>SUM(C82:C85)</f>
        <v>1.5</v>
      </c>
      <c r="T28" s="34">
        <f t="shared" ref="T28:AF28" si="20">SUM(D82:D85)</f>
        <v>0.5</v>
      </c>
      <c r="U28" s="34">
        <f t="shared" si="20"/>
        <v>2.5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</v>
      </c>
      <c r="AA28" s="34">
        <f t="shared" si="20"/>
        <v>0.5</v>
      </c>
      <c r="AB28" s="34">
        <f t="shared" si="20"/>
        <v>1</v>
      </c>
      <c r="AC28" s="34">
        <f t="shared" si="20"/>
        <v>6</v>
      </c>
      <c r="AD28" s="34">
        <f t="shared" si="20"/>
        <v>0</v>
      </c>
      <c r="AE28" s="31">
        <f t="shared" si="20"/>
        <v>7</v>
      </c>
      <c r="AF28" s="31">
        <f t="shared" si="20"/>
        <v>13</v>
      </c>
    </row>
    <row r="29" spans="2:32" ht="23.1" customHeight="1" x14ac:dyDescent="0.25">
      <c r="B29" s="23" t="s">
        <v>56</v>
      </c>
      <c r="C29" s="49">
        <f>AVERAGE('09.09 Ishaka-Katungulu'!C29,'10.09 Ishaka-Katungulu'!C29,'11.09 Ishaka-Katungulu'!C29,'12.09 Ishaka-Katungulu'!C29,'07.09. Ishaka-Katungulu-24h'!C29,'08.09 Ishaka-Katungulu-24h'!C29,'13.09 Ishaka-Katungulu'!C29)</f>
        <v>7.1428571428571432</v>
      </c>
      <c r="D29" s="49">
        <f>AVERAGE('09.09 Ishaka-Katungulu'!D29,'10.09 Ishaka-Katungulu'!D29,'11.09 Ishaka-Katungulu'!D29,'12.09 Ishaka-Katungulu'!D29,'07.09. Ishaka-Katungulu-24h'!D29,'08.09 Ishaka-Katungulu-24h'!D29,'13.09 Ishaka-Katungulu'!D29)</f>
        <v>1</v>
      </c>
      <c r="E29" s="49">
        <f>AVERAGE('09.09 Ishaka-Katungulu'!E29,'10.09 Ishaka-Katungulu'!E29,'11.09 Ishaka-Katungulu'!E29,'12.09 Ishaka-Katungulu'!E29,'07.09. Ishaka-Katungulu-24h'!E29,'08.09 Ishaka-Katungulu-24h'!E29,'13.09 Ishaka-Katungulu'!E29)</f>
        <v>5.4285714285714288</v>
      </c>
      <c r="F29" s="49">
        <f>AVERAGE('09.09 Ishaka-Katungulu'!F29,'10.09 Ishaka-Katungulu'!F29,'11.09 Ishaka-Katungulu'!F29,'12.09 Ishaka-Katungulu'!F29,'07.09. Ishaka-Katungulu-24h'!F29,'08.09 Ishaka-Katungulu-24h'!F29,'13.09 Ishaka-Katungulu'!F29)</f>
        <v>3</v>
      </c>
      <c r="G29" s="49">
        <f>AVERAGE('09.09 Ishaka-Katungulu'!G29,'10.09 Ishaka-Katungulu'!G29,'11.09 Ishaka-Katungulu'!G29,'12.09 Ishaka-Katungulu'!G29,'07.09. Ishaka-Katungulu-24h'!G29,'08.09 Ishaka-Katungulu-24h'!G29,'13.09 Ishaka-Katungulu'!G29)</f>
        <v>0.14285714285714285</v>
      </c>
      <c r="H29" s="49">
        <f>AVERAGE('09.09 Ishaka-Katungulu'!H29,'10.09 Ishaka-Katungulu'!H29,'11.09 Ishaka-Katungulu'!H29,'12.09 Ishaka-Katungulu'!H29,'07.09. Ishaka-Katungulu-24h'!H29,'08.09 Ishaka-Katungulu-24h'!H29,'13.09 Ishaka-Katungulu'!H29)</f>
        <v>0.14285714285714285</v>
      </c>
      <c r="I29" s="49">
        <f>AVERAGE('09.09 Ishaka-Katungulu'!I29,'10.09 Ishaka-Katungulu'!I29,'11.09 Ishaka-Katungulu'!I29,'12.09 Ishaka-Katungulu'!I29,'07.09. Ishaka-Katungulu-24h'!I29,'08.09 Ishaka-Katungulu-24h'!I29,'13.09 Ishaka-Katungulu'!I29)</f>
        <v>0.8571428571428571</v>
      </c>
      <c r="J29" s="49">
        <f>AVERAGE('09.09 Ishaka-Katungulu'!J29,'10.09 Ishaka-Katungulu'!J29,'11.09 Ishaka-Katungulu'!J29,'12.09 Ishaka-Katungulu'!J29,'07.09. Ishaka-Katungulu-24h'!J29,'08.09 Ishaka-Katungulu-24h'!J29,'13.09 Ishaka-Katungulu'!J29)</f>
        <v>0.7142857142857143</v>
      </c>
      <c r="K29" s="49">
        <f>AVERAGE('09.09 Ishaka-Katungulu'!K29,'10.09 Ishaka-Katungulu'!K29,'11.09 Ishaka-Katungulu'!K29,'12.09 Ishaka-Katungulu'!K29,'07.09. Ishaka-Katungulu-24h'!K29,'08.09 Ishaka-Katungulu-24h'!K29,'13.09 Ishaka-Katungulu'!K29)</f>
        <v>0.8571428571428571</v>
      </c>
      <c r="L29" s="49">
        <f>AVERAGE('09.09 Ishaka-Katungulu'!L29,'10.09 Ishaka-Katungulu'!L29,'11.09 Ishaka-Katungulu'!L29,'12.09 Ishaka-Katungulu'!L29,'07.09. Ishaka-Katungulu-24h'!L29,'08.09 Ishaka-Katungulu-24h'!L29,'13.09 Ishaka-Katungulu'!L29)</f>
        <v>1.5714285714285714</v>
      </c>
      <c r="M29" s="49">
        <f>AVERAGE('09.09 Ishaka-Katungulu'!M29,'10.09 Ishaka-Katungulu'!M29,'11.09 Ishaka-Katungulu'!M29,'12.09 Ishaka-Katungulu'!M29,'07.09. Ishaka-Katungulu-24h'!M29,'08.09 Ishaka-Katungulu-24h'!M29,'13.09 Ishaka-Katungulu'!M29)</f>
        <v>56.714285714285715</v>
      </c>
      <c r="N29" s="49">
        <f>AVERAGE('09.09 Ishaka-Katungulu'!N29,'10.09 Ishaka-Katungulu'!N29,'11.09 Ishaka-Katungulu'!N29,'12.09 Ishaka-Katungulu'!N29,'07.09. Ishaka-Katungulu-24h'!N29,'08.09 Ishaka-Katungulu-24h'!N29,'13.09 Ishaka-Katungulu'!N29)</f>
        <v>0</v>
      </c>
      <c r="O29" s="15">
        <f t="shared" si="0"/>
        <v>20.857142857142858</v>
      </c>
      <c r="P29" s="15">
        <f t="shared" si="1"/>
        <v>77.571428571428569</v>
      </c>
      <c r="R29" s="1" t="s">
        <v>153</v>
      </c>
      <c r="S29" s="34">
        <f>SUM(C86:C89)</f>
        <v>1.5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0.5</v>
      </c>
      <c r="AB29" s="34">
        <f t="shared" si="21"/>
        <v>1</v>
      </c>
      <c r="AC29" s="34">
        <f t="shared" si="21"/>
        <v>0</v>
      </c>
      <c r="AD29" s="34">
        <f t="shared" si="21"/>
        <v>0</v>
      </c>
      <c r="AE29" s="31">
        <f t="shared" si="21"/>
        <v>5</v>
      </c>
      <c r="AF29" s="31">
        <f t="shared" si="21"/>
        <v>5</v>
      </c>
    </row>
    <row r="30" spans="2:32" ht="23.1" customHeight="1" x14ac:dyDescent="0.25">
      <c r="B30" s="23" t="s">
        <v>57</v>
      </c>
      <c r="C30" s="49">
        <f>AVERAGE('09.09 Ishaka-Katungulu'!C30,'10.09 Ishaka-Katungulu'!C30,'11.09 Ishaka-Katungulu'!C30,'12.09 Ishaka-Katungulu'!C30,'07.09. Ishaka-Katungulu-24h'!C30,'08.09 Ishaka-Katungulu-24h'!C30,'13.09 Ishaka-Katungulu'!C30)</f>
        <v>4.1428571428571432</v>
      </c>
      <c r="D30" s="49">
        <f>AVERAGE('09.09 Ishaka-Katungulu'!D30,'10.09 Ishaka-Katungulu'!D30,'11.09 Ishaka-Katungulu'!D30,'12.09 Ishaka-Katungulu'!D30,'07.09. Ishaka-Katungulu-24h'!D30,'08.09 Ishaka-Katungulu-24h'!D30,'13.09 Ishaka-Katungulu'!D30)</f>
        <v>0.42857142857142855</v>
      </c>
      <c r="E30" s="49">
        <f>AVERAGE('09.09 Ishaka-Katungulu'!E30,'10.09 Ishaka-Katungulu'!E30,'11.09 Ishaka-Katungulu'!E30,'12.09 Ishaka-Katungulu'!E30,'07.09. Ishaka-Katungulu-24h'!E30,'08.09 Ishaka-Katungulu-24h'!E30,'13.09 Ishaka-Katungulu'!E30)</f>
        <v>2.5714285714285716</v>
      </c>
      <c r="F30" s="49">
        <f>AVERAGE('09.09 Ishaka-Katungulu'!F30,'10.09 Ishaka-Katungulu'!F30,'11.09 Ishaka-Katungulu'!F30,'12.09 Ishaka-Katungulu'!F30,'07.09. Ishaka-Katungulu-24h'!F30,'08.09 Ishaka-Katungulu-24h'!F30,'13.09 Ishaka-Katungulu'!F30)</f>
        <v>2.4285714285714284</v>
      </c>
      <c r="G30" s="49">
        <f>AVERAGE('09.09 Ishaka-Katungulu'!G30,'10.09 Ishaka-Katungulu'!G30,'11.09 Ishaka-Katungulu'!G30,'12.09 Ishaka-Katungulu'!G30,'07.09. Ishaka-Katungulu-24h'!G30,'08.09 Ishaka-Katungulu-24h'!G30,'13.09 Ishaka-Katungulu'!G30)</f>
        <v>0.14285714285714285</v>
      </c>
      <c r="H30" s="49">
        <f>AVERAGE('09.09 Ishaka-Katungulu'!H30,'10.09 Ishaka-Katungulu'!H30,'11.09 Ishaka-Katungulu'!H30,'12.09 Ishaka-Katungulu'!H30,'07.09. Ishaka-Katungulu-24h'!H30,'08.09 Ishaka-Katungulu-24h'!H30,'13.09 Ishaka-Katungulu'!H30)</f>
        <v>0.2857142857142857</v>
      </c>
      <c r="I30" s="49">
        <f>AVERAGE('09.09 Ishaka-Katungulu'!I30,'10.09 Ishaka-Katungulu'!I30,'11.09 Ishaka-Katungulu'!I30,'12.09 Ishaka-Katungulu'!I30,'07.09. Ishaka-Katungulu-24h'!I30,'08.09 Ishaka-Katungulu-24h'!I30,'13.09 Ishaka-Katungulu'!I30)</f>
        <v>1</v>
      </c>
      <c r="J30" s="49">
        <f>AVERAGE('09.09 Ishaka-Katungulu'!J30,'10.09 Ishaka-Katungulu'!J30,'11.09 Ishaka-Katungulu'!J30,'12.09 Ishaka-Katungulu'!J30,'07.09. Ishaka-Katungulu-24h'!J30,'08.09 Ishaka-Katungulu-24h'!J30,'13.09 Ishaka-Katungulu'!J30)</f>
        <v>0.14285714285714285</v>
      </c>
      <c r="K30" s="49">
        <f>AVERAGE('09.09 Ishaka-Katungulu'!K30,'10.09 Ishaka-Katungulu'!K30,'11.09 Ishaka-Katungulu'!K30,'12.09 Ishaka-Katungulu'!K30,'07.09. Ishaka-Katungulu-24h'!K30,'08.09 Ishaka-Katungulu-24h'!K30,'13.09 Ishaka-Katungulu'!K30)</f>
        <v>0.2857142857142857</v>
      </c>
      <c r="L30" s="49">
        <f>AVERAGE('09.09 Ishaka-Katungulu'!L30,'10.09 Ishaka-Katungulu'!L30,'11.09 Ishaka-Katungulu'!L30,'12.09 Ishaka-Katungulu'!L30,'07.09. Ishaka-Katungulu-24h'!L30,'08.09 Ishaka-Katungulu-24h'!L30,'13.09 Ishaka-Katungulu'!L30)</f>
        <v>0.2857142857142857</v>
      </c>
      <c r="M30" s="49">
        <f>AVERAGE('09.09 Ishaka-Katungulu'!M30,'10.09 Ishaka-Katungulu'!M30,'11.09 Ishaka-Katungulu'!M30,'12.09 Ishaka-Katungulu'!M30,'07.09. Ishaka-Katungulu-24h'!M30,'08.09 Ishaka-Katungulu-24h'!M30,'13.09 Ishaka-Katungulu'!M30)</f>
        <v>32.571428571428569</v>
      </c>
      <c r="N30" s="49">
        <f>AVERAGE('09.09 Ishaka-Katungulu'!N30,'10.09 Ishaka-Katungulu'!N30,'11.09 Ishaka-Katungulu'!N30,'12.09 Ishaka-Katungulu'!N30,'07.09. Ishaka-Katungulu-24h'!N30,'08.09 Ishaka-Katungulu-24h'!N30,'13.09 Ishaka-Katungulu'!N30)</f>
        <v>0</v>
      </c>
      <c r="O30" s="15">
        <f t="shared" si="0"/>
        <v>11.714285714285717</v>
      </c>
      <c r="P30" s="15">
        <f t="shared" si="1"/>
        <v>44.285714285714285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1.5</v>
      </c>
      <c r="AC30" s="34">
        <f t="shared" si="22"/>
        <v>0</v>
      </c>
      <c r="AD30" s="34">
        <f t="shared" si="22"/>
        <v>0</v>
      </c>
      <c r="AE30" s="31">
        <f t="shared" si="22"/>
        <v>2</v>
      </c>
      <c r="AF30" s="31">
        <f t="shared" si="22"/>
        <v>2</v>
      </c>
    </row>
    <row r="31" spans="2:32" ht="23.1" customHeight="1" x14ac:dyDescent="0.25">
      <c r="B31" s="24" t="s">
        <v>58</v>
      </c>
      <c r="C31" s="49">
        <f>AVERAGE('09.09 Ishaka-Katungulu'!C31,'10.09 Ishaka-Katungulu'!C31,'11.09 Ishaka-Katungulu'!C31,'12.09 Ishaka-Katungulu'!C31,'07.09. Ishaka-Katungulu-24h'!C31,'08.09 Ishaka-Katungulu-24h'!C31,'13.09 Ishaka-Katungulu'!C31)</f>
        <v>7.2857142857142856</v>
      </c>
      <c r="D31" s="49">
        <f>AVERAGE('09.09 Ishaka-Katungulu'!D31,'10.09 Ishaka-Katungulu'!D31,'11.09 Ishaka-Katungulu'!D31,'12.09 Ishaka-Katungulu'!D31,'07.09. Ishaka-Katungulu-24h'!D31,'08.09 Ishaka-Katungulu-24h'!D31,'13.09 Ishaka-Katungulu'!D31)</f>
        <v>1.2857142857142858</v>
      </c>
      <c r="E31" s="49">
        <f>AVERAGE('09.09 Ishaka-Katungulu'!E31,'10.09 Ishaka-Katungulu'!E31,'11.09 Ishaka-Katungulu'!E31,'12.09 Ishaka-Katungulu'!E31,'07.09. Ishaka-Katungulu-24h'!E31,'08.09 Ishaka-Katungulu-24h'!E31,'13.09 Ishaka-Katungulu'!E31)</f>
        <v>4.2857142857142856</v>
      </c>
      <c r="F31" s="49">
        <f>AVERAGE('09.09 Ishaka-Katungulu'!F31,'10.09 Ishaka-Katungulu'!F31,'11.09 Ishaka-Katungulu'!F31,'12.09 Ishaka-Katungulu'!F31,'07.09. Ishaka-Katungulu-24h'!F31,'08.09 Ishaka-Katungulu-24h'!F31,'13.09 Ishaka-Katungulu'!F31)</f>
        <v>4.5714285714285712</v>
      </c>
      <c r="G31" s="49">
        <f>AVERAGE('09.09 Ishaka-Katungulu'!G31,'10.09 Ishaka-Katungulu'!G31,'11.09 Ishaka-Katungulu'!G31,'12.09 Ishaka-Katungulu'!G31,'07.09. Ishaka-Katungulu-24h'!G31,'08.09 Ishaka-Katungulu-24h'!G31,'13.09 Ishaka-Katungulu'!G31)</f>
        <v>0.42857142857142855</v>
      </c>
      <c r="H31" s="49">
        <f>AVERAGE('09.09 Ishaka-Katungulu'!H31,'10.09 Ishaka-Katungulu'!H31,'11.09 Ishaka-Katungulu'!H31,'12.09 Ishaka-Katungulu'!H31,'07.09. Ishaka-Katungulu-24h'!H31,'08.09 Ishaka-Katungulu-24h'!H31,'13.09 Ishaka-Katungulu'!H31)</f>
        <v>0.5714285714285714</v>
      </c>
      <c r="I31" s="49">
        <f>AVERAGE('09.09 Ishaka-Katungulu'!I31,'10.09 Ishaka-Katungulu'!I31,'11.09 Ishaka-Katungulu'!I31,'12.09 Ishaka-Katungulu'!I31,'07.09. Ishaka-Katungulu-24h'!I31,'08.09 Ishaka-Katungulu-24h'!I31,'13.09 Ishaka-Katungulu'!I31)</f>
        <v>2.1428571428571428</v>
      </c>
      <c r="J31" s="49">
        <f>AVERAGE('09.09 Ishaka-Katungulu'!J31,'10.09 Ishaka-Katungulu'!J31,'11.09 Ishaka-Katungulu'!J31,'12.09 Ishaka-Katungulu'!J31,'07.09. Ishaka-Katungulu-24h'!J31,'08.09 Ishaka-Katungulu-24h'!J31,'13.09 Ishaka-Katungulu'!J31)</f>
        <v>0.8571428571428571</v>
      </c>
      <c r="K31" s="49">
        <f>AVERAGE('09.09 Ishaka-Katungulu'!K31,'10.09 Ishaka-Katungulu'!K31,'11.09 Ishaka-Katungulu'!K31,'12.09 Ishaka-Katungulu'!K31,'07.09. Ishaka-Katungulu-24h'!K31,'08.09 Ishaka-Katungulu-24h'!K31,'13.09 Ishaka-Katungulu'!K31)</f>
        <v>0.7142857142857143</v>
      </c>
      <c r="L31" s="49">
        <f>AVERAGE('09.09 Ishaka-Katungulu'!L31,'10.09 Ishaka-Katungulu'!L31,'11.09 Ishaka-Katungulu'!L31,'12.09 Ishaka-Katungulu'!L31,'07.09. Ishaka-Katungulu-24h'!L31,'08.09 Ishaka-Katungulu-24h'!L31,'13.09 Ishaka-Katungulu'!L31)</f>
        <v>1.1428571428571428</v>
      </c>
      <c r="M31" s="49">
        <f>AVERAGE('09.09 Ishaka-Katungulu'!M31,'10.09 Ishaka-Katungulu'!M31,'11.09 Ishaka-Katungulu'!M31,'12.09 Ishaka-Katungulu'!M31,'07.09. Ishaka-Katungulu-24h'!M31,'08.09 Ishaka-Katungulu-24h'!M31,'13.09 Ishaka-Katungulu'!M31)</f>
        <v>59.285714285714285</v>
      </c>
      <c r="N31" s="49">
        <f>AVERAGE('09.09 Ishaka-Katungulu'!N31,'10.09 Ishaka-Katungulu'!N31,'11.09 Ishaka-Katungulu'!N31,'12.09 Ishaka-Katungulu'!N31,'07.09. Ishaka-Katungulu-24h'!N31,'08.09 Ishaka-Katungulu-24h'!N31,'13.09 Ishaka-Katungulu'!N31)</f>
        <v>0</v>
      </c>
      <c r="O31" s="15">
        <f t="shared" si="0"/>
        <v>23.285714285714288</v>
      </c>
      <c r="P31" s="15">
        <f t="shared" si="1"/>
        <v>82.571428571428569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0.5</v>
      </c>
      <c r="AA31" s="34">
        <f t="shared" si="23"/>
        <v>1</v>
      </c>
      <c r="AB31" s="34">
        <f t="shared" si="23"/>
        <v>1.5</v>
      </c>
      <c r="AC31" s="34">
        <f t="shared" si="23"/>
        <v>0</v>
      </c>
      <c r="AD31" s="34">
        <f t="shared" si="23"/>
        <v>0</v>
      </c>
      <c r="AE31" s="31">
        <f t="shared" si="23"/>
        <v>4</v>
      </c>
      <c r="AF31" s="31">
        <f t="shared" si="23"/>
        <v>4</v>
      </c>
    </row>
    <row r="32" spans="2:32" ht="23.1" customHeight="1" x14ac:dyDescent="0.25">
      <c r="B32" s="24" t="s">
        <v>59</v>
      </c>
      <c r="C32" s="49">
        <f>AVERAGE('09.09 Ishaka-Katungulu'!C32,'10.09 Ishaka-Katungulu'!C32,'11.09 Ishaka-Katungulu'!C32,'12.09 Ishaka-Katungulu'!C32,'07.09. Ishaka-Katungulu-24h'!C32,'08.09 Ishaka-Katungulu-24h'!C32,'13.09 Ishaka-Katungulu'!C32)</f>
        <v>4</v>
      </c>
      <c r="D32" s="49">
        <f>AVERAGE('09.09 Ishaka-Katungulu'!D32,'10.09 Ishaka-Katungulu'!D32,'11.09 Ishaka-Katungulu'!D32,'12.09 Ishaka-Katungulu'!D32,'07.09. Ishaka-Katungulu-24h'!D32,'08.09 Ishaka-Katungulu-24h'!D32,'13.09 Ishaka-Katungulu'!D32)</f>
        <v>0.42857142857142855</v>
      </c>
      <c r="E32" s="49">
        <f>AVERAGE('09.09 Ishaka-Katungulu'!E32,'10.09 Ishaka-Katungulu'!E32,'11.09 Ishaka-Katungulu'!E32,'12.09 Ishaka-Katungulu'!E32,'07.09. Ishaka-Katungulu-24h'!E32,'08.09 Ishaka-Katungulu-24h'!E32,'13.09 Ishaka-Katungulu'!E32)</f>
        <v>3.1428571428571428</v>
      </c>
      <c r="F32" s="49">
        <f>AVERAGE('09.09 Ishaka-Katungulu'!F32,'10.09 Ishaka-Katungulu'!F32,'11.09 Ishaka-Katungulu'!F32,'12.09 Ishaka-Katungulu'!F32,'07.09. Ishaka-Katungulu-24h'!F32,'08.09 Ishaka-Katungulu-24h'!F32,'13.09 Ishaka-Katungulu'!F32)</f>
        <v>2.1428571428571428</v>
      </c>
      <c r="G32" s="49">
        <f>AVERAGE('09.09 Ishaka-Katungulu'!G32,'10.09 Ishaka-Katungulu'!G32,'11.09 Ishaka-Katungulu'!G32,'12.09 Ishaka-Katungulu'!G32,'07.09. Ishaka-Katungulu-24h'!G32,'08.09 Ishaka-Katungulu-24h'!G32,'13.09 Ishaka-Katungulu'!G32)</f>
        <v>0.2857142857142857</v>
      </c>
      <c r="H32" s="49">
        <f>AVERAGE('09.09 Ishaka-Katungulu'!H32,'10.09 Ishaka-Katungulu'!H32,'11.09 Ishaka-Katungulu'!H32,'12.09 Ishaka-Katungulu'!H32,'07.09. Ishaka-Katungulu-24h'!H32,'08.09 Ishaka-Katungulu-24h'!H32,'13.09 Ishaka-Katungulu'!H32)</f>
        <v>0.2857142857142857</v>
      </c>
      <c r="I32" s="49">
        <f>AVERAGE('09.09 Ishaka-Katungulu'!I32,'10.09 Ishaka-Katungulu'!I32,'11.09 Ishaka-Katungulu'!I32,'12.09 Ishaka-Katungulu'!I32,'07.09. Ishaka-Katungulu-24h'!I32,'08.09 Ishaka-Katungulu-24h'!I32,'13.09 Ishaka-Katungulu'!I32)</f>
        <v>1.1428571428571428</v>
      </c>
      <c r="J32" s="49">
        <f>AVERAGE('09.09 Ishaka-Katungulu'!J32,'10.09 Ishaka-Katungulu'!J32,'11.09 Ishaka-Katungulu'!J32,'12.09 Ishaka-Katungulu'!J32,'07.09. Ishaka-Katungulu-24h'!J32,'08.09 Ishaka-Katungulu-24h'!J32,'13.09 Ishaka-Katungulu'!J32)</f>
        <v>0.42857142857142855</v>
      </c>
      <c r="K32" s="49">
        <f>AVERAGE('09.09 Ishaka-Katungulu'!K32,'10.09 Ishaka-Katungulu'!K32,'11.09 Ishaka-Katungulu'!K32,'12.09 Ishaka-Katungulu'!K32,'07.09. Ishaka-Katungulu-24h'!K32,'08.09 Ishaka-Katungulu-24h'!K32,'13.09 Ishaka-Katungulu'!K32)</f>
        <v>0.42857142857142855</v>
      </c>
      <c r="L32" s="49">
        <f>AVERAGE('09.09 Ishaka-Katungulu'!L32,'10.09 Ishaka-Katungulu'!L32,'11.09 Ishaka-Katungulu'!L32,'12.09 Ishaka-Katungulu'!L32,'07.09. Ishaka-Katungulu-24h'!L32,'08.09 Ishaka-Katungulu-24h'!L32,'13.09 Ishaka-Katungulu'!L32)</f>
        <v>0.8571428571428571</v>
      </c>
      <c r="M32" s="49">
        <f>AVERAGE('09.09 Ishaka-Katungulu'!M32,'10.09 Ishaka-Katungulu'!M32,'11.09 Ishaka-Katungulu'!M32,'12.09 Ishaka-Katungulu'!M32,'07.09. Ishaka-Katungulu-24h'!M32,'08.09 Ishaka-Katungulu-24h'!M32,'13.09 Ishaka-Katungulu'!M32)</f>
        <v>28.285714285714285</v>
      </c>
      <c r="N32" s="49">
        <f>AVERAGE('09.09 Ishaka-Katungulu'!N32,'10.09 Ishaka-Katungulu'!N32,'11.09 Ishaka-Katungulu'!N32,'12.09 Ishaka-Katungulu'!N32,'07.09. Ishaka-Katungulu-24h'!N32,'08.09 Ishaka-Katungulu-24h'!N32,'13.09 Ishaka-Katungulu'!N32)</f>
        <v>0</v>
      </c>
      <c r="O32" s="15">
        <f t="shared" si="0"/>
        <v>13.142857142857144</v>
      </c>
      <c r="P32" s="15">
        <f t="shared" si="1"/>
        <v>41.428571428571431</v>
      </c>
      <c r="R32" s="1" t="s">
        <v>156</v>
      </c>
      <c r="S32" s="34">
        <f>SUM(C98:C101)</f>
        <v>1</v>
      </c>
      <c r="T32" s="34">
        <f t="shared" ref="T32:AF32" si="24">SUM(D98:D101)</f>
        <v>0.5</v>
      </c>
      <c r="U32" s="34">
        <f t="shared" si="24"/>
        <v>1</v>
      </c>
      <c r="V32" s="34">
        <f t="shared" si="24"/>
        <v>2.5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0.5</v>
      </c>
      <c r="AB32" s="34">
        <f t="shared" si="24"/>
        <v>4</v>
      </c>
      <c r="AC32" s="34">
        <f t="shared" si="24"/>
        <v>2.5</v>
      </c>
      <c r="AD32" s="34">
        <f t="shared" si="24"/>
        <v>0</v>
      </c>
      <c r="AE32" s="31">
        <f t="shared" si="24"/>
        <v>9.5</v>
      </c>
      <c r="AF32" s="31">
        <f t="shared" si="24"/>
        <v>12</v>
      </c>
    </row>
    <row r="33" spans="2:32" ht="23.1" customHeight="1" x14ac:dyDescent="0.25">
      <c r="B33" s="23" t="s">
        <v>60</v>
      </c>
      <c r="C33" s="49">
        <f>AVERAGE('09.09 Ishaka-Katungulu'!C33,'10.09 Ishaka-Katungulu'!C33,'11.09 Ishaka-Katungulu'!C33,'12.09 Ishaka-Katungulu'!C33,'07.09. Ishaka-Katungulu-24h'!C33,'08.09 Ishaka-Katungulu-24h'!C33,'13.09 Ishaka-Katungulu'!C33)</f>
        <v>7.4285714285714288</v>
      </c>
      <c r="D33" s="49">
        <f>AVERAGE('09.09 Ishaka-Katungulu'!D33,'10.09 Ishaka-Katungulu'!D33,'11.09 Ishaka-Katungulu'!D33,'12.09 Ishaka-Katungulu'!D33,'07.09. Ishaka-Katungulu-24h'!D33,'08.09 Ishaka-Katungulu-24h'!D33,'13.09 Ishaka-Katungulu'!D33)</f>
        <v>1.2857142857142858</v>
      </c>
      <c r="E33" s="49">
        <f>AVERAGE('09.09 Ishaka-Katungulu'!E33,'10.09 Ishaka-Katungulu'!E33,'11.09 Ishaka-Katungulu'!E33,'12.09 Ishaka-Katungulu'!E33,'07.09. Ishaka-Katungulu-24h'!E33,'08.09 Ishaka-Katungulu-24h'!E33,'13.09 Ishaka-Katungulu'!E33)</f>
        <v>5.5714285714285712</v>
      </c>
      <c r="F33" s="49">
        <f>AVERAGE('09.09 Ishaka-Katungulu'!F33,'10.09 Ishaka-Katungulu'!F33,'11.09 Ishaka-Katungulu'!F33,'12.09 Ishaka-Katungulu'!F33,'07.09. Ishaka-Katungulu-24h'!F33,'08.09 Ishaka-Katungulu-24h'!F33,'13.09 Ishaka-Katungulu'!F33)</f>
        <v>3.8571428571428572</v>
      </c>
      <c r="G33" s="49">
        <f>AVERAGE('09.09 Ishaka-Katungulu'!G33,'10.09 Ishaka-Katungulu'!G33,'11.09 Ishaka-Katungulu'!G33,'12.09 Ishaka-Katungulu'!G33,'07.09. Ishaka-Katungulu-24h'!G33,'08.09 Ishaka-Katungulu-24h'!G33,'13.09 Ishaka-Katungulu'!G33)</f>
        <v>0.7142857142857143</v>
      </c>
      <c r="H33" s="49">
        <f>AVERAGE('09.09 Ishaka-Katungulu'!H33,'10.09 Ishaka-Katungulu'!H33,'11.09 Ishaka-Katungulu'!H33,'12.09 Ishaka-Katungulu'!H33,'07.09. Ishaka-Katungulu-24h'!H33,'08.09 Ishaka-Katungulu-24h'!H33,'13.09 Ishaka-Katungulu'!H33)</f>
        <v>0.42857142857142855</v>
      </c>
      <c r="I33" s="49">
        <f>AVERAGE('09.09 Ishaka-Katungulu'!I33,'10.09 Ishaka-Katungulu'!I33,'11.09 Ishaka-Katungulu'!I33,'12.09 Ishaka-Katungulu'!I33,'07.09. Ishaka-Katungulu-24h'!I33,'08.09 Ishaka-Katungulu-24h'!I33,'13.09 Ishaka-Katungulu'!I33)</f>
        <v>2.2857142857142856</v>
      </c>
      <c r="J33" s="49">
        <f>AVERAGE('09.09 Ishaka-Katungulu'!J33,'10.09 Ishaka-Katungulu'!J33,'11.09 Ishaka-Katungulu'!J33,'12.09 Ishaka-Katungulu'!J33,'07.09. Ishaka-Katungulu-24h'!J33,'08.09 Ishaka-Katungulu-24h'!J33,'13.09 Ishaka-Katungulu'!J33)</f>
        <v>0.8571428571428571</v>
      </c>
      <c r="K33" s="49">
        <f>AVERAGE('09.09 Ishaka-Katungulu'!K33,'10.09 Ishaka-Katungulu'!K33,'11.09 Ishaka-Katungulu'!K33,'12.09 Ishaka-Katungulu'!K33,'07.09. Ishaka-Katungulu-24h'!K33,'08.09 Ishaka-Katungulu-24h'!K33,'13.09 Ishaka-Katungulu'!K33)</f>
        <v>1.1428571428571428</v>
      </c>
      <c r="L33" s="49">
        <f>AVERAGE('09.09 Ishaka-Katungulu'!L33,'10.09 Ishaka-Katungulu'!L33,'11.09 Ishaka-Katungulu'!L33,'12.09 Ishaka-Katungulu'!L33,'07.09. Ishaka-Katungulu-24h'!L33,'08.09 Ishaka-Katungulu-24h'!L33,'13.09 Ishaka-Katungulu'!L33)</f>
        <v>1.8571428571428572</v>
      </c>
      <c r="M33" s="49">
        <f>AVERAGE('09.09 Ishaka-Katungulu'!M33,'10.09 Ishaka-Katungulu'!M33,'11.09 Ishaka-Katungulu'!M33,'12.09 Ishaka-Katungulu'!M33,'07.09. Ishaka-Katungulu-24h'!M33,'08.09 Ishaka-Katungulu-24h'!M33,'13.09 Ishaka-Katungulu'!M33)</f>
        <v>53.428571428571431</v>
      </c>
      <c r="N33" s="49">
        <f>AVERAGE('09.09 Ishaka-Katungulu'!N33,'10.09 Ishaka-Katungulu'!N33,'11.09 Ishaka-Katungulu'!N33,'12.09 Ishaka-Katungulu'!N33,'07.09. Ishaka-Katungulu-24h'!N33,'08.09 Ishaka-Katungulu-24h'!N33,'13.09 Ishaka-Katungulu'!N33)</f>
        <v>0.14285714285714285</v>
      </c>
      <c r="O33" s="15">
        <f t="shared" si="0"/>
        <v>25.571428571428569</v>
      </c>
      <c r="P33" s="15">
        <f t="shared" si="1"/>
        <v>79</v>
      </c>
      <c r="R33" s="1" t="s">
        <v>157</v>
      </c>
      <c r="S33" s="34">
        <f>SUM(C102:C105)</f>
        <v>9.5</v>
      </c>
      <c r="T33" s="34">
        <f t="shared" ref="T33:AF33" si="25">SUM(D102:D105)</f>
        <v>2.5</v>
      </c>
      <c r="U33" s="34">
        <f t="shared" si="25"/>
        <v>5.5</v>
      </c>
      <c r="V33" s="34">
        <f t="shared" si="25"/>
        <v>4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0.5</v>
      </c>
      <c r="AB33" s="34">
        <f t="shared" si="25"/>
        <v>6.5</v>
      </c>
      <c r="AC33" s="34">
        <f t="shared" si="25"/>
        <v>8</v>
      </c>
      <c r="AD33" s="34">
        <f t="shared" si="25"/>
        <v>0</v>
      </c>
      <c r="AE33" s="31">
        <f t="shared" si="25"/>
        <v>28.5</v>
      </c>
      <c r="AF33" s="31">
        <f t="shared" si="25"/>
        <v>36.5</v>
      </c>
    </row>
    <row r="34" spans="2:32" ht="23.1" customHeight="1" x14ac:dyDescent="0.25">
      <c r="B34" s="24" t="s">
        <v>61</v>
      </c>
      <c r="C34" s="49">
        <f>AVERAGE('09.09 Ishaka-Katungulu'!C34,'10.09 Ishaka-Katungulu'!C34,'11.09 Ishaka-Katungulu'!C34,'12.09 Ishaka-Katungulu'!C34,'07.09. Ishaka-Katungulu-24h'!C34,'08.09 Ishaka-Katungulu-24h'!C34,'13.09 Ishaka-Katungulu'!C34)</f>
        <v>4.1428571428571432</v>
      </c>
      <c r="D34" s="49">
        <f>AVERAGE('09.09 Ishaka-Katungulu'!D34,'10.09 Ishaka-Katungulu'!D34,'11.09 Ishaka-Katungulu'!D34,'12.09 Ishaka-Katungulu'!D34,'07.09. Ishaka-Katungulu-24h'!D34,'08.09 Ishaka-Katungulu-24h'!D34,'13.09 Ishaka-Katungulu'!D34)</f>
        <v>0.14285714285714285</v>
      </c>
      <c r="E34" s="49">
        <f>AVERAGE('09.09 Ishaka-Katungulu'!E34,'10.09 Ishaka-Katungulu'!E34,'11.09 Ishaka-Katungulu'!E34,'12.09 Ishaka-Katungulu'!E34,'07.09. Ishaka-Katungulu-24h'!E34,'08.09 Ishaka-Katungulu-24h'!E34,'13.09 Ishaka-Katungulu'!E34)</f>
        <v>2.1428571428571428</v>
      </c>
      <c r="F34" s="49">
        <f>AVERAGE('09.09 Ishaka-Katungulu'!F34,'10.09 Ishaka-Katungulu'!F34,'11.09 Ishaka-Katungulu'!F34,'12.09 Ishaka-Katungulu'!F34,'07.09. Ishaka-Katungulu-24h'!F34,'08.09 Ishaka-Katungulu-24h'!F34,'13.09 Ishaka-Katungulu'!F34)</f>
        <v>2.8571428571428572</v>
      </c>
      <c r="G34" s="49">
        <f>AVERAGE('09.09 Ishaka-Katungulu'!G34,'10.09 Ishaka-Katungulu'!G34,'11.09 Ishaka-Katungulu'!G34,'12.09 Ishaka-Katungulu'!G34,'07.09. Ishaka-Katungulu-24h'!G34,'08.09 Ishaka-Katungulu-24h'!G34,'13.09 Ishaka-Katungulu'!G34)</f>
        <v>0.14285714285714285</v>
      </c>
      <c r="H34" s="49">
        <f>AVERAGE('09.09 Ishaka-Katungulu'!H34,'10.09 Ishaka-Katungulu'!H34,'11.09 Ishaka-Katungulu'!H34,'12.09 Ishaka-Katungulu'!H34,'07.09. Ishaka-Katungulu-24h'!H34,'08.09 Ishaka-Katungulu-24h'!H34,'13.09 Ishaka-Katungulu'!H34)</f>
        <v>0</v>
      </c>
      <c r="I34" s="49">
        <f>AVERAGE('09.09 Ishaka-Katungulu'!I34,'10.09 Ishaka-Katungulu'!I34,'11.09 Ishaka-Katungulu'!I34,'12.09 Ishaka-Katungulu'!I34,'07.09. Ishaka-Katungulu-24h'!I34,'08.09 Ishaka-Katungulu-24h'!I34,'13.09 Ishaka-Katungulu'!I34)</f>
        <v>0.7142857142857143</v>
      </c>
      <c r="J34" s="49">
        <f>AVERAGE('09.09 Ishaka-Katungulu'!J34,'10.09 Ishaka-Katungulu'!J34,'11.09 Ishaka-Katungulu'!J34,'12.09 Ishaka-Katungulu'!J34,'07.09. Ishaka-Katungulu-24h'!J34,'08.09 Ishaka-Katungulu-24h'!J34,'13.09 Ishaka-Katungulu'!J34)</f>
        <v>0.7142857142857143</v>
      </c>
      <c r="K34" s="49">
        <f>AVERAGE('09.09 Ishaka-Katungulu'!K34,'10.09 Ishaka-Katungulu'!K34,'11.09 Ishaka-Katungulu'!K34,'12.09 Ishaka-Katungulu'!K34,'07.09. Ishaka-Katungulu-24h'!K34,'08.09 Ishaka-Katungulu-24h'!K34,'13.09 Ishaka-Katungulu'!K34)</f>
        <v>0.5714285714285714</v>
      </c>
      <c r="L34" s="49">
        <f>AVERAGE('09.09 Ishaka-Katungulu'!L34,'10.09 Ishaka-Katungulu'!L34,'11.09 Ishaka-Katungulu'!L34,'12.09 Ishaka-Katungulu'!L34,'07.09. Ishaka-Katungulu-24h'!L34,'08.09 Ishaka-Katungulu-24h'!L34,'13.09 Ishaka-Katungulu'!L34)</f>
        <v>0.7142857142857143</v>
      </c>
      <c r="M34" s="49">
        <f>AVERAGE('09.09 Ishaka-Katungulu'!M34,'10.09 Ishaka-Katungulu'!M34,'11.09 Ishaka-Katungulu'!M34,'12.09 Ishaka-Katungulu'!M34,'07.09. Ishaka-Katungulu-24h'!M34,'08.09 Ishaka-Katungulu-24h'!M34,'13.09 Ishaka-Katungulu'!M34)</f>
        <v>34</v>
      </c>
      <c r="N34" s="49">
        <f>AVERAGE('09.09 Ishaka-Katungulu'!N34,'10.09 Ishaka-Katungulu'!N34,'11.09 Ishaka-Katungulu'!N34,'12.09 Ishaka-Katungulu'!N34,'07.09. Ishaka-Katungulu-24h'!N34,'08.09 Ishaka-Katungulu-24h'!N34,'13.09 Ishaka-Katungulu'!N34)</f>
        <v>0</v>
      </c>
      <c r="O34" s="15">
        <f t="shared" si="0"/>
        <v>12.142857142857141</v>
      </c>
      <c r="P34" s="15">
        <f t="shared" si="1"/>
        <v>46.142857142857139</v>
      </c>
      <c r="R34" s="38" t="s">
        <v>90</v>
      </c>
      <c r="S34" s="39">
        <f t="shared" ref="S34:AF34" si="26">MAX(S10:S12)</f>
        <v>16.714285714285715</v>
      </c>
      <c r="T34" s="39">
        <f t="shared" si="26"/>
        <v>1.7142857142857142</v>
      </c>
      <c r="U34" s="39">
        <f t="shared" si="26"/>
        <v>11.285714285714285</v>
      </c>
      <c r="V34" s="39">
        <f t="shared" si="26"/>
        <v>11.285714285714286</v>
      </c>
      <c r="W34" s="39">
        <f t="shared" si="26"/>
        <v>0.42857142857142855</v>
      </c>
      <c r="X34" s="39">
        <f t="shared" si="26"/>
        <v>1.4285714285714284</v>
      </c>
      <c r="Y34" s="39">
        <f t="shared" si="26"/>
        <v>3</v>
      </c>
      <c r="Z34" s="39">
        <f t="shared" si="26"/>
        <v>6.4285714285714288</v>
      </c>
      <c r="AA34" s="39">
        <f t="shared" si="26"/>
        <v>14.571428571428569</v>
      </c>
      <c r="AB34" s="39">
        <f t="shared" si="26"/>
        <v>5.7142857142857144</v>
      </c>
      <c r="AC34" s="39">
        <f t="shared" si="26"/>
        <v>177.71428571428572</v>
      </c>
      <c r="AD34" s="39">
        <f t="shared" si="26"/>
        <v>0.14285714285714285</v>
      </c>
      <c r="AE34" s="40">
        <f t="shared" si="26"/>
        <v>61.571428571428569</v>
      </c>
      <c r="AF34" s="40">
        <f t="shared" si="26"/>
        <v>236</v>
      </c>
    </row>
    <row r="35" spans="2:32" ht="23.1" customHeight="1" x14ac:dyDescent="0.25">
      <c r="B35" s="24" t="s">
        <v>62</v>
      </c>
      <c r="C35" s="49">
        <f>AVERAGE('09.09 Ishaka-Katungulu'!C35,'10.09 Ishaka-Katungulu'!C35,'11.09 Ishaka-Katungulu'!C35,'12.09 Ishaka-Katungulu'!C35,'07.09. Ishaka-Katungulu-24h'!C35,'08.09 Ishaka-Katungulu-24h'!C35,'13.09 Ishaka-Katungulu'!C35)</f>
        <v>7.2857142857142856</v>
      </c>
      <c r="D35" s="49">
        <f>AVERAGE('09.09 Ishaka-Katungulu'!D35,'10.09 Ishaka-Katungulu'!D35,'11.09 Ishaka-Katungulu'!D35,'12.09 Ishaka-Katungulu'!D35,'07.09. Ishaka-Katungulu-24h'!D35,'08.09 Ishaka-Katungulu-24h'!D35,'13.09 Ishaka-Katungulu'!D35)</f>
        <v>0.5714285714285714</v>
      </c>
      <c r="E35" s="49">
        <f>AVERAGE('09.09 Ishaka-Katungulu'!E35,'10.09 Ishaka-Katungulu'!E35,'11.09 Ishaka-Katungulu'!E35,'12.09 Ishaka-Katungulu'!E35,'07.09. Ishaka-Katungulu-24h'!E35,'08.09 Ishaka-Katungulu-24h'!E35,'13.09 Ishaka-Katungulu'!E35)</f>
        <v>3.4285714285714284</v>
      </c>
      <c r="F35" s="49">
        <f>AVERAGE('09.09 Ishaka-Katungulu'!F35,'10.09 Ishaka-Katungulu'!F35,'11.09 Ishaka-Katungulu'!F35,'12.09 Ishaka-Katungulu'!F35,'07.09. Ishaka-Katungulu-24h'!F35,'08.09 Ishaka-Katungulu-24h'!F35,'13.09 Ishaka-Katungulu'!F35)</f>
        <v>4.8571428571428568</v>
      </c>
      <c r="G35" s="49">
        <f>AVERAGE('09.09 Ishaka-Katungulu'!G35,'10.09 Ishaka-Katungulu'!G35,'11.09 Ishaka-Katungulu'!G35,'12.09 Ishaka-Katungulu'!G35,'07.09. Ishaka-Katungulu-24h'!G35,'08.09 Ishaka-Katungulu-24h'!G35,'13.09 Ishaka-Katungulu'!G35)</f>
        <v>0.42857142857142855</v>
      </c>
      <c r="H35" s="49">
        <f>AVERAGE('09.09 Ishaka-Katungulu'!H35,'10.09 Ishaka-Katungulu'!H35,'11.09 Ishaka-Katungulu'!H35,'12.09 Ishaka-Katungulu'!H35,'07.09. Ishaka-Katungulu-24h'!H35,'08.09 Ishaka-Katungulu-24h'!H35,'13.09 Ishaka-Katungulu'!H35)</f>
        <v>0.14285714285714285</v>
      </c>
      <c r="I35" s="49">
        <f>AVERAGE('09.09 Ishaka-Katungulu'!I35,'10.09 Ishaka-Katungulu'!I35,'11.09 Ishaka-Katungulu'!I35,'12.09 Ishaka-Katungulu'!I35,'07.09. Ishaka-Katungulu-24h'!I35,'08.09 Ishaka-Katungulu-24h'!I35,'13.09 Ishaka-Katungulu'!I35)</f>
        <v>1.4285714285714286</v>
      </c>
      <c r="J35" s="49">
        <f>AVERAGE('09.09 Ishaka-Katungulu'!J35,'10.09 Ishaka-Katungulu'!J35,'11.09 Ishaka-Katungulu'!J35,'12.09 Ishaka-Katungulu'!J35,'07.09. Ishaka-Katungulu-24h'!J35,'08.09 Ishaka-Katungulu-24h'!J35,'13.09 Ishaka-Katungulu'!J35)</f>
        <v>1.5714285714285714</v>
      </c>
      <c r="K35" s="49">
        <f>AVERAGE('09.09 Ishaka-Katungulu'!K35,'10.09 Ishaka-Katungulu'!K35,'11.09 Ishaka-Katungulu'!K35,'12.09 Ishaka-Katungulu'!K35,'07.09. Ishaka-Katungulu-24h'!K35,'08.09 Ishaka-Katungulu-24h'!K35,'13.09 Ishaka-Katungulu'!K35)</f>
        <v>1.4285714285714286</v>
      </c>
      <c r="L35" s="49">
        <f>AVERAGE('09.09 Ishaka-Katungulu'!L35,'10.09 Ishaka-Katungulu'!L35,'11.09 Ishaka-Katungulu'!L35,'12.09 Ishaka-Katungulu'!L35,'07.09. Ishaka-Katungulu-24h'!L35,'08.09 Ishaka-Katungulu-24h'!L35,'13.09 Ishaka-Katungulu'!L35)</f>
        <v>1.5714285714285714</v>
      </c>
      <c r="M35" s="49">
        <f>AVERAGE('09.09 Ishaka-Katungulu'!M35,'10.09 Ishaka-Katungulu'!M35,'11.09 Ishaka-Katungulu'!M35,'12.09 Ishaka-Katungulu'!M35,'07.09. Ishaka-Katungulu-24h'!M35,'08.09 Ishaka-Katungulu-24h'!M35,'13.09 Ishaka-Katungulu'!M35)</f>
        <v>62</v>
      </c>
      <c r="N35" s="49">
        <f>AVERAGE('09.09 Ishaka-Katungulu'!N35,'10.09 Ishaka-Katungulu'!N35,'11.09 Ishaka-Katungulu'!N35,'12.09 Ishaka-Katungulu'!N35,'07.09. Ishaka-Katungulu-24h'!N35,'08.09 Ishaka-Katungulu-24h'!N35,'13.09 Ishaka-Katungulu'!N35)</f>
        <v>0</v>
      </c>
      <c r="O35" s="15">
        <f t="shared" si="0"/>
        <v>22.714285714285712</v>
      </c>
      <c r="P35" s="15">
        <f t="shared" si="1"/>
        <v>84.714285714285708</v>
      </c>
      <c r="R35" s="38" t="s">
        <v>91</v>
      </c>
      <c r="S35" s="39">
        <f t="shared" ref="S35:AF35" si="27">MAX(S13:S18)</f>
        <v>23.428571428571431</v>
      </c>
      <c r="T35" s="39">
        <f t="shared" si="27"/>
        <v>3.5714285714285721</v>
      </c>
      <c r="U35" s="39">
        <f t="shared" si="27"/>
        <v>16.857142857142858</v>
      </c>
      <c r="V35" s="39">
        <f t="shared" si="27"/>
        <v>16.428571428571431</v>
      </c>
      <c r="W35" s="39">
        <f t="shared" si="27"/>
        <v>1.5714285714285714</v>
      </c>
      <c r="X35" s="39">
        <f t="shared" si="27"/>
        <v>1.5714285714285714</v>
      </c>
      <c r="Y35" s="39">
        <f t="shared" si="27"/>
        <v>7</v>
      </c>
      <c r="Z35" s="39">
        <f t="shared" si="27"/>
        <v>5.2857142857142856</v>
      </c>
      <c r="AA35" s="39">
        <f t="shared" si="27"/>
        <v>6.1428571428571423</v>
      </c>
      <c r="AB35" s="39">
        <f t="shared" si="27"/>
        <v>6</v>
      </c>
      <c r="AC35" s="39">
        <f t="shared" si="27"/>
        <v>200</v>
      </c>
      <c r="AD35" s="39">
        <f t="shared" si="27"/>
        <v>0.14285714285714285</v>
      </c>
      <c r="AE35" s="40">
        <f t="shared" si="27"/>
        <v>76.857142857142847</v>
      </c>
      <c r="AF35" s="40">
        <f t="shared" si="27"/>
        <v>268.28571428571433</v>
      </c>
    </row>
    <row r="36" spans="2:32" ht="23.1" customHeight="1" x14ac:dyDescent="0.25">
      <c r="B36" s="24" t="s">
        <v>63</v>
      </c>
      <c r="C36" s="49">
        <f>AVERAGE('09.09 Ishaka-Katungulu'!C36,'10.09 Ishaka-Katungulu'!C36,'11.09 Ishaka-Katungulu'!C36,'12.09 Ishaka-Katungulu'!C36,'07.09. Ishaka-Katungulu-24h'!C36,'08.09 Ishaka-Katungulu-24h'!C36,'13.09 Ishaka-Katungulu'!C36)</f>
        <v>4.1428571428571432</v>
      </c>
      <c r="D36" s="49">
        <f>AVERAGE('09.09 Ishaka-Katungulu'!D36,'10.09 Ishaka-Katungulu'!D36,'11.09 Ishaka-Katungulu'!D36,'12.09 Ishaka-Katungulu'!D36,'07.09. Ishaka-Katungulu-24h'!D36,'08.09 Ishaka-Katungulu-24h'!D36,'13.09 Ishaka-Katungulu'!D36)</f>
        <v>0.42857142857142855</v>
      </c>
      <c r="E36" s="49">
        <f>AVERAGE('09.09 Ishaka-Katungulu'!E36,'10.09 Ishaka-Katungulu'!E36,'11.09 Ishaka-Katungulu'!E36,'12.09 Ishaka-Katungulu'!E36,'07.09. Ishaka-Katungulu-24h'!E36,'08.09 Ishaka-Katungulu-24h'!E36,'13.09 Ishaka-Katungulu'!E36)</f>
        <v>3.2857142857142856</v>
      </c>
      <c r="F36" s="49">
        <f>AVERAGE('09.09 Ishaka-Katungulu'!F36,'10.09 Ishaka-Katungulu'!F36,'11.09 Ishaka-Katungulu'!F36,'12.09 Ishaka-Katungulu'!F36,'07.09. Ishaka-Katungulu-24h'!F36,'08.09 Ishaka-Katungulu-24h'!F36,'13.09 Ishaka-Katungulu'!F36)</f>
        <v>3.2857142857142856</v>
      </c>
      <c r="G36" s="49">
        <f>AVERAGE('09.09 Ishaka-Katungulu'!G36,'10.09 Ishaka-Katungulu'!G36,'11.09 Ishaka-Katungulu'!G36,'12.09 Ishaka-Katungulu'!G36,'07.09. Ishaka-Katungulu-24h'!G36,'08.09 Ishaka-Katungulu-24h'!G36,'13.09 Ishaka-Katungulu'!G36)</f>
        <v>0</v>
      </c>
      <c r="H36" s="49">
        <f>AVERAGE('09.09 Ishaka-Katungulu'!H36,'10.09 Ishaka-Katungulu'!H36,'11.09 Ishaka-Katungulu'!H36,'12.09 Ishaka-Katungulu'!H36,'07.09. Ishaka-Katungulu-24h'!H36,'08.09 Ishaka-Katungulu-24h'!H36,'13.09 Ishaka-Katungulu'!H36)</f>
        <v>0</v>
      </c>
      <c r="I36" s="49">
        <f>AVERAGE('09.09 Ishaka-Katungulu'!I36,'10.09 Ishaka-Katungulu'!I36,'11.09 Ishaka-Katungulu'!I36,'12.09 Ishaka-Katungulu'!I36,'07.09. Ishaka-Katungulu-24h'!I36,'08.09 Ishaka-Katungulu-24h'!I36,'13.09 Ishaka-Katungulu'!I36)</f>
        <v>1</v>
      </c>
      <c r="J36" s="49">
        <f>AVERAGE('09.09 Ishaka-Katungulu'!J36,'10.09 Ishaka-Katungulu'!J36,'11.09 Ishaka-Katungulu'!J36,'12.09 Ishaka-Katungulu'!J36,'07.09. Ishaka-Katungulu-24h'!J36,'08.09 Ishaka-Katungulu-24h'!J36,'13.09 Ishaka-Katungulu'!J36)</f>
        <v>0.8571428571428571</v>
      </c>
      <c r="K36" s="49">
        <f>AVERAGE('09.09 Ishaka-Katungulu'!K36,'10.09 Ishaka-Katungulu'!K36,'11.09 Ishaka-Katungulu'!K36,'12.09 Ishaka-Katungulu'!K36,'07.09. Ishaka-Katungulu-24h'!K36,'08.09 Ishaka-Katungulu-24h'!K36,'13.09 Ishaka-Katungulu'!K36)</f>
        <v>0.5714285714285714</v>
      </c>
      <c r="L36" s="49">
        <f>AVERAGE('09.09 Ishaka-Katungulu'!L36,'10.09 Ishaka-Katungulu'!L36,'11.09 Ishaka-Katungulu'!L36,'12.09 Ishaka-Katungulu'!L36,'07.09. Ishaka-Katungulu-24h'!L36,'08.09 Ishaka-Katungulu-24h'!L36,'13.09 Ishaka-Katungulu'!L36)</f>
        <v>0.7142857142857143</v>
      </c>
      <c r="M36" s="49">
        <f>AVERAGE('09.09 Ishaka-Katungulu'!M36,'10.09 Ishaka-Katungulu'!M36,'11.09 Ishaka-Katungulu'!M36,'12.09 Ishaka-Katungulu'!M36,'07.09. Ishaka-Katungulu-24h'!M36,'08.09 Ishaka-Katungulu-24h'!M36,'13.09 Ishaka-Katungulu'!M36)</f>
        <v>32</v>
      </c>
      <c r="N36" s="49">
        <f>AVERAGE('09.09 Ishaka-Katungulu'!N36,'10.09 Ishaka-Katungulu'!N36,'11.09 Ishaka-Katungulu'!N36,'12.09 Ishaka-Katungulu'!N36,'07.09. Ishaka-Katungulu-24h'!N36,'08.09 Ishaka-Katungulu-24h'!N36,'13.09 Ishaka-Katungulu'!N36)</f>
        <v>0</v>
      </c>
      <c r="O36" s="15">
        <f t="shared" si="0"/>
        <v>14.285714285714285</v>
      </c>
      <c r="P36" s="15">
        <f t="shared" si="1"/>
        <v>46.285714285714285</v>
      </c>
      <c r="R36" s="38" t="s">
        <v>92</v>
      </c>
      <c r="S36" s="39">
        <f t="shared" ref="S36:AF36" si="28">MAX(S19:S21)</f>
        <v>24.428571428571427</v>
      </c>
      <c r="T36" s="39">
        <f t="shared" si="28"/>
        <v>3</v>
      </c>
      <c r="U36" s="39">
        <f t="shared" si="28"/>
        <v>16</v>
      </c>
      <c r="V36" s="39">
        <f t="shared" si="28"/>
        <v>13.714285714285714</v>
      </c>
      <c r="W36" s="39">
        <f t="shared" si="28"/>
        <v>0.14285714285714285</v>
      </c>
      <c r="X36" s="39">
        <f t="shared" si="28"/>
        <v>0.5714285714285714</v>
      </c>
      <c r="Y36" s="39">
        <f t="shared" si="28"/>
        <v>7.2857142857142856</v>
      </c>
      <c r="Z36" s="39">
        <f t="shared" si="28"/>
        <v>4.2857142857142856</v>
      </c>
      <c r="AA36" s="39">
        <f t="shared" si="28"/>
        <v>5.2857142857142856</v>
      </c>
      <c r="AB36" s="39">
        <f t="shared" si="28"/>
        <v>5.2857142857142856</v>
      </c>
      <c r="AC36" s="39">
        <f t="shared" si="28"/>
        <v>195.85714285714283</v>
      </c>
      <c r="AD36" s="39">
        <f t="shared" si="28"/>
        <v>0</v>
      </c>
      <c r="AE36" s="40">
        <f t="shared" si="28"/>
        <v>77.571428571428584</v>
      </c>
      <c r="AF36" s="40">
        <f t="shared" si="28"/>
        <v>273.42857142857139</v>
      </c>
    </row>
    <row r="37" spans="2:32" ht="23.1" customHeight="1" x14ac:dyDescent="0.25">
      <c r="B37" s="23" t="s">
        <v>64</v>
      </c>
      <c r="C37" s="49">
        <f>AVERAGE('09.09 Ishaka-Katungulu'!C37,'10.09 Ishaka-Katungulu'!C37,'11.09 Ishaka-Katungulu'!C37,'12.09 Ishaka-Katungulu'!C37,'07.09. Ishaka-Katungulu-24h'!C37,'08.09 Ishaka-Katungulu-24h'!C37,'13.09 Ishaka-Katungulu'!C37)</f>
        <v>7.8571428571428568</v>
      </c>
      <c r="D37" s="49">
        <f>AVERAGE('09.09 Ishaka-Katungulu'!D37,'10.09 Ishaka-Katungulu'!D37,'11.09 Ishaka-Katungulu'!D37,'12.09 Ishaka-Katungulu'!D37,'07.09. Ishaka-Katungulu-24h'!D37,'08.09 Ishaka-Katungulu-24h'!D37,'13.09 Ishaka-Katungulu'!D37)</f>
        <v>1.1428571428571428</v>
      </c>
      <c r="E37" s="49">
        <f>AVERAGE('09.09 Ishaka-Katungulu'!E37,'10.09 Ishaka-Katungulu'!E37,'11.09 Ishaka-Katungulu'!E37,'12.09 Ishaka-Katungulu'!E37,'07.09. Ishaka-Katungulu-24h'!E37,'08.09 Ishaka-Katungulu-24h'!E37,'13.09 Ishaka-Katungulu'!E37)</f>
        <v>5.4285714285714288</v>
      </c>
      <c r="F37" s="49">
        <f>AVERAGE('09.09 Ishaka-Katungulu'!F37,'10.09 Ishaka-Katungulu'!F37,'11.09 Ishaka-Katungulu'!F37,'12.09 Ishaka-Katungulu'!F37,'07.09. Ishaka-Katungulu-24h'!F37,'08.09 Ishaka-Katungulu-24h'!F37,'13.09 Ishaka-Katungulu'!F37)</f>
        <v>5.4285714285714288</v>
      </c>
      <c r="G37" s="49">
        <f>AVERAGE('09.09 Ishaka-Katungulu'!G37,'10.09 Ishaka-Katungulu'!G37,'11.09 Ishaka-Katungulu'!G37,'12.09 Ishaka-Katungulu'!G37,'07.09. Ishaka-Katungulu-24h'!G37,'08.09 Ishaka-Katungulu-24h'!G37,'13.09 Ishaka-Katungulu'!G37)</f>
        <v>0</v>
      </c>
      <c r="H37" s="49">
        <f>AVERAGE('09.09 Ishaka-Katungulu'!H37,'10.09 Ishaka-Katungulu'!H37,'11.09 Ishaka-Katungulu'!H37,'12.09 Ishaka-Katungulu'!H37,'07.09. Ishaka-Katungulu-24h'!H37,'08.09 Ishaka-Katungulu-24h'!H37,'13.09 Ishaka-Katungulu'!H37)</f>
        <v>0.2857142857142857</v>
      </c>
      <c r="I37" s="49">
        <f>AVERAGE('09.09 Ishaka-Katungulu'!I37,'10.09 Ishaka-Katungulu'!I37,'11.09 Ishaka-Katungulu'!I37,'12.09 Ishaka-Katungulu'!I37,'07.09. Ishaka-Katungulu-24h'!I37,'08.09 Ishaka-Katungulu-24h'!I37,'13.09 Ishaka-Katungulu'!I37)</f>
        <v>2.1428571428571428</v>
      </c>
      <c r="J37" s="49">
        <f>AVERAGE('09.09 Ishaka-Katungulu'!J37,'10.09 Ishaka-Katungulu'!J37,'11.09 Ishaka-Katungulu'!J37,'12.09 Ishaka-Katungulu'!J37,'07.09. Ishaka-Katungulu-24h'!J37,'08.09 Ishaka-Katungulu-24h'!J37,'13.09 Ishaka-Katungulu'!J37)</f>
        <v>2.1428571428571428</v>
      </c>
      <c r="K37" s="49">
        <f>AVERAGE('09.09 Ishaka-Katungulu'!K37,'10.09 Ishaka-Katungulu'!K37,'11.09 Ishaka-Katungulu'!K37,'12.09 Ishaka-Katungulu'!K37,'07.09. Ishaka-Katungulu-24h'!K37,'08.09 Ishaka-Katungulu-24h'!K37,'13.09 Ishaka-Katungulu'!K37)</f>
        <v>1.4285714285714286</v>
      </c>
      <c r="L37" s="49">
        <f>AVERAGE('09.09 Ishaka-Katungulu'!L37,'10.09 Ishaka-Katungulu'!L37,'11.09 Ishaka-Katungulu'!L37,'12.09 Ishaka-Katungulu'!L37,'07.09. Ishaka-Katungulu-24h'!L37,'08.09 Ishaka-Katungulu-24h'!L37,'13.09 Ishaka-Katungulu'!L37)</f>
        <v>1.7142857142857142</v>
      </c>
      <c r="M37" s="49">
        <f>AVERAGE('09.09 Ishaka-Katungulu'!M37,'10.09 Ishaka-Katungulu'!M37,'11.09 Ishaka-Katungulu'!M37,'12.09 Ishaka-Katungulu'!M37,'07.09. Ishaka-Katungulu-24h'!M37,'08.09 Ishaka-Katungulu-24h'!M37,'13.09 Ishaka-Katungulu'!M37)</f>
        <v>58.857142857142854</v>
      </c>
      <c r="N37" s="49">
        <f>AVERAGE('09.09 Ishaka-Katungulu'!N37,'10.09 Ishaka-Katungulu'!N37,'11.09 Ishaka-Katungulu'!N37,'12.09 Ishaka-Katungulu'!N37,'07.09. Ishaka-Katungulu-24h'!N37,'08.09 Ishaka-Katungulu-24h'!N37,'13.09 Ishaka-Katungulu'!N37)</f>
        <v>0.14285714285714285</v>
      </c>
      <c r="O37" s="15">
        <f t="shared" si="0"/>
        <v>27.714285714285712</v>
      </c>
      <c r="P37" s="15">
        <f t="shared" si="1"/>
        <v>86.571428571428555</v>
      </c>
      <c r="R37" s="37" t="s">
        <v>85</v>
      </c>
      <c r="S37" s="35">
        <f t="shared" ref="S37:AF37" si="29">SUM(S10:S12)</f>
        <v>33.571428571428569</v>
      </c>
      <c r="T37" s="16">
        <f t="shared" si="29"/>
        <v>3.1428571428571423</v>
      </c>
      <c r="U37" s="16">
        <f t="shared" si="29"/>
        <v>23.285714285714285</v>
      </c>
      <c r="V37" s="16">
        <f t="shared" si="29"/>
        <v>27.142857142857146</v>
      </c>
      <c r="W37" s="16">
        <f t="shared" si="29"/>
        <v>0.85714285714285698</v>
      </c>
      <c r="X37" s="16">
        <f t="shared" si="29"/>
        <v>1.5714285714285712</v>
      </c>
      <c r="Y37" s="16">
        <f t="shared" si="29"/>
        <v>5.4285714285714288</v>
      </c>
      <c r="Z37" s="16">
        <f t="shared" si="29"/>
        <v>12.428571428571429</v>
      </c>
      <c r="AA37" s="16">
        <f t="shared" si="29"/>
        <v>24.142857142857142</v>
      </c>
      <c r="AB37" s="16">
        <f t="shared" si="29"/>
        <v>13.428571428571427</v>
      </c>
      <c r="AC37" s="16">
        <f t="shared" si="29"/>
        <v>395.57142857142856</v>
      </c>
      <c r="AD37" s="16">
        <f t="shared" si="29"/>
        <v>0.14285714285714285</v>
      </c>
      <c r="AE37" s="32">
        <f t="shared" si="29"/>
        <v>145.14285714285714</v>
      </c>
      <c r="AF37" s="32">
        <f t="shared" si="29"/>
        <v>540.71428571428578</v>
      </c>
    </row>
    <row r="38" spans="2:32" ht="23.1" customHeight="1" x14ac:dyDescent="0.25">
      <c r="B38" s="24" t="s">
        <v>65</v>
      </c>
      <c r="C38" s="49">
        <f>AVERAGE('09.09 Ishaka-Katungulu'!C38,'10.09 Ishaka-Katungulu'!C38,'11.09 Ishaka-Katungulu'!C38,'12.09 Ishaka-Katungulu'!C38,'07.09. Ishaka-Katungulu-24h'!C38,'08.09 Ishaka-Katungulu-24h'!C38,'13.09 Ishaka-Katungulu'!C38)</f>
        <v>4.7142857142857144</v>
      </c>
      <c r="D38" s="49">
        <f>AVERAGE('09.09 Ishaka-Katungulu'!D38,'10.09 Ishaka-Katungulu'!D38,'11.09 Ishaka-Katungulu'!D38,'12.09 Ishaka-Katungulu'!D38,'07.09. Ishaka-Katungulu-24h'!D38,'08.09 Ishaka-Katungulu-24h'!D38,'13.09 Ishaka-Katungulu'!D38)</f>
        <v>0.2857142857142857</v>
      </c>
      <c r="E38" s="49">
        <f>AVERAGE('09.09 Ishaka-Katungulu'!E38,'10.09 Ishaka-Katungulu'!E38,'11.09 Ishaka-Katungulu'!E38,'12.09 Ishaka-Katungulu'!E38,'07.09. Ishaka-Katungulu-24h'!E38,'08.09 Ishaka-Katungulu-24h'!E38,'13.09 Ishaka-Katungulu'!E38)</f>
        <v>2.4285714285714284</v>
      </c>
      <c r="F38" s="49">
        <f>AVERAGE('09.09 Ishaka-Katungulu'!F38,'10.09 Ishaka-Katungulu'!F38,'11.09 Ishaka-Katungulu'!F38,'12.09 Ishaka-Katungulu'!F38,'07.09. Ishaka-Katungulu-24h'!F38,'08.09 Ishaka-Katungulu-24h'!F38,'13.09 Ishaka-Katungulu'!F38)</f>
        <v>3.4285714285714284</v>
      </c>
      <c r="G38" s="49">
        <f>AVERAGE('09.09 Ishaka-Katungulu'!G38,'10.09 Ishaka-Katungulu'!G38,'11.09 Ishaka-Katungulu'!G38,'12.09 Ishaka-Katungulu'!G38,'07.09. Ishaka-Katungulu-24h'!G38,'08.09 Ishaka-Katungulu-24h'!G38,'13.09 Ishaka-Katungulu'!G38)</f>
        <v>0</v>
      </c>
      <c r="H38" s="49">
        <f>AVERAGE('09.09 Ishaka-Katungulu'!H38,'10.09 Ishaka-Katungulu'!H38,'11.09 Ishaka-Katungulu'!H38,'12.09 Ishaka-Katungulu'!H38,'07.09. Ishaka-Katungulu-24h'!H38,'08.09 Ishaka-Katungulu-24h'!H38,'13.09 Ishaka-Katungulu'!H38)</f>
        <v>0</v>
      </c>
      <c r="I38" s="49">
        <f>AVERAGE('09.09 Ishaka-Katungulu'!I38,'10.09 Ishaka-Katungulu'!I38,'11.09 Ishaka-Katungulu'!I38,'12.09 Ishaka-Katungulu'!I38,'07.09. Ishaka-Katungulu-24h'!I38,'08.09 Ishaka-Katungulu-24h'!I38,'13.09 Ishaka-Katungulu'!I38)</f>
        <v>1.7142857142857142</v>
      </c>
      <c r="J38" s="49">
        <f>AVERAGE('09.09 Ishaka-Katungulu'!J38,'10.09 Ishaka-Katungulu'!J38,'11.09 Ishaka-Katungulu'!J38,'12.09 Ishaka-Katungulu'!J38,'07.09. Ishaka-Katungulu-24h'!J38,'08.09 Ishaka-Katungulu-24h'!J38,'13.09 Ishaka-Katungulu'!J38)</f>
        <v>0.14285714285714285</v>
      </c>
      <c r="K38" s="49">
        <f>AVERAGE('09.09 Ishaka-Katungulu'!K38,'10.09 Ishaka-Katungulu'!K38,'11.09 Ishaka-Katungulu'!K38,'12.09 Ishaka-Katungulu'!K38,'07.09. Ishaka-Katungulu-24h'!K38,'08.09 Ishaka-Katungulu-24h'!K38,'13.09 Ishaka-Katungulu'!K38)</f>
        <v>1.1428571428571428</v>
      </c>
      <c r="L38" s="49">
        <f>AVERAGE('09.09 Ishaka-Katungulu'!L38,'10.09 Ishaka-Katungulu'!L38,'11.09 Ishaka-Katungulu'!L38,'12.09 Ishaka-Katungulu'!L38,'07.09. Ishaka-Katungulu-24h'!L38,'08.09 Ishaka-Katungulu-24h'!L38,'13.09 Ishaka-Katungulu'!L38)</f>
        <v>0.42857142857142855</v>
      </c>
      <c r="M38" s="49">
        <f>AVERAGE('09.09 Ishaka-Katungulu'!M38,'10.09 Ishaka-Katungulu'!M38,'11.09 Ishaka-Katungulu'!M38,'12.09 Ishaka-Katungulu'!M38,'07.09. Ishaka-Katungulu-24h'!M38,'08.09 Ishaka-Katungulu-24h'!M38,'13.09 Ishaka-Katungulu'!M38)</f>
        <v>26</v>
      </c>
      <c r="N38" s="49">
        <f>AVERAGE('09.09 Ishaka-Katungulu'!N38,'10.09 Ishaka-Katungulu'!N38,'11.09 Ishaka-Katungulu'!N38,'12.09 Ishaka-Katungulu'!N38,'07.09. Ishaka-Katungulu-24h'!N38,'08.09 Ishaka-Katungulu-24h'!N38,'13.09 Ishaka-Katungulu'!N38)</f>
        <v>0</v>
      </c>
      <c r="O38" s="15">
        <f t="shared" si="0"/>
        <v>14.285714285714285</v>
      </c>
      <c r="P38" s="15">
        <f t="shared" si="1"/>
        <v>40.285714285714285</v>
      </c>
      <c r="R38" s="28" t="s">
        <v>86</v>
      </c>
      <c r="S38" s="16">
        <f t="shared" ref="S38:AF38" si="30">SUM(S13:S18)</f>
        <v>123.42857142857144</v>
      </c>
      <c r="T38" s="16">
        <f t="shared" si="30"/>
        <v>17.142857142857142</v>
      </c>
      <c r="U38" s="16">
        <f t="shared" si="30"/>
        <v>89.714285714285722</v>
      </c>
      <c r="V38" s="16">
        <f t="shared" si="30"/>
        <v>81.142857142857139</v>
      </c>
      <c r="W38" s="16">
        <f t="shared" si="30"/>
        <v>2.9999999999999996</v>
      </c>
      <c r="X38" s="16">
        <f t="shared" si="30"/>
        <v>3.1428571428571423</v>
      </c>
      <c r="Y38" s="16">
        <f t="shared" si="30"/>
        <v>30.428571428571427</v>
      </c>
      <c r="Z38" s="16">
        <f t="shared" si="30"/>
        <v>17.571428571428569</v>
      </c>
      <c r="AA38" s="16">
        <f t="shared" si="30"/>
        <v>26.285714285714285</v>
      </c>
      <c r="AB38" s="16">
        <f t="shared" si="30"/>
        <v>28.714285714285715</v>
      </c>
      <c r="AC38" s="16">
        <f t="shared" si="30"/>
        <v>1061.2857142857142</v>
      </c>
      <c r="AD38" s="16">
        <f t="shared" si="30"/>
        <v>0.2857142857142857</v>
      </c>
      <c r="AE38" s="32">
        <f t="shared" si="30"/>
        <v>420.85714285714278</v>
      </c>
      <c r="AF38" s="32">
        <f t="shared" si="30"/>
        <v>1482.1428571428573</v>
      </c>
    </row>
    <row r="39" spans="2:32" ht="23.1" customHeight="1" x14ac:dyDescent="0.25">
      <c r="B39" s="24" t="s">
        <v>66</v>
      </c>
      <c r="C39" s="49">
        <f>AVERAGE('09.09 Ishaka-Katungulu'!C39,'10.09 Ishaka-Katungulu'!C39,'11.09 Ishaka-Katungulu'!C39,'12.09 Ishaka-Katungulu'!C39,'07.09. Ishaka-Katungulu-24h'!C39,'08.09 Ishaka-Katungulu-24h'!C39,'13.09 Ishaka-Katungulu'!C39)</f>
        <v>7.7142857142857144</v>
      </c>
      <c r="D39" s="49">
        <f>AVERAGE('09.09 Ishaka-Katungulu'!D39,'10.09 Ishaka-Katungulu'!D39,'11.09 Ishaka-Katungulu'!D39,'12.09 Ishaka-Katungulu'!D39,'07.09. Ishaka-Katungulu-24h'!D39,'08.09 Ishaka-Katungulu-24h'!D39,'13.09 Ishaka-Katungulu'!D39)</f>
        <v>0.8571428571428571</v>
      </c>
      <c r="E39" s="49">
        <f>AVERAGE('09.09 Ishaka-Katungulu'!E39,'10.09 Ishaka-Katungulu'!E39,'11.09 Ishaka-Katungulu'!E39,'12.09 Ishaka-Katungulu'!E39,'07.09. Ishaka-Katungulu-24h'!E39,'08.09 Ishaka-Katungulu-24h'!E39,'13.09 Ishaka-Katungulu'!E39)</f>
        <v>3.8571428571428572</v>
      </c>
      <c r="F39" s="49">
        <f>AVERAGE('09.09 Ishaka-Katungulu'!F39,'10.09 Ishaka-Katungulu'!F39,'11.09 Ishaka-Katungulu'!F39,'12.09 Ishaka-Katungulu'!F39,'07.09. Ishaka-Katungulu-24h'!F39,'08.09 Ishaka-Katungulu-24h'!F39,'13.09 Ishaka-Katungulu'!F39)</f>
        <v>6</v>
      </c>
      <c r="G39" s="49">
        <f>AVERAGE('09.09 Ishaka-Katungulu'!G39,'10.09 Ishaka-Katungulu'!G39,'11.09 Ishaka-Katungulu'!G39,'12.09 Ishaka-Katungulu'!G39,'07.09. Ishaka-Katungulu-24h'!G39,'08.09 Ishaka-Katungulu-24h'!G39,'13.09 Ishaka-Katungulu'!G39)</f>
        <v>0</v>
      </c>
      <c r="H39" s="49">
        <f>AVERAGE('09.09 Ishaka-Katungulu'!H39,'10.09 Ishaka-Katungulu'!H39,'11.09 Ishaka-Katungulu'!H39,'12.09 Ishaka-Katungulu'!H39,'07.09. Ishaka-Katungulu-24h'!H39,'08.09 Ishaka-Katungulu-24h'!H39,'13.09 Ishaka-Katungulu'!H39)</f>
        <v>0</v>
      </c>
      <c r="I39" s="49">
        <f>AVERAGE('09.09 Ishaka-Katungulu'!I39,'10.09 Ishaka-Katungulu'!I39,'11.09 Ishaka-Katungulu'!I39,'12.09 Ishaka-Katungulu'!I39,'07.09. Ishaka-Katungulu-24h'!I39,'08.09 Ishaka-Katungulu-24h'!I39,'13.09 Ishaka-Katungulu'!I39)</f>
        <v>2.8571428571428572</v>
      </c>
      <c r="J39" s="49">
        <f>AVERAGE('09.09 Ishaka-Katungulu'!J39,'10.09 Ishaka-Katungulu'!J39,'11.09 Ishaka-Katungulu'!J39,'12.09 Ishaka-Katungulu'!J39,'07.09. Ishaka-Katungulu-24h'!J39,'08.09 Ishaka-Katungulu-24h'!J39,'13.09 Ishaka-Katungulu'!J39)</f>
        <v>0.8571428571428571</v>
      </c>
      <c r="K39" s="49">
        <f>AVERAGE('09.09 Ishaka-Katungulu'!K39,'10.09 Ishaka-Katungulu'!K39,'11.09 Ishaka-Katungulu'!K39,'12.09 Ishaka-Katungulu'!K39,'07.09. Ishaka-Katungulu-24h'!K39,'08.09 Ishaka-Katungulu-24h'!K39,'13.09 Ishaka-Katungulu'!K39)</f>
        <v>2.4285714285714284</v>
      </c>
      <c r="L39" s="49">
        <f>AVERAGE('09.09 Ishaka-Katungulu'!L39,'10.09 Ishaka-Katungulu'!L39,'11.09 Ishaka-Katungulu'!L39,'12.09 Ishaka-Katungulu'!L39,'07.09. Ishaka-Katungulu-24h'!L39,'08.09 Ishaka-Katungulu-24h'!L39,'13.09 Ishaka-Katungulu'!L39)</f>
        <v>1.2857142857142858</v>
      </c>
      <c r="M39" s="49">
        <f>AVERAGE('09.09 Ishaka-Katungulu'!M39,'10.09 Ishaka-Katungulu'!M39,'11.09 Ishaka-Katungulu'!M39,'12.09 Ishaka-Katungulu'!M39,'07.09. Ishaka-Katungulu-24h'!M39,'08.09 Ishaka-Katungulu-24h'!M39,'13.09 Ishaka-Katungulu'!M39)</f>
        <v>46.714285714285715</v>
      </c>
      <c r="N39" s="49">
        <f>AVERAGE('09.09 Ishaka-Katungulu'!N39,'10.09 Ishaka-Katungulu'!N39,'11.09 Ishaka-Katungulu'!N39,'12.09 Ishaka-Katungulu'!N39,'07.09. Ishaka-Katungulu-24h'!N39,'08.09 Ishaka-Katungulu-24h'!N39,'13.09 Ishaka-Katungulu'!N39)</f>
        <v>0</v>
      </c>
      <c r="O39" s="15">
        <f t="shared" si="0"/>
        <v>25.857142857142858</v>
      </c>
      <c r="P39" s="15">
        <f t="shared" si="1"/>
        <v>72.571428571428569</v>
      </c>
      <c r="R39" s="29" t="s">
        <v>87</v>
      </c>
      <c r="S39" s="16">
        <f t="shared" ref="S39:AF39" si="31">SUM(S19:S21)</f>
        <v>67.857142857142861</v>
      </c>
      <c r="T39" s="16">
        <f t="shared" si="31"/>
        <v>8.2857142857142847</v>
      </c>
      <c r="U39" s="16">
        <f t="shared" si="31"/>
        <v>44.285714285714285</v>
      </c>
      <c r="V39" s="16">
        <f t="shared" si="31"/>
        <v>39.142857142857139</v>
      </c>
      <c r="W39" s="16">
        <f t="shared" si="31"/>
        <v>0.2857142857142857</v>
      </c>
      <c r="X39" s="16">
        <f t="shared" si="31"/>
        <v>1.1428571428571428</v>
      </c>
      <c r="Y39" s="16">
        <f t="shared" si="31"/>
        <v>19.857142857142854</v>
      </c>
      <c r="Z39" s="16">
        <f t="shared" si="31"/>
        <v>9.5714285714285712</v>
      </c>
      <c r="AA39" s="16">
        <f t="shared" si="31"/>
        <v>11</v>
      </c>
      <c r="AB39" s="16">
        <f t="shared" si="31"/>
        <v>13.714285714285715</v>
      </c>
      <c r="AC39" s="16">
        <f t="shared" si="31"/>
        <v>528.85714285714289</v>
      </c>
      <c r="AD39" s="16">
        <f t="shared" si="31"/>
        <v>0</v>
      </c>
      <c r="AE39" s="32">
        <f t="shared" si="31"/>
        <v>215.14285714285711</v>
      </c>
      <c r="AF39" s="32">
        <f t="shared" si="31"/>
        <v>744</v>
      </c>
    </row>
    <row r="40" spans="2:32" ht="23.1" customHeight="1" x14ac:dyDescent="0.25">
      <c r="B40" s="24" t="s">
        <v>67</v>
      </c>
      <c r="C40" s="49">
        <f>AVERAGE('09.09 Ishaka-Katungulu'!C40,'10.09 Ishaka-Katungulu'!C40,'11.09 Ishaka-Katungulu'!C40,'12.09 Ishaka-Katungulu'!C40,'07.09. Ishaka-Katungulu-24h'!C40,'08.09 Ishaka-Katungulu-24h'!C40,'13.09 Ishaka-Katungulu'!C40)</f>
        <v>2.4285714285714284</v>
      </c>
      <c r="D40" s="49">
        <f>AVERAGE('09.09 Ishaka-Katungulu'!D40,'10.09 Ishaka-Katungulu'!D40,'11.09 Ishaka-Katungulu'!D40,'12.09 Ishaka-Katungulu'!D40,'07.09. Ishaka-Katungulu-24h'!D40,'08.09 Ishaka-Katungulu-24h'!D40,'13.09 Ishaka-Katungulu'!D40)</f>
        <v>0.2857142857142857</v>
      </c>
      <c r="E40" s="49">
        <f>AVERAGE('09.09 Ishaka-Katungulu'!E40,'10.09 Ishaka-Katungulu'!E40,'11.09 Ishaka-Katungulu'!E40,'12.09 Ishaka-Katungulu'!E40,'07.09. Ishaka-Katungulu-24h'!E40,'08.09 Ishaka-Katungulu-24h'!E40,'13.09 Ishaka-Katungulu'!E40)</f>
        <v>2.5714285714285716</v>
      </c>
      <c r="F40" s="49">
        <f>AVERAGE('09.09 Ishaka-Katungulu'!F40,'10.09 Ishaka-Katungulu'!F40,'11.09 Ishaka-Katungulu'!F40,'12.09 Ishaka-Katungulu'!F40,'07.09. Ishaka-Katungulu-24h'!F40,'08.09 Ishaka-Katungulu-24h'!F40,'13.09 Ishaka-Katungulu'!F40)</f>
        <v>2.5714285714285716</v>
      </c>
      <c r="G40" s="49">
        <f>AVERAGE('09.09 Ishaka-Katungulu'!G40,'10.09 Ishaka-Katungulu'!G40,'11.09 Ishaka-Katungulu'!G40,'12.09 Ishaka-Katungulu'!G40,'07.09. Ishaka-Katungulu-24h'!G40,'08.09 Ishaka-Katungulu-24h'!G40,'13.09 Ishaka-Katungulu'!G40)</f>
        <v>0</v>
      </c>
      <c r="H40" s="49">
        <f>AVERAGE('09.09 Ishaka-Katungulu'!H40,'10.09 Ishaka-Katungulu'!H40,'11.09 Ishaka-Katungulu'!H40,'12.09 Ishaka-Katungulu'!H40,'07.09. Ishaka-Katungulu-24h'!H40,'08.09 Ishaka-Katungulu-24h'!H40,'13.09 Ishaka-Katungulu'!H40)</f>
        <v>0</v>
      </c>
      <c r="I40" s="49">
        <f>AVERAGE('09.09 Ishaka-Katungulu'!I40,'10.09 Ishaka-Katungulu'!I40,'11.09 Ishaka-Katungulu'!I40,'12.09 Ishaka-Katungulu'!I40,'07.09. Ishaka-Katungulu-24h'!I40,'08.09 Ishaka-Katungulu-24h'!I40,'13.09 Ishaka-Katungulu'!I40)</f>
        <v>0.7142857142857143</v>
      </c>
      <c r="J40" s="49">
        <f>AVERAGE('09.09 Ishaka-Katungulu'!J40,'10.09 Ishaka-Katungulu'!J40,'11.09 Ishaka-Katungulu'!J40,'12.09 Ishaka-Katungulu'!J40,'07.09. Ishaka-Katungulu-24h'!J40,'08.09 Ishaka-Katungulu-24h'!J40,'13.09 Ishaka-Katungulu'!J40)</f>
        <v>0</v>
      </c>
      <c r="K40" s="49">
        <f>AVERAGE('09.09 Ishaka-Katungulu'!K40,'10.09 Ishaka-Katungulu'!K40,'11.09 Ishaka-Katungulu'!K40,'12.09 Ishaka-Katungulu'!K40,'07.09. Ishaka-Katungulu-24h'!K40,'08.09 Ishaka-Katungulu-24h'!K40,'13.09 Ishaka-Katungulu'!K40)</f>
        <v>0.8571428571428571</v>
      </c>
      <c r="L40" s="49">
        <f>AVERAGE('09.09 Ishaka-Katungulu'!L40,'10.09 Ishaka-Katungulu'!L40,'11.09 Ishaka-Katungulu'!L40,'12.09 Ishaka-Katungulu'!L40,'07.09. Ishaka-Katungulu-24h'!L40,'08.09 Ishaka-Katungulu-24h'!L40,'13.09 Ishaka-Katungulu'!L40)</f>
        <v>0.42857142857142855</v>
      </c>
      <c r="M40" s="49">
        <f>AVERAGE('09.09 Ishaka-Katungulu'!M40,'10.09 Ishaka-Katungulu'!M40,'11.09 Ishaka-Katungulu'!M40,'12.09 Ishaka-Katungulu'!M40,'07.09. Ishaka-Katungulu-24h'!M40,'08.09 Ishaka-Katungulu-24h'!M40,'13.09 Ishaka-Katungulu'!M40)</f>
        <v>24.142857142857142</v>
      </c>
      <c r="N40" s="49">
        <f>AVERAGE('09.09 Ishaka-Katungulu'!N40,'10.09 Ishaka-Katungulu'!N40,'11.09 Ishaka-Katungulu'!N40,'12.09 Ishaka-Katungulu'!N40,'07.09. Ishaka-Katungulu-24h'!N40,'08.09 Ishaka-Katungulu-24h'!N40,'13.09 Ishaka-Katungulu'!N40)</f>
        <v>0</v>
      </c>
      <c r="O40" s="15">
        <f t="shared" si="0"/>
        <v>9.8571428571428577</v>
      </c>
      <c r="P40" s="15">
        <f t="shared" si="1"/>
        <v>34</v>
      </c>
      <c r="R40" s="5" t="s">
        <v>17</v>
      </c>
      <c r="S40" s="16">
        <f t="shared" ref="S40:AF40" si="32">SUM(S10:S21)</f>
        <v>224.85714285714289</v>
      </c>
      <c r="T40" s="16">
        <f t="shared" si="32"/>
        <v>28.571428571428569</v>
      </c>
      <c r="U40" s="16">
        <f t="shared" si="32"/>
        <v>157.28571428571428</v>
      </c>
      <c r="V40" s="16">
        <f t="shared" si="32"/>
        <v>147.42857142857142</v>
      </c>
      <c r="W40" s="16">
        <f t="shared" si="32"/>
        <v>4.1428571428571423</v>
      </c>
      <c r="X40" s="16">
        <f t="shared" si="32"/>
        <v>5.8571428571428577</v>
      </c>
      <c r="Y40" s="16">
        <f t="shared" si="32"/>
        <v>55.714285714285715</v>
      </c>
      <c r="Z40" s="16">
        <f t="shared" si="32"/>
        <v>39.571428571428569</v>
      </c>
      <c r="AA40" s="16">
        <f t="shared" si="32"/>
        <v>61.428571428571423</v>
      </c>
      <c r="AB40" s="16">
        <f t="shared" si="32"/>
        <v>55.857142857142847</v>
      </c>
      <c r="AC40" s="16">
        <f t="shared" si="32"/>
        <v>1985.7142857142858</v>
      </c>
      <c r="AD40" s="16">
        <f t="shared" si="32"/>
        <v>0.42857142857142855</v>
      </c>
      <c r="AE40" s="32">
        <f t="shared" si="32"/>
        <v>781.14285714285711</v>
      </c>
      <c r="AF40" s="32">
        <f t="shared" si="32"/>
        <v>2766.8571428571431</v>
      </c>
    </row>
    <row r="41" spans="2:32" ht="23.1" customHeight="1" x14ac:dyDescent="0.25">
      <c r="B41" s="23" t="s">
        <v>68</v>
      </c>
      <c r="C41" s="49">
        <f>AVERAGE('09.09 Ishaka-Katungulu'!C41,'10.09 Ishaka-Katungulu'!C41,'11.09 Ishaka-Katungulu'!C41,'12.09 Ishaka-Katungulu'!C41,'07.09. Ishaka-Katungulu-24h'!C41,'08.09 Ishaka-Katungulu-24h'!C41,'13.09 Ishaka-Katungulu'!C41)</f>
        <v>4.4285714285714288</v>
      </c>
      <c r="D41" s="49">
        <f>AVERAGE('09.09 Ishaka-Katungulu'!D41,'10.09 Ishaka-Katungulu'!D41,'11.09 Ishaka-Katungulu'!D41,'12.09 Ishaka-Katungulu'!D41,'07.09. Ishaka-Katungulu-24h'!D41,'08.09 Ishaka-Katungulu-24h'!D41,'13.09 Ishaka-Katungulu'!D41)</f>
        <v>1</v>
      </c>
      <c r="E41" s="49">
        <f>AVERAGE('09.09 Ishaka-Katungulu'!E41,'10.09 Ishaka-Katungulu'!E41,'11.09 Ishaka-Katungulu'!E41,'12.09 Ishaka-Katungulu'!E41,'07.09. Ishaka-Katungulu-24h'!E41,'08.09 Ishaka-Katungulu-24h'!E41,'13.09 Ishaka-Katungulu'!E41)</f>
        <v>4.2857142857142856</v>
      </c>
      <c r="F41" s="49">
        <f>AVERAGE('09.09 Ishaka-Katungulu'!F41,'10.09 Ishaka-Katungulu'!F41,'11.09 Ishaka-Katungulu'!F41,'12.09 Ishaka-Katungulu'!F41,'07.09. Ishaka-Katungulu-24h'!F41,'08.09 Ishaka-Katungulu-24h'!F41,'13.09 Ishaka-Katungulu'!F41)</f>
        <v>4.4285714285714288</v>
      </c>
      <c r="G41" s="49">
        <f>AVERAGE('09.09 Ishaka-Katungulu'!G41,'10.09 Ishaka-Katungulu'!G41,'11.09 Ishaka-Katungulu'!G41,'12.09 Ishaka-Katungulu'!G41,'07.09. Ishaka-Katungulu-24h'!G41,'08.09 Ishaka-Katungulu-24h'!G41,'13.09 Ishaka-Katungulu'!G41)</f>
        <v>0</v>
      </c>
      <c r="H41" s="49">
        <f>AVERAGE('09.09 Ishaka-Katungulu'!H41,'10.09 Ishaka-Katungulu'!H41,'11.09 Ishaka-Katungulu'!H41,'12.09 Ishaka-Katungulu'!H41,'07.09. Ishaka-Katungulu-24h'!H41,'08.09 Ishaka-Katungulu-24h'!H41,'13.09 Ishaka-Katungulu'!H41)</f>
        <v>0</v>
      </c>
      <c r="I41" s="49">
        <f>AVERAGE('09.09 Ishaka-Katungulu'!I41,'10.09 Ishaka-Katungulu'!I41,'11.09 Ishaka-Katungulu'!I41,'12.09 Ishaka-Katungulu'!I41,'07.09. Ishaka-Katungulu-24h'!I41,'08.09 Ishaka-Katungulu-24h'!I41,'13.09 Ishaka-Katungulu'!I41)</f>
        <v>1.7142857142857142</v>
      </c>
      <c r="J41" s="49">
        <f>AVERAGE('09.09 Ishaka-Katungulu'!J41,'10.09 Ishaka-Katungulu'!J41,'11.09 Ishaka-Katungulu'!J41,'12.09 Ishaka-Katungulu'!J41,'07.09. Ishaka-Katungulu-24h'!J41,'08.09 Ishaka-Katungulu-24h'!J41,'13.09 Ishaka-Katungulu'!J41)</f>
        <v>0.8571428571428571</v>
      </c>
      <c r="K41" s="49">
        <f>AVERAGE('09.09 Ishaka-Katungulu'!K41,'10.09 Ishaka-Katungulu'!K41,'11.09 Ishaka-Katungulu'!K41,'12.09 Ishaka-Katungulu'!K41,'07.09. Ishaka-Katungulu-24h'!K41,'08.09 Ishaka-Katungulu-24h'!K41,'13.09 Ishaka-Katungulu'!K41)</f>
        <v>1.7142857142857142</v>
      </c>
      <c r="L41" s="49">
        <f>AVERAGE('09.09 Ishaka-Katungulu'!L41,'10.09 Ishaka-Katungulu'!L41,'11.09 Ishaka-Katungulu'!L41,'12.09 Ishaka-Katungulu'!L41,'07.09. Ishaka-Katungulu-24h'!L41,'08.09 Ishaka-Katungulu-24h'!L41,'13.09 Ishaka-Katungulu'!L41)</f>
        <v>1.4285714285714286</v>
      </c>
      <c r="M41" s="49">
        <f>AVERAGE('09.09 Ishaka-Katungulu'!M41,'10.09 Ishaka-Katungulu'!M41,'11.09 Ishaka-Katungulu'!M41,'12.09 Ishaka-Katungulu'!M41,'07.09. Ishaka-Katungulu-24h'!M41,'08.09 Ishaka-Katungulu-24h'!M41,'13.09 Ishaka-Katungulu'!M41)</f>
        <v>43.714285714285715</v>
      </c>
      <c r="N41" s="49">
        <f>AVERAGE('09.09 Ishaka-Katungulu'!N41,'10.09 Ishaka-Katungulu'!N41,'11.09 Ishaka-Katungulu'!N41,'12.09 Ishaka-Katungulu'!N41,'07.09. Ishaka-Katungulu-24h'!N41,'08.09 Ishaka-Katungulu-24h'!N41,'13.09 Ishaka-Katungulu'!N41)</f>
        <v>0</v>
      </c>
      <c r="O41" s="15">
        <f t="shared" si="0"/>
        <v>19.857142857142858</v>
      </c>
      <c r="P41" s="15">
        <f t="shared" si="1"/>
        <v>63.571428571428569</v>
      </c>
      <c r="R41" s="5" t="s">
        <v>175</v>
      </c>
      <c r="S41" s="16">
        <f>SUM(S10:S33)</f>
        <v>307.85714285714289</v>
      </c>
      <c r="T41" s="16">
        <f t="shared" ref="T41:AD41" si="33">SUM(T10:T33)</f>
        <v>63.571428571428569</v>
      </c>
      <c r="U41" s="16">
        <f t="shared" si="33"/>
        <v>235.78571428571428</v>
      </c>
      <c r="V41" s="16">
        <f t="shared" si="33"/>
        <v>198.92857142857142</v>
      </c>
      <c r="W41" s="16">
        <f t="shared" si="33"/>
        <v>5.6428571428571423</v>
      </c>
      <c r="X41" s="16">
        <f t="shared" si="33"/>
        <v>9.8571428571428577</v>
      </c>
      <c r="Y41" s="16">
        <f t="shared" si="33"/>
        <v>72.214285714285722</v>
      </c>
      <c r="Z41" s="16">
        <f t="shared" si="33"/>
        <v>55.071428571428569</v>
      </c>
      <c r="AA41" s="16">
        <f t="shared" si="33"/>
        <v>74.928571428571416</v>
      </c>
      <c r="AB41" s="16">
        <f t="shared" si="33"/>
        <v>91.857142857142847</v>
      </c>
      <c r="AC41" s="16">
        <f t="shared" si="33"/>
        <v>2396.2142857142858</v>
      </c>
      <c r="AD41" s="16">
        <f t="shared" si="33"/>
        <v>0.42857142857142855</v>
      </c>
      <c r="AE41" s="32">
        <f>SUM(AE10:AE33)</f>
        <v>1116.1428571428571</v>
      </c>
      <c r="AF41" s="32">
        <f>SUM(AF10:AF33)</f>
        <v>3512.3571428571431</v>
      </c>
    </row>
    <row r="42" spans="2:32" ht="23.1" customHeight="1" x14ac:dyDescent="0.25">
      <c r="B42" s="24" t="s">
        <v>69</v>
      </c>
      <c r="C42" s="49">
        <f>AVERAGE('09.09 Ishaka-Katungulu'!C42,'10.09 Ishaka-Katungulu'!C42,'11.09 Ishaka-Katungulu'!C42,'12.09 Ishaka-Katungulu'!C42,'07.09. Ishaka-Katungulu-24h'!C42,'08.09 Ishaka-Katungulu-24h'!C42,'13.09 Ishaka-Katungulu'!C42)</f>
        <v>3.4285714285714284</v>
      </c>
      <c r="D42" s="49">
        <f>AVERAGE('09.09 Ishaka-Katungulu'!D42,'10.09 Ishaka-Katungulu'!D42,'11.09 Ishaka-Katungulu'!D42,'12.09 Ishaka-Katungulu'!D42,'07.09. Ishaka-Katungulu-24h'!D42,'08.09 Ishaka-Katungulu-24h'!D42,'13.09 Ishaka-Katungulu'!D42)</f>
        <v>0.14285714285714285</v>
      </c>
      <c r="E42" s="49">
        <f>AVERAGE('09.09 Ishaka-Katungulu'!E42,'10.09 Ishaka-Katungulu'!E42,'11.09 Ishaka-Katungulu'!E42,'12.09 Ishaka-Katungulu'!E42,'07.09. Ishaka-Katungulu-24h'!E42,'08.09 Ishaka-Katungulu-24h'!E42,'13.09 Ishaka-Katungulu'!E42)</f>
        <v>2.1428571428571428</v>
      </c>
      <c r="F42" s="49">
        <f>AVERAGE('09.09 Ishaka-Katungulu'!F42,'10.09 Ishaka-Katungulu'!F42,'11.09 Ishaka-Katungulu'!F42,'12.09 Ishaka-Katungulu'!F42,'07.09. Ishaka-Katungulu-24h'!F42,'08.09 Ishaka-Katungulu-24h'!F42,'13.09 Ishaka-Katungulu'!F42)</f>
        <v>2.8571428571428572</v>
      </c>
      <c r="G42" s="49">
        <f>AVERAGE('09.09 Ishaka-Katungulu'!G42,'10.09 Ishaka-Katungulu'!G42,'11.09 Ishaka-Katungulu'!G42,'12.09 Ishaka-Katungulu'!G42,'07.09. Ishaka-Katungulu-24h'!G42,'08.09 Ishaka-Katungulu-24h'!G42,'13.09 Ishaka-Katungulu'!G42)</f>
        <v>0</v>
      </c>
      <c r="H42" s="49">
        <f>AVERAGE('09.09 Ishaka-Katungulu'!H42,'10.09 Ishaka-Katungulu'!H42,'11.09 Ishaka-Katungulu'!H42,'12.09 Ishaka-Katungulu'!H42,'07.09. Ishaka-Katungulu-24h'!H42,'08.09 Ishaka-Katungulu-24h'!H42,'13.09 Ishaka-Katungulu'!H42)</f>
        <v>0</v>
      </c>
      <c r="I42" s="49">
        <f>AVERAGE('09.09 Ishaka-Katungulu'!I42,'10.09 Ishaka-Katungulu'!I42,'11.09 Ishaka-Katungulu'!I42,'12.09 Ishaka-Katungulu'!I42,'07.09. Ishaka-Katungulu-24h'!I42,'08.09 Ishaka-Katungulu-24h'!I42,'13.09 Ishaka-Katungulu'!I42)</f>
        <v>1.4285714285714286</v>
      </c>
      <c r="J42" s="49">
        <f>AVERAGE('09.09 Ishaka-Katungulu'!J42,'10.09 Ishaka-Katungulu'!J42,'11.09 Ishaka-Katungulu'!J42,'12.09 Ishaka-Katungulu'!J42,'07.09. Ishaka-Katungulu-24h'!J42,'08.09 Ishaka-Katungulu-24h'!J42,'13.09 Ishaka-Katungulu'!J42)</f>
        <v>0.5714285714285714</v>
      </c>
      <c r="K42" s="49">
        <f>AVERAGE('09.09 Ishaka-Katungulu'!K42,'10.09 Ishaka-Katungulu'!K42,'11.09 Ishaka-Katungulu'!K42,'12.09 Ishaka-Katungulu'!K42,'07.09. Ishaka-Katungulu-24h'!K42,'08.09 Ishaka-Katungulu-24h'!K42,'13.09 Ishaka-Katungulu'!K42)</f>
        <v>0.7142857142857143</v>
      </c>
      <c r="L42" s="49">
        <f>AVERAGE('09.09 Ishaka-Katungulu'!L42,'10.09 Ishaka-Katungulu'!L42,'11.09 Ishaka-Katungulu'!L42,'12.09 Ishaka-Katungulu'!L42,'07.09. Ishaka-Katungulu-24h'!L42,'08.09 Ishaka-Katungulu-24h'!L42,'13.09 Ishaka-Katungulu'!L42)</f>
        <v>1.2857142857142858</v>
      </c>
      <c r="M42" s="49">
        <f>AVERAGE('09.09 Ishaka-Katungulu'!M42,'10.09 Ishaka-Katungulu'!M42,'11.09 Ishaka-Katungulu'!M42,'12.09 Ishaka-Katungulu'!M42,'07.09. Ishaka-Katungulu-24h'!M42,'08.09 Ishaka-Katungulu-24h'!M42,'13.09 Ishaka-Katungulu'!M42)</f>
        <v>31.142857142857142</v>
      </c>
      <c r="N42" s="49">
        <f>AVERAGE('09.09 Ishaka-Katungulu'!N42,'10.09 Ishaka-Katungulu'!N42,'11.09 Ishaka-Katungulu'!N42,'12.09 Ishaka-Katungulu'!N42,'07.09. Ishaka-Katungulu-24h'!N42,'08.09 Ishaka-Katungulu-24h'!N42,'13.09 Ishaka-Katungulu'!N42)</f>
        <v>0</v>
      </c>
      <c r="O42" s="15">
        <f t="shared" si="0"/>
        <v>12.571428571428571</v>
      </c>
      <c r="P42" s="15">
        <f t="shared" si="1"/>
        <v>43.714285714285715</v>
      </c>
      <c r="R42" s="5" t="s">
        <v>160</v>
      </c>
      <c r="S42" s="48">
        <f>S41/S40</f>
        <v>1.3691232528589581</v>
      </c>
      <c r="T42" s="48">
        <f t="shared" ref="T42:AF42" si="34">T41/T40</f>
        <v>2.2250000000000001</v>
      </c>
      <c r="U42" s="48">
        <f t="shared" si="34"/>
        <v>1.4990917347865578</v>
      </c>
      <c r="V42" s="48">
        <f t="shared" si="34"/>
        <v>1.3493217054263567</v>
      </c>
      <c r="W42" s="48">
        <f t="shared" si="34"/>
        <v>1.3620689655172413</v>
      </c>
      <c r="X42" s="48">
        <f t="shared" si="34"/>
        <v>1.6829268292682926</v>
      </c>
      <c r="Y42" s="48">
        <f t="shared" si="34"/>
        <v>1.2961538461538462</v>
      </c>
      <c r="Z42" s="48">
        <f t="shared" si="34"/>
        <v>1.3916967509025271</v>
      </c>
      <c r="AA42" s="48">
        <f t="shared" si="34"/>
        <v>1.2197674418604649</v>
      </c>
      <c r="AB42" s="48">
        <f t="shared" si="34"/>
        <v>1.6445012787723787</v>
      </c>
      <c r="AC42" s="48">
        <f t="shared" si="34"/>
        <v>1.2067266187050361</v>
      </c>
      <c r="AD42" s="48">
        <f t="shared" si="34"/>
        <v>1</v>
      </c>
      <c r="AE42" s="52">
        <f t="shared" si="34"/>
        <v>1.4288588149231896</v>
      </c>
      <c r="AF42" s="52">
        <f t="shared" si="34"/>
        <v>1.2694392812887236</v>
      </c>
    </row>
    <row r="43" spans="2:32" ht="23.1" customHeight="1" x14ac:dyDescent="0.25">
      <c r="B43" s="23" t="s">
        <v>70</v>
      </c>
      <c r="C43" s="49">
        <f>AVERAGE('09.09 Ishaka-Katungulu'!C43,'10.09 Ishaka-Katungulu'!C43,'11.09 Ishaka-Katungulu'!C43,'12.09 Ishaka-Katungulu'!C43,'07.09. Ishaka-Katungulu-24h'!C43,'08.09 Ishaka-Katungulu-24h'!C43,'13.09 Ishaka-Katungulu'!C43)</f>
        <v>6.4285714285714288</v>
      </c>
      <c r="D43" s="49">
        <f>AVERAGE('09.09 Ishaka-Katungulu'!D43,'10.09 Ishaka-Katungulu'!D43,'11.09 Ishaka-Katungulu'!D43,'12.09 Ishaka-Katungulu'!D43,'07.09. Ishaka-Katungulu-24h'!D43,'08.09 Ishaka-Katungulu-24h'!D43,'13.09 Ishaka-Katungulu'!D43)</f>
        <v>0.5714285714285714</v>
      </c>
      <c r="E43" s="49">
        <f>AVERAGE('09.09 Ishaka-Katungulu'!E43,'10.09 Ishaka-Katungulu'!E43,'11.09 Ishaka-Katungulu'!E43,'12.09 Ishaka-Katungulu'!E43,'07.09. Ishaka-Katungulu-24h'!E43,'08.09 Ishaka-Katungulu-24h'!E43,'13.09 Ishaka-Katungulu'!E43)</f>
        <v>3.5714285714285716</v>
      </c>
      <c r="F43" s="49">
        <f>AVERAGE('09.09 Ishaka-Katungulu'!F43,'10.09 Ishaka-Katungulu'!F43,'11.09 Ishaka-Katungulu'!F43,'12.09 Ishaka-Katungulu'!F43,'07.09. Ishaka-Katungulu-24h'!F43,'08.09 Ishaka-Katungulu-24h'!F43,'13.09 Ishaka-Katungulu'!F43)</f>
        <v>5</v>
      </c>
      <c r="G43" s="49">
        <f>AVERAGE('09.09 Ishaka-Katungulu'!G43,'10.09 Ishaka-Katungulu'!G43,'11.09 Ishaka-Katungulu'!G43,'12.09 Ishaka-Katungulu'!G43,'07.09. Ishaka-Katungulu-24h'!G43,'08.09 Ishaka-Katungulu-24h'!G43,'13.09 Ishaka-Katungulu'!G43)</f>
        <v>0.14285714285714285</v>
      </c>
      <c r="H43" s="49">
        <f>AVERAGE('09.09 Ishaka-Katungulu'!H43,'10.09 Ishaka-Katungulu'!H43,'11.09 Ishaka-Katungulu'!H43,'12.09 Ishaka-Katungulu'!H43,'07.09. Ishaka-Katungulu-24h'!H43,'08.09 Ishaka-Katungulu-24h'!H43,'13.09 Ishaka-Katungulu'!H43)</f>
        <v>0.14285714285714285</v>
      </c>
      <c r="I43" s="49">
        <f>AVERAGE('09.09 Ishaka-Katungulu'!I43,'10.09 Ishaka-Katungulu'!I43,'11.09 Ishaka-Katungulu'!I43,'12.09 Ishaka-Katungulu'!I43,'07.09. Ishaka-Katungulu-24h'!I43,'08.09 Ishaka-Katungulu-24h'!I43,'13.09 Ishaka-Katungulu'!I43)</f>
        <v>2.4285714285714284</v>
      </c>
      <c r="J43" s="49">
        <f>AVERAGE('09.09 Ishaka-Katungulu'!J43,'10.09 Ishaka-Katungulu'!J43,'11.09 Ishaka-Katungulu'!J43,'12.09 Ishaka-Katungulu'!J43,'07.09. Ishaka-Katungulu-24h'!J43,'08.09 Ishaka-Katungulu-24h'!J43,'13.09 Ishaka-Katungulu'!J43)</f>
        <v>1.4285714285714286</v>
      </c>
      <c r="K43" s="49">
        <f>AVERAGE('09.09 Ishaka-Katungulu'!K43,'10.09 Ishaka-Katungulu'!K43,'11.09 Ishaka-Katungulu'!K43,'12.09 Ishaka-Katungulu'!K43,'07.09. Ishaka-Katungulu-24h'!K43,'08.09 Ishaka-Katungulu-24h'!K43,'13.09 Ishaka-Katungulu'!K43)</f>
        <v>1.7142857142857142</v>
      </c>
      <c r="L43" s="49">
        <f>AVERAGE('09.09 Ishaka-Katungulu'!L43,'10.09 Ishaka-Katungulu'!L43,'11.09 Ishaka-Katungulu'!L43,'12.09 Ishaka-Katungulu'!L43,'07.09. Ishaka-Katungulu-24h'!L43,'08.09 Ishaka-Katungulu-24h'!L43,'13.09 Ishaka-Katungulu'!L43)</f>
        <v>2.1428571428571428</v>
      </c>
      <c r="M43" s="49">
        <f>AVERAGE('09.09 Ishaka-Katungulu'!M43,'10.09 Ishaka-Katungulu'!M43,'11.09 Ishaka-Katungulu'!M43,'12.09 Ishaka-Katungulu'!M43,'07.09. Ishaka-Katungulu-24h'!M43,'08.09 Ishaka-Katungulu-24h'!M43,'13.09 Ishaka-Katungulu'!M43)</f>
        <v>56.142857142857146</v>
      </c>
      <c r="N43" s="49">
        <f>AVERAGE('09.09 Ishaka-Katungulu'!N43,'10.09 Ishaka-Katungulu'!N43,'11.09 Ishaka-Katungulu'!N43,'12.09 Ishaka-Katungulu'!N43,'07.09. Ishaka-Katungulu-24h'!N43,'08.09 Ishaka-Katungulu-24h'!N43,'13.09 Ishaka-Katungulu'!N43)</f>
        <v>0</v>
      </c>
      <c r="O43" s="15">
        <f t="shared" si="0"/>
        <v>23.571428571428569</v>
      </c>
      <c r="P43" s="15">
        <f t="shared" si="1"/>
        <v>79.714285714285722</v>
      </c>
    </row>
    <row r="44" spans="2:32" ht="23.1" customHeight="1" x14ac:dyDescent="0.25">
      <c r="B44" s="25" t="s">
        <v>71</v>
      </c>
      <c r="C44" s="49">
        <f>AVERAGE('09.09 Ishaka-Katungulu'!C44,'10.09 Ishaka-Katungulu'!C44,'11.09 Ishaka-Katungulu'!C44,'12.09 Ishaka-Katungulu'!C44,'07.09. Ishaka-Katungulu-24h'!C44,'08.09 Ishaka-Katungulu-24h'!C44,'13.09 Ishaka-Katungulu'!C44)</f>
        <v>2.4285714285714284</v>
      </c>
      <c r="D44" s="49">
        <f>AVERAGE('09.09 Ishaka-Katungulu'!D44,'10.09 Ishaka-Katungulu'!D44,'11.09 Ishaka-Katungulu'!D44,'12.09 Ishaka-Katungulu'!D44,'07.09. Ishaka-Katungulu-24h'!D44,'08.09 Ishaka-Katungulu-24h'!D44,'13.09 Ishaka-Katungulu'!D44)</f>
        <v>0.42857142857142855</v>
      </c>
      <c r="E44" s="49">
        <f>AVERAGE('09.09 Ishaka-Katungulu'!E44,'10.09 Ishaka-Katungulu'!E44,'11.09 Ishaka-Katungulu'!E44,'12.09 Ishaka-Katungulu'!E44,'07.09. Ishaka-Katungulu-24h'!E44,'08.09 Ishaka-Katungulu-24h'!E44,'13.09 Ishaka-Katungulu'!E44)</f>
        <v>3</v>
      </c>
      <c r="F44" s="49">
        <f>AVERAGE('09.09 Ishaka-Katungulu'!F44,'10.09 Ishaka-Katungulu'!F44,'11.09 Ishaka-Katungulu'!F44,'12.09 Ishaka-Katungulu'!F44,'07.09. Ishaka-Katungulu-24h'!F44,'08.09 Ishaka-Katungulu-24h'!F44,'13.09 Ishaka-Katungulu'!F44)</f>
        <v>2</v>
      </c>
      <c r="G44" s="49">
        <f>AVERAGE('09.09 Ishaka-Katungulu'!G44,'10.09 Ishaka-Katungulu'!G44,'11.09 Ishaka-Katungulu'!G44,'12.09 Ishaka-Katungulu'!G44,'07.09. Ishaka-Katungulu-24h'!G44,'08.09 Ishaka-Katungulu-24h'!G44,'13.09 Ishaka-Katungulu'!G44)</f>
        <v>0</v>
      </c>
      <c r="H44" s="49">
        <f>AVERAGE('09.09 Ishaka-Katungulu'!H44,'10.09 Ishaka-Katungulu'!H44,'11.09 Ishaka-Katungulu'!H44,'12.09 Ishaka-Katungulu'!H44,'07.09. Ishaka-Katungulu-24h'!H44,'08.09 Ishaka-Katungulu-24h'!H44,'13.09 Ishaka-Katungulu'!H44)</f>
        <v>0.14285714285714285</v>
      </c>
      <c r="I44" s="49">
        <f>AVERAGE('09.09 Ishaka-Katungulu'!I44,'10.09 Ishaka-Katungulu'!I44,'11.09 Ishaka-Katungulu'!I44,'12.09 Ishaka-Katungulu'!I44,'07.09. Ishaka-Katungulu-24h'!I44,'08.09 Ishaka-Katungulu-24h'!I44,'13.09 Ishaka-Katungulu'!I44)</f>
        <v>0.2857142857142857</v>
      </c>
      <c r="J44" s="49">
        <f>AVERAGE('09.09 Ishaka-Katungulu'!J44,'10.09 Ishaka-Katungulu'!J44,'11.09 Ishaka-Katungulu'!J44,'12.09 Ishaka-Katungulu'!J44,'07.09. Ishaka-Katungulu-24h'!J44,'08.09 Ishaka-Katungulu-24h'!J44,'13.09 Ishaka-Katungulu'!J44)</f>
        <v>0.42857142857142855</v>
      </c>
      <c r="K44" s="49">
        <f>AVERAGE('09.09 Ishaka-Katungulu'!K44,'10.09 Ishaka-Katungulu'!K44,'11.09 Ishaka-Katungulu'!K44,'12.09 Ishaka-Katungulu'!K44,'07.09. Ishaka-Katungulu-24h'!K44,'08.09 Ishaka-Katungulu-24h'!K44,'13.09 Ishaka-Katungulu'!K44)</f>
        <v>1</v>
      </c>
      <c r="L44" s="49">
        <f>AVERAGE('09.09 Ishaka-Katungulu'!L44,'10.09 Ishaka-Katungulu'!L44,'11.09 Ishaka-Katungulu'!L44,'12.09 Ishaka-Katungulu'!L44,'07.09. Ishaka-Katungulu-24h'!L44,'08.09 Ishaka-Katungulu-24h'!L44,'13.09 Ishaka-Katungulu'!L44)</f>
        <v>0.42857142857142855</v>
      </c>
      <c r="M44" s="49">
        <f>AVERAGE('09.09 Ishaka-Katungulu'!M44,'10.09 Ishaka-Katungulu'!M44,'11.09 Ishaka-Katungulu'!M44,'12.09 Ishaka-Katungulu'!M44,'07.09. Ishaka-Katungulu-24h'!M44,'08.09 Ishaka-Katungulu-24h'!M44,'13.09 Ishaka-Katungulu'!M44)</f>
        <v>30.142857142857142</v>
      </c>
      <c r="N44" s="49">
        <f>AVERAGE('09.09 Ishaka-Katungulu'!N44,'10.09 Ishaka-Katungulu'!N44,'11.09 Ishaka-Katungulu'!N44,'12.09 Ishaka-Katungulu'!N44,'07.09. Ishaka-Katungulu-24h'!N44,'08.09 Ishaka-Katungulu-24h'!N44,'13.09 Ishaka-Katungulu'!N44)</f>
        <v>0</v>
      </c>
      <c r="O44" s="15">
        <f t="shared" si="0"/>
        <v>10.142857142857144</v>
      </c>
      <c r="P44" s="15">
        <f t="shared" si="1"/>
        <v>40.285714285714285</v>
      </c>
    </row>
    <row r="45" spans="2:32" ht="23.1" customHeight="1" x14ac:dyDescent="0.25">
      <c r="B45" s="23" t="s">
        <v>72</v>
      </c>
      <c r="C45" s="49">
        <f>AVERAGE('09.09 Ishaka-Katungulu'!C45,'10.09 Ishaka-Katungulu'!C45,'11.09 Ishaka-Katungulu'!C45,'12.09 Ishaka-Katungulu'!C45,'07.09. Ishaka-Katungulu-24h'!C45,'08.09 Ishaka-Katungulu-24h'!C45,'13.09 Ishaka-Katungulu'!C45)</f>
        <v>4.4285714285714288</v>
      </c>
      <c r="D45" s="49">
        <f>AVERAGE('09.09 Ishaka-Katungulu'!D45,'10.09 Ishaka-Katungulu'!D45,'11.09 Ishaka-Katungulu'!D45,'12.09 Ishaka-Katungulu'!D45,'07.09. Ishaka-Katungulu-24h'!D45,'08.09 Ishaka-Katungulu-24h'!D45,'13.09 Ishaka-Katungulu'!D45)</f>
        <v>1.2857142857142858</v>
      </c>
      <c r="E45" s="49">
        <f>AVERAGE('09.09 Ishaka-Katungulu'!E45,'10.09 Ishaka-Katungulu'!E45,'11.09 Ishaka-Katungulu'!E45,'12.09 Ishaka-Katungulu'!E45,'07.09. Ishaka-Katungulu-24h'!E45,'08.09 Ishaka-Katungulu-24h'!E45,'13.09 Ishaka-Katungulu'!E45)</f>
        <v>5</v>
      </c>
      <c r="F45" s="49">
        <f>AVERAGE('09.09 Ishaka-Katungulu'!F45,'10.09 Ishaka-Katungulu'!F45,'11.09 Ishaka-Katungulu'!F45,'12.09 Ishaka-Katungulu'!F45,'07.09. Ishaka-Katungulu-24h'!F45,'08.09 Ishaka-Katungulu-24h'!F45,'13.09 Ishaka-Katungulu'!F45)</f>
        <v>3.2857142857142856</v>
      </c>
      <c r="G45" s="49">
        <f>AVERAGE('09.09 Ishaka-Katungulu'!G45,'10.09 Ishaka-Katungulu'!G45,'11.09 Ishaka-Katungulu'!G45,'12.09 Ishaka-Katungulu'!G45,'07.09. Ishaka-Katungulu-24h'!G45,'08.09 Ishaka-Katungulu-24h'!G45,'13.09 Ishaka-Katungulu'!G45)</f>
        <v>0</v>
      </c>
      <c r="H45" s="49">
        <f>AVERAGE('09.09 Ishaka-Katungulu'!H45,'10.09 Ishaka-Katungulu'!H45,'11.09 Ishaka-Katungulu'!H45,'12.09 Ishaka-Katungulu'!H45,'07.09. Ishaka-Katungulu-24h'!H45,'08.09 Ishaka-Katungulu-24h'!H45,'13.09 Ishaka-Katungulu'!H45)</f>
        <v>0.2857142857142857</v>
      </c>
      <c r="I45" s="49">
        <f>AVERAGE('09.09 Ishaka-Katungulu'!I45,'10.09 Ishaka-Katungulu'!I45,'11.09 Ishaka-Katungulu'!I45,'12.09 Ishaka-Katungulu'!I45,'07.09. Ishaka-Katungulu-24h'!I45,'08.09 Ishaka-Katungulu-24h'!I45,'13.09 Ishaka-Katungulu'!I45)</f>
        <v>1</v>
      </c>
      <c r="J45" s="49">
        <f>AVERAGE('09.09 Ishaka-Katungulu'!J45,'10.09 Ishaka-Katungulu'!J45,'11.09 Ishaka-Katungulu'!J45,'12.09 Ishaka-Katungulu'!J45,'07.09. Ishaka-Katungulu-24h'!J45,'08.09 Ishaka-Katungulu-24h'!J45,'13.09 Ishaka-Katungulu'!J45)</f>
        <v>1</v>
      </c>
      <c r="K45" s="49">
        <f>AVERAGE('09.09 Ishaka-Katungulu'!K45,'10.09 Ishaka-Katungulu'!K45,'11.09 Ishaka-Katungulu'!K45,'12.09 Ishaka-Katungulu'!K45,'07.09. Ishaka-Katungulu-24h'!K45,'08.09 Ishaka-Katungulu-24h'!K45,'13.09 Ishaka-Katungulu'!K45)</f>
        <v>1.8571428571428572</v>
      </c>
      <c r="L45" s="49">
        <f>AVERAGE('09.09 Ishaka-Katungulu'!L45,'10.09 Ishaka-Katungulu'!L45,'11.09 Ishaka-Katungulu'!L45,'12.09 Ishaka-Katungulu'!L45,'07.09. Ishaka-Katungulu-24h'!L45,'08.09 Ishaka-Katungulu-24h'!L45,'13.09 Ishaka-Katungulu'!L45)</f>
        <v>1.1428571428571428</v>
      </c>
      <c r="M45" s="49">
        <f>AVERAGE('09.09 Ishaka-Katungulu'!M45,'10.09 Ishaka-Katungulu'!M45,'11.09 Ishaka-Katungulu'!M45,'12.09 Ishaka-Katungulu'!M45,'07.09. Ishaka-Katungulu-24h'!M45,'08.09 Ishaka-Katungulu-24h'!M45,'13.09 Ishaka-Katungulu'!M45)</f>
        <v>54.428571428571431</v>
      </c>
      <c r="N45" s="49">
        <f>AVERAGE('09.09 Ishaka-Katungulu'!N45,'10.09 Ishaka-Katungulu'!N45,'11.09 Ishaka-Katungulu'!N45,'12.09 Ishaka-Katungulu'!N45,'07.09. Ishaka-Katungulu-24h'!N45,'08.09 Ishaka-Katungulu-24h'!N45,'13.09 Ishaka-Katungulu'!N45)</f>
        <v>0</v>
      </c>
      <c r="O45" s="15">
        <f t="shared" si="0"/>
        <v>19.285714285714285</v>
      </c>
      <c r="P45" s="15">
        <f t="shared" si="1"/>
        <v>73.714285714285722</v>
      </c>
    </row>
    <row r="46" spans="2:32" ht="23.1" customHeight="1" x14ac:dyDescent="0.25">
      <c r="B46" s="24" t="s">
        <v>73</v>
      </c>
      <c r="C46" s="49">
        <f>AVERAGE('09.09 Ishaka-Katungulu'!C46,'10.09 Ishaka-Katungulu'!C46,'11.09 Ishaka-Katungulu'!C46,'12.09 Ishaka-Katungulu'!C46,'07.09. Ishaka-Katungulu-24h'!C46,'08.09 Ishaka-Katungulu-24h'!C46,'13.09 Ishaka-Katungulu'!C46)</f>
        <v>3.8571428571428572</v>
      </c>
      <c r="D46" s="49">
        <f>AVERAGE('09.09 Ishaka-Katungulu'!D46,'10.09 Ishaka-Katungulu'!D46,'11.09 Ishaka-Katungulu'!D46,'12.09 Ishaka-Katungulu'!D46,'07.09. Ishaka-Katungulu-24h'!D46,'08.09 Ishaka-Katungulu-24h'!D46,'13.09 Ishaka-Katungulu'!D46)</f>
        <v>0.2857142857142857</v>
      </c>
      <c r="E46" s="49">
        <f>AVERAGE('09.09 Ishaka-Katungulu'!E46,'10.09 Ishaka-Katungulu'!E46,'11.09 Ishaka-Katungulu'!E46,'12.09 Ishaka-Katungulu'!E46,'07.09. Ishaka-Katungulu-24h'!E46,'08.09 Ishaka-Katungulu-24h'!E46,'13.09 Ishaka-Katungulu'!E46)</f>
        <v>3.1428571428571428</v>
      </c>
      <c r="F46" s="49">
        <f>AVERAGE('09.09 Ishaka-Katungulu'!F46,'10.09 Ishaka-Katungulu'!F46,'11.09 Ishaka-Katungulu'!F46,'12.09 Ishaka-Katungulu'!F46,'07.09. Ishaka-Katungulu-24h'!F46,'08.09 Ishaka-Katungulu-24h'!F46,'13.09 Ishaka-Katungulu'!F46)</f>
        <v>1.7142857142857142</v>
      </c>
      <c r="G46" s="49">
        <f>AVERAGE('09.09 Ishaka-Katungulu'!G46,'10.09 Ishaka-Katungulu'!G46,'11.09 Ishaka-Katungulu'!G46,'12.09 Ishaka-Katungulu'!G46,'07.09. Ishaka-Katungulu-24h'!G46,'08.09 Ishaka-Katungulu-24h'!G46,'13.09 Ishaka-Katungulu'!G46)</f>
        <v>0</v>
      </c>
      <c r="H46" s="49">
        <f>AVERAGE('09.09 Ishaka-Katungulu'!H46,'10.09 Ishaka-Katungulu'!H46,'11.09 Ishaka-Katungulu'!H46,'12.09 Ishaka-Katungulu'!H46,'07.09. Ishaka-Katungulu-24h'!H46,'08.09 Ishaka-Katungulu-24h'!H46,'13.09 Ishaka-Katungulu'!H46)</f>
        <v>0.14285714285714285</v>
      </c>
      <c r="I46" s="49">
        <f>AVERAGE('09.09 Ishaka-Katungulu'!I46,'10.09 Ishaka-Katungulu'!I46,'11.09 Ishaka-Katungulu'!I46,'12.09 Ishaka-Katungulu'!I46,'07.09. Ishaka-Katungulu-24h'!I46,'08.09 Ishaka-Katungulu-24h'!I46,'13.09 Ishaka-Katungulu'!I46)</f>
        <v>0.8571428571428571</v>
      </c>
      <c r="J46" s="49">
        <f>AVERAGE('09.09 Ishaka-Katungulu'!J46,'10.09 Ishaka-Katungulu'!J46,'11.09 Ishaka-Katungulu'!J46,'12.09 Ishaka-Katungulu'!J46,'07.09. Ishaka-Katungulu-24h'!J46,'08.09 Ishaka-Katungulu-24h'!J46,'13.09 Ishaka-Katungulu'!J46)</f>
        <v>0.42857142857142855</v>
      </c>
      <c r="K46" s="49">
        <f>AVERAGE('09.09 Ishaka-Katungulu'!K46,'10.09 Ishaka-Katungulu'!K46,'11.09 Ishaka-Katungulu'!K46,'12.09 Ishaka-Katungulu'!K46,'07.09. Ishaka-Katungulu-24h'!K46,'08.09 Ishaka-Katungulu-24h'!K46,'13.09 Ishaka-Katungulu'!K46)</f>
        <v>0.8571428571428571</v>
      </c>
      <c r="L46" s="49">
        <f>AVERAGE('09.09 Ishaka-Katungulu'!L46,'10.09 Ishaka-Katungulu'!L46,'11.09 Ishaka-Katungulu'!L46,'12.09 Ishaka-Katungulu'!L46,'07.09. Ishaka-Katungulu-24h'!L46,'08.09 Ishaka-Katungulu-24h'!L46,'13.09 Ishaka-Katungulu'!L46)</f>
        <v>0.42857142857142855</v>
      </c>
      <c r="M46" s="49">
        <f>AVERAGE('09.09 Ishaka-Katungulu'!M46,'10.09 Ishaka-Katungulu'!M46,'11.09 Ishaka-Katungulu'!M46,'12.09 Ishaka-Katungulu'!M46,'07.09. Ishaka-Katungulu-24h'!M46,'08.09 Ishaka-Katungulu-24h'!M46,'13.09 Ishaka-Katungulu'!M46)</f>
        <v>25.571428571428573</v>
      </c>
      <c r="N46" s="49">
        <f>AVERAGE('09.09 Ishaka-Katungulu'!N46,'10.09 Ishaka-Katungulu'!N46,'11.09 Ishaka-Katungulu'!N46,'12.09 Ishaka-Katungulu'!N46,'07.09. Ishaka-Katungulu-24h'!N46,'08.09 Ishaka-Katungulu-24h'!N46,'13.09 Ishaka-Katungulu'!N46)</f>
        <v>0</v>
      </c>
      <c r="O46" s="15">
        <f t="shared" si="0"/>
        <v>11.714285714285715</v>
      </c>
      <c r="P46" s="15">
        <f t="shared" si="1"/>
        <v>37.285714285714292</v>
      </c>
      <c r="R46" s="8"/>
      <c r="T46"/>
    </row>
    <row r="47" spans="2:32" ht="23.1" customHeight="1" x14ac:dyDescent="0.25">
      <c r="B47" s="24" t="s">
        <v>74</v>
      </c>
      <c r="C47" s="49">
        <f>AVERAGE('09.09 Ishaka-Katungulu'!C47,'10.09 Ishaka-Katungulu'!C47,'11.09 Ishaka-Katungulu'!C47,'12.09 Ishaka-Katungulu'!C47,'07.09. Ishaka-Katungulu-24h'!C47,'08.09 Ishaka-Katungulu-24h'!C47,'13.09 Ishaka-Katungulu'!C47)</f>
        <v>6.4285714285714288</v>
      </c>
      <c r="D47" s="49">
        <f>AVERAGE('09.09 Ishaka-Katungulu'!D47,'10.09 Ishaka-Katungulu'!D47,'11.09 Ishaka-Katungulu'!D47,'12.09 Ishaka-Katungulu'!D47,'07.09. Ishaka-Katungulu-24h'!D47,'08.09 Ishaka-Katungulu-24h'!D47,'13.09 Ishaka-Katungulu'!D47)</f>
        <v>1.1428571428571428</v>
      </c>
      <c r="E47" s="49">
        <f>AVERAGE('09.09 Ishaka-Katungulu'!E47,'10.09 Ishaka-Katungulu'!E47,'11.09 Ishaka-Katungulu'!E47,'12.09 Ishaka-Katungulu'!E47,'07.09. Ishaka-Katungulu-24h'!E47,'08.09 Ishaka-Katungulu-24h'!E47,'13.09 Ishaka-Katungulu'!E47)</f>
        <v>4.8571428571428568</v>
      </c>
      <c r="F47" s="49">
        <f>AVERAGE('09.09 Ishaka-Katungulu'!F47,'10.09 Ishaka-Katungulu'!F47,'11.09 Ishaka-Katungulu'!F47,'12.09 Ishaka-Katungulu'!F47,'07.09. Ishaka-Katungulu-24h'!F47,'08.09 Ishaka-Katungulu-24h'!F47,'13.09 Ishaka-Katungulu'!F47)</f>
        <v>3.1428571428571428</v>
      </c>
      <c r="G47" s="49">
        <f>AVERAGE('09.09 Ishaka-Katungulu'!G47,'10.09 Ishaka-Katungulu'!G47,'11.09 Ishaka-Katungulu'!G47,'12.09 Ishaka-Katungulu'!G47,'07.09. Ishaka-Katungulu-24h'!G47,'08.09 Ishaka-Katungulu-24h'!G47,'13.09 Ishaka-Katungulu'!G47)</f>
        <v>0.14285714285714285</v>
      </c>
      <c r="H47" s="49">
        <f>AVERAGE('09.09 Ishaka-Katungulu'!H47,'10.09 Ishaka-Katungulu'!H47,'11.09 Ishaka-Katungulu'!H47,'12.09 Ishaka-Katungulu'!H47,'07.09. Ishaka-Katungulu-24h'!H47,'08.09 Ishaka-Katungulu-24h'!H47,'13.09 Ishaka-Katungulu'!H47)</f>
        <v>0.2857142857142857</v>
      </c>
      <c r="I47" s="49">
        <f>AVERAGE('09.09 Ishaka-Katungulu'!I47,'10.09 Ishaka-Katungulu'!I47,'11.09 Ishaka-Katungulu'!I47,'12.09 Ishaka-Katungulu'!I47,'07.09. Ishaka-Katungulu-24h'!I47,'08.09 Ishaka-Katungulu-24h'!I47,'13.09 Ishaka-Katungulu'!I47)</f>
        <v>1.4285714285714286</v>
      </c>
      <c r="J47" s="49">
        <f>AVERAGE('09.09 Ishaka-Katungulu'!J47,'10.09 Ishaka-Katungulu'!J47,'11.09 Ishaka-Katungulu'!J47,'12.09 Ishaka-Katungulu'!J47,'07.09. Ishaka-Katungulu-24h'!J47,'08.09 Ishaka-Katungulu-24h'!J47,'13.09 Ishaka-Katungulu'!J47)</f>
        <v>1</v>
      </c>
      <c r="K47" s="49">
        <f>AVERAGE('09.09 Ishaka-Katungulu'!K47,'10.09 Ishaka-Katungulu'!K47,'11.09 Ishaka-Katungulu'!K47,'12.09 Ishaka-Katungulu'!K47,'07.09. Ishaka-Katungulu-24h'!K47,'08.09 Ishaka-Katungulu-24h'!K47,'13.09 Ishaka-Katungulu'!K47)</f>
        <v>1.7142857142857142</v>
      </c>
      <c r="L47" s="49">
        <f>AVERAGE('09.09 Ishaka-Katungulu'!L47,'10.09 Ishaka-Katungulu'!L47,'11.09 Ishaka-Katungulu'!L47,'12.09 Ishaka-Katungulu'!L47,'07.09. Ishaka-Katungulu-24h'!L47,'08.09 Ishaka-Katungulu-24h'!L47,'13.09 Ishaka-Katungulu'!L47)</f>
        <v>1.4285714285714286</v>
      </c>
      <c r="M47" s="49">
        <f>AVERAGE('09.09 Ishaka-Katungulu'!M47,'10.09 Ishaka-Katungulu'!M47,'11.09 Ishaka-Katungulu'!M47,'12.09 Ishaka-Katungulu'!M47,'07.09. Ishaka-Katungulu-24h'!M47,'08.09 Ishaka-Katungulu-24h'!M47,'13.09 Ishaka-Katungulu'!M47)</f>
        <v>45.285714285714285</v>
      </c>
      <c r="N47" s="49">
        <f>AVERAGE('09.09 Ishaka-Katungulu'!N47,'10.09 Ishaka-Katungulu'!N47,'11.09 Ishaka-Katungulu'!N47,'12.09 Ishaka-Katungulu'!N47,'07.09. Ishaka-Katungulu-24h'!N47,'08.09 Ishaka-Katungulu-24h'!N47,'13.09 Ishaka-Katungulu'!N47)</f>
        <v>0</v>
      </c>
      <c r="O47" s="15">
        <f t="shared" si="0"/>
        <v>21.571428571428569</v>
      </c>
      <c r="P47" s="15">
        <f t="shared" si="1"/>
        <v>66.857142857142861</v>
      </c>
      <c r="R47" s="8"/>
      <c r="T47"/>
    </row>
    <row r="48" spans="2:32" ht="23.1" customHeight="1" x14ac:dyDescent="0.25">
      <c r="B48" s="24" t="s">
        <v>75</v>
      </c>
      <c r="C48" s="49">
        <f>AVERAGE('09.09 Ishaka-Katungulu'!C48,'10.09 Ishaka-Katungulu'!C48,'11.09 Ishaka-Katungulu'!C48,'12.09 Ishaka-Katungulu'!C48,'07.09. Ishaka-Katungulu-24h'!C48,'08.09 Ishaka-Katungulu-24h'!C48,'13.09 Ishaka-Katungulu'!C48)</f>
        <v>3.7142857142857144</v>
      </c>
      <c r="D48" s="49">
        <f>AVERAGE('09.09 Ishaka-Katungulu'!D48,'10.09 Ishaka-Katungulu'!D48,'11.09 Ishaka-Katungulu'!D48,'12.09 Ishaka-Katungulu'!D48,'07.09. Ishaka-Katungulu-24h'!D48,'08.09 Ishaka-Katungulu-24h'!D48,'13.09 Ishaka-Katungulu'!D48)</f>
        <v>0.2857142857142857</v>
      </c>
      <c r="E48" s="49">
        <f>AVERAGE('09.09 Ishaka-Katungulu'!E48,'10.09 Ishaka-Katungulu'!E48,'11.09 Ishaka-Katungulu'!E48,'12.09 Ishaka-Katungulu'!E48,'07.09. Ishaka-Katungulu-24h'!E48,'08.09 Ishaka-Katungulu-24h'!E48,'13.09 Ishaka-Katungulu'!E48)</f>
        <v>2.7142857142857144</v>
      </c>
      <c r="F48" s="49">
        <f>AVERAGE('09.09 Ishaka-Katungulu'!F48,'10.09 Ishaka-Katungulu'!F48,'11.09 Ishaka-Katungulu'!F48,'12.09 Ishaka-Katungulu'!F48,'07.09. Ishaka-Katungulu-24h'!F48,'08.09 Ishaka-Katungulu-24h'!F48,'13.09 Ishaka-Katungulu'!F48)</f>
        <v>2.7142857142857144</v>
      </c>
      <c r="G48" s="49">
        <f>AVERAGE('09.09 Ishaka-Katungulu'!G48,'10.09 Ishaka-Katungulu'!G48,'11.09 Ishaka-Katungulu'!G48,'12.09 Ishaka-Katungulu'!G48,'07.09. Ishaka-Katungulu-24h'!G48,'08.09 Ishaka-Katungulu-24h'!G48,'13.09 Ishaka-Katungulu'!G48)</f>
        <v>0</v>
      </c>
      <c r="H48" s="49">
        <f>AVERAGE('09.09 Ishaka-Katungulu'!H48,'10.09 Ishaka-Katungulu'!H48,'11.09 Ishaka-Katungulu'!H48,'12.09 Ishaka-Katungulu'!H48,'07.09. Ishaka-Katungulu-24h'!H48,'08.09 Ishaka-Katungulu-24h'!H48,'13.09 Ishaka-Katungulu'!H48)</f>
        <v>0</v>
      </c>
      <c r="I48" s="49">
        <f>AVERAGE('09.09 Ishaka-Katungulu'!I48,'10.09 Ishaka-Katungulu'!I48,'11.09 Ishaka-Katungulu'!I48,'12.09 Ishaka-Katungulu'!I48,'07.09. Ishaka-Katungulu-24h'!I48,'08.09 Ishaka-Katungulu-24h'!I48,'13.09 Ishaka-Katungulu'!I48)</f>
        <v>1.7142857142857142</v>
      </c>
      <c r="J48" s="49">
        <f>AVERAGE('09.09 Ishaka-Katungulu'!J48,'10.09 Ishaka-Katungulu'!J48,'11.09 Ishaka-Katungulu'!J48,'12.09 Ishaka-Katungulu'!J48,'07.09. Ishaka-Katungulu-24h'!J48,'08.09 Ishaka-Katungulu-24h'!J48,'13.09 Ishaka-Katungulu'!J48)</f>
        <v>0.5714285714285714</v>
      </c>
      <c r="K48" s="49">
        <f>AVERAGE('09.09 Ishaka-Katungulu'!K48,'10.09 Ishaka-Katungulu'!K48,'11.09 Ishaka-Katungulu'!K48,'12.09 Ishaka-Katungulu'!K48,'07.09. Ishaka-Katungulu-24h'!K48,'08.09 Ishaka-Katungulu-24h'!K48,'13.09 Ishaka-Katungulu'!K48)</f>
        <v>0</v>
      </c>
      <c r="L48" s="49">
        <f>AVERAGE('09.09 Ishaka-Katungulu'!L48,'10.09 Ishaka-Katungulu'!L48,'11.09 Ishaka-Katungulu'!L48,'12.09 Ishaka-Katungulu'!L48,'07.09. Ishaka-Katungulu-24h'!L48,'08.09 Ishaka-Katungulu-24h'!L48,'13.09 Ishaka-Katungulu'!L48)</f>
        <v>0.7142857142857143</v>
      </c>
      <c r="M48" s="49">
        <f>AVERAGE('09.09 Ishaka-Katungulu'!M48,'10.09 Ishaka-Katungulu'!M48,'11.09 Ishaka-Katungulu'!M48,'12.09 Ishaka-Katungulu'!M48,'07.09. Ishaka-Katungulu-24h'!M48,'08.09 Ishaka-Katungulu-24h'!M48,'13.09 Ishaka-Katungulu'!M48)</f>
        <v>34.571428571428569</v>
      </c>
      <c r="N48" s="49">
        <f>AVERAGE('09.09 Ishaka-Katungulu'!N48,'10.09 Ishaka-Katungulu'!N48,'11.09 Ishaka-Katungulu'!N48,'12.09 Ishaka-Katungulu'!N48,'07.09. Ishaka-Katungulu-24h'!N48,'08.09 Ishaka-Katungulu-24h'!N48,'13.09 Ishaka-Katungulu'!N48)</f>
        <v>0</v>
      </c>
      <c r="O48" s="15">
        <f t="shared" si="0"/>
        <v>12.428571428571427</v>
      </c>
      <c r="P48" s="15">
        <f t="shared" si="1"/>
        <v>47</v>
      </c>
      <c r="R48" s="8"/>
      <c r="T48"/>
    </row>
    <row r="49" spans="2:20" ht="23.1" customHeight="1" x14ac:dyDescent="0.25">
      <c r="B49" s="23" t="s">
        <v>76</v>
      </c>
      <c r="C49" s="49">
        <f>AVERAGE('09.09 Ishaka-Katungulu'!C49,'10.09 Ishaka-Katungulu'!C49,'11.09 Ishaka-Katungulu'!C49,'12.09 Ishaka-Katungulu'!C49,'07.09. Ishaka-Katungulu-24h'!C49,'08.09 Ishaka-Katungulu-24h'!C49,'13.09 Ishaka-Katungulu'!C49)</f>
        <v>6.5714285714285712</v>
      </c>
      <c r="D49" s="49">
        <f>AVERAGE('09.09 Ishaka-Katungulu'!D49,'10.09 Ishaka-Katungulu'!D49,'11.09 Ishaka-Katungulu'!D49,'12.09 Ishaka-Katungulu'!D49,'07.09. Ishaka-Katungulu-24h'!D49,'08.09 Ishaka-Katungulu-24h'!D49,'13.09 Ishaka-Katungulu'!D49)</f>
        <v>1</v>
      </c>
      <c r="E49" s="49">
        <f>AVERAGE('09.09 Ishaka-Katungulu'!E49,'10.09 Ishaka-Katungulu'!E49,'11.09 Ishaka-Katungulu'!E49,'12.09 Ishaka-Katungulu'!E49,'07.09. Ishaka-Katungulu-24h'!E49,'08.09 Ishaka-Katungulu-24h'!E49,'13.09 Ishaka-Katungulu'!E49)</f>
        <v>4.5714285714285712</v>
      </c>
      <c r="F49" s="49">
        <f>AVERAGE('09.09 Ishaka-Katungulu'!F49,'10.09 Ishaka-Katungulu'!F49,'11.09 Ishaka-Katungulu'!F49,'12.09 Ishaka-Katungulu'!F49,'07.09. Ishaka-Katungulu-24h'!F49,'08.09 Ishaka-Katungulu-24h'!F49,'13.09 Ishaka-Katungulu'!F49)</f>
        <v>4.5714285714285712</v>
      </c>
      <c r="G49" s="49">
        <f>AVERAGE('09.09 Ishaka-Katungulu'!G49,'10.09 Ishaka-Katungulu'!G49,'11.09 Ishaka-Katungulu'!G49,'12.09 Ishaka-Katungulu'!G49,'07.09. Ishaka-Katungulu-24h'!G49,'08.09 Ishaka-Katungulu-24h'!G49,'13.09 Ishaka-Katungulu'!G49)</f>
        <v>0</v>
      </c>
      <c r="H49" s="49">
        <f>AVERAGE('09.09 Ishaka-Katungulu'!H49,'10.09 Ishaka-Katungulu'!H49,'11.09 Ishaka-Katungulu'!H49,'12.09 Ishaka-Katungulu'!H49,'07.09. Ishaka-Katungulu-24h'!H49,'08.09 Ishaka-Katungulu-24h'!H49,'13.09 Ishaka-Katungulu'!H49)</f>
        <v>0</v>
      </c>
      <c r="I49" s="49">
        <f>AVERAGE('09.09 Ishaka-Katungulu'!I49,'10.09 Ishaka-Katungulu'!I49,'11.09 Ishaka-Katungulu'!I49,'12.09 Ishaka-Katungulu'!I49,'07.09. Ishaka-Katungulu-24h'!I49,'08.09 Ishaka-Katungulu-24h'!I49,'13.09 Ishaka-Katungulu'!I49)</f>
        <v>3</v>
      </c>
      <c r="J49" s="49">
        <f>AVERAGE('09.09 Ishaka-Katungulu'!J49,'10.09 Ishaka-Katungulu'!J49,'11.09 Ishaka-Katungulu'!J49,'12.09 Ishaka-Katungulu'!J49,'07.09. Ishaka-Katungulu-24h'!J49,'08.09 Ishaka-Katungulu-24h'!J49,'13.09 Ishaka-Katungulu'!J49)</f>
        <v>1.1428571428571428</v>
      </c>
      <c r="K49" s="49">
        <f>AVERAGE('09.09 Ishaka-Katungulu'!K49,'10.09 Ishaka-Katungulu'!K49,'11.09 Ishaka-Katungulu'!K49,'12.09 Ishaka-Katungulu'!K49,'07.09. Ishaka-Katungulu-24h'!K49,'08.09 Ishaka-Katungulu-24h'!K49,'13.09 Ishaka-Katungulu'!K49)</f>
        <v>0.14285714285714285</v>
      </c>
      <c r="L49" s="49">
        <f>AVERAGE('09.09 Ishaka-Katungulu'!L49,'10.09 Ishaka-Katungulu'!L49,'11.09 Ishaka-Katungulu'!L49,'12.09 Ishaka-Katungulu'!L49,'07.09. Ishaka-Katungulu-24h'!L49,'08.09 Ishaka-Katungulu-24h'!L49,'13.09 Ishaka-Katungulu'!L49)</f>
        <v>2</v>
      </c>
      <c r="M49" s="49">
        <f>AVERAGE('09.09 Ishaka-Katungulu'!M49,'10.09 Ishaka-Katungulu'!M49,'11.09 Ishaka-Katungulu'!M49,'12.09 Ishaka-Katungulu'!M49,'07.09. Ishaka-Katungulu-24h'!M49,'08.09 Ishaka-Katungulu-24h'!M49,'13.09 Ishaka-Katungulu'!M49)</f>
        <v>61.571428571428569</v>
      </c>
      <c r="N49" s="49">
        <f>AVERAGE('09.09 Ishaka-Katungulu'!N49,'10.09 Ishaka-Katungulu'!N49,'11.09 Ishaka-Katungulu'!N49,'12.09 Ishaka-Katungulu'!N49,'07.09. Ishaka-Katungulu-24h'!N49,'08.09 Ishaka-Katungulu-24h'!N49,'13.09 Ishaka-Katungulu'!N49)</f>
        <v>0</v>
      </c>
      <c r="O49" s="15">
        <f t="shared" si="0"/>
        <v>23</v>
      </c>
      <c r="P49" s="15">
        <f t="shared" si="1"/>
        <v>84.571428571428569</v>
      </c>
      <c r="R49" s="8"/>
      <c r="T49"/>
    </row>
    <row r="50" spans="2:20" ht="23.1" customHeight="1" x14ac:dyDescent="0.25">
      <c r="B50" s="24" t="s">
        <v>77</v>
      </c>
      <c r="C50" s="49">
        <f>AVERAGE('09.09 Ishaka-Katungulu'!C50,'10.09 Ishaka-Katungulu'!C50,'11.09 Ishaka-Katungulu'!C50,'12.09 Ishaka-Katungulu'!C50,'07.09. Ishaka-Katungulu-24h'!C50,'08.09 Ishaka-Katungulu-24h'!C50,'13.09 Ishaka-Katungulu'!C50)</f>
        <v>4.2857142857142856</v>
      </c>
      <c r="D50" s="49">
        <f>AVERAGE('09.09 Ishaka-Katungulu'!D50,'10.09 Ishaka-Katungulu'!D50,'11.09 Ishaka-Katungulu'!D50,'12.09 Ishaka-Katungulu'!D50,'07.09. Ishaka-Katungulu-24h'!D50,'08.09 Ishaka-Katungulu-24h'!D50,'13.09 Ishaka-Katungulu'!D50)</f>
        <v>0.42857142857142855</v>
      </c>
      <c r="E50" s="49">
        <f>AVERAGE('09.09 Ishaka-Katungulu'!E50,'10.09 Ishaka-Katungulu'!E50,'11.09 Ishaka-Katungulu'!E50,'12.09 Ishaka-Katungulu'!E50,'07.09. Ishaka-Katungulu-24h'!E50,'08.09 Ishaka-Katungulu-24h'!E50,'13.09 Ishaka-Katungulu'!E50)</f>
        <v>3.8571428571428572</v>
      </c>
      <c r="F50" s="49">
        <f>AVERAGE('09.09 Ishaka-Katungulu'!F50,'10.09 Ishaka-Katungulu'!F50,'11.09 Ishaka-Katungulu'!F50,'12.09 Ishaka-Katungulu'!F50,'07.09. Ishaka-Katungulu-24h'!F50,'08.09 Ishaka-Katungulu-24h'!F50,'13.09 Ishaka-Katungulu'!F50)</f>
        <v>2.4285714285714284</v>
      </c>
      <c r="G50" s="49">
        <f>AVERAGE('09.09 Ishaka-Katungulu'!G50,'10.09 Ishaka-Katungulu'!G50,'11.09 Ishaka-Katungulu'!G50,'12.09 Ishaka-Katungulu'!G50,'07.09. Ishaka-Katungulu-24h'!G50,'08.09 Ishaka-Katungulu-24h'!G50,'13.09 Ishaka-Katungulu'!G50)</f>
        <v>0</v>
      </c>
      <c r="H50" s="49">
        <f>AVERAGE('09.09 Ishaka-Katungulu'!H50,'10.09 Ishaka-Katungulu'!H50,'11.09 Ishaka-Katungulu'!H50,'12.09 Ishaka-Katungulu'!H50,'07.09. Ishaka-Katungulu-24h'!H50,'08.09 Ishaka-Katungulu-24h'!H50,'13.09 Ishaka-Katungulu'!H50)</f>
        <v>0</v>
      </c>
      <c r="I50" s="49">
        <f>AVERAGE('09.09 Ishaka-Katungulu'!I50,'10.09 Ishaka-Katungulu'!I50,'11.09 Ishaka-Katungulu'!I50,'12.09 Ishaka-Katungulu'!I50,'07.09. Ishaka-Katungulu-24h'!I50,'08.09 Ishaka-Katungulu-24h'!I50,'13.09 Ishaka-Katungulu'!I50)</f>
        <v>1.2857142857142858</v>
      </c>
      <c r="J50" s="49">
        <f>AVERAGE('09.09 Ishaka-Katungulu'!J50,'10.09 Ishaka-Katungulu'!J50,'11.09 Ishaka-Katungulu'!J50,'12.09 Ishaka-Katungulu'!J50,'07.09. Ishaka-Katungulu-24h'!J50,'08.09 Ishaka-Katungulu-24h'!J50,'13.09 Ishaka-Katungulu'!J50)</f>
        <v>0.7142857142857143</v>
      </c>
      <c r="K50" s="49">
        <f>AVERAGE('09.09 Ishaka-Katungulu'!K50,'10.09 Ishaka-Katungulu'!K50,'11.09 Ishaka-Katungulu'!K50,'12.09 Ishaka-Katungulu'!K50,'07.09. Ishaka-Katungulu-24h'!K50,'08.09 Ishaka-Katungulu-24h'!K50,'13.09 Ishaka-Katungulu'!K50)</f>
        <v>0.7142857142857143</v>
      </c>
      <c r="L50" s="49">
        <f>AVERAGE('09.09 Ishaka-Katungulu'!L50,'10.09 Ishaka-Katungulu'!L50,'11.09 Ishaka-Katungulu'!L50,'12.09 Ishaka-Katungulu'!L50,'07.09. Ishaka-Katungulu-24h'!L50,'08.09 Ishaka-Katungulu-24h'!L50,'13.09 Ishaka-Katungulu'!L50)</f>
        <v>1.1428571428571428</v>
      </c>
      <c r="M50" s="49">
        <f>AVERAGE('09.09 Ishaka-Katungulu'!M50,'10.09 Ishaka-Katungulu'!M50,'11.09 Ishaka-Katungulu'!M50,'12.09 Ishaka-Katungulu'!M50,'07.09. Ishaka-Katungulu-24h'!M50,'08.09 Ishaka-Katungulu-24h'!M50,'13.09 Ishaka-Katungulu'!M50)</f>
        <v>40.571428571428569</v>
      </c>
      <c r="N50" s="49">
        <f>AVERAGE('09.09 Ishaka-Katungulu'!N50,'10.09 Ishaka-Katungulu'!N50,'11.09 Ishaka-Katungulu'!N50,'12.09 Ishaka-Katungulu'!N50,'07.09. Ishaka-Katungulu-24h'!N50,'08.09 Ishaka-Katungulu-24h'!N50,'13.09 Ishaka-Katungulu'!N50)</f>
        <v>0</v>
      </c>
      <c r="O50" s="15">
        <f t="shared" si="0"/>
        <v>14.857142857142856</v>
      </c>
      <c r="P50" s="15">
        <f t="shared" si="1"/>
        <v>55.428571428571423</v>
      </c>
      <c r="R50" s="8"/>
      <c r="T50"/>
    </row>
    <row r="51" spans="2:20" ht="23.1" customHeight="1" x14ac:dyDescent="0.25">
      <c r="B51" s="24" t="s">
        <v>78</v>
      </c>
      <c r="C51" s="49">
        <f>AVERAGE('09.09 Ishaka-Katungulu'!C51,'10.09 Ishaka-Katungulu'!C51,'11.09 Ishaka-Katungulu'!C51,'12.09 Ishaka-Katungulu'!C51,'07.09. Ishaka-Katungulu-24h'!C51,'08.09 Ishaka-Katungulu-24h'!C51,'13.09 Ishaka-Katungulu'!C51)</f>
        <v>7.5714285714285712</v>
      </c>
      <c r="D51" s="49">
        <f>AVERAGE('09.09 Ishaka-Katungulu'!D51,'10.09 Ishaka-Katungulu'!D51,'11.09 Ishaka-Katungulu'!D51,'12.09 Ishaka-Katungulu'!D51,'07.09. Ishaka-Katungulu-24h'!D51,'08.09 Ishaka-Katungulu-24h'!D51,'13.09 Ishaka-Katungulu'!D51)</f>
        <v>1.5714285714285714</v>
      </c>
      <c r="E51" s="49">
        <f>AVERAGE('09.09 Ishaka-Katungulu'!E51,'10.09 Ishaka-Katungulu'!E51,'11.09 Ishaka-Katungulu'!E51,'12.09 Ishaka-Katungulu'!E51,'07.09. Ishaka-Katungulu-24h'!E51,'08.09 Ishaka-Katungulu-24h'!E51,'13.09 Ishaka-Katungulu'!E51)</f>
        <v>5.5714285714285712</v>
      </c>
      <c r="F51" s="49">
        <f>AVERAGE('09.09 Ishaka-Katungulu'!F51,'10.09 Ishaka-Katungulu'!F51,'11.09 Ishaka-Katungulu'!F51,'12.09 Ishaka-Katungulu'!F51,'07.09. Ishaka-Katungulu-24h'!F51,'08.09 Ishaka-Katungulu-24h'!F51,'13.09 Ishaka-Katungulu'!F51)</f>
        <v>4.2857142857142856</v>
      </c>
      <c r="G51" s="49">
        <f>AVERAGE('09.09 Ishaka-Katungulu'!G51,'10.09 Ishaka-Katungulu'!G51,'11.09 Ishaka-Katungulu'!G51,'12.09 Ishaka-Katungulu'!G51,'07.09. Ishaka-Katungulu-24h'!G51,'08.09 Ishaka-Katungulu-24h'!G51,'13.09 Ishaka-Katungulu'!G51)</f>
        <v>0</v>
      </c>
      <c r="H51" s="49">
        <f>AVERAGE('09.09 Ishaka-Katungulu'!H51,'10.09 Ishaka-Katungulu'!H51,'11.09 Ishaka-Katungulu'!H51,'12.09 Ishaka-Katungulu'!H51,'07.09. Ishaka-Katungulu-24h'!H51,'08.09 Ishaka-Katungulu-24h'!H51,'13.09 Ishaka-Katungulu'!H51)</f>
        <v>0.14285714285714285</v>
      </c>
      <c r="I51" s="49">
        <f>AVERAGE('09.09 Ishaka-Katungulu'!I51,'10.09 Ishaka-Katungulu'!I51,'11.09 Ishaka-Katungulu'!I51,'12.09 Ishaka-Katungulu'!I51,'07.09. Ishaka-Katungulu-24h'!I51,'08.09 Ishaka-Katungulu-24h'!I51,'13.09 Ishaka-Katungulu'!I51)</f>
        <v>2.5714285714285716</v>
      </c>
      <c r="J51" s="49">
        <f>AVERAGE('09.09 Ishaka-Katungulu'!J51,'10.09 Ishaka-Katungulu'!J51,'11.09 Ishaka-Katungulu'!J51,'12.09 Ishaka-Katungulu'!J51,'07.09. Ishaka-Katungulu-24h'!J51,'08.09 Ishaka-Katungulu-24h'!J51,'13.09 Ishaka-Katungulu'!J51)</f>
        <v>1.7142857142857142</v>
      </c>
      <c r="K51" s="49">
        <f>AVERAGE('09.09 Ishaka-Katungulu'!K51,'10.09 Ishaka-Katungulu'!K51,'11.09 Ishaka-Katungulu'!K51,'12.09 Ishaka-Katungulu'!K51,'07.09. Ishaka-Katungulu-24h'!K51,'08.09 Ishaka-Katungulu-24h'!K51,'13.09 Ishaka-Katungulu'!K51)</f>
        <v>1.7142857142857142</v>
      </c>
      <c r="L51" s="49">
        <f>AVERAGE('09.09 Ishaka-Katungulu'!L51,'10.09 Ishaka-Katungulu'!L51,'11.09 Ishaka-Katungulu'!L51,'12.09 Ishaka-Katungulu'!L51,'07.09. Ishaka-Katungulu-24h'!L51,'08.09 Ishaka-Katungulu-24h'!L51,'13.09 Ishaka-Katungulu'!L51)</f>
        <v>1.8571428571428572</v>
      </c>
      <c r="M51" s="49">
        <f>AVERAGE('09.09 Ishaka-Katungulu'!M51,'10.09 Ishaka-Katungulu'!M51,'11.09 Ishaka-Katungulu'!M51,'12.09 Ishaka-Katungulu'!M51,'07.09. Ishaka-Katungulu-24h'!M51,'08.09 Ishaka-Katungulu-24h'!M51,'13.09 Ishaka-Katungulu'!M51)</f>
        <v>72.714285714285708</v>
      </c>
      <c r="N51" s="49">
        <f>AVERAGE('09.09 Ishaka-Katungulu'!N51,'10.09 Ishaka-Katungulu'!N51,'11.09 Ishaka-Katungulu'!N51,'12.09 Ishaka-Katungulu'!N51,'07.09. Ishaka-Katungulu-24h'!N51,'08.09 Ishaka-Katungulu-24h'!N51,'13.09 Ishaka-Katungulu'!N51)</f>
        <v>0</v>
      </c>
      <c r="O51" s="15">
        <f t="shared" si="0"/>
        <v>27.000000000000004</v>
      </c>
      <c r="P51" s="15">
        <f t="shared" si="1"/>
        <v>99.714285714285708</v>
      </c>
      <c r="R51" s="8"/>
      <c r="T51"/>
    </row>
    <row r="52" spans="2:20" ht="23.1" customHeight="1" x14ac:dyDescent="0.25">
      <c r="B52" s="24" t="s">
        <v>79</v>
      </c>
      <c r="C52" s="49">
        <f>AVERAGE('09.09 Ishaka-Katungulu'!C52,'10.09 Ishaka-Katungulu'!C52,'11.09 Ishaka-Katungulu'!C52,'12.09 Ishaka-Katungulu'!C52,'07.09. Ishaka-Katungulu-24h'!C52,'08.09 Ishaka-Katungulu-24h'!C52,'13.09 Ishaka-Katungulu'!C52)</f>
        <v>4</v>
      </c>
      <c r="D52" s="49">
        <f>AVERAGE('09.09 Ishaka-Katungulu'!D52,'10.09 Ishaka-Katungulu'!D52,'11.09 Ishaka-Katungulu'!D52,'12.09 Ishaka-Katungulu'!D52,'07.09. Ishaka-Katungulu-24h'!D52,'08.09 Ishaka-Katungulu-24h'!D52,'13.09 Ishaka-Katungulu'!D52)</f>
        <v>0.14285714285714285</v>
      </c>
      <c r="E52" s="49">
        <f>AVERAGE('09.09 Ishaka-Katungulu'!E52,'10.09 Ishaka-Katungulu'!E52,'11.09 Ishaka-Katungulu'!E52,'12.09 Ishaka-Katungulu'!E52,'07.09. Ishaka-Katungulu-24h'!E52,'08.09 Ishaka-Katungulu-24h'!E52,'13.09 Ishaka-Katungulu'!E52)</f>
        <v>2.4285714285714284</v>
      </c>
      <c r="F52" s="49">
        <f>AVERAGE('09.09 Ishaka-Katungulu'!F52,'10.09 Ishaka-Katungulu'!F52,'11.09 Ishaka-Katungulu'!F52,'12.09 Ishaka-Katungulu'!F52,'07.09. Ishaka-Katungulu-24h'!F52,'08.09 Ishaka-Katungulu-24h'!F52,'13.09 Ishaka-Katungulu'!F52)</f>
        <v>2.5714285714285716</v>
      </c>
      <c r="G52" s="49">
        <f>AVERAGE('09.09 Ishaka-Katungulu'!G52,'10.09 Ishaka-Katungulu'!G52,'11.09 Ishaka-Katungulu'!G52,'12.09 Ishaka-Katungulu'!G52,'07.09. Ishaka-Katungulu-24h'!G52,'08.09 Ishaka-Katungulu-24h'!G52,'13.09 Ishaka-Katungulu'!G52)</f>
        <v>0</v>
      </c>
      <c r="H52" s="49">
        <f>AVERAGE('09.09 Ishaka-Katungulu'!H52,'10.09 Ishaka-Katungulu'!H52,'11.09 Ishaka-Katungulu'!H52,'12.09 Ishaka-Katungulu'!H52,'07.09. Ishaka-Katungulu-24h'!H52,'08.09 Ishaka-Katungulu-24h'!H52,'13.09 Ishaka-Katungulu'!H52)</f>
        <v>0</v>
      </c>
      <c r="I52" s="49">
        <f>AVERAGE('09.09 Ishaka-Katungulu'!I52,'10.09 Ishaka-Katungulu'!I52,'11.09 Ishaka-Katungulu'!I52,'12.09 Ishaka-Katungulu'!I52,'07.09. Ishaka-Katungulu-24h'!I52,'08.09 Ishaka-Katungulu-24h'!I52,'13.09 Ishaka-Katungulu'!I52)</f>
        <v>1.1428571428571428</v>
      </c>
      <c r="J52" s="49">
        <f>AVERAGE('09.09 Ishaka-Katungulu'!J52,'10.09 Ishaka-Katungulu'!J52,'11.09 Ishaka-Katungulu'!J52,'12.09 Ishaka-Katungulu'!J52,'07.09. Ishaka-Katungulu-24h'!J52,'08.09 Ishaka-Katungulu-24h'!J52,'13.09 Ishaka-Katungulu'!J52)</f>
        <v>0.42857142857142855</v>
      </c>
      <c r="K52" s="49">
        <f>AVERAGE('09.09 Ishaka-Katungulu'!K52,'10.09 Ishaka-Katungulu'!K52,'11.09 Ishaka-Katungulu'!K52,'12.09 Ishaka-Katungulu'!K52,'07.09. Ishaka-Katungulu-24h'!K52,'08.09 Ishaka-Katungulu-24h'!K52,'13.09 Ishaka-Katungulu'!K52)</f>
        <v>1</v>
      </c>
      <c r="L52" s="49">
        <f>AVERAGE('09.09 Ishaka-Katungulu'!L52,'10.09 Ishaka-Katungulu'!L52,'11.09 Ishaka-Katungulu'!L52,'12.09 Ishaka-Katungulu'!L52,'07.09. Ishaka-Katungulu-24h'!L52,'08.09 Ishaka-Katungulu-24h'!L52,'13.09 Ishaka-Katungulu'!L52)</f>
        <v>0.7142857142857143</v>
      </c>
      <c r="M52" s="49">
        <f>AVERAGE('09.09 Ishaka-Katungulu'!M52,'10.09 Ishaka-Katungulu'!M52,'11.09 Ishaka-Katungulu'!M52,'12.09 Ishaka-Katungulu'!M52,'07.09. Ishaka-Katungulu-24h'!M52,'08.09 Ishaka-Katungulu-24h'!M52,'13.09 Ishaka-Katungulu'!M52)</f>
        <v>29.285714285714285</v>
      </c>
      <c r="N52" s="49">
        <f>AVERAGE('09.09 Ishaka-Katungulu'!N52,'10.09 Ishaka-Katungulu'!N52,'11.09 Ishaka-Katungulu'!N52,'12.09 Ishaka-Katungulu'!N52,'07.09. Ishaka-Katungulu-24h'!N52,'08.09 Ishaka-Katungulu-24h'!N52,'13.09 Ishaka-Katungulu'!N52)</f>
        <v>0</v>
      </c>
      <c r="O52" s="15">
        <f t="shared" si="0"/>
        <v>12.428571428571427</v>
      </c>
      <c r="P52" s="15">
        <f t="shared" si="1"/>
        <v>41.714285714285708</v>
      </c>
      <c r="R52" s="8"/>
      <c r="T52"/>
    </row>
    <row r="53" spans="2:20" ht="23.1" customHeight="1" x14ac:dyDescent="0.25">
      <c r="B53" s="23" t="s">
        <v>80</v>
      </c>
      <c r="C53" s="49">
        <f>AVERAGE('09.09 Ishaka-Katungulu'!C53,'10.09 Ishaka-Katungulu'!C53,'11.09 Ishaka-Katungulu'!C53,'12.09 Ishaka-Katungulu'!C53,'07.09. Ishaka-Katungulu-24h'!C53,'08.09 Ishaka-Katungulu-24h'!C53,'13.09 Ishaka-Katungulu'!C53)</f>
        <v>7</v>
      </c>
      <c r="D53" s="49">
        <f>AVERAGE('09.09 Ishaka-Katungulu'!D53,'10.09 Ishaka-Katungulu'!D53,'11.09 Ishaka-Katungulu'!D53,'12.09 Ishaka-Katungulu'!D53,'07.09. Ishaka-Katungulu-24h'!D53,'08.09 Ishaka-Katungulu-24h'!D53,'13.09 Ishaka-Katungulu'!D53)</f>
        <v>0.42857142857142855</v>
      </c>
      <c r="E53" s="49">
        <f>AVERAGE('09.09 Ishaka-Katungulu'!E53,'10.09 Ishaka-Katungulu'!E53,'11.09 Ishaka-Katungulu'!E53,'12.09 Ishaka-Katungulu'!E53,'07.09. Ishaka-Katungulu-24h'!E53,'08.09 Ishaka-Katungulu-24h'!E53,'13.09 Ishaka-Katungulu'!E53)</f>
        <v>4.1428571428571432</v>
      </c>
      <c r="F53" s="49">
        <f>AVERAGE('09.09 Ishaka-Katungulu'!F53,'10.09 Ishaka-Katungulu'!F53,'11.09 Ishaka-Katungulu'!F53,'12.09 Ishaka-Katungulu'!F53,'07.09. Ishaka-Katungulu-24h'!F53,'08.09 Ishaka-Katungulu-24h'!F53,'13.09 Ishaka-Katungulu'!F53)</f>
        <v>4.4285714285714288</v>
      </c>
      <c r="G53" s="49">
        <f>AVERAGE('09.09 Ishaka-Katungulu'!G53,'10.09 Ishaka-Katungulu'!G53,'11.09 Ishaka-Katungulu'!G53,'12.09 Ishaka-Katungulu'!G53,'07.09. Ishaka-Katungulu-24h'!G53,'08.09 Ishaka-Katungulu-24h'!G53,'13.09 Ishaka-Katungulu'!G53)</f>
        <v>0.14285714285714285</v>
      </c>
      <c r="H53" s="49">
        <f>AVERAGE('09.09 Ishaka-Katungulu'!H53,'10.09 Ishaka-Katungulu'!H53,'11.09 Ishaka-Katungulu'!H53,'12.09 Ishaka-Katungulu'!H53,'07.09. Ishaka-Katungulu-24h'!H53,'08.09 Ishaka-Katungulu-24h'!H53,'13.09 Ishaka-Katungulu'!H53)</f>
        <v>0</v>
      </c>
      <c r="I53" s="49">
        <f>AVERAGE('09.09 Ishaka-Katungulu'!I53,'10.09 Ishaka-Katungulu'!I53,'11.09 Ishaka-Katungulu'!I53,'12.09 Ishaka-Katungulu'!I53,'07.09. Ishaka-Katungulu-24h'!I53,'08.09 Ishaka-Katungulu-24h'!I53,'13.09 Ishaka-Katungulu'!I53)</f>
        <v>2.2857142857142856</v>
      </c>
      <c r="J53" s="49">
        <f>AVERAGE('09.09 Ishaka-Katungulu'!J53,'10.09 Ishaka-Katungulu'!J53,'11.09 Ishaka-Katungulu'!J53,'12.09 Ishaka-Katungulu'!J53,'07.09. Ishaka-Katungulu-24h'!J53,'08.09 Ishaka-Katungulu-24h'!J53,'13.09 Ishaka-Katungulu'!J53)</f>
        <v>1.4285714285714286</v>
      </c>
      <c r="K53" s="49">
        <f>AVERAGE('09.09 Ishaka-Katungulu'!K53,'10.09 Ishaka-Katungulu'!K53,'11.09 Ishaka-Katungulu'!K53,'12.09 Ishaka-Katungulu'!K53,'07.09. Ishaka-Katungulu-24h'!K53,'08.09 Ishaka-Katungulu-24h'!K53,'13.09 Ishaka-Katungulu'!K53)</f>
        <v>1.8571428571428572</v>
      </c>
      <c r="L53" s="49">
        <f>AVERAGE('09.09 Ishaka-Katungulu'!L53,'10.09 Ishaka-Katungulu'!L53,'11.09 Ishaka-Katungulu'!L53,'12.09 Ishaka-Katungulu'!L53,'07.09. Ishaka-Katungulu-24h'!L53,'08.09 Ishaka-Katungulu-24h'!L53,'13.09 Ishaka-Katungulu'!L53)</f>
        <v>1.5714285714285714</v>
      </c>
      <c r="M53" s="49">
        <f>AVERAGE('09.09 Ishaka-Katungulu'!M53,'10.09 Ishaka-Katungulu'!M53,'11.09 Ishaka-Katungulu'!M53,'12.09 Ishaka-Katungulu'!M53,'07.09. Ishaka-Katungulu-24h'!M53,'08.09 Ishaka-Katungulu-24h'!M53,'13.09 Ishaka-Katungulu'!M53)</f>
        <v>53.285714285714285</v>
      </c>
      <c r="N53" s="49">
        <f>AVERAGE('09.09 Ishaka-Katungulu'!N53,'10.09 Ishaka-Katungulu'!N53,'11.09 Ishaka-Katungulu'!N53,'12.09 Ishaka-Katungulu'!N53,'07.09. Ishaka-Katungulu-24h'!N53,'08.09 Ishaka-Katungulu-24h'!N53,'13.09 Ishaka-Katungulu'!N53)</f>
        <v>0</v>
      </c>
      <c r="O53" s="15">
        <f t="shared" si="0"/>
        <v>23.285714285714285</v>
      </c>
      <c r="P53" s="15">
        <f t="shared" si="1"/>
        <v>76.571428571428569</v>
      </c>
      <c r="R53" s="8"/>
      <c r="T53"/>
    </row>
    <row r="54" spans="2:20" ht="23.1" customHeight="1" x14ac:dyDescent="0.25">
      <c r="B54" s="23" t="s">
        <v>81</v>
      </c>
      <c r="C54" s="49">
        <f>AVERAGE('09.09 Ishaka-Katungulu'!C54,'10.09 Ishaka-Katungulu'!C54,'11.09 Ishaka-Katungulu'!C54,'12.09 Ishaka-Katungulu'!C54,'07.09. Ishaka-Katungulu-24h'!C54,'08.09 Ishaka-Katungulu-24h'!C54,'13.09 Ishaka-Katungulu'!C54)</f>
        <v>4.4285714285714288</v>
      </c>
      <c r="D54" s="49">
        <f>AVERAGE('09.09 Ishaka-Katungulu'!D54,'10.09 Ishaka-Katungulu'!D54,'11.09 Ishaka-Katungulu'!D54,'12.09 Ishaka-Katungulu'!D54,'07.09. Ishaka-Katungulu-24h'!D54,'08.09 Ishaka-Katungulu-24h'!D54,'13.09 Ishaka-Katungulu'!D54)</f>
        <v>0.5714285714285714</v>
      </c>
      <c r="E54" s="49">
        <f>AVERAGE('09.09 Ishaka-Katungulu'!E54,'10.09 Ishaka-Katungulu'!E54,'11.09 Ishaka-Katungulu'!E54,'12.09 Ishaka-Katungulu'!E54,'07.09. Ishaka-Katungulu-24h'!E54,'08.09 Ishaka-Katungulu-24h'!E54,'13.09 Ishaka-Katungulu'!E54)</f>
        <v>2</v>
      </c>
      <c r="F54" s="49">
        <f>AVERAGE('09.09 Ishaka-Katungulu'!F54,'10.09 Ishaka-Katungulu'!F54,'11.09 Ishaka-Katungulu'!F54,'12.09 Ishaka-Katungulu'!F54,'07.09. Ishaka-Katungulu-24h'!F54,'08.09 Ishaka-Katungulu-24h'!F54,'13.09 Ishaka-Katungulu'!F54)</f>
        <v>2.5714285714285716</v>
      </c>
      <c r="G54" s="49">
        <f>AVERAGE('09.09 Ishaka-Katungulu'!G54,'10.09 Ishaka-Katungulu'!G54,'11.09 Ishaka-Katungulu'!G54,'12.09 Ishaka-Katungulu'!G54,'07.09. Ishaka-Katungulu-24h'!G54,'08.09 Ishaka-Katungulu-24h'!G54,'13.09 Ishaka-Katungulu'!G54)</f>
        <v>0</v>
      </c>
      <c r="H54" s="49">
        <f>AVERAGE('09.09 Ishaka-Katungulu'!H54,'10.09 Ishaka-Katungulu'!H54,'11.09 Ishaka-Katungulu'!H54,'12.09 Ishaka-Katungulu'!H54,'07.09. Ishaka-Katungulu-24h'!H54,'08.09 Ishaka-Katungulu-24h'!H54,'13.09 Ishaka-Katungulu'!H54)</f>
        <v>0</v>
      </c>
      <c r="I54" s="49">
        <f>AVERAGE('09.09 Ishaka-Katungulu'!I54,'10.09 Ishaka-Katungulu'!I54,'11.09 Ishaka-Katungulu'!I54,'12.09 Ishaka-Katungulu'!I54,'07.09. Ishaka-Katungulu-24h'!I54,'08.09 Ishaka-Katungulu-24h'!I54,'13.09 Ishaka-Katungulu'!I54)</f>
        <v>0.8571428571428571</v>
      </c>
      <c r="J54" s="49">
        <f>AVERAGE('09.09 Ishaka-Katungulu'!J54,'10.09 Ishaka-Katungulu'!J54,'11.09 Ishaka-Katungulu'!J54,'12.09 Ishaka-Katungulu'!J54,'07.09. Ishaka-Katungulu-24h'!J54,'08.09 Ishaka-Katungulu-24h'!J54,'13.09 Ishaka-Katungulu'!J54)</f>
        <v>0.5714285714285714</v>
      </c>
      <c r="K54" s="49">
        <f>AVERAGE('09.09 Ishaka-Katungulu'!K54,'10.09 Ishaka-Katungulu'!K54,'11.09 Ishaka-Katungulu'!K54,'12.09 Ishaka-Katungulu'!K54,'07.09. Ishaka-Katungulu-24h'!K54,'08.09 Ishaka-Katungulu-24h'!K54,'13.09 Ishaka-Katungulu'!K54)</f>
        <v>0.2857142857142857</v>
      </c>
      <c r="L54" s="49">
        <f>AVERAGE('09.09 Ishaka-Katungulu'!L54,'10.09 Ishaka-Katungulu'!L54,'11.09 Ishaka-Katungulu'!L54,'12.09 Ishaka-Katungulu'!L54,'07.09. Ishaka-Katungulu-24h'!L54,'08.09 Ishaka-Katungulu-24h'!L54,'13.09 Ishaka-Katungulu'!L54)</f>
        <v>0.5714285714285714</v>
      </c>
      <c r="M54" s="49">
        <f>AVERAGE('09.09 Ishaka-Katungulu'!M54,'10.09 Ishaka-Katungulu'!M54,'11.09 Ishaka-Katungulu'!M54,'12.09 Ishaka-Katungulu'!M54,'07.09. Ishaka-Katungulu-24h'!M54,'08.09 Ishaka-Katungulu-24h'!M54,'13.09 Ishaka-Katungulu'!M54)</f>
        <v>28.285714285714285</v>
      </c>
      <c r="N54" s="49">
        <f>AVERAGE('09.09 Ishaka-Katungulu'!N54,'10.09 Ishaka-Katungulu'!N54,'11.09 Ishaka-Katungulu'!N54,'12.09 Ishaka-Katungulu'!N54,'07.09. Ishaka-Katungulu-24h'!N54,'08.09 Ishaka-Katungulu-24h'!N54,'13.09 Ishaka-Katungulu'!N54)</f>
        <v>0</v>
      </c>
      <c r="O54" s="15">
        <f t="shared" si="0"/>
        <v>11.857142857142858</v>
      </c>
      <c r="P54" s="15">
        <f t="shared" si="1"/>
        <v>40.142857142857139</v>
      </c>
      <c r="R54" s="8"/>
      <c r="T54"/>
    </row>
    <row r="55" spans="2:20" ht="23.1" customHeight="1" x14ac:dyDescent="0.25">
      <c r="B55" s="23" t="s">
        <v>82</v>
      </c>
      <c r="C55" s="49">
        <f>AVERAGE('09.09 Ishaka-Katungulu'!C55,'10.09 Ishaka-Katungulu'!C55,'11.09 Ishaka-Katungulu'!C55,'12.09 Ishaka-Katungulu'!C55,'07.09. Ishaka-Katungulu-24h'!C55,'08.09 Ishaka-Katungulu-24h'!C55,'13.09 Ishaka-Katungulu'!C55)</f>
        <v>7.5714285714285712</v>
      </c>
      <c r="D55" s="49">
        <f>AVERAGE('09.09 Ishaka-Katungulu'!D55,'10.09 Ishaka-Katungulu'!D55,'11.09 Ishaka-Katungulu'!D55,'12.09 Ishaka-Katungulu'!D55,'07.09. Ishaka-Katungulu-24h'!D55,'08.09 Ishaka-Katungulu-24h'!D55,'13.09 Ishaka-Katungulu'!D55)</f>
        <v>1</v>
      </c>
      <c r="E55" s="49">
        <f>AVERAGE('09.09 Ishaka-Katungulu'!E55,'10.09 Ishaka-Katungulu'!E55,'11.09 Ishaka-Katungulu'!E55,'12.09 Ishaka-Katungulu'!E55,'07.09. Ishaka-Katungulu-24h'!E55,'08.09 Ishaka-Katungulu-24h'!E55,'13.09 Ishaka-Katungulu'!E55)</f>
        <v>4</v>
      </c>
      <c r="F55" s="49">
        <f>AVERAGE('09.09 Ishaka-Katungulu'!F55,'10.09 Ishaka-Katungulu'!F55,'11.09 Ishaka-Katungulu'!F55,'12.09 Ishaka-Katungulu'!F55,'07.09. Ishaka-Katungulu-24h'!F55,'08.09 Ishaka-Katungulu-24h'!F55,'13.09 Ishaka-Katungulu'!F55)</f>
        <v>4.7142857142857144</v>
      </c>
      <c r="G55" s="49">
        <f>AVERAGE('09.09 Ishaka-Katungulu'!G55,'10.09 Ishaka-Katungulu'!G55,'11.09 Ishaka-Katungulu'!G55,'12.09 Ishaka-Katungulu'!G55,'07.09. Ishaka-Katungulu-24h'!G55,'08.09 Ishaka-Katungulu-24h'!G55,'13.09 Ishaka-Katungulu'!G55)</f>
        <v>0</v>
      </c>
      <c r="H55" s="49">
        <f>AVERAGE('09.09 Ishaka-Katungulu'!H55,'10.09 Ishaka-Katungulu'!H55,'11.09 Ishaka-Katungulu'!H55,'12.09 Ishaka-Katungulu'!H55,'07.09. Ishaka-Katungulu-24h'!H55,'08.09 Ishaka-Katungulu-24h'!H55,'13.09 Ishaka-Katungulu'!H55)</f>
        <v>0.14285714285714285</v>
      </c>
      <c r="I55" s="49">
        <f>AVERAGE('09.09 Ishaka-Katungulu'!I55,'10.09 Ishaka-Katungulu'!I55,'11.09 Ishaka-Katungulu'!I55,'12.09 Ishaka-Katungulu'!I55,'07.09. Ishaka-Katungulu-24h'!I55,'08.09 Ishaka-Katungulu-24h'!I55,'13.09 Ishaka-Katungulu'!I55)</f>
        <v>1.8571428571428572</v>
      </c>
      <c r="J55" s="49">
        <f>AVERAGE('09.09 Ishaka-Katungulu'!J55,'10.09 Ishaka-Katungulu'!J55,'11.09 Ishaka-Katungulu'!J55,'12.09 Ishaka-Katungulu'!J55,'07.09. Ishaka-Katungulu-24h'!J55,'08.09 Ishaka-Katungulu-24h'!J55,'13.09 Ishaka-Katungulu'!J55)</f>
        <v>1.2857142857142858</v>
      </c>
      <c r="K55" s="49">
        <f>AVERAGE('09.09 Ishaka-Katungulu'!K55,'10.09 Ishaka-Katungulu'!K55,'11.09 Ishaka-Katungulu'!K55,'12.09 Ishaka-Katungulu'!K55,'07.09. Ishaka-Katungulu-24h'!K55,'08.09 Ishaka-Katungulu-24h'!K55,'13.09 Ishaka-Katungulu'!K55)</f>
        <v>0.7142857142857143</v>
      </c>
      <c r="L55" s="49">
        <f>AVERAGE('09.09 Ishaka-Katungulu'!L55,'10.09 Ishaka-Katungulu'!L55,'11.09 Ishaka-Katungulu'!L55,'12.09 Ishaka-Katungulu'!L55,'07.09. Ishaka-Katungulu-24h'!L55,'08.09 Ishaka-Katungulu-24h'!L55,'13.09 Ishaka-Katungulu'!L55)</f>
        <v>1.2857142857142858</v>
      </c>
      <c r="M55" s="49">
        <f>AVERAGE('09.09 Ishaka-Katungulu'!M55,'10.09 Ishaka-Katungulu'!M55,'11.09 Ishaka-Katungulu'!M55,'12.09 Ishaka-Katungulu'!M55,'07.09. Ishaka-Katungulu-24h'!M55,'08.09 Ishaka-Katungulu-24h'!M55,'13.09 Ishaka-Katungulu'!M55)</f>
        <v>51.714285714285715</v>
      </c>
      <c r="N55" s="49">
        <f>AVERAGE('09.09 Ishaka-Katungulu'!N55,'10.09 Ishaka-Katungulu'!N55,'11.09 Ishaka-Katungulu'!N55,'12.09 Ishaka-Katungulu'!N55,'07.09. Ishaka-Katungulu-24h'!N55,'08.09 Ishaka-Katungulu-24h'!N55,'13.09 Ishaka-Katungulu'!N55)</f>
        <v>0</v>
      </c>
      <c r="O55" s="15">
        <f t="shared" si="0"/>
        <v>22.571428571428569</v>
      </c>
      <c r="P55" s="15">
        <f t="shared" si="1"/>
        <v>74.285714285714278</v>
      </c>
      <c r="R55" s="8"/>
      <c r="T55"/>
    </row>
    <row r="56" spans="2:20" ht="23.1" customHeight="1" x14ac:dyDescent="0.25">
      <c r="B56" s="23" t="s">
        <v>83</v>
      </c>
      <c r="C56" s="49">
        <f>AVERAGE('09.09 Ishaka-Katungulu'!C56,'10.09 Ishaka-Katungulu'!C56,'11.09 Ishaka-Katungulu'!C56,'12.09 Ishaka-Katungulu'!C56,'07.09. Ishaka-Katungulu-24h'!C56,'08.09 Ishaka-Katungulu-24h'!C56,'13.09 Ishaka-Katungulu'!C56)</f>
        <v>4.5714285714285712</v>
      </c>
      <c r="D56" s="49">
        <f>AVERAGE('09.09 Ishaka-Katungulu'!D56,'10.09 Ishaka-Katungulu'!D56,'11.09 Ishaka-Katungulu'!D56,'12.09 Ishaka-Katungulu'!D56,'07.09. Ishaka-Katungulu-24h'!D56,'08.09 Ishaka-Katungulu-24h'!D56,'13.09 Ishaka-Katungulu'!D56)</f>
        <v>0.42857142857142855</v>
      </c>
      <c r="E56" s="49">
        <f>AVERAGE('09.09 Ishaka-Katungulu'!E56,'10.09 Ishaka-Katungulu'!E56,'11.09 Ishaka-Katungulu'!E56,'12.09 Ishaka-Katungulu'!E56,'07.09. Ishaka-Katungulu-24h'!E56,'08.09 Ishaka-Katungulu-24h'!E56,'13.09 Ishaka-Katungulu'!E56)</f>
        <v>2.5714285714285716</v>
      </c>
      <c r="F56" s="49">
        <f>AVERAGE('09.09 Ishaka-Katungulu'!F56,'10.09 Ishaka-Katungulu'!F56,'11.09 Ishaka-Katungulu'!F56,'12.09 Ishaka-Katungulu'!F56,'07.09. Ishaka-Katungulu-24h'!F56,'08.09 Ishaka-Katungulu-24h'!F56,'13.09 Ishaka-Katungulu'!F56)</f>
        <v>2.1428571428571428</v>
      </c>
      <c r="G56" s="49">
        <f>AVERAGE('09.09 Ishaka-Katungulu'!G56,'10.09 Ishaka-Katungulu'!G56,'11.09 Ishaka-Katungulu'!G56,'12.09 Ishaka-Katungulu'!G56,'07.09. Ishaka-Katungulu-24h'!G56,'08.09 Ishaka-Katungulu-24h'!G56,'13.09 Ishaka-Katungulu'!G56)</f>
        <v>0</v>
      </c>
      <c r="H56" s="49">
        <f>AVERAGE('09.09 Ishaka-Katungulu'!H56,'10.09 Ishaka-Katungulu'!H56,'11.09 Ishaka-Katungulu'!H56,'12.09 Ishaka-Katungulu'!H56,'07.09. Ishaka-Katungulu-24h'!H56,'08.09 Ishaka-Katungulu-24h'!H56,'13.09 Ishaka-Katungulu'!H56)</f>
        <v>0</v>
      </c>
      <c r="I56" s="49">
        <f>AVERAGE('09.09 Ishaka-Katungulu'!I56,'10.09 Ishaka-Katungulu'!I56,'11.09 Ishaka-Katungulu'!I56,'12.09 Ishaka-Katungulu'!I56,'07.09. Ishaka-Katungulu-24h'!I56,'08.09 Ishaka-Katungulu-24h'!I56,'13.09 Ishaka-Katungulu'!I56)</f>
        <v>1</v>
      </c>
      <c r="J56" s="49">
        <f>AVERAGE('09.09 Ishaka-Katungulu'!J56,'10.09 Ishaka-Katungulu'!J56,'11.09 Ishaka-Katungulu'!J56,'12.09 Ishaka-Katungulu'!J56,'07.09. Ishaka-Katungulu-24h'!J56,'08.09 Ishaka-Katungulu-24h'!J56,'13.09 Ishaka-Katungulu'!J56)</f>
        <v>0</v>
      </c>
      <c r="K56" s="49">
        <f>AVERAGE('09.09 Ishaka-Katungulu'!K56,'10.09 Ishaka-Katungulu'!K56,'11.09 Ishaka-Katungulu'!K56,'12.09 Ishaka-Katungulu'!K56,'07.09. Ishaka-Katungulu-24h'!K56,'08.09 Ishaka-Katungulu-24h'!K56,'13.09 Ishaka-Katungulu'!K56)</f>
        <v>0.5714285714285714</v>
      </c>
      <c r="L56" s="49">
        <f>AVERAGE('09.09 Ishaka-Katungulu'!L56,'10.09 Ishaka-Katungulu'!L56,'11.09 Ishaka-Katungulu'!L56,'12.09 Ishaka-Katungulu'!L56,'07.09. Ishaka-Katungulu-24h'!L56,'08.09 Ishaka-Katungulu-24h'!L56,'13.09 Ishaka-Katungulu'!L56)</f>
        <v>0.5714285714285714</v>
      </c>
      <c r="M56" s="49">
        <f>AVERAGE('09.09 Ishaka-Katungulu'!M56,'10.09 Ishaka-Katungulu'!M56,'11.09 Ishaka-Katungulu'!M56,'12.09 Ishaka-Katungulu'!M56,'07.09. Ishaka-Katungulu-24h'!M56,'08.09 Ishaka-Katungulu-24h'!M56,'13.09 Ishaka-Katungulu'!M56)</f>
        <v>31</v>
      </c>
      <c r="N56" s="49">
        <f>AVERAGE('09.09 Ishaka-Katungulu'!N56,'10.09 Ishaka-Katungulu'!N56,'11.09 Ishaka-Katungulu'!N56,'12.09 Ishaka-Katungulu'!N56,'07.09. Ishaka-Katungulu-24h'!N56,'08.09 Ishaka-Katungulu-24h'!N56,'13.09 Ishaka-Katungulu'!N56)</f>
        <v>0</v>
      </c>
      <c r="O56" s="15">
        <f t="shared" si="0"/>
        <v>11.857142857142856</v>
      </c>
      <c r="P56" s="15">
        <f t="shared" si="1"/>
        <v>42.857142857142854</v>
      </c>
      <c r="R56" s="8"/>
      <c r="T56"/>
    </row>
    <row r="57" spans="2:20" ht="23.1" customHeight="1" x14ac:dyDescent="0.25">
      <c r="B57" s="23" t="s">
        <v>84</v>
      </c>
      <c r="C57" s="49">
        <f>AVERAGE('09.09 Ishaka-Katungulu'!C57,'10.09 Ishaka-Katungulu'!C57,'11.09 Ishaka-Katungulu'!C57,'12.09 Ishaka-Katungulu'!C57,'07.09. Ishaka-Katungulu-24h'!C57,'08.09 Ishaka-Katungulu-24h'!C57,'13.09 Ishaka-Katungulu'!C57)</f>
        <v>7.8571428571428568</v>
      </c>
      <c r="D57" s="49">
        <f>AVERAGE('09.09 Ishaka-Katungulu'!D57,'10.09 Ishaka-Katungulu'!D57,'11.09 Ishaka-Katungulu'!D57,'12.09 Ishaka-Katungulu'!D57,'07.09. Ishaka-Katungulu-24h'!D57,'08.09 Ishaka-Katungulu-24h'!D57,'13.09 Ishaka-Katungulu'!D57)</f>
        <v>1</v>
      </c>
      <c r="E57" s="49">
        <f>AVERAGE('09.09 Ishaka-Katungulu'!E57,'10.09 Ishaka-Katungulu'!E57,'11.09 Ishaka-Katungulu'!E57,'12.09 Ishaka-Katungulu'!E57,'07.09. Ishaka-Katungulu-24h'!E57,'08.09 Ishaka-Katungulu-24h'!E57,'13.09 Ishaka-Katungulu'!E57)</f>
        <v>4.4285714285714288</v>
      </c>
      <c r="F57" s="49">
        <f>AVERAGE('09.09 Ishaka-Katungulu'!F57,'10.09 Ishaka-Katungulu'!F57,'11.09 Ishaka-Katungulu'!F57,'12.09 Ishaka-Katungulu'!F57,'07.09. Ishaka-Katungulu-24h'!F57,'08.09 Ishaka-Katungulu-24h'!F57,'13.09 Ishaka-Katungulu'!F57)</f>
        <v>3.8571428571428572</v>
      </c>
      <c r="G57" s="49">
        <f>AVERAGE('09.09 Ishaka-Katungulu'!G57,'10.09 Ishaka-Katungulu'!G57,'11.09 Ishaka-Katungulu'!G57,'12.09 Ishaka-Katungulu'!G57,'07.09. Ishaka-Katungulu-24h'!G57,'08.09 Ishaka-Katungulu-24h'!G57,'13.09 Ishaka-Katungulu'!G57)</f>
        <v>0</v>
      </c>
      <c r="H57" s="49">
        <f>AVERAGE('09.09 Ishaka-Katungulu'!H57,'10.09 Ishaka-Katungulu'!H57,'11.09 Ishaka-Katungulu'!H57,'12.09 Ishaka-Katungulu'!H57,'07.09. Ishaka-Katungulu-24h'!H57,'08.09 Ishaka-Katungulu-24h'!H57,'13.09 Ishaka-Katungulu'!H57)</f>
        <v>0.42857142857142855</v>
      </c>
      <c r="I57" s="49">
        <f>AVERAGE('09.09 Ishaka-Katungulu'!I57,'10.09 Ishaka-Katungulu'!I57,'11.09 Ishaka-Katungulu'!I57,'12.09 Ishaka-Katungulu'!I57,'07.09. Ishaka-Katungulu-24h'!I57,'08.09 Ishaka-Katungulu-24h'!I57,'13.09 Ishaka-Katungulu'!I57)</f>
        <v>1.8571428571428572</v>
      </c>
      <c r="J57" s="49">
        <f>AVERAGE('09.09 Ishaka-Katungulu'!J57,'10.09 Ishaka-Katungulu'!J57,'11.09 Ishaka-Katungulu'!J57,'12.09 Ishaka-Katungulu'!J57,'07.09. Ishaka-Katungulu-24h'!J57,'08.09 Ishaka-Katungulu-24h'!J57,'13.09 Ishaka-Katungulu'!J57)</f>
        <v>0.2857142857142857</v>
      </c>
      <c r="K57" s="49">
        <f>AVERAGE('09.09 Ishaka-Katungulu'!K57,'10.09 Ishaka-Katungulu'!K57,'11.09 Ishaka-Katungulu'!K57,'12.09 Ishaka-Katungulu'!K57,'07.09. Ishaka-Katungulu-24h'!K57,'08.09 Ishaka-Katungulu-24h'!K57,'13.09 Ishaka-Katungulu'!K57)</f>
        <v>1.4285714285714286</v>
      </c>
      <c r="L57" s="49">
        <f>AVERAGE('09.09 Ishaka-Katungulu'!L57,'10.09 Ishaka-Katungulu'!L57,'11.09 Ishaka-Katungulu'!L57,'12.09 Ishaka-Katungulu'!L57,'07.09. Ishaka-Katungulu-24h'!L57,'08.09 Ishaka-Katungulu-24h'!L57,'13.09 Ishaka-Katungulu'!L57)</f>
        <v>1.4285714285714286</v>
      </c>
      <c r="M57" s="49">
        <f>AVERAGE('09.09 Ishaka-Katungulu'!M57,'10.09 Ishaka-Katungulu'!M57,'11.09 Ishaka-Katungulu'!M57,'12.09 Ishaka-Katungulu'!M57,'07.09. Ishaka-Katungulu-24h'!M57,'08.09 Ishaka-Katungulu-24h'!M57,'13.09 Ishaka-Katungulu'!M57)</f>
        <v>55</v>
      </c>
      <c r="N57" s="49">
        <f>AVERAGE('09.09 Ishaka-Katungulu'!N57,'10.09 Ishaka-Katungulu'!N57,'11.09 Ishaka-Katungulu'!N57,'12.09 Ishaka-Katungulu'!N57,'07.09. Ishaka-Katungulu-24h'!N57,'08.09 Ishaka-Katungulu-24h'!N57,'13.09 Ishaka-Katungulu'!N57)</f>
        <v>0</v>
      </c>
      <c r="O57" s="15">
        <f t="shared" si="0"/>
        <v>22.571428571428566</v>
      </c>
      <c r="P57" s="15">
        <f t="shared" si="1"/>
        <v>77.571428571428569</v>
      </c>
      <c r="R57" s="8"/>
      <c r="T57"/>
    </row>
    <row r="58" spans="2:20" ht="23.1" customHeight="1" x14ac:dyDescent="0.25">
      <c r="B58" s="23" t="s">
        <v>99</v>
      </c>
      <c r="C58" s="49">
        <f>AVERAGE('07.09. Ishaka-Katungulu-24h'!C58,'08.09 Ishaka-Katungulu-24h'!C58)</f>
        <v>3.5</v>
      </c>
      <c r="D58" s="49">
        <f>AVERAGE('07.09. Ishaka-Katungulu-24h'!D58,'08.09 Ishaka-Katungulu-24h'!D58)</f>
        <v>1.5</v>
      </c>
      <c r="E58" s="49">
        <f>AVERAGE('07.09. Ishaka-Katungulu-24h'!E58,'08.09 Ishaka-Katungulu-24h'!E58)</f>
        <v>3</v>
      </c>
      <c r="F58" s="49">
        <f>AVERAGE('07.09. Ishaka-Katungulu-24h'!F58,'08.09 Ishaka-Katungulu-24h'!F58)</f>
        <v>1</v>
      </c>
      <c r="G58" s="49">
        <f>AVERAGE('07.09. Ishaka-Katungulu-24h'!G58,'08.09 Ishaka-Katungulu-24h'!G58)</f>
        <v>0</v>
      </c>
      <c r="H58" s="49">
        <f>AVERAGE('07.09. Ishaka-Katungulu-24h'!H58,'08.09 Ishaka-Katungulu-24h'!H58)</f>
        <v>0</v>
      </c>
      <c r="I58" s="49">
        <f>AVERAGE('07.09. Ishaka-Katungulu-24h'!I58,'08.09 Ishaka-Katungulu-24h'!I58)</f>
        <v>0</v>
      </c>
      <c r="J58" s="49">
        <f>AVERAGE('07.09. Ishaka-Katungulu-24h'!J58,'08.09 Ishaka-Katungulu-24h'!J58)</f>
        <v>0</v>
      </c>
      <c r="K58" s="49">
        <f>AVERAGE('07.09. Ishaka-Katungulu-24h'!K58,'08.09 Ishaka-Katungulu-24h'!K58)</f>
        <v>1</v>
      </c>
      <c r="L58" s="49">
        <f>AVERAGE('07.09. Ishaka-Katungulu-24h'!L58,'08.09 Ishaka-Katungulu-24h'!L58)</f>
        <v>0</v>
      </c>
      <c r="M58" s="49">
        <f>AVERAGE('07.09. Ishaka-Katungulu-24h'!M58,'08.09 Ishaka-Katungulu-24h'!M58)</f>
        <v>37</v>
      </c>
      <c r="N58" s="49">
        <f>AVERAGE('07.09. Ishaka-Katungulu-24h'!N58,'08.09 Ishaka-Katungulu-24h'!N58)</f>
        <v>0</v>
      </c>
      <c r="O58" s="15">
        <f t="shared" si="0"/>
        <v>10</v>
      </c>
      <c r="P58" s="15">
        <f t="shared" si="1"/>
        <v>47</v>
      </c>
      <c r="R58" s="8"/>
      <c r="T58"/>
    </row>
    <row r="59" spans="2:20" ht="23.1" customHeight="1" x14ac:dyDescent="0.25">
      <c r="B59" s="23" t="s">
        <v>100</v>
      </c>
      <c r="C59" s="49">
        <f>AVERAGE('07.09. Ishaka-Katungulu-24h'!C59,'08.09 Ishaka-Katungulu-24h'!C59)</f>
        <v>7</v>
      </c>
      <c r="D59" s="49">
        <f>AVERAGE('07.09. Ishaka-Katungulu-24h'!D59,'08.09 Ishaka-Katungulu-24h'!D59)</f>
        <v>3</v>
      </c>
      <c r="E59" s="49">
        <f>AVERAGE('07.09. Ishaka-Katungulu-24h'!E59,'08.09 Ishaka-Katungulu-24h'!E59)</f>
        <v>7</v>
      </c>
      <c r="F59" s="49">
        <f>AVERAGE('07.09. Ishaka-Katungulu-24h'!F59,'08.09 Ishaka-Katungulu-24h'!F59)</f>
        <v>1.5</v>
      </c>
      <c r="G59" s="49">
        <f>AVERAGE('07.09. Ishaka-Katungulu-24h'!G59,'08.09 Ishaka-Katungulu-24h'!G59)</f>
        <v>0</v>
      </c>
      <c r="H59" s="49">
        <f>AVERAGE('07.09. Ishaka-Katungulu-24h'!H59,'08.09 Ishaka-Katungulu-24h'!H59)</f>
        <v>0.5</v>
      </c>
      <c r="I59" s="49">
        <f>AVERAGE('07.09. Ishaka-Katungulu-24h'!I59,'08.09 Ishaka-Katungulu-24h'!I59)</f>
        <v>0.5</v>
      </c>
      <c r="J59" s="49">
        <f>AVERAGE('07.09. Ishaka-Katungulu-24h'!J59,'08.09 Ishaka-Katungulu-24h'!J59)</f>
        <v>0</v>
      </c>
      <c r="K59" s="49">
        <f>AVERAGE('07.09. Ishaka-Katungulu-24h'!K59,'08.09 Ishaka-Katungulu-24h'!K59)</f>
        <v>2</v>
      </c>
      <c r="L59" s="49">
        <f>AVERAGE('07.09. Ishaka-Katungulu-24h'!L59,'08.09 Ishaka-Katungulu-24h'!L59)</f>
        <v>0.5</v>
      </c>
      <c r="M59" s="49">
        <f>AVERAGE('07.09. Ishaka-Katungulu-24h'!M59,'08.09 Ishaka-Katungulu-24h'!M59)</f>
        <v>74.5</v>
      </c>
      <c r="N59" s="49">
        <f>AVERAGE('07.09. Ishaka-Katungulu-24h'!N59,'08.09 Ishaka-Katungulu-24h'!N59)</f>
        <v>0</v>
      </c>
      <c r="O59" s="15">
        <f t="shared" si="0"/>
        <v>22</v>
      </c>
      <c r="P59" s="15">
        <f t="shared" si="1"/>
        <v>96.5</v>
      </c>
      <c r="R59" s="8"/>
      <c r="T59"/>
    </row>
    <row r="60" spans="2:20" ht="23.1" customHeight="1" x14ac:dyDescent="0.25">
      <c r="B60" s="23" t="s">
        <v>101</v>
      </c>
      <c r="C60" s="49">
        <f>AVERAGE('07.09. Ishaka-Katungulu-24h'!C60,'08.09 Ishaka-Katungulu-24h'!C60)</f>
        <v>5</v>
      </c>
      <c r="D60" s="49">
        <f>AVERAGE('07.09. Ishaka-Katungulu-24h'!D60,'08.09 Ishaka-Katungulu-24h'!D60)</f>
        <v>2.5</v>
      </c>
      <c r="E60" s="49">
        <f>AVERAGE('07.09. Ishaka-Katungulu-24h'!E60,'08.09 Ishaka-Katungulu-24h'!E60)</f>
        <v>5.5</v>
      </c>
      <c r="F60" s="49">
        <f>AVERAGE('07.09. Ishaka-Katungulu-24h'!F60,'08.09 Ishaka-Katungulu-24h'!F60)</f>
        <v>2.5</v>
      </c>
      <c r="G60" s="49">
        <f>AVERAGE('07.09. Ishaka-Katungulu-24h'!G60,'08.09 Ishaka-Katungulu-24h'!G60)</f>
        <v>0</v>
      </c>
      <c r="H60" s="49">
        <f>AVERAGE('07.09. Ishaka-Katungulu-24h'!H60,'08.09 Ishaka-Katungulu-24h'!H60)</f>
        <v>0</v>
      </c>
      <c r="I60" s="49">
        <f>AVERAGE('07.09. Ishaka-Katungulu-24h'!I60,'08.09 Ishaka-Katungulu-24h'!I60)</f>
        <v>0</v>
      </c>
      <c r="J60" s="49">
        <f>AVERAGE('07.09. Ishaka-Katungulu-24h'!J60,'08.09 Ishaka-Katungulu-24h'!J60)</f>
        <v>0</v>
      </c>
      <c r="K60" s="49">
        <f>AVERAGE('07.09. Ishaka-Katungulu-24h'!K60,'08.09 Ishaka-Katungulu-24h'!K60)</f>
        <v>0.5</v>
      </c>
      <c r="L60" s="49">
        <f>AVERAGE('07.09. Ishaka-Katungulu-24h'!L60,'08.09 Ishaka-Katungulu-24h'!L60)</f>
        <v>0.5</v>
      </c>
      <c r="M60" s="49">
        <f>AVERAGE('07.09. Ishaka-Katungulu-24h'!M60,'08.09 Ishaka-Katungulu-24h'!M60)</f>
        <v>28.5</v>
      </c>
      <c r="N60" s="49">
        <f>AVERAGE('07.09. Ishaka-Katungulu-24h'!N60,'08.09 Ishaka-Katungulu-24h'!N60)</f>
        <v>0</v>
      </c>
      <c r="O60" s="15">
        <f t="shared" si="0"/>
        <v>16.5</v>
      </c>
      <c r="P60" s="15">
        <f t="shared" si="1"/>
        <v>45</v>
      </c>
      <c r="R60" s="8"/>
      <c r="T60"/>
    </row>
    <row r="61" spans="2:20" ht="23.1" customHeight="1" x14ac:dyDescent="0.25">
      <c r="B61" s="23" t="s">
        <v>102</v>
      </c>
      <c r="C61" s="49">
        <f>AVERAGE('07.09. Ishaka-Katungulu-24h'!C61,'08.09 Ishaka-Katungulu-24h'!C61)</f>
        <v>8.5</v>
      </c>
      <c r="D61" s="49">
        <f>AVERAGE('07.09. Ishaka-Katungulu-24h'!D61,'08.09 Ishaka-Katungulu-24h'!D61)</f>
        <v>5.5</v>
      </c>
      <c r="E61" s="49">
        <f>AVERAGE('07.09. Ishaka-Katungulu-24h'!E61,'08.09 Ishaka-Katungulu-24h'!E61)</f>
        <v>11.5</v>
      </c>
      <c r="F61" s="49">
        <f>AVERAGE('07.09. Ishaka-Katungulu-24h'!F61,'08.09 Ishaka-Katungulu-24h'!F61)</f>
        <v>4.5</v>
      </c>
      <c r="G61" s="49">
        <f>AVERAGE('07.09. Ishaka-Katungulu-24h'!G61,'08.09 Ishaka-Katungulu-24h'!G61)</f>
        <v>0</v>
      </c>
      <c r="H61" s="49">
        <f>AVERAGE('07.09. Ishaka-Katungulu-24h'!H61,'08.09 Ishaka-Katungulu-24h'!H61)</f>
        <v>0.5</v>
      </c>
      <c r="I61" s="49">
        <f>AVERAGE('07.09. Ishaka-Katungulu-24h'!I61,'08.09 Ishaka-Katungulu-24h'!I61)</f>
        <v>1</v>
      </c>
      <c r="J61" s="49">
        <f>AVERAGE('07.09. Ishaka-Katungulu-24h'!J61,'08.09 Ishaka-Katungulu-24h'!J61)</f>
        <v>0</v>
      </c>
      <c r="K61" s="49">
        <f>AVERAGE('07.09. Ishaka-Katungulu-24h'!K61,'08.09 Ishaka-Katungulu-24h'!K61)</f>
        <v>1</v>
      </c>
      <c r="L61" s="49">
        <f>AVERAGE('07.09. Ishaka-Katungulu-24h'!L61,'08.09 Ishaka-Katungulu-24h'!L61)</f>
        <v>2</v>
      </c>
      <c r="M61" s="49">
        <f>AVERAGE('07.09. Ishaka-Katungulu-24h'!M61,'08.09 Ishaka-Katungulu-24h'!M61)</f>
        <v>61.5</v>
      </c>
      <c r="N61" s="49">
        <f>AVERAGE('07.09. Ishaka-Katungulu-24h'!N61,'08.09 Ishaka-Katungulu-24h'!N61)</f>
        <v>0</v>
      </c>
      <c r="O61" s="15">
        <f t="shared" si="0"/>
        <v>34.5</v>
      </c>
      <c r="P61" s="15">
        <f t="shared" si="1"/>
        <v>96</v>
      </c>
      <c r="R61" s="8"/>
      <c r="T61"/>
    </row>
    <row r="62" spans="2:20" ht="23.1" customHeight="1" x14ac:dyDescent="0.25">
      <c r="B62" s="23" t="s">
        <v>107</v>
      </c>
      <c r="C62" s="49">
        <f>AVERAGE('07.09. Ishaka-Katungulu-24h'!C62,'08.09 Ishaka-Katungulu-24h'!C62)</f>
        <v>2.5</v>
      </c>
      <c r="D62" s="49">
        <f>AVERAGE('07.09. Ishaka-Katungulu-24h'!D62,'08.09 Ishaka-Katungulu-24h'!D62)</f>
        <v>1.5</v>
      </c>
      <c r="E62" s="49">
        <f>AVERAGE('07.09. Ishaka-Katungulu-24h'!E62,'08.09 Ishaka-Katungulu-24h'!E62)</f>
        <v>2</v>
      </c>
      <c r="F62" s="49">
        <f>AVERAGE('07.09. Ishaka-Katungulu-24h'!F62,'08.09 Ishaka-Katungulu-24h'!F62)</f>
        <v>2</v>
      </c>
      <c r="G62" s="49">
        <f>AVERAGE('07.09. Ishaka-Katungulu-24h'!G62,'08.09 Ishaka-Katungulu-24h'!G62)</f>
        <v>0</v>
      </c>
      <c r="H62" s="49">
        <f>AVERAGE('07.09. Ishaka-Katungulu-24h'!H62,'08.09 Ishaka-Katungulu-24h'!H62)</f>
        <v>0</v>
      </c>
      <c r="I62" s="49">
        <f>AVERAGE('07.09. Ishaka-Katungulu-24h'!I62,'08.09 Ishaka-Katungulu-24h'!I62)</f>
        <v>0.5</v>
      </c>
      <c r="J62" s="49">
        <f>AVERAGE('07.09. Ishaka-Katungulu-24h'!J62,'08.09 Ishaka-Katungulu-24h'!J62)</f>
        <v>0.5</v>
      </c>
      <c r="K62" s="49">
        <f>AVERAGE('07.09. Ishaka-Katungulu-24h'!K62,'08.09 Ishaka-Katungulu-24h'!K62)</f>
        <v>1</v>
      </c>
      <c r="L62" s="49">
        <f>AVERAGE('07.09. Ishaka-Katungulu-24h'!L62,'08.09 Ishaka-Katungulu-24h'!L62)</f>
        <v>0.5</v>
      </c>
      <c r="M62" s="49">
        <f>AVERAGE('07.09. Ishaka-Katungulu-24h'!M62,'08.09 Ishaka-Katungulu-24h'!M62)</f>
        <v>16</v>
      </c>
      <c r="N62" s="49">
        <f>AVERAGE('07.09. Ishaka-Katungulu-24h'!N62,'08.09 Ishaka-Katungulu-24h'!N62)</f>
        <v>0</v>
      </c>
      <c r="O62" s="15">
        <f t="shared" si="0"/>
        <v>10.5</v>
      </c>
      <c r="P62" s="15">
        <f t="shared" si="1"/>
        <v>26.5</v>
      </c>
      <c r="R62" s="8"/>
      <c r="T62"/>
    </row>
    <row r="63" spans="2:20" ht="23.1" customHeight="1" x14ac:dyDescent="0.25">
      <c r="B63" s="23" t="s">
        <v>108</v>
      </c>
      <c r="C63" s="49">
        <f>AVERAGE('07.09. Ishaka-Katungulu-24h'!C63,'08.09 Ishaka-Katungulu-24h'!C63)</f>
        <v>6.5</v>
      </c>
      <c r="D63" s="49">
        <f>AVERAGE('07.09. Ishaka-Katungulu-24h'!D63,'08.09 Ishaka-Katungulu-24h'!D63)</f>
        <v>2.5</v>
      </c>
      <c r="E63" s="49">
        <f>AVERAGE('07.09. Ishaka-Katungulu-24h'!E63,'08.09 Ishaka-Katungulu-24h'!E63)</f>
        <v>4.5</v>
      </c>
      <c r="F63" s="49">
        <f>AVERAGE('07.09. Ishaka-Katungulu-24h'!F63,'08.09 Ishaka-Katungulu-24h'!F63)</f>
        <v>3.5</v>
      </c>
      <c r="G63" s="49">
        <f>AVERAGE('07.09. Ishaka-Katungulu-24h'!G63,'08.09 Ishaka-Katungulu-24h'!G63)</f>
        <v>0.5</v>
      </c>
      <c r="H63" s="49">
        <f>AVERAGE('07.09. Ishaka-Katungulu-24h'!H63,'08.09 Ishaka-Katungulu-24h'!H63)</f>
        <v>0.5</v>
      </c>
      <c r="I63" s="49">
        <f>AVERAGE('07.09. Ishaka-Katungulu-24h'!I63,'08.09 Ishaka-Katungulu-24h'!I63)</f>
        <v>1</v>
      </c>
      <c r="J63" s="49">
        <f>AVERAGE('07.09. Ishaka-Katungulu-24h'!J63,'08.09 Ishaka-Katungulu-24h'!J63)</f>
        <v>1</v>
      </c>
      <c r="K63" s="49">
        <f>AVERAGE('07.09. Ishaka-Katungulu-24h'!K63,'08.09 Ishaka-Katungulu-24h'!K63)</f>
        <v>2</v>
      </c>
      <c r="L63" s="49">
        <f>AVERAGE('07.09. Ishaka-Katungulu-24h'!L63,'08.09 Ishaka-Katungulu-24h'!L63)</f>
        <v>1</v>
      </c>
      <c r="M63" s="49">
        <f>AVERAGE('07.09. Ishaka-Katungulu-24h'!M63,'08.09 Ishaka-Katungulu-24h'!M63)</f>
        <v>36</v>
      </c>
      <c r="N63" s="49">
        <f>AVERAGE('07.09. Ishaka-Katungulu-24h'!N63,'08.09 Ishaka-Katungulu-24h'!N63)</f>
        <v>0</v>
      </c>
      <c r="O63" s="15">
        <f t="shared" si="0"/>
        <v>23</v>
      </c>
      <c r="P63" s="15">
        <f t="shared" si="1"/>
        <v>59</v>
      </c>
      <c r="R63" s="8"/>
      <c r="T63"/>
    </row>
    <row r="64" spans="2:20" ht="23.1" customHeight="1" x14ac:dyDescent="0.25">
      <c r="B64" s="23" t="s">
        <v>109</v>
      </c>
      <c r="C64" s="49">
        <f>AVERAGE('07.09. Ishaka-Katungulu-24h'!C64,'08.09 Ishaka-Katungulu-24h'!C64)</f>
        <v>1.5</v>
      </c>
      <c r="D64" s="49">
        <f>AVERAGE('07.09. Ishaka-Katungulu-24h'!D64,'08.09 Ishaka-Katungulu-24h'!D64)</f>
        <v>1</v>
      </c>
      <c r="E64" s="49">
        <f>AVERAGE('07.09. Ishaka-Katungulu-24h'!E64,'08.09 Ishaka-Katungulu-24h'!E64)</f>
        <v>2</v>
      </c>
      <c r="F64" s="49">
        <f>AVERAGE('07.09. Ishaka-Katungulu-24h'!F64,'08.09 Ishaka-Katungulu-24h'!F64)</f>
        <v>1</v>
      </c>
      <c r="G64" s="49">
        <f>AVERAGE('07.09. Ishaka-Katungulu-24h'!G64,'08.09 Ishaka-Katungulu-24h'!G64)</f>
        <v>0</v>
      </c>
      <c r="H64" s="49">
        <f>AVERAGE('07.09. Ishaka-Katungulu-24h'!H64,'08.09 Ishaka-Katungulu-24h'!H64)</f>
        <v>0</v>
      </c>
      <c r="I64" s="49">
        <f>AVERAGE('07.09. Ishaka-Katungulu-24h'!I64,'08.09 Ishaka-Katungulu-24h'!I64)</f>
        <v>1</v>
      </c>
      <c r="J64" s="49">
        <f>AVERAGE('07.09. Ishaka-Katungulu-24h'!J64,'08.09 Ishaka-Katungulu-24h'!J64)</f>
        <v>0</v>
      </c>
      <c r="K64" s="49">
        <f>AVERAGE('07.09. Ishaka-Katungulu-24h'!K64,'08.09 Ishaka-Katungulu-24h'!K64)</f>
        <v>0</v>
      </c>
      <c r="L64" s="49">
        <f>AVERAGE('07.09. Ishaka-Katungulu-24h'!L64,'08.09 Ishaka-Katungulu-24h'!L64)</f>
        <v>0</v>
      </c>
      <c r="M64" s="49">
        <f>AVERAGE('07.09. Ishaka-Katungulu-24h'!M64,'08.09 Ishaka-Katungulu-24h'!M64)</f>
        <v>13.5</v>
      </c>
      <c r="N64" s="49">
        <f>AVERAGE('07.09. Ishaka-Katungulu-24h'!N64,'08.09 Ishaka-Katungulu-24h'!N64)</f>
        <v>0</v>
      </c>
      <c r="O64" s="15">
        <f t="shared" si="0"/>
        <v>6.5</v>
      </c>
      <c r="P64" s="15">
        <f t="shared" si="1"/>
        <v>20</v>
      </c>
      <c r="R64" s="8"/>
      <c r="T64"/>
    </row>
    <row r="65" spans="2:20" ht="23.1" customHeight="1" x14ac:dyDescent="0.25">
      <c r="B65" s="23" t="s">
        <v>158</v>
      </c>
      <c r="C65" s="49">
        <f>AVERAGE('07.09. Ishaka-Katungulu-24h'!C65,'08.09 Ishaka-Katungulu-24h'!C65)</f>
        <v>3</v>
      </c>
      <c r="D65" s="49">
        <f>AVERAGE('07.09. Ishaka-Katungulu-24h'!D65,'08.09 Ishaka-Katungulu-24h'!D65)</f>
        <v>2</v>
      </c>
      <c r="E65" s="49">
        <f>AVERAGE('07.09. Ishaka-Katungulu-24h'!E65,'08.09 Ishaka-Katungulu-24h'!E65)</f>
        <v>4</v>
      </c>
      <c r="F65" s="49">
        <f>AVERAGE('07.09. Ishaka-Katungulu-24h'!F65,'08.09 Ishaka-Katungulu-24h'!F65)</f>
        <v>2</v>
      </c>
      <c r="G65" s="49">
        <f>AVERAGE('07.09. Ishaka-Katungulu-24h'!G65,'08.09 Ishaka-Katungulu-24h'!G65)</f>
        <v>0</v>
      </c>
      <c r="H65" s="49">
        <f>AVERAGE('07.09. Ishaka-Katungulu-24h'!H65,'08.09 Ishaka-Katungulu-24h'!H65)</f>
        <v>0</v>
      </c>
      <c r="I65" s="49">
        <f>AVERAGE('07.09. Ishaka-Katungulu-24h'!I65,'08.09 Ishaka-Katungulu-24h'!I65)</f>
        <v>1.5</v>
      </c>
      <c r="J65" s="49">
        <f>AVERAGE('07.09. Ishaka-Katungulu-24h'!J65,'08.09 Ishaka-Katungulu-24h'!J65)</f>
        <v>0.5</v>
      </c>
      <c r="K65" s="49">
        <f>AVERAGE('07.09. Ishaka-Katungulu-24h'!K65,'08.09 Ishaka-Katungulu-24h'!K65)</f>
        <v>0</v>
      </c>
      <c r="L65" s="49">
        <f>AVERAGE('07.09. Ishaka-Katungulu-24h'!L65,'08.09 Ishaka-Katungulu-24h'!L65)</f>
        <v>0.5</v>
      </c>
      <c r="M65" s="49">
        <f>AVERAGE('07.09. Ishaka-Katungulu-24h'!M65,'08.09 Ishaka-Katungulu-24h'!M65)</f>
        <v>30</v>
      </c>
      <c r="N65" s="49">
        <f>AVERAGE('07.09. Ishaka-Katungulu-24h'!N65,'08.09 Ishaka-Katungulu-24h'!N65)</f>
        <v>0</v>
      </c>
      <c r="O65" s="15">
        <f t="shared" si="0"/>
        <v>13.5</v>
      </c>
      <c r="P65" s="15">
        <f t="shared" si="1"/>
        <v>43.5</v>
      </c>
      <c r="R65" s="8"/>
      <c r="T65"/>
    </row>
    <row r="66" spans="2:20" ht="23.1" customHeight="1" x14ac:dyDescent="0.25">
      <c r="B66" s="23" t="s">
        <v>103</v>
      </c>
      <c r="C66" s="49">
        <f>AVERAGE('07.09. Ishaka-Katungulu-24h'!C66,'08.09 Ishaka-Katungulu-24h'!C66)</f>
        <v>2.5</v>
      </c>
      <c r="D66" s="49">
        <f>AVERAGE('07.09. Ishaka-Katungulu-24h'!D66,'08.09 Ishaka-Katungulu-24h'!D66)</f>
        <v>1</v>
      </c>
      <c r="E66" s="49">
        <f>AVERAGE('07.09. Ishaka-Katungulu-24h'!E66,'08.09 Ishaka-Katungulu-24h'!E66)</f>
        <v>2</v>
      </c>
      <c r="F66" s="49">
        <f>AVERAGE('07.09. Ishaka-Katungulu-24h'!F66,'08.09 Ishaka-Katungulu-24h'!F66)</f>
        <v>2.5</v>
      </c>
      <c r="G66" s="49">
        <f>AVERAGE('07.09. Ishaka-Katungulu-24h'!G66,'08.09 Ishaka-Katungulu-24h'!G66)</f>
        <v>0</v>
      </c>
      <c r="H66" s="49">
        <f>AVERAGE('07.09. Ishaka-Katungulu-24h'!H66,'08.09 Ishaka-Katungulu-24h'!H66)</f>
        <v>0</v>
      </c>
      <c r="I66" s="49">
        <f>AVERAGE('07.09. Ishaka-Katungulu-24h'!I66,'08.09 Ishaka-Katungulu-24h'!I66)</f>
        <v>1</v>
      </c>
      <c r="J66" s="49">
        <f>AVERAGE('07.09. Ishaka-Katungulu-24h'!J66,'08.09 Ishaka-Katungulu-24h'!J66)</f>
        <v>0</v>
      </c>
      <c r="K66" s="49">
        <f>AVERAGE('07.09. Ishaka-Katungulu-24h'!K66,'08.09 Ishaka-Katungulu-24h'!K66)</f>
        <v>0</v>
      </c>
      <c r="L66" s="49">
        <f>AVERAGE('07.09. Ishaka-Katungulu-24h'!L66,'08.09 Ishaka-Katungulu-24h'!L66)</f>
        <v>1</v>
      </c>
      <c r="M66" s="49">
        <f>AVERAGE('07.09. Ishaka-Katungulu-24h'!M66,'08.09 Ishaka-Katungulu-24h'!M66)</f>
        <v>8</v>
      </c>
      <c r="N66" s="49">
        <f>AVERAGE('07.09. Ishaka-Katungulu-24h'!N66,'08.09 Ishaka-Katungulu-24h'!N66)</f>
        <v>0</v>
      </c>
      <c r="O66" s="15">
        <f t="shared" si="0"/>
        <v>10</v>
      </c>
      <c r="P66" s="15">
        <f t="shared" si="1"/>
        <v>18</v>
      </c>
      <c r="R66" s="8"/>
      <c r="T66"/>
    </row>
    <row r="67" spans="2:20" ht="23.1" customHeight="1" x14ac:dyDescent="0.25">
      <c r="B67" s="23" t="s">
        <v>104</v>
      </c>
      <c r="C67" s="49">
        <f>AVERAGE('07.09. Ishaka-Katungulu-24h'!C67,'08.09 Ishaka-Katungulu-24h'!C67)</f>
        <v>4.5</v>
      </c>
      <c r="D67" s="49">
        <f>AVERAGE('07.09. Ishaka-Katungulu-24h'!D67,'08.09 Ishaka-Katungulu-24h'!D67)</f>
        <v>2</v>
      </c>
      <c r="E67" s="49">
        <f>AVERAGE('07.09. Ishaka-Katungulu-24h'!E67,'08.09 Ishaka-Katungulu-24h'!E67)</f>
        <v>4.5</v>
      </c>
      <c r="F67" s="49">
        <f>AVERAGE('07.09. Ishaka-Katungulu-24h'!F67,'08.09 Ishaka-Katungulu-24h'!F67)</f>
        <v>4.5</v>
      </c>
      <c r="G67" s="49">
        <f>AVERAGE('07.09. Ishaka-Katungulu-24h'!G67,'08.09 Ishaka-Katungulu-24h'!G67)</f>
        <v>0</v>
      </c>
      <c r="H67" s="49">
        <f>AVERAGE('07.09. Ishaka-Katungulu-24h'!H67,'08.09 Ishaka-Katungulu-24h'!H67)</f>
        <v>0</v>
      </c>
      <c r="I67" s="49">
        <f>AVERAGE('07.09. Ishaka-Katungulu-24h'!I67,'08.09 Ishaka-Katungulu-24h'!I67)</f>
        <v>2</v>
      </c>
      <c r="J67" s="49">
        <f>AVERAGE('07.09. Ishaka-Katungulu-24h'!J67,'08.09 Ishaka-Katungulu-24h'!J67)</f>
        <v>0</v>
      </c>
      <c r="K67" s="49">
        <f>AVERAGE('07.09. Ishaka-Katungulu-24h'!K67,'08.09 Ishaka-Katungulu-24h'!K67)</f>
        <v>0.5</v>
      </c>
      <c r="L67" s="49">
        <f>AVERAGE('07.09. Ishaka-Katungulu-24h'!L67,'08.09 Ishaka-Katungulu-24h'!L67)</f>
        <v>1.5</v>
      </c>
      <c r="M67" s="49">
        <f>AVERAGE('07.09. Ishaka-Katungulu-24h'!M67,'08.09 Ishaka-Katungulu-24h'!M67)</f>
        <v>16.5</v>
      </c>
      <c r="N67" s="49">
        <f>AVERAGE('07.09. Ishaka-Katungulu-24h'!N67,'08.09 Ishaka-Katungulu-24h'!N67)</f>
        <v>0</v>
      </c>
      <c r="O67" s="15">
        <f t="shared" si="0"/>
        <v>19.5</v>
      </c>
      <c r="P67" s="15">
        <f t="shared" si="1"/>
        <v>36</v>
      </c>
      <c r="R67" s="8"/>
      <c r="T67"/>
    </row>
    <row r="68" spans="2:20" ht="23.1" customHeight="1" x14ac:dyDescent="0.25">
      <c r="B68" s="23" t="s">
        <v>105</v>
      </c>
      <c r="C68" s="49">
        <f>AVERAGE('07.09. Ishaka-Katungulu-24h'!C68,'08.09 Ishaka-Katungulu-24h'!C68)</f>
        <v>1</v>
      </c>
      <c r="D68" s="49">
        <f>AVERAGE('07.09. Ishaka-Katungulu-24h'!D68,'08.09 Ishaka-Katungulu-24h'!D68)</f>
        <v>0.5</v>
      </c>
      <c r="E68" s="49">
        <f>AVERAGE('07.09. Ishaka-Katungulu-24h'!E68,'08.09 Ishaka-Katungulu-24h'!E68)</f>
        <v>1</v>
      </c>
      <c r="F68" s="49">
        <f>AVERAGE('07.09. Ishaka-Katungulu-24h'!F68,'08.09 Ishaka-Katungulu-24h'!F68)</f>
        <v>1</v>
      </c>
      <c r="G68" s="49">
        <f>AVERAGE('07.09. Ishaka-Katungulu-24h'!G68,'08.09 Ishaka-Katungulu-24h'!G68)</f>
        <v>0</v>
      </c>
      <c r="H68" s="49">
        <f>AVERAGE('07.09. Ishaka-Katungulu-24h'!H68,'08.09 Ishaka-Katungulu-24h'!H68)</f>
        <v>0</v>
      </c>
      <c r="I68" s="49">
        <f>AVERAGE('07.09. Ishaka-Katungulu-24h'!I68,'08.09 Ishaka-Katungulu-24h'!I68)</f>
        <v>0</v>
      </c>
      <c r="J68" s="49">
        <f>AVERAGE('07.09. Ishaka-Katungulu-24h'!J68,'08.09 Ishaka-Katungulu-24h'!J68)</f>
        <v>0</v>
      </c>
      <c r="K68" s="49">
        <f>AVERAGE('07.09. Ishaka-Katungulu-24h'!K68,'08.09 Ishaka-Katungulu-24h'!K68)</f>
        <v>0</v>
      </c>
      <c r="L68" s="49">
        <f>AVERAGE('07.09. Ishaka-Katungulu-24h'!L68,'08.09 Ishaka-Katungulu-24h'!L68)</f>
        <v>0</v>
      </c>
      <c r="M68" s="49">
        <f>AVERAGE('07.09. Ishaka-Katungulu-24h'!M68,'08.09 Ishaka-Katungulu-24h'!M68)</f>
        <v>6</v>
      </c>
      <c r="N68" s="49">
        <f>AVERAGE('07.09. Ishaka-Katungulu-24h'!N68,'08.09 Ishaka-Katungulu-24h'!N68)</f>
        <v>0</v>
      </c>
      <c r="O68" s="15">
        <f t="shared" si="0"/>
        <v>3.5</v>
      </c>
      <c r="P68" s="15">
        <f t="shared" si="1"/>
        <v>9.5</v>
      </c>
      <c r="R68" s="8"/>
      <c r="T68"/>
    </row>
    <row r="69" spans="2:20" ht="23.1" customHeight="1" x14ac:dyDescent="0.25">
      <c r="B69" s="23" t="s">
        <v>106</v>
      </c>
      <c r="C69" s="49">
        <f>AVERAGE('07.09. Ishaka-Katungulu-24h'!C69,'08.09 Ishaka-Katungulu-24h'!C69)</f>
        <v>3.5</v>
      </c>
      <c r="D69" s="49">
        <f>AVERAGE('07.09. Ishaka-Katungulu-24h'!D69,'08.09 Ishaka-Katungulu-24h'!D69)</f>
        <v>1</v>
      </c>
      <c r="E69" s="49">
        <f>AVERAGE('07.09. Ishaka-Katungulu-24h'!E69,'08.09 Ishaka-Katungulu-24h'!E69)</f>
        <v>3</v>
      </c>
      <c r="F69" s="49">
        <f>AVERAGE('07.09. Ishaka-Katungulu-24h'!F69,'08.09 Ishaka-Katungulu-24h'!F69)</f>
        <v>2.5</v>
      </c>
      <c r="G69" s="49">
        <f>AVERAGE('07.09. Ishaka-Katungulu-24h'!G69,'08.09 Ishaka-Katungulu-24h'!G69)</f>
        <v>0</v>
      </c>
      <c r="H69" s="49">
        <f>AVERAGE('07.09. Ishaka-Katungulu-24h'!H69,'08.09 Ishaka-Katungulu-24h'!H69)</f>
        <v>0</v>
      </c>
      <c r="I69" s="49">
        <f>AVERAGE('07.09. Ishaka-Katungulu-24h'!I69,'08.09 Ishaka-Katungulu-24h'!I69)</f>
        <v>0.5</v>
      </c>
      <c r="J69" s="49">
        <f>AVERAGE('07.09. Ishaka-Katungulu-24h'!J69,'08.09 Ishaka-Katungulu-24h'!J69)</f>
        <v>0</v>
      </c>
      <c r="K69" s="49">
        <f>AVERAGE('07.09. Ishaka-Katungulu-24h'!K69,'08.09 Ishaka-Katungulu-24h'!K69)</f>
        <v>0</v>
      </c>
      <c r="L69" s="49">
        <f>AVERAGE('07.09. Ishaka-Katungulu-24h'!L69,'08.09 Ishaka-Katungulu-24h'!L69)</f>
        <v>1</v>
      </c>
      <c r="M69" s="49">
        <f>AVERAGE('07.09. Ishaka-Katungulu-24h'!M69,'08.09 Ishaka-Katungulu-24h'!M69)</f>
        <v>12</v>
      </c>
      <c r="N69" s="49">
        <f>AVERAGE('07.09. Ishaka-Katungulu-24h'!N69,'08.09 Ishaka-Katungulu-24h'!N69)</f>
        <v>0</v>
      </c>
      <c r="O69" s="15">
        <f t="shared" si="0"/>
        <v>11.5</v>
      </c>
      <c r="P69" s="15">
        <f t="shared" si="1"/>
        <v>23.5</v>
      </c>
      <c r="R69" s="8"/>
      <c r="T69"/>
    </row>
    <row r="70" spans="2:20" ht="23.1" customHeight="1" x14ac:dyDescent="0.25">
      <c r="B70" s="23" t="s">
        <v>110</v>
      </c>
      <c r="C70" s="49">
        <f>AVERAGE('07.09. Ishaka-Katungulu-24h'!C70,'08.09 Ishaka-Katungulu-24h'!C70)</f>
        <v>2</v>
      </c>
      <c r="D70" s="49">
        <f>AVERAGE('07.09. Ishaka-Katungulu-24h'!D70,'08.09 Ishaka-Katungulu-24h'!D70)</f>
        <v>0.5</v>
      </c>
      <c r="E70" s="49">
        <f>AVERAGE('07.09. Ishaka-Katungulu-24h'!E70,'08.09 Ishaka-Katungulu-24h'!E70)</f>
        <v>1.5</v>
      </c>
      <c r="F70" s="49">
        <f>AVERAGE('07.09. Ishaka-Katungulu-24h'!F70,'08.09 Ishaka-Katungulu-24h'!F70)</f>
        <v>1.5</v>
      </c>
      <c r="G70" s="49">
        <f>AVERAGE('07.09. Ishaka-Katungulu-24h'!G70,'08.09 Ishaka-Katungulu-24h'!G70)</f>
        <v>0</v>
      </c>
      <c r="H70" s="49">
        <f>AVERAGE('07.09. Ishaka-Katungulu-24h'!H70,'08.09 Ishaka-Katungulu-24h'!H70)</f>
        <v>0</v>
      </c>
      <c r="I70" s="49">
        <f>AVERAGE('07.09. Ishaka-Katungulu-24h'!I70,'08.09 Ishaka-Katungulu-24h'!I70)</f>
        <v>0</v>
      </c>
      <c r="J70" s="49">
        <f>AVERAGE('07.09. Ishaka-Katungulu-24h'!J70,'08.09 Ishaka-Katungulu-24h'!J70)</f>
        <v>1.5</v>
      </c>
      <c r="K70" s="49">
        <f>AVERAGE('07.09. Ishaka-Katungulu-24h'!K70,'08.09 Ishaka-Katungulu-24h'!K70)</f>
        <v>0</v>
      </c>
      <c r="L70" s="49">
        <f>AVERAGE('07.09. Ishaka-Katungulu-24h'!L70,'08.09 Ishaka-Katungulu-24h'!L70)</f>
        <v>0.5</v>
      </c>
      <c r="M70" s="49">
        <f>AVERAGE('07.09. Ishaka-Katungulu-24h'!M70,'08.09 Ishaka-Katungulu-24h'!M70)</f>
        <v>4</v>
      </c>
      <c r="N70" s="49">
        <f>AVERAGE('07.09. Ishaka-Katungulu-24h'!N70,'08.09 Ishaka-Katungulu-24h'!N70)</f>
        <v>0</v>
      </c>
      <c r="O70" s="15">
        <f t="shared" si="0"/>
        <v>7.5</v>
      </c>
      <c r="P70" s="15">
        <f t="shared" si="1"/>
        <v>11.5</v>
      </c>
      <c r="R70" s="8"/>
      <c r="T70"/>
    </row>
    <row r="71" spans="2:20" ht="23.1" customHeight="1" x14ac:dyDescent="0.25">
      <c r="B71" s="23" t="s">
        <v>111</v>
      </c>
      <c r="C71" s="49">
        <f>AVERAGE('07.09. Ishaka-Katungulu-24h'!C71,'08.09 Ishaka-Katungulu-24h'!C71)</f>
        <v>4</v>
      </c>
      <c r="D71" s="49">
        <f>AVERAGE('07.09. Ishaka-Katungulu-24h'!D71,'08.09 Ishaka-Katungulu-24h'!D71)</f>
        <v>1.5</v>
      </c>
      <c r="E71" s="49">
        <f>AVERAGE('07.09. Ishaka-Katungulu-24h'!E71,'08.09 Ishaka-Katungulu-24h'!E71)</f>
        <v>4</v>
      </c>
      <c r="F71" s="49">
        <f>AVERAGE('07.09. Ishaka-Katungulu-24h'!F71,'08.09 Ishaka-Katungulu-24h'!F71)</f>
        <v>3</v>
      </c>
      <c r="G71" s="49">
        <f>AVERAGE('07.09. Ishaka-Katungulu-24h'!G71,'08.09 Ishaka-Katungulu-24h'!G71)</f>
        <v>0.5</v>
      </c>
      <c r="H71" s="49">
        <f>AVERAGE('07.09. Ishaka-Katungulu-24h'!H71,'08.09 Ishaka-Katungulu-24h'!H71)</f>
        <v>0.5</v>
      </c>
      <c r="I71" s="49">
        <f>AVERAGE('07.09. Ishaka-Katungulu-24h'!I71,'08.09 Ishaka-Katungulu-24h'!I71)</f>
        <v>1</v>
      </c>
      <c r="J71" s="49">
        <f>AVERAGE('07.09. Ishaka-Katungulu-24h'!J71,'08.09 Ishaka-Katungulu-24h'!J71)</f>
        <v>2.5</v>
      </c>
      <c r="K71" s="49">
        <f>AVERAGE('07.09. Ishaka-Katungulu-24h'!K71,'08.09 Ishaka-Katungulu-24h'!K71)</f>
        <v>0</v>
      </c>
      <c r="L71" s="49">
        <f>AVERAGE('07.09. Ishaka-Katungulu-24h'!L71,'08.09 Ishaka-Katungulu-24h'!L71)</f>
        <v>1</v>
      </c>
      <c r="M71" s="49">
        <f>AVERAGE('07.09. Ishaka-Katungulu-24h'!M71,'08.09 Ishaka-Katungulu-24h'!M71)</f>
        <v>7.5</v>
      </c>
      <c r="N71" s="49">
        <f>AVERAGE('07.09. Ishaka-Katungulu-24h'!N71,'08.09 Ishaka-Katungulu-24h'!N71)</f>
        <v>0</v>
      </c>
      <c r="O71" s="15">
        <f t="shared" si="0"/>
        <v>18</v>
      </c>
      <c r="P71" s="15">
        <f t="shared" si="1"/>
        <v>25.5</v>
      </c>
      <c r="R71" s="8"/>
      <c r="T71"/>
    </row>
    <row r="72" spans="2:20" ht="23.1" customHeight="1" x14ac:dyDescent="0.25">
      <c r="B72" s="23" t="s">
        <v>112</v>
      </c>
      <c r="C72" s="49">
        <f>AVERAGE('07.09. Ishaka-Katungulu-24h'!C72,'08.09 Ishaka-Katungulu-24h'!C72)</f>
        <v>2</v>
      </c>
      <c r="D72" s="49">
        <f>AVERAGE('07.09. Ishaka-Katungulu-24h'!D72,'08.09 Ishaka-Katungulu-24h'!D72)</f>
        <v>1</v>
      </c>
      <c r="E72" s="49">
        <f>AVERAGE('07.09. Ishaka-Katungulu-24h'!E72,'08.09 Ishaka-Katungulu-24h'!E72)</f>
        <v>1.5</v>
      </c>
      <c r="F72" s="49">
        <f>AVERAGE('07.09. Ishaka-Katungulu-24h'!F72,'08.09 Ishaka-Katungulu-24h'!F72)</f>
        <v>0</v>
      </c>
      <c r="G72" s="49">
        <f>AVERAGE('07.09. Ishaka-Katungulu-24h'!G72,'08.09 Ishaka-Katungulu-24h'!G72)</f>
        <v>0</v>
      </c>
      <c r="H72" s="49">
        <f>AVERAGE('07.09. Ishaka-Katungulu-24h'!H72,'08.09 Ishaka-Katungulu-24h'!H72)</f>
        <v>0</v>
      </c>
      <c r="I72" s="49">
        <f>AVERAGE('07.09. Ishaka-Katungulu-24h'!I72,'08.09 Ishaka-Katungulu-24h'!I72)</f>
        <v>0</v>
      </c>
      <c r="J72" s="49">
        <f>AVERAGE('07.09. Ishaka-Katungulu-24h'!J72,'08.09 Ishaka-Katungulu-24h'!J72)</f>
        <v>1</v>
      </c>
      <c r="K72" s="49">
        <f>AVERAGE('07.09. Ishaka-Katungulu-24h'!K72,'08.09 Ishaka-Katungulu-24h'!K72)</f>
        <v>0</v>
      </c>
      <c r="L72" s="49">
        <f>AVERAGE('07.09. Ishaka-Katungulu-24h'!L72,'08.09 Ishaka-Katungulu-24h'!L72)</f>
        <v>1</v>
      </c>
      <c r="M72" s="49">
        <f>AVERAGE('07.09. Ishaka-Katungulu-24h'!M72,'08.09 Ishaka-Katungulu-24h'!M72)</f>
        <v>4.5</v>
      </c>
      <c r="N72" s="49">
        <f>AVERAGE('07.09. Ishaka-Katungulu-24h'!N72,'08.09 Ishaka-Katungulu-24h'!N72)</f>
        <v>0</v>
      </c>
      <c r="O72" s="15">
        <f t="shared" si="0"/>
        <v>6.5</v>
      </c>
      <c r="P72" s="15">
        <f t="shared" si="1"/>
        <v>11</v>
      </c>
      <c r="R72" s="8"/>
      <c r="T72"/>
    </row>
    <row r="73" spans="2:20" ht="23.1" customHeight="1" x14ac:dyDescent="0.25">
      <c r="B73" s="23" t="s">
        <v>113</v>
      </c>
      <c r="C73" s="49">
        <f>AVERAGE('07.09. Ishaka-Katungulu-24h'!C73,'08.09 Ishaka-Katungulu-24h'!C73)</f>
        <v>3.5</v>
      </c>
      <c r="D73" s="49">
        <f>AVERAGE('07.09. Ishaka-Katungulu-24h'!D73,'08.09 Ishaka-Katungulu-24h'!D73)</f>
        <v>2</v>
      </c>
      <c r="E73" s="49">
        <f>AVERAGE('07.09. Ishaka-Katungulu-24h'!E73,'08.09 Ishaka-Katungulu-24h'!E73)</f>
        <v>3</v>
      </c>
      <c r="F73" s="49">
        <f>AVERAGE('07.09. Ishaka-Katungulu-24h'!F73,'08.09 Ishaka-Katungulu-24h'!F73)</f>
        <v>0.5</v>
      </c>
      <c r="G73" s="49">
        <f>AVERAGE('07.09. Ishaka-Katungulu-24h'!G73,'08.09 Ishaka-Katungulu-24h'!G73)</f>
        <v>0</v>
      </c>
      <c r="H73" s="49">
        <f>AVERAGE('07.09. Ishaka-Katungulu-24h'!H73,'08.09 Ishaka-Katungulu-24h'!H73)</f>
        <v>0</v>
      </c>
      <c r="I73" s="49">
        <f>AVERAGE('07.09. Ishaka-Katungulu-24h'!I73,'08.09 Ishaka-Katungulu-24h'!I73)</f>
        <v>0</v>
      </c>
      <c r="J73" s="49">
        <f>AVERAGE('07.09. Ishaka-Katungulu-24h'!J73,'08.09 Ishaka-Katungulu-24h'!J73)</f>
        <v>2</v>
      </c>
      <c r="K73" s="49">
        <f>AVERAGE('07.09. Ishaka-Katungulu-24h'!K73,'08.09 Ishaka-Katungulu-24h'!K73)</f>
        <v>0</v>
      </c>
      <c r="L73" s="49">
        <f>AVERAGE('07.09. Ishaka-Katungulu-24h'!L73,'08.09 Ishaka-Katungulu-24h'!L73)</f>
        <v>1.5</v>
      </c>
      <c r="M73" s="49">
        <f>AVERAGE('07.09. Ishaka-Katungulu-24h'!M73,'08.09 Ishaka-Katungulu-24h'!M73)</f>
        <v>9</v>
      </c>
      <c r="N73" s="49">
        <f>AVERAGE('07.09. Ishaka-Katungulu-24h'!N73,'08.09 Ishaka-Katungulu-24h'!N73)</f>
        <v>0</v>
      </c>
      <c r="O73" s="15">
        <f t="shared" si="0"/>
        <v>12.5</v>
      </c>
      <c r="P73" s="15">
        <f t="shared" si="1"/>
        <v>21.5</v>
      </c>
      <c r="R73" s="8"/>
      <c r="T73"/>
    </row>
    <row r="74" spans="2:20" ht="23.1" customHeight="1" x14ac:dyDescent="0.25">
      <c r="B74" s="23" t="s">
        <v>114</v>
      </c>
      <c r="C74" s="49">
        <f>AVERAGE('07.09. Ishaka-Katungulu-24h'!C74,'08.09 Ishaka-Katungulu-24h'!C74)</f>
        <v>1.5</v>
      </c>
      <c r="D74" s="49">
        <f>AVERAGE('07.09. Ishaka-Katungulu-24h'!D74,'08.09 Ishaka-Katungulu-24h'!D74)</f>
        <v>0.5</v>
      </c>
      <c r="E74" s="49">
        <f>AVERAGE('07.09. Ishaka-Katungulu-24h'!E74,'08.09 Ishaka-Katungulu-24h'!E74)</f>
        <v>0.5</v>
      </c>
      <c r="F74" s="49">
        <f>AVERAGE('07.09. Ishaka-Katungulu-24h'!F74,'08.09 Ishaka-Katungulu-24h'!F74)</f>
        <v>2</v>
      </c>
      <c r="G74" s="49">
        <f>AVERAGE('07.09. Ishaka-Katungulu-24h'!G74,'08.09 Ishaka-Katungulu-24h'!G74)</f>
        <v>0</v>
      </c>
      <c r="H74" s="49">
        <f>AVERAGE('07.09. Ishaka-Katungulu-24h'!H74,'08.09 Ishaka-Katungulu-24h'!H74)</f>
        <v>0</v>
      </c>
      <c r="I74" s="49">
        <f>AVERAGE('07.09. Ishaka-Katungulu-24h'!I74,'08.09 Ishaka-Katungulu-24h'!I74)</f>
        <v>1</v>
      </c>
      <c r="J74" s="49">
        <f>AVERAGE('07.09. Ishaka-Katungulu-24h'!J74,'08.09 Ishaka-Katungulu-24h'!J74)</f>
        <v>1</v>
      </c>
      <c r="K74" s="49">
        <f>AVERAGE('07.09. Ishaka-Katungulu-24h'!K74,'08.09 Ishaka-Katungulu-24h'!K74)</f>
        <v>0.5</v>
      </c>
      <c r="L74" s="49">
        <f>AVERAGE('07.09. Ishaka-Katungulu-24h'!L74,'08.09 Ishaka-Katungulu-24h'!L74)</f>
        <v>1</v>
      </c>
      <c r="M74" s="49">
        <f>AVERAGE('07.09. Ishaka-Katungulu-24h'!M74,'08.09 Ishaka-Katungulu-24h'!M74)</f>
        <v>4.5</v>
      </c>
      <c r="N74" s="49">
        <f>AVERAGE('07.09. Ishaka-Katungulu-24h'!N74,'08.09 Ishaka-Katungulu-24h'!N74)</f>
        <v>0</v>
      </c>
      <c r="O74" s="15">
        <f t="shared" ref="O74:O105" si="35">SUM(C74:L74,N74)</f>
        <v>8</v>
      </c>
      <c r="P74" s="15">
        <f t="shared" ref="P74:P105" si="36">SUM(C74:N74)</f>
        <v>12.5</v>
      </c>
      <c r="R74" s="8"/>
      <c r="T74"/>
    </row>
    <row r="75" spans="2:20" ht="23.1" customHeight="1" x14ac:dyDescent="0.25">
      <c r="B75" s="23" t="s">
        <v>115</v>
      </c>
      <c r="C75" s="49">
        <f>AVERAGE('07.09. Ishaka-Katungulu-24h'!C75,'08.09 Ishaka-Katungulu-24h'!C75)</f>
        <v>3</v>
      </c>
      <c r="D75" s="49">
        <f>AVERAGE('07.09. Ishaka-Katungulu-24h'!D75,'08.09 Ishaka-Katungulu-24h'!D75)</f>
        <v>0.5</v>
      </c>
      <c r="E75" s="49">
        <f>AVERAGE('07.09. Ishaka-Katungulu-24h'!E75,'08.09 Ishaka-Katungulu-24h'!E75)</f>
        <v>1.5</v>
      </c>
      <c r="F75" s="49">
        <f>AVERAGE('07.09. Ishaka-Katungulu-24h'!F75,'08.09 Ishaka-Katungulu-24h'!F75)</f>
        <v>3.5</v>
      </c>
      <c r="G75" s="49">
        <f>AVERAGE('07.09. Ishaka-Katungulu-24h'!G75,'08.09 Ishaka-Katungulu-24h'!G75)</f>
        <v>0</v>
      </c>
      <c r="H75" s="49">
        <f>AVERAGE('07.09. Ishaka-Katungulu-24h'!H75,'08.09 Ishaka-Katungulu-24h'!H75)</f>
        <v>0.5</v>
      </c>
      <c r="I75" s="49">
        <f>AVERAGE('07.09. Ishaka-Katungulu-24h'!I75,'08.09 Ishaka-Katungulu-24h'!I75)</f>
        <v>2</v>
      </c>
      <c r="J75" s="49">
        <f>AVERAGE('07.09. Ishaka-Katungulu-24h'!J75,'08.09 Ishaka-Katungulu-24h'!J75)</f>
        <v>1.5</v>
      </c>
      <c r="K75" s="49">
        <f>AVERAGE('07.09. Ishaka-Katungulu-24h'!K75,'08.09 Ishaka-Katungulu-24h'!K75)</f>
        <v>1</v>
      </c>
      <c r="L75" s="49">
        <f>AVERAGE('07.09. Ishaka-Katungulu-24h'!L75,'08.09 Ishaka-Katungulu-24h'!L75)</f>
        <v>2</v>
      </c>
      <c r="M75" s="49">
        <f>AVERAGE('07.09. Ishaka-Katungulu-24h'!M75,'08.09 Ishaka-Katungulu-24h'!M75)</f>
        <v>8.5</v>
      </c>
      <c r="N75" s="49">
        <f>AVERAGE('07.09. Ishaka-Katungulu-24h'!N75,'08.09 Ishaka-Katungulu-24h'!N75)</f>
        <v>0</v>
      </c>
      <c r="O75" s="15">
        <f t="shared" si="35"/>
        <v>15.5</v>
      </c>
      <c r="P75" s="15">
        <f t="shared" si="36"/>
        <v>24</v>
      </c>
      <c r="R75" s="8"/>
      <c r="T75"/>
    </row>
    <row r="76" spans="2:20" ht="23.1" customHeight="1" x14ac:dyDescent="0.25">
      <c r="B76" s="23" t="s">
        <v>116</v>
      </c>
      <c r="C76" s="49">
        <f>AVERAGE('07.09. Ishaka-Katungulu-24h'!C76,'08.09 Ishaka-Katungulu-24h'!C76)</f>
        <v>0.5</v>
      </c>
      <c r="D76" s="49">
        <f>AVERAGE('07.09. Ishaka-Katungulu-24h'!D76,'08.09 Ishaka-Katungulu-24h'!D76)</f>
        <v>0</v>
      </c>
      <c r="E76" s="49">
        <f>AVERAGE('07.09. Ishaka-Katungulu-24h'!E76,'08.09 Ishaka-Katungulu-24h'!E76)</f>
        <v>1</v>
      </c>
      <c r="F76" s="49">
        <f>AVERAGE('07.09. Ishaka-Katungulu-24h'!F76,'08.09 Ishaka-Katungulu-24h'!F76)</f>
        <v>1</v>
      </c>
      <c r="G76" s="49">
        <f>AVERAGE('07.09. Ishaka-Katungulu-24h'!G76,'08.09 Ishaka-Katungulu-24h'!G76)</f>
        <v>0</v>
      </c>
      <c r="H76" s="49">
        <f>AVERAGE('07.09. Ishaka-Katungulu-24h'!H76,'08.09 Ishaka-Katungulu-24h'!H76)</f>
        <v>0</v>
      </c>
      <c r="I76" s="49">
        <f>AVERAGE('07.09. Ishaka-Katungulu-24h'!I76,'08.09 Ishaka-Katungulu-24h'!I76)</f>
        <v>0.5</v>
      </c>
      <c r="J76" s="49">
        <f>AVERAGE('07.09. Ishaka-Katungulu-24h'!J76,'08.09 Ishaka-Katungulu-24h'!J76)</f>
        <v>0</v>
      </c>
      <c r="K76" s="49">
        <f>AVERAGE('07.09. Ishaka-Katungulu-24h'!K76,'08.09 Ishaka-Katungulu-24h'!K76)</f>
        <v>0</v>
      </c>
      <c r="L76" s="49">
        <f>AVERAGE('07.09. Ishaka-Katungulu-24h'!L76,'08.09 Ishaka-Katungulu-24h'!L76)</f>
        <v>0</v>
      </c>
      <c r="M76" s="49">
        <f>AVERAGE('07.09. Ishaka-Katungulu-24h'!M76,'08.09 Ishaka-Katungulu-24h'!M76)</f>
        <v>3</v>
      </c>
      <c r="N76" s="49">
        <f>AVERAGE('07.09. Ishaka-Katungulu-24h'!N76,'08.09 Ishaka-Katungulu-24h'!N76)</f>
        <v>0</v>
      </c>
      <c r="O76" s="15">
        <f t="shared" si="35"/>
        <v>3</v>
      </c>
      <c r="P76" s="15">
        <f t="shared" si="36"/>
        <v>6</v>
      </c>
      <c r="R76" s="8"/>
      <c r="T76"/>
    </row>
    <row r="77" spans="2:20" ht="23.1" customHeight="1" x14ac:dyDescent="0.25">
      <c r="B77" s="23" t="s">
        <v>117</v>
      </c>
      <c r="C77" s="49">
        <f>AVERAGE('07.09. Ishaka-Katungulu-24h'!C77,'08.09 Ishaka-Katungulu-24h'!C77)</f>
        <v>1.5</v>
      </c>
      <c r="D77" s="49">
        <f>AVERAGE('07.09. Ishaka-Katungulu-24h'!D77,'08.09 Ishaka-Katungulu-24h'!D77)</f>
        <v>1</v>
      </c>
      <c r="E77" s="49">
        <f>AVERAGE('07.09. Ishaka-Katungulu-24h'!E77,'08.09 Ishaka-Katungulu-24h'!E77)</f>
        <v>1.5</v>
      </c>
      <c r="F77" s="49">
        <f>AVERAGE('07.09. Ishaka-Katungulu-24h'!F77,'08.09 Ishaka-Katungulu-24h'!F77)</f>
        <v>2.5</v>
      </c>
      <c r="G77" s="49">
        <f>AVERAGE('07.09. Ishaka-Katungulu-24h'!G77,'08.09 Ishaka-Katungulu-24h'!G77)</f>
        <v>0</v>
      </c>
      <c r="H77" s="49">
        <f>AVERAGE('07.09. Ishaka-Katungulu-24h'!H77,'08.09 Ishaka-Katungulu-24h'!H77)</f>
        <v>0</v>
      </c>
      <c r="I77" s="49">
        <f>AVERAGE('07.09. Ishaka-Katungulu-24h'!I77,'08.09 Ishaka-Katungulu-24h'!I77)</f>
        <v>1</v>
      </c>
      <c r="J77" s="49">
        <f>AVERAGE('07.09. Ishaka-Katungulu-24h'!J77,'08.09 Ishaka-Katungulu-24h'!J77)</f>
        <v>0</v>
      </c>
      <c r="K77" s="49">
        <f>AVERAGE('07.09. Ishaka-Katungulu-24h'!K77,'08.09 Ishaka-Katungulu-24h'!K77)</f>
        <v>1</v>
      </c>
      <c r="L77" s="49">
        <f>AVERAGE('07.09. Ishaka-Katungulu-24h'!L77,'08.09 Ishaka-Katungulu-24h'!L77)</f>
        <v>0.5</v>
      </c>
      <c r="M77" s="49">
        <f>AVERAGE('07.09. Ishaka-Katungulu-24h'!M77,'08.09 Ishaka-Katungulu-24h'!M77)</f>
        <v>5</v>
      </c>
      <c r="N77" s="49">
        <f>AVERAGE('07.09. Ishaka-Katungulu-24h'!N77,'08.09 Ishaka-Katungulu-24h'!N77)</f>
        <v>0</v>
      </c>
      <c r="O77" s="15">
        <f t="shared" si="35"/>
        <v>9</v>
      </c>
      <c r="P77" s="15">
        <f t="shared" si="36"/>
        <v>14</v>
      </c>
      <c r="R77" s="8"/>
      <c r="T77"/>
    </row>
    <row r="78" spans="2:20" ht="23.1" customHeight="1" x14ac:dyDescent="0.25">
      <c r="B78" s="24" t="s">
        <v>118</v>
      </c>
      <c r="C78" s="49">
        <f>AVERAGE('07.09. Ishaka-Katungulu-24h'!C78,'08.09 Ishaka-Katungulu-24h'!C78)</f>
        <v>0.5</v>
      </c>
      <c r="D78" s="49">
        <f>AVERAGE('07.09. Ishaka-Katungulu-24h'!D78,'08.09 Ishaka-Katungulu-24h'!D78)</f>
        <v>0</v>
      </c>
      <c r="E78" s="49">
        <f>AVERAGE('07.09. Ishaka-Katungulu-24h'!E78,'08.09 Ishaka-Katungulu-24h'!E78)</f>
        <v>0.5</v>
      </c>
      <c r="F78" s="49">
        <f>AVERAGE('07.09. Ishaka-Katungulu-24h'!F78,'08.09 Ishaka-Katungulu-24h'!F78)</f>
        <v>0.5</v>
      </c>
      <c r="G78" s="49">
        <f>AVERAGE('07.09. Ishaka-Katungulu-24h'!G78,'08.09 Ishaka-Katungulu-24h'!G78)</f>
        <v>0</v>
      </c>
      <c r="H78" s="49">
        <f>AVERAGE('07.09. Ishaka-Katungulu-24h'!H78,'08.09 Ishaka-Katungulu-24h'!H78)</f>
        <v>0</v>
      </c>
      <c r="I78" s="49">
        <f>AVERAGE('07.09. Ishaka-Katungulu-24h'!I78,'08.09 Ishaka-Katungulu-24h'!I78)</f>
        <v>0.5</v>
      </c>
      <c r="J78" s="49">
        <f>AVERAGE('07.09. Ishaka-Katungulu-24h'!J78,'08.09 Ishaka-Katungulu-24h'!J78)</f>
        <v>0</v>
      </c>
      <c r="K78" s="49">
        <f>AVERAGE('07.09. Ishaka-Katungulu-24h'!K78,'08.09 Ishaka-Katungulu-24h'!K78)</f>
        <v>0</v>
      </c>
      <c r="L78" s="49">
        <f>AVERAGE('07.09. Ishaka-Katungulu-24h'!L78,'08.09 Ishaka-Katungulu-24h'!L78)</f>
        <v>0</v>
      </c>
      <c r="M78" s="49">
        <f>AVERAGE('07.09. Ishaka-Katungulu-24h'!M78,'08.09 Ishaka-Katungulu-24h'!M78)</f>
        <v>1.5</v>
      </c>
      <c r="N78" s="49">
        <f>AVERAGE('07.09. Ishaka-Katungulu-24h'!N78,'08.09 Ishaka-Katungulu-24h'!N78)</f>
        <v>0</v>
      </c>
      <c r="O78" s="15">
        <f t="shared" si="35"/>
        <v>2</v>
      </c>
      <c r="P78" s="15">
        <f t="shared" si="36"/>
        <v>3.5</v>
      </c>
      <c r="R78" s="8"/>
      <c r="T78"/>
    </row>
    <row r="79" spans="2:20" ht="23.1" customHeight="1" x14ac:dyDescent="0.25">
      <c r="B79" s="23" t="s">
        <v>119</v>
      </c>
      <c r="C79" s="49">
        <f>AVERAGE('07.09. Ishaka-Katungulu-24h'!C79,'08.09 Ishaka-Katungulu-24h'!C79)</f>
        <v>1.5</v>
      </c>
      <c r="D79" s="49">
        <f>AVERAGE('07.09. Ishaka-Katungulu-24h'!D79,'08.09 Ishaka-Katungulu-24h'!D79)</f>
        <v>0.5</v>
      </c>
      <c r="E79" s="49">
        <f>AVERAGE('07.09. Ishaka-Katungulu-24h'!E79,'08.09 Ishaka-Katungulu-24h'!E79)</f>
        <v>1</v>
      </c>
      <c r="F79" s="49">
        <f>AVERAGE('07.09. Ishaka-Katungulu-24h'!F79,'08.09 Ishaka-Katungulu-24h'!F79)</f>
        <v>1.5</v>
      </c>
      <c r="G79" s="49">
        <f>AVERAGE('07.09. Ishaka-Katungulu-24h'!G79,'08.09 Ishaka-Katungulu-24h'!G79)</f>
        <v>0</v>
      </c>
      <c r="H79" s="49">
        <f>AVERAGE('07.09. Ishaka-Katungulu-24h'!H79,'08.09 Ishaka-Katungulu-24h'!H79)</f>
        <v>0</v>
      </c>
      <c r="I79" s="49">
        <f>AVERAGE('07.09. Ishaka-Katungulu-24h'!I79,'08.09 Ishaka-Katungulu-24h'!I79)</f>
        <v>1.5</v>
      </c>
      <c r="J79" s="49">
        <f>AVERAGE('07.09. Ishaka-Katungulu-24h'!J79,'08.09 Ishaka-Katungulu-24h'!J79)</f>
        <v>0</v>
      </c>
      <c r="K79" s="49">
        <f>AVERAGE('07.09. Ishaka-Katungulu-24h'!K79,'08.09 Ishaka-Katungulu-24h'!K79)</f>
        <v>0</v>
      </c>
      <c r="L79" s="49">
        <f>AVERAGE('07.09. Ishaka-Katungulu-24h'!L79,'08.09 Ishaka-Katungulu-24h'!L79)</f>
        <v>0.5</v>
      </c>
      <c r="M79" s="49">
        <f>AVERAGE('07.09. Ishaka-Katungulu-24h'!M79,'08.09 Ishaka-Katungulu-24h'!M79)</f>
        <v>3.5</v>
      </c>
      <c r="N79" s="49">
        <f>AVERAGE('07.09. Ishaka-Katungulu-24h'!N79,'08.09 Ishaka-Katungulu-24h'!N79)</f>
        <v>0</v>
      </c>
      <c r="O79" s="15">
        <f t="shared" si="35"/>
        <v>6.5</v>
      </c>
      <c r="P79" s="15">
        <f t="shared" si="36"/>
        <v>10</v>
      </c>
      <c r="R79" s="8"/>
      <c r="T79"/>
    </row>
    <row r="80" spans="2:20" ht="23.1" customHeight="1" x14ac:dyDescent="0.25">
      <c r="B80" s="25" t="s">
        <v>120</v>
      </c>
      <c r="C80" s="49">
        <f>AVERAGE('07.09. Ishaka-Katungulu-24h'!C80,'08.09 Ishaka-Katungulu-24h'!C80)</f>
        <v>0</v>
      </c>
      <c r="D80" s="49">
        <f>AVERAGE('07.09. Ishaka-Katungulu-24h'!D80,'08.09 Ishaka-Katungulu-24h'!D80)</f>
        <v>0</v>
      </c>
      <c r="E80" s="49">
        <f>AVERAGE('07.09. Ishaka-Katungulu-24h'!E80,'08.09 Ishaka-Katungulu-24h'!E80)</f>
        <v>0</v>
      </c>
      <c r="F80" s="49">
        <f>AVERAGE('07.09. Ishaka-Katungulu-24h'!F80,'08.09 Ishaka-Katungulu-24h'!F80)</f>
        <v>0</v>
      </c>
      <c r="G80" s="49">
        <f>AVERAGE('07.09. Ishaka-Katungulu-24h'!G80,'08.09 Ishaka-Katungulu-24h'!G80)</f>
        <v>0</v>
      </c>
      <c r="H80" s="49">
        <f>AVERAGE('07.09. Ishaka-Katungulu-24h'!H80,'08.09 Ishaka-Katungulu-24h'!H80)</f>
        <v>0.5</v>
      </c>
      <c r="I80" s="49">
        <f>AVERAGE('07.09. Ishaka-Katungulu-24h'!I80,'08.09 Ishaka-Katungulu-24h'!I80)</f>
        <v>0</v>
      </c>
      <c r="J80" s="49">
        <f>AVERAGE('07.09. Ishaka-Katungulu-24h'!J80,'08.09 Ishaka-Katungulu-24h'!J80)</f>
        <v>0.5</v>
      </c>
      <c r="K80" s="49">
        <f>AVERAGE('07.09. Ishaka-Katungulu-24h'!K80,'08.09 Ishaka-Katungulu-24h'!K80)</f>
        <v>0</v>
      </c>
      <c r="L80" s="49">
        <f>AVERAGE('07.09. Ishaka-Katungulu-24h'!L80,'08.09 Ishaka-Katungulu-24h'!L80)</f>
        <v>1.5</v>
      </c>
      <c r="M80" s="49">
        <f>AVERAGE('07.09. Ishaka-Katungulu-24h'!M80,'08.09 Ishaka-Katungulu-24h'!M80)</f>
        <v>1</v>
      </c>
      <c r="N80" s="49">
        <f>AVERAGE('07.09. Ishaka-Katungulu-24h'!N80,'08.09 Ishaka-Katungulu-24h'!N80)</f>
        <v>0</v>
      </c>
      <c r="O80" s="15">
        <f t="shared" si="35"/>
        <v>2.5</v>
      </c>
      <c r="P80" s="15">
        <f t="shared" si="36"/>
        <v>3.5</v>
      </c>
      <c r="R80" s="8"/>
      <c r="T80"/>
    </row>
    <row r="81" spans="2:20" ht="23.1" customHeight="1" x14ac:dyDescent="0.25">
      <c r="B81" s="23" t="s">
        <v>121</v>
      </c>
      <c r="C81" s="49">
        <f>AVERAGE('07.09. Ishaka-Katungulu-24h'!C81,'08.09 Ishaka-Katungulu-24h'!C81)</f>
        <v>0.5</v>
      </c>
      <c r="D81" s="49">
        <f>AVERAGE('07.09. Ishaka-Katungulu-24h'!D81,'08.09 Ishaka-Katungulu-24h'!D81)</f>
        <v>0</v>
      </c>
      <c r="E81" s="49">
        <f>AVERAGE('07.09. Ishaka-Katungulu-24h'!E81,'08.09 Ishaka-Katungulu-24h'!E81)</f>
        <v>1</v>
      </c>
      <c r="F81" s="49">
        <f>AVERAGE('07.09. Ishaka-Katungulu-24h'!F81,'08.09 Ishaka-Katungulu-24h'!F81)</f>
        <v>0.5</v>
      </c>
      <c r="G81" s="49">
        <f>AVERAGE('07.09. Ishaka-Katungulu-24h'!G81,'08.09 Ishaka-Katungulu-24h'!G81)</f>
        <v>0.5</v>
      </c>
      <c r="H81" s="49">
        <f>AVERAGE('07.09. Ishaka-Katungulu-24h'!H81,'08.09 Ishaka-Katungulu-24h'!H81)</f>
        <v>1</v>
      </c>
      <c r="I81" s="49">
        <f>AVERAGE('07.09. Ishaka-Katungulu-24h'!I81,'08.09 Ishaka-Katungulu-24h'!I81)</f>
        <v>0</v>
      </c>
      <c r="J81" s="49">
        <f>AVERAGE('07.09. Ishaka-Katungulu-24h'!J81,'08.09 Ishaka-Katungulu-24h'!J81)</f>
        <v>1</v>
      </c>
      <c r="K81" s="49">
        <f>AVERAGE('07.09. Ishaka-Katungulu-24h'!K81,'08.09 Ishaka-Katungulu-24h'!K81)</f>
        <v>0</v>
      </c>
      <c r="L81" s="49">
        <f>AVERAGE('07.09. Ishaka-Katungulu-24h'!L81,'08.09 Ishaka-Katungulu-24h'!L81)</f>
        <v>2.5</v>
      </c>
      <c r="M81" s="49">
        <f>AVERAGE('07.09. Ishaka-Katungulu-24h'!M81,'08.09 Ishaka-Katungulu-24h'!M81)</f>
        <v>2.5</v>
      </c>
      <c r="N81" s="49">
        <f>AVERAGE('07.09. Ishaka-Katungulu-24h'!N81,'08.09 Ishaka-Katungulu-24h'!N81)</f>
        <v>0</v>
      </c>
      <c r="O81" s="15">
        <f t="shared" si="35"/>
        <v>7</v>
      </c>
      <c r="P81" s="15">
        <f t="shared" si="36"/>
        <v>9.5</v>
      </c>
      <c r="R81" s="8"/>
      <c r="T81"/>
    </row>
    <row r="82" spans="2:20" ht="23.1" customHeight="1" x14ac:dyDescent="0.25">
      <c r="B82" s="24" t="s">
        <v>122</v>
      </c>
      <c r="C82" s="49">
        <f>AVERAGE('07.09. Ishaka-Katungulu-24h'!C82,'08.09 Ishaka-Katungulu-24h'!C82)</f>
        <v>0</v>
      </c>
      <c r="D82" s="49">
        <f>AVERAGE('07.09. Ishaka-Katungulu-24h'!D82,'08.09 Ishaka-Katungulu-24h'!D82)</f>
        <v>0</v>
      </c>
      <c r="E82" s="49">
        <f>AVERAGE('07.09. Ishaka-Katungulu-24h'!E82,'08.09 Ishaka-Katungulu-24h'!E82)</f>
        <v>0.5</v>
      </c>
      <c r="F82" s="49">
        <f>AVERAGE('07.09. Ishaka-Katungulu-24h'!F82,'08.09 Ishaka-Katungulu-24h'!F82)</f>
        <v>0</v>
      </c>
      <c r="G82" s="49">
        <f>AVERAGE('07.09. Ishaka-Katungulu-24h'!G82,'08.09 Ishaka-Katungulu-24h'!G82)</f>
        <v>0</v>
      </c>
      <c r="H82" s="49">
        <f>AVERAGE('07.09. Ishaka-Katungulu-24h'!H82,'08.09 Ishaka-Katungulu-24h'!H82)</f>
        <v>0</v>
      </c>
      <c r="I82" s="49">
        <f>AVERAGE('07.09. Ishaka-Katungulu-24h'!I82,'08.09 Ishaka-Katungulu-24h'!I82)</f>
        <v>0</v>
      </c>
      <c r="J82" s="49">
        <f>AVERAGE('07.09. Ishaka-Katungulu-24h'!J82,'08.09 Ishaka-Katungulu-24h'!J82)</f>
        <v>0</v>
      </c>
      <c r="K82" s="49">
        <f>AVERAGE('07.09. Ishaka-Katungulu-24h'!K82,'08.09 Ishaka-Katungulu-24h'!K82)</f>
        <v>0</v>
      </c>
      <c r="L82" s="49">
        <f>AVERAGE('07.09. Ishaka-Katungulu-24h'!L82,'08.09 Ishaka-Katungulu-24h'!L82)</f>
        <v>0</v>
      </c>
      <c r="M82" s="49">
        <f>AVERAGE('07.09. Ishaka-Katungulu-24h'!M82,'08.09 Ishaka-Katungulu-24h'!M82)</f>
        <v>1</v>
      </c>
      <c r="N82" s="49">
        <f>AVERAGE('07.09. Ishaka-Katungulu-24h'!N82,'08.09 Ishaka-Katungulu-24h'!N82)</f>
        <v>0</v>
      </c>
      <c r="O82" s="15">
        <f t="shared" si="35"/>
        <v>0.5</v>
      </c>
      <c r="P82" s="15">
        <f t="shared" si="36"/>
        <v>1.5</v>
      </c>
      <c r="R82" s="8"/>
      <c r="T82"/>
    </row>
    <row r="83" spans="2:20" ht="23.1" customHeight="1" x14ac:dyDescent="0.25">
      <c r="B83" s="23" t="s">
        <v>123</v>
      </c>
      <c r="C83" s="49">
        <f>AVERAGE('07.09. Ishaka-Katungulu-24h'!C83,'08.09 Ishaka-Katungulu-24h'!C83)</f>
        <v>1</v>
      </c>
      <c r="D83" s="49">
        <f>AVERAGE('07.09. Ishaka-Katungulu-24h'!D83,'08.09 Ishaka-Katungulu-24h'!D83)</f>
        <v>0.5</v>
      </c>
      <c r="E83" s="49">
        <f>AVERAGE('07.09. Ishaka-Katungulu-24h'!E83,'08.09 Ishaka-Katungulu-24h'!E83)</f>
        <v>2</v>
      </c>
      <c r="F83" s="49">
        <f>AVERAGE('07.09. Ishaka-Katungulu-24h'!F83,'08.09 Ishaka-Katungulu-24h'!F83)</f>
        <v>0</v>
      </c>
      <c r="G83" s="49">
        <f>AVERAGE('07.09. Ishaka-Katungulu-24h'!G83,'08.09 Ishaka-Katungulu-24h'!G83)</f>
        <v>0</v>
      </c>
      <c r="H83" s="49">
        <f>AVERAGE('07.09. Ishaka-Katungulu-24h'!H83,'08.09 Ishaka-Katungulu-24h'!H83)</f>
        <v>0</v>
      </c>
      <c r="I83" s="49">
        <f>AVERAGE('07.09. Ishaka-Katungulu-24h'!I83,'08.09 Ishaka-Katungulu-24h'!I83)</f>
        <v>0</v>
      </c>
      <c r="J83" s="49">
        <f>AVERAGE('07.09. Ishaka-Katungulu-24h'!J83,'08.09 Ishaka-Katungulu-24h'!J83)</f>
        <v>1</v>
      </c>
      <c r="K83" s="49">
        <f>AVERAGE('07.09. Ishaka-Katungulu-24h'!K83,'08.09 Ishaka-Katungulu-24h'!K83)</f>
        <v>0.5</v>
      </c>
      <c r="L83" s="49">
        <f>AVERAGE('07.09. Ishaka-Katungulu-24h'!L83,'08.09 Ishaka-Katungulu-24h'!L83)</f>
        <v>0</v>
      </c>
      <c r="M83" s="49">
        <f>AVERAGE('07.09. Ishaka-Katungulu-24h'!M83,'08.09 Ishaka-Katungulu-24h'!M83)</f>
        <v>2.5</v>
      </c>
      <c r="N83" s="49">
        <f>AVERAGE('07.09. Ishaka-Katungulu-24h'!N83,'08.09 Ishaka-Katungulu-24h'!N83)</f>
        <v>0</v>
      </c>
      <c r="O83" s="15">
        <f t="shared" si="35"/>
        <v>5</v>
      </c>
      <c r="P83" s="15">
        <f t="shared" si="36"/>
        <v>7.5</v>
      </c>
      <c r="R83" s="8"/>
      <c r="T83"/>
    </row>
    <row r="84" spans="2:20" ht="23.1" customHeight="1" x14ac:dyDescent="0.25">
      <c r="B84" s="25" t="s">
        <v>124</v>
      </c>
      <c r="C84" s="49">
        <f>AVERAGE('07.09. Ishaka-Katungulu-24h'!C84,'08.09 Ishaka-Katungulu-24h'!C84)</f>
        <v>0</v>
      </c>
      <c r="D84" s="49">
        <f>AVERAGE('07.09. Ishaka-Katungulu-24h'!D84,'08.09 Ishaka-Katungulu-24h'!D84)</f>
        <v>0</v>
      </c>
      <c r="E84" s="49">
        <f>AVERAGE('07.09. Ishaka-Katungulu-24h'!E84,'08.09 Ishaka-Katungulu-24h'!E84)</f>
        <v>0</v>
      </c>
      <c r="F84" s="49">
        <f>AVERAGE('07.09. Ishaka-Katungulu-24h'!F84,'08.09 Ishaka-Katungulu-24h'!F84)</f>
        <v>0</v>
      </c>
      <c r="G84" s="49">
        <f>AVERAGE('07.09. Ishaka-Katungulu-24h'!G84,'08.09 Ishaka-Katungulu-24h'!G84)</f>
        <v>0</v>
      </c>
      <c r="H84" s="49">
        <f>AVERAGE('07.09. Ishaka-Katungulu-24h'!H84,'08.09 Ishaka-Katungulu-24h'!H84)</f>
        <v>0</v>
      </c>
      <c r="I84" s="49">
        <f>AVERAGE('07.09. Ishaka-Katungulu-24h'!I84,'08.09 Ishaka-Katungulu-24h'!I84)</f>
        <v>0</v>
      </c>
      <c r="J84" s="49">
        <f>AVERAGE('07.09. Ishaka-Katungulu-24h'!J84,'08.09 Ishaka-Katungulu-24h'!J84)</f>
        <v>0</v>
      </c>
      <c r="K84" s="49">
        <f>AVERAGE('07.09. Ishaka-Katungulu-24h'!K84,'08.09 Ishaka-Katungulu-24h'!K84)</f>
        <v>0</v>
      </c>
      <c r="L84" s="49">
        <f>AVERAGE('07.09. Ishaka-Katungulu-24h'!L84,'08.09 Ishaka-Katungulu-24h'!L84)</f>
        <v>0</v>
      </c>
      <c r="M84" s="49">
        <f>AVERAGE('07.09. Ishaka-Katungulu-24h'!M84,'08.09 Ishaka-Katungulu-24h'!M84)</f>
        <v>1</v>
      </c>
      <c r="N84" s="49">
        <f>AVERAGE('07.09. Ishaka-Katungulu-24h'!N84,'08.09 Ishaka-Katungulu-24h'!N84)</f>
        <v>0</v>
      </c>
      <c r="O84" s="15">
        <f t="shared" si="35"/>
        <v>0</v>
      </c>
      <c r="P84" s="15">
        <f t="shared" si="36"/>
        <v>1</v>
      </c>
      <c r="R84" s="8"/>
      <c r="T84"/>
    </row>
    <row r="85" spans="2:20" ht="23.1" customHeight="1" x14ac:dyDescent="0.25">
      <c r="B85" s="23" t="s">
        <v>125</v>
      </c>
      <c r="C85" s="49">
        <f>AVERAGE('07.09. Ishaka-Katungulu-24h'!C85,'08.09 Ishaka-Katungulu-24h'!C85)</f>
        <v>0.5</v>
      </c>
      <c r="D85" s="49">
        <f>AVERAGE('07.09. Ishaka-Katungulu-24h'!D85,'08.09 Ishaka-Katungulu-24h'!D85)</f>
        <v>0</v>
      </c>
      <c r="E85" s="49">
        <f>AVERAGE('07.09. Ishaka-Katungulu-24h'!E85,'08.09 Ishaka-Katungulu-24h'!E85)</f>
        <v>0</v>
      </c>
      <c r="F85" s="49">
        <f>AVERAGE('07.09. Ishaka-Katungulu-24h'!F85,'08.09 Ishaka-Katungulu-24h'!F85)</f>
        <v>0</v>
      </c>
      <c r="G85" s="49">
        <f>AVERAGE('07.09. Ishaka-Katungulu-24h'!G85,'08.09 Ishaka-Katungulu-24h'!G85)</f>
        <v>0</v>
      </c>
      <c r="H85" s="49">
        <f>AVERAGE('07.09. Ishaka-Katungulu-24h'!H85,'08.09 Ishaka-Katungulu-24h'!H85)</f>
        <v>0</v>
      </c>
      <c r="I85" s="49">
        <f>AVERAGE('07.09. Ishaka-Katungulu-24h'!I85,'08.09 Ishaka-Katungulu-24h'!I85)</f>
        <v>0</v>
      </c>
      <c r="J85" s="49">
        <f>AVERAGE('07.09. Ishaka-Katungulu-24h'!J85,'08.09 Ishaka-Katungulu-24h'!J85)</f>
        <v>0</v>
      </c>
      <c r="K85" s="49">
        <f>AVERAGE('07.09. Ishaka-Katungulu-24h'!K85,'08.09 Ishaka-Katungulu-24h'!K85)</f>
        <v>0</v>
      </c>
      <c r="L85" s="49">
        <f>AVERAGE('07.09. Ishaka-Katungulu-24h'!L85,'08.09 Ishaka-Katungulu-24h'!L85)</f>
        <v>1</v>
      </c>
      <c r="M85" s="49">
        <f>AVERAGE('07.09. Ishaka-Katungulu-24h'!M85,'08.09 Ishaka-Katungulu-24h'!M85)</f>
        <v>1.5</v>
      </c>
      <c r="N85" s="49">
        <f>AVERAGE('07.09. Ishaka-Katungulu-24h'!N85,'08.09 Ishaka-Katungulu-24h'!N85)</f>
        <v>0</v>
      </c>
      <c r="O85" s="15">
        <f t="shared" si="35"/>
        <v>1.5</v>
      </c>
      <c r="P85" s="15">
        <f t="shared" si="36"/>
        <v>3</v>
      </c>
      <c r="R85" s="8"/>
      <c r="T85"/>
    </row>
    <row r="86" spans="2:20" ht="23.1" customHeight="1" x14ac:dyDescent="0.25">
      <c r="B86" s="24" t="s">
        <v>126</v>
      </c>
      <c r="C86" s="49">
        <f>AVERAGE('07.09. Ishaka-Katungulu-24h'!C86,'08.09 Ishaka-Katungulu-24h'!C86)</f>
        <v>0</v>
      </c>
      <c r="D86" s="49">
        <f>AVERAGE('07.09. Ishaka-Katungulu-24h'!D86,'08.09 Ishaka-Katungulu-24h'!D86)</f>
        <v>0</v>
      </c>
      <c r="E86" s="49">
        <f>AVERAGE('07.09. Ishaka-Katungulu-24h'!E86,'08.09 Ishaka-Katungulu-24h'!E86)</f>
        <v>0</v>
      </c>
      <c r="F86" s="49">
        <f>AVERAGE('07.09. Ishaka-Katungulu-24h'!F86,'08.09 Ishaka-Katungulu-24h'!F86)</f>
        <v>0</v>
      </c>
      <c r="G86" s="49">
        <f>AVERAGE('07.09. Ishaka-Katungulu-24h'!G86,'08.09 Ishaka-Katungulu-24h'!G86)</f>
        <v>0</v>
      </c>
      <c r="H86" s="49">
        <f>AVERAGE('07.09. Ishaka-Katungulu-24h'!H86,'08.09 Ishaka-Katungulu-24h'!H86)</f>
        <v>0</v>
      </c>
      <c r="I86" s="49">
        <f>AVERAGE('07.09. Ishaka-Katungulu-24h'!I86,'08.09 Ishaka-Katungulu-24h'!I86)</f>
        <v>0</v>
      </c>
      <c r="J86" s="49">
        <f>AVERAGE('07.09. Ishaka-Katungulu-24h'!J86,'08.09 Ishaka-Katungulu-24h'!J86)</f>
        <v>0</v>
      </c>
      <c r="K86" s="49">
        <f>AVERAGE('07.09. Ishaka-Katungulu-24h'!K86,'08.09 Ishaka-Katungulu-24h'!K86)</f>
        <v>0</v>
      </c>
      <c r="L86" s="49">
        <f>AVERAGE('07.09. Ishaka-Katungulu-24h'!L86,'08.09 Ishaka-Katungulu-24h'!L86)</f>
        <v>0</v>
      </c>
      <c r="M86" s="49">
        <f>AVERAGE('07.09. Ishaka-Katungulu-24h'!M86,'08.09 Ishaka-Katungulu-24h'!M86)</f>
        <v>0</v>
      </c>
      <c r="N86" s="49">
        <f>AVERAGE('07.09. Ishaka-Katungulu-24h'!N86,'08.09 Ishaka-Katungulu-24h'!N86)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49">
        <f>AVERAGE('07.09. Ishaka-Katungulu-24h'!C87,'08.09 Ishaka-Katungulu-24h'!C87)</f>
        <v>0</v>
      </c>
      <c r="D87" s="49">
        <f>AVERAGE('07.09. Ishaka-Katungulu-24h'!D87,'08.09 Ishaka-Katungulu-24h'!D87)</f>
        <v>0</v>
      </c>
      <c r="E87" s="49">
        <f>AVERAGE('07.09. Ishaka-Katungulu-24h'!E87,'08.09 Ishaka-Katungulu-24h'!E87)</f>
        <v>0.5</v>
      </c>
      <c r="F87" s="49">
        <f>AVERAGE('07.09. Ishaka-Katungulu-24h'!F87,'08.09 Ishaka-Katungulu-24h'!F87)</f>
        <v>0</v>
      </c>
      <c r="G87" s="49">
        <f>AVERAGE('07.09. Ishaka-Katungulu-24h'!G87,'08.09 Ishaka-Katungulu-24h'!G87)</f>
        <v>0</v>
      </c>
      <c r="H87" s="49">
        <f>AVERAGE('07.09. Ishaka-Katungulu-24h'!H87,'08.09 Ishaka-Katungulu-24h'!H87)</f>
        <v>0</v>
      </c>
      <c r="I87" s="49">
        <f>AVERAGE('07.09. Ishaka-Katungulu-24h'!I87,'08.09 Ishaka-Katungulu-24h'!I87)</f>
        <v>0</v>
      </c>
      <c r="J87" s="49">
        <f>AVERAGE('07.09. Ishaka-Katungulu-24h'!J87,'08.09 Ishaka-Katungulu-24h'!J87)</f>
        <v>0.5</v>
      </c>
      <c r="K87" s="49">
        <f>AVERAGE('07.09. Ishaka-Katungulu-24h'!K87,'08.09 Ishaka-Katungulu-24h'!K87)</f>
        <v>0.5</v>
      </c>
      <c r="L87" s="49">
        <f>AVERAGE('07.09. Ishaka-Katungulu-24h'!L87,'08.09 Ishaka-Katungulu-24h'!L87)</f>
        <v>0.5</v>
      </c>
      <c r="M87" s="49">
        <f>AVERAGE('07.09. Ishaka-Katungulu-24h'!M87,'08.09 Ishaka-Katungulu-24h'!M87)</f>
        <v>0</v>
      </c>
      <c r="N87" s="49">
        <f>AVERAGE('07.09. Ishaka-Katungulu-24h'!N87,'08.09 Ishaka-Katungulu-24h'!N87)</f>
        <v>0</v>
      </c>
      <c r="O87" s="15">
        <f t="shared" si="35"/>
        <v>2</v>
      </c>
      <c r="P87" s="15">
        <f t="shared" si="36"/>
        <v>2</v>
      </c>
      <c r="R87" s="8"/>
      <c r="T87"/>
    </row>
    <row r="88" spans="2:20" ht="23.1" customHeight="1" x14ac:dyDescent="0.25">
      <c r="B88" s="25" t="s">
        <v>128</v>
      </c>
      <c r="C88" s="49">
        <f>AVERAGE('07.09. Ishaka-Katungulu-24h'!C88,'08.09 Ishaka-Katungulu-24h'!C88)</f>
        <v>0.5</v>
      </c>
      <c r="D88" s="49">
        <f>AVERAGE('07.09. Ishaka-Katungulu-24h'!D88,'08.09 Ishaka-Katungulu-24h'!D88)</f>
        <v>0</v>
      </c>
      <c r="E88" s="49">
        <f>AVERAGE('07.09. Ishaka-Katungulu-24h'!E88,'08.09 Ishaka-Katungulu-24h'!E88)</f>
        <v>0</v>
      </c>
      <c r="F88" s="49">
        <f>AVERAGE('07.09. Ishaka-Katungulu-24h'!F88,'08.09 Ishaka-Katungulu-24h'!F88)</f>
        <v>0</v>
      </c>
      <c r="G88" s="49">
        <f>AVERAGE('07.09. Ishaka-Katungulu-24h'!G88,'08.09 Ishaka-Katungulu-24h'!G88)</f>
        <v>0</v>
      </c>
      <c r="H88" s="49">
        <f>AVERAGE('07.09. Ishaka-Katungulu-24h'!H88,'08.09 Ishaka-Katungulu-24h'!H88)</f>
        <v>0</v>
      </c>
      <c r="I88" s="49">
        <f>AVERAGE('07.09. Ishaka-Katungulu-24h'!I88,'08.09 Ishaka-Katungulu-24h'!I88)</f>
        <v>0</v>
      </c>
      <c r="J88" s="49">
        <f>AVERAGE('07.09. Ishaka-Katungulu-24h'!J88,'08.09 Ishaka-Katungulu-24h'!J88)</f>
        <v>0</v>
      </c>
      <c r="K88" s="49">
        <f>AVERAGE('07.09. Ishaka-Katungulu-24h'!K88,'08.09 Ishaka-Katungulu-24h'!K88)</f>
        <v>0</v>
      </c>
      <c r="L88" s="49">
        <f>AVERAGE('07.09. Ishaka-Katungulu-24h'!L88,'08.09 Ishaka-Katungulu-24h'!L88)</f>
        <v>0</v>
      </c>
      <c r="M88" s="49">
        <f>AVERAGE('07.09. Ishaka-Katungulu-24h'!M88,'08.09 Ishaka-Katungulu-24h'!M88)</f>
        <v>0</v>
      </c>
      <c r="N88" s="49">
        <f>AVERAGE('07.09. Ishaka-Katungulu-24h'!N88,'08.09 Ishaka-Katungulu-24h'!N88)</f>
        <v>0</v>
      </c>
      <c r="O88" s="15">
        <f t="shared" si="35"/>
        <v>0.5</v>
      </c>
      <c r="P88" s="15">
        <f t="shared" si="36"/>
        <v>0.5</v>
      </c>
      <c r="R88" s="8"/>
      <c r="T88"/>
    </row>
    <row r="89" spans="2:20" ht="23.1" customHeight="1" x14ac:dyDescent="0.25">
      <c r="B89" s="23" t="s">
        <v>129</v>
      </c>
      <c r="C89" s="49">
        <f>AVERAGE('07.09. Ishaka-Katungulu-24h'!C89,'08.09 Ishaka-Katungulu-24h'!C89)</f>
        <v>1</v>
      </c>
      <c r="D89" s="49">
        <f>AVERAGE('07.09. Ishaka-Katungulu-24h'!D89,'08.09 Ishaka-Katungulu-24h'!D89)</f>
        <v>0</v>
      </c>
      <c r="E89" s="49">
        <f>AVERAGE('07.09. Ishaka-Katungulu-24h'!E89,'08.09 Ishaka-Katungulu-24h'!E89)</f>
        <v>0.5</v>
      </c>
      <c r="F89" s="49">
        <f>AVERAGE('07.09. Ishaka-Katungulu-24h'!F89,'08.09 Ishaka-Katungulu-24h'!F89)</f>
        <v>0</v>
      </c>
      <c r="G89" s="49">
        <f>AVERAGE('07.09. Ishaka-Katungulu-24h'!G89,'08.09 Ishaka-Katungulu-24h'!G89)</f>
        <v>0</v>
      </c>
      <c r="H89" s="49">
        <f>AVERAGE('07.09. Ishaka-Katungulu-24h'!H89,'08.09 Ishaka-Katungulu-24h'!H89)</f>
        <v>0</v>
      </c>
      <c r="I89" s="49">
        <f>AVERAGE('07.09. Ishaka-Katungulu-24h'!I89,'08.09 Ishaka-Katungulu-24h'!I89)</f>
        <v>0</v>
      </c>
      <c r="J89" s="49">
        <f>AVERAGE('07.09. Ishaka-Katungulu-24h'!J89,'08.09 Ishaka-Katungulu-24h'!J89)</f>
        <v>0.5</v>
      </c>
      <c r="K89" s="49">
        <f>AVERAGE('07.09. Ishaka-Katungulu-24h'!K89,'08.09 Ishaka-Katungulu-24h'!K89)</f>
        <v>0</v>
      </c>
      <c r="L89" s="49">
        <f>AVERAGE('07.09. Ishaka-Katungulu-24h'!L89,'08.09 Ishaka-Katungulu-24h'!L89)</f>
        <v>0.5</v>
      </c>
      <c r="M89" s="49">
        <f>AVERAGE('07.09. Ishaka-Katungulu-24h'!M89,'08.09 Ishaka-Katungulu-24h'!M89)</f>
        <v>0</v>
      </c>
      <c r="N89" s="49">
        <f>AVERAGE('07.09. Ishaka-Katungulu-24h'!N89,'08.09 Ishaka-Katungulu-24h'!N89)</f>
        <v>0</v>
      </c>
      <c r="O89" s="15">
        <f t="shared" si="35"/>
        <v>2.5</v>
      </c>
      <c r="P89" s="15">
        <f t="shared" si="36"/>
        <v>2.5</v>
      </c>
      <c r="R89" s="8"/>
      <c r="T89"/>
    </row>
    <row r="90" spans="2:20" ht="23.1" customHeight="1" x14ac:dyDescent="0.25">
      <c r="B90" s="24" t="s">
        <v>130</v>
      </c>
      <c r="C90" s="49">
        <f>AVERAGE('07.09. Ishaka-Katungulu-24h'!C90,'08.09 Ishaka-Katungulu-24h'!C90)</f>
        <v>0</v>
      </c>
      <c r="D90" s="49">
        <f>AVERAGE('07.09. Ishaka-Katungulu-24h'!D90,'08.09 Ishaka-Katungulu-24h'!D90)</f>
        <v>0</v>
      </c>
      <c r="E90" s="49">
        <f>AVERAGE('07.09. Ishaka-Katungulu-24h'!E90,'08.09 Ishaka-Katungulu-24h'!E90)</f>
        <v>0</v>
      </c>
      <c r="F90" s="49">
        <f>AVERAGE('07.09. Ishaka-Katungulu-24h'!F90,'08.09 Ishaka-Katungulu-24h'!F90)</f>
        <v>0</v>
      </c>
      <c r="G90" s="49">
        <f>AVERAGE('07.09. Ishaka-Katungulu-24h'!G90,'08.09 Ishaka-Katungulu-24h'!G90)</f>
        <v>0</v>
      </c>
      <c r="H90" s="49">
        <f>AVERAGE('07.09. Ishaka-Katungulu-24h'!H90,'08.09 Ishaka-Katungulu-24h'!H90)</f>
        <v>0</v>
      </c>
      <c r="I90" s="49">
        <f>AVERAGE('07.09. Ishaka-Katungulu-24h'!I90,'08.09 Ishaka-Katungulu-24h'!I90)</f>
        <v>0</v>
      </c>
      <c r="J90" s="49">
        <f>AVERAGE('07.09. Ishaka-Katungulu-24h'!J90,'08.09 Ishaka-Katungulu-24h'!J90)</f>
        <v>0</v>
      </c>
      <c r="K90" s="49">
        <f>AVERAGE('07.09. Ishaka-Katungulu-24h'!K90,'08.09 Ishaka-Katungulu-24h'!K90)</f>
        <v>0</v>
      </c>
      <c r="L90" s="49">
        <f>AVERAGE('07.09. Ishaka-Katungulu-24h'!L90,'08.09 Ishaka-Katungulu-24h'!L90)</f>
        <v>0.5</v>
      </c>
      <c r="M90" s="49">
        <f>AVERAGE('07.09. Ishaka-Katungulu-24h'!M90,'08.09 Ishaka-Katungulu-24h'!M90)</f>
        <v>0</v>
      </c>
      <c r="N90" s="49">
        <f>AVERAGE('07.09. Ishaka-Katungulu-24h'!N90,'08.09 Ishaka-Katungulu-24h'!N90)</f>
        <v>0</v>
      </c>
      <c r="O90" s="15">
        <f t="shared" si="35"/>
        <v>0.5</v>
      </c>
      <c r="P90" s="15">
        <f t="shared" si="36"/>
        <v>0.5</v>
      </c>
      <c r="R90" s="8"/>
      <c r="T90"/>
    </row>
    <row r="91" spans="2:20" ht="23.1" customHeight="1" x14ac:dyDescent="0.25">
      <c r="B91" s="23" t="s">
        <v>131</v>
      </c>
      <c r="C91" s="49">
        <f>AVERAGE('07.09. Ishaka-Katungulu-24h'!C91,'08.09 Ishaka-Katungulu-24h'!C91)</f>
        <v>0</v>
      </c>
      <c r="D91" s="49">
        <f>AVERAGE('07.09. Ishaka-Katungulu-24h'!D91,'08.09 Ishaka-Katungulu-24h'!D91)</f>
        <v>0</v>
      </c>
      <c r="E91" s="49">
        <f>AVERAGE('07.09. Ishaka-Katungulu-24h'!E91,'08.09 Ishaka-Katungulu-24h'!E91)</f>
        <v>0.5</v>
      </c>
      <c r="F91" s="49">
        <f>AVERAGE('07.09. Ishaka-Katungulu-24h'!F91,'08.09 Ishaka-Katungulu-24h'!F91)</f>
        <v>0</v>
      </c>
      <c r="G91" s="49">
        <f>AVERAGE('07.09. Ishaka-Katungulu-24h'!G91,'08.09 Ishaka-Katungulu-24h'!G91)</f>
        <v>0</v>
      </c>
      <c r="H91" s="49">
        <f>AVERAGE('07.09. Ishaka-Katungulu-24h'!H91,'08.09 Ishaka-Katungulu-24h'!H91)</f>
        <v>0</v>
      </c>
      <c r="I91" s="49">
        <f>AVERAGE('07.09. Ishaka-Katungulu-24h'!I91,'08.09 Ishaka-Katungulu-24h'!I91)</f>
        <v>0</v>
      </c>
      <c r="J91" s="49">
        <f>AVERAGE('07.09. Ishaka-Katungulu-24h'!J91,'08.09 Ishaka-Katungulu-24h'!J91)</f>
        <v>0</v>
      </c>
      <c r="K91" s="49">
        <f>AVERAGE('07.09. Ishaka-Katungulu-24h'!K91,'08.09 Ishaka-Katungulu-24h'!K91)</f>
        <v>0</v>
      </c>
      <c r="L91" s="49">
        <f>AVERAGE('07.09. Ishaka-Katungulu-24h'!L91,'08.09 Ishaka-Katungulu-24h'!L91)</f>
        <v>1</v>
      </c>
      <c r="M91" s="49">
        <f>AVERAGE('07.09. Ishaka-Katungulu-24h'!M91,'08.09 Ishaka-Katungulu-24h'!M91)</f>
        <v>0</v>
      </c>
      <c r="N91" s="49">
        <f>AVERAGE('07.09. Ishaka-Katungulu-24h'!N91,'08.09 Ishaka-Katungulu-24h'!N91)</f>
        <v>0</v>
      </c>
      <c r="O91" s="15">
        <f t="shared" si="35"/>
        <v>1.5</v>
      </c>
      <c r="P91" s="15">
        <f t="shared" si="36"/>
        <v>1.5</v>
      </c>
      <c r="R91" s="8"/>
      <c r="T91"/>
    </row>
    <row r="92" spans="2:20" ht="23.1" customHeight="1" x14ac:dyDescent="0.25">
      <c r="B92" s="25" t="s">
        <v>132</v>
      </c>
      <c r="C92" s="49">
        <f>AVERAGE('07.09. Ishaka-Katungulu-24h'!C92,'08.09 Ishaka-Katungulu-24h'!C92)</f>
        <v>0</v>
      </c>
      <c r="D92" s="49">
        <f>AVERAGE('07.09. Ishaka-Katungulu-24h'!D92,'08.09 Ishaka-Katungulu-24h'!D92)</f>
        <v>0</v>
      </c>
      <c r="E92" s="49">
        <f>AVERAGE('07.09. Ishaka-Katungulu-24h'!E92,'08.09 Ishaka-Katungulu-24h'!E92)</f>
        <v>0</v>
      </c>
      <c r="F92" s="49">
        <f>AVERAGE('07.09. Ishaka-Katungulu-24h'!F92,'08.09 Ishaka-Katungulu-24h'!F92)</f>
        <v>0</v>
      </c>
      <c r="G92" s="49">
        <f>AVERAGE('07.09. Ishaka-Katungulu-24h'!G92,'08.09 Ishaka-Katungulu-24h'!G92)</f>
        <v>0</v>
      </c>
      <c r="H92" s="49">
        <f>AVERAGE('07.09. Ishaka-Katungulu-24h'!H92,'08.09 Ishaka-Katungulu-24h'!H92)</f>
        <v>0</v>
      </c>
      <c r="I92" s="49">
        <f>AVERAGE('07.09. Ishaka-Katungulu-24h'!I92,'08.09 Ishaka-Katungulu-24h'!I92)</f>
        <v>0</v>
      </c>
      <c r="J92" s="49">
        <f>AVERAGE('07.09. Ishaka-Katungulu-24h'!J92,'08.09 Ishaka-Katungulu-24h'!J92)</f>
        <v>0</v>
      </c>
      <c r="K92" s="49">
        <f>AVERAGE('07.09. Ishaka-Katungulu-24h'!K92,'08.09 Ishaka-Katungulu-24h'!K92)</f>
        <v>0</v>
      </c>
      <c r="L92" s="49">
        <f>AVERAGE('07.09. Ishaka-Katungulu-24h'!L92,'08.09 Ishaka-Katungulu-24h'!L92)</f>
        <v>0</v>
      </c>
      <c r="M92" s="49">
        <f>AVERAGE('07.09. Ishaka-Katungulu-24h'!M92,'08.09 Ishaka-Katungulu-24h'!M92)</f>
        <v>0</v>
      </c>
      <c r="N92" s="49">
        <f>AVERAGE('07.09. Ishaka-Katungulu-24h'!N92,'08.09 Ishaka-Katungulu-24h'!N92)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AVERAGE('07.09. Ishaka-Katungulu-24h'!C93,'08.09 Ishaka-Katungulu-24h'!C93)</f>
        <v>0</v>
      </c>
      <c r="D93" s="49">
        <f>AVERAGE('07.09. Ishaka-Katungulu-24h'!D93,'08.09 Ishaka-Katungulu-24h'!D93)</f>
        <v>0</v>
      </c>
      <c r="E93" s="49">
        <f>AVERAGE('07.09. Ishaka-Katungulu-24h'!E93,'08.09 Ishaka-Katungulu-24h'!E93)</f>
        <v>0</v>
      </c>
      <c r="F93" s="49">
        <f>AVERAGE('07.09. Ishaka-Katungulu-24h'!F93,'08.09 Ishaka-Katungulu-24h'!F93)</f>
        <v>0</v>
      </c>
      <c r="G93" s="49">
        <f>AVERAGE('07.09. Ishaka-Katungulu-24h'!G93,'08.09 Ishaka-Katungulu-24h'!G93)</f>
        <v>0</v>
      </c>
      <c r="H93" s="49">
        <f>AVERAGE('07.09. Ishaka-Katungulu-24h'!H93,'08.09 Ishaka-Katungulu-24h'!H93)</f>
        <v>0</v>
      </c>
      <c r="I93" s="49">
        <f>AVERAGE('07.09. Ishaka-Katungulu-24h'!I93,'08.09 Ishaka-Katungulu-24h'!I93)</f>
        <v>0</v>
      </c>
      <c r="J93" s="49">
        <f>AVERAGE('07.09. Ishaka-Katungulu-24h'!J93,'08.09 Ishaka-Katungulu-24h'!J93)</f>
        <v>0</v>
      </c>
      <c r="K93" s="49">
        <f>AVERAGE('07.09. Ishaka-Katungulu-24h'!K93,'08.09 Ishaka-Katungulu-24h'!K93)</f>
        <v>0</v>
      </c>
      <c r="L93" s="49">
        <f>AVERAGE('07.09. Ishaka-Katungulu-24h'!L93,'08.09 Ishaka-Katungulu-24h'!L93)</f>
        <v>0</v>
      </c>
      <c r="M93" s="49">
        <f>AVERAGE('07.09. Ishaka-Katungulu-24h'!M93,'08.09 Ishaka-Katungulu-24h'!M93)</f>
        <v>0</v>
      </c>
      <c r="N93" s="49">
        <f>AVERAGE('07.09. Ishaka-Katungulu-24h'!N93,'08.09 Ishaka-Katungulu-24h'!N93)</f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24" t="s">
        <v>134</v>
      </c>
      <c r="C94" s="49">
        <f>AVERAGE('07.09. Ishaka-Katungulu-24h'!C94,'08.09 Ishaka-Katungulu-24h'!C94)</f>
        <v>0</v>
      </c>
      <c r="D94" s="49">
        <f>AVERAGE('07.09. Ishaka-Katungulu-24h'!D94,'08.09 Ishaka-Katungulu-24h'!D94)</f>
        <v>0</v>
      </c>
      <c r="E94" s="49">
        <f>AVERAGE('07.09. Ishaka-Katungulu-24h'!E94,'08.09 Ishaka-Katungulu-24h'!E94)</f>
        <v>0</v>
      </c>
      <c r="F94" s="49">
        <f>AVERAGE('07.09. Ishaka-Katungulu-24h'!F94,'08.09 Ishaka-Katungulu-24h'!F94)</f>
        <v>0</v>
      </c>
      <c r="G94" s="49">
        <f>AVERAGE('07.09. Ishaka-Katungulu-24h'!G94,'08.09 Ishaka-Katungulu-24h'!G94)</f>
        <v>0</v>
      </c>
      <c r="H94" s="49">
        <f>AVERAGE('07.09. Ishaka-Katungulu-24h'!H94,'08.09 Ishaka-Katungulu-24h'!H94)</f>
        <v>0</v>
      </c>
      <c r="I94" s="49">
        <f>AVERAGE('07.09. Ishaka-Katungulu-24h'!I94,'08.09 Ishaka-Katungulu-24h'!I94)</f>
        <v>0</v>
      </c>
      <c r="J94" s="49">
        <f>AVERAGE('07.09. Ishaka-Katungulu-24h'!J94,'08.09 Ishaka-Katungulu-24h'!J94)</f>
        <v>0</v>
      </c>
      <c r="K94" s="49">
        <f>AVERAGE('07.09. Ishaka-Katungulu-24h'!K94,'08.09 Ishaka-Katungulu-24h'!K94)</f>
        <v>0</v>
      </c>
      <c r="L94" s="49">
        <f>AVERAGE('07.09. Ishaka-Katungulu-24h'!L94,'08.09 Ishaka-Katungulu-24h'!L94)</f>
        <v>0</v>
      </c>
      <c r="M94" s="49">
        <f>AVERAGE('07.09. Ishaka-Katungulu-24h'!M94,'08.09 Ishaka-Katungulu-24h'!M94)</f>
        <v>0</v>
      </c>
      <c r="N94" s="49">
        <f>AVERAGE('07.09. Ishaka-Katungulu-24h'!N94,'08.09 Ishaka-Katungulu-24h'!N94)</f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23" t="s">
        <v>135</v>
      </c>
      <c r="C95" s="49">
        <f>AVERAGE('07.09. Ishaka-Katungulu-24h'!C95,'08.09 Ishaka-Katungulu-24h'!C95)</f>
        <v>0</v>
      </c>
      <c r="D95" s="49">
        <f>AVERAGE('07.09. Ishaka-Katungulu-24h'!D95,'08.09 Ishaka-Katungulu-24h'!D95)</f>
        <v>0</v>
      </c>
      <c r="E95" s="49">
        <f>AVERAGE('07.09. Ishaka-Katungulu-24h'!E95,'08.09 Ishaka-Katungulu-24h'!E95)</f>
        <v>0.5</v>
      </c>
      <c r="F95" s="49">
        <f>AVERAGE('07.09. Ishaka-Katungulu-24h'!F95,'08.09 Ishaka-Katungulu-24h'!F95)</f>
        <v>0</v>
      </c>
      <c r="G95" s="49">
        <f>AVERAGE('07.09. Ishaka-Katungulu-24h'!G95,'08.09 Ishaka-Katungulu-24h'!G95)</f>
        <v>0</v>
      </c>
      <c r="H95" s="49">
        <f>AVERAGE('07.09. Ishaka-Katungulu-24h'!H95,'08.09 Ishaka-Katungulu-24h'!H95)</f>
        <v>0</v>
      </c>
      <c r="I95" s="49">
        <f>AVERAGE('07.09. Ishaka-Katungulu-24h'!I95,'08.09 Ishaka-Katungulu-24h'!I95)</f>
        <v>0</v>
      </c>
      <c r="J95" s="49">
        <f>AVERAGE('07.09. Ishaka-Katungulu-24h'!J95,'08.09 Ishaka-Katungulu-24h'!J95)</f>
        <v>0.5</v>
      </c>
      <c r="K95" s="49">
        <f>AVERAGE('07.09. Ishaka-Katungulu-24h'!K95,'08.09 Ishaka-Katungulu-24h'!K95)</f>
        <v>0.5</v>
      </c>
      <c r="L95" s="49">
        <f>AVERAGE('07.09. Ishaka-Katungulu-24h'!L95,'08.09 Ishaka-Katungulu-24h'!L95)</f>
        <v>1</v>
      </c>
      <c r="M95" s="49">
        <f>AVERAGE('07.09. Ishaka-Katungulu-24h'!M95,'08.09 Ishaka-Katungulu-24h'!M95)</f>
        <v>0</v>
      </c>
      <c r="N95" s="49">
        <f>AVERAGE('07.09. Ishaka-Katungulu-24h'!N95,'08.09 Ishaka-Katungulu-24h'!N95)</f>
        <v>0</v>
      </c>
      <c r="O95" s="15">
        <f t="shared" si="35"/>
        <v>2.5</v>
      </c>
      <c r="P95" s="15">
        <f t="shared" si="36"/>
        <v>2.5</v>
      </c>
      <c r="R95" s="8"/>
      <c r="T95"/>
    </row>
    <row r="96" spans="2:20" ht="23.1" customHeight="1" x14ac:dyDescent="0.25">
      <c r="B96" s="25" t="s">
        <v>136</v>
      </c>
      <c r="C96" s="49">
        <f>AVERAGE('07.09. Ishaka-Katungulu-24h'!C96,'08.09 Ishaka-Katungulu-24h'!C96)</f>
        <v>0</v>
      </c>
      <c r="D96" s="49">
        <f>AVERAGE('07.09. Ishaka-Katungulu-24h'!D96,'08.09 Ishaka-Katungulu-24h'!D96)</f>
        <v>0</v>
      </c>
      <c r="E96" s="49">
        <f>AVERAGE('07.09. Ishaka-Katungulu-24h'!E96,'08.09 Ishaka-Katungulu-24h'!E96)</f>
        <v>0</v>
      </c>
      <c r="F96" s="49">
        <f>AVERAGE('07.09. Ishaka-Katungulu-24h'!F96,'08.09 Ishaka-Katungulu-24h'!F96)</f>
        <v>0</v>
      </c>
      <c r="G96" s="49">
        <f>AVERAGE('07.09. Ishaka-Katungulu-24h'!G96,'08.09 Ishaka-Katungulu-24h'!G96)</f>
        <v>0</v>
      </c>
      <c r="H96" s="49">
        <f>AVERAGE('07.09. Ishaka-Katungulu-24h'!H96,'08.09 Ishaka-Katungulu-24h'!H96)</f>
        <v>0</v>
      </c>
      <c r="I96" s="49">
        <f>AVERAGE('07.09. Ishaka-Katungulu-24h'!I96,'08.09 Ishaka-Katungulu-24h'!I96)</f>
        <v>0</v>
      </c>
      <c r="J96" s="49">
        <f>AVERAGE('07.09. Ishaka-Katungulu-24h'!J96,'08.09 Ishaka-Katungulu-24h'!J96)</f>
        <v>0</v>
      </c>
      <c r="K96" s="49">
        <f>AVERAGE('07.09. Ishaka-Katungulu-24h'!K96,'08.09 Ishaka-Katungulu-24h'!K96)</f>
        <v>0</v>
      </c>
      <c r="L96" s="49">
        <f>AVERAGE('07.09. Ishaka-Katungulu-24h'!L96,'08.09 Ishaka-Katungulu-24h'!L96)</f>
        <v>0</v>
      </c>
      <c r="M96" s="49">
        <f>AVERAGE('07.09. Ishaka-Katungulu-24h'!M96,'08.09 Ishaka-Katungulu-24h'!M96)</f>
        <v>0</v>
      </c>
      <c r="N96" s="49">
        <f>AVERAGE('07.09. Ishaka-Katungulu-24h'!N96,'08.09 Ishaka-Katungulu-24h'!N96)</f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23" t="s">
        <v>137</v>
      </c>
      <c r="C97" s="49">
        <f>AVERAGE('07.09. Ishaka-Katungulu-24h'!C97,'08.09 Ishaka-Katungulu-24h'!C97)</f>
        <v>0</v>
      </c>
      <c r="D97" s="49">
        <f>AVERAGE('07.09. Ishaka-Katungulu-24h'!D97,'08.09 Ishaka-Katungulu-24h'!D97)</f>
        <v>0</v>
      </c>
      <c r="E97" s="49">
        <f>AVERAGE('07.09. Ishaka-Katungulu-24h'!E97,'08.09 Ishaka-Katungulu-24h'!E97)</f>
        <v>0.5</v>
      </c>
      <c r="F97" s="49">
        <f>AVERAGE('07.09. Ishaka-Katungulu-24h'!F97,'08.09 Ishaka-Katungulu-24h'!F97)</f>
        <v>0</v>
      </c>
      <c r="G97" s="49">
        <f>AVERAGE('07.09. Ishaka-Katungulu-24h'!G97,'08.09 Ishaka-Katungulu-24h'!G97)</f>
        <v>0</v>
      </c>
      <c r="H97" s="49">
        <f>AVERAGE('07.09. Ishaka-Katungulu-24h'!H97,'08.09 Ishaka-Katungulu-24h'!H97)</f>
        <v>0</v>
      </c>
      <c r="I97" s="49">
        <f>AVERAGE('07.09. Ishaka-Katungulu-24h'!I97,'08.09 Ishaka-Katungulu-24h'!I97)</f>
        <v>0</v>
      </c>
      <c r="J97" s="49">
        <f>AVERAGE('07.09. Ishaka-Katungulu-24h'!J97,'08.09 Ishaka-Katungulu-24h'!J97)</f>
        <v>0</v>
      </c>
      <c r="K97" s="49">
        <f>AVERAGE('07.09. Ishaka-Katungulu-24h'!K97,'08.09 Ishaka-Katungulu-24h'!K97)</f>
        <v>0.5</v>
      </c>
      <c r="L97" s="49">
        <f>AVERAGE('07.09. Ishaka-Katungulu-24h'!L97,'08.09 Ishaka-Katungulu-24h'!L97)</f>
        <v>0.5</v>
      </c>
      <c r="M97" s="49">
        <f>AVERAGE('07.09. Ishaka-Katungulu-24h'!M97,'08.09 Ishaka-Katungulu-24h'!M97)</f>
        <v>0</v>
      </c>
      <c r="N97" s="49">
        <f>AVERAGE('07.09. Ishaka-Katungulu-24h'!N97,'08.09 Ishaka-Katungulu-24h'!N97)</f>
        <v>0</v>
      </c>
      <c r="O97" s="15">
        <f t="shared" si="35"/>
        <v>1.5</v>
      </c>
      <c r="P97" s="15">
        <f t="shared" si="36"/>
        <v>1.5</v>
      </c>
      <c r="R97" s="8"/>
      <c r="T97"/>
    </row>
    <row r="98" spans="2:20" ht="23.1" customHeight="1" x14ac:dyDescent="0.25">
      <c r="B98" s="24" t="s">
        <v>138</v>
      </c>
      <c r="C98" s="49">
        <f>AVERAGE('07.09. Ishaka-Katungulu-24h'!C98,'08.09 Ishaka-Katungulu-24h'!C98)</f>
        <v>0</v>
      </c>
      <c r="D98" s="49">
        <f>AVERAGE('07.09. Ishaka-Katungulu-24h'!D98,'08.09 Ishaka-Katungulu-24h'!D98)</f>
        <v>0</v>
      </c>
      <c r="E98" s="49">
        <f>AVERAGE('07.09. Ishaka-Katungulu-24h'!E98,'08.09 Ishaka-Katungulu-24h'!E98)</f>
        <v>0.5</v>
      </c>
      <c r="F98" s="49">
        <f>AVERAGE('07.09. Ishaka-Katungulu-24h'!F98,'08.09 Ishaka-Katungulu-24h'!F98)</f>
        <v>0.5</v>
      </c>
      <c r="G98" s="49">
        <f>AVERAGE('07.09. Ishaka-Katungulu-24h'!G98,'08.09 Ishaka-Katungulu-24h'!G98)</f>
        <v>0</v>
      </c>
      <c r="H98" s="49">
        <f>AVERAGE('07.09. Ishaka-Katungulu-24h'!H98,'08.09 Ishaka-Katungulu-24h'!H98)</f>
        <v>0</v>
      </c>
      <c r="I98" s="49">
        <f>AVERAGE('07.09. Ishaka-Katungulu-24h'!I98,'08.09 Ishaka-Katungulu-24h'!I98)</f>
        <v>0</v>
      </c>
      <c r="J98" s="49">
        <f>AVERAGE('07.09. Ishaka-Katungulu-24h'!J98,'08.09 Ishaka-Katungulu-24h'!J98)</f>
        <v>0</v>
      </c>
      <c r="K98" s="49">
        <f>AVERAGE('07.09. Ishaka-Katungulu-24h'!K98,'08.09 Ishaka-Katungulu-24h'!K98)</f>
        <v>0</v>
      </c>
      <c r="L98" s="49">
        <f>AVERAGE('07.09. Ishaka-Katungulu-24h'!L98,'08.09 Ishaka-Katungulu-24h'!L98)</f>
        <v>0.5</v>
      </c>
      <c r="M98" s="49">
        <f>AVERAGE('07.09. Ishaka-Katungulu-24h'!M98,'08.09 Ishaka-Katungulu-24h'!M98)</f>
        <v>0.5</v>
      </c>
      <c r="N98" s="49">
        <f>AVERAGE('07.09. Ishaka-Katungulu-24h'!N98,'08.09 Ishaka-Katungulu-24h'!N98)</f>
        <v>0</v>
      </c>
      <c r="O98" s="15">
        <f t="shared" si="35"/>
        <v>1.5</v>
      </c>
      <c r="P98" s="15">
        <f t="shared" si="36"/>
        <v>2</v>
      </c>
      <c r="R98" s="8"/>
      <c r="T98"/>
    </row>
    <row r="99" spans="2:20" ht="23.1" customHeight="1" x14ac:dyDescent="0.25">
      <c r="B99" s="23" t="s">
        <v>139</v>
      </c>
      <c r="C99" s="49">
        <f>AVERAGE('07.09. Ishaka-Katungulu-24h'!C99,'08.09 Ishaka-Katungulu-24h'!C99)</f>
        <v>1</v>
      </c>
      <c r="D99" s="49">
        <f>AVERAGE('07.09. Ishaka-Katungulu-24h'!D99,'08.09 Ishaka-Katungulu-24h'!D99)</f>
        <v>0.5</v>
      </c>
      <c r="E99" s="49">
        <f>AVERAGE('07.09. Ishaka-Katungulu-24h'!E99,'08.09 Ishaka-Katungulu-24h'!E99)</f>
        <v>0.5</v>
      </c>
      <c r="F99" s="49">
        <f>AVERAGE('07.09. Ishaka-Katungulu-24h'!F99,'08.09 Ishaka-Katungulu-24h'!F99)</f>
        <v>1.5</v>
      </c>
      <c r="G99" s="49">
        <f>AVERAGE('07.09. Ishaka-Katungulu-24h'!G99,'08.09 Ishaka-Katungulu-24h'!G99)</f>
        <v>0</v>
      </c>
      <c r="H99" s="49">
        <f>AVERAGE('07.09. Ishaka-Katungulu-24h'!H99,'08.09 Ishaka-Katungulu-24h'!H99)</f>
        <v>0</v>
      </c>
      <c r="I99" s="49">
        <f>AVERAGE('07.09. Ishaka-Katungulu-24h'!I99,'08.09 Ishaka-Katungulu-24h'!I99)</f>
        <v>0</v>
      </c>
      <c r="J99" s="49">
        <f>AVERAGE('07.09. Ishaka-Katungulu-24h'!J99,'08.09 Ishaka-Katungulu-24h'!J99)</f>
        <v>0</v>
      </c>
      <c r="K99" s="49">
        <f>AVERAGE('07.09. Ishaka-Katungulu-24h'!K99,'08.09 Ishaka-Katungulu-24h'!K99)</f>
        <v>0</v>
      </c>
      <c r="L99" s="49">
        <f>AVERAGE('07.09. Ishaka-Katungulu-24h'!L99,'08.09 Ishaka-Katungulu-24h'!L99)</f>
        <v>1.5</v>
      </c>
      <c r="M99" s="49">
        <f>AVERAGE('07.09. Ishaka-Katungulu-24h'!M99,'08.09 Ishaka-Katungulu-24h'!M99)</f>
        <v>1.5</v>
      </c>
      <c r="N99" s="49">
        <f>AVERAGE('07.09. Ishaka-Katungulu-24h'!N99,'08.09 Ishaka-Katungulu-24h'!N99)</f>
        <v>0</v>
      </c>
      <c r="O99" s="15">
        <f t="shared" si="35"/>
        <v>5</v>
      </c>
      <c r="P99" s="15">
        <f t="shared" si="36"/>
        <v>6.5</v>
      </c>
      <c r="R99" s="8"/>
      <c r="T99"/>
    </row>
    <row r="100" spans="2:20" ht="23.1" customHeight="1" x14ac:dyDescent="0.25">
      <c r="B100" s="25" t="s">
        <v>140</v>
      </c>
      <c r="C100" s="49">
        <f>AVERAGE('07.09. Ishaka-Katungulu-24h'!C100,'08.09 Ishaka-Katungulu-24h'!C100)</f>
        <v>0</v>
      </c>
      <c r="D100" s="49">
        <f>AVERAGE('07.09. Ishaka-Katungulu-24h'!D100,'08.09 Ishaka-Katungulu-24h'!D100)</f>
        <v>0</v>
      </c>
      <c r="E100" s="49">
        <f>AVERAGE('07.09. Ishaka-Katungulu-24h'!E100,'08.09 Ishaka-Katungulu-24h'!E100)</f>
        <v>0</v>
      </c>
      <c r="F100" s="49">
        <f>AVERAGE('07.09. Ishaka-Katungulu-24h'!F100,'08.09 Ishaka-Katungulu-24h'!F100)</f>
        <v>0</v>
      </c>
      <c r="G100" s="49">
        <f>AVERAGE('07.09. Ishaka-Katungulu-24h'!G100,'08.09 Ishaka-Katungulu-24h'!G100)</f>
        <v>0</v>
      </c>
      <c r="H100" s="49">
        <f>AVERAGE('07.09. Ishaka-Katungulu-24h'!H100,'08.09 Ishaka-Katungulu-24h'!H100)</f>
        <v>0</v>
      </c>
      <c r="I100" s="49">
        <f>AVERAGE('07.09. Ishaka-Katungulu-24h'!I100,'08.09 Ishaka-Katungulu-24h'!I100)</f>
        <v>0</v>
      </c>
      <c r="J100" s="49">
        <f>AVERAGE('07.09. Ishaka-Katungulu-24h'!J100,'08.09 Ishaka-Katungulu-24h'!J100)</f>
        <v>0</v>
      </c>
      <c r="K100" s="49">
        <f>AVERAGE('07.09. Ishaka-Katungulu-24h'!K100,'08.09 Ishaka-Katungulu-24h'!K100)</f>
        <v>0</v>
      </c>
      <c r="L100" s="49">
        <f>AVERAGE('07.09. Ishaka-Katungulu-24h'!L100,'08.09 Ishaka-Katungulu-24h'!L100)</f>
        <v>0.5</v>
      </c>
      <c r="M100" s="49">
        <f>AVERAGE('07.09. Ishaka-Katungulu-24h'!M100,'08.09 Ishaka-Katungulu-24h'!M100)</f>
        <v>0</v>
      </c>
      <c r="N100" s="49">
        <f>AVERAGE('07.09. Ishaka-Katungulu-24h'!N100,'08.09 Ishaka-Katungulu-24h'!N100)</f>
        <v>0</v>
      </c>
      <c r="O100" s="15">
        <f t="shared" si="35"/>
        <v>0.5</v>
      </c>
      <c r="P100" s="15">
        <f t="shared" si="36"/>
        <v>0.5</v>
      </c>
      <c r="R100" s="8"/>
      <c r="T100"/>
    </row>
    <row r="101" spans="2:20" ht="23.1" customHeight="1" x14ac:dyDescent="0.25">
      <c r="B101" s="23" t="s">
        <v>141</v>
      </c>
      <c r="C101" s="49">
        <f>AVERAGE('07.09. Ishaka-Katungulu-24h'!C101,'08.09 Ishaka-Katungulu-24h'!C101)</f>
        <v>0</v>
      </c>
      <c r="D101" s="49">
        <f>AVERAGE('07.09. Ishaka-Katungulu-24h'!D101,'08.09 Ishaka-Katungulu-24h'!D101)</f>
        <v>0</v>
      </c>
      <c r="E101" s="49">
        <f>AVERAGE('07.09. Ishaka-Katungulu-24h'!E101,'08.09 Ishaka-Katungulu-24h'!E101)</f>
        <v>0</v>
      </c>
      <c r="F101" s="49">
        <f>AVERAGE('07.09. Ishaka-Katungulu-24h'!F101,'08.09 Ishaka-Katungulu-24h'!F101)</f>
        <v>0.5</v>
      </c>
      <c r="G101" s="49">
        <f>AVERAGE('07.09. Ishaka-Katungulu-24h'!G101,'08.09 Ishaka-Katungulu-24h'!G101)</f>
        <v>0</v>
      </c>
      <c r="H101" s="49">
        <f>AVERAGE('07.09. Ishaka-Katungulu-24h'!H101,'08.09 Ishaka-Katungulu-24h'!H101)</f>
        <v>0</v>
      </c>
      <c r="I101" s="49">
        <f>AVERAGE('07.09. Ishaka-Katungulu-24h'!I101,'08.09 Ishaka-Katungulu-24h'!I101)</f>
        <v>0</v>
      </c>
      <c r="J101" s="49">
        <f>AVERAGE('07.09. Ishaka-Katungulu-24h'!J101,'08.09 Ishaka-Katungulu-24h'!J101)</f>
        <v>0</v>
      </c>
      <c r="K101" s="49">
        <f>AVERAGE('07.09. Ishaka-Katungulu-24h'!K101,'08.09 Ishaka-Katungulu-24h'!K101)</f>
        <v>0.5</v>
      </c>
      <c r="L101" s="49">
        <f>AVERAGE('07.09. Ishaka-Katungulu-24h'!L101,'08.09 Ishaka-Katungulu-24h'!L101)</f>
        <v>1.5</v>
      </c>
      <c r="M101" s="49">
        <f>AVERAGE('07.09. Ishaka-Katungulu-24h'!M101,'08.09 Ishaka-Katungulu-24h'!M101)</f>
        <v>0.5</v>
      </c>
      <c r="N101" s="49">
        <f>AVERAGE('07.09. Ishaka-Katungulu-24h'!N101,'08.09 Ishaka-Katungulu-24h'!N101)</f>
        <v>0</v>
      </c>
      <c r="O101" s="15">
        <f t="shared" si="35"/>
        <v>2.5</v>
      </c>
      <c r="P101" s="15">
        <f t="shared" si="36"/>
        <v>3</v>
      </c>
      <c r="R101" s="8"/>
      <c r="T101"/>
    </row>
    <row r="102" spans="2:20" ht="23.1" customHeight="1" x14ac:dyDescent="0.25">
      <c r="B102" s="24" t="s">
        <v>142</v>
      </c>
      <c r="C102" s="49">
        <f>AVERAGE('07.09. Ishaka-Katungulu-24h'!C102,'08.09 Ishaka-Katungulu-24h'!C102)</f>
        <v>1</v>
      </c>
      <c r="D102" s="49">
        <f>AVERAGE('07.09. Ishaka-Katungulu-24h'!D102,'08.09 Ishaka-Katungulu-24h'!D102)</f>
        <v>0.5</v>
      </c>
      <c r="E102" s="49">
        <f>AVERAGE('07.09. Ishaka-Katungulu-24h'!E102,'08.09 Ishaka-Katungulu-24h'!E102)</f>
        <v>1</v>
      </c>
      <c r="F102" s="49">
        <f>AVERAGE('07.09. Ishaka-Katungulu-24h'!F102,'08.09 Ishaka-Katungulu-24h'!F102)</f>
        <v>1</v>
      </c>
      <c r="G102" s="49">
        <f>AVERAGE('07.09. Ishaka-Katungulu-24h'!G102,'08.09 Ishaka-Katungulu-24h'!G102)</f>
        <v>0</v>
      </c>
      <c r="H102" s="49">
        <f>AVERAGE('07.09. Ishaka-Katungulu-24h'!H102,'08.09 Ishaka-Katungulu-24h'!H102)</f>
        <v>0</v>
      </c>
      <c r="I102" s="49">
        <f>AVERAGE('07.09. Ishaka-Katungulu-24h'!I102,'08.09 Ishaka-Katungulu-24h'!I102)</f>
        <v>0</v>
      </c>
      <c r="J102" s="49">
        <f>AVERAGE('07.09. Ishaka-Katungulu-24h'!J102,'08.09 Ishaka-Katungulu-24h'!J102)</f>
        <v>0</v>
      </c>
      <c r="K102" s="49">
        <f>AVERAGE('07.09. Ishaka-Katungulu-24h'!K102,'08.09 Ishaka-Katungulu-24h'!K102)</f>
        <v>0</v>
      </c>
      <c r="L102" s="49">
        <f>AVERAGE('07.09. Ishaka-Katungulu-24h'!L102,'08.09 Ishaka-Katungulu-24h'!L102)</f>
        <v>1</v>
      </c>
      <c r="M102" s="49">
        <f>AVERAGE('07.09. Ishaka-Katungulu-24h'!M102,'08.09 Ishaka-Katungulu-24h'!M102)</f>
        <v>1.5</v>
      </c>
      <c r="N102" s="49">
        <f>AVERAGE('07.09. Ishaka-Katungulu-24h'!N102,'08.09 Ishaka-Katungulu-24h'!N102)</f>
        <v>0</v>
      </c>
      <c r="O102" s="15">
        <f t="shared" si="35"/>
        <v>4.5</v>
      </c>
      <c r="P102" s="15">
        <f t="shared" si="36"/>
        <v>6</v>
      </c>
      <c r="R102" s="8"/>
      <c r="T102"/>
    </row>
    <row r="103" spans="2:20" ht="23.1" customHeight="1" x14ac:dyDescent="0.25">
      <c r="B103" s="23" t="s">
        <v>143</v>
      </c>
      <c r="C103" s="49">
        <f>AVERAGE('07.09. Ishaka-Katungulu-24h'!C103,'08.09 Ishaka-Katungulu-24h'!C103)</f>
        <v>2.5</v>
      </c>
      <c r="D103" s="49">
        <f>AVERAGE('07.09. Ishaka-Katungulu-24h'!D103,'08.09 Ishaka-Katungulu-24h'!D103)</f>
        <v>1</v>
      </c>
      <c r="E103" s="49">
        <f>AVERAGE('07.09. Ishaka-Katungulu-24h'!E103,'08.09 Ishaka-Katungulu-24h'!E103)</f>
        <v>2</v>
      </c>
      <c r="F103" s="49">
        <f>AVERAGE('07.09. Ishaka-Katungulu-24h'!F103,'08.09 Ishaka-Katungulu-24h'!F103)</f>
        <v>2</v>
      </c>
      <c r="G103" s="49">
        <f>AVERAGE('07.09. Ishaka-Katungulu-24h'!G103,'08.09 Ishaka-Katungulu-24h'!G103)</f>
        <v>0</v>
      </c>
      <c r="H103" s="49">
        <f>AVERAGE('07.09. Ishaka-Katungulu-24h'!H103,'08.09 Ishaka-Katungulu-24h'!H103)</f>
        <v>0</v>
      </c>
      <c r="I103" s="49">
        <f>AVERAGE('07.09. Ishaka-Katungulu-24h'!I103,'08.09 Ishaka-Katungulu-24h'!I103)</f>
        <v>0</v>
      </c>
      <c r="J103" s="49">
        <f>AVERAGE('07.09. Ishaka-Katungulu-24h'!J103,'08.09 Ishaka-Katungulu-24h'!J103)</f>
        <v>0</v>
      </c>
      <c r="K103" s="49">
        <f>AVERAGE('07.09. Ishaka-Katungulu-24h'!K103,'08.09 Ishaka-Katungulu-24h'!K103)</f>
        <v>0</v>
      </c>
      <c r="L103" s="49">
        <f>AVERAGE('07.09. Ishaka-Katungulu-24h'!L103,'08.09 Ishaka-Katungulu-24h'!L103)</f>
        <v>2</v>
      </c>
      <c r="M103" s="49">
        <f>AVERAGE('07.09. Ishaka-Katungulu-24h'!M103,'08.09 Ishaka-Katungulu-24h'!M103)</f>
        <v>3</v>
      </c>
      <c r="N103" s="49">
        <f>AVERAGE('07.09. Ishaka-Katungulu-24h'!N103,'08.09 Ishaka-Katungulu-24h'!N103)</f>
        <v>0</v>
      </c>
      <c r="O103" s="15">
        <f t="shared" si="35"/>
        <v>9.5</v>
      </c>
      <c r="P103" s="15">
        <f t="shared" si="36"/>
        <v>12.5</v>
      </c>
      <c r="R103" s="8"/>
      <c r="T103"/>
    </row>
    <row r="104" spans="2:20" ht="23.1" customHeight="1" x14ac:dyDescent="0.25">
      <c r="B104" s="25" t="s">
        <v>144</v>
      </c>
      <c r="C104" s="49">
        <f>AVERAGE('07.09. Ishaka-Katungulu-24h'!C104,'08.09 Ishaka-Katungulu-24h'!C104)</f>
        <v>2</v>
      </c>
      <c r="D104" s="49">
        <f>AVERAGE('07.09. Ishaka-Katungulu-24h'!D104,'08.09 Ishaka-Katungulu-24h'!D104)</f>
        <v>0</v>
      </c>
      <c r="E104" s="49">
        <f>AVERAGE('07.09. Ishaka-Katungulu-24h'!E104,'08.09 Ishaka-Katungulu-24h'!E104)</f>
        <v>1</v>
      </c>
      <c r="F104" s="49">
        <f>AVERAGE('07.09. Ishaka-Katungulu-24h'!F104,'08.09 Ishaka-Katungulu-24h'!F104)</f>
        <v>0</v>
      </c>
      <c r="G104" s="49">
        <f>AVERAGE('07.09. Ishaka-Katungulu-24h'!G104,'08.09 Ishaka-Katungulu-24h'!G104)</f>
        <v>0</v>
      </c>
      <c r="H104" s="49">
        <f>AVERAGE('07.09. Ishaka-Katungulu-24h'!H104,'08.09 Ishaka-Katungulu-24h'!H104)</f>
        <v>0</v>
      </c>
      <c r="I104" s="49">
        <f>AVERAGE('07.09. Ishaka-Katungulu-24h'!I104,'08.09 Ishaka-Katungulu-24h'!I104)</f>
        <v>0</v>
      </c>
      <c r="J104" s="49">
        <f>AVERAGE('07.09. Ishaka-Katungulu-24h'!J104,'08.09 Ishaka-Katungulu-24h'!J104)</f>
        <v>0</v>
      </c>
      <c r="K104" s="49">
        <f>AVERAGE('07.09. Ishaka-Katungulu-24h'!K104,'08.09 Ishaka-Katungulu-24h'!K104)</f>
        <v>0</v>
      </c>
      <c r="L104" s="49">
        <f>AVERAGE('07.09. Ishaka-Katungulu-24h'!L104,'08.09 Ishaka-Katungulu-24h'!L104)</f>
        <v>1</v>
      </c>
      <c r="M104" s="49">
        <f>AVERAGE('07.09. Ishaka-Katungulu-24h'!M104,'08.09 Ishaka-Katungulu-24h'!M104)</f>
        <v>1</v>
      </c>
      <c r="N104" s="49">
        <f>AVERAGE('07.09. Ishaka-Katungulu-24h'!N104,'08.09 Ishaka-Katungulu-24h'!N104)</f>
        <v>0</v>
      </c>
      <c r="O104" s="15">
        <f t="shared" si="35"/>
        <v>4</v>
      </c>
      <c r="P104" s="15">
        <f t="shared" si="36"/>
        <v>5</v>
      </c>
      <c r="R104" s="8"/>
      <c r="T104"/>
    </row>
    <row r="105" spans="2:20" ht="23.1" customHeight="1" x14ac:dyDescent="0.25">
      <c r="B105" s="23" t="s">
        <v>145</v>
      </c>
      <c r="C105" s="49">
        <f>AVERAGE('07.09. Ishaka-Katungulu-24h'!C105,'08.09 Ishaka-Katungulu-24h'!C105)</f>
        <v>4</v>
      </c>
      <c r="D105" s="49">
        <f>AVERAGE('07.09. Ishaka-Katungulu-24h'!D105,'08.09 Ishaka-Katungulu-24h'!D105)</f>
        <v>1</v>
      </c>
      <c r="E105" s="49">
        <f>AVERAGE('07.09. Ishaka-Katungulu-24h'!E105,'08.09 Ishaka-Katungulu-24h'!E105)</f>
        <v>1.5</v>
      </c>
      <c r="F105" s="49">
        <f>AVERAGE('07.09. Ishaka-Katungulu-24h'!F105,'08.09 Ishaka-Katungulu-24h'!F105)</f>
        <v>1</v>
      </c>
      <c r="G105" s="49">
        <f>AVERAGE('07.09. Ishaka-Katungulu-24h'!G105,'08.09 Ishaka-Katungulu-24h'!G105)</f>
        <v>0</v>
      </c>
      <c r="H105" s="49">
        <f>AVERAGE('07.09. Ishaka-Katungulu-24h'!H105,'08.09 Ishaka-Katungulu-24h'!H105)</f>
        <v>0</v>
      </c>
      <c r="I105" s="49">
        <f>AVERAGE('07.09. Ishaka-Katungulu-24h'!I105,'08.09 Ishaka-Katungulu-24h'!I105)</f>
        <v>0</v>
      </c>
      <c r="J105" s="49">
        <f>AVERAGE('07.09. Ishaka-Katungulu-24h'!J105,'08.09 Ishaka-Katungulu-24h'!J105)</f>
        <v>0</v>
      </c>
      <c r="K105" s="49">
        <f>AVERAGE('07.09. Ishaka-Katungulu-24h'!K105,'08.09 Ishaka-Katungulu-24h'!K105)</f>
        <v>0.5</v>
      </c>
      <c r="L105" s="49">
        <f>AVERAGE('07.09. Ishaka-Katungulu-24h'!L105,'08.09 Ishaka-Katungulu-24h'!L105)</f>
        <v>2.5</v>
      </c>
      <c r="M105" s="49">
        <f>AVERAGE('07.09. Ishaka-Katungulu-24h'!M105,'08.09 Ishaka-Katungulu-24h'!M105)</f>
        <v>2.5</v>
      </c>
      <c r="N105" s="49">
        <f>AVERAGE('07.09. Ishaka-Katungulu-24h'!N105,'08.09 Ishaka-Katungulu-24h'!N105)</f>
        <v>0</v>
      </c>
      <c r="O105" s="15">
        <f t="shared" si="35"/>
        <v>10.5</v>
      </c>
      <c r="P105" s="15">
        <f t="shared" si="36"/>
        <v>13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307.85714285714283</v>
      </c>
      <c r="D106" s="16">
        <f t="shared" ref="D106:P106" si="37">SUM(D10:D105)</f>
        <v>63.571428571428569</v>
      </c>
      <c r="E106" s="16">
        <f t="shared" si="37"/>
        <v>235.78571428571431</v>
      </c>
      <c r="F106" s="16">
        <f t="shared" si="37"/>
        <v>198.92857142857147</v>
      </c>
      <c r="G106" s="16">
        <f t="shared" si="37"/>
        <v>5.6428571428571423</v>
      </c>
      <c r="H106" s="16">
        <f t="shared" si="37"/>
        <v>9.8571428571428577</v>
      </c>
      <c r="I106" s="16">
        <f t="shared" si="37"/>
        <v>72.214285714285708</v>
      </c>
      <c r="J106" s="16">
        <f t="shared" si="37"/>
        <v>55.071428571428577</v>
      </c>
      <c r="K106" s="16">
        <f t="shared" si="37"/>
        <v>74.928571428571431</v>
      </c>
      <c r="L106" s="16">
        <f t="shared" si="37"/>
        <v>91.857142857142875</v>
      </c>
      <c r="M106" s="16">
        <f t="shared" si="37"/>
        <v>2396.2142857142858</v>
      </c>
      <c r="N106" s="16">
        <f t="shared" si="37"/>
        <v>0.42857142857142855</v>
      </c>
      <c r="O106" s="16">
        <f t="shared" si="37"/>
        <v>1116.1428571428573</v>
      </c>
      <c r="P106" s="16">
        <f t="shared" si="37"/>
        <v>3512.3571428571427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8.7649726475911571E-2</v>
      </c>
      <c r="D107" s="43">
        <f t="shared" si="38"/>
        <v>1.8099363471823969E-2</v>
      </c>
      <c r="E107" s="43">
        <f t="shared" si="38"/>
        <v>6.7130335753360595E-2</v>
      </c>
      <c r="F107" s="43">
        <f t="shared" si="38"/>
        <v>5.6636772212392994E-2</v>
      </c>
      <c r="G107" s="43">
        <f t="shared" si="38"/>
        <v>1.6065727126675208E-3</v>
      </c>
      <c r="H107" s="43">
        <f t="shared" si="38"/>
        <v>2.8064181563052897E-3</v>
      </c>
      <c r="I107" s="43">
        <f t="shared" si="38"/>
        <v>2.0560063449453967E-2</v>
      </c>
      <c r="J107" s="43">
        <f t="shared" si="38"/>
        <v>1.5679336221096945E-2</v>
      </c>
      <c r="K107" s="43">
        <f t="shared" si="38"/>
        <v>2.1332845260610498E-2</v>
      </c>
      <c r="L107" s="43">
        <f t="shared" si="38"/>
        <v>2.6152563398613066E-2</v>
      </c>
      <c r="M107" s="43">
        <f t="shared" si="38"/>
        <v>0.6822239847070547</v>
      </c>
      <c r="N107" s="43">
        <f t="shared" si="38"/>
        <v>1.2201818070892563E-4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0.27582234736976824</v>
      </c>
      <c r="D108" s="44">
        <f t="shared" ref="D108:N108" si="39">D106/$O$106</f>
        <v>5.6956354793293217E-2</v>
      </c>
      <c r="E108" s="44">
        <f t="shared" si="39"/>
        <v>0.21125047996928195</v>
      </c>
      <c r="F108" s="44">
        <f t="shared" si="39"/>
        <v>0.17822859337002434</v>
      </c>
      <c r="G108" s="44">
        <f t="shared" si="39"/>
        <v>5.0556764367080493E-3</v>
      </c>
      <c r="H108" s="44">
        <f t="shared" si="39"/>
        <v>8.8314347881735551E-3</v>
      </c>
      <c r="I108" s="44">
        <f t="shared" si="39"/>
        <v>6.4699859209010613E-2</v>
      </c>
      <c r="J108" s="44">
        <f t="shared" si="39"/>
        <v>4.9340842186100083E-2</v>
      </c>
      <c r="K108" s="44">
        <f t="shared" si="39"/>
        <v>6.7131703570971452E-2</v>
      </c>
      <c r="L108" s="44">
        <f t="shared" si="39"/>
        <v>8.2298732881095613E-2</v>
      </c>
      <c r="M108" s="44"/>
      <c r="N108" s="44">
        <f t="shared" si="39"/>
        <v>3.8397542557276328E-4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52"/>
  <sheetViews>
    <sheetView view="pageBreakPreview" topLeftCell="L52" zoomScale="60" workbookViewId="0">
      <selection activeCell="AD51" sqref="AD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'13.09 Katungulu-Ishaka'!C3:G3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163</v>
      </c>
      <c r="E5" s="67"/>
      <c r="F5" s="41" t="s">
        <v>1</v>
      </c>
      <c r="G5" s="56" t="str">
        <f>'13.09 Katungulu-Ishaka'!G5:H5</f>
        <v>Rubirizi</v>
      </c>
      <c r="H5" s="57"/>
      <c r="I5" s="14"/>
      <c r="J5" s="2" t="s">
        <v>5</v>
      </c>
      <c r="K5" s="56" t="str">
        <f>'13.09 Katungulu-Ishaka'!K5:L5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'13.09 Katungulu-Ishaka'!D6:E6</f>
        <v>Katungulu</v>
      </c>
      <c r="E6" s="57"/>
      <c r="F6" s="2" t="s">
        <v>2</v>
      </c>
      <c r="G6" s="56" t="str">
        <f>'13.09 Katungulu-Ishaka'!G6:H6</f>
        <v>Ishaka</v>
      </c>
      <c r="H6" s="57"/>
      <c r="J6" s="2" t="s">
        <v>21</v>
      </c>
      <c r="K6" s="56" t="str">
        <f>'13.09 Katungulu-Ishaka'!K6:L6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AVERAGE('09.09 Katungulu-Ishaka'!C10,'10.09 Katungulu-Ishaka'!C10,'11.09 Katungulu-Ishaka'!C10,'12.09 Katungulu-Ishaka'!C10,'07.09. Katungulu-Ishaka-24h'!C10,'08.09 Katungulu-Ishaka-24h'!C10,'13.09 Katungulu-Ishaka'!C10)</f>
        <v>0.8571428571428571</v>
      </c>
      <c r="D10" s="49">
        <f>AVERAGE('09.09 Katungulu-Ishaka'!D10,'10.09 Katungulu-Ishaka'!D10,'11.09 Katungulu-Ishaka'!D10,'12.09 Katungulu-Ishaka'!D10,'07.09. Katungulu-Ishaka-24h'!D10,'08.09 Katungulu-Ishaka-24h'!D10,'13.09 Katungulu-Ishaka'!D10)</f>
        <v>0</v>
      </c>
      <c r="E10" s="49">
        <f>AVERAGE('09.09 Katungulu-Ishaka'!E10,'10.09 Katungulu-Ishaka'!E10,'11.09 Katungulu-Ishaka'!E10,'12.09 Katungulu-Ishaka'!E10,'07.09. Katungulu-Ishaka-24h'!E10,'08.09 Katungulu-Ishaka-24h'!E10,'13.09 Katungulu-Ishaka'!E10)</f>
        <v>0</v>
      </c>
      <c r="F10" s="49">
        <f>AVERAGE('09.09 Katungulu-Ishaka'!F10,'10.09 Katungulu-Ishaka'!F10,'11.09 Katungulu-Ishaka'!F10,'12.09 Katungulu-Ishaka'!F10,'07.09. Katungulu-Ishaka-24h'!F10,'08.09 Katungulu-Ishaka-24h'!F10,'13.09 Katungulu-Ishaka'!F10)</f>
        <v>0.7142857142857143</v>
      </c>
      <c r="G10" s="49">
        <f>AVERAGE('09.09 Katungulu-Ishaka'!G10,'10.09 Katungulu-Ishaka'!G10,'11.09 Katungulu-Ishaka'!G10,'12.09 Katungulu-Ishaka'!G10,'07.09. Katungulu-Ishaka-24h'!G10,'08.09 Katungulu-Ishaka-24h'!G10,'13.09 Katungulu-Ishaka'!G10)</f>
        <v>0</v>
      </c>
      <c r="H10" s="49">
        <f>AVERAGE('09.09 Katungulu-Ishaka'!H10,'10.09 Katungulu-Ishaka'!H10,'11.09 Katungulu-Ishaka'!H10,'12.09 Katungulu-Ishaka'!H10,'07.09. Katungulu-Ishaka-24h'!H10,'08.09 Katungulu-Ishaka-24h'!H10,'13.09 Katungulu-Ishaka'!H10)</f>
        <v>0</v>
      </c>
      <c r="I10" s="49">
        <f>AVERAGE('09.09 Katungulu-Ishaka'!I10,'10.09 Katungulu-Ishaka'!I10,'11.09 Katungulu-Ishaka'!I10,'12.09 Katungulu-Ishaka'!I10,'07.09. Katungulu-Ishaka-24h'!I10,'08.09 Katungulu-Ishaka-24h'!I10,'13.09 Katungulu-Ishaka'!I10)</f>
        <v>0</v>
      </c>
      <c r="J10" s="49">
        <f>AVERAGE('09.09 Katungulu-Ishaka'!J10,'10.09 Katungulu-Ishaka'!J10,'11.09 Katungulu-Ishaka'!J10,'12.09 Katungulu-Ishaka'!J10,'07.09. Katungulu-Ishaka-24h'!J10,'08.09 Katungulu-Ishaka-24h'!J10,'13.09 Katungulu-Ishaka'!J10)</f>
        <v>0.2857142857142857</v>
      </c>
      <c r="K10" s="49">
        <f>AVERAGE('09.09 Katungulu-Ishaka'!K10,'10.09 Katungulu-Ishaka'!K10,'11.09 Katungulu-Ishaka'!K10,'12.09 Katungulu-Ishaka'!K10,'07.09. Katungulu-Ishaka-24h'!K10,'08.09 Katungulu-Ishaka-24h'!K10,'13.09 Katungulu-Ishaka'!K10)</f>
        <v>0</v>
      </c>
      <c r="L10" s="49">
        <f>AVERAGE('09.09 Katungulu-Ishaka'!L10,'10.09 Katungulu-Ishaka'!L10,'11.09 Katungulu-Ishaka'!L10,'12.09 Katungulu-Ishaka'!L10,'07.09. Katungulu-Ishaka-24h'!L10,'08.09 Katungulu-Ishaka-24h'!L10,'13.09 Katungulu-Ishaka'!L10)</f>
        <v>0.14285714285714285</v>
      </c>
      <c r="M10" s="49">
        <f>AVERAGE('09.09 Katungulu-Ishaka'!M10,'10.09 Katungulu-Ishaka'!M10,'11.09 Katungulu-Ishaka'!M10,'12.09 Katungulu-Ishaka'!M10,'07.09. Katungulu-Ishaka-24h'!M10,'08.09 Katungulu-Ishaka-24h'!M10,'13.09 Katungulu-Ishaka'!M10)</f>
        <v>3.4285714285714284</v>
      </c>
      <c r="N10" s="49">
        <f>AVERAGE('09.09 Katungulu-Ishaka'!N10,'10.09 Katungulu-Ishaka'!N10,'11.09 Katungulu-Ishaka'!N10,'12.09 Katungulu-Ishaka'!N10,'07.09. Katungulu-Ishaka-24h'!N10,'08.09 Katungulu-Ishaka-24h'!N10,'13.09 Katungulu-Ishaka'!N10)</f>
        <v>0</v>
      </c>
      <c r="O10" s="15">
        <f t="shared" ref="O10:O73" si="0">SUM(C10:L10,N10)</f>
        <v>2</v>
      </c>
      <c r="P10" s="15">
        <f t="shared" ref="P10:P73" si="1">SUM(C10:N10)</f>
        <v>5.4285714285714288</v>
      </c>
      <c r="R10" s="1" t="s">
        <v>6</v>
      </c>
      <c r="S10" s="17">
        <f t="shared" ref="S10:AF10" si="2">SUM(C10:C13)</f>
        <v>4.8571428571428577</v>
      </c>
      <c r="T10" s="17">
        <f t="shared" si="2"/>
        <v>0.14285714285714285</v>
      </c>
      <c r="U10" s="17">
        <f t="shared" si="2"/>
        <v>1.7142857142857142</v>
      </c>
      <c r="V10" s="17">
        <f t="shared" si="2"/>
        <v>5.2857142857142856</v>
      </c>
      <c r="W10" s="17">
        <f t="shared" si="2"/>
        <v>0</v>
      </c>
      <c r="X10" s="17">
        <f t="shared" si="2"/>
        <v>0.14285714285714285</v>
      </c>
      <c r="Y10" s="17">
        <f t="shared" si="2"/>
        <v>0.5714285714285714</v>
      </c>
      <c r="Z10" s="17">
        <f t="shared" si="2"/>
        <v>0.99999999999999989</v>
      </c>
      <c r="AA10" s="17">
        <f t="shared" si="2"/>
        <v>0.2857142857142857</v>
      </c>
      <c r="AB10" s="17">
        <f t="shared" si="2"/>
        <v>1.857142857142857</v>
      </c>
      <c r="AC10" s="17">
        <f t="shared" si="2"/>
        <v>44</v>
      </c>
      <c r="AD10" s="17">
        <f t="shared" si="2"/>
        <v>0</v>
      </c>
      <c r="AE10" s="31">
        <f t="shared" si="2"/>
        <v>15.857142857142858</v>
      </c>
      <c r="AF10" s="31">
        <f t="shared" si="2"/>
        <v>59.857142857142854</v>
      </c>
    </row>
    <row r="11" spans="2:32" s="6" customFormat="1" ht="23.1" customHeight="1" x14ac:dyDescent="0.25">
      <c r="B11" s="23" t="s">
        <v>38</v>
      </c>
      <c r="C11" s="49">
        <f>AVERAGE('09.09 Katungulu-Ishaka'!C11,'10.09 Katungulu-Ishaka'!C11,'11.09 Katungulu-Ishaka'!C11,'12.09 Katungulu-Ishaka'!C11,'07.09. Katungulu-Ishaka-24h'!C11,'08.09 Katungulu-Ishaka-24h'!C11,'13.09 Katungulu-Ishaka'!C11)</f>
        <v>2</v>
      </c>
      <c r="D11" s="49">
        <f>AVERAGE('09.09 Katungulu-Ishaka'!D11,'10.09 Katungulu-Ishaka'!D11,'11.09 Katungulu-Ishaka'!D11,'12.09 Katungulu-Ishaka'!D11,'07.09. Katungulu-Ishaka-24h'!D11,'08.09 Katungulu-Ishaka-24h'!D11,'13.09 Katungulu-Ishaka'!D11)</f>
        <v>0</v>
      </c>
      <c r="E11" s="49">
        <f>AVERAGE('09.09 Katungulu-Ishaka'!E11,'10.09 Katungulu-Ishaka'!E11,'11.09 Katungulu-Ishaka'!E11,'12.09 Katungulu-Ishaka'!E11,'07.09. Katungulu-Ishaka-24h'!E11,'08.09 Katungulu-Ishaka-24h'!E11,'13.09 Katungulu-Ishaka'!E11)</f>
        <v>0.2857142857142857</v>
      </c>
      <c r="F11" s="49">
        <f>AVERAGE('09.09 Katungulu-Ishaka'!F11,'10.09 Katungulu-Ishaka'!F11,'11.09 Katungulu-Ishaka'!F11,'12.09 Katungulu-Ishaka'!F11,'07.09. Katungulu-Ishaka-24h'!F11,'08.09 Katungulu-Ishaka-24h'!F11,'13.09 Katungulu-Ishaka'!F11)</f>
        <v>1.5714285714285714</v>
      </c>
      <c r="G11" s="49">
        <f>AVERAGE('09.09 Katungulu-Ishaka'!G11,'10.09 Katungulu-Ishaka'!G11,'11.09 Katungulu-Ishaka'!G11,'12.09 Katungulu-Ishaka'!G11,'07.09. Katungulu-Ishaka-24h'!G11,'08.09 Katungulu-Ishaka-24h'!G11,'13.09 Katungulu-Ishaka'!G11)</f>
        <v>0</v>
      </c>
      <c r="H11" s="49">
        <f>AVERAGE('09.09 Katungulu-Ishaka'!H11,'10.09 Katungulu-Ishaka'!H11,'11.09 Katungulu-Ishaka'!H11,'12.09 Katungulu-Ishaka'!H11,'07.09. Katungulu-Ishaka-24h'!H11,'08.09 Katungulu-Ishaka-24h'!H11,'13.09 Katungulu-Ishaka'!H11)</f>
        <v>0</v>
      </c>
      <c r="I11" s="49">
        <f>AVERAGE('09.09 Katungulu-Ishaka'!I11,'10.09 Katungulu-Ishaka'!I11,'11.09 Katungulu-Ishaka'!I11,'12.09 Katungulu-Ishaka'!I11,'07.09. Katungulu-Ishaka-24h'!I11,'08.09 Katungulu-Ishaka-24h'!I11,'13.09 Katungulu-Ishaka'!I11)</f>
        <v>0</v>
      </c>
      <c r="J11" s="49">
        <f>AVERAGE('09.09 Katungulu-Ishaka'!J11,'10.09 Katungulu-Ishaka'!J11,'11.09 Katungulu-Ishaka'!J11,'12.09 Katungulu-Ishaka'!J11,'07.09. Katungulu-Ishaka-24h'!J11,'08.09 Katungulu-Ishaka-24h'!J11,'13.09 Katungulu-Ishaka'!J11)</f>
        <v>0.42857142857142855</v>
      </c>
      <c r="K11" s="49">
        <f>AVERAGE('09.09 Katungulu-Ishaka'!K11,'10.09 Katungulu-Ishaka'!K11,'11.09 Katungulu-Ishaka'!K11,'12.09 Katungulu-Ishaka'!K11,'07.09. Katungulu-Ishaka-24h'!K11,'08.09 Katungulu-Ishaka-24h'!K11,'13.09 Katungulu-Ishaka'!K11)</f>
        <v>0</v>
      </c>
      <c r="L11" s="49">
        <f>AVERAGE('09.09 Katungulu-Ishaka'!L11,'10.09 Katungulu-Ishaka'!L11,'11.09 Katungulu-Ishaka'!L11,'12.09 Katungulu-Ishaka'!L11,'07.09. Katungulu-Ishaka-24h'!L11,'08.09 Katungulu-Ishaka-24h'!L11,'13.09 Katungulu-Ishaka'!L11)</f>
        <v>0.5714285714285714</v>
      </c>
      <c r="M11" s="49">
        <f>AVERAGE('09.09 Katungulu-Ishaka'!M11,'10.09 Katungulu-Ishaka'!M11,'11.09 Katungulu-Ishaka'!M11,'12.09 Katungulu-Ishaka'!M11,'07.09. Katungulu-Ishaka-24h'!M11,'08.09 Katungulu-Ishaka-24h'!M11,'13.09 Katungulu-Ishaka'!M11)</f>
        <v>6.7142857142857144</v>
      </c>
      <c r="N11" s="49">
        <f>AVERAGE('09.09 Katungulu-Ishaka'!N11,'10.09 Katungulu-Ishaka'!N11,'11.09 Katungulu-Ishaka'!N11,'12.09 Katungulu-Ishaka'!N11,'07.09. Katungulu-Ishaka-24h'!N11,'08.09 Katungulu-Ishaka-24h'!N11,'13.09 Katungulu-Ishaka'!N11)</f>
        <v>0</v>
      </c>
      <c r="O11" s="15">
        <f t="shared" si="0"/>
        <v>4.8571428571428568</v>
      </c>
      <c r="P11" s="15">
        <f t="shared" si="1"/>
        <v>11.571428571428571</v>
      </c>
      <c r="R11" s="1" t="s">
        <v>7</v>
      </c>
      <c r="S11" s="17">
        <f t="shared" ref="S11:AF11" si="3">SUM(C14:C17)</f>
        <v>8.8571428571428577</v>
      </c>
      <c r="T11" s="17">
        <f t="shared" si="3"/>
        <v>0.42857142857142855</v>
      </c>
      <c r="U11" s="17">
        <f t="shared" si="3"/>
        <v>6.2857142857142865</v>
      </c>
      <c r="V11" s="17">
        <f t="shared" si="3"/>
        <v>10.285714285714286</v>
      </c>
      <c r="W11" s="17">
        <f t="shared" si="3"/>
        <v>0.14285714285714285</v>
      </c>
      <c r="X11" s="17">
        <f t="shared" si="3"/>
        <v>0.71428571428571419</v>
      </c>
      <c r="Y11" s="17">
        <f t="shared" si="3"/>
        <v>3.8571428571428568</v>
      </c>
      <c r="Z11" s="17">
        <f t="shared" si="3"/>
        <v>2.1428571428571428</v>
      </c>
      <c r="AA11" s="17">
        <f t="shared" si="3"/>
        <v>1.1428571428571428</v>
      </c>
      <c r="AB11" s="17">
        <f t="shared" si="3"/>
        <v>2.1428571428571428</v>
      </c>
      <c r="AC11" s="17">
        <f t="shared" si="3"/>
        <v>166</v>
      </c>
      <c r="AD11" s="17">
        <f t="shared" si="3"/>
        <v>0</v>
      </c>
      <c r="AE11" s="31">
        <f t="shared" si="3"/>
        <v>36</v>
      </c>
      <c r="AF11" s="31">
        <f t="shared" si="3"/>
        <v>202</v>
      </c>
    </row>
    <row r="12" spans="2:32" ht="23.1" customHeight="1" x14ac:dyDescent="0.25">
      <c r="B12" s="23" t="s">
        <v>39</v>
      </c>
      <c r="C12" s="49">
        <f>AVERAGE('09.09 Katungulu-Ishaka'!C12,'10.09 Katungulu-Ishaka'!C12,'11.09 Katungulu-Ishaka'!C12,'12.09 Katungulu-Ishaka'!C12,'07.09. Katungulu-Ishaka-24h'!C12,'08.09 Katungulu-Ishaka-24h'!C12,'13.09 Katungulu-Ishaka'!C12)</f>
        <v>0.5714285714285714</v>
      </c>
      <c r="D12" s="49">
        <f>AVERAGE('09.09 Katungulu-Ishaka'!D12,'10.09 Katungulu-Ishaka'!D12,'11.09 Katungulu-Ishaka'!D12,'12.09 Katungulu-Ishaka'!D12,'07.09. Katungulu-Ishaka-24h'!D12,'08.09 Katungulu-Ishaka-24h'!D12,'13.09 Katungulu-Ishaka'!D12)</f>
        <v>0</v>
      </c>
      <c r="E12" s="49">
        <f>AVERAGE('09.09 Katungulu-Ishaka'!E12,'10.09 Katungulu-Ishaka'!E12,'11.09 Katungulu-Ishaka'!E12,'12.09 Katungulu-Ishaka'!E12,'07.09. Katungulu-Ishaka-24h'!E12,'08.09 Katungulu-Ishaka-24h'!E12,'13.09 Katungulu-Ishaka'!E12)</f>
        <v>0.2857142857142857</v>
      </c>
      <c r="F12" s="49">
        <f>AVERAGE('09.09 Katungulu-Ishaka'!F12,'10.09 Katungulu-Ishaka'!F12,'11.09 Katungulu-Ishaka'!F12,'12.09 Katungulu-Ishaka'!F12,'07.09. Katungulu-Ishaka-24h'!F12,'08.09 Katungulu-Ishaka-24h'!F12,'13.09 Katungulu-Ishaka'!F12)</f>
        <v>0.8571428571428571</v>
      </c>
      <c r="G12" s="49">
        <f>AVERAGE('09.09 Katungulu-Ishaka'!G12,'10.09 Katungulu-Ishaka'!G12,'11.09 Katungulu-Ishaka'!G12,'12.09 Katungulu-Ishaka'!G12,'07.09. Katungulu-Ishaka-24h'!G12,'08.09 Katungulu-Ishaka-24h'!G12,'13.09 Katungulu-Ishaka'!G12)</f>
        <v>0</v>
      </c>
      <c r="H12" s="49">
        <f>AVERAGE('09.09 Katungulu-Ishaka'!H12,'10.09 Katungulu-Ishaka'!H12,'11.09 Katungulu-Ishaka'!H12,'12.09 Katungulu-Ishaka'!H12,'07.09. Katungulu-Ishaka-24h'!H12,'08.09 Katungulu-Ishaka-24h'!H12,'13.09 Katungulu-Ishaka'!H12)</f>
        <v>0</v>
      </c>
      <c r="I12" s="49">
        <f>AVERAGE('09.09 Katungulu-Ishaka'!I12,'10.09 Katungulu-Ishaka'!I12,'11.09 Katungulu-Ishaka'!I12,'12.09 Katungulu-Ishaka'!I12,'07.09. Katungulu-Ishaka-24h'!I12,'08.09 Katungulu-Ishaka-24h'!I12,'13.09 Katungulu-Ishaka'!I12)</f>
        <v>0.14285714285714285</v>
      </c>
      <c r="J12" s="49">
        <f>AVERAGE('09.09 Katungulu-Ishaka'!J12,'10.09 Katungulu-Ishaka'!J12,'11.09 Katungulu-Ishaka'!J12,'12.09 Katungulu-Ishaka'!J12,'07.09. Katungulu-Ishaka-24h'!J12,'08.09 Katungulu-Ishaka-24h'!J12,'13.09 Katungulu-Ishaka'!J12)</f>
        <v>0</v>
      </c>
      <c r="K12" s="49">
        <f>AVERAGE('09.09 Katungulu-Ishaka'!K12,'10.09 Katungulu-Ishaka'!K12,'11.09 Katungulu-Ishaka'!K12,'12.09 Katungulu-Ishaka'!K12,'07.09. Katungulu-Ishaka-24h'!K12,'08.09 Katungulu-Ishaka-24h'!K12,'13.09 Katungulu-Ishaka'!K12)</f>
        <v>0</v>
      </c>
      <c r="L12" s="49">
        <f>AVERAGE('09.09 Katungulu-Ishaka'!L12,'10.09 Katungulu-Ishaka'!L12,'11.09 Katungulu-Ishaka'!L12,'12.09 Katungulu-Ishaka'!L12,'07.09. Katungulu-Ishaka-24h'!L12,'08.09 Katungulu-Ishaka-24h'!L12,'13.09 Katungulu-Ishaka'!L12)</f>
        <v>0.2857142857142857</v>
      </c>
      <c r="M12" s="49">
        <f>AVERAGE('09.09 Katungulu-Ishaka'!M12,'10.09 Katungulu-Ishaka'!M12,'11.09 Katungulu-Ishaka'!M12,'12.09 Katungulu-Ishaka'!M12,'07.09. Katungulu-Ishaka-24h'!M12,'08.09 Katungulu-Ishaka-24h'!M12,'13.09 Katungulu-Ishaka'!M12)</f>
        <v>11.714285714285714</v>
      </c>
      <c r="N12" s="49">
        <f>AVERAGE('09.09 Katungulu-Ishaka'!N12,'10.09 Katungulu-Ishaka'!N12,'11.09 Katungulu-Ishaka'!N12,'12.09 Katungulu-Ishaka'!N12,'07.09. Katungulu-Ishaka-24h'!N12,'08.09 Katungulu-Ishaka-24h'!N12,'13.09 Katungulu-Ishaka'!N12)</f>
        <v>0</v>
      </c>
      <c r="O12" s="15">
        <f t="shared" si="0"/>
        <v>2.1428571428571428</v>
      </c>
      <c r="P12" s="15">
        <f t="shared" si="1"/>
        <v>13.857142857142856</v>
      </c>
      <c r="R12" s="1" t="s">
        <v>8</v>
      </c>
      <c r="S12" s="17">
        <f t="shared" ref="S12:AF12" si="4">SUM(C18:C21)</f>
        <v>14.714285714285715</v>
      </c>
      <c r="T12" s="17">
        <f t="shared" si="4"/>
        <v>1.4285714285714284</v>
      </c>
      <c r="U12" s="17">
        <f t="shared" si="4"/>
        <v>11</v>
      </c>
      <c r="V12" s="17">
        <f t="shared" si="4"/>
        <v>14.428571428571429</v>
      </c>
      <c r="W12" s="17">
        <f t="shared" si="4"/>
        <v>0.8571428571428571</v>
      </c>
      <c r="X12" s="17">
        <f t="shared" si="4"/>
        <v>1.1428571428571428</v>
      </c>
      <c r="Y12" s="17">
        <f t="shared" si="4"/>
        <v>3.1428571428571428</v>
      </c>
      <c r="Z12" s="17">
        <f t="shared" si="4"/>
        <v>1.5714285714285714</v>
      </c>
      <c r="AA12" s="17">
        <f t="shared" si="4"/>
        <v>1.4285714285714284</v>
      </c>
      <c r="AB12" s="17">
        <f t="shared" si="4"/>
        <v>9.2857142857142847</v>
      </c>
      <c r="AC12" s="17">
        <f t="shared" si="4"/>
        <v>204.85714285714286</v>
      </c>
      <c r="AD12" s="17">
        <f t="shared" si="4"/>
        <v>0.2857142857142857</v>
      </c>
      <c r="AE12" s="31">
        <f t="shared" si="4"/>
        <v>59.285714285714292</v>
      </c>
      <c r="AF12" s="31">
        <f t="shared" si="4"/>
        <v>264.14285714285717</v>
      </c>
    </row>
    <row r="13" spans="2:32" ht="23.1" customHeight="1" x14ac:dyDescent="0.25">
      <c r="B13" s="23" t="s">
        <v>40</v>
      </c>
      <c r="C13" s="49">
        <f>AVERAGE('09.09 Katungulu-Ishaka'!C13,'10.09 Katungulu-Ishaka'!C13,'11.09 Katungulu-Ishaka'!C13,'12.09 Katungulu-Ishaka'!C13,'07.09. Katungulu-Ishaka-24h'!C13,'08.09 Katungulu-Ishaka-24h'!C13,'13.09 Katungulu-Ishaka'!C13)</f>
        <v>1.4285714285714286</v>
      </c>
      <c r="D13" s="49">
        <f>AVERAGE('09.09 Katungulu-Ishaka'!D13,'10.09 Katungulu-Ishaka'!D13,'11.09 Katungulu-Ishaka'!D13,'12.09 Katungulu-Ishaka'!D13,'07.09. Katungulu-Ishaka-24h'!D13,'08.09 Katungulu-Ishaka-24h'!D13,'13.09 Katungulu-Ishaka'!D13)</f>
        <v>0.14285714285714285</v>
      </c>
      <c r="E13" s="49">
        <f>AVERAGE('09.09 Katungulu-Ishaka'!E13,'10.09 Katungulu-Ishaka'!E13,'11.09 Katungulu-Ishaka'!E13,'12.09 Katungulu-Ishaka'!E13,'07.09. Katungulu-Ishaka-24h'!E13,'08.09 Katungulu-Ishaka-24h'!E13,'13.09 Katungulu-Ishaka'!E13)</f>
        <v>1.1428571428571428</v>
      </c>
      <c r="F13" s="49">
        <f>AVERAGE('09.09 Katungulu-Ishaka'!F13,'10.09 Katungulu-Ishaka'!F13,'11.09 Katungulu-Ishaka'!F13,'12.09 Katungulu-Ishaka'!F13,'07.09. Katungulu-Ishaka-24h'!F13,'08.09 Katungulu-Ishaka-24h'!F13,'13.09 Katungulu-Ishaka'!F13)</f>
        <v>2.1428571428571428</v>
      </c>
      <c r="G13" s="49">
        <f>AVERAGE('09.09 Katungulu-Ishaka'!G13,'10.09 Katungulu-Ishaka'!G13,'11.09 Katungulu-Ishaka'!G13,'12.09 Katungulu-Ishaka'!G13,'07.09. Katungulu-Ishaka-24h'!G13,'08.09 Katungulu-Ishaka-24h'!G13,'13.09 Katungulu-Ishaka'!G13)</f>
        <v>0</v>
      </c>
      <c r="H13" s="49">
        <f>AVERAGE('09.09 Katungulu-Ishaka'!H13,'10.09 Katungulu-Ishaka'!H13,'11.09 Katungulu-Ishaka'!H13,'12.09 Katungulu-Ishaka'!H13,'07.09. Katungulu-Ishaka-24h'!H13,'08.09 Katungulu-Ishaka-24h'!H13,'13.09 Katungulu-Ishaka'!H13)</f>
        <v>0.14285714285714285</v>
      </c>
      <c r="I13" s="49">
        <f>AVERAGE('09.09 Katungulu-Ishaka'!I13,'10.09 Katungulu-Ishaka'!I13,'11.09 Katungulu-Ishaka'!I13,'12.09 Katungulu-Ishaka'!I13,'07.09. Katungulu-Ishaka-24h'!I13,'08.09 Katungulu-Ishaka-24h'!I13,'13.09 Katungulu-Ishaka'!I13)</f>
        <v>0.42857142857142855</v>
      </c>
      <c r="J13" s="49">
        <f>AVERAGE('09.09 Katungulu-Ishaka'!J13,'10.09 Katungulu-Ishaka'!J13,'11.09 Katungulu-Ishaka'!J13,'12.09 Katungulu-Ishaka'!J13,'07.09. Katungulu-Ishaka-24h'!J13,'08.09 Katungulu-Ishaka-24h'!J13,'13.09 Katungulu-Ishaka'!J13)</f>
        <v>0.2857142857142857</v>
      </c>
      <c r="K13" s="49">
        <f>AVERAGE('09.09 Katungulu-Ishaka'!K13,'10.09 Katungulu-Ishaka'!K13,'11.09 Katungulu-Ishaka'!K13,'12.09 Katungulu-Ishaka'!K13,'07.09. Katungulu-Ishaka-24h'!K13,'08.09 Katungulu-Ishaka-24h'!K13,'13.09 Katungulu-Ishaka'!K13)</f>
        <v>0.2857142857142857</v>
      </c>
      <c r="L13" s="49">
        <f>AVERAGE('09.09 Katungulu-Ishaka'!L13,'10.09 Katungulu-Ishaka'!L13,'11.09 Katungulu-Ishaka'!L13,'12.09 Katungulu-Ishaka'!L13,'07.09. Katungulu-Ishaka-24h'!L13,'08.09 Katungulu-Ishaka-24h'!L13,'13.09 Katungulu-Ishaka'!L13)</f>
        <v>0.8571428571428571</v>
      </c>
      <c r="M13" s="49">
        <f>AVERAGE('09.09 Katungulu-Ishaka'!M13,'10.09 Katungulu-Ishaka'!M13,'11.09 Katungulu-Ishaka'!M13,'12.09 Katungulu-Ishaka'!M13,'07.09. Katungulu-Ishaka-24h'!M13,'08.09 Katungulu-Ishaka-24h'!M13,'13.09 Katungulu-Ishaka'!M13)</f>
        <v>22.142857142857142</v>
      </c>
      <c r="N13" s="49">
        <f>AVERAGE('09.09 Katungulu-Ishaka'!N13,'10.09 Katungulu-Ishaka'!N13,'11.09 Katungulu-Ishaka'!N13,'12.09 Katungulu-Ishaka'!N13,'07.09. Katungulu-Ishaka-24h'!N13,'08.09 Katungulu-Ishaka-24h'!N13,'13.09 Katungulu-Ishaka'!N13)</f>
        <v>0</v>
      </c>
      <c r="O13" s="15">
        <f t="shared" si="0"/>
        <v>6.8571428571428577</v>
      </c>
      <c r="P13" s="15">
        <f t="shared" si="1"/>
        <v>29</v>
      </c>
      <c r="R13" s="1" t="s">
        <v>9</v>
      </c>
      <c r="S13" s="17">
        <f t="shared" ref="S13:AF13" si="5">SUM(C22:C25)</f>
        <v>21.428571428571431</v>
      </c>
      <c r="T13" s="17">
        <f t="shared" si="5"/>
        <v>2</v>
      </c>
      <c r="U13" s="17">
        <f t="shared" si="5"/>
        <v>11.285714285714286</v>
      </c>
      <c r="V13" s="17">
        <f t="shared" si="5"/>
        <v>16.285714285714288</v>
      </c>
      <c r="W13" s="17">
        <f t="shared" si="5"/>
        <v>0</v>
      </c>
      <c r="X13" s="17">
        <f t="shared" si="5"/>
        <v>0.71428571428571419</v>
      </c>
      <c r="Y13" s="17">
        <f t="shared" si="5"/>
        <v>4.7142857142857144</v>
      </c>
      <c r="Z13" s="17">
        <f t="shared" si="5"/>
        <v>0.71428571428571419</v>
      </c>
      <c r="AA13" s="17">
        <f t="shared" si="5"/>
        <v>6.5714285714285721</v>
      </c>
      <c r="AB13" s="17">
        <f t="shared" si="5"/>
        <v>6.2857142857142847</v>
      </c>
      <c r="AC13" s="17">
        <f t="shared" si="5"/>
        <v>208.28571428571428</v>
      </c>
      <c r="AD13" s="17">
        <f t="shared" si="5"/>
        <v>0.2857142857142857</v>
      </c>
      <c r="AE13" s="31">
        <f t="shared" si="5"/>
        <v>70.285714285714278</v>
      </c>
      <c r="AF13" s="31">
        <f t="shared" si="5"/>
        <v>278.57142857142856</v>
      </c>
    </row>
    <row r="14" spans="2:32" ht="23.1" customHeight="1" x14ac:dyDescent="0.25">
      <c r="B14" s="23" t="s">
        <v>41</v>
      </c>
      <c r="C14" s="49">
        <f>AVERAGE('09.09 Katungulu-Ishaka'!C14,'10.09 Katungulu-Ishaka'!C14,'11.09 Katungulu-Ishaka'!C14,'12.09 Katungulu-Ishaka'!C14,'07.09. Katungulu-Ishaka-24h'!C14,'08.09 Katungulu-Ishaka-24h'!C14,'13.09 Katungulu-Ishaka'!C14)</f>
        <v>1.8571428571428572</v>
      </c>
      <c r="D14" s="49">
        <f>AVERAGE('09.09 Katungulu-Ishaka'!D14,'10.09 Katungulu-Ishaka'!D14,'11.09 Katungulu-Ishaka'!D14,'12.09 Katungulu-Ishaka'!D14,'07.09. Katungulu-Ishaka-24h'!D14,'08.09 Katungulu-Ishaka-24h'!D14,'13.09 Katungulu-Ishaka'!D14)</f>
        <v>0</v>
      </c>
      <c r="E14" s="49">
        <f>AVERAGE('09.09 Katungulu-Ishaka'!E14,'10.09 Katungulu-Ishaka'!E14,'11.09 Katungulu-Ishaka'!E14,'12.09 Katungulu-Ishaka'!E14,'07.09. Katungulu-Ishaka-24h'!E14,'08.09 Katungulu-Ishaka-24h'!E14,'13.09 Katungulu-Ishaka'!E14)</f>
        <v>1.2857142857142858</v>
      </c>
      <c r="F14" s="49">
        <f>AVERAGE('09.09 Katungulu-Ishaka'!F14,'10.09 Katungulu-Ishaka'!F14,'11.09 Katungulu-Ishaka'!F14,'12.09 Katungulu-Ishaka'!F14,'07.09. Katungulu-Ishaka-24h'!F14,'08.09 Katungulu-Ishaka-24h'!F14,'13.09 Katungulu-Ishaka'!F14)</f>
        <v>1.8571428571428572</v>
      </c>
      <c r="G14" s="49">
        <f>AVERAGE('09.09 Katungulu-Ishaka'!G14,'10.09 Katungulu-Ishaka'!G14,'11.09 Katungulu-Ishaka'!G14,'12.09 Katungulu-Ishaka'!G14,'07.09. Katungulu-Ishaka-24h'!G14,'08.09 Katungulu-Ishaka-24h'!G14,'13.09 Katungulu-Ishaka'!G14)</f>
        <v>0</v>
      </c>
      <c r="H14" s="49">
        <f>AVERAGE('09.09 Katungulu-Ishaka'!H14,'10.09 Katungulu-Ishaka'!H14,'11.09 Katungulu-Ishaka'!H14,'12.09 Katungulu-Ishaka'!H14,'07.09. Katungulu-Ishaka-24h'!H14,'08.09 Katungulu-Ishaka-24h'!H14,'13.09 Katungulu-Ishaka'!H14)</f>
        <v>0</v>
      </c>
      <c r="I14" s="49">
        <f>AVERAGE('09.09 Katungulu-Ishaka'!I14,'10.09 Katungulu-Ishaka'!I14,'11.09 Katungulu-Ishaka'!I14,'12.09 Katungulu-Ishaka'!I14,'07.09. Katungulu-Ishaka-24h'!I14,'08.09 Katungulu-Ishaka-24h'!I14,'13.09 Katungulu-Ishaka'!I14)</f>
        <v>0.42857142857142855</v>
      </c>
      <c r="J14" s="49">
        <f>AVERAGE('09.09 Katungulu-Ishaka'!J14,'10.09 Katungulu-Ishaka'!J14,'11.09 Katungulu-Ishaka'!J14,'12.09 Katungulu-Ishaka'!J14,'07.09. Katungulu-Ishaka-24h'!J14,'08.09 Katungulu-Ishaka-24h'!J14,'13.09 Katungulu-Ishaka'!J14)</f>
        <v>0.14285714285714285</v>
      </c>
      <c r="K14" s="49">
        <f>AVERAGE('09.09 Katungulu-Ishaka'!K14,'10.09 Katungulu-Ishaka'!K14,'11.09 Katungulu-Ishaka'!K14,'12.09 Katungulu-Ishaka'!K14,'07.09. Katungulu-Ishaka-24h'!K14,'08.09 Katungulu-Ishaka-24h'!K14,'13.09 Katungulu-Ishaka'!K14)</f>
        <v>0</v>
      </c>
      <c r="L14" s="49">
        <f>AVERAGE('09.09 Katungulu-Ishaka'!L14,'10.09 Katungulu-Ishaka'!L14,'11.09 Katungulu-Ishaka'!L14,'12.09 Katungulu-Ishaka'!L14,'07.09. Katungulu-Ishaka-24h'!L14,'08.09 Katungulu-Ishaka-24h'!L14,'13.09 Katungulu-Ishaka'!L14)</f>
        <v>0.2857142857142857</v>
      </c>
      <c r="M14" s="49">
        <f>AVERAGE('09.09 Katungulu-Ishaka'!M14,'10.09 Katungulu-Ishaka'!M14,'11.09 Katungulu-Ishaka'!M14,'12.09 Katungulu-Ishaka'!M14,'07.09. Katungulu-Ishaka-24h'!M14,'08.09 Katungulu-Ishaka-24h'!M14,'13.09 Katungulu-Ishaka'!M14)</f>
        <v>25.571428571428573</v>
      </c>
      <c r="N14" s="49">
        <f>AVERAGE('09.09 Katungulu-Ishaka'!N14,'10.09 Katungulu-Ishaka'!N14,'11.09 Katungulu-Ishaka'!N14,'12.09 Katungulu-Ishaka'!N14,'07.09. Katungulu-Ishaka-24h'!N14,'08.09 Katungulu-Ishaka-24h'!N14,'13.09 Katungulu-Ishaka'!N14)</f>
        <v>0</v>
      </c>
      <c r="O14" s="15">
        <f t="shared" si="0"/>
        <v>5.8571428571428577</v>
      </c>
      <c r="P14" s="15">
        <f t="shared" si="1"/>
        <v>31.428571428571431</v>
      </c>
      <c r="R14" s="1" t="s">
        <v>10</v>
      </c>
      <c r="S14" s="17">
        <f t="shared" ref="S14:AF14" si="6">SUM(C26:C29)</f>
        <v>19.714285714285715</v>
      </c>
      <c r="T14" s="17">
        <f t="shared" si="6"/>
        <v>2.2857142857142856</v>
      </c>
      <c r="U14" s="17">
        <f t="shared" si="6"/>
        <v>14</v>
      </c>
      <c r="V14" s="17">
        <f t="shared" si="6"/>
        <v>13.714285714285714</v>
      </c>
      <c r="W14" s="17">
        <f t="shared" si="6"/>
        <v>0</v>
      </c>
      <c r="X14" s="17">
        <f t="shared" si="6"/>
        <v>0.14285714285714285</v>
      </c>
      <c r="Y14" s="17">
        <f t="shared" si="6"/>
        <v>2.7142857142857144</v>
      </c>
      <c r="Z14" s="17">
        <f t="shared" si="6"/>
        <v>2.2857142857142856</v>
      </c>
      <c r="AA14" s="17">
        <f t="shared" si="6"/>
        <v>7.8571428571428568</v>
      </c>
      <c r="AB14" s="17">
        <f t="shared" si="6"/>
        <v>6.4285714285714288</v>
      </c>
      <c r="AC14" s="17">
        <f t="shared" si="6"/>
        <v>190.85714285714286</v>
      </c>
      <c r="AD14" s="17">
        <f t="shared" si="6"/>
        <v>0.14285714285714285</v>
      </c>
      <c r="AE14" s="31">
        <f t="shared" si="6"/>
        <v>69.285714285714292</v>
      </c>
      <c r="AF14" s="31">
        <f t="shared" si="6"/>
        <v>260.14285714285717</v>
      </c>
    </row>
    <row r="15" spans="2:32" ht="23.1" customHeight="1" x14ac:dyDescent="0.25">
      <c r="B15" s="23" t="s">
        <v>42</v>
      </c>
      <c r="C15" s="49">
        <f>AVERAGE('09.09 Katungulu-Ishaka'!C15,'10.09 Katungulu-Ishaka'!C15,'11.09 Katungulu-Ishaka'!C15,'12.09 Katungulu-Ishaka'!C15,'07.09. Katungulu-Ishaka-24h'!C15,'08.09 Katungulu-Ishaka-24h'!C15,'13.09 Katungulu-Ishaka'!C15)</f>
        <v>3.1428571428571428</v>
      </c>
      <c r="D15" s="49">
        <f>AVERAGE('09.09 Katungulu-Ishaka'!D15,'10.09 Katungulu-Ishaka'!D15,'11.09 Katungulu-Ishaka'!D15,'12.09 Katungulu-Ishaka'!D15,'07.09. Katungulu-Ishaka-24h'!D15,'08.09 Katungulu-Ishaka-24h'!D15,'13.09 Katungulu-Ishaka'!D15)</f>
        <v>0.2857142857142857</v>
      </c>
      <c r="E15" s="49">
        <f>AVERAGE('09.09 Katungulu-Ishaka'!E15,'10.09 Katungulu-Ishaka'!E15,'11.09 Katungulu-Ishaka'!E15,'12.09 Katungulu-Ishaka'!E15,'07.09. Katungulu-Ishaka-24h'!E15,'08.09 Katungulu-Ishaka-24h'!E15,'13.09 Katungulu-Ishaka'!E15)</f>
        <v>2.5714285714285716</v>
      </c>
      <c r="F15" s="49">
        <f>AVERAGE('09.09 Katungulu-Ishaka'!F15,'10.09 Katungulu-Ishaka'!F15,'11.09 Katungulu-Ishaka'!F15,'12.09 Katungulu-Ishaka'!F15,'07.09. Katungulu-Ishaka-24h'!F15,'08.09 Katungulu-Ishaka-24h'!F15,'13.09 Katungulu-Ishaka'!F15)</f>
        <v>3.5714285714285716</v>
      </c>
      <c r="G15" s="49">
        <f>AVERAGE('09.09 Katungulu-Ishaka'!G15,'10.09 Katungulu-Ishaka'!G15,'11.09 Katungulu-Ishaka'!G15,'12.09 Katungulu-Ishaka'!G15,'07.09. Katungulu-Ishaka-24h'!G15,'08.09 Katungulu-Ishaka-24h'!G15,'13.09 Katungulu-Ishaka'!G15)</f>
        <v>0.14285714285714285</v>
      </c>
      <c r="H15" s="49">
        <f>AVERAGE('09.09 Katungulu-Ishaka'!H15,'10.09 Katungulu-Ishaka'!H15,'11.09 Katungulu-Ishaka'!H15,'12.09 Katungulu-Ishaka'!H15,'07.09. Katungulu-Ishaka-24h'!H15,'08.09 Katungulu-Ishaka-24h'!H15,'13.09 Katungulu-Ishaka'!H15)</f>
        <v>0.14285714285714285</v>
      </c>
      <c r="I15" s="49">
        <f>AVERAGE('09.09 Katungulu-Ishaka'!I15,'10.09 Katungulu-Ishaka'!I15,'11.09 Katungulu-Ishaka'!I15,'12.09 Katungulu-Ishaka'!I15,'07.09. Katungulu-Ishaka-24h'!I15,'08.09 Katungulu-Ishaka-24h'!I15,'13.09 Katungulu-Ishaka'!I15)</f>
        <v>1.2857142857142858</v>
      </c>
      <c r="J15" s="49">
        <f>AVERAGE('09.09 Katungulu-Ishaka'!J15,'10.09 Katungulu-Ishaka'!J15,'11.09 Katungulu-Ishaka'!J15,'12.09 Katungulu-Ishaka'!J15,'07.09. Katungulu-Ishaka-24h'!J15,'08.09 Katungulu-Ishaka-24h'!J15,'13.09 Katungulu-Ishaka'!J15)</f>
        <v>0.42857142857142855</v>
      </c>
      <c r="K15" s="49">
        <f>AVERAGE('09.09 Katungulu-Ishaka'!K15,'10.09 Katungulu-Ishaka'!K15,'11.09 Katungulu-Ishaka'!K15,'12.09 Katungulu-Ishaka'!K15,'07.09. Katungulu-Ishaka-24h'!K15,'08.09 Katungulu-Ishaka-24h'!K15,'13.09 Katungulu-Ishaka'!K15)</f>
        <v>0.2857142857142857</v>
      </c>
      <c r="L15" s="49">
        <f>AVERAGE('09.09 Katungulu-Ishaka'!L15,'10.09 Katungulu-Ishaka'!L15,'11.09 Katungulu-Ishaka'!L15,'12.09 Katungulu-Ishaka'!L15,'07.09. Katungulu-Ishaka-24h'!L15,'08.09 Katungulu-Ishaka-24h'!L15,'13.09 Katungulu-Ishaka'!L15)</f>
        <v>0.7142857142857143</v>
      </c>
      <c r="M15" s="49">
        <f>AVERAGE('09.09 Katungulu-Ishaka'!M15,'10.09 Katungulu-Ishaka'!M15,'11.09 Katungulu-Ishaka'!M15,'12.09 Katungulu-Ishaka'!M15,'07.09. Katungulu-Ishaka-24h'!M15,'08.09 Katungulu-Ishaka-24h'!M15,'13.09 Katungulu-Ishaka'!M15)</f>
        <v>47</v>
      </c>
      <c r="N15" s="49">
        <f>AVERAGE('09.09 Katungulu-Ishaka'!N15,'10.09 Katungulu-Ishaka'!N15,'11.09 Katungulu-Ishaka'!N15,'12.09 Katungulu-Ishaka'!N15,'07.09. Katungulu-Ishaka-24h'!N15,'08.09 Katungulu-Ishaka-24h'!N15,'13.09 Katungulu-Ishaka'!N15)</f>
        <v>0</v>
      </c>
      <c r="O15" s="15">
        <f t="shared" si="0"/>
        <v>12.571428571428571</v>
      </c>
      <c r="P15" s="15">
        <f t="shared" si="1"/>
        <v>59.571428571428569</v>
      </c>
      <c r="R15" s="1" t="s">
        <v>11</v>
      </c>
      <c r="S15" s="17">
        <f t="shared" ref="S15:AF15" si="7">SUM(C30:C33)</f>
        <v>19.857142857142858</v>
      </c>
      <c r="T15" s="17">
        <f t="shared" si="7"/>
        <v>2.8571428571428572</v>
      </c>
      <c r="U15" s="17">
        <f t="shared" si="7"/>
        <v>12.714285714285715</v>
      </c>
      <c r="V15" s="17">
        <f t="shared" si="7"/>
        <v>13.285714285714285</v>
      </c>
      <c r="W15" s="17">
        <f t="shared" si="7"/>
        <v>0.14285714285714285</v>
      </c>
      <c r="X15" s="17">
        <f t="shared" si="7"/>
        <v>0</v>
      </c>
      <c r="Y15" s="17">
        <f t="shared" si="7"/>
        <v>4.8571428571428568</v>
      </c>
      <c r="Z15" s="17">
        <f t="shared" si="7"/>
        <v>4.2857142857142856</v>
      </c>
      <c r="AA15" s="17">
        <f t="shared" si="7"/>
        <v>4.2857142857142856</v>
      </c>
      <c r="AB15" s="17">
        <f t="shared" si="7"/>
        <v>3.2857142857142856</v>
      </c>
      <c r="AC15" s="17">
        <f t="shared" si="7"/>
        <v>185.42857142857142</v>
      </c>
      <c r="AD15" s="17">
        <f t="shared" si="7"/>
        <v>0</v>
      </c>
      <c r="AE15" s="31">
        <f t="shared" si="7"/>
        <v>65.571428571428569</v>
      </c>
      <c r="AF15" s="31">
        <f t="shared" si="7"/>
        <v>251</v>
      </c>
    </row>
    <row r="16" spans="2:32" ht="23.1" customHeight="1" x14ac:dyDescent="0.25">
      <c r="B16" s="23" t="s">
        <v>43</v>
      </c>
      <c r="C16" s="49">
        <f>AVERAGE('09.09 Katungulu-Ishaka'!C16,'10.09 Katungulu-Ishaka'!C16,'11.09 Katungulu-Ishaka'!C16,'12.09 Katungulu-Ishaka'!C16,'07.09. Katungulu-Ishaka-24h'!C16,'08.09 Katungulu-Ishaka-24h'!C16,'13.09 Katungulu-Ishaka'!C16)</f>
        <v>1.2857142857142858</v>
      </c>
      <c r="D16" s="49">
        <f>AVERAGE('09.09 Katungulu-Ishaka'!D16,'10.09 Katungulu-Ishaka'!D16,'11.09 Katungulu-Ishaka'!D16,'12.09 Katungulu-Ishaka'!D16,'07.09. Katungulu-Ishaka-24h'!D16,'08.09 Katungulu-Ishaka-24h'!D16,'13.09 Katungulu-Ishaka'!D16)</f>
        <v>0</v>
      </c>
      <c r="E16" s="49">
        <f>AVERAGE('09.09 Katungulu-Ishaka'!E16,'10.09 Katungulu-Ishaka'!E16,'11.09 Katungulu-Ishaka'!E16,'12.09 Katungulu-Ishaka'!E16,'07.09. Katungulu-Ishaka-24h'!E16,'08.09 Katungulu-Ishaka-24h'!E16,'13.09 Katungulu-Ishaka'!E16)</f>
        <v>0.7142857142857143</v>
      </c>
      <c r="F16" s="49">
        <f>AVERAGE('09.09 Katungulu-Ishaka'!F16,'10.09 Katungulu-Ishaka'!F16,'11.09 Katungulu-Ishaka'!F16,'12.09 Katungulu-Ishaka'!F16,'07.09. Katungulu-Ishaka-24h'!F16,'08.09 Katungulu-Ishaka-24h'!F16,'13.09 Katungulu-Ishaka'!F16)</f>
        <v>1.8571428571428572</v>
      </c>
      <c r="G16" s="49">
        <f>AVERAGE('09.09 Katungulu-Ishaka'!G16,'10.09 Katungulu-Ishaka'!G16,'11.09 Katungulu-Ishaka'!G16,'12.09 Katungulu-Ishaka'!G16,'07.09. Katungulu-Ishaka-24h'!G16,'08.09 Katungulu-Ishaka-24h'!G16,'13.09 Katungulu-Ishaka'!G16)</f>
        <v>0</v>
      </c>
      <c r="H16" s="49">
        <f>AVERAGE('09.09 Katungulu-Ishaka'!H16,'10.09 Katungulu-Ishaka'!H16,'11.09 Katungulu-Ishaka'!H16,'12.09 Katungulu-Ishaka'!H16,'07.09. Katungulu-Ishaka-24h'!H16,'08.09 Katungulu-Ishaka-24h'!H16,'13.09 Katungulu-Ishaka'!H16)</f>
        <v>0</v>
      </c>
      <c r="I16" s="49">
        <f>AVERAGE('09.09 Katungulu-Ishaka'!I16,'10.09 Katungulu-Ishaka'!I16,'11.09 Katungulu-Ishaka'!I16,'12.09 Katungulu-Ishaka'!I16,'07.09. Katungulu-Ishaka-24h'!I16,'08.09 Katungulu-Ishaka-24h'!I16,'13.09 Katungulu-Ishaka'!I16)</f>
        <v>0.5714285714285714</v>
      </c>
      <c r="J16" s="49">
        <f>AVERAGE('09.09 Katungulu-Ishaka'!J16,'10.09 Katungulu-Ishaka'!J16,'11.09 Katungulu-Ishaka'!J16,'12.09 Katungulu-Ishaka'!J16,'07.09. Katungulu-Ishaka-24h'!J16,'08.09 Katungulu-Ishaka-24h'!J16,'13.09 Katungulu-Ishaka'!J16)</f>
        <v>0.42857142857142855</v>
      </c>
      <c r="K16" s="49">
        <f>AVERAGE('09.09 Katungulu-Ishaka'!K16,'10.09 Katungulu-Ishaka'!K16,'11.09 Katungulu-Ishaka'!K16,'12.09 Katungulu-Ishaka'!K16,'07.09. Katungulu-Ishaka-24h'!K16,'08.09 Katungulu-Ishaka-24h'!K16,'13.09 Katungulu-Ishaka'!K16)</f>
        <v>0.14285714285714285</v>
      </c>
      <c r="L16" s="49">
        <f>AVERAGE('09.09 Katungulu-Ishaka'!L16,'10.09 Katungulu-Ishaka'!L16,'11.09 Katungulu-Ishaka'!L16,'12.09 Katungulu-Ishaka'!L16,'07.09. Katungulu-Ishaka-24h'!L16,'08.09 Katungulu-Ishaka-24h'!L16,'13.09 Katungulu-Ishaka'!L16)</f>
        <v>0.2857142857142857</v>
      </c>
      <c r="M16" s="49">
        <f>AVERAGE('09.09 Katungulu-Ishaka'!M16,'10.09 Katungulu-Ishaka'!M16,'11.09 Katungulu-Ishaka'!M16,'12.09 Katungulu-Ishaka'!M16,'07.09. Katungulu-Ishaka-24h'!M16,'08.09 Katungulu-Ishaka-24h'!M16,'13.09 Katungulu-Ishaka'!M16)</f>
        <v>33.142857142857146</v>
      </c>
      <c r="N16" s="49">
        <f>AVERAGE('09.09 Katungulu-Ishaka'!N16,'10.09 Katungulu-Ishaka'!N16,'11.09 Katungulu-Ishaka'!N16,'12.09 Katungulu-Ishaka'!N16,'07.09. Katungulu-Ishaka-24h'!N16,'08.09 Katungulu-Ishaka-24h'!N16,'13.09 Katungulu-Ishaka'!N16)</f>
        <v>0</v>
      </c>
      <c r="O16" s="15">
        <f t="shared" si="0"/>
        <v>5.2857142857142865</v>
      </c>
      <c r="P16" s="15">
        <f t="shared" si="1"/>
        <v>38.428571428571431</v>
      </c>
      <c r="R16" s="1" t="s">
        <v>12</v>
      </c>
      <c r="S16" s="17">
        <f t="shared" ref="S16:AF16" si="8">SUM(C34:C37)</f>
        <v>24.428571428571427</v>
      </c>
      <c r="T16" s="17">
        <f t="shared" si="8"/>
        <v>3</v>
      </c>
      <c r="U16" s="17">
        <f t="shared" si="8"/>
        <v>19.857142857142858</v>
      </c>
      <c r="V16" s="17">
        <f t="shared" si="8"/>
        <v>15.571428571428571</v>
      </c>
      <c r="W16" s="17">
        <f t="shared" si="8"/>
        <v>0.14285714285714285</v>
      </c>
      <c r="X16" s="17">
        <f t="shared" si="8"/>
        <v>0.14285714285714285</v>
      </c>
      <c r="Y16" s="17">
        <f t="shared" si="8"/>
        <v>7.2857142857142856</v>
      </c>
      <c r="Z16" s="17">
        <f t="shared" si="8"/>
        <v>4.4285714285714288</v>
      </c>
      <c r="AA16" s="17">
        <f t="shared" si="8"/>
        <v>5.7142857142857144</v>
      </c>
      <c r="AB16" s="17">
        <f t="shared" si="8"/>
        <v>5.5714285714285712</v>
      </c>
      <c r="AC16" s="17">
        <f t="shared" si="8"/>
        <v>187.71428571428572</v>
      </c>
      <c r="AD16" s="17">
        <f t="shared" si="8"/>
        <v>0</v>
      </c>
      <c r="AE16" s="31">
        <f t="shared" si="8"/>
        <v>86.142857142857139</v>
      </c>
      <c r="AF16" s="31">
        <f t="shared" si="8"/>
        <v>273.85714285714283</v>
      </c>
    </row>
    <row r="17" spans="2:32" ht="23.1" customHeight="1" x14ac:dyDescent="0.25">
      <c r="B17" s="23" t="s">
        <v>44</v>
      </c>
      <c r="C17" s="49">
        <f>AVERAGE('09.09 Katungulu-Ishaka'!C17,'10.09 Katungulu-Ishaka'!C17,'11.09 Katungulu-Ishaka'!C17,'12.09 Katungulu-Ishaka'!C17,'07.09. Katungulu-Ishaka-24h'!C17,'08.09 Katungulu-Ishaka-24h'!C17,'13.09 Katungulu-Ishaka'!C17)</f>
        <v>2.5714285714285716</v>
      </c>
      <c r="D17" s="49">
        <f>AVERAGE('09.09 Katungulu-Ishaka'!D17,'10.09 Katungulu-Ishaka'!D17,'11.09 Katungulu-Ishaka'!D17,'12.09 Katungulu-Ishaka'!D17,'07.09. Katungulu-Ishaka-24h'!D17,'08.09 Katungulu-Ishaka-24h'!D17,'13.09 Katungulu-Ishaka'!D17)</f>
        <v>0.14285714285714285</v>
      </c>
      <c r="E17" s="49">
        <f>AVERAGE('09.09 Katungulu-Ishaka'!E17,'10.09 Katungulu-Ishaka'!E17,'11.09 Katungulu-Ishaka'!E17,'12.09 Katungulu-Ishaka'!E17,'07.09. Katungulu-Ishaka-24h'!E17,'08.09 Katungulu-Ishaka-24h'!E17,'13.09 Katungulu-Ishaka'!E17)</f>
        <v>1.7142857142857142</v>
      </c>
      <c r="F17" s="49">
        <f>AVERAGE('09.09 Katungulu-Ishaka'!F17,'10.09 Katungulu-Ishaka'!F17,'11.09 Katungulu-Ishaka'!F17,'12.09 Katungulu-Ishaka'!F17,'07.09. Katungulu-Ishaka-24h'!F17,'08.09 Katungulu-Ishaka-24h'!F17,'13.09 Katungulu-Ishaka'!F17)</f>
        <v>3</v>
      </c>
      <c r="G17" s="49">
        <f>AVERAGE('09.09 Katungulu-Ishaka'!G17,'10.09 Katungulu-Ishaka'!G17,'11.09 Katungulu-Ishaka'!G17,'12.09 Katungulu-Ishaka'!G17,'07.09. Katungulu-Ishaka-24h'!G17,'08.09 Katungulu-Ishaka-24h'!G17,'13.09 Katungulu-Ishaka'!G17)</f>
        <v>0</v>
      </c>
      <c r="H17" s="49">
        <f>AVERAGE('09.09 Katungulu-Ishaka'!H17,'10.09 Katungulu-Ishaka'!H17,'11.09 Katungulu-Ishaka'!H17,'12.09 Katungulu-Ishaka'!H17,'07.09. Katungulu-Ishaka-24h'!H17,'08.09 Katungulu-Ishaka-24h'!H17,'13.09 Katungulu-Ishaka'!H17)</f>
        <v>0.5714285714285714</v>
      </c>
      <c r="I17" s="49">
        <f>AVERAGE('09.09 Katungulu-Ishaka'!I17,'10.09 Katungulu-Ishaka'!I17,'11.09 Katungulu-Ishaka'!I17,'12.09 Katungulu-Ishaka'!I17,'07.09. Katungulu-Ishaka-24h'!I17,'08.09 Katungulu-Ishaka-24h'!I17,'13.09 Katungulu-Ishaka'!I17)</f>
        <v>1.5714285714285714</v>
      </c>
      <c r="J17" s="49">
        <f>AVERAGE('09.09 Katungulu-Ishaka'!J17,'10.09 Katungulu-Ishaka'!J17,'11.09 Katungulu-Ishaka'!J17,'12.09 Katungulu-Ishaka'!J17,'07.09. Katungulu-Ishaka-24h'!J17,'08.09 Katungulu-Ishaka-24h'!J17,'13.09 Katungulu-Ishaka'!J17)</f>
        <v>1.1428571428571428</v>
      </c>
      <c r="K17" s="49">
        <f>AVERAGE('09.09 Katungulu-Ishaka'!K17,'10.09 Katungulu-Ishaka'!K17,'11.09 Katungulu-Ishaka'!K17,'12.09 Katungulu-Ishaka'!K17,'07.09. Katungulu-Ishaka-24h'!K17,'08.09 Katungulu-Ishaka-24h'!K17,'13.09 Katungulu-Ishaka'!K17)</f>
        <v>0.7142857142857143</v>
      </c>
      <c r="L17" s="49">
        <f>AVERAGE('09.09 Katungulu-Ishaka'!L17,'10.09 Katungulu-Ishaka'!L17,'11.09 Katungulu-Ishaka'!L17,'12.09 Katungulu-Ishaka'!L17,'07.09. Katungulu-Ishaka-24h'!L17,'08.09 Katungulu-Ishaka-24h'!L17,'13.09 Katungulu-Ishaka'!L17)</f>
        <v>0.8571428571428571</v>
      </c>
      <c r="M17" s="49">
        <f>AVERAGE('09.09 Katungulu-Ishaka'!M17,'10.09 Katungulu-Ishaka'!M17,'11.09 Katungulu-Ishaka'!M17,'12.09 Katungulu-Ishaka'!M17,'07.09. Katungulu-Ishaka-24h'!M17,'08.09 Katungulu-Ishaka-24h'!M17,'13.09 Katungulu-Ishaka'!M17)</f>
        <v>60.285714285714285</v>
      </c>
      <c r="N17" s="49">
        <f>AVERAGE('09.09 Katungulu-Ishaka'!N17,'10.09 Katungulu-Ishaka'!N17,'11.09 Katungulu-Ishaka'!N17,'12.09 Katungulu-Ishaka'!N17,'07.09. Katungulu-Ishaka-24h'!N17,'08.09 Katungulu-Ishaka-24h'!N17,'13.09 Katungulu-Ishaka'!N17)</f>
        <v>0</v>
      </c>
      <c r="O17" s="15">
        <f t="shared" si="0"/>
        <v>12.285714285714285</v>
      </c>
      <c r="P17" s="15">
        <f t="shared" si="1"/>
        <v>72.571428571428569</v>
      </c>
      <c r="R17" s="1" t="s">
        <v>13</v>
      </c>
      <c r="S17" s="17">
        <f t="shared" ref="S17:AF17" si="9">SUM(C38:C41)</f>
        <v>24.857142857142861</v>
      </c>
      <c r="T17" s="17">
        <f t="shared" si="9"/>
        <v>3</v>
      </c>
      <c r="U17" s="17">
        <f t="shared" si="9"/>
        <v>14.285714285714286</v>
      </c>
      <c r="V17" s="17">
        <f t="shared" si="9"/>
        <v>13</v>
      </c>
      <c r="W17" s="17">
        <f t="shared" si="9"/>
        <v>0.14285714285714285</v>
      </c>
      <c r="X17" s="17">
        <f t="shared" si="9"/>
        <v>0</v>
      </c>
      <c r="Y17" s="17">
        <f t="shared" si="9"/>
        <v>4.4285714285714288</v>
      </c>
      <c r="Z17" s="17">
        <f t="shared" si="9"/>
        <v>4.7142857142857144</v>
      </c>
      <c r="AA17" s="17">
        <f t="shared" si="9"/>
        <v>3.7142857142857144</v>
      </c>
      <c r="AB17" s="17">
        <f t="shared" si="9"/>
        <v>5</v>
      </c>
      <c r="AC17" s="17">
        <f t="shared" si="9"/>
        <v>146</v>
      </c>
      <c r="AD17" s="17">
        <f t="shared" si="9"/>
        <v>0.2857142857142857</v>
      </c>
      <c r="AE17" s="31">
        <f t="shared" si="9"/>
        <v>73.428571428571431</v>
      </c>
      <c r="AF17" s="31">
        <f t="shared" si="9"/>
        <v>219.42857142857144</v>
      </c>
    </row>
    <row r="18" spans="2:32" ht="23.1" customHeight="1" x14ac:dyDescent="0.25">
      <c r="B18" s="23" t="s">
        <v>45</v>
      </c>
      <c r="C18" s="49">
        <f>AVERAGE('09.09 Katungulu-Ishaka'!C18,'10.09 Katungulu-Ishaka'!C18,'11.09 Katungulu-Ishaka'!C18,'12.09 Katungulu-Ishaka'!C18,'07.09. Katungulu-Ishaka-24h'!C18,'08.09 Katungulu-Ishaka-24h'!C18,'13.09 Katungulu-Ishaka'!C18)</f>
        <v>2.4285714285714284</v>
      </c>
      <c r="D18" s="49">
        <f>AVERAGE('09.09 Katungulu-Ishaka'!D18,'10.09 Katungulu-Ishaka'!D18,'11.09 Katungulu-Ishaka'!D18,'12.09 Katungulu-Ishaka'!D18,'07.09. Katungulu-Ishaka-24h'!D18,'08.09 Katungulu-Ishaka-24h'!D18,'13.09 Katungulu-Ishaka'!D18)</f>
        <v>0</v>
      </c>
      <c r="E18" s="49">
        <f>AVERAGE('09.09 Katungulu-Ishaka'!E18,'10.09 Katungulu-Ishaka'!E18,'11.09 Katungulu-Ishaka'!E18,'12.09 Katungulu-Ishaka'!E18,'07.09. Katungulu-Ishaka-24h'!E18,'08.09 Katungulu-Ishaka-24h'!E18,'13.09 Katungulu-Ishaka'!E18)</f>
        <v>1.4285714285714286</v>
      </c>
      <c r="F18" s="49">
        <f>AVERAGE('09.09 Katungulu-Ishaka'!F18,'10.09 Katungulu-Ishaka'!F18,'11.09 Katungulu-Ishaka'!F18,'12.09 Katungulu-Ishaka'!F18,'07.09. Katungulu-Ishaka-24h'!F18,'08.09 Katungulu-Ishaka-24h'!F18,'13.09 Katungulu-Ishaka'!F18)</f>
        <v>2.5714285714285716</v>
      </c>
      <c r="G18" s="49">
        <f>AVERAGE('09.09 Katungulu-Ishaka'!G18,'10.09 Katungulu-Ishaka'!G18,'11.09 Katungulu-Ishaka'!G18,'12.09 Katungulu-Ishaka'!G18,'07.09. Katungulu-Ishaka-24h'!G18,'08.09 Katungulu-Ishaka-24h'!G18,'13.09 Katungulu-Ishaka'!G18)</f>
        <v>0</v>
      </c>
      <c r="H18" s="49">
        <f>AVERAGE('09.09 Katungulu-Ishaka'!H18,'10.09 Katungulu-Ishaka'!H18,'11.09 Katungulu-Ishaka'!H18,'12.09 Katungulu-Ishaka'!H18,'07.09. Katungulu-Ishaka-24h'!H18,'08.09 Katungulu-Ishaka-24h'!H18,'13.09 Katungulu-Ishaka'!H18)</f>
        <v>0</v>
      </c>
      <c r="I18" s="49">
        <f>AVERAGE('09.09 Katungulu-Ishaka'!I18,'10.09 Katungulu-Ishaka'!I18,'11.09 Katungulu-Ishaka'!I18,'12.09 Katungulu-Ishaka'!I18,'07.09. Katungulu-Ishaka-24h'!I18,'08.09 Katungulu-Ishaka-24h'!I18,'13.09 Katungulu-Ishaka'!I18)</f>
        <v>0.2857142857142857</v>
      </c>
      <c r="J18" s="49">
        <f>AVERAGE('09.09 Katungulu-Ishaka'!J18,'10.09 Katungulu-Ishaka'!J18,'11.09 Katungulu-Ishaka'!J18,'12.09 Katungulu-Ishaka'!J18,'07.09. Katungulu-Ishaka-24h'!J18,'08.09 Katungulu-Ishaka-24h'!J18,'13.09 Katungulu-Ishaka'!J18)</f>
        <v>0</v>
      </c>
      <c r="K18" s="49">
        <f>AVERAGE('09.09 Katungulu-Ishaka'!K18,'10.09 Katungulu-Ishaka'!K18,'11.09 Katungulu-Ishaka'!K18,'12.09 Katungulu-Ishaka'!K18,'07.09. Katungulu-Ishaka-24h'!K18,'08.09 Katungulu-Ishaka-24h'!K18,'13.09 Katungulu-Ishaka'!K18)</f>
        <v>0</v>
      </c>
      <c r="L18" s="49">
        <f>AVERAGE('09.09 Katungulu-Ishaka'!L18,'10.09 Katungulu-Ishaka'!L18,'11.09 Katungulu-Ishaka'!L18,'12.09 Katungulu-Ishaka'!L18,'07.09. Katungulu-Ishaka-24h'!L18,'08.09 Katungulu-Ishaka-24h'!L18,'13.09 Katungulu-Ishaka'!L18)</f>
        <v>1.5714285714285714</v>
      </c>
      <c r="M18" s="49">
        <f>AVERAGE('09.09 Katungulu-Ishaka'!M18,'10.09 Katungulu-Ishaka'!M18,'11.09 Katungulu-Ishaka'!M18,'12.09 Katungulu-Ishaka'!M18,'07.09. Katungulu-Ishaka-24h'!M18,'08.09 Katungulu-Ishaka-24h'!M18,'13.09 Katungulu-Ishaka'!M18)</f>
        <v>37.142857142857146</v>
      </c>
      <c r="N18" s="49">
        <f>AVERAGE('09.09 Katungulu-Ishaka'!N18,'10.09 Katungulu-Ishaka'!N18,'11.09 Katungulu-Ishaka'!N18,'12.09 Katungulu-Ishaka'!N18,'07.09. Katungulu-Ishaka-24h'!N18,'08.09 Katungulu-Ishaka-24h'!N18,'13.09 Katungulu-Ishaka'!N18)</f>
        <v>0</v>
      </c>
      <c r="O18" s="15">
        <f t="shared" si="0"/>
        <v>8.2857142857142865</v>
      </c>
      <c r="P18" s="15">
        <f t="shared" si="1"/>
        <v>45.428571428571431</v>
      </c>
      <c r="R18" s="1" t="s">
        <v>14</v>
      </c>
      <c r="S18" s="17">
        <f t="shared" ref="S18:AF18" si="10">SUM(C42:C45)</f>
        <v>21.142857142857146</v>
      </c>
      <c r="T18" s="17">
        <f t="shared" si="10"/>
        <v>2.5714285714285712</v>
      </c>
      <c r="U18" s="17">
        <f t="shared" si="10"/>
        <v>11.714285714285715</v>
      </c>
      <c r="V18" s="17">
        <f t="shared" si="10"/>
        <v>11.428571428571429</v>
      </c>
      <c r="W18" s="17">
        <f t="shared" si="10"/>
        <v>0.14285714285714285</v>
      </c>
      <c r="X18" s="17">
        <f t="shared" si="10"/>
        <v>0.42857142857142855</v>
      </c>
      <c r="Y18" s="17">
        <f t="shared" si="10"/>
        <v>6</v>
      </c>
      <c r="Z18" s="17">
        <f t="shared" si="10"/>
        <v>3.5714285714285712</v>
      </c>
      <c r="AA18" s="17">
        <f t="shared" si="10"/>
        <v>5.5714285714285712</v>
      </c>
      <c r="AB18" s="17">
        <f t="shared" si="10"/>
        <v>2.4285714285714288</v>
      </c>
      <c r="AC18" s="17">
        <f t="shared" si="10"/>
        <v>173.57142857142856</v>
      </c>
      <c r="AD18" s="17">
        <f t="shared" si="10"/>
        <v>0</v>
      </c>
      <c r="AE18" s="31">
        <f t="shared" si="10"/>
        <v>65</v>
      </c>
      <c r="AF18" s="31">
        <f t="shared" si="10"/>
        <v>238.57142857142858</v>
      </c>
    </row>
    <row r="19" spans="2:32" ht="23.1" customHeight="1" x14ac:dyDescent="0.25">
      <c r="B19" s="23" t="s">
        <v>46</v>
      </c>
      <c r="C19" s="49">
        <f>AVERAGE('09.09 Katungulu-Ishaka'!C19,'10.09 Katungulu-Ishaka'!C19,'11.09 Katungulu-Ishaka'!C19,'12.09 Katungulu-Ishaka'!C19,'07.09. Katungulu-Ishaka-24h'!C19,'08.09 Katungulu-Ishaka-24h'!C19,'13.09 Katungulu-Ishaka'!C19)</f>
        <v>4.4285714285714288</v>
      </c>
      <c r="D19" s="49">
        <f>AVERAGE('09.09 Katungulu-Ishaka'!D19,'10.09 Katungulu-Ishaka'!D19,'11.09 Katungulu-Ishaka'!D19,'12.09 Katungulu-Ishaka'!D19,'07.09. Katungulu-Ishaka-24h'!D19,'08.09 Katungulu-Ishaka-24h'!D19,'13.09 Katungulu-Ishaka'!D19)</f>
        <v>0.2857142857142857</v>
      </c>
      <c r="E19" s="49">
        <f>AVERAGE('09.09 Katungulu-Ishaka'!E19,'10.09 Katungulu-Ishaka'!E19,'11.09 Katungulu-Ishaka'!E19,'12.09 Katungulu-Ishaka'!E19,'07.09. Katungulu-Ishaka-24h'!E19,'08.09 Katungulu-Ishaka-24h'!E19,'13.09 Katungulu-Ishaka'!E19)</f>
        <v>2.5714285714285716</v>
      </c>
      <c r="F19" s="49">
        <f>AVERAGE('09.09 Katungulu-Ishaka'!F19,'10.09 Katungulu-Ishaka'!F19,'11.09 Katungulu-Ishaka'!F19,'12.09 Katungulu-Ishaka'!F19,'07.09. Katungulu-Ishaka-24h'!F19,'08.09 Katungulu-Ishaka-24h'!F19,'13.09 Katungulu-Ishaka'!F19)</f>
        <v>4.7142857142857144</v>
      </c>
      <c r="G19" s="49">
        <f>AVERAGE('09.09 Katungulu-Ishaka'!G19,'10.09 Katungulu-Ishaka'!G19,'11.09 Katungulu-Ishaka'!G19,'12.09 Katungulu-Ishaka'!G19,'07.09. Katungulu-Ishaka-24h'!G19,'08.09 Katungulu-Ishaka-24h'!G19,'13.09 Katungulu-Ishaka'!G19)</f>
        <v>0</v>
      </c>
      <c r="H19" s="49">
        <f>AVERAGE('09.09 Katungulu-Ishaka'!H19,'10.09 Katungulu-Ishaka'!H19,'11.09 Katungulu-Ishaka'!H19,'12.09 Katungulu-Ishaka'!H19,'07.09. Katungulu-Ishaka-24h'!H19,'08.09 Katungulu-Ishaka-24h'!H19,'13.09 Katungulu-Ishaka'!H19)</f>
        <v>0.5714285714285714</v>
      </c>
      <c r="I19" s="49">
        <f>AVERAGE('09.09 Katungulu-Ishaka'!I19,'10.09 Katungulu-Ishaka'!I19,'11.09 Katungulu-Ishaka'!I19,'12.09 Katungulu-Ishaka'!I19,'07.09. Katungulu-Ishaka-24h'!I19,'08.09 Katungulu-Ishaka-24h'!I19,'13.09 Katungulu-Ishaka'!I19)</f>
        <v>1</v>
      </c>
      <c r="J19" s="49">
        <f>AVERAGE('09.09 Katungulu-Ishaka'!J19,'10.09 Katungulu-Ishaka'!J19,'11.09 Katungulu-Ishaka'!J19,'12.09 Katungulu-Ishaka'!J19,'07.09. Katungulu-Ishaka-24h'!J19,'08.09 Katungulu-Ishaka-24h'!J19,'13.09 Katungulu-Ishaka'!J19)</f>
        <v>0.2857142857142857</v>
      </c>
      <c r="K19" s="49">
        <f>AVERAGE('09.09 Katungulu-Ishaka'!K19,'10.09 Katungulu-Ishaka'!K19,'11.09 Katungulu-Ishaka'!K19,'12.09 Katungulu-Ishaka'!K19,'07.09. Katungulu-Ishaka-24h'!K19,'08.09 Katungulu-Ishaka-24h'!K19,'13.09 Katungulu-Ishaka'!K19)</f>
        <v>0.42857142857142855</v>
      </c>
      <c r="L19" s="49">
        <f>AVERAGE('09.09 Katungulu-Ishaka'!L19,'10.09 Katungulu-Ishaka'!L19,'11.09 Katungulu-Ishaka'!L19,'12.09 Katungulu-Ishaka'!L19,'07.09. Katungulu-Ishaka-24h'!L19,'08.09 Katungulu-Ishaka-24h'!L19,'13.09 Katungulu-Ishaka'!L19)</f>
        <v>2.7142857142857144</v>
      </c>
      <c r="M19" s="49">
        <f>AVERAGE('09.09 Katungulu-Ishaka'!M19,'10.09 Katungulu-Ishaka'!M19,'11.09 Katungulu-Ishaka'!M19,'12.09 Katungulu-Ishaka'!M19,'07.09. Katungulu-Ishaka-24h'!M19,'08.09 Katungulu-Ishaka-24h'!M19,'13.09 Katungulu-Ishaka'!M19)</f>
        <v>66.857142857142861</v>
      </c>
      <c r="N19" s="49">
        <f>AVERAGE('09.09 Katungulu-Ishaka'!N19,'10.09 Katungulu-Ishaka'!N19,'11.09 Katungulu-Ishaka'!N19,'12.09 Katungulu-Ishaka'!N19,'07.09. Katungulu-Ishaka-24h'!N19,'08.09 Katungulu-Ishaka-24h'!N19,'13.09 Katungulu-Ishaka'!N19)</f>
        <v>0</v>
      </c>
      <c r="O19" s="15">
        <f t="shared" si="0"/>
        <v>17</v>
      </c>
      <c r="P19" s="15">
        <f t="shared" si="1"/>
        <v>83.857142857142861</v>
      </c>
      <c r="R19" s="1" t="s">
        <v>15</v>
      </c>
      <c r="S19" s="17">
        <f t="shared" ref="S19:AF19" si="11">SUM(C46:C49)</f>
        <v>24</v>
      </c>
      <c r="T19" s="17">
        <f t="shared" si="11"/>
        <v>3.2857142857142856</v>
      </c>
      <c r="U19" s="17">
        <f t="shared" si="11"/>
        <v>15.857142857142858</v>
      </c>
      <c r="V19" s="17">
        <f t="shared" si="11"/>
        <v>15.857142857142858</v>
      </c>
      <c r="W19" s="17">
        <f t="shared" si="11"/>
        <v>0.2857142857142857</v>
      </c>
      <c r="X19" s="17">
        <f t="shared" si="11"/>
        <v>0.5714285714285714</v>
      </c>
      <c r="Y19" s="17">
        <f t="shared" si="11"/>
        <v>10.428571428571429</v>
      </c>
      <c r="Z19" s="17">
        <f t="shared" si="11"/>
        <v>6.1428571428571423</v>
      </c>
      <c r="AA19" s="17">
        <f t="shared" si="11"/>
        <v>6.5714285714285712</v>
      </c>
      <c r="AB19" s="17">
        <f t="shared" si="11"/>
        <v>2.1428571428571428</v>
      </c>
      <c r="AC19" s="17">
        <f t="shared" si="11"/>
        <v>185</v>
      </c>
      <c r="AD19" s="17">
        <f t="shared" si="11"/>
        <v>0</v>
      </c>
      <c r="AE19" s="31">
        <f t="shared" si="11"/>
        <v>85.142857142857139</v>
      </c>
      <c r="AF19" s="31">
        <f t="shared" si="11"/>
        <v>270.14285714285711</v>
      </c>
    </row>
    <row r="20" spans="2:32" ht="23.1" customHeight="1" x14ac:dyDescent="0.25">
      <c r="B20" s="23" t="s">
        <v>47</v>
      </c>
      <c r="C20" s="49">
        <f>AVERAGE('09.09 Katungulu-Ishaka'!C20,'10.09 Katungulu-Ishaka'!C20,'11.09 Katungulu-Ishaka'!C20,'12.09 Katungulu-Ishaka'!C20,'07.09. Katungulu-Ishaka-24h'!C20,'08.09 Katungulu-Ishaka-24h'!C20,'13.09 Katungulu-Ishaka'!C20)</f>
        <v>2.8571428571428572</v>
      </c>
      <c r="D20" s="49">
        <f>AVERAGE('09.09 Katungulu-Ishaka'!D20,'10.09 Katungulu-Ishaka'!D20,'11.09 Katungulu-Ishaka'!D20,'12.09 Katungulu-Ishaka'!D20,'07.09. Katungulu-Ishaka-24h'!D20,'08.09 Katungulu-Ishaka-24h'!D20,'13.09 Katungulu-Ishaka'!D20)</f>
        <v>0.2857142857142857</v>
      </c>
      <c r="E20" s="49">
        <f>AVERAGE('09.09 Katungulu-Ishaka'!E20,'10.09 Katungulu-Ishaka'!E20,'11.09 Katungulu-Ishaka'!E20,'12.09 Katungulu-Ishaka'!E20,'07.09. Katungulu-Ishaka-24h'!E20,'08.09 Katungulu-Ishaka-24h'!E20,'13.09 Katungulu-Ishaka'!E20)</f>
        <v>2.5714285714285716</v>
      </c>
      <c r="F20" s="49">
        <f>AVERAGE('09.09 Katungulu-Ishaka'!F20,'10.09 Katungulu-Ishaka'!F20,'11.09 Katungulu-Ishaka'!F20,'12.09 Katungulu-Ishaka'!F20,'07.09. Katungulu-Ishaka-24h'!F20,'08.09 Katungulu-Ishaka-24h'!F20,'13.09 Katungulu-Ishaka'!F20)</f>
        <v>2.7142857142857144</v>
      </c>
      <c r="G20" s="49">
        <f>AVERAGE('09.09 Katungulu-Ishaka'!G20,'10.09 Katungulu-Ishaka'!G20,'11.09 Katungulu-Ishaka'!G20,'12.09 Katungulu-Ishaka'!G20,'07.09. Katungulu-Ishaka-24h'!G20,'08.09 Katungulu-Ishaka-24h'!G20,'13.09 Katungulu-Ishaka'!G20)</f>
        <v>0.2857142857142857</v>
      </c>
      <c r="H20" s="49">
        <f>AVERAGE('09.09 Katungulu-Ishaka'!H20,'10.09 Katungulu-Ishaka'!H20,'11.09 Katungulu-Ishaka'!H20,'12.09 Katungulu-Ishaka'!H20,'07.09. Katungulu-Ishaka-24h'!H20,'08.09 Katungulu-Ishaka-24h'!H20,'13.09 Katungulu-Ishaka'!H20)</f>
        <v>0</v>
      </c>
      <c r="I20" s="49">
        <f>AVERAGE('09.09 Katungulu-Ishaka'!I20,'10.09 Katungulu-Ishaka'!I20,'11.09 Katungulu-Ishaka'!I20,'12.09 Katungulu-Ishaka'!I20,'07.09. Katungulu-Ishaka-24h'!I20,'08.09 Katungulu-Ishaka-24h'!I20,'13.09 Katungulu-Ishaka'!I20)</f>
        <v>0.42857142857142855</v>
      </c>
      <c r="J20" s="49">
        <f>AVERAGE('09.09 Katungulu-Ishaka'!J20,'10.09 Katungulu-Ishaka'!J20,'11.09 Katungulu-Ishaka'!J20,'12.09 Katungulu-Ishaka'!J20,'07.09. Katungulu-Ishaka-24h'!J20,'08.09 Katungulu-Ishaka-24h'!J20,'13.09 Katungulu-Ishaka'!J20)</f>
        <v>0.2857142857142857</v>
      </c>
      <c r="K20" s="49">
        <f>AVERAGE('09.09 Katungulu-Ishaka'!K20,'10.09 Katungulu-Ishaka'!K20,'11.09 Katungulu-Ishaka'!K20,'12.09 Katungulu-Ishaka'!K20,'07.09. Katungulu-Ishaka-24h'!K20,'08.09 Katungulu-Ishaka-24h'!K20,'13.09 Katungulu-Ishaka'!K20)</f>
        <v>0.2857142857142857</v>
      </c>
      <c r="L20" s="49">
        <f>AVERAGE('09.09 Katungulu-Ishaka'!L20,'10.09 Katungulu-Ishaka'!L20,'11.09 Katungulu-Ishaka'!L20,'12.09 Katungulu-Ishaka'!L20,'07.09. Katungulu-Ishaka-24h'!L20,'08.09 Katungulu-Ishaka-24h'!L20,'13.09 Katungulu-Ishaka'!L20)</f>
        <v>1.8571428571428572</v>
      </c>
      <c r="M20" s="49">
        <f>AVERAGE('09.09 Katungulu-Ishaka'!M20,'10.09 Katungulu-Ishaka'!M20,'11.09 Katungulu-Ishaka'!M20,'12.09 Katungulu-Ishaka'!M20,'07.09. Katungulu-Ishaka-24h'!M20,'08.09 Katungulu-Ishaka-24h'!M20,'13.09 Katungulu-Ishaka'!M20)</f>
        <v>35</v>
      </c>
      <c r="N20" s="49">
        <f>AVERAGE('09.09 Katungulu-Ishaka'!N20,'10.09 Katungulu-Ishaka'!N20,'11.09 Katungulu-Ishaka'!N20,'12.09 Katungulu-Ishaka'!N20,'07.09. Katungulu-Ishaka-24h'!N20,'08.09 Katungulu-Ishaka-24h'!N20,'13.09 Katungulu-Ishaka'!N20)</f>
        <v>0</v>
      </c>
      <c r="O20" s="15">
        <f t="shared" si="0"/>
        <v>11.571428571428575</v>
      </c>
      <c r="P20" s="15">
        <f t="shared" si="1"/>
        <v>46.571428571428577</v>
      </c>
      <c r="R20" s="1" t="s">
        <v>16</v>
      </c>
      <c r="S20" s="17">
        <f t="shared" ref="S20:AF20" si="12">SUM(C50:C53)</f>
        <v>30.428571428571431</v>
      </c>
      <c r="T20" s="17">
        <f t="shared" si="12"/>
        <v>5.1428571428571423</v>
      </c>
      <c r="U20" s="17">
        <f t="shared" si="12"/>
        <v>23.714285714285715</v>
      </c>
      <c r="V20" s="17">
        <f t="shared" si="12"/>
        <v>13.285714285714285</v>
      </c>
      <c r="W20" s="17">
        <f t="shared" si="12"/>
        <v>1</v>
      </c>
      <c r="X20" s="17">
        <f t="shared" si="12"/>
        <v>0.14285714285714285</v>
      </c>
      <c r="Y20" s="17">
        <f t="shared" si="12"/>
        <v>9.4285714285714306</v>
      </c>
      <c r="Z20" s="17">
        <f t="shared" si="12"/>
        <v>4.7142857142857144</v>
      </c>
      <c r="AA20" s="17">
        <f t="shared" si="12"/>
        <v>4.7142857142857135</v>
      </c>
      <c r="AB20" s="17">
        <f t="shared" si="12"/>
        <v>5</v>
      </c>
      <c r="AC20" s="17">
        <f t="shared" si="12"/>
        <v>208.42857142857144</v>
      </c>
      <c r="AD20" s="17">
        <f t="shared" si="12"/>
        <v>0</v>
      </c>
      <c r="AE20" s="31">
        <f t="shared" si="12"/>
        <v>97.571428571428584</v>
      </c>
      <c r="AF20" s="31">
        <f t="shared" si="12"/>
        <v>306</v>
      </c>
    </row>
    <row r="21" spans="2:32" ht="23.1" customHeight="1" x14ac:dyDescent="0.25">
      <c r="B21" s="23" t="s">
        <v>48</v>
      </c>
      <c r="C21" s="49">
        <f>AVERAGE('09.09 Katungulu-Ishaka'!C21,'10.09 Katungulu-Ishaka'!C21,'11.09 Katungulu-Ishaka'!C21,'12.09 Katungulu-Ishaka'!C21,'07.09. Katungulu-Ishaka-24h'!C21,'08.09 Katungulu-Ishaka-24h'!C21,'13.09 Katungulu-Ishaka'!C21)</f>
        <v>5</v>
      </c>
      <c r="D21" s="49">
        <f>AVERAGE('09.09 Katungulu-Ishaka'!D21,'10.09 Katungulu-Ishaka'!D21,'11.09 Katungulu-Ishaka'!D21,'12.09 Katungulu-Ishaka'!D21,'07.09. Katungulu-Ishaka-24h'!D21,'08.09 Katungulu-Ishaka-24h'!D21,'13.09 Katungulu-Ishaka'!D21)</f>
        <v>0.8571428571428571</v>
      </c>
      <c r="E21" s="49">
        <f>AVERAGE('09.09 Katungulu-Ishaka'!E21,'10.09 Katungulu-Ishaka'!E21,'11.09 Katungulu-Ishaka'!E21,'12.09 Katungulu-Ishaka'!E21,'07.09. Katungulu-Ishaka-24h'!E21,'08.09 Katungulu-Ishaka-24h'!E21,'13.09 Katungulu-Ishaka'!E21)</f>
        <v>4.4285714285714288</v>
      </c>
      <c r="F21" s="49">
        <f>AVERAGE('09.09 Katungulu-Ishaka'!F21,'10.09 Katungulu-Ishaka'!F21,'11.09 Katungulu-Ishaka'!F21,'12.09 Katungulu-Ishaka'!F21,'07.09. Katungulu-Ishaka-24h'!F21,'08.09 Katungulu-Ishaka-24h'!F21,'13.09 Katungulu-Ishaka'!F21)</f>
        <v>4.4285714285714288</v>
      </c>
      <c r="G21" s="49">
        <f>AVERAGE('09.09 Katungulu-Ishaka'!G21,'10.09 Katungulu-Ishaka'!G21,'11.09 Katungulu-Ishaka'!G21,'12.09 Katungulu-Ishaka'!G21,'07.09. Katungulu-Ishaka-24h'!G21,'08.09 Katungulu-Ishaka-24h'!G21,'13.09 Katungulu-Ishaka'!G21)</f>
        <v>0.5714285714285714</v>
      </c>
      <c r="H21" s="49">
        <f>AVERAGE('09.09 Katungulu-Ishaka'!H21,'10.09 Katungulu-Ishaka'!H21,'11.09 Katungulu-Ishaka'!H21,'12.09 Katungulu-Ishaka'!H21,'07.09. Katungulu-Ishaka-24h'!H21,'08.09 Katungulu-Ishaka-24h'!H21,'13.09 Katungulu-Ishaka'!H21)</f>
        <v>0.5714285714285714</v>
      </c>
      <c r="I21" s="49">
        <f>AVERAGE('09.09 Katungulu-Ishaka'!I21,'10.09 Katungulu-Ishaka'!I21,'11.09 Katungulu-Ishaka'!I21,'12.09 Katungulu-Ishaka'!I21,'07.09. Katungulu-Ishaka-24h'!I21,'08.09 Katungulu-Ishaka-24h'!I21,'13.09 Katungulu-Ishaka'!I21)</f>
        <v>1.4285714285714286</v>
      </c>
      <c r="J21" s="49">
        <f>AVERAGE('09.09 Katungulu-Ishaka'!J21,'10.09 Katungulu-Ishaka'!J21,'11.09 Katungulu-Ishaka'!J21,'12.09 Katungulu-Ishaka'!J21,'07.09. Katungulu-Ishaka-24h'!J21,'08.09 Katungulu-Ishaka-24h'!J21,'13.09 Katungulu-Ishaka'!J21)</f>
        <v>1</v>
      </c>
      <c r="K21" s="49">
        <f>AVERAGE('09.09 Katungulu-Ishaka'!K21,'10.09 Katungulu-Ishaka'!K21,'11.09 Katungulu-Ishaka'!K21,'12.09 Katungulu-Ishaka'!K21,'07.09. Katungulu-Ishaka-24h'!K21,'08.09 Katungulu-Ishaka-24h'!K21,'13.09 Katungulu-Ishaka'!K21)</f>
        <v>0.7142857142857143</v>
      </c>
      <c r="L21" s="49">
        <f>AVERAGE('09.09 Katungulu-Ishaka'!L21,'10.09 Katungulu-Ishaka'!L21,'11.09 Katungulu-Ishaka'!L21,'12.09 Katungulu-Ishaka'!L21,'07.09. Katungulu-Ishaka-24h'!L21,'08.09 Katungulu-Ishaka-24h'!L21,'13.09 Katungulu-Ishaka'!L21)</f>
        <v>3.1428571428571428</v>
      </c>
      <c r="M21" s="49">
        <f>AVERAGE('09.09 Katungulu-Ishaka'!M21,'10.09 Katungulu-Ishaka'!M21,'11.09 Katungulu-Ishaka'!M21,'12.09 Katungulu-Ishaka'!M21,'07.09. Katungulu-Ishaka-24h'!M21,'08.09 Katungulu-Ishaka-24h'!M21,'13.09 Katungulu-Ishaka'!M21)</f>
        <v>65.857142857142861</v>
      </c>
      <c r="N21" s="49">
        <f>AVERAGE('09.09 Katungulu-Ishaka'!N21,'10.09 Katungulu-Ishaka'!N21,'11.09 Katungulu-Ishaka'!N21,'12.09 Katungulu-Ishaka'!N21,'07.09. Katungulu-Ishaka-24h'!N21,'08.09 Katungulu-Ishaka-24h'!N21,'13.09 Katungulu-Ishaka'!N21)</f>
        <v>0.2857142857142857</v>
      </c>
      <c r="O21" s="15">
        <f t="shared" si="0"/>
        <v>22.428571428571427</v>
      </c>
      <c r="P21" s="15">
        <f t="shared" si="1"/>
        <v>88.285714285714292</v>
      </c>
      <c r="R21" s="36" t="s">
        <v>20</v>
      </c>
      <c r="S21" s="34">
        <f t="shared" ref="S21:AF21" si="13">SUM(C54:C57)</f>
        <v>27.428571428571427</v>
      </c>
      <c r="T21" s="17">
        <f t="shared" si="13"/>
        <v>3</v>
      </c>
      <c r="U21" s="17">
        <f t="shared" si="13"/>
        <v>15.428571428571427</v>
      </c>
      <c r="V21" s="17">
        <f t="shared" si="13"/>
        <v>16.142857142857142</v>
      </c>
      <c r="W21" s="17">
        <f t="shared" si="13"/>
        <v>0.71428571428571419</v>
      </c>
      <c r="X21" s="17">
        <f t="shared" si="13"/>
        <v>0</v>
      </c>
      <c r="Y21" s="17">
        <f t="shared" si="13"/>
        <v>7.5714285714285712</v>
      </c>
      <c r="Z21" s="17">
        <f t="shared" si="13"/>
        <v>5.4285714285714288</v>
      </c>
      <c r="AA21" s="17">
        <f t="shared" si="13"/>
        <v>7.5714285714285712</v>
      </c>
      <c r="AB21" s="17">
        <f t="shared" si="13"/>
        <v>2.2857142857142856</v>
      </c>
      <c r="AC21" s="17">
        <f t="shared" si="13"/>
        <v>171.28571428571428</v>
      </c>
      <c r="AD21" s="17">
        <f t="shared" si="13"/>
        <v>0</v>
      </c>
      <c r="AE21" s="31">
        <f t="shared" si="13"/>
        <v>85.571428571428569</v>
      </c>
      <c r="AF21" s="31">
        <f t="shared" si="13"/>
        <v>256.85714285714283</v>
      </c>
    </row>
    <row r="22" spans="2:32" ht="23.1" customHeight="1" x14ac:dyDescent="0.25">
      <c r="B22" s="23" t="s">
        <v>49</v>
      </c>
      <c r="C22" s="49">
        <f>AVERAGE('09.09 Katungulu-Ishaka'!C22,'10.09 Katungulu-Ishaka'!C22,'11.09 Katungulu-Ishaka'!C22,'12.09 Katungulu-Ishaka'!C22,'07.09. Katungulu-Ishaka-24h'!C22,'08.09 Katungulu-Ishaka-24h'!C22,'13.09 Katungulu-Ishaka'!C22)</f>
        <v>3.5714285714285716</v>
      </c>
      <c r="D22" s="49">
        <f>AVERAGE('09.09 Katungulu-Ishaka'!D22,'10.09 Katungulu-Ishaka'!D22,'11.09 Katungulu-Ishaka'!D22,'12.09 Katungulu-Ishaka'!D22,'07.09. Katungulu-Ishaka-24h'!D22,'08.09 Katungulu-Ishaka-24h'!D22,'13.09 Katungulu-Ishaka'!D22)</f>
        <v>0.42857142857142855</v>
      </c>
      <c r="E22" s="49">
        <f>AVERAGE('09.09 Katungulu-Ishaka'!E22,'10.09 Katungulu-Ishaka'!E22,'11.09 Katungulu-Ishaka'!E22,'12.09 Katungulu-Ishaka'!E22,'07.09. Katungulu-Ishaka-24h'!E22,'08.09 Katungulu-Ishaka-24h'!E22,'13.09 Katungulu-Ishaka'!E22)</f>
        <v>1.8571428571428572</v>
      </c>
      <c r="F22" s="49">
        <f>AVERAGE('09.09 Katungulu-Ishaka'!F22,'10.09 Katungulu-Ishaka'!F22,'11.09 Katungulu-Ishaka'!F22,'12.09 Katungulu-Ishaka'!F22,'07.09. Katungulu-Ishaka-24h'!F22,'08.09 Katungulu-Ishaka-24h'!F22,'13.09 Katungulu-Ishaka'!F22)</f>
        <v>3.2857142857142856</v>
      </c>
      <c r="G22" s="49">
        <f>AVERAGE('09.09 Katungulu-Ishaka'!G22,'10.09 Katungulu-Ishaka'!G22,'11.09 Katungulu-Ishaka'!G22,'12.09 Katungulu-Ishaka'!G22,'07.09. Katungulu-Ishaka-24h'!G22,'08.09 Katungulu-Ishaka-24h'!G22,'13.09 Katungulu-Ishaka'!G22)</f>
        <v>0</v>
      </c>
      <c r="H22" s="49">
        <f>AVERAGE('09.09 Katungulu-Ishaka'!H22,'10.09 Katungulu-Ishaka'!H22,'11.09 Katungulu-Ishaka'!H22,'12.09 Katungulu-Ishaka'!H22,'07.09. Katungulu-Ishaka-24h'!H22,'08.09 Katungulu-Ishaka-24h'!H22,'13.09 Katungulu-Ishaka'!H22)</f>
        <v>0</v>
      </c>
      <c r="I22" s="49">
        <f>AVERAGE('09.09 Katungulu-Ishaka'!I22,'10.09 Katungulu-Ishaka'!I22,'11.09 Katungulu-Ishaka'!I22,'12.09 Katungulu-Ishaka'!I22,'07.09. Katungulu-Ishaka-24h'!I22,'08.09 Katungulu-Ishaka-24h'!I22,'13.09 Katungulu-Ishaka'!I22)</f>
        <v>0.42857142857142855</v>
      </c>
      <c r="J22" s="49">
        <f>AVERAGE('09.09 Katungulu-Ishaka'!J22,'10.09 Katungulu-Ishaka'!J22,'11.09 Katungulu-Ishaka'!J22,'12.09 Katungulu-Ishaka'!J22,'07.09. Katungulu-Ishaka-24h'!J22,'08.09 Katungulu-Ishaka-24h'!J22,'13.09 Katungulu-Ishaka'!J22)</f>
        <v>0.14285714285714285</v>
      </c>
      <c r="K22" s="49">
        <f>AVERAGE('09.09 Katungulu-Ishaka'!K22,'10.09 Katungulu-Ishaka'!K22,'11.09 Katungulu-Ishaka'!K22,'12.09 Katungulu-Ishaka'!K22,'07.09. Katungulu-Ishaka-24h'!K22,'08.09 Katungulu-Ishaka-24h'!K22,'13.09 Katungulu-Ishaka'!K22)</f>
        <v>1.7142857142857142</v>
      </c>
      <c r="L22" s="49">
        <f>AVERAGE('09.09 Katungulu-Ishaka'!L22,'10.09 Katungulu-Ishaka'!L22,'11.09 Katungulu-Ishaka'!L22,'12.09 Katungulu-Ishaka'!L22,'07.09. Katungulu-Ishaka-24h'!L22,'08.09 Katungulu-Ishaka-24h'!L22,'13.09 Katungulu-Ishaka'!L22)</f>
        <v>1.1428571428571428</v>
      </c>
      <c r="M22" s="49">
        <f>AVERAGE('09.09 Katungulu-Ishaka'!M22,'10.09 Katungulu-Ishaka'!M22,'11.09 Katungulu-Ishaka'!M22,'12.09 Katungulu-Ishaka'!M22,'07.09. Katungulu-Ishaka-24h'!M22,'08.09 Katungulu-Ishaka-24h'!M22,'13.09 Katungulu-Ishaka'!M22)</f>
        <v>40.142857142857146</v>
      </c>
      <c r="N22" s="49">
        <f>AVERAGE('09.09 Katungulu-Ishaka'!N22,'10.09 Katungulu-Ishaka'!N22,'11.09 Katungulu-Ishaka'!N22,'12.09 Katungulu-Ishaka'!N22,'07.09. Katungulu-Ishaka-24h'!N22,'08.09 Katungulu-Ishaka-24h'!N22,'13.09 Katungulu-Ishaka'!N22)</f>
        <v>0</v>
      </c>
      <c r="O22" s="15">
        <f t="shared" si="0"/>
        <v>12.571428571428569</v>
      </c>
      <c r="P22" s="15">
        <f t="shared" si="1"/>
        <v>52.714285714285715</v>
      </c>
      <c r="R22" s="1" t="s">
        <v>146</v>
      </c>
      <c r="S22" s="34">
        <f>SUM(C58:C61)</f>
        <v>37.5</v>
      </c>
      <c r="T22" s="34">
        <f t="shared" ref="T22:AF22" si="14">SUM(D58:D61)</f>
        <v>8</v>
      </c>
      <c r="U22" s="34">
        <f t="shared" si="14"/>
        <v>16</v>
      </c>
      <c r="V22" s="34">
        <f t="shared" si="14"/>
        <v>12.5</v>
      </c>
      <c r="W22" s="34">
        <f t="shared" si="14"/>
        <v>3</v>
      </c>
      <c r="X22" s="34">
        <f t="shared" si="14"/>
        <v>0</v>
      </c>
      <c r="Y22" s="34">
        <f t="shared" si="14"/>
        <v>3</v>
      </c>
      <c r="Z22" s="34">
        <f t="shared" si="14"/>
        <v>5</v>
      </c>
      <c r="AA22" s="34">
        <f t="shared" si="14"/>
        <v>23.5</v>
      </c>
      <c r="AB22" s="34">
        <f t="shared" si="14"/>
        <v>1</v>
      </c>
      <c r="AC22" s="34">
        <f t="shared" si="14"/>
        <v>239</v>
      </c>
      <c r="AD22" s="34">
        <f t="shared" si="14"/>
        <v>0</v>
      </c>
      <c r="AE22" s="31">
        <f t="shared" si="14"/>
        <v>109.5</v>
      </c>
      <c r="AF22" s="31">
        <f t="shared" si="14"/>
        <v>348.5</v>
      </c>
    </row>
    <row r="23" spans="2:32" ht="23.1" customHeight="1" x14ac:dyDescent="0.25">
      <c r="B23" s="23" t="s">
        <v>50</v>
      </c>
      <c r="C23" s="49">
        <f>AVERAGE('09.09 Katungulu-Ishaka'!C23,'10.09 Katungulu-Ishaka'!C23,'11.09 Katungulu-Ishaka'!C23,'12.09 Katungulu-Ishaka'!C23,'07.09. Katungulu-Ishaka-24h'!C23,'08.09 Katungulu-Ishaka-24h'!C23,'13.09 Katungulu-Ishaka'!C23)</f>
        <v>6.1428571428571432</v>
      </c>
      <c r="D23" s="49">
        <f>AVERAGE('09.09 Katungulu-Ishaka'!D23,'10.09 Katungulu-Ishaka'!D23,'11.09 Katungulu-Ishaka'!D23,'12.09 Katungulu-Ishaka'!D23,'07.09. Katungulu-Ishaka-24h'!D23,'08.09 Katungulu-Ishaka-24h'!D23,'13.09 Katungulu-Ishaka'!D23)</f>
        <v>0.7142857142857143</v>
      </c>
      <c r="E23" s="49">
        <f>AVERAGE('09.09 Katungulu-Ishaka'!E23,'10.09 Katungulu-Ishaka'!E23,'11.09 Katungulu-Ishaka'!E23,'12.09 Katungulu-Ishaka'!E23,'07.09. Katungulu-Ishaka-24h'!E23,'08.09 Katungulu-Ishaka-24h'!E23,'13.09 Katungulu-Ishaka'!E23)</f>
        <v>3.4285714285714284</v>
      </c>
      <c r="F23" s="49">
        <f>AVERAGE('09.09 Katungulu-Ishaka'!F23,'10.09 Katungulu-Ishaka'!F23,'11.09 Katungulu-Ishaka'!F23,'12.09 Katungulu-Ishaka'!F23,'07.09. Katungulu-Ishaka-24h'!F23,'08.09 Katungulu-Ishaka-24h'!F23,'13.09 Katungulu-Ishaka'!F23)</f>
        <v>5.5714285714285712</v>
      </c>
      <c r="G23" s="49">
        <f>AVERAGE('09.09 Katungulu-Ishaka'!G23,'10.09 Katungulu-Ishaka'!G23,'11.09 Katungulu-Ishaka'!G23,'12.09 Katungulu-Ishaka'!G23,'07.09. Katungulu-Ishaka-24h'!G23,'08.09 Katungulu-Ishaka-24h'!G23,'13.09 Katungulu-Ishaka'!G23)</f>
        <v>0</v>
      </c>
      <c r="H23" s="49">
        <f>AVERAGE('09.09 Katungulu-Ishaka'!H23,'10.09 Katungulu-Ishaka'!H23,'11.09 Katungulu-Ishaka'!H23,'12.09 Katungulu-Ishaka'!H23,'07.09. Katungulu-Ishaka-24h'!H23,'08.09 Katungulu-Ishaka-24h'!H23,'13.09 Katungulu-Ishaka'!H23)</f>
        <v>0.5714285714285714</v>
      </c>
      <c r="I23" s="49">
        <f>AVERAGE('09.09 Katungulu-Ishaka'!I23,'10.09 Katungulu-Ishaka'!I23,'11.09 Katungulu-Ishaka'!I23,'12.09 Katungulu-Ishaka'!I23,'07.09. Katungulu-Ishaka-24h'!I23,'08.09 Katungulu-Ishaka-24h'!I23,'13.09 Katungulu-Ishaka'!I23)</f>
        <v>1.2857142857142858</v>
      </c>
      <c r="J23" s="49">
        <f>AVERAGE('09.09 Katungulu-Ishaka'!J23,'10.09 Katungulu-Ishaka'!J23,'11.09 Katungulu-Ishaka'!J23,'12.09 Katungulu-Ishaka'!J23,'07.09. Katungulu-Ishaka-24h'!J23,'08.09 Katungulu-Ishaka-24h'!J23,'13.09 Katungulu-Ishaka'!J23)</f>
        <v>0.42857142857142855</v>
      </c>
      <c r="K23" s="49">
        <f>AVERAGE('09.09 Katungulu-Ishaka'!K23,'10.09 Katungulu-Ishaka'!K23,'11.09 Katungulu-Ishaka'!K23,'12.09 Katungulu-Ishaka'!K23,'07.09. Katungulu-Ishaka-24h'!K23,'08.09 Katungulu-Ishaka-24h'!K23,'13.09 Katungulu-Ishaka'!K23)</f>
        <v>2.7142857142857144</v>
      </c>
      <c r="L23" s="49">
        <f>AVERAGE('09.09 Katungulu-Ishaka'!L23,'10.09 Katungulu-Ishaka'!L23,'11.09 Katungulu-Ishaka'!L23,'12.09 Katungulu-Ishaka'!L23,'07.09. Katungulu-Ishaka-24h'!L23,'08.09 Katungulu-Ishaka-24h'!L23,'13.09 Katungulu-Ishaka'!L23)</f>
        <v>2</v>
      </c>
      <c r="M23" s="49">
        <f>AVERAGE('09.09 Katungulu-Ishaka'!M23,'10.09 Katungulu-Ishaka'!M23,'11.09 Katungulu-Ishaka'!M23,'12.09 Katungulu-Ishaka'!M23,'07.09. Katungulu-Ishaka-24h'!M23,'08.09 Katungulu-Ishaka-24h'!M23,'13.09 Katungulu-Ishaka'!M23)</f>
        <v>71.571428571428569</v>
      </c>
      <c r="N23" s="49">
        <f>AVERAGE('09.09 Katungulu-Ishaka'!N23,'10.09 Katungulu-Ishaka'!N23,'11.09 Katungulu-Ishaka'!N23,'12.09 Katungulu-Ishaka'!N23,'07.09. Katungulu-Ishaka-24h'!N23,'08.09 Katungulu-Ishaka-24h'!N23,'13.09 Katungulu-Ishaka'!N23)</f>
        <v>0.14285714285714285</v>
      </c>
      <c r="O23" s="15">
        <f t="shared" si="0"/>
        <v>23</v>
      </c>
      <c r="P23" s="15">
        <f t="shared" si="1"/>
        <v>94.571428571428569</v>
      </c>
      <c r="R23" s="1" t="s">
        <v>147</v>
      </c>
      <c r="S23" s="34">
        <f>SUM(C62:C65)</f>
        <v>12</v>
      </c>
      <c r="T23" s="34">
        <f t="shared" ref="T23:AF23" si="15">SUM(D62:D65)</f>
        <v>7.5</v>
      </c>
      <c r="U23" s="34">
        <f t="shared" si="15"/>
        <v>15</v>
      </c>
      <c r="V23" s="34">
        <f t="shared" si="15"/>
        <v>11</v>
      </c>
      <c r="W23" s="34">
        <f t="shared" si="15"/>
        <v>0.5</v>
      </c>
      <c r="X23" s="34">
        <f t="shared" si="15"/>
        <v>3</v>
      </c>
      <c r="Y23" s="34">
        <f t="shared" si="15"/>
        <v>2</v>
      </c>
      <c r="Z23" s="34">
        <f t="shared" si="15"/>
        <v>9.5</v>
      </c>
      <c r="AA23" s="34">
        <f t="shared" si="15"/>
        <v>8</v>
      </c>
      <c r="AB23" s="34">
        <f t="shared" si="15"/>
        <v>2</v>
      </c>
      <c r="AC23" s="34">
        <f t="shared" si="15"/>
        <v>171</v>
      </c>
      <c r="AD23" s="34">
        <f t="shared" si="15"/>
        <v>0</v>
      </c>
      <c r="AE23" s="31">
        <f t="shared" si="15"/>
        <v>70.5</v>
      </c>
      <c r="AF23" s="31">
        <f t="shared" si="15"/>
        <v>241.5</v>
      </c>
    </row>
    <row r="24" spans="2:32" ht="23.1" customHeight="1" x14ac:dyDescent="0.25">
      <c r="B24" s="23" t="s">
        <v>51</v>
      </c>
      <c r="C24" s="49">
        <f>AVERAGE('09.09 Katungulu-Ishaka'!C24,'10.09 Katungulu-Ishaka'!C24,'11.09 Katungulu-Ishaka'!C24,'12.09 Katungulu-Ishaka'!C24,'07.09. Katungulu-Ishaka-24h'!C24,'08.09 Katungulu-Ishaka-24h'!C24,'13.09 Katungulu-Ishaka'!C24)</f>
        <v>4.2857142857142856</v>
      </c>
      <c r="D24" s="49">
        <f>AVERAGE('09.09 Katungulu-Ishaka'!D24,'10.09 Katungulu-Ishaka'!D24,'11.09 Katungulu-Ishaka'!D24,'12.09 Katungulu-Ishaka'!D24,'07.09. Katungulu-Ishaka-24h'!D24,'08.09 Katungulu-Ishaka-24h'!D24,'13.09 Katungulu-Ishaka'!D24)</f>
        <v>0.14285714285714285</v>
      </c>
      <c r="E24" s="49">
        <f>AVERAGE('09.09 Katungulu-Ishaka'!E24,'10.09 Katungulu-Ishaka'!E24,'11.09 Katungulu-Ishaka'!E24,'12.09 Katungulu-Ishaka'!E24,'07.09. Katungulu-Ishaka-24h'!E24,'08.09 Katungulu-Ishaka-24h'!E24,'13.09 Katungulu-Ishaka'!E24)</f>
        <v>2.1428571428571428</v>
      </c>
      <c r="F24" s="49">
        <f>AVERAGE('09.09 Katungulu-Ishaka'!F24,'10.09 Katungulu-Ishaka'!F24,'11.09 Katungulu-Ishaka'!F24,'12.09 Katungulu-Ishaka'!F24,'07.09. Katungulu-Ishaka-24h'!F24,'08.09 Katungulu-Ishaka-24h'!F24,'13.09 Katungulu-Ishaka'!F24)</f>
        <v>2.7142857142857144</v>
      </c>
      <c r="G24" s="49">
        <f>AVERAGE('09.09 Katungulu-Ishaka'!G24,'10.09 Katungulu-Ishaka'!G24,'11.09 Katungulu-Ishaka'!G24,'12.09 Katungulu-Ishaka'!G24,'07.09. Katungulu-Ishaka-24h'!G24,'08.09 Katungulu-Ishaka-24h'!G24,'13.09 Katungulu-Ishaka'!G24)</f>
        <v>0</v>
      </c>
      <c r="H24" s="49">
        <f>AVERAGE('09.09 Katungulu-Ishaka'!H24,'10.09 Katungulu-Ishaka'!H24,'11.09 Katungulu-Ishaka'!H24,'12.09 Katungulu-Ishaka'!H24,'07.09. Katungulu-Ishaka-24h'!H24,'08.09 Katungulu-Ishaka-24h'!H24,'13.09 Katungulu-Ishaka'!H24)</f>
        <v>0</v>
      </c>
      <c r="I24" s="49">
        <f>AVERAGE('09.09 Katungulu-Ishaka'!I24,'10.09 Katungulu-Ishaka'!I24,'11.09 Katungulu-Ishaka'!I24,'12.09 Katungulu-Ishaka'!I24,'07.09. Katungulu-Ishaka-24h'!I24,'08.09 Katungulu-Ishaka-24h'!I24,'13.09 Katungulu-Ishaka'!I24)</f>
        <v>1</v>
      </c>
      <c r="J24" s="49">
        <f>AVERAGE('09.09 Katungulu-Ishaka'!J24,'10.09 Katungulu-Ishaka'!J24,'11.09 Katungulu-Ishaka'!J24,'12.09 Katungulu-Ishaka'!J24,'07.09. Katungulu-Ishaka-24h'!J24,'08.09 Katungulu-Ishaka-24h'!J24,'13.09 Katungulu-Ishaka'!J24)</f>
        <v>0</v>
      </c>
      <c r="K24" s="49">
        <f>AVERAGE('09.09 Katungulu-Ishaka'!K24,'10.09 Katungulu-Ishaka'!K24,'11.09 Katungulu-Ishaka'!K24,'12.09 Katungulu-Ishaka'!K24,'07.09. Katungulu-Ishaka-24h'!K24,'08.09 Katungulu-Ishaka-24h'!K24,'13.09 Katungulu-Ishaka'!K24)</f>
        <v>0.7142857142857143</v>
      </c>
      <c r="L24" s="49">
        <f>AVERAGE('09.09 Katungulu-Ishaka'!L24,'10.09 Katungulu-Ishaka'!L24,'11.09 Katungulu-Ishaka'!L24,'12.09 Katungulu-Ishaka'!L24,'07.09. Katungulu-Ishaka-24h'!L24,'08.09 Katungulu-Ishaka-24h'!L24,'13.09 Katungulu-Ishaka'!L24)</f>
        <v>1</v>
      </c>
      <c r="M24" s="49">
        <f>AVERAGE('09.09 Katungulu-Ishaka'!M24,'10.09 Katungulu-Ishaka'!M24,'11.09 Katungulu-Ishaka'!M24,'12.09 Katungulu-Ishaka'!M24,'07.09. Katungulu-Ishaka-24h'!M24,'08.09 Katungulu-Ishaka-24h'!M24,'13.09 Katungulu-Ishaka'!M24)</f>
        <v>34.571428571428569</v>
      </c>
      <c r="N24" s="49">
        <f>AVERAGE('09.09 Katungulu-Ishaka'!N24,'10.09 Katungulu-Ishaka'!N24,'11.09 Katungulu-Ishaka'!N24,'12.09 Katungulu-Ishaka'!N24,'07.09. Katungulu-Ishaka-24h'!N24,'08.09 Katungulu-Ishaka-24h'!N24,'13.09 Katungulu-Ishaka'!N24)</f>
        <v>0</v>
      </c>
      <c r="O24" s="15">
        <f t="shared" si="0"/>
        <v>11.999999999999998</v>
      </c>
      <c r="P24" s="15">
        <f t="shared" si="1"/>
        <v>46.571428571428569</v>
      </c>
      <c r="R24" s="1" t="s">
        <v>148</v>
      </c>
      <c r="S24" s="34">
        <f>SUM(C66:C69)</f>
        <v>12.5</v>
      </c>
      <c r="T24" s="34">
        <f t="shared" ref="T24:AF24" si="16">SUM(D66:D69)</f>
        <v>6.5</v>
      </c>
      <c r="U24" s="34">
        <f t="shared" si="16"/>
        <v>12.5</v>
      </c>
      <c r="V24" s="34">
        <f t="shared" si="16"/>
        <v>5.5</v>
      </c>
      <c r="W24" s="34">
        <f t="shared" si="16"/>
        <v>1.5</v>
      </c>
      <c r="X24" s="34">
        <f t="shared" si="16"/>
        <v>0.5</v>
      </c>
      <c r="Y24" s="34">
        <f t="shared" si="16"/>
        <v>0</v>
      </c>
      <c r="Z24" s="34">
        <f t="shared" si="16"/>
        <v>1</v>
      </c>
      <c r="AA24" s="34">
        <f t="shared" si="16"/>
        <v>10.5</v>
      </c>
      <c r="AB24" s="34">
        <f t="shared" si="16"/>
        <v>0.5</v>
      </c>
      <c r="AC24" s="34">
        <f t="shared" si="16"/>
        <v>62.5</v>
      </c>
      <c r="AD24" s="34">
        <f t="shared" si="16"/>
        <v>0</v>
      </c>
      <c r="AE24" s="31">
        <f t="shared" si="16"/>
        <v>51</v>
      </c>
      <c r="AF24" s="31">
        <f t="shared" si="16"/>
        <v>113.5</v>
      </c>
    </row>
    <row r="25" spans="2:32" ht="23.1" customHeight="1" x14ac:dyDescent="0.25">
      <c r="B25" s="23" t="s">
        <v>52</v>
      </c>
      <c r="C25" s="49">
        <f>AVERAGE('09.09 Katungulu-Ishaka'!C25,'10.09 Katungulu-Ishaka'!C25,'11.09 Katungulu-Ishaka'!C25,'12.09 Katungulu-Ishaka'!C25,'07.09. Katungulu-Ishaka-24h'!C25,'08.09 Katungulu-Ishaka-24h'!C25,'13.09 Katungulu-Ishaka'!C25)</f>
        <v>7.4285714285714288</v>
      </c>
      <c r="D25" s="49">
        <f>AVERAGE('09.09 Katungulu-Ishaka'!D25,'10.09 Katungulu-Ishaka'!D25,'11.09 Katungulu-Ishaka'!D25,'12.09 Katungulu-Ishaka'!D25,'07.09. Katungulu-Ishaka-24h'!D25,'08.09 Katungulu-Ishaka-24h'!D25,'13.09 Katungulu-Ishaka'!D25)</f>
        <v>0.7142857142857143</v>
      </c>
      <c r="E25" s="49">
        <f>AVERAGE('09.09 Katungulu-Ishaka'!E25,'10.09 Katungulu-Ishaka'!E25,'11.09 Katungulu-Ishaka'!E25,'12.09 Katungulu-Ishaka'!E25,'07.09. Katungulu-Ishaka-24h'!E25,'08.09 Katungulu-Ishaka-24h'!E25,'13.09 Katungulu-Ishaka'!E25)</f>
        <v>3.8571428571428572</v>
      </c>
      <c r="F25" s="49">
        <f>AVERAGE('09.09 Katungulu-Ishaka'!F25,'10.09 Katungulu-Ishaka'!F25,'11.09 Katungulu-Ishaka'!F25,'12.09 Katungulu-Ishaka'!F25,'07.09. Katungulu-Ishaka-24h'!F25,'08.09 Katungulu-Ishaka-24h'!F25,'13.09 Katungulu-Ishaka'!F25)</f>
        <v>4.7142857142857144</v>
      </c>
      <c r="G25" s="49">
        <f>AVERAGE('09.09 Katungulu-Ishaka'!G25,'10.09 Katungulu-Ishaka'!G25,'11.09 Katungulu-Ishaka'!G25,'12.09 Katungulu-Ishaka'!G25,'07.09. Katungulu-Ishaka-24h'!G25,'08.09 Katungulu-Ishaka-24h'!G25,'13.09 Katungulu-Ishaka'!G25)</f>
        <v>0</v>
      </c>
      <c r="H25" s="49">
        <f>AVERAGE('09.09 Katungulu-Ishaka'!H25,'10.09 Katungulu-Ishaka'!H25,'11.09 Katungulu-Ishaka'!H25,'12.09 Katungulu-Ishaka'!H25,'07.09. Katungulu-Ishaka-24h'!H25,'08.09 Katungulu-Ishaka-24h'!H25,'13.09 Katungulu-Ishaka'!H25)</f>
        <v>0.14285714285714285</v>
      </c>
      <c r="I25" s="49">
        <f>AVERAGE('09.09 Katungulu-Ishaka'!I25,'10.09 Katungulu-Ishaka'!I25,'11.09 Katungulu-Ishaka'!I25,'12.09 Katungulu-Ishaka'!I25,'07.09. Katungulu-Ishaka-24h'!I25,'08.09 Katungulu-Ishaka-24h'!I25,'13.09 Katungulu-Ishaka'!I25)</f>
        <v>2</v>
      </c>
      <c r="J25" s="49">
        <f>AVERAGE('09.09 Katungulu-Ishaka'!J25,'10.09 Katungulu-Ishaka'!J25,'11.09 Katungulu-Ishaka'!J25,'12.09 Katungulu-Ishaka'!J25,'07.09. Katungulu-Ishaka-24h'!J25,'08.09 Katungulu-Ishaka-24h'!J25,'13.09 Katungulu-Ishaka'!J25)</f>
        <v>0.14285714285714285</v>
      </c>
      <c r="K25" s="49">
        <f>AVERAGE('09.09 Katungulu-Ishaka'!K25,'10.09 Katungulu-Ishaka'!K25,'11.09 Katungulu-Ishaka'!K25,'12.09 Katungulu-Ishaka'!K25,'07.09. Katungulu-Ishaka-24h'!K25,'08.09 Katungulu-Ishaka-24h'!K25,'13.09 Katungulu-Ishaka'!K25)</f>
        <v>1.4285714285714286</v>
      </c>
      <c r="L25" s="49">
        <f>AVERAGE('09.09 Katungulu-Ishaka'!L25,'10.09 Katungulu-Ishaka'!L25,'11.09 Katungulu-Ishaka'!L25,'12.09 Katungulu-Ishaka'!L25,'07.09. Katungulu-Ishaka-24h'!L25,'08.09 Katungulu-Ishaka-24h'!L25,'13.09 Katungulu-Ishaka'!L25)</f>
        <v>2.1428571428571428</v>
      </c>
      <c r="M25" s="49">
        <f>AVERAGE('09.09 Katungulu-Ishaka'!M25,'10.09 Katungulu-Ishaka'!M25,'11.09 Katungulu-Ishaka'!M25,'12.09 Katungulu-Ishaka'!M25,'07.09. Katungulu-Ishaka-24h'!M25,'08.09 Katungulu-Ishaka-24h'!M25,'13.09 Katungulu-Ishaka'!M25)</f>
        <v>62</v>
      </c>
      <c r="N25" s="49">
        <f>AVERAGE('09.09 Katungulu-Ishaka'!N25,'10.09 Katungulu-Ishaka'!N25,'11.09 Katungulu-Ishaka'!N25,'12.09 Katungulu-Ishaka'!N25,'07.09. Katungulu-Ishaka-24h'!N25,'08.09 Katungulu-Ishaka-24h'!N25,'13.09 Katungulu-Ishaka'!N25)</f>
        <v>0.14285714285714285</v>
      </c>
      <c r="O25" s="15">
        <f t="shared" si="0"/>
        <v>22.714285714285712</v>
      </c>
      <c r="P25" s="15">
        <f t="shared" si="1"/>
        <v>84.714285714285708</v>
      </c>
      <c r="R25" s="1" t="s">
        <v>149</v>
      </c>
      <c r="S25" s="34">
        <f>SUM(C70:C73)</f>
        <v>8.5</v>
      </c>
      <c r="T25" s="34">
        <f t="shared" ref="T25:AF25" si="17">SUM(D70:D73)</f>
        <v>7</v>
      </c>
      <c r="U25" s="34">
        <f t="shared" si="17"/>
        <v>13</v>
      </c>
      <c r="V25" s="34">
        <f t="shared" si="17"/>
        <v>3</v>
      </c>
      <c r="W25" s="34">
        <f t="shared" si="17"/>
        <v>0</v>
      </c>
      <c r="X25" s="34">
        <f t="shared" si="17"/>
        <v>0.5</v>
      </c>
      <c r="Y25" s="34">
        <f t="shared" si="17"/>
        <v>1.5</v>
      </c>
      <c r="Z25" s="34">
        <f t="shared" si="17"/>
        <v>6</v>
      </c>
      <c r="AA25" s="34">
        <f t="shared" si="17"/>
        <v>10.5</v>
      </c>
      <c r="AB25" s="34">
        <f t="shared" si="17"/>
        <v>0</v>
      </c>
      <c r="AC25" s="34">
        <f t="shared" si="17"/>
        <v>30.5</v>
      </c>
      <c r="AD25" s="34">
        <f t="shared" si="17"/>
        <v>0</v>
      </c>
      <c r="AE25" s="31">
        <f t="shared" si="17"/>
        <v>50</v>
      </c>
      <c r="AF25" s="31">
        <f t="shared" si="17"/>
        <v>80.5</v>
      </c>
    </row>
    <row r="26" spans="2:32" ht="23.1" customHeight="1" x14ac:dyDescent="0.25">
      <c r="B26" s="23" t="s">
        <v>53</v>
      </c>
      <c r="C26" s="49">
        <f>AVERAGE('09.09 Katungulu-Ishaka'!C26,'10.09 Katungulu-Ishaka'!C26,'11.09 Katungulu-Ishaka'!C26,'12.09 Katungulu-Ishaka'!C26,'07.09. Katungulu-Ishaka-24h'!C26,'08.09 Katungulu-Ishaka-24h'!C26,'13.09 Katungulu-Ishaka'!C26)</f>
        <v>3</v>
      </c>
      <c r="D26" s="49">
        <f>AVERAGE('09.09 Katungulu-Ishaka'!D26,'10.09 Katungulu-Ishaka'!D26,'11.09 Katungulu-Ishaka'!D26,'12.09 Katungulu-Ishaka'!D26,'07.09. Katungulu-Ishaka-24h'!D26,'08.09 Katungulu-Ishaka-24h'!D26,'13.09 Katungulu-Ishaka'!D26)</f>
        <v>0.14285714285714285</v>
      </c>
      <c r="E26" s="49">
        <f>AVERAGE('09.09 Katungulu-Ishaka'!E26,'10.09 Katungulu-Ishaka'!E26,'11.09 Katungulu-Ishaka'!E26,'12.09 Katungulu-Ishaka'!E26,'07.09. Katungulu-Ishaka-24h'!E26,'08.09 Katungulu-Ishaka-24h'!E26,'13.09 Katungulu-Ishaka'!E26)</f>
        <v>2.1428571428571428</v>
      </c>
      <c r="F26" s="49">
        <f>AVERAGE('09.09 Katungulu-Ishaka'!F26,'10.09 Katungulu-Ishaka'!F26,'11.09 Katungulu-Ishaka'!F26,'12.09 Katungulu-Ishaka'!F26,'07.09. Katungulu-Ishaka-24h'!F26,'08.09 Katungulu-Ishaka-24h'!F26,'13.09 Katungulu-Ishaka'!F26)</f>
        <v>3</v>
      </c>
      <c r="G26" s="49">
        <f>AVERAGE('09.09 Katungulu-Ishaka'!G26,'10.09 Katungulu-Ishaka'!G26,'11.09 Katungulu-Ishaka'!G26,'12.09 Katungulu-Ishaka'!G26,'07.09. Katungulu-Ishaka-24h'!G26,'08.09 Katungulu-Ishaka-24h'!G26,'13.09 Katungulu-Ishaka'!G26)</f>
        <v>0</v>
      </c>
      <c r="H26" s="49">
        <f>AVERAGE('09.09 Katungulu-Ishaka'!H26,'10.09 Katungulu-Ishaka'!H26,'11.09 Katungulu-Ishaka'!H26,'12.09 Katungulu-Ishaka'!H26,'07.09. Katungulu-Ishaka-24h'!H26,'08.09 Katungulu-Ishaka-24h'!H26,'13.09 Katungulu-Ishaka'!H26)</f>
        <v>0</v>
      </c>
      <c r="I26" s="49">
        <f>AVERAGE('09.09 Katungulu-Ishaka'!I26,'10.09 Katungulu-Ishaka'!I26,'11.09 Katungulu-Ishaka'!I26,'12.09 Katungulu-Ishaka'!I26,'07.09. Katungulu-Ishaka-24h'!I26,'08.09 Katungulu-Ishaka-24h'!I26,'13.09 Katungulu-Ishaka'!I26)</f>
        <v>0.2857142857142857</v>
      </c>
      <c r="J26" s="49">
        <f>AVERAGE('09.09 Katungulu-Ishaka'!J26,'10.09 Katungulu-Ishaka'!J26,'11.09 Katungulu-Ishaka'!J26,'12.09 Katungulu-Ishaka'!J26,'07.09. Katungulu-Ishaka-24h'!J26,'08.09 Katungulu-Ishaka-24h'!J26,'13.09 Katungulu-Ishaka'!J26)</f>
        <v>0.2857142857142857</v>
      </c>
      <c r="K26" s="49">
        <f>AVERAGE('09.09 Katungulu-Ishaka'!K26,'10.09 Katungulu-Ishaka'!K26,'11.09 Katungulu-Ishaka'!K26,'12.09 Katungulu-Ishaka'!K26,'07.09. Katungulu-Ishaka-24h'!K26,'08.09 Katungulu-Ishaka-24h'!K26,'13.09 Katungulu-Ishaka'!K26)</f>
        <v>1</v>
      </c>
      <c r="L26" s="49">
        <f>AVERAGE('09.09 Katungulu-Ishaka'!L26,'10.09 Katungulu-Ishaka'!L26,'11.09 Katungulu-Ishaka'!L26,'12.09 Katungulu-Ishaka'!L26,'07.09. Katungulu-Ishaka-24h'!L26,'08.09 Katungulu-Ishaka-24h'!L26,'13.09 Katungulu-Ishaka'!L26)</f>
        <v>0.7142857142857143</v>
      </c>
      <c r="M26" s="49">
        <f>AVERAGE('09.09 Katungulu-Ishaka'!M26,'10.09 Katungulu-Ishaka'!M26,'11.09 Katungulu-Ishaka'!M26,'12.09 Katungulu-Ishaka'!M26,'07.09. Katungulu-Ishaka-24h'!M26,'08.09 Katungulu-Ishaka-24h'!M26,'13.09 Katungulu-Ishaka'!M26)</f>
        <v>37.571428571428569</v>
      </c>
      <c r="N26" s="49">
        <f>AVERAGE('09.09 Katungulu-Ishaka'!N26,'10.09 Katungulu-Ishaka'!N26,'11.09 Katungulu-Ishaka'!N26,'12.09 Katungulu-Ishaka'!N26,'07.09. Katungulu-Ishaka-24h'!N26,'08.09 Katungulu-Ishaka-24h'!N26,'13.09 Katungulu-Ishaka'!N26)</f>
        <v>0</v>
      </c>
      <c r="O26" s="15">
        <f t="shared" si="0"/>
        <v>10.571428571428571</v>
      </c>
      <c r="P26" s="15">
        <f t="shared" si="1"/>
        <v>48.142857142857139</v>
      </c>
      <c r="R26" s="1" t="s">
        <v>150</v>
      </c>
      <c r="S26" s="34">
        <f>SUM(C74:C77)</f>
        <v>3.5</v>
      </c>
      <c r="T26" s="34">
        <f t="shared" ref="T26:AF26" si="18">SUM(D74:D77)</f>
        <v>2</v>
      </c>
      <c r="U26" s="34">
        <f t="shared" si="18"/>
        <v>3</v>
      </c>
      <c r="V26" s="34">
        <f t="shared" si="18"/>
        <v>2.5</v>
      </c>
      <c r="W26" s="34">
        <f t="shared" si="18"/>
        <v>1</v>
      </c>
      <c r="X26" s="34">
        <f t="shared" si="18"/>
        <v>1</v>
      </c>
      <c r="Y26" s="34">
        <f t="shared" si="18"/>
        <v>1</v>
      </c>
      <c r="Z26" s="34">
        <f t="shared" si="18"/>
        <v>3</v>
      </c>
      <c r="AA26" s="34">
        <f t="shared" si="18"/>
        <v>7.5</v>
      </c>
      <c r="AB26" s="34">
        <f t="shared" si="18"/>
        <v>1</v>
      </c>
      <c r="AC26" s="34">
        <f t="shared" si="18"/>
        <v>16</v>
      </c>
      <c r="AD26" s="34">
        <f t="shared" si="18"/>
        <v>0</v>
      </c>
      <c r="AE26" s="31">
        <f t="shared" si="18"/>
        <v>25.5</v>
      </c>
      <c r="AF26" s="31">
        <f t="shared" si="18"/>
        <v>41.5</v>
      </c>
    </row>
    <row r="27" spans="2:32" ht="23.1" customHeight="1" x14ac:dyDescent="0.25">
      <c r="B27" s="23" t="s">
        <v>54</v>
      </c>
      <c r="C27" s="49">
        <f>AVERAGE('09.09 Katungulu-Ishaka'!C27,'10.09 Katungulu-Ishaka'!C27,'11.09 Katungulu-Ishaka'!C27,'12.09 Katungulu-Ishaka'!C27,'07.09. Katungulu-Ishaka-24h'!C27,'08.09 Katungulu-Ishaka-24h'!C27,'13.09 Katungulu-Ishaka'!C27)</f>
        <v>5.5714285714285712</v>
      </c>
      <c r="D27" s="49">
        <f>AVERAGE('09.09 Katungulu-Ishaka'!D27,'10.09 Katungulu-Ishaka'!D27,'11.09 Katungulu-Ishaka'!D27,'12.09 Katungulu-Ishaka'!D27,'07.09. Katungulu-Ishaka-24h'!D27,'08.09 Katungulu-Ishaka-24h'!D27,'13.09 Katungulu-Ishaka'!D27)</f>
        <v>0.7142857142857143</v>
      </c>
      <c r="E27" s="49">
        <f>AVERAGE('09.09 Katungulu-Ishaka'!E27,'10.09 Katungulu-Ishaka'!E27,'11.09 Katungulu-Ishaka'!E27,'12.09 Katungulu-Ishaka'!E27,'07.09. Katungulu-Ishaka-24h'!E27,'08.09 Katungulu-Ishaka-24h'!E27,'13.09 Katungulu-Ishaka'!E27)</f>
        <v>3.7142857142857144</v>
      </c>
      <c r="F27" s="49">
        <f>AVERAGE('09.09 Katungulu-Ishaka'!F27,'10.09 Katungulu-Ishaka'!F27,'11.09 Katungulu-Ishaka'!F27,'12.09 Katungulu-Ishaka'!F27,'07.09. Katungulu-Ishaka-24h'!F27,'08.09 Katungulu-Ishaka-24h'!F27,'13.09 Katungulu-Ishaka'!F27)</f>
        <v>4.8571428571428568</v>
      </c>
      <c r="G27" s="49">
        <f>AVERAGE('09.09 Katungulu-Ishaka'!G27,'10.09 Katungulu-Ishaka'!G27,'11.09 Katungulu-Ishaka'!G27,'12.09 Katungulu-Ishaka'!G27,'07.09. Katungulu-Ishaka-24h'!G27,'08.09 Katungulu-Ishaka-24h'!G27,'13.09 Katungulu-Ishaka'!G27)</f>
        <v>0</v>
      </c>
      <c r="H27" s="49">
        <f>AVERAGE('09.09 Katungulu-Ishaka'!H27,'10.09 Katungulu-Ishaka'!H27,'11.09 Katungulu-Ishaka'!H27,'12.09 Katungulu-Ishaka'!H27,'07.09. Katungulu-Ishaka-24h'!H27,'08.09 Katungulu-Ishaka-24h'!H27,'13.09 Katungulu-Ishaka'!H27)</f>
        <v>0</v>
      </c>
      <c r="I27" s="49">
        <f>AVERAGE('09.09 Katungulu-Ishaka'!I27,'10.09 Katungulu-Ishaka'!I27,'11.09 Katungulu-Ishaka'!I27,'12.09 Katungulu-Ishaka'!I27,'07.09. Katungulu-Ishaka-24h'!I27,'08.09 Katungulu-Ishaka-24h'!I27,'13.09 Katungulu-Ishaka'!I27)</f>
        <v>1.2857142857142858</v>
      </c>
      <c r="J27" s="49">
        <f>AVERAGE('09.09 Katungulu-Ishaka'!J27,'10.09 Katungulu-Ishaka'!J27,'11.09 Katungulu-Ishaka'!J27,'12.09 Katungulu-Ishaka'!J27,'07.09. Katungulu-Ishaka-24h'!J27,'08.09 Katungulu-Ishaka-24h'!J27,'13.09 Katungulu-Ishaka'!J27)</f>
        <v>1.1428571428571428</v>
      </c>
      <c r="K27" s="49">
        <f>AVERAGE('09.09 Katungulu-Ishaka'!K27,'10.09 Katungulu-Ishaka'!K27,'11.09 Katungulu-Ishaka'!K27,'12.09 Katungulu-Ishaka'!K27,'07.09. Katungulu-Ishaka-24h'!K27,'08.09 Katungulu-Ishaka-24h'!K27,'13.09 Katungulu-Ishaka'!K27)</f>
        <v>2.1428571428571428</v>
      </c>
      <c r="L27" s="49">
        <f>AVERAGE('09.09 Katungulu-Ishaka'!L27,'10.09 Katungulu-Ishaka'!L27,'11.09 Katungulu-Ishaka'!L27,'12.09 Katungulu-Ishaka'!L27,'07.09. Katungulu-Ishaka-24h'!L27,'08.09 Katungulu-Ishaka-24h'!L27,'13.09 Katungulu-Ishaka'!L27)</f>
        <v>1.5714285714285714</v>
      </c>
      <c r="M27" s="49">
        <f>AVERAGE('09.09 Katungulu-Ishaka'!M27,'10.09 Katungulu-Ishaka'!M27,'11.09 Katungulu-Ishaka'!M27,'12.09 Katungulu-Ishaka'!M27,'07.09. Katungulu-Ishaka-24h'!M27,'08.09 Katungulu-Ishaka-24h'!M27,'13.09 Katungulu-Ishaka'!M27)</f>
        <v>69.285714285714292</v>
      </c>
      <c r="N27" s="49">
        <f>AVERAGE('09.09 Katungulu-Ishaka'!N27,'10.09 Katungulu-Ishaka'!N27,'11.09 Katungulu-Ishaka'!N27,'12.09 Katungulu-Ishaka'!N27,'07.09. Katungulu-Ishaka-24h'!N27,'08.09 Katungulu-Ishaka-24h'!N27,'13.09 Katungulu-Ishaka'!N27)</f>
        <v>0</v>
      </c>
      <c r="O27" s="15">
        <f t="shared" si="0"/>
        <v>21</v>
      </c>
      <c r="P27" s="15">
        <f t="shared" si="1"/>
        <v>90.285714285714292</v>
      </c>
      <c r="R27" s="1" t="s">
        <v>151</v>
      </c>
      <c r="S27" s="34">
        <f>SUM(C78:C81)</f>
        <v>2.5</v>
      </c>
      <c r="T27" s="34">
        <f t="shared" ref="T27:AF27" si="19">SUM(D78:D81)</f>
        <v>1.5</v>
      </c>
      <c r="U27" s="34">
        <f t="shared" si="19"/>
        <v>3.5</v>
      </c>
      <c r="V27" s="34">
        <f t="shared" si="19"/>
        <v>6</v>
      </c>
      <c r="W27" s="34">
        <f t="shared" si="19"/>
        <v>0</v>
      </c>
      <c r="X27" s="34">
        <f t="shared" si="19"/>
        <v>2</v>
      </c>
      <c r="Y27" s="34">
        <f t="shared" si="19"/>
        <v>0</v>
      </c>
      <c r="Z27" s="34">
        <f t="shared" si="19"/>
        <v>5</v>
      </c>
      <c r="AA27" s="34">
        <f t="shared" si="19"/>
        <v>0.5</v>
      </c>
      <c r="AB27" s="34">
        <f t="shared" si="19"/>
        <v>0.5</v>
      </c>
      <c r="AC27" s="34">
        <f t="shared" si="19"/>
        <v>9.5</v>
      </c>
      <c r="AD27" s="34">
        <f t="shared" si="19"/>
        <v>0</v>
      </c>
      <c r="AE27" s="31">
        <f t="shared" si="19"/>
        <v>21.5</v>
      </c>
      <c r="AF27" s="31">
        <f t="shared" si="19"/>
        <v>31</v>
      </c>
    </row>
    <row r="28" spans="2:32" ht="23.1" customHeight="1" x14ac:dyDescent="0.25">
      <c r="B28" s="23" t="s">
        <v>55</v>
      </c>
      <c r="C28" s="49">
        <f>AVERAGE('09.09 Katungulu-Ishaka'!C28,'10.09 Katungulu-Ishaka'!C28,'11.09 Katungulu-Ishaka'!C28,'12.09 Katungulu-Ishaka'!C28,'07.09. Katungulu-Ishaka-24h'!C28,'08.09 Katungulu-Ishaka-24h'!C28,'13.09 Katungulu-Ishaka'!C28)</f>
        <v>4</v>
      </c>
      <c r="D28" s="49">
        <f>AVERAGE('09.09 Katungulu-Ishaka'!D28,'10.09 Katungulu-Ishaka'!D28,'11.09 Katungulu-Ishaka'!D28,'12.09 Katungulu-Ishaka'!D28,'07.09. Katungulu-Ishaka-24h'!D28,'08.09 Katungulu-Ishaka-24h'!D28,'13.09 Katungulu-Ishaka'!D28)</f>
        <v>0.42857142857142855</v>
      </c>
      <c r="E28" s="49">
        <f>AVERAGE('09.09 Katungulu-Ishaka'!E28,'10.09 Katungulu-Ishaka'!E28,'11.09 Katungulu-Ishaka'!E28,'12.09 Katungulu-Ishaka'!E28,'07.09. Katungulu-Ishaka-24h'!E28,'08.09 Katungulu-Ishaka-24h'!E28,'13.09 Katungulu-Ishaka'!E28)</f>
        <v>2.8571428571428572</v>
      </c>
      <c r="F28" s="49">
        <f>AVERAGE('09.09 Katungulu-Ishaka'!F28,'10.09 Katungulu-Ishaka'!F28,'11.09 Katungulu-Ishaka'!F28,'12.09 Katungulu-Ishaka'!F28,'07.09. Katungulu-Ishaka-24h'!F28,'08.09 Katungulu-Ishaka-24h'!F28,'13.09 Katungulu-Ishaka'!F28)</f>
        <v>1.8571428571428572</v>
      </c>
      <c r="G28" s="49">
        <f>AVERAGE('09.09 Katungulu-Ishaka'!G28,'10.09 Katungulu-Ishaka'!G28,'11.09 Katungulu-Ishaka'!G28,'12.09 Katungulu-Ishaka'!G28,'07.09. Katungulu-Ishaka-24h'!G28,'08.09 Katungulu-Ishaka-24h'!G28,'13.09 Katungulu-Ishaka'!G28)</f>
        <v>0</v>
      </c>
      <c r="H28" s="49">
        <f>AVERAGE('09.09 Katungulu-Ishaka'!H28,'10.09 Katungulu-Ishaka'!H28,'11.09 Katungulu-Ishaka'!H28,'12.09 Katungulu-Ishaka'!H28,'07.09. Katungulu-Ishaka-24h'!H28,'08.09 Katungulu-Ishaka-24h'!H28,'13.09 Katungulu-Ishaka'!H28)</f>
        <v>0</v>
      </c>
      <c r="I28" s="49">
        <f>AVERAGE('09.09 Katungulu-Ishaka'!I28,'10.09 Katungulu-Ishaka'!I28,'11.09 Katungulu-Ishaka'!I28,'12.09 Katungulu-Ishaka'!I28,'07.09. Katungulu-Ishaka-24h'!I28,'08.09 Katungulu-Ishaka-24h'!I28,'13.09 Katungulu-Ishaka'!I28)</f>
        <v>0.42857142857142855</v>
      </c>
      <c r="J28" s="49">
        <f>AVERAGE('09.09 Katungulu-Ishaka'!J28,'10.09 Katungulu-Ishaka'!J28,'11.09 Katungulu-Ishaka'!J28,'12.09 Katungulu-Ishaka'!J28,'07.09. Katungulu-Ishaka-24h'!J28,'08.09 Katungulu-Ishaka-24h'!J28,'13.09 Katungulu-Ishaka'!J28)</f>
        <v>0.14285714285714285</v>
      </c>
      <c r="K28" s="49">
        <f>AVERAGE('09.09 Katungulu-Ishaka'!K28,'10.09 Katungulu-Ishaka'!K28,'11.09 Katungulu-Ishaka'!K28,'12.09 Katungulu-Ishaka'!K28,'07.09. Katungulu-Ishaka-24h'!K28,'08.09 Katungulu-Ishaka-24h'!K28,'13.09 Katungulu-Ishaka'!K28)</f>
        <v>1.7142857142857142</v>
      </c>
      <c r="L28" s="49">
        <f>AVERAGE('09.09 Katungulu-Ishaka'!L28,'10.09 Katungulu-Ishaka'!L28,'11.09 Katungulu-Ishaka'!L28,'12.09 Katungulu-Ishaka'!L28,'07.09. Katungulu-Ishaka-24h'!L28,'08.09 Katungulu-Ishaka-24h'!L28,'13.09 Katungulu-Ishaka'!L28)</f>
        <v>1.4285714285714286</v>
      </c>
      <c r="M28" s="49">
        <f>AVERAGE('09.09 Katungulu-Ishaka'!M28,'10.09 Katungulu-Ishaka'!M28,'11.09 Katungulu-Ishaka'!M28,'12.09 Katungulu-Ishaka'!M28,'07.09. Katungulu-Ishaka-24h'!M28,'08.09 Katungulu-Ishaka-24h'!M28,'13.09 Katungulu-Ishaka'!M28)</f>
        <v>30.285714285714285</v>
      </c>
      <c r="N28" s="49">
        <f>AVERAGE('09.09 Katungulu-Ishaka'!N28,'10.09 Katungulu-Ishaka'!N28,'11.09 Katungulu-Ishaka'!N28,'12.09 Katungulu-Ishaka'!N28,'07.09. Katungulu-Ishaka-24h'!N28,'08.09 Katungulu-Ishaka-24h'!N28,'13.09 Katungulu-Ishaka'!N28)</f>
        <v>0</v>
      </c>
      <c r="O28" s="15">
        <f t="shared" si="0"/>
        <v>12.857142857142858</v>
      </c>
      <c r="P28" s="15">
        <f t="shared" si="1"/>
        <v>43.142857142857139</v>
      </c>
      <c r="R28" s="1" t="s">
        <v>152</v>
      </c>
      <c r="S28" s="34">
        <f>SUM(C82:C85)</f>
        <v>1</v>
      </c>
      <c r="T28" s="34">
        <f t="shared" ref="T28:AF28" si="20">SUM(D82:D85)</f>
        <v>0.5</v>
      </c>
      <c r="U28" s="34">
        <f t="shared" si="20"/>
        <v>2</v>
      </c>
      <c r="V28" s="34">
        <f t="shared" si="20"/>
        <v>2</v>
      </c>
      <c r="W28" s="34">
        <f t="shared" si="20"/>
        <v>0</v>
      </c>
      <c r="X28" s="34">
        <f t="shared" si="20"/>
        <v>0.5</v>
      </c>
      <c r="Y28" s="34">
        <f t="shared" si="20"/>
        <v>0</v>
      </c>
      <c r="Z28" s="34">
        <f t="shared" si="20"/>
        <v>1.5</v>
      </c>
      <c r="AA28" s="34">
        <f t="shared" si="20"/>
        <v>0.5</v>
      </c>
      <c r="AB28" s="34">
        <f t="shared" si="20"/>
        <v>0</v>
      </c>
      <c r="AC28" s="34">
        <f t="shared" si="20"/>
        <v>12</v>
      </c>
      <c r="AD28" s="34">
        <f t="shared" si="20"/>
        <v>0</v>
      </c>
      <c r="AE28" s="31">
        <f t="shared" si="20"/>
        <v>8</v>
      </c>
      <c r="AF28" s="31">
        <f t="shared" si="20"/>
        <v>20</v>
      </c>
    </row>
    <row r="29" spans="2:32" ht="23.1" customHeight="1" x14ac:dyDescent="0.25">
      <c r="B29" s="23" t="s">
        <v>56</v>
      </c>
      <c r="C29" s="49">
        <f>AVERAGE('09.09 Katungulu-Ishaka'!C29,'10.09 Katungulu-Ishaka'!C29,'11.09 Katungulu-Ishaka'!C29,'12.09 Katungulu-Ishaka'!C29,'07.09. Katungulu-Ishaka-24h'!C29,'08.09 Katungulu-Ishaka-24h'!C29,'13.09 Katungulu-Ishaka'!C29)</f>
        <v>7.1428571428571432</v>
      </c>
      <c r="D29" s="49">
        <f>AVERAGE('09.09 Katungulu-Ishaka'!D29,'10.09 Katungulu-Ishaka'!D29,'11.09 Katungulu-Ishaka'!D29,'12.09 Katungulu-Ishaka'!D29,'07.09. Katungulu-Ishaka-24h'!D29,'08.09 Katungulu-Ishaka-24h'!D29,'13.09 Katungulu-Ishaka'!D29)</f>
        <v>1</v>
      </c>
      <c r="E29" s="49">
        <f>AVERAGE('09.09 Katungulu-Ishaka'!E29,'10.09 Katungulu-Ishaka'!E29,'11.09 Katungulu-Ishaka'!E29,'12.09 Katungulu-Ishaka'!E29,'07.09. Katungulu-Ishaka-24h'!E29,'08.09 Katungulu-Ishaka-24h'!E29,'13.09 Katungulu-Ishaka'!E29)</f>
        <v>5.2857142857142856</v>
      </c>
      <c r="F29" s="49">
        <f>AVERAGE('09.09 Katungulu-Ishaka'!F29,'10.09 Katungulu-Ishaka'!F29,'11.09 Katungulu-Ishaka'!F29,'12.09 Katungulu-Ishaka'!F29,'07.09. Katungulu-Ishaka-24h'!F29,'08.09 Katungulu-Ishaka-24h'!F29,'13.09 Katungulu-Ishaka'!F29)</f>
        <v>4</v>
      </c>
      <c r="G29" s="49">
        <f>AVERAGE('09.09 Katungulu-Ishaka'!G29,'10.09 Katungulu-Ishaka'!G29,'11.09 Katungulu-Ishaka'!G29,'12.09 Katungulu-Ishaka'!G29,'07.09. Katungulu-Ishaka-24h'!G29,'08.09 Katungulu-Ishaka-24h'!G29,'13.09 Katungulu-Ishaka'!G29)</f>
        <v>0</v>
      </c>
      <c r="H29" s="49">
        <f>AVERAGE('09.09 Katungulu-Ishaka'!H29,'10.09 Katungulu-Ishaka'!H29,'11.09 Katungulu-Ishaka'!H29,'12.09 Katungulu-Ishaka'!H29,'07.09. Katungulu-Ishaka-24h'!H29,'08.09 Katungulu-Ishaka-24h'!H29,'13.09 Katungulu-Ishaka'!H29)</f>
        <v>0.14285714285714285</v>
      </c>
      <c r="I29" s="49">
        <f>AVERAGE('09.09 Katungulu-Ishaka'!I29,'10.09 Katungulu-Ishaka'!I29,'11.09 Katungulu-Ishaka'!I29,'12.09 Katungulu-Ishaka'!I29,'07.09. Katungulu-Ishaka-24h'!I29,'08.09 Katungulu-Ishaka-24h'!I29,'13.09 Katungulu-Ishaka'!I29)</f>
        <v>0.7142857142857143</v>
      </c>
      <c r="J29" s="49">
        <f>AVERAGE('09.09 Katungulu-Ishaka'!J29,'10.09 Katungulu-Ishaka'!J29,'11.09 Katungulu-Ishaka'!J29,'12.09 Katungulu-Ishaka'!J29,'07.09. Katungulu-Ishaka-24h'!J29,'08.09 Katungulu-Ishaka-24h'!J29,'13.09 Katungulu-Ishaka'!J29)</f>
        <v>0.7142857142857143</v>
      </c>
      <c r="K29" s="49">
        <f>AVERAGE('09.09 Katungulu-Ishaka'!K29,'10.09 Katungulu-Ishaka'!K29,'11.09 Katungulu-Ishaka'!K29,'12.09 Katungulu-Ishaka'!K29,'07.09. Katungulu-Ishaka-24h'!K29,'08.09 Katungulu-Ishaka-24h'!K29,'13.09 Katungulu-Ishaka'!K29)</f>
        <v>3</v>
      </c>
      <c r="L29" s="49">
        <f>AVERAGE('09.09 Katungulu-Ishaka'!L29,'10.09 Katungulu-Ishaka'!L29,'11.09 Katungulu-Ishaka'!L29,'12.09 Katungulu-Ishaka'!L29,'07.09. Katungulu-Ishaka-24h'!L29,'08.09 Katungulu-Ishaka-24h'!L29,'13.09 Katungulu-Ishaka'!L29)</f>
        <v>2.7142857142857144</v>
      </c>
      <c r="M29" s="49">
        <f>AVERAGE('09.09 Katungulu-Ishaka'!M29,'10.09 Katungulu-Ishaka'!M29,'11.09 Katungulu-Ishaka'!M29,'12.09 Katungulu-Ishaka'!M29,'07.09. Katungulu-Ishaka-24h'!M29,'08.09 Katungulu-Ishaka-24h'!M29,'13.09 Katungulu-Ishaka'!M29)</f>
        <v>53.714285714285715</v>
      </c>
      <c r="N29" s="49">
        <f>AVERAGE('09.09 Katungulu-Ishaka'!N29,'10.09 Katungulu-Ishaka'!N29,'11.09 Katungulu-Ishaka'!N29,'12.09 Katungulu-Ishaka'!N29,'07.09. Katungulu-Ishaka-24h'!N29,'08.09 Katungulu-Ishaka-24h'!N29,'13.09 Katungulu-Ishaka'!N29)</f>
        <v>0.14285714285714285</v>
      </c>
      <c r="O29" s="15">
        <f t="shared" si="0"/>
        <v>24.857142857142858</v>
      </c>
      <c r="P29" s="15">
        <f t="shared" si="1"/>
        <v>78.571428571428569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0.5</v>
      </c>
      <c r="V29" s="34">
        <f t="shared" si="21"/>
        <v>0.5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2</v>
      </c>
      <c r="AB29" s="34">
        <f t="shared" si="21"/>
        <v>1.5</v>
      </c>
      <c r="AC29" s="34">
        <f t="shared" si="21"/>
        <v>1</v>
      </c>
      <c r="AD29" s="34">
        <f t="shared" si="21"/>
        <v>0</v>
      </c>
      <c r="AE29" s="31">
        <f t="shared" si="21"/>
        <v>4.5</v>
      </c>
      <c r="AF29" s="31">
        <f t="shared" si="21"/>
        <v>5.5</v>
      </c>
    </row>
    <row r="30" spans="2:32" ht="23.1" customHeight="1" x14ac:dyDescent="0.25">
      <c r="B30" s="23" t="s">
        <v>57</v>
      </c>
      <c r="C30" s="49">
        <f>AVERAGE('09.09 Katungulu-Ishaka'!C30,'10.09 Katungulu-Ishaka'!C30,'11.09 Katungulu-Ishaka'!C30,'12.09 Katungulu-Ishaka'!C30,'07.09. Katungulu-Ishaka-24h'!C30,'08.09 Katungulu-Ishaka-24h'!C30,'13.09 Katungulu-Ishaka'!C30)</f>
        <v>4.1428571428571432</v>
      </c>
      <c r="D30" s="49">
        <f>AVERAGE('09.09 Katungulu-Ishaka'!D30,'10.09 Katungulu-Ishaka'!D30,'11.09 Katungulu-Ishaka'!D30,'12.09 Katungulu-Ishaka'!D30,'07.09. Katungulu-Ishaka-24h'!D30,'08.09 Katungulu-Ishaka-24h'!D30,'13.09 Katungulu-Ishaka'!D30)</f>
        <v>0.42857142857142855</v>
      </c>
      <c r="E30" s="49">
        <f>AVERAGE('09.09 Katungulu-Ishaka'!E30,'10.09 Katungulu-Ishaka'!E30,'11.09 Katungulu-Ishaka'!E30,'12.09 Katungulu-Ishaka'!E30,'07.09. Katungulu-Ishaka-24h'!E30,'08.09 Katungulu-Ishaka-24h'!E30,'13.09 Katungulu-Ishaka'!E30)</f>
        <v>2.2857142857142856</v>
      </c>
      <c r="F30" s="49">
        <f>AVERAGE('09.09 Katungulu-Ishaka'!F30,'10.09 Katungulu-Ishaka'!F30,'11.09 Katungulu-Ishaka'!F30,'12.09 Katungulu-Ishaka'!F30,'07.09. Katungulu-Ishaka-24h'!F30,'08.09 Katungulu-Ishaka-24h'!F30,'13.09 Katungulu-Ishaka'!F30)</f>
        <v>2.4285714285714284</v>
      </c>
      <c r="G30" s="49">
        <f>AVERAGE('09.09 Katungulu-Ishaka'!G30,'10.09 Katungulu-Ishaka'!G30,'11.09 Katungulu-Ishaka'!G30,'12.09 Katungulu-Ishaka'!G30,'07.09. Katungulu-Ishaka-24h'!G30,'08.09 Katungulu-Ishaka-24h'!G30,'13.09 Katungulu-Ishaka'!G30)</f>
        <v>0</v>
      </c>
      <c r="H30" s="49">
        <f>AVERAGE('09.09 Katungulu-Ishaka'!H30,'10.09 Katungulu-Ishaka'!H30,'11.09 Katungulu-Ishaka'!H30,'12.09 Katungulu-Ishaka'!H30,'07.09. Katungulu-Ishaka-24h'!H30,'08.09 Katungulu-Ishaka-24h'!H30,'13.09 Katungulu-Ishaka'!H30)</f>
        <v>0</v>
      </c>
      <c r="I30" s="49">
        <f>AVERAGE('09.09 Katungulu-Ishaka'!I30,'10.09 Katungulu-Ishaka'!I30,'11.09 Katungulu-Ishaka'!I30,'12.09 Katungulu-Ishaka'!I30,'07.09. Katungulu-Ishaka-24h'!I30,'08.09 Katungulu-Ishaka-24h'!I30,'13.09 Katungulu-Ishaka'!I30)</f>
        <v>0.2857142857142857</v>
      </c>
      <c r="J30" s="49">
        <f>AVERAGE('09.09 Katungulu-Ishaka'!J30,'10.09 Katungulu-Ishaka'!J30,'11.09 Katungulu-Ishaka'!J30,'12.09 Katungulu-Ishaka'!J30,'07.09. Katungulu-Ishaka-24h'!J30,'08.09 Katungulu-Ishaka-24h'!J30,'13.09 Katungulu-Ishaka'!J30)</f>
        <v>0.7142857142857143</v>
      </c>
      <c r="K30" s="49">
        <f>AVERAGE('09.09 Katungulu-Ishaka'!K30,'10.09 Katungulu-Ishaka'!K30,'11.09 Katungulu-Ishaka'!K30,'12.09 Katungulu-Ishaka'!K30,'07.09. Katungulu-Ishaka-24h'!K30,'08.09 Katungulu-Ishaka-24h'!K30,'13.09 Katungulu-Ishaka'!K30)</f>
        <v>0.7142857142857143</v>
      </c>
      <c r="L30" s="49">
        <f>AVERAGE('09.09 Katungulu-Ishaka'!L30,'10.09 Katungulu-Ishaka'!L30,'11.09 Katungulu-Ishaka'!L30,'12.09 Katungulu-Ishaka'!L30,'07.09. Katungulu-Ishaka-24h'!L30,'08.09 Katungulu-Ishaka-24h'!L30,'13.09 Katungulu-Ishaka'!L30)</f>
        <v>0.42857142857142855</v>
      </c>
      <c r="M30" s="49">
        <f>AVERAGE('09.09 Katungulu-Ishaka'!M30,'10.09 Katungulu-Ishaka'!M30,'11.09 Katungulu-Ishaka'!M30,'12.09 Katungulu-Ishaka'!M30,'07.09. Katungulu-Ishaka-24h'!M30,'08.09 Katungulu-Ishaka-24h'!M30,'13.09 Katungulu-Ishaka'!M30)</f>
        <v>34.285714285714285</v>
      </c>
      <c r="N30" s="49">
        <f>AVERAGE('09.09 Katungulu-Ishaka'!N30,'10.09 Katungulu-Ishaka'!N30,'11.09 Katungulu-Ishaka'!N30,'12.09 Katungulu-Ishaka'!N30,'07.09. Katungulu-Ishaka-24h'!N30,'08.09 Katungulu-Ishaka-24h'!N30,'13.09 Katungulu-Ishaka'!N30)</f>
        <v>0</v>
      </c>
      <c r="O30" s="15">
        <f t="shared" si="0"/>
        <v>11.428571428571429</v>
      </c>
      <c r="P30" s="15">
        <f t="shared" si="1"/>
        <v>45.714285714285715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0.5</v>
      </c>
      <c r="AA30" s="34">
        <f t="shared" si="22"/>
        <v>0</v>
      </c>
      <c r="AB30" s="34">
        <f t="shared" si="22"/>
        <v>0.5</v>
      </c>
      <c r="AC30" s="34">
        <f t="shared" si="22"/>
        <v>0</v>
      </c>
      <c r="AD30" s="34">
        <f t="shared" si="22"/>
        <v>0</v>
      </c>
      <c r="AE30" s="31">
        <f t="shared" si="22"/>
        <v>1.5</v>
      </c>
      <c r="AF30" s="31">
        <f t="shared" si="22"/>
        <v>1.5</v>
      </c>
    </row>
    <row r="31" spans="2:32" ht="23.1" customHeight="1" x14ac:dyDescent="0.25">
      <c r="B31" s="24" t="s">
        <v>58</v>
      </c>
      <c r="C31" s="49">
        <f>AVERAGE('09.09 Katungulu-Ishaka'!C31,'10.09 Katungulu-Ishaka'!C31,'11.09 Katungulu-Ishaka'!C31,'12.09 Katungulu-Ishaka'!C31,'07.09. Katungulu-Ishaka-24h'!C31,'08.09 Katungulu-Ishaka-24h'!C31,'13.09 Katungulu-Ishaka'!C31)</f>
        <v>7.7142857142857144</v>
      </c>
      <c r="D31" s="49">
        <f>AVERAGE('09.09 Katungulu-Ishaka'!D31,'10.09 Katungulu-Ishaka'!D31,'11.09 Katungulu-Ishaka'!D31,'12.09 Katungulu-Ishaka'!D31,'07.09. Katungulu-Ishaka-24h'!D31,'08.09 Katungulu-Ishaka-24h'!D31,'13.09 Katungulu-Ishaka'!D31)</f>
        <v>1</v>
      </c>
      <c r="E31" s="49">
        <f>AVERAGE('09.09 Katungulu-Ishaka'!E31,'10.09 Katungulu-Ishaka'!E31,'11.09 Katungulu-Ishaka'!E31,'12.09 Katungulu-Ishaka'!E31,'07.09. Katungulu-Ishaka-24h'!E31,'08.09 Katungulu-Ishaka-24h'!E31,'13.09 Katungulu-Ishaka'!E31)</f>
        <v>3.7142857142857144</v>
      </c>
      <c r="F31" s="49">
        <f>AVERAGE('09.09 Katungulu-Ishaka'!F31,'10.09 Katungulu-Ishaka'!F31,'11.09 Katungulu-Ishaka'!F31,'12.09 Katungulu-Ishaka'!F31,'07.09. Katungulu-Ishaka-24h'!F31,'08.09 Katungulu-Ishaka-24h'!F31,'13.09 Katungulu-Ishaka'!F31)</f>
        <v>4.2857142857142856</v>
      </c>
      <c r="G31" s="49">
        <f>AVERAGE('09.09 Katungulu-Ishaka'!G31,'10.09 Katungulu-Ishaka'!G31,'11.09 Katungulu-Ishaka'!G31,'12.09 Katungulu-Ishaka'!G31,'07.09. Katungulu-Ishaka-24h'!G31,'08.09 Katungulu-Ishaka-24h'!G31,'13.09 Katungulu-Ishaka'!G31)</f>
        <v>0</v>
      </c>
      <c r="H31" s="49">
        <f>AVERAGE('09.09 Katungulu-Ishaka'!H31,'10.09 Katungulu-Ishaka'!H31,'11.09 Katungulu-Ishaka'!H31,'12.09 Katungulu-Ishaka'!H31,'07.09. Katungulu-Ishaka-24h'!H31,'08.09 Katungulu-Ishaka-24h'!H31,'13.09 Katungulu-Ishaka'!H31)</f>
        <v>0</v>
      </c>
      <c r="I31" s="49">
        <f>AVERAGE('09.09 Katungulu-Ishaka'!I31,'10.09 Katungulu-Ishaka'!I31,'11.09 Katungulu-Ishaka'!I31,'12.09 Katungulu-Ishaka'!I31,'07.09. Katungulu-Ishaka-24h'!I31,'08.09 Katungulu-Ishaka-24h'!I31,'13.09 Katungulu-Ishaka'!I31)</f>
        <v>1</v>
      </c>
      <c r="J31" s="49">
        <f>AVERAGE('09.09 Katungulu-Ishaka'!J31,'10.09 Katungulu-Ishaka'!J31,'11.09 Katungulu-Ishaka'!J31,'12.09 Katungulu-Ishaka'!J31,'07.09. Katungulu-Ishaka-24h'!J31,'08.09 Katungulu-Ishaka-24h'!J31,'13.09 Katungulu-Ishaka'!J31)</f>
        <v>1.5714285714285714</v>
      </c>
      <c r="K31" s="49">
        <f>AVERAGE('09.09 Katungulu-Ishaka'!K31,'10.09 Katungulu-Ishaka'!K31,'11.09 Katungulu-Ishaka'!K31,'12.09 Katungulu-Ishaka'!K31,'07.09. Katungulu-Ishaka-24h'!K31,'08.09 Katungulu-Ishaka-24h'!K31,'13.09 Katungulu-Ishaka'!K31)</f>
        <v>1.2857142857142858</v>
      </c>
      <c r="L31" s="49">
        <f>AVERAGE('09.09 Katungulu-Ishaka'!L31,'10.09 Katungulu-Ishaka'!L31,'11.09 Katungulu-Ishaka'!L31,'12.09 Katungulu-Ishaka'!L31,'07.09. Katungulu-Ishaka-24h'!L31,'08.09 Katungulu-Ishaka-24h'!L31,'13.09 Katungulu-Ishaka'!L31)</f>
        <v>1.4285714285714286</v>
      </c>
      <c r="M31" s="49">
        <f>AVERAGE('09.09 Katungulu-Ishaka'!M31,'10.09 Katungulu-Ishaka'!M31,'11.09 Katungulu-Ishaka'!M31,'12.09 Katungulu-Ishaka'!M31,'07.09. Katungulu-Ishaka-24h'!M31,'08.09 Katungulu-Ishaka-24h'!M31,'13.09 Katungulu-Ishaka'!M31)</f>
        <v>60.571428571428569</v>
      </c>
      <c r="N31" s="49">
        <f>AVERAGE('09.09 Katungulu-Ishaka'!N31,'10.09 Katungulu-Ishaka'!N31,'11.09 Katungulu-Ishaka'!N31,'12.09 Katungulu-Ishaka'!N31,'07.09. Katungulu-Ishaka-24h'!N31,'08.09 Katungulu-Ishaka-24h'!N31,'13.09 Katungulu-Ishaka'!N31)</f>
        <v>0</v>
      </c>
      <c r="O31" s="15">
        <f t="shared" si="0"/>
        <v>22</v>
      </c>
      <c r="P31" s="15">
        <f t="shared" si="1"/>
        <v>82.571428571428569</v>
      </c>
      <c r="R31" s="1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1.5</v>
      </c>
      <c r="AB31" s="34">
        <f t="shared" si="23"/>
        <v>1.5</v>
      </c>
      <c r="AC31" s="34">
        <f t="shared" si="23"/>
        <v>0</v>
      </c>
      <c r="AD31" s="34">
        <f t="shared" si="23"/>
        <v>0</v>
      </c>
      <c r="AE31" s="31">
        <f t="shared" si="23"/>
        <v>5</v>
      </c>
      <c r="AF31" s="31">
        <f t="shared" si="23"/>
        <v>5</v>
      </c>
    </row>
    <row r="32" spans="2:32" ht="23.1" customHeight="1" x14ac:dyDescent="0.25">
      <c r="B32" s="24" t="s">
        <v>59</v>
      </c>
      <c r="C32" s="49">
        <f>AVERAGE('09.09 Katungulu-Ishaka'!C32,'10.09 Katungulu-Ishaka'!C32,'11.09 Katungulu-Ishaka'!C32,'12.09 Katungulu-Ishaka'!C32,'07.09. Katungulu-Ishaka-24h'!C32,'08.09 Katungulu-Ishaka-24h'!C32,'13.09 Katungulu-Ishaka'!C32)</f>
        <v>2.8571428571428572</v>
      </c>
      <c r="D32" s="49">
        <f>AVERAGE('09.09 Katungulu-Ishaka'!D32,'10.09 Katungulu-Ishaka'!D32,'11.09 Katungulu-Ishaka'!D32,'12.09 Katungulu-Ishaka'!D32,'07.09. Katungulu-Ishaka-24h'!D32,'08.09 Katungulu-Ishaka-24h'!D32,'13.09 Katungulu-Ishaka'!D32)</f>
        <v>0.2857142857142857</v>
      </c>
      <c r="E32" s="49">
        <f>AVERAGE('09.09 Katungulu-Ishaka'!E32,'10.09 Katungulu-Ishaka'!E32,'11.09 Katungulu-Ishaka'!E32,'12.09 Katungulu-Ishaka'!E32,'07.09. Katungulu-Ishaka-24h'!E32,'08.09 Katungulu-Ishaka-24h'!E32,'13.09 Katungulu-Ishaka'!E32)</f>
        <v>2.4285714285714284</v>
      </c>
      <c r="F32" s="49">
        <f>AVERAGE('09.09 Katungulu-Ishaka'!F32,'10.09 Katungulu-Ishaka'!F32,'11.09 Katungulu-Ishaka'!F32,'12.09 Katungulu-Ishaka'!F32,'07.09. Katungulu-Ishaka-24h'!F32,'08.09 Katungulu-Ishaka-24h'!F32,'13.09 Katungulu-Ishaka'!F32)</f>
        <v>2.4285714285714284</v>
      </c>
      <c r="G32" s="49">
        <f>AVERAGE('09.09 Katungulu-Ishaka'!G32,'10.09 Katungulu-Ishaka'!G32,'11.09 Katungulu-Ishaka'!G32,'12.09 Katungulu-Ishaka'!G32,'07.09. Katungulu-Ishaka-24h'!G32,'08.09 Katungulu-Ishaka-24h'!G32,'13.09 Katungulu-Ishaka'!G32)</f>
        <v>0</v>
      </c>
      <c r="H32" s="49">
        <f>AVERAGE('09.09 Katungulu-Ishaka'!H32,'10.09 Katungulu-Ishaka'!H32,'11.09 Katungulu-Ishaka'!H32,'12.09 Katungulu-Ishaka'!H32,'07.09. Katungulu-Ishaka-24h'!H32,'08.09 Katungulu-Ishaka-24h'!H32,'13.09 Katungulu-Ishaka'!H32)</f>
        <v>0</v>
      </c>
      <c r="I32" s="49">
        <f>AVERAGE('09.09 Katungulu-Ishaka'!I32,'10.09 Katungulu-Ishaka'!I32,'11.09 Katungulu-Ishaka'!I32,'12.09 Katungulu-Ishaka'!I32,'07.09. Katungulu-Ishaka-24h'!I32,'08.09 Katungulu-Ishaka-24h'!I32,'13.09 Katungulu-Ishaka'!I32)</f>
        <v>1.1428571428571428</v>
      </c>
      <c r="J32" s="49">
        <f>AVERAGE('09.09 Katungulu-Ishaka'!J32,'10.09 Katungulu-Ishaka'!J32,'11.09 Katungulu-Ishaka'!J32,'12.09 Katungulu-Ishaka'!J32,'07.09. Katungulu-Ishaka-24h'!J32,'08.09 Katungulu-Ishaka-24h'!J32,'13.09 Katungulu-Ishaka'!J32)</f>
        <v>0.5714285714285714</v>
      </c>
      <c r="K32" s="49">
        <f>AVERAGE('09.09 Katungulu-Ishaka'!K32,'10.09 Katungulu-Ishaka'!K32,'11.09 Katungulu-Ishaka'!K32,'12.09 Katungulu-Ishaka'!K32,'07.09. Katungulu-Ishaka-24h'!K32,'08.09 Katungulu-Ishaka-24h'!K32,'13.09 Katungulu-Ishaka'!K32)</f>
        <v>0.5714285714285714</v>
      </c>
      <c r="L32" s="49">
        <f>AVERAGE('09.09 Katungulu-Ishaka'!L32,'10.09 Katungulu-Ishaka'!L32,'11.09 Katungulu-Ishaka'!L32,'12.09 Katungulu-Ishaka'!L32,'07.09. Katungulu-Ishaka-24h'!L32,'08.09 Katungulu-Ishaka-24h'!L32,'13.09 Katungulu-Ishaka'!L32)</f>
        <v>0.42857142857142855</v>
      </c>
      <c r="M32" s="49">
        <f>AVERAGE('09.09 Katungulu-Ishaka'!M32,'10.09 Katungulu-Ishaka'!M32,'11.09 Katungulu-Ishaka'!M32,'12.09 Katungulu-Ishaka'!M32,'07.09. Katungulu-Ishaka-24h'!M32,'08.09 Katungulu-Ishaka-24h'!M32,'13.09 Katungulu-Ishaka'!M32)</f>
        <v>32.285714285714285</v>
      </c>
      <c r="N32" s="49">
        <f>AVERAGE('09.09 Katungulu-Ishaka'!N32,'10.09 Katungulu-Ishaka'!N32,'11.09 Katungulu-Ishaka'!N32,'12.09 Katungulu-Ishaka'!N32,'07.09. Katungulu-Ishaka-24h'!N32,'08.09 Katungulu-Ishaka-24h'!N32,'13.09 Katungulu-Ishaka'!N32)</f>
        <v>0</v>
      </c>
      <c r="O32" s="15">
        <f t="shared" si="0"/>
        <v>10.714285714285714</v>
      </c>
      <c r="P32" s="15">
        <f t="shared" si="1"/>
        <v>43</v>
      </c>
      <c r="R32" s="1" t="s">
        <v>156</v>
      </c>
      <c r="S32" s="34">
        <f>SUM(C98:C101)</f>
        <v>5.5</v>
      </c>
      <c r="T32" s="34">
        <f t="shared" ref="T32:AF32" si="24">SUM(D98:D101)</f>
        <v>0.5</v>
      </c>
      <c r="U32" s="34">
        <f t="shared" si="24"/>
        <v>3</v>
      </c>
      <c r="V32" s="34">
        <f t="shared" si="24"/>
        <v>5.5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2.5</v>
      </c>
      <c r="AB32" s="34">
        <f t="shared" si="24"/>
        <v>6</v>
      </c>
      <c r="AC32" s="34">
        <f t="shared" si="24"/>
        <v>7.5</v>
      </c>
      <c r="AD32" s="34">
        <f t="shared" si="24"/>
        <v>0</v>
      </c>
      <c r="AE32" s="31">
        <f t="shared" si="24"/>
        <v>23</v>
      </c>
      <c r="AF32" s="31">
        <f t="shared" si="24"/>
        <v>30.5</v>
      </c>
    </row>
    <row r="33" spans="2:32" ht="23.1" customHeight="1" x14ac:dyDescent="0.25">
      <c r="B33" s="23" t="s">
        <v>60</v>
      </c>
      <c r="C33" s="49">
        <f>AVERAGE('09.09 Katungulu-Ishaka'!C33,'10.09 Katungulu-Ishaka'!C33,'11.09 Katungulu-Ishaka'!C33,'12.09 Katungulu-Ishaka'!C33,'07.09. Katungulu-Ishaka-24h'!C33,'08.09 Katungulu-Ishaka-24h'!C33,'13.09 Katungulu-Ishaka'!C33)</f>
        <v>5.1428571428571432</v>
      </c>
      <c r="D33" s="49">
        <f>AVERAGE('09.09 Katungulu-Ishaka'!D33,'10.09 Katungulu-Ishaka'!D33,'11.09 Katungulu-Ishaka'!D33,'12.09 Katungulu-Ishaka'!D33,'07.09. Katungulu-Ishaka-24h'!D33,'08.09 Katungulu-Ishaka-24h'!D33,'13.09 Katungulu-Ishaka'!D33)</f>
        <v>1.1428571428571428</v>
      </c>
      <c r="E33" s="49">
        <f>AVERAGE('09.09 Katungulu-Ishaka'!E33,'10.09 Katungulu-Ishaka'!E33,'11.09 Katungulu-Ishaka'!E33,'12.09 Katungulu-Ishaka'!E33,'07.09. Katungulu-Ishaka-24h'!E33,'08.09 Katungulu-Ishaka-24h'!E33,'13.09 Katungulu-Ishaka'!E33)</f>
        <v>4.2857142857142856</v>
      </c>
      <c r="F33" s="49">
        <f>AVERAGE('09.09 Katungulu-Ishaka'!F33,'10.09 Katungulu-Ishaka'!F33,'11.09 Katungulu-Ishaka'!F33,'12.09 Katungulu-Ishaka'!F33,'07.09. Katungulu-Ishaka-24h'!F33,'08.09 Katungulu-Ishaka-24h'!F33,'13.09 Katungulu-Ishaka'!F33)</f>
        <v>4.1428571428571432</v>
      </c>
      <c r="G33" s="49">
        <f>AVERAGE('09.09 Katungulu-Ishaka'!G33,'10.09 Katungulu-Ishaka'!G33,'11.09 Katungulu-Ishaka'!G33,'12.09 Katungulu-Ishaka'!G33,'07.09. Katungulu-Ishaka-24h'!G33,'08.09 Katungulu-Ishaka-24h'!G33,'13.09 Katungulu-Ishaka'!G33)</f>
        <v>0.14285714285714285</v>
      </c>
      <c r="H33" s="49">
        <f>AVERAGE('09.09 Katungulu-Ishaka'!H33,'10.09 Katungulu-Ishaka'!H33,'11.09 Katungulu-Ishaka'!H33,'12.09 Katungulu-Ishaka'!H33,'07.09. Katungulu-Ishaka-24h'!H33,'08.09 Katungulu-Ishaka-24h'!H33,'13.09 Katungulu-Ishaka'!H33)</f>
        <v>0</v>
      </c>
      <c r="I33" s="49">
        <f>AVERAGE('09.09 Katungulu-Ishaka'!I33,'10.09 Katungulu-Ishaka'!I33,'11.09 Katungulu-Ishaka'!I33,'12.09 Katungulu-Ishaka'!I33,'07.09. Katungulu-Ishaka-24h'!I33,'08.09 Katungulu-Ishaka-24h'!I33,'13.09 Katungulu-Ishaka'!I33)</f>
        <v>2.4285714285714284</v>
      </c>
      <c r="J33" s="49">
        <f>AVERAGE('09.09 Katungulu-Ishaka'!J33,'10.09 Katungulu-Ishaka'!J33,'11.09 Katungulu-Ishaka'!J33,'12.09 Katungulu-Ishaka'!J33,'07.09. Katungulu-Ishaka-24h'!J33,'08.09 Katungulu-Ishaka-24h'!J33,'13.09 Katungulu-Ishaka'!J33)</f>
        <v>1.4285714285714286</v>
      </c>
      <c r="K33" s="49">
        <f>AVERAGE('09.09 Katungulu-Ishaka'!K33,'10.09 Katungulu-Ishaka'!K33,'11.09 Katungulu-Ishaka'!K33,'12.09 Katungulu-Ishaka'!K33,'07.09. Katungulu-Ishaka-24h'!K33,'08.09 Katungulu-Ishaka-24h'!K33,'13.09 Katungulu-Ishaka'!K33)</f>
        <v>1.7142857142857142</v>
      </c>
      <c r="L33" s="49">
        <f>AVERAGE('09.09 Katungulu-Ishaka'!L33,'10.09 Katungulu-Ishaka'!L33,'11.09 Katungulu-Ishaka'!L33,'12.09 Katungulu-Ishaka'!L33,'07.09. Katungulu-Ishaka-24h'!L33,'08.09 Katungulu-Ishaka-24h'!L33,'13.09 Katungulu-Ishaka'!L33)</f>
        <v>1</v>
      </c>
      <c r="M33" s="49">
        <f>AVERAGE('09.09 Katungulu-Ishaka'!M33,'10.09 Katungulu-Ishaka'!M33,'11.09 Katungulu-Ishaka'!M33,'12.09 Katungulu-Ishaka'!M33,'07.09. Katungulu-Ishaka-24h'!M33,'08.09 Katungulu-Ishaka-24h'!M33,'13.09 Katungulu-Ishaka'!M33)</f>
        <v>58.285714285714285</v>
      </c>
      <c r="N33" s="49">
        <f>AVERAGE('09.09 Katungulu-Ishaka'!N33,'10.09 Katungulu-Ishaka'!N33,'11.09 Katungulu-Ishaka'!N33,'12.09 Katungulu-Ishaka'!N33,'07.09. Katungulu-Ishaka-24h'!N33,'08.09 Katungulu-Ishaka-24h'!N33,'13.09 Katungulu-Ishaka'!N33)</f>
        <v>0</v>
      </c>
      <c r="O33" s="15">
        <f t="shared" si="0"/>
        <v>21.428571428571427</v>
      </c>
      <c r="P33" s="15">
        <f t="shared" si="1"/>
        <v>79.714285714285708</v>
      </c>
      <c r="R33" s="1" t="s">
        <v>157</v>
      </c>
      <c r="S33" s="34">
        <f>SUM(C102:C105)</f>
        <v>10.5</v>
      </c>
      <c r="T33" s="34">
        <f t="shared" ref="T33:AF33" si="25">SUM(D102:D105)</f>
        <v>1</v>
      </c>
      <c r="U33" s="34">
        <f t="shared" si="25"/>
        <v>4</v>
      </c>
      <c r="V33" s="34">
        <f t="shared" si="25"/>
        <v>7.5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0.5</v>
      </c>
      <c r="AA33" s="34">
        <f t="shared" si="25"/>
        <v>2</v>
      </c>
      <c r="AB33" s="34">
        <f t="shared" si="25"/>
        <v>3</v>
      </c>
      <c r="AC33" s="34">
        <f t="shared" si="25"/>
        <v>17</v>
      </c>
      <c r="AD33" s="34">
        <f t="shared" si="25"/>
        <v>0</v>
      </c>
      <c r="AE33" s="31">
        <f t="shared" si="25"/>
        <v>28.5</v>
      </c>
      <c r="AF33" s="31">
        <f t="shared" si="25"/>
        <v>45.5</v>
      </c>
    </row>
    <row r="34" spans="2:32" ht="23.1" customHeight="1" x14ac:dyDescent="0.25">
      <c r="B34" s="24" t="s">
        <v>61</v>
      </c>
      <c r="C34" s="49">
        <f>AVERAGE('09.09 Katungulu-Ishaka'!C34,'10.09 Katungulu-Ishaka'!C34,'11.09 Katungulu-Ishaka'!C34,'12.09 Katungulu-Ishaka'!C34,'07.09. Katungulu-Ishaka-24h'!C34,'08.09 Katungulu-Ishaka-24h'!C34,'13.09 Katungulu-Ishaka'!C34)</f>
        <v>4.4285714285714288</v>
      </c>
      <c r="D34" s="49">
        <f>AVERAGE('09.09 Katungulu-Ishaka'!D34,'10.09 Katungulu-Ishaka'!D34,'11.09 Katungulu-Ishaka'!D34,'12.09 Katungulu-Ishaka'!D34,'07.09. Katungulu-Ishaka-24h'!D34,'08.09 Katungulu-Ishaka-24h'!D34,'13.09 Katungulu-Ishaka'!D34)</f>
        <v>0.2857142857142857</v>
      </c>
      <c r="E34" s="49">
        <f>AVERAGE('09.09 Katungulu-Ishaka'!E34,'10.09 Katungulu-Ishaka'!E34,'11.09 Katungulu-Ishaka'!E34,'12.09 Katungulu-Ishaka'!E34,'07.09. Katungulu-Ishaka-24h'!E34,'08.09 Katungulu-Ishaka-24h'!E34,'13.09 Katungulu-Ishaka'!E34)</f>
        <v>4.4285714285714288</v>
      </c>
      <c r="F34" s="49">
        <f>AVERAGE('09.09 Katungulu-Ishaka'!F34,'10.09 Katungulu-Ishaka'!F34,'11.09 Katungulu-Ishaka'!F34,'12.09 Katungulu-Ishaka'!F34,'07.09. Katungulu-Ishaka-24h'!F34,'08.09 Katungulu-Ishaka-24h'!F34,'13.09 Katungulu-Ishaka'!F34)</f>
        <v>3.1428571428571428</v>
      </c>
      <c r="G34" s="49">
        <f>AVERAGE('09.09 Katungulu-Ishaka'!G34,'10.09 Katungulu-Ishaka'!G34,'11.09 Katungulu-Ishaka'!G34,'12.09 Katungulu-Ishaka'!G34,'07.09. Katungulu-Ishaka-24h'!G34,'08.09 Katungulu-Ishaka-24h'!G34,'13.09 Katungulu-Ishaka'!G34)</f>
        <v>0</v>
      </c>
      <c r="H34" s="49">
        <f>AVERAGE('09.09 Katungulu-Ishaka'!H34,'10.09 Katungulu-Ishaka'!H34,'11.09 Katungulu-Ishaka'!H34,'12.09 Katungulu-Ishaka'!H34,'07.09. Katungulu-Ishaka-24h'!H34,'08.09 Katungulu-Ishaka-24h'!H34,'13.09 Katungulu-Ishaka'!H34)</f>
        <v>0</v>
      </c>
      <c r="I34" s="49">
        <f>AVERAGE('09.09 Katungulu-Ishaka'!I34,'10.09 Katungulu-Ishaka'!I34,'11.09 Katungulu-Ishaka'!I34,'12.09 Katungulu-Ishaka'!I34,'07.09. Katungulu-Ishaka-24h'!I34,'08.09 Katungulu-Ishaka-24h'!I34,'13.09 Katungulu-Ishaka'!I34)</f>
        <v>2</v>
      </c>
      <c r="J34" s="49">
        <f>AVERAGE('09.09 Katungulu-Ishaka'!J34,'10.09 Katungulu-Ishaka'!J34,'11.09 Katungulu-Ishaka'!J34,'12.09 Katungulu-Ishaka'!J34,'07.09. Katungulu-Ishaka-24h'!J34,'08.09 Katungulu-Ishaka-24h'!J34,'13.09 Katungulu-Ishaka'!J34)</f>
        <v>0.7142857142857143</v>
      </c>
      <c r="K34" s="49">
        <f>AVERAGE('09.09 Katungulu-Ishaka'!K34,'10.09 Katungulu-Ishaka'!K34,'11.09 Katungulu-Ishaka'!K34,'12.09 Katungulu-Ishaka'!K34,'07.09. Katungulu-Ishaka-24h'!K34,'08.09 Katungulu-Ishaka-24h'!K34,'13.09 Katungulu-Ishaka'!K34)</f>
        <v>1.1428571428571428</v>
      </c>
      <c r="L34" s="49">
        <f>AVERAGE('09.09 Katungulu-Ishaka'!L34,'10.09 Katungulu-Ishaka'!L34,'11.09 Katungulu-Ishaka'!L34,'12.09 Katungulu-Ishaka'!L34,'07.09. Katungulu-Ishaka-24h'!L34,'08.09 Katungulu-Ishaka-24h'!L34,'13.09 Katungulu-Ishaka'!L34)</f>
        <v>0.7142857142857143</v>
      </c>
      <c r="M34" s="49">
        <f>AVERAGE('09.09 Katungulu-Ishaka'!M34,'10.09 Katungulu-Ishaka'!M34,'11.09 Katungulu-Ishaka'!M34,'12.09 Katungulu-Ishaka'!M34,'07.09. Katungulu-Ishaka-24h'!M34,'08.09 Katungulu-Ishaka-24h'!M34,'13.09 Katungulu-Ishaka'!M34)</f>
        <v>34.285714285714285</v>
      </c>
      <c r="N34" s="49">
        <f>AVERAGE('09.09 Katungulu-Ishaka'!N34,'10.09 Katungulu-Ishaka'!N34,'11.09 Katungulu-Ishaka'!N34,'12.09 Katungulu-Ishaka'!N34,'07.09. Katungulu-Ishaka-24h'!N34,'08.09 Katungulu-Ishaka-24h'!N34,'13.09 Katungulu-Ishaka'!N34)</f>
        <v>0</v>
      </c>
      <c r="O34" s="15">
        <f t="shared" si="0"/>
        <v>16.857142857142858</v>
      </c>
      <c r="P34" s="15">
        <f t="shared" si="1"/>
        <v>51.142857142857139</v>
      </c>
      <c r="R34" s="38" t="s">
        <v>90</v>
      </c>
      <c r="S34" s="39">
        <f t="shared" ref="S34:AF34" si="26">MAX(S10:S12)</f>
        <v>14.714285714285715</v>
      </c>
      <c r="T34" s="39">
        <f t="shared" si="26"/>
        <v>1.4285714285714284</v>
      </c>
      <c r="U34" s="39">
        <f t="shared" si="26"/>
        <v>11</v>
      </c>
      <c r="V34" s="39">
        <f t="shared" si="26"/>
        <v>14.428571428571429</v>
      </c>
      <c r="W34" s="39">
        <f t="shared" si="26"/>
        <v>0.8571428571428571</v>
      </c>
      <c r="X34" s="39">
        <f t="shared" si="26"/>
        <v>1.1428571428571428</v>
      </c>
      <c r="Y34" s="39">
        <f t="shared" si="26"/>
        <v>3.8571428571428568</v>
      </c>
      <c r="Z34" s="39">
        <f t="shared" si="26"/>
        <v>2.1428571428571428</v>
      </c>
      <c r="AA34" s="39">
        <f t="shared" si="26"/>
        <v>1.4285714285714284</v>
      </c>
      <c r="AB34" s="39">
        <f t="shared" si="26"/>
        <v>9.2857142857142847</v>
      </c>
      <c r="AC34" s="39">
        <f t="shared" si="26"/>
        <v>204.85714285714286</v>
      </c>
      <c r="AD34" s="39">
        <f t="shared" si="26"/>
        <v>0.2857142857142857</v>
      </c>
      <c r="AE34" s="40">
        <f t="shared" si="26"/>
        <v>59.285714285714292</v>
      </c>
      <c r="AF34" s="40">
        <f t="shared" si="26"/>
        <v>264.14285714285717</v>
      </c>
    </row>
    <row r="35" spans="2:32" ht="23.1" customHeight="1" x14ac:dyDescent="0.25">
      <c r="B35" s="24" t="s">
        <v>62</v>
      </c>
      <c r="C35" s="49">
        <f>AVERAGE('09.09 Katungulu-Ishaka'!C35,'10.09 Katungulu-Ishaka'!C35,'11.09 Katungulu-Ishaka'!C35,'12.09 Katungulu-Ishaka'!C35,'07.09. Katungulu-Ishaka-24h'!C35,'08.09 Katungulu-Ishaka-24h'!C35,'13.09 Katungulu-Ishaka'!C35)</f>
        <v>7.8571428571428568</v>
      </c>
      <c r="D35" s="49">
        <f>AVERAGE('09.09 Katungulu-Ishaka'!D35,'10.09 Katungulu-Ishaka'!D35,'11.09 Katungulu-Ishaka'!D35,'12.09 Katungulu-Ishaka'!D35,'07.09. Katungulu-Ishaka-24h'!D35,'08.09 Katungulu-Ishaka-24h'!D35,'13.09 Katungulu-Ishaka'!D35)</f>
        <v>1.2857142857142858</v>
      </c>
      <c r="E35" s="49">
        <f>AVERAGE('09.09 Katungulu-Ishaka'!E35,'10.09 Katungulu-Ishaka'!E35,'11.09 Katungulu-Ishaka'!E35,'12.09 Katungulu-Ishaka'!E35,'07.09. Katungulu-Ishaka-24h'!E35,'08.09 Katungulu-Ishaka-24h'!E35,'13.09 Katungulu-Ishaka'!E35)</f>
        <v>7.1428571428571432</v>
      </c>
      <c r="F35" s="49">
        <f>AVERAGE('09.09 Katungulu-Ishaka'!F35,'10.09 Katungulu-Ishaka'!F35,'11.09 Katungulu-Ishaka'!F35,'12.09 Katungulu-Ishaka'!F35,'07.09. Katungulu-Ishaka-24h'!F35,'08.09 Katungulu-Ishaka-24h'!F35,'13.09 Katungulu-Ishaka'!F35)</f>
        <v>5.2857142857142856</v>
      </c>
      <c r="G35" s="49">
        <f>AVERAGE('09.09 Katungulu-Ishaka'!G35,'10.09 Katungulu-Ishaka'!G35,'11.09 Katungulu-Ishaka'!G35,'12.09 Katungulu-Ishaka'!G35,'07.09. Katungulu-Ishaka-24h'!G35,'08.09 Katungulu-Ishaka-24h'!G35,'13.09 Katungulu-Ishaka'!G35)</f>
        <v>0.14285714285714285</v>
      </c>
      <c r="H35" s="49">
        <f>AVERAGE('09.09 Katungulu-Ishaka'!H35,'10.09 Katungulu-Ishaka'!H35,'11.09 Katungulu-Ishaka'!H35,'12.09 Katungulu-Ishaka'!H35,'07.09. Katungulu-Ishaka-24h'!H35,'08.09 Katungulu-Ishaka-24h'!H35,'13.09 Katungulu-Ishaka'!H35)</f>
        <v>0.14285714285714285</v>
      </c>
      <c r="I35" s="49">
        <f>AVERAGE('09.09 Katungulu-Ishaka'!I35,'10.09 Katungulu-Ishaka'!I35,'11.09 Katungulu-Ishaka'!I35,'12.09 Katungulu-Ishaka'!I35,'07.09. Katungulu-Ishaka-24h'!I35,'08.09 Katungulu-Ishaka-24h'!I35,'13.09 Katungulu-Ishaka'!I35)</f>
        <v>3.5714285714285716</v>
      </c>
      <c r="J35" s="49">
        <f>AVERAGE('09.09 Katungulu-Ishaka'!J35,'10.09 Katungulu-Ishaka'!J35,'11.09 Katungulu-Ishaka'!J35,'12.09 Katungulu-Ishaka'!J35,'07.09. Katungulu-Ishaka-24h'!J35,'08.09 Katungulu-Ishaka-24h'!J35,'13.09 Katungulu-Ishaka'!J35)</f>
        <v>1.4285714285714286</v>
      </c>
      <c r="K35" s="49">
        <f>AVERAGE('09.09 Katungulu-Ishaka'!K35,'10.09 Katungulu-Ishaka'!K35,'11.09 Katungulu-Ishaka'!K35,'12.09 Katungulu-Ishaka'!K35,'07.09. Katungulu-Ishaka-24h'!K35,'08.09 Katungulu-Ishaka-24h'!K35,'13.09 Katungulu-Ishaka'!K35)</f>
        <v>2</v>
      </c>
      <c r="L35" s="49">
        <f>AVERAGE('09.09 Katungulu-Ishaka'!L35,'10.09 Katungulu-Ishaka'!L35,'11.09 Katungulu-Ishaka'!L35,'12.09 Katungulu-Ishaka'!L35,'07.09. Katungulu-Ishaka-24h'!L35,'08.09 Katungulu-Ishaka-24h'!L35,'13.09 Katungulu-Ishaka'!L35)</f>
        <v>1.4285714285714286</v>
      </c>
      <c r="M35" s="49">
        <f>AVERAGE('09.09 Katungulu-Ishaka'!M35,'10.09 Katungulu-Ishaka'!M35,'11.09 Katungulu-Ishaka'!M35,'12.09 Katungulu-Ishaka'!M35,'07.09. Katungulu-Ishaka-24h'!M35,'08.09 Katungulu-Ishaka-24h'!M35,'13.09 Katungulu-Ishaka'!M35)</f>
        <v>60.857142857142854</v>
      </c>
      <c r="N35" s="49">
        <f>AVERAGE('09.09 Katungulu-Ishaka'!N35,'10.09 Katungulu-Ishaka'!N35,'11.09 Katungulu-Ishaka'!N35,'12.09 Katungulu-Ishaka'!N35,'07.09. Katungulu-Ishaka-24h'!N35,'08.09 Katungulu-Ishaka-24h'!N35,'13.09 Katungulu-Ishaka'!N35)</f>
        <v>0</v>
      </c>
      <c r="O35" s="15">
        <f t="shared" si="0"/>
        <v>30.285714285714281</v>
      </c>
      <c r="P35" s="15">
        <f t="shared" si="1"/>
        <v>91.142857142857139</v>
      </c>
      <c r="R35" s="38" t="s">
        <v>91</v>
      </c>
      <c r="S35" s="39">
        <f t="shared" ref="S35:AF35" si="27">MAX(S13:S18)</f>
        <v>24.857142857142861</v>
      </c>
      <c r="T35" s="39">
        <f t="shared" si="27"/>
        <v>3</v>
      </c>
      <c r="U35" s="39">
        <f t="shared" si="27"/>
        <v>19.857142857142858</v>
      </c>
      <c r="V35" s="39">
        <f t="shared" si="27"/>
        <v>16.285714285714288</v>
      </c>
      <c r="W35" s="39">
        <f t="shared" si="27"/>
        <v>0.14285714285714285</v>
      </c>
      <c r="X35" s="39">
        <f t="shared" si="27"/>
        <v>0.71428571428571419</v>
      </c>
      <c r="Y35" s="39">
        <f t="shared" si="27"/>
        <v>7.2857142857142856</v>
      </c>
      <c r="Z35" s="39">
        <f t="shared" si="27"/>
        <v>4.7142857142857144</v>
      </c>
      <c r="AA35" s="39">
        <f t="shared" si="27"/>
        <v>7.8571428571428568</v>
      </c>
      <c r="AB35" s="39">
        <f t="shared" si="27"/>
        <v>6.4285714285714288</v>
      </c>
      <c r="AC35" s="39">
        <f t="shared" si="27"/>
        <v>208.28571428571428</v>
      </c>
      <c r="AD35" s="39">
        <f t="shared" si="27"/>
        <v>0.2857142857142857</v>
      </c>
      <c r="AE35" s="40">
        <f t="shared" si="27"/>
        <v>86.142857142857139</v>
      </c>
      <c r="AF35" s="40">
        <f t="shared" si="27"/>
        <v>278.57142857142856</v>
      </c>
    </row>
    <row r="36" spans="2:32" ht="23.1" customHeight="1" x14ac:dyDescent="0.25">
      <c r="B36" s="24" t="s">
        <v>63</v>
      </c>
      <c r="C36" s="49">
        <f>AVERAGE('09.09 Katungulu-Ishaka'!C36,'10.09 Katungulu-Ishaka'!C36,'11.09 Katungulu-Ishaka'!C36,'12.09 Katungulu-Ishaka'!C36,'07.09. Katungulu-Ishaka-24h'!C36,'08.09 Katungulu-Ishaka-24h'!C36,'13.09 Katungulu-Ishaka'!C36)</f>
        <v>4.2857142857142856</v>
      </c>
      <c r="D36" s="49">
        <f>AVERAGE('09.09 Katungulu-Ishaka'!D36,'10.09 Katungulu-Ishaka'!D36,'11.09 Katungulu-Ishaka'!D36,'12.09 Katungulu-Ishaka'!D36,'07.09. Katungulu-Ishaka-24h'!D36,'08.09 Katungulu-Ishaka-24h'!D36,'13.09 Katungulu-Ishaka'!D36)</f>
        <v>0.2857142857142857</v>
      </c>
      <c r="E36" s="49">
        <f>AVERAGE('09.09 Katungulu-Ishaka'!E36,'10.09 Katungulu-Ishaka'!E36,'11.09 Katungulu-Ishaka'!E36,'12.09 Katungulu-Ishaka'!E36,'07.09. Katungulu-Ishaka-24h'!E36,'08.09 Katungulu-Ishaka-24h'!E36,'13.09 Katungulu-Ishaka'!E36)</f>
        <v>3.1428571428571428</v>
      </c>
      <c r="F36" s="49">
        <f>AVERAGE('09.09 Katungulu-Ishaka'!F36,'10.09 Katungulu-Ishaka'!F36,'11.09 Katungulu-Ishaka'!F36,'12.09 Katungulu-Ishaka'!F36,'07.09. Katungulu-Ishaka-24h'!F36,'08.09 Katungulu-Ishaka-24h'!F36,'13.09 Katungulu-Ishaka'!F36)</f>
        <v>2.5714285714285716</v>
      </c>
      <c r="G36" s="49">
        <f>AVERAGE('09.09 Katungulu-Ishaka'!G36,'10.09 Katungulu-Ishaka'!G36,'11.09 Katungulu-Ishaka'!G36,'12.09 Katungulu-Ishaka'!G36,'07.09. Katungulu-Ishaka-24h'!G36,'08.09 Katungulu-Ishaka-24h'!G36,'13.09 Katungulu-Ishaka'!G36)</f>
        <v>0</v>
      </c>
      <c r="H36" s="49">
        <f>AVERAGE('09.09 Katungulu-Ishaka'!H36,'10.09 Katungulu-Ishaka'!H36,'11.09 Katungulu-Ishaka'!H36,'12.09 Katungulu-Ishaka'!H36,'07.09. Katungulu-Ishaka-24h'!H36,'08.09 Katungulu-Ishaka-24h'!H36,'13.09 Katungulu-Ishaka'!H36)</f>
        <v>0</v>
      </c>
      <c r="I36" s="49">
        <f>AVERAGE('09.09 Katungulu-Ishaka'!I36,'10.09 Katungulu-Ishaka'!I36,'11.09 Katungulu-Ishaka'!I36,'12.09 Katungulu-Ishaka'!I36,'07.09. Katungulu-Ishaka-24h'!I36,'08.09 Katungulu-Ishaka-24h'!I36,'13.09 Katungulu-Ishaka'!I36)</f>
        <v>0.42857142857142855</v>
      </c>
      <c r="J36" s="49">
        <f>AVERAGE('09.09 Katungulu-Ishaka'!J36,'10.09 Katungulu-Ishaka'!J36,'11.09 Katungulu-Ishaka'!J36,'12.09 Katungulu-Ishaka'!J36,'07.09. Katungulu-Ishaka-24h'!J36,'08.09 Katungulu-Ishaka-24h'!J36,'13.09 Katungulu-Ishaka'!J36)</f>
        <v>0.7142857142857143</v>
      </c>
      <c r="K36" s="49">
        <f>AVERAGE('09.09 Katungulu-Ishaka'!K36,'10.09 Katungulu-Ishaka'!K36,'11.09 Katungulu-Ishaka'!K36,'12.09 Katungulu-Ishaka'!K36,'07.09. Katungulu-Ishaka-24h'!K36,'08.09 Katungulu-Ishaka-24h'!K36,'13.09 Katungulu-Ishaka'!K36)</f>
        <v>0.7142857142857143</v>
      </c>
      <c r="L36" s="49">
        <f>AVERAGE('09.09 Katungulu-Ishaka'!L36,'10.09 Katungulu-Ishaka'!L36,'11.09 Katungulu-Ishaka'!L36,'12.09 Katungulu-Ishaka'!L36,'07.09. Katungulu-Ishaka-24h'!L36,'08.09 Katungulu-Ishaka-24h'!L36,'13.09 Katungulu-Ishaka'!L36)</f>
        <v>1.1428571428571428</v>
      </c>
      <c r="M36" s="49">
        <f>AVERAGE('09.09 Katungulu-Ishaka'!M36,'10.09 Katungulu-Ishaka'!M36,'11.09 Katungulu-Ishaka'!M36,'12.09 Katungulu-Ishaka'!M36,'07.09. Katungulu-Ishaka-24h'!M36,'08.09 Katungulu-Ishaka-24h'!M36,'13.09 Katungulu-Ishaka'!M36)</f>
        <v>32.857142857142854</v>
      </c>
      <c r="N36" s="49">
        <f>AVERAGE('09.09 Katungulu-Ishaka'!N36,'10.09 Katungulu-Ishaka'!N36,'11.09 Katungulu-Ishaka'!N36,'12.09 Katungulu-Ishaka'!N36,'07.09. Katungulu-Ishaka-24h'!N36,'08.09 Katungulu-Ishaka-24h'!N36,'13.09 Katungulu-Ishaka'!N36)</f>
        <v>0</v>
      </c>
      <c r="O36" s="15">
        <f t="shared" si="0"/>
        <v>13.285714285714283</v>
      </c>
      <c r="P36" s="15">
        <f t="shared" si="1"/>
        <v>46.142857142857139</v>
      </c>
      <c r="R36" s="38" t="s">
        <v>92</v>
      </c>
      <c r="S36" s="39">
        <f t="shared" ref="S36:AF36" si="28">MAX(S19:S21)</f>
        <v>30.428571428571431</v>
      </c>
      <c r="T36" s="39">
        <f t="shared" si="28"/>
        <v>5.1428571428571423</v>
      </c>
      <c r="U36" s="39">
        <f t="shared" si="28"/>
        <v>23.714285714285715</v>
      </c>
      <c r="V36" s="39">
        <f t="shared" si="28"/>
        <v>16.142857142857142</v>
      </c>
      <c r="W36" s="39">
        <f t="shared" si="28"/>
        <v>1</v>
      </c>
      <c r="X36" s="39">
        <f t="shared" si="28"/>
        <v>0.5714285714285714</v>
      </c>
      <c r="Y36" s="39">
        <f t="shared" si="28"/>
        <v>10.428571428571429</v>
      </c>
      <c r="Z36" s="39">
        <f t="shared" si="28"/>
        <v>6.1428571428571423</v>
      </c>
      <c r="AA36" s="39">
        <f t="shared" si="28"/>
        <v>7.5714285714285712</v>
      </c>
      <c r="AB36" s="39">
        <f t="shared" si="28"/>
        <v>5</v>
      </c>
      <c r="AC36" s="39">
        <f t="shared" si="28"/>
        <v>208.42857142857144</v>
      </c>
      <c r="AD36" s="39">
        <f t="shared" si="28"/>
        <v>0</v>
      </c>
      <c r="AE36" s="40">
        <f t="shared" si="28"/>
        <v>97.571428571428584</v>
      </c>
      <c r="AF36" s="40">
        <f t="shared" si="28"/>
        <v>306</v>
      </c>
    </row>
    <row r="37" spans="2:32" ht="23.1" customHeight="1" x14ac:dyDescent="0.25">
      <c r="B37" s="23" t="s">
        <v>64</v>
      </c>
      <c r="C37" s="49">
        <f>AVERAGE('09.09 Katungulu-Ishaka'!C37,'10.09 Katungulu-Ishaka'!C37,'11.09 Katungulu-Ishaka'!C37,'12.09 Katungulu-Ishaka'!C37,'07.09. Katungulu-Ishaka-24h'!C37,'08.09 Katungulu-Ishaka-24h'!C37,'13.09 Katungulu-Ishaka'!C37)</f>
        <v>7.8571428571428568</v>
      </c>
      <c r="D37" s="49">
        <f>AVERAGE('09.09 Katungulu-Ishaka'!D37,'10.09 Katungulu-Ishaka'!D37,'11.09 Katungulu-Ishaka'!D37,'12.09 Katungulu-Ishaka'!D37,'07.09. Katungulu-Ishaka-24h'!D37,'08.09 Katungulu-Ishaka-24h'!D37,'13.09 Katungulu-Ishaka'!D37)</f>
        <v>1.1428571428571428</v>
      </c>
      <c r="E37" s="49">
        <f>AVERAGE('09.09 Katungulu-Ishaka'!E37,'10.09 Katungulu-Ishaka'!E37,'11.09 Katungulu-Ishaka'!E37,'12.09 Katungulu-Ishaka'!E37,'07.09. Katungulu-Ishaka-24h'!E37,'08.09 Katungulu-Ishaka-24h'!E37,'13.09 Katungulu-Ishaka'!E37)</f>
        <v>5.1428571428571432</v>
      </c>
      <c r="F37" s="49">
        <f>AVERAGE('09.09 Katungulu-Ishaka'!F37,'10.09 Katungulu-Ishaka'!F37,'11.09 Katungulu-Ishaka'!F37,'12.09 Katungulu-Ishaka'!F37,'07.09. Katungulu-Ishaka-24h'!F37,'08.09 Katungulu-Ishaka-24h'!F37,'13.09 Katungulu-Ishaka'!F37)</f>
        <v>4.5714285714285712</v>
      </c>
      <c r="G37" s="49">
        <f>AVERAGE('09.09 Katungulu-Ishaka'!G37,'10.09 Katungulu-Ishaka'!G37,'11.09 Katungulu-Ishaka'!G37,'12.09 Katungulu-Ishaka'!G37,'07.09. Katungulu-Ishaka-24h'!G37,'08.09 Katungulu-Ishaka-24h'!G37,'13.09 Katungulu-Ishaka'!G37)</f>
        <v>0</v>
      </c>
      <c r="H37" s="49">
        <f>AVERAGE('09.09 Katungulu-Ishaka'!H37,'10.09 Katungulu-Ishaka'!H37,'11.09 Katungulu-Ishaka'!H37,'12.09 Katungulu-Ishaka'!H37,'07.09. Katungulu-Ishaka-24h'!H37,'08.09 Katungulu-Ishaka-24h'!H37,'13.09 Katungulu-Ishaka'!H37)</f>
        <v>0</v>
      </c>
      <c r="I37" s="49">
        <f>AVERAGE('09.09 Katungulu-Ishaka'!I37,'10.09 Katungulu-Ishaka'!I37,'11.09 Katungulu-Ishaka'!I37,'12.09 Katungulu-Ishaka'!I37,'07.09. Katungulu-Ishaka-24h'!I37,'08.09 Katungulu-Ishaka-24h'!I37,'13.09 Katungulu-Ishaka'!I37)</f>
        <v>1.2857142857142858</v>
      </c>
      <c r="J37" s="49">
        <f>AVERAGE('09.09 Katungulu-Ishaka'!J37,'10.09 Katungulu-Ishaka'!J37,'11.09 Katungulu-Ishaka'!J37,'12.09 Katungulu-Ishaka'!J37,'07.09. Katungulu-Ishaka-24h'!J37,'08.09 Katungulu-Ishaka-24h'!J37,'13.09 Katungulu-Ishaka'!J37)</f>
        <v>1.5714285714285714</v>
      </c>
      <c r="K37" s="49">
        <f>AVERAGE('09.09 Katungulu-Ishaka'!K37,'10.09 Katungulu-Ishaka'!K37,'11.09 Katungulu-Ishaka'!K37,'12.09 Katungulu-Ishaka'!K37,'07.09. Katungulu-Ishaka-24h'!K37,'08.09 Katungulu-Ishaka-24h'!K37,'13.09 Katungulu-Ishaka'!K37)</f>
        <v>1.8571428571428572</v>
      </c>
      <c r="L37" s="49">
        <f>AVERAGE('09.09 Katungulu-Ishaka'!L37,'10.09 Katungulu-Ishaka'!L37,'11.09 Katungulu-Ishaka'!L37,'12.09 Katungulu-Ishaka'!L37,'07.09. Katungulu-Ishaka-24h'!L37,'08.09 Katungulu-Ishaka-24h'!L37,'13.09 Katungulu-Ishaka'!L37)</f>
        <v>2.2857142857142856</v>
      </c>
      <c r="M37" s="49">
        <f>AVERAGE('09.09 Katungulu-Ishaka'!M37,'10.09 Katungulu-Ishaka'!M37,'11.09 Katungulu-Ishaka'!M37,'12.09 Katungulu-Ishaka'!M37,'07.09. Katungulu-Ishaka-24h'!M37,'08.09 Katungulu-Ishaka-24h'!M37,'13.09 Katungulu-Ishaka'!M37)</f>
        <v>59.714285714285715</v>
      </c>
      <c r="N37" s="49">
        <f>AVERAGE('09.09 Katungulu-Ishaka'!N37,'10.09 Katungulu-Ishaka'!N37,'11.09 Katungulu-Ishaka'!N37,'12.09 Katungulu-Ishaka'!N37,'07.09. Katungulu-Ishaka-24h'!N37,'08.09 Katungulu-Ishaka-24h'!N37,'13.09 Katungulu-Ishaka'!N37)</f>
        <v>0</v>
      </c>
      <c r="O37" s="15">
        <f t="shared" si="0"/>
        <v>25.714285714285715</v>
      </c>
      <c r="P37" s="15">
        <f t="shared" si="1"/>
        <v>85.428571428571431</v>
      </c>
      <c r="R37" s="37" t="s">
        <v>85</v>
      </c>
      <c r="S37" s="35">
        <f t="shared" ref="S37:AF37" si="29">SUM(S10:S12)</f>
        <v>28.428571428571431</v>
      </c>
      <c r="T37" s="16">
        <f t="shared" si="29"/>
        <v>1.9999999999999998</v>
      </c>
      <c r="U37" s="16">
        <f t="shared" si="29"/>
        <v>19</v>
      </c>
      <c r="V37" s="16">
        <f t="shared" si="29"/>
        <v>30</v>
      </c>
      <c r="W37" s="16">
        <f t="shared" si="29"/>
        <v>1</v>
      </c>
      <c r="X37" s="16">
        <f t="shared" si="29"/>
        <v>1.9999999999999998</v>
      </c>
      <c r="Y37" s="16">
        <f t="shared" si="29"/>
        <v>7.5714285714285712</v>
      </c>
      <c r="Z37" s="16">
        <f t="shared" si="29"/>
        <v>4.7142857142857144</v>
      </c>
      <c r="AA37" s="16">
        <f t="shared" si="29"/>
        <v>2.8571428571428568</v>
      </c>
      <c r="AB37" s="16">
        <f t="shared" si="29"/>
        <v>13.285714285714285</v>
      </c>
      <c r="AC37" s="16">
        <f t="shared" si="29"/>
        <v>414.85714285714289</v>
      </c>
      <c r="AD37" s="16">
        <f t="shared" si="29"/>
        <v>0.2857142857142857</v>
      </c>
      <c r="AE37" s="32">
        <f t="shared" si="29"/>
        <v>111.14285714285715</v>
      </c>
      <c r="AF37" s="32">
        <f t="shared" si="29"/>
        <v>526</v>
      </c>
    </row>
    <row r="38" spans="2:32" ht="23.1" customHeight="1" x14ac:dyDescent="0.25">
      <c r="B38" s="24" t="s">
        <v>65</v>
      </c>
      <c r="C38" s="49">
        <f>AVERAGE('09.09 Katungulu-Ishaka'!C38,'10.09 Katungulu-Ishaka'!C38,'11.09 Katungulu-Ishaka'!C38,'12.09 Katungulu-Ishaka'!C38,'07.09. Katungulu-Ishaka-24h'!C38,'08.09 Katungulu-Ishaka-24h'!C38,'13.09 Katungulu-Ishaka'!C38)</f>
        <v>5.1428571428571432</v>
      </c>
      <c r="D38" s="49">
        <f>AVERAGE('09.09 Katungulu-Ishaka'!D38,'10.09 Katungulu-Ishaka'!D38,'11.09 Katungulu-Ishaka'!D38,'12.09 Katungulu-Ishaka'!D38,'07.09. Katungulu-Ishaka-24h'!D38,'08.09 Katungulu-Ishaka-24h'!D38,'13.09 Katungulu-Ishaka'!D38)</f>
        <v>0.2857142857142857</v>
      </c>
      <c r="E38" s="49">
        <f>AVERAGE('09.09 Katungulu-Ishaka'!E38,'10.09 Katungulu-Ishaka'!E38,'11.09 Katungulu-Ishaka'!E38,'12.09 Katungulu-Ishaka'!E38,'07.09. Katungulu-Ishaka-24h'!E38,'08.09 Katungulu-Ishaka-24h'!E38,'13.09 Katungulu-Ishaka'!E38)</f>
        <v>2.7142857142857144</v>
      </c>
      <c r="F38" s="49">
        <f>AVERAGE('09.09 Katungulu-Ishaka'!F38,'10.09 Katungulu-Ishaka'!F38,'11.09 Katungulu-Ishaka'!F38,'12.09 Katungulu-Ishaka'!F38,'07.09. Katungulu-Ishaka-24h'!F38,'08.09 Katungulu-Ishaka-24h'!F38,'13.09 Katungulu-Ishaka'!F38)</f>
        <v>2.1428571428571428</v>
      </c>
      <c r="G38" s="49">
        <f>AVERAGE('09.09 Katungulu-Ishaka'!G38,'10.09 Katungulu-Ishaka'!G38,'11.09 Katungulu-Ishaka'!G38,'12.09 Katungulu-Ishaka'!G38,'07.09. Katungulu-Ishaka-24h'!G38,'08.09 Katungulu-Ishaka-24h'!G38,'13.09 Katungulu-Ishaka'!G38)</f>
        <v>0</v>
      </c>
      <c r="H38" s="49">
        <f>AVERAGE('09.09 Katungulu-Ishaka'!H38,'10.09 Katungulu-Ishaka'!H38,'11.09 Katungulu-Ishaka'!H38,'12.09 Katungulu-Ishaka'!H38,'07.09. Katungulu-Ishaka-24h'!H38,'08.09 Katungulu-Ishaka-24h'!H38,'13.09 Katungulu-Ishaka'!H38)</f>
        <v>0</v>
      </c>
      <c r="I38" s="49">
        <f>AVERAGE('09.09 Katungulu-Ishaka'!I38,'10.09 Katungulu-Ishaka'!I38,'11.09 Katungulu-Ishaka'!I38,'12.09 Katungulu-Ishaka'!I38,'07.09. Katungulu-Ishaka-24h'!I38,'08.09 Katungulu-Ishaka-24h'!I38,'13.09 Katungulu-Ishaka'!I38)</f>
        <v>0.5714285714285714</v>
      </c>
      <c r="J38" s="49">
        <f>AVERAGE('09.09 Katungulu-Ishaka'!J38,'10.09 Katungulu-Ishaka'!J38,'11.09 Katungulu-Ishaka'!J38,'12.09 Katungulu-Ishaka'!J38,'07.09. Katungulu-Ishaka-24h'!J38,'08.09 Katungulu-Ishaka-24h'!J38,'13.09 Katungulu-Ishaka'!J38)</f>
        <v>0.7142857142857143</v>
      </c>
      <c r="K38" s="49">
        <f>AVERAGE('09.09 Katungulu-Ishaka'!K38,'10.09 Katungulu-Ishaka'!K38,'11.09 Katungulu-Ishaka'!K38,'12.09 Katungulu-Ishaka'!K38,'07.09. Katungulu-Ishaka-24h'!K38,'08.09 Katungulu-Ishaka-24h'!K38,'13.09 Katungulu-Ishaka'!K38)</f>
        <v>0.14285714285714285</v>
      </c>
      <c r="L38" s="49">
        <f>AVERAGE('09.09 Katungulu-Ishaka'!L38,'10.09 Katungulu-Ishaka'!L38,'11.09 Katungulu-Ishaka'!L38,'12.09 Katungulu-Ishaka'!L38,'07.09. Katungulu-Ishaka-24h'!L38,'08.09 Katungulu-Ishaka-24h'!L38,'13.09 Katungulu-Ishaka'!L38)</f>
        <v>1</v>
      </c>
      <c r="M38" s="49">
        <f>AVERAGE('09.09 Katungulu-Ishaka'!M38,'10.09 Katungulu-Ishaka'!M38,'11.09 Katungulu-Ishaka'!M38,'12.09 Katungulu-Ishaka'!M38,'07.09. Katungulu-Ishaka-24h'!M38,'08.09 Katungulu-Ishaka-24h'!M38,'13.09 Katungulu-Ishaka'!M38)</f>
        <v>24.571428571428573</v>
      </c>
      <c r="N38" s="49">
        <f>AVERAGE('09.09 Katungulu-Ishaka'!N38,'10.09 Katungulu-Ishaka'!N38,'11.09 Katungulu-Ishaka'!N38,'12.09 Katungulu-Ishaka'!N38,'07.09. Katungulu-Ishaka-24h'!N38,'08.09 Katungulu-Ishaka-24h'!N38,'13.09 Katungulu-Ishaka'!N38)</f>
        <v>0</v>
      </c>
      <c r="O38" s="15">
        <f t="shared" si="0"/>
        <v>12.714285714285712</v>
      </c>
      <c r="P38" s="15">
        <f t="shared" si="1"/>
        <v>37.285714285714285</v>
      </c>
      <c r="R38" s="28" t="s">
        <v>86</v>
      </c>
      <c r="S38" s="16">
        <f t="shared" ref="S38:AF38" si="30">SUM(S13:S18)</f>
        <v>131.42857142857144</v>
      </c>
      <c r="T38" s="16">
        <f t="shared" si="30"/>
        <v>15.714285714285714</v>
      </c>
      <c r="U38" s="16">
        <f t="shared" si="30"/>
        <v>83.857142857142861</v>
      </c>
      <c r="V38" s="16">
        <f t="shared" si="30"/>
        <v>83.285714285714292</v>
      </c>
      <c r="W38" s="16">
        <f t="shared" si="30"/>
        <v>0.5714285714285714</v>
      </c>
      <c r="X38" s="16">
        <f t="shared" si="30"/>
        <v>1.4285714285714284</v>
      </c>
      <c r="Y38" s="16">
        <f t="shared" si="30"/>
        <v>30</v>
      </c>
      <c r="Z38" s="16">
        <f t="shared" si="30"/>
        <v>20</v>
      </c>
      <c r="AA38" s="16">
        <f t="shared" si="30"/>
        <v>33.714285714285715</v>
      </c>
      <c r="AB38" s="16">
        <f t="shared" si="30"/>
        <v>29</v>
      </c>
      <c r="AC38" s="16">
        <f t="shared" si="30"/>
        <v>1091.8571428571427</v>
      </c>
      <c r="AD38" s="16">
        <f t="shared" si="30"/>
        <v>0.71428571428571419</v>
      </c>
      <c r="AE38" s="32">
        <f t="shared" si="30"/>
        <v>429.71428571428567</v>
      </c>
      <c r="AF38" s="32">
        <f t="shared" si="30"/>
        <v>1521.5714285714287</v>
      </c>
    </row>
    <row r="39" spans="2:32" ht="23.1" customHeight="1" x14ac:dyDescent="0.25">
      <c r="B39" s="24" t="s">
        <v>66</v>
      </c>
      <c r="C39" s="49">
        <f>AVERAGE('09.09 Katungulu-Ishaka'!C39,'10.09 Katungulu-Ishaka'!C39,'11.09 Katungulu-Ishaka'!C39,'12.09 Katungulu-Ishaka'!C39,'07.09. Katungulu-Ishaka-24h'!C39,'08.09 Katungulu-Ishaka-24h'!C39,'13.09 Katungulu-Ishaka'!C39)</f>
        <v>9.2857142857142865</v>
      </c>
      <c r="D39" s="49">
        <f>AVERAGE('09.09 Katungulu-Ishaka'!D39,'10.09 Katungulu-Ishaka'!D39,'11.09 Katungulu-Ishaka'!D39,'12.09 Katungulu-Ishaka'!D39,'07.09. Katungulu-Ishaka-24h'!D39,'08.09 Katungulu-Ishaka-24h'!D39,'13.09 Katungulu-Ishaka'!D39)</f>
        <v>1.2857142857142858</v>
      </c>
      <c r="E39" s="49">
        <f>AVERAGE('09.09 Katungulu-Ishaka'!E39,'10.09 Katungulu-Ishaka'!E39,'11.09 Katungulu-Ishaka'!E39,'12.09 Katungulu-Ishaka'!E39,'07.09. Katungulu-Ishaka-24h'!E39,'08.09 Katungulu-Ishaka-24h'!E39,'13.09 Katungulu-Ishaka'!E39)</f>
        <v>4.7142857142857144</v>
      </c>
      <c r="F39" s="49">
        <f>AVERAGE('09.09 Katungulu-Ishaka'!F39,'10.09 Katungulu-Ishaka'!F39,'11.09 Katungulu-Ishaka'!F39,'12.09 Katungulu-Ishaka'!F39,'07.09. Katungulu-Ishaka-24h'!F39,'08.09 Katungulu-Ishaka-24h'!F39,'13.09 Katungulu-Ishaka'!F39)</f>
        <v>3.8571428571428572</v>
      </c>
      <c r="G39" s="49">
        <f>AVERAGE('09.09 Katungulu-Ishaka'!G39,'10.09 Katungulu-Ishaka'!G39,'11.09 Katungulu-Ishaka'!G39,'12.09 Katungulu-Ishaka'!G39,'07.09. Katungulu-Ishaka-24h'!G39,'08.09 Katungulu-Ishaka-24h'!G39,'13.09 Katungulu-Ishaka'!G39)</f>
        <v>0</v>
      </c>
      <c r="H39" s="49">
        <f>AVERAGE('09.09 Katungulu-Ishaka'!H39,'10.09 Katungulu-Ishaka'!H39,'11.09 Katungulu-Ishaka'!H39,'12.09 Katungulu-Ishaka'!H39,'07.09. Katungulu-Ishaka-24h'!H39,'08.09 Katungulu-Ishaka-24h'!H39,'13.09 Katungulu-Ishaka'!H39)</f>
        <v>0</v>
      </c>
      <c r="I39" s="49">
        <f>AVERAGE('09.09 Katungulu-Ishaka'!I39,'10.09 Katungulu-Ishaka'!I39,'11.09 Katungulu-Ishaka'!I39,'12.09 Katungulu-Ishaka'!I39,'07.09. Katungulu-Ishaka-24h'!I39,'08.09 Katungulu-Ishaka-24h'!I39,'13.09 Katungulu-Ishaka'!I39)</f>
        <v>1.5714285714285714</v>
      </c>
      <c r="J39" s="49">
        <f>AVERAGE('09.09 Katungulu-Ishaka'!J39,'10.09 Katungulu-Ishaka'!J39,'11.09 Katungulu-Ishaka'!J39,'12.09 Katungulu-Ishaka'!J39,'07.09. Katungulu-Ishaka-24h'!J39,'08.09 Katungulu-Ishaka-24h'!J39,'13.09 Katungulu-Ishaka'!J39)</f>
        <v>1.4285714285714286</v>
      </c>
      <c r="K39" s="49">
        <f>AVERAGE('09.09 Katungulu-Ishaka'!K39,'10.09 Katungulu-Ishaka'!K39,'11.09 Katungulu-Ishaka'!K39,'12.09 Katungulu-Ishaka'!K39,'07.09. Katungulu-Ishaka-24h'!K39,'08.09 Katungulu-Ishaka-24h'!K39,'13.09 Katungulu-Ishaka'!K39)</f>
        <v>0.42857142857142855</v>
      </c>
      <c r="L39" s="49">
        <f>AVERAGE('09.09 Katungulu-Ishaka'!L39,'10.09 Katungulu-Ishaka'!L39,'11.09 Katungulu-Ishaka'!L39,'12.09 Katungulu-Ishaka'!L39,'07.09. Katungulu-Ishaka-24h'!L39,'08.09 Katungulu-Ishaka-24h'!L39,'13.09 Katungulu-Ishaka'!L39)</f>
        <v>1.5714285714285714</v>
      </c>
      <c r="M39" s="49">
        <f>AVERAGE('09.09 Katungulu-Ishaka'!M39,'10.09 Katungulu-Ishaka'!M39,'11.09 Katungulu-Ishaka'!M39,'12.09 Katungulu-Ishaka'!M39,'07.09. Katungulu-Ishaka-24h'!M39,'08.09 Katungulu-Ishaka-24h'!M39,'13.09 Katungulu-Ishaka'!M39)</f>
        <v>44.428571428571431</v>
      </c>
      <c r="N39" s="49">
        <f>AVERAGE('09.09 Katungulu-Ishaka'!N39,'10.09 Katungulu-Ishaka'!N39,'11.09 Katungulu-Ishaka'!N39,'12.09 Katungulu-Ishaka'!N39,'07.09. Katungulu-Ishaka-24h'!N39,'08.09 Katungulu-Ishaka-24h'!N39,'13.09 Katungulu-Ishaka'!N39)</f>
        <v>0.14285714285714285</v>
      </c>
      <c r="O39" s="15">
        <f t="shared" si="0"/>
        <v>24.285714285714288</v>
      </c>
      <c r="P39" s="15">
        <f t="shared" si="1"/>
        <v>68.714285714285722</v>
      </c>
      <c r="R39" s="29" t="s">
        <v>87</v>
      </c>
      <c r="S39" s="16">
        <f t="shared" ref="S39:AF39" si="31">SUM(S19:S21)</f>
        <v>81.857142857142861</v>
      </c>
      <c r="T39" s="16">
        <f t="shared" si="31"/>
        <v>11.428571428571427</v>
      </c>
      <c r="U39" s="16">
        <f t="shared" si="31"/>
        <v>55</v>
      </c>
      <c r="V39" s="16">
        <f t="shared" si="31"/>
        <v>45.285714285714285</v>
      </c>
      <c r="W39" s="16">
        <f t="shared" si="31"/>
        <v>1.9999999999999998</v>
      </c>
      <c r="X39" s="16">
        <f t="shared" si="31"/>
        <v>0.71428571428571419</v>
      </c>
      <c r="Y39" s="16">
        <f t="shared" si="31"/>
        <v>27.428571428571431</v>
      </c>
      <c r="Z39" s="16">
        <f t="shared" si="31"/>
        <v>16.285714285714285</v>
      </c>
      <c r="AA39" s="16">
        <f t="shared" si="31"/>
        <v>18.857142857142854</v>
      </c>
      <c r="AB39" s="16">
        <f t="shared" si="31"/>
        <v>9.428571428571427</v>
      </c>
      <c r="AC39" s="16">
        <f t="shared" si="31"/>
        <v>564.71428571428578</v>
      </c>
      <c r="AD39" s="16">
        <f t="shared" si="31"/>
        <v>0</v>
      </c>
      <c r="AE39" s="32">
        <f t="shared" si="31"/>
        <v>268.28571428571428</v>
      </c>
      <c r="AF39" s="32">
        <f t="shared" si="31"/>
        <v>833</v>
      </c>
    </row>
    <row r="40" spans="2:32" ht="23.1" customHeight="1" x14ac:dyDescent="0.25">
      <c r="B40" s="24" t="s">
        <v>67</v>
      </c>
      <c r="C40" s="49">
        <f>AVERAGE('09.09 Katungulu-Ishaka'!C40,'10.09 Katungulu-Ishaka'!C40,'11.09 Katungulu-Ishaka'!C40,'12.09 Katungulu-Ishaka'!C40,'07.09. Katungulu-Ishaka-24h'!C40,'08.09 Katungulu-Ishaka-24h'!C40,'13.09 Katungulu-Ishaka'!C40)</f>
        <v>3.7142857142857144</v>
      </c>
      <c r="D40" s="49">
        <f>AVERAGE('09.09 Katungulu-Ishaka'!D40,'10.09 Katungulu-Ishaka'!D40,'11.09 Katungulu-Ishaka'!D40,'12.09 Katungulu-Ishaka'!D40,'07.09. Katungulu-Ishaka-24h'!D40,'08.09 Katungulu-Ishaka-24h'!D40,'13.09 Katungulu-Ishaka'!D40)</f>
        <v>0.42857142857142855</v>
      </c>
      <c r="E40" s="49">
        <f>AVERAGE('09.09 Katungulu-Ishaka'!E40,'10.09 Katungulu-Ishaka'!E40,'11.09 Katungulu-Ishaka'!E40,'12.09 Katungulu-Ishaka'!E40,'07.09. Katungulu-Ishaka-24h'!E40,'08.09 Katungulu-Ishaka-24h'!E40,'13.09 Katungulu-Ishaka'!E40)</f>
        <v>2.4285714285714284</v>
      </c>
      <c r="F40" s="49">
        <f>AVERAGE('09.09 Katungulu-Ishaka'!F40,'10.09 Katungulu-Ishaka'!F40,'11.09 Katungulu-Ishaka'!F40,'12.09 Katungulu-Ishaka'!F40,'07.09. Katungulu-Ishaka-24h'!F40,'08.09 Katungulu-Ishaka-24h'!F40,'13.09 Katungulu-Ishaka'!F40)</f>
        <v>2.5714285714285716</v>
      </c>
      <c r="G40" s="49">
        <f>AVERAGE('09.09 Katungulu-Ishaka'!G40,'10.09 Katungulu-Ishaka'!G40,'11.09 Katungulu-Ishaka'!G40,'12.09 Katungulu-Ishaka'!G40,'07.09. Katungulu-Ishaka-24h'!G40,'08.09 Katungulu-Ishaka-24h'!G40,'13.09 Katungulu-Ishaka'!G40)</f>
        <v>0</v>
      </c>
      <c r="H40" s="49">
        <f>AVERAGE('09.09 Katungulu-Ishaka'!H40,'10.09 Katungulu-Ishaka'!H40,'11.09 Katungulu-Ishaka'!H40,'12.09 Katungulu-Ishaka'!H40,'07.09. Katungulu-Ishaka-24h'!H40,'08.09 Katungulu-Ishaka-24h'!H40,'13.09 Katungulu-Ishaka'!H40)</f>
        <v>0</v>
      </c>
      <c r="I40" s="49">
        <f>AVERAGE('09.09 Katungulu-Ishaka'!I40,'10.09 Katungulu-Ishaka'!I40,'11.09 Katungulu-Ishaka'!I40,'12.09 Katungulu-Ishaka'!I40,'07.09. Katungulu-Ishaka-24h'!I40,'08.09 Katungulu-Ishaka-24h'!I40,'13.09 Katungulu-Ishaka'!I40)</f>
        <v>0.7142857142857143</v>
      </c>
      <c r="J40" s="49">
        <f>AVERAGE('09.09 Katungulu-Ishaka'!J40,'10.09 Katungulu-Ishaka'!J40,'11.09 Katungulu-Ishaka'!J40,'12.09 Katungulu-Ishaka'!J40,'07.09. Katungulu-Ishaka-24h'!J40,'08.09 Katungulu-Ishaka-24h'!J40,'13.09 Katungulu-Ishaka'!J40)</f>
        <v>0.8571428571428571</v>
      </c>
      <c r="K40" s="49">
        <f>AVERAGE('09.09 Katungulu-Ishaka'!K40,'10.09 Katungulu-Ishaka'!K40,'11.09 Katungulu-Ishaka'!K40,'12.09 Katungulu-Ishaka'!K40,'07.09. Katungulu-Ishaka-24h'!K40,'08.09 Katungulu-Ishaka-24h'!K40,'13.09 Katungulu-Ishaka'!K40)</f>
        <v>1.1428571428571428</v>
      </c>
      <c r="L40" s="49">
        <f>AVERAGE('09.09 Katungulu-Ishaka'!L40,'10.09 Katungulu-Ishaka'!L40,'11.09 Katungulu-Ishaka'!L40,'12.09 Katungulu-Ishaka'!L40,'07.09. Katungulu-Ishaka-24h'!L40,'08.09 Katungulu-Ishaka-24h'!L40,'13.09 Katungulu-Ishaka'!L40)</f>
        <v>0.8571428571428571</v>
      </c>
      <c r="M40" s="49">
        <f>AVERAGE('09.09 Katungulu-Ishaka'!M40,'10.09 Katungulu-Ishaka'!M40,'11.09 Katungulu-Ishaka'!M40,'12.09 Katungulu-Ishaka'!M40,'07.09. Katungulu-Ishaka-24h'!M40,'08.09 Katungulu-Ishaka-24h'!M40,'13.09 Katungulu-Ishaka'!M40)</f>
        <v>26.285714285714285</v>
      </c>
      <c r="N40" s="49">
        <f>AVERAGE('09.09 Katungulu-Ishaka'!N40,'10.09 Katungulu-Ishaka'!N40,'11.09 Katungulu-Ishaka'!N40,'12.09 Katungulu-Ishaka'!N40,'07.09. Katungulu-Ishaka-24h'!N40,'08.09 Katungulu-Ishaka-24h'!N40,'13.09 Katungulu-Ishaka'!N40)</f>
        <v>0</v>
      </c>
      <c r="O40" s="15">
        <f t="shared" si="0"/>
        <v>12.714285714285714</v>
      </c>
      <c r="P40" s="15">
        <f t="shared" si="1"/>
        <v>39</v>
      </c>
      <c r="R40" s="5" t="s">
        <v>17</v>
      </c>
      <c r="S40" s="16">
        <f t="shared" ref="S40:AF40" si="32">SUM(S10:S21)</f>
        <v>241.71428571428569</v>
      </c>
      <c r="T40" s="16">
        <f t="shared" si="32"/>
        <v>29.142857142857142</v>
      </c>
      <c r="U40" s="16">
        <f t="shared" si="32"/>
        <v>157.85714285714286</v>
      </c>
      <c r="V40" s="16">
        <f t="shared" si="32"/>
        <v>158.57142857142856</v>
      </c>
      <c r="W40" s="16">
        <f t="shared" si="32"/>
        <v>3.5714285714285712</v>
      </c>
      <c r="X40" s="16">
        <f t="shared" si="32"/>
        <v>4.1428571428571423</v>
      </c>
      <c r="Y40" s="16">
        <f t="shared" si="32"/>
        <v>65</v>
      </c>
      <c r="Z40" s="16">
        <f t="shared" si="32"/>
        <v>41</v>
      </c>
      <c r="AA40" s="16">
        <f t="shared" si="32"/>
        <v>55.428571428571423</v>
      </c>
      <c r="AB40" s="16">
        <f t="shared" si="32"/>
        <v>51.714285714285715</v>
      </c>
      <c r="AC40" s="16">
        <f t="shared" si="32"/>
        <v>2071.4285714285716</v>
      </c>
      <c r="AD40" s="16">
        <f t="shared" si="32"/>
        <v>0.99999999999999989</v>
      </c>
      <c r="AE40" s="32">
        <f t="shared" si="32"/>
        <v>809.14285714285711</v>
      </c>
      <c r="AF40" s="32">
        <f t="shared" si="32"/>
        <v>2880.5714285714284</v>
      </c>
    </row>
    <row r="41" spans="2:32" ht="23.1" customHeight="1" x14ac:dyDescent="0.25">
      <c r="B41" s="23" t="s">
        <v>68</v>
      </c>
      <c r="C41" s="49">
        <f>AVERAGE('09.09 Katungulu-Ishaka'!C41,'10.09 Katungulu-Ishaka'!C41,'11.09 Katungulu-Ishaka'!C41,'12.09 Katungulu-Ishaka'!C41,'07.09. Katungulu-Ishaka-24h'!C41,'08.09 Katungulu-Ishaka-24h'!C41,'13.09 Katungulu-Ishaka'!C41)</f>
        <v>6.7142857142857144</v>
      </c>
      <c r="D41" s="49">
        <f>AVERAGE('09.09 Katungulu-Ishaka'!D41,'10.09 Katungulu-Ishaka'!D41,'11.09 Katungulu-Ishaka'!D41,'12.09 Katungulu-Ishaka'!D41,'07.09. Katungulu-Ishaka-24h'!D41,'08.09 Katungulu-Ishaka-24h'!D41,'13.09 Katungulu-Ishaka'!D41)</f>
        <v>1</v>
      </c>
      <c r="E41" s="49">
        <f>AVERAGE('09.09 Katungulu-Ishaka'!E41,'10.09 Katungulu-Ishaka'!E41,'11.09 Katungulu-Ishaka'!E41,'12.09 Katungulu-Ishaka'!E41,'07.09. Katungulu-Ishaka-24h'!E41,'08.09 Katungulu-Ishaka-24h'!E41,'13.09 Katungulu-Ishaka'!E41)</f>
        <v>4.4285714285714288</v>
      </c>
      <c r="F41" s="49">
        <f>AVERAGE('09.09 Katungulu-Ishaka'!F41,'10.09 Katungulu-Ishaka'!F41,'11.09 Katungulu-Ishaka'!F41,'12.09 Katungulu-Ishaka'!F41,'07.09. Katungulu-Ishaka-24h'!F41,'08.09 Katungulu-Ishaka-24h'!F41,'13.09 Katungulu-Ishaka'!F41)</f>
        <v>4.4285714285714288</v>
      </c>
      <c r="G41" s="49">
        <f>AVERAGE('09.09 Katungulu-Ishaka'!G41,'10.09 Katungulu-Ishaka'!G41,'11.09 Katungulu-Ishaka'!G41,'12.09 Katungulu-Ishaka'!G41,'07.09. Katungulu-Ishaka-24h'!G41,'08.09 Katungulu-Ishaka-24h'!G41,'13.09 Katungulu-Ishaka'!G41)</f>
        <v>0.14285714285714285</v>
      </c>
      <c r="H41" s="49">
        <f>AVERAGE('09.09 Katungulu-Ishaka'!H41,'10.09 Katungulu-Ishaka'!H41,'11.09 Katungulu-Ishaka'!H41,'12.09 Katungulu-Ishaka'!H41,'07.09. Katungulu-Ishaka-24h'!H41,'08.09 Katungulu-Ishaka-24h'!H41,'13.09 Katungulu-Ishaka'!H41)</f>
        <v>0</v>
      </c>
      <c r="I41" s="49">
        <f>AVERAGE('09.09 Katungulu-Ishaka'!I41,'10.09 Katungulu-Ishaka'!I41,'11.09 Katungulu-Ishaka'!I41,'12.09 Katungulu-Ishaka'!I41,'07.09. Katungulu-Ishaka-24h'!I41,'08.09 Katungulu-Ishaka-24h'!I41,'13.09 Katungulu-Ishaka'!I41)</f>
        <v>1.5714285714285714</v>
      </c>
      <c r="J41" s="49">
        <f>AVERAGE('09.09 Katungulu-Ishaka'!J41,'10.09 Katungulu-Ishaka'!J41,'11.09 Katungulu-Ishaka'!J41,'12.09 Katungulu-Ishaka'!J41,'07.09. Katungulu-Ishaka-24h'!J41,'08.09 Katungulu-Ishaka-24h'!J41,'13.09 Katungulu-Ishaka'!J41)</f>
        <v>1.7142857142857142</v>
      </c>
      <c r="K41" s="49">
        <f>AVERAGE('09.09 Katungulu-Ishaka'!K41,'10.09 Katungulu-Ishaka'!K41,'11.09 Katungulu-Ishaka'!K41,'12.09 Katungulu-Ishaka'!K41,'07.09. Katungulu-Ishaka-24h'!K41,'08.09 Katungulu-Ishaka-24h'!K41,'13.09 Katungulu-Ishaka'!K41)</f>
        <v>2</v>
      </c>
      <c r="L41" s="49">
        <f>AVERAGE('09.09 Katungulu-Ishaka'!L41,'10.09 Katungulu-Ishaka'!L41,'11.09 Katungulu-Ishaka'!L41,'12.09 Katungulu-Ishaka'!L41,'07.09. Katungulu-Ishaka-24h'!L41,'08.09 Katungulu-Ishaka-24h'!L41,'13.09 Katungulu-Ishaka'!L41)</f>
        <v>1.5714285714285714</v>
      </c>
      <c r="M41" s="49">
        <f>AVERAGE('09.09 Katungulu-Ishaka'!M41,'10.09 Katungulu-Ishaka'!M41,'11.09 Katungulu-Ishaka'!M41,'12.09 Katungulu-Ishaka'!M41,'07.09. Katungulu-Ishaka-24h'!M41,'08.09 Katungulu-Ishaka-24h'!M41,'13.09 Katungulu-Ishaka'!M41)</f>
        <v>50.714285714285715</v>
      </c>
      <c r="N41" s="49">
        <f>AVERAGE('09.09 Katungulu-Ishaka'!N41,'10.09 Katungulu-Ishaka'!N41,'11.09 Katungulu-Ishaka'!N41,'12.09 Katungulu-Ishaka'!N41,'07.09. Katungulu-Ishaka-24h'!N41,'08.09 Katungulu-Ishaka-24h'!N41,'13.09 Katungulu-Ishaka'!N41)</f>
        <v>0.14285714285714285</v>
      </c>
      <c r="O41" s="15">
        <f t="shared" si="0"/>
        <v>23.714285714285715</v>
      </c>
      <c r="P41" s="15">
        <f t="shared" si="1"/>
        <v>74.428571428571431</v>
      </c>
      <c r="R41" s="5" t="s">
        <v>175</v>
      </c>
      <c r="S41" s="53">
        <f>SUM(S10:S33)</f>
        <v>337.21428571428567</v>
      </c>
      <c r="T41" s="53">
        <f t="shared" ref="T41:AD41" si="33">SUM(T10:T33)</f>
        <v>63.642857142857139</v>
      </c>
      <c r="U41" s="53">
        <f t="shared" si="33"/>
        <v>230.35714285714286</v>
      </c>
      <c r="V41" s="53">
        <f t="shared" si="33"/>
        <v>215.07142857142856</v>
      </c>
      <c r="W41" s="53">
        <f t="shared" si="33"/>
        <v>9.5714285714285712</v>
      </c>
      <c r="X41" s="53">
        <f t="shared" si="33"/>
        <v>11.642857142857142</v>
      </c>
      <c r="Y41" s="53">
        <f t="shared" si="33"/>
        <v>72.5</v>
      </c>
      <c r="Z41" s="53">
        <f t="shared" si="33"/>
        <v>73</v>
      </c>
      <c r="AA41" s="53">
        <f t="shared" si="33"/>
        <v>124.42857142857142</v>
      </c>
      <c r="AB41" s="53">
        <f t="shared" si="33"/>
        <v>69.214285714285722</v>
      </c>
      <c r="AC41" s="53">
        <f t="shared" si="33"/>
        <v>2637.4285714285716</v>
      </c>
      <c r="AD41" s="53">
        <f t="shared" si="33"/>
        <v>0.99999999999999989</v>
      </c>
      <c r="AE41" s="54">
        <f>SUM(AE10:AE33)</f>
        <v>1207.6428571428571</v>
      </c>
      <c r="AF41" s="54">
        <f>SUM(AF10:AF33)</f>
        <v>3845.0714285714284</v>
      </c>
    </row>
    <row r="42" spans="2:32" ht="23.1" customHeight="1" x14ac:dyDescent="0.25">
      <c r="B42" s="24" t="s">
        <v>69</v>
      </c>
      <c r="C42" s="49">
        <f>AVERAGE('09.09 Katungulu-Ishaka'!C42,'10.09 Katungulu-Ishaka'!C42,'11.09 Katungulu-Ishaka'!C42,'12.09 Katungulu-Ishaka'!C42,'07.09. Katungulu-Ishaka-24h'!C42,'08.09 Katungulu-Ishaka-24h'!C42,'13.09 Katungulu-Ishaka'!C42)</f>
        <v>4.7142857142857144</v>
      </c>
      <c r="D42" s="49">
        <f>AVERAGE('09.09 Katungulu-Ishaka'!D42,'10.09 Katungulu-Ishaka'!D42,'11.09 Katungulu-Ishaka'!D42,'12.09 Katungulu-Ishaka'!D42,'07.09. Katungulu-Ishaka-24h'!D42,'08.09 Katungulu-Ishaka-24h'!D42,'13.09 Katungulu-Ishaka'!D42)</f>
        <v>0.2857142857142857</v>
      </c>
      <c r="E42" s="49">
        <f>AVERAGE('09.09 Katungulu-Ishaka'!E42,'10.09 Katungulu-Ishaka'!E42,'11.09 Katungulu-Ishaka'!E42,'12.09 Katungulu-Ishaka'!E42,'07.09. Katungulu-Ishaka-24h'!E42,'08.09 Katungulu-Ishaka-24h'!E42,'13.09 Katungulu-Ishaka'!E42)</f>
        <v>2.1428571428571428</v>
      </c>
      <c r="F42" s="49">
        <f>AVERAGE('09.09 Katungulu-Ishaka'!F42,'10.09 Katungulu-Ishaka'!F42,'11.09 Katungulu-Ishaka'!F42,'12.09 Katungulu-Ishaka'!F42,'07.09. Katungulu-Ishaka-24h'!F42,'08.09 Katungulu-Ishaka-24h'!F42,'13.09 Katungulu-Ishaka'!F42)</f>
        <v>2</v>
      </c>
      <c r="G42" s="49">
        <f>AVERAGE('09.09 Katungulu-Ishaka'!G42,'10.09 Katungulu-Ishaka'!G42,'11.09 Katungulu-Ishaka'!G42,'12.09 Katungulu-Ishaka'!G42,'07.09. Katungulu-Ishaka-24h'!G42,'08.09 Katungulu-Ishaka-24h'!G42,'13.09 Katungulu-Ishaka'!G42)</f>
        <v>0</v>
      </c>
      <c r="H42" s="49">
        <f>AVERAGE('09.09 Katungulu-Ishaka'!H42,'10.09 Katungulu-Ishaka'!H42,'11.09 Katungulu-Ishaka'!H42,'12.09 Katungulu-Ishaka'!H42,'07.09. Katungulu-Ishaka-24h'!H42,'08.09 Katungulu-Ishaka-24h'!H42,'13.09 Katungulu-Ishaka'!H42)</f>
        <v>0.14285714285714285</v>
      </c>
      <c r="I42" s="49">
        <f>AVERAGE('09.09 Katungulu-Ishaka'!I42,'10.09 Katungulu-Ishaka'!I42,'11.09 Katungulu-Ishaka'!I42,'12.09 Katungulu-Ishaka'!I42,'07.09. Katungulu-Ishaka-24h'!I42,'08.09 Katungulu-Ishaka-24h'!I42,'13.09 Katungulu-Ishaka'!I42)</f>
        <v>1.2857142857142858</v>
      </c>
      <c r="J42" s="49">
        <f>AVERAGE('09.09 Katungulu-Ishaka'!J42,'10.09 Katungulu-Ishaka'!J42,'11.09 Katungulu-Ishaka'!J42,'12.09 Katungulu-Ishaka'!J42,'07.09. Katungulu-Ishaka-24h'!J42,'08.09 Katungulu-Ishaka-24h'!J42,'13.09 Katungulu-Ishaka'!J42)</f>
        <v>0.7142857142857143</v>
      </c>
      <c r="K42" s="49">
        <f>AVERAGE('09.09 Katungulu-Ishaka'!K42,'10.09 Katungulu-Ishaka'!K42,'11.09 Katungulu-Ishaka'!K42,'12.09 Katungulu-Ishaka'!K42,'07.09. Katungulu-Ishaka-24h'!K42,'08.09 Katungulu-Ishaka-24h'!K42,'13.09 Katungulu-Ishaka'!K42)</f>
        <v>1.2857142857142858</v>
      </c>
      <c r="L42" s="49">
        <f>AVERAGE('09.09 Katungulu-Ishaka'!L42,'10.09 Katungulu-Ishaka'!L42,'11.09 Katungulu-Ishaka'!L42,'12.09 Katungulu-Ishaka'!L42,'07.09. Katungulu-Ishaka-24h'!L42,'08.09 Katungulu-Ishaka-24h'!L42,'13.09 Katungulu-Ishaka'!L42)</f>
        <v>0.14285714285714285</v>
      </c>
      <c r="M42" s="49">
        <f>AVERAGE('09.09 Katungulu-Ishaka'!M42,'10.09 Katungulu-Ishaka'!M42,'11.09 Katungulu-Ishaka'!M42,'12.09 Katungulu-Ishaka'!M42,'07.09. Katungulu-Ishaka-24h'!M42,'08.09 Katungulu-Ishaka-24h'!M42,'13.09 Katungulu-Ishaka'!M42)</f>
        <v>31.857142857142858</v>
      </c>
      <c r="N42" s="49">
        <f>AVERAGE('09.09 Katungulu-Ishaka'!N42,'10.09 Katungulu-Ishaka'!N42,'11.09 Katungulu-Ishaka'!N42,'12.09 Katungulu-Ishaka'!N42,'07.09. Katungulu-Ishaka-24h'!N42,'08.09 Katungulu-Ishaka-24h'!N42,'13.09 Katungulu-Ishaka'!N42)</f>
        <v>0</v>
      </c>
      <c r="O42" s="15">
        <f t="shared" si="0"/>
        <v>12.714285714285714</v>
      </c>
      <c r="P42" s="15">
        <f t="shared" si="1"/>
        <v>44.571428571428569</v>
      </c>
      <c r="R42" s="5" t="s">
        <v>160</v>
      </c>
      <c r="S42" s="48">
        <f>S41/S40</f>
        <v>1.395094562647754</v>
      </c>
      <c r="T42" s="48">
        <f t="shared" ref="T42:AF42" si="34">T41/T40</f>
        <v>2.1838235294117645</v>
      </c>
      <c r="U42" s="48">
        <f t="shared" si="34"/>
        <v>1.4592760180995474</v>
      </c>
      <c r="V42" s="48">
        <f t="shared" si="34"/>
        <v>1.3563063063063063</v>
      </c>
      <c r="W42" s="48">
        <f t="shared" si="34"/>
        <v>2.68</v>
      </c>
      <c r="X42" s="48">
        <f t="shared" si="34"/>
        <v>2.8103448275862073</v>
      </c>
      <c r="Y42" s="48">
        <f t="shared" si="34"/>
        <v>1.1153846153846154</v>
      </c>
      <c r="Z42" s="48">
        <f t="shared" si="34"/>
        <v>1.7804878048780488</v>
      </c>
      <c r="AA42" s="48">
        <f t="shared" si="34"/>
        <v>2.2448453608247423</v>
      </c>
      <c r="AB42" s="48">
        <f t="shared" si="34"/>
        <v>1.3383977900552488</v>
      </c>
      <c r="AC42" s="48">
        <f t="shared" si="34"/>
        <v>1.2732413793103448</v>
      </c>
      <c r="AD42" s="48">
        <f t="shared" si="34"/>
        <v>1</v>
      </c>
      <c r="AE42" s="52">
        <f t="shared" si="34"/>
        <v>1.4924964689265536</v>
      </c>
      <c r="AF42" s="52">
        <f t="shared" si="34"/>
        <v>1.334829398928784</v>
      </c>
    </row>
    <row r="43" spans="2:32" ht="23.1" customHeight="1" x14ac:dyDescent="0.25">
      <c r="B43" s="23" t="s">
        <v>70</v>
      </c>
      <c r="C43" s="49">
        <f>AVERAGE('09.09 Katungulu-Ishaka'!C43,'10.09 Katungulu-Ishaka'!C43,'11.09 Katungulu-Ishaka'!C43,'12.09 Katungulu-Ishaka'!C43,'07.09. Katungulu-Ishaka-24h'!C43,'08.09 Katungulu-Ishaka-24h'!C43,'13.09 Katungulu-Ishaka'!C43)</f>
        <v>8.1428571428571423</v>
      </c>
      <c r="D43" s="49">
        <f>AVERAGE('09.09 Katungulu-Ishaka'!D43,'10.09 Katungulu-Ishaka'!D43,'11.09 Katungulu-Ishaka'!D43,'12.09 Katungulu-Ishaka'!D43,'07.09. Katungulu-Ishaka-24h'!D43,'08.09 Katungulu-Ishaka-24h'!D43,'13.09 Katungulu-Ishaka'!D43)</f>
        <v>1</v>
      </c>
      <c r="E43" s="49">
        <f>AVERAGE('09.09 Katungulu-Ishaka'!E43,'10.09 Katungulu-Ishaka'!E43,'11.09 Katungulu-Ishaka'!E43,'12.09 Katungulu-Ishaka'!E43,'07.09. Katungulu-Ishaka-24h'!E43,'08.09 Katungulu-Ishaka-24h'!E43,'13.09 Katungulu-Ishaka'!E43)</f>
        <v>4.1428571428571432</v>
      </c>
      <c r="F43" s="49">
        <f>AVERAGE('09.09 Katungulu-Ishaka'!F43,'10.09 Katungulu-Ishaka'!F43,'11.09 Katungulu-Ishaka'!F43,'12.09 Katungulu-Ishaka'!F43,'07.09. Katungulu-Ishaka-24h'!F43,'08.09 Katungulu-Ishaka-24h'!F43,'13.09 Katungulu-Ishaka'!F43)</f>
        <v>3.4285714285714284</v>
      </c>
      <c r="G43" s="49">
        <f>AVERAGE('09.09 Katungulu-Ishaka'!G43,'10.09 Katungulu-Ishaka'!G43,'11.09 Katungulu-Ishaka'!G43,'12.09 Katungulu-Ishaka'!G43,'07.09. Katungulu-Ishaka-24h'!G43,'08.09 Katungulu-Ishaka-24h'!G43,'13.09 Katungulu-Ishaka'!G43)</f>
        <v>0.14285714285714285</v>
      </c>
      <c r="H43" s="49">
        <f>AVERAGE('09.09 Katungulu-Ishaka'!H43,'10.09 Katungulu-Ishaka'!H43,'11.09 Katungulu-Ishaka'!H43,'12.09 Katungulu-Ishaka'!H43,'07.09. Katungulu-Ishaka-24h'!H43,'08.09 Katungulu-Ishaka-24h'!H43,'13.09 Katungulu-Ishaka'!H43)</f>
        <v>0.2857142857142857</v>
      </c>
      <c r="I43" s="49">
        <f>AVERAGE('09.09 Katungulu-Ishaka'!I43,'10.09 Katungulu-Ishaka'!I43,'11.09 Katungulu-Ishaka'!I43,'12.09 Katungulu-Ishaka'!I43,'07.09. Katungulu-Ishaka-24h'!I43,'08.09 Katungulu-Ishaka-24h'!I43,'13.09 Katungulu-Ishaka'!I43)</f>
        <v>2.2857142857142856</v>
      </c>
      <c r="J43" s="49">
        <f>AVERAGE('09.09 Katungulu-Ishaka'!J43,'10.09 Katungulu-Ishaka'!J43,'11.09 Katungulu-Ishaka'!J43,'12.09 Katungulu-Ishaka'!J43,'07.09. Katungulu-Ishaka-24h'!J43,'08.09 Katungulu-Ishaka-24h'!J43,'13.09 Katungulu-Ishaka'!J43)</f>
        <v>1.5714285714285714</v>
      </c>
      <c r="K43" s="49">
        <f>AVERAGE('09.09 Katungulu-Ishaka'!K43,'10.09 Katungulu-Ishaka'!K43,'11.09 Katungulu-Ishaka'!K43,'12.09 Katungulu-Ishaka'!K43,'07.09. Katungulu-Ishaka-24h'!K43,'08.09 Katungulu-Ishaka-24h'!K43,'13.09 Katungulu-Ishaka'!K43)</f>
        <v>2.5714285714285716</v>
      </c>
      <c r="L43" s="49">
        <f>AVERAGE('09.09 Katungulu-Ishaka'!L43,'10.09 Katungulu-Ishaka'!L43,'11.09 Katungulu-Ishaka'!L43,'12.09 Katungulu-Ishaka'!L43,'07.09. Katungulu-Ishaka-24h'!L43,'08.09 Katungulu-Ishaka-24h'!L43,'13.09 Katungulu-Ishaka'!L43)</f>
        <v>0.7142857142857143</v>
      </c>
      <c r="M43" s="49">
        <f>AVERAGE('09.09 Katungulu-Ishaka'!M43,'10.09 Katungulu-Ishaka'!M43,'11.09 Katungulu-Ishaka'!M43,'12.09 Katungulu-Ishaka'!M43,'07.09. Katungulu-Ishaka-24h'!M43,'08.09 Katungulu-Ishaka-24h'!M43,'13.09 Katungulu-Ishaka'!M43)</f>
        <v>57.571428571428569</v>
      </c>
      <c r="N43" s="49">
        <f>AVERAGE('09.09 Katungulu-Ishaka'!N43,'10.09 Katungulu-Ishaka'!N43,'11.09 Katungulu-Ishaka'!N43,'12.09 Katungulu-Ishaka'!N43,'07.09. Katungulu-Ishaka-24h'!N43,'08.09 Katungulu-Ishaka-24h'!N43,'13.09 Katungulu-Ishaka'!N43)</f>
        <v>0</v>
      </c>
      <c r="O43" s="15">
        <f t="shared" si="0"/>
        <v>24.285714285714285</v>
      </c>
      <c r="P43" s="15">
        <f t="shared" si="1"/>
        <v>81.857142857142861</v>
      </c>
    </row>
    <row r="44" spans="2:32" ht="23.1" customHeight="1" x14ac:dyDescent="0.25">
      <c r="B44" s="25" t="s">
        <v>71</v>
      </c>
      <c r="C44" s="49">
        <f>AVERAGE('09.09 Katungulu-Ishaka'!C44,'10.09 Katungulu-Ishaka'!C44,'11.09 Katungulu-Ishaka'!C44,'12.09 Katungulu-Ishaka'!C44,'07.09. Katungulu-Ishaka-24h'!C44,'08.09 Katungulu-Ishaka-24h'!C44,'13.09 Katungulu-Ishaka'!C44)</f>
        <v>2.8571428571428572</v>
      </c>
      <c r="D44" s="49">
        <f>AVERAGE('09.09 Katungulu-Ishaka'!D44,'10.09 Katungulu-Ishaka'!D44,'11.09 Katungulu-Ishaka'!D44,'12.09 Katungulu-Ishaka'!D44,'07.09. Katungulu-Ishaka-24h'!D44,'08.09 Katungulu-Ishaka-24h'!D44,'13.09 Katungulu-Ishaka'!D44)</f>
        <v>0.42857142857142855</v>
      </c>
      <c r="E44" s="49">
        <f>AVERAGE('09.09 Katungulu-Ishaka'!E44,'10.09 Katungulu-Ishaka'!E44,'11.09 Katungulu-Ishaka'!E44,'12.09 Katungulu-Ishaka'!E44,'07.09. Katungulu-Ishaka-24h'!E44,'08.09 Katungulu-Ishaka-24h'!E44,'13.09 Katungulu-Ishaka'!E44)</f>
        <v>2</v>
      </c>
      <c r="F44" s="49">
        <f>AVERAGE('09.09 Katungulu-Ishaka'!F44,'10.09 Katungulu-Ishaka'!F44,'11.09 Katungulu-Ishaka'!F44,'12.09 Katungulu-Ishaka'!F44,'07.09. Katungulu-Ishaka-24h'!F44,'08.09 Katungulu-Ishaka-24h'!F44,'13.09 Katungulu-Ishaka'!F44)</f>
        <v>2.1428571428571428</v>
      </c>
      <c r="G44" s="49">
        <f>AVERAGE('09.09 Katungulu-Ishaka'!G44,'10.09 Katungulu-Ishaka'!G44,'11.09 Katungulu-Ishaka'!G44,'12.09 Katungulu-Ishaka'!G44,'07.09. Katungulu-Ishaka-24h'!G44,'08.09 Katungulu-Ishaka-24h'!G44,'13.09 Katungulu-Ishaka'!G44)</f>
        <v>0</v>
      </c>
      <c r="H44" s="49">
        <f>AVERAGE('09.09 Katungulu-Ishaka'!H44,'10.09 Katungulu-Ishaka'!H44,'11.09 Katungulu-Ishaka'!H44,'12.09 Katungulu-Ishaka'!H44,'07.09. Katungulu-Ishaka-24h'!H44,'08.09 Katungulu-Ishaka-24h'!H44,'13.09 Katungulu-Ishaka'!H44)</f>
        <v>0</v>
      </c>
      <c r="I44" s="49">
        <f>AVERAGE('09.09 Katungulu-Ishaka'!I44,'10.09 Katungulu-Ishaka'!I44,'11.09 Katungulu-Ishaka'!I44,'12.09 Katungulu-Ishaka'!I44,'07.09. Katungulu-Ishaka-24h'!I44,'08.09 Katungulu-Ishaka-24h'!I44,'13.09 Katungulu-Ishaka'!I44)</f>
        <v>0.7142857142857143</v>
      </c>
      <c r="J44" s="49">
        <f>AVERAGE('09.09 Katungulu-Ishaka'!J44,'10.09 Katungulu-Ishaka'!J44,'11.09 Katungulu-Ishaka'!J44,'12.09 Katungulu-Ishaka'!J44,'07.09. Katungulu-Ishaka-24h'!J44,'08.09 Katungulu-Ishaka-24h'!J44,'13.09 Katungulu-Ishaka'!J44)</f>
        <v>0.42857142857142855</v>
      </c>
      <c r="K44" s="49">
        <f>AVERAGE('09.09 Katungulu-Ishaka'!K44,'10.09 Katungulu-Ishaka'!K44,'11.09 Katungulu-Ishaka'!K44,'12.09 Katungulu-Ishaka'!K44,'07.09. Katungulu-Ishaka-24h'!K44,'08.09 Katungulu-Ishaka-24h'!K44,'13.09 Katungulu-Ishaka'!K44)</f>
        <v>0.5714285714285714</v>
      </c>
      <c r="L44" s="49">
        <f>AVERAGE('09.09 Katungulu-Ishaka'!L44,'10.09 Katungulu-Ishaka'!L44,'11.09 Katungulu-Ishaka'!L44,'12.09 Katungulu-Ishaka'!L44,'07.09. Katungulu-Ishaka-24h'!L44,'08.09 Katungulu-Ishaka-24h'!L44,'13.09 Katungulu-Ishaka'!L44)</f>
        <v>0.42857142857142855</v>
      </c>
      <c r="M44" s="49">
        <f>AVERAGE('09.09 Katungulu-Ishaka'!M44,'10.09 Katungulu-Ishaka'!M44,'11.09 Katungulu-Ishaka'!M44,'12.09 Katungulu-Ishaka'!M44,'07.09. Katungulu-Ishaka-24h'!M44,'08.09 Katungulu-Ishaka-24h'!M44,'13.09 Katungulu-Ishaka'!M44)</f>
        <v>29.714285714285715</v>
      </c>
      <c r="N44" s="49">
        <f>AVERAGE('09.09 Katungulu-Ishaka'!N44,'10.09 Katungulu-Ishaka'!N44,'11.09 Katungulu-Ishaka'!N44,'12.09 Katungulu-Ishaka'!N44,'07.09. Katungulu-Ishaka-24h'!N44,'08.09 Katungulu-Ishaka-24h'!N44,'13.09 Katungulu-Ishaka'!N44)</f>
        <v>0</v>
      </c>
      <c r="O44" s="15">
        <f t="shared" si="0"/>
        <v>9.5714285714285712</v>
      </c>
      <c r="P44" s="15">
        <f t="shared" si="1"/>
        <v>39.285714285714285</v>
      </c>
    </row>
    <row r="45" spans="2:32" ht="23.1" customHeight="1" x14ac:dyDescent="0.25">
      <c r="B45" s="23" t="s">
        <v>72</v>
      </c>
      <c r="C45" s="49">
        <f>AVERAGE('09.09 Katungulu-Ishaka'!C45,'10.09 Katungulu-Ishaka'!C45,'11.09 Katungulu-Ishaka'!C45,'12.09 Katungulu-Ishaka'!C45,'07.09. Katungulu-Ishaka-24h'!C45,'08.09 Katungulu-Ishaka-24h'!C45,'13.09 Katungulu-Ishaka'!C45)</f>
        <v>5.4285714285714288</v>
      </c>
      <c r="D45" s="49">
        <f>AVERAGE('09.09 Katungulu-Ishaka'!D45,'10.09 Katungulu-Ishaka'!D45,'11.09 Katungulu-Ishaka'!D45,'12.09 Katungulu-Ishaka'!D45,'07.09. Katungulu-Ishaka-24h'!D45,'08.09 Katungulu-Ishaka-24h'!D45,'13.09 Katungulu-Ishaka'!D45)</f>
        <v>0.8571428571428571</v>
      </c>
      <c r="E45" s="49">
        <f>AVERAGE('09.09 Katungulu-Ishaka'!E45,'10.09 Katungulu-Ishaka'!E45,'11.09 Katungulu-Ishaka'!E45,'12.09 Katungulu-Ishaka'!E45,'07.09. Katungulu-Ishaka-24h'!E45,'08.09 Katungulu-Ishaka-24h'!E45,'13.09 Katungulu-Ishaka'!E45)</f>
        <v>3.4285714285714284</v>
      </c>
      <c r="F45" s="49">
        <f>AVERAGE('09.09 Katungulu-Ishaka'!F45,'10.09 Katungulu-Ishaka'!F45,'11.09 Katungulu-Ishaka'!F45,'12.09 Katungulu-Ishaka'!F45,'07.09. Katungulu-Ishaka-24h'!F45,'08.09 Katungulu-Ishaka-24h'!F45,'13.09 Katungulu-Ishaka'!F45)</f>
        <v>3.8571428571428572</v>
      </c>
      <c r="G45" s="49">
        <f>AVERAGE('09.09 Katungulu-Ishaka'!G45,'10.09 Katungulu-Ishaka'!G45,'11.09 Katungulu-Ishaka'!G45,'12.09 Katungulu-Ishaka'!G45,'07.09. Katungulu-Ishaka-24h'!G45,'08.09 Katungulu-Ishaka-24h'!G45,'13.09 Katungulu-Ishaka'!G45)</f>
        <v>0</v>
      </c>
      <c r="H45" s="49">
        <f>AVERAGE('09.09 Katungulu-Ishaka'!H45,'10.09 Katungulu-Ishaka'!H45,'11.09 Katungulu-Ishaka'!H45,'12.09 Katungulu-Ishaka'!H45,'07.09. Katungulu-Ishaka-24h'!H45,'08.09 Katungulu-Ishaka-24h'!H45,'13.09 Katungulu-Ishaka'!H45)</f>
        <v>0</v>
      </c>
      <c r="I45" s="49">
        <f>AVERAGE('09.09 Katungulu-Ishaka'!I45,'10.09 Katungulu-Ishaka'!I45,'11.09 Katungulu-Ishaka'!I45,'12.09 Katungulu-Ishaka'!I45,'07.09. Katungulu-Ishaka-24h'!I45,'08.09 Katungulu-Ishaka-24h'!I45,'13.09 Katungulu-Ishaka'!I45)</f>
        <v>1.7142857142857142</v>
      </c>
      <c r="J45" s="49">
        <f>AVERAGE('09.09 Katungulu-Ishaka'!J45,'10.09 Katungulu-Ishaka'!J45,'11.09 Katungulu-Ishaka'!J45,'12.09 Katungulu-Ishaka'!J45,'07.09. Katungulu-Ishaka-24h'!J45,'08.09 Katungulu-Ishaka-24h'!J45,'13.09 Katungulu-Ishaka'!J45)</f>
        <v>0.8571428571428571</v>
      </c>
      <c r="K45" s="49">
        <f>AVERAGE('09.09 Katungulu-Ishaka'!K45,'10.09 Katungulu-Ishaka'!K45,'11.09 Katungulu-Ishaka'!K45,'12.09 Katungulu-Ishaka'!K45,'07.09. Katungulu-Ishaka-24h'!K45,'08.09 Katungulu-Ishaka-24h'!K45,'13.09 Katungulu-Ishaka'!K45)</f>
        <v>1.1428571428571428</v>
      </c>
      <c r="L45" s="49">
        <f>AVERAGE('09.09 Katungulu-Ishaka'!L45,'10.09 Katungulu-Ishaka'!L45,'11.09 Katungulu-Ishaka'!L45,'12.09 Katungulu-Ishaka'!L45,'07.09. Katungulu-Ishaka-24h'!L45,'08.09 Katungulu-Ishaka-24h'!L45,'13.09 Katungulu-Ishaka'!L45)</f>
        <v>1.1428571428571428</v>
      </c>
      <c r="M45" s="49">
        <f>AVERAGE('09.09 Katungulu-Ishaka'!M45,'10.09 Katungulu-Ishaka'!M45,'11.09 Katungulu-Ishaka'!M45,'12.09 Katungulu-Ishaka'!M45,'07.09. Katungulu-Ishaka-24h'!M45,'08.09 Katungulu-Ishaka-24h'!M45,'13.09 Katungulu-Ishaka'!M45)</f>
        <v>54.428571428571431</v>
      </c>
      <c r="N45" s="49">
        <f>AVERAGE('09.09 Katungulu-Ishaka'!N45,'10.09 Katungulu-Ishaka'!N45,'11.09 Katungulu-Ishaka'!N45,'12.09 Katungulu-Ishaka'!N45,'07.09. Katungulu-Ishaka-24h'!N45,'08.09 Katungulu-Ishaka-24h'!N45,'13.09 Katungulu-Ishaka'!N45)</f>
        <v>0</v>
      </c>
      <c r="O45" s="15">
        <f t="shared" si="0"/>
        <v>18.428571428571427</v>
      </c>
      <c r="P45" s="15">
        <f t="shared" si="1"/>
        <v>72.857142857142861</v>
      </c>
    </row>
    <row r="46" spans="2:32" ht="23.1" customHeight="1" x14ac:dyDescent="0.25">
      <c r="B46" s="24" t="s">
        <v>73</v>
      </c>
      <c r="C46" s="49">
        <f>AVERAGE('09.09 Katungulu-Ishaka'!C46,'10.09 Katungulu-Ishaka'!C46,'11.09 Katungulu-Ishaka'!C46,'12.09 Katungulu-Ishaka'!C46,'07.09. Katungulu-Ishaka-24h'!C46,'08.09 Katungulu-Ishaka-24h'!C46,'13.09 Katungulu-Ishaka'!C46)</f>
        <v>4.5714285714285712</v>
      </c>
      <c r="D46" s="49">
        <f>AVERAGE('09.09 Katungulu-Ishaka'!D46,'10.09 Katungulu-Ishaka'!D46,'11.09 Katungulu-Ishaka'!D46,'12.09 Katungulu-Ishaka'!D46,'07.09. Katungulu-Ishaka-24h'!D46,'08.09 Katungulu-Ishaka-24h'!D46,'13.09 Katungulu-Ishaka'!D46)</f>
        <v>0.5714285714285714</v>
      </c>
      <c r="E46" s="49">
        <f>AVERAGE('09.09 Katungulu-Ishaka'!E46,'10.09 Katungulu-Ishaka'!E46,'11.09 Katungulu-Ishaka'!E46,'12.09 Katungulu-Ishaka'!E46,'07.09. Katungulu-Ishaka-24h'!E46,'08.09 Katungulu-Ishaka-24h'!E46,'13.09 Katungulu-Ishaka'!E46)</f>
        <v>2.2857142857142856</v>
      </c>
      <c r="F46" s="49">
        <f>AVERAGE('09.09 Katungulu-Ishaka'!F46,'10.09 Katungulu-Ishaka'!F46,'11.09 Katungulu-Ishaka'!F46,'12.09 Katungulu-Ishaka'!F46,'07.09. Katungulu-Ishaka-24h'!F46,'08.09 Katungulu-Ishaka-24h'!F46,'13.09 Katungulu-Ishaka'!F46)</f>
        <v>3.8571428571428572</v>
      </c>
      <c r="G46" s="49">
        <f>AVERAGE('09.09 Katungulu-Ishaka'!G46,'10.09 Katungulu-Ishaka'!G46,'11.09 Katungulu-Ishaka'!G46,'12.09 Katungulu-Ishaka'!G46,'07.09. Katungulu-Ishaka-24h'!G46,'08.09 Katungulu-Ishaka-24h'!G46,'13.09 Katungulu-Ishaka'!G46)</f>
        <v>0</v>
      </c>
      <c r="H46" s="49">
        <f>AVERAGE('09.09 Katungulu-Ishaka'!H46,'10.09 Katungulu-Ishaka'!H46,'11.09 Katungulu-Ishaka'!H46,'12.09 Katungulu-Ishaka'!H46,'07.09. Katungulu-Ishaka-24h'!H46,'08.09 Katungulu-Ishaka-24h'!H46,'13.09 Katungulu-Ishaka'!H46)</f>
        <v>0.14285714285714285</v>
      </c>
      <c r="I46" s="49">
        <f>AVERAGE('09.09 Katungulu-Ishaka'!I46,'10.09 Katungulu-Ishaka'!I46,'11.09 Katungulu-Ishaka'!I46,'12.09 Katungulu-Ishaka'!I46,'07.09. Katungulu-Ishaka-24h'!I46,'08.09 Katungulu-Ishaka-24h'!I46,'13.09 Katungulu-Ishaka'!I46)</f>
        <v>2.2857142857142856</v>
      </c>
      <c r="J46" s="49">
        <f>AVERAGE('09.09 Katungulu-Ishaka'!J46,'10.09 Katungulu-Ishaka'!J46,'11.09 Katungulu-Ishaka'!J46,'12.09 Katungulu-Ishaka'!J46,'07.09. Katungulu-Ishaka-24h'!J46,'08.09 Katungulu-Ishaka-24h'!J46,'13.09 Katungulu-Ishaka'!J46)</f>
        <v>1</v>
      </c>
      <c r="K46" s="49">
        <f>AVERAGE('09.09 Katungulu-Ishaka'!K46,'10.09 Katungulu-Ishaka'!K46,'11.09 Katungulu-Ishaka'!K46,'12.09 Katungulu-Ishaka'!K46,'07.09. Katungulu-Ishaka-24h'!K46,'08.09 Katungulu-Ishaka-24h'!K46,'13.09 Katungulu-Ishaka'!K46)</f>
        <v>0.7142857142857143</v>
      </c>
      <c r="L46" s="49">
        <f>AVERAGE('09.09 Katungulu-Ishaka'!L46,'10.09 Katungulu-Ishaka'!L46,'11.09 Katungulu-Ishaka'!L46,'12.09 Katungulu-Ishaka'!L46,'07.09. Katungulu-Ishaka-24h'!L46,'08.09 Katungulu-Ishaka-24h'!L46,'13.09 Katungulu-Ishaka'!L46)</f>
        <v>0.2857142857142857</v>
      </c>
      <c r="M46" s="49">
        <f>AVERAGE('09.09 Katungulu-Ishaka'!M46,'10.09 Katungulu-Ishaka'!M46,'11.09 Katungulu-Ishaka'!M46,'12.09 Katungulu-Ishaka'!M46,'07.09. Katungulu-Ishaka-24h'!M46,'08.09 Katungulu-Ishaka-24h'!M46,'13.09 Katungulu-Ishaka'!M46)</f>
        <v>32.285714285714285</v>
      </c>
      <c r="N46" s="49">
        <f>AVERAGE('09.09 Katungulu-Ishaka'!N46,'10.09 Katungulu-Ishaka'!N46,'11.09 Katungulu-Ishaka'!N46,'12.09 Katungulu-Ishaka'!N46,'07.09. Katungulu-Ishaka-24h'!N46,'08.09 Katungulu-Ishaka-24h'!N46,'13.09 Katungulu-Ishaka'!N46)</f>
        <v>0</v>
      </c>
      <c r="O46" s="15">
        <f t="shared" si="0"/>
        <v>15.714285714285712</v>
      </c>
      <c r="P46" s="15">
        <f t="shared" si="1"/>
        <v>48</v>
      </c>
      <c r="R46" s="8"/>
      <c r="T46"/>
    </row>
    <row r="47" spans="2:32" ht="23.1" customHeight="1" x14ac:dyDescent="0.25">
      <c r="B47" s="24" t="s">
        <v>74</v>
      </c>
      <c r="C47" s="49">
        <f>AVERAGE('09.09 Katungulu-Ishaka'!C47,'10.09 Katungulu-Ishaka'!C47,'11.09 Katungulu-Ishaka'!C47,'12.09 Katungulu-Ishaka'!C47,'07.09. Katungulu-Ishaka-24h'!C47,'08.09 Katungulu-Ishaka-24h'!C47,'13.09 Katungulu-Ishaka'!C47)</f>
        <v>8</v>
      </c>
      <c r="D47" s="49">
        <f>AVERAGE('09.09 Katungulu-Ishaka'!D47,'10.09 Katungulu-Ishaka'!D47,'11.09 Katungulu-Ishaka'!D47,'12.09 Katungulu-Ishaka'!D47,'07.09. Katungulu-Ishaka-24h'!D47,'08.09 Katungulu-Ishaka-24h'!D47,'13.09 Katungulu-Ishaka'!D47)</f>
        <v>1</v>
      </c>
      <c r="E47" s="49">
        <f>AVERAGE('09.09 Katungulu-Ishaka'!E47,'10.09 Katungulu-Ishaka'!E47,'11.09 Katungulu-Ishaka'!E47,'12.09 Katungulu-Ishaka'!E47,'07.09. Katungulu-Ishaka-24h'!E47,'08.09 Katungulu-Ishaka-24h'!E47,'13.09 Katungulu-Ishaka'!E47)</f>
        <v>4.5714285714285712</v>
      </c>
      <c r="F47" s="49">
        <f>AVERAGE('09.09 Katungulu-Ishaka'!F47,'10.09 Katungulu-Ishaka'!F47,'11.09 Katungulu-Ishaka'!F47,'12.09 Katungulu-Ishaka'!F47,'07.09. Katungulu-Ishaka-24h'!F47,'08.09 Katungulu-Ishaka-24h'!F47,'13.09 Katungulu-Ishaka'!F47)</f>
        <v>6.4285714285714288</v>
      </c>
      <c r="G47" s="49">
        <f>AVERAGE('09.09 Katungulu-Ishaka'!G47,'10.09 Katungulu-Ishaka'!G47,'11.09 Katungulu-Ishaka'!G47,'12.09 Katungulu-Ishaka'!G47,'07.09. Katungulu-Ishaka-24h'!G47,'08.09 Katungulu-Ishaka-24h'!G47,'13.09 Katungulu-Ishaka'!G47)</f>
        <v>0.14285714285714285</v>
      </c>
      <c r="H47" s="49">
        <f>AVERAGE('09.09 Katungulu-Ishaka'!H47,'10.09 Katungulu-Ishaka'!H47,'11.09 Katungulu-Ishaka'!H47,'12.09 Katungulu-Ishaka'!H47,'07.09. Katungulu-Ishaka-24h'!H47,'08.09 Katungulu-Ishaka-24h'!H47,'13.09 Katungulu-Ishaka'!H47)</f>
        <v>0.42857142857142855</v>
      </c>
      <c r="I47" s="49">
        <f>AVERAGE('09.09 Katungulu-Ishaka'!I47,'10.09 Katungulu-Ishaka'!I47,'11.09 Katungulu-Ishaka'!I47,'12.09 Katungulu-Ishaka'!I47,'07.09. Katungulu-Ishaka-24h'!I47,'08.09 Katungulu-Ishaka-24h'!I47,'13.09 Katungulu-Ishaka'!I47)</f>
        <v>3.8571428571428572</v>
      </c>
      <c r="J47" s="49">
        <f>AVERAGE('09.09 Katungulu-Ishaka'!J47,'10.09 Katungulu-Ishaka'!J47,'11.09 Katungulu-Ishaka'!J47,'12.09 Katungulu-Ishaka'!J47,'07.09. Katungulu-Ishaka-24h'!J47,'08.09 Katungulu-Ishaka-24h'!J47,'13.09 Katungulu-Ishaka'!J47)</f>
        <v>1.8571428571428572</v>
      </c>
      <c r="K47" s="49">
        <f>AVERAGE('09.09 Katungulu-Ishaka'!K47,'10.09 Katungulu-Ishaka'!K47,'11.09 Katungulu-Ishaka'!K47,'12.09 Katungulu-Ishaka'!K47,'07.09. Katungulu-Ishaka-24h'!K47,'08.09 Katungulu-Ishaka-24h'!K47,'13.09 Katungulu-Ishaka'!K47)</f>
        <v>2</v>
      </c>
      <c r="L47" s="49">
        <f>AVERAGE('09.09 Katungulu-Ishaka'!L47,'10.09 Katungulu-Ishaka'!L47,'11.09 Katungulu-Ishaka'!L47,'12.09 Katungulu-Ishaka'!L47,'07.09. Katungulu-Ishaka-24h'!L47,'08.09 Katungulu-Ishaka-24h'!L47,'13.09 Katungulu-Ishaka'!L47)</f>
        <v>0.5714285714285714</v>
      </c>
      <c r="M47" s="49">
        <f>AVERAGE('09.09 Katungulu-Ishaka'!M47,'10.09 Katungulu-Ishaka'!M47,'11.09 Katungulu-Ishaka'!M47,'12.09 Katungulu-Ishaka'!M47,'07.09. Katungulu-Ishaka-24h'!M47,'08.09 Katungulu-Ishaka-24h'!M47,'13.09 Katungulu-Ishaka'!M47)</f>
        <v>58.714285714285715</v>
      </c>
      <c r="N47" s="49">
        <f>AVERAGE('09.09 Katungulu-Ishaka'!N47,'10.09 Katungulu-Ishaka'!N47,'11.09 Katungulu-Ishaka'!N47,'12.09 Katungulu-Ishaka'!N47,'07.09. Katungulu-Ishaka-24h'!N47,'08.09 Katungulu-Ishaka-24h'!N47,'13.09 Katungulu-Ishaka'!N47)</f>
        <v>0</v>
      </c>
      <c r="O47" s="15">
        <f t="shared" si="0"/>
        <v>28.857142857142858</v>
      </c>
      <c r="P47" s="15">
        <f t="shared" si="1"/>
        <v>87.571428571428569</v>
      </c>
      <c r="R47" s="8"/>
      <c r="T47"/>
    </row>
    <row r="48" spans="2:32" ht="23.1" customHeight="1" x14ac:dyDescent="0.25">
      <c r="B48" s="24" t="s">
        <v>75</v>
      </c>
      <c r="C48" s="49">
        <f>AVERAGE('09.09 Katungulu-Ishaka'!C48,'10.09 Katungulu-Ishaka'!C48,'11.09 Katungulu-Ishaka'!C48,'12.09 Katungulu-Ishaka'!C48,'07.09. Katungulu-Ishaka-24h'!C48,'08.09 Katungulu-Ishaka-24h'!C48,'13.09 Katungulu-Ishaka'!C48)</f>
        <v>4.1428571428571432</v>
      </c>
      <c r="D48" s="49">
        <f>AVERAGE('09.09 Katungulu-Ishaka'!D48,'10.09 Katungulu-Ishaka'!D48,'11.09 Katungulu-Ishaka'!D48,'12.09 Katungulu-Ishaka'!D48,'07.09. Katungulu-Ishaka-24h'!D48,'08.09 Katungulu-Ishaka-24h'!D48,'13.09 Katungulu-Ishaka'!D48)</f>
        <v>0.42857142857142855</v>
      </c>
      <c r="E48" s="49">
        <f>AVERAGE('09.09 Katungulu-Ishaka'!E48,'10.09 Katungulu-Ishaka'!E48,'11.09 Katungulu-Ishaka'!E48,'12.09 Katungulu-Ishaka'!E48,'07.09. Katungulu-Ishaka-24h'!E48,'08.09 Katungulu-Ishaka-24h'!E48,'13.09 Katungulu-Ishaka'!E48)</f>
        <v>3.2857142857142856</v>
      </c>
      <c r="F48" s="49">
        <f>AVERAGE('09.09 Katungulu-Ishaka'!F48,'10.09 Katungulu-Ishaka'!F48,'11.09 Katungulu-Ishaka'!F48,'12.09 Katungulu-Ishaka'!F48,'07.09. Katungulu-Ishaka-24h'!F48,'08.09 Katungulu-Ishaka-24h'!F48,'13.09 Katungulu-Ishaka'!F48)</f>
        <v>2</v>
      </c>
      <c r="G48" s="49">
        <f>AVERAGE('09.09 Katungulu-Ishaka'!G48,'10.09 Katungulu-Ishaka'!G48,'11.09 Katungulu-Ishaka'!G48,'12.09 Katungulu-Ishaka'!G48,'07.09. Katungulu-Ishaka-24h'!G48,'08.09 Katungulu-Ishaka-24h'!G48,'13.09 Katungulu-Ishaka'!G48)</f>
        <v>0</v>
      </c>
      <c r="H48" s="49">
        <f>AVERAGE('09.09 Katungulu-Ishaka'!H48,'10.09 Katungulu-Ishaka'!H48,'11.09 Katungulu-Ishaka'!H48,'12.09 Katungulu-Ishaka'!H48,'07.09. Katungulu-Ishaka-24h'!H48,'08.09 Katungulu-Ishaka-24h'!H48,'13.09 Katungulu-Ishaka'!H48)</f>
        <v>0</v>
      </c>
      <c r="I48" s="49">
        <f>AVERAGE('09.09 Katungulu-Ishaka'!I48,'10.09 Katungulu-Ishaka'!I48,'11.09 Katungulu-Ishaka'!I48,'12.09 Katungulu-Ishaka'!I48,'07.09. Katungulu-Ishaka-24h'!I48,'08.09 Katungulu-Ishaka-24h'!I48,'13.09 Katungulu-Ishaka'!I48)</f>
        <v>1.4285714285714286</v>
      </c>
      <c r="J48" s="49">
        <f>AVERAGE('09.09 Katungulu-Ishaka'!J48,'10.09 Katungulu-Ishaka'!J48,'11.09 Katungulu-Ishaka'!J48,'12.09 Katungulu-Ishaka'!J48,'07.09. Katungulu-Ishaka-24h'!J48,'08.09 Katungulu-Ishaka-24h'!J48,'13.09 Katungulu-Ishaka'!J48)</f>
        <v>1.1428571428571428</v>
      </c>
      <c r="K48" s="49">
        <f>AVERAGE('09.09 Katungulu-Ishaka'!K48,'10.09 Katungulu-Ishaka'!K48,'11.09 Katungulu-Ishaka'!K48,'12.09 Katungulu-Ishaka'!K48,'07.09. Katungulu-Ishaka-24h'!K48,'08.09 Katungulu-Ishaka-24h'!K48,'13.09 Katungulu-Ishaka'!K48)</f>
        <v>1.2857142857142858</v>
      </c>
      <c r="L48" s="49">
        <f>AVERAGE('09.09 Katungulu-Ishaka'!L48,'10.09 Katungulu-Ishaka'!L48,'11.09 Katungulu-Ishaka'!L48,'12.09 Katungulu-Ishaka'!L48,'07.09. Katungulu-Ishaka-24h'!L48,'08.09 Katungulu-Ishaka-24h'!L48,'13.09 Katungulu-Ishaka'!L48)</f>
        <v>0.2857142857142857</v>
      </c>
      <c r="M48" s="49">
        <f>AVERAGE('09.09 Katungulu-Ishaka'!M48,'10.09 Katungulu-Ishaka'!M48,'11.09 Katungulu-Ishaka'!M48,'12.09 Katungulu-Ishaka'!M48,'07.09. Katungulu-Ishaka-24h'!M48,'08.09 Katungulu-Ishaka-24h'!M48,'13.09 Katungulu-Ishaka'!M48)</f>
        <v>33.571428571428569</v>
      </c>
      <c r="N48" s="49">
        <f>AVERAGE('09.09 Katungulu-Ishaka'!N48,'10.09 Katungulu-Ishaka'!N48,'11.09 Katungulu-Ishaka'!N48,'12.09 Katungulu-Ishaka'!N48,'07.09. Katungulu-Ishaka-24h'!N48,'08.09 Katungulu-Ishaka-24h'!N48,'13.09 Katungulu-Ishaka'!N48)</f>
        <v>0</v>
      </c>
      <c r="O48" s="15">
        <f t="shared" si="0"/>
        <v>14.000000000000002</v>
      </c>
      <c r="P48" s="15">
        <f t="shared" si="1"/>
        <v>47.571428571428569</v>
      </c>
      <c r="R48" s="8"/>
      <c r="T48"/>
    </row>
    <row r="49" spans="2:20" ht="23.1" customHeight="1" x14ac:dyDescent="0.25">
      <c r="B49" s="23" t="s">
        <v>76</v>
      </c>
      <c r="C49" s="49">
        <f>AVERAGE('09.09 Katungulu-Ishaka'!C49,'10.09 Katungulu-Ishaka'!C49,'11.09 Katungulu-Ishaka'!C49,'12.09 Katungulu-Ishaka'!C49,'07.09. Katungulu-Ishaka-24h'!C49,'08.09 Katungulu-Ishaka-24h'!C49,'13.09 Katungulu-Ishaka'!C49)</f>
        <v>7.2857142857142856</v>
      </c>
      <c r="D49" s="49">
        <f>AVERAGE('09.09 Katungulu-Ishaka'!D49,'10.09 Katungulu-Ishaka'!D49,'11.09 Katungulu-Ishaka'!D49,'12.09 Katungulu-Ishaka'!D49,'07.09. Katungulu-Ishaka-24h'!D49,'08.09 Katungulu-Ishaka-24h'!D49,'13.09 Katungulu-Ishaka'!D49)</f>
        <v>1.2857142857142858</v>
      </c>
      <c r="E49" s="49">
        <f>AVERAGE('09.09 Katungulu-Ishaka'!E49,'10.09 Katungulu-Ishaka'!E49,'11.09 Katungulu-Ishaka'!E49,'12.09 Katungulu-Ishaka'!E49,'07.09. Katungulu-Ishaka-24h'!E49,'08.09 Katungulu-Ishaka-24h'!E49,'13.09 Katungulu-Ishaka'!E49)</f>
        <v>5.7142857142857144</v>
      </c>
      <c r="F49" s="49">
        <f>AVERAGE('09.09 Katungulu-Ishaka'!F49,'10.09 Katungulu-Ishaka'!F49,'11.09 Katungulu-Ishaka'!F49,'12.09 Katungulu-Ishaka'!F49,'07.09. Katungulu-Ishaka-24h'!F49,'08.09 Katungulu-Ishaka-24h'!F49,'13.09 Katungulu-Ishaka'!F49)</f>
        <v>3.5714285714285716</v>
      </c>
      <c r="G49" s="49">
        <f>AVERAGE('09.09 Katungulu-Ishaka'!G49,'10.09 Katungulu-Ishaka'!G49,'11.09 Katungulu-Ishaka'!G49,'12.09 Katungulu-Ishaka'!G49,'07.09. Katungulu-Ishaka-24h'!G49,'08.09 Katungulu-Ishaka-24h'!G49,'13.09 Katungulu-Ishaka'!G49)</f>
        <v>0.14285714285714285</v>
      </c>
      <c r="H49" s="49">
        <f>AVERAGE('09.09 Katungulu-Ishaka'!H49,'10.09 Katungulu-Ishaka'!H49,'11.09 Katungulu-Ishaka'!H49,'12.09 Katungulu-Ishaka'!H49,'07.09. Katungulu-Ishaka-24h'!H49,'08.09 Katungulu-Ishaka-24h'!H49,'13.09 Katungulu-Ishaka'!H49)</f>
        <v>0</v>
      </c>
      <c r="I49" s="49">
        <f>AVERAGE('09.09 Katungulu-Ishaka'!I49,'10.09 Katungulu-Ishaka'!I49,'11.09 Katungulu-Ishaka'!I49,'12.09 Katungulu-Ishaka'!I49,'07.09. Katungulu-Ishaka-24h'!I49,'08.09 Katungulu-Ishaka-24h'!I49,'13.09 Katungulu-Ishaka'!I49)</f>
        <v>2.8571428571428572</v>
      </c>
      <c r="J49" s="49">
        <f>AVERAGE('09.09 Katungulu-Ishaka'!J49,'10.09 Katungulu-Ishaka'!J49,'11.09 Katungulu-Ishaka'!J49,'12.09 Katungulu-Ishaka'!J49,'07.09. Katungulu-Ishaka-24h'!J49,'08.09 Katungulu-Ishaka-24h'!J49,'13.09 Katungulu-Ishaka'!J49)</f>
        <v>2.1428571428571428</v>
      </c>
      <c r="K49" s="49">
        <f>AVERAGE('09.09 Katungulu-Ishaka'!K49,'10.09 Katungulu-Ishaka'!K49,'11.09 Katungulu-Ishaka'!K49,'12.09 Katungulu-Ishaka'!K49,'07.09. Katungulu-Ishaka-24h'!K49,'08.09 Katungulu-Ishaka-24h'!K49,'13.09 Katungulu-Ishaka'!K49)</f>
        <v>2.5714285714285716</v>
      </c>
      <c r="L49" s="49">
        <f>AVERAGE('09.09 Katungulu-Ishaka'!L49,'10.09 Katungulu-Ishaka'!L49,'11.09 Katungulu-Ishaka'!L49,'12.09 Katungulu-Ishaka'!L49,'07.09. Katungulu-Ishaka-24h'!L49,'08.09 Katungulu-Ishaka-24h'!L49,'13.09 Katungulu-Ishaka'!L49)</f>
        <v>1</v>
      </c>
      <c r="M49" s="49">
        <f>AVERAGE('09.09 Katungulu-Ishaka'!M49,'10.09 Katungulu-Ishaka'!M49,'11.09 Katungulu-Ishaka'!M49,'12.09 Katungulu-Ishaka'!M49,'07.09. Katungulu-Ishaka-24h'!M49,'08.09 Katungulu-Ishaka-24h'!M49,'13.09 Katungulu-Ishaka'!M49)</f>
        <v>60.428571428571431</v>
      </c>
      <c r="N49" s="49">
        <f>AVERAGE('09.09 Katungulu-Ishaka'!N49,'10.09 Katungulu-Ishaka'!N49,'11.09 Katungulu-Ishaka'!N49,'12.09 Katungulu-Ishaka'!N49,'07.09. Katungulu-Ishaka-24h'!N49,'08.09 Katungulu-Ishaka-24h'!N49,'13.09 Katungulu-Ishaka'!N49)</f>
        <v>0</v>
      </c>
      <c r="O49" s="15">
        <f t="shared" si="0"/>
        <v>26.571428571428573</v>
      </c>
      <c r="P49" s="15">
        <f t="shared" si="1"/>
        <v>87</v>
      </c>
      <c r="R49" s="8"/>
      <c r="T49"/>
    </row>
    <row r="50" spans="2:20" ht="23.1" customHeight="1" x14ac:dyDescent="0.25">
      <c r="B50" s="24" t="s">
        <v>77</v>
      </c>
      <c r="C50" s="49">
        <f>AVERAGE('09.09 Katungulu-Ishaka'!C50,'10.09 Katungulu-Ishaka'!C50,'11.09 Katungulu-Ishaka'!C50,'12.09 Katungulu-Ishaka'!C50,'07.09. Katungulu-Ishaka-24h'!C50,'08.09 Katungulu-Ishaka-24h'!C50,'13.09 Katungulu-Ishaka'!C50)</f>
        <v>4.1428571428571432</v>
      </c>
      <c r="D50" s="49">
        <f>AVERAGE('09.09 Katungulu-Ishaka'!D50,'10.09 Katungulu-Ishaka'!D50,'11.09 Katungulu-Ishaka'!D50,'12.09 Katungulu-Ishaka'!D50,'07.09. Katungulu-Ishaka-24h'!D50,'08.09 Katungulu-Ishaka-24h'!D50,'13.09 Katungulu-Ishaka'!D50)</f>
        <v>0.5714285714285714</v>
      </c>
      <c r="E50" s="49">
        <f>AVERAGE('09.09 Katungulu-Ishaka'!E50,'10.09 Katungulu-Ishaka'!E50,'11.09 Katungulu-Ishaka'!E50,'12.09 Katungulu-Ishaka'!E50,'07.09. Katungulu-Ishaka-24h'!E50,'08.09 Katungulu-Ishaka-24h'!E50,'13.09 Katungulu-Ishaka'!E50)</f>
        <v>4</v>
      </c>
      <c r="F50" s="49">
        <f>AVERAGE('09.09 Katungulu-Ishaka'!F50,'10.09 Katungulu-Ishaka'!F50,'11.09 Katungulu-Ishaka'!F50,'12.09 Katungulu-Ishaka'!F50,'07.09. Katungulu-Ishaka-24h'!F50,'08.09 Katungulu-Ishaka-24h'!F50,'13.09 Katungulu-Ishaka'!F50)</f>
        <v>2.4285714285714284</v>
      </c>
      <c r="G50" s="49">
        <f>AVERAGE('09.09 Katungulu-Ishaka'!G50,'10.09 Katungulu-Ishaka'!G50,'11.09 Katungulu-Ishaka'!G50,'12.09 Katungulu-Ishaka'!G50,'07.09. Katungulu-Ishaka-24h'!G50,'08.09 Katungulu-Ishaka-24h'!G50,'13.09 Katungulu-Ishaka'!G50)</f>
        <v>0</v>
      </c>
      <c r="H50" s="49">
        <f>AVERAGE('09.09 Katungulu-Ishaka'!H50,'10.09 Katungulu-Ishaka'!H50,'11.09 Katungulu-Ishaka'!H50,'12.09 Katungulu-Ishaka'!H50,'07.09. Katungulu-Ishaka-24h'!H50,'08.09 Katungulu-Ishaka-24h'!H50,'13.09 Katungulu-Ishaka'!H50)</f>
        <v>0</v>
      </c>
      <c r="I50" s="49">
        <f>AVERAGE('09.09 Katungulu-Ishaka'!I50,'10.09 Katungulu-Ishaka'!I50,'11.09 Katungulu-Ishaka'!I50,'12.09 Katungulu-Ishaka'!I50,'07.09. Katungulu-Ishaka-24h'!I50,'08.09 Katungulu-Ishaka-24h'!I50,'13.09 Katungulu-Ishaka'!I50)</f>
        <v>1.2857142857142858</v>
      </c>
      <c r="J50" s="49">
        <f>AVERAGE('09.09 Katungulu-Ishaka'!J50,'10.09 Katungulu-Ishaka'!J50,'11.09 Katungulu-Ishaka'!J50,'12.09 Katungulu-Ishaka'!J50,'07.09. Katungulu-Ishaka-24h'!J50,'08.09 Katungulu-Ishaka-24h'!J50,'13.09 Katungulu-Ishaka'!J50)</f>
        <v>1</v>
      </c>
      <c r="K50" s="49">
        <f>AVERAGE('09.09 Katungulu-Ishaka'!K50,'10.09 Katungulu-Ishaka'!K50,'11.09 Katungulu-Ishaka'!K50,'12.09 Katungulu-Ishaka'!K50,'07.09. Katungulu-Ishaka-24h'!K50,'08.09 Katungulu-Ishaka-24h'!K50,'13.09 Katungulu-Ishaka'!K50)</f>
        <v>1</v>
      </c>
      <c r="L50" s="49">
        <f>AVERAGE('09.09 Katungulu-Ishaka'!L50,'10.09 Katungulu-Ishaka'!L50,'11.09 Katungulu-Ishaka'!L50,'12.09 Katungulu-Ishaka'!L50,'07.09. Katungulu-Ishaka-24h'!L50,'08.09 Katungulu-Ishaka-24h'!L50,'13.09 Katungulu-Ishaka'!L50)</f>
        <v>1</v>
      </c>
      <c r="M50" s="49">
        <f>AVERAGE('09.09 Katungulu-Ishaka'!M50,'10.09 Katungulu-Ishaka'!M50,'11.09 Katungulu-Ishaka'!M50,'12.09 Katungulu-Ishaka'!M50,'07.09. Katungulu-Ishaka-24h'!M50,'08.09 Katungulu-Ishaka-24h'!M50,'13.09 Katungulu-Ishaka'!M50)</f>
        <v>41.428571428571431</v>
      </c>
      <c r="N50" s="49">
        <f>AVERAGE('09.09 Katungulu-Ishaka'!N50,'10.09 Katungulu-Ishaka'!N50,'11.09 Katungulu-Ishaka'!N50,'12.09 Katungulu-Ishaka'!N50,'07.09. Katungulu-Ishaka-24h'!N50,'08.09 Katungulu-Ishaka-24h'!N50,'13.09 Katungulu-Ishaka'!N50)</f>
        <v>0</v>
      </c>
      <c r="O50" s="15">
        <f t="shared" si="0"/>
        <v>15.428571428571431</v>
      </c>
      <c r="P50" s="15">
        <f t="shared" si="1"/>
        <v>56.857142857142861</v>
      </c>
      <c r="R50" s="8"/>
      <c r="T50"/>
    </row>
    <row r="51" spans="2:20" ht="23.1" customHeight="1" x14ac:dyDescent="0.25">
      <c r="B51" s="24" t="s">
        <v>78</v>
      </c>
      <c r="C51" s="49">
        <f>AVERAGE('09.09 Katungulu-Ishaka'!C51,'10.09 Katungulu-Ishaka'!C51,'11.09 Katungulu-Ishaka'!C51,'12.09 Katungulu-Ishaka'!C51,'07.09. Katungulu-Ishaka-24h'!C51,'08.09 Katungulu-Ishaka-24h'!C51,'13.09 Katungulu-Ishaka'!C51)</f>
        <v>7.7142857142857144</v>
      </c>
      <c r="D51" s="49">
        <f>AVERAGE('09.09 Katungulu-Ishaka'!D51,'10.09 Katungulu-Ishaka'!D51,'11.09 Katungulu-Ishaka'!D51,'12.09 Katungulu-Ishaka'!D51,'07.09. Katungulu-Ishaka-24h'!D51,'08.09 Katungulu-Ishaka-24h'!D51,'13.09 Katungulu-Ishaka'!D51)</f>
        <v>1.7142857142857142</v>
      </c>
      <c r="E51" s="49">
        <f>AVERAGE('09.09 Katungulu-Ishaka'!E51,'10.09 Katungulu-Ishaka'!E51,'11.09 Katungulu-Ishaka'!E51,'12.09 Katungulu-Ishaka'!E51,'07.09. Katungulu-Ishaka-24h'!E51,'08.09 Katungulu-Ishaka-24h'!E51,'13.09 Katungulu-Ishaka'!E51)</f>
        <v>6.8571428571428568</v>
      </c>
      <c r="F51" s="49">
        <f>AVERAGE('09.09 Katungulu-Ishaka'!F51,'10.09 Katungulu-Ishaka'!F51,'11.09 Katungulu-Ishaka'!F51,'12.09 Katungulu-Ishaka'!F51,'07.09. Katungulu-Ishaka-24h'!F51,'08.09 Katungulu-Ishaka-24h'!F51,'13.09 Katungulu-Ishaka'!F51)</f>
        <v>4.4285714285714288</v>
      </c>
      <c r="G51" s="49">
        <f>AVERAGE('09.09 Katungulu-Ishaka'!G51,'10.09 Katungulu-Ishaka'!G51,'11.09 Katungulu-Ishaka'!G51,'12.09 Katungulu-Ishaka'!G51,'07.09. Katungulu-Ishaka-24h'!G51,'08.09 Katungulu-Ishaka-24h'!G51,'13.09 Katungulu-Ishaka'!G51)</f>
        <v>0.14285714285714285</v>
      </c>
      <c r="H51" s="49">
        <f>AVERAGE('09.09 Katungulu-Ishaka'!H51,'10.09 Katungulu-Ishaka'!H51,'11.09 Katungulu-Ishaka'!H51,'12.09 Katungulu-Ishaka'!H51,'07.09. Katungulu-Ishaka-24h'!H51,'08.09 Katungulu-Ishaka-24h'!H51,'13.09 Katungulu-Ishaka'!H51)</f>
        <v>0.14285714285714285</v>
      </c>
      <c r="I51" s="49">
        <f>AVERAGE('09.09 Katungulu-Ishaka'!I51,'10.09 Katungulu-Ishaka'!I51,'11.09 Katungulu-Ishaka'!I51,'12.09 Katungulu-Ishaka'!I51,'07.09. Katungulu-Ishaka-24h'!I51,'08.09 Katungulu-Ishaka-24h'!I51,'13.09 Katungulu-Ishaka'!I51)</f>
        <v>2.5714285714285716</v>
      </c>
      <c r="J51" s="49">
        <f>AVERAGE('09.09 Katungulu-Ishaka'!J51,'10.09 Katungulu-Ishaka'!J51,'11.09 Katungulu-Ishaka'!J51,'12.09 Katungulu-Ishaka'!J51,'07.09. Katungulu-Ishaka-24h'!J51,'08.09 Katungulu-Ishaka-24h'!J51,'13.09 Katungulu-Ishaka'!J51)</f>
        <v>2</v>
      </c>
      <c r="K51" s="49">
        <f>AVERAGE('09.09 Katungulu-Ishaka'!K51,'10.09 Katungulu-Ishaka'!K51,'11.09 Katungulu-Ishaka'!K51,'12.09 Katungulu-Ishaka'!K51,'07.09. Katungulu-Ishaka-24h'!K51,'08.09 Katungulu-Ishaka-24h'!K51,'13.09 Katungulu-Ishaka'!K51)</f>
        <v>2.1428571428571428</v>
      </c>
      <c r="L51" s="49">
        <f>AVERAGE('09.09 Katungulu-Ishaka'!L51,'10.09 Katungulu-Ishaka'!L51,'11.09 Katungulu-Ishaka'!L51,'12.09 Katungulu-Ishaka'!L51,'07.09. Katungulu-Ishaka-24h'!L51,'08.09 Katungulu-Ishaka-24h'!L51,'13.09 Katungulu-Ishaka'!L51)</f>
        <v>2</v>
      </c>
      <c r="M51" s="49">
        <f>AVERAGE('09.09 Katungulu-Ishaka'!M51,'10.09 Katungulu-Ishaka'!M51,'11.09 Katungulu-Ishaka'!M51,'12.09 Katungulu-Ishaka'!M51,'07.09. Katungulu-Ishaka-24h'!M51,'08.09 Katungulu-Ishaka-24h'!M51,'13.09 Katungulu-Ishaka'!M51)</f>
        <v>74.714285714285708</v>
      </c>
      <c r="N51" s="49">
        <f>AVERAGE('09.09 Katungulu-Ishaka'!N51,'10.09 Katungulu-Ishaka'!N51,'11.09 Katungulu-Ishaka'!N51,'12.09 Katungulu-Ishaka'!N51,'07.09. Katungulu-Ishaka-24h'!N51,'08.09 Katungulu-Ishaka-24h'!N51,'13.09 Katungulu-Ishaka'!N51)</f>
        <v>0</v>
      </c>
      <c r="O51" s="15">
        <f t="shared" si="0"/>
        <v>29.714285714285715</v>
      </c>
      <c r="P51" s="15">
        <f t="shared" si="1"/>
        <v>104.42857142857142</v>
      </c>
      <c r="R51" s="8"/>
      <c r="T51"/>
    </row>
    <row r="52" spans="2:20" ht="23.1" customHeight="1" x14ac:dyDescent="0.25">
      <c r="B52" s="24" t="s">
        <v>79</v>
      </c>
      <c r="C52" s="49">
        <f>AVERAGE('09.09 Katungulu-Ishaka'!C52,'10.09 Katungulu-Ishaka'!C52,'11.09 Katungulu-Ishaka'!C52,'12.09 Katungulu-Ishaka'!C52,'07.09. Katungulu-Ishaka-24h'!C52,'08.09 Katungulu-Ishaka-24h'!C52,'13.09 Katungulu-Ishaka'!C52)</f>
        <v>6.7142857142857144</v>
      </c>
      <c r="D52" s="49">
        <f>AVERAGE('09.09 Katungulu-Ishaka'!D52,'10.09 Katungulu-Ishaka'!D52,'11.09 Katungulu-Ishaka'!D52,'12.09 Katungulu-Ishaka'!D52,'07.09. Katungulu-Ishaka-24h'!D52,'08.09 Katungulu-Ishaka-24h'!D52,'13.09 Katungulu-Ishaka'!D52)</f>
        <v>0.8571428571428571</v>
      </c>
      <c r="E52" s="49">
        <f>AVERAGE('09.09 Katungulu-Ishaka'!E52,'10.09 Katungulu-Ishaka'!E52,'11.09 Katungulu-Ishaka'!E52,'12.09 Katungulu-Ishaka'!E52,'07.09. Katungulu-Ishaka-24h'!E52,'08.09 Katungulu-Ishaka-24h'!E52,'13.09 Katungulu-Ishaka'!E52)</f>
        <v>4.8571428571428568</v>
      </c>
      <c r="F52" s="49">
        <f>AVERAGE('09.09 Katungulu-Ishaka'!F52,'10.09 Katungulu-Ishaka'!F52,'11.09 Katungulu-Ishaka'!F52,'12.09 Katungulu-Ishaka'!F52,'07.09. Katungulu-Ishaka-24h'!F52,'08.09 Katungulu-Ishaka-24h'!F52,'13.09 Katungulu-Ishaka'!F52)</f>
        <v>2.2857142857142856</v>
      </c>
      <c r="G52" s="49">
        <f>AVERAGE('09.09 Katungulu-Ishaka'!G52,'10.09 Katungulu-Ishaka'!G52,'11.09 Katungulu-Ishaka'!G52,'12.09 Katungulu-Ishaka'!G52,'07.09. Katungulu-Ishaka-24h'!G52,'08.09 Katungulu-Ishaka-24h'!G52,'13.09 Katungulu-Ishaka'!G52)</f>
        <v>0.2857142857142857</v>
      </c>
      <c r="H52" s="49">
        <f>AVERAGE('09.09 Katungulu-Ishaka'!H52,'10.09 Katungulu-Ishaka'!H52,'11.09 Katungulu-Ishaka'!H52,'12.09 Katungulu-Ishaka'!H52,'07.09. Katungulu-Ishaka-24h'!H52,'08.09 Katungulu-Ishaka-24h'!H52,'13.09 Katungulu-Ishaka'!H52)</f>
        <v>0</v>
      </c>
      <c r="I52" s="49">
        <f>AVERAGE('09.09 Katungulu-Ishaka'!I52,'10.09 Katungulu-Ishaka'!I52,'11.09 Katungulu-Ishaka'!I52,'12.09 Katungulu-Ishaka'!I52,'07.09. Katungulu-Ishaka-24h'!I52,'08.09 Katungulu-Ishaka-24h'!I52,'13.09 Katungulu-Ishaka'!I52)</f>
        <v>1.8571428571428572</v>
      </c>
      <c r="J52" s="49">
        <f>AVERAGE('09.09 Katungulu-Ishaka'!J52,'10.09 Katungulu-Ishaka'!J52,'11.09 Katungulu-Ishaka'!J52,'12.09 Katungulu-Ishaka'!J52,'07.09. Katungulu-Ishaka-24h'!J52,'08.09 Katungulu-Ishaka-24h'!J52,'13.09 Katungulu-Ishaka'!J52)</f>
        <v>0.42857142857142855</v>
      </c>
      <c r="K52" s="49">
        <f>AVERAGE('09.09 Katungulu-Ishaka'!K52,'10.09 Katungulu-Ishaka'!K52,'11.09 Katungulu-Ishaka'!K52,'12.09 Katungulu-Ishaka'!K52,'07.09. Katungulu-Ishaka-24h'!K52,'08.09 Katungulu-Ishaka-24h'!K52,'13.09 Katungulu-Ishaka'!K52)</f>
        <v>0.42857142857142855</v>
      </c>
      <c r="L52" s="49">
        <f>AVERAGE('09.09 Katungulu-Ishaka'!L52,'10.09 Katungulu-Ishaka'!L52,'11.09 Katungulu-Ishaka'!L52,'12.09 Katungulu-Ishaka'!L52,'07.09. Katungulu-Ishaka-24h'!L52,'08.09 Katungulu-Ishaka-24h'!L52,'13.09 Katungulu-Ishaka'!L52)</f>
        <v>0.5714285714285714</v>
      </c>
      <c r="M52" s="49">
        <f>AVERAGE('09.09 Katungulu-Ishaka'!M52,'10.09 Katungulu-Ishaka'!M52,'11.09 Katungulu-Ishaka'!M52,'12.09 Katungulu-Ishaka'!M52,'07.09. Katungulu-Ishaka-24h'!M52,'08.09 Katungulu-Ishaka-24h'!M52,'13.09 Katungulu-Ishaka'!M52)</f>
        <v>32.857142857142854</v>
      </c>
      <c r="N52" s="49">
        <f>AVERAGE('09.09 Katungulu-Ishaka'!N52,'10.09 Katungulu-Ishaka'!N52,'11.09 Katungulu-Ishaka'!N52,'12.09 Katungulu-Ishaka'!N52,'07.09. Katungulu-Ishaka-24h'!N52,'08.09 Katungulu-Ishaka-24h'!N52,'13.09 Katungulu-Ishaka'!N52)</f>
        <v>0</v>
      </c>
      <c r="O52" s="15">
        <f t="shared" si="0"/>
        <v>18.285714285714281</v>
      </c>
      <c r="P52" s="15">
        <f t="shared" si="1"/>
        <v>51.142857142857139</v>
      </c>
      <c r="R52" s="8"/>
      <c r="T52"/>
    </row>
    <row r="53" spans="2:20" ht="23.1" customHeight="1" x14ac:dyDescent="0.25">
      <c r="B53" s="23" t="s">
        <v>80</v>
      </c>
      <c r="C53" s="49">
        <f>AVERAGE('09.09 Katungulu-Ishaka'!C53,'10.09 Katungulu-Ishaka'!C53,'11.09 Katungulu-Ishaka'!C53,'12.09 Katungulu-Ishaka'!C53,'07.09. Katungulu-Ishaka-24h'!C53,'08.09 Katungulu-Ishaka-24h'!C53,'13.09 Katungulu-Ishaka'!C53)</f>
        <v>11.857142857142858</v>
      </c>
      <c r="D53" s="49">
        <f>AVERAGE('09.09 Katungulu-Ishaka'!D53,'10.09 Katungulu-Ishaka'!D53,'11.09 Katungulu-Ishaka'!D53,'12.09 Katungulu-Ishaka'!D53,'07.09. Katungulu-Ishaka-24h'!D53,'08.09 Katungulu-Ishaka-24h'!D53,'13.09 Katungulu-Ishaka'!D53)</f>
        <v>2</v>
      </c>
      <c r="E53" s="49">
        <f>AVERAGE('09.09 Katungulu-Ishaka'!E53,'10.09 Katungulu-Ishaka'!E53,'11.09 Katungulu-Ishaka'!E53,'12.09 Katungulu-Ishaka'!E53,'07.09. Katungulu-Ishaka-24h'!E53,'08.09 Katungulu-Ishaka-24h'!E53,'13.09 Katungulu-Ishaka'!E53)</f>
        <v>8</v>
      </c>
      <c r="F53" s="49">
        <f>AVERAGE('09.09 Katungulu-Ishaka'!F53,'10.09 Katungulu-Ishaka'!F53,'11.09 Katungulu-Ishaka'!F53,'12.09 Katungulu-Ishaka'!F53,'07.09. Katungulu-Ishaka-24h'!F53,'08.09 Katungulu-Ishaka-24h'!F53,'13.09 Katungulu-Ishaka'!F53)</f>
        <v>4.1428571428571432</v>
      </c>
      <c r="G53" s="49">
        <f>AVERAGE('09.09 Katungulu-Ishaka'!G53,'10.09 Katungulu-Ishaka'!G53,'11.09 Katungulu-Ishaka'!G53,'12.09 Katungulu-Ishaka'!G53,'07.09. Katungulu-Ishaka-24h'!G53,'08.09 Katungulu-Ishaka-24h'!G53,'13.09 Katungulu-Ishaka'!G53)</f>
        <v>0.5714285714285714</v>
      </c>
      <c r="H53" s="49">
        <f>AVERAGE('09.09 Katungulu-Ishaka'!H53,'10.09 Katungulu-Ishaka'!H53,'11.09 Katungulu-Ishaka'!H53,'12.09 Katungulu-Ishaka'!H53,'07.09. Katungulu-Ishaka-24h'!H53,'08.09 Katungulu-Ishaka-24h'!H53,'13.09 Katungulu-Ishaka'!H53)</f>
        <v>0</v>
      </c>
      <c r="I53" s="49">
        <f>AVERAGE('09.09 Katungulu-Ishaka'!I53,'10.09 Katungulu-Ishaka'!I53,'11.09 Katungulu-Ishaka'!I53,'12.09 Katungulu-Ishaka'!I53,'07.09. Katungulu-Ishaka-24h'!I53,'08.09 Katungulu-Ishaka-24h'!I53,'13.09 Katungulu-Ishaka'!I53)</f>
        <v>3.7142857142857144</v>
      </c>
      <c r="J53" s="49">
        <f>AVERAGE('09.09 Katungulu-Ishaka'!J53,'10.09 Katungulu-Ishaka'!J53,'11.09 Katungulu-Ishaka'!J53,'12.09 Katungulu-Ishaka'!J53,'07.09. Katungulu-Ishaka-24h'!J53,'08.09 Katungulu-Ishaka-24h'!J53,'13.09 Katungulu-Ishaka'!J53)</f>
        <v>1.2857142857142858</v>
      </c>
      <c r="K53" s="49">
        <f>AVERAGE('09.09 Katungulu-Ishaka'!K53,'10.09 Katungulu-Ishaka'!K53,'11.09 Katungulu-Ishaka'!K53,'12.09 Katungulu-Ishaka'!K53,'07.09. Katungulu-Ishaka-24h'!K53,'08.09 Katungulu-Ishaka-24h'!K53,'13.09 Katungulu-Ishaka'!K53)</f>
        <v>1.1428571428571428</v>
      </c>
      <c r="L53" s="49">
        <f>AVERAGE('09.09 Katungulu-Ishaka'!L53,'10.09 Katungulu-Ishaka'!L53,'11.09 Katungulu-Ishaka'!L53,'12.09 Katungulu-Ishaka'!L53,'07.09. Katungulu-Ishaka-24h'!L53,'08.09 Katungulu-Ishaka-24h'!L53,'13.09 Katungulu-Ishaka'!L53)</f>
        <v>1.4285714285714286</v>
      </c>
      <c r="M53" s="49">
        <f>AVERAGE('09.09 Katungulu-Ishaka'!M53,'10.09 Katungulu-Ishaka'!M53,'11.09 Katungulu-Ishaka'!M53,'12.09 Katungulu-Ishaka'!M53,'07.09. Katungulu-Ishaka-24h'!M53,'08.09 Katungulu-Ishaka-24h'!M53,'13.09 Katungulu-Ishaka'!M53)</f>
        <v>59.428571428571431</v>
      </c>
      <c r="N53" s="49">
        <f>AVERAGE('09.09 Katungulu-Ishaka'!N53,'10.09 Katungulu-Ishaka'!N53,'11.09 Katungulu-Ishaka'!N53,'12.09 Katungulu-Ishaka'!N53,'07.09. Katungulu-Ishaka-24h'!N53,'08.09 Katungulu-Ishaka-24h'!N53,'13.09 Katungulu-Ishaka'!N53)</f>
        <v>0</v>
      </c>
      <c r="O53" s="15">
        <f t="shared" si="0"/>
        <v>34.142857142857146</v>
      </c>
      <c r="P53" s="15">
        <f t="shared" si="1"/>
        <v>93.571428571428584</v>
      </c>
      <c r="R53" s="8"/>
      <c r="T53"/>
    </row>
    <row r="54" spans="2:20" ht="23.1" customHeight="1" x14ac:dyDescent="0.25">
      <c r="B54" s="23" t="s">
        <v>81</v>
      </c>
      <c r="C54" s="49">
        <f>AVERAGE('09.09 Katungulu-Ishaka'!C54,'10.09 Katungulu-Ishaka'!C54,'11.09 Katungulu-Ishaka'!C54,'12.09 Katungulu-Ishaka'!C54,'07.09. Katungulu-Ishaka-24h'!C54,'08.09 Katungulu-Ishaka-24h'!C54,'13.09 Katungulu-Ishaka'!C54)</f>
        <v>5.4285714285714288</v>
      </c>
      <c r="D54" s="49">
        <f>AVERAGE('09.09 Katungulu-Ishaka'!D54,'10.09 Katungulu-Ishaka'!D54,'11.09 Katungulu-Ishaka'!D54,'12.09 Katungulu-Ishaka'!D54,'07.09. Katungulu-Ishaka-24h'!D54,'08.09 Katungulu-Ishaka-24h'!D54,'13.09 Katungulu-Ishaka'!D54)</f>
        <v>0.2857142857142857</v>
      </c>
      <c r="E54" s="49">
        <f>AVERAGE('09.09 Katungulu-Ishaka'!E54,'10.09 Katungulu-Ishaka'!E54,'11.09 Katungulu-Ishaka'!E54,'12.09 Katungulu-Ishaka'!E54,'07.09. Katungulu-Ishaka-24h'!E54,'08.09 Katungulu-Ishaka-24h'!E54,'13.09 Katungulu-Ishaka'!E54)</f>
        <v>3</v>
      </c>
      <c r="F54" s="49">
        <f>AVERAGE('09.09 Katungulu-Ishaka'!F54,'10.09 Katungulu-Ishaka'!F54,'11.09 Katungulu-Ishaka'!F54,'12.09 Katungulu-Ishaka'!F54,'07.09. Katungulu-Ishaka-24h'!F54,'08.09 Katungulu-Ishaka-24h'!F54,'13.09 Katungulu-Ishaka'!F54)</f>
        <v>3.7142857142857144</v>
      </c>
      <c r="G54" s="49">
        <f>AVERAGE('09.09 Katungulu-Ishaka'!G54,'10.09 Katungulu-Ishaka'!G54,'11.09 Katungulu-Ishaka'!G54,'12.09 Katungulu-Ishaka'!G54,'07.09. Katungulu-Ishaka-24h'!G54,'08.09 Katungulu-Ishaka-24h'!G54,'13.09 Katungulu-Ishaka'!G54)</f>
        <v>0.14285714285714285</v>
      </c>
      <c r="H54" s="49">
        <f>AVERAGE('09.09 Katungulu-Ishaka'!H54,'10.09 Katungulu-Ishaka'!H54,'11.09 Katungulu-Ishaka'!H54,'12.09 Katungulu-Ishaka'!H54,'07.09. Katungulu-Ishaka-24h'!H54,'08.09 Katungulu-Ishaka-24h'!H54,'13.09 Katungulu-Ishaka'!H54)</f>
        <v>0</v>
      </c>
      <c r="I54" s="49">
        <f>AVERAGE('09.09 Katungulu-Ishaka'!I54,'10.09 Katungulu-Ishaka'!I54,'11.09 Katungulu-Ishaka'!I54,'12.09 Katungulu-Ishaka'!I54,'07.09. Katungulu-Ishaka-24h'!I54,'08.09 Katungulu-Ishaka-24h'!I54,'13.09 Katungulu-Ishaka'!I54)</f>
        <v>1.2857142857142858</v>
      </c>
      <c r="J54" s="49">
        <f>AVERAGE('09.09 Katungulu-Ishaka'!J54,'10.09 Katungulu-Ishaka'!J54,'11.09 Katungulu-Ishaka'!J54,'12.09 Katungulu-Ishaka'!J54,'07.09. Katungulu-Ishaka-24h'!J54,'08.09 Katungulu-Ishaka-24h'!J54,'13.09 Katungulu-Ishaka'!J54)</f>
        <v>1.4285714285714286</v>
      </c>
      <c r="K54" s="49">
        <f>AVERAGE('09.09 Katungulu-Ishaka'!K54,'10.09 Katungulu-Ishaka'!K54,'11.09 Katungulu-Ishaka'!K54,'12.09 Katungulu-Ishaka'!K54,'07.09. Katungulu-Ishaka-24h'!K54,'08.09 Katungulu-Ishaka-24h'!K54,'13.09 Katungulu-Ishaka'!K54)</f>
        <v>1</v>
      </c>
      <c r="L54" s="49">
        <f>AVERAGE('09.09 Katungulu-Ishaka'!L54,'10.09 Katungulu-Ishaka'!L54,'11.09 Katungulu-Ishaka'!L54,'12.09 Katungulu-Ishaka'!L54,'07.09. Katungulu-Ishaka-24h'!L54,'08.09 Katungulu-Ishaka-24h'!L54,'13.09 Katungulu-Ishaka'!L54)</f>
        <v>0.14285714285714285</v>
      </c>
      <c r="M54" s="49">
        <f>AVERAGE('09.09 Katungulu-Ishaka'!M54,'10.09 Katungulu-Ishaka'!M54,'11.09 Katungulu-Ishaka'!M54,'12.09 Katungulu-Ishaka'!M54,'07.09. Katungulu-Ishaka-24h'!M54,'08.09 Katungulu-Ishaka-24h'!M54,'13.09 Katungulu-Ishaka'!M54)</f>
        <v>29.428571428571427</v>
      </c>
      <c r="N54" s="49">
        <f>AVERAGE('09.09 Katungulu-Ishaka'!N54,'10.09 Katungulu-Ishaka'!N54,'11.09 Katungulu-Ishaka'!N54,'12.09 Katungulu-Ishaka'!N54,'07.09. Katungulu-Ishaka-24h'!N54,'08.09 Katungulu-Ishaka-24h'!N54,'13.09 Katungulu-Ishaka'!N54)</f>
        <v>0</v>
      </c>
      <c r="O54" s="15">
        <f t="shared" si="0"/>
        <v>16.428571428571431</v>
      </c>
      <c r="P54" s="15">
        <f t="shared" si="1"/>
        <v>45.857142857142861</v>
      </c>
      <c r="R54" s="8"/>
      <c r="T54"/>
    </row>
    <row r="55" spans="2:20" ht="23.1" customHeight="1" x14ac:dyDescent="0.25">
      <c r="B55" s="23" t="s">
        <v>82</v>
      </c>
      <c r="C55" s="49">
        <f>AVERAGE('09.09 Katungulu-Ishaka'!C55,'10.09 Katungulu-Ishaka'!C55,'11.09 Katungulu-Ishaka'!C55,'12.09 Katungulu-Ishaka'!C55,'07.09. Katungulu-Ishaka-24h'!C55,'08.09 Katungulu-Ishaka-24h'!C55,'13.09 Katungulu-Ishaka'!C55)</f>
        <v>9.5714285714285712</v>
      </c>
      <c r="D55" s="49">
        <f>AVERAGE('09.09 Katungulu-Ishaka'!D55,'10.09 Katungulu-Ishaka'!D55,'11.09 Katungulu-Ishaka'!D55,'12.09 Katungulu-Ishaka'!D55,'07.09. Katungulu-Ishaka-24h'!D55,'08.09 Katungulu-Ishaka-24h'!D55,'13.09 Katungulu-Ishaka'!D55)</f>
        <v>0.8571428571428571</v>
      </c>
      <c r="E55" s="49">
        <f>AVERAGE('09.09 Katungulu-Ishaka'!E55,'10.09 Katungulu-Ishaka'!E55,'11.09 Katungulu-Ishaka'!E55,'12.09 Katungulu-Ishaka'!E55,'07.09. Katungulu-Ishaka-24h'!E55,'08.09 Katungulu-Ishaka-24h'!E55,'13.09 Katungulu-Ishaka'!E55)</f>
        <v>4.8571428571428568</v>
      </c>
      <c r="F55" s="49">
        <f>AVERAGE('09.09 Katungulu-Ishaka'!F55,'10.09 Katungulu-Ishaka'!F55,'11.09 Katungulu-Ishaka'!F55,'12.09 Katungulu-Ishaka'!F55,'07.09. Katungulu-Ishaka-24h'!F55,'08.09 Katungulu-Ishaka-24h'!F55,'13.09 Katungulu-Ishaka'!F55)</f>
        <v>6.5714285714285712</v>
      </c>
      <c r="G55" s="49">
        <f>AVERAGE('09.09 Katungulu-Ishaka'!G55,'10.09 Katungulu-Ishaka'!G55,'11.09 Katungulu-Ishaka'!G55,'12.09 Katungulu-Ishaka'!G55,'07.09. Katungulu-Ishaka-24h'!G55,'08.09 Katungulu-Ishaka-24h'!G55,'13.09 Katungulu-Ishaka'!G55)</f>
        <v>0.42857142857142855</v>
      </c>
      <c r="H55" s="49">
        <f>AVERAGE('09.09 Katungulu-Ishaka'!H55,'10.09 Katungulu-Ishaka'!H55,'11.09 Katungulu-Ishaka'!H55,'12.09 Katungulu-Ishaka'!H55,'07.09. Katungulu-Ishaka-24h'!H55,'08.09 Katungulu-Ishaka-24h'!H55,'13.09 Katungulu-Ishaka'!H55)</f>
        <v>0</v>
      </c>
      <c r="I55" s="49">
        <f>AVERAGE('09.09 Katungulu-Ishaka'!I55,'10.09 Katungulu-Ishaka'!I55,'11.09 Katungulu-Ishaka'!I55,'12.09 Katungulu-Ishaka'!I55,'07.09. Katungulu-Ishaka-24h'!I55,'08.09 Katungulu-Ishaka-24h'!I55,'13.09 Katungulu-Ishaka'!I55)</f>
        <v>2.4285714285714284</v>
      </c>
      <c r="J55" s="49">
        <f>AVERAGE('09.09 Katungulu-Ishaka'!J55,'10.09 Katungulu-Ishaka'!J55,'11.09 Katungulu-Ishaka'!J55,'12.09 Katungulu-Ishaka'!J55,'07.09. Katungulu-Ishaka-24h'!J55,'08.09 Katungulu-Ishaka-24h'!J55,'13.09 Katungulu-Ishaka'!J55)</f>
        <v>2.4285714285714284</v>
      </c>
      <c r="K55" s="49">
        <f>AVERAGE('09.09 Katungulu-Ishaka'!K55,'10.09 Katungulu-Ishaka'!K55,'11.09 Katungulu-Ishaka'!K55,'12.09 Katungulu-Ishaka'!K55,'07.09. Katungulu-Ishaka-24h'!K55,'08.09 Katungulu-Ishaka-24h'!K55,'13.09 Katungulu-Ishaka'!K55)</f>
        <v>2</v>
      </c>
      <c r="L55" s="49">
        <f>AVERAGE('09.09 Katungulu-Ishaka'!L55,'10.09 Katungulu-Ishaka'!L55,'11.09 Katungulu-Ishaka'!L55,'12.09 Katungulu-Ishaka'!L55,'07.09. Katungulu-Ishaka-24h'!L55,'08.09 Katungulu-Ishaka-24h'!L55,'13.09 Katungulu-Ishaka'!L55)</f>
        <v>0.5714285714285714</v>
      </c>
      <c r="M55" s="49">
        <f>AVERAGE('09.09 Katungulu-Ishaka'!M55,'10.09 Katungulu-Ishaka'!M55,'11.09 Katungulu-Ishaka'!M55,'12.09 Katungulu-Ishaka'!M55,'07.09. Katungulu-Ishaka-24h'!M55,'08.09 Katungulu-Ishaka-24h'!M55,'13.09 Katungulu-Ishaka'!M55)</f>
        <v>53.714285714285715</v>
      </c>
      <c r="N55" s="49">
        <f>AVERAGE('09.09 Katungulu-Ishaka'!N55,'10.09 Katungulu-Ishaka'!N55,'11.09 Katungulu-Ishaka'!N55,'12.09 Katungulu-Ishaka'!N55,'07.09. Katungulu-Ishaka-24h'!N55,'08.09 Katungulu-Ishaka-24h'!N55,'13.09 Katungulu-Ishaka'!N55)</f>
        <v>0</v>
      </c>
      <c r="O55" s="15">
        <f t="shared" si="0"/>
        <v>29.714285714285708</v>
      </c>
      <c r="P55" s="15">
        <f t="shared" si="1"/>
        <v>83.428571428571416</v>
      </c>
      <c r="R55" s="8"/>
      <c r="T55"/>
    </row>
    <row r="56" spans="2:20" ht="23.1" customHeight="1" x14ac:dyDescent="0.25">
      <c r="B56" s="23" t="s">
        <v>83</v>
      </c>
      <c r="C56" s="49">
        <f>AVERAGE('09.09 Katungulu-Ishaka'!C56,'10.09 Katungulu-Ishaka'!C56,'11.09 Katungulu-Ishaka'!C56,'12.09 Katungulu-Ishaka'!C56,'07.09. Katungulu-Ishaka-24h'!C56,'08.09 Katungulu-Ishaka-24h'!C56,'13.09 Katungulu-Ishaka'!C56)</f>
        <v>4.5714285714285712</v>
      </c>
      <c r="D56" s="49">
        <f>AVERAGE('09.09 Katungulu-Ishaka'!D56,'10.09 Katungulu-Ishaka'!D56,'11.09 Katungulu-Ishaka'!D56,'12.09 Katungulu-Ishaka'!D56,'07.09. Katungulu-Ishaka-24h'!D56,'08.09 Katungulu-Ishaka-24h'!D56,'13.09 Katungulu-Ishaka'!D56)</f>
        <v>0.42857142857142855</v>
      </c>
      <c r="E56" s="49">
        <f>AVERAGE('09.09 Katungulu-Ishaka'!E56,'10.09 Katungulu-Ishaka'!E56,'11.09 Katungulu-Ishaka'!E56,'12.09 Katungulu-Ishaka'!E56,'07.09. Katungulu-Ishaka-24h'!E56,'08.09 Katungulu-Ishaka-24h'!E56,'13.09 Katungulu-Ishaka'!E56)</f>
        <v>2.8571428571428572</v>
      </c>
      <c r="F56" s="49">
        <f>AVERAGE('09.09 Katungulu-Ishaka'!F56,'10.09 Katungulu-Ishaka'!F56,'11.09 Katungulu-Ishaka'!F56,'12.09 Katungulu-Ishaka'!F56,'07.09. Katungulu-Ishaka-24h'!F56,'08.09 Katungulu-Ishaka-24h'!F56,'13.09 Katungulu-Ishaka'!F56)</f>
        <v>2</v>
      </c>
      <c r="G56" s="49">
        <f>AVERAGE('09.09 Katungulu-Ishaka'!G56,'10.09 Katungulu-Ishaka'!G56,'11.09 Katungulu-Ishaka'!G56,'12.09 Katungulu-Ishaka'!G56,'07.09. Katungulu-Ishaka-24h'!G56,'08.09 Katungulu-Ishaka-24h'!G56,'13.09 Katungulu-Ishaka'!G56)</f>
        <v>0</v>
      </c>
      <c r="H56" s="49">
        <f>AVERAGE('09.09 Katungulu-Ishaka'!H56,'10.09 Katungulu-Ishaka'!H56,'11.09 Katungulu-Ishaka'!H56,'12.09 Katungulu-Ishaka'!H56,'07.09. Katungulu-Ishaka-24h'!H56,'08.09 Katungulu-Ishaka-24h'!H56,'13.09 Katungulu-Ishaka'!H56)</f>
        <v>0</v>
      </c>
      <c r="I56" s="49">
        <f>AVERAGE('09.09 Katungulu-Ishaka'!I56,'10.09 Katungulu-Ishaka'!I56,'11.09 Katungulu-Ishaka'!I56,'12.09 Katungulu-Ishaka'!I56,'07.09. Katungulu-Ishaka-24h'!I56,'08.09 Katungulu-Ishaka-24h'!I56,'13.09 Katungulu-Ishaka'!I56)</f>
        <v>1.2857142857142858</v>
      </c>
      <c r="J56" s="49">
        <f>AVERAGE('09.09 Katungulu-Ishaka'!J56,'10.09 Katungulu-Ishaka'!J56,'11.09 Katungulu-Ishaka'!J56,'12.09 Katungulu-Ishaka'!J56,'07.09. Katungulu-Ishaka-24h'!J56,'08.09 Katungulu-Ishaka-24h'!J56,'13.09 Katungulu-Ishaka'!J56)</f>
        <v>0.42857142857142855</v>
      </c>
      <c r="K56" s="49">
        <f>AVERAGE('09.09 Katungulu-Ishaka'!K56,'10.09 Katungulu-Ishaka'!K56,'11.09 Katungulu-Ishaka'!K56,'12.09 Katungulu-Ishaka'!K56,'07.09. Katungulu-Ishaka-24h'!K56,'08.09 Katungulu-Ishaka-24h'!K56,'13.09 Katungulu-Ishaka'!K56)</f>
        <v>1.7142857142857142</v>
      </c>
      <c r="L56" s="49">
        <f>AVERAGE('09.09 Katungulu-Ishaka'!L56,'10.09 Katungulu-Ishaka'!L56,'11.09 Katungulu-Ishaka'!L56,'12.09 Katungulu-Ishaka'!L56,'07.09. Katungulu-Ishaka-24h'!L56,'08.09 Katungulu-Ishaka-24h'!L56,'13.09 Katungulu-Ishaka'!L56)</f>
        <v>0.42857142857142855</v>
      </c>
      <c r="M56" s="49">
        <f>AVERAGE('09.09 Katungulu-Ishaka'!M56,'10.09 Katungulu-Ishaka'!M56,'11.09 Katungulu-Ishaka'!M56,'12.09 Katungulu-Ishaka'!M56,'07.09. Katungulu-Ishaka-24h'!M56,'08.09 Katungulu-Ishaka-24h'!M56,'13.09 Katungulu-Ishaka'!M56)</f>
        <v>31.571428571428573</v>
      </c>
      <c r="N56" s="49">
        <f>AVERAGE('09.09 Katungulu-Ishaka'!N56,'10.09 Katungulu-Ishaka'!N56,'11.09 Katungulu-Ishaka'!N56,'12.09 Katungulu-Ishaka'!N56,'07.09. Katungulu-Ishaka-24h'!N56,'08.09 Katungulu-Ishaka-24h'!N56,'13.09 Katungulu-Ishaka'!N56)</f>
        <v>0</v>
      </c>
      <c r="O56" s="15">
        <f t="shared" si="0"/>
        <v>13.714285714285715</v>
      </c>
      <c r="P56" s="15">
        <f t="shared" si="1"/>
        <v>45.285714285714292</v>
      </c>
      <c r="R56" s="8"/>
      <c r="T56"/>
    </row>
    <row r="57" spans="2:20" ht="23.1" customHeight="1" x14ac:dyDescent="0.25">
      <c r="B57" s="23" t="s">
        <v>84</v>
      </c>
      <c r="C57" s="49">
        <f>AVERAGE('09.09 Katungulu-Ishaka'!C57,'10.09 Katungulu-Ishaka'!C57,'11.09 Katungulu-Ishaka'!C57,'12.09 Katungulu-Ishaka'!C57,'07.09. Katungulu-Ishaka-24h'!C57,'08.09 Katungulu-Ishaka-24h'!C57,'13.09 Katungulu-Ishaka'!C57)</f>
        <v>7.8571428571428568</v>
      </c>
      <c r="D57" s="49">
        <f>AVERAGE('09.09 Katungulu-Ishaka'!D57,'10.09 Katungulu-Ishaka'!D57,'11.09 Katungulu-Ishaka'!D57,'12.09 Katungulu-Ishaka'!D57,'07.09. Katungulu-Ishaka-24h'!D57,'08.09 Katungulu-Ishaka-24h'!D57,'13.09 Katungulu-Ishaka'!D57)</f>
        <v>1.4285714285714286</v>
      </c>
      <c r="E57" s="49">
        <f>AVERAGE('09.09 Katungulu-Ishaka'!E57,'10.09 Katungulu-Ishaka'!E57,'11.09 Katungulu-Ishaka'!E57,'12.09 Katungulu-Ishaka'!E57,'07.09. Katungulu-Ishaka-24h'!E57,'08.09 Katungulu-Ishaka-24h'!E57,'13.09 Katungulu-Ishaka'!E57)</f>
        <v>4.7142857142857144</v>
      </c>
      <c r="F57" s="49">
        <f>AVERAGE('09.09 Katungulu-Ishaka'!F57,'10.09 Katungulu-Ishaka'!F57,'11.09 Katungulu-Ishaka'!F57,'12.09 Katungulu-Ishaka'!F57,'07.09. Katungulu-Ishaka-24h'!F57,'08.09 Katungulu-Ishaka-24h'!F57,'13.09 Katungulu-Ishaka'!F57)</f>
        <v>3.8571428571428572</v>
      </c>
      <c r="G57" s="49">
        <f>AVERAGE('09.09 Katungulu-Ishaka'!G57,'10.09 Katungulu-Ishaka'!G57,'11.09 Katungulu-Ishaka'!G57,'12.09 Katungulu-Ishaka'!G57,'07.09. Katungulu-Ishaka-24h'!G57,'08.09 Katungulu-Ishaka-24h'!G57,'13.09 Katungulu-Ishaka'!G57)</f>
        <v>0.14285714285714285</v>
      </c>
      <c r="H57" s="49">
        <f>AVERAGE('09.09 Katungulu-Ishaka'!H57,'10.09 Katungulu-Ishaka'!H57,'11.09 Katungulu-Ishaka'!H57,'12.09 Katungulu-Ishaka'!H57,'07.09. Katungulu-Ishaka-24h'!H57,'08.09 Katungulu-Ishaka-24h'!H57,'13.09 Katungulu-Ishaka'!H57)</f>
        <v>0</v>
      </c>
      <c r="I57" s="49">
        <f>AVERAGE('09.09 Katungulu-Ishaka'!I57,'10.09 Katungulu-Ishaka'!I57,'11.09 Katungulu-Ishaka'!I57,'12.09 Katungulu-Ishaka'!I57,'07.09. Katungulu-Ishaka-24h'!I57,'08.09 Katungulu-Ishaka-24h'!I57,'13.09 Katungulu-Ishaka'!I57)</f>
        <v>2.5714285714285716</v>
      </c>
      <c r="J57" s="49">
        <f>AVERAGE('09.09 Katungulu-Ishaka'!J57,'10.09 Katungulu-Ishaka'!J57,'11.09 Katungulu-Ishaka'!J57,'12.09 Katungulu-Ishaka'!J57,'07.09. Katungulu-Ishaka-24h'!J57,'08.09 Katungulu-Ishaka-24h'!J57,'13.09 Katungulu-Ishaka'!J57)</f>
        <v>1.1428571428571428</v>
      </c>
      <c r="K57" s="49">
        <f>AVERAGE('09.09 Katungulu-Ishaka'!K57,'10.09 Katungulu-Ishaka'!K57,'11.09 Katungulu-Ishaka'!K57,'12.09 Katungulu-Ishaka'!K57,'07.09. Katungulu-Ishaka-24h'!K57,'08.09 Katungulu-Ishaka-24h'!K57,'13.09 Katungulu-Ishaka'!K57)</f>
        <v>2.8571428571428572</v>
      </c>
      <c r="L57" s="49">
        <f>AVERAGE('09.09 Katungulu-Ishaka'!L57,'10.09 Katungulu-Ishaka'!L57,'11.09 Katungulu-Ishaka'!L57,'12.09 Katungulu-Ishaka'!L57,'07.09. Katungulu-Ishaka-24h'!L57,'08.09 Katungulu-Ishaka-24h'!L57,'13.09 Katungulu-Ishaka'!L57)</f>
        <v>1.1428571428571428</v>
      </c>
      <c r="M57" s="49">
        <f>AVERAGE('09.09 Katungulu-Ishaka'!M57,'10.09 Katungulu-Ishaka'!M57,'11.09 Katungulu-Ishaka'!M57,'12.09 Katungulu-Ishaka'!M57,'07.09. Katungulu-Ishaka-24h'!M57,'08.09 Katungulu-Ishaka-24h'!M57,'13.09 Katungulu-Ishaka'!M57)</f>
        <v>56.571428571428569</v>
      </c>
      <c r="N57" s="49">
        <f>AVERAGE('09.09 Katungulu-Ishaka'!N57,'10.09 Katungulu-Ishaka'!N57,'11.09 Katungulu-Ishaka'!N57,'12.09 Katungulu-Ishaka'!N57,'07.09. Katungulu-Ishaka-24h'!N57,'08.09 Katungulu-Ishaka-24h'!N57,'13.09 Katungulu-Ishaka'!N57)</f>
        <v>0</v>
      </c>
      <c r="O57" s="15">
        <f t="shared" si="0"/>
        <v>25.714285714285715</v>
      </c>
      <c r="P57" s="15">
        <f t="shared" si="1"/>
        <v>82.285714285714278</v>
      </c>
      <c r="R57" s="8"/>
      <c r="T57"/>
    </row>
    <row r="58" spans="2:20" ht="23.1" customHeight="1" x14ac:dyDescent="0.25">
      <c r="B58" s="23" t="s">
        <v>99</v>
      </c>
      <c r="C58" s="49">
        <f>AVERAGE('07.09. Katungulu-Ishaka-24h'!C58,'08.09 Katungulu-Ishaka-24h'!C58)</f>
        <v>5</v>
      </c>
      <c r="D58" s="49">
        <f>AVERAGE('07.09. Katungulu-Ishaka-24h'!D58,'08.09 Katungulu-Ishaka-24h'!D58)</f>
        <v>1.5</v>
      </c>
      <c r="E58" s="49">
        <f>AVERAGE('07.09. Katungulu-Ishaka-24h'!E58,'08.09 Katungulu-Ishaka-24h'!E58)</f>
        <v>2</v>
      </c>
      <c r="F58" s="49">
        <f>AVERAGE('07.09. Katungulu-Ishaka-24h'!F58,'08.09 Katungulu-Ishaka-24h'!F58)</f>
        <v>2</v>
      </c>
      <c r="G58" s="49">
        <f>AVERAGE('07.09. Katungulu-Ishaka-24h'!G58,'08.09 Katungulu-Ishaka-24h'!G58)</f>
        <v>0</v>
      </c>
      <c r="H58" s="49">
        <f>AVERAGE('07.09. Katungulu-Ishaka-24h'!H58,'08.09 Katungulu-Ishaka-24h'!H58)</f>
        <v>0</v>
      </c>
      <c r="I58" s="49">
        <f>AVERAGE('07.09. Katungulu-Ishaka-24h'!I58,'08.09 Katungulu-Ishaka-24h'!I58)</f>
        <v>0</v>
      </c>
      <c r="J58" s="49">
        <f>AVERAGE('07.09. Katungulu-Ishaka-24h'!J58,'08.09 Katungulu-Ishaka-24h'!J58)</f>
        <v>0</v>
      </c>
      <c r="K58" s="49">
        <f>AVERAGE('07.09. Katungulu-Ishaka-24h'!K58,'08.09 Katungulu-Ishaka-24h'!K58)</f>
        <v>3</v>
      </c>
      <c r="L58" s="49">
        <f>AVERAGE('07.09. Katungulu-Ishaka-24h'!L58,'08.09 Katungulu-Ishaka-24h'!L58)</f>
        <v>0</v>
      </c>
      <c r="M58" s="49">
        <f>AVERAGE('07.09. Katungulu-Ishaka-24h'!M58,'08.09 Katungulu-Ishaka-24h'!M58)</f>
        <v>41.5</v>
      </c>
      <c r="N58" s="49">
        <f>AVERAGE('07.09. Katungulu-Ishaka-24h'!N58,'08.09 Katungulu-Ishaka-24h'!N58)</f>
        <v>0</v>
      </c>
      <c r="O58" s="15">
        <f t="shared" si="0"/>
        <v>13.5</v>
      </c>
      <c r="P58" s="15">
        <f t="shared" si="1"/>
        <v>55</v>
      </c>
      <c r="R58" s="8"/>
      <c r="T58"/>
    </row>
    <row r="59" spans="2:20" ht="23.1" customHeight="1" x14ac:dyDescent="0.25">
      <c r="B59" s="23" t="s">
        <v>100</v>
      </c>
      <c r="C59" s="49">
        <f>AVERAGE('07.09. Katungulu-Ishaka-24h'!C59,'08.09 Katungulu-Ishaka-24h'!C59)</f>
        <v>10.5</v>
      </c>
      <c r="D59" s="49">
        <f>AVERAGE('07.09. Katungulu-Ishaka-24h'!D59,'08.09 Katungulu-Ishaka-24h'!D59)</f>
        <v>2</v>
      </c>
      <c r="E59" s="49">
        <f>AVERAGE('07.09. Katungulu-Ishaka-24h'!E59,'08.09 Katungulu-Ishaka-24h'!E59)</f>
        <v>4.5</v>
      </c>
      <c r="F59" s="49">
        <f>AVERAGE('07.09. Katungulu-Ishaka-24h'!F59,'08.09 Katungulu-Ishaka-24h'!F59)</f>
        <v>3</v>
      </c>
      <c r="G59" s="49">
        <f>AVERAGE('07.09. Katungulu-Ishaka-24h'!G59,'08.09 Katungulu-Ishaka-24h'!G59)</f>
        <v>0</v>
      </c>
      <c r="H59" s="49">
        <f>AVERAGE('07.09. Katungulu-Ishaka-24h'!H59,'08.09 Katungulu-Ishaka-24h'!H59)</f>
        <v>0</v>
      </c>
      <c r="I59" s="49">
        <f>AVERAGE('07.09. Katungulu-Ishaka-24h'!I59,'08.09 Katungulu-Ishaka-24h'!I59)</f>
        <v>1</v>
      </c>
      <c r="J59" s="49">
        <f>AVERAGE('07.09. Katungulu-Ishaka-24h'!J59,'08.09 Katungulu-Ishaka-24h'!J59)</f>
        <v>0.5</v>
      </c>
      <c r="K59" s="49">
        <f>AVERAGE('07.09. Katungulu-Ishaka-24h'!K59,'08.09 Katungulu-Ishaka-24h'!K59)</f>
        <v>6.5</v>
      </c>
      <c r="L59" s="49">
        <f>AVERAGE('07.09. Katungulu-Ishaka-24h'!L59,'08.09 Katungulu-Ishaka-24h'!L59)</f>
        <v>0.5</v>
      </c>
      <c r="M59" s="49">
        <f>AVERAGE('07.09. Katungulu-Ishaka-24h'!M59,'08.09 Katungulu-Ishaka-24h'!M59)</f>
        <v>89</v>
      </c>
      <c r="N59" s="49">
        <f>AVERAGE('07.09. Katungulu-Ishaka-24h'!N59,'08.09 Katungulu-Ishaka-24h'!N59)</f>
        <v>0</v>
      </c>
      <c r="O59" s="15">
        <f t="shared" si="0"/>
        <v>28.5</v>
      </c>
      <c r="P59" s="15">
        <f t="shared" si="1"/>
        <v>117.5</v>
      </c>
      <c r="R59" s="8"/>
      <c r="T59"/>
    </row>
    <row r="60" spans="2:20" ht="23.1" customHeight="1" x14ac:dyDescent="0.25">
      <c r="B60" s="23" t="s">
        <v>101</v>
      </c>
      <c r="C60" s="49">
        <f>AVERAGE('07.09. Katungulu-Ishaka-24h'!C60,'08.09 Katungulu-Ishaka-24h'!C60)</f>
        <v>7.5</v>
      </c>
      <c r="D60" s="49">
        <f>AVERAGE('07.09. Katungulu-Ishaka-24h'!D60,'08.09 Katungulu-Ishaka-24h'!D60)</f>
        <v>1.5</v>
      </c>
      <c r="E60" s="49">
        <f>AVERAGE('07.09. Katungulu-Ishaka-24h'!E60,'08.09 Katungulu-Ishaka-24h'!E60)</f>
        <v>3</v>
      </c>
      <c r="F60" s="49">
        <f>AVERAGE('07.09. Katungulu-Ishaka-24h'!F60,'08.09 Katungulu-Ishaka-24h'!F60)</f>
        <v>2.5</v>
      </c>
      <c r="G60" s="49">
        <f>AVERAGE('07.09. Katungulu-Ishaka-24h'!G60,'08.09 Katungulu-Ishaka-24h'!G60)</f>
        <v>1</v>
      </c>
      <c r="H60" s="49">
        <f>AVERAGE('07.09. Katungulu-Ishaka-24h'!H60,'08.09 Katungulu-Ishaka-24h'!H60)</f>
        <v>0</v>
      </c>
      <c r="I60" s="49">
        <f>AVERAGE('07.09. Katungulu-Ishaka-24h'!I60,'08.09 Katungulu-Ishaka-24h'!I60)</f>
        <v>0.5</v>
      </c>
      <c r="J60" s="49">
        <f>AVERAGE('07.09. Katungulu-Ishaka-24h'!J60,'08.09 Katungulu-Ishaka-24h'!J60)</f>
        <v>1.5</v>
      </c>
      <c r="K60" s="49">
        <f>AVERAGE('07.09. Katungulu-Ishaka-24h'!K60,'08.09 Katungulu-Ishaka-24h'!K60)</f>
        <v>4.5</v>
      </c>
      <c r="L60" s="49">
        <f>AVERAGE('07.09. Katungulu-Ishaka-24h'!L60,'08.09 Katungulu-Ishaka-24h'!L60)</f>
        <v>0</v>
      </c>
      <c r="M60" s="49">
        <f>AVERAGE('07.09. Katungulu-Ishaka-24h'!M60,'08.09 Katungulu-Ishaka-24h'!M60)</f>
        <v>33.5</v>
      </c>
      <c r="N60" s="49">
        <f>AVERAGE('07.09. Katungulu-Ishaka-24h'!N60,'08.09 Katungulu-Ishaka-24h'!N60)</f>
        <v>0</v>
      </c>
      <c r="O60" s="15">
        <f t="shared" si="0"/>
        <v>22</v>
      </c>
      <c r="P60" s="15">
        <f t="shared" si="1"/>
        <v>55.5</v>
      </c>
      <c r="R60" s="8"/>
      <c r="T60"/>
    </row>
    <row r="61" spans="2:20" ht="23.1" customHeight="1" x14ac:dyDescent="0.25">
      <c r="B61" s="23" t="s">
        <v>102</v>
      </c>
      <c r="C61" s="49">
        <f>AVERAGE('07.09. Katungulu-Ishaka-24h'!C61,'08.09 Katungulu-Ishaka-24h'!C61)</f>
        <v>14.5</v>
      </c>
      <c r="D61" s="49">
        <f>AVERAGE('07.09. Katungulu-Ishaka-24h'!D61,'08.09 Katungulu-Ishaka-24h'!D61)</f>
        <v>3</v>
      </c>
      <c r="E61" s="49">
        <f>AVERAGE('07.09. Katungulu-Ishaka-24h'!E61,'08.09 Katungulu-Ishaka-24h'!E61)</f>
        <v>6.5</v>
      </c>
      <c r="F61" s="49">
        <f>AVERAGE('07.09. Katungulu-Ishaka-24h'!F61,'08.09 Katungulu-Ishaka-24h'!F61)</f>
        <v>5</v>
      </c>
      <c r="G61" s="49">
        <f>AVERAGE('07.09. Katungulu-Ishaka-24h'!G61,'08.09 Katungulu-Ishaka-24h'!G61)</f>
        <v>2</v>
      </c>
      <c r="H61" s="49">
        <f>AVERAGE('07.09. Katungulu-Ishaka-24h'!H61,'08.09 Katungulu-Ishaka-24h'!H61)</f>
        <v>0</v>
      </c>
      <c r="I61" s="49">
        <f>AVERAGE('07.09. Katungulu-Ishaka-24h'!I61,'08.09 Katungulu-Ishaka-24h'!I61)</f>
        <v>1.5</v>
      </c>
      <c r="J61" s="49">
        <f>AVERAGE('07.09. Katungulu-Ishaka-24h'!J61,'08.09 Katungulu-Ishaka-24h'!J61)</f>
        <v>3</v>
      </c>
      <c r="K61" s="49">
        <f>AVERAGE('07.09. Katungulu-Ishaka-24h'!K61,'08.09 Katungulu-Ishaka-24h'!K61)</f>
        <v>9.5</v>
      </c>
      <c r="L61" s="49">
        <f>AVERAGE('07.09. Katungulu-Ishaka-24h'!L61,'08.09 Katungulu-Ishaka-24h'!L61)</f>
        <v>0.5</v>
      </c>
      <c r="M61" s="49">
        <f>AVERAGE('07.09. Katungulu-Ishaka-24h'!M61,'08.09 Katungulu-Ishaka-24h'!M61)</f>
        <v>75</v>
      </c>
      <c r="N61" s="49">
        <f>AVERAGE('07.09. Katungulu-Ishaka-24h'!N61,'08.09 Katungulu-Ishaka-24h'!N61)</f>
        <v>0</v>
      </c>
      <c r="O61" s="15">
        <f t="shared" si="0"/>
        <v>45.5</v>
      </c>
      <c r="P61" s="15">
        <f t="shared" si="1"/>
        <v>120.5</v>
      </c>
      <c r="R61" s="8"/>
      <c r="T61"/>
    </row>
    <row r="62" spans="2:20" ht="23.1" customHeight="1" x14ac:dyDescent="0.25">
      <c r="B62" s="23" t="s">
        <v>107</v>
      </c>
      <c r="C62" s="49">
        <f>AVERAGE('07.09. Katungulu-Ishaka-24h'!C62,'08.09 Katungulu-Ishaka-24h'!C62)</f>
        <v>3.5</v>
      </c>
      <c r="D62" s="49">
        <f>AVERAGE('07.09. Katungulu-Ishaka-24h'!D62,'08.09 Katungulu-Ishaka-24h'!D62)</f>
        <v>2.5</v>
      </c>
      <c r="E62" s="49">
        <f>AVERAGE('07.09. Katungulu-Ishaka-24h'!E62,'08.09 Katungulu-Ishaka-24h'!E62)</f>
        <v>4.5</v>
      </c>
      <c r="F62" s="49">
        <f>AVERAGE('07.09. Katungulu-Ishaka-24h'!F62,'08.09 Katungulu-Ishaka-24h'!F62)</f>
        <v>3</v>
      </c>
      <c r="G62" s="49">
        <f>AVERAGE('07.09. Katungulu-Ishaka-24h'!G62,'08.09 Katungulu-Ishaka-24h'!G62)</f>
        <v>0</v>
      </c>
      <c r="H62" s="49">
        <f>AVERAGE('07.09. Katungulu-Ishaka-24h'!H62,'08.09 Katungulu-Ishaka-24h'!H62)</f>
        <v>0.5</v>
      </c>
      <c r="I62" s="49">
        <f>AVERAGE('07.09. Katungulu-Ishaka-24h'!I62,'08.09 Katungulu-Ishaka-24h'!I62)</f>
        <v>0.5</v>
      </c>
      <c r="J62" s="49">
        <f>AVERAGE('07.09. Katungulu-Ishaka-24h'!J62,'08.09 Katungulu-Ishaka-24h'!J62)</f>
        <v>2</v>
      </c>
      <c r="K62" s="49">
        <f>AVERAGE('07.09. Katungulu-Ishaka-24h'!K62,'08.09 Katungulu-Ishaka-24h'!K62)</f>
        <v>2</v>
      </c>
      <c r="L62" s="49">
        <f>AVERAGE('07.09. Katungulu-Ishaka-24h'!L62,'08.09 Katungulu-Ishaka-24h'!L62)</f>
        <v>0</v>
      </c>
      <c r="M62" s="49">
        <f>AVERAGE('07.09. Katungulu-Ishaka-24h'!M62,'08.09 Katungulu-Ishaka-24h'!M62)</f>
        <v>26.5</v>
      </c>
      <c r="N62" s="49">
        <f>AVERAGE('07.09. Katungulu-Ishaka-24h'!N62,'08.09 Katungulu-Ishaka-24h'!N62)</f>
        <v>0</v>
      </c>
      <c r="O62" s="15">
        <f t="shared" si="0"/>
        <v>18.5</v>
      </c>
      <c r="P62" s="15">
        <f t="shared" si="1"/>
        <v>45</v>
      </c>
      <c r="R62" s="8"/>
      <c r="T62"/>
    </row>
    <row r="63" spans="2:20" ht="23.1" customHeight="1" x14ac:dyDescent="0.25">
      <c r="B63" s="23" t="s">
        <v>108</v>
      </c>
      <c r="C63" s="49">
        <f>AVERAGE('07.09. Katungulu-Ishaka-24h'!C63,'08.09 Katungulu-Ishaka-24h'!C63)</f>
        <v>7</v>
      </c>
      <c r="D63" s="49">
        <f>AVERAGE('07.09. Katungulu-Ishaka-24h'!D63,'08.09 Katungulu-Ishaka-24h'!D63)</f>
        <v>4.5</v>
      </c>
      <c r="E63" s="49">
        <f>AVERAGE('07.09. Katungulu-Ishaka-24h'!E63,'08.09 Katungulu-Ishaka-24h'!E63)</f>
        <v>9</v>
      </c>
      <c r="F63" s="49">
        <f>AVERAGE('07.09. Katungulu-Ishaka-24h'!F63,'08.09 Katungulu-Ishaka-24h'!F63)</f>
        <v>6.5</v>
      </c>
      <c r="G63" s="49">
        <f>AVERAGE('07.09. Katungulu-Ishaka-24h'!G63,'08.09 Katungulu-Ishaka-24h'!G63)</f>
        <v>0.5</v>
      </c>
      <c r="H63" s="49">
        <f>AVERAGE('07.09. Katungulu-Ishaka-24h'!H63,'08.09 Katungulu-Ishaka-24h'!H63)</f>
        <v>1</v>
      </c>
      <c r="I63" s="49">
        <f>AVERAGE('07.09. Katungulu-Ishaka-24h'!I63,'08.09 Katungulu-Ishaka-24h'!I63)</f>
        <v>1</v>
      </c>
      <c r="J63" s="49">
        <f>AVERAGE('07.09. Katungulu-Ishaka-24h'!J63,'08.09 Katungulu-Ishaka-24h'!J63)</f>
        <v>4.5</v>
      </c>
      <c r="K63" s="49">
        <f>AVERAGE('07.09. Katungulu-Ishaka-24h'!K63,'08.09 Katungulu-Ishaka-24h'!K63)</f>
        <v>4</v>
      </c>
      <c r="L63" s="49">
        <f>AVERAGE('07.09. Katungulu-Ishaka-24h'!L63,'08.09 Katungulu-Ishaka-24h'!L63)</f>
        <v>0.5</v>
      </c>
      <c r="M63" s="49">
        <f>AVERAGE('07.09. Katungulu-Ishaka-24h'!M63,'08.09 Katungulu-Ishaka-24h'!M63)</f>
        <v>59.5</v>
      </c>
      <c r="N63" s="49">
        <f>AVERAGE('07.09. Katungulu-Ishaka-24h'!N63,'08.09 Katungulu-Ishaka-24h'!N63)</f>
        <v>0</v>
      </c>
      <c r="O63" s="15">
        <f t="shared" si="0"/>
        <v>38.5</v>
      </c>
      <c r="P63" s="15">
        <f t="shared" si="1"/>
        <v>98</v>
      </c>
      <c r="R63" s="8"/>
      <c r="T63"/>
    </row>
    <row r="64" spans="2:20" ht="23.1" customHeight="1" x14ac:dyDescent="0.25">
      <c r="B64" s="23" t="s">
        <v>109</v>
      </c>
      <c r="C64" s="49">
        <f>AVERAGE('07.09. Katungulu-Ishaka-24h'!C64,'08.09 Katungulu-Ishaka-24h'!C64)</f>
        <v>0.5</v>
      </c>
      <c r="D64" s="49">
        <f>AVERAGE('07.09. Katungulu-Ishaka-24h'!D64,'08.09 Katungulu-Ishaka-24h'!D64)</f>
        <v>0</v>
      </c>
      <c r="E64" s="49">
        <f>AVERAGE('07.09. Katungulu-Ishaka-24h'!E64,'08.09 Katungulu-Ishaka-24h'!E64)</f>
        <v>0.5</v>
      </c>
      <c r="F64" s="49">
        <f>AVERAGE('07.09. Katungulu-Ishaka-24h'!F64,'08.09 Katungulu-Ishaka-24h'!F64)</f>
        <v>0.5</v>
      </c>
      <c r="G64" s="49">
        <f>AVERAGE('07.09. Katungulu-Ishaka-24h'!G64,'08.09 Katungulu-Ishaka-24h'!G64)</f>
        <v>0</v>
      </c>
      <c r="H64" s="49">
        <f>AVERAGE('07.09. Katungulu-Ishaka-24h'!H64,'08.09 Katungulu-Ishaka-24h'!H64)</f>
        <v>0.5</v>
      </c>
      <c r="I64" s="49">
        <f>AVERAGE('07.09. Katungulu-Ishaka-24h'!I64,'08.09 Katungulu-Ishaka-24h'!I64)</f>
        <v>0</v>
      </c>
      <c r="J64" s="49">
        <f>AVERAGE('07.09. Katungulu-Ishaka-24h'!J64,'08.09 Katungulu-Ishaka-24h'!J64)</f>
        <v>1</v>
      </c>
      <c r="K64" s="49">
        <f>AVERAGE('07.09. Katungulu-Ishaka-24h'!K64,'08.09 Katungulu-Ishaka-24h'!K64)</f>
        <v>0.5</v>
      </c>
      <c r="L64" s="49">
        <f>AVERAGE('07.09. Katungulu-Ishaka-24h'!L64,'08.09 Katungulu-Ishaka-24h'!L64)</f>
        <v>0.5</v>
      </c>
      <c r="M64" s="49">
        <f>AVERAGE('07.09. Katungulu-Ishaka-24h'!M64,'08.09 Katungulu-Ishaka-24h'!M64)</f>
        <v>26.5</v>
      </c>
      <c r="N64" s="49">
        <f>AVERAGE('07.09. Katungulu-Ishaka-24h'!N64,'08.09 Katungulu-Ishaka-24h'!N64)</f>
        <v>0</v>
      </c>
      <c r="O64" s="15">
        <f t="shared" si="0"/>
        <v>4</v>
      </c>
      <c r="P64" s="15">
        <f t="shared" si="1"/>
        <v>30.5</v>
      </c>
      <c r="R64" s="8"/>
      <c r="T64"/>
    </row>
    <row r="65" spans="2:20" ht="23.1" customHeight="1" x14ac:dyDescent="0.25">
      <c r="B65" s="23" t="s">
        <v>158</v>
      </c>
      <c r="C65" s="49">
        <f>AVERAGE('07.09. Katungulu-Ishaka-24h'!C65,'08.09 Katungulu-Ishaka-24h'!C65)</f>
        <v>1</v>
      </c>
      <c r="D65" s="49">
        <f>AVERAGE('07.09. Katungulu-Ishaka-24h'!D65,'08.09 Katungulu-Ishaka-24h'!D65)</f>
        <v>0.5</v>
      </c>
      <c r="E65" s="49">
        <f>AVERAGE('07.09. Katungulu-Ishaka-24h'!E65,'08.09 Katungulu-Ishaka-24h'!E65)</f>
        <v>1</v>
      </c>
      <c r="F65" s="49">
        <f>AVERAGE('07.09. Katungulu-Ishaka-24h'!F65,'08.09 Katungulu-Ishaka-24h'!F65)</f>
        <v>1</v>
      </c>
      <c r="G65" s="49">
        <f>AVERAGE('07.09. Katungulu-Ishaka-24h'!G65,'08.09 Katungulu-Ishaka-24h'!G65)</f>
        <v>0</v>
      </c>
      <c r="H65" s="49">
        <f>AVERAGE('07.09. Katungulu-Ishaka-24h'!H65,'08.09 Katungulu-Ishaka-24h'!H65)</f>
        <v>1</v>
      </c>
      <c r="I65" s="49">
        <f>AVERAGE('07.09. Katungulu-Ishaka-24h'!I65,'08.09 Katungulu-Ishaka-24h'!I65)</f>
        <v>0.5</v>
      </c>
      <c r="J65" s="49">
        <f>AVERAGE('07.09. Katungulu-Ishaka-24h'!J65,'08.09 Katungulu-Ishaka-24h'!J65)</f>
        <v>2</v>
      </c>
      <c r="K65" s="49">
        <f>AVERAGE('07.09. Katungulu-Ishaka-24h'!K65,'08.09 Katungulu-Ishaka-24h'!K65)</f>
        <v>1.5</v>
      </c>
      <c r="L65" s="49">
        <f>AVERAGE('07.09. Katungulu-Ishaka-24h'!L65,'08.09 Katungulu-Ishaka-24h'!L65)</f>
        <v>1</v>
      </c>
      <c r="M65" s="49">
        <f>AVERAGE('07.09. Katungulu-Ishaka-24h'!M65,'08.09 Katungulu-Ishaka-24h'!M65)</f>
        <v>58.5</v>
      </c>
      <c r="N65" s="49">
        <f>AVERAGE('07.09. Katungulu-Ishaka-24h'!N65,'08.09 Katungulu-Ishaka-24h'!N65)</f>
        <v>0</v>
      </c>
      <c r="O65" s="15">
        <f t="shared" si="0"/>
        <v>9.5</v>
      </c>
      <c r="P65" s="15">
        <f t="shared" si="1"/>
        <v>68</v>
      </c>
      <c r="R65" s="8"/>
      <c r="T65"/>
    </row>
    <row r="66" spans="2:20" ht="23.1" customHeight="1" x14ac:dyDescent="0.25">
      <c r="B66" s="23" t="s">
        <v>103</v>
      </c>
      <c r="C66" s="49">
        <f>AVERAGE('07.09. Katungulu-Ishaka-24h'!C66,'08.09 Katungulu-Ishaka-24h'!C66)</f>
        <v>3</v>
      </c>
      <c r="D66" s="49">
        <f>AVERAGE('07.09. Katungulu-Ishaka-24h'!D66,'08.09 Katungulu-Ishaka-24h'!D66)</f>
        <v>0.5</v>
      </c>
      <c r="E66" s="49">
        <f>AVERAGE('07.09. Katungulu-Ishaka-24h'!E66,'08.09 Katungulu-Ishaka-24h'!E66)</f>
        <v>1.5</v>
      </c>
      <c r="F66" s="49">
        <f>AVERAGE('07.09. Katungulu-Ishaka-24h'!F66,'08.09 Katungulu-Ishaka-24h'!F66)</f>
        <v>1</v>
      </c>
      <c r="G66" s="49">
        <f>AVERAGE('07.09. Katungulu-Ishaka-24h'!G66,'08.09 Katungulu-Ishaka-24h'!G66)</f>
        <v>0</v>
      </c>
      <c r="H66" s="49">
        <f>AVERAGE('07.09. Katungulu-Ishaka-24h'!H66,'08.09 Katungulu-Ishaka-24h'!H66)</f>
        <v>0</v>
      </c>
      <c r="I66" s="49">
        <f>AVERAGE('07.09. Katungulu-Ishaka-24h'!I66,'08.09 Katungulu-Ishaka-24h'!I66)</f>
        <v>0</v>
      </c>
      <c r="J66" s="49">
        <f>AVERAGE('07.09. Katungulu-Ishaka-24h'!J66,'08.09 Katungulu-Ishaka-24h'!J66)</f>
        <v>0</v>
      </c>
      <c r="K66" s="49">
        <f>AVERAGE('07.09. Katungulu-Ishaka-24h'!K66,'08.09 Katungulu-Ishaka-24h'!K66)</f>
        <v>2</v>
      </c>
      <c r="L66" s="49">
        <f>AVERAGE('07.09. Katungulu-Ishaka-24h'!L66,'08.09 Katungulu-Ishaka-24h'!L66)</f>
        <v>0</v>
      </c>
      <c r="M66" s="49">
        <f>AVERAGE('07.09. Katungulu-Ishaka-24h'!M66,'08.09 Katungulu-Ishaka-24h'!M66)</f>
        <v>13</v>
      </c>
      <c r="N66" s="49">
        <f>AVERAGE('07.09. Katungulu-Ishaka-24h'!N66,'08.09 Katungulu-Ishaka-24h'!N66)</f>
        <v>0</v>
      </c>
      <c r="O66" s="15">
        <f t="shared" si="0"/>
        <v>8</v>
      </c>
      <c r="P66" s="15">
        <f t="shared" si="1"/>
        <v>21</v>
      </c>
      <c r="R66" s="8"/>
      <c r="T66"/>
    </row>
    <row r="67" spans="2:20" ht="23.1" customHeight="1" x14ac:dyDescent="0.25">
      <c r="B67" s="23" t="s">
        <v>104</v>
      </c>
      <c r="C67" s="49">
        <f>AVERAGE('07.09. Katungulu-Ishaka-24h'!C67,'08.09 Katungulu-Ishaka-24h'!C67)</f>
        <v>5</v>
      </c>
      <c r="D67" s="49">
        <f>AVERAGE('07.09. Katungulu-Ishaka-24h'!D67,'08.09 Katungulu-Ishaka-24h'!D67)</f>
        <v>1.5</v>
      </c>
      <c r="E67" s="49">
        <f>AVERAGE('07.09. Katungulu-Ishaka-24h'!E67,'08.09 Katungulu-Ishaka-24h'!E67)</f>
        <v>3</v>
      </c>
      <c r="F67" s="49">
        <f>AVERAGE('07.09. Katungulu-Ishaka-24h'!F67,'08.09 Katungulu-Ishaka-24h'!F67)</f>
        <v>2.5</v>
      </c>
      <c r="G67" s="49">
        <f>AVERAGE('07.09. Katungulu-Ishaka-24h'!G67,'08.09 Katungulu-Ishaka-24h'!G67)</f>
        <v>0</v>
      </c>
      <c r="H67" s="49">
        <f>AVERAGE('07.09. Katungulu-Ishaka-24h'!H67,'08.09 Katungulu-Ishaka-24h'!H67)</f>
        <v>0.5</v>
      </c>
      <c r="I67" s="49">
        <f>AVERAGE('07.09. Katungulu-Ishaka-24h'!I67,'08.09 Katungulu-Ishaka-24h'!I67)</f>
        <v>0</v>
      </c>
      <c r="J67" s="49">
        <f>AVERAGE('07.09. Katungulu-Ishaka-24h'!J67,'08.09 Katungulu-Ishaka-24h'!J67)</f>
        <v>0</v>
      </c>
      <c r="K67" s="49">
        <f>AVERAGE('07.09. Katungulu-Ishaka-24h'!K67,'08.09 Katungulu-Ishaka-24h'!K67)</f>
        <v>4</v>
      </c>
      <c r="L67" s="49">
        <f>AVERAGE('07.09. Katungulu-Ishaka-24h'!L67,'08.09 Katungulu-Ishaka-24h'!L67)</f>
        <v>0.5</v>
      </c>
      <c r="M67" s="49">
        <f>AVERAGE('07.09. Katungulu-Ishaka-24h'!M67,'08.09 Katungulu-Ishaka-24h'!M67)</f>
        <v>26</v>
      </c>
      <c r="N67" s="49">
        <f>AVERAGE('07.09. Katungulu-Ishaka-24h'!N67,'08.09 Katungulu-Ishaka-24h'!N67)</f>
        <v>0</v>
      </c>
      <c r="O67" s="15">
        <f t="shared" si="0"/>
        <v>17</v>
      </c>
      <c r="P67" s="15">
        <f t="shared" si="1"/>
        <v>43</v>
      </c>
      <c r="R67" s="8"/>
      <c r="T67"/>
    </row>
    <row r="68" spans="2:20" ht="23.1" customHeight="1" x14ac:dyDescent="0.25">
      <c r="B68" s="23" t="s">
        <v>105</v>
      </c>
      <c r="C68" s="49">
        <f>AVERAGE('07.09. Katungulu-Ishaka-24h'!C68,'08.09 Katungulu-Ishaka-24h'!C68)</f>
        <v>1</v>
      </c>
      <c r="D68" s="49">
        <f>AVERAGE('07.09. Katungulu-Ishaka-24h'!D68,'08.09 Katungulu-Ishaka-24h'!D68)</f>
        <v>1.5</v>
      </c>
      <c r="E68" s="49">
        <f>AVERAGE('07.09. Katungulu-Ishaka-24h'!E68,'08.09 Katungulu-Ishaka-24h'!E68)</f>
        <v>2.5</v>
      </c>
      <c r="F68" s="49">
        <f>AVERAGE('07.09. Katungulu-Ishaka-24h'!F68,'08.09 Katungulu-Ishaka-24h'!F68)</f>
        <v>0.5</v>
      </c>
      <c r="G68" s="49">
        <f>AVERAGE('07.09. Katungulu-Ishaka-24h'!G68,'08.09 Katungulu-Ishaka-24h'!G68)</f>
        <v>0.5</v>
      </c>
      <c r="H68" s="49">
        <f>AVERAGE('07.09. Katungulu-Ishaka-24h'!H68,'08.09 Katungulu-Ishaka-24h'!H68)</f>
        <v>0</v>
      </c>
      <c r="I68" s="49">
        <f>AVERAGE('07.09. Katungulu-Ishaka-24h'!I68,'08.09 Katungulu-Ishaka-24h'!I68)</f>
        <v>0</v>
      </c>
      <c r="J68" s="49">
        <f>AVERAGE('07.09. Katungulu-Ishaka-24h'!J68,'08.09 Katungulu-Ishaka-24h'!J68)</f>
        <v>0</v>
      </c>
      <c r="K68" s="49">
        <f>AVERAGE('07.09. Katungulu-Ishaka-24h'!K68,'08.09 Katungulu-Ishaka-24h'!K68)</f>
        <v>1.5</v>
      </c>
      <c r="L68" s="49">
        <f>AVERAGE('07.09. Katungulu-Ishaka-24h'!L68,'08.09 Katungulu-Ishaka-24h'!L68)</f>
        <v>0</v>
      </c>
      <c r="M68" s="49">
        <f>AVERAGE('07.09. Katungulu-Ishaka-24h'!M68,'08.09 Katungulu-Ishaka-24h'!M68)</f>
        <v>7.5</v>
      </c>
      <c r="N68" s="49">
        <f>AVERAGE('07.09. Katungulu-Ishaka-24h'!N68,'08.09 Katungulu-Ishaka-24h'!N68)</f>
        <v>0</v>
      </c>
      <c r="O68" s="15">
        <f t="shared" si="0"/>
        <v>7.5</v>
      </c>
      <c r="P68" s="15">
        <f t="shared" si="1"/>
        <v>15</v>
      </c>
      <c r="R68" s="8"/>
      <c r="T68"/>
    </row>
    <row r="69" spans="2:20" ht="23.1" customHeight="1" x14ac:dyDescent="0.25">
      <c r="B69" s="23" t="s">
        <v>106</v>
      </c>
      <c r="C69" s="49">
        <f>AVERAGE('07.09. Katungulu-Ishaka-24h'!C69,'08.09 Katungulu-Ishaka-24h'!C69)</f>
        <v>3.5</v>
      </c>
      <c r="D69" s="49">
        <f>AVERAGE('07.09. Katungulu-Ishaka-24h'!D69,'08.09 Katungulu-Ishaka-24h'!D69)</f>
        <v>3</v>
      </c>
      <c r="E69" s="49">
        <f>AVERAGE('07.09. Katungulu-Ishaka-24h'!E69,'08.09 Katungulu-Ishaka-24h'!E69)</f>
        <v>5.5</v>
      </c>
      <c r="F69" s="49">
        <f>AVERAGE('07.09. Katungulu-Ishaka-24h'!F69,'08.09 Katungulu-Ishaka-24h'!F69)</f>
        <v>1.5</v>
      </c>
      <c r="G69" s="49">
        <f>AVERAGE('07.09. Katungulu-Ishaka-24h'!G69,'08.09 Katungulu-Ishaka-24h'!G69)</f>
        <v>1</v>
      </c>
      <c r="H69" s="49">
        <f>AVERAGE('07.09. Katungulu-Ishaka-24h'!H69,'08.09 Katungulu-Ishaka-24h'!H69)</f>
        <v>0</v>
      </c>
      <c r="I69" s="49">
        <f>AVERAGE('07.09. Katungulu-Ishaka-24h'!I69,'08.09 Katungulu-Ishaka-24h'!I69)</f>
        <v>0</v>
      </c>
      <c r="J69" s="49">
        <f>AVERAGE('07.09. Katungulu-Ishaka-24h'!J69,'08.09 Katungulu-Ishaka-24h'!J69)</f>
        <v>1</v>
      </c>
      <c r="K69" s="49">
        <f>AVERAGE('07.09. Katungulu-Ishaka-24h'!K69,'08.09 Katungulu-Ishaka-24h'!K69)</f>
        <v>3</v>
      </c>
      <c r="L69" s="49">
        <f>AVERAGE('07.09. Katungulu-Ishaka-24h'!L69,'08.09 Katungulu-Ishaka-24h'!L69)</f>
        <v>0</v>
      </c>
      <c r="M69" s="49">
        <f>AVERAGE('07.09. Katungulu-Ishaka-24h'!M69,'08.09 Katungulu-Ishaka-24h'!M69)</f>
        <v>16</v>
      </c>
      <c r="N69" s="49">
        <f>AVERAGE('07.09. Katungulu-Ishaka-24h'!N69,'08.09 Katungulu-Ishaka-24h'!N69)</f>
        <v>0</v>
      </c>
      <c r="O69" s="15">
        <f t="shared" si="0"/>
        <v>18.5</v>
      </c>
      <c r="P69" s="15">
        <f t="shared" si="1"/>
        <v>34.5</v>
      </c>
      <c r="R69" s="8"/>
      <c r="T69"/>
    </row>
    <row r="70" spans="2:20" ht="23.1" customHeight="1" x14ac:dyDescent="0.25">
      <c r="B70" s="23" t="s">
        <v>110</v>
      </c>
      <c r="C70" s="49">
        <f>AVERAGE('07.09. Katungulu-Ishaka-24h'!C70,'08.09 Katungulu-Ishaka-24h'!C70)</f>
        <v>1</v>
      </c>
      <c r="D70" s="49">
        <f>AVERAGE('07.09. Katungulu-Ishaka-24h'!D70,'08.09 Katungulu-Ishaka-24h'!D70)</f>
        <v>1.5</v>
      </c>
      <c r="E70" s="49">
        <f>AVERAGE('07.09. Katungulu-Ishaka-24h'!E70,'08.09 Katungulu-Ishaka-24h'!E70)</f>
        <v>2.5</v>
      </c>
      <c r="F70" s="49">
        <f>AVERAGE('07.09. Katungulu-Ishaka-24h'!F70,'08.09 Katungulu-Ishaka-24h'!F70)</f>
        <v>1</v>
      </c>
      <c r="G70" s="49">
        <f>AVERAGE('07.09. Katungulu-Ishaka-24h'!G70,'08.09 Katungulu-Ishaka-24h'!G70)</f>
        <v>0</v>
      </c>
      <c r="H70" s="49">
        <f>AVERAGE('07.09. Katungulu-Ishaka-24h'!H70,'08.09 Katungulu-Ishaka-24h'!H70)</f>
        <v>0</v>
      </c>
      <c r="I70" s="49">
        <f>AVERAGE('07.09. Katungulu-Ishaka-24h'!I70,'08.09 Katungulu-Ishaka-24h'!I70)</f>
        <v>0.5</v>
      </c>
      <c r="J70" s="49">
        <f>AVERAGE('07.09. Katungulu-Ishaka-24h'!J70,'08.09 Katungulu-Ishaka-24h'!J70)</f>
        <v>1</v>
      </c>
      <c r="K70" s="49">
        <f>AVERAGE('07.09. Katungulu-Ishaka-24h'!K70,'08.09 Katungulu-Ishaka-24h'!K70)</f>
        <v>0.5</v>
      </c>
      <c r="L70" s="49">
        <f>AVERAGE('07.09. Katungulu-Ishaka-24h'!L70,'08.09 Katungulu-Ishaka-24h'!L70)</f>
        <v>0</v>
      </c>
      <c r="M70" s="49">
        <f>AVERAGE('07.09. Katungulu-Ishaka-24h'!M70,'08.09 Katungulu-Ishaka-24h'!M70)</f>
        <v>4.5</v>
      </c>
      <c r="N70" s="49">
        <f>AVERAGE('07.09. Katungulu-Ishaka-24h'!N70,'08.09 Katungulu-Ishaka-24h'!N70)</f>
        <v>0</v>
      </c>
      <c r="O70" s="15">
        <f t="shared" si="0"/>
        <v>8</v>
      </c>
      <c r="P70" s="15">
        <f t="shared" si="1"/>
        <v>12.5</v>
      </c>
      <c r="R70" s="8"/>
      <c r="T70"/>
    </row>
    <row r="71" spans="2:20" ht="23.1" customHeight="1" x14ac:dyDescent="0.25">
      <c r="B71" s="23" t="s">
        <v>111</v>
      </c>
      <c r="C71" s="49">
        <f>AVERAGE('07.09. Katungulu-Ishaka-24h'!C71,'08.09 Katungulu-Ishaka-24h'!C71)</f>
        <v>2.5</v>
      </c>
      <c r="D71" s="49">
        <f>AVERAGE('07.09. Katungulu-Ishaka-24h'!D71,'08.09 Katungulu-Ishaka-24h'!D71)</f>
        <v>2.5</v>
      </c>
      <c r="E71" s="49">
        <f>AVERAGE('07.09. Katungulu-Ishaka-24h'!E71,'08.09 Katungulu-Ishaka-24h'!E71)</f>
        <v>6</v>
      </c>
      <c r="F71" s="49">
        <f>AVERAGE('07.09. Katungulu-Ishaka-24h'!F71,'08.09 Katungulu-Ishaka-24h'!F71)</f>
        <v>2</v>
      </c>
      <c r="G71" s="49">
        <f>AVERAGE('07.09. Katungulu-Ishaka-24h'!G71,'08.09 Katungulu-Ishaka-24h'!G71)</f>
        <v>0</v>
      </c>
      <c r="H71" s="49">
        <f>AVERAGE('07.09. Katungulu-Ishaka-24h'!H71,'08.09 Katungulu-Ishaka-24h'!H71)</f>
        <v>0</v>
      </c>
      <c r="I71" s="49">
        <f>AVERAGE('07.09. Katungulu-Ishaka-24h'!I71,'08.09 Katungulu-Ishaka-24h'!I71)</f>
        <v>1</v>
      </c>
      <c r="J71" s="49">
        <f>AVERAGE('07.09. Katungulu-Ishaka-24h'!J71,'08.09 Katungulu-Ishaka-24h'!J71)</f>
        <v>2.5</v>
      </c>
      <c r="K71" s="49">
        <f>AVERAGE('07.09. Katungulu-Ishaka-24h'!K71,'08.09 Katungulu-Ishaka-24h'!K71)</f>
        <v>2</v>
      </c>
      <c r="L71" s="49">
        <f>AVERAGE('07.09. Katungulu-Ishaka-24h'!L71,'08.09 Katungulu-Ishaka-24h'!L71)</f>
        <v>0</v>
      </c>
      <c r="M71" s="49">
        <f>AVERAGE('07.09. Katungulu-Ishaka-24h'!M71,'08.09 Katungulu-Ishaka-24h'!M71)</f>
        <v>9.5</v>
      </c>
      <c r="N71" s="49">
        <f>AVERAGE('07.09. Katungulu-Ishaka-24h'!N71,'08.09 Katungulu-Ishaka-24h'!N71)</f>
        <v>0</v>
      </c>
      <c r="O71" s="15">
        <f t="shared" si="0"/>
        <v>18.5</v>
      </c>
      <c r="P71" s="15">
        <f t="shared" si="1"/>
        <v>28</v>
      </c>
      <c r="R71" s="8"/>
      <c r="T71"/>
    </row>
    <row r="72" spans="2:20" ht="23.1" customHeight="1" x14ac:dyDescent="0.25">
      <c r="B72" s="23" t="s">
        <v>112</v>
      </c>
      <c r="C72" s="49">
        <f>AVERAGE('07.09. Katungulu-Ishaka-24h'!C72,'08.09 Katungulu-Ishaka-24h'!C72)</f>
        <v>1.5</v>
      </c>
      <c r="D72" s="49">
        <f>AVERAGE('07.09. Katungulu-Ishaka-24h'!D72,'08.09 Katungulu-Ishaka-24h'!D72)</f>
        <v>1</v>
      </c>
      <c r="E72" s="49">
        <f>AVERAGE('07.09. Katungulu-Ishaka-24h'!E72,'08.09 Katungulu-Ishaka-24h'!E72)</f>
        <v>1.5</v>
      </c>
      <c r="F72" s="49">
        <f>AVERAGE('07.09. Katungulu-Ishaka-24h'!F72,'08.09 Katungulu-Ishaka-24h'!F72)</f>
        <v>0</v>
      </c>
      <c r="G72" s="49">
        <f>AVERAGE('07.09. Katungulu-Ishaka-24h'!G72,'08.09 Katungulu-Ishaka-24h'!G72)</f>
        <v>0</v>
      </c>
      <c r="H72" s="49">
        <f>AVERAGE('07.09. Katungulu-Ishaka-24h'!H72,'08.09 Katungulu-Ishaka-24h'!H72)</f>
        <v>0</v>
      </c>
      <c r="I72" s="49">
        <f>AVERAGE('07.09. Katungulu-Ishaka-24h'!I72,'08.09 Katungulu-Ishaka-24h'!I72)</f>
        <v>0</v>
      </c>
      <c r="J72" s="49">
        <f>AVERAGE('07.09. Katungulu-Ishaka-24h'!J72,'08.09 Katungulu-Ishaka-24h'!J72)</f>
        <v>1</v>
      </c>
      <c r="K72" s="49">
        <f>AVERAGE('07.09. Katungulu-Ishaka-24h'!K72,'08.09 Katungulu-Ishaka-24h'!K72)</f>
        <v>3</v>
      </c>
      <c r="L72" s="49">
        <f>AVERAGE('07.09. Katungulu-Ishaka-24h'!L72,'08.09 Katungulu-Ishaka-24h'!L72)</f>
        <v>0</v>
      </c>
      <c r="M72" s="49">
        <f>AVERAGE('07.09. Katungulu-Ishaka-24h'!M72,'08.09 Katungulu-Ishaka-24h'!M72)</f>
        <v>5.5</v>
      </c>
      <c r="N72" s="49">
        <f>AVERAGE('07.09. Katungulu-Ishaka-24h'!N72,'08.09 Katungulu-Ishaka-24h'!N72)</f>
        <v>0</v>
      </c>
      <c r="O72" s="15">
        <f t="shared" si="0"/>
        <v>8</v>
      </c>
      <c r="P72" s="15">
        <f t="shared" si="1"/>
        <v>13.5</v>
      </c>
      <c r="R72" s="8"/>
      <c r="T72"/>
    </row>
    <row r="73" spans="2:20" ht="23.1" customHeight="1" x14ac:dyDescent="0.25">
      <c r="B73" s="23" t="s">
        <v>113</v>
      </c>
      <c r="C73" s="49">
        <f>AVERAGE('07.09. Katungulu-Ishaka-24h'!C73,'08.09 Katungulu-Ishaka-24h'!C73)</f>
        <v>3.5</v>
      </c>
      <c r="D73" s="49">
        <f>AVERAGE('07.09. Katungulu-Ishaka-24h'!D73,'08.09 Katungulu-Ishaka-24h'!D73)</f>
        <v>2</v>
      </c>
      <c r="E73" s="49">
        <f>AVERAGE('07.09. Katungulu-Ishaka-24h'!E73,'08.09 Katungulu-Ishaka-24h'!E73)</f>
        <v>3</v>
      </c>
      <c r="F73" s="49">
        <f>AVERAGE('07.09. Katungulu-Ishaka-24h'!F73,'08.09 Katungulu-Ishaka-24h'!F73)</f>
        <v>0</v>
      </c>
      <c r="G73" s="49">
        <f>AVERAGE('07.09. Katungulu-Ishaka-24h'!G73,'08.09 Katungulu-Ishaka-24h'!G73)</f>
        <v>0</v>
      </c>
      <c r="H73" s="49">
        <f>AVERAGE('07.09. Katungulu-Ishaka-24h'!H73,'08.09 Katungulu-Ishaka-24h'!H73)</f>
        <v>0.5</v>
      </c>
      <c r="I73" s="49">
        <f>AVERAGE('07.09. Katungulu-Ishaka-24h'!I73,'08.09 Katungulu-Ishaka-24h'!I73)</f>
        <v>0</v>
      </c>
      <c r="J73" s="49">
        <f>AVERAGE('07.09. Katungulu-Ishaka-24h'!J73,'08.09 Katungulu-Ishaka-24h'!J73)</f>
        <v>1.5</v>
      </c>
      <c r="K73" s="49">
        <f>AVERAGE('07.09. Katungulu-Ishaka-24h'!K73,'08.09 Katungulu-Ishaka-24h'!K73)</f>
        <v>5</v>
      </c>
      <c r="L73" s="49">
        <f>AVERAGE('07.09. Katungulu-Ishaka-24h'!L73,'08.09 Katungulu-Ishaka-24h'!L73)</f>
        <v>0</v>
      </c>
      <c r="M73" s="49">
        <f>AVERAGE('07.09. Katungulu-Ishaka-24h'!M73,'08.09 Katungulu-Ishaka-24h'!M73)</f>
        <v>11</v>
      </c>
      <c r="N73" s="49">
        <f>AVERAGE('07.09. Katungulu-Ishaka-24h'!N73,'08.09 Katungulu-Ishaka-24h'!N73)</f>
        <v>0</v>
      </c>
      <c r="O73" s="15">
        <f t="shared" si="0"/>
        <v>15.5</v>
      </c>
      <c r="P73" s="15">
        <f t="shared" si="1"/>
        <v>26.5</v>
      </c>
      <c r="R73" s="8"/>
      <c r="T73"/>
    </row>
    <row r="74" spans="2:20" ht="23.1" customHeight="1" x14ac:dyDescent="0.25">
      <c r="B74" s="23" t="s">
        <v>114</v>
      </c>
      <c r="C74" s="49">
        <f>AVERAGE('07.09. Katungulu-Ishaka-24h'!C74,'08.09 Katungulu-Ishaka-24h'!C74)</f>
        <v>1</v>
      </c>
      <c r="D74" s="49">
        <f>AVERAGE('07.09. Katungulu-Ishaka-24h'!D74,'08.09 Katungulu-Ishaka-24h'!D74)</f>
        <v>0.5</v>
      </c>
      <c r="E74" s="49">
        <f>AVERAGE('07.09. Katungulu-Ishaka-24h'!E74,'08.09 Katungulu-Ishaka-24h'!E74)</f>
        <v>0.5</v>
      </c>
      <c r="F74" s="49">
        <f>AVERAGE('07.09. Katungulu-Ishaka-24h'!F74,'08.09 Katungulu-Ishaka-24h'!F74)</f>
        <v>0.5</v>
      </c>
      <c r="G74" s="49">
        <f>AVERAGE('07.09. Katungulu-Ishaka-24h'!G74,'08.09 Katungulu-Ishaka-24h'!G74)</f>
        <v>0</v>
      </c>
      <c r="H74" s="49">
        <f>AVERAGE('07.09. Katungulu-Ishaka-24h'!H74,'08.09 Katungulu-Ishaka-24h'!H74)</f>
        <v>0</v>
      </c>
      <c r="I74" s="49">
        <f>AVERAGE('07.09. Katungulu-Ishaka-24h'!I74,'08.09 Katungulu-Ishaka-24h'!I74)</f>
        <v>0</v>
      </c>
      <c r="J74" s="49">
        <f>AVERAGE('07.09. Katungulu-Ishaka-24h'!J74,'08.09 Katungulu-Ishaka-24h'!J74)</f>
        <v>1</v>
      </c>
      <c r="K74" s="49">
        <f>AVERAGE('07.09. Katungulu-Ishaka-24h'!K74,'08.09 Katungulu-Ishaka-24h'!K74)</f>
        <v>1</v>
      </c>
      <c r="L74" s="49">
        <f>AVERAGE('07.09. Katungulu-Ishaka-24h'!L74,'08.09 Katungulu-Ishaka-24h'!L74)</f>
        <v>0</v>
      </c>
      <c r="M74" s="49">
        <f>AVERAGE('07.09. Katungulu-Ishaka-24h'!M74,'08.09 Katungulu-Ishaka-24h'!M74)</f>
        <v>3</v>
      </c>
      <c r="N74" s="49">
        <f>AVERAGE('07.09. Katungulu-Ishaka-24h'!N74,'08.09 Katungulu-Ishaka-24h'!N74)</f>
        <v>0</v>
      </c>
      <c r="O74" s="15">
        <f t="shared" ref="O74:O105" si="35">SUM(C74:L74,N74)</f>
        <v>4.5</v>
      </c>
      <c r="P74" s="15">
        <f t="shared" ref="P74:P105" si="36">SUM(C74:N74)</f>
        <v>7.5</v>
      </c>
      <c r="R74" s="8"/>
      <c r="T74"/>
    </row>
    <row r="75" spans="2:20" ht="23.1" customHeight="1" x14ac:dyDescent="0.25">
      <c r="B75" s="23" t="s">
        <v>115</v>
      </c>
      <c r="C75" s="49">
        <f>AVERAGE('07.09. Katungulu-Ishaka-24h'!C75,'08.09 Katungulu-Ishaka-24h'!C75)</f>
        <v>2</v>
      </c>
      <c r="D75" s="49">
        <f>AVERAGE('07.09. Katungulu-Ishaka-24h'!D75,'08.09 Katungulu-Ishaka-24h'!D75)</f>
        <v>1</v>
      </c>
      <c r="E75" s="49">
        <f>AVERAGE('07.09. Katungulu-Ishaka-24h'!E75,'08.09 Katungulu-Ishaka-24h'!E75)</f>
        <v>1.5</v>
      </c>
      <c r="F75" s="49">
        <f>AVERAGE('07.09. Katungulu-Ishaka-24h'!F75,'08.09 Katungulu-Ishaka-24h'!F75)</f>
        <v>1.5</v>
      </c>
      <c r="G75" s="49">
        <f>AVERAGE('07.09. Katungulu-Ishaka-24h'!G75,'08.09 Katungulu-Ishaka-24h'!G75)</f>
        <v>0.5</v>
      </c>
      <c r="H75" s="49">
        <f>AVERAGE('07.09. Katungulu-Ishaka-24h'!H75,'08.09 Katungulu-Ishaka-24h'!H75)</f>
        <v>0</v>
      </c>
      <c r="I75" s="49">
        <f>AVERAGE('07.09. Katungulu-Ishaka-24h'!I75,'08.09 Katungulu-Ishaka-24h'!I75)</f>
        <v>1</v>
      </c>
      <c r="J75" s="49">
        <f>AVERAGE('07.09. Katungulu-Ishaka-24h'!J75,'08.09 Katungulu-Ishaka-24h'!J75)</f>
        <v>1.5</v>
      </c>
      <c r="K75" s="49">
        <f>AVERAGE('07.09. Katungulu-Ishaka-24h'!K75,'08.09 Katungulu-Ishaka-24h'!K75)</f>
        <v>2</v>
      </c>
      <c r="L75" s="49">
        <f>AVERAGE('07.09. Katungulu-Ishaka-24h'!L75,'08.09 Katungulu-Ishaka-24h'!L75)</f>
        <v>1</v>
      </c>
      <c r="M75" s="49">
        <f>AVERAGE('07.09. Katungulu-Ishaka-24h'!M75,'08.09 Katungulu-Ishaka-24h'!M75)</f>
        <v>6.5</v>
      </c>
      <c r="N75" s="49">
        <f>AVERAGE('07.09. Katungulu-Ishaka-24h'!N75,'08.09 Katungulu-Ishaka-24h'!N75)</f>
        <v>0</v>
      </c>
      <c r="O75" s="15">
        <f t="shared" si="35"/>
        <v>12</v>
      </c>
      <c r="P75" s="15">
        <f t="shared" si="36"/>
        <v>18.5</v>
      </c>
      <c r="R75" s="8"/>
      <c r="T75"/>
    </row>
    <row r="76" spans="2:20" ht="23.1" customHeight="1" x14ac:dyDescent="0.25">
      <c r="B76" s="23" t="s">
        <v>116</v>
      </c>
      <c r="C76" s="49">
        <f>AVERAGE('07.09. Katungulu-Ishaka-24h'!C76,'08.09 Katungulu-Ishaka-24h'!C76)</f>
        <v>0</v>
      </c>
      <c r="D76" s="49">
        <f>AVERAGE('07.09. Katungulu-Ishaka-24h'!D76,'08.09 Katungulu-Ishaka-24h'!D76)</f>
        <v>0</v>
      </c>
      <c r="E76" s="49">
        <f>AVERAGE('07.09. Katungulu-Ishaka-24h'!E76,'08.09 Katungulu-Ishaka-24h'!E76)</f>
        <v>0.5</v>
      </c>
      <c r="F76" s="49">
        <f>AVERAGE('07.09. Katungulu-Ishaka-24h'!F76,'08.09 Katungulu-Ishaka-24h'!F76)</f>
        <v>0</v>
      </c>
      <c r="G76" s="49">
        <f>AVERAGE('07.09. Katungulu-Ishaka-24h'!G76,'08.09 Katungulu-Ishaka-24h'!G76)</f>
        <v>0</v>
      </c>
      <c r="H76" s="49">
        <f>AVERAGE('07.09. Katungulu-Ishaka-24h'!H76,'08.09 Katungulu-Ishaka-24h'!H76)</f>
        <v>0</v>
      </c>
      <c r="I76" s="49">
        <f>AVERAGE('07.09. Katungulu-Ishaka-24h'!I76,'08.09 Katungulu-Ishaka-24h'!I76)</f>
        <v>0</v>
      </c>
      <c r="J76" s="49">
        <f>AVERAGE('07.09. Katungulu-Ishaka-24h'!J76,'08.09 Katungulu-Ishaka-24h'!J76)</f>
        <v>0</v>
      </c>
      <c r="K76" s="49">
        <f>AVERAGE('07.09. Katungulu-Ishaka-24h'!K76,'08.09 Katungulu-Ishaka-24h'!K76)</f>
        <v>1.5</v>
      </c>
      <c r="L76" s="49">
        <f>AVERAGE('07.09. Katungulu-Ishaka-24h'!L76,'08.09 Katungulu-Ishaka-24h'!L76)</f>
        <v>0</v>
      </c>
      <c r="M76" s="49">
        <f>AVERAGE('07.09. Katungulu-Ishaka-24h'!M76,'08.09 Katungulu-Ishaka-24h'!M76)</f>
        <v>2</v>
      </c>
      <c r="N76" s="49">
        <f>AVERAGE('07.09. Katungulu-Ishaka-24h'!N76,'08.09 Katungulu-Ishaka-24h'!N76)</f>
        <v>0</v>
      </c>
      <c r="O76" s="15">
        <f t="shared" si="35"/>
        <v>2</v>
      </c>
      <c r="P76" s="15">
        <f t="shared" si="36"/>
        <v>4</v>
      </c>
      <c r="R76" s="8"/>
      <c r="T76"/>
    </row>
    <row r="77" spans="2:20" ht="23.1" customHeight="1" x14ac:dyDescent="0.25">
      <c r="B77" s="23" t="s">
        <v>117</v>
      </c>
      <c r="C77" s="49">
        <f>AVERAGE('07.09. Katungulu-Ishaka-24h'!C77,'08.09 Katungulu-Ishaka-24h'!C77)</f>
        <v>0.5</v>
      </c>
      <c r="D77" s="49">
        <f>AVERAGE('07.09. Katungulu-Ishaka-24h'!D77,'08.09 Katungulu-Ishaka-24h'!D77)</f>
        <v>0.5</v>
      </c>
      <c r="E77" s="49">
        <f>AVERAGE('07.09. Katungulu-Ishaka-24h'!E77,'08.09 Katungulu-Ishaka-24h'!E77)</f>
        <v>0.5</v>
      </c>
      <c r="F77" s="49">
        <f>AVERAGE('07.09. Katungulu-Ishaka-24h'!F77,'08.09 Katungulu-Ishaka-24h'!F77)</f>
        <v>0.5</v>
      </c>
      <c r="G77" s="49">
        <f>AVERAGE('07.09. Katungulu-Ishaka-24h'!G77,'08.09 Katungulu-Ishaka-24h'!G77)</f>
        <v>0.5</v>
      </c>
      <c r="H77" s="49">
        <f>AVERAGE('07.09. Katungulu-Ishaka-24h'!H77,'08.09 Katungulu-Ishaka-24h'!H77)</f>
        <v>1</v>
      </c>
      <c r="I77" s="49">
        <f>AVERAGE('07.09. Katungulu-Ishaka-24h'!I77,'08.09 Katungulu-Ishaka-24h'!I77)</f>
        <v>0</v>
      </c>
      <c r="J77" s="49">
        <f>AVERAGE('07.09. Katungulu-Ishaka-24h'!J77,'08.09 Katungulu-Ishaka-24h'!J77)</f>
        <v>0.5</v>
      </c>
      <c r="K77" s="49">
        <f>AVERAGE('07.09. Katungulu-Ishaka-24h'!K77,'08.09 Katungulu-Ishaka-24h'!K77)</f>
        <v>3</v>
      </c>
      <c r="L77" s="49">
        <f>AVERAGE('07.09. Katungulu-Ishaka-24h'!L77,'08.09 Katungulu-Ishaka-24h'!L77)</f>
        <v>0</v>
      </c>
      <c r="M77" s="49">
        <f>AVERAGE('07.09. Katungulu-Ishaka-24h'!M77,'08.09 Katungulu-Ishaka-24h'!M77)</f>
        <v>4.5</v>
      </c>
      <c r="N77" s="49">
        <f>AVERAGE('07.09. Katungulu-Ishaka-24h'!N77,'08.09 Katungulu-Ishaka-24h'!N77)</f>
        <v>0</v>
      </c>
      <c r="O77" s="15">
        <f t="shared" si="35"/>
        <v>7</v>
      </c>
      <c r="P77" s="15">
        <f t="shared" si="36"/>
        <v>11.5</v>
      </c>
      <c r="R77" s="8"/>
      <c r="T77"/>
    </row>
    <row r="78" spans="2:20" ht="23.1" customHeight="1" x14ac:dyDescent="0.25">
      <c r="B78" s="24" t="s">
        <v>118</v>
      </c>
      <c r="C78" s="49">
        <f>AVERAGE('07.09. Katungulu-Ishaka-24h'!C78,'08.09 Katungulu-Ishaka-24h'!C78)</f>
        <v>0.5</v>
      </c>
      <c r="D78" s="49">
        <f>AVERAGE('07.09. Katungulu-Ishaka-24h'!D78,'08.09 Katungulu-Ishaka-24h'!D78)</f>
        <v>0.5</v>
      </c>
      <c r="E78" s="49">
        <f>AVERAGE('07.09. Katungulu-Ishaka-24h'!E78,'08.09 Katungulu-Ishaka-24h'!E78)</f>
        <v>1</v>
      </c>
      <c r="F78" s="49">
        <f>AVERAGE('07.09. Katungulu-Ishaka-24h'!F78,'08.09 Katungulu-Ishaka-24h'!F78)</f>
        <v>0</v>
      </c>
      <c r="G78" s="49">
        <f>AVERAGE('07.09. Katungulu-Ishaka-24h'!G78,'08.09 Katungulu-Ishaka-24h'!G78)</f>
        <v>0</v>
      </c>
      <c r="H78" s="49">
        <f>AVERAGE('07.09. Katungulu-Ishaka-24h'!H78,'08.09 Katungulu-Ishaka-24h'!H78)</f>
        <v>0.5</v>
      </c>
      <c r="I78" s="49">
        <f>AVERAGE('07.09. Katungulu-Ishaka-24h'!I78,'08.09 Katungulu-Ishaka-24h'!I78)</f>
        <v>0</v>
      </c>
      <c r="J78" s="49">
        <f>AVERAGE('07.09. Katungulu-Ishaka-24h'!J78,'08.09 Katungulu-Ishaka-24h'!J78)</f>
        <v>1</v>
      </c>
      <c r="K78" s="49">
        <f>AVERAGE('07.09. Katungulu-Ishaka-24h'!K78,'08.09 Katungulu-Ishaka-24h'!K78)</f>
        <v>0</v>
      </c>
      <c r="L78" s="49">
        <f>AVERAGE('07.09. Katungulu-Ishaka-24h'!L78,'08.09 Katungulu-Ishaka-24h'!L78)</f>
        <v>0</v>
      </c>
      <c r="M78" s="49">
        <f>AVERAGE('07.09. Katungulu-Ishaka-24h'!M78,'08.09 Katungulu-Ishaka-24h'!M78)</f>
        <v>1.5</v>
      </c>
      <c r="N78" s="49">
        <f>AVERAGE('07.09. Katungulu-Ishaka-24h'!N78,'08.09 Katungulu-Ishaka-24h'!N78)</f>
        <v>0</v>
      </c>
      <c r="O78" s="15">
        <f t="shared" si="35"/>
        <v>3.5</v>
      </c>
      <c r="P78" s="15">
        <f t="shared" si="36"/>
        <v>5</v>
      </c>
      <c r="R78" s="8"/>
      <c r="T78"/>
    </row>
    <row r="79" spans="2:20" ht="23.1" customHeight="1" x14ac:dyDescent="0.25">
      <c r="B79" s="23" t="s">
        <v>119</v>
      </c>
      <c r="C79" s="49">
        <f>AVERAGE('07.09. Katungulu-Ishaka-24h'!C79,'08.09 Katungulu-Ishaka-24h'!C79)</f>
        <v>1.5</v>
      </c>
      <c r="D79" s="49">
        <f>AVERAGE('07.09. Katungulu-Ishaka-24h'!D79,'08.09 Katungulu-Ishaka-24h'!D79)</f>
        <v>1</v>
      </c>
      <c r="E79" s="49">
        <f>AVERAGE('07.09. Katungulu-Ishaka-24h'!E79,'08.09 Katungulu-Ishaka-24h'!E79)</f>
        <v>2</v>
      </c>
      <c r="F79" s="49">
        <f>AVERAGE('07.09. Katungulu-Ishaka-24h'!F79,'08.09 Katungulu-Ishaka-24h'!F79)</f>
        <v>1</v>
      </c>
      <c r="G79" s="49">
        <f>AVERAGE('07.09. Katungulu-Ishaka-24h'!G79,'08.09 Katungulu-Ishaka-24h'!G79)</f>
        <v>0</v>
      </c>
      <c r="H79" s="49">
        <f>AVERAGE('07.09. Katungulu-Ishaka-24h'!H79,'08.09 Katungulu-Ishaka-24h'!H79)</f>
        <v>1.5</v>
      </c>
      <c r="I79" s="49">
        <f>AVERAGE('07.09. Katungulu-Ishaka-24h'!I79,'08.09 Katungulu-Ishaka-24h'!I79)</f>
        <v>0</v>
      </c>
      <c r="J79" s="49">
        <f>AVERAGE('07.09. Katungulu-Ishaka-24h'!J79,'08.09 Katungulu-Ishaka-24h'!J79)</f>
        <v>2</v>
      </c>
      <c r="K79" s="49">
        <f>AVERAGE('07.09. Katungulu-Ishaka-24h'!K79,'08.09 Katungulu-Ishaka-24h'!K79)</f>
        <v>0.5</v>
      </c>
      <c r="L79" s="49">
        <f>AVERAGE('07.09. Katungulu-Ishaka-24h'!L79,'08.09 Katungulu-Ishaka-24h'!L79)</f>
        <v>0.5</v>
      </c>
      <c r="M79" s="49">
        <f>AVERAGE('07.09. Katungulu-Ishaka-24h'!M79,'08.09 Katungulu-Ishaka-24h'!M79)</f>
        <v>3</v>
      </c>
      <c r="N79" s="49">
        <f>AVERAGE('07.09. Katungulu-Ishaka-24h'!N79,'08.09 Katungulu-Ishaka-24h'!N79)</f>
        <v>0</v>
      </c>
      <c r="O79" s="15">
        <f t="shared" si="35"/>
        <v>10</v>
      </c>
      <c r="P79" s="15">
        <f t="shared" si="36"/>
        <v>13</v>
      </c>
      <c r="R79" s="8"/>
      <c r="T79"/>
    </row>
    <row r="80" spans="2:20" ht="23.1" customHeight="1" x14ac:dyDescent="0.25">
      <c r="B80" s="25" t="s">
        <v>120</v>
      </c>
      <c r="C80" s="49">
        <f>AVERAGE('07.09. Katungulu-Ishaka-24h'!C80,'08.09 Katungulu-Ishaka-24h'!C80)</f>
        <v>0</v>
      </c>
      <c r="D80" s="49">
        <f>AVERAGE('07.09. Katungulu-Ishaka-24h'!D80,'08.09 Katungulu-Ishaka-24h'!D80)</f>
        <v>0</v>
      </c>
      <c r="E80" s="49">
        <f>AVERAGE('07.09. Katungulu-Ishaka-24h'!E80,'08.09 Katungulu-Ishaka-24h'!E80)</f>
        <v>0</v>
      </c>
      <c r="F80" s="49">
        <f>AVERAGE('07.09. Katungulu-Ishaka-24h'!F80,'08.09 Katungulu-Ishaka-24h'!F80)</f>
        <v>1.5</v>
      </c>
      <c r="G80" s="49">
        <f>AVERAGE('07.09. Katungulu-Ishaka-24h'!G80,'08.09 Katungulu-Ishaka-24h'!G80)</f>
        <v>0</v>
      </c>
      <c r="H80" s="49">
        <f>AVERAGE('07.09. Katungulu-Ishaka-24h'!H80,'08.09 Katungulu-Ishaka-24h'!H80)</f>
        <v>0</v>
      </c>
      <c r="I80" s="49">
        <f>AVERAGE('07.09. Katungulu-Ishaka-24h'!I80,'08.09 Katungulu-Ishaka-24h'!I80)</f>
        <v>0</v>
      </c>
      <c r="J80" s="49">
        <f>AVERAGE('07.09. Katungulu-Ishaka-24h'!J80,'08.09 Katungulu-Ishaka-24h'!J80)</f>
        <v>0.5</v>
      </c>
      <c r="K80" s="49">
        <f>AVERAGE('07.09. Katungulu-Ishaka-24h'!K80,'08.09 Katungulu-Ishaka-24h'!K80)</f>
        <v>0</v>
      </c>
      <c r="L80" s="49">
        <f>AVERAGE('07.09. Katungulu-Ishaka-24h'!L80,'08.09 Katungulu-Ishaka-24h'!L80)</f>
        <v>0</v>
      </c>
      <c r="M80" s="49">
        <f>AVERAGE('07.09. Katungulu-Ishaka-24h'!M80,'08.09 Katungulu-Ishaka-24h'!M80)</f>
        <v>1.5</v>
      </c>
      <c r="N80" s="49">
        <f>AVERAGE('07.09. Katungulu-Ishaka-24h'!N80,'08.09 Katungulu-Ishaka-24h'!N80)</f>
        <v>0</v>
      </c>
      <c r="O80" s="15">
        <f t="shared" si="35"/>
        <v>2</v>
      </c>
      <c r="P80" s="15">
        <f t="shared" si="36"/>
        <v>3.5</v>
      </c>
      <c r="R80" s="8"/>
      <c r="T80"/>
    </row>
    <row r="81" spans="2:20" ht="23.1" customHeight="1" x14ac:dyDescent="0.25">
      <c r="B81" s="23" t="s">
        <v>121</v>
      </c>
      <c r="C81" s="49">
        <f>AVERAGE('07.09. Katungulu-Ishaka-24h'!C81,'08.09 Katungulu-Ishaka-24h'!C81)</f>
        <v>0.5</v>
      </c>
      <c r="D81" s="49">
        <f>AVERAGE('07.09. Katungulu-Ishaka-24h'!D81,'08.09 Katungulu-Ishaka-24h'!D81)</f>
        <v>0</v>
      </c>
      <c r="E81" s="49">
        <f>AVERAGE('07.09. Katungulu-Ishaka-24h'!E81,'08.09 Katungulu-Ishaka-24h'!E81)</f>
        <v>0.5</v>
      </c>
      <c r="F81" s="49">
        <f>AVERAGE('07.09. Katungulu-Ishaka-24h'!F81,'08.09 Katungulu-Ishaka-24h'!F81)</f>
        <v>3.5</v>
      </c>
      <c r="G81" s="49">
        <f>AVERAGE('07.09. Katungulu-Ishaka-24h'!G81,'08.09 Katungulu-Ishaka-24h'!G81)</f>
        <v>0</v>
      </c>
      <c r="H81" s="49">
        <f>AVERAGE('07.09. Katungulu-Ishaka-24h'!H81,'08.09 Katungulu-Ishaka-24h'!H81)</f>
        <v>0</v>
      </c>
      <c r="I81" s="49">
        <f>AVERAGE('07.09. Katungulu-Ishaka-24h'!I81,'08.09 Katungulu-Ishaka-24h'!I81)</f>
        <v>0</v>
      </c>
      <c r="J81" s="49">
        <f>AVERAGE('07.09. Katungulu-Ishaka-24h'!J81,'08.09 Katungulu-Ishaka-24h'!J81)</f>
        <v>1.5</v>
      </c>
      <c r="K81" s="49">
        <f>AVERAGE('07.09. Katungulu-Ishaka-24h'!K81,'08.09 Katungulu-Ishaka-24h'!K81)</f>
        <v>0</v>
      </c>
      <c r="L81" s="49">
        <f>AVERAGE('07.09. Katungulu-Ishaka-24h'!L81,'08.09 Katungulu-Ishaka-24h'!L81)</f>
        <v>0</v>
      </c>
      <c r="M81" s="49">
        <f>AVERAGE('07.09. Katungulu-Ishaka-24h'!M81,'08.09 Katungulu-Ishaka-24h'!M81)</f>
        <v>3.5</v>
      </c>
      <c r="N81" s="49">
        <f>AVERAGE('07.09. Katungulu-Ishaka-24h'!N81,'08.09 Katungulu-Ishaka-24h'!N81)</f>
        <v>0</v>
      </c>
      <c r="O81" s="15">
        <f t="shared" si="35"/>
        <v>6</v>
      </c>
      <c r="P81" s="15">
        <f t="shared" si="36"/>
        <v>9.5</v>
      </c>
      <c r="R81" s="8"/>
      <c r="T81"/>
    </row>
    <row r="82" spans="2:20" ht="23.1" customHeight="1" x14ac:dyDescent="0.25">
      <c r="B82" s="24" t="s">
        <v>122</v>
      </c>
      <c r="C82" s="49">
        <f>AVERAGE('07.09. Katungulu-Ishaka-24h'!C82,'08.09 Katungulu-Ishaka-24h'!C82)</f>
        <v>0</v>
      </c>
      <c r="D82" s="49">
        <f>AVERAGE('07.09. Katungulu-Ishaka-24h'!D82,'08.09 Katungulu-Ishaka-24h'!D82)</f>
        <v>0</v>
      </c>
      <c r="E82" s="49">
        <f>AVERAGE('07.09. Katungulu-Ishaka-24h'!E82,'08.09 Katungulu-Ishaka-24h'!E82)</f>
        <v>0</v>
      </c>
      <c r="F82" s="49">
        <f>AVERAGE('07.09. Katungulu-Ishaka-24h'!F82,'08.09 Katungulu-Ishaka-24h'!F82)</f>
        <v>0</v>
      </c>
      <c r="G82" s="49">
        <f>AVERAGE('07.09. Katungulu-Ishaka-24h'!G82,'08.09 Katungulu-Ishaka-24h'!G82)</f>
        <v>0</v>
      </c>
      <c r="H82" s="49">
        <f>AVERAGE('07.09. Katungulu-Ishaka-24h'!H82,'08.09 Katungulu-Ishaka-24h'!H82)</f>
        <v>0</v>
      </c>
      <c r="I82" s="49">
        <f>AVERAGE('07.09. Katungulu-Ishaka-24h'!I82,'08.09 Katungulu-Ishaka-24h'!I82)</f>
        <v>0</v>
      </c>
      <c r="J82" s="49">
        <f>AVERAGE('07.09. Katungulu-Ishaka-24h'!J82,'08.09 Katungulu-Ishaka-24h'!J82)</f>
        <v>0</v>
      </c>
      <c r="K82" s="49">
        <f>AVERAGE('07.09. Katungulu-Ishaka-24h'!K82,'08.09 Katungulu-Ishaka-24h'!K82)</f>
        <v>0</v>
      </c>
      <c r="L82" s="49">
        <f>AVERAGE('07.09. Katungulu-Ishaka-24h'!L82,'08.09 Katungulu-Ishaka-24h'!L82)</f>
        <v>0</v>
      </c>
      <c r="M82" s="49">
        <f>AVERAGE('07.09. Katungulu-Ishaka-24h'!M82,'08.09 Katungulu-Ishaka-24h'!M82)</f>
        <v>1.5</v>
      </c>
      <c r="N82" s="49">
        <f>AVERAGE('07.09. Katungulu-Ishaka-24h'!N82,'08.09 Katungulu-Ishaka-24h'!N82)</f>
        <v>0</v>
      </c>
      <c r="O82" s="15">
        <f t="shared" si="35"/>
        <v>0</v>
      </c>
      <c r="P82" s="15">
        <f t="shared" si="36"/>
        <v>1.5</v>
      </c>
      <c r="R82" s="8"/>
      <c r="T82"/>
    </row>
    <row r="83" spans="2:20" ht="23.1" customHeight="1" x14ac:dyDescent="0.25">
      <c r="B83" s="23" t="s">
        <v>123</v>
      </c>
      <c r="C83" s="49">
        <f>AVERAGE('07.09. Katungulu-Ishaka-24h'!C83,'08.09 Katungulu-Ishaka-24h'!C83)</f>
        <v>0.5</v>
      </c>
      <c r="D83" s="49">
        <f>AVERAGE('07.09. Katungulu-Ishaka-24h'!D83,'08.09 Katungulu-Ishaka-24h'!D83)</f>
        <v>0</v>
      </c>
      <c r="E83" s="49">
        <f>AVERAGE('07.09. Katungulu-Ishaka-24h'!E83,'08.09 Katungulu-Ishaka-24h'!E83)</f>
        <v>0</v>
      </c>
      <c r="F83" s="49">
        <f>AVERAGE('07.09. Katungulu-Ishaka-24h'!F83,'08.09 Katungulu-Ishaka-24h'!F83)</f>
        <v>0.5</v>
      </c>
      <c r="G83" s="49">
        <f>AVERAGE('07.09. Katungulu-Ishaka-24h'!G83,'08.09 Katungulu-Ishaka-24h'!G83)</f>
        <v>0</v>
      </c>
      <c r="H83" s="49">
        <f>AVERAGE('07.09. Katungulu-Ishaka-24h'!H83,'08.09 Katungulu-Ishaka-24h'!H83)</f>
        <v>0</v>
      </c>
      <c r="I83" s="49">
        <f>AVERAGE('07.09. Katungulu-Ishaka-24h'!I83,'08.09 Katungulu-Ishaka-24h'!I83)</f>
        <v>0</v>
      </c>
      <c r="J83" s="49">
        <f>AVERAGE('07.09. Katungulu-Ishaka-24h'!J83,'08.09 Katungulu-Ishaka-24h'!J83)</f>
        <v>0</v>
      </c>
      <c r="K83" s="49">
        <f>AVERAGE('07.09. Katungulu-Ishaka-24h'!K83,'08.09 Katungulu-Ishaka-24h'!K83)</f>
        <v>0</v>
      </c>
      <c r="L83" s="49">
        <f>AVERAGE('07.09. Katungulu-Ishaka-24h'!L83,'08.09 Katungulu-Ishaka-24h'!L83)</f>
        <v>0</v>
      </c>
      <c r="M83" s="49">
        <f>AVERAGE('07.09. Katungulu-Ishaka-24h'!M83,'08.09 Katungulu-Ishaka-24h'!M83)</f>
        <v>3.5</v>
      </c>
      <c r="N83" s="49">
        <f>AVERAGE('07.09. Katungulu-Ishaka-24h'!N83,'08.09 Katungulu-Ishaka-24h'!N83)</f>
        <v>0</v>
      </c>
      <c r="O83" s="15">
        <f t="shared" si="35"/>
        <v>1</v>
      </c>
      <c r="P83" s="15">
        <f t="shared" si="36"/>
        <v>4.5</v>
      </c>
      <c r="R83" s="8"/>
      <c r="T83"/>
    </row>
    <row r="84" spans="2:20" ht="23.1" customHeight="1" x14ac:dyDescent="0.25">
      <c r="B84" s="25" t="s">
        <v>124</v>
      </c>
      <c r="C84" s="49">
        <f>AVERAGE('07.09. Katungulu-Ishaka-24h'!C84,'08.09 Katungulu-Ishaka-24h'!C84)</f>
        <v>0</v>
      </c>
      <c r="D84" s="49">
        <f>AVERAGE('07.09. Katungulu-Ishaka-24h'!D84,'08.09 Katungulu-Ishaka-24h'!D84)</f>
        <v>0</v>
      </c>
      <c r="E84" s="49">
        <f>AVERAGE('07.09. Katungulu-Ishaka-24h'!E84,'08.09 Katungulu-Ishaka-24h'!E84)</f>
        <v>0.5</v>
      </c>
      <c r="F84" s="49">
        <f>AVERAGE('07.09. Katungulu-Ishaka-24h'!F84,'08.09 Katungulu-Ishaka-24h'!F84)</f>
        <v>0.5</v>
      </c>
      <c r="G84" s="49">
        <f>AVERAGE('07.09. Katungulu-Ishaka-24h'!G84,'08.09 Katungulu-Ishaka-24h'!G84)</f>
        <v>0</v>
      </c>
      <c r="H84" s="49">
        <f>AVERAGE('07.09. Katungulu-Ishaka-24h'!H84,'08.09 Katungulu-Ishaka-24h'!H84)</f>
        <v>0</v>
      </c>
      <c r="I84" s="49">
        <f>AVERAGE('07.09. Katungulu-Ishaka-24h'!I84,'08.09 Katungulu-Ishaka-24h'!I84)</f>
        <v>0</v>
      </c>
      <c r="J84" s="49">
        <f>AVERAGE('07.09. Katungulu-Ishaka-24h'!J84,'08.09 Katungulu-Ishaka-24h'!J84)</f>
        <v>0.5</v>
      </c>
      <c r="K84" s="49">
        <f>AVERAGE('07.09. Katungulu-Ishaka-24h'!K84,'08.09 Katungulu-Ishaka-24h'!K84)</f>
        <v>0</v>
      </c>
      <c r="L84" s="49">
        <f>AVERAGE('07.09. Katungulu-Ishaka-24h'!L84,'08.09 Katungulu-Ishaka-24h'!L84)</f>
        <v>0</v>
      </c>
      <c r="M84" s="49">
        <f>AVERAGE('07.09. Katungulu-Ishaka-24h'!M84,'08.09 Katungulu-Ishaka-24h'!M84)</f>
        <v>2.5</v>
      </c>
      <c r="N84" s="49">
        <f>AVERAGE('07.09. Katungulu-Ishaka-24h'!N84,'08.09 Katungulu-Ishaka-24h'!N84)</f>
        <v>0</v>
      </c>
      <c r="O84" s="15">
        <f t="shared" si="35"/>
        <v>1.5</v>
      </c>
      <c r="P84" s="15">
        <f t="shared" si="36"/>
        <v>4</v>
      </c>
      <c r="R84" s="8"/>
      <c r="T84"/>
    </row>
    <row r="85" spans="2:20" ht="23.1" customHeight="1" x14ac:dyDescent="0.25">
      <c r="B85" s="23" t="s">
        <v>125</v>
      </c>
      <c r="C85" s="49">
        <f>AVERAGE('07.09. Katungulu-Ishaka-24h'!C85,'08.09 Katungulu-Ishaka-24h'!C85)</f>
        <v>0.5</v>
      </c>
      <c r="D85" s="49">
        <f>AVERAGE('07.09. Katungulu-Ishaka-24h'!D85,'08.09 Katungulu-Ishaka-24h'!D85)</f>
        <v>0.5</v>
      </c>
      <c r="E85" s="49">
        <f>AVERAGE('07.09. Katungulu-Ishaka-24h'!E85,'08.09 Katungulu-Ishaka-24h'!E85)</f>
        <v>1.5</v>
      </c>
      <c r="F85" s="49">
        <f>AVERAGE('07.09. Katungulu-Ishaka-24h'!F85,'08.09 Katungulu-Ishaka-24h'!F85)</f>
        <v>1</v>
      </c>
      <c r="G85" s="49">
        <f>AVERAGE('07.09. Katungulu-Ishaka-24h'!G85,'08.09 Katungulu-Ishaka-24h'!G85)</f>
        <v>0</v>
      </c>
      <c r="H85" s="49">
        <f>AVERAGE('07.09. Katungulu-Ishaka-24h'!H85,'08.09 Katungulu-Ishaka-24h'!H85)</f>
        <v>0.5</v>
      </c>
      <c r="I85" s="49">
        <f>AVERAGE('07.09. Katungulu-Ishaka-24h'!I85,'08.09 Katungulu-Ishaka-24h'!I85)</f>
        <v>0</v>
      </c>
      <c r="J85" s="49">
        <f>AVERAGE('07.09. Katungulu-Ishaka-24h'!J85,'08.09 Katungulu-Ishaka-24h'!J85)</f>
        <v>1</v>
      </c>
      <c r="K85" s="49">
        <f>AVERAGE('07.09. Katungulu-Ishaka-24h'!K85,'08.09 Katungulu-Ishaka-24h'!K85)</f>
        <v>0.5</v>
      </c>
      <c r="L85" s="49">
        <f>AVERAGE('07.09. Katungulu-Ishaka-24h'!L85,'08.09 Katungulu-Ishaka-24h'!L85)</f>
        <v>0</v>
      </c>
      <c r="M85" s="49">
        <f>AVERAGE('07.09. Katungulu-Ishaka-24h'!M85,'08.09 Katungulu-Ishaka-24h'!M85)</f>
        <v>4.5</v>
      </c>
      <c r="N85" s="49">
        <f>AVERAGE('07.09. Katungulu-Ishaka-24h'!N85,'08.09 Katungulu-Ishaka-24h'!N85)</f>
        <v>0</v>
      </c>
      <c r="O85" s="15">
        <f t="shared" si="35"/>
        <v>5.5</v>
      </c>
      <c r="P85" s="15">
        <f t="shared" si="36"/>
        <v>10</v>
      </c>
      <c r="R85" s="8"/>
      <c r="T85"/>
    </row>
    <row r="86" spans="2:20" ht="23.1" customHeight="1" x14ac:dyDescent="0.25">
      <c r="B86" s="24" t="s">
        <v>126</v>
      </c>
      <c r="C86" s="49">
        <f>AVERAGE('07.09. Katungulu-Ishaka-24h'!C86,'08.09 Katungulu-Ishaka-24h'!C86)</f>
        <v>0</v>
      </c>
      <c r="D86" s="49">
        <f>AVERAGE('07.09. Katungulu-Ishaka-24h'!D86,'08.09 Katungulu-Ishaka-24h'!D86)</f>
        <v>0</v>
      </c>
      <c r="E86" s="49">
        <f>AVERAGE('07.09. Katungulu-Ishaka-24h'!E86,'08.09 Katungulu-Ishaka-24h'!E86)</f>
        <v>0</v>
      </c>
      <c r="F86" s="49">
        <f>AVERAGE('07.09. Katungulu-Ishaka-24h'!F86,'08.09 Katungulu-Ishaka-24h'!F86)</f>
        <v>0</v>
      </c>
      <c r="G86" s="49">
        <f>AVERAGE('07.09. Katungulu-Ishaka-24h'!G86,'08.09 Katungulu-Ishaka-24h'!G86)</f>
        <v>0</v>
      </c>
      <c r="H86" s="49">
        <f>AVERAGE('07.09. Katungulu-Ishaka-24h'!H86,'08.09 Katungulu-Ishaka-24h'!H86)</f>
        <v>0</v>
      </c>
      <c r="I86" s="49">
        <f>AVERAGE('07.09. Katungulu-Ishaka-24h'!I86,'08.09 Katungulu-Ishaka-24h'!I86)</f>
        <v>0</v>
      </c>
      <c r="J86" s="49">
        <f>AVERAGE('07.09. Katungulu-Ishaka-24h'!J86,'08.09 Katungulu-Ishaka-24h'!J86)</f>
        <v>0</v>
      </c>
      <c r="K86" s="49">
        <f>AVERAGE('07.09. Katungulu-Ishaka-24h'!K86,'08.09 Katungulu-Ishaka-24h'!K86)</f>
        <v>0.5</v>
      </c>
      <c r="L86" s="49">
        <f>AVERAGE('07.09. Katungulu-Ishaka-24h'!L86,'08.09 Katungulu-Ishaka-24h'!L86)</f>
        <v>0.5</v>
      </c>
      <c r="M86" s="49">
        <f>AVERAGE('07.09. Katungulu-Ishaka-24h'!M86,'08.09 Katungulu-Ishaka-24h'!M86)</f>
        <v>0</v>
      </c>
      <c r="N86" s="49">
        <f>AVERAGE('07.09. Katungulu-Ishaka-24h'!N86,'08.09 Katungulu-Ishaka-24h'!N86)</f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23" t="s">
        <v>127</v>
      </c>
      <c r="C87" s="49">
        <f>AVERAGE('07.09. Katungulu-Ishaka-24h'!C87,'08.09 Katungulu-Ishaka-24h'!C87)</f>
        <v>0</v>
      </c>
      <c r="D87" s="49">
        <f>AVERAGE('07.09. Katungulu-Ishaka-24h'!D87,'08.09 Katungulu-Ishaka-24h'!D87)</f>
        <v>0</v>
      </c>
      <c r="E87" s="49">
        <f>AVERAGE('07.09. Katungulu-Ishaka-24h'!E87,'08.09 Katungulu-Ishaka-24h'!E87)</f>
        <v>0</v>
      </c>
      <c r="F87" s="49">
        <f>AVERAGE('07.09. Katungulu-Ishaka-24h'!F87,'08.09 Katungulu-Ishaka-24h'!F87)</f>
        <v>0.5</v>
      </c>
      <c r="G87" s="49">
        <f>AVERAGE('07.09. Katungulu-Ishaka-24h'!G87,'08.09 Katungulu-Ishaka-24h'!G87)</f>
        <v>0</v>
      </c>
      <c r="H87" s="49">
        <f>AVERAGE('07.09. Katungulu-Ishaka-24h'!H87,'08.09 Katungulu-Ishaka-24h'!H87)</f>
        <v>0</v>
      </c>
      <c r="I87" s="49">
        <f>AVERAGE('07.09. Katungulu-Ishaka-24h'!I87,'08.09 Katungulu-Ishaka-24h'!I87)</f>
        <v>0</v>
      </c>
      <c r="J87" s="49">
        <f>AVERAGE('07.09. Katungulu-Ishaka-24h'!J87,'08.09 Katungulu-Ishaka-24h'!J87)</f>
        <v>0</v>
      </c>
      <c r="K87" s="49">
        <f>AVERAGE('07.09. Katungulu-Ishaka-24h'!K87,'08.09 Katungulu-Ishaka-24h'!K87)</f>
        <v>1</v>
      </c>
      <c r="L87" s="49">
        <f>AVERAGE('07.09. Katungulu-Ishaka-24h'!L87,'08.09 Katungulu-Ishaka-24h'!L87)</f>
        <v>1</v>
      </c>
      <c r="M87" s="49">
        <f>AVERAGE('07.09. Katungulu-Ishaka-24h'!M87,'08.09 Katungulu-Ishaka-24h'!M87)</f>
        <v>1</v>
      </c>
      <c r="N87" s="49">
        <f>AVERAGE('07.09. Katungulu-Ishaka-24h'!N87,'08.09 Katungulu-Ishaka-24h'!N87)</f>
        <v>0</v>
      </c>
      <c r="O87" s="15">
        <f t="shared" si="35"/>
        <v>2.5</v>
      </c>
      <c r="P87" s="15">
        <f t="shared" si="36"/>
        <v>3.5</v>
      </c>
      <c r="R87" s="8"/>
      <c r="T87"/>
    </row>
    <row r="88" spans="2:20" ht="23.1" customHeight="1" x14ac:dyDescent="0.25">
      <c r="B88" s="25" t="s">
        <v>128</v>
      </c>
      <c r="C88" s="49">
        <f>AVERAGE('07.09. Katungulu-Ishaka-24h'!C88,'08.09 Katungulu-Ishaka-24h'!C88)</f>
        <v>0</v>
      </c>
      <c r="D88" s="49">
        <f>AVERAGE('07.09. Katungulu-Ishaka-24h'!D88,'08.09 Katungulu-Ishaka-24h'!D88)</f>
        <v>0</v>
      </c>
      <c r="E88" s="49">
        <f>AVERAGE('07.09. Katungulu-Ishaka-24h'!E88,'08.09 Katungulu-Ishaka-24h'!E88)</f>
        <v>0</v>
      </c>
      <c r="F88" s="49">
        <f>AVERAGE('07.09. Katungulu-Ishaka-24h'!F88,'08.09 Katungulu-Ishaka-24h'!F88)</f>
        <v>0</v>
      </c>
      <c r="G88" s="49">
        <f>AVERAGE('07.09. Katungulu-Ishaka-24h'!G88,'08.09 Katungulu-Ishaka-24h'!G88)</f>
        <v>0</v>
      </c>
      <c r="H88" s="49">
        <f>AVERAGE('07.09. Katungulu-Ishaka-24h'!H88,'08.09 Katungulu-Ishaka-24h'!H88)</f>
        <v>0</v>
      </c>
      <c r="I88" s="49">
        <f>AVERAGE('07.09. Katungulu-Ishaka-24h'!I88,'08.09 Katungulu-Ishaka-24h'!I88)</f>
        <v>0</v>
      </c>
      <c r="J88" s="49">
        <f>AVERAGE('07.09. Katungulu-Ishaka-24h'!J88,'08.09 Katungulu-Ishaka-24h'!J88)</f>
        <v>0</v>
      </c>
      <c r="K88" s="49">
        <f>AVERAGE('07.09. Katungulu-Ishaka-24h'!K88,'08.09 Katungulu-Ishaka-24h'!K88)</f>
        <v>0</v>
      </c>
      <c r="L88" s="49">
        <f>AVERAGE('07.09. Katungulu-Ishaka-24h'!L88,'08.09 Katungulu-Ishaka-24h'!L88)</f>
        <v>0</v>
      </c>
      <c r="M88" s="49">
        <f>AVERAGE('07.09. Katungulu-Ishaka-24h'!M88,'08.09 Katungulu-Ishaka-24h'!M88)</f>
        <v>0</v>
      </c>
      <c r="N88" s="49">
        <f>AVERAGE('07.09. Katungulu-Ishaka-24h'!N88,'08.09 Katungulu-Ishaka-24h'!N88)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AVERAGE('07.09. Katungulu-Ishaka-24h'!C89,'08.09 Katungulu-Ishaka-24h'!C89)</f>
        <v>0</v>
      </c>
      <c r="D89" s="49">
        <f>AVERAGE('07.09. Katungulu-Ishaka-24h'!D89,'08.09 Katungulu-Ishaka-24h'!D89)</f>
        <v>0</v>
      </c>
      <c r="E89" s="49">
        <f>AVERAGE('07.09. Katungulu-Ishaka-24h'!E89,'08.09 Katungulu-Ishaka-24h'!E89)</f>
        <v>0.5</v>
      </c>
      <c r="F89" s="49">
        <f>AVERAGE('07.09. Katungulu-Ishaka-24h'!F89,'08.09 Katungulu-Ishaka-24h'!F89)</f>
        <v>0</v>
      </c>
      <c r="G89" s="49">
        <f>AVERAGE('07.09. Katungulu-Ishaka-24h'!G89,'08.09 Katungulu-Ishaka-24h'!G89)</f>
        <v>0</v>
      </c>
      <c r="H89" s="49">
        <f>AVERAGE('07.09. Katungulu-Ishaka-24h'!H89,'08.09 Katungulu-Ishaka-24h'!H89)</f>
        <v>0</v>
      </c>
      <c r="I89" s="49">
        <f>AVERAGE('07.09. Katungulu-Ishaka-24h'!I89,'08.09 Katungulu-Ishaka-24h'!I89)</f>
        <v>0</v>
      </c>
      <c r="J89" s="49">
        <f>AVERAGE('07.09. Katungulu-Ishaka-24h'!J89,'08.09 Katungulu-Ishaka-24h'!J89)</f>
        <v>0</v>
      </c>
      <c r="K89" s="49">
        <f>AVERAGE('07.09. Katungulu-Ishaka-24h'!K89,'08.09 Katungulu-Ishaka-24h'!K89)</f>
        <v>0.5</v>
      </c>
      <c r="L89" s="49">
        <f>AVERAGE('07.09. Katungulu-Ishaka-24h'!L89,'08.09 Katungulu-Ishaka-24h'!L89)</f>
        <v>0</v>
      </c>
      <c r="M89" s="49">
        <f>AVERAGE('07.09. Katungulu-Ishaka-24h'!M89,'08.09 Katungulu-Ishaka-24h'!M89)</f>
        <v>0</v>
      </c>
      <c r="N89" s="49">
        <f>AVERAGE('07.09. Katungulu-Ishaka-24h'!N89,'08.09 Katungulu-Ishaka-24h'!N89)</f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24" t="s">
        <v>130</v>
      </c>
      <c r="C90" s="49">
        <f>AVERAGE('07.09. Katungulu-Ishaka-24h'!C90,'08.09 Katungulu-Ishaka-24h'!C90)</f>
        <v>0</v>
      </c>
      <c r="D90" s="49">
        <f>AVERAGE('07.09. Katungulu-Ishaka-24h'!D90,'08.09 Katungulu-Ishaka-24h'!D90)</f>
        <v>0</v>
      </c>
      <c r="E90" s="49">
        <f>AVERAGE('07.09. Katungulu-Ishaka-24h'!E90,'08.09 Katungulu-Ishaka-24h'!E90)</f>
        <v>0</v>
      </c>
      <c r="F90" s="49">
        <f>AVERAGE('07.09. Katungulu-Ishaka-24h'!F90,'08.09 Katungulu-Ishaka-24h'!F90)</f>
        <v>0</v>
      </c>
      <c r="G90" s="49">
        <f>AVERAGE('07.09. Katungulu-Ishaka-24h'!G90,'08.09 Katungulu-Ishaka-24h'!G90)</f>
        <v>0</v>
      </c>
      <c r="H90" s="49">
        <f>AVERAGE('07.09. Katungulu-Ishaka-24h'!H90,'08.09 Katungulu-Ishaka-24h'!H90)</f>
        <v>0</v>
      </c>
      <c r="I90" s="49">
        <f>AVERAGE('07.09. Katungulu-Ishaka-24h'!I90,'08.09 Katungulu-Ishaka-24h'!I90)</f>
        <v>0</v>
      </c>
      <c r="J90" s="49">
        <f>AVERAGE('07.09. Katungulu-Ishaka-24h'!J90,'08.09 Katungulu-Ishaka-24h'!J90)</f>
        <v>0</v>
      </c>
      <c r="K90" s="49">
        <f>AVERAGE('07.09. Katungulu-Ishaka-24h'!K90,'08.09 Katungulu-Ishaka-24h'!K90)</f>
        <v>0</v>
      </c>
      <c r="L90" s="49">
        <f>AVERAGE('07.09. Katungulu-Ishaka-24h'!L90,'08.09 Katungulu-Ishaka-24h'!L90)</f>
        <v>0</v>
      </c>
      <c r="M90" s="49">
        <f>AVERAGE('07.09. Katungulu-Ishaka-24h'!M90,'08.09 Katungulu-Ishaka-24h'!M90)</f>
        <v>0</v>
      </c>
      <c r="N90" s="49">
        <f>AVERAGE('07.09. Katungulu-Ishaka-24h'!N90,'08.09 Katungulu-Ishaka-24h'!N90)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AVERAGE('07.09. Katungulu-Ishaka-24h'!C91,'08.09 Katungulu-Ishaka-24h'!C91)</f>
        <v>0</v>
      </c>
      <c r="D91" s="49">
        <f>AVERAGE('07.09. Katungulu-Ishaka-24h'!D91,'08.09 Katungulu-Ishaka-24h'!D91)</f>
        <v>0</v>
      </c>
      <c r="E91" s="49">
        <f>AVERAGE('07.09. Katungulu-Ishaka-24h'!E91,'08.09 Katungulu-Ishaka-24h'!E91)</f>
        <v>0</v>
      </c>
      <c r="F91" s="49">
        <f>AVERAGE('07.09. Katungulu-Ishaka-24h'!F91,'08.09 Katungulu-Ishaka-24h'!F91)</f>
        <v>0.5</v>
      </c>
      <c r="G91" s="49">
        <f>AVERAGE('07.09. Katungulu-Ishaka-24h'!G91,'08.09 Katungulu-Ishaka-24h'!G91)</f>
        <v>0</v>
      </c>
      <c r="H91" s="49">
        <f>AVERAGE('07.09. Katungulu-Ishaka-24h'!H91,'08.09 Katungulu-Ishaka-24h'!H91)</f>
        <v>0</v>
      </c>
      <c r="I91" s="49">
        <f>AVERAGE('07.09. Katungulu-Ishaka-24h'!I91,'08.09 Katungulu-Ishaka-24h'!I91)</f>
        <v>0</v>
      </c>
      <c r="J91" s="49">
        <f>AVERAGE('07.09. Katungulu-Ishaka-24h'!J91,'08.09 Katungulu-Ishaka-24h'!J91)</f>
        <v>0</v>
      </c>
      <c r="K91" s="49">
        <f>AVERAGE('07.09. Katungulu-Ishaka-24h'!K91,'08.09 Katungulu-Ishaka-24h'!K91)</f>
        <v>0</v>
      </c>
      <c r="L91" s="49">
        <f>AVERAGE('07.09. Katungulu-Ishaka-24h'!L91,'08.09 Katungulu-Ishaka-24h'!L91)</f>
        <v>0.5</v>
      </c>
      <c r="M91" s="49">
        <f>AVERAGE('07.09. Katungulu-Ishaka-24h'!M91,'08.09 Katungulu-Ishaka-24h'!M91)</f>
        <v>0</v>
      </c>
      <c r="N91" s="49">
        <f>AVERAGE('07.09. Katungulu-Ishaka-24h'!N91,'08.09 Katungulu-Ishaka-24h'!N91)</f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25" t="s">
        <v>132</v>
      </c>
      <c r="C92" s="49">
        <f>AVERAGE('07.09. Katungulu-Ishaka-24h'!C92,'08.09 Katungulu-Ishaka-24h'!C92)</f>
        <v>0</v>
      </c>
      <c r="D92" s="49">
        <f>AVERAGE('07.09. Katungulu-Ishaka-24h'!D92,'08.09 Katungulu-Ishaka-24h'!D92)</f>
        <v>0</v>
      </c>
      <c r="E92" s="49">
        <f>AVERAGE('07.09. Katungulu-Ishaka-24h'!E92,'08.09 Katungulu-Ishaka-24h'!E92)</f>
        <v>0</v>
      </c>
      <c r="F92" s="49">
        <f>AVERAGE('07.09. Katungulu-Ishaka-24h'!F92,'08.09 Katungulu-Ishaka-24h'!F92)</f>
        <v>0</v>
      </c>
      <c r="G92" s="49">
        <f>AVERAGE('07.09. Katungulu-Ishaka-24h'!G92,'08.09 Katungulu-Ishaka-24h'!G92)</f>
        <v>0</v>
      </c>
      <c r="H92" s="49">
        <f>AVERAGE('07.09. Katungulu-Ishaka-24h'!H92,'08.09 Katungulu-Ishaka-24h'!H92)</f>
        <v>0</v>
      </c>
      <c r="I92" s="49">
        <f>AVERAGE('07.09. Katungulu-Ishaka-24h'!I92,'08.09 Katungulu-Ishaka-24h'!I92)</f>
        <v>0</v>
      </c>
      <c r="J92" s="49">
        <f>AVERAGE('07.09. Katungulu-Ishaka-24h'!J92,'08.09 Katungulu-Ishaka-24h'!J92)</f>
        <v>0</v>
      </c>
      <c r="K92" s="49">
        <f>AVERAGE('07.09. Katungulu-Ishaka-24h'!K92,'08.09 Katungulu-Ishaka-24h'!K92)</f>
        <v>0</v>
      </c>
      <c r="L92" s="49">
        <f>AVERAGE('07.09. Katungulu-Ishaka-24h'!L92,'08.09 Katungulu-Ishaka-24h'!L92)</f>
        <v>0</v>
      </c>
      <c r="M92" s="49">
        <f>AVERAGE('07.09. Katungulu-Ishaka-24h'!M92,'08.09 Katungulu-Ishaka-24h'!M92)</f>
        <v>0</v>
      </c>
      <c r="N92" s="49">
        <f>AVERAGE('07.09. Katungulu-Ishaka-24h'!N92,'08.09 Katungulu-Ishaka-24h'!N92)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AVERAGE('07.09. Katungulu-Ishaka-24h'!C93,'08.09 Katungulu-Ishaka-24h'!C93)</f>
        <v>0</v>
      </c>
      <c r="D93" s="49">
        <f>AVERAGE('07.09. Katungulu-Ishaka-24h'!D93,'08.09 Katungulu-Ishaka-24h'!D93)</f>
        <v>0</v>
      </c>
      <c r="E93" s="49">
        <f>AVERAGE('07.09. Katungulu-Ishaka-24h'!E93,'08.09 Katungulu-Ishaka-24h'!E93)</f>
        <v>0</v>
      </c>
      <c r="F93" s="49">
        <f>AVERAGE('07.09. Katungulu-Ishaka-24h'!F93,'08.09 Katungulu-Ishaka-24h'!F93)</f>
        <v>0</v>
      </c>
      <c r="G93" s="49">
        <f>AVERAGE('07.09. Katungulu-Ishaka-24h'!G93,'08.09 Katungulu-Ishaka-24h'!G93)</f>
        <v>0</v>
      </c>
      <c r="H93" s="49">
        <f>AVERAGE('07.09. Katungulu-Ishaka-24h'!H93,'08.09 Katungulu-Ishaka-24h'!H93)</f>
        <v>0</v>
      </c>
      <c r="I93" s="49">
        <f>AVERAGE('07.09. Katungulu-Ishaka-24h'!I93,'08.09 Katungulu-Ishaka-24h'!I93)</f>
        <v>0</v>
      </c>
      <c r="J93" s="49">
        <f>AVERAGE('07.09. Katungulu-Ishaka-24h'!J93,'08.09 Katungulu-Ishaka-24h'!J93)</f>
        <v>0.5</v>
      </c>
      <c r="K93" s="49">
        <f>AVERAGE('07.09. Katungulu-Ishaka-24h'!K93,'08.09 Katungulu-Ishaka-24h'!K93)</f>
        <v>0</v>
      </c>
      <c r="L93" s="49">
        <f>AVERAGE('07.09. Katungulu-Ishaka-24h'!L93,'08.09 Katungulu-Ishaka-24h'!L93)</f>
        <v>0</v>
      </c>
      <c r="M93" s="49">
        <f>AVERAGE('07.09. Katungulu-Ishaka-24h'!M93,'08.09 Katungulu-Ishaka-24h'!M93)</f>
        <v>0</v>
      </c>
      <c r="N93" s="49">
        <f>AVERAGE('07.09. Katungulu-Ishaka-24h'!N93,'08.09 Katungulu-Ishaka-24h'!N93)</f>
        <v>0</v>
      </c>
      <c r="O93" s="15">
        <f t="shared" si="35"/>
        <v>0.5</v>
      </c>
      <c r="P93" s="15">
        <f t="shared" si="36"/>
        <v>0.5</v>
      </c>
      <c r="R93" s="8"/>
      <c r="T93"/>
    </row>
    <row r="94" spans="2:20" ht="23.1" customHeight="1" x14ac:dyDescent="0.25">
      <c r="B94" s="24" t="s">
        <v>134</v>
      </c>
      <c r="C94" s="49">
        <f>AVERAGE('07.09. Katungulu-Ishaka-24h'!C94,'08.09 Katungulu-Ishaka-24h'!C94)</f>
        <v>0</v>
      </c>
      <c r="D94" s="49">
        <f>AVERAGE('07.09. Katungulu-Ishaka-24h'!D94,'08.09 Katungulu-Ishaka-24h'!D94)</f>
        <v>0</v>
      </c>
      <c r="E94" s="49">
        <f>AVERAGE('07.09. Katungulu-Ishaka-24h'!E94,'08.09 Katungulu-Ishaka-24h'!E94)</f>
        <v>0</v>
      </c>
      <c r="F94" s="49">
        <f>AVERAGE('07.09. Katungulu-Ishaka-24h'!F94,'08.09 Katungulu-Ishaka-24h'!F94)</f>
        <v>0</v>
      </c>
      <c r="G94" s="49">
        <f>AVERAGE('07.09. Katungulu-Ishaka-24h'!G94,'08.09 Katungulu-Ishaka-24h'!G94)</f>
        <v>0</v>
      </c>
      <c r="H94" s="49">
        <f>AVERAGE('07.09. Katungulu-Ishaka-24h'!H94,'08.09 Katungulu-Ishaka-24h'!H94)</f>
        <v>0</v>
      </c>
      <c r="I94" s="49">
        <f>AVERAGE('07.09. Katungulu-Ishaka-24h'!I94,'08.09 Katungulu-Ishaka-24h'!I94)</f>
        <v>0</v>
      </c>
      <c r="J94" s="49">
        <f>AVERAGE('07.09. Katungulu-Ishaka-24h'!J94,'08.09 Katungulu-Ishaka-24h'!J94)</f>
        <v>0</v>
      </c>
      <c r="K94" s="49">
        <f>AVERAGE('07.09. Katungulu-Ishaka-24h'!K94,'08.09 Katungulu-Ishaka-24h'!K94)</f>
        <v>0</v>
      </c>
      <c r="L94" s="49">
        <f>AVERAGE('07.09. Katungulu-Ishaka-24h'!L94,'08.09 Katungulu-Ishaka-24h'!L94)</f>
        <v>0</v>
      </c>
      <c r="M94" s="49">
        <f>AVERAGE('07.09. Katungulu-Ishaka-24h'!M94,'08.09 Katungulu-Ishaka-24h'!M94)</f>
        <v>0</v>
      </c>
      <c r="N94" s="49">
        <f>AVERAGE('07.09. Katungulu-Ishaka-24h'!N94,'08.09 Katungulu-Ishaka-24h'!N94)</f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23" t="s">
        <v>135</v>
      </c>
      <c r="C95" s="49">
        <f>AVERAGE('07.09. Katungulu-Ishaka-24h'!C95,'08.09 Katungulu-Ishaka-24h'!C95)</f>
        <v>0.5</v>
      </c>
      <c r="D95" s="49">
        <f>AVERAGE('07.09. Katungulu-Ishaka-24h'!D95,'08.09 Katungulu-Ishaka-24h'!D95)</f>
        <v>0</v>
      </c>
      <c r="E95" s="49">
        <f>AVERAGE('07.09. Katungulu-Ishaka-24h'!E95,'08.09 Katungulu-Ishaka-24h'!E95)</f>
        <v>0</v>
      </c>
      <c r="F95" s="49">
        <f>AVERAGE('07.09. Katungulu-Ishaka-24h'!F95,'08.09 Katungulu-Ishaka-24h'!F95)</f>
        <v>0</v>
      </c>
      <c r="G95" s="49">
        <f>AVERAGE('07.09. Katungulu-Ishaka-24h'!G95,'08.09 Katungulu-Ishaka-24h'!G95)</f>
        <v>0</v>
      </c>
      <c r="H95" s="49">
        <f>AVERAGE('07.09. Katungulu-Ishaka-24h'!H95,'08.09 Katungulu-Ishaka-24h'!H95)</f>
        <v>0</v>
      </c>
      <c r="I95" s="49">
        <f>AVERAGE('07.09. Katungulu-Ishaka-24h'!I95,'08.09 Katungulu-Ishaka-24h'!I95)</f>
        <v>0</v>
      </c>
      <c r="J95" s="49">
        <f>AVERAGE('07.09. Katungulu-Ishaka-24h'!J95,'08.09 Katungulu-Ishaka-24h'!J95)</f>
        <v>0</v>
      </c>
      <c r="K95" s="49">
        <f>AVERAGE('07.09. Katungulu-Ishaka-24h'!K95,'08.09 Katungulu-Ishaka-24h'!K95)</f>
        <v>0</v>
      </c>
      <c r="L95" s="49">
        <f>AVERAGE('07.09. Katungulu-Ishaka-24h'!L95,'08.09 Katungulu-Ishaka-24h'!L95)</f>
        <v>1</v>
      </c>
      <c r="M95" s="49">
        <f>AVERAGE('07.09. Katungulu-Ishaka-24h'!M95,'08.09 Katungulu-Ishaka-24h'!M95)</f>
        <v>0</v>
      </c>
      <c r="N95" s="49">
        <f>AVERAGE('07.09. Katungulu-Ishaka-24h'!N95,'08.09 Katungulu-Ishaka-24h'!N95)</f>
        <v>0</v>
      </c>
      <c r="O95" s="15">
        <f t="shared" si="35"/>
        <v>1.5</v>
      </c>
      <c r="P95" s="15">
        <f t="shared" si="36"/>
        <v>1.5</v>
      </c>
      <c r="R95" s="8"/>
      <c r="T95"/>
    </row>
    <row r="96" spans="2:20" ht="23.1" customHeight="1" x14ac:dyDescent="0.25">
      <c r="B96" s="25" t="s">
        <v>136</v>
      </c>
      <c r="C96" s="49">
        <f>AVERAGE('07.09. Katungulu-Ishaka-24h'!C96,'08.09 Katungulu-Ishaka-24h'!C96)</f>
        <v>0.5</v>
      </c>
      <c r="D96" s="49">
        <f>AVERAGE('07.09. Katungulu-Ishaka-24h'!D96,'08.09 Katungulu-Ishaka-24h'!D96)</f>
        <v>0</v>
      </c>
      <c r="E96" s="49">
        <f>AVERAGE('07.09. Katungulu-Ishaka-24h'!E96,'08.09 Katungulu-Ishaka-24h'!E96)</f>
        <v>0</v>
      </c>
      <c r="F96" s="49">
        <f>AVERAGE('07.09. Katungulu-Ishaka-24h'!F96,'08.09 Katungulu-Ishaka-24h'!F96)</f>
        <v>0</v>
      </c>
      <c r="G96" s="49">
        <f>AVERAGE('07.09. Katungulu-Ishaka-24h'!G96,'08.09 Katungulu-Ishaka-24h'!G96)</f>
        <v>0</v>
      </c>
      <c r="H96" s="49">
        <f>AVERAGE('07.09. Katungulu-Ishaka-24h'!H96,'08.09 Katungulu-Ishaka-24h'!H96)</f>
        <v>0</v>
      </c>
      <c r="I96" s="49">
        <f>AVERAGE('07.09. Katungulu-Ishaka-24h'!I96,'08.09 Katungulu-Ishaka-24h'!I96)</f>
        <v>0</v>
      </c>
      <c r="J96" s="49">
        <f>AVERAGE('07.09. Katungulu-Ishaka-24h'!J96,'08.09 Katungulu-Ishaka-24h'!J96)</f>
        <v>0</v>
      </c>
      <c r="K96" s="49">
        <f>AVERAGE('07.09. Katungulu-Ishaka-24h'!K96,'08.09 Katungulu-Ishaka-24h'!K96)</f>
        <v>0.5</v>
      </c>
      <c r="L96" s="49">
        <f>AVERAGE('07.09. Katungulu-Ishaka-24h'!L96,'08.09 Katungulu-Ishaka-24h'!L96)</f>
        <v>0</v>
      </c>
      <c r="M96" s="49">
        <f>AVERAGE('07.09. Katungulu-Ishaka-24h'!M96,'08.09 Katungulu-Ishaka-24h'!M96)</f>
        <v>0</v>
      </c>
      <c r="N96" s="49">
        <f>AVERAGE('07.09. Katungulu-Ishaka-24h'!N96,'08.09 Katungulu-Ishaka-24h'!N96)</f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23" t="s">
        <v>137</v>
      </c>
      <c r="C97" s="49">
        <f>AVERAGE('07.09. Katungulu-Ishaka-24h'!C97,'08.09 Katungulu-Ishaka-24h'!C97)</f>
        <v>1</v>
      </c>
      <c r="D97" s="49">
        <f>AVERAGE('07.09. Katungulu-Ishaka-24h'!D97,'08.09 Katungulu-Ishaka-24h'!D97)</f>
        <v>0</v>
      </c>
      <c r="E97" s="49">
        <f>AVERAGE('07.09. Katungulu-Ishaka-24h'!E97,'08.09 Katungulu-Ishaka-24h'!E97)</f>
        <v>0</v>
      </c>
      <c r="F97" s="49">
        <f>AVERAGE('07.09. Katungulu-Ishaka-24h'!F97,'08.09 Katungulu-Ishaka-24h'!F97)</f>
        <v>0</v>
      </c>
      <c r="G97" s="49">
        <f>AVERAGE('07.09. Katungulu-Ishaka-24h'!G97,'08.09 Katungulu-Ishaka-24h'!G97)</f>
        <v>0</v>
      </c>
      <c r="H97" s="49">
        <f>AVERAGE('07.09. Katungulu-Ishaka-24h'!H97,'08.09 Katungulu-Ishaka-24h'!H97)</f>
        <v>0</v>
      </c>
      <c r="I97" s="49">
        <f>AVERAGE('07.09. Katungulu-Ishaka-24h'!I97,'08.09 Katungulu-Ishaka-24h'!I97)</f>
        <v>0</v>
      </c>
      <c r="J97" s="49">
        <f>AVERAGE('07.09. Katungulu-Ishaka-24h'!J97,'08.09 Katungulu-Ishaka-24h'!J97)</f>
        <v>0</v>
      </c>
      <c r="K97" s="49">
        <f>AVERAGE('07.09. Katungulu-Ishaka-24h'!K97,'08.09 Katungulu-Ishaka-24h'!K97)</f>
        <v>1</v>
      </c>
      <c r="L97" s="49">
        <f>AVERAGE('07.09. Katungulu-Ishaka-24h'!L97,'08.09 Katungulu-Ishaka-24h'!L97)</f>
        <v>0.5</v>
      </c>
      <c r="M97" s="49">
        <f>AVERAGE('07.09. Katungulu-Ishaka-24h'!M97,'08.09 Katungulu-Ishaka-24h'!M97)</f>
        <v>0</v>
      </c>
      <c r="N97" s="49">
        <f>AVERAGE('07.09. Katungulu-Ishaka-24h'!N97,'08.09 Katungulu-Ishaka-24h'!N97)</f>
        <v>0</v>
      </c>
      <c r="O97" s="15">
        <f t="shared" si="35"/>
        <v>2.5</v>
      </c>
      <c r="P97" s="15">
        <f t="shared" si="36"/>
        <v>2.5</v>
      </c>
      <c r="R97" s="8"/>
      <c r="T97"/>
    </row>
    <row r="98" spans="2:20" ht="23.1" customHeight="1" x14ac:dyDescent="0.25">
      <c r="B98" s="24" t="s">
        <v>138</v>
      </c>
      <c r="C98" s="49">
        <f>AVERAGE('07.09. Katungulu-Ishaka-24h'!C98,'08.09 Katungulu-Ishaka-24h'!C98)</f>
        <v>1</v>
      </c>
      <c r="D98" s="49">
        <f>AVERAGE('07.09. Katungulu-Ishaka-24h'!D98,'08.09 Katungulu-Ishaka-24h'!D98)</f>
        <v>0</v>
      </c>
      <c r="E98" s="49">
        <f>AVERAGE('07.09. Katungulu-Ishaka-24h'!E98,'08.09 Katungulu-Ishaka-24h'!E98)</f>
        <v>0.5</v>
      </c>
      <c r="F98" s="49">
        <f>AVERAGE('07.09. Katungulu-Ishaka-24h'!F98,'08.09 Katungulu-Ishaka-24h'!F98)</f>
        <v>0.5</v>
      </c>
      <c r="G98" s="49">
        <f>AVERAGE('07.09. Katungulu-Ishaka-24h'!G98,'08.09 Katungulu-Ishaka-24h'!G98)</f>
        <v>0</v>
      </c>
      <c r="H98" s="49">
        <f>AVERAGE('07.09. Katungulu-Ishaka-24h'!H98,'08.09 Katungulu-Ishaka-24h'!H98)</f>
        <v>0</v>
      </c>
      <c r="I98" s="49">
        <f>AVERAGE('07.09. Katungulu-Ishaka-24h'!I98,'08.09 Katungulu-Ishaka-24h'!I98)</f>
        <v>0</v>
      </c>
      <c r="J98" s="49">
        <f>AVERAGE('07.09. Katungulu-Ishaka-24h'!J98,'08.09 Katungulu-Ishaka-24h'!J98)</f>
        <v>0</v>
      </c>
      <c r="K98" s="49">
        <f>AVERAGE('07.09. Katungulu-Ishaka-24h'!K98,'08.09 Katungulu-Ishaka-24h'!K98)</f>
        <v>0.5</v>
      </c>
      <c r="L98" s="49">
        <f>AVERAGE('07.09. Katungulu-Ishaka-24h'!L98,'08.09 Katungulu-Ishaka-24h'!L98)</f>
        <v>0.5</v>
      </c>
      <c r="M98" s="49">
        <f>AVERAGE('07.09. Katungulu-Ishaka-24h'!M98,'08.09 Katungulu-Ishaka-24h'!M98)</f>
        <v>0.5</v>
      </c>
      <c r="N98" s="49">
        <f>AVERAGE('07.09. Katungulu-Ishaka-24h'!N98,'08.09 Katungulu-Ishaka-24h'!N98)</f>
        <v>0</v>
      </c>
      <c r="O98" s="15">
        <f t="shared" si="35"/>
        <v>3</v>
      </c>
      <c r="P98" s="15">
        <f t="shared" si="36"/>
        <v>3.5</v>
      </c>
      <c r="R98" s="8"/>
      <c r="T98"/>
    </row>
    <row r="99" spans="2:20" ht="23.1" customHeight="1" x14ac:dyDescent="0.25">
      <c r="B99" s="23" t="s">
        <v>139</v>
      </c>
      <c r="C99" s="49">
        <f>AVERAGE('07.09. Katungulu-Ishaka-24h'!C99,'08.09 Katungulu-Ishaka-24h'!C99)</f>
        <v>2.5</v>
      </c>
      <c r="D99" s="49">
        <f>AVERAGE('07.09. Katungulu-Ishaka-24h'!D99,'08.09 Katungulu-Ishaka-24h'!D99)</f>
        <v>0.5</v>
      </c>
      <c r="E99" s="49">
        <f>AVERAGE('07.09. Katungulu-Ishaka-24h'!E99,'08.09 Katungulu-Ishaka-24h'!E99)</f>
        <v>1.5</v>
      </c>
      <c r="F99" s="49">
        <f>AVERAGE('07.09. Katungulu-Ishaka-24h'!F99,'08.09 Katungulu-Ishaka-24h'!F99)</f>
        <v>1.5</v>
      </c>
      <c r="G99" s="49">
        <f>AVERAGE('07.09. Katungulu-Ishaka-24h'!G99,'08.09 Katungulu-Ishaka-24h'!G99)</f>
        <v>0</v>
      </c>
      <c r="H99" s="49">
        <f>AVERAGE('07.09. Katungulu-Ishaka-24h'!H99,'08.09 Katungulu-Ishaka-24h'!H99)</f>
        <v>0</v>
      </c>
      <c r="I99" s="49">
        <f>AVERAGE('07.09. Katungulu-Ishaka-24h'!I99,'08.09 Katungulu-Ishaka-24h'!I99)</f>
        <v>0</v>
      </c>
      <c r="J99" s="49">
        <f>AVERAGE('07.09. Katungulu-Ishaka-24h'!J99,'08.09 Katungulu-Ishaka-24h'!J99)</f>
        <v>0</v>
      </c>
      <c r="K99" s="49">
        <f>AVERAGE('07.09. Katungulu-Ishaka-24h'!K99,'08.09 Katungulu-Ishaka-24h'!K99)</f>
        <v>1.5</v>
      </c>
      <c r="L99" s="49">
        <f>AVERAGE('07.09. Katungulu-Ishaka-24h'!L99,'08.09 Katungulu-Ishaka-24h'!L99)</f>
        <v>1.5</v>
      </c>
      <c r="M99" s="49">
        <f>AVERAGE('07.09. Katungulu-Ishaka-24h'!M99,'08.09 Katungulu-Ishaka-24h'!M99)</f>
        <v>2</v>
      </c>
      <c r="N99" s="49">
        <f>AVERAGE('07.09. Katungulu-Ishaka-24h'!N99,'08.09 Katungulu-Ishaka-24h'!N99)</f>
        <v>0</v>
      </c>
      <c r="O99" s="15">
        <f t="shared" si="35"/>
        <v>9</v>
      </c>
      <c r="P99" s="15">
        <f t="shared" si="36"/>
        <v>11</v>
      </c>
      <c r="R99" s="8"/>
      <c r="T99"/>
    </row>
    <row r="100" spans="2:20" ht="23.1" customHeight="1" x14ac:dyDescent="0.25">
      <c r="B100" s="25" t="s">
        <v>140</v>
      </c>
      <c r="C100" s="49">
        <f>AVERAGE('07.09. Katungulu-Ishaka-24h'!C100,'08.09 Katungulu-Ishaka-24h'!C100)</f>
        <v>0.5</v>
      </c>
      <c r="D100" s="49">
        <f>AVERAGE('07.09. Katungulu-Ishaka-24h'!D100,'08.09 Katungulu-Ishaka-24h'!D100)</f>
        <v>0</v>
      </c>
      <c r="E100" s="49">
        <f>AVERAGE('07.09. Katungulu-Ishaka-24h'!E100,'08.09 Katungulu-Ishaka-24h'!E100)</f>
        <v>0</v>
      </c>
      <c r="F100" s="49">
        <f>AVERAGE('07.09. Katungulu-Ishaka-24h'!F100,'08.09 Katungulu-Ishaka-24h'!F100)</f>
        <v>1</v>
      </c>
      <c r="G100" s="49">
        <f>AVERAGE('07.09. Katungulu-Ishaka-24h'!G100,'08.09 Katungulu-Ishaka-24h'!G100)</f>
        <v>0</v>
      </c>
      <c r="H100" s="49">
        <f>AVERAGE('07.09. Katungulu-Ishaka-24h'!H100,'08.09 Katungulu-Ishaka-24h'!H100)</f>
        <v>0</v>
      </c>
      <c r="I100" s="49">
        <f>AVERAGE('07.09. Katungulu-Ishaka-24h'!I100,'08.09 Katungulu-Ishaka-24h'!I100)</f>
        <v>0</v>
      </c>
      <c r="J100" s="49">
        <f>AVERAGE('07.09. Katungulu-Ishaka-24h'!J100,'08.09 Katungulu-Ishaka-24h'!J100)</f>
        <v>0</v>
      </c>
      <c r="K100" s="49">
        <f>AVERAGE('07.09. Katungulu-Ishaka-24h'!K100,'08.09 Katungulu-Ishaka-24h'!K100)</f>
        <v>0</v>
      </c>
      <c r="L100" s="49">
        <f>AVERAGE('07.09. Katungulu-Ishaka-24h'!L100,'08.09 Katungulu-Ishaka-24h'!L100)</f>
        <v>1.5</v>
      </c>
      <c r="M100" s="49">
        <f>AVERAGE('07.09. Katungulu-Ishaka-24h'!M100,'08.09 Katungulu-Ishaka-24h'!M100)</f>
        <v>1.5</v>
      </c>
      <c r="N100" s="49">
        <f>AVERAGE('07.09. Katungulu-Ishaka-24h'!N100,'08.09 Katungulu-Ishaka-24h'!N100)</f>
        <v>0</v>
      </c>
      <c r="O100" s="15">
        <f t="shared" si="35"/>
        <v>3</v>
      </c>
      <c r="P100" s="15">
        <f t="shared" si="36"/>
        <v>4.5</v>
      </c>
      <c r="R100" s="8"/>
      <c r="T100"/>
    </row>
    <row r="101" spans="2:20" ht="23.1" customHeight="1" x14ac:dyDescent="0.25">
      <c r="B101" s="23" t="s">
        <v>141</v>
      </c>
      <c r="C101" s="49">
        <f>AVERAGE('07.09. Katungulu-Ishaka-24h'!C101,'08.09 Katungulu-Ishaka-24h'!C101)</f>
        <v>1.5</v>
      </c>
      <c r="D101" s="49">
        <f>AVERAGE('07.09. Katungulu-Ishaka-24h'!D101,'08.09 Katungulu-Ishaka-24h'!D101)</f>
        <v>0</v>
      </c>
      <c r="E101" s="49">
        <f>AVERAGE('07.09. Katungulu-Ishaka-24h'!E101,'08.09 Katungulu-Ishaka-24h'!E101)</f>
        <v>1</v>
      </c>
      <c r="F101" s="49">
        <f>AVERAGE('07.09. Katungulu-Ishaka-24h'!F101,'08.09 Katungulu-Ishaka-24h'!F101)</f>
        <v>2.5</v>
      </c>
      <c r="G101" s="49">
        <f>AVERAGE('07.09. Katungulu-Ishaka-24h'!G101,'08.09 Katungulu-Ishaka-24h'!G101)</f>
        <v>0</v>
      </c>
      <c r="H101" s="49">
        <f>AVERAGE('07.09. Katungulu-Ishaka-24h'!H101,'08.09 Katungulu-Ishaka-24h'!H101)</f>
        <v>0</v>
      </c>
      <c r="I101" s="49">
        <f>AVERAGE('07.09. Katungulu-Ishaka-24h'!I101,'08.09 Katungulu-Ishaka-24h'!I101)</f>
        <v>0</v>
      </c>
      <c r="J101" s="49">
        <f>AVERAGE('07.09. Katungulu-Ishaka-24h'!J101,'08.09 Katungulu-Ishaka-24h'!J101)</f>
        <v>0</v>
      </c>
      <c r="K101" s="49">
        <f>AVERAGE('07.09. Katungulu-Ishaka-24h'!K101,'08.09 Katungulu-Ishaka-24h'!K101)</f>
        <v>0.5</v>
      </c>
      <c r="L101" s="49">
        <f>AVERAGE('07.09. Katungulu-Ishaka-24h'!L101,'08.09 Katungulu-Ishaka-24h'!L101)</f>
        <v>2.5</v>
      </c>
      <c r="M101" s="49">
        <f>AVERAGE('07.09. Katungulu-Ishaka-24h'!M101,'08.09 Katungulu-Ishaka-24h'!M101)</f>
        <v>3.5</v>
      </c>
      <c r="N101" s="49">
        <f>AVERAGE('07.09. Katungulu-Ishaka-24h'!N101,'08.09 Katungulu-Ishaka-24h'!N101)</f>
        <v>0</v>
      </c>
      <c r="O101" s="15">
        <f t="shared" si="35"/>
        <v>8</v>
      </c>
      <c r="P101" s="15">
        <f t="shared" si="36"/>
        <v>11.5</v>
      </c>
      <c r="R101" s="8"/>
      <c r="T101"/>
    </row>
    <row r="102" spans="2:20" ht="23.1" customHeight="1" x14ac:dyDescent="0.25">
      <c r="B102" s="24" t="s">
        <v>142</v>
      </c>
      <c r="C102" s="49">
        <f>AVERAGE('07.09. Katungulu-Ishaka-24h'!C102,'08.09 Katungulu-Ishaka-24h'!C102)</f>
        <v>2</v>
      </c>
      <c r="D102" s="49">
        <f>AVERAGE('07.09. Katungulu-Ishaka-24h'!D102,'08.09 Katungulu-Ishaka-24h'!D102)</f>
        <v>0</v>
      </c>
      <c r="E102" s="49">
        <f>AVERAGE('07.09. Katungulu-Ishaka-24h'!E102,'08.09 Katungulu-Ishaka-24h'!E102)</f>
        <v>1</v>
      </c>
      <c r="F102" s="49">
        <f>AVERAGE('07.09. Katungulu-Ishaka-24h'!F102,'08.09 Katungulu-Ishaka-24h'!F102)</f>
        <v>0.5</v>
      </c>
      <c r="G102" s="49">
        <f>AVERAGE('07.09. Katungulu-Ishaka-24h'!G102,'08.09 Katungulu-Ishaka-24h'!G102)</f>
        <v>0</v>
      </c>
      <c r="H102" s="49">
        <f>AVERAGE('07.09. Katungulu-Ishaka-24h'!H102,'08.09 Katungulu-Ishaka-24h'!H102)</f>
        <v>0</v>
      </c>
      <c r="I102" s="49">
        <f>AVERAGE('07.09. Katungulu-Ishaka-24h'!I102,'08.09 Katungulu-Ishaka-24h'!I102)</f>
        <v>0</v>
      </c>
      <c r="J102" s="49">
        <f>AVERAGE('07.09. Katungulu-Ishaka-24h'!J102,'08.09 Katungulu-Ishaka-24h'!J102)</f>
        <v>0</v>
      </c>
      <c r="K102" s="49">
        <f>AVERAGE('07.09. Katungulu-Ishaka-24h'!K102,'08.09 Katungulu-Ishaka-24h'!K102)</f>
        <v>0.5</v>
      </c>
      <c r="L102" s="49">
        <f>AVERAGE('07.09. Katungulu-Ishaka-24h'!L102,'08.09 Katungulu-Ishaka-24h'!L102)</f>
        <v>0</v>
      </c>
      <c r="M102" s="49">
        <f>AVERAGE('07.09. Katungulu-Ishaka-24h'!M102,'08.09 Katungulu-Ishaka-24h'!M102)</f>
        <v>2</v>
      </c>
      <c r="N102" s="49">
        <f>AVERAGE('07.09. Katungulu-Ishaka-24h'!N102,'08.09 Katungulu-Ishaka-24h'!N102)</f>
        <v>0</v>
      </c>
      <c r="O102" s="15">
        <f t="shared" si="35"/>
        <v>4</v>
      </c>
      <c r="P102" s="15">
        <f t="shared" si="36"/>
        <v>6</v>
      </c>
      <c r="R102" s="8"/>
      <c r="T102"/>
    </row>
    <row r="103" spans="2:20" ht="23.1" customHeight="1" x14ac:dyDescent="0.25">
      <c r="B103" s="23" t="s">
        <v>143</v>
      </c>
      <c r="C103" s="49">
        <f>AVERAGE('07.09. Katungulu-Ishaka-24h'!C103,'08.09 Katungulu-Ishaka-24h'!C103)</f>
        <v>3.5</v>
      </c>
      <c r="D103" s="49">
        <f>AVERAGE('07.09. Katungulu-Ishaka-24h'!D103,'08.09 Katungulu-Ishaka-24h'!D103)</f>
        <v>1</v>
      </c>
      <c r="E103" s="49">
        <f>AVERAGE('07.09. Katungulu-Ishaka-24h'!E103,'08.09 Katungulu-Ishaka-24h'!E103)</f>
        <v>2</v>
      </c>
      <c r="F103" s="49">
        <f>AVERAGE('07.09. Katungulu-Ishaka-24h'!F103,'08.09 Katungulu-Ishaka-24h'!F103)</f>
        <v>1.5</v>
      </c>
      <c r="G103" s="49">
        <f>AVERAGE('07.09. Katungulu-Ishaka-24h'!G103,'08.09 Katungulu-Ishaka-24h'!G103)</f>
        <v>0</v>
      </c>
      <c r="H103" s="49">
        <f>AVERAGE('07.09. Katungulu-Ishaka-24h'!H103,'08.09 Katungulu-Ishaka-24h'!H103)</f>
        <v>0</v>
      </c>
      <c r="I103" s="49">
        <f>AVERAGE('07.09. Katungulu-Ishaka-24h'!I103,'08.09 Katungulu-Ishaka-24h'!I103)</f>
        <v>0</v>
      </c>
      <c r="J103" s="49">
        <f>AVERAGE('07.09. Katungulu-Ishaka-24h'!J103,'08.09 Katungulu-Ishaka-24h'!J103)</f>
        <v>0</v>
      </c>
      <c r="K103" s="49">
        <f>AVERAGE('07.09. Katungulu-Ishaka-24h'!K103,'08.09 Katungulu-Ishaka-24h'!K103)</f>
        <v>1</v>
      </c>
      <c r="L103" s="49">
        <f>AVERAGE('07.09. Katungulu-Ishaka-24h'!L103,'08.09 Katungulu-Ishaka-24h'!L103)</f>
        <v>1</v>
      </c>
      <c r="M103" s="49">
        <f>AVERAGE('07.09. Katungulu-Ishaka-24h'!M103,'08.09 Katungulu-Ishaka-24h'!M103)</f>
        <v>3.5</v>
      </c>
      <c r="N103" s="49">
        <f>AVERAGE('07.09. Katungulu-Ishaka-24h'!N103,'08.09 Katungulu-Ishaka-24h'!N103)</f>
        <v>0</v>
      </c>
      <c r="O103" s="15">
        <f t="shared" si="35"/>
        <v>10</v>
      </c>
      <c r="P103" s="15">
        <f t="shared" si="36"/>
        <v>13.5</v>
      </c>
      <c r="R103" s="8"/>
      <c r="T103"/>
    </row>
    <row r="104" spans="2:20" ht="23.1" customHeight="1" x14ac:dyDescent="0.25">
      <c r="B104" s="25" t="s">
        <v>144</v>
      </c>
      <c r="C104" s="49">
        <f>AVERAGE('07.09. Katungulu-Ishaka-24h'!C104,'08.09 Katungulu-Ishaka-24h'!C104)</f>
        <v>1.5</v>
      </c>
      <c r="D104" s="49">
        <f>AVERAGE('07.09. Katungulu-Ishaka-24h'!D104,'08.09 Katungulu-Ishaka-24h'!D104)</f>
        <v>0</v>
      </c>
      <c r="E104" s="49">
        <f>AVERAGE('07.09. Katungulu-Ishaka-24h'!E104,'08.09 Katungulu-Ishaka-24h'!E104)</f>
        <v>0</v>
      </c>
      <c r="F104" s="49">
        <f>AVERAGE('07.09. Katungulu-Ishaka-24h'!F104,'08.09 Katungulu-Ishaka-24h'!F104)</f>
        <v>2</v>
      </c>
      <c r="G104" s="49">
        <f>AVERAGE('07.09. Katungulu-Ishaka-24h'!G104,'08.09 Katungulu-Ishaka-24h'!G104)</f>
        <v>0</v>
      </c>
      <c r="H104" s="49">
        <f>AVERAGE('07.09. Katungulu-Ishaka-24h'!H104,'08.09 Katungulu-Ishaka-24h'!H104)</f>
        <v>0</v>
      </c>
      <c r="I104" s="49">
        <f>AVERAGE('07.09. Katungulu-Ishaka-24h'!I104,'08.09 Katungulu-Ishaka-24h'!I104)</f>
        <v>0</v>
      </c>
      <c r="J104" s="49">
        <f>AVERAGE('07.09. Katungulu-Ishaka-24h'!J104,'08.09 Katungulu-Ishaka-24h'!J104)</f>
        <v>0</v>
      </c>
      <c r="K104" s="49">
        <f>AVERAGE('07.09. Katungulu-Ishaka-24h'!K104,'08.09 Katungulu-Ishaka-24h'!K104)</f>
        <v>0</v>
      </c>
      <c r="L104" s="49">
        <f>AVERAGE('07.09. Katungulu-Ishaka-24h'!L104,'08.09 Katungulu-Ishaka-24h'!L104)</f>
        <v>0.5</v>
      </c>
      <c r="M104" s="49">
        <f>AVERAGE('07.09. Katungulu-Ishaka-24h'!M104,'08.09 Katungulu-Ishaka-24h'!M104)</f>
        <v>3.5</v>
      </c>
      <c r="N104" s="49">
        <f>AVERAGE('07.09. Katungulu-Ishaka-24h'!N104,'08.09 Katungulu-Ishaka-24h'!N104)</f>
        <v>0</v>
      </c>
      <c r="O104" s="15">
        <f t="shared" si="35"/>
        <v>4</v>
      </c>
      <c r="P104" s="15">
        <f t="shared" si="36"/>
        <v>7.5</v>
      </c>
      <c r="R104" s="8"/>
      <c r="T104"/>
    </row>
    <row r="105" spans="2:20" ht="23.1" customHeight="1" x14ac:dyDescent="0.25">
      <c r="B105" s="23" t="s">
        <v>145</v>
      </c>
      <c r="C105" s="49">
        <f>AVERAGE('07.09. Katungulu-Ishaka-24h'!C105,'08.09 Katungulu-Ishaka-24h'!C105)</f>
        <v>3.5</v>
      </c>
      <c r="D105" s="49">
        <f>AVERAGE('07.09. Katungulu-Ishaka-24h'!D105,'08.09 Katungulu-Ishaka-24h'!D105)</f>
        <v>0</v>
      </c>
      <c r="E105" s="49">
        <f>AVERAGE('07.09. Katungulu-Ishaka-24h'!E105,'08.09 Katungulu-Ishaka-24h'!E105)</f>
        <v>1</v>
      </c>
      <c r="F105" s="49">
        <f>AVERAGE('07.09. Katungulu-Ishaka-24h'!F105,'08.09 Katungulu-Ishaka-24h'!F105)</f>
        <v>3.5</v>
      </c>
      <c r="G105" s="49">
        <f>AVERAGE('07.09. Katungulu-Ishaka-24h'!G105,'08.09 Katungulu-Ishaka-24h'!G105)</f>
        <v>0</v>
      </c>
      <c r="H105" s="49">
        <f>AVERAGE('07.09. Katungulu-Ishaka-24h'!H105,'08.09 Katungulu-Ishaka-24h'!H105)</f>
        <v>0</v>
      </c>
      <c r="I105" s="49">
        <f>AVERAGE('07.09. Katungulu-Ishaka-24h'!I105,'08.09 Katungulu-Ishaka-24h'!I105)</f>
        <v>0</v>
      </c>
      <c r="J105" s="49">
        <f>AVERAGE('07.09. Katungulu-Ishaka-24h'!J105,'08.09 Katungulu-Ishaka-24h'!J105)</f>
        <v>0.5</v>
      </c>
      <c r="K105" s="49">
        <f>AVERAGE('07.09. Katungulu-Ishaka-24h'!K105,'08.09 Katungulu-Ishaka-24h'!K105)</f>
        <v>0.5</v>
      </c>
      <c r="L105" s="49">
        <f>AVERAGE('07.09. Katungulu-Ishaka-24h'!L105,'08.09 Katungulu-Ishaka-24h'!L105)</f>
        <v>1.5</v>
      </c>
      <c r="M105" s="49">
        <f>AVERAGE('07.09. Katungulu-Ishaka-24h'!M105,'08.09 Katungulu-Ishaka-24h'!M105)</f>
        <v>8</v>
      </c>
      <c r="N105" s="49">
        <f>AVERAGE('07.09. Katungulu-Ishaka-24h'!N105,'08.09 Katungulu-Ishaka-24h'!N105)</f>
        <v>0</v>
      </c>
      <c r="O105" s="15">
        <f t="shared" si="35"/>
        <v>10.5</v>
      </c>
      <c r="P105" s="15">
        <f t="shared" si="36"/>
        <v>18.5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337.21428571428578</v>
      </c>
      <c r="D106" s="16">
        <f t="shared" ref="D106:P106" si="37">SUM(D10:D105)</f>
        <v>63.642857142857146</v>
      </c>
      <c r="E106" s="16">
        <f t="shared" si="37"/>
        <v>230.35714285714286</v>
      </c>
      <c r="F106" s="16">
        <f t="shared" si="37"/>
        <v>215.07142857142856</v>
      </c>
      <c r="G106" s="16">
        <f t="shared" si="37"/>
        <v>9.5714285714285712</v>
      </c>
      <c r="H106" s="16">
        <f t="shared" si="37"/>
        <v>11.642857142857142</v>
      </c>
      <c r="I106" s="16">
        <f t="shared" si="37"/>
        <v>72.5</v>
      </c>
      <c r="J106" s="16">
        <f t="shared" si="37"/>
        <v>73.000000000000014</v>
      </c>
      <c r="K106" s="16">
        <f t="shared" si="37"/>
        <v>124.42857142857143</v>
      </c>
      <c r="L106" s="16">
        <f t="shared" si="37"/>
        <v>69.214285714285722</v>
      </c>
      <c r="M106" s="16">
        <f t="shared" si="37"/>
        <v>2637.428571428572</v>
      </c>
      <c r="N106" s="16">
        <f t="shared" si="37"/>
        <v>0.99999999999999978</v>
      </c>
      <c r="O106" s="16">
        <f t="shared" si="37"/>
        <v>1207.6428571428569</v>
      </c>
      <c r="P106" s="16">
        <f t="shared" si="37"/>
        <v>3845.071428571428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8.7700395682785037E-2</v>
      </c>
      <c r="D107" s="43">
        <f t="shared" si="38"/>
        <v>1.6551801006854789E-2</v>
      </c>
      <c r="E107" s="43">
        <f t="shared" si="38"/>
        <v>5.9909717449053532E-2</v>
      </c>
      <c r="F107" s="43">
        <f t="shared" si="38"/>
        <v>5.5934312942356637E-2</v>
      </c>
      <c r="G107" s="43">
        <f t="shared" si="38"/>
        <v>2.4892719808288907E-3</v>
      </c>
      <c r="H107" s="43">
        <f t="shared" si="38"/>
        <v>3.0279950214560387E-3</v>
      </c>
      <c r="I107" s="43">
        <f t="shared" si="38"/>
        <v>1.8855306421950182E-2</v>
      </c>
      <c r="J107" s="43">
        <f t="shared" si="38"/>
        <v>1.8985343017963632E-2</v>
      </c>
      <c r="K107" s="43">
        <f t="shared" si="38"/>
        <v>3.2360535750775583E-2</v>
      </c>
      <c r="L107" s="43">
        <f t="shared" si="38"/>
        <v>1.8000780219576084E-2</v>
      </c>
      <c r="M107" s="43">
        <f t="shared" si="38"/>
        <v>0.68592446731437307</v>
      </c>
      <c r="N107" s="43">
        <f t="shared" si="38"/>
        <v>2.6007319202689898E-4</v>
      </c>
      <c r="O107" s="51"/>
      <c r="P107" s="51"/>
      <c r="R107" s="8"/>
      <c r="T107"/>
    </row>
    <row r="108" spans="2:20" ht="23.1" customHeight="1" x14ac:dyDescent="0.25">
      <c r="B108" s="42" t="s">
        <v>94</v>
      </c>
      <c r="C108" s="44">
        <f>C106/$O$106</f>
        <v>0.27923345359910107</v>
      </c>
      <c r="D108" s="44">
        <f t="shared" ref="D108:N108" si="39">D106/$O$106</f>
        <v>5.2700065061808729E-2</v>
      </c>
      <c r="E108" s="44">
        <f t="shared" si="39"/>
        <v>0.19074939374223698</v>
      </c>
      <c r="F108" s="44">
        <f t="shared" si="39"/>
        <v>0.1780919145915893</v>
      </c>
      <c r="G108" s="44">
        <f t="shared" si="39"/>
        <v>7.9257112438634904E-3</v>
      </c>
      <c r="H108" s="44">
        <f t="shared" si="39"/>
        <v>9.6409771100727532E-3</v>
      </c>
      <c r="I108" s="44">
        <f t="shared" si="39"/>
        <v>6.0034305317324198E-2</v>
      </c>
      <c r="J108" s="44">
        <f t="shared" si="39"/>
        <v>6.0448335009167825E-2</v>
      </c>
      <c r="K108" s="44">
        <f t="shared" si="39"/>
        <v>0.10303424617022537</v>
      </c>
      <c r="L108" s="44">
        <f t="shared" si="39"/>
        <v>5.7313538770923309E-2</v>
      </c>
      <c r="M108" s="44"/>
      <c r="N108" s="44">
        <f t="shared" si="39"/>
        <v>8.2805938368723012E-4</v>
      </c>
      <c r="O108" s="51"/>
      <c r="P108" s="51"/>
      <c r="R108" s="8"/>
      <c r="T108"/>
    </row>
    <row r="109" spans="2:20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S128" s="8"/>
      <c r="T128" s="8"/>
    </row>
    <row r="152" ht="22.5" customHeight="1" x14ac:dyDescent="0.25"/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M52" zoomScale="60" workbookViewId="0">
      <selection activeCell="AF60" sqref="AF6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'13.09 Katungulu-Ishaka'!C3:G3</f>
        <v>MCC - C4 - STN104 - ISHAKA KATUNGULU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163</v>
      </c>
      <c r="E5" s="67"/>
      <c r="F5" s="41" t="s">
        <v>1</v>
      </c>
      <c r="G5" s="56" t="str">
        <f>'Avg Week Katungulu-Ishaka'!G5:H5</f>
        <v>Rubirizi</v>
      </c>
      <c r="H5" s="57"/>
      <c r="I5" s="14"/>
      <c r="J5" s="2" t="s">
        <v>5</v>
      </c>
      <c r="K5" s="56" t="str">
        <f>'Avg Week Katungulu-Ishaka'!K5:L5</f>
        <v>xxx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68" t="s">
        <v>161</v>
      </c>
      <c r="E6" s="69"/>
      <c r="F6" s="2" t="s">
        <v>2</v>
      </c>
      <c r="G6" s="68" t="s">
        <v>161</v>
      </c>
      <c r="H6" s="69"/>
      <c r="J6" s="2" t="s">
        <v>21</v>
      </c>
      <c r="K6" s="56" t="str">
        <f>'Avg Week Katungulu-Ishaka'!K6:L6</f>
        <v>xxx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Ishaka-Katungulu'!C10+'Avg Week Katungulu-Ishaka'!C10</f>
        <v>1.7142857142857142</v>
      </c>
      <c r="D10" s="49">
        <f>'Avg Week Ishaka-Katungulu'!D10+'Avg Week Katungulu-Ishaka'!D10</f>
        <v>0</v>
      </c>
      <c r="E10" s="49">
        <f>'Avg Week Ishaka-Katungulu'!E10+'Avg Week Katungulu-Ishaka'!E10</f>
        <v>0.42857142857142855</v>
      </c>
      <c r="F10" s="49">
        <f>'Avg Week Ishaka-Katungulu'!F10+'Avg Week Katungulu-Ishaka'!F10</f>
        <v>1.5714285714285714</v>
      </c>
      <c r="G10" s="49">
        <f>'Avg Week Ishaka-Katungulu'!G10+'Avg Week Katungulu-Ishaka'!G10</f>
        <v>0</v>
      </c>
      <c r="H10" s="49">
        <f>'Avg Week Ishaka-Katungulu'!H10+'Avg Week Katungulu-Ishaka'!H10</f>
        <v>0</v>
      </c>
      <c r="I10" s="49">
        <f>'Avg Week Ishaka-Katungulu'!I10+'Avg Week Katungulu-Ishaka'!I10</f>
        <v>0</v>
      </c>
      <c r="J10" s="49">
        <f>'Avg Week Ishaka-Katungulu'!J10+'Avg Week Katungulu-Ishaka'!J10</f>
        <v>0.5714285714285714</v>
      </c>
      <c r="K10" s="49">
        <f>'Avg Week Ishaka-Katungulu'!K10+'Avg Week Katungulu-Ishaka'!K10</f>
        <v>0.14285714285714285</v>
      </c>
      <c r="L10" s="49">
        <f>'Avg Week Ishaka-Katungulu'!L10+'Avg Week Katungulu-Ishaka'!L10</f>
        <v>0.5714285714285714</v>
      </c>
      <c r="M10" s="49">
        <f>'Avg Week Ishaka-Katungulu'!M10+'Avg Week Katungulu-Ishaka'!M10</f>
        <v>8</v>
      </c>
      <c r="N10" s="49">
        <f>'Avg Week Ishaka-Katungulu'!N10+'Avg Week Katungulu-Ishaka'!N10</f>
        <v>0</v>
      </c>
      <c r="O10" s="15">
        <f t="shared" ref="O10:O73" si="0">SUM(C10:L10,N10)</f>
        <v>5</v>
      </c>
      <c r="P10" s="15">
        <f t="shared" ref="P10:P73" si="1">SUM(C10:N10)</f>
        <v>13</v>
      </c>
      <c r="R10" s="1" t="s">
        <v>6</v>
      </c>
      <c r="S10" s="17">
        <f t="shared" ref="S10:AF10" si="2">SUM(C10:C13)</f>
        <v>11.285714285714285</v>
      </c>
      <c r="T10" s="17">
        <f t="shared" si="2"/>
        <v>0.2857142857142857</v>
      </c>
      <c r="U10" s="17">
        <f t="shared" si="2"/>
        <v>4.5714285714285712</v>
      </c>
      <c r="V10" s="17">
        <f t="shared" si="2"/>
        <v>12.142857142857142</v>
      </c>
      <c r="W10" s="17">
        <f t="shared" si="2"/>
        <v>0.42857142857142855</v>
      </c>
      <c r="X10" s="17">
        <f t="shared" si="2"/>
        <v>0.14285714285714285</v>
      </c>
      <c r="Y10" s="17">
        <f t="shared" si="2"/>
        <v>0.85714285714285698</v>
      </c>
      <c r="Z10" s="17">
        <f t="shared" si="2"/>
        <v>4</v>
      </c>
      <c r="AA10" s="17">
        <f t="shared" si="2"/>
        <v>2.1428571428571428</v>
      </c>
      <c r="AB10" s="17">
        <f t="shared" si="2"/>
        <v>5.2857142857142856</v>
      </c>
      <c r="AC10" s="17">
        <f t="shared" si="2"/>
        <v>100.14285714285714</v>
      </c>
      <c r="AD10" s="17">
        <f t="shared" si="2"/>
        <v>0</v>
      </c>
      <c r="AE10" s="31">
        <f t="shared" si="2"/>
        <v>41.142857142857139</v>
      </c>
      <c r="AF10" s="31">
        <f t="shared" si="2"/>
        <v>141.28571428571428</v>
      </c>
    </row>
    <row r="11" spans="2:32" s="6" customFormat="1" ht="23.1" customHeight="1" x14ac:dyDescent="0.25">
      <c r="B11" s="23" t="s">
        <v>38</v>
      </c>
      <c r="C11" s="49">
        <f>'Avg Week Ishaka-Katungulu'!C11+'Avg Week Katungulu-Ishaka'!C11</f>
        <v>4.2857142857142856</v>
      </c>
      <c r="D11" s="49">
        <f>'Avg Week Ishaka-Katungulu'!D11+'Avg Week Katungulu-Ishaka'!D11</f>
        <v>0.14285714285714285</v>
      </c>
      <c r="E11" s="49">
        <f>'Avg Week Ishaka-Katungulu'!E11+'Avg Week Katungulu-Ishaka'!E11</f>
        <v>1.2857142857142856</v>
      </c>
      <c r="F11" s="49">
        <f>'Avg Week Ishaka-Katungulu'!F11+'Avg Week Katungulu-Ishaka'!F11</f>
        <v>3.1428571428571428</v>
      </c>
      <c r="G11" s="49">
        <f>'Avg Week Ishaka-Katungulu'!G11+'Avg Week Katungulu-Ishaka'!G11</f>
        <v>0.2857142857142857</v>
      </c>
      <c r="H11" s="49">
        <f>'Avg Week Ishaka-Katungulu'!H11+'Avg Week Katungulu-Ishaka'!H11</f>
        <v>0</v>
      </c>
      <c r="I11" s="49">
        <f>'Avg Week Ishaka-Katungulu'!I11+'Avg Week Katungulu-Ishaka'!I11</f>
        <v>0</v>
      </c>
      <c r="J11" s="49">
        <f>'Avg Week Ishaka-Katungulu'!J11+'Avg Week Katungulu-Ishaka'!J11</f>
        <v>1.2857142857142856</v>
      </c>
      <c r="K11" s="49">
        <f>'Avg Week Ishaka-Katungulu'!K11+'Avg Week Katungulu-Ishaka'!K11</f>
        <v>0.5714285714285714</v>
      </c>
      <c r="L11" s="49">
        <f>'Avg Week Ishaka-Katungulu'!L11+'Avg Week Katungulu-Ishaka'!L11</f>
        <v>1.7142857142857142</v>
      </c>
      <c r="M11" s="49">
        <f>'Avg Week Ishaka-Katungulu'!M11+'Avg Week Katungulu-Ishaka'!M11</f>
        <v>15.285714285714285</v>
      </c>
      <c r="N11" s="49">
        <f>'Avg Week Ishaka-Katungulu'!N11+'Avg Week Katungulu-Ishaka'!N11</f>
        <v>0</v>
      </c>
      <c r="O11" s="15">
        <f t="shared" si="0"/>
        <v>12.714285714285715</v>
      </c>
      <c r="P11" s="15">
        <f t="shared" si="1"/>
        <v>28</v>
      </c>
      <c r="R11" s="1" t="s">
        <v>7</v>
      </c>
      <c r="S11" s="17">
        <f t="shared" ref="S11:AF11" si="3">SUM(C14:C17)</f>
        <v>19.285714285714288</v>
      </c>
      <c r="T11" s="17">
        <f t="shared" si="3"/>
        <v>1.714285714285714</v>
      </c>
      <c r="U11" s="17">
        <f t="shared" si="3"/>
        <v>15.428571428571429</v>
      </c>
      <c r="V11" s="17">
        <f t="shared" si="3"/>
        <v>21.571428571428569</v>
      </c>
      <c r="W11" s="17">
        <f t="shared" si="3"/>
        <v>0.42857142857142855</v>
      </c>
      <c r="X11" s="17">
        <f t="shared" si="3"/>
        <v>0.8571428571428571</v>
      </c>
      <c r="Y11" s="17">
        <f t="shared" si="3"/>
        <v>6</v>
      </c>
      <c r="Z11" s="17">
        <f t="shared" si="3"/>
        <v>8.5714285714285712</v>
      </c>
      <c r="AA11" s="17">
        <f t="shared" si="3"/>
        <v>15.714285714285715</v>
      </c>
      <c r="AB11" s="17">
        <f t="shared" si="3"/>
        <v>7.8571428571428577</v>
      </c>
      <c r="AC11" s="17">
        <f t="shared" si="3"/>
        <v>327.71428571428572</v>
      </c>
      <c r="AD11" s="17">
        <f t="shared" si="3"/>
        <v>0.14285714285714285</v>
      </c>
      <c r="AE11" s="31">
        <f t="shared" si="3"/>
        <v>97.571428571428555</v>
      </c>
      <c r="AF11" s="31">
        <f t="shared" si="3"/>
        <v>425.28571428571422</v>
      </c>
    </row>
    <row r="12" spans="2:32" ht="23.1" customHeight="1" x14ac:dyDescent="0.25">
      <c r="B12" s="23" t="s">
        <v>39</v>
      </c>
      <c r="C12" s="49">
        <f>'Avg Week Ishaka-Katungulu'!C12+'Avg Week Katungulu-Ishaka'!C12</f>
        <v>1.7142857142857142</v>
      </c>
      <c r="D12" s="49">
        <f>'Avg Week Ishaka-Katungulu'!D12+'Avg Week Katungulu-Ishaka'!D12</f>
        <v>0</v>
      </c>
      <c r="E12" s="49">
        <f>'Avg Week Ishaka-Katungulu'!E12+'Avg Week Katungulu-Ishaka'!E12</f>
        <v>0.71428571428571419</v>
      </c>
      <c r="F12" s="49">
        <f>'Avg Week Ishaka-Katungulu'!F12+'Avg Week Katungulu-Ishaka'!F12</f>
        <v>2.4285714285714284</v>
      </c>
      <c r="G12" s="49">
        <f>'Avg Week Ishaka-Katungulu'!G12+'Avg Week Katungulu-Ishaka'!G12</f>
        <v>0</v>
      </c>
      <c r="H12" s="49">
        <f>'Avg Week Ishaka-Katungulu'!H12+'Avg Week Katungulu-Ishaka'!H12</f>
        <v>0</v>
      </c>
      <c r="I12" s="49">
        <f>'Avg Week Ishaka-Katungulu'!I12+'Avg Week Katungulu-Ishaka'!I12</f>
        <v>0.14285714285714285</v>
      </c>
      <c r="J12" s="49">
        <f>'Avg Week Ishaka-Katungulu'!J12+'Avg Week Katungulu-Ishaka'!J12</f>
        <v>0.5714285714285714</v>
      </c>
      <c r="K12" s="49">
        <f>'Avg Week Ishaka-Katungulu'!K12+'Avg Week Katungulu-Ishaka'!K12</f>
        <v>0.2857142857142857</v>
      </c>
      <c r="L12" s="49">
        <f>'Avg Week Ishaka-Katungulu'!L12+'Avg Week Katungulu-Ishaka'!L12</f>
        <v>0.8571428571428571</v>
      </c>
      <c r="M12" s="49">
        <f>'Avg Week Ishaka-Katungulu'!M12+'Avg Week Katungulu-Ishaka'!M12</f>
        <v>26.714285714285715</v>
      </c>
      <c r="N12" s="49">
        <f>'Avg Week Ishaka-Katungulu'!N12+'Avg Week Katungulu-Ishaka'!N12</f>
        <v>0</v>
      </c>
      <c r="O12" s="15">
        <f t="shared" si="0"/>
        <v>6.7142857142857135</v>
      </c>
      <c r="P12" s="15">
        <f t="shared" si="1"/>
        <v>33.428571428571431</v>
      </c>
      <c r="R12" s="1" t="s">
        <v>8</v>
      </c>
      <c r="S12" s="17">
        <f t="shared" ref="S12:AF12" si="4">SUM(C18:C21)</f>
        <v>31.428571428571431</v>
      </c>
      <c r="T12" s="17">
        <f t="shared" si="4"/>
        <v>3.1428571428571428</v>
      </c>
      <c r="U12" s="17">
        <f t="shared" si="4"/>
        <v>22.285714285714288</v>
      </c>
      <c r="V12" s="17">
        <f t="shared" si="4"/>
        <v>23.428571428571431</v>
      </c>
      <c r="W12" s="17">
        <f t="shared" si="4"/>
        <v>0.99999999999999989</v>
      </c>
      <c r="X12" s="17">
        <f t="shared" si="4"/>
        <v>2.5714285714285712</v>
      </c>
      <c r="Y12" s="17">
        <f t="shared" si="4"/>
        <v>6.1428571428571423</v>
      </c>
      <c r="Z12" s="17">
        <f t="shared" si="4"/>
        <v>4.5714285714285712</v>
      </c>
      <c r="AA12" s="17">
        <f t="shared" si="4"/>
        <v>9.1428571428571423</v>
      </c>
      <c r="AB12" s="17">
        <f t="shared" si="4"/>
        <v>13.571428571428573</v>
      </c>
      <c r="AC12" s="17">
        <f t="shared" si="4"/>
        <v>382.57142857142861</v>
      </c>
      <c r="AD12" s="17">
        <f t="shared" si="4"/>
        <v>0.2857142857142857</v>
      </c>
      <c r="AE12" s="31">
        <f t="shared" si="4"/>
        <v>117.57142857142858</v>
      </c>
      <c r="AF12" s="31">
        <f t="shared" si="4"/>
        <v>500.14285714285717</v>
      </c>
    </row>
    <row r="13" spans="2:32" ht="23.1" customHeight="1" x14ac:dyDescent="0.25">
      <c r="B13" s="23" t="s">
        <v>40</v>
      </c>
      <c r="C13" s="49">
        <f>'Avg Week Ishaka-Katungulu'!C13+'Avg Week Katungulu-Ishaka'!C13</f>
        <v>3.5714285714285712</v>
      </c>
      <c r="D13" s="49">
        <f>'Avg Week Ishaka-Katungulu'!D13+'Avg Week Katungulu-Ishaka'!D13</f>
        <v>0.14285714285714285</v>
      </c>
      <c r="E13" s="49">
        <f>'Avg Week Ishaka-Katungulu'!E13+'Avg Week Katungulu-Ishaka'!E13</f>
        <v>2.1428571428571428</v>
      </c>
      <c r="F13" s="49">
        <f>'Avg Week Ishaka-Katungulu'!F13+'Avg Week Katungulu-Ishaka'!F13</f>
        <v>5</v>
      </c>
      <c r="G13" s="49">
        <f>'Avg Week Ishaka-Katungulu'!G13+'Avg Week Katungulu-Ishaka'!G13</f>
        <v>0.14285714285714285</v>
      </c>
      <c r="H13" s="49">
        <f>'Avg Week Ishaka-Katungulu'!H13+'Avg Week Katungulu-Ishaka'!H13</f>
        <v>0.14285714285714285</v>
      </c>
      <c r="I13" s="49">
        <f>'Avg Week Ishaka-Katungulu'!I13+'Avg Week Katungulu-Ishaka'!I13</f>
        <v>0.71428571428571419</v>
      </c>
      <c r="J13" s="49">
        <f>'Avg Week Ishaka-Katungulu'!J13+'Avg Week Katungulu-Ishaka'!J13</f>
        <v>1.5714285714285716</v>
      </c>
      <c r="K13" s="49">
        <f>'Avg Week Ishaka-Katungulu'!K13+'Avg Week Katungulu-Ishaka'!K13</f>
        <v>1.1428571428571428</v>
      </c>
      <c r="L13" s="49">
        <f>'Avg Week Ishaka-Katungulu'!L13+'Avg Week Katungulu-Ishaka'!L13</f>
        <v>2.1428571428571428</v>
      </c>
      <c r="M13" s="49">
        <f>'Avg Week Ishaka-Katungulu'!M13+'Avg Week Katungulu-Ishaka'!M13</f>
        <v>50.142857142857139</v>
      </c>
      <c r="N13" s="49">
        <f>'Avg Week Ishaka-Katungulu'!N13+'Avg Week Katungulu-Ishaka'!N13</f>
        <v>0</v>
      </c>
      <c r="O13" s="15">
        <f t="shared" si="0"/>
        <v>16.714285714285712</v>
      </c>
      <c r="P13" s="15">
        <f t="shared" si="1"/>
        <v>66.857142857142847</v>
      </c>
      <c r="R13" s="1" t="s">
        <v>9</v>
      </c>
      <c r="S13" s="17">
        <f t="shared" ref="S13:AF13" si="5">SUM(C22:C25)</f>
        <v>39.714285714285715</v>
      </c>
      <c r="T13" s="17">
        <f t="shared" si="5"/>
        <v>5.5714285714285712</v>
      </c>
      <c r="U13" s="17">
        <f t="shared" si="5"/>
        <v>28.142857142857142</v>
      </c>
      <c r="V13" s="17">
        <f t="shared" si="5"/>
        <v>27</v>
      </c>
      <c r="W13" s="17">
        <f t="shared" si="5"/>
        <v>0.14285714285714285</v>
      </c>
      <c r="X13" s="17">
        <f t="shared" si="5"/>
        <v>1.1428571428571428</v>
      </c>
      <c r="Y13" s="17">
        <f t="shared" si="5"/>
        <v>8.2857142857142865</v>
      </c>
      <c r="Z13" s="17">
        <f t="shared" si="5"/>
        <v>3.4285714285714288</v>
      </c>
      <c r="AA13" s="17">
        <f t="shared" si="5"/>
        <v>12.571428571428571</v>
      </c>
      <c r="AB13" s="17">
        <f t="shared" si="5"/>
        <v>12.285714285714286</v>
      </c>
      <c r="AC13" s="17">
        <f t="shared" si="5"/>
        <v>408.28571428571428</v>
      </c>
      <c r="AD13" s="17">
        <f t="shared" si="5"/>
        <v>0.2857142857142857</v>
      </c>
      <c r="AE13" s="31">
        <f t="shared" si="5"/>
        <v>138.57142857142858</v>
      </c>
      <c r="AF13" s="31">
        <f t="shared" si="5"/>
        <v>546.85714285714289</v>
      </c>
    </row>
    <row r="14" spans="2:32" ht="23.1" customHeight="1" x14ac:dyDescent="0.25">
      <c r="B14" s="23" t="s">
        <v>41</v>
      </c>
      <c r="C14" s="49">
        <f>'Avg Week Ishaka-Katungulu'!C14+'Avg Week Katungulu-Ishaka'!C14</f>
        <v>3.7142857142857144</v>
      </c>
      <c r="D14" s="49">
        <f>'Avg Week Ishaka-Katungulu'!D14+'Avg Week Katungulu-Ishaka'!D14</f>
        <v>0.14285714285714285</v>
      </c>
      <c r="E14" s="49">
        <f>'Avg Week Ishaka-Katungulu'!E14+'Avg Week Katungulu-Ishaka'!E14</f>
        <v>3</v>
      </c>
      <c r="F14" s="49">
        <f>'Avg Week Ishaka-Katungulu'!F14+'Avg Week Katungulu-Ishaka'!F14</f>
        <v>3.8571428571428572</v>
      </c>
      <c r="G14" s="49">
        <f>'Avg Week Ishaka-Katungulu'!G14+'Avg Week Katungulu-Ishaka'!G14</f>
        <v>0</v>
      </c>
      <c r="H14" s="49">
        <f>'Avg Week Ishaka-Katungulu'!H14+'Avg Week Katungulu-Ishaka'!H14</f>
        <v>0</v>
      </c>
      <c r="I14" s="49">
        <f>'Avg Week Ishaka-Katungulu'!I14+'Avg Week Katungulu-Ishaka'!I14</f>
        <v>0.71428571428571419</v>
      </c>
      <c r="J14" s="49">
        <f>'Avg Week Ishaka-Katungulu'!J14+'Avg Week Katungulu-Ishaka'!J14</f>
        <v>1.2857142857142856</v>
      </c>
      <c r="K14" s="49">
        <f>'Avg Week Ishaka-Katungulu'!K14+'Avg Week Katungulu-Ishaka'!K14</f>
        <v>3.4285714285714284</v>
      </c>
      <c r="L14" s="49">
        <f>'Avg Week Ishaka-Katungulu'!L14+'Avg Week Katungulu-Ishaka'!L14</f>
        <v>1.2857142857142856</v>
      </c>
      <c r="M14" s="49">
        <f>'Avg Week Ishaka-Katungulu'!M14+'Avg Week Katungulu-Ishaka'!M14</f>
        <v>50.428571428571431</v>
      </c>
      <c r="N14" s="49">
        <f>'Avg Week Ishaka-Katungulu'!N14+'Avg Week Katungulu-Ishaka'!N14</f>
        <v>0</v>
      </c>
      <c r="O14" s="15">
        <f t="shared" si="0"/>
        <v>17.428571428571427</v>
      </c>
      <c r="P14" s="15">
        <f t="shared" si="1"/>
        <v>67.857142857142861</v>
      </c>
      <c r="R14" s="1" t="s">
        <v>10</v>
      </c>
      <c r="S14" s="17">
        <f t="shared" ref="S14:AF14" si="6">SUM(C26:C29)</f>
        <v>42.571428571428577</v>
      </c>
      <c r="T14" s="17">
        <f t="shared" si="6"/>
        <v>5.2857142857142865</v>
      </c>
      <c r="U14" s="17">
        <f t="shared" si="6"/>
        <v>30.142857142857146</v>
      </c>
      <c r="V14" s="17">
        <f t="shared" si="6"/>
        <v>25.142857142857142</v>
      </c>
      <c r="W14" s="17">
        <f t="shared" si="6"/>
        <v>0.5714285714285714</v>
      </c>
      <c r="X14" s="17">
        <f t="shared" si="6"/>
        <v>0.2857142857142857</v>
      </c>
      <c r="Y14" s="17">
        <f t="shared" si="6"/>
        <v>5.5714285714285712</v>
      </c>
      <c r="Z14" s="17">
        <f t="shared" si="6"/>
        <v>4.2857142857142856</v>
      </c>
      <c r="AA14" s="17">
        <f t="shared" si="6"/>
        <v>10.142857142857142</v>
      </c>
      <c r="AB14" s="17">
        <f t="shared" si="6"/>
        <v>11.714285714285715</v>
      </c>
      <c r="AC14" s="17">
        <f t="shared" si="6"/>
        <v>379.28571428571428</v>
      </c>
      <c r="AD14" s="17">
        <f t="shared" si="6"/>
        <v>0.14285714285714285</v>
      </c>
      <c r="AE14" s="31">
        <f t="shared" si="6"/>
        <v>135.85714285714286</v>
      </c>
      <c r="AF14" s="31">
        <f t="shared" si="6"/>
        <v>515.14285714285711</v>
      </c>
    </row>
    <row r="15" spans="2:32" ht="23.1" customHeight="1" x14ac:dyDescent="0.25">
      <c r="B15" s="23" t="s">
        <v>42</v>
      </c>
      <c r="C15" s="49">
        <f>'Avg Week Ishaka-Katungulu'!C15+'Avg Week Katungulu-Ishaka'!C15</f>
        <v>6.7142857142857144</v>
      </c>
      <c r="D15" s="49">
        <f>'Avg Week Ishaka-Katungulu'!D15+'Avg Week Katungulu-Ishaka'!D15</f>
        <v>0.71428571428571419</v>
      </c>
      <c r="E15" s="49">
        <f>'Avg Week Ishaka-Katungulu'!E15+'Avg Week Katungulu-Ishaka'!E15</f>
        <v>5.5714285714285712</v>
      </c>
      <c r="F15" s="49">
        <f>'Avg Week Ishaka-Katungulu'!F15+'Avg Week Katungulu-Ishaka'!F15</f>
        <v>7.4285714285714288</v>
      </c>
      <c r="G15" s="49">
        <f>'Avg Week Ishaka-Katungulu'!G15+'Avg Week Katungulu-Ishaka'!G15</f>
        <v>0.2857142857142857</v>
      </c>
      <c r="H15" s="49">
        <f>'Avg Week Ishaka-Katungulu'!H15+'Avg Week Katungulu-Ishaka'!H15</f>
        <v>0.2857142857142857</v>
      </c>
      <c r="I15" s="49">
        <f>'Avg Week Ishaka-Katungulu'!I15+'Avg Week Katungulu-Ishaka'!I15</f>
        <v>1.8571428571428572</v>
      </c>
      <c r="J15" s="49">
        <f>'Avg Week Ishaka-Katungulu'!J15+'Avg Week Katungulu-Ishaka'!J15</f>
        <v>2.714285714285714</v>
      </c>
      <c r="K15" s="49">
        <f>'Avg Week Ishaka-Katungulu'!K15+'Avg Week Katungulu-Ishaka'!K15</f>
        <v>6.4285714285714288</v>
      </c>
      <c r="L15" s="49">
        <f>'Avg Week Ishaka-Katungulu'!L15+'Avg Week Katungulu-Ishaka'!L15</f>
        <v>2.5714285714285716</v>
      </c>
      <c r="M15" s="49">
        <f>'Avg Week Ishaka-Katungulu'!M15+'Avg Week Katungulu-Ishaka'!M15</f>
        <v>95.714285714285722</v>
      </c>
      <c r="N15" s="49">
        <f>'Avg Week Ishaka-Katungulu'!N15+'Avg Week Katungulu-Ishaka'!N15</f>
        <v>0.14285714285714285</v>
      </c>
      <c r="O15" s="15">
        <f t="shared" si="0"/>
        <v>34.714285714285715</v>
      </c>
      <c r="P15" s="15">
        <f t="shared" si="1"/>
        <v>130.42857142857142</v>
      </c>
      <c r="R15" s="1" t="s">
        <v>11</v>
      </c>
      <c r="S15" s="17">
        <f t="shared" ref="S15:AF15" si="7">SUM(C30:C33)</f>
        <v>42.714285714285715</v>
      </c>
      <c r="T15" s="17">
        <f t="shared" si="7"/>
        <v>6.2857142857142856</v>
      </c>
      <c r="U15" s="17">
        <f t="shared" si="7"/>
        <v>28.285714285714288</v>
      </c>
      <c r="V15" s="17">
        <f t="shared" si="7"/>
        <v>26.285714285714285</v>
      </c>
      <c r="W15" s="17">
        <f t="shared" si="7"/>
        <v>1.7142857142857144</v>
      </c>
      <c r="X15" s="17">
        <f t="shared" si="7"/>
        <v>1.5714285714285714</v>
      </c>
      <c r="Y15" s="17">
        <f t="shared" si="7"/>
        <v>11.428571428571427</v>
      </c>
      <c r="Z15" s="17">
        <f t="shared" si="7"/>
        <v>6.5714285714285712</v>
      </c>
      <c r="AA15" s="17">
        <f t="shared" si="7"/>
        <v>6.8571428571428568</v>
      </c>
      <c r="AB15" s="17">
        <f t="shared" si="7"/>
        <v>7.4285714285714288</v>
      </c>
      <c r="AC15" s="17">
        <f t="shared" si="7"/>
        <v>359</v>
      </c>
      <c r="AD15" s="17">
        <f t="shared" si="7"/>
        <v>0.14285714285714285</v>
      </c>
      <c r="AE15" s="31">
        <f t="shared" si="7"/>
        <v>139.28571428571428</v>
      </c>
      <c r="AF15" s="31">
        <f t="shared" si="7"/>
        <v>498.28571428571428</v>
      </c>
    </row>
    <row r="16" spans="2:32" ht="23.1" customHeight="1" x14ac:dyDescent="0.25">
      <c r="B16" s="23" t="s">
        <v>43</v>
      </c>
      <c r="C16" s="49">
        <f>'Avg Week Ishaka-Katungulu'!C16+'Avg Week Katungulu-Ishaka'!C16</f>
        <v>3.1428571428571432</v>
      </c>
      <c r="D16" s="49">
        <f>'Avg Week Ishaka-Katungulu'!D16+'Avg Week Katungulu-Ishaka'!D16</f>
        <v>0.14285714285714285</v>
      </c>
      <c r="E16" s="49">
        <f>'Avg Week Ishaka-Katungulu'!E16+'Avg Week Katungulu-Ishaka'!E16</f>
        <v>2.2857142857142856</v>
      </c>
      <c r="F16" s="49">
        <f>'Avg Week Ishaka-Katungulu'!F16+'Avg Week Katungulu-Ishaka'!F16</f>
        <v>3.7142857142857144</v>
      </c>
      <c r="G16" s="49">
        <f>'Avg Week Ishaka-Katungulu'!G16+'Avg Week Katungulu-Ishaka'!G16</f>
        <v>0</v>
      </c>
      <c r="H16" s="49">
        <f>'Avg Week Ishaka-Katungulu'!H16+'Avg Week Katungulu-Ishaka'!H16</f>
        <v>0</v>
      </c>
      <c r="I16" s="49">
        <f>'Avg Week Ishaka-Katungulu'!I16+'Avg Week Katungulu-Ishaka'!I16</f>
        <v>0.8571428571428571</v>
      </c>
      <c r="J16" s="49">
        <f>'Avg Week Ishaka-Katungulu'!J16+'Avg Week Katungulu-Ishaka'!J16</f>
        <v>1.4285714285714286</v>
      </c>
      <c r="K16" s="49">
        <f>'Avg Week Ishaka-Katungulu'!K16+'Avg Week Katungulu-Ishaka'!K16</f>
        <v>1.857142857142857</v>
      </c>
      <c r="L16" s="49">
        <f>'Avg Week Ishaka-Katungulu'!L16+'Avg Week Katungulu-Ishaka'!L16</f>
        <v>1.1428571428571428</v>
      </c>
      <c r="M16" s="49">
        <f>'Avg Week Ishaka-Katungulu'!M16+'Avg Week Katungulu-Ishaka'!M16</f>
        <v>64</v>
      </c>
      <c r="N16" s="49">
        <f>'Avg Week Ishaka-Katungulu'!N16+'Avg Week Katungulu-Ishaka'!N16</f>
        <v>0</v>
      </c>
      <c r="O16" s="15">
        <f t="shared" si="0"/>
        <v>14.571428571428571</v>
      </c>
      <c r="P16" s="15">
        <f t="shared" si="1"/>
        <v>78.571428571428569</v>
      </c>
      <c r="R16" s="1" t="s">
        <v>12</v>
      </c>
      <c r="S16" s="17">
        <f t="shared" ref="S16:AF16" si="8">SUM(C34:C37)</f>
        <v>47.857142857142861</v>
      </c>
      <c r="T16" s="17">
        <f t="shared" si="8"/>
        <v>5.2857142857142856</v>
      </c>
      <c r="U16" s="17">
        <f t="shared" si="8"/>
        <v>34.142857142857139</v>
      </c>
      <c r="V16" s="17">
        <f t="shared" si="8"/>
        <v>32</v>
      </c>
      <c r="W16" s="17">
        <f t="shared" si="8"/>
        <v>0.71428571428571419</v>
      </c>
      <c r="X16" s="17">
        <f t="shared" si="8"/>
        <v>0.5714285714285714</v>
      </c>
      <c r="Y16" s="17">
        <f t="shared" si="8"/>
        <v>12.571428571428571</v>
      </c>
      <c r="Z16" s="17">
        <f t="shared" si="8"/>
        <v>9.7142857142857153</v>
      </c>
      <c r="AA16" s="17">
        <f t="shared" si="8"/>
        <v>9.7142857142857153</v>
      </c>
      <c r="AB16" s="17">
        <f t="shared" si="8"/>
        <v>10.285714285714286</v>
      </c>
      <c r="AC16" s="17">
        <f t="shared" si="8"/>
        <v>374.57142857142856</v>
      </c>
      <c r="AD16" s="17">
        <f t="shared" si="8"/>
        <v>0.14285714285714285</v>
      </c>
      <c r="AE16" s="31">
        <f t="shared" si="8"/>
        <v>163</v>
      </c>
      <c r="AF16" s="31">
        <f t="shared" si="8"/>
        <v>537.57142857142856</v>
      </c>
    </row>
    <row r="17" spans="2:32" ht="23.1" customHeight="1" x14ac:dyDescent="0.25">
      <c r="B17" s="23" t="s">
        <v>44</v>
      </c>
      <c r="C17" s="49">
        <f>'Avg Week Ishaka-Katungulu'!C17+'Avg Week Katungulu-Ishaka'!C17</f>
        <v>5.7142857142857144</v>
      </c>
      <c r="D17" s="49">
        <f>'Avg Week Ishaka-Katungulu'!D17+'Avg Week Katungulu-Ishaka'!D17</f>
        <v>0.71428571428571419</v>
      </c>
      <c r="E17" s="49">
        <f>'Avg Week Ishaka-Katungulu'!E17+'Avg Week Katungulu-Ishaka'!E17</f>
        <v>4.5714285714285712</v>
      </c>
      <c r="F17" s="49">
        <f>'Avg Week Ishaka-Katungulu'!F17+'Avg Week Katungulu-Ishaka'!F17</f>
        <v>6.5714285714285712</v>
      </c>
      <c r="G17" s="49">
        <f>'Avg Week Ishaka-Katungulu'!G17+'Avg Week Katungulu-Ishaka'!G17</f>
        <v>0.14285714285714285</v>
      </c>
      <c r="H17" s="49">
        <f>'Avg Week Ishaka-Katungulu'!H17+'Avg Week Katungulu-Ishaka'!H17</f>
        <v>0.5714285714285714</v>
      </c>
      <c r="I17" s="49">
        <f>'Avg Week Ishaka-Katungulu'!I17+'Avg Week Katungulu-Ishaka'!I17</f>
        <v>2.5714285714285712</v>
      </c>
      <c r="J17" s="49">
        <f>'Avg Week Ishaka-Katungulu'!J17+'Avg Week Katungulu-Ishaka'!J17</f>
        <v>3.1428571428571428</v>
      </c>
      <c r="K17" s="49">
        <f>'Avg Week Ishaka-Katungulu'!K17+'Avg Week Katungulu-Ishaka'!K17</f>
        <v>4</v>
      </c>
      <c r="L17" s="49">
        <f>'Avg Week Ishaka-Katungulu'!L17+'Avg Week Katungulu-Ishaka'!L17</f>
        <v>2.8571428571428572</v>
      </c>
      <c r="M17" s="49">
        <f>'Avg Week Ishaka-Katungulu'!M17+'Avg Week Katungulu-Ishaka'!M17</f>
        <v>117.57142857142857</v>
      </c>
      <c r="N17" s="49">
        <f>'Avg Week Ishaka-Katungulu'!N17+'Avg Week Katungulu-Ishaka'!N17</f>
        <v>0</v>
      </c>
      <c r="O17" s="15">
        <f t="shared" si="0"/>
        <v>30.857142857142854</v>
      </c>
      <c r="P17" s="15">
        <f t="shared" si="1"/>
        <v>148.42857142857142</v>
      </c>
      <c r="R17" s="1" t="s">
        <v>13</v>
      </c>
      <c r="S17" s="17">
        <f t="shared" ref="S17:AF17" si="9">SUM(C38:C41)</f>
        <v>44.142857142857139</v>
      </c>
      <c r="T17" s="17">
        <f t="shared" si="9"/>
        <v>5.4285714285714288</v>
      </c>
      <c r="U17" s="17">
        <f t="shared" si="9"/>
        <v>27.428571428571431</v>
      </c>
      <c r="V17" s="17">
        <f t="shared" si="9"/>
        <v>29.428571428571431</v>
      </c>
      <c r="W17" s="17">
        <f t="shared" si="9"/>
        <v>0.14285714285714285</v>
      </c>
      <c r="X17" s="17">
        <f t="shared" si="9"/>
        <v>0</v>
      </c>
      <c r="Y17" s="17">
        <f t="shared" si="9"/>
        <v>11.428571428571427</v>
      </c>
      <c r="Z17" s="17">
        <f t="shared" si="9"/>
        <v>6.5714285714285712</v>
      </c>
      <c r="AA17" s="17">
        <f t="shared" si="9"/>
        <v>9.8571428571428577</v>
      </c>
      <c r="AB17" s="17">
        <f t="shared" si="9"/>
        <v>8.5714285714285712</v>
      </c>
      <c r="AC17" s="17">
        <f t="shared" si="9"/>
        <v>286.57142857142861</v>
      </c>
      <c r="AD17" s="17">
        <f t="shared" si="9"/>
        <v>0.2857142857142857</v>
      </c>
      <c r="AE17" s="31">
        <f t="shared" si="9"/>
        <v>143.28571428571428</v>
      </c>
      <c r="AF17" s="31">
        <f t="shared" si="9"/>
        <v>429.85714285714283</v>
      </c>
    </row>
    <row r="18" spans="2:32" ht="23.1" customHeight="1" x14ac:dyDescent="0.25">
      <c r="B18" s="23" t="s">
        <v>45</v>
      </c>
      <c r="C18" s="49">
        <f>'Avg Week Ishaka-Katungulu'!C18+'Avg Week Katungulu-Ishaka'!C18</f>
        <v>5</v>
      </c>
      <c r="D18" s="49">
        <f>'Avg Week Ishaka-Katungulu'!D18+'Avg Week Katungulu-Ishaka'!D18</f>
        <v>0</v>
      </c>
      <c r="E18" s="49">
        <f>'Avg Week Ishaka-Katungulu'!E18+'Avg Week Katungulu-Ishaka'!E18</f>
        <v>3</v>
      </c>
      <c r="F18" s="49">
        <f>'Avg Week Ishaka-Katungulu'!F18+'Avg Week Katungulu-Ishaka'!F18</f>
        <v>3.7142857142857144</v>
      </c>
      <c r="G18" s="49">
        <f>'Avg Week Ishaka-Katungulu'!G18+'Avg Week Katungulu-Ishaka'!G18</f>
        <v>0</v>
      </c>
      <c r="H18" s="49">
        <f>'Avg Week Ishaka-Katungulu'!H18+'Avg Week Katungulu-Ishaka'!H18</f>
        <v>0.14285714285714285</v>
      </c>
      <c r="I18" s="49">
        <f>'Avg Week Ishaka-Katungulu'!I18+'Avg Week Katungulu-Ishaka'!I18</f>
        <v>0.8571428571428571</v>
      </c>
      <c r="J18" s="49">
        <f>'Avg Week Ishaka-Katungulu'!J18+'Avg Week Katungulu-Ishaka'!J18</f>
        <v>0.7142857142857143</v>
      </c>
      <c r="K18" s="49">
        <f>'Avg Week Ishaka-Katungulu'!K18+'Avg Week Katungulu-Ishaka'!K18</f>
        <v>1</v>
      </c>
      <c r="L18" s="49">
        <f>'Avg Week Ishaka-Katungulu'!L18+'Avg Week Katungulu-Ishaka'!L18</f>
        <v>2.2857142857142856</v>
      </c>
      <c r="M18" s="49">
        <f>'Avg Week Ishaka-Katungulu'!M18+'Avg Week Katungulu-Ishaka'!M18</f>
        <v>67.857142857142861</v>
      </c>
      <c r="N18" s="49">
        <f>'Avg Week Ishaka-Katungulu'!N18+'Avg Week Katungulu-Ishaka'!N18</f>
        <v>0</v>
      </c>
      <c r="O18" s="15">
        <f t="shared" si="0"/>
        <v>16.714285714285715</v>
      </c>
      <c r="P18" s="15">
        <f t="shared" si="1"/>
        <v>84.571428571428584</v>
      </c>
      <c r="R18" s="1" t="s">
        <v>14</v>
      </c>
      <c r="S18" s="17">
        <f t="shared" ref="S18:AF18" si="10">SUM(C42:C45)</f>
        <v>37.857142857142861</v>
      </c>
      <c r="T18" s="17">
        <f t="shared" si="10"/>
        <v>5</v>
      </c>
      <c r="U18" s="17">
        <f t="shared" si="10"/>
        <v>25.428571428571431</v>
      </c>
      <c r="V18" s="17">
        <f t="shared" si="10"/>
        <v>24.571428571428573</v>
      </c>
      <c r="W18" s="17">
        <f t="shared" si="10"/>
        <v>0.2857142857142857</v>
      </c>
      <c r="X18" s="17">
        <f t="shared" si="10"/>
        <v>0.99999999999999989</v>
      </c>
      <c r="Y18" s="17">
        <f t="shared" si="10"/>
        <v>11.142857142857142</v>
      </c>
      <c r="Z18" s="17">
        <f t="shared" si="10"/>
        <v>7</v>
      </c>
      <c r="AA18" s="17">
        <f t="shared" si="10"/>
        <v>10.857142857142858</v>
      </c>
      <c r="AB18" s="17">
        <f t="shared" si="10"/>
        <v>7.4285714285714279</v>
      </c>
      <c r="AC18" s="17">
        <f t="shared" si="10"/>
        <v>345.42857142857144</v>
      </c>
      <c r="AD18" s="17">
        <f t="shared" si="10"/>
        <v>0</v>
      </c>
      <c r="AE18" s="31">
        <f t="shared" si="10"/>
        <v>130.57142857142858</v>
      </c>
      <c r="AF18" s="31">
        <f t="shared" si="10"/>
        <v>476</v>
      </c>
    </row>
    <row r="19" spans="2:32" ht="23.1" customHeight="1" x14ac:dyDescent="0.25">
      <c r="B19" s="23" t="s">
        <v>46</v>
      </c>
      <c r="C19" s="49">
        <f>'Avg Week Ishaka-Katungulu'!C19+'Avg Week Katungulu-Ishaka'!C19</f>
        <v>9.571428571428573</v>
      </c>
      <c r="D19" s="49">
        <f>'Avg Week Ishaka-Katungulu'!D19+'Avg Week Katungulu-Ishaka'!D19</f>
        <v>0.71428571428571419</v>
      </c>
      <c r="E19" s="49">
        <f>'Avg Week Ishaka-Katungulu'!E19+'Avg Week Katungulu-Ishaka'!E19</f>
        <v>5.2857142857142865</v>
      </c>
      <c r="F19" s="49">
        <f>'Avg Week Ishaka-Katungulu'!F19+'Avg Week Katungulu-Ishaka'!F19</f>
        <v>7.2857142857142865</v>
      </c>
      <c r="G19" s="49">
        <f>'Avg Week Ishaka-Katungulu'!G19+'Avg Week Katungulu-Ishaka'!G19</f>
        <v>0</v>
      </c>
      <c r="H19" s="49">
        <f>'Avg Week Ishaka-Katungulu'!H19+'Avg Week Katungulu-Ishaka'!H19</f>
        <v>1.1428571428571428</v>
      </c>
      <c r="I19" s="49">
        <f>'Avg Week Ishaka-Katungulu'!I19+'Avg Week Katungulu-Ishaka'!I19</f>
        <v>2.5714285714285712</v>
      </c>
      <c r="J19" s="49">
        <f>'Avg Week Ishaka-Katungulu'!J19+'Avg Week Katungulu-Ishaka'!J19</f>
        <v>1.7142857142857144</v>
      </c>
      <c r="K19" s="49">
        <f>'Avg Week Ishaka-Katungulu'!K19+'Avg Week Katungulu-Ishaka'!K19</f>
        <v>2.8571428571428568</v>
      </c>
      <c r="L19" s="49">
        <f>'Avg Week Ishaka-Katungulu'!L19+'Avg Week Katungulu-Ishaka'!L19</f>
        <v>4</v>
      </c>
      <c r="M19" s="49">
        <f>'Avg Week Ishaka-Katungulu'!M19+'Avg Week Katungulu-Ishaka'!M19</f>
        <v>122.57142857142858</v>
      </c>
      <c r="N19" s="49">
        <f>'Avg Week Ishaka-Katungulu'!N19+'Avg Week Katungulu-Ishaka'!N19</f>
        <v>0</v>
      </c>
      <c r="O19" s="15">
        <f t="shared" si="0"/>
        <v>35.142857142857153</v>
      </c>
      <c r="P19" s="15">
        <f t="shared" si="1"/>
        <v>157.71428571428572</v>
      </c>
      <c r="R19" s="1" t="s">
        <v>15</v>
      </c>
      <c r="S19" s="17">
        <f t="shared" ref="S19:AF19" si="11">SUM(C46:C49)</f>
        <v>44.571428571428569</v>
      </c>
      <c r="T19" s="17">
        <f t="shared" si="11"/>
        <v>6</v>
      </c>
      <c r="U19" s="17">
        <f t="shared" si="11"/>
        <v>31.142857142857139</v>
      </c>
      <c r="V19" s="17">
        <f t="shared" si="11"/>
        <v>28</v>
      </c>
      <c r="W19" s="17">
        <f t="shared" si="11"/>
        <v>0.42857142857142855</v>
      </c>
      <c r="X19" s="17">
        <f t="shared" si="11"/>
        <v>0.99999999999999989</v>
      </c>
      <c r="Y19" s="17">
        <f t="shared" si="11"/>
        <v>17.428571428571431</v>
      </c>
      <c r="Z19" s="17">
        <f t="shared" si="11"/>
        <v>9.2857142857142847</v>
      </c>
      <c r="AA19" s="17">
        <f t="shared" si="11"/>
        <v>9.2857142857142847</v>
      </c>
      <c r="AB19" s="17">
        <f t="shared" si="11"/>
        <v>6.7142857142857144</v>
      </c>
      <c r="AC19" s="17">
        <f t="shared" si="11"/>
        <v>352</v>
      </c>
      <c r="AD19" s="17">
        <f t="shared" si="11"/>
        <v>0</v>
      </c>
      <c r="AE19" s="31">
        <f t="shared" si="11"/>
        <v>153.85714285714283</v>
      </c>
      <c r="AF19" s="31">
        <f t="shared" si="11"/>
        <v>505.85714285714283</v>
      </c>
    </row>
    <row r="20" spans="2:32" ht="23.1" customHeight="1" x14ac:dyDescent="0.25">
      <c r="B20" s="23" t="s">
        <v>47</v>
      </c>
      <c r="C20" s="49">
        <f>'Avg Week Ishaka-Katungulu'!C20+'Avg Week Katungulu-Ishaka'!C20</f>
        <v>6.1428571428571423</v>
      </c>
      <c r="D20" s="49">
        <f>'Avg Week Ishaka-Katungulu'!D20+'Avg Week Katungulu-Ishaka'!D20</f>
        <v>0.5714285714285714</v>
      </c>
      <c r="E20" s="49">
        <f>'Avg Week Ishaka-Katungulu'!E20+'Avg Week Katungulu-Ishaka'!E20</f>
        <v>5.2857142857142865</v>
      </c>
      <c r="F20" s="49">
        <f>'Avg Week Ishaka-Katungulu'!F20+'Avg Week Katungulu-Ishaka'!F20</f>
        <v>4.5714285714285712</v>
      </c>
      <c r="G20" s="49">
        <f>'Avg Week Ishaka-Katungulu'!G20+'Avg Week Katungulu-Ishaka'!G20</f>
        <v>0.2857142857142857</v>
      </c>
      <c r="H20" s="49">
        <f>'Avg Week Ishaka-Katungulu'!H20+'Avg Week Katungulu-Ishaka'!H20</f>
        <v>0.2857142857142857</v>
      </c>
      <c r="I20" s="49">
        <f>'Avg Week Ishaka-Katungulu'!I20+'Avg Week Katungulu-Ishaka'!I20</f>
        <v>0.5714285714285714</v>
      </c>
      <c r="J20" s="49">
        <f>'Avg Week Ishaka-Katungulu'!J20+'Avg Week Katungulu-Ishaka'!J20</f>
        <v>0.42857142857142855</v>
      </c>
      <c r="K20" s="49">
        <f>'Avg Week Ishaka-Katungulu'!K20+'Avg Week Katungulu-Ishaka'!K20</f>
        <v>1.8571428571428572</v>
      </c>
      <c r="L20" s="49">
        <f>'Avg Week Ishaka-Katungulu'!L20+'Avg Week Katungulu-Ishaka'!L20</f>
        <v>2.4285714285714288</v>
      </c>
      <c r="M20" s="49">
        <f>'Avg Week Ishaka-Katungulu'!M20+'Avg Week Katungulu-Ishaka'!M20</f>
        <v>67.714285714285722</v>
      </c>
      <c r="N20" s="49">
        <f>'Avg Week Ishaka-Katungulu'!N20+'Avg Week Katungulu-Ishaka'!N20</f>
        <v>0</v>
      </c>
      <c r="O20" s="15">
        <f t="shared" si="0"/>
        <v>22.428571428571423</v>
      </c>
      <c r="P20" s="15">
        <f t="shared" si="1"/>
        <v>90.142857142857139</v>
      </c>
      <c r="R20" s="1" t="s">
        <v>16</v>
      </c>
      <c r="S20" s="17">
        <f t="shared" ref="S20:AF20" si="12">SUM(C50:C53)</f>
        <v>53.285714285714292</v>
      </c>
      <c r="T20" s="17">
        <f t="shared" si="12"/>
        <v>7.7142857142857135</v>
      </c>
      <c r="U20" s="17">
        <f t="shared" si="12"/>
        <v>39.714285714285708</v>
      </c>
      <c r="V20" s="17">
        <f t="shared" si="12"/>
        <v>27.000000000000004</v>
      </c>
      <c r="W20" s="17">
        <f t="shared" si="12"/>
        <v>1.1428571428571428</v>
      </c>
      <c r="X20" s="17">
        <f t="shared" si="12"/>
        <v>0.2857142857142857</v>
      </c>
      <c r="Y20" s="17">
        <f t="shared" si="12"/>
        <v>16.714285714285715</v>
      </c>
      <c r="Z20" s="17">
        <f t="shared" si="12"/>
        <v>9</v>
      </c>
      <c r="AA20" s="17">
        <f t="shared" si="12"/>
        <v>10</v>
      </c>
      <c r="AB20" s="17">
        <f t="shared" si="12"/>
        <v>10.285714285714285</v>
      </c>
      <c r="AC20" s="17">
        <f t="shared" si="12"/>
        <v>404.28571428571428</v>
      </c>
      <c r="AD20" s="17">
        <f t="shared" si="12"/>
        <v>0</v>
      </c>
      <c r="AE20" s="31">
        <f t="shared" si="12"/>
        <v>175.14285714285714</v>
      </c>
      <c r="AF20" s="31">
        <f t="shared" si="12"/>
        <v>579.42857142857133</v>
      </c>
    </row>
    <row r="21" spans="2:32" ht="23.1" customHeight="1" x14ac:dyDescent="0.25">
      <c r="B21" s="23" t="s">
        <v>48</v>
      </c>
      <c r="C21" s="49">
        <f>'Avg Week Ishaka-Katungulu'!C21+'Avg Week Katungulu-Ishaka'!C21</f>
        <v>10.714285714285715</v>
      </c>
      <c r="D21" s="49">
        <f>'Avg Week Ishaka-Katungulu'!D21+'Avg Week Katungulu-Ishaka'!D21</f>
        <v>1.8571428571428572</v>
      </c>
      <c r="E21" s="49">
        <f>'Avg Week Ishaka-Katungulu'!E21+'Avg Week Katungulu-Ishaka'!E21</f>
        <v>8.7142857142857153</v>
      </c>
      <c r="F21" s="49">
        <f>'Avg Week Ishaka-Katungulu'!F21+'Avg Week Katungulu-Ishaka'!F21</f>
        <v>7.8571428571428577</v>
      </c>
      <c r="G21" s="49">
        <f>'Avg Week Ishaka-Katungulu'!G21+'Avg Week Katungulu-Ishaka'!G21</f>
        <v>0.71428571428571419</v>
      </c>
      <c r="H21" s="49">
        <f>'Avg Week Ishaka-Katungulu'!H21+'Avg Week Katungulu-Ishaka'!H21</f>
        <v>1</v>
      </c>
      <c r="I21" s="49">
        <f>'Avg Week Ishaka-Katungulu'!I21+'Avg Week Katungulu-Ishaka'!I21</f>
        <v>2.1428571428571428</v>
      </c>
      <c r="J21" s="49">
        <f>'Avg Week Ishaka-Katungulu'!J21+'Avg Week Katungulu-Ishaka'!J21</f>
        <v>1.7142857142857144</v>
      </c>
      <c r="K21" s="49">
        <f>'Avg Week Ishaka-Katungulu'!K21+'Avg Week Katungulu-Ishaka'!K21</f>
        <v>3.4285714285714288</v>
      </c>
      <c r="L21" s="49">
        <f>'Avg Week Ishaka-Katungulu'!L21+'Avg Week Katungulu-Ishaka'!L21</f>
        <v>4.8571428571428568</v>
      </c>
      <c r="M21" s="49">
        <f>'Avg Week Ishaka-Katungulu'!M21+'Avg Week Katungulu-Ishaka'!M21</f>
        <v>124.42857142857143</v>
      </c>
      <c r="N21" s="49">
        <f>'Avg Week Ishaka-Katungulu'!N21+'Avg Week Katungulu-Ishaka'!N21</f>
        <v>0.2857142857142857</v>
      </c>
      <c r="O21" s="15">
        <f t="shared" si="0"/>
        <v>43.285714285714292</v>
      </c>
      <c r="P21" s="15">
        <f t="shared" si="1"/>
        <v>167.71428571428572</v>
      </c>
      <c r="R21" s="36" t="s">
        <v>20</v>
      </c>
      <c r="S21" s="34">
        <f t="shared" ref="S21:AF21" si="13">SUM(C54:C57)</f>
        <v>51.857142857142854</v>
      </c>
      <c r="T21" s="17">
        <f t="shared" si="13"/>
        <v>6</v>
      </c>
      <c r="U21" s="17">
        <f t="shared" si="13"/>
        <v>28.428571428571427</v>
      </c>
      <c r="V21" s="17">
        <f t="shared" si="13"/>
        <v>29.428571428571427</v>
      </c>
      <c r="W21" s="17">
        <f t="shared" si="13"/>
        <v>0.71428571428571419</v>
      </c>
      <c r="X21" s="17">
        <f t="shared" si="13"/>
        <v>0.5714285714285714</v>
      </c>
      <c r="Y21" s="17">
        <f t="shared" si="13"/>
        <v>13.142857142857144</v>
      </c>
      <c r="Z21" s="17">
        <f t="shared" si="13"/>
        <v>7.5714285714285712</v>
      </c>
      <c r="AA21" s="17">
        <f t="shared" si="13"/>
        <v>10.571428571428571</v>
      </c>
      <c r="AB21" s="17">
        <f t="shared" si="13"/>
        <v>6.1428571428571423</v>
      </c>
      <c r="AC21" s="17">
        <f t="shared" si="13"/>
        <v>337.28571428571428</v>
      </c>
      <c r="AD21" s="17">
        <f t="shared" si="13"/>
        <v>0</v>
      </c>
      <c r="AE21" s="31">
        <f t="shared" si="13"/>
        <v>154.42857142857144</v>
      </c>
      <c r="AF21" s="31">
        <f t="shared" si="13"/>
        <v>491.71428571428578</v>
      </c>
    </row>
    <row r="22" spans="2:32" ht="23.1" customHeight="1" x14ac:dyDescent="0.25">
      <c r="B22" s="23" t="s">
        <v>49</v>
      </c>
      <c r="C22" s="49">
        <f>'Avg Week Ishaka-Katungulu'!C22+'Avg Week Katungulu-Ishaka'!C22</f>
        <v>6.2857142857142865</v>
      </c>
      <c r="D22" s="49">
        <f>'Avg Week Ishaka-Katungulu'!D22+'Avg Week Katungulu-Ishaka'!D22</f>
        <v>0.71428571428571419</v>
      </c>
      <c r="E22" s="49">
        <f>'Avg Week Ishaka-Katungulu'!E22+'Avg Week Katungulu-Ishaka'!E22</f>
        <v>5.1428571428571423</v>
      </c>
      <c r="F22" s="49">
        <f>'Avg Week Ishaka-Katungulu'!F22+'Avg Week Katungulu-Ishaka'!F22</f>
        <v>4.7142857142857144</v>
      </c>
      <c r="G22" s="49">
        <f>'Avg Week Ishaka-Katungulu'!G22+'Avg Week Katungulu-Ishaka'!G22</f>
        <v>0</v>
      </c>
      <c r="H22" s="49">
        <f>'Avg Week Ishaka-Katungulu'!H22+'Avg Week Katungulu-Ishaka'!H22</f>
        <v>0</v>
      </c>
      <c r="I22" s="49">
        <f>'Avg Week Ishaka-Katungulu'!I22+'Avg Week Katungulu-Ishaka'!I22</f>
        <v>1</v>
      </c>
      <c r="J22" s="49">
        <f>'Avg Week Ishaka-Katungulu'!J22+'Avg Week Katungulu-Ishaka'!J22</f>
        <v>0.42857142857142855</v>
      </c>
      <c r="K22" s="49">
        <f>'Avg Week Ishaka-Katungulu'!K22+'Avg Week Katungulu-Ishaka'!K22</f>
        <v>3.4285714285714284</v>
      </c>
      <c r="L22" s="49">
        <f>'Avg Week Ishaka-Katungulu'!L22+'Avg Week Katungulu-Ishaka'!L22</f>
        <v>2.5714285714285712</v>
      </c>
      <c r="M22" s="49">
        <f>'Avg Week Ishaka-Katungulu'!M22+'Avg Week Katungulu-Ishaka'!M22</f>
        <v>76</v>
      </c>
      <c r="N22" s="49">
        <f>'Avg Week Ishaka-Katungulu'!N22+'Avg Week Katungulu-Ishaka'!N22</f>
        <v>0</v>
      </c>
      <c r="O22" s="15">
        <f t="shared" si="0"/>
        <v>24.285714285714285</v>
      </c>
      <c r="P22" s="15">
        <f t="shared" si="1"/>
        <v>100.28571428571428</v>
      </c>
      <c r="R22" s="1" t="s">
        <v>146</v>
      </c>
      <c r="S22" s="34">
        <f>SUM(C58:C61)</f>
        <v>61.5</v>
      </c>
      <c r="T22" s="34">
        <f t="shared" ref="T22:AF22" si="14">SUM(D58:D61)</f>
        <v>20.5</v>
      </c>
      <c r="U22" s="34">
        <f t="shared" si="14"/>
        <v>43</v>
      </c>
      <c r="V22" s="34">
        <f t="shared" si="14"/>
        <v>22</v>
      </c>
      <c r="W22" s="34">
        <f t="shared" si="14"/>
        <v>3</v>
      </c>
      <c r="X22" s="34">
        <f t="shared" si="14"/>
        <v>1</v>
      </c>
      <c r="Y22" s="34">
        <f t="shared" si="14"/>
        <v>4.5</v>
      </c>
      <c r="Z22" s="34">
        <f t="shared" si="14"/>
        <v>5</v>
      </c>
      <c r="AA22" s="34">
        <f t="shared" si="14"/>
        <v>28</v>
      </c>
      <c r="AB22" s="34">
        <f t="shared" si="14"/>
        <v>4</v>
      </c>
      <c r="AC22" s="34">
        <f t="shared" si="14"/>
        <v>440.5</v>
      </c>
      <c r="AD22" s="34">
        <f t="shared" si="14"/>
        <v>0</v>
      </c>
      <c r="AE22" s="31">
        <f t="shared" si="14"/>
        <v>192.5</v>
      </c>
      <c r="AF22" s="31">
        <f t="shared" si="14"/>
        <v>633</v>
      </c>
    </row>
    <row r="23" spans="2:32" ht="23.1" customHeight="1" x14ac:dyDescent="0.25">
      <c r="B23" s="23" t="s">
        <v>50</v>
      </c>
      <c r="C23" s="49">
        <f>'Avg Week Ishaka-Katungulu'!C23+'Avg Week Katungulu-Ishaka'!C23</f>
        <v>11.285714285714286</v>
      </c>
      <c r="D23" s="49">
        <f>'Avg Week Ishaka-Katungulu'!D23+'Avg Week Katungulu-Ishaka'!D23</f>
        <v>2</v>
      </c>
      <c r="E23" s="49">
        <f>'Avg Week Ishaka-Katungulu'!E23+'Avg Week Katungulu-Ishaka'!E23</f>
        <v>8.8571428571428577</v>
      </c>
      <c r="F23" s="49">
        <f>'Avg Week Ishaka-Katungulu'!F23+'Avg Week Katungulu-Ishaka'!F23</f>
        <v>8.2857142857142847</v>
      </c>
      <c r="G23" s="49">
        <f>'Avg Week Ishaka-Katungulu'!G23+'Avg Week Katungulu-Ishaka'!G23</f>
        <v>0.14285714285714285</v>
      </c>
      <c r="H23" s="49">
        <f>'Avg Week Ishaka-Katungulu'!H23+'Avg Week Katungulu-Ishaka'!H23</f>
        <v>0.5714285714285714</v>
      </c>
      <c r="I23" s="49">
        <f>'Avg Week Ishaka-Katungulu'!I23+'Avg Week Katungulu-Ishaka'!I23</f>
        <v>2.7142857142857144</v>
      </c>
      <c r="J23" s="49">
        <f>'Avg Week Ishaka-Katungulu'!J23+'Avg Week Katungulu-Ishaka'!J23</f>
        <v>1.1428571428571428</v>
      </c>
      <c r="K23" s="49">
        <f>'Avg Week Ishaka-Katungulu'!K23+'Avg Week Katungulu-Ishaka'!K23</f>
        <v>5.7142857142857144</v>
      </c>
      <c r="L23" s="49">
        <f>'Avg Week Ishaka-Katungulu'!L23+'Avg Week Katungulu-Ishaka'!L23</f>
        <v>4.7142857142857144</v>
      </c>
      <c r="M23" s="49">
        <f>'Avg Week Ishaka-Katungulu'!M23+'Avg Week Katungulu-Ishaka'!M23</f>
        <v>134.85714285714286</v>
      </c>
      <c r="N23" s="49">
        <f>'Avg Week Ishaka-Katungulu'!N23+'Avg Week Katungulu-Ishaka'!N23</f>
        <v>0.14285714285714285</v>
      </c>
      <c r="O23" s="15">
        <f t="shared" si="0"/>
        <v>45.571428571428584</v>
      </c>
      <c r="P23" s="15">
        <f t="shared" si="1"/>
        <v>180.42857142857144</v>
      </c>
      <c r="R23" s="1" t="s">
        <v>147</v>
      </c>
      <c r="S23" s="34">
        <f>SUM(C62:C65)</f>
        <v>25.5</v>
      </c>
      <c r="T23" s="34">
        <f t="shared" ref="T23:AF23" si="15">SUM(D62:D65)</f>
        <v>14.5</v>
      </c>
      <c r="U23" s="34">
        <f t="shared" si="15"/>
        <v>27.5</v>
      </c>
      <c r="V23" s="34">
        <f t="shared" si="15"/>
        <v>19.5</v>
      </c>
      <c r="W23" s="34">
        <f t="shared" si="15"/>
        <v>1</v>
      </c>
      <c r="X23" s="34">
        <f t="shared" si="15"/>
        <v>3.5</v>
      </c>
      <c r="Y23" s="34">
        <f t="shared" si="15"/>
        <v>6</v>
      </c>
      <c r="Z23" s="34">
        <f t="shared" si="15"/>
        <v>11.5</v>
      </c>
      <c r="AA23" s="34">
        <f t="shared" si="15"/>
        <v>11</v>
      </c>
      <c r="AB23" s="34">
        <f t="shared" si="15"/>
        <v>4</v>
      </c>
      <c r="AC23" s="34">
        <f t="shared" si="15"/>
        <v>266.5</v>
      </c>
      <c r="AD23" s="34">
        <f t="shared" si="15"/>
        <v>0</v>
      </c>
      <c r="AE23" s="31">
        <f t="shared" si="15"/>
        <v>124</v>
      </c>
      <c r="AF23" s="31">
        <f t="shared" si="15"/>
        <v>390.5</v>
      </c>
    </row>
    <row r="24" spans="2:32" ht="23.1" customHeight="1" x14ac:dyDescent="0.25">
      <c r="B24" s="23" t="s">
        <v>51</v>
      </c>
      <c r="C24" s="49">
        <f>'Avg Week Ishaka-Katungulu'!C24+'Avg Week Katungulu-Ishaka'!C24</f>
        <v>8</v>
      </c>
      <c r="D24" s="49">
        <f>'Avg Week Ishaka-Katungulu'!D24+'Avg Week Katungulu-Ishaka'!D24</f>
        <v>0.71428571428571419</v>
      </c>
      <c r="E24" s="49">
        <f>'Avg Week Ishaka-Katungulu'!E24+'Avg Week Katungulu-Ishaka'!E24</f>
        <v>5.1428571428571423</v>
      </c>
      <c r="F24" s="49">
        <f>'Avg Week Ishaka-Katungulu'!F24+'Avg Week Katungulu-Ishaka'!F24</f>
        <v>5.1428571428571423</v>
      </c>
      <c r="G24" s="49">
        <f>'Avg Week Ishaka-Katungulu'!G24+'Avg Week Katungulu-Ishaka'!G24</f>
        <v>0</v>
      </c>
      <c r="H24" s="49">
        <f>'Avg Week Ishaka-Katungulu'!H24+'Avg Week Katungulu-Ishaka'!H24</f>
        <v>0.14285714285714285</v>
      </c>
      <c r="I24" s="49">
        <f>'Avg Week Ishaka-Katungulu'!I24+'Avg Week Katungulu-Ishaka'!I24</f>
        <v>1.4285714285714286</v>
      </c>
      <c r="J24" s="49">
        <f>'Avg Week Ishaka-Katungulu'!J24+'Avg Week Katungulu-Ishaka'!J24</f>
        <v>0.42857142857142855</v>
      </c>
      <c r="K24" s="49">
        <f>'Avg Week Ishaka-Katungulu'!K24+'Avg Week Katungulu-Ishaka'!K24</f>
        <v>1</v>
      </c>
      <c r="L24" s="49">
        <f>'Avg Week Ishaka-Katungulu'!L24+'Avg Week Katungulu-Ishaka'!L24</f>
        <v>1.5714285714285714</v>
      </c>
      <c r="M24" s="49">
        <f>'Avg Week Ishaka-Katungulu'!M24+'Avg Week Katungulu-Ishaka'!M24</f>
        <v>70.857142857142861</v>
      </c>
      <c r="N24" s="49">
        <f>'Avg Week Ishaka-Katungulu'!N24+'Avg Week Katungulu-Ishaka'!N24</f>
        <v>0</v>
      </c>
      <c r="O24" s="15">
        <f t="shared" si="0"/>
        <v>23.571428571428569</v>
      </c>
      <c r="P24" s="15">
        <f t="shared" si="1"/>
        <v>94.428571428571431</v>
      </c>
      <c r="R24" s="1" t="s">
        <v>148</v>
      </c>
      <c r="S24" s="34">
        <f>SUM(C66:C69)</f>
        <v>24</v>
      </c>
      <c r="T24" s="34">
        <f t="shared" ref="T24:AF24" si="16">SUM(D66:D69)</f>
        <v>11</v>
      </c>
      <c r="U24" s="34">
        <f t="shared" si="16"/>
        <v>23</v>
      </c>
      <c r="V24" s="34">
        <f t="shared" si="16"/>
        <v>16</v>
      </c>
      <c r="W24" s="34">
        <f t="shared" si="16"/>
        <v>1.5</v>
      </c>
      <c r="X24" s="34">
        <f t="shared" si="16"/>
        <v>0.5</v>
      </c>
      <c r="Y24" s="34">
        <f t="shared" si="16"/>
        <v>3.5</v>
      </c>
      <c r="Z24" s="34">
        <f t="shared" si="16"/>
        <v>1</v>
      </c>
      <c r="AA24" s="34">
        <f t="shared" si="16"/>
        <v>11</v>
      </c>
      <c r="AB24" s="34">
        <f t="shared" si="16"/>
        <v>4</v>
      </c>
      <c r="AC24" s="34">
        <f t="shared" si="16"/>
        <v>105</v>
      </c>
      <c r="AD24" s="34">
        <f t="shared" si="16"/>
        <v>0</v>
      </c>
      <c r="AE24" s="31">
        <f t="shared" si="16"/>
        <v>95.5</v>
      </c>
      <c r="AF24" s="31">
        <f t="shared" si="16"/>
        <v>200.5</v>
      </c>
    </row>
    <row r="25" spans="2:32" ht="23.1" customHeight="1" x14ac:dyDescent="0.25">
      <c r="B25" s="23" t="s">
        <v>52</v>
      </c>
      <c r="C25" s="49">
        <f>'Avg Week Ishaka-Katungulu'!C25+'Avg Week Katungulu-Ishaka'!C25</f>
        <v>14.142857142857142</v>
      </c>
      <c r="D25" s="49">
        <f>'Avg Week Ishaka-Katungulu'!D25+'Avg Week Katungulu-Ishaka'!D25</f>
        <v>2.1428571428571428</v>
      </c>
      <c r="E25" s="49">
        <f>'Avg Week Ishaka-Katungulu'!E25+'Avg Week Katungulu-Ishaka'!E25</f>
        <v>9</v>
      </c>
      <c r="F25" s="49">
        <f>'Avg Week Ishaka-Katungulu'!F25+'Avg Week Katungulu-Ishaka'!F25</f>
        <v>8.8571428571428577</v>
      </c>
      <c r="G25" s="49">
        <f>'Avg Week Ishaka-Katungulu'!G25+'Avg Week Katungulu-Ishaka'!G25</f>
        <v>0</v>
      </c>
      <c r="H25" s="49">
        <f>'Avg Week Ishaka-Katungulu'!H25+'Avg Week Katungulu-Ishaka'!H25</f>
        <v>0.42857142857142855</v>
      </c>
      <c r="I25" s="49">
        <f>'Avg Week Ishaka-Katungulu'!I25+'Avg Week Katungulu-Ishaka'!I25</f>
        <v>3.1428571428571428</v>
      </c>
      <c r="J25" s="49">
        <f>'Avg Week Ishaka-Katungulu'!J25+'Avg Week Katungulu-Ishaka'!J25</f>
        <v>1.4285714285714286</v>
      </c>
      <c r="K25" s="49">
        <f>'Avg Week Ishaka-Katungulu'!K25+'Avg Week Katungulu-Ishaka'!K25</f>
        <v>2.4285714285714288</v>
      </c>
      <c r="L25" s="49">
        <f>'Avg Week Ishaka-Katungulu'!L25+'Avg Week Katungulu-Ishaka'!L25</f>
        <v>3.4285714285714288</v>
      </c>
      <c r="M25" s="49">
        <f>'Avg Week Ishaka-Katungulu'!M25+'Avg Week Katungulu-Ishaka'!M25</f>
        <v>126.57142857142857</v>
      </c>
      <c r="N25" s="49">
        <f>'Avg Week Ishaka-Katungulu'!N25+'Avg Week Katungulu-Ishaka'!N25</f>
        <v>0.14285714285714285</v>
      </c>
      <c r="O25" s="15">
        <f t="shared" si="0"/>
        <v>45.142857142857153</v>
      </c>
      <c r="P25" s="15">
        <f t="shared" si="1"/>
        <v>171.71428571428572</v>
      </c>
      <c r="R25" s="1" t="s">
        <v>149</v>
      </c>
      <c r="S25" s="34">
        <f>SUM(C70:C73)</f>
        <v>20</v>
      </c>
      <c r="T25" s="34">
        <f t="shared" ref="T25:AF25" si="17">SUM(D70:D73)</f>
        <v>12</v>
      </c>
      <c r="U25" s="34">
        <f t="shared" si="17"/>
        <v>23</v>
      </c>
      <c r="V25" s="34">
        <f t="shared" si="17"/>
        <v>8</v>
      </c>
      <c r="W25" s="34">
        <f t="shared" si="17"/>
        <v>0.5</v>
      </c>
      <c r="X25" s="34">
        <f t="shared" si="17"/>
        <v>1</v>
      </c>
      <c r="Y25" s="34">
        <f t="shared" si="17"/>
        <v>2.5</v>
      </c>
      <c r="Z25" s="34">
        <f t="shared" si="17"/>
        <v>13</v>
      </c>
      <c r="AA25" s="34">
        <f t="shared" si="17"/>
        <v>10.5</v>
      </c>
      <c r="AB25" s="34">
        <f t="shared" si="17"/>
        <v>4</v>
      </c>
      <c r="AC25" s="34">
        <f t="shared" si="17"/>
        <v>55.5</v>
      </c>
      <c r="AD25" s="34">
        <f t="shared" si="17"/>
        <v>0</v>
      </c>
      <c r="AE25" s="31">
        <f t="shared" si="17"/>
        <v>94.5</v>
      </c>
      <c r="AF25" s="31">
        <f t="shared" si="17"/>
        <v>150</v>
      </c>
    </row>
    <row r="26" spans="2:32" ht="23.1" customHeight="1" x14ac:dyDescent="0.25">
      <c r="B26" s="23" t="s">
        <v>53</v>
      </c>
      <c r="C26" s="49">
        <f>'Avg Week Ishaka-Katungulu'!C26+'Avg Week Katungulu-Ishaka'!C26</f>
        <v>7.4285714285714288</v>
      </c>
      <c r="D26" s="49">
        <f>'Avg Week Ishaka-Katungulu'!D26+'Avg Week Katungulu-Ishaka'!D26</f>
        <v>0.5714285714285714</v>
      </c>
      <c r="E26" s="49">
        <f>'Avg Week Ishaka-Katungulu'!E26+'Avg Week Katungulu-Ishaka'!E26</f>
        <v>5</v>
      </c>
      <c r="F26" s="49">
        <f>'Avg Week Ishaka-Katungulu'!F26+'Avg Week Katungulu-Ishaka'!F26</f>
        <v>5.5714285714285712</v>
      </c>
      <c r="G26" s="49">
        <f>'Avg Week Ishaka-Katungulu'!G26+'Avg Week Katungulu-Ishaka'!G26</f>
        <v>0</v>
      </c>
      <c r="H26" s="49">
        <f>'Avg Week Ishaka-Katungulu'!H26+'Avg Week Katungulu-Ishaka'!H26</f>
        <v>0</v>
      </c>
      <c r="I26" s="49">
        <f>'Avg Week Ishaka-Katungulu'!I26+'Avg Week Katungulu-Ishaka'!I26</f>
        <v>0.8571428571428571</v>
      </c>
      <c r="J26" s="49">
        <f>'Avg Week Ishaka-Katungulu'!J26+'Avg Week Katungulu-Ishaka'!J26</f>
        <v>0.5714285714285714</v>
      </c>
      <c r="K26" s="49">
        <f>'Avg Week Ishaka-Katungulu'!K26+'Avg Week Katungulu-Ishaka'!K26</f>
        <v>1.1428571428571428</v>
      </c>
      <c r="L26" s="49">
        <f>'Avg Week Ishaka-Katungulu'!L26+'Avg Week Katungulu-Ishaka'!L26</f>
        <v>1.5714285714285714</v>
      </c>
      <c r="M26" s="49">
        <f>'Avg Week Ishaka-Katungulu'!M26+'Avg Week Katungulu-Ishaka'!M26</f>
        <v>73.571428571428569</v>
      </c>
      <c r="N26" s="49">
        <f>'Avg Week Ishaka-Katungulu'!N26+'Avg Week Katungulu-Ishaka'!N26</f>
        <v>0</v>
      </c>
      <c r="O26" s="15">
        <f t="shared" si="0"/>
        <v>22.714285714285715</v>
      </c>
      <c r="P26" s="15">
        <f t="shared" si="1"/>
        <v>96.285714285714278</v>
      </c>
      <c r="R26" s="1" t="s">
        <v>150</v>
      </c>
      <c r="S26" s="34">
        <f>SUM(C74:C77)</f>
        <v>10</v>
      </c>
      <c r="T26" s="34">
        <f t="shared" ref="T26:AF26" si="18">SUM(D74:D77)</f>
        <v>4</v>
      </c>
      <c r="U26" s="34">
        <f t="shared" si="18"/>
        <v>7.5</v>
      </c>
      <c r="V26" s="34">
        <f t="shared" si="18"/>
        <v>11.5</v>
      </c>
      <c r="W26" s="34">
        <f t="shared" si="18"/>
        <v>1</v>
      </c>
      <c r="X26" s="34">
        <f t="shared" si="18"/>
        <v>1.5</v>
      </c>
      <c r="Y26" s="34">
        <f t="shared" si="18"/>
        <v>5.5</v>
      </c>
      <c r="Z26" s="34">
        <f t="shared" si="18"/>
        <v>5.5</v>
      </c>
      <c r="AA26" s="34">
        <f t="shared" si="18"/>
        <v>10</v>
      </c>
      <c r="AB26" s="34">
        <f t="shared" si="18"/>
        <v>4.5</v>
      </c>
      <c r="AC26" s="34">
        <f t="shared" si="18"/>
        <v>37</v>
      </c>
      <c r="AD26" s="34">
        <f t="shared" si="18"/>
        <v>0</v>
      </c>
      <c r="AE26" s="31">
        <f t="shared" si="18"/>
        <v>61</v>
      </c>
      <c r="AF26" s="31">
        <f t="shared" si="18"/>
        <v>98</v>
      </c>
    </row>
    <row r="27" spans="2:32" ht="23.1" customHeight="1" x14ac:dyDescent="0.25">
      <c r="B27" s="23" t="s">
        <v>54</v>
      </c>
      <c r="C27" s="49">
        <f>'Avg Week Ishaka-Katungulu'!C27+'Avg Week Katungulu-Ishaka'!C27</f>
        <v>13</v>
      </c>
      <c r="D27" s="49">
        <f>'Avg Week Ishaka-Katungulu'!D27+'Avg Week Katungulu-Ishaka'!D27</f>
        <v>1.8571428571428572</v>
      </c>
      <c r="E27" s="49">
        <f>'Avg Week Ishaka-Katungulu'!E27+'Avg Week Katungulu-Ishaka'!E27</f>
        <v>8.4285714285714288</v>
      </c>
      <c r="F27" s="49">
        <f>'Avg Week Ishaka-Katungulu'!F27+'Avg Week Katungulu-Ishaka'!F27</f>
        <v>9.2857142857142847</v>
      </c>
      <c r="G27" s="49">
        <f>'Avg Week Ishaka-Katungulu'!G27+'Avg Week Katungulu-Ishaka'!G27</f>
        <v>0.42857142857142855</v>
      </c>
      <c r="H27" s="49">
        <f>'Avg Week Ishaka-Katungulu'!H27+'Avg Week Katungulu-Ishaka'!H27</f>
        <v>0</v>
      </c>
      <c r="I27" s="49">
        <f>'Avg Week Ishaka-Katungulu'!I27+'Avg Week Katungulu-Ishaka'!I27</f>
        <v>2.7142857142857144</v>
      </c>
      <c r="J27" s="49">
        <f>'Avg Week Ishaka-Katungulu'!J27+'Avg Week Katungulu-Ishaka'!J27</f>
        <v>2</v>
      </c>
      <c r="K27" s="49">
        <f>'Avg Week Ishaka-Katungulu'!K27+'Avg Week Katungulu-Ishaka'!K27</f>
        <v>3</v>
      </c>
      <c r="L27" s="49">
        <f>'Avg Week Ishaka-Katungulu'!L27+'Avg Week Katungulu-Ishaka'!L27</f>
        <v>3.7142857142857144</v>
      </c>
      <c r="M27" s="49">
        <f>'Avg Week Ishaka-Katungulu'!M27+'Avg Week Katungulu-Ishaka'!M27</f>
        <v>133.28571428571428</v>
      </c>
      <c r="N27" s="49">
        <f>'Avg Week Ishaka-Katungulu'!N27+'Avg Week Katungulu-Ishaka'!N27</f>
        <v>0</v>
      </c>
      <c r="O27" s="15">
        <f t="shared" si="0"/>
        <v>44.428571428571431</v>
      </c>
      <c r="P27" s="15">
        <f t="shared" si="1"/>
        <v>177.71428571428572</v>
      </c>
      <c r="R27" s="1" t="s">
        <v>151</v>
      </c>
      <c r="S27" s="34">
        <f>SUM(C78:C81)</f>
        <v>5</v>
      </c>
      <c r="T27" s="34">
        <f t="shared" ref="T27:AF27" si="19">SUM(D78:D81)</f>
        <v>2</v>
      </c>
      <c r="U27" s="34">
        <f t="shared" si="19"/>
        <v>6</v>
      </c>
      <c r="V27" s="34">
        <f t="shared" si="19"/>
        <v>8.5</v>
      </c>
      <c r="W27" s="34">
        <f t="shared" si="19"/>
        <v>0.5</v>
      </c>
      <c r="X27" s="34">
        <f t="shared" si="19"/>
        <v>3.5</v>
      </c>
      <c r="Y27" s="34">
        <f t="shared" si="19"/>
        <v>2</v>
      </c>
      <c r="Z27" s="34">
        <f t="shared" si="19"/>
        <v>6.5</v>
      </c>
      <c r="AA27" s="34">
        <f t="shared" si="19"/>
        <v>0.5</v>
      </c>
      <c r="AB27" s="34">
        <f t="shared" si="19"/>
        <v>5</v>
      </c>
      <c r="AC27" s="34">
        <f t="shared" si="19"/>
        <v>18</v>
      </c>
      <c r="AD27" s="34">
        <f t="shared" si="19"/>
        <v>0</v>
      </c>
      <c r="AE27" s="31">
        <f t="shared" si="19"/>
        <v>39.5</v>
      </c>
      <c r="AF27" s="31">
        <f t="shared" si="19"/>
        <v>57.5</v>
      </c>
    </row>
    <row r="28" spans="2:32" ht="23.1" customHeight="1" x14ac:dyDescent="0.25">
      <c r="B28" s="23" t="s">
        <v>55</v>
      </c>
      <c r="C28" s="49">
        <f>'Avg Week Ishaka-Katungulu'!C28+'Avg Week Katungulu-Ishaka'!C28</f>
        <v>7.8571428571428577</v>
      </c>
      <c r="D28" s="49">
        <f>'Avg Week Ishaka-Katungulu'!D28+'Avg Week Katungulu-Ishaka'!D28</f>
        <v>0.8571428571428571</v>
      </c>
      <c r="E28" s="49">
        <f>'Avg Week Ishaka-Katungulu'!E28+'Avg Week Katungulu-Ishaka'!E28</f>
        <v>6</v>
      </c>
      <c r="F28" s="49">
        <f>'Avg Week Ishaka-Katungulu'!F28+'Avg Week Katungulu-Ishaka'!F28</f>
        <v>3.2857142857142856</v>
      </c>
      <c r="G28" s="49">
        <f>'Avg Week Ishaka-Katungulu'!G28+'Avg Week Katungulu-Ishaka'!G28</f>
        <v>0</v>
      </c>
      <c r="H28" s="49">
        <f>'Avg Week Ishaka-Katungulu'!H28+'Avg Week Katungulu-Ishaka'!H28</f>
        <v>0</v>
      </c>
      <c r="I28" s="49">
        <f>'Avg Week Ishaka-Katungulu'!I28+'Avg Week Katungulu-Ishaka'!I28</f>
        <v>0.42857142857142855</v>
      </c>
      <c r="J28" s="49">
        <f>'Avg Week Ishaka-Katungulu'!J28+'Avg Week Katungulu-Ishaka'!J28</f>
        <v>0.2857142857142857</v>
      </c>
      <c r="K28" s="49">
        <f>'Avg Week Ishaka-Katungulu'!K28+'Avg Week Katungulu-Ishaka'!K28</f>
        <v>2.1428571428571428</v>
      </c>
      <c r="L28" s="49">
        <f>'Avg Week Ishaka-Katungulu'!L28+'Avg Week Katungulu-Ishaka'!L28</f>
        <v>2.1428571428571428</v>
      </c>
      <c r="M28" s="49">
        <f>'Avg Week Ishaka-Katungulu'!M28+'Avg Week Katungulu-Ishaka'!M28</f>
        <v>62</v>
      </c>
      <c r="N28" s="49">
        <f>'Avg Week Ishaka-Katungulu'!N28+'Avg Week Katungulu-Ishaka'!N28</f>
        <v>0</v>
      </c>
      <c r="O28" s="15">
        <f t="shared" si="0"/>
        <v>22.999999999999996</v>
      </c>
      <c r="P28" s="15">
        <f t="shared" si="1"/>
        <v>85</v>
      </c>
      <c r="R28" s="1" t="s">
        <v>152</v>
      </c>
      <c r="S28" s="34">
        <f>SUM(C82:C85)</f>
        <v>2.5</v>
      </c>
      <c r="T28" s="34">
        <f t="shared" ref="T28:AF28" si="20">SUM(D82:D85)</f>
        <v>1</v>
      </c>
      <c r="U28" s="34">
        <f t="shared" si="20"/>
        <v>4.5</v>
      </c>
      <c r="V28" s="34">
        <f t="shared" si="20"/>
        <v>2</v>
      </c>
      <c r="W28" s="34">
        <f t="shared" si="20"/>
        <v>0</v>
      </c>
      <c r="X28" s="34">
        <f t="shared" si="20"/>
        <v>0.5</v>
      </c>
      <c r="Y28" s="34">
        <f t="shared" si="20"/>
        <v>0</v>
      </c>
      <c r="Z28" s="34">
        <f t="shared" si="20"/>
        <v>2.5</v>
      </c>
      <c r="AA28" s="34">
        <f t="shared" si="20"/>
        <v>1</v>
      </c>
      <c r="AB28" s="34">
        <f t="shared" si="20"/>
        <v>1</v>
      </c>
      <c r="AC28" s="34">
        <f t="shared" si="20"/>
        <v>18</v>
      </c>
      <c r="AD28" s="34">
        <f t="shared" si="20"/>
        <v>0</v>
      </c>
      <c r="AE28" s="31">
        <f t="shared" si="20"/>
        <v>15</v>
      </c>
      <c r="AF28" s="31">
        <f t="shared" si="20"/>
        <v>33</v>
      </c>
    </row>
    <row r="29" spans="2:32" ht="23.1" customHeight="1" x14ac:dyDescent="0.25">
      <c r="B29" s="23" t="s">
        <v>56</v>
      </c>
      <c r="C29" s="49">
        <f>'Avg Week Ishaka-Katungulu'!C29+'Avg Week Katungulu-Ishaka'!C29</f>
        <v>14.285714285714286</v>
      </c>
      <c r="D29" s="49">
        <f>'Avg Week Ishaka-Katungulu'!D29+'Avg Week Katungulu-Ishaka'!D29</f>
        <v>2</v>
      </c>
      <c r="E29" s="49">
        <f>'Avg Week Ishaka-Katungulu'!E29+'Avg Week Katungulu-Ishaka'!E29</f>
        <v>10.714285714285715</v>
      </c>
      <c r="F29" s="49">
        <f>'Avg Week Ishaka-Katungulu'!F29+'Avg Week Katungulu-Ishaka'!F29</f>
        <v>7</v>
      </c>
      <c r="G29" s="49">
        <f>'Avg Week Ishaka-Katungulu'!G29+'Avg Week Katungulu-Ishaka'!G29</f>
        <v>0.14285714285714285</v>
      </c>
      <c r="H29" s="49">
        <f>'Avg Week Ishaka-Katungulu'!H29+'Avg Week Katungulu-Ishaka'!H29</f>
        <v>0.2857142857142857</v>
      </c>
      <c r="I29" s="49">
        <f>'Avg Week Ishaka-Katungulu'!I29+'Avg Week Katungulu-Ishaka'!I29</f>
        <v>1.5714285714285714</v>
      </c>
      <c r="J29" s="49">
        <f>'Avg Week Ishaka-Katungulu'!J29+'Avg Week Katungulu-Ishaka'!J29</f>
        <v>1.4285714285714286</v>
      </c>
      <c r="K29" s="49">
        <f>'Avg Week Ishaka-Katungulu'!K29+'Avg Week Katungulu-Ishaka'!K29</f>
        <v>3.8571428571428572</v>
      </c>
      <c r="L29" s="49">
        <f>'Avg Week Ishaka-Katungulu'!L29+'Avg Week Katungulu-Ishaka'!L29</f>
        <v>4.2857142857142856</v>
      </c>
      <c r="M29" s="49">
        <f>'Avg Week Ishaka-Katungulu'!M29+'Avg Week Katungulu-Ishaka'!M29</f>
        <v>110.42857142857143</v>
      </c>
      <c r="N29" s="49">
        <f>'Avg Week Ishaka-Katungulu'!N29+'Avg Week Katungulu-Ishaka'!N29</f>
        <v>0.14285714285714285</v>
      </c>
      <c r="O29" s="15">
        <f t="shared" si="0"/>
        <v>45.714285714285715</v>
      </c>
      <c r="P29" s="15">
        <f t="shared" si="1"/>
        <v>156.14285714285714</v>
      </c>
      <c r="R29" s="1" t="s">
        <v>153</v>
      </c>
      <c r="S29" s="34">
        <f>SUM(C86:C89)</f>
        <v>1.5</v>
      </c>
      <c r="T29" s="34">
        <f t="shared" ref="T29:AF29" si="21">SUM(D86:D89)</f>
        <v>0</v>
      </c>
      <c r="U29" s="34">
        <f t="shared" si="21"/>
        <v>1.5</v>
      </c>
      <c r="V29" s="34">
        <f t="shared" si="21"/>
        <v>0.5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2.5</v>
      </c>
      <c r="AB29" s="34">
        <f t="shared" si="21"/>
        <v>2.5</v>
      </c>
      <c r="AC29" s="34">
        <f t="shared" si="21"/>
        <v>1</v>
      </c>
      <c r="AD29" s="34">
        <f t="shared" si="21"/>
        <v>0</v>
      </c>
      <c r="AE29" s="31">
        <f t="shared" si="21"/>
        <v>9.5</v>
      </c>
      <c r="AF29" s="31">
        <f t="shared" si="21"/>
        <v>10.5</v>
      </c>
    </row>
    <row r="30" spans="2:32" ht="23.1" customHeight="1" x14ac:dyDescent="0.25">
      <c r="B30" s="23" t="s">
        <v>57</v>
      </c>
      <c r="C30" s="49">
        <f>'Avg Week Ishaka-Katungulu'!C30+'Avg Week Katungulu-Ishaka'!C30</f>
        <v>8.2857142857142865</v>
      </c>
      <c r="D30" s="49">
        <f>'Avg Week Ishaka-Katungulu'!D30+'Avg Week Katungulu-Ishaka'!D30</f>
        <v>0.8571428571428571</v>
      </c>
      <c r="E30" s="49">
        <f>'Avg Week Ishaka-Katungulu'!E30+'Avg Week Katungulu-Ishaka'!E30</f>
        <v>4.8571428571428577</v>
      </c>
      <c r="F30" s="49">
        <f>'Avg Week Ishaka-Katungulu'!F30+'Avg Week Katungulu-Ishaka'!F30</f>
        <v>4.8571428571428568</v>
      </c>
      <c r="G30" s="49">
        <f>'Avg Week Ishaka-Katungulu'!G30+'Avg Week Katungulu-Ishaka'!G30</f>
        <v>0.14285714285714285</v>
      </c>
      <c r="H30" s="49">
        <f>'Avg Week Ishaka-Katungulu'!H30+'Avg Week Katungulu-Ishaka'!H30</f>
        <v>0.2857142857142857</v>
      </c>
      <c r="I30" s="49">
        <f>'Avg Week Ishaka-Katungulu'!I30+'Avg Week Katungulu-Ishaka'!I30</f>
        <v>1.2857142857142856</v>
      </c>
      <c r="J30" s="49">
        <f>'Avg Week Ishaka-Katungulu'!J30+'Avg Week Katungulu-Ishaka'!J30</f>
        <v>0.85714285714285721</v>
      </c>
      <c r="K30" s="49">
        <f>'Avg Week Ishaka-Katungulu'!K30+'Avg Week Katungulu-Ishaka'!K30</f>
        <v>1</v>
      </c>
      <c r="L30" s="49">
        <f>'Avg Week Ishaka-Katungulu'!L30+'Avg Week Katungulu-Ishaka'!L30</f>
        <v>0.71428571428571419</v>
      </c>
      <c r="M30" s="49">
        <f>'Avg Week Ishaka-Katungulu'!M30+'Avg Week Katungulu-Ishaka'!M30</f>
        <v>66.857142857142861</v>
      </c>
      <c r="N30" s="49">
        <f>'Avg Week Ishaka-Katungulu'!N30+'Avg Week Katungulu-Ishaka'!N30</f>
        <v>0</v>
      </c>
      <c r="O30" s="15">
        <f t="shared" si="0"/>
        <v>23.142857142857142</v>
      </c>
      <c r="P30" s="15">
        <f t="shared" si="1"/>
        <v>90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0.5</v>
      </c>
      <c r="AA30" s="34">
        <f t="shared" si="22"/>
        <v>0</v>
      </c>
      <c r="AB30" s="34">
        <f t="shared" si="22"/>
        <v>2</v>
      </c>
      <c r="AC30" s="34">
        <f t="shared" si="22"/>
        <v>0</v>
      </c>
      <c r="AD30" s="34">
        <f t="shared" si="22"/>
        <v>0</v>
      </c>
      <c r="AE30" s="31">
        <f t="shared" si="22"/>
        <v>3.5</v>
      </c>
      <c r="AF30" s="31">
        <f t="shared" si="22"/>
        <v>3.5</v>
      </c>
    </row>
    <row r="31" spans="2:32" ht="23.1" customHeight="1" x14ac:dyDescent="0.25">
      <c r="B31" s="24" t="s">
        <v>58</v>
      </c>
      <c r="C31" s="49">
        <f>'Avg Week Ishaka-Katungulu'!C31+'Avg Week Katungulu-Ishaka'!C31</f>
        <v>15</v>
      </c>
      <c r="D31" s="49">
        <f>'Avg Week Ishaka-Katungulu'!D31+'Avg Week Katungulu-Ishaka'!D31</f>
        <v>2.2857142857142856</v>
      </c>
      <c r="E31" s="49">
        <f>'Avg Week Ishaka-Katungulu'!E31+'Avg Week Katungulu-Ishaka'!E31</f>
        <v>8</v>
      </c>
      <c r="F31" s="49">
        <f>'Avg Week Ishaka-Katungulu'!F31+'Avg Week Katungulu-Ishaka'!F31</f>
        <v>8.8571428571428577</v>
      </c>
      <c r="G31" s="49">
        <f>'Avg Week Ishaka-Katungulu'!G31+'Avg Week Katungulu-Ishaka'!G31</f>
        <v>0.42857142857142855</v>
      </c>
      <c r="H31" s="49">
        <f>'Avg Week Ishaka-Katungulu'!H31+'Avg Week Katungulu-Ishaka'!H31</f>
        <v>0.5714285714285714</v>
      </c>
      <c r="I31" s="49">
        <f>'Avg Week Ishaka-Katungulu'!I31+'Avg Week Katungulu-Ishaka'!I31</f>
        <v>3.1428571428571428</v>
      </c>
      <c r="J31" s="49">
        <f>'Avg Week Ishaka-Katungulu'!J31+'Avg Week Katungulu-Ishaka'!J31</f>
        <v>2.4285714285714284</v>
      </c>
      <c r="K31" s="49">
        <f>'Avg Week Ishaka-Katungulu'!K31+'Avg Week Katungulu-Ishaka'!K31</f>
        <v>2</v>
      </c>
      <c r="L31" s="49">
        <f>'Avg Week Ishaka-Katungulu'!L31+'Avg Week Katungulu-Ishaka'!L31</f>
        <v>2.5714285714285712</v>
      </c>
      <c r="M31" s="49">
        <f>'Avg Week Ishaka-Katungulu'!M31+'Avg Week Katungulu-Ishaka'!M31</f>
        <v>119.85714285714286</v>
      </c>
      <c r="N31" s="49">
        <f>'Avg Week Ishaka-Katungulu'!N31+'Avg Week Katungulu-Ishaka'!N31</f>
        <v>0</v>
      </c>
      <c r="O31" s="15">
        <f t="shared" si="0"/>
        <v>45.285714285714285</v>
      </c>
      <c r="P31" s="15">
        <f t="shared" si="1"/>
        <v>165.14285714285714</v>
      </c>
      <c r="R31" s="1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0.5</v>
      </c>
      <c r="AA31" s="34">
        <f t="shared" si="23"/>
        <v>2.5</v>
      </c>
      <c r="AB31" s="34">
        <f t="shared" si="23"/>
        <v>3</v>
      </c>
      <c r="AC31" s="34">
        <f t="shared" si="23"/>
        <v>0</v>
      </c>
      <c r="AD31" s="34">
        <f t="shared" si="23"/>
        <v>0</v>
      </c>
      <c r="AE31" s="31">
        <f t="shared" si="23"/>
        <v>9</v>
      </c>
      <c r="AF31" s="31">
        <f t="shared" si="23"/>
        <v>9</v>
      </c>
    </row>
    <row r="32" spans="2:32" ht="23.1" customHeight="1" x14ac:dyDescent="0.25">
      <c r="B32" s="24" t="s">
        <v>59</v>
      </c>
      <c r="C32" s="49">
        <f>'Avg Week Ishaka-Katungulu'!C32+'Avg Week Katungulu-Ishaka'!C32</f>
        <v>6.8571428571428577</v>
      </c>
      <c r="D32" s="49">
        <f>'Avg Week Ishaka-Katungulu'!D32+'Avg Week Katungulu-Ishaka'!D32</f>
        <v>0.71428571428571419</v>
      </c>
      <c r="E32" s="49">
        <f>'Avg Week Ishaka-Katungulu'!E32+'Avg Week Katungulu-Ishaka'!E32</f>
        <v>5.5714285714285712</v>
      </c>
      <c r="F32" s="49">
        <f>'Avg Week Ishaka-Katungulu'!F32+'Avg Week Katungulu-Ishaka'!F32</f>
        <v>4.5714285714285712</v>
      </c>
      <c r="G32" s="49">
        <f>'Avg Week Ishaka-Katungulu'!G32+'Avg Week Katungulu-Ishaka'!G32</f>
        <v>0.2857142857142857</v>
      </c>
      <c r="H32" s="49">
        <f>'Avg Week Ishaka-Katungulu'!H32+'Avg Week Katungulu-Ishaka'!H32</f>
        <v>0.2857142857142857</v>
      </c>
      <c r="I32" s="49">
        <f>'Avg Week Ishaka-Katungulu'!I32+'Avg Week Katungulu-Ishaka'!I32</f>
        <v>2.2857142857142856</v>
      </c>
      <c r="J32" s="49">
        <f>'Avg Week Ishaka-Katungulu'!J32+'Avg Week Katungulu-Ishaka'!J32</f>
        <v>1</v>
      </c>
      <c r="K32" s="49">
        <f>'Avg Week Ishaka-Katungulu'!K32+'Avg Week Katungulu-Ishaka'!K32</f>
        <v>1</v>
      </c>
      <c r="L32" s="49">
        <f>'Avg Week Ishaka-Katungulu'!L32+'Avg Week Katungulu-Ishaka'!L32</f>
        <v>1.2857142857142856</v>
      </c>
      <c r="M32" s="49">
        <f>'Avg Week Ishaka-Katungulu'!M32+'Avg Week Katungulu-Ishaka'!M32</f>
        <v>60.571428571428569</v>
      </c>
      <c r="N32" s="49">
        <f>'Avg Week Ishaka-Katungulu'!N32+'Avg Week Katungulu-Ishaka'!N32</f>
        <v>0</v>
      </c>
      <c r="O32" s="15">
        <f t="shared" si="0"/>
        <v>23.857142857142854</v>
      </c>
      <c r="P32" s="15">
        <f t="shared" si="1"/>
        <v>84.428571428571416</v>
      </c>
      <c r="R32" s="1" t="s">
        <v>156</v>
      </c>
      <c r="S32" s="34">
        <f>SUM(C98:C101)</f>
        <v>6.5</v>
      </c>
      <c r="T32" s="34">
        <f t="shared" ref="T32:AF32" si="24">SUM(D98:D101)</f>
        <v>1</v>
      </c>
      <c r="U32" s="34">
        <f t="shared" si="24"/>
        <v>4</v>
      </c>
      <c r="V32" s="34">
        <f t="shared" si="24"/>
        <v>8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3</v>
      </c>
      <c r="AB32" s="34">
        <f t="shared" si="24"/>
        <v>10</v>
      </c>
      <c r="AC32" s="34">
        <f t="shared" si="24"/>
        <v>10</v>
      </c>
      <c r="AD32" s="34">
        <f t="shared" si="24"/>
        <v>0</v>
      </c>
      <c r="AE32" s="31">
        <f t="shared" si="24"/>
        <v>32.5</v>
      </c>
      <c r="AF32" s="31">
        <f t="shared" si="24"/>
        <v>42.5</v>
      </c>
    </row>
    <row r="33" spans="2:32" ht="23.1" customHeight="1" x14ac:dyDescent="0.25">
      <c r="B33" s="23" t="s">
        <v>60</v>
      </c>
      <c r="C33" s="49">
        <f>'Avg Week Ishaka-Katungulu'!C33+'Avg Week Katungulu-Ishaka'!C33</f>
        <v>12.571428571428573</v>
      </c>
      <c r="D33" s="49">
        <f>'Avg Week Ishaka-Katungulu'!D33+'Avg Week Katungulu-Ishaka'!D33</f>
        <v>2.4285714285714288</v>
      </c>
      <c r="E33" s="49">
        <f>'Avg Week Ishaka-Katungulu'!E33+'Avg Week Katungulu-Ishaka'!E33</f>
        <v>9.8571428571428577</v>
      </c>
      <c r="F33" s="49">
        <f>'Avg Week Ishaka-Katungulu'!F33+'Avg Week Katungulu-Ishaka'!F33</f>
        <v>8</v>
      </c>
      <c r="G33" s="49">
        <f>'Avg Week Ishaka-Katungulu'!G33+'Avg Week Katungulu-Ishaka'!G33</f>
        <v>0.85714285714285721</v>
      </c>
      <c r="H33" s="49">
        <f>'Avg Week Ishaka-Katungulu'!H33+'Avg Week Katungulu-Ishaka'!H33</f>
        <v>0.42857142857142855</v>
      </c>
      <c r="I33" s="49">
        <f>'Avg Week Ishaka-Katungulu'!I33+'Avg Week Katungulu-Ishaka'!I33</f>
        <v>4.7142857142857135</v>
      </c>
      <c r="J33" s="49">
        <f>'Avg Week Ishaka-Katungulu'!J33+'Avg Week Katungulu-Ishaka'!J33</f>
        <v>2.2857142857142856</v>
      </c>
      <c r="K33" s="49">
        <f>'Avg Week Ishaka-Katungulu'!K33+'Avg Week Katungulu-Ishaka'!K33</f>
        <v>2.8571428571428568</v>
      </c>
      <c r="L33" s="49">
        <f>'Avg Week Ishaka-Katungulu'!L33+'Avg Week Katungulu-Ishaka'!L33</f>
        <v>2.8571428571428572</v>
      </c>
      <c r="M33" s="49">
        <f>'Avg Week Ishaka-Katungulu'!M33+'Avg Week Katungulu-Ishaka'!M33</f>
        <v>111.71428571428572</v>
      </c>
      <c r="N33" s="49">
        <f>'Avg Week Ishaka-Katungulu'!N33+'Avg Week Katungulu-Ishaka'!N33</f>
        <v>0.14285714285714285</v>
      </c>
      <c r="O33" s="15">
        <f t="shared" si="0"/>
        <v>47</v>
      </c>
      <c r="P33" s="15">
        <f t="shared" si="1"/>
        <v>158.71428571428572</v>
      </c>
      <c r="R33" s="1" t="s">
        <v>157</v>
      </c>
      <c r="S33" s="34">
        <f>SUM(C102:C105)</f>
        <v>20</v>
      </c>
      <c r="T33" s="34">
        <f t="shared" ref="T33:AF33" si="25">SUM(D102:D105)</f>
        <v>3.5</v>
      </c>
      <c r="U33" s="34">
        <f t="shared" si="25"/>
        <v>9.5</v>
      </c>
      <c r="V33" s="34">
        <f t="shared" si="25"/>
        <v>11.5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0.5</v>
      </c>
      <c r="AA33" s="34">
        <f t="shared" si="25"/>
        <v>2.5</v>
      </c>
      <c r="AB33" s="34">
        <f t="shared" si="25"/>
        <v>9.5</v>
      </c>
      <c r="AC33" s="34">
        <f t="shared" si="25"/>
        <v>25</v>
      </c>
      <c r="AD33" s="34">
        <f t="shared" si="25"/>
        <v>0</v>
      </c>
      <c r="AE33" s="31">
        <f t="shared" si="25"/>
        <v>57</v>
      </c>
      <c r="AF33" s="31">
        <f t="shared" si="25"/>
        <v>82</v>
      </c>
    </row>
    <row r="34" spans="2:32" ht="23.1" customHeight="1" x14ac:dyDescent="0.25">
      <c r="B34" s="24" t="s">
        <v>61</v>
      </c>
      <c r="C34" s="49">
        <f>'Avg Week Ishaka-Katungulu'!C34+'Avg Week Katungulu-Ishaka'!C34</f>
        <v>8.571428571428573</v>
      </c>
      <c r="D34" s="49">
        <f>'Avg Week Ishaka-Katungulu'!D34+'Avg Week Katungulu-Ishaka'!D34</f>
        <v>0.42857142857142855</v>
      </c>
      <c r="E34" s="49">
        <f>'Avg Week Ishaka-Katungulu'!E34+'Avg Week Katungulu-Ishaka'!E34</f>
        <v>6.5714285714285712</v>
      </c>
      <c r="F34" s="49">
        <f>'Avg Week Ishaka-Katungulu'!F34+'Avg Week Katungulu-Ishaka'!F34</f>
        <v>6</v>
      </c>
      <c r="G34" s="49">
        <f>'Avg Week Ishaka-Katungulu'!G34+'Avg Week Katungulu-Ishaka'!G34</f>
        <v>0.14285714285714285</v>
      </c>
      <c r="H34" s="49">
        <f>'Avg Week Ishaka-Katungulu'!H34+'Avg Week Katungulu-Ishaka'!H34</f>
        <v>0</v>
      </c>
      <c r="I34" s="49">
        <f>'Avg Week Ishaka-Katungulu'!I34+'Avg Week Katungulu-Ishaka'!I34</f>
        <v>2.7142857142857144</v>
      </c>
      <c r="J34" s="49">
        <f>'Avg Week Ishaka-Katungulu'!J34+'Avg Week Katungulu-Ishaka'!J34</f>
        <v>1.4285714285714286</v>
      </c>
      <c r="K34" s="49">
        <f>'Avg Week Ishaka-Katungulu'!K34+'Avg Week Katungulu-Ishaka'!K34</f>
        <v>1.7142857142857142</v>
      </c>
      <c r="L34" s="49">
        <f>'Avg Week Ishaka-Katungulu'!L34+'Avg Week Katungulu-Ishaka'!L34</f>
        <v>1.4285714285714286</v>
      </c>
      <c r="M34" s="49">
        <f>'Avg Week Ishaka-Katungulu'!M34+'Avg Week Katungulu-Ishaka'!M34</f>
        <v>68.285714285714278</v>
      </c>
      <c r="N34" s="49">
        <f>'Avg Week Ishaka-Katungulu'!N34+'Avg Week Katungulu-Ishaka'!N34</f>
        <v>0</v>
      </c>
      <c r="O34" s="15">
        <f t="shared" si="0"/>
        <v>29</v>
      </c>
      <c r="P34" s="15">
        <f t="shared" si="1"/>
        <v>97.285714285714278</v>
      </c>
      <c r="R34" s="38" t="s">
        <v>90</v>
      </c>
      <c r="S34" s="39">
        <f t="shared" ref="S34:AF34" si="26">MAX(S10:S12)</f>
        <v>31.428571428571431</v>
      </c>
      <c r="T34" s="39">
        <f t="shared" si="26"/>
        <v>3.1428571428571428</v>
      </c>
      <c r="U34" s="39">
        <f t="shared" si="26"/>
        <v>22.285714285714288</v>
      </c>
      <c r="V34" s="39">
        <f t="shared" si="26"/>
        <v>23.428571428571431</v>
      </c>
      <c r="W34" s="39">
        <f t="shared" si="26"/>
        <v>0.99999999999999989</v>
      </c>
      <c r="X34" s="39">
        <f t="shared" si="26"/>
        <v>2.5714285714285712</v>
      </c>
      <c r="Y34" s="39">
        <f t="shared" si="26"/>
        <v>6.1428571428571423</v>
      </c>
      <c r="Z34" s="39">
        <f t="shared" si="26"/>
        <v>8.5714285714285712</v>
      </c>
      <c r="AA34" s="39">
        <f t="shared" si="26"/>
        <v>15.714285714285715</v>
      </c>
      <c r="AB34" s="39">
        <f t="shared" si="26"/>
        <v>13.571428571428573</v>
      </c>
      <c r="AC34" s="39">
        <f t="shared" si="26"/>
        <v>382.57142857142861</v>
      </c>
      <c r="AD34" s="39">
        <f t="shared" si="26"/>
        <v>0.2857142857142857</v>
      </c>
      <c r="AE34" s="40">
        <f t="shared" si="26"/>
        <v>117.57142857142858</v>
      </c>
      <c r="AF34" s="40">
        <f t="shared" si="26"/>
        <v>500.14285714285717</v>
      </c>
    </row>
    <row r="35" spans="2:32" ht="23.1" customHeight="1" x14ac:dyDescent="0.25">
      <c r="B35" s="24" t="s">
        <v>62</v>
      </c>
      <c r="C35" s="49">
        <f>'Avg Week Ishaka-Katungulu'!C35+'Avg Week Katungulu-Ishaka'!C35</f>
        <v>15.142857142857142</v>
      </c>
      <c r="D35" s="49">
        <f>'Avg Week Ishaka-Katungulu'!D35+'Avg Week Katungulu-Ishaka'!D35</f>
        <v>1.8571428571428572</v>
      </c>
      <c r="E35" s="49">
        <f>'Avg Week Ishaka-Katungulu'!E35+'Avg Week Katungulu-Ishaka'!E35</f>
        <v>10.571428571428571</v>
      </c>
      <c r="F35" s="49">
        <f>'Avg Week Ishaka-Katungulu'!F35+'Avg Week Katungulu-Ishaka'!F35</f>
        <v>10.142857142857142</v>
      </c>
      <c r="G35" s="49">
        <f>'Avg Week Ishaka-Katungulu'!G35+'Avg Week Katungulu-Ishaka'!G35</f>
        <v>0.5714285714285714</v>
      </c>
      <c r="H35" s="49">
        <f>'Avg Week Ishaka-Katungulu'!H35+'Avg Week Katungulu-Ishaka'!H35</f>
        <v>0.2857142857142857</v>
      </c>
      <c r="I35" s="49">
        <f>'Avg Week Ishaka-Katungulu'!I35+'Avg Week Katungulu-Ishaka'!I35</f>
        <v>5</v>
      </c>
      <c r="J35" s="49">
        <f>'Avg Week Ishaka-Katungulu'!J35+'Avg Week Katungulu-Ishaka'!J35</f>
        <v>3</v>
      </c>
      <c r="K35" s="49">
        <f>'Avg Week Ishaka-Katungulu'!K35+'Avg Week Katungulu-Ishaka'!K35</f>
        <v>3.4285714285714288</v>
      </c>
      <c r="L35" s="49">
        <f>'Avg Week Ishaka-Katungulu'!L35+'Avg Week Katungulu-Ishaka'!L35</f>
        <v>3</v>
      </c>
      <c r="M35" s="49">
        <f>'Avg Week Ishaka-Katungulu'!M35+'Avg Week Katungulu-Ishaka'!M35</f>
        <v>122.85714285714286</v>
      </c>
      <c r="N35" s="49">
        <f>'Avg Week Ishaka-Katungulu'!N35+'Avg Week Katungulu-Ishaka'!N35</f>
        <v>0</v>
      </c>
      <c r="O35" s="15">
        <f t="shared" si="0"/>
        <v>52.999999999999993</v>
      </c>
      <c r="P35" s="15">
        <f t="shared" si="1"/>
        <v>175.85714285714286</v>
      </c>
      <c r="R35" s="38" t="s">
        <v>91</v>
      </c>
      <c r="S35" s="39">
        <f t="shared" ref="S35:AF35" si="27">MAX(S13:S18)</f>
        <v>47.857142857142861</v>
      </c>
      <c r="T35" s="39">
        <f t="shared" si="27"/>
        <v>6.2857142857142856</v>
      </c>
      <c r="U35" s="39">
        <f t="shared" si="27"/>
        <v>34.142857142857139</v>
      </c>
      <c r="V35" s="39">
        <f t="shared" si="27"/>
        <v>32</v>
      </c>
      <c r="W35" s="39">
        <f t="shared" si="27"/>
        <v>1.7142857142857144</v>
      </c>
      <c r="X35" s="39">
        <f t="shared" si="27"/>
        <v>1.5714285714285714</v>
      </c>
      <c r="Y35" s="39">
        <f t="shared" si="27"/>
        <v>12.571428571428571</v>
      </c>
      <c r="Z35" s="39">
        <f t="shared" si="27"/>
        <v>9.7142857142857153</v>
      </c>
      <c r="AA35" s="39">
        <f t="shared" si="27"/>
        <v>12.571428571428571</v>
      </c>
      <c r="AB35" s="39">
        <f t="shared" si="27"/>
        <v>12.285714285714286</v>
      </c>
      <c r="AC35" s="39">
        <f t="shared" si="27"/>
        <v>408.28571428571428</v>
      </c>
      <c r="AD35" s="39">
        <f t="shared" si="27"/>
        <v>0.2857142857142857</v>
      </c>
      <c r="AE35" s="40">
        <f t="shared" si="27"/>
        <v>163</v>
      </c>
      <c r="AF35" s="40">
        <f t="shared" si="27"/>
        <v>546.85714285714289</v>
      </c>
    </row>
    <row r="36" spans="2:32" ht="23.1" customHeight="1" x14ac:dyDescent="0.25">
      <c r="B36" s="24" t="s">
        <v>63</v>
      </c>
      <c r="C36" s="49">
        <f>'Avg Week Ishaka-Katungulu'!C36+'Avg Week Katungulu-Ishaka'!C36</f>
        <v>8.4285714285714288</v>
      </c>
      <c r="D36" s="49">
        <f>'Avg Week Ishaka-Katungulu'!D36+'Avg Week Katungulu-Ishaka'!D36</f>
        <v>0.71428571428571419</v>
      </c>
      <c r="E36" s="49">
        <f>'Avg Week Ishaka-Katungulu'!E36+'Avg Week Katungulu-Ishaka'!E36</f>
        <v>6.4285714285714288</v>
      </c>
      <c r="F36" s="49">
        <f>'Avg Week Ishaka-Katungulu'!F36+'Avg Week Katungulu-Ishaka'!F36</f>
        <v>5.8571428571428577</v>
      </c>
      <c r="G36" s="49">
        <f>'Avg Week Ishaka-Katungulu'!G36+'Avg Week Katungulu-Ishaka'!G36</f>
        <v>0</v>
      </c>
      <c r="H36" s="49">
        <f>'Avg Week Ishaka-Katungulu'!H36+'Avg Week Katungulu-Ishaka'!H36</f>
        <v>0</v>
      </c>
      <c r="I36" s="49">
        <f>'Avg Week Ishaka-Katungulu'!I36+'Avg Week Katungulu-Ishaka'!I36</f>
        <v>1.4285714285714286</v>
      </c>
      <c r="J36" s="49">
        <f>'Avg Week Ishaka-Katungulu'!J36+'Avg Week Katungulu-Ishaka'!J36</f>
        <v>1.5714285714285714</v>
      </c>
      <c r="K36" s="49">
        <f>'Avg Week Ishaka-Katungulu'!K36+'Avg Week Katungulu-Ishaka'!K36</f>
        <v>1.2857142857142856</v>
      </c>
      <c r="L36" s="49">
        <f>'Avg Week Ishaka-Katungulu'!L36+'Avg Week Katungulu-Ishaka'!L36</f>
        <v>1.8571428571428572</v>
      </c>
      <c r="M36" s="49">
        <f>'Avg Week Ishaka-Katungulu'!M36+'Avg Week Katungulu-Ishaka'!M36</f>
        <v>64.857142857142861</v>
      </c>
      <c r="N36" s="49">
        <f>'Avg Week Ishaka-Katungulu'!N36+'Avg Week Katungulu-Ishaka'!N36</f>
        <v>0</v>
      </c>
      <c r="O36" s="15">
        <f t="shared" si="0"/>
        <v>27.571428571428573</v>
      </c>
      <c r="P36" s="15">
        <f t="shared" si="1"/>
        <v>92.428571428571431</v>
      </c>
      <c r="R36" s="38" t="s">
        <v>92</v>
      </c>
      <c r="S36" s="39">
        <f t="shared" ref="S36:AF36" si="28">MAX(S19:S21)</f>
        <v>53.285714285714292</v>
      </c>
      <c r="T36" s="39">
        <f t="shared" si="28"/>
        <v>7.7142857142857135</v>
      </c>
      <c r="U36" s="39">
        <f t="shared" si="28"/>
        <v>39.714285714285708</v>
      </c>
      <c r="V36" s="39">
        <f t="shared" si="28"/>
        <v>29.428571428571427</v>
      </c>
      <c r="W36" s="39">
        <f t="shared" si="28"/>
        <v>1.1428571428571428</v>
      </c>
      <c r="X36" s="39">
        <f t="shared" si="28"/>
        <v>0.99999999999999989</v>
      </c>
      <c r="Y36" s="39">
        <f t="shared" si="28"/>
        <v>17.428571428571431</v>
      </c>
      <c r="Z36" s="39">
        <f t="shared" si="28"/>
        <v>9.2857142857142847</v>
      </c>
      <c r="AA36" s="39">
        <f t="shared" si="28"/>
        <v>10.571428571428571</v>
      </c>
      <c r="AB36" s="39">
        <f t="shared" si="28"/>
        <v>10.285714285714285</v>
      </c>
      <c r="AC36" s="39">
        <f t="shared" si="28"/>
        <v>404.28571428571428</v>
      </c>
      <c r="AD36" s="39">
        <f t="shared" si="28"/>
        <v>0</v>
      </c>
      <c r="AE36" s="40">
        <f t="shared" si="28"/>
        <v>175.14285714285714</v>
      </c>
      <c r="AF36" s="40">
        <f t="shared" si="28"/>
        <v>579.42857142857133</v>
      </c>
    </row>
    <row r="37" spans="2:32" ht="23.1" customHeight="1" x14ac:dyDescent="0.25">
      <c r="B37" s="23" t="s">
        <v>64</v>
      </c>
      <c r="C37" s="49">
        <f>'Avg Week Ishaka-Katungulu'!C37+'Avg Week Katungulu-Ishaka'!C37</f>
        <v>15.714285714285714</v>
      </c>
      <c r="D37" s="49">
        <f>'Avg Week Ishaka-Katungulu'!D37+'Avg Week Katungulu-Ishaka'!D37</f>
        <v>2.2857142857142856</v>
      </c>
      <c r="E37" s="49">
        <f>'Avg Week Ishaka-Katungulu'!E37+'Avg Week Katungulu-Ishaka'!E37</f>
        <v>10.571428571428573</v>
      </c>
      <c r="F37" s="49">
        <f>'Avg Week Ishaka-Katungulu'!F37+'Avg Week Katungulu-Ishaka'!F37</f>
        <v>10</v>
      </c>
      <c r="G37" s="49">
        <f>'Avg Week Ishaka-Katungulu'!G37+'Avg Week Katungulu-Ishaka'!G37</f>
        <v>0</v>
      </c>
      <c r="H37" s="49">
        <f>'Avg Week Ishaka-Katungulu'!H37+'Avg Week Katungulu-Ishaka'!H37</f>
        <v>0.2857142857142857</v>
      </c>
      <c r="I37" s="49">
        <f>'Avg Week Ishaka-Katungulu'!I37+'Avg Week Katungulu-Ishaka'!I37</f>
        <v>3.4285714285714288</v>
      </c>
      <c r="J37" s="49">
        <f>'Avg Week Ishaka-Katungulu'!J37+'Avg Week Katungulu-Ishaka'!J37</f>
        <v>3.7142857142857144</v>
      </c>
      <c r="K37" s="49">
        <f>'Avg Week Ishaka-Katungulu'!K37+'Avg Week Katungulu-Ishaka'!K37</f>
        <v>3.2857142857142856</v>
      </c>
      <c r="L37" s="49">
        <f>'Avg Week Ishaka-Katungulu'!L37+'Avg Week Katungulu-Ishaka'!L37</f>
        <v>4</v>
      </c>
      <c r="M37" s="49">
        <f>'Avg Week Ishaka-Katungulu'!M37+'Avg Week Katungulu-Ishaka'!M37</f>
        <v>118.57142857142857</v>
      </c>
      <c r="N37" s="49">
        <f>'Avg Week Ishaka-Katungulu'!N37+'Avg Week Katungulu-Ishaka'!N37</f>
        <v>0.14285714285714285</v>
      </c>
      <c r="O37" s="15">
        <f t="shared" si="0"/>
        <v>53.428571428571431</v>
      </c>
      <c r="P37" s="15">
        <f t="shared" si="1"/>
        <v>172</v>
      </c>
      <c r="R37" s="37" t="s">
        <v>85</v>
      </c>
      <c r="S37" s="35">
        <f t="shared" ref="S37:AF37" si="29">SUM(S10:S12)</f>
        <v>62</v>
      </c>
      <c r="T37" s="16">
        <f t="shared" si="29"/>
        <v>5.1428571428571423</v>
      </c>
      <c r="U37" s="16">
        <f t="shared" si="29"/>
        <v>42.285714285714292</v>
      </c>
      <c r="V37" s="16">
        <f t="shared" si="29"/>
        <v>57.142857142857139</v>
      </c>
      <c r="W37" s="16">
        <f t="shared" si="29"/>
        <v>1.857142857142857</v>
      </c>
      <c r="X37" s="16">
        <f t="shared" si="29"/>
        <v>3.5714285714285712</v>
      </c>
      <c r="Y37" s="16">
        <f t="shared" si="29"/>
        <v>13</v>
      </c>
      <c r="Z37" s="16">
        <f t="shared" si="29"/>
        <v>17.142857142857142</v>
      </c>
      <c r="AA37" s="16">
        <f t="shared" si="29"/>
        <v>27</v>
      </c>
      <c r="AB37" s="16">
        <f t="shared" si="29"/>
        <v>26.714285714285715</v>
      </c>
      <c r="AC37" s="16">
        <f t="shared" si="29"/>
        <v>810.42857142857156</v>
      </c>
      <c r="AD37" s="16">
        <f t="shared" si="29"/>
        <v>0.42857142857142855</v>
      </c>
      <c r="AE37" s="32">
        <f t="shared" si="29"/>
        <v>256.28571428571428</v>
      </c>
      <c r="AF37" s="32">
        <f t="shared" si="29"/>
        <v>1066.7142857142856</v>
      </c>
    </row>
    <row r="38" spans="2:32" ht="23.1" customHeight="1" x14ac:dyDescent="0.25">
      <c r="B38" s="24" t="s">
        <v>65</v>
      </c>
      <c r="C38" s="49">
        <f>'Avg Week Ishaka-Katungulu'!C38+'Avg Week Katungulu-Ishaka'!C38</f>
        <v>9.8571428571428577</v>
      </c>
      <c r="D38" s="49">
        <f>'Avg Week Ishaka-Katungulu'!D38+'Avg Week Katungulu-Ishaka'!D38</f>
        <v>0.5714285714285714</v>
      </c>
      <c r="E38" s="49">
        <f>'Avg Week Ishaka-Katungulu'!E38+'Avg Week Katungulu-Ishaka'!E38</f>
        <v>5.1428571428571423</v>
      </c>
      <c r="F38" s="49">
        <f>'Avg Week Ishaka-Katungulu'!F38+'Avg Week Katungulu-Ishaka'!F38</f>
        <v>5.5714285714285712</v>
      </c>
      <c r="G38" s="49">
        <f>'Avg Week Ishaka-Katungulu'!G38+'Avg Week Katungulu-Ishaka'!G38</f>
        <v>0</v>
      </c>
      <c r="H38" s="49">
        <f>'Avg Week Ishaka-Katungulu'!H38+'Avg Week Katungulu-Ishaka'!H38</f>
        <v>0</v>
      </c>
      <c r="I38" s="49">
        <f>'Avg Week Ishaka-Katungulu'!I38+'Avg Week Katungulu-Ishaka'!I38</f>
        <v>2.2857142857142856</v>
      </c>
      <c r="J38" s="49">
        <f>'Avg Week Ishaka-Katungulu'!J38+'Avg Week Katungulu-Ishaka'!J38</f>
        <v>0.85714285714285721</v>
      </c>
      <c r="K38" s="49">
        <f>'Avg Week Ishaka-Katungulu'!K38+'Avg Week Katungulu-Ishaka'!K38</f>
        <v>1.2857142857142856</v>
      </c>
      <c r="L38" s="49">
        <f>'Avg Week Ishaka-Katungulu'!L38+'Avg Week Katungulu-Ishaka'!L38</f>
        <v>1.4285714285714286</v>
      </c>
      <c r="M38" s="49">
        <f>'Avg Week Ishaka-Katungulu'!M38+'Avg Week Katungulu-Ishaka'!M38</f>
        <v>50.571428571428569</v>
      </c>
      <c r="N38" s="49">
        <f>'Avg Week Ishaka-Katungulu'!N38+'Avg Week Katungulu-Ishaka'!N38</f>
        <v>0</v>
      </c>
      <c r="O38" s="15">
        <f t="shared" si="0"/>
        <v>26.999999999999996</v>
      </c>
      <c r="P38" s="15">
        <f t="shared" si="1"/>
        <v>77.571428571428569</v>
      </c>
      <c r="R38" s="28" t="s">
        <v>86</v>
      </c>
      <c r="S38" s="16">
        <f t="shared" ref="S38:AF38" si="30">SUM(S13:S18)</f>
        <v>254.85714285714286</v>
      </c>
      <c r="T38" s="16">
        <f t="shared" si="30"/>
        <v>32.857142857142854</v>
      </c>
      <c r="U38" s="16">
        <f t="shared" si="30"/>
        <v>173.57142857142861</v>
      </c>
      <c r="V38" s="16">
        <f t="shared" si="30"/>
        <v>164.42857142857142</v>
      </c>
      <c r="W38" s="16">
        <f t="shared" si="30"/>
        <v>3.5714285714285716</v>
      </c>
      <c r="X38" s="16">
        <f t="shared" si="30"/>
        <v>4.5714285714285712</v>
      </c>
      <c r="Y38" s="16">
        <f t="shared" si="30"/>
        <v>60.428571428571416</v>
      </c>
      <c r="Z38" s="16">
        <f t="shared" si="30"/>
        <v>37.571428571428569</v>
      </c>
      <c r="AA38" s="16">
        <f t="shared" si="30"/>
        <v>60.000000000000014</v>
      </c>
      <c r="AB38" s="16">
        <f t="shared" si="30"/>
        <v>57.714285714285715</v>
      </c>
      <c r="AC38" s="16">
        <f t="shared" si="30"/>
        <v>2153.1428571428569</v>
      </c>
      <c r="AD38" s="16">
        <f t="shared" si="30"/>
        <v>0.99999999999999989</v>
      </c>
      <c r="AE38" s="32">
        <f t="shared" si="30"/>
        <v>850.57142857142856</v>
      </c>
      <c r="AF38" s="32">
        <f t="shared" si="30"/>
        <v>3003.7142857142853</v>
      </c>
    </row>
    <row r="39" spans="2:32" ht="23.1" customHeight="1" x14ac:dyDescent="0.25">
      <c r="B39" s="24" t="s">
        <v>66</v>
      </c>
      <c r="C39" s="49">
        <f>'Avg Week Ishaka-Katungulu'!C39+'Avg Week Katungulu-Ishaka'!C39</f>
        <v>17</v>
      </c>
      <c r="D39" s="49">
        <f>'Avg Week Ishaka-Katungulu'!D39+'Avg Week Katungulu-Ishaka'!D39</f>
        <v>2.1428571428571428</v>
      </c>
      <c r="E39" s="49">
        <f>'Avg Week Ishaka-Katungulu'!E39+'Avg Week Katungulu-Ishaka'!E39</f>
        <v>8.5714285714285712</v>
      </c>
      <c r="F39" s="49">
        <f>'Avg Week Ishaka-Katungulu'!F39+'Avg Week Katungulu-Ishaka'!F39</f>
        <v>9.8571428571428577</v>
      </c>
      <c r="G39" s="49">
        <f>'Avg Week Ishaka-Katungulu'!G39+'Avg Week Katungulu-Ishaka'!G39</f>
        <v>0</v>
      </c>
      <c r="H39" s="49">
        <f>'Avg Week Ishaka-Katungulu'!H39+'Avg Week Katungulu-Ishaka'!H39</f>
        <v>0</v>
      </c>
      <c r="I39" s="49">
        <f>'Avg Week Ishaka-Katungulu'!I39+'Avg Week Katungulu-Ishaka'!I39</f>
        <v>4.4285714285714288</v>
      </c>
      <c r="J39" s="49">
        <f>'Avg Week Ishaka-Katungulu'!J39+'Avg Week Katungulu-Ishaka'!J39</f>
        <v>2.2857142857142856</v>
      </c>
      <c r="K39" s="49">
        <f>'Avg Week Ishaka-Katungulu'!K39+'Avg Week Katungulu-Ishaka'!K39</f>
        <v>2.8571428571428568</v>
      </c>
      <c r="L39" s="49">
        <f>'Avg Week Ishaka-Katungulu'!L39+'Avg Week Katungulu-Ishaka'!L39</f>
        <v>2.8571428571428572</v>
      </c>
      <c r="M39" s="49">
        <f>'Avg Week Ishaka-Katungulu'!M39+'Avg Week Katungulu-Ishaka'!M39</f>
        <v>91.142857142857139</v>
      </c>
      <c r="N39" s="49">
        <f>'Avg Week Ishaka-Katungulu'!N39+'Avg Week Katungulu-Ishaka'!N39</f>
        <v>0.14285714285714285</v>
      </c>
      <c r="O39" s="15">
        <f t="shared" si="0"/>
        <v>50.142857142857139</v>
      </c>
      <c r="P39" s="15">
        <f t="shared" si="1"/>
        <v>141.28571428571428</v>
      </c>
      <c r="R39" s="29" t="s">
        <v>87</v>
      </c>
      <c r="S39" s="16">
        <f t="shared" ref="S39:AF39" si="31">SUM(S19:S21)</f>
        <v>149.71428571428572</v>
      </c>
      <c r="T39" s="16">
        <f t="shared" si="31"/>
        <v>19.714285714285715</v>
      </c>
      <c r="U39" s="16">
        <f t="shared" si="31"/>
        <v>99.285714285714278</v>
      </c>
      <c r="V39" s="16">
        <f t="shared" si="31"/>
        <v>84.428571428571431</v>
      </c>
      <c r="W39" s="16">
        <f t="shared" si="31"/>
        <v>2.2857142857142856</v>
      </c>
      <c r="X39" s="16">
        <f t="shared" si="31"/>
        <v>1.857142857142857</v>
      </c>
      <c r="Y39" s="16">
        <f t="shared" si="31"/>
        <v>47.285714285714292</v>
      </c>
      <c r="Z39" s="16">
        <f t="shared" si="31"/>
        <v>25.857142857142854</v>
      </c>
      <c r="AA39" s="16">
        <f t="shared" si="31"/>
        <v>29.857142857142854</v>
      </c>
      <c r="AB39" s="16">
        <f t="shared" si="31"/>
        <v>23.142857142857142</v>
      </c>
      <c r="AC39" s="16">
        <f t="shared" si="31"/>
        <v>1093.5714285714284</v>
      </c>
      <c r="AD39" s="16">
        <f t="shared" si="31"/>
        <v>0</v>
      </c>
      <c r="AE39" s="32">
        <f t="shared" si="31"/>
        <v>483.42857142857144</v>
      </c>
      <c r="AF39" s="32">
        <f t="shared" si="31"/>
        <v>1577</v>
      </c>
    </row>
    <row r="40" spans="2:32" ht="23.1" customHeight="1" x14ac:dyDescent="0.25">
      <c r="B40" s="24" t="s">
        <v>67</v>
      </c>
      <c r="C40" s="49">
        <f>'Avg Week Ishaka-Katungulu'!C40+'Avg Week Katungulu-Ishaka'!C40</f>
        <v>6.1428571428571423</v>
      </c>
      <c r="D40" s="49">
        <f>'Avg Week Ishaka-Katungulu'!D40+'Avg Week Katungulu-Ishaka'!D40</f>
        <v>0.71428571428571419</v>
      </c>
      <c r="E40" s="49">
        <f>'Avg Week Ishaka-Katungulu'!E40+'Avg Week Katungulu-Ishaka'!E40</f>
        <v>5</v>
      </c>
      <c r="F40" s="49">
        <f>'Avg Week Ishaka-Katungulu'!F40+'Avg Week Katungulu-Ishaka'!F40</f>
        <v>5.1428571428571432</v>
      </c>
      <c r="G40" s="49">
        <f>'Avg Week Ishaka-Katungulu'!G40+'Avg Week Katungulu-Ishaka'!G40</f>
        <v>0</v>
      </c>
      <c r="H40" s="49">
        <f>'Avg Week Ishaka-Katungulu'!H40+'Avg Week Katungulu-Ishaka'!H40</f>
        <v>0</v>
      </c>
      <c r="I40" s="49">
        <f>'Avg Week Ishaka-Katungulu'!I40+'Avg Week Katungulu-Ishaka'!I40</f>
        <v>1.4285714285714286</v>
      </c>
      <c r="J40" s="49">
        <f>'Avg Week Ishaka-Katungulu'!J40+'Avg Week Katungulu-Ishaka'!J40</f>
        <v>0.8571428571428571</v>
      </c>
      <c r="K40" s="49">
        <f>'Avg Week Ishaka-Katungulu'!K40+'Avg Week Katungulu-Ishaka'!K40</f>
        <v>2</v>
      </c>
      <c r="L40" s="49">
        <f>'Avg Week Ishaka-Katungulu'!L40+'Avg Week Katungulu-Ishaka'!L40</f>
        <v>1.2857142857142856</v>
      </c>
      <c r="M40" s="49">
        <f>'Avg Week Ishaka-Katungulu'!M40+'Avg Week Katungulu-Ishaka'!M40</f>
        <v>50.428571428571431</v>
      </c>
      <c r="N40" s="49">
        <f>'Avg Week Ishaka-Katungulu'!N40+'Avg Week Katungulu-Ishaka'!N40</f>
        <v>0</v>
      </c>
      <c r="O40" s="15">
        <f t="shared" si="0"/>
        <v>22.571428571428569</v>
      </c>
      <c r="P40" s="15">
        <f t="shared" si="1"/>
        <v>73</v>
      </c>
      <c r="R40" s="5" t="s">
        <v>17</v>
      </c>
      <c r="S40" s="16">
        <f t="shared" ref="S40:AF40" si="32">SUM(S10:S21)</f>
        <v>466.57142857142856</v>
      </c>
      <c r="T40" s="16">
        <f t="shared" si="32"/>
        <v>57.714285714285715</v>
      </c>
      <c r="U40" s="16">
        <f t="shared" si="32"/>
        <v>315.14285714285717</v>
      </c>
      <c r="V40" s="16">
        <f t="shared" si="32"/>
        <v>306.00000000000006</v>
      </c>
      <c r="W40" s="16">
        <f t="shared" si="32"/>
        <v>7.7142857142857144</v>
      </c>
      <c r="X40" s="16">
        <f t="shared" si="32"/>
        <v>9.9999999999999982</v>
      </c>
      <c r="Y40" s="16">
        <f t="shared" si="32"/>
        <v>120.71428571428569</v>
      </c>
      <c r="Z40" s="16">
        <f t="shared" si="32"/>
        <v>80.571428571428569</v>
      </c>
      <c r="AA40" s="16">
        <f t="shared" si="32"/>
        <v>116.85714285714285</v>
      </c>
      <c r="AB40" s="16">
        <f t="shared" si="32"/>
        <v>107.57142857142856</v>
      </c>
      <c r="AC40" s="16">
        <f t="shared" si="32"/>
        <v>4057.1428571428569</v>
      </c>
      <c r="AD40" s="16">
        <f t="shared" si="32"/>
        <v>1.4285714285714284</v>
      </c>
      <c r="AE40" s="32">
        <f t="shared" si="32"/>
        <v>1590.2857142857142</v>
      </c>
      <c r="AF40" s="32">
        <f t="shared" si="32"/>
        <v>5647.4285714285706</v>
      </c>
    </row>
    <row r="41" spans="2:32" ht="23.1" customHeight="1" x14ac:dyDescent="0.25">
      <c r="B41" s="23" t="s">
        <v>68</v>
      </c>
      <c r="C41" s="49">
        <f>'Avg Week Ishaka-Katungulu'!C41+'Avg Week Katungulu-Ishaka'!C41</f>
        <v>11.142857142857142</v>
      </c>
      <c r="D41" s="49">
        <f>'Avg Week Ishaka-Katungulu'!D41+'Avg Week Katungulu-Ishaka'!D41</f>
        <v>2</v>
      </c>
      <c r="E41" s="49">
        <f>'Avg Week Ishaka-Katungulu'!E41+'Avg Week Katungulu-Ishaka'!E41</f>
        <v>8.7142857142857153</v>
      </c>
      <c r="F41" s="49">
        <f>'Avg Week Ishaka-Katungulu'!F41+'Avg Week Katungulu-Ishaka'!F41</f>
        <v>8.8571428571428577</v>
      </c>
      <c r="G41" s="49">
        <f>'Avg Week Ishaka-Katungulu'!G41+'Avg Week Katungulu-Ishaka'!G41</f>
        <v>0.14285714285714285</v>
      </c>
      <c r="H41" s="49">
        <f>'Avg Week Ishaka-Katungulu'!H41+'Avg Week Katungulu-Ishaka'!H41</f>
        <v>0</v>
      </c>
      <c r="I41" s="49">
        <f>'Avg Week Ishaka-Katungulu'!I41+'Avg Week Katungulu-Ishaka'!I41</f>
        <v>3.2857142857142856</v>
      </c>
      <c r="J41" s="49">
        <f>'Avg Week Ishaka-Katungulu'!J41+'Avg Week Katungulu-Ishaka'!J41</f>
        <v>2.5714285714285712</v>
      </c>
      <c r="K41" s="49">
        <f>'Avg Week Ishaka-Katungulu'!K41+'Avg Week Katungulu-Ishaka'!K41</f>
        <v>3.7142857142857144</v>
      </c>
      <c r="L41" s="49">
        <f>'Avg Week Ishaka-Katungulu'!L41+'Avg Week Katungulu-Ishaka'!L41</f>
        <v>3</v>
      </c>
      <c r="M41" s="49">
        <f>'Avg Week Ishaka-Katungulu'!M41+'Avg Week Katungulu-Ishaka'!M41</f>
        <v>94.428571428571431</v>
      </c>
      <c r="N41" s="49">
        <f>'Avg Week Ishaka-Katungulu'!N41+'Avg Week Katungulu-Ishaka'!N41</f>
        <v>0.14285714285714285</v>
      </c>
      <c r="O41" s="15">
        <f t="shared" si="0"/>
        <v>43.571428571428577</v>
      </c>
      <c r="P41" s="15">
        <f t="shared" si="1"/>
        <v>138</v>
      </c>
      <c r="R41" s="5" t="s">
        <v>175</v>
      </c>
      <c r="S41" s="53">
        <f>SUM(S10:S33)</f>
        <v>645.07142857142856</v>
      </c>
      <c r="T41" s="53">
        <f t="shared" ref="T41:AD41" si="33">SUM(T10:T33)</f>
        <v>127.21428571428572</v>
      </c>
      <c r="U41" s="53">
        <f t="shared" si="33"/>
        <v>466.14285714285717</v>
      </c>
      <c r="V41" s="53">
        <f t="shared" si="33"/>
        <v>414.00000000000006</v>
      </c>
      <c r="W41" s="53">
        <f t="shared" si="33"/>
        <v>15.214285714285715</v>
      </c>
      <c r="X41" s="53">
        <f t="shared" si="33"/>
        <v>21.5</v>
      </c>
      <c r="Y41" s="53">
        <f t="shared" si="33"/>
        <v>144.71428571428569</v>
      </c>
      <c r="Z41" s="53">
        <f t="shared" si="33"/>
        <v>128.07142857142856</v>
      </c>
      <c r="AA41" s="53">
        <f t="shared" si="33"/>
        <v>199.35714285714283</v>
      </c>
      <c r="AB41" s="53">
        <f t="shared" si="33"/>
        <v>161.07142857142856</v>
      </c>
      <c r="AC41" s="53">
        <f t="shared" si="33"/>
        <v>5033.6428571428569</v>
      </c>
      <c r="AD41" s="53">
        <f t="shared" si="33"/>
        <v>1.4285714285714284</v>
      </c>
      <c r="AE41" s="54">
        <f>SUM(AE10:AE33)</f>
        <v>2323.7857142857142</v>
      </c>
      <c r="AF41" s="54">
        <f>SUM(AF10:AF33)</f>
        <v>7357.4285714285706</v>
      </c>
    </row>
    <row r="42" spans="2:32" ht="23.1" customHeight="1" x14ac:dyDescent="0.25">
      <c r="B42" s="24" t="s">
        <v>69</v>
      </c>
      <c r="C42" s="49">
        <f>'Avg Week Ishaka-Katungulu'!C42+'Avg Week Katungulu-Ishaka'!C42</f>
        <v>8.1428571428571423</v>
      </c>
      <c r="D42" s="49">
        <f>'Avg Week Ishaka-Katungulu'!D42+'Avg Week Katungulu-Ishaka'!D42</f>
        <v>0.42857142857142855</v>
      </c>
      <c r="E42" s="49">
        <f>'Avg Week Ishaka-Katungulu'!E42+'Avg Week Katungulu-Ishaka'!E42</f>
        <v>4.2857142857142856</v>
      </c>
      <c r="F42" s="49">
        <f>'Avg Week Ishaka-Katungulu'!F42+'Avg Week Katungulu-Ishaka'!F42</f>
        <v>4.8571428571428577</v>
      </c>
      <c r="G42" s="49">
        <f>'Avg Week Ishaka-Katungulu'!G42+'Avg Week Katungulu-Ishaka'!G42</f>
        <v>0</v>
      </c>
      <c r="H42" s="49">
        <f>'Avg Week Ishaka-Katungulu'!H42+'Avg Week Katungulu-Ishaka'!H42</f>
        <v>0.14285714285714285</v>
      </c>
      <c r="I42" s="49">
        <f>'Avg Week Ishaka-Katungulu'!I42+'Avg Week Katungulu-Ishaka'!I42</f>
        <v>2.7142857142857144</v>
      </c>
      <c r="J42" s="49">
        <f>'Avg Week Ishaka-Katungulu'!J42+'Avg Week Katungulu-Ishaka'!J42</f>
        <v>1.2857142857142856</v>
      </c>
      <c r="K42" s="49">
        <f>'Avg Week Ishaka-Katungulu'!K42+'Avg Week Katungulu-Ishaka'!K42</f>
        <v>2</v>
      </c>
      <c r="L42" s="49">
        <f>'Avg Week Ishaka-Katungulu'!L42+'Avg Week Katungulu-Ishaka'!L42</f>
        <v>1.4285714285714286</v>
      </c>
      <c r="M42" s="49">
        <f>'Avg Week Ishaka-Katungulu'!M42+'Avg Week Katungulu-Ishaka'!M42</f>
        <v>63</v>
      </c>
      <c r="N42" s="49">
        <f>'Avg Week Ishaka-Katungulu'!N42+'Avg Week Katungulu-Ishaka'!N42</f>
        <v>0</v>
      </c>
      <c r="O42" s="15">
        <f t="shared" si="0"/>
        <v>25.285714285714285</v>
      </c>
      <c r="P42" s="15">
        <f t="shared" si="1"/>
        <v>88.285714285714278</v>
      </c>
      <c r="R42" s="5" t="s">
        <v>160</v>
      </c>
      <c r="S42" s="48">
        <f>S41/S40</f>
        <v>1.3825780771586038</v>
      </c>
      <c r="T42" s="48">
        <f t="shared" ref="T42:AF42" si="34">T41/T40</f>
        <v>2.2042079207920793</v>
      </c>
      <c r="U42" s="48">
        <f t="shared" si="34"/>
        <v>1.4791477787851315</v>
      </c>
      <c r="V42" s="48">
        <f t="shared" si="34"/>
        <v>1.3529411764705881</v>
      </c>
      <c r="W42" s="48">
        <f t="shared" si="34"/>
        <v>1.9722222222222223</v>
      </c>
      <c r="X42" s="48">
        <f t="shared" si="34"/>
        <v>2.1500000000000004</v>
      </c>
      <c r="Y42" s="48">
        <f t="shared" si="34"/>
        <v>1.1988165680473373</v>
      </c>
      <c r="Z42" s="48">
        <f t="shared" si="34"/>
        <v>1.5895390070921984</v>
      </c>
      <c r="AA42" s="48">
        <f t="shared" si="34"/>
        <v>1.7059902200488997</v>
      </c>
      <c r="AB42" s="48">
        <f t="shared" si="34"/>
        <v>1.4973439575033201</v>
      </c>
      <c r="AC42" s="48">
        <f t="shared" si="34"/>
        <v>1.24068661971831</v>
      </c>
      <c r="AD42" s="48">
        <f t="shared" si="34"/>
        <v>1</v>
      </c>
      <c r="AE42" s="52">
        <f t="shared" si="34"/>
        <v>1.4612378727991377</v>
      </c>
      <c r="AF42" s="52">
        <f t="shared" si="34"/>
        <v>1.3027926742891835</v>
      </c>
    </row>
    <row r="43" spans="2:32" ht="23.1" customHeight="1" x14ac:dyDescent="0.25">
      <c r="B43" s="23" t="s">
        <v>70</v>
      </c>
      <c r="C43" s="49">
        <f>'Avg Week Ishaka-Katungulu'!C43+'Avg Week Katungulu-Ishaka'!C43</f>
        <v>14.571428571428571</v>
      </c>
      <c r="D43" s="49">
        <f>'Avg Week Ishaka-Katungulu'!D43+'Avg Week Katungulu-Ishaka'!D43</f>
        <v>1.5714285714285714</v>
      </c>
      <c r="E43" s="49">
        <f>'Avg Week Ishaka-Katungulu'!E43+'Avg Week Katungulu-Ishaka'!E43</f>
        <v>7.7142857142857153</v>
      </c>
      <c r="F43" s="49">
        <f>'Avg Week Ishaka-Katungulu'!F43+'Avg Week Katungulu-Ishaka'!F43</f>
        <v>8.4285714285714288</v>
      </c>
      <c r="G43" s="49">
        <f>'Avg Week Ishaka-Katungulu'!G43+'Avg Week Katungulu-Ishaka'!G43</f>
        <v>0.2857142857142857</v>
      </c>
      <c r="H43" s="49">
        <f>'Avg Week Ishaka-Katungulu'!H43+'Avg Week Katungulu-Ishaka'!H43</f>
        <v>0.42857142857142855</v>
      </c>
      <c r="I43" s="49">
        <f>'Avg Week Ishaka-Katungulu'!I43+'Avg Week Katungulu-Ishaka'!I43</f>
        <v>4.7142857142857135</v>
      </c>
      <c r="J43" s="49">
        <f>'Avg Week Ishaka-Katungulu'!J43+'Avg Week Katungulu-Ishaka'!J43</f>
        <v>3</v>
      </c>
      <c r="K43" s="49">
        <f>'Avg Week Ishaka-Katungulu'!K43+'Avg Week Katungulu-Ishaka'!K43</f>
        <v>4.2857142857142856</v>
      </c>
      <c r="L43" s="49">
        <f>'Avg Week Ishaka-Katungulu'!L43+'Avg Week Katungulu-Ishaka'!L43</f>
        <v>2.8571428571428572</v>
      </c>
      <c r="M43" s="49">
        <f>'Avg Week Ishaka-Katungulu'!M43+'Avg Week Katungulu-Ishaka'!M43</f>
        <v>113.71428571428572</v>
      </c>
      <c r="N43" s="49">
        <f>'Avg Week Ishaka-Katungulu'!N43+'Avg Week Katungulu-Ishaka'!N43</f>
        <v>0</v>
      </c>
      <c r="O43" s="15">
        <f t="shared" si="0"/>
        <v>47.857142857142854</v>
      </c>
      <c r="P43" s="15">
        <f t="shared" si="1"/>
        <v>161.57142857142858</v>
      </c>
    </row>
    <row r="44" spans="2:32" ht="23.1" customHeight="1" x14ac:dyDescent="0.25">
      <c r="B44" s="25" t="s">
        <v>71</v>
      </c>
      <c r="C44" s="49">
        <f>'Avg Week Ishaka-Katungulu'!C44+'Avg Week Katungulu-Ishaka'!C44</f>
        <v>5.2857142857142856</v>
      </c>
      <c r="D44" s="49">
        <f>'Avg Week Ishaka-Katungulu'!D44+'Avg Week Katungulu-Ishaka'!D44</f>
        <v>0.8571428571428571</v>
      </c>
      <c r="E44" s="49">
        <f>'Avg Week Ishaka-Katungulu'!E44+'Avg Week Katungulu-Ishaka'!E44</f>
        <v>5</v>
      </c>
      <c r="F44" s="49">
        <f>'Avg Week Ishaka-Katungulu'!F44+'Avg Week Katungulu-Ishaka'!F44</f>
        <v>4.1428571428571423</v>
      </c>
      <c r="G44" s="49">
        <f>'Avg Week Ishaka-Katungulu'!G44+'Avg Week Katungulu-Ishaka'!G44</f>
        <v>0</v>
      </c>
      <c r="H44" s="49">
        <f>'Avg Week Ishaka-Katungulu'!H44+'Avg Week Katungulu-Ishaka'!H44</f>
        <v>0.14285714285714285</v>
      </c>
      <c r="I44" s="49">
        <f>'Avg Week Ishaka-Katungulu'!I44+'Avg Week Katungulu-Ishaka'!I44</f>
        <v>1</v>
      </c>
      <c r="J44" s="49">
        <f>'Avg Week Ishaka-Katungulu'!J44+'Avg Week Katungulu-Ishaka'!J44</f>
        <v>0.8571428571428571</v>
      </c>
      <c r="K44" s="49">
        <f>'Avg Week Ishaka-Katungulu'!K44+'Avg Week Katungulu-Ishaka'!K44</f>
        <v>1.5714285714285714</v>
      </c>
      <c r="L44" s="49">
        <f>'Avg Week Ishaka-Katungulu'!L44+'Avg Week Katungulu-Ishaka'!L44</f>
        <v>0.8571428571428571</v>
      </c>
      <c r="M44" s="49">
        <f>'Avg Week Ishaka-Katungulu'!M44+'Avg Week Katungulu-Ishaka'!M44</f>
        <v>59.857142857142861</v>
      </c>
      <c r="N44" s="49">
        <f>'Avg Week Ishaka-Katungulu'!N44+'Avg Week Katungulu-Ishaka'!N44</f>
        <v>0</v>
      </c>
      <c r="O44" s="15">
        <f t="shared" si="0"/>
        <v>19.714285714285715</v>
      </c>
      <c r="P44" s="15">
        <f t="shared" si="1"/>
        <v>79.571428571428584</v>
      </c>
    </row>
    <row r="45" spans="2:32" ht="23.1" customHeight="1" x14ac:dyDescent="0.25">
      <c r="B45" s="23" t="s">
        <v>72</v>
      </c>
      <c r="C45" s="49">
        <f>'Avg Week Ishaka-Katungulu'!C45+'Avg Week Katungulu-Ishaka'!C45</f>
        <v>9.8571428571428577</v>
      </c>
      <c r="D45" s="49">
        <f>'Avg Week Ishaka-Katungulu'!D45+'Avg Week Katungulu-Ishaka'!D45</f>
        <v>2.1428571428571428</v>
      </c>
      <c r="E45" s="49">
        <f>'Avg Week Ishaka-Katungulu'!E45+'Avg Week Katungulu-Ishaka'!E45</f>
        <v>8.4285714285714288</v>
      </c>
      <c r="F45" s="49">
        <f>'Avg Week Ishaka-Katungulu'!F45+'Avg Week Katungulu-Ishaka'!F45</f>
        <v>7.1428571428571423</v>
      </c>
      <c r="G45" s="49">
        <f>'Avg Week Ishaka-Katungulu'!G45+'Avg Week Katungulu-Ishaka'!G45</f>
        <v>0</v>
      </c>
      <c r="H45" s="49">
        <f>'Avg Week Ishaka-Katungulu'!H45+'Avg Week Katungulu-Ishaka'!H45</f>
        <v>0.2857142857142857</v>
      </c>
      <c r="I45" s="49">
        <f>'Avg Week Ishaka-Katungulu'!I45+'Avg Week Katungulu-Ishaka'!I45</f>
        <v>2.7142857142857144</v>
      </c>
      <c r="J45" s="49">
        <f>'Avg Week Ishaka-Katungulu'!J45+'Avg Week Katungulu-Ishaka'!J45</f>
        <v>1.8571428571428572</v>
      </c>
      <c r="K45" s="49">
        <f>'Avg Week Ishaka-Katungulu'!K45+'Avg Week Katungulu-Ishaka'!K45</f>
        <v>3</v>
      </c>
      <c r="L45" s="49">
        <f>'Avg Week Ishaka-Katungulu'!L45+'Avg Week Katungulu-Ishaka'!L45</f>
        <v>2.2857142857142856</v>
      </c>
      <c r="M45" s="49">
        <f>'Avg Week Ishaka-Katungulu'!M45+'Avg Week Katungulu-Ishaka'!M45</f>
        <v>108.85714285714286</v>
      </c>
      <c r="N45" s="49">
        <f>'Avg Week Ishaka-Katungulu'!N45+'Avg Week Katungulu-Ishaka'!N45</f>
        <v>0</v>
      </c>
      <c r="O45" s="15">
        <f t="shared" si="0"/>
        <v>37.714285714285715</v>
      </c>
      <c r="P45" s="15">
        <f t="shared" si="1"/>
        <v>146.57142857142858</v>
      </c>
    </row>
    <row r="46" spans="2:32" ht="23.1" customHeight="1" x14ac:dyDescent="0.25">
      <c r="B46" s="24" t="s">
        <v>73</v>
      </c>
      <c r="C46" s="49">
        <f>'Avg Week Ishaka-Katungulu'!C46+'Avg Week Katungulu-Ishaka'!C46</f>
        <v>8.4285714285714288</v>
      </c>
      <c r="D46" s="49">
        <f>'Avg Week Ishaka-Katungulu'!D46+'Avg Week Katungulu-Ishaka'!D46</f>
        <v>0.8571428571428571</v>
      </c>
      <c r="E46" s="49">
        <f>'Avg Week Ishaka-Katungulu'!E46+'Avg Week Katungulu-Ishaka'!E46</f>
        <v>5.4285714285714288</v>
      </c>
      <c r="F46" s="49">
        <f>'Avg Week Ishaka-Katungulu'!F46+'Avg Week Katungulu-Ishaka'!F46</f>
        <v>5.5714285714285712</v>
      </c>
      <c r="G46" s="49">
        <f>'Avg Week Ishaka-Katungulu'!G46+'Avg Week Katungulu-Ishaka'!G46</f>
        <v>0</v>
      </c>
      <c r="H46" s="49">
        <f>'Avg Week Ishaka-Katungulu'!H46+'Avg Week Katungulu-Ishaka'!H46</f>
        <v>0.2857142857142857</v>
      </c>
      <c r="I46" s="49">
        <f>'Avg Week Ishaka-Katungulu'!I46+'Avg Week Katungulu-Ishaka'!I46</f>
        <v>3.1428571428571428</v>
      </c>
      <c r="J46" s="49">
        <f>'Avg Week Ishaka-Katungulu'!J46+'Avg Week Katungulu-Ishaka'!J46</f>
        <v>1.4285714285714286</v>
      </c>
      <c r="K46" s="49">
        <f>'Avg Week Ishaka-Katungulu'!K46+'Avg Week Katungulu-Ishaka'!K46</f>
        <v>1.5714285714285714</v>
      </c>
      <c r="L46" s="49">
        <f>'Avg Week Ishaka-Katungulu'!L46+'Avg Week Katungulu-Ishaka'!L46</f>
        <v>0.71428571428571419</v>
      </c>
      <c r="M46" s="49">
        <f>'Avg Week Ishaka-Katungulu'!M46+'Avg Week Katungulu-Ishaka'!M46</f>
        <v>57.857142857142861</v>
      </c>
      <c r="N46" s="49">
        <f>'Avg Week Ishaka-Katungulu'!N46+'Avg Week Katungulu-Ishaka'!N46</f>
        <v>0</v>
      </c>
      <c r="O46" s="15">
        <f t="shared" si="0"/>
        <v>27.428571428571427</v>
      </c>
      <c r="P46" s="15">
        <f t="shared" si="1"/>
        <v>85.285714285714292</v>
      </c>
      <c r="R46" s="8"/>
      <c r="T46"/>
    </row>
    <row r="47" spans="2:32" ht="23.1" customHeight="1" x14ac:dyDescent="0.25">
      <c r="B47" s="24" t="s">
        <v>74</v>
      </c>
      <c r="C47" s="49">
        <f>'Avg Week Ishaka-Katungulu'!C47+'Avg Week Katungulu-Ishaka'!C47</f>
        <v>14.428571428571429</v>
      </c>
      <c r="D47" s="49">
        <f>'Avg Week Ishaka-Katungulu'!D47+'Avg Week Katungulu-Ishaka'!D47</f>
        <v>2.1428571428571428</v>
      </c>
      <c r="E47" s="49">
        <f>'Avg Week Ishaka-Katungulu'!E47+'Avg Week Katungulu-Ishaka'!E47</f>
        <v>9.428571428571427</v>
      </c>
      <c r="F47" s="49">
        <f>'Avg Week Ishaka-Katungulu'!F47+'Avg Week Katungulu-Ishaka'!F47</f>
        <v>9.5714285714285712</v>
      </c>
      <c r="G47" s="49">
        <f>'Avg Week Ishaka-Katungulu'!G47+'Avg Week Katungulu-Ishaka'!G47</f>
        <v>0.2857142857142857</v>
      </c>
      <c r="H47" s="49">
        <f>'Avg Week Ishaka-Katungulu'!H47+'Avg Week Katungulu-Ishaka'!H47</f>
        <v>0.71428571428571419</v>
      </c>
      <c r="I47" s="49">
        <f>'Avg Week Ishaka-Katungulu'!I47+'Avg Week Katungulu-Ishaka'!I47</f>
        <v>5.2857142857142856</v>
      </c>
      <c r="J47" s="49">
        <f>'Avg Week Ishaka-Katungulu'!J47+'Avg Week Katungulu-Ishaka'!J47</f>
        <v>2.8571428571428572</v>
      </c>
      <c r="K47" s="49">
        <f>'Avg Week Ishaka-Katungulu'!K47+'Avg Week Katungulu-Ishaka'!K47</f>
        <v>3.7142857142857144</v>
      </c>
      <c r="L47" s="49">
        <f>'Avg Week Ishaka-Katungulu'!L47+'Avg Week Katungulu-Ishaka'!L47</f>
        <v>2</v>
      </c>
      <c r="M47" s="49">
        <f>'Avg Week Ishaka-Katungulu'!M47+'Avg Week Katungulu-Ishaka'!M47</f>
        <v>104</v>
      </c>
      <c r="N47" s="49">
        <f>'Avg Week Ishaka-Katungulu'!N47+'Avg Week Katungulu-Ishaka'!N47</f>
        <v>0</v>
      </c>
      <c r="O47" s="15">
        <f t="shared" si="0"/>
        <v>50.428571428571423</v>
      </c>
      <c r="P47" s="15">
        <f t="shared" si="1"/>
        <v>154.42857142857142</v>
      </c>
      <c r="R47" s="8"/>
      <c r="T47"/>
    </row>
    <row r="48" spans="2:32" ht="23.1" customHeight="1" x14ac:dyDescent="0.25">
      <c r="B48" s="24" t="s">
        <v>75</v>
      </c>
      <c r="C48" s="49">
        <f>'Avg Week Ishaka-Katungulu'!C48+'Avg Week Katungulu-Ishaka'!C48</f>
        <v>7.8571428571428577</v>
      </c>
      <c r="D48" s="49">
        <f>'Avg Week Ishaka-Katungulu'!D48+'Avg Week Katungulu-Ishaka'!D48</f>
        <v>0.71428571428571419</v>
      </c>
      <c r="E48" s="49">
        <f>'Avg Week Ishaka-Katungulu'!E48+'Avg Week Katungulu-Ishaka'!E48</f>
        <v>6</v>
      </c>
      <c r="F48" s="49">
        <f>'Avg Week Ishaka-Katungulu'!F48+'Avg Week Katungulu-Ishaka'!F48</f>
        <v>4.7142857142857144</v>
      </c>
      <c r="G48" s="49">
        <f>'Avg Week Ishaka-Katungulu'!G48+'Avg Week Katungulu-Ishaka'!G48</f>
        <v>0</v>
      </c>
      <c r="H48" s="49">
        <f>'Avg Week Ishaka-Katungulu'!H48+'Avg Week Katungulu-Ishaka'!H48</f>
        <v>0</v>
      </c>
      <c r="I48" s="49">
        <f>'Avg Week Ishaka-Katungulu'!I48+'Avg Week Katungulu-Ishaka'!I48</f>
        <v>3.1428571428571428</v>
      </c>
      <c r="J48" s="49">
        <f>'Avg Week Ishaka-Katungulu'!J48+'Avg Week Katungulu-Ishaka'!J48</f>
        <v>1.7142857142857142</v>
      </c>
      <c r="K48" s="49">
        <f>'Avg Week Ishaka-Katungulu'!K48+'Avg Week Katungulu-Ishaka'!K48</f>
        <v>1.2857142857142858</v>
      </c>
      <c r="L48" s="49">
        <f>'Avg Week Ishaka-Katungulu'!L48+'Avg Week Katungulu-Ishaka'!L48</f>
        <v>1</v>
      </c>
      <c r="M48" s="49">
        <f>'Avg Week Ishaka-Katungulu'!M48+'Avg Week Katungulu-Ishaka'!M48</f>
        <v>68.142857142857139</v>
      </c>
      <c r="N48" s="49">
        <f>'Avg Week Ishaka-Katungulu'!N48+'Avg Week Katungulu-Ishaka'!N48</f>
        <v>0</v>
      </c>
      <c r="O48" s="15">
        <f t="shared" si="0"/>
        <v>26.428571428571427</v>
      </c>
      <c r="P48" s="15">
        <f t="shared" si="1"/>
        <v>94.571428571428569</v>
      </c>
      <c r="R48" s="8"/>
      <c r="T48"/>
    </row>
    <row r="49" spans="2:20" ht="23.1" customHeight="1" x14ac:dyDescent="0.25">
      <c r="B49" s="23" t="s">
        <v>76</v>
      </c>
      <c r="C49" s="49">
        <f>'Avg Week Ishaka-Katungulu'!C49+'Avg Week Katungulu-Ishaka'!C49</f>
        <v>13.857142857142858</v>
      </c>
      <c r="D49" s="49">
        <f>'Avg Week Ishaka-Katungulu'!D49+'Avg Week Katungulu-Ishaka'!D49</f>
        <v>2.2857142857142856</v>
      </c>
      <c r="E49" s="49">
        <f>'Avg Week Ishaka-Katungulu'!E49+'Avg Week Katungulu-Ishaka'!E49</f>
        <v>10.285714285714285</v>
      </c>
      <c r="F49" s="49">
        <f>'Avg Week Ishaka-Katungulu'!F49+'Avg Week Katungulu-Ishaka'!F49</f>
        <v>8.1428571428571423</v>
      </c>
      <c r="G49" s="49">
        <f>'Avg Week Ishaka-Katungulu'!G49+'Avg Week Katungulu-Ishaka'!G49</f>
        <v>0.14285714285714285</v>
      </c>
      <c r="H49" s="49">
        <f>'Avg Week Ishaka-Katungulu'!H49+'Avg Week Katungulu-Ishaka'!H49</f>
        <v>0</v>
      </c>
      <c r="I49" s="49">
        <f>'Avg Week Ishaka-Katungulu'!I49+'Avg Week Katungulu-Ishaka'!I49</f>
        <v>5.8571428571428577</v>
      </c>
      <c r="J49" s="49">
        <f>'Avg Week Ishaka-Katungulu'!J49+'Avg Week Katungulu-Ishaka'!J49</f>
        <v>3.2857142857142856</v>
      </c>
      <c r="K49" s="49">
        <f>'Avg Week Ishaka-Katungulu'!K49+'Avg Week Katungulu-Ishaka'!K49</f>
        <v>2.7142857142857144</v>
      </c>
      <c r="L49" s="49">
        <f>'Avg Week Ishaka-Katungulu'!L49+'Avg Week Katungulu-Ishaka'!L49</f>
        <v>3</v>
      </c>
      <c r="M49" s="49">
        <f>'Avg Week Ishaka-Katungulu'!M49+'Avg Week Katungulu-Ishaka'!M49</f>
        <v>122</v>
      </c>
      <c r="N49" s="49">
        <f>'Avg Week Ishaka-Katungulu'!N49+'Avg Week Katungulu-Ishaka'!N49</f>
        <v>0</v>
      </c>
      <c r="O49" s="15">
        <f t="shared" si="0"/>
        <v>49.571428571428569</v>
      </c>
      <c r="P49" s="15">
        <f t="shared" si="1"/>
        <v>171.57142857142856</v>
      </c>
      <c r="R49" s="8"/>
      <c r="T49"/>
    </row>
    <row r="50" spans="2:20" ht="23.1" customHeight="1" x14ac:dyDescent="0.25">
      <c r="B50" s="24" t="s">
        <v>77</v>
      </c>
      <c r="C50" s="49">
        <f>'Avg Week Ishaka-Katungulu'!C50+'Avg Week Katungulu-Ishaka'!C50</f>
        <v>8.4285714285714288</v>
      </c>
      <c r="D50" s="49">
        <f>'Avg Week Ishaka-Katungulu'!D50+'Avg Week Katungulu-Ishaka'!D50</f>
        <v>1</v>
      </c>
      <c r="E50" s="49">
        <f>'Avg Week Ishaka-Katungulu'!E50+'Avg Week Katungulu-Ishaka'!E50</f>
        <v>7.8571428571428577</v>
      </c>
      <c r="F50" s="49">
        <f>'Avg Week Ishaka-Katungulu'!F50+'Avg Week Katungulu-Ishaka'!F50</f>
        <v>4.8571428571428568</v>
      </c>
      <c r="G50" s="49">
        <f>'Avg Week Ishaka-Katungulu'!G50+'Avg Week Katungulu-Ishaka'!G50</f>
        <v>0</v>
      </c>
      <c r="H50" s="49">
        <f>'Avg Week Ishaka-Katungulu'!H50+'Avg Week Katungulu-Ishaka'!H50</f>
        <v>0</v>
      </c>
      <c r="I50" s="49">
        <f>'Avg Week Ishaka-Katungulu'!I50+'Avg Week Katungulu-Ishaka'!I50</f>
        <v>2.5714285714285716</v>
      </c>
      <c r="J50" s="49">
        <f>'Avg Week Ishaka-Katungulu'!J50+'Avg Week Katungulu-Ishaka'!J50</f>
        <v>1.7142857142857144</v>
      </c>
      <c r="K50" s="49">
        <f>'Avg Week Ishaka-Katungulu'!K50+'Avg Week Katungulu-Ishaka'!K50</f>
        <v>1.7142857142857144</v>
      </c>
      <c r="L50" s="49">
        <f>'Avg Week Ishaka-Katungulu'!L50+'Avg Week Katungulu-Ishaka'!L50</f>
        <v>2.1428571428571428</v>
      </c>
      <c r="M50" s="49">
        <f>'Avg Week Ishaka-Katungulu'!M50+'Avg Week Katungulu-Ishaka'!M50</f>
        <v>82</v>
      </c>
      <c r="N50" s="49">
        <f>'Avg Week Ishaka-Katungulu'!N50+'Avg Week Katungulu-Ishaka'!N50</f>
        <v>0</v>
      </c>
      <c r="O50" s="15">
        <f t="shared" si="0"/>
        <v>30.285714285714288</v>
      </c>
      <c r="P50" s="15">
        <f t="shared" si="1"/>
        <v>112.28571428571429</v>
      </c>
      <c r="R50" s="8"/>
      <c r="T50"/>
    </row>
    <row r="51" spans="2:20" ht="23.1" customHeight="1" x14ac:dyDescent="0.25">
      <c r="B51" s="24" t="s">
        <v>78</v>
      </c>
      <c r="C51" s="49">
        <f>'Avg Week Ishaka-Katungulu'!C51+'Avg Week Katungulu-Ishaka'!C51</f>
        <v>15.285714285714285</v>
      </c>
      <c r="D51" s="49">
        <f>'Avg Week Ishaka-Katungulu'!D51+'Avg Week Katungulu-Ishaka'!D51</f>
        <v>3.2857142857142856</v>
      </c>
      <c r="E51" s="49">
        <f>'Avg Week Ishaka-Katungulu'!E51+'Avg Week Katungulu-Ishaka'!E51</f>
        <v>12.428571428571427</v>
      </c>
      <c r="F51" s="49">
        <f>'Avg Week Ishaka-Katungulu'!F51+'Avg Week Katungulu-Ishaka'!F51</f>
        <v>8.7142857142857153</v>
      </c>
      <c r="G51" s="49">
        <f>'Avg Week Ishaka-Katungulu'!G51+'Avg Week Katungulu-Ishaka'!G51</f>
        <v>0.14285714285714285</v>
      </c>
      <c r="H51" s="49">
        <f>'Avg Week Ishaka-Katungulu'!H51+'Avg Week Katungulu-Ishaka'!H51</f>
        <v>0.2857142857142857</v>
      </c>
      <c r="I51" s="49">
        <f>'Avg Week Ishaka-Katungulu'!I51+'Avg Week Katungulu-Ishaka'!I51</f>
        <v>5.1428571428571432</v>
      </c>
      <c r="J51" s="49">
        <f>'Avg Week Ishaka-Katungulu'!J51+'Avg Week Katungulu-Ishaka'!J51</f>
        <v>3.7142857142857144</v>
      </c>
      <c r="K51" s="49">
        <f>'Avg Week Ishaka-Katungulu'!K51+'Avg Week Katungulu-Ishaka'!K51</f>
        <v>3.8571428571428568</v>
      </c>
      <c r="L51" s="49">
        <f>'Avg Week Ishaka-Katungulu'!L51+'Avg Week Katungulu-Ishaka'!L51</f>
        <v>3.8571428571428572</v>
      </c>
      <c r="M51" s="49">
        <f>'Avg Week Ishaka-Katungulu'!M51+'Avg Week Katungulu-Ishaka'!M51</f>
        <v>147.42857142857142</v>
      </c>
      <c r="N51" s="49">
        <f>'Avg Week Ishaka-Katungulu'!N51+'Avg Week Katungulu-Ishaka'!N51</f>
        <v>0</v>
      </c>
      <c r="O51" s="15">
        <f t="shared" si="0"/>
        <v>56.714285714285708</v>
      </c>
      <c r="P51" s="15">
        <f t="shared" si="1"/>
        <v>204.14285714285711</v>
      </c>
      <c r="R51" s="8"/>
      <c r="T51"/>
    </row>
    <row r="52" spans="2:20" ht="23.1" customHeight="1" x14ac:dyDescent="0.25">
      <c r="B52" s="24" t="s">
        <v>79</v>
      </c>
      <c r="C52" s="49">
        <f>'Avg Week Ishaka-Katungulu'!C52+'Avg Week Katungulu-Ishaka'!C52</f>
        <v>10.714285714285715</v>
      </c>
      <c r="D52" s="49">
        <f>'Avg Week Ishaka-Katungulu'!D52+'Avg Week Katungulu-Ishaka'!D52</f>
        <v>1</v>
      </c>
      <c r="E52" s="49">
        <f>'Avg Week Ishaka-Katungulu'!E52+'Avg Week Katungulu-Ishaka'!E52</f>
        <v>7.2857142857142847</v>
      </c>
      <c r="F52" s="49">
        <f>'Avg Week Ishaka-Katungulu'!F52+'Avg Week Katungulu-Ishaka'!F52</f>
        <v>4.8571428571428577</v>
      </c>
      <c r="G52" s="49">
        <f>'Avg Week Ishaka-Katungulu'!G52+'Avg Week Katungulu-Ishaka'!G52</f>
        <v>0.2857142857142857</v>
      </c>
      <c r="H52" s="49">
        <f>'Avg Week Ishaka-Katungulu'!H52+'Avg Week Katungulu-Ishaka'!H52</f>
        <v>0</v>
      </c>
      <c r="I52" s="49">
        <f>'Avg Week Ishaka-Katungulu'!I52+'Avg Week Katungulu-Ishaka'!I52</f>
        <v>3</v>
      </c>
      <c r="J52" s="49">
        <f>'Avg Week Ishaka-Katungulu'!J52+'Avg Week Katungulu-Ishaka'!J52</f>
        <v>0.8571428571428571</v>
      </c>
      <c r="K52" s="49">
        <f>'Avg Week Ishaka-Katungulu'!K52+'Avg Week Katungulu-Ishaka'!K52</f>
        <v>1.4285714285714286</v>
      </c>
      <c r="L52" s="49">
        <f>'Avg Week Ishaka-Katungulu'!L52+'Avg Week Katungulu-Ishaka'!L52</f>
        <v>1.2857142857142856</v>
      </c>
      <c r="M52" s="49">
        <f>'Avg Week Ishaka-Katungulu'!M52+'Avg Week Katungulu-Ishaka'!M52</f>
        <v>62.142857142857139</v>
      </c>
      <c r="N52" s="49">
        <f>'Avg Week Ishaka-Katungulu'!N52+'Avg Week Katungulu-Ishaka'!N52</f>
        <v>0</v>
      </c>
      <c r="O52" s="15">
        <f t="shared" si="0"/>
        <v>30.714285714285712</v>
      </c>
      <c r="P52" s="15">
        <f t="shared" si="1"/>
        <v>92.857142857142847</v>
      </c>
      <c r="R52" s="8"/>
      <c r="T52"/>
    </row>
    <row r="53" spans="2:20" ht="23.1" customHeight="1" x14ac:dyDescent="0.25">
      <c r="B53" s="23" t="s">
        <v>80</v>
      </c>
      <c r="C53" s="49">
        <f>'Avg Week Ishaka-Katungulu'!C53+'Avg Week Katungulu-Ishaka'!C53</f>
        <v>18.857142857142858</v>
      </c>
      <c r="D53" s="49">
        <f>'Avg Week Ishaka-Katungulu'!D53+'Avg Week Katungulu-Ishaka'!D53</f>
        <v>2.4285714285714284</v>
      </c>
      <c r="E53" s="49">
        <f>'Avg Week Ishaka-Katungulu'!E53+'Avg Week Katungulu-Ishaka'!E53</f>
        <v>12.142857142857142</v>
      </c>
      <c r="F53" s="49">
        <f>'Avg Week Ishaka-Katungulu'!F53+'Avg Week Katungulu-Ishaka'!F53</f>
        <v>8.571428571428573</v>
      </c>
      <c r="G53" s="49">
        <f>'Avg Week Ishaka-Katungulu'!G53+'Avg Week Katungulu-Ishaka'!G53</f>
        <v>0.71428571428571419</v>
      </c>
      <c r="H53" s="49">
        <f>'Avg Week Ishaka-Katungulu'!H53+'Avg Week Katungulu-Ishaka'!H53</f>
        <v>0</v>
      </c>
      <c r="I53" s="49">
        <f>'Avg Week Ishaka-Katungulu'!I53+'Avg Week Katungulu-Ishaka'!I53</f>
        <v>6</v>
      </c>
      <c r="J53" s="49">
        <f>'Avg Week Ishaka-Katungulu'!J53+'Avg Week Katungulu-Ishaka'!J53</f>
        <v>2.7142857142857144</v>
      </c>
      <c r="K53" s="49">
        <f>'Avg Week Ishaka-Katungulu'!K53+'Avg Week Katungulu-Ishaka'!K53</f>
        <v>3</v>
      </c>
      <c r="L53" s="49">
        <f>'Avg Week Ishaka-Katungulu'!L53+'Avg Week Katungulu-Ishaka'!L53</f>
        <v>3</v>
      </c>
      <c r="M53" s="49">
        <f>'Avg Week Ishaka-Katungulu'!M53+'Avg Week Katungulu-Ishaka'!M53</f>
        <v>112.71428571428572</v>
      </c>
      <c r="N53" s="49">
        <f>'Avg Week Ishaka-Katungulu'!N53+'Avg Week Katungulu-Ishaka'!N53</f>
        <v>0</v>
      </c>
      <c r="O53" s="15">
        <f t="shared" si="0"/>
        <v>57.428571428571431</v>
      </c>
      <c r="P53" s="15">
        <f t="shared" si="1"/>
        <v>170.14285714285717</v>
      </c>
      <c r="R53" s="8"/>
      <c r="T53"/>
    </row>
    <row r="54" spans="2:20" ht="23.1" customHeight="1" x14ac:dyDescent="0.25">
      <c r="B54" s="23" t="s">
        <v>81</v>
      </c>
      <c r="C54" s="49">
        <f>'Avg Week Ishaka-Katungulu'!C54+'Avg Week Katungulu-Ishaka'!C54</f>
        <v>9.8571428571428577</v>
      </c>
      <c r="D54" s="49">
        <f>'Avg Week Ishaka-Katungulu'!D54+'Avg Week Katungulu-Ishaka'!D54</f>
        <v>0.8571428571428571</v>
      </c>
      <c r="E54" s="49">
        <f>'Avg Week Ishaka-Katungulu'!E54+'Avg Week Katungulu-Ishaka'!E54</f>
        <v>5</v>
      </c>
      <c r="F54" s="49">
        <f>'Avg Week Ishaka-Katungulu'!F54+'Avg Week Katungulu-Ishaka'!F54</f>
        <v>6.2857142857142865</v>
      </c>
      <c r="G54" s="49">
        <f>'Avg Week Ishaka-Katungulu'!G54+'Avg Week Katungulu-Ishaka'!G54</f>
        <v>0.14285714285714285</v>
      </c>
      <c r="H54" s="49">
        <f>'Avg Week Ishaka-Katungulu'!H54+'Avg Week Katungulu-Ishaka'!H54</f>
        <v>0</v>
      </c>
      <c r="I54" s="49">
        <f>'Avg Week Ishaka-Katungulu'!I54+'Avg Week Katungulu-Ishaka'!I54</f>
        <v>2.1428571428571428</v>
      </c>
      <c r="J54" s="49">
        <f>'Avg Week Ishaka-Katungulu'!J54+'Avg Week Katungulu-Ishaka'!J54</f>
        <v>2</v>
      </c>
      <c r="K54" s="49">
        <f>'Avg Week Ishaka-Katungulu'!K54+'Avg Week Katungulu-Ishaka'!K54</f>
        <v>1.2857142857142856</v>
      </c>
      <c r="L54" s="49">
        <f>'Avg Week Ishaka-Katungulu'!L54+'Avg Week Katungulu-Ishaka'!L54</f>
        <v>0.71428571428571419</v>
      </c>
      <c r="M54" s="49">
        <f>'Avg Week Ishaka-Katungulu'!M54+'Avg Week Katungulu-Ishaka'!M54</f>
        <v>57.714285714285708</v>
      </c>
      <c r="N54" s="49">
        <f>'Avg Week Ishaka-Katungulu'!N54+'Avg Week Katungulu-Ishaka'!N54</f>
        <v>0</v>
      </c>
      <c r="O54" s="15">
        <f t="shared" si="0"/>
        <v>28.285714285714285</v>
      </c>
      <c r="P54" s="15">
        <f t="shared" si="1"/>
        <v>86</v>
      </c>
      <c r="R54" s="8"/>
      <c r="T54"/>
    </row>
    <row r="55" spans="2:20" ht="23.1" customHeight="1" x14ac:dyDescent="0.25">
      <c r="B55" s="23" t="s">
        <v>82</v>
      </c>
      <c r="C55" s="49">
        <f>'Avg Week Ishaka-Katungulu'!C55+'Avg Week Katungulu-Ishaka'!C55</f>
        <v>17.142857142857142</v>
      </c>
      <c r="D55" s="49">
        <f>'Avg Week Ishaka-Katungulu'!D55+'Avg Week Katungulu-Ishaka'!D55</f>
        <v>1.8571428571428572</v>
      </c>
      <c r="E55" s="49">
        <f>'Avg Week Ishaka-Katungulu'!E55+'Avg Week Katungulu-Ishaka'!E55</f>
        <v>8.8571428571428577</v>
      </c>
      <c r="F55" s="49">
        <f>'Avg Week Ishaka-Katungulu'!F55+'Avg Week Katungulu-Ishaka'!F55</f>
        <v>11.285714285714285</v>
      </c>
      <c r="G55" s="49">
        <f>'Avg Week Ishaka-Katungulu'!G55+'Avg Week Katungulu-Ishaka'!G55</f>
        <v>0.42857142857142855</v>
      </c>
      <c r="H55" s="49">
        <f>'Avg Week Ishaka-Katungulu'!H55+'Avg Week Katungulu-Ishaka'!H55</f>
        <v>0.14285714285714285</v>
      </c>
      <c r="I55" s="49">
        <f>'Avg Week Ishaka-Katungulu'!I55+'Avg Week Katungulu-Ishaka'!I55</f>
        <v>4.2857142857142856</v>
      </c>
      <c r="J55" s="49">
        <f>'Avg Week Ishaka-Katungulu'!J55+'Avg Week Katungulu-Ishaka'!J55</f>
        <v>3.7142857142857144</v>
      </c>
      <c r="K55" s="49">
        <f>'Avg Week Ishaka-Katungulu'!K55+'Avg Week Katungulu-Ishaka'!K55</f>
        <v>2.7142857142857144</v>
      </c>
      <c r="L55" s="49">
        <f>'Avg Week Ishaka-Katungulu'!L55+'Avg Week Katungulu-Ishaka'!L55</f>
        <v>1.8571428571428572</v>
      </c>
      <c r="M55" s="49">
        <f>'Avg Week Ishaka-Katungulu'!M55+'Avg Week Katungulu-Ishaka'!M55</f>
        <v>105.42857142857143</v>
      </c>
      <c r="N55" s="49">
        <f>'Avg Week Ishaka-Katungulu'!N55+'Avg Week Katungulu-Ishaka'!N55</f>
        <v>0</v>
      </c>
      <c r="O55" s="15">
        <f t="shared" si="0"/>
        <v>52.285714285714285</v>
      </c>
      <c r="P55" s="15">
        <f t="shared" si="1"/>
        <v>157.71428571428572</v>
      </c>
      <c r="R55" s="8"/>
      <c r="T55"/>
    </row>
    <row r="56" spans="2:20" ht="23.1" customHeight="1" x14ac:dyDescent="0.25">
      <c r="B56" s="23" t="s">
        <v>83</v>
      </c>
      <c r="C56" s="49">
        <f>'Avg Week Ishaka-Katungulu'!C56+'Avg Week Katungulu-Ishaka'!C56</f>
        <v>9.1428571428571423</v>
      </c>
      <c r="D56" s="49">
        <f>'Avg Week Ishaka-Katungulu'!D56+'Avg Week Katungulu-Ishaka'!D56</f>
        <v>0.8571428571428571</v>
      </c>
      <c r="E56" s="49">
        <f>'Avg Week Ishaka-Katungulu'!E56+'Avg Week Katungulu-Ishaka'!E56</f>
        <v>5.4285714285714288</v>
      </c>
      <c r="F56" s="49">
        <f>'Avg Week Ishaka-Katungulu'!F56+'Avg Week Katungulu-Ishaka'!F56</f>
        <v>4.1428571428571423</v>
      </c>
      <c r="G56" s="49">
        <f>'Avg Week Ishaka-Katungulu'!G56+'Avg Week Katungulu-Ishaka'!G56</f>
        <v>0</v>
      </c>
      <c r="H56" s="49">
        <f>'Avg Week Ishaka-Katungulu'!H56+'Avg Week Katungulu-Ishaka'!H56</f>
        <v>0</v>
      </c>
      <c r="I56" s="49">
        <f>'Avg Week Ishaka-Katungulu'!I56+'Avg Week Katungulu-Ishaka'!I56</f>
        <v>2.2857142857142856</v>
      </c>
      <c r="J56" s="49">
        <f>'Avg Week Ishaka-Katungulu'!J56+'Avg Week Katungulu-Ishaka'!J56</f>
        <v>0.42857142857142855</v>
      </c>
      <c r="K56" s="49">
        <f>'Avg Week Ishaka-Katungulu'!K56+'Avg Week Katungulu-Ishaka'!K56</f>
        <v>2.2857142857142856</v>
      </c>
      <c r="L56" s="49">
        <f>'Avg Week Ishaka-Katungulu'!L56+'Avg Week Katungulu-Ishaka'!L56</f>
        <v>1</v>
      </c>
      <c r="M56" s="49">
        <f>'Avg Week Ishaka-Katungulu'!M56+'Avg Week Katungulu-Ishaka'!M56</f>
        <v>62.571428571428569</v>
      </c>
      <c r="N56" s="49">
        <f>'Avg Week Ishaka-Katungulu'!N56+'Avg Week Katungulu-Ishaka'!N56</f>
        <v>0</v>
      </c>
      <c r="O56" s="15">
        <f t="shared" si="0"/>
        <v>25.571428571428566</v>
      </c>
      <c r="P56" s="15">
        <f t="shared" si="1"/>
        <v>88.142857142857139</v>
      </c>
      <c r="R56" s="8"/>
      <c r="T56"/>
    </row>
    <row r="57" spans="2:20" ht="23.1" customHeight="1" x14ac:dyDescent="0.25">
      <c r="B57" s="23" t="s">
        <v>84</v>
      </c>
      <c r="C57" s="49">
        <f>'Avg Week Ishaka-Katungulu'!C57+'Avg Week Katungulu-Ishaka'!C57</f>
        <v>15.714285714285714</v>
      </c>
      <c r="D57" s="49">
        <f>'Avg Week Ishaka-Katungulu'!D57+'Avg Week Katungulu-Ishaka'!D57</f>
        <v>2.4285714285714288</v>
      </c>
      <c r="E57" s="49">
        <f>'Avg Week Ishaka-Katungulu'!E57+'Avg Week Katungulu-Ishaka'!E57</f>
        <v>9.1428571428571423</v>
      </c>
      <c r="F57" s="49">
        <f>'Avg Week Ishaka-Katungulu'!F57+'Avg Week Katungulu-Ishaka'!F57</f>
        <v>7.7142857142857144</v>
      </c>
      <c r="G57" s="49">
        <f>'Avg Week Ishaka-Katungulu'!G57+'Avg Week Katungulu-Ishaka'!G57</f>
        <v>0.14285714285714285</v>
      </c>
      <c r="H57" s="49">
        <f>'Avg Week Ishaka-Katungulu'!H57+'Avg Week Katungulu-Ishaka'!H57</f>
        <v>0.42857142857142855</v>
      </c>
      <c r="I57" s="49">
        <f>'Avg Week Ishaka-Katungulu'!I57+'Avg Week Katungulu-Ishaka'!I57</f>
        <v>4.4285714285714288</v>
      </c>
      <c r="J57" s="49">
        <f>'Avg Week Ishaka-Katungulu'!J57+'Avg Week Katungulu-Ishaka'!J57</f>
        <v>1.4285714285714284</v>
      </c>
      <c r="K57" s="49">
        <f>'Avg Week Ishaka-Katungulu'!K57+'Avg Week Katungulu-Ishaka'!K57</f>
        <v>4.2857142857142856</v>
      </c>
      <c r="L57" s="49">
        <f>'Avg Week Ishaka-Katungulu'!L57+'Avg Week Katungulu-Ishaka'!L57</f>
        <v>2.5714285714285712</v>
      </c>
      <c r="M57" s="49">
        <f>'Avg Week Ishaka-Katungulu'!M57+'Avg Week Katungulu-Ishaka'!M57</f>
        <v>111.57142857142857</v>
      </c>
      <c r="N57" s="49">
        <f>'Avg Week Ishaka-Katungulu'!N57+'Avg Week Katungulu-Ishaka'!N57</f>
        <v>0</v>
      </c>
      <c r="O57" s="15">
        <f t="shared" si="0"/>
        <v>48.285714285714292</v>
      </c>
      <c r="P57" s="15">
        <f t="shared" si="1"/>
        <v>159.85714285714286</v>
      </c>
      <c r="R57" s="8"/>
      <c r="T57"/>
    </row>
    <row r="58" spans="2:20" ht="23.1" customHeight="1" x14ac:dyDescent="0.25">
      <c r="B58" s="23" t="s">
        <v>99</v>
      </c>
      <c r="C58" s="49">
        <f>'Avg Week Ishaka-Katungulu'!C58+'Avg Week Katungulu-Ishaka'!C58</f>
        <v>8.5</v>
      </c>
      <c r="D58" s="49">
        <f>'Avg Week Ishaka-Katungulu'!D58+'Avg Week Katungulu-Ishaka'!D58</f>
        <v>3</v>
      </c>
      <c r="E58" s="49">
        <f>'Avg Week Ishaka-Katungulu'!E58+'Avg Week Katungulu-Ishaka'!E58</f>
        <v>5</v>
      </c>
      <c r="F58" s="49">
        <f>'Avg Week Ishaka-Katungulu'!F58+'Avg Week Katungulu-Ishaka'!F58</f>
        <v>3</v>
      </c>
      <c r="G58" s="49">
        <f>'Avg Week Ishaka-Katungulu'!G58+'Avg Week Katungulu-Ishaka'!G58</f>
        <v>0</v>
      </c>
      <c r="H58" s="49">
        <f>'Avg Week Ishaka-Katungulu'!H58+'Avg Week Katungulu-Ishaka'!H58</f>
        <v>0</v>
      </c>
      <c r="I58" s="49">
        <f>'Avg Week Ishaka-Katungulu'!I58+'Avg Week Katungulu-Ishaka'!I58</f>
        <v>0</v>
      </c>
      <c r="J58" s="49">
        <f>'Avg Week Ishaka-Katungulu'!J58+'Avg Week Katungulu-Ishaka'!J58</f>
        <v>0</v>
      </c>
      <c r="K58" s="49">
        <f>'Avg Week Ishaka-Katungulu'!K58+'Avg Week Katungulu-Ishaka'!K58</f>
        <v>4</v>
      </c>
      <c r="L58" s="49">
        <f>'Avg Week Ishaka-Katungulu'!L58+'Avg Week Katungulu-Ishaka'!L58</f>
        <v>0</v>
      </c>
      <c r="M58" s="49">
        <f>'Avg Week Ishaka-Katungulu'!M58+'Avg Week Katungulu-Ishaka'!M58</f>
        <v>78.5</v>
      </c>
      <c r="N58" s="49">
        <f>'Avg Week Ishaka-Katungulu'!N58+'Avg Week Katungulu-Ishaka'!N58</f>
        <v>0</v>
      </c>
      <c r="O58" s="15">
        <f t="shared" si="0"/>
        <v>23.5</v>
      </c>
      <c r="P58" s="15">
        <f t="shared" si="1"/>
        <v>102</v>
      </c>
      <c r="R58" s="8"/>
      <c r="T58"/>
    </row>
    <row r="59" spans="2:20" ht="23.1" customHeight="1" x14ac:dyDescent="0.25">
      <c r="B59" s="23" t="s">
        <v>100</v>
      </c>
      <c r="C59" s="49">
        <f>'Avg Week Ishaka-Katungulu'!C59+'Avg Week Katungulu-Ishaka'!C59</f>
        <v>17.5</v>
      </c>
      <c r="D59" s="49">
        <f>'Avg Week Ishaka-Katungulu'!D59+'Avg Week Katungulu-Ishaka'!D59</f>
        <v>5</v>
      </c>
      <c r="E59" s="49">
        <f>'Avg Week Ishaka-Katungulu'!E59+'Avg Week Katungulu-Ishaka'!E59</f>
        <v>11.5</v>
      </c>
      <c r="F59" s="49">
        <f>'Avg Week Ishaka-Katungulu'!F59+'Avg Week Katungulu-Ishaka'!F59</f>
        <v>4.5</v>
      </c>
      <c r="G59" s="49">
        <f>'Avg Week Ishaka-Katungulu'!G59+'Avg Week Katungulu-Ishaka'!G59</f>
        <v>0</v>
      </c>
      <c r="H59" s="49">
        <f>'Avg Week Ishaka-Katungulu'!H59+'Avg Week Katungulu-Ishaka'!H59</f>
        <v>0.5</v>
      </c>
      <c r="I59" s="49">
        <f>'Avg Week Ishaka-Katungulu'!I59+'Avg Week Katungulu-Ishaka'!I59</f>
        <v>1.5</v>
      </c>
      <c r="J59" s="49">
        <f>'Avg Week Ishaka-Katungulu'!J59+'Avg Week Katungulu-Ishaka'!J59</f>
        <v>0.5</v>
      </c>
      <c r="K59" s="49">
        <f>'Avg Week Ishaka-Katungulu'!K59+'Avg Week Katungulu-Ishaka'!K59</f>
        <v>8.5</v>
      </c>
      <c r="L59" s="49">
        <f>'Avg Week Ishaka-Katungulu'!L59+'Avg Week Katungulu-Ishaka'!L59</f>
        <v>1</v>
      </c>
      <c r="M59" s="49">
        <f>'Avg Week Ishaka-Katungulu'!M59+'Avg Week Katungulu-Ishaka'!M59</f>
        <v>163.5</v>
      </c>
      <c r="N59" s="49">
        <f>'Avg Week Ishaka-Katungulu'!N59+'Avg Week Katungulu-Ishaka'!N59</f>
        <v>0</v>
      </c>
      <c r="O59" s="15">
        <f t="shared" si="0"/>
        <v>50.5</v>
      </c>
      <c r="P59" s="15">
        <f t="shared" si="1"/>
        <v>214</v>
      </c>
      <c r="R59" s="8"/>
      <c r="T59"/>
    </row>
    <row r="60" spans="2:20" ht="23.1" customHeight="1" x14ac:dyDescent="0.25">
      <c r="B60" s="23" t="s">
        <v>101</v>
      </c>
      <c r="C60" s="49">
        <f>'Avg Week Ishaka-Katungulu'!C60+'Avg Week Katungulu-Ishaka'!C60</f>
        <v>12.5</v>
      </c>
      <c r="D60" s="49">
        <f>'Avg Week Ishaka-Katungulu'!D60+'Avg Week Katungulu-Ishaka'!D60</f>
        <v>4</v>
      </c>
      <c r="E60" s="49">
        <f>'Avg Week Ishaka-Katungulu'!E60+'Avg Week Katungulu-Ishaka'!E60</f>
        <v>8.5</v>
      </c>
      <c r="F60" s="49">
        <f>'Avg Week Ishaka-Katungulu'!F60+'Avg Week Katungulu-Ishaka'!F60</f>
        <v>5</v>
      </c>
      <c r="G60" s="49">
        <f>'Avg Week Ishaka-Katungulu'!G60+'Avg Week Katungulu-Ishaka'!G60</f>
        <v>1</v>
      </c>
      <c r="H60" s="49">
        <f>'Avg Week Ishaka-Katungulu'!H60+'Avg Week Katungulu-Ishaka'!H60</f>
        <v>0</v>
      </c>
      <c r="I60" s="49">
        <f>'Avg Week Ishaka-Katungulu'!I60+'Avg Week Katungulu-Ishaka'!I60</f>
        <v>0.5</v>
      </c>
      <c r="J60" s="49">
        <f>'Avg Week Ishaka-Katungulu'!J60+'Avg Week Katungulu-Ishaka'!J60</f>
        <v>1.5</v>
      </c>
      <c r="K60" s="49">
        <f>'Avg Week Ishaka-Katungulu'!K60+'Avg Week Katungulu-Ishaka'!K60</f>
        <v>5</v>
      </c>
      <c r="L60" s="49">
        <f>'Avg Week Ishaka-Katungulu'!L60+'Avg Week Katungulu-Ishaka'!L60</f>
        <v>0.5</v>
      </c>
      <c r="M60" s="49">
        <f>'Avg Week Ishaka-Katungulu'!M60+'Avg Week Katungulu-Ishaka'!M60</f>
        <v>62</v>
      </c>
      <c r="N60" s="49">
        <f>'Avg Week Ishaka-Katungulu'!N60+'Avg Week Katungulu-Ishaka'!N60</f>
        <v>0</v>
      </c>
      <c r="O60" s="15">
        <f t="shared" si="0"/>
        <v>38.5</v>
      </c>
      <c r="P60" s="15">
        <f t="shared" si="1"/>
        <v>100.5</v>
      </c>
      <c r="R60" s="8"/>
      <c r="T60"/>
    </row>
    <row r="61" spans="2:20" ht="23.1" customHeight="1" x14ac:dyDescent="0.25">
      <c r="B61" s="23" t="s">
        <v>102</v>
      </c>
      <c r="C61" s="49">
        <f>'Avg Week Ishaka-Katungulu'!C61+'Avg Week Katungulu-Ishaka'!C61</f>
        <v>23</v>
      </c>
      <c r="D61" s="49">
        <f>'Avg Week Ishaka-Katungulu'!D61+'Avg Week Katungulu-Ishaka'!D61</f>
        <v>8.5</v>
      </c>
      <c r="E61" s="49">
        <f>'Avg Week Ishaka-Katungulu'!E61+'Avg Week Katungulu-Ishaka'!E61</f>
        <v>18</v>
      </c>
      <c r="F61" s="49">
        <f>'Avg Week Ishaka-Katungulu'!F61+'Avg Week Katungulu-Ishaka'!F61</f>
        <v>9.5</v>
      </c>
      <c r="G61" s="49">
        <f>'Avg Week Ishaka-Katungulu'!G61+'Avg Week Katungulu-Ishaka'!G61</f>
        <v>2</v>
      </c>
      <c r="H61" s="49">
        <f>'Avg Week Ishaka-Katungulu'!H61+'Avg Week Katungulu-Ishaka'!H61</f>
        <v>0.5</v>
      </c>
      <c r="I61" s="49">
        <f>'Avg Week Ishaka-Katungulu'!I61+'Avg Week Katungulu-Ishaka'!I61</f>
        <v>2.5</v>
      </c>
      <c r="J61" s="49">
        <f>'Avg Week Ishaka-Katungulu'!J61+'Avg Week Katungulu-Ishaka'!J61</f>
        <v>3</v>
      </c>
      <c r="K61" s="49">
        <f>'Avg Week Ishaka-Katungulu'!K61+'Avg Week Katungulu-Ishaka'!K61</f>
        <v>10.5</v>
      </c>
      <c r="L61" s="49">
        <f>'Avg Week Ishaka-Katungulu'!L61+'Avg Week Katungulu-Ishaka'!L61</f>
        <v>2.5</v>
      </c>
      <c r="M61" s="49">
        <f>'Avg Week Ishaka-Katungulu'!M61+'Avg Week Katungulu-Ishaka'!M61</f>
        <v>136.5</v>
      </c>
      <c r="N61" s="49">
        <f>'Avg Week Ishaka-Katungulu'!N61+'Avg Week Katungulu-Ishaka'!N61</f>
        <v>0</v>
      </c>
      <c r="O61" s="15">
        <f t="shared" si="0"/>
        <v>80</v>
      </c>
      <c r="P61" s="15">
        <f t="shared" si="1"/>
        <v>216.5</v>
      </c>
      <c r="R61" s="8"/>
      <c r="T61"/>
    </row>
    <row r="62" spans="2:20" ht="23.1" customHeight="1" x14ac:dyDescent="0.25">
      <c r="B62" s="23" t="s">
        <v>107</v>
      </c>
      <c r="C62" s="49">
        <f>'Avg Week Ishaka-Katungulu'!C62+'Avg Week Katungulu-Ishaka'!C62</f>
        <v>6</v>
      </c>
      <c r="D62" s="49">
        <f>'Avg Week Ishaka-Katungulu'!D62+'Avg Week Katungulu-Ishaka'!D62</f>
        <v>4</v>
      </c>
      <c r="E62" s="49">
        <f>'Avg Week Ishaka-Katungulu'!E62+'Avg Week Katungulu-Ishaka'!E62</f>
        <v>6.5</v>
      </c>
      <c r="F62" s="49">
        <f>'Avg Week Ishaka-Katungulu'!F62+'Avg Week Katungulu-Ishaka'!F62</f>
        <v>5</v>
      </c>
      <c r="G62" s="49">
        <f>'Avg Week Ishaka-Katungulu'!G62+'Avg Week Katungulu-Ishaka'!G62</f>
        <v>0</v>
      </c>
      <c r="H62" s="49">
        <f>'Avg Week Ishaka-Katungulu'!H62+'Avg Week Katungulu-Ishaka'!H62</f>
        <v>0.5</v>
      </c>
      <c r="I62" s="49">
        <f>'Avg Week Ishaka-Katungulu'!I62+'Avg Week Katungulu-Ishaka'!I62</f>
        <v>1</v>
      </c>
      <c r="J62" s="49">
        <f>'Avg Week Ishaka-Katungulu'!J62+'Avg Week Katungulu-Ishaka'!J62</f>
        <v>2.5</v>
      </c>
      <c r="K62" s="49">
        <f>'Avg Week Ishaka-Katungulu'!K62+'Avg Week Katungulu-Ishaka'!K62</f>
        <v>3</v>
      </c>
      <c r="L62" s="49">
        <f>'Avg Week Ishaka-Katungulu'!L62+'Avg Week Katungulu-Ishaka'!L62</f>
        <v>0.5</v>
      </c>
      <c r="M62" s="49">
        <f>'Avg Week Ishaka-Katungulu'!M62+'Avg Week Katungulu-Ishaka'!M62</f>
        <v>42.5</v>
      </c>
      <c r="N62" s="49">
        <f>'Avg Week Ishaka-Katungulu'!N62+'Avg Week Katungulu-Ishaka'!N62</f>
        <v>0</v>
      </c>
      <c r="O62" s="15">
        <f t="shared" si="0"/>
        <v>29</v>
      </c>
      <c r="P62" s="15">
        <f t="shared" si="1"/>
        <v>71.5</v>
      </c>
      <c r="R62" s="8"/>
      <c r="T62"/>
    </row>
    <row r="63" spans="2:20" ht="23.1" customHeight="1" x14ac:dyDescent="0.25">
      <c r="B63" s="23" t="s">
        <v>108</v>
      </c>
      <c r="C63" s="49">
        <f>'Avg Week Ishaka-Katungulu'!C63+'Avg Week Katungulu-Ishaka'!C63</f>
        <v>13.5</v>
      </c>
      <c r="D63" s="49">
        <f>'Avg Week Ishaka-Katungulu'!D63+'Avg Week Katungulu-Ishaka'!D63</f>
        <v>7</v>
      </c>
      <c r="E63" s="49">
        <f>'Avg Week Ishaka-Katungulu'!E63+'Avg Week Katungulu-Ishaka'!E63</f>
        <v>13.5</v>
      </c>
      <c r="F63" s="49">
        <f>'Avg Week Ishaka-Katungulu'!F63+'Avg Week Katungulu-Ishaka'!F63</f>
        <v>10</v>
      </c>
      <c r="G63" s="49">
        <f>'Avg Week Ishaka-Katungulu'!G63+'Avg Week Katungulu-Ishaka'!G63</f>
        <v>1</v>
      </c>
      <c r="H63" s="49">
        <f>'Avg Week Ishaka-Katungulu'!H63+'Avg Week Katungulu-Ishaka'!H63</f>
        <v>1.5</v>
      </c>
      <c r="I63" s="49">
        <f>'Avg Week Ishaka-Katungulu'!I63+'Avg Week Katungulu-Ishaka'!I63</f>
        <v>2</v>
      </c>
      <c r="J63" s="49">
        <f>'Avg Week Ishaka-Katungulu'!J63+'Avg Week Katungulu-Ishaka'!J63</f>
        <v>5.5</v>
      </c>
      <c r="K63" s="49">
        <f>'Avg Week Ishaka-Katungulu'!K63+'Avg Week Katungulu-Ishaka'!K63</f>
        <v>6</v>
      </c>
      <c r="L63" s="49">
        <f>'Avg Week Ishaka-Katungulu'!L63+'Avg Week Katungulu-Ishaka'!L63</f>
        <v>1.5</v>
      </c>
      <c r="M63" s="49">
        <f>'Avg Week Ishaka-Katungulu'!M63+'Avg Week Katungulu-Ishaka'!M63</f>
        <v>95.5</v>
      </c>
      <c r="N63" s="49">
        <f>'Avg Week Ishaka-Katungulu'!N63+'Avg Week Katungulu-Ishaka'!N63</f>
        <v>0</v>
      </c>
      <c r="O63" s="15">
        <f t="shared" si="0"/>
        <v>61.5</v>
      </c>
      <c r="P63" s="15">
        <f t="shared" si="1"/>
        <v>157</v>
      </c>
      <c r="R63" s="8"/>
      <c r="T63"/>
    </row>
    <row r="64" spans="2:20" ht="23.1" customHeight="1" x14ac:dyDescent="0.25">
      <c r="B64" s="23" t="s">
        <v>109</v>
      </c>
      <c r="C64" s="49">
        <f>'Avg Week Ishaka-Katungulu'!C64+'Avg Week Katungulu-Ishaka'!C64</f>
        <v>2</v>
      </c>
      <c r="D64" s="49">
        <f>'Avg Week Ishaka-Katungulu'!D64+'Avg Week Katungulu-Ishaka'!D64</f>
        <v>1</v>
      </c>
      <c r="E64" s="49">
        <f>'Avg Week Ishaka-Katungulu'!E64+'Avg Week Katungulu-Ishaka'!E64</f>
        <v>2.5</v>
      </c>
      <c r="F64" s="49">
        <f>'Avg Week Ishaka-Katungulu'!F64+'Avg Week Katungulu-Ishaka'!F64</f>
        <v>1.5</v>
      </c>
      <c r="G64" s="49">
        <f>'Avg Week Ishaka-Katungulu'!G64+'Avg Week Katungulu-Ishaka'!G64</f>
        <v>0</v>
      </c>
      <c r="H64" s="49">
        <f>'Avg Week Ishaka-Katungulu'!H64+'Avg Week Katungulu-Ishaka'!H64</f>
        <v>0.5</v>
      </c>
      <c r="I64" s="49">
        <f>'Avg Week Ishaka-Katungulu'!I64+'Avg Week Katungulu-Ishaka'!I64</f>
        <v>1</v>
      </c>
      <c r="J64" s="49">
        <f>'Avg Week Ishaka-Katungulu'!J64+'Avg Week Katungulu-Ishaka'!J64</f>
        <v>1</v>
      </c>
      <c r="K64" s="49">
        <f>'Avg Week Ishaka-Katungulu'!K64+'Avg Week Katungulu-Ishaka'!K64</f>
        <v>0.5</v>
      </c>
      <c r="L64" s="49">
        <f>'Avg Week Ishaka-Katungulu'!L64+'Avg Week Katungulu-Ishaka'!L64</f>
        <v>0.5</v>
      </c>
      <c r="M64" s="49">
        <f>'Avg Week Ishaka-Katungulu'!M64+'Avg Week Katungulu-Ishaka'!M64</f>
        <v>40</v>
      </c>
      <c r="N64" s="49">
        <f>'Avg Week Ishaka-Katungulu'!N64+'Avg Week Katungulu-Ishaka'!N64</f>
        <v>0</v>
      </c>
      <c r="O64" s="15">
        <f t="shared" si="0"/>
        <v>10.5</v>
      </c>
      <c r="P64" s="15">
        <f t="shared" si="1"/>
        <v>50.5</v>
      </c>
      <c r="R64" s="8"/>
      <c r="T64"/>
    </row>
    <row r="65" spans="2:20" ht="23.1" customHeight="1" x14ac:dyDescent="0.25">
      <c r="B65" s="23" t="s">
        <v>158</v>
      </c>
      <c r="C65" s="49">
        <f>'Avg Week Ishaka-Katungulu'!C65+'Avg Week Katungulu-Ishaka'!C65</f>
        <v>4</v>
      </c>
      <c r="D65" s="49">
        <f>'Avg Week Ishaka-Katungulu'!D65+'Avg Week Katungulu-Ishaka'!D65</f>
        <v>2.5</v>
      </c>
      <c r="E65" s="49">
        <f>'Avg Week Ishaka-Katungulu'!E65+'Avg Week Katungulu-Ishaka'!E65</f>
        <v>5</v>
      </c>
      <c r="F65" s="49">
        <f>'Avg Week Ishaka-Katungulu'!F65+'Avg Week Katungulu-Ishaka'!F65</f>
        <v>3</v>
      </c>
      <c r="G65" s="49">
        <f>'Avg Week Ishaka-Katungulu'!G65+'Avg Week Katungulu-Ishaka'!G65</f>
        <v>0</v>
      </c>
      <c r="H65" s="49">
        <f>'Avg Week Ishaka-Katungulu'!H65+'Avg Week Katungulu-Ishaka'!H65</f>
        <v>1</v>
      </c>
      <c r="I65" s="49">
        <f>'Avg Week Ishaka-Katungulu'!I65+'Avg Week Katungulu-Ishaka'!I65</f>
        <v>2</v>
      </c>
      <c r="J65" s="49">
        <f>'Avg Week Ishaka-Katungulu'!J65+'Avg Week Katungulu-Ishaka'!J65</f>
        <v>2.5</v>
      </c>
      <c r="K65" s="49">
        <f>'Avg Week Ishaka-Katungulu'!K65+'Avg Week Katungulu-Ishaka'!K65</f>
        <v>1.5</v>
      </c>
      <c r="L65" s="49">
        <f>'Avg Week Ishaka-Katungulu'!L65+'Avg Week Katungulu-Ishaka'!L65</f>
        <v>1.5</v>
      </c>
      <c r="M65" s="49">
        <f>'Avg Week Ishaka-Katungulu'!M65+'Avg Week Katungulu-Ishaka'!M65</f>
        <v>88.5</v>
      </c>
      <c r="N65" s="49">
        <f>'Avg Week Ishaka-Katungulu'!N65+'Avg Week Katungulu-Ishaka'!N65</f>
        <v>0</v>
      </c>
      <c r="O65" s="15">
        <f t="shared" si="0"/>
        <v>23</v>
      </c>
      <c r="P65" s="15">
        <f t="shared" si="1"/>
        <v>111.5</v>
      </c>
      <c r="R65" s="8"/>
      <c r="T65"/>
    </row>
    <row r="66" spans="2:20" ht="23.1" customHeight="1" x14ac:dyDescent="0.25">
      <c r="B66" s="23" t="s">
        <v>103</v>
      </c>
      <c r="C66" s="49">
        <f>'Avg Week Ishaka-Katungulu'!C66+'Avg Week Katungulu-Ishaka'!C66</f>
        <v>5.5</v>
      </c>
      <c r="D66" s="49">
        <f>'Avg Week Ishaka-Katungulu'!D66+'Avg Week Katungulu-Ishaka'!D66</f>
        <v>1.5</v>
      </c>
      <c r="E66" s="49">
        <f>'Avg Week Ishaka-Katungulu'!E66+'Avg Week Katungulu-Ishaka'!E66</f>
        <v>3.5</v>
      </c>
      <c r="F66" s="49">
        <f>'Avg Week Ishaka-Katungulu'!F66+'Avg Week Katungulu-Ishaka'!F66</f>
        <v>3.5</v>
      </c>
      <c r="G66" s="49">
        <f>'Avg Week Ishaka-Katungulu'!G66+'Avg Week Katungulu-Ishaka'!G66</f>
        <v>0</v>
      </c>
      <c r="H66" s="49">
        <f>'Avg Week Ishaka-Katungulu'!H66+'Avg Week Katungulu-Ishaka'!H66</f>
        <v>0</v>
      </c>
      <c r="I66" s="49">
        <f>'Avg Week Ishaka-Katungulu'!I66+'Avg Week Katungulu-Ishaka'!I66</f>
        <v>1</v>
      </c>
      <c r="J66" s="49">
        <f>'Avg Week Ishaka-Katungulu'!J66+'Avg Week Katungulu-Ishaka'!J66</f>
        <v>0</v>
      </c>
      <c r="K66" s="49">
        <f>'Avg Week Ishaka-Katungulu'!K66+'Avg Week Katungulu-Ishaka'!K66</f>
        <v>2</v>
      </c>
      <c r="L66" s="49">
        <f>'Avg Week Ishaka-Katungulu'!L66+'Avg Week Katungulu-Ishaka'!L66</f>
        <v>1</v>
      </c>
      <c r="M66" s="49">
        <f>'Avg Week Ishaka-Katungulu'!M66+'Avg Week Katungulu-Ishaka'!M66</f>
        <v>21</v>
      </c>
      <c r="N66" s="49">
        <f>'Avg Week Ishaka-Katungulu'!N66+'Avg Week Katungulu-Ishaka'!N66</f>
        <v>0</v>
      </c>
      <c r="O66" s="15">
        <f t="shared" si="0"/>
        <v>18</v>
      </c>
      <c r="P66" s="15">
        <f t="shared" si="1"/>
        <v>39</v>
      </c>
      <c r="R66" s="8"/>
      <c r="T66"/>
    </row>
    <row r="67" spans="2:20" ht="23.1" customHeight="1" x14ac:dyDescent="0.25">
      <c r="B67" s="23" t="s">
        <v>104</v>
      </c>
      <c r="C67" s="49">
        <f>'Avg Week Ishaka-Katungulu'!C67+'Avg Week Katungulu-Ishaka'!C67</f>
        <v>9.5</v>
      </c>
      <c r="D67" s="49">
        <f>'Avg Week Ishaka-Katungulu'!D67+'Avg Week Katungulu-Ishaka'!D67</f>
        <v>3.5</v>
      </c>
      <c r="E67" s="49">
        <f>'Avg Week Ishaka-Katungulu'!E67+'Avg Week Katungulu-Ishaka'!E67</f>
        <v>7.5</v>
      </c>
      <c r="F67" s="49">
        <f>'Avg Week Ishaka-Katungulu'!F67+'Avg Week Katungulu-Ishaka'!F67</f>
        <v>7</v>
      </c>
      <c r="G67" s="49">
        <f>'Avg Week Ishaka-Katungulu'!G67+'Avg Week Katungulu-Ishaka'!G67</f>
        <v>0</v>
      </c>
      <c r="H67" s="49">
        <f>'Avg Week Ishaka-Katungulu'!H67+'Avg Week Katungulu-Ishaka'!H67</f>
        <v>0.5</v>
      </c>
      <c r="I67" s="49">
        <f>'Avg Week Ishaka-Katungulu'!I67+'Avg Week Katungulu-Ishaka'!I67</f>
        <v>2</v>
      </c>
      <c r="J67" s="49">
        <f>'Avg Week Ishaka-Katungulu'!J67+'Avg Week Katungulu-Ishaka'!J67</f>
        <v>0</v>
      </c>
      <c r="K67" s="49">
        <f>'Avg Week Ishaka-Katungulu'!K67+'Avg Week Katungulu-Ishaka'!K67</f>
        <v>4.5</v>
      </c>
      <c r="L67" s="49">
        <f>'Avg Week Ishaka-Katungulu'!L67+'Avg Week Katungulu-Ishaka'!L67</f>
        <v>2</v>
      </c>
      <c r="M67" s="49">
        <f>'Avg Week Ishaka-Katungulu'!M67+'Avg Week Katungulu-Ishaka'!M67</f>
        <v>42.5</v>
      </c>
      <c r="N67" s="49">
        <f>'Avg Week Ishaka-Katungulu'!N67+'Avg Week Katungulu-Ishaka'!N67</f>
        <v>0</v>
      </c>
      <c r="O67" s="15">
        <f t="shared" si="0"/>
        <v>36.5</v>
      </c>
      <c r="P67" s="15">
        <f t="shared" si="1"/>
        <v>79</v>
      </c>
      <c r="R67" s="8"/>
      <c r="T67"/>
    </row>
    <row r="68" spans="2:20" ht="23.1" customHeight="1" x14ac:dyDescent="0.25">
      <c r="B68" s="23" t="s">
        <v>105</v>
      </c>
      <c r="C68" s="49">
        <f>'Avg Week Ishaka-Katungulu'!C68+'Avg Week Katungulu-Ishaka'!C68</f>
        <v>2</v>
      </c>
      <c r="D68" s="49">
        <f>'Avg Week Ishaka-Katungulu'!D68+'Avg Week Katungulu-Ishaka'!D68</f>
        <v>2</v>
      </c>
      <c r="E68" s="49">
        <f>'Avg Week Ishaka-Katungulu'!E68+'Avg Week Katungulu-Ishaka'!E68</f>
        <v>3.5</v>
      </c>
      <c r="F68" s="49">
        <f>'Avg Week Ishaka-Katungulu'!F68+'Avg Week Katungulu-Ishaka'!F68</f>
        <v>1.5</v>
      </c>
      <c r="G68" s="49">
        <f>'Avg Week Ishaka-Katungulu'!G68+'Avg Week Katungulu-Ishaka'!G68</f>
        <v>0.5</v>
      </c>
      <c r="H68" s="49">
        <f>'Avg Week Ishaka-Katungulu'!H68+'Avg Week Katungulu-Ishaka'!H68</f>
        <v>0</v>
      </c>
      <c r="I68" s="49">
        <f>'Avg Week Ishaka-Katungulu'!I68+'Avg Week Katungulu-Ishaka'!I68</f>
        <v>0</v>
      </c>
      <c r="J68" s="49">
        <f>'Avg Week Ishaka-Katungulu'!J68+'Avg Week Katungulu-Ishaka'!J68</f>
        <v>0</v>
      </c>
      <c r="K68" s="49">
        <f>'Avg Week Ishaka-Katungulu'!K68+'Avg Week Katungulu-Ishaka'!K68</f>
        <v>1.5</v>
      </c>
      <c r="L68" s="49">
        <f>'Avg Week Ishaka-Katungulu'!L68+'Avg Week Katungulu-Ishaka'!L68</f>
        <v>0</v>
      </c>
      <c r="M68" s="49">
        <f>'Avg Week Ishaka-Katungulu'!M68+'Avg Week Katungulu-Ishaka'!M68</f>
        <v>13.5</v>
      </c>
      <c r="N68" s="49">
        <f>'Avg Week Ishaka-Katungulu'!N68+'Avg Week Katungulu-Ishaka'!N68</f>
        <v>0</v>
      </c>
      <c r="O68" s="15">
        <f t="shared" si="0"/>
        <v>11</v>
      </c>
      <c r="P68" s="15">
        <f t="shared" si="1"/>
        <v>24.5</v>
      </c>
      <c r="R68" s="8"/>
      <c r="T68"/>
    </row>
    <row r="69" spans="2:20" ht="23.1" customHeight="1" x14ac:dyDescent="0.25">
      <c r="B69" s="23" t="s">
        <v>106</v>
      </c>
      <c r="C69" s="49">
        <f>'Avg Week Ishaka-Katungulu'!C69+'Avg Week Katungulu-Ishaka'!C69</f>
        <v>7</v>
      </c>
      <c r="D69" s="49">
        <f>'Avg Week Ishaka-Katungulu'!D69+'Avg Week Katungulu-Ishaka'!D69</f>
        <v>4</v>
      </c>
      <c r="E69" s="49">
        <f>'Avg Week Ishaka-Katungulu'!E69+'Avg Week Katungulu-Ishaka'!E69</f>
        <v>8.5</v>
      </c>
      <c r="F69" s="49">
        <f>'Avg Week Ishaka-Katungulu'!F69+'Avg Week Katungulu-Ishaka'!F69</f>
        <v>4</v>
      </c>
      <c r="G69" s="49">
        <f>'Avg Week Ishaka-Katungulu'!G69+'Avg Week Katungulu-Ishaka'!G69</f>
        <v>1</v>
      </c>
      <c r="H69" s="49">
        <f>'Avg Week Ishaka-Katungulu'!H69+'Avg Week Katungulu-Ishaka'!H69</f>
        <v>0</v>
      </c>
      <c r="I69" s="49">
        <f>'Avg Week Ishaka-Katungulu'!I69+'Avg Week Katungulu-Ishaka'!I69</f>
        <v>0.5</v>
      </c>
      <c r="J69" s="49">
        <f>'Avg Week Ishaka-Katungulu'!J69+'Avg Week Katungulu-Ishaka'!J69</f>
        <v>1</v>
      </c>
      <c r="K69" s="49">
        <f>'Avg Week Ishaka-Katungulu'!K69+'Avg Week Katungulu-Ishaka'!K69</f>
        <v>3</v>
      </c>
      <c r="L69" s="49">
        <f>'Avg Week Ishaka-Katungulu'!L69+'Avg Week Katungulu-Ishaka'!L69</f>
        <v>1</v>
      </c>
      <c r="M69" s="49">
        <f>'Avg Week Ishaka-Katungulu'!M69+'Avg Week Katungulu-Ishaka'!M69</f>
        <v>28</v>
      </c>
      <c r="N69" s="49">
        <f>'Avg Week Ishaka-Katungulu'!N69+'Avg Week Katungulu-Ishaka'!N69</f>
        <v>0</v>
      </c>
      <c r="O69" s="15">
        <f t="shared" si="0"/>
        <v>30</v>
      </c>
      <c r="P69" s="15">
        <f t="shared" si="1"/>
        <v>58</v>
      </c>
      <c r="R69" s="8"/>
      <c r="T69"/>
    </row>
    <row r="70" spans="2:20" ht="23.1" customHeight="1" x14ac:dyDescent="0.25">
      <c r="B70" s="23" t="s">
        <v>110</v>
      </c>
      <c r="C70" s="49">
        <f>'Avg Week Ishaka-Katungulu'!C70+'Avg Week Katungulu-Ishaka'!C70</f>
        <v>3</v>
      </c>
      <c r="D70" s="49">
        <f>'Avg Week Ishaka-Katungulu'!D70+'Avg Week Katungulu-Ishaka'!D70</f>
        <v>2</v>
      </c>
      <c r="E70" s="49">
        <f>'Avg Week Ishaka-Katungulu'!E70+'Avg Week Katungulu-Ishaka'!E70</f>
        <v>4</v>
      </c>
      <c r="F70" s="49">
        <f>'Avg Week Ishaka-Katungulu'!F70+'Avg Week Katungulu-Ishaka'!F70</f>
        <v>2.5</v>
      </c>
      <c r="G70" s="49">
        <f>'Avg Week Ishaka-Katungulu'!G70+'Avg Week Katungulu-Ishaka'!G70</f>
        <v>0</v>
      </c>
      <c r="H70" s="49">
        <f>'Avg Week Ishaka-Katungulu'!H70+'Avg Week Katungulu-Ishaka'!H70</f>
        <v>0</v>
      </c>
      <c r="I70" s="49">
        <f>'Avg Week Ishaka-Katungulu'!I70+'Avg Week Katungulu-Ishaka'!I70</f>
        <v>0.5</v>
      </c>
      <c r="J70" s="49">
        <f>'Avg Week Ishaka-Katungulu'!J70+'Avg Week Katungulu-Ishaka'!J70</f>
        <v>2.5</v>
      </c>
      <c r="K70" s="49">
        <f>'Avg Week Ishaka-Katungulu'!K70+'Avg Week Katungulu-Ishaka'!K70</f>
        <v>0.5</v>
      </c>
      <c r="L70" s="49">
        <f>'Avg Week Ishaka-Katungulu'!L70+'Avg Week Katungulu-Ishaka'!L70</f>
        <v>0.5</v>
      </c>
      <c r="M70" s="49">
        <f>'Avg Week Ishaka-Katungulu'!M70+'Avg Week Katungulu-Ishaka'!M70</f>
        <v>8.5</v>
      </c>
      <c r="N70" s="49">
        <f>'Avg Week Ishaka-Katungulu'!N70+'Avg Week Katungulu-Ishaka'!N70</f>
        <v>0</v>
      </c>
      <c r="O70" s="15">
        <f t="shared" si="0"/>
        <v>15.5</v>
      </c>
      <c r="P70" s="15">
        <f t="shared" si="1"/>
        <v>24</v>
      </c>
      <c r="R70" s="8"/>
      <c r="T70"/>
    </row>
    <row r="71" spans="2:20" ht="23.1" customHeight="1" x14ac:dyDescent="0.25">
      <c r="B71" s="23" t="s">
        <v>111</v>
      </c>
      <c r="C71" s="49">
        <f>'Avg Week Ishaka-Katungulu'!C71+'Avg Week Katungulu-Ishaka'!C71</f>
        <v>6.5</v>
      </c>
      <c r="D71" s="49">
        <f>'Avg Week Ishaka-Katungulu'!D71+'Avg Week Katungulu-Ishaka'!D71</f>
        <v>4</v>
      </c>
      <c r="E71" s="49">
        <f>'Avg Week Ishaka-Katungulu'!E71+'Avg Week Katungulu-Ishaka'!E71</f>
        <v>10</v>
      </c>
      <c r="F71" s="49">
        <f>'Avg Week Ishaka-Katungulu'!F71+'Avg Week Katungulu-Ishaka'!F71</f>
        <v>5</v>
      </c>
      <c r="G71" s="49">
        <f>'Avg Week Ishaka-Katungulu'!G71+'Avg Week Katungulu-Ishaka'!G71</f>
        <v>0.5</v>
      </c>
      <c r="H71" s="49">
        <f>'Avg Week Ishaka-Katungulu'!H71+'Avg Week Katungulu-Ishaka'!H71</f>
        <v>0.5</v>
      </c>
      <c r="I71" s="49">
        <f>'Avg Week Ishaka-Katungulu'!I71+'Avg Week Katungulu-Ishaka'!I71</f>
        <v>2</v>
      </c>
      <c r="J71" s="49">
        <f>'Avg Week Ishaka-Katungulu'!J71+'Avg Week Katungulu-Ishaka'!J71</f>
        <v>5</v>
      </c>
      <c r="K71" s="49">
        <f>'Avg Week Ishaka-Katungulu'!K71+'Avg Week Katungulu-Ishaka'!K71</f>
        <v>2</v>
      </c>
      <c r="L71" s="49">
        <f>'Avg Week Ishaka-Katungulu'!L71+'Avg Week Katungulu-Ishaka'!L71</f>
        <v>1</v>
      </c>
      <c r="M71" s="49">
        <f>'Avg Week Ishaka-Katungulu'!M71+'Avg Week Katungulu-Ishaka'!M71</f>
        <v>17</v>
      </c>
      <c r="N71" s="49">
        <f>'Avg Week Ishaka-Katungulu'!N71+'Avg Week Katungulu-Ishaka'!N71</f>
        <v>0</v>
      </c>
      <c r="O71" s="15">
        <f t="shared" si="0"/>
        <v>36.5</v>
      </c>
      <c r="P71" s="15">
        <f t="shared" si="1"/>
        <v>53.5</v>
      </c>
      <c r="R71" s="8"/>
      <c r="T71"/>
    </row>
    <row r="72" spans="2:20" ht="23.1" customHeight="1" x14ac:dyDescent="0.25">
      <c r="B72" s="23" t="s">
        <v>112</v>
      </c>
      <c r="C72" s="49">
        <f>'Avg Week Ishaka-Katungulu'!C72+'Avg Week Katungulu-Ishaka'!C72</f>
        <v>3.5</v>
      </c>
      <c r="D72" s="49">
        <f>'Avg Week Ishaka-Katungulu'!D72+'Avg Week Katungulu-Ishaka'!D72</f>
        <v>2</v>
      </c>
      <c r="E72" s="49">
        <f>'Avg Week Ishaka-Katungulu'!E72+'Avg Week Katungulu-Ishaka'!E72</f>
        <v>3</v>
      </c>
      <c r="F72" s="49">
        <f>'Avg Week Ishaka-Katungulu'!F72+'Avg Week Katungulu-Ishaka'!F72</f>
        <v>0</v>
      </c>
      <c r="G72" s="49">
        <f>'Avg Week Ishaka-Katungulu'!G72+'Avg Week Katungulu-Ishaka'!G72</f>
        <v>0</v>
      </c>
      <c r="H72" s="49">
        <f>'Avg Week Ishaka-Katungulu'!H72+'Avg Week Katungulu-Ishaka'!H72</f>
        <v>0</v>
      </c>
      <c r="I72" s="49">
        <f>'Avg Week Ishaka-Katungulu'!I72+'Avg Week Katungulu-Ishaka'!I72</f>
        <v>0</v>
      </c>
      <c r="J72" s="49">
        <f>'Avg Week Ishaka-Katungulu'!J72+'Avg Week Katungulu-Ishaka'!J72</f>
        <v>2</v>
      </c>
      <c r="K72" s="49">
        <f>'Avg Week Ishaka-Katungulu'!K72+'Avg Week Katungulu-Ishaka'!K72</f>
        <v>3</v>
      </c>
      <c r="L72" s="49">
        <f>'Avg Week Ishaka-Katungulu'!L72+'Avg Week Katungulu-Ishaka'!L72</f>
        <v>1</v>
      </c>
      <c r="M72" s="49">
        <f>'Avg Week Ishaka-Katungulu'!M72+'Avg Week Katungulu-Ishaka'!M72</f>
        <v>10</v>
      </c>
      <c r="N72" s="49">
        <f>'Avg Week Ishaka-Katungulu'!N72+'Avg Week Katungulu-Ishaka'!N72</f>
        <v>0</v>
      </c>
      <c r="O72" s="15">
        <f t="shared" si="0"/>
        <v>14.5</v>
      </c>
      <c r="P72" s="15">
        <f t="shared" si="1"/>
        <v>24.5</v>
      </c>
      <c r="R72" s="8"/>
      <c r="T72"/>
    </row>
    <row r="73" spans="2:20" ht="23.1" customHeight="1" x14ac:dyDescent="0.25">
      <c r="B73" s="23" t="s">
        <v>113</v>
      </c>
      <c r="C73" s="49">
        <f>'Avg Week Ishaka-Katungulu'!C73+'Avg Week Katungulu-Ishaka'!C73</f>
        <v>7</v>
      </c>
      <c r="D73" s="49">
        <f>'Avg Week Ishaka-Katungulu'!D73+'Avg Week Katungulu-Ishaka'!D73</f>
        <v>4</v>
      </c>
      <c r="E73" s="49">
        <f>'Avg Week Ishaka-Katungulu'!E73+'Avg Week Katungulu-Ishaka'!E73</f>
        <v>6</v>
      </c>
      <c r="F73" s="49">
        <f>'Avg Week Ishaka-Katungulu'!F73+'Avg Week Katungulu-Ishaka'!F73</f>
        <v>0.5</v>
      </c>
      <c r="G73" s="49">
        <f>'Avg Week Ishaka-Katungulu'!G73+'Avg Week Katungulu-Ishaka'!G73</f>
        <v>0</v>
      </c>
      <c r="H73" s="49">
        <f>'Avg Week Ishaka-Katungulu'!H73+'Avg Week Katungulu-Ishaka'!H73</f>
        <v>0.5</v>
      </c>
      <c r="I73" s="49">
        <f>'Avg Week Ishaka-Katungulu'!I73+'Avg Week Katungulu-Ishaka'!I73</f>
        <v>0</v>
      </c>
      <c r="J73" s="49">
        <f>'Avg Week Ishaka-Katungulu'!J73+'Avg Week Katungulu-Ishaka'!J73</f>
        <v>3.5</v>
      </c>
      <c r="K73" s="49">
        <f>'Avg Week Ishaka-Katungulu'!K73+'Avg Week Katungulu-Ishaka'!K73</f>
        <v>5</v>
      </c>
      <c r="L73" s="49">
        <f>'Avg Week Ishaka-Katungulu'!L73+'Avg Week Katungulu-Ishaka'!L73</f>
        <v>1.5</v>
      </c>
      <c r="M73" s="49">
        <f>'Avg Week Ishaka-Katungulu'!M73+'Avg Week Katungulu-Ishaka'!M73</f>
        <v>20</v>
      </c>
      <c r="N73" s="49">
        <f>'Avg Week Ishaka-Katungulu'!N73+'Avg Week Katungulu-Ishaka'!N73</f>
        <v>0</v>
      </c>
      <c r="O73" s="15">
        <f t="shared" si="0"/>
        <v>28</v>
      </c>
      <c r="P73" s="15">
        <f t="shared" si="1"/>
        <v>48</v>
      </c>
      <c r="R73" s="8"/>
      <c r="T73"/>
    </row>
    <row r="74" spans="2:20" ht="23.1" customHeight="1" x14ac:dyDescent="0.25">
      <c r="B74" s="23" t="s">
        <v>114</v>
      </c>
      <c r="C74" s="49">
        <f>'Avg Week Ishaka-Katungulu'!C74+'Avg Week Katungulu-Ishaka'!C74</f>
        <v>2.5</v>
      </c>
      <c r="D74" s="49">
        <f>'Avg Week Ishaka-Katungulu'!D74+'Avg Week Katungulu-Ishaka'!D74</f>
        <v>1</v>
      </c>
      <c r="E74" s="49">
        <f>'Avg Week Ishaka-Katungulu'!E74+'Avg Week Katungulu-Ishaka'!E74</f>
        <v>1</v>
      </c>
      <c r="F74" s="49">
        <f>'Avg Week Ishaka-Katungulu'!F74+'Avg Week Katungulu-Ishaka'!F74</f>
        <v>2.5</v>
      </c>
      <c r="G74" s="49">
        <f>'Avg Week Ishaka-Katungulu'!G74+'Avg Week Katungulu-Ishaka'!G74</f>
        <v>0</v>
      </c>
      <c r="H74" s="49">
        <f>'Avg Week Ishaka-Katungulu'!H74+'Avg Week Katungulu-Ishaka'!H74</f>
        <v>0</v>
      </c>
      <c r="I74" s="49">
        <f>'Avg Week Ishaka-Katungulu'!I74+'Avg Week Katungulu-Ishaka'!I74</f>
        <v>1</v>
      </c>
      <c r="J74" s="49">
        <f>'Avg Week Ishaka-Katungulu'!J74+'Avg Week Katungulu-Ishaka'!J74</f>
        <v>2</v>
      </c>
      <c r="K74" s="49">
        <f>'Avg Week Ishaka-Katungulu'!K74+'Avg Week Katungulu-Ishaka'!K74</f>
        <v>1.5</v>
      </c>
      <c r="L74" s="49">
        <f>'Avg Week Ishaka-Katungulu'!L74+'Avg Week Katungulu-Ishaka'!L74</f>
        <v>1</v>
      </c>
      <c r="M74" s="49">
        <f>'Avg Week Ishaka-Katungulu'!M74+'Avg Week Katungulu-Ishaka'!M74</f>
        <v>7.5</v>
      </c>
      <c r="N74" s="49">
        <f>'Avg Week Ishaka-Katungulu'!N74+'Avg Week Katungulu-Ishaka'!N74</f>
        <v>0</v>
      </c>
      <c r="O74" s="15">
        <f t="shared" ref="O74:O105" si="35">SUM(C74:L74,N74)</f>
        <v>12.5</v>
      </c>
      <c r="P74" s="15">
        <f t="shared" ref="P74:P105" si="36">SUM(C74:N74)</f>
        <v>20</v>
      </c>
      <c r="R74" s="8"/>
      <c r="T74"/>
    </row>
    <row r="75" spans="2:20" ht="23.1" customHeight="1" x14ac:dyDescent="0.25">
      <c r="B75" s="23" t="s">
        <v>115</v>
      </c>
      <c r="C75" s="49">
        <f>'Avg Week Ishaka-Katungulu'!C75+'Avg Week Katungulu-Ishaka'!C75</f>
        <v>5</v>
      </c>
      <c r="D75" s="49">
        <f>'Avg Week Ishaka-Katungulu'!D75+'Avg Week Katungulu-Ishaka'!D75</f>
        <v>1.5</v>
      </c>
      <c r="E75" s="49">
        <f>'Avg Week Ishaka-Katungulu'!E75+'Avg Week Katungulu-Ishaka'!E75</f>
        <v>3</v>
      </c>
      <c r="F75" s="49">
        <f>'Avg Week Ishaka-Katungulu'!F75+'Avg Week Katungulu-Ishaka'!F75</f>
        <v>5</v>
      </c>
      <c r="G75" s="49">
        <f>'Avg Week Ishaka-Katungulu'!G75+'Avg Week Katungulu-Ishaka'!G75</f>
        <v>0.5</v>
      </c>
      <c r="H75" s="49">
        <f>'Avg Week Ishaka-Katungulu'!H75+'Avg Week Katungulu-Ishaka'!H75</f>
        <v>0.5</v>
      </c>
      <c r="I75" s="49">
        <f>'Avg Week Ishaka-Katungulu'!I75+'Avg Week Katungulu-Ishaka'!I75</f>
        <v>3</v>
      </c>
      <c r="J75" s="49">
        <f>'Avg Week Ishaka-Katungulu'!J75+'Avg Week Katungulu-Ishaka'!J75</f>
        <v>3</v>
      </c>
      <c r="K75" s="49">
        <f>'Avg Week Ishaka-Katungulu'!K75+'Avg Week Katungulu-Ishaka'!K75</f>
        <v>3</v>
      </c>
      <c r="L75" s="49">
        <f>'Avg Week Ishaka-Katungulu'!L75+'Avg Week Katungulu-Ishaka'!L75</f>
        <v>3</v>
      </c>
      <c r="M75" s="49">
        <f>'Avg Week Ishaka-Katungulu'!M75+'Avg Week Katungulu-Ishaka'!M75</f>
        <v>15</v>
      </c>
      <c r="N75" s="49">
        <f>'Avg Week Ishaka-Katungulu'!N75+'Avg Week Katungulu-Ishaka'!N75</f>
        <v>0</v>
      </c>
      <c r="O75" s="15">
        <f t="shared" si="35"/>
        <v>27.5</v>
      </c>
      <c r="P75" s="15">
        <f t="shared" si="36"/>
        <v>42.5</v>
      </c>
      <c r="R75" s="8"/>
      <c r="T75"/>
    </row>
    <row r="76" spans="2:20" ht="23.1" customHeight="1" x14ac:dyDescent="0.25">
      <c r="B76" s="23" t="s">
        <v>116</v>
      </c>
      <c r="C76" s="49">
        <f>'Avg Week Ishaka-Katungulu'!C76+'Avg Week Katungulu-Ishaka'!C76</f>
        <v>0.5</v>
      </c>
      <c r="D76" s="49">
        <f>'Avg Week Ishaka-Katungulu'!D76+'Avg Week Katungulu-Ishaka'!D76</f>
        <v>0</v>
      </c>
      <c r="E76" s="49">
        <f>'Avg Week Ishaka-Katungulu'!E76+'Avg Week Katungulu-Ishaka'!E76</f>
        <v>1.5</v>
      </c>
      <c r="F76" s="49">
        <f>'Avg Week Ishaka-Katungulu'!F76+'Avg Week Katungulu-Ishaka'!F76</f>
        <v>1</v>
      </c>
      <c r="G76" s="49">
        <f>'Avg Week Ishaka-Katungulu'!G76+'Avg Week Katungulu-Ishaka'!G76</f>
        <v>0</v>
      </c>
      <c r="H76" s="49">
        <f>'Avg Week Ishaka-Katungulu'!H76+'Avg Week Katungulu-Ishaka'!H76</f>
        <v>0</v>
      </c>
      <c r="I76" s="49">
        <f>'Avg Week Ishaka-Katungulu'!I76+'Avg Week Katungulu-Ishaka'!I76</f>
        <v>0.5</v>
      </c>
      <c r="J76" s="49">
        <f>'Avg Week Ishaka-Katungulu'!J76+'Avg Week Katungulu-Ishaka'!J76</f>
        <v>0</v>
      </c>
      <c r="K76" s="49">
        <f>'Avg Week Ishaka-Katungulu'!K76+'Avg Week Katungulu-Ishaka'!K76</f>
        <v>1.5</v>
      </c>
      <c r="L76" s="49">
        <f>'Avg Week Ishaka-Katungulu'!L76+'Avg Week Katungulu-Ishaka'!L76</f>
        <v>0</v>
      </c>
      <c r="M76" s="49">
        <f>'Avg Week Ishaka-Katungulu'!M76+'Avg Week Katungulu-Ishaka'!M76</f>
        <v>5</v>
      </c>
      <c r="N76" s="49">
        <f>'Avg Week Ishaka-Katungulu'!N76+'Avg Week Katungulu-Ishaka'!N76</f>
        <v>0</v>
      </c>
      <c r="O76" s="15">
        <f t="shared" si="35"/>
        <v>5</v>
      </c>
      <c r="P76" s="15">
        <f t="shared" si="36"/>
        <v>10</v>
      </c>
      <c r="R76" s="8"/>
      <c r="T76"/>
    </row>
    <row r="77" spans="2:20" ht="23.1" customHeight="1" x14ac:dyDescent="0.25">
      <c r="B77" s="23" t="s">
        <v>117</v>
      </c>
      <c r="C77" s="49">
        <f>'Avg Week Ishaka-Katungulu'!C77+'Avg Week Katungulu-Ishaka'!C77</f>
        <v>2</v>
      </c>
      <c r="D77" s="49">
        <f>'Avg Week Ishaka-Katungulu'!D77+'Avg Week Katungulu-Ishaka'!D77</f>
        <v>1.5</v>
      </c>
      <c r="E77" s="49">
        <f>'Avg Week Ishaka-Katungulu'!E77+'Avg Week Katungulu-Ishaka'!E77</f>
        <v>2</v>
      </c>
      <c r="F77" s="49">
        <f>'Avg Week Ishaka-Katungulu'!F77+'Avg Week Katungulu-Ishaka'!F77</f>
        <v>3</v>
      </c>
      <c r="G77" s="49">
        <f>'Avg Week Ishaka-Katungulu'!G77+'Avg Week Katungulu-Ishaka'!G77</f>
        <v>0.5</v>
      </c>
      <c r="H77" s="49">
        <f>'Avg Week Ishaka-Katungulu'!H77+'Avg Week Katungulu-Ishaka'!H77</f>
        <v>1</v>
      </c>
      <c r="I77" s="49">
        <f>'Avg Week Ishaka-Katungulu'!I77+'Avg Week Katungulu-Ishaka'!I77</f>
        <v>1</v>
      </c>
      <c r="J77" s="49">
        <f>'Avg Week Ishaka-Katungulu'!J77+'Avg Week Katungulu-Ishaka'!J77</f>
        <v>0.5</v>
      </c>
      <c r="K77" s="49">
        <f>'Avg Week Ishaka-Katungulu'!K77+'Avg Week Katungulu-Ishaka'!K77</f>
        <v>4</v>
      </c>
      <c r="L77" s="49">
        <f>'Avg Week Ishaka-Katungulu'!L77+'Avg Week Katungulu-Ishaka'!L77</f>
        <v>0.5</v>
      </c>
      <c r="M77" s="49">
        <f>'Avg Week Ishaka-Katungulu'!M77+'Avg Week Katungulu-Ishaka'!M77</f>
        <v>9.5</v>
      </c>
      <c r="N77" s="49">
        <f>'Avg Week Ishaka-Katungulu'!N77+'Avg Week Katungulu-Ishaka'!N77</f>
        <v>0</v>
      </c>
      <c r="O77" s="15">
        <f t="shared" si="35"/>
        <v>16</v>
      </c>
      <c r="P77" s="15">
        <f t="shared" si="36"/>
        <v>25.5</v>
      </c>
      <c r="R77" s="8"/>
      <c r="T77"/>
    </row>
    <row r="78" spans="2:20" ht="23.1" customHeight="1" x14ac:dyDescent="0.25">
      <c r="B78" s="24" t="s">
        <v>118</v>
      </c>
      <c r="C78" s="49">
        <f>'Avg Week Ishaka-Katungulu'!C78+'Avg Week Katungulu-Ishaka'!C78</f>
        <v>1</v>
      </c>
      <c r="D78" s="49">
        <f>'Avg Week Ishaka-Katungulu'!D78+'Avg Week Katungulu-Ishaka'!D78</f>
        <v>0.5</v>
      </c>
      <c r="E78" s="49">
        <f>'Avg Week Ishaka-Katungulu'!E78+'Avg Week Katungulu-Ishaka'!E78</f>
        <v>1.5</v>
      </c>
      <c r="F78" s="49">
        <f>'Avg Week Ishaka-Katungulu'!F78+'Avg Week Katungulu-Ishaka'!F78</f>
        <v>0.5</v>
      </c>
      <c r="G78" s="49">
        <f>'Avg Week Ishaka-Katungulu'!G78+'Avg Week Katungulu-Ishaka'!G78</f>
        <v>0</v>
      </c>
      <c r="H78" s="49">
        <f>'Avg Week Ishaka-Katungulu'!H78+'Avg Week Katungulu-Ishaka'!H78</f>
        <v>0.5</v>
      </c>
      <c r="I78" s="49">
        <f>'Avg Week Ishaka-Katungulu'!I78+'Avg Week Katungulu-Ishaka'!I78</f>
        <v>0.5</v>
      </c>
      <c r="J78" s="49">
        <f>'Avg Week Ishaka-Katungulu'!J78+'Avg Week Katungulu-Ishaka'!J78</f>
        <v>1</v>
      </c>
      <c r="K78" s="49">
        <f>'Avg Week Ishaka-Katungulu'!K78+'Avg Week Katungulu-Ishaka'!K78</f>
        <v>0</v>
      </c>
      <c r="L78" s="49">
        <f>'Avg Week Ishaka-Katungulu'!L78+'Avg Week Katungulu-Ishaka'!L78</f>
        <v>0</v>
      </c>
      <c r="M78" s="49">
        <f>'Avg Week Ishaka-Katungulu'!M78+'Avg Week Katungulu-Ishaka'!M78</f>
        <v>3</v>
      </c>
      <c r="N78" s="49">
        <f>'Avg Week Ishaka-Katungulu'!N78+'Avg Week Katungulu-Ishaka'!N78</f>
        <v>0</v>
      </c>
      <c r="O78" s="15">
        <f t="shared" si="35"/>
        <v>5.5</v>
      </c>
      <c r="P78" s="15">
        <f t="shared" si="36"/>
        <v>8.5</v>
      </c>
      <c r="R78" s="8"/>
      <c r="T78"/>
    </row>
    <row r="79" spans="2:20" ht="23.1" customHeight="1" x14ac:dyDescent="0.25">
      <c r="B79" s="23" t="s">
        <v>119</v>
      </c>
      <c r="C79" s="49">
        <f>'Avg Week Ishaka-Katungulu'!C79+'Avg Week Katungulu-Ishaka'!C79</f>
        <v>3</v>
      </c>
      <c r="D79" s="49">
        <f>'Avg Week Ishaka-Katungulu'!D79+'Avg Week Katungulu-Ishaka'!D79</f>
        <v>1.5</v>
      </c>
      <c r="E79" s="49">
        <f>'Avg Week Ishaka-Katungulu'!E79+'Avg Week Katungulu-Ishaka'!E79</f>
        <v>3</v>
      </c>
      <c r="F79" s="49">
        <f>'Avg Week Ishaka-Katungulu'!F79+'Avg Week Katungulu-Ishaka'!F79</f>
        <v>2.5</v>
      </c>
      <c r="G79" s="49">
        <f>'Avg Week Ishaka-Katungulu'!G79+'Avg Week Katungulu-Ishaka'!G79</f>
        <v>0</v>
      </c>
      <c r="H79" s="49">
        <f>'Avg Week Ishaka-Katungulu'!H79+'Avg Week Katungulu-Ishaka'!H79</f>
        <v>1.5</v>
      </c>
      <c r="I79" s="49">
        <f>'Avg Week Ishaka-Katungulu'!I79+'Avg Week Katungulu-Ishaka'!I79</f>
        <v>1.5</v>
      </c>
      <c r="J79" s="49">
        <f>'Avg Week Ishaka-Katungulu'!J79+'Avg Week Katungulu-Ishaka'!J79</f>
        <v>2</v>
      </c>
      <c r="K79" s="49">
        <f>'Avg Week Ishaka-Katungulu'!K79+'Avg Week Katungulu-Ishaka'!K79</f>
        <v>0.5</v>
      </c>
      <c r="L79" s="49">
        <f>'Avg Week Ishaka-Katungulu'!L79+'Avg Week Katungulu-Ishaka'!L79</f>
        <v>1</v>
      </c>
      <c r="M79" s="49">
        <f>'Avg Week Ishaka-Katungulu'!M79+'Avg Week Katungulu-Ishaka'!M79</f>
        <v>6.5</v>
      </c>
      <c r="N79" s="49">
        <f>'Avg Week Ishaka-Katungulu'!N79+'Avg Week Katungulu-Ishaka'!N79</f>
        <v>0</v>
      </c>
      <c r="O79" s="15">
        <f t="shared" si="35"/>
        <v>16.5</v>
      </c>
      <c r="P79" s="15">
        <f t="shared" si="36"/>
        <v>23</v>
      </c>
      <c r="R79" s="8"/>
      <c r="T79"/>
    </row>
    <row r="80" spans="2:20" ht="23.1" customHeight="1" x14ac:dyDescent="0.25">
      <c r="B80" s="25" t="s">
        <v>120</v>
      </c>
      <c r="C80" s="49">
        <f>'Avg Week Ishaka-Katungulu'!C80+'Avg Week Katungulu-Ishaka'!C80</f>
        <v>0</v>
      </c>
      <c r="D80" s="49">
        <f>'Avg Week Ishaka-Katungulu'!D80+'Avg Week Katungulu-Ishaka'!D80</f>
        <v>0</v>
      </c>
      <c r="E80" s="49">
        <f>'Avg Week Ishaka-Katungulu'!E80+'Avg Week Katungulu-Ishaka'!E80</f>
        <v>0</v>
      </c>
      <c r="F80" s="49">
        <f>'Avg Week Ishaka-Katungulu'!F80+'Avg Week Katungulu-Ishaka'!F80</f>
        <v>1.5</v>
      </c>
      <c r="G80" s="49">
        <f>'Avg Week Ishaka-Katungulu'!G80+'Avg Week Katungulu-Ishaka'!G80</f>
        <v>0</v>
      </c>
      <c r="H80" s="49">
        <f>'Avg Week Ishaka-Katungulu'!H80+'Avg Week Katungulu-Ishaka'!H80</f>
        <v>0.5</v>
      </c>
      <c r="I80" s="49">
        <f>'Avg Week Ishaka-Katungulu'!I80+'Avg Week Katungulu-Ishaka'!I80</f>
        <v>0</v>
      </c>
      <c r="J80" s="49">
        <f>'Avg Week Ishaka-Katungulu'!J80+'Avg Week Katungulu-Ishaka'!J80</f>
        <v>1</v>
      </c>
      <c r="K80" s="49">
        <f>'Avg Week Ishaka-Katungulu'!K80+'Avg Week Katungulu-Ishaka'!K80</f>
        <v>0</v>
      </c>
      <c r="L80" s="49">
        <f>'Avg Week Ishaka-Katungulu'!L80+'Avg Week Katungulu-Ishaka'!L80</f>
        <v>1.5</v>
      </c>
      <c r="M80" s="49">
        <f>'Avg Week Ishaka-Katungulu'!M80+'Avg Week Katungulu-Ishaka'!M80</f>
        <v>2.5</v>
      </c>
      <c r="N80" s="49">
        <f>'Avg Week Ishaka-Katungulu'!N80+'Avg Week Katungulu-Ishaka'!N80</f>
        <v>0</v>
      </c>
      <c r="O80" s="15">
        <f t="shared" si="35"/>
        <v>4.5</v>
      </c>
      <c r="P80" s="15">
        <f t="shared" si="36"/>
        <v>7</v>
      </c>
      <c r="R80" s="8"/>
      <c r="T80"/>
    </row>
    <row r="81" spans="2:20" ht="23.1" customHeight="1" x14ac:dyDescent="0.25">
      <c r="B81" s="23" t="s">
        <v>121</v>
      </c>
      <c r="C81" s="49">
        <f>'Avg Week Ishaka-Katungulu'!C81+'Avg Week Katungulu-Ishaka'!C81</f>
        <v>1</v>
      </c>
      <c r="D81" s="49">
        <f>'Avg Week Ishaka-Katungulu'!D81+'Avg Week Katungulu-Ishaka'!D81</f>
        <v>0</v>
      </c>
      <c r="E81" s="49">
        <f>'Avg Week Ishaka-Katungulu'!E81+'Avg Week Katungulu-Ishaka'!E81</f>
        <v>1.5</v>
      </c>
      <c r="F81" s="49">
        <f>'Avg Week Ishaka-Katungulu'!F81+'Avg Week Katungulu-Ishaka'!F81</f>
        <v>4</v>
      </c>
      <c r="G81" s="49">
        <f>'Avg Week Ishaka-Katungulu'!G81+'Avg Week Katungulu-Ishaka'!G81</f>
        <v>0.5</v>
      </c>
      <c r="H81" s="49">
        <f>'Avg Week Ishaka-Katungulu'!H81+'Avg Week Katungulu-Ishaka'!H81</f>
        <v>1</v>
      </c>
      <c r="I81" s="49">
        <f>'Avg Week Ishaka-Katungulu'!I81+'Avg Week Katungulu-Ishaka'!I81</f>
        <v>0</v>
      </c>
      <c r="J81" s="49">
        <f>'Avg Week Ishaka-Katungulu'!J81+'Avg Week Katungulu-Ishaka'!J81</f>
        <v>2.5</v>
      </c>
      <c r="K81" s="49">
        <f>'Avg Week Ishaka-Katungulu'!K81+'Avg Week Katungulu-Ishaka'!K81</f>
        <v>0</v>
      </c>
      <c r="L81" s="49">
        <f>'Avg Week Ishaka-Katungulu'!L81+'Avg Week Katungulu-Ishaka'!L81</f>
        <v>2.5</v>
      </c>
      <c r="M81" s="49">
        <f>'Avg Week Ishaka-Katungulu'!M81+'Avg Week Katungulu-Ishaka'!M81</f>
        <v>6</v>
      </c>
      <c r="N81" s="49">
        <f>'Avg Week Ishaka-Katungulu'!N81+'Avg Week Katungulu-Ishaka'!N81</f>
        <v>0</v>
      </c>
      <c r="O81" s="15">
        <f t="shared" si="35"/>
        <v>13</v>
      </c>
      <c r="P81" s="15">
        <f t="shared" si="36"/>
        <v>19</v>
      </c>
      <c r="R81" s="8"/>
      <c r="T81"/>
    </row>
    <row r="82" spans="2:20" ht="23.1" customHeight="1" x14ac:dyDescent="0.25">
      <c r="B82" s="24" t="s">
        <v>122</v>
      </c>
      <c r="C82" s="49">
        <f>'Avg Week Ishaka-Katungulu'!C82+'Avg Week Katungulu-Ishaka'!C82</f>
        <v>0</v>
      </c>
      <c r="D82" s="49">
        <f>'Avg Week Ishaka-Katungulu'!D82+'Avg Week Katungulu-Ishaka'!D82</f>
        <v>0</v>
      </c>
      <c r="E82" s="49">
        <f>'Avg Week Ishaka-Katungulu'!E82+'Avg Week Katungulu-Ishaka'!E82</f>
        <v>0.5</v>
      </c>
      <c r="F82" s="49">
        <f>'Avg Week Ishaka-Katungulu'!F82+'Avg Week Katungulu-Ishaka'!F82</f>
        <v>0</v>
      </c>
      <c r="G82" s="49">
        <f>'Avg Week Ishaka-Katungulu'!G82+'Avg Week Katungulu-Ishaka'!G82</f>
        <v>0</v>
      </c>
      <c r="H82" s="49">
        <f>'Avg Week Ishaka-Katungulu'!H82+'Avg Week Katungulu-Ishaka'!H82</f>
        <v>0</v>
      </c>
      <c r="I82" s="49">
        <f>'Avg Week Ishaka-Katungulu'!I82+'Avg Week Katungulu-Ishaka'!I82</f>
        <v>0</v>
      </c>
      <c r="J82" s="49">
        <f>'Avg Week Ishaka-Katungulu'!J82+'Avg Week Katungulu-Ishaka'!J82</f>
        <v>0</v>
      </c>
      <c r="K82" s="49">
        <f>'Avg Week Ishaka-Katungulu'!K82+'Avg Week Katungulu-Ishaka'!K82</f>
        <v>0</v>
      </c>
      <c r="L82" s="49">
        <f>'Avg Week Ishaka-Katungulu'!L82+'Avg Week Katungulu-Ishaka'!L82</f>
        <v>0</v>
      </c>
      <c r="M82" s="49">
        <f>'Avg Week Ishaka-Katungulu'!M82+'Avg Week Katungulu-Ishaka'!M82</f>
        <v>2.5</v>
      </c>
      <c r="N82" s="49">
        <f>'Avg Week Ishaka-Katungulu'!N82+'Avg Week Katungulu-Ishaka'!N82</f>
        <v>0</v>
      </c>
      <c r="O82" s="15">
        <f t="shared" si="35"/>
        <v>0.5</v>
      </c>
      <c r="P82" s="15">
        <f t="shared" si="36"/>
        <v>3</v>
      </c>
      <c r="R82" s="8"/>
      <c r="T82"/>
    </row>
    <row r="83" spans="2:20" ht="23.1" customHeight="1" x14ac:dyDescent="0.25">
      <c r="B83" s="23" t="s">
        <v>123</v>
      </c>
      <c r="C83" s="49">
        <f>'Avg Week Ishaka-Katungulu'!C83+'Avg Week Katungulu-Ishaka'!C83</f>
        <v>1.5</v>
      </c>
      <c r="D83" s="49">
        <f>'Avg Week Ishaka-Katungulu'!D83+'Avg Week Katungulu-Ishaka'!D83</f>
        <v>0.5</v>
      </c>
      <c r="E83" s="49">
        <f>'Avg Week Ishaka-Katungulu'!E83+'Avg Week Katungulu-Ishaka'!E83</f>
        <v>2</v>
      </c>
      <c r="F83" s="49">
        <f>'Avg Week Ishaka-Katungulu'!F83+'Avg Week Katungulu-Ishaka'!F83</f>
        <v>0.5</v>
      </c>
      <c r="G83" s="49">
        <f>'Avg Week Ishaka-Katungulu'!G83+'Avg Week Katungulu-Ishaka'!G83</f>
        <v>0</v>
      </c>
      <c r="H83" s="49">
        <f>'Avg Week Ishaka-Katungulu'!H83+'Avg Week Katungulu-Ishaka'!H83</f>
        <v>0</v>
      </c>
      <c r="I83" s="49">
        <f>'Avg Week Ishaka-Katungulu'!I83+'Avg Week Katungulu-Ishaka'!I83</f>
        <v>0</v>
      </c>
      <c r="J83" s="49">
        <f>'Avg Week Ishaka-Katungulu'!J83+'Avg Week Katungulu-Ishaka'!J83</f>
        <v>1</v>
      </c>
      <c r="K83" s="49">
        <f>'Avg Week Ishaka-Katungulu'!K83+'Avg Week Katungulu-Ishaka'!K83</f>
        <v>0.5</v>
      </c>
      <c r="L83" s="49">
        <f>'Avg Week Ishaka-Katungulu'!L83+'Avg Week Katungulu-Ishaka'!L83</f>
        <v>0</v>
      </c>
      <c r="M83" s="49">
        <f>'Avg Week Ishaka-Katungulu'!M83+'Avg Week Katungulu-Ishaka'!M83</f>
        <v>6</v>
      </c>
      <c r="N83" s="49">
        <f>'Avg Week Ishaka-Katungulu'!N83+'Avg Week Katungulu-Ishaka'!N83</f>
        <v>0</v>
      </c>
      <c r="O83" s="15">
        <f t="shared" si="35"/>
        <v>6</v>
      </c>
      <c r="P83" s="15">
        <f t="shared" si="36"/>
        <v>12</v>
      </c>
      <c r="R83" s="8"/>
      <c r="T83"/>
    </row>
    <row r="84" spans="2:20" ht="23.1" customHeight="1" x14ac:dyDescent="0.25">
      <c r="B84" s="25" t="s">
        <v>124</v>
      </c>
      <c r="C84" s="49">
        <f>'Avg Week Ishaka-Katungulu'!C84+'Avg Week Katungulu-Ishaka'!C84</f>
        <v>0</v>
      </c>
      <c r="D84" s="49">
        <f>'Avg Week Ishaka-Katungulu'!D84+'Avg Week Katungulu-Ishaka'!D84</f>
        <v>0</v>
      </c>
      <c r="E84" s="49">
        <f>'Avg Week Ishaka-Katungulu'!E84+'Avg Week Katungulu-Ishaka'!E84</f>
        <v>0.5</v>
      </c>
      <c r="F84" s="49">
        <f>'Avg Week Ishaka-Katungulu'!F84+'Avg Week Katungulu-Ishaka'!F84</f>
        <v>0.5</v>
      </c>
      <c r="G84" s="49">
        <f>'Avg Week Ishaka-Katungulu'!G84+'Avg Week Katungulu-Ishaka'!G84</f>
        <v>0</v>
      </c>
      <c r="H84" s="49">
        <f>'Avg Week Ishaka-Katungulu'!H84+'Avg Week Katungulu-Ishaka'!H84</f>
        <v>0</v>
      </c>
      <c r="I84" s="49">
        <f>'Avg Week Ishaka-Katungulu'!I84+'Avg Week Katungulu-Ishaka'!I84</f>
        <v>0</v>
      </c>
      <c r="J84" s="49">
        <f>'Avg Week Ishaka-Katungulu'!J84+'Avg Week Katungulu-Ishaka'!J84</f>
        <v>0.5</v>
      </c>
      <c r="K84" s="49">
        <f>'Avg Week Ishaka-Katungulu'!K84+'Avg Week Katungulu-Ishaka'!K84</f>
        <v>0</v>
      </c>
      <c r="L84" s="49">
        <f>'Avg Week Ishaka-Katungulu'!L84+'Avg Week Katungulu-Ishaka'!L84</f>
        <v>0</v>
      </c>
      <c r="M84" s="49">
        <f>'Avg Week Ishaka-Katungulu'!M84+'Avg Week Katungulu-Ishaka'!M84</f>
        <v>3.5</v>
      </c>
      <c r="N84" s="49">
        <f>'Avg Week Ishaka-Katungulu'!N84+'Avg Week Katungulu-Ishaka'!N84</f>
        <v>0</v>
      </c>
      <c r="O84" s="15">
        <f t="shared" si="35"/>
        <v>1.5</v>
      </c>
      <c r="P84" s="15">
        <f t="shared" si="36"/>
        <v>5</v>
      </c>
      <c r="R84" s="8"/>
      <c r="T84"/>
    </row>
    <row r="85" spans="2:20" ht="23.1" customHeight="1" x14ac:dyDescent="0.25">
      <c r="B85" s="23" t="s">
        <v>125</v>
      </c>
      <c r="C85" s="49">
        <f>'Avg Week Ishaka-Katungulu'!C85+'Avg Week Katungulu-Ishaka'!C85</f>
        <v>1</v>
      </c>
      <c r="D85" s="49">
        <f>'Avg Week Ishaka-Katungulu'!D85+'Avg Week Katungulu-Ishaka'!D85</f>
        <v>0.5</v>
      </c>
      <c r="E85" s="49">
        <f>'Avg Week Ishaka-Katungulu'!E85+'Avg Week Katungulu-Ishaka'!E85</f>
        <v>1.5</v>
      </c>
      <c r="F85" s="49">
        <f>'Avg Week Ishaka-Katungulu'!F85+'Avg Week Katungulu-Ishaka'!F85</f>
        <v>1</v>
      </c>
      <c r="G85" s="49">
        <f>'Avg Week Ishaka-Katungulu'!G85+'Avg Week Katungulu-Ishaka'!G85</f>
        <v>0</v>
      </c>
      <c r="H85" s="49">
        <f>'Avg Week Ishaka-Katungulu'!H85+'Avg Week Katungulu-Ishaka'!H85</f>
        <v>0.5</v>
      </c>
      <c r="I85" s="49">
        <f>'Avg Week Ishaka-Katungulu'!I85+'Avg Week Katungulu-Ishaka'!I85</f>
        <v>0</v>
      </c>
      <c r="J85" s="49">
        <f>'Avg Week Ishaka-Katungulu'!J85+'Avg Week Katungulu-Ishaka'!J85</f>
        <v>1</v>
      </c>
      <c r="K85" s="49">
        <f>'Avg Week Ishaka-Katungulu'!K85+'Avg Week Katungulu-Ishaka'!K85</f>
        <v>0.5</v>
      </c>
      <c r="L85" s="49">
        <f>'Avg Week Ishaka-Katungulu'!L85+'Avg Week Katungulu-Ishaka'!L85</f>
        <v>1</v>
      </c>
      <c r="M85" s="49">
        <f>'Avg Week Ishaka-Katungulu'!M85+'Avg Week Katungulu-Ishaka'!M85</f>
        <v>6</v>
      </c>
      <c r="N85" s="49">
        <f>'Avg Week Ishaka-Katungulu'!N85+'Avg Week Katungulu-Ishaka'!N85</f>
        <v>0</v>
      </c>
      <c r="O85" s="15">
        <f t="shared" si="35"/>
        <v>7</v>
      </c>
      <c r="P85" s="15">
        <f t="shared" si="36"/>
        <v>13</v>
      </c>
      <c r="R85" s="8"/>
      <c r="T85"/>
    </row>
    <row r="86" spans="2:20" ht="23.1" customHeight="1" x14ac:dyDescent="0.25">
      <c r="B86" s="24" t="s">
        <v>126</v>
      </c>
      <c r="C86" s="49">
        <f>'Avg Week Ishaka-Katungulu'!C86+'Avg Week Katungulu-Ishaka'!C86</f>
        <v>0</v>
      </c>
      <c r="D86" s="49">
        <f>'Avg Week Ishaka-Katungulu'!D86+'Avg Week Katungulu-Ishaka'!D86</f>
        <v>0</v>
      </c>
      <c r="E86" s="49">
        <f>'Avg Week Ishaka-Katungulu'!E86+'Avg Week Katungulu-Ishaka'!E86</f>
        <v>0</v>
      </c>
      <c r="F86" s="49">
        <f>'Avg Week Ishaka-Katungulu'!F86+'Avg Week Katungulu-Ishaka'!F86</f>
        <v>0</v>
      </c>
      <c r="G86" s="49">
        <f>'Avg Week Ishaka-Katungulu'!G86+'Avg Week Katungulu-Ishaka'!G86</f>
        <v>0</v>
      </c>
      <c r="H86" s="49">
        <f>'Avg Week Ishaka-Katungulu'!H86+'Avg Week Katungulu-Ishaka'!H86</f>
        <v>0</v>
      </c>
      <c r="I86" s="49">
        <f>'Avg Week Ishaka-Katungulu'!I86+'Avg Week Katungulu-Ishaka'!I86</f>
        <v>0</v>
      </c>
      <c r="J86" s="49">
        <f>'Avg Week Ishaka-Katungulu'!J86+'Avg Week Katungulu-Ishaka'!J86</f>
        <v>0</v>
      </c>
      <c r="K86" s="49">
        <f>'Avg Week Ishaka-Katungulu'!K86+'Avg Week Katungulu-Ishaka'!K86</f>
        <v>0.5</v>
      </c>
      <c r="L86" s="49">
        <f>'Avg Week Ishaka-Katungulu'!L86+'Avg Week Katungulu-Ishaka'!L86</f>
        <v>0.5</v>
      </c>
      <c r="M86" s="49">
        <f>'Avg Week Ishaka-Katungulu'!M86+'Avg Week Katungulu-Ishaka'!M86</f>
        <v>0</v>
      </c>
      <c r="N86" s="49">
        <f>'Avg Week Ishaka-Katungulu'!N86+'Avg Week Katungulu-Ishaka'!N86</f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23" t="s">
        <v>127</v>
      </c>
      <c r="C87" s="49">
        <f>'Avg Week Ishaka-Katungulu'!C87+'Avg Week Katungulu-Ishaka'!C87</f>
        <v>0</v>
      </c>
      <c r="D87" s="49">
        <f>'Avg Week Ishaka-Katungulu'!D87+'Avg Week Katungulu-Ishaka'!D87</f>
        <v>0</v>
      </c>
      <c r="E87" s="49">
        <f>'Avg Week Ishaka-Katungulu'!E87+'Avg Week Katungulu-Ishaka'!E87</f>
        <v>0.5</v>
      </c>
      <c r="F87" s="49">
        <f>'Avg Week Ishaka-Katungulu'!F87+'Avg Week Katungulu-Ishaka'!F87</f>
        <v>0.5</v>
      </c>
      <c r="G87" s="49">
        <f>'Avg Week Ishaka-Katungulu'!G87+'Avg Week Katungulu-Ishaka'!G87</f>
        <v>0</v>
      </c>
      <c r="H87" s="49">
        <f>'Avg Week Ishaka-Katungulu'!H87+'Avg Week Katungulu-Ishaka'!H87</f>
        <v>0</v>
      </c>
      <c r="I87" s="49">
        <f>'Avg Week Ishaka-Katungulu'!I87+'Avg Week Katungulu-Ishaka'!I87</f>
        <v>0</v>
      </c>
      <c r="J87" s="49">
        <f>'Avg Week Ishaka-Katungulu'!J87+'Avg Week Katungulu-Ishaka'!J87</f>
        <v>0.5</v>
      </c>
      <c r="K87" s="49">
        <f>'Avg Week Ishaka-Katungulu'!K87+'Avg Week Katungulu-Ishaka'!K87</f>
        <v>1.5</v>
      </c>
      <c r="L87" s="49">
        <f>'Avg Week Ishaka-Katungulu'!L87+'Avg Week Katungulu-Ishaka'!L87</f>
        <v>1.5</v>
      </c>
      <c r="M87" s="49">
        <f>'Avg Week Ishaka-Katungulu'!M87+'Avg Week Katungulu-Ishaka'!M87</f>
        <v>1</v>
      </c>
      <c r="N87" s="49">
        <f>'Avg Week Ishaka-Katungulu'!N87+'Avg Week Katungulu-Ishaka'!N87</f>
        <v>0</v>
      </c>
      <c r="O87" s="15">
        <f t="shared" si="35"/>
        <v>4.5</v>
      </c>
      <c r="P87" s="15">
        <f t="shared" si="36"/>
        <v>5.5</v>
      </c>
      <c r="R87" s="8"/>
      <c r="T87"/>
    </row>
    <row r="88" spans="2:20" ht="23.1" customHeight="1" x14ac:dyDescent="0.25">
      <c r="B88" s="25" t="s">
        <v>128</v>
      </c>
      <c r="C88" s="49">
        <f>'Avg Week Ishaka-Katungulu'!C88+'Avg Week Katungulu-Ishaka'!C88</f>
        <v>0.5</v>
      </c>
      <c r="D88" s="49">
        <f>'Avg Week Ishaka-Katungulu'!D88+'Avg Week Katungulu-Ishaka'!D88</f>
        <v>0</v>
      </c>
      <c r="E88" s="49">
        <f>'Avg Week Ishaka-Katungulu'!E88+'Avg Week Katungulu-Ishaka'!E88</f>
        <v>0</v>
      </c>
      <c r="F88" s="49">
        <f>'Avg Week Ishaka-Katungulu'!F88+'Avg Week Katungulu-Ishaka'!F88</f>
        <v>0</v>
      </c>
      <c r="G88" s="49">
        <f>'Avg Week Ishaka-Katungulu'!G88+'Avg Week Katungulu-Ishaka'!G88</f>
        <v>0</v>
      </c>
      <c r="H88" s="49">
        <f>'Avg Week Ishaka-Katungulu'!H88+'Avg Week Katungulu-Ishaka'!H88</f>
        <v>0</v>
      </c>
      <c r="I88" s="49">
        <f>'Avg Week Ishaka-Katungulu'!I88+'Avg Week Katungulu-Ishaka'!I88</f>
        <v>0</v>
      </c>
      <c r="J88" s="49">
        <f>'Avg Week Ishaka-Katungulu'!J88+'Avg Week Katungulu-Ishaka'!J88</f>
        <v>0</v>
      </c>
      <c r="K88" s="49">
        <f>'Avg Week Ishaka-Katungulu'!K88+'Avg Week Katungulu-Ishaka'!K88</f>
        <v>0</v>
      </c>
      <c r="L88" s="49">
        <f>'Avg Week Ishaka-Katungulu'!L88+'Avg Week Katungulu-Ishaka'!L88</f>
        <v>0</v>
      </c>
      <c r="M88" s="49">
        <f>'Avg Week Ishaka-Katungulu'!M88+'Avg Week Katungulu-Ishaka'!M88</f>
        <v>0</v>
      </c>
      <c r="N88" s="49">
        <f>'Avg Week Ishaka-Katungulu'!N88+'Avg Week Katungulu-Ishaka'!N88</f>
        <v>0</v>
      </c>
      <c r="O88" s="15">
        <f t="shared" si="35"/>
        <v>0.5</v>
      </c>
      <c r="P88" s="15">
        <f t="shared" si="36"/>
        <v>0.5</v>
      </c>
      <c r="R88" s="8"/>
      <c r="T88"/>
    </row>
    <row r="89" spans="2:20" ht="23.1" customHeight="1" x14ac:dyDescent="0.25">
      <c r="B89" s="23" t="s">
        <v>129</v>
      </c>
      <c r="C89" s="49">
        <f>'Avg Week Ishaka-Katungulu'!C89+'Avg Week Katungulu-Ishaka'!C89</f>
        <v>1</v>
      </c>
      <c r="D89" s="49">
        <f>'Avg Week Ishaka-Katungulu'!D89+'Avg Week Katungulu-Ishaka'!D89</f>
        <v>0</v>
      </c>
      <c r="E89" s="49">
        <f>'Avg Week Ishaka-Katungulu'!E89+'Avg Week Katungulu-Ishaka'!E89</f>
        <v>1</v>
      </c>
      <c r="F89" s="49">
        <f>'Avg Week Ishaka-Katungulu'!F89+'Avg Week Katungulu-Ishaka'!F89</f>
        <v>0</v>
      </c>
      <c r="G89" s="49">
        <f>'Avg Week Ishaka-Katungulu'!G89+'Avg Week Katungulu-Ishaka'!G89</f>
        <v>0</v>
      </c>
      <c r="H89" s="49">
        <f>'Avg Week Ishaka-Katungulu'!H89+'Avg Week Katungulu-Ishaka'!H89</f>
        <v>0</v>
      </c>
      <c r="I89" s="49">
        <f>'Avg Week Ishaka-Katungulu'!I89+'Avg Week Katungulu-Ishaka'!I89</f>
        <v>0</v>
      </c>
      <c r="J89" s="49">
        <f>'Avg Week Ishaka-Katungulu'!J89+'Avg Week Katungulu-Ishaka'!J89</f>
        <v>0.5</v>
      </c>
      <c r="K89" s="49">
        <f>'Avg Week Ishaka-Katungulu'!K89+'Avg Week Katungulu-Ishaka'!K89</f>
        <v>0.5</v>
      </c>
      <c r="L89" s="49">
        <f>'Avg Week Ishaka-Katungulu'!L89+'Avg Week Katungulu-Ishaka'!L89</f>
        <v>0.5</v>
      </c>
      <c r="M89" s="49">
        <f>'Avg Week Ishaka-Katungulu'!M89+'Avg Week Katungulu-Ishaka'!M89</f>
        <v>0</v>
      </c>
      <c r="N89" s="49">
        <f>'Avg Week Ishaka-Katungulu'!N89+'Avg Week Katungulu-Ishaka'!N89</f>
        <v>0</v>
      </c>
      <c r="O89" s="15">
        <f t="shared" si="35"/>
        <v>3.5</v>
      </c>
      <c r="P89" s="15">
        <f t="shared" si="36"/>
        <v>3.5</v>
      </c>
      <c r="R89" s="8"/>
      <c r="T89"/>
    </row>
    <row r="90" spans="2:20" ht="23.1" customHeight="1" x14ac:dyDescent="0.25">
      <c r="B90" s="24" t="s">
        <v>130</v>
      </c>
      <c r="C90" s="49">
        <f>'Avg Week Ishaka-Katungulu'!C90+'Avg Week Katungulu-Ishaka'!C90</f>
        <v>0</v>
      </c>
      <c r="D90" s="49">
        <f>'Avg Week Ishaka-Katungulu'!D90+'Avg Week Katungulu-Ishaka'!D90</f>
        <v>0</v>
      </c>
      <c r="E90" s="49">
        <f>'Avg Week Ishaka-Katungulu'!E90+'Avg Week Katungulu-Ishaka'!E90</f>
        <v>0</v>
      </c>
      <c r="F90" s="49">
        <f>'Avg Week Ishaka-Katungulu'!F90+'Avg Week Katungulu-Ishaka'!F90</f>
        <v>0</v>
      </c>
      <c r="G90" s="49">
        <f>'Avg Week Ishaka-Katungulu'!G90+'Avg Week Katungulu-Ishaka'!G90</f>
        <v>0</v>
      </c>
      <c r="H90" s="49">
        <f>'Avg Week Ishaka-Katungulu'!H90+'Avg Week Katungulu-Ishaka'!H90</f>
        <v>0</v>
      </c>
      <c r="I90" s="49">
        <f>'Avg Week Ishaka-Katungulu'!I90+'Avg Week Katungulu-Ishaka'!I90</f>
        <v>0</v>
      </c>
      <c r="J90" s="49">
        <f>'Avg Week Ishaka-Katungulu'!J90+'Avg Week Katungulu-Ishaka'!J90</f>
        <v>0</v>
      </c>
      <c r="K90" s="49">
        <f>'Avg Week Ishaka-Katungulu'!K90+'Avg Week Katungulu-Ishaka'!K90</f>
        <v>0</v>
      </c>
      <c r="L90" s="49">
        <f>'Avg Week Ishaka-Katungulu'!L90+'Avg Week Katungulu-Ishaka'!L90</f>
        <v>0.5</v>
      </c>
      <c r="M90" s="49">
        <f>'Avg Week Ishaka-Katungulu'!M90+'Avg Week Katungulu-Ishaka'!M90</f>
        <v>0</v>
      </c>
      <c r="N90" s="49">
        <f>'Avg Week Ishaka-Katungulu'!N90+'Avg Week Katungulu-Ishaka'!N90</f>
        <v>0</v>
      </c>
      <c r="O90" s="15">
        <f t="shared" si="35"/>
        <v>0.5</v>
      </c>
      <c r="P90" s="15">
        <f t="shared" si="36"/>
        <v>0.5</v>
      </c>
      <c r="R90" s="8"/>
      <c r="T90"/>
    </row>
    <row r="91" spans="2:20" ht="23.1" customHeight="1" x14ac:dyDescent="0.25">
      <c r="B91" s="23" t="s">
        <v>131</v>
      </c>
      <c r="C91" s="49">
        <f>'Avg Week Ishaka-Katungulu'!C91+'Avg Week Katungulu-Ishaka'!C91</f>
        <v>0</v>
      </c>
      <c r="D91" s="49">
        <f>'Avg Week Ishaka-Katungulu'!D91+'Avg Week Katungulu-Ishaka'!D91</f>
        <v>0</v>
      </c>
      <c r="E91" s="49">
        <f>'Avg Week Ishaka-Katungulu'!E91+'Avg Week Katungulu-Ishaka'!E91</f>
        <v>0.5</v>
      </c>
      <c r="F91" s="49">
        <f>'Avg Week Ishaka-Katungulu'!F91+'Avg Week Katungulu-Ishaka'!F91</f>
        <v>0.5</v>
      </c>
      <c r="G91" s="49">
        <f>'Avg Week Ishaka-Katungulu'!G91+'Avg Week Katungulu-Ishaka'!G91</f>
        <v>0</v>
      </c>
      <c r="H91" s="49">
        <f>'Avg Week Ishaka-Katungulu'!H91+'Avg Week Katungulu-Ishaka'!H91</f>
        <v>0</v>
      </c>
      <c r="I91" s="49">
        <f>'Avg Week Ishaka-Katungulu'!I91+'Avg Week Katungulu-Ishaka'!I91</f>
        <v>0</v>
      </c>
      <c r="J91" s="49">
        <f>'Avg Week Ishaka-Katungulu'!J91+'Avg Week Katungulu-Ishaka'!J91</f>
        <v>0</v>
      </c>
      <c r="K91" s="49">
        <f>'Avg Week Ishaka-Katungulu'!K91+'Avg Week Katungulu-Ishaka'!K91</f>
        <v>0</v>
      </c>
      <c r="L91" s="49">
        <f>'Avg Week Ishaka-Katungulu'!L91+'Avg Week Katungulu-Ishaka'!L91</f>
        <v>1.5</v>
      </c>
      <c r="M91" s="49">
        <f>'Avg Week Ishaka-Katungulu'!M91+'Avg Week Katungulu-Ishaka'!M91</f>
        <v>0</v>
      </c>
      <c r="N91" s="49">
        <f>'Avg Week Ishaka-Katungulu'!N91+'Avg Week Katungulu-Ishaka'!N91</f>
        <v>0</v>
      </c>
      <c r="O91" s="15">
        <f t="shared" si="35"/>
        <v>2.5</v>
      </c>
      <c r="P91" s="15">
        <f t="shared" si="36"/>
        <v>2.5</v>
      </c>
      <c r="R91" s="8"/>
      <c r="T91"/>
    </row>
    <row r="92" spans="2:20" ht="23.1" customHeight="1" x14ac:dyDescent="0.25">
      <c r="B92" s="25" t="s">
        <v>132</v>
      </c>
      <c r="C92" s="49">
        <f>'Avg Week Ishaka-Katungulu'!C92+'Avg Week Katungulu-Ishaka'!C92</f>
        <v>0</v>
      </c>
      <c r="D92" s="49">
        <f>'Avg Week Ishaka-Katungulu'!D92+'Avg Week Katungulu-Ishaka'!D92</f>
        <v>0</v>
      </c>
      <c r="E92" s="49">
        <f>'Avg Week Ishaka-Katungulu'!E92+'Avg Week Katungulu-Ishaka'!E92</f>
        <v>0</v>
      </c>
      <c r="F92" s="49">
        <f>'Avg Week Ishaka-Katungulu'!F92+'Avg Week Katungulu-Ishaka'!F92</f>
        <v>0</v>
      </c>
      <c r="G92" s="49">
        <f>'Avg Week Ishaka-Katungulu'!G92+'Avg Week Katungulu-Ishaka'!G92</f>
        <v>0</v>
      </c>
      <c r="H92" s="49">
        <f>'Avg Week Ishaka-Katungulu'!H92+'Avg Week Katungulu-Ishaka'!H92</f>
        <v>0</v>
      </c>
      <c r="I92" s="49">
        <f>'Avg Week Ishaka-Katungulu'!I92+'Avg Week Katungulu-Ishaka'!I92</f>
        <v>0</v>
      </c>
      <c r="J92" s="49">
        <f>'Avg Week Ishaka-Katungulu'!J92+'Avg Week Katungulu-Ishaka'!J92</f>
        <v>0</v>
      </c>
      <c r="K92" s="49">
        <f>'Avg Week Ishaka-Katungulu'!K92+'Avg Week Katungulu-Ishaka'!K92</f>
        <v>0</v>
      </c>
      <c r="L92" s="49">
        <f>'Avg Week Ishaka-Katungulu'!L92+'Avg Week Katungulu-Ishaka'!L92</f>
        <v>0</v>
      </c>
      <c r="M92" s="49">
        <f>'Avg Week Ishaka-Katungulu'!M92+'Avg Week Katungulu-Ishaka'!M92</f>
        <v>0</v>
      </c>
      <c r="N92" s="49">
        <f>'Avg Week Ishaka-Katungulu'!N92+'Avg Week Katungulu-Ishaka'!N92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'Avg Week Ishaka-Katungulu'!C93+'Avg Week Katungulu-Ishaka'!C93</f>
        <v>0</v>
      </c>
      <c r="D93" s="49">
        <f>'Avg Week Ishaka-Katungulu'!D93+'Avg Week Katungulu-Ishaka'!D93</f>
        <v>0</v>
      </c>
      <c r="E93" s="49">
        <f>'Avg Week Ishaka-Katungulu'!E93+'Avg Week Katungulu-Ishaka'!E93</f>
        <v>0</v>
      </c>
      <c r="F93" s="49">
        <f>'Avg Week Ishaka-Katungulu'!F93+'Avg Week Katungulu-Ishaka'!F93</f>
        <v>0</v>
      </c>
      <c r="G93" s="49">
        <f>'Avg Week Ishaka-Katungulu'!G93+'Avg Week Katungulu-Ishaka'!G93</f>
        <v>0</v>
      </c>
      <c r="H93" s="49">
        <f>'Avg Week Ishaka-Katungulu'!H93+'Avg Week Katungulu-Ishaka'!H93</f>
        <v>0</v>
      </c>
      <c r="I93" s="49">
        <f>'Avg Week Ishaka-Katungulu'!I93+'Avg Week Katungulu-Ishaka'!I93</f>
        <v>0</v>
      </c>
      <c r="J93" s="49">
        <f>'Avg Week Ishaka-Katungulu'!J93+'Avg Week Katungulu-Ishaka'!J93</f>
        <v>0.5</v>
      </c>
      <c r="K93" s="49">
        <f>'Avg Week Ishaka-Katungulu'!K93+'Avg Week Katungulu-Ishaka'!K93</f>
        <v>0</v>
      </c>
      <c r="L93" s="49">
        <f>'Avg Week Ishaka-Katungulu'!L93+'Avg Week Katungulu-Ishaka'!L93</f>
        <v>0</v>
      </c>
      <c r="M93" s="49">
        <f>'Avg Week Ishaka-Katungulu'!M93+'Avg Week Katungulu-Ishaka'!M93</f>
        <v>0</v>
      </c>
      <c r="N93" s="49">
        <f>'Avg Week Ishaka-Katungulu'!N93+'Avg Week Katungulu-Ishaka'!N93</f>
        <v>0</v>
      </c>
      <c r="O93" s="15">
        <f t="shared" si="35"/>
        <v>0.5</v>
      </c>
      <c r="P93" s="15">
        <f t="shared" si="36"/>
        <v>0.5</v>
      </c>
      <c r="R93" s="8"/>
      <c r="T93"/>
    </row>
    <row r="94" spans="2:20" ht="23.1" customHeight="1" x14ac:dyDescent="0.25">
      <c r="B94" s="24" t="s">
        <v>134</v>
      </c>
      <c r="C94" s="49">
        <f>'Avg Week Ishaka-Katungulu'!C94+'Avg Week Katungulu-Ishaka'!C94</f>
        <v>0</v>
      </c>
      <c r="D94" s="49">
        <f>'Avg Week Ishaka-Katungulu'!D94+'Avg Week Katungulu-Ishaka'!D94</f>
        <v>0</v>
      </c>
      <c r="E94" s="49">
        <f>'Avg Week Ishaka-Katungulu'!E94+'Avg Week Katungulu-Ishaka'!E94</f>
        <v>0</v>
      </c>
      <c r="F94" s="49">
        <f>'Avg Week Ishaka-Katungulu'!F94+'Avg Week Katungulu-Ishaka'!F94</f>
        <v>0</v>
      </c>
      <c r="G94" s="49">
        <f>'Avg Week Ishaka-Katungulu'!G94+'Avg Week Katungulu-Ishaka'!G94</f>
        <v>0</v>
      </c>
      <c r="H94" s="49">
        <f>'Avg Week Ishaka-Katungulu'!H94+'Avg Week Katungulu-Ishaka'!H94</f>
        <v>0</v>
      </c>
      <c r="I94" s="49">
        <f>'Avg Week Ishaka-Katungulu'!I94+'Avg Week Katungulu-Ishaka'!I94</f>
        <v>0</v>
      </c>
      <c r="J94" s="49">
        <f>'Avg Week Ishaka-Katungulu'!J94+'Avg Week Katungulu-Ishaka'!J94</f>
        <v>0</v>
      </c>
      <c r="K94" s="49">
        <f>'Avg Week Ishaka-Katungulu'!K94+'Avg Week Katungulu-Ishaka'!K94</f>
        <v>0</v>
      </c>
      <c r="L94" s="49">
        <f>'Avg Week Ishaka-Katungulu'!L94+'Avg Week Katungulu-Ishaka'!L94</f>
        <v>0</v>
      </c>
      <c r="M94" s="49">
        <f>'Avg Week Ishaka-Katungulu'!M94+'Avg Week Katungulu-Ishaka'!M94</f>
        <v>0</v>
      </c>
      <c r="N94" s="49">
        <f>'Avg Week Ishaka-Katungulu'!N94+'Avg Week Katungulu-Ishaka'!N94</f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23" t="s">
        <v>135</v>
      </c>
      <c r="C95" s="49">
        <f>'Avg Week Ishaka-Katungulu'!C95+'Avg Week Katungulu-Ishaka'!C95</f>
        <v>0.5</v>
      </c>
      <c r="D95" s="49">
        <f>'Avg Week Ishaka-Katungulu'!D95+'Avg Week Katungulu-Ishaka'!D95</f>
        <v>0</v>
      </c>
      <c r="E95" s="49">
        <f>'Avg Week Ishaka-Katungulu'!E95+'Avg Week Katungulu-Ishaka'!E95</f>
        <v>0.5</v>
      </c>
      <c r="F95" s="49">
        <f>'Avg Week Ishaka-Katungulu'!F95+'Avg Week Katungulu-Ishaka'!F95</f>
        <v>0</v>
      </c>
      <c r="G95" s="49">
        <f>'Avg Week Ishaka-Katungulu'!G95+'Avg Week Katungulu-Ishaka'!G95</f>
        <v>0</v>
      </c>
      <c r="H95" s="49">
        <f>'Avg Week Ishaka-Katungulu'!H95+'Avg Week Katungulu-Ishaka'!H95</f>
        <v>0</v>
      </c>
      <c r="I95" s="49">
        <f>'Avg Week Ishaka-Katungulu'!I95+'Avg Week Katungulu-Ishaka'!I95</f>
        <v>0</v>
      </c>
      <c r="J95" s="49">
        <f>'Avg Week Ishaka-Katungulu'!J95+'Avg Week Katungulu-Ishaka'!J95</f>
        <v>0.5</v>
      </c>
      <c r="K95" s="49">
        <f>'Avg Week Ishaka-Katungulu'!K95+'Avg Week Katungulu-Ishaka'!K95</f>
        <v>0.5</v>
      </c>
      <c r="L95" s="49">
        <f>'Avg Week Ishaka-Katungulu'!L95+'Avg Week Katungulu-Ishaka'!L95</f>
        <v>2</v>
      </c>
      <c r="M95" s="49">
        <f>'Avg Week Ishaka-Katungulu'!M95+'Avg Week Katungulu-Ishaka'!M95</f>
        <v>0</v>
      </c>
      <c r="N95" s="49">
        <f>'Avg Week Ishaka-Katungulu'!N95+'Avg Week Katungulu-Ishaka'!N95</f>
        <v>0</v>
      </c>
      <c r="O95" s="15">
        <f t="shared" si="35"/>
        <v>4</v>
      </c>
      <c r="P95" s="15">
        <f t="shared" si="36"/>
        <v>4</v>
      </c>
      <c r="R95" s="8"/>
      <c r="T95"/>
    </row>
    <row r="96" spans="2:20" ht="23.1" customHeight="1" x14ac:dyDescent="0.25">
      <c r="B96" s="25" t="s">
        <v>136</v>
      </c>
      <c r="C96" s="49">
        <f>'Avg Week Ishaka-Katungulu'!C96+'Avg Week Katungulu-Ishaka'!C96</f>
        <v>0.5</v>
      </c>
      <c r="D96" s="49">
        <f>'Avg Week Ishaka-Katungulu'!D96+'Avg Week Katungulu-Ishaka'!D96</f>
        <v>0</v>
      </c>
      <c r="E96" s="49">
        <f>'Avg Week Ishaka-Katungulu'!E96+'Avg Week Katungulu-Ishaka'!E96</f>
        <v>0</v>
      </c>
      <c r="F96" s="49">
        <f>'Avg Week Ishaka-Katungulu'!F96+'Avg Week Katungulu-Ishaka'!F96</f>
        <v>0</v>
      </c>
      <c r="G96" s="49">
        <f>'Avg Week Ishaka-Katungulu'!G96+'Avg Week Katungulu-Ishaka'!G96</f>
        <v>0</v>
      </c>
      <c r="H96" s="49">
        <f>'Avg Week Ishaka-Katungulu'!H96+'Avg Week Katungulu-Ishaka'!H96</f>
        <v>0</v>
      </c>
      <c r="I96" s="49">
        <f>'Avg Week Ishaka-Katungulu'!I96+'Avg Week Katungulu-Ishaka'!I96</f>
        <v>0</v>
      </c>
      <c r="J96" s="49">
        <f>'Avg Week Ishaka-Katungulu'!J96+'Avg Week Katungulu-Ishaka'!J96</f>
        <v>0</v>
      </c>
      <c r="K96" s="49">
        <f>'Avg Week Ishaka-Katungulu'!K96+'Avg Week Katungulu-Ishaka'!K96</f>
        <v>0.5</v>
      </c>
      <c r="L96" s="49">
        <f>'Avg Week Ishaka-Katungulu'!L96+'Avg Week Katungulu-Ishaka'!L96</f>
        <v>0</v>
      </c>
      <c r="M96" s="49">
        <f>'Avg Week Ishaka-Katungulu'!M96+'Avg Week Katungulu-Ishaka'!M96</f>
        <v>0</v>
      </c>
      <c r="N96" s="49">
        <f>'Avg Week Ishaka-Katungulu'!N96+'Avg Week Katungulu-Ishaka'!N96</f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23" t="s">
        <v>137</v>
      </c>
      <c r="C97" s="49">
        <f>'Avg Week Ishaka-Katungulu'!C97+'Avg Week Katungulu-Ishaka'!C97</f>
        <v>1</v>
      </c>
      <c r="D97" s="49">
        <f>'Avg Week Ishaka-Katungulu'!D97+'Avg Week Katungulu-Ishaka'!D97</f>
        <v>0</v>
      </c>
      <c r="E97" s="49">
        <f>'Avg Week Ishaka-Katungulu'!E97+'Avg Week Katungulu-Ishaka'!E97</f>
        <v>0.5</v>
      </c>
      <c r="F97" s="49">
        <f>'Avg Week Ishaka-Katungulu'!F97+'Avg Week Katungulu-Ishaka'!F97</f>
        <v>0</v>
      </c>
      <c r="G97" s="49">
        <f>'Avg Week Ishaka-Katungulu'!G97+'Avg Week Katungulu-Ishaka'!G97</f>
        <v>0</v>
      </c>
      <c r="H97" s="49">
        <f>'Avg Week Ishaka-Katungulu'!H97+'Avg Week Katungulu-Ishaka'!H97</f>
        <v>0</v>
      </c>
      <c r="I97" s="49">
        <f>'Avg Week Ishaka-Katungulu'!I97+'Avg Week Katungulu-Ishaka'!I97</f>
        <v>0</v>
      </c>
      <c r="J97" s="49">
        <f>'Avg Week Ishaka-Katungulu'!J97+'Avg Week Katungulu-Ishaka'!J97</f>
        <v>0</v>
      </c>
      <c r="K97" s="49">
        <f>'Avg Week Ishaka-Katungulu'!K97+'Avg Week Katungulu-Ishaka'!K97</f>
        <v>1.5</v>
      </c>
      <c r="L97" s="49">
        <f>'Avg Week Ishaka-Katungulu'!L97+'Avg Week Katungulu-Ishaka'!L97</f>
        <v>1</v>
      </c>
      <c r="M97" s="49">
        <f>'Avg Week Ishaka-Katungulu'!M97+'Avg Week Katungulu-Ishaka'!M97</f>
        <v>0</v>
      </c>
      <c r="N97" s="49">
        <f>'Avg Week Ishaka-Katungulu'!N97+'Avg Week Katungulu-Ishaka'!N97</f>
        <v>0</v>
      </c>
      <c r="O97" s="15">
        <f t="shared" si="35"/>
        <v>4</v>
      </c>
      <c r="P97" s="15">
        <f t="shared" si="36"/>
        <v>4</v>
      </c>
      <c r="R97" s="8"/>
      <c r="T97"/>
    </row>
    <row r="98" spans="2:20" ht="23.1" customHeight="1" x14ac:dyDescent="0.25">
      <c r="B98" s="24" t="s">
        <v>138</v>
      </c>
      <c r="C98" s="49">
        <f>'Avg Week Ishaka-Katungulu'!C98+'Avg Week Katungulu-Ishaka'!C98</f>
        <v>1</v>
      </c>
      <c r="D98" s="49">
        <f>'Avg Week Ishaka-Katungulu'!D98+'Avg Week Katungulu-Ishaka'!D98</f>
        <v>0</v>
      </c>
      <c r="E98" s="49">
        <f>'Avg Week Ishaka-Katungulu'!E98+'Avg Week Katungulu-Ishaka'!E98</f>
        <v>1</v>
      </c>
      <c r="F98" s="49">
        <f>'Avg Week Ishaka-Katungulu'!F98+'Avg Week Katungulu-Ishaka'!F98</f>
        <v>1</v>
      </c>
      <c r="G98" s="49">
        <f>'Avg Week Ishaka-Katungulu'!G98+'Avg Week Katungulu-Ishaka'!G98</f>
        <v>0</v>
      </c>
      <c r="H98" s="49">
        <f>'Avg Week Ishaka-Katungulu'!H98+'Avg Week Katungulu-Ishaka'!H98</f>
        <v>0</v>
      </c>
      <c r="I98" s="49">
        <f>'Avg Week Ishaka-Katungulu'!I98+'Avg Week Katungulu-Ishaka'!I98</f>
        <v>0</v>
      </c>
      <c r="J98" s="49">
        <f>'Avg Week Ishaka-Katungulu'!J98+'Avg Week Katungulu-Ishaka'!J98</f>
        <v>0</v>
      </c>
      <c r="K98" s="49">
        <f>'Avg Week Ishaka-Katungulu'!K98+'Avg Week Katungulu-Ishaka'!K98</f>
        <v>0.5</v>
      </c>
      <c r="L98" s="49">
        <f>'Avg Week Ishaka-Katungulu'!L98+'Avg Week Katungulu-Ishaka'!L98</f>
        <v>1</v>
      </c>
      <c r="M98" s="49">
        <f>'Avg Week Ishaka-Katungulu'!M98+'Avg Week Katungulu-Ishaka'!M98</f>
        <v>1</v>
      </c>
      <c r="N98" s="49">
        <f>'Avg Week Ishaka-Katungulu'!N98+'Avg Week Katungulu-Ishaka'!N98</f>
        <v>0</v>
      </c>
      <c r="O98" s="15">
        <f t="shared" si="35"/>
        <v>4.5</v>
      </c>
      <c r="P98" s="15">
        <f t="shared" si="36"/>
        <v>5.5</v>
      </c>
      <c r="R98" s="8"/>
      <c r="T98"/>
    </row>
    <row r="99" spans="2:20" ht="23.1" customHeight="1" x14ac:dyDescent="0.25">
      <c r="B99" s="23" t="s">
        <v>139</v>
      </c>
      <c r="C99" s="49">
        <f>'Avg Week Ishaka-Katungulu'!C99+'Avg Week Katungulu-Ishaka'!C99</f>
        <v>3.5</v>
      </c>
      <c r="D99" s="49">
        <f>'Avg Week Ishaka-Katungulu'!D99+'Avg Week Katungulu-Ishaka'!D99</f>
        <v>1</v>
      </c>
      <c r="E99" s="49">
        <f>'Avg Week Ishaka-Katungulu'!E99+'Avg Week Katungulu-Ishaka'!E99</f>
        <v>2</v>
      </c>
      <c r="F99" s="49">
        <f>'Avg Week Ishaka-Katungulu'!F99+'Avg Week Katungulu-Ishaka'!F99</f>
        <v>3</v>
      </c>
      <c r="G99" s="49">
        <f>'Avg Week Ishaka-Katungulu'!G99+'Avg Week Katungulu-Ishaka'!G99</f>
        <v>0</v>
      </c>
      <c r="H99" s="49">
        <f>'Avg Week Ishaka-Katungulu'!H99+'Avg Week Katungulu-Ishaka'!H99</f>
        <v>0</v>
      </c>
      <c r="I99" s="49">
        <f>'Avg Week Ishaka-Katungulu'!I99+'Avg Week Katungulu-Ishaka'!I99</f>
        <v>0</v>
      </c>
      <c r="J99" s="49">
        <f>'Avg Week Ishaka-Katungulu'!J99+'Avg Week Katungulu-Ishaka'!J99</f>
        <v>0</v>
      </c>
      <c r="K99" s="49">
        <f>'Avg Week Ishaka-Katungulu'!K99+'Avg Week Katungulu-Ishaka'!K99</f>
        <v>1.5</v>
      </c>
      <c r="L99" s="49">
        <f>'Avg Week Ishaka-Katungulu'!L99+'Avg Week Katungulu-Ishaka'!L99</f>
        <v>3</v>
      </c>
      <c r="M99" s="49">
        <f>'Avg Week Ishaka-Katungulu'!M99+'Avg Week Katungulu-Ishaka'!M99</f>
        <v>3.5</v>
      </c>
      <c r="N99" s="49">
        <f>'Avg Week Ishaka-Katungulu'!N99+'Avg Week Katungulu-Ishaka'!N99</f>
        <v>0</v>
      </c>
      <c r="O99" s="15">
        <f t="shared" si="35"/>
        <v>14</v>
      </c>
      <c r="P99" s="15">
        <f t="shared" si="36"/>
        <v>17.5</v>
      </c>
      <c r="R99" s="8"/>
      <c r="T99"/>
    </row>
    <row r="100" spans="2:20" ht="23.1" customHeight="1" x14ac:dyDescent="0.25">
      <c r="B100" s="25" t="s">
        <v>140</v>
      </c>
      <c r="C100" s="49">
        <f>'Avg Week Ishaka-Katungulu'!C100+'Avg Week Katungulu-Ishaka'!C100</f>
        <v>0.5</v>
      </c>
      <c r="D100" s="49">
        <f>'Avg Week Ishaka-Katungulu'!D100+'Avg Week Katungulu-Ishaka'!D100</f>
        <v>0</v>
      </c>
      <c r="E100" s="49">
        <f>'Avg Week Ishaka-Katungulu'!E100+'Avg Week Katungulu-Ishaka'!E100</f>
        <v>0</v>
      </c>
      <c r="F100" s="49">
        <f>'Avg Week Ishaka-Katungulu'!F100+'Avg Week Katungulu-Ishaka'!F100</f>
        <v>1</v>
      </c>
      <c r="G100" s="49">
        <f>'Avg Week Ishaka-Katungulu'!G100+'Avg Week Katungulu-Ishaka'!G100</f>
        <v>0</v>
      </c>
      <c r="H100" s="49">
        <f>'Avg Week Ishaka-Katungulu'!H100+'Avg Week Katungulu-Ishaka'!H100</f>
        <v>0</v>
      </c>
      <c r="I100" s="49">
        <f>'Avg Week Ishaka-Katungulu'!I100+'Avg Week Katungulu-Ishaka'!I100</f>
        <v>0</v>
      </c>
      <c r="J100" s="49">
        <f>'Avg Week Ishaka-Katungulu'!J100+'Avg Week Katungulu-Ishaka'!J100</f>
        <v>0</v>
      </c>
      <c r="K100" s="49">
        <f>'Avg Week Ishaka-Katungulu'!K100+'Avg Week Katungulu-Ishaka'!K100</f>
        <v>0</v>
      </c>
      <c r="L100" s="49">
        <f>'Avg Week Ishaka-Katungulu'!L100+'Avg Week Katungulu-Ishaka'!L100</f>
        <v>2</v>
      </c>
      <c r="M100" s="49">
        <f>'Avg Week Ishaka-Katungulu'!M100+'Avg Week Katungulu-Ishaka'!M100</f>
        <v>1.5</v>
      </c>
      <c r="N100" s="49">
        <f>'Avg Week Ishaka-Katungulu'!N100+'Avg Week Katungulu-Ishaka'!N100</f>
        <v>0</v>
      </c>
      <c r="O100" s="15">
        <f t="shared" si="35"/>
        <v>3.5</v>
      </c>
      <c r="P100" s="15">
        <f t="shared" si="36"/>
        <v>5</v>
      </c>
      <c r="R100" s="8"/>
      <c r="T100"/>
    </row>
    <row r="101" spans="2:20" ht="23.1" customHeight="1" x14ac:dyDescent="0.25">
      <c r="B101" s="23" t="s">
        <v>141</v>
      </c>
      <c r="C101" s="49">
        <f>'Avg Week Ishaka-Katungulu'!C101+'Avg Week Katungulu-Ishaka'!C101</f>
        <v>1.5</v>
      </c>
      <c r="D101" s="49">
        <f>'Avg Week Ishaka-Katungulu'!D101+'Avg Week Katungulu-Ishaka'!D101</f>
        <v>0</v>
      </c>
      <c r="E101" s="49">
        <f>'Avg Week Ishaka-Katungulu'!E101+'Avg Week Katungulu-Ishaka'!E101</f>
        <v>1</v>
      </c>
      <c r="F101" s="49">
        <f>'Avg Week Ishaka-Katungulu'!F101+'Avg Week Katungulu-Ishaka'!F101</f>
        <v>3</v>
      </c>
      <c r="G101" s="49">
        <f>'Avg Week Ishaka-Katungulu'!G101+'Avg Week Katungulu-Ishaka'!G101</f>
        <v>0</v>
      </c>
      <c r="H101" s="49">
        <f>'Avg Week Ishaka-Katungulu'!H101+'Avg Week Katungulu-Ishaka'!H101</f>
        <v>0</v>
      </c>
      <c r="I101" s="49">
        <f>'Avg Week Ishaka-Katungulu'!I101+'Avg Week Katungulu-Ishaka'!I101</f>
        <v>0</v>
      </c>
      <c r="J101" s="49">
        <f>'Avg Week Ishaka-Katungulu'!J101+'Avg Week Katungulu-Ishaka'!J101</f>
        <v>0</v>
      </c>
      <c r="K101" s="49">
        <f>'Avg Week Ishaka-Katungulu'!K101+'Avg Week Katungulu-Ishaka'!K101</f>
        <v>1</v>
      </c>
      <c r="L101" s="49">
        <f>'Avg Week Ishaka-Katungulu'!L101+'Avg Week Katungulu-Ishaka'!L101</f>
        <v>4</v>
      </c>
      <c r="M101" s="49">
        <f>'Avg Week Ishaka-Katungulu'!M101+'Avg Week Katungulu-Ishaka'!M101</f>
        <v>4</v>
      </c>
      <c r="N101" s="49">
        <f>'Avg Week Ishaka-Katungulu'!N101+'Avg Week Katungulu-Ishaka'!N101</f>
        <v>0</v>
      </c>
      <c r="O101" s="15">
        <f t="shared" si="35"/>
        <v>10.5</v>
      </c>
      <c r="P101" s="15">
        <f t="shared" si="36"/>
        <v>14.5</v>
      </c>
      <c r="R101" s="8"/>
      <c r="T101"/>
    </row>
    <row r="102" spans="2:20" ht="23.1" customHeight="1" x14ac:dyDescent="0.25">
      <c r="B102" s="24" t="s">
        <v>142</v>
      </c>
      <c r="C102" s="49">
        <f>'Avg Week Ishaka-Katungulu'!C102+'Avg Week Katungulu-Ishaka'!C102</f>
        <v>3</v>
      </c>
      <c r="D102" s="49">
        <f>'Avg Week Ishaka-Katungulu'!D102+'Avg Week Katungulu-Ishaka'!D102</f>
        <v>0.5</v>
      </c>
      <c r="E102" s="49">
        <f>'Avg Week Ishaka-Katungulu'!E102+'Avg Week Katungulu-Ishaka'!E102</f>
        <v>2</v>
      </c>
      <c r="F102" s="49">
        <f>'Avg Week Ishaka-Katungulu'!F102+'Avg Week Katungulu-Ishaka'!F102</f>
        <v>1.5</v>
      </c>
      <c r="G102" s="49">
        <f>'Avg Week Ishaka-Katungulu'!G102+'Avg Week Katungulu-Ishaka'!G102</f>
        <v>0</v>
      </c>
      <c r="H102" s="49">
        <f>'Avg Week Ishaka-Katungulu'!H102+'Avg Week Katungulu-Ishaka'!H102</f>
        <v>0</v>
      </c>
      <c r="I102" s="49">
        <f>'Avg Week Ishaka-Katungulu'!I102+'Avg Week Katungulu-Ishaka'!I102</f>
        <v>0</v>
      </c>
      <c r="J102" s="49">
        <f>'Avg Week Ishaka-Katungulu'!J102+'Avg Week Katungulu-Ishaka'!J102</f>
        <v>0</v>
      </c>
      <c r="K102" s="49">
        <f>'Avg Week Ishaka-Katungulu'!K102+'Avg Week Katungulu-Ishaka'!K102</f>
        <v>0.5</v>
      </c>
      <c r="L102" s="49">
        <f>'Avg Week Ishaka-Katungulu'!L102+'Avg Week Katungulu-Ishaka'!L102</f>
        <v>1</v>
      </c>
      <c r="M102" s="49">
        <f>'Avg Week Ishaka-Katungulu'!M102+'Avg Week Katungulu-Ishaka'!M102</f>
        <v>3.5</v>
      </c>
      <c r="N102" s="49">
        <f>'Avg Week Ishaka-Katungulu'!N102+'Avg Week Katungulu-Ishaka'!N102</f>
        <v>0</v>
      </c>
      <c r="O102" s="15">
        <f t="shared" si="35"/>
        <v>8.5</v>
      </c>
      <c r="P102" s="15">
        <f t="shared" si="36"/>
        <v>12</v>
      </c>
      <c r="R102" s="8"/>
      <c r="T102"/>
    </row>
    <row r="103" spans="2:20" ht="23.1" customHeight="1" x14ac:dyDescent="0.25">
      <c r="B103" s="23" t="s">
        <v>143</v>
      </c>
      <c r="C103" s="49">
        <f>'Avg Week Ishaka-Katungulu'!C103+'Avg Week Katungulu-Ishaka'!C103</f>
        <v>6</v>
      </c>
      <c r="D103" s="49">
        <f>'Avg Week Ishaka-Katungulu'!D103+'Avg Week Katungulu-Ishaka'!D103</f>
        <v>2</v>
      </c>
      <c r="E103" s="49">
        <f>'Avg Week Ishaka-Katungulu'!E103+'Avg Week Katungulu-Ishaka'!E103</f>
        <v>4</v>
      </c>
      <c r="F103" s="49">
        <f>'Avg Week Ishaka-Katungulu'!F103+'Avg Week Katungulu-Ishaka'!F103</f>
        <v>3.5</v>
      </c>
      <c r="G103" s="49">
        <f>'Avg Week Ishaka-Katungulu'!G103+'Avg Week Katungulu-Ishaka'!G103</f>
        <v>0</v>
      </c>
      <c r="H103" s="49">
        <f>'Avg Week Ishaka-Katungulu'!H103+'Avg Week Katungulu-Ishaka'!H103</f>
        <v>0</v>
      </c>
      <c r="I103" s="49">
        <f>'Avg Week Ishaka-Katungulu'!I103+'Avg Week Katungulu-Ishaka'!I103</f>
        <v>0</v>
      </c>
      <c r="J103" s="49">
        <f>'Avg Week Ishaka-Katungulu'!J103+'Avg Week Katungulu-Ishaka'!J103</f>
        <v>0</v>
      </c>
      <c r="K103" s="49">
        <f>'Avg Week Ishaka-Katungulu'!K103+'Avg Week Katungulu-Ishaka'!K103</f>
        <v>1</v>
      </c>
      <c r="L103" s="49">
        <f>'Avg Week Ishaka-Katungulu'!L103+'Avg Week Katungulu-Ishaka'!L103</f>
        <v>3</v>
      </c>
      <c r="M103" s="49">
        <f>'Avg Week Ishaka-Katungulu'!M103+'Avg Week Katungulu-Ishaka'!M103</f>
        <v>6.5</v>
      </c>
      <c r="N103" s="49">
        <f>'Avg Week Ishaka-Katungulu'!N103+'Avg Week Katungulu-Ishaka'!N103</f>
        <v>0</v>
      </c>
      <c r="O103" s="15">
        <f t="shared" si="35"/>
        <v>19.5</v>
      </c>
      <c r="P103" s="15">
        <f t="shared" si="36"/>
        <v>26</v>
      </c>
      <c r="R103" s="8"/>
      <c r="T103"/>
    </row>
    <row r="104" spans="2:20" ht="23.1" customHeight="1" x14ac:dyDescent="0.25">
      <c r="B104" s="25" t="s">
        <v>144</v>
      </c>
      <c r="C104" s="49">
        <f>'Avg Week Ishaka-Katungulu'!C104+'Avg Week Katungulu-Ishaka'!C104</f>
        <v>3.5</v>
      </c>
      <c r="D104" s="49">
        <f>'Avg Week Ishaka-Katungulu'!D104+'Avg Week Katungulu-Ishaka'!D104</f>
        <v>0</v>
      </c>
      <c r="E104" s="49">
        <f>'Avg Week Ishaka-Katungulu'!E104+'Avg Week Katungulu-Ishaka'!E104</f>
        <v>1</v>
      </c>
      <c r="F104" s="49">
        <f>'Avg Week Ishaka-Katungulu'!F104+'Avg Week Katungulu-Ishaka'!F104</f>
        <v>2</v>
      </c>
      <c r="G104" s="49">
        <f>'Avg Week Ishaka-Katungulu'!G104+'Avg Week Katungulu-Ishaka'!G104</f>
        <v>0</v>
      </c>
      <c r="H104" s="49">
        <f>'Avg Week Ishaka-Katungulu'!H104+'Avg Week Katungulu-Ishaka'!H104</f>
        <v>0</v>
      </c>
      <c r="I104" s="49">
        <f>'Avg Week Ishaka-Katungulu'!I104+'Avg Week Katungulu-Ishaka'!I104</f>
        <v>0</v>
      </c>
      <c r="J104" s="49">
        <f>'Avg Week Ishaka-Katungulu'!J104+'Avg Week Katungulu-Ishaka'!J104</f>
        <v>0</v>
      </c>
      <c r="K104" s="49">
        <f>'Avg Week Ishaka-Katungulu'!K104+'Avg Week Katungulu-Ishaka'!K104</f>
        <v>0</v>
      </c>
      <c r="L104" s="49">
        <f>'Avg Week Ishaka-Katungulu'!L104+'Avg Week Katungulu-Ishaka'!L104</f>
        <v>1.5</v>
      </c>
      <c r="M104" s="49">
        <f>'Avg Week Ishaka-Katungulu'!M104+'Avg Week Katungulu-Ishaka'!M104</f>
        <v>4.5</v>
      </c>
      <c r="N104" s="49">
        <f>'Avg Week Ishaka-Katungulu'!N104+'Avg Week Katungulu-Ishaka'!N104</f>
        <v>0</v>
      </c>
      <c r="O104" s="15">
        <f t="shared" si="35"/>
        <v>8</v>
      </c>
      <c r="P104" s="15">
        <f t="shared" si="36"/>
        <v>12.5</v>
      </c>
      <c r="R104" s="8"/>
      <c r="T104"/>
    </row>
    <row r="105" spans="2:20" ht="23.1" customHeight="1" x14ac:dyDescent="0.25">
      <c r="B105" s="23" t="s">
        <v>145</v>
      </c>
      <c r="C105" s="49">
        <f>'Avg Week Ishaka-Katungulu'!C105+'Avg Week Katungulu-Ishaka'!C105</f>
        <v>7.5</v>
      </c>
      <c r="D105" s="49">
        <f>'Avg Week Ishaka-Katungulu'!D105+'Avg Week Katungulu-Ishaka'!D105</f>
        <v>1</v>
      </c>
      <c r="E105" s="49">
        <f>'Avg Week Ishaka-Katungulu'!E105+'Avg Week Katungulu-Ishaka'!E105</f>
        <v>2.5</v>
      </c>
      <c r="F105" s="49">
        <f>'Avg Week Ishaka-Katungulu'!F105+'Avg Week Katungulu-Ishaka'!F105</f>
        <v>4.5</v>
      </c>
      <c r="G105" s="49">
        <f>'Avg Week Ishaka-Katungulu'!G105+'Avg Week Katungulu-Ishaka'!G105</f>
        <v>0</v>
      </c>
      <c r="H105" s="49">
        <f>'Avg Week Ishaka-Katungulu'!H105+'Avg Week Katungulu-Ishaka'!H105</f>
        <v>0</v>
      </c>
      <c r="I105" s="49">
        <f>'Avg Week Ishaka-Katungulu'!I105+'Avg Week Katungulu-Ishaka'!I105</f>
        <v>0</v>
      </c>
      <c r="J105" s="49">
        <f>'Avg Week Ishaka-Katungulu'!J105+'Avg Week Katungulu-Ishaka'!J105</f>
        <v>0.5</v>
      </c>
      <c r="K105" s="49">
        <f>'Avg Week Ishaka-Katungulu'!K105+'Avg Week Katungulu-Ishaka'!K105</f>
        <v>1</v>
      </c>
      <c r="L105" s="49">
        <f>'Avg Week Ishaka-Katungulu'!L105+'Avg Week Katungulu-Ishaka'!L105</f>
        <v>4</v>
      </c>
      <c r="M105" s="49">
        <f>'Avg Week Ishaka-Katungulu'!M105+'Avg Week Katungulu-Ishaka'!M105</f>
        <v>10.5</v>
      </c>
      <c r="N105" s="49">
        <f>'Avg Week Ishaka-Katungulu'!N105+'Avg Week Katungulu-Ishaka'!N105</f>
        <v>0</v>
      </c>
      <c r="O105" s="15">
        <f t="shared" si="35"/>
        <v>21</v>
      </c>
      <c r="P105" s="15">
        <f t="shared" si="36"/>
        <v>31.5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645.07142857142867</v>
      </c>
      <c r="D106" s="16">
        <f t="shared" ref="D106:P106" si="37">SUM(D10:D105)</f>
        <v>127.21428571428571</v>
      </c>
      <c r="E106" s="16">
        <f t="shared" si="37"/>
        <v>466.14285714285717</v>
      </c>
      <c r="F106" s="16">
        <f t="shared" si="37"/>
        <v>414</v>
      </c>
      <c r="G106" s="16">
        <f t="shared" si="37"/>
        <v>15.214285714285715</v>
      </c>
      <c r="H106" s="16">
        <f t="shared" si="37"/>
        <v>21.5</v>
      </c>
      <c r="I106" s="16">
        <f t="shared" si="37"/>
        <v>144.71428571428572</v>
      </c>
      <c r="J106" s="16">
        <f t="shared" si="37"/>
        <v>128.07142857142853</v>
      </c>
      <c r="K106" s="16">
        <f t="shared" si="37"/>
        <v>199.35714285714289</v>
      </c>
      <c r="L106" s="16">
        <f t="shared" si="37"/>
        <v>161.07142857142861</v>
      </c>
      <c r="M106" s="16">
        <f t="shared" si="37"/>
        <v>5033.6428571428569</v>
      </c>
      <c r="N106" s="16">
        <f t="shared" si="37"/>
        <v>1.4285714285714282</v>
      </c>
      <c r="O106" s="16">
        <f t="shared" si="37"/>
        <v>2323.7857142857138</v>
      </c>
      <c r="P106" s="16">
        <f t="shared" si="37"/>
        <v>7357.4285714285706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8.7676206749252472E-2</v>
      </c>
      <c r="D107" s="43">
        <f t="shared" si="38"/>
        <v>1.729059065667353E-2</v>
      </c>
      <c r="E107" s="43">
        <f t="shared" si="38"/>
        <v>6.3356762844161404E-2</v>
      </c>
      <c r="F107" s="43">
        <f t="shared" si="38"/>
        <v>5.6269659430701724E-2</v>
      </c>
      <c r="G107" s="43">
        <f t="shared" si="38"/>
        <v>2.0678808589957676E-3</v>
      </c>
      <c r="H107" s="43">
        <f t="shared" si="38"/>
        <v>2.9222166129470703E-3</v>
      </c>
      <c r="I107" s="43">
        <f t="shared" si="38"/>
        <v>1.9669139062560681E-2</v>
      </c>
      <c r="J107" s="43">
        <f t="shared" si="38"/>
        <v>1.740709098675779E-2</v>
      </c>
      <c r="K107" s="43">
        <f t="shared" si="38"/>
        <v>2.7096035105432806E-2</v>
      </c>
      <c r="L107" s="43">
        <f t="shared" si="38"/>
        <v>2.1892353695002142E-2</v>
      </c>
      <c r="M107" s="43">
        <f t="shared" si="38"/>
        <v>0.6841578967807076</v>
      </c>
      <c r="N107" s="43">
        <f t="shared" si="38"/>
        <v>1.9416721680711425E-4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0.27759505732640716</v>
      </c>
      <c r="D108" s="44">
        <f t="shared" ref="D108:N108" si="39">D106/$O$106</f>
        <v>5.4744413364891047E-2</v>
      </c>
      <c r="E108" s="44">
        <f t="shared" si="39"/>
        <v>0.20059631758522123</v>
      </c>
      <c r="F108" s="44">
        <f t="shared" si="39"/>
        <v>0.17815756308978581</v>
      </c>
      <c r="G108" s="44">
        <f t="shared" si="39"/>
        <v>6.5471982294900578E-3</v>
      </c>
      <c r="H108" s="44">
        <f t="shared" si="39"/>
        <v>9.2521439768850113E-3</v>
      </c>
      <c r="I108" s="44">
        <f t="shared" si="39"/>
        <v>6.2275228229797454E-2</v>
      </c>
      <c r="J108" s="44">
        <f t="shared" si="39"/>
        <v>5.5113269603172158E-2</v>
      </c>
      <c r="K108" s="44">
        <f t="shared" si="39"/>
        <v>8.5789813420219505E-2</v>
      </c>
      <c r="L108" s="44">
        <f t="shared" si="39"/>
        <v>6.9314234776995692E-2</v>
      </c>
      <c r="M108" s="44"/>
      <c r="N108" s="44">
        <f t="shared" si="39"/>
        <v>6.1476039713521653E-4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07.09. Ishaka-Katungulu-24h</vt:lpstr>
      <vt:lpstr>07.09. Katungulu-Ishaka-24h</vt:lpstr>
      <vt:lpstr>08.09 Ishaka-Katungulu-24h</vt:lpstr>
      <vt:lpstr>08.09 Katungulu-Ishaka-24h</vt:lpstr>
      <vt:lpstr>09.09 Ishaka-Katungulu</vt:lpstr>
      <vt:lpstr>09.09 Katungulu-Ishaka</vt:lpstr>
      <vt:lpstr>10.09 Ishaka-Katungulu</vt:lpstr>
      <vt:lpstr>10.09 Katungulu-Ishaka</vt:lpstr>
      <vt:lpstr>11.09 Ishaka-Katungulu</vt:lpstr>
      <vt:lpstr>11.09 Katungulu-Ishaka</vt:lpstr>
      <vt:lpstr>12.09 Ishaka-Katungulu</vt:lpstr>
      <vt:lpstr>12.09 Katungulu-Ishaka</vt:lpstr>
      <vt:lpstr>13.09 Ishaka-Katungulu</vt:lpstr>
      <vt:lpstr>13.09 Katungulu-Ishaka</vt:lpstr>
      <vt:lpstr>Avg Week Ishaka-Katungulu</vt:lpstr>
      <vt:lpstr>Avg Week Katungulu-Ishaka</vt:lpstr>
      <vt:lpstr>Avg Week Katungulu-Ishaka-2Dir</vt:lpstr>
      <vt:lpstr>'07.09. Ishaka-Katungulu-24h'!Print_Area</vt:lpstr>
      <vt:lpstr>'07.09. Katungulu-Ishaka-24h'!Print_Area</vt:lpstr>
      <vt:lpstr>'08.09 Ishaka-Katungulu-24h'!Print_Area</vt:lpstr>
      <vt:lpstr>'08.09 Katungulu-Ishaka-24h'!Print_Area</vt:lpstr>
      <vt:lpstr>'09.09 Ishaka-Katungulu'!Print_Area</vt:lpstr>
      <vt:lpstr>'09.09 Katungulu-Ishaka'!Print_Area</vt:lpstr>
      <vt:lpstr>'10.09 Ishaka-Katungulu'!Print_Area</vt:lpstr>
      <vt:lpstr>'10.09 Katungulu-Ishaka'!Print_Area</vt:lpstr>
      <vt:lpstr>'11.09 Ishaka-Katungulu'!Print_Area</vt:lpstr>
      <vt:lpstr>'11.09 Katungulu-Ishaka'!Print_Area</vt:lpstr>
      <vt:lpstr>'12.09 Ishaka-Katungulu'!Print_Area</vt:lpstr>
      <vt:lpstr>'12.09 Katungulu-Ishaka'!Print_Area</vt:lpstr>
      <vt:lpstr>'13.09 Ishaka-Katungulu'!Print_Area</vt:lpstr>
      <vt:lpstr>'13.09 Katungulu-Ishaka'!Print_Area</vt:lpstr>
      <vt:lpstr>'Avg Week Ishaka-Katungulu'!Print_Area</vt:lpstr>
      <vt:lpstr>'Avg Week Katungulu-Ishaka'!Print_Area</vt:lpstr>
      <vt:lpstr>'Avg Week Katungulu-Ishaka-2Dir'!Print_Area</vt:lpstr>
      <vt:lpstr>'07.09. Ishaka-Katungulu-24h'!Print_Titles</vt:lpstr>
      <vt:lpstr>'07.09. Katungulu-Ishaka-24h'!Print_Titles</vt:lpstr>
      <vt:lpstr>'08.09 Ishaka-Katungulu-24h'!Print_Titles</vt:lpstr>
      <vt:lpstr>'08.09 Katungulu-Ishaka-24h'!Print_Titles</vt:lpstr>
      <vt:lpstr>'09.09 Ishaka-Katungulu'!Print_Titles</vt:lpstr>
      <vt:lpstr>'09.09 Katungulu-Ishaka'!Print_Titles</vt:lpstr>
      <vt:lpstr>'10.09 Ishaka-Katungulu'!Print_Titles</vt:lpstr>
      <vt:lpstr>'10.09 Katungulu-Ishaka'!Print_Titles</vt:lpstr>
      <vt:lpstr>'11.09 Ishaka-Katungulu'!Print_Titles</vt:lpstr>
      <vt:lpstr>'11.09 Katungulu-Ishaka'!Print_Titles</vt:lpstr>
      <vt:lpstr>'12.09 Ishaka-Katungulu'!Print_Titles</vt:lpstr>
      <vt:lpstr>'12.09 Katungulu-Ishaka'!Print_Titles</vt:lpstr>
      <vt:lpstr>'13.09 Ishaka-Katungulu'!Print_Titles</vt:lpstr>
      <vt:lpstr>'13.09 Katungulu-Ishaka'!Print_Titles</vt:lpstr>
      <vt:lpstr>'Avg Week Ishaka-Katungulu'!Print_Titles</vt:lpstr>
      <vt:lpstr>'Avg Week Katungulu-Ishaka'!Print_Titles</vt:lpstr>
      <vt:lpstr>'Avg Week Katungulu-Ishaka-2Dir'!Print_Titles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2019-07-25T18:18:41Z</cp:lastPrinted>
  <dcterms:created xsi:type="dcterms:W3CDTF">2010-07-06T07:39:49Z</dcterms:created>
  <dcterms:modified xsi:type="dcterms:W3CDTF">2020-01-15T13:24:31Z</dcterms:modified>
</cp:coreProperties>
</file>